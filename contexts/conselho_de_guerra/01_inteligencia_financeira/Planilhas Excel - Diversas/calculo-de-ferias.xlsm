
<file path=[Content_Types].xml><?xml version="1.0" encoding="utf-8"?>
<Types xmlns="http://schemas.openxmlformats.org/package/2006/content-types">
  <Override PartName="/xl/ctrlProps/ctrlProp78.xml" ContentType="application/vnd.ms-excel.controlproperties+xml"/>
  <Override PartName="/xl/worksheets/sheet13.xml" ContentType="application/vnd.openxmlformats-officedocument.spreadsheetml.worksheet+xml"/>
  <Override PartName="/xl/styles.xml" ContentType="application/vnd.openxmlformats-officedocument.spreadsheetml.styles+xml"/>
  <Override PartName="/xl/ctrlProps/ctrlProp169.xml" ContentType="application/vnd.ms-excel.controlproperties+xml"/>
  <Override PartName="/xl/ctrlProps/ctrlProp67.xml" ContentType="application/vnd.ms-excel.controlproperties+xml"/>
  <Override PartName="/xl/ctrlProps/ctrlProp147.xml" ContentType="application/vnd.ms-excel.controlproperties+xml"/>
  <Override PartName="/xl/ctrlProps/ctrlProp158.xml" ContentType="application/vnd.ms-excel.controlproperties+xml"/>
  <Override PartName="/xl/ctrlProps/ctrlProp45.xml" ContentType="application/vnd.ms-excel.controlproperties+xml"/>
  <Override PartName="/xl/ctrlProps/ctrlProp92.xml" ContentType="application/vnd.ms-excel.controlproperties+xml"/>
  <Override PartName="/xl/ctrlProps/ctrlProp56.xml" ContentType="application/vnd.ms-excel.controlproperties+xml"/>
  <Default Extension="xml" ContentType="application/xml"/>
  <Override PartName="/xl/drawings/drawing2.xml" ContentType="application/vnd.openxmlformats-officedocument.drawing+xml"/>
  <Override PartName="/xl/ctrlProps/ctrlProp136.xml" ContentType="application/vnd.ms-excel.controlproperties+xml"/>
  <Override PartName="/xl/ctrlProps/ctrlProp81.xml" ContentType="application/vnd.ms-excel.controlproperties+xml"/>
  <Override PartName="/xl/ctrlProps/ctrlProp34.xml" ContentType="application/vnd.ms-excel.controlproperties+xml"/>
  <Override PartName="/xl/worksheets/sheet3.xml" ContentType="application/vnd.openxmlformats-officedocument.spreadsheetml.worksheet+xml"/>
  <Override PartName="/xl/ctrlProps/ctrlProp172.xml" ContentType="application/vnd.ms-excel.controlproperties+xml"/>
  <Override PartName="/xl/ctrlProps/ctrlProp125.xml" ContentType="application/vnd.ms-excel.controlproperties+xml"/>
  <Override PartName="/xl/ctrlProps/ctrlProp70.xml" ContentType="application/vnd.ms-excel.controlproperties+xml"/>
  <Override PartName="/xl/ctrlProps/ctrlProp23.xml" ContentType="application/vnd.ms-excel.controlproperties+xml"/>
  <Override PartName="/xl/ctrlProps/ctrlProp150.xml" ContentType="application/vnd.ms-excel.controlproperties+xml"/>
  <Override PartName="/xl/ctrlProps/ctrlProp114.xml" ContentType="application/vnd.ms-excel.controlproperties+xml"/>
  <Override PartName="/xl/ctrlProps/ctrlProp132.xml" ContentType="application/vnd.ms-excel.controlproperties+xml"/>
  <Override PartName="/xl/ctrlProps/ctrlProp161.xml" ContentType="application/vnd.ms-excel.controlproperties+xml"/>
  <Override PartName="/xl/ctrlProps/ctrlProp103.xml" ContentType="application/vnd.ms-excel.controlproperties+xml"/>
  <Override PartName="/xl/ctrlProps/ctrlProp30.xml" ContentType="application/vnd.ms-excel.controlproperties+xml"/>
  <Override PartName="/xl/ctrlProps/ctrlProp12.xml" ContentType="application/vnd.ms-excel.controlproperties+xml"/>
  <Override PartName="/xl/ctrlProps/ctrlProp6.xml" ContentType="application/vnd.ms-excel.controlproperties+xml"/>
  <Override PartName="/xl/sharedStrings.xml" ContentType="application/vnd.openxmlformats-officedocument.spreadsheetml.sharedStrings+xml"/>
  <Override PartName="/xl/ctrlProps/ctrlProp121.xml" ContentType="application/vnd.ms-excel.controlproperties+xml"/>
  <Override PartName="/xl/ctrlProps/ctrlProp110.xml" ContentType="application/vnd.ms-excel.controlproperties+xml"/>
  <Override PartName="/xl/ctrlProps/ctrlProp2.xml" ContentType="application/vnd.ms-excel.controlproperties+xml"/>
  <Default Extension="png" ContentType="image/png"/>
  <Default Extension="bin" ContentType="application/vnd.openxmlformats-officedocument.spreadsheetml.printerSettings"/>
  <Override PartName="/xl/ctrlProps/ctrlProp68.xml" ContentType="application/vnd.ms-excel.controlproperties+xml"/>
  <Override PartName="/xl/ctrlProps/ctrlProp97.xml" ContentType="application/vnd.ms-excel.controlproperties+xml"/>
  <Override PartName="/xl/ctrlProps/ctrlProp79.xml" ContentType="application/vnd.ms-excel.controlproperties+xml"/>
  <Override PartName="/xl/drawings/drawing7.xml" ContentType="application/vnd.openxmlformats-officedocument.drawing+xml"/>
  <Override PartName="/xl/ctrlProps/ctrlProp177.xml" ContentType="application/vnd.ms-excel.controlproperties+xml"/>
  <Override PartName="/xl/ctrlProps/ctrlProp159.xml" ContentType="application/vnd.ms-excel.controlproperties+xml"/>
  <Override PartName="/xl/ctrlProps/ctrlProp39.xml" ContentType="application/vnd.ms-excel.controlproperties+xml"/>
  <Override PartName="/xl/ctrlProps/ctrlProp57.xml" ContentType="application/vnd.ms-excel.controlproperties+xml"/>
  <Override PartName="/xl/ctrlProps/ctrlProp86.xml" ContentType="application/vnd.ms-excel.controlproperties+xml"/>
  <Override PartName="/xl/ctrlProps/ctrlProp75.xml" ContentType="application/vnd.ms-excel.controlproperties+xml"/>
  <Override PartName="/xl/ctrlProps/ctrlProp28.xml" ContentType="application/vnd.ms-excel.controlproperties+xml"/>
  <Override PartName="/xl/worksheets/sheet8.xml" ContentType="application/vnd.openxmlformats-officedocument.spreadsheetml.worksheet+xml"/>
  <Override PartName="/xl/ctrlProps/ctrlProp166.xml" ContentType="application/vnd.ms-excel.controlproperties+xml"/>
  <Override PartName="/xl/ctrlProps/ctrlProp119.xml" ContentType="application/vnd.ms-excel.controlproperties+xml"/>
  <Override PartName="/xl/ctrlProps/ctrlProp148.xml" ContentType="application/vnd.ms-excel.controlproperties+xml"/>
  <Override PartName="/xl/ctrlProps/ctrlProp64.xml" ContentType="application/vnd.ms-excel.controlproperties+xml"/>
  <Override PartName="/xl/ctrlProps/ctrlProp46.xml" ContentType="application/vnd.ms-excel.controlproperties+xml"/>
  <Override PartName="/xl/ctrlProps/ctrlProp93.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trlProps/ctrlProp126.xml" ContentType="application/vnd.ms-excel.controlproperties+xml"/>
  <Override PartName="/xl/ctrlProps/ctrlProp155.xml" ContentType="application/vnd.ms-excel.controlproperties+xml"/>
  <Override PartName="/xl/ctrlProps/ctrlProp173.xml" ContentType="application/vnd.ms-excel.controlproperties+xml"/>
  <Override PartName="/xl/ctrlProps/ctrlProp137.xml" ContentType="application/vnd.ms-excel.controlproperties+xml"/>
  <Override PartName="/xl/ctrlProps/ctrlProp71.xml" ContentType="application/vnd.ms-excel.controlproperties+xml"/>
  <Override PartName="/xl/ctrlProps/ctrlProp108.xml" ContentType="application/vnd.ms-excel.controlproperties+xml"/>
  <Override PartName="/xl/ctrlProps/ctrlProp53.xml" ContentType="application/vnd.ms-excel.controlproperties+xml"/>
  <Override PartName="/xl/ctrlProps/ctrlProp82.xml" ContentType="application/vnd.ms-excel.controlproperties+xml"/>
  <Override PartName="/xl/ctrlProps/ctrlProp35.xml" ContentType="application/vnd.ms-excel.controlproperties+xml"/>
  <Override PartName="/xl/ctrlProps/ctrlProp24.xml" ContentType="application/vnd.ms-excel.controlproperties+xml"/>
  <Override PartName="/docProps/app.xml" ContentType="application/vnd.openxmlformats-officedocument.extended-properties+xml"/>
  <Override PartName="/xl/ctrlProps/ctrlProp144.xml" ContentType="application/vnd.ms-excel.controlproperties+xml"/>
  <Override PartName="/xl/ctrlProps/ctrlProp162.xml" ContentType="application/vnd.ms-excel.controlproperties+xml"/>
  <Override PartName="/xl/ctrlProps/ctrlProp115.xml" ContentType="application/vnd.ms-excel.controlproperties+xml"/>
  <Override PartName="/xl/ctrlProps/ctrlProp60.xml" ContentType="application/vnd.ms-excel.controlproperties+xml"/>
  <Override PartName="/xl/ctrlProps/ctrlProp42.xml" ContentType="application/vnd.ms-excel.controlproperties+xml"/>
  <Override PartName="/xl/ctrlProps/ctrlProp13.xml" ContentType="application/vnd.ms-excel.controlproperties+xml"/>
  <Override PartName="/xl/ctrlProps/ctrlProp7.xml" ContentType="application/vnd.ms-excel.controlproperties+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33.xml" ContentType="application/vnd.ms-excel.controlproperties+xml"/>
  <Override PartName="/xl/ctrlProps/ctrlProp122.xml" ContentType="application/vnd.ms-excel.controlproperties+xml"/>
  <Override PartName="/xl/ctrlProps/ctrlProp151.xml" ContentType="application/vnd.ms-excel.controlproperties+xml"/>
  <Override PartName="/xl/ctrlProps/ctrlProp104.xml" ContentType="application/vnd.ms-excel.controlproperties+xml"/>
  <Override PartName="/xl/ctrlProps/ctrlProp20.xml" ContentType="application/vnd.ms-excel.controlproperties+xml"/>
  <Override PartName="/xl/ctrlProps/ctrlProp31.xml" ContentType="application/vnd.ms-excel.controlproperties+xml"/>
  <Override PartName="/xl/ctrlProps/ctrlProp140.xml" ContentType="application/vnd.ms-excel.controlproperties+xml"/>
  <Override PartName="/xl/ctrlProps/ctrlProp111.xml" ContentType="application/vnd.ms-excel.controlproperties+xml"/>
  <Override PartName="/xl/ctrlProps/ctrlProp3.xml" ContentType="application/vnd.ms-excel.controlproperties+xml"/>
  <Override PartName="/xl/ctrlProps/ctrlProp100.xml" ContentType="application/vnd.ms-excel.controlproperties+xml"/>
  <Override PartName="/xl/ctrlProps/ctrlProp98.xml" ContentType="application/vnd.ms-excel.controlproperties+xml"/>
  <Override PartName="/docProps/core.xml" ContentType="application/vnd.openxmlformats-package.core-properties+xml"/>
  <Override PartName="/xl/ctrlProps/ctrlProp87.xml" ContentType="application/vnd.ms-excel.controlproperties+xml"/>
  <Override PartName="/xl/ctrlProps/ctrlProp69.xml" ContentType="application/vnd.ms-excel.controlproperties+xml"/>
  <Override PartName="/xl/worksheets/sheet9.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ctrlProps/ctrlProp149.xml" ContentType="application/vnd.ms-excel.controlproperties+xml"/>
  <Override PartName="/xl/ctrlProps/ctrlProp178.xml" ContentType="application/vnd.ms-excel.controlproperties+xml"/>
  <Override PartName="/xl/ctrlProps/ctrlProp47.xml" ContentType="application/vnd.ms-excel.controlproperties+xml"/>
  <Override PartName="/xl/ctrlProps/ctrlProp76.xml" ContentType="application/vnd.ms-excel.controlproperties+xml"/>
  <Override PartName="/xl/ctrlProps/ctrlProp58.xml" ContentType="application/vnd.ms-excel.controlproperties+xml"/>
  <Override PartName="/xl/ctrlProps/ctrlProp94.xml" ContentType="application/vnd.ms-excel.controlproperties+xml"/>
  <Override PartName="/xl/ctrlProps/ctrlProp29.xml" ContentType="application/vnd.ms-excel.controlproperties+xml"/>
  <Override PartName="/xl/worksheets/sheet11.xml" ContentType="application/vnd.openxmlformats-officedocument.spreadsheetml.worksheet+xml"/>
  <Override PartName="/xl/drawings/drawing4.xml" ContentType="application/vnd.openxmlformats-officedocument.drawing+xml"/>
  <Override PartName="/xl/ctrlProps/ctrlProp138.xml" ContentType="application/vnd.ms-excel.controlproperties+xml"/>
  <Override PartName="/xl/ctrlProps/ctrlProp167.xml" ContentType="application/vnd.ms-excel.controlproperties+xml"/>
  <Override PartName="/xl/ctrlProps/ctrlProp83.xml" ContentType="application/vnd.ms-excel.controlproperties+xml"/>
  <Override PartName="/xl/ctrlProps/ctrlProp65.xml" ContentType="application/vnd.ms-excel.controlproperties+xml"/>
  <Override PartName="/xl/ctrlProps/ctrlProp36.xml" ContentType="application/vnd.ms-excel.controlproperties+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ctrlProps/ctrlProp145.xml" ContentType="application/vnd.ms-excel.controlproperties+xml"/>
  <Override PartName="/xl/ctrlProps/ctrlProp127.xml" ContentType="application/vnd.ms-excel.controlproperties+xml"/>
  <Override PartName="/xl/ctrlProps/ctrlProp174.xml" ContentType="application/vnd.ms-excel.controlproperties+xml"/>
  <Override PartName="/xl/ctrlProps/ctrlProp156.xml" ContentType="application/vnd.ms-excel.controlproperties+xml"/>
  <Override PartName="/xl/ctrlProps/ctrlProp109.xml" ContentType="application/vnd.ms-excel.controlproperties+xml"/>
  <Override PartName="/xl/ctrlProps/ctrlProp43.xml" ContentType="application/vnd.ms-excel.controlproperties+xml"/>
  <Override PartName="/xl/ctrlProps/ctrlProp90.xml" ContentType="application/vnd.ms-excel.controlproperties+xml"/>
  <Override PartName="/xl/ctrlProps/ctrlProp72.xml" ContentType="application/vnd.ms-excel.controlproperties+xml"/>
  <Override PartName="/xl/ctrlProps/ctrlProp54.xml" ContentType="application/vnd.ms-excel.controlproperties+xml"/>
  <Override PartName="/xl/ctrlProps/ctrlProp25.xml" ContentType="application/vnd.ms-excel.controlproperties+xml"/>
  <Override PartName="/xl/comments2.xml" ContentType="application/vnd.openxmlformats-officedocument.spreadsheetml.comments+xml"/>
  <Override PartName="/xl/ctrlProps/ctrlProp152.xml" ContentType="application/vnd.ms-excel.controlproperties+xml"/>
  <Override PartName="/xl/ctrlProps/ctrlProp134.xml" ContentType="application/vnd.ms-excel.controlproperties+xml"/>
  <Override PartName="/xl/ctrlProps/ctrlProp116.xml" ContentType="application/vnd.ms-excel.controlproperties+xml"/>
  <Override PartName="/xl/ctrlProps/ctrlProp163.xml" ContentType="application/vnd.ms-excel.controlproperties+xml"/>
  <Override PartName="/xl/ctrlProps/ctrlProp105.xml" ContentType="application/vnd.ms-excel.controlproperties+xml"/>
  <Override PartName="/xl/ctrlProps/ctrlProp50.xml" ContentType="application/vnd.ms-excel.controlproperties+xml"/>
  <Override PartName="/xl/ctrlProps/ctrlProp61.xml" ContentType="application/vnd.ms-excel.controlproperties+xml"/>
  <Override PartName="/xl/ctrlProps/ctrlProp14.xml" ContentType="application/vnd.ms-excel.controlproperties+xml"/>
  <Override PartName="/xl/ctrlProps/ctrlProp8.xml" ContentType="application/vnd.ms-excel.controlproperties+xml"/>
  <Override PartName="/xl/ctrlProps/ctrlProp32.xml" ContentType="application/vnd.ms-excel.controlproperties+xml"/>
  <Override PartName="/xl/worksheets/sheet1.xml" ContentType="application/vnd.openxmlformats-officedocument.spreadsheetml.worksheet+xml"/>
  <Override PartName="/xl/ctrlProps/ctrlProp123.xml" ContentType="application/vnd.ms-excel.controlproperties+xml"/>
  <Override PartName="/xl/ctrlProps/ctrlProp141.xml" ContentType="application/vnd.ms-excel.controlproperties+xml"/>
  <Override PartName="/xl/ctrlProps/ctrlProp170.xml" ContentType="application/vnd.ms-excel.controlproperties+xml"/>
  <Override PartName="/xl/ctrlProps/ctrlProp21.xml" ContentType="application/vnd.ms-excel.controlproperties+xml"/>
  <Override PartName="/xl/ctrlProps/ctrlProp112.xml" ContentType="application/vnd.ms-excel.controlproperties+xml"/>
  <Override PartName="/xl/ctrlProps/ctrlProp130.xml" ContentType="application/vnd.ms-excel.controlproperties+xml"/>
  <Override PartName="/xl/ctrlProps/ctrlProp101.xml" ContentType="application/vnd.ms-excel.controlproperties+xml"/>
  <Override PartName="/xl/ctrlProps/ctrlProp10.xml" ContentType="application/vnd.ms-excel.controlproperties+xml"/>
  <Override PartName="/xl/ctrlProps/ctrlProp4.xml" ContentType="application/vnd.ms-excel.controlproperties+xml"/>
  <Override PartName="/xl/ctrlProps/ctrlProp99.xml" ContentType="application/vnd.ms-excel.controlproperties+xml"/>
  <Override PartName="/xl/drawings/drawing9.xml" ContentType="application/vnd.openxmlformats-officedocument.drawing+xml"/>
  <Override PartName="/xl/ctrlProps/ctrlProp77.xml" ContentType="application/vnd.ms-excel.controlproperties+xml"/>
  <Override PartName="/xl/ctrlProps/ctrlProp59.xml" ContentType="application/vnd.ms-excel.controlproperties+xml"/>
  <Override PartName="/xl/ctrlProps/ctrlProp88.xml" ContentType="application/vnd.ms-excel.controlproperties+xml"/>
  <Override PartName="/xl/ctrlProps/ctrlProp168.xml" ContentType="application/vnd.ms-excel.controlproperties+xml"/>
  <Override PartName="/xl/ctrlProps/ctrlProp179.xml" ContentType="application/vnd.ms-excel.controlproperties+xml"/>
  <Override PartName="/xl/ctrlProps/ctrlProp66.xml" ContentType="application/vnd.ms-excel.controlproperties+xml"/>
  <Override PartName="/xl/ctrlProps/ctrlProp95.xml" ContentType="application/vnd.ms-excel.controlproperties+xml"/>
  <Override PartName="/xl/ctrlProps/ctrlProp48.xml" ContentType="application/vnd.ms-excel.controlproperties+xml"/>
  <Override PartName="/xl/ctrlProps/ctrlProp19.xml" ContentType="application/vnd.ms-excel.controlproperties+xml"/>
  <Override PartName="/xl/worksheets/sheet6.xml" ContentType="application/vnd.openxmlformats-officedocument.spreadsheetml.worksheet+xml"/>
  <Override PartName="/xl/worksheets/sheet12.xml" ContentType="application/vnd.openxmlformats-officedocument.spreadsheetml.worksheet+xml"/>
  <Override PartName="/xl/drawings/drawing5.xml" ContentType="application/vnd.openxmlformats-officedocument.drawing+xml"/>
  <Override PartName="/xl/ctrlProps/ctrlProp139.xml" ContentType="application/vnd.ms-excel.controlproperties+xml"/>
  <Override PartName="/xl/ctrlProps/ctrlProp128.xml" ContentType="application/vnd.ms-excel.controlproperties+xml"/>
  <Override PartName="/xl/ctrlProps/ctrlProp157.xml" ContentType="application/vnd.ms-excel.controlproperties+xml"/>
  <Override PartName="/xl/ctrlProps/ctrlProp175.xml" ContentType="application/vnd.ms-excel.controlproperties+xml"/>
  <Override PartName="/xl/ctrlProps/ctrlProp73.xml" ContentType="application/vnd.ms-excel.controlproperties+xml"/>
  <Override PartName="/xl/ctrlProps/ctrlProp55.xml" ContentType="application/vnd.ms-excel.controlproperties+xml"/>
  <Override PartName="/xl/ctrlProps/ctrlProp84.xml" ContentType="application/vnd.ms-excel.controlproperties+xml"/>
  <Override PartName="/xl/ctrlProps/ctrlProp37.xml" ContentType="application/vnd.ms-excel.controlproperties+xml"/>
  <Override PartName="/xl/ctrlProps/ctrlProp26.xml" ContentType="application/vnd.ms-excel.controlproperties+xml"/>
  <Override PartName="/xl/ctrlProps/ctrlProp117.xml" ContentType="application/vnd.ms-excel.controlproperties+xml"/>
  <Override PartName="/xl/ctrlProps/ctrlProp164.xml" ContentType="application/vnd.ms-excel.controlproperties+xml"/>
  <Override PartName="/xl/ctrlProps/ctrlProp146.xml" ContentType="application/vnd.ms-excel.controlproperties+xml"/>
  <Override PartName="/xl/ctrlProps/ctrlProp62.xml" ContentType="application/vnd.ms-excel.controlproperties+xml"/>
  <Override PartName="/xl/ctrlProps/ctrlProp91.xml" ContentType="application/vnd.ms-excel.controlproperties+xml"/>
  <Override PartName="/xl/ctrlProps/ctrlProp44.xml" ContentType="application/vnd.ms-excel.controlproperties+xml"/>
  <Override PartName="/xl/ctrlProps/ctrlProp9.xml" ContentType="application/vnd.ms-excel.controlproperties+xml"/>
  <Override PartName="/xl/ctrlProps/ctrlProp15.xml" ContentType="application/vnd.ms-excel.control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ctrlProps/ctrlProp171.xml" ContentType="application/vnd.ms-excel.controlproperties+xml"/>
  <Override PartName="/xl/ctrlProps/ctrlProp124.xml" ContentType="application/vnd.ms-excel.controlproperties+xml"/>
  <Override PartName="/xl/ctrlProps/ctrlProp135.xml" ContentType="application/vnd.ms-excel.controlproperties+xml"/>
  <Override PartName="/xl/ctrlProps/ctrlProp153.xml" ContentType="application/vnd.ms-excel.controlproperties+xml"/>
  <Override PartName="/xl/ctrlProps/ctrlProp106.xml" ContentType="application/vnd.ms-excel.controlproperties+xml"/>
  <Override PartName="/xl/ctrlProps/ctrlProp51.xml" ContentType="application/vnd.ms-excel.controlproperties+xml"/>
  <Override PartName="/xl/ctrlProps/ctrlProp80.xml" ContentType="application/vnd.ms-excel.controlproperties+xml"/>
  <Override PartName="/xl/ctrlProps/ctrlProp22.xml" ContentType="application/vnd.ms-excel.controlproperties+xml"/>
  <Override PartName="/xl/ctrlProps/ctrlProp33.xml" ContentType="application/vnd.ms-excel.controlproperties+xml"/>
  <Override PartName="/xl/ctrlProps/ctrlProp160.xml" ContentType="application/vnd.ms-excel.controlproperties+xml"/>
  <Override PartName="/xl/ctrlProps/ctrlProp142.xml" ContentType="application/vnd.ms-excel.controlproperties+xml"/>
  <Override PartName="/xl/ctrlProps/ctrlProp113.xml" ContentType="application/vnd.ms-excel.controlproperties+xml"/>
  <Override PartName="/xl/ctrlProps/ctrlProp40.xml" ContentType="application/vnd.ms-excel.controlproperties+xml"/>
  <Override PartName="/xl/ctrlProps/ctrlProp5.xml" ContentType="application/vnd.ms-excel.controlproperties+xml"/>
  <Override PartName="/xl/ctrlProps/ctrlProp11.xml" ContentType="application/vnd.ms-excel.controlproperties+xml"/>
  <Override PartName="/xl/ctrlProps/ctrlProp131.xml" ContentType="application/vnd.ms-excel.controlproperties+xml"/>
  <Override PartName="/xl/ctrlProps/ctrlProp120.xml" ContentType="application/vnd.ms-excel.controlproperties+xml"/>
  <Override PartName="/xl/ctrlProps/ctrlProp102.xml" ContentType="application/vnd.ms-excel.controlproperties+xml"/>
  <Override PartName="/xl/ctrlProps/ctrlProp89.xml" ContentType="application/vnd.ms-excel.controlproperties+xml"/>
  <Override PartName="/xl/ctrlProps/ctrlProp1.xml" ContentType="application/vnd.ms-excel.controlproperties+xml"/>
  <Override PartName="/xl/ctrlProps/ctrlProp49.xml" ContentType="application/vnd.ms-excel.controlproperties+xml"/>
  <Override PartName="/xl/ctrlProps/ctrlProp96.xml" ContentType="application/vnd.ms-excel.controlproperties+xml"/>
  <Override PartName="/xl/drawings/drawing6.xml" ContentType="application/vnd.openxmlformats-officedocument.drawing+xml"/>
  <Override PartName="/xl/ctrlProps/ctrlProp85.xml" ContentType="application/vnd.ms-excel.controlproperties+xml"/>
  <Override PartName="/xl/ctrlProps/ctrlProp38.xml" ContentType="application/vnd.ms-excel.controlproperties+xml"/>
  <Override PartName="/xl/worksheets/sheet7.xml" ContentType="application/vnd.openxmlformats-officedocument.spreadsheetml.worksheet+xml"/>
  <Override PartName="/xl/vbaProject.bin" ContentType="application/vnd.ms-office.vbaProject"/>
  <Override PartName="/xl/ctrlProps/ctrlProp176.xml" ContentType="application/vnd.ms-excel.controlproperties+xml"/>
  <Override PartName="/xl/ctrlProps/ctrlProp129.xml" ContentType="application/vnd.ms-excel.controlproperties+xml"/>
  <Override PartName="/xl/ctrlProps/ctrlProp74.xml" ContentType="application/vnd.ms-excel.controlproperties+xml"/>
  <Override PartName="/xl/ctrlProps/ctrlProp27.xml" ContentType="application/vnd.ms-excel.controlproperties+xml"/>
  <Override PartName="/xl/ctrlProps/ctrlProp118.xml" ContentType="application/vnd.ms-excel.controlproperties+xml"/>
  <Override PartName="/xl/ctrlProps/ctrlProp165.xml" ContentType="application/vnd.ms-excel.controlproperties+xml"/>
  <Override PartName="/xl/ctrlProps/ctrlProp52.xml" ContentType="application/vnd.ms-excel.controlproperties+xml"/>
  <Override PartName="/xl/ctrlProps/ctrlProp63.xml" ContentType="application/vnd.ms-excel.controlproperties+xml"/>
  <Override PartName="/xl/ctrlProps/ctrlProp107.xml" ContentType="application/vnd.ms-excel.controlproperties+xml"/>
  <Override PartName="/xl/ctrlProps/ctrlProp16.xml" ContentType="application/vnd.ms-excel.controlproperties+xml"/>
  <Override PartName="/xl/ctrlProps/ctrlProp154.xml" ContentType="application/vnd.ms-excel.controlproperties+xml"/>
  <Override PartName="/xl/ctrlProps/ctrlProp143.xml" ContentType="application/vnd.ms-excel.controlproperties+xml"/>
  <Override PartName="/xl/ctrlProps/ctrlProp41.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EstaPasta_de_trabalho"/>
  <bookViews>
    <workbookView xWindow="0" yWindow="255" windowWidth="15360" windowHeight="7200"/>
  </bookViews>
  <sheets>
    <sheet name="Sistema Contábil e Gestão" sheetId="16" r:id="rId1"/>
    <sheet name="AJ" sheetId="7" r:id="rId2"/>
    <sheet name="TB" sheetId="3" r:id="rId3"/>
    <sheet name="FUNC" sheetId="9" r:id="rId4"/>
    <sheet name="EMP" sheetId="8" r:id="rId5"/>
    <sheet name="DADOS" sheetId="10" r:id="rId6"/>
    <sheet name="AV" sheetId="4" r:id="rId7"/>
    <sheet name="AB" sheetId="1" r:id="rId8"/>
    <sheet name="13°SAL" sheetId="6" r:id="rId9"/>
    <sheet name="RECIBO" sheetId="2" r:id="rId10"/>
    <sheet name="DEMONSTRATIVO" sheetId="11" r:id="rId11"/>
    <sheet name="HOLLERITH (1)" sheetId="12" r:id="rId12"/>
    <sheet name="HOLLERITH (2)" sheetId="14" r:id="rId13"/>
  </sheets>
  <functionGroups/>
  <definedNames>
    <definedName name="_xlnm.Print_Area" localSheetId="5">DADOS!$A$2:$I$32</definedName>
    <definedName name="_xlnm.Print_Area" localSheetId="11">'HOLLERITH (1)'!$B$1:$J$39</definedName>
    <definedName name="_xlnm.Print_Area" localSheetId="12">'HOLLERITH (2)'!$B$1:$J$39</definedName>
    <definedName name="gpsunimed" localSheetId="8" hidden="1">{#N/A,#N/A,FALSE,"FOLHA"}</definedName>
    <definedName name="gpsunimed" localSheetId="7" hidden="1">{#N/A,#N/A,FALSE,"FOLHA"}</definedName>
    <definedName name="gpsunimed" localSheetId="6" hidden="1">{#N/A,#N/A,FALSE,"FOLHA"}</definedName>
    <definedName name="gpsunimed" localSheetId="10" hidden="1">{#N/A,#N/A,FALSE,"FOLHA"}</definedName>
    <definedName name="gpsunimed" localSheetId="4" hidden="1">{#N/A,#N/A,FALSE,"FOLHA"}</definedName>
    <definedName name="gpsunimed" localSheetId="3" hidden="1">{#N/A,#N/A,FALSE,"FOLHA"}</definedName>
    <definedName name="gpsunimed" localSheetId="9" hidden="1">{#N/A,#N/A,FALSE,"FOLHA"}</definedName>
    <definedName name="gpsunimed" localSheetId="2" hidden="1">{#N/A,#N/A,FALSE,"FOLHA"}</definedName>
    <definedName name="gpsunimed" hidden="1">{#N/A,#N/A,FALSE,"FOLHA"}</definedName>
    <definedName name="wrn.FOLHA._.DE._.PAGAMENTO." localSheetId="8" hidden="1">{#N/A,#N/A,FALSE,"FOLHA"}</definedName>
    <definedName name="wrn.FOLHA._.DE._.PAGAMENTO." localSheetId="7" hidden="1">{#N/A,#N/A,FALSE,"FOLHA"}</definedName>
    <definedName name="wrn.FOLHA._.DE._.PAGAMENTO." localSheetId="6" hidden="1">{#N/A,#N/A,FALSE,"FOLHA"}</definedName>
    <definedName name="wrn.FOLHA._.DE._.PAGAMENTO." localSheetId="10" hidden="1">{#N/A,#N/A,FALSE,"FOLHA"}</definedName>
    <definedName name="wrn.FOLHA._.DE._.PAGAMENTO." localSheetId="4" hidden="1">{#N/A,#N/A,FALSE,"FOLHA"}</definedName>
    <definedName name="wrn.FOLHA._.DE._.PAGAMENTO." localSheetId="3" hidden="1">{#N/A,#N/A,FALSE,"FOLHA"}</definedName>
    <definedName name="wrn.FOLHA._.DE._.PAGAMENTO." localSheetId="9" hidden="1">{#N/A,#N/A,FALSE,"FOLHA"}</definedName>
    <definedName name="wrn.FOLHA._.DE._.PAGAMENTO." localSheetId="2" hidden="1">{#N/A,#N/A,FALSE,"FOLHA"}</definedName>
    <definedName name="wrn.FOLHA._.DE._.PAGAMENTO." hidden="1">{#N/A,#N/A,FALSE,"FOLHA"}</definedName>
  </definedNames>
  <calcPr calcId="125725" fullPrecision="0"/>
</workbook>
</file>

<file path=xl/calcChain.xml><?xml version="1.0" encoding="utf-8"?>
<calcChain xmlns="http://schemas.openxmlformats.org/spreadsheetml/2006/main">
  <c r="M35" i="10"/>
  <c r="F7" s="1"/>
  <c r="K8"/>
  <c r="P2" s="1"/>
  <c r="O5" i="14"/>
  <c r="D28" s="1"/>
  <c r="O5" i="12"/>
  <c r="D28" s="1"/>
  <c r="R24" i="14"/>
  <c r="R25" s="1"/>
  <c r="R26" s="1"/>
  <c r="C32" i="10"/>
  <c r="H24" i="14"/>
  <c r="H24" i="12"/>
  <c r="E1" i="14"/>
  <c r="E39" s="1"/>
  <c r="E3"/>
  <c r="G5"/>
  <c r="G5" i="12"/>
  <c r="V6" i="14"/>
  <c r="O8"/>
  <c r="H10" s="1"/>
  <c r="O9"/>
  <c r="T9"/>
  <c r="V9"/>
  <c r="Z9"/>
  <c r="AC9"/>
  <c r="T10"/>
  <c r="V10"/>
  <c r="Z10"/>
  <c r="AC10"/>
  <c r="T11"/>
  <c r="V11"/>
  <c r="Z11"/>
  <c r="AC11"/>
  <c r="O13"/>
  <c r="O14"/>
  <c r="D15"/>
  <c r="V15"/>
  <c r="Z15"/>
  <c r="AD15"/>
  <c r="V17"/>
  <c r="AD17"/>
  <c r="V18"/>
  <c r="AA18"/>
  <c r="AC18"/>
  <c r="X19"/>
  <c r="X29"/>
  <c r="AA19"/>
  <c r="AE19"/>
  <c r="V20"/>
  <c r="F21"/>
  <c r="V21"/>
  <c r="F22"/>
  <c r="V22"/>
  <c r="F23"/>
  <c r="O23"/>
  <c r="V23"/>
  <c r="O24"/>
  <c r="V24"/>
  <c r="O25"/>
  <c r="V25"/>
  <c r="O26"/>
  <c r="V26"/>
  <c r="AA28"/>
  <c r="AA29"/>
  <c r="E33" s="1"/>
  <c r="F33" s="1"/>
  <c r="V30"/>
  <c r="R32"/>
  <c r="T32"/>
  <c r="J20"/>
  <c r="E1" i="12"/>
  <c r="E39"/>
  <c r="C3"/>
  <c r="E3"/>
  <c r="C4"/>
  <c r="C4" i="14"/>
  <c r="V6" i="12"/>
  <c r="O8"/>
  <c r="O9"/>
  <c r="T9"/>
  <c r="V9"/>
  <c r="Z9"/>
  <c r="AC9"/>
  <c r="T10"/>
  <c r="V10"/>
  <c r="Z10"/>
  <c r="AC10"/>
  <c r="T11"/>
  <c r="V11"/>
  <c r="Z11"/>
  <c r="AC11"/>
  <c r="O13"/>
  <c r="O14"/>
  <c r="V15"/>
  <c r="Z15"/>
  <c r="AD15"/>
  <c r="V17"/>
  <c r="Z17"/>
  <c r="AD17"/>
  <c r="E18"/>
  <c r="AA18" s="1"/>
  <c r="V18"/>
  <c r="AC18"/>
  <c r="X19"/>
  <c r="AA19"/>
  <c r="AE19"/>
  <c r="V20"/>
  <c r="F21"/>
  <c r="V21"/>
  <c r="F22"/>
  <c r="V22"/>
  <c r="F23"/>
  <c r="O23"/>
  <c r="V23"/>
  <c r="O24"/>
  <c r="R24"/>
  <c r="R25"/>
  <c r="R26" s="1"/>
  <c r="V24"/>
  <c r="O25"/>
  <c r="V25"/>
  <c r="O26"/>
  <c r="V26"/>
  <c r="AA28"/>
  <c r="X29"/>
  <c r="V30"/>
  <c r="Y30"/>
  <c r="J19" s="1"/>
  <c r="R32"/>
  <c r="T32"/>
  <c r="J20"/>
  <c r="Y32"/>
  <c r="J18"/>
  <c r="Z12" i="11"/>
  <c r="H14"/>
  <c r="H16"/>
  <c r="P24"/>
  <c r="O24" s="1"/>
  <c r="B22"/>
  <c r="G22"/>
  <c r="J22"/>
  <c r="O22"/>
  <c r="S22"/>
  <c r="T26"/>
  <c r="B31"/>
  <c r="B44"/>
  <c r="U44"/>
  <c r="Z44"/>
  <c r="P44" s="1"/>
  <c r="V44" s="1"/>
  <c r="J21" i="14" s="1"/>
  <c r="B45" i="11"/>
  <c r="U45"/>
  <c r="Z45"/>
  <c r="P45" s="1"/>
  <c r="B46"/>
  <c r="U46"/>
  <c r="Z46"/>
  <c r="P46" s="1"/>
  <c r="U47"/>
  <c r="Z14" i="2"/>
  <c r="H18"/>
  <c r="H20"/>
  <c r="B27"/>
  <c r="G27"/>
  <c r="J27"/>
  <c r="O27"/>
  <c r="S27"/>
  <c r="Z37"/>
  <c r="Z29" i="11" s="1"/>
  <c r="P29" s="1"/>
  <c r="Z38" i="2"/>
  <c r="Z31" i="11" s="1"/>
  <c r="H44" i="2"/>
  <c r="Q45"/>
  <c r="B45" s="1"/>
  <c r="Q46"/>
  <c r="B46" s="1"/>
  <c r="Q47"/>
  <c r="B47" s="1"/>
  <c r="H60"/>
  <c r="V9" i="6"/>
  <c r="T27"/>
  <c r="T30"/>
  <c r="M35"/>
  <c r="V44"/>
  <c r="T62"/>
  <c r="T65"/>
  <c r="M70"/>
  <c r="V9" i="1"/>
  <c r="V44"/>
  <c r="N19"/>
  <c r="N54"/>
  <c r="T27"/>
  <c r="T30"/>
  <c r="M35"/>
  <c r="T62"/>
  <c r="T65"/>
  <c r="M70"/>
  <c r="F5" i="4"/>
  <c r="F40"/>
  <c r="S5"/>
  <c r="Y4" i="2" s="1"/>
  <c r="S40" i="4"/>
  <c r="F7"/>
  <c r="D6" i="11" s="1"/>
  <c r="O7" i="4"/>
  <c r="O10" s="1"/>
  <c r="T6" i="2"/>
  <c r="S7" i="4"/>
  <c r="Y6" i="11"/>
  <c r="G10" i="4"/>
  <c r="G45"/>
  <c r="H10"/>
  <c r="I10"/>
  <c r="J10"/>
  <c r="K10"/>
  <c r="L10"/>
  <c r="M10"/>
  <c r="N10"/>
  <c r="P10"/>
  <c r="Q10"/>
  <c r="R10"/>
  <c r="S10"/>
  <c r="T10"/>
  <c r="U10"/>
  <c r="V10"/>
  <c r="W10"/>
  <c r="X10"/>
  <c r="G12"/>
  <c r="G7" i="6" s="1"/>
  <c r="G42" s="1"/>
  <c r="S12" i="4"/>
  <c r="S7" i="1"/>
  <c r="S42" s="1"/>
  <c r="G14" i="4"/>
  <c r="G9" i="6" s="1"/>
  <c r="G44" s="1"/>
  <c r="O14" i="4"/>
  <c r="O9" i="6"/>
  <c r="O44" s="1"/>
  <c r="O9" i="1"/>
  <c r="O44" s="1"/>
  <c r="N17" i="4"/>
  <c r="N52" s="1"/>
  <c r="N19"/>
  <c r="N54" s="1"/>
  <c r="T21"/>
  <c r="T56" s="1"/>
  <c r="E26"/>
  <c r="T26"/>
  <c r="T29" s="1"/>
  <c r="T64" s="1"/>
  <c r="F42"/>
  <c r="O42"/>
  <c r="S42"/>
  <c r="V49"/>
  <c r="K2" i="10"/>
  <c r="E9" s="1"/>
  <c r="L2"/>
  <c r="L3"/>
  <c r="E8" s="1"/>
  <c r="AA10" s="1"/>
  <c r="T3"/>
  <c r="V3"/>
  <c r="T4"/>
  <c r="V4"/>
  <c r="T5"/>
  <c r="V5"/>
  <c r="T6"/>
  <c r="V6"/>
  <c r="T7"/>
  <c r="V7"/>
  <c r="Z7"/>
  <c r="T8"/>
  <c r="V8"/>
  <c r="T9"/>
  <c r="V9"/>
  <c r="T10"/>
  <c r="V10"/>
  <c r="T11"/>
  <c r="V11"/>
  <c r="W11"/>
  <c r="T12"/>
  <c r="V12"/>
  <c r="F13"/>
  <c r="T13"/>
  <c r="V13"/>
  <c r="T14"/>
  <c r="V14"/>
  <c r="W14"/>
  <c r="W15" s="1"/>
  <c r="X14" s="1"/>
  <c r="I14" s="1"/>
  <c r="T15"/>
  <c r="V15"/>
  <c r="T16"/>
  <c r="V16"/>
  <c r="T17"/>
  <c r="V17"/>
  <c r="T18"/>
  <c r="V18"/>
  <c r="T19"/>
  <c r="V19"/>
  <c r="T20"/>
  <c r="V20"/>
  <c r="L21"/>
  <c r="N21"/>
  <c r="P21"/>
  <c r="T21"/>
  <c r="V21"/>
  <c r="L22"/>
  <c r="N22"/>
  <c r="P22"/>
  <c r="T22"/>
  <c r="V22"/>
  <c r="L23"/>
  <c r="N23"/>
  <c r="P23"/>
  <c r="T23"/>
  <c r="V23"/>
  <c r="L24"/>
  <c r="N24"/>
  <c r="P24"/>
  <c r="T24"/>
  <c r="V24"/>
  <c r="F25"/>
  <c r="Z39" i="2" s="1"/>
  <c r="L25" i="10"/>
  <c r="N25"/>
  <c r="P25"/>
  <c r="T25"/>
  <c r="V25"/>
  <c r="L26"/>
  <c r="N26"/>
  <c r="P26"/>
  <c r="T26"/>
  <c r="V26"/>
  <c r="L27"/>
  <c r="N27"/>
  <c r="P27"/>
  <c r="T27"/>
  <c r="V27"/>
  <c r="T28"/>
  <c r="V28"/>
  <c r="T29"/>
  <c r="V29"/>
  <c r="N30"/>
  <c r="T30"/>
  <c r="V30"/>
  <c r="T31"/>
  <c r="V31"/>
  <c r="A32"/>
  <c r="F32"/>
  <c r="T32"/>
  <c r="V32"/>
  <c r="T33"/>
  <c r="V33"/>
  <c r="T34"/>
  <c r="V34"/>
  <c r="T35"/>
  <c r="V35"/>
  <c r="T36"/>
  <c r="V36"/>
  <c r="T37"/>
  <c r="V37"/>
  <c r="T38"/>
  <c r="V38"/>
  <c r="T39"/>
  <c r="V39"/>
  <c r="T40"/>
  <c r="V40"/>
  <c r="T41"/>
  <c r="V41"/>
  <c r="T42"/>
  <c r="V42"/>
  <c r="T43"/>
  <c r="V43"/>
  <c r="T44"/>
  <c r="V44"/>
  <c r="T45"/>
  <c r="V45"/>
  <c r="T46"/>
  <c r="V46"/>
  <c r="T47"/>
  <c r="V47"/>
  <c r="T48"/>
  <c r="V48"/>
  <c r="T49"/>
  <c r="V49"/>
  <c r="T50"/>
  <c r="V50"/>
  <c r="T51"/>
  <c r="V51"/>
  <c r="T52"/>
  <c r="V52"/>
  <c r="T53"/>
  <c r="V53"/>
  <c r="T54"/>
  <c r="V54"/>
  <c r="T55"/>
  <c r="V55"/>
  <c r="T56"/>
  <c r="V56"/>
  <c r="T57"/>
  <c r="V57"/>
  <c r="T58"/>
  <c r="V58"/>
  <c r="T59"/>
  <c r="V59"/>
  <c r="T60"/>
  <c r="V60"/>
  <c r="T61"/>
  <c r="V61"/>
  <c r="T62"/>
  <c r="V62"/>
  <c r="T63"/>
  <c r="V63"/>
  <c r="T64"/>
  <c r="V64"/>
  <c r="T65"/>
  <c r="V65"/>
  <c r="T66"/>
  <c r="V66"/>
  <c r="T67"/>
  <c r="V67"/>
  <c r="T68"/>
  <c r="V68"/>
  <c r="T69"/>
  <c r="V69"/>
  <c r="T70"/>
  <c r="V70"/>
  <c r="T71"/>
  <c r="V71"/>
  <c r="T72"/>
  <c r="V72"/>
  <c r="T73"/>
  <c r="V73"/>
  <c r="T74"/>
  <c r="V74"/>
  <c r="T75"/>
  <c r="V75"/>
  <c r="T76"/>
  <c r="V76"/>
  <c r="T77"/>
  <c r="V77"/>
  <c r="T78"/>
  <c r="V78"/>
  <c r="T79"/>
  <c r="V79"/>
  <c r="T80"/>
  <c r="V80"/>
  <c r="T81"/>
  <c r="V81"/>
  <c r="T82"/>
  <c r="V82"/>
  <c r="T83"/>
  <c r="V83"/>
  <c r="T84"/>
  <c r="V84"/>
  <c r="T85"/>
  <c r="V85"/>
  <c r="T86"/>
  <c r="V86"/>
  <c r="T87"/>
  <c r="V87"/>
  <c r="T88"/>
  <c r="V88"/>
  <c r="T89"/>
  <c r="V89"/>
  <c r="T90"/>
  <c r="V90"/>
  <c r="T91"/>
  <c r="V91"/>
  <c r="T92"/>
  <c r="V92"/>
  <c r="T93"/>
  <c r="V93"/>
  <c r="T94"/>
  <c r="V94"/>
  <c r="T95"/>
  <c r="V95"/>
  <c r="T96"/>
  <c r="V96"/>
  <c r="T97"/>
  <c r="V97"/>
  <c r="T98"/>
  <c r="V98"/>
  <c r="T99"/>
  <c r="V99"/>
  <c r="T100"/>
  <c r="V100"/>
  <c r="T101"/>
  <c r="V101"/>
  <c r="T102"/>
  <c r="V102"/>
  <c r="T103"/>
  <c r="V103"/>
  <c r="T104"/>
  <c r="V104"/>
  <c r="T105"/>
  <c r="V105"/>
  <c r="T106"/>
  <c r="V106"/>
  <c r="T107"/>
  <c r="V107"/>
  <c r="T108"/>
  <c r="V108"/>
  <c r="T109"/>
  <c r="V109"/>
  <c r="T110"/>
  <c r="V110"/>
  <c r="T111"/>
  <c r="V111"/>
  <c r="T112"/>
  <c r="V112"/>
  <c r="T113"/>
  <c r="V113"/>
  <c r="T114"/>
  <c r="V114"/>
  <c r="T115"/>
  <c r="V115"/>
  <c r="T116"/>
  <c r="V116"/>
  <c r="T117"/>
  <c r="V117"/>
  <c r="T118"/>
  <c r="V118"/>
  <c r="T119"/>
  <c r="V119"/>
  <c r="T120"/>
  <c r="V120"/>
  <c r="T121"/>
  <c r="V121"/>
  <c r="T122"/>
  <c r="V122"/>
  <c r="T123"/>
  <c r="V123"/>
  <c r="T124"/>
  <c r="V124"/>
  <c r="T125"/>
  <c r="V125"/>
  <c r="T126"/>
  <c r="V126"/>
  <c r="T127"/>
  <c r="V127"/>
  <c r="T128"/>
  <c r="V128"/>
  <c r="T129"/>
  <c r="V129"/>
  <c r="T130"/>
  <c r="V130"/>
  <c r="T131"/>
  <c r="V131"/>
  <c r="T132"/>
  <c r="V132"/>
  <c r="T133"/>
  <c r="V133"/>
  <c r="T134"/>
  <c r="V134"/>
  <c r="T135"/>
  <c r="V135"/>
  <c r="T136"/>
  <c r="V136"/>
  <c r="T137"/>
  <c r="V137"/>
  <c r="T138"/>
  <c r="V138"/>
  <c r="T139"/>
  <c r="V139"/>
  <c r="T140"/>
  <c r="V140"/>
  <c r="T141"/>
  <c r="V141"/>
  <c r="T142"/>
  <c r="V142"/>
  <c r="T143"/>
  <c r="V143"/>
  <c r="T144"/>
  <c r="V144"/>
  <c r="T145"/>
  <c r="V145"/>
  <c r="T146"/>
  <c r="V146"/>
  <c r="T147"/>
  <c r="V147"/>
  <c r="T148"/>
  <c r="V148"/>
  <c r="T149"/>
  <c r="V149"/>
  <c r="T150"/>
  <c r="V150"/>
  <c r="T151"/>
  <c r="V151"/>
  <c r="T152"/>
  <c r="V152"/>
  <c r="T153"/>
  <c r="V153"/>
  <c r="T154"/>
  <c r="V154"/>
  <c r="T155"/>
  <c r="V155"/>
  <c r="T156"/>
  <c r="V156"/>
  <c r="T157"/>
  <c r="V157"/>
  <c r="T158"/>
  <c r="V158"/>
  <c r="T159"/>
  <c r="V159"/>
  <c r="T160"/>
  <c r="V160"/>
  <c r="T161"/>
  <c r="V161"/>
  <c r="T162"/>
  <c r="V162"/>
  <c r="T163"/>
  <c r="V163"/>
  <c r="T164"/>
  <c r="V164"/>
  <c r="T165"/>
  <c r="V165"/>
  <c r="T166"/>
  <c r="V166"/>
  <c r="T167"/>
  <c r="V167"/>
  <c r="T168"/>
  <c r="V168"/>
  <c r="T169"/>
  <c r="V169"/>
  <c r="T170"/>
  <c r="V170"/>
  <c r="T171"/>
  <c r="V171"/>
  <c r="T172"/>
  <c r="V172"/>
  <c r="T173"/>
  <c r="V173"/>
  <c r="T174"/>
  <c r="V174"/>
  <c r="T175"/>
  <c r="V175"/>
  <c r="T176"/>
  <c r="V176"/>
  <c r="T177"/>
  <c r="V177"/>
  <c r="T178"/>
  <c r="V178"/>
  <c r="T179"/>
  <c r="V179"/>
  <c r="T180"/>
  <c r="V180"/>
  <c r="T181"/>
  <c r="V181"/>
  <c r="T182"/>
  <c r="V182"/>
  <c r="T183"/>
  <c r="V183"/>
  <c r="T184"/>
  <c r="V184"/>
  <c r="T185"/>
  <c r="V185"/>
  <c r="T186"/>
  <c r="V186"/>
  <c r="T187"/>
  <c r="V187"/>
  <c r="T188"/>
  <c r="V188"/>
  <c r="T189"/>
  <c r="V189"/>
  <c r="T190"/>
  <c r="V190"/>
  <c r="T191"/>
  <c r="V191"/>
  <c r="T192"/>
  <c r="V192"/>
  <c r="T193"/>
  <c r="V193"/>
  <c r="T194"/>
  <c r="V194"/>
  <c r="T195"/>
  <c r="V195"/>
  <c r="T196"/>
  <c r="V196"/>
  <c r="T197"/>
  <c r="V197"/>
  <c r="T198"/>
  <c r="V198"/>
  <c r="T199"/>
  <c r="V199"/>
  <c r="T200"/>
  <c r="V200"/>
  <c r="T201"/>
  <c r="V201"/>
  <c r="T202"/>
  <c r="V202"/>
  <c r="T203"/>
  <c r="V203"/>
  <c r="T204"/>
  <c r="V204"/>
  <c r="T205"/>
  <c r="V205"/>
  <c r="T206"/>
  <c r="V206"/>
  <c r="T207"/>
  <c r="V207"/>
  <c r="T208"/>
  <c r="V208"/>
  <c r="T209"/>
  <c r="V209"/>
  <c r="T210"/>
  <c r="V210"/>
  <c r="T211"/>
  <c r="V211"/>
  <c r="T212"/>
  <c r="V212"/>
  <c r="T213"/>
  <c r="V213"/>
  <c r="T214"/>
  <c r="V214"/>
  <c r="T215"/>
  <c r="V215"/>
  <c r="T216"/>
  <c r="V216"/>
  <c r="T217"/>
  <c r="V217"/>
  <c r="T218"/>
  <c r="V218"/>
  <c r="T219"/>
  <c r="V219"/>
  <c r="T220"/>
  <c r="V220"/>
  <c r="T221"/>
  <c r="V221"/>
  <c r="T222"/>
  <c r="V222"/>
  <c r="T223"/>
  <c r="V223"/>
  <c r="T224"/>
  <c r="V224"/>
  <c r="T225"/>
  <c r="V225"/>
  <c r="T226"/>
  <c r="V226"/>
  <c r="T227"/>
  <c r="V227"/>
  <c r="T228"/>
  <c r="V228"/>
  <c r="T229"/>
  <c r="V229"/>
  <c r="T230"/>
  <c r="V230"/>
  <c r="T231"/>
  <c r="V231"/>
  <c r="T232"/>
  <c r="V232"/>
  <c r="T233"/>
  <c r="V233"/>
  <c r="T234"/>
  <c r="V234"/>
  <c r="T235"/>
  <c r="V235"/>
  <c r="T236"/>
  <c r="V236"/>
  <c r="T237"/>
  <c r="V237"/>
  <c r="T238"/>
  <c r="V238"/>
  <c r="T239"/>
  <c r="V239"/>
  <c r="T240"/>
  <c r="V240"/>
  <c r="T241"/>
  <c r="V241"/>
  <c r="T242"/>
  <c r="V242"/>
  <c r="T243"/>
  <c r="V243"/>
  <c r="T244"/>
  <c r="V244"/>
  <c r="T245"/>
  <c r="V245"/>
  <c r="T246"/>
  <c r="V246"/>
  <c r="T247"/>
  <c r="V247"/>
  <c r="T248"/>
  <c r="V248"/>
  <c r="T249"/>
  <c r="V249"/>
  <c r="T250"/>
  <c r="V250"/>
  <c r="T251"/>
  <c r="V251"/>
  <c r="T252"/>
  <c r="V252"/>
  <c r="T253"/>
  <c r="V253"/>
  <c r="T254"/>
  <c r="V254"/>
  <c r="T255"/>
  <c r="V255"/>
  <c r="T256"/>
  <c r="V256"/>
  <c r="T257"/>
  <c r="V257"/>
  <c r="T258"/>
  <c r="V258"/>
  <c r="T259"/>
  <c r="V259"/>
  <c r="T260"/>
  <c r="V260"/>
  <c r="T261"/>
  <c r="V261"/>
  <c r="T262"/>
  <c r="V262"/>
  <c r="T263"/>
  <c r="V263"/>
  <c r="T264"/>
  <c r="V264"/>
  <c r="T265"/>
  <c r="V265"/>
  <c r="T266"/>
  <c r="V266"/>
  <c r="T267"/>
  <c r="V267"/>
  <c r="T268"/>
  <c r="V268"/>
  <c r="T269"/>
  <c r="V269"/>
  <c r="T270"/>
  <c r="V270"/>
  <c r="T271"/>
  <c r="V271"/>
  <c r="T272"/>
  <c r="V272"/>
  <c r="T273"/>
  <c r="V273"/>
  <c r="T274"/>
  <c r="V274"/>
  <c r="T275"/>
  <c r="V275"/>
  <c r="T276"/>
  <c r="V276"/>
  <c r="T277"/>
  <c r="V277"/>
  <c r="T278"/>
  <c r="V278"/>
  <c r="T279"/>
  <c r="V279"/>
  <c r="T280"/>
  <c r="V280"/>
  <c r="T281"/>
  <c r="V281"/>
  <c r="T282"/>
  <c r="V282"/>
  <c r="T283"/>
  <c r="V283"/>
  <c r="T284"/>
  <c r="V284"/>
  <c r="T285"/>
  <c r="V285"/>
  <c r="T286"/>
  <c r="V286"/>
  <c r="T287"/>
  <c r="V287"/>
  <c r="T288"/>
  <c r="V288"/>
  <c r="T289"/>
  <c r="V289"/>
  <c r="T290"/>
  <c r="V290"/>
  <c r="T291"/>
  <c r="V291"/>
  <c r="T292"/>
  <c r="V292"/>
  <c r="T293"/>
  <c r="V293"/>
  <c r="T294"/>
  <c r="V294"/>
  <c r="T295"/>
  <c r="V295"/>
  <c r="T296"/>
  <c r="V296"/>
  <c r="T297"/>
  <c r="V297"/>
  <c r="T298"/>
  <c r="V298"/>
  <c r="T299"/>
  <c r="V299"/>
  <c r="T300"/>
  <c r="V300"/>
  <c r="T301"/>
  <c r="V301"/>
  <c r="T302"/>
  <c r="V302"/>
  <c r="T303"/>
  <c r="V303"/>
  <c r="T304"/>
  <c r="V304"/>
  <c r="T305"/>
  <c r="V305"/>
  <c r="T306"/>
  <c r="V306"/>
  <c r="T307"/>
  <c r="V307"/>
  <c r="T308"/>
  <c r="V308"/>
  <c r="T309"/>
  <c r="V309"/>
  <c r="T310"/>
  <c r="V310"/>
  <c r="T311"/>
  <c r="V311"/>
  <c r="T312"/>
  <c r="V312"/>
  <c r="T313"/>
  <c r="V313"/>
  <c r="T314"/>
  <c r="V314"/>
  <c r="T315"/>
  <c r="V315"/>
  <c r="T316"/>
  <c r="V316"/>
  <c r="T317"/>
  <c r="V317"/>
  <c r="T318"/>
  <c r="V318"/>
  <c r="T319"/>
  <c r="V319"/>
  <c r="T320"/>
  <c r="V320"/>
  <c r="T321"/>
  <c r="V321"/>
  <c r="T322"/>
  <c r="V322"/>
  <c r="T323"/>
  <c r="V323"/>
  <c r="T324"/>
  <c r="V324"/>
  <c r="T325"/>
  <c r="V325"/>
  <c r="T326"/>
  <c r="V326"/>
  <c r="T327"/>
  <c r="V327"/>
  <c r="T328"/>
  <c r="V328"/>
  <c r="T329"/>
  <c r="V329"/>
  <c r="T330"/>
  <c r="V330"/>
  <c r="T331"/>
  <c r="V331"/>
  <c r="T332"/>
  <c r="V332"/>
  <c r="T333"/>
  <c r="V333"/>
  <c r="T334"/>
  <c r="V334"/>
  <c r="T335"/>
  <c r="V335"/>
  <c r="T336"/>
  <c r="V336"/>
  <c r="T337"/>
  <c r="V337"/>
  <c r="T338"/>
  <c r="V338"/>
  <c r="T339"/>
  <c r="V339"/>
  <c r="T340"/>
  <c r="V340"/>
  <c r="T341"/>
  <c r="V341"/>
  <c r="T342"/>
  <c r="V342"/>
  <c r="T343"/>
  <c r="V343"/>
  <c r="T344"/>
  <c r="V344"/>
  <c r="T345"/>
  <c r="V345"/>
  <c r="T346"/>
  <c r="V346"/>
  <c r="T347"/>
  <c r="V347"/>
  <c r="T348"/>
  <c r="V348"/>
  <c r="T349"/>
  <c r="V349"/>
  <c r="T350"/>
  <c r="V350"/>
  <c r="T351"/>
  <c r="V351"/>
  <c r="T352"/>
  <c r="V352"/>
  <c r="T353"/>
  <c r="V353"/>
  <c r="T354"/>
  <c r="V354"/>
  <c r="T355"/>
  <c r="V355"/>
  <c r="T356"/>
  <c r="V356"/>
  <c r="T357"/>
  <c r="V357"/>
  <c r="T358"/>
  <c r="V358"/>
  <c r="T359"/>
  <c r="V359"/>
  <c r="T360"/>
  <c r="V360"/>
  <c r="T361"/>
  <c r="V361"/>
  <c r="T362"/>
  <c r="V362"/>
  <c r="T363"/>
  <c r="V363"/>
  <c r="T364"/>
  <c r="V364"/>
  <c r="T365"/>
  <c r="V365"/>
  <c r="T366"/>
  <c r="V366"/>
  <c r="T367"/>
  <c r="V367"/>
  <c r="T368"/>
  <c r="V368"/>
  <c r="T369"/>
  <c r="V369"/>
  <c r="T370"/>
  <c r="V370"/>
  <c r="T371"/>
  <c r="V371"/>
  <c r="T372"/>
  <c r="V372"/>
  <c r="T373"/>
  <c r="V373"/>
  <c r="T374"/>
  <c r="V374"/>
  <c r="T375"/>
  <c r="V375"/>
  <c r="T376"/>
  <c r="V376"/>
  <c r="T377"/>
  <c r="V377"/>
  <c r="T378"/>
  <c r="V378"/>
  <c r="T379"/>
  <c r="V379"/>
  <c r="T380"/>
  <c r="V380"/>
  <c r="T381"/>
  <c r="V381"/>
  <c r="T382"/>
  <c r="V382"/>
  <c r="T383"/>
  <c r="V383"/>
  <c r="T384"/>
  <c r="V384"/>
  <c r="T385"/>
  <c r="V385"/>
  <c r="T386"/>
  <c r="V386"/>
  <c r="T387"/>
  <c r="V387"/>
  <c r="T388"/>
  <c r="V388"/>
  <c r="T389"/>
  <c r="V389"/>
  <c r="T390"/>
  <c r="V390"/>
  <c r="T391"/>
  <c r="V391"/>
  <c r="T392"/>
  <c r="V392"/>
  <c r="T393"/>
  <c r="V393"/>
  <c r="T394"/>
  <c r="V394"/>
  <c r="T395"/>
  <c r="V395"/>
  <c r="T396"/>
  <c r="V396"/>
  <c r="T397"/>
  <c r="V397"/>
  <c r="T398"/>
  <c r="V398"/>
  <c r="T399"/>
  <c r="V399"/>
  <c r="T400"/>
  <c r="V400"/>
  <c r="T401"/>
  <c r="V401"/>
  <c r="T402"/>
  <c r="V402"/>
  <c r="T403"/>
  <c r="V403"/>
  <c r="T404"/>
  <c r="V404"/>
  <c r="T405"/>
  <c r="V405"/>
  <c r="T406"/>
  <c r="V406"/>
  <c r="T407"/>
  <c r="V407"/>
  <c r="T408"/>
  <c r="V408"/>
  <c r="T409"/>
  <c r="V409"/>
  <c r="T410"/>
  <c r="V410"/>
  <c r="T411"/>
  <c r="V411"/>
  <c r="T412"/>
  <c r="V412"/>
  <c r="T413"/>
  <c r="V413"/>
  <c r="T414"/>
  <c r="V414"/>
  <c r="T415"/>
  <c r="V415"/>
  <c r="T416"/>
  <c r="V416"/>
  <c r="T417"/>
  <c r="V417"/>
  <c r="T418"/>
  <c r="V418"/>
  <c r="T419"/>
  <c r="V419"/>
  <c r="T420"/>
  <c r="V420"/>
  <c r="T421"/>
  <c r="V421"/>
  <c r="T422"/>
  <c r="V422"/>
  <c r="T423"/>
  <c r="V423"/>
  <c r="T424"/>
  <c r="V424"/>
  <c r="T425"/>
  <c r="V425"/>
  <c r="T426"/>
  <c r="V426"/>
  <c r="T427"/>
  <c r="V427"/>
  <c r="T428"/>
  <c r="V428"/>
  <c r="T429"/>
  <c r="V429"/>
  <c r="T430"/>
  <c r="V430"/>
  <c r="T431"/>
  <c r="V431"/>
  <c r="T432"/>
  <c r="V432"/>
  <c r="T433"/>
  <c r="V433"/>
  <c r="T434"/>
  <c r="V434"/>
  <c r="T435"/>
  <c r="V435"/>
  <c r="T436"/>
  <c r="V436"/>
  <c r="T437"/>
  <c r="V437"/>
  <c r="T438"/>
  <c r="V438"/>
  <c r="T439"/>
  <c r="V439"/>
  <c r="T440"/>
  <c r="V440"/>
  <c r="T441"/>
  <c r="V441"/>
  <c r="T442"/>
  <c r="V442"/>
  <c r="T443"/>
  <c r="V443"/>
  <c r="T444"/>
  <c r="V444"/>
  <c r="T445"/>
  <c r="V445"/>
  <c r="T446"/>
  <c r="V446"/>
  <c r="T447"/>
  <c r="V447"/>
  <c r="T448"/>
  <c r="V448"/>
  <c r="T449"/>
  <c r="V449"/>
  <c r="T450"/>
  <c r="V450"/>
  <c r="T451"/>
  <c r="V451"/>
  <c r="T452"/>
  <c r="V452"/>
  <c r="T453"/>
  <c r="V453"/>
  <c r="T454"/>
  <c r="V454"/>
  <c r="T455"/>
  <c r="V455"/>
  <c r="T456"/>
  <c r="V456"/>
  <c r="T457"/>
  <c r="V457"/>
  <c r="T458"/>
  <c r="V458"/>
  <c r="T459"/>
  <c r="V459"/>
  <c r="T460"/>
  <c r="V460"/>
  <c r="T461"/>
  <c r="V461"/>
  <c r="T462"/>
  <c r="V462"/>
  <c r="T463"/>
  <c r="V463"/>
  <c r="T464"/>
  <c r="V464"/>
  <c r="T465"/>
  <c r="V465"/>
  <c r="T466"/>
  <c r="V466"/>
  <c r="T467"/>
  <c r="V467"/>
  <c r="T468"/>
  <c r="V468"/>
  <c r="T469"/>
  <c r="V469"/>
  <c r="T470"/>
  <c r="V470"/>
  <c r="T471"/>
  <c r="V471"/>
  <c r="T472"/>
  <c r="V472"/>
  <c r="T473"/>
  <c r="V473"/>
  <c r="T474"/>
  <c r="V474"/>
  <c r="T475"/>
  <c r="V475"/>
  <c r="T476"/>
  <c r="V476"/>
  <c r="T477"/>
  <c r="V477"/>
  <c r="T478"/>
  <c r="V478"/>
  <c r="T479"/>
  <c r="V479"/>
  <c r="T480"/>
  <c r="V480"/>
  <c r="T481"/>
  <c r="V481"/>
  <c r="T482"/>
  <c r="V482"/>
  <c r="T483"/>
  <c r="V483"/>
  <c r="T484"/>
  <c r="V484"/>
  <c r="T485"/>
  <c r="V485"/>
  <c r="T486"/>
  <c r="V486"/>
  <c r="T487"/>
  <c r="V487"/>
  <c r="T488"/>
  <c r="V488"/>
  <c r="T489"/>
  <c r="V489"/>
  <c r="T490"/>
  <c r="V490"/>
  <c r="T491"/>
  <c r="V491"/>
  <c r="T492"/>
  <c r="V492"/>
  <c r="T493"/>
  <c r="V493"/>
  <c r="T494"/>
  <c r="V494"/>
  <c r="T495"/>
  <c r="V495"/>
  <c r="T496"/>
  <c r="V496"/>
  <c r="T497"/>
  <c r="V497"/>
  <c r="T498"/>
  <c r="V498"/>
  <c r="T499"/>
  <c r="V499"/>
  <c r="T500"/>
  <c r="V500"/>
  <c r="T501"/>
  <c r="V501"/>
  <c r="T502"/>
  <c r="V502"/>
  <c r="T503"/>
  <c r="V503"/>
  <c r="T504"/>
  <c r="V504"/>
  <c r="T505"/>
  <c r="V505"/>
  <c r="T506"/>
  <c r="V506"/>
  <c r="T507"/>
  <c r="V507"/>
  <c r="T508"/>
  <c r="V508"/>
  <c r="T509"/>
  <c r="V509"/>
  <c r="T510"/>
  <c r="V510"/>
  <c r="T511"/>
  <c r="V511"/>
  <c r="T512"/>
  <c r="V512"/>
  <c r="T513"/>
  <c r="V513"/>
  <c r="T514"/>
  <c r="V514"/>
  <c r="T515"/>
  <c r="V515"/>
  <c r="T516"/>
  <c r="V516"/>
  <c r="T517"/>
  <c r="V517"/>
  <c r="T518"/>
  <c r="V518"/>
  <c r="T519"/>
  <c r="V519"/>
  <c r="T520"/>
  <c r="V520"/>
  <c r="T521"/>
  <c r="V521"/>
  <c r="T522"/>
  <c r="V522"/>
  <c r="T523"/>
  <c r="V523"/>
  <c r="T524"/>
  <c r="V524"/>
  <c r="T525"/>
  <c r="V525"/>
  <c r="T526"/>
  <c r="V526"/>
  <c r="T527"/>
  <c r="V527"/>
  <c r="T528"/>
  <c r="V528"/>
  <c r="T529"/>
  <c r="V529"/>
  <c r="T530"/>
  <c r="V530"/>
  <c r="T531"/>
  <c r="V531"/>
  <c r="T532"/>
  <c r="V532"/>
  <c r="T533"/>
  <c r="V533"/>
  <c r="T534"/>
  <c r="V534"/>
  <c r="T535"/>
  <c r="V535"/>
  <c r="T536"/>
  <c r="V536"/>
  <c r="T537"/>
  <c r="V537"/>
  <c r="T538"/>
  <c r="V538"/>
  <c r="T539"/>
  <c r="V539"/>
  <c r="T540"/>
  <c r="V540"/>
  <c r="T541"/>
  <c r="V541"/>
  <c r="T542"/>
  <c r="V542"/>
  <c r="T543"/>
  <c r="V543"/>
  <c r="T544"/>
  <c r="V544"/>
  <c r="T545"/>
  <c r="V545"/>
  <c r="T546"/>
  <c r="V546"/>
  <c r="T547"/>
  <c r="V547"/>
  <c r="T548"/>
  <c r="V548"/>
  <c r="T549"/>
  <c r="V549"/>
  <c r="T550"/>
  <c r="V550"/>
  <c r="T551"/>
  <c r="V551"/>
  <c r="T552"/>
  <c r="V552"/>
  <c r="T553"/>
  <c r="V553"/>
  <c r="T554"/>
  <c r="V554"/>
  <c r="T555"/>
  <c r="V555"/>
  <c r="T556"/>
  <c r="V556"/>
  <c r="T557"/>
  <c r="V557"/>
  <c r="T558"/>
  <c r="V558"/>
  <c r="T559"/>
  <c r="V559"/>
  <c r="T560"/>
  <c r="V560"/>
  <c r="T561"/>
  <c r="V561"/>
  <c r="T562"/>
  <c r="V562"/>
  <c r="T563"/>
  <c r="V563"/>
  <c r="T564"/>
  <c r="V564"/>
  <c r="T565"/>
  <c r="V565"/>
  <c r="T566"/>
  <c r="V566"/>
  <c r="T567"/>
  <c r="V567"/>
  <c r="T568"/>
  <c r="V568"/>
  <c r="T569"/>
  <c r="V569"/>
  <c r="T570"/>
  <c r="V570"/>
  <c r="T571"/>
  <c r="V571"/>
  <c r="T572"/>
  <c r="V572"/>
  <c r="T573"/>
  <c r="V573"/>
  <c r="T574"/>
  <c r="V574"/>
  <c r="T575"/>
  <c r="V575"/>
  <c r="T576"/>
  <c r="V576"/>
  <c r="T577"/>
  <c r="V577"/>
  <c r="T578"/>
  <c r="V578"/>
  <c r="T579"/>
  <c r="V579"/>
  <c r="T580"/>
  <c r="V580"/>
  <c r="T581"/>
  <c r="V581"/>
  <c r="T582"/>
  <c r="V582"/>
  <c r="T583"/>
  <c r="V583"/>
  <c r="T584"/>
  <c r="V584"/>
  <c r="T585"/>
  <c r="V585"/>
  <c r="T586"/>
  <c r="V586"/>
  <c r="T587"/>
  <c r="V587"/>
  <c r="T588"/>
  <c r="V588"/>
  <c r="T589"/>
  <c r="V589"/>
  <c r="T590"/>
  <c r="V590"/>
  <c r="T591"/>
  <c r="V591"/>
  <c r="T592"/>
  <c r="V592"/>
  <c r="T593"/>
  <c r="V593"/>
  <c r="T594"/>
  <c r="V594"/>
  <c r="T595"/>
  <c r="V595"/>
  <c r="T596"/>
  <c r="V596"/>
  <c r="T597"/>
  <c r="V597"/>
  <c r="T598"/>
  <c r="V598"/>
  <c r="T599"/>
  <c r="V599"/>
  <c r="T600"/>
  <c r="V600"/>
  <c r="T601"/>
  <c r="V601"/>
  <c r="T602"/>
  <c r="V602"/>
  <c r="T603"/>
  <c r="V603"/>
  <c r="T604"/>
  <c r="V604"/>
  <c r="T605"/>
  <c r="V605"/>
  <c r="T606"/>
  <c r="V606"/>
  <c r="T607"/>
  <c r="V607"/>
  <c r="T608"/>
  <c r="V608"/>
  <c r="T609"/>
  <c r="V609"/>
  <c r="T610"/>
  <c r="V610"/>
  <c r="T611"/>
  <c r="V611"/>
  <c r="T612"/>
  <c r="V612"/>
  <c r="T613"/>
  <c r="V613"/>
  <c r="T614"/>
  <c r="V614"/>
  <c r="T615"/>
  <c r="V615"/>
  <c r="T616"/>
  <c r="V616"/>
  <c r="T617"/>
  <c r="V617"/>
  <c r="T618"/>
  <c r="V618"/>
  <c r="T619"/>
  <c r="V619"/>
  <c r="T620"/>
  <c r="V620"/>
  <c r="T621"/>
  <c r="V621"/>
  <c r="T622"/>
  <c r="V622"/>
  <c r="T623"/>
  <c r="V623"/>
  <c r="T624"/>
  <c r="V624"/>
  <c r="T625"/>
  <c r="V625"/>
  <c r="T626"/>
  <c r="V626"/>
  <c r="T627"/>
  <c r="V627"/>
  <c r="T628"/>
  <c r="V628"/>
  <c r="T629"/>
  <c r="V629"/>
  <c r="T630"/>
  <c r="V630"/>
  <c r="T631"/>
  <c r="V631"/>
  <c r="T632"/>
  <c r="V632"/>
  <c r="T633"/>
  <c r="V633"/>
  <c r="T634"/>
  <c r="V634"/>
  <c r="T635"/>
  <c r="V635"/>
  <c r="T636"/>
  <c r="V636"/>
  <c r="T637"/>
  <c r="V637"/>
  <c r="T638"/>
  <c r="V638"/>
  <c r="T639"/>
  <c r="V639"/>
  <c r="T640"/>
  <c r="V640"/>
  <c r="T641"/>
  <c r="V641"/>
  <c r="T642"/>
  <c r="V642"/>
  <c r="T643"/>
  <c r="V643"/>
  <c r="T644"/>
  <c r="V644"/>
  <c r="T645"/>
  <c r="V645"/>
  <c r="T646"/>
  <c r="V646"/>
  <c r="T647"/>
  <c r="V647"/>
  <c r="T648"/>
  <c r="V648"/>
  <c r="T649"/>
  <c r="V649"/>
  <c r="T650"/>
  <c r="V650"/>
  <c r="T651"/>
  <c r="V651"/>
  <c r="T652"/>
  <c r="V652"/>
  <c r="T653"/>
  <c r="V653"/>
  <c r="T654"/>
  <c r="V654"/>
  <c r="T655"/>
  <c r="V655"/>
  <c r="T656"/>
  <c r="V656"/>
  <c r="T657"/>
  <c r="V657"/>
  <c r="T658"/>
  <c r="V658"/>
  <c r="T659"/>
  <c r="V659"/>
  <c r="T660"/>
  <c r="V660"/>
  <c r="T661"/>
  <c r="V661"/>
  <c r="T662"/>
  <c r="V662"/>
  <c r="T663"/>
  <c r="V663"/>
  <c r="T664"/>
  <c r="V664"/>
  <c r="T665"/>
  <c r="V665"/>
  <c r="T666"/>
  <c r="V666"/>
  <c r="T667"/>
  <c r="V667"/>
  <c r="T668"/>
  <c r="V668"/>
  <c r="T669"/>
  <c r="V669"/>
  <c r="T670"/>
  <c r="V670"/>
  <c r="T671"/>
  <c r="V671"/>
  <c r="T672"/>
  <c r="V672"/>
  <c r="T673"/>
  <c r="V673"/>
  <c r="T674"/>
  <c r="V674"/>
  <c r="T675"/>
  <c r="V675"/>
  <c r="T676"/>
  <c r="V676"/>
  <c r="T677"/>
  <c r="V677"/>
  <c r="T678"/>
  <c r="V678"/>
  <c r="T679"/>
  <c r="V679"/>
  <c r="T680"/>
  <c r="V680"/>
  <c r="T681"/>
  <c r="V681"/>
  <c r="T682"/>
  <c r="V682"/>
  <c r="T683"/>
  <c r="V683"/>
  <c r="T684"/>
  <c r="V684"/>
  <c r="T685"/>
  <c r="V685"/>
  <c r="T686"/>
  <c r="V686"/>
  <c r="T687"/>
  <c r="V687"/>
  <c r="T688"/>
  <c r="V688"/>
  <c r="T689"/>
  <c r="V689"/>
  <c r="T690"/>
  <c r="V690"/>
  <c r="T691"/>
  <c r="V691"/>
  <c r="T692"/>
  <c r="V692"/>
  <c r="T693"/>
  <c r="V693"/>
  <c r="T694"/>
  <c r="V694"/>
  <c r="T695"/>
  <c r="V695"/>
  <c r="T696"/>
  <c r="V696"/>
  <c r="T697"/>
  <c r="V697"/>
  <c r="T698"/>
  <c r="V698"/>
  <c r="T699"/>
  <c r="V699"/>
  <c r="T700"/>
  <c r="V700"/>
  <c r="T701"/>
  <c r="V701"/>
  <c r="T702"/>
  <c r="V702"/>
  <c r="T703"/>
  <c r="V703"/>
  <c r="T704"/>
  <c r="V704"/>
  <c r="T705"/>
  <c r="V705"/>
  <c r="T706"/>
  <c r="V706"/>
  <c r="T707"/>
  <c r="V707"/>
  <c r="T708"/>
  <c r="V708"/>
  <c r="T709"/>
  <c r="V709"/>
  <c r="T710"/>
  <c r="V710"/>
  <c r="T711"/>
  <c r="V711"/>
  <c r="T712"/>
  <c r="V712"/>
  <c r="T713"/>
  <c r="V713"/>
  <c r="T714"/>
  <c r="V714"/>
  <c r="T715"/>
  <c r="V715"/>
  <c r="T716"/>
  <c r="V716"/>
  <c r="T717"/>
  <c r="V717"/>
  <c r="T718"/>
  <c r="V718"/>
  <c r="T719"/>
  <c r="V719"/>
  <c r="T720"/>
  <c r="V720"/>
  <c r="T721"/>
  <c r="V721"/>
  <c r="T722"/>
  <c r="V722"/>
  <c r="T723"/>
  <c r="V723"/>
  <c r="T724"/>
  <c r="V724"/>
  <c r="T725"/>
  <c r="V725"/>
  <c r="T726"/>
  <c r="V726"/>
  <c r="T727"/>
  <c r="V727"/>
  <c r="T728"/>
  <c r="V728"/>
  <c r="T729"/>
  <c r="V729"/>
  <c r="T730"/>
  <c r="V730"/>
  <c r="T731"/>
  <c r="V731"/>
  <c r="T732"/>
  <c r="V732"/>
  <c r="T733"/>
  <c r="V733"/>
  <c r="T734"/>
  <c r="V734"/>
  <c r="T735"/>
  <c r="V735"/>
  <c r="T736"/>
  <c r="V736"/>
  <c r="T737"/>
  <c r="V737"/>
  <c r="T738"/>
  <c r="V738"/>
  <c r="T739"/>
  <c r="V739"/>
  <c r="T740"/>
  <c r="V740"/>
  <c r="T741"/>
  <c r="V741"/>
  <c r="T742"/>
  <c r="V742"/>
  <c r="T743"/>
  <c r="V743"/>
  <c r="T744"/>
  <c r="V744"/>
  <c r="T745"/>
  <c r="V745"/>
  <c r="T746"/>
  <c r="V746"/>
  <c r="T747"/>
  <c r="V747"/>
  <c r="T748"/>
  <c r="V748"/>
  <c r="T749"/>
  <c r="V749"/>
  <c r="T750"/>
  <c r="V750"/>
  <c r="T751"/>
  <c r="V751"/>
  <c r="T752"/>
  <c r="V752"/>
  <c r="T753"/>
  <c r="V753"/>
  <c r="T754"/>
  <c r="V754"/>
  <c r="T755"/>
  <c r="V755"/>
  <c r="T756"/>
  <c r="V756"/>
  <c r="T757"/>
  <c r="V757"/>
  <c r="T758"/>
  <c r="V758"/>
  <c r="T759"/>
  <c r="V759"/>
  <c r="T760"/>
  <c r="V760"/>
  <c r="T761"/>
  <c r="V761"/>
  <c r="T762"/>
  <c r="V762"/>
  <c r="T763"/>
  <c r="V763"/>
  <c r="T764"/>
  <c r="V764"/>
  <c r="T765"/>
  <c r="V765"/>
  <c r="T766"/>
  <c r="V766"/>
  <c r="T767"/>
  <c r="V767"/>
  <c r="T768"/>
  <c r="V768"/>
  <c r="T769"/>
  <c r="V769"/>
  <c r="T770"/>
  <c r="V770"/>
  <c r="T771"/>
  <c r="V771"/>
  <c r="T772"/>
  <c r="V772"/>
  <c r="T773"/>
  <c r="V773"/>
  <c r="T774"/>
  <c r="V774"/>
  <c r="T775"/>
  <c r="V775"/>
  <c r="T776"/>
  <c r="V776"/>
  <c r="T777"/>
  <c r="V777"/>
  <c r="T778"/>
  <c r="V778"/>
  <c r="T779"/>
  <c r="V779"/>
  <c r="T780"/>
  <c r="V780"/>
  <c r="T781"/>
  <c r="V781"/>
  <c r="T782"/>
  <c r="V782"/>
  <c r="T783"/>
  <c r="V783"/>
  <c r="T784"/>
  <c r="V784"/>
  <c r="T785"/>
  <c r="V785"/>
  <c r="T786"/>
  <c r="V786"/>
  <c r="T787"/>
  <c r="V787"/>
  <c r="T788"/>
  <c r="V788"/>
  <c r="T789"/>
  <c r="V789"/>
  <c r="T790"/>
  <c r="V790"/>
  <c r="T791"/>
  <c r="V791"/>
  <c r="T792"/>
  <c r="V792"/>
  <c r="T793"/>
  <c r="V793"/>
  <c r="T794"/>
  <c r="V794"/>
  <c r="T795"/>
  <c r="V795"/>
  <c r="T796"/>
  <c r="V796"/>
  <c r="T797"/>
  <c r="V797"/>
  <c r="T798"/>
  <c r="V798"/>
  <c r="T799"/>
  <c r="V799"/>
  <c r="T800"/>
  <c r="V800"/>
  <c r="T801"/>
  <c r="V801"/>
  <c r="T802"/>
  <c r="V802"/>
  <c r="T803"/>
  <c r="V803"/>
  <c r="T804"/>
  <c r="V804"/>
  <c r="T805"/>
  <c r="V805"/>
  <c r="T806"/>
  <c r="V806"/>
  <c r="T807"/>
  <c r="V807"/>
  <c r="T808"/>
  <c r="V808"/>
  <c r="T809"/>
  <c r="V809"/>
  <c r="T810"/>
  <c r="V810"/>
  <c r="T811"/>
  <c r="V811"/>
  <c r="T812"/>
  <c r="V812"/>
  <c r="T813"/>
  <c r="V813"/>
  <c r="T814"/>
  <c r="V814"/>
  <c r="T815"/>
  <c r="V815"/>
  <c r="T816"/>
  <c r="V816"/>
  <c r="T817"/>
  <c r="V817"/>
  <c r="T818"/>
  <c r="V818"/>
  <c r="T819"/>
  <c r="V819"/>
  <c r="T820"/>
  <c r="V820"/>
  <c r="T821"/>
  <c r="V821"/>
  <c r="T822"/>
  <c r="V822"/>
  <c r="T823"/>
  <c r="V823"/>
  <c r="T824"/>
  <c r="V824"/>
  <c r="T825"/>
  <c r="V825"/>
  <c r="T826"/>
  <c r="V826"/>
  <c r="T827"/>
  <c r="V827"/>
  <c r="T828"/>
  <c r="V828"/>
  <c r="T829"/>
  <c r="V829"/>
  <c r="T830"/>
  <c r="V830"/>
  <c r="T831"/>
  <c r="V831"/>
  <c r="T832"/>
  <c r="V832"/>
  <c r="T833"/>
  <c r="V833"/>
  <c r="T834"/>
  <c r="V834"/>
  <c r="T835"/>
  <c r="V835"/>
  <c r="T836"/>
  <c r="V836"/>
  <c r="T837"/>
  <c r="V837"/>
  <c r="T838"/>
  <c r="V838"/>
  <c r="T839"/>
  <c r="V839"/>
  <c r="T840"/>
  <c r="V840"/>
  <c r="T841"/>
  <c r="V841"/>
  <c r="T842"/>
  <c r="V842"/>
  <c r="T843"/>
  <c r="V843"/>
  <c r="T844"/>
  <c r="V844"/>
  <c r="T845"/>
  <c r="V845"/>
  <c r="T846"/>
  <c r="V846"/>
  <c r="T847"/>
  <c r="V847"/>
  <c r="T848"/>
  <c r="V848"/>
  <c r="T849"/>
  <c r="V849"/>
  <c r="T850"/>
  <c r="V850"/>
  <c r="T851"/>
  <c r="V851"/>
  <c r="T852"/>
  <c r="V852"/>
  <c r="T853"/>
  <c r="V853"/>
  <c r="T854"/>
  <c r="V854"/>
  <c r="T855"/>
  <c r="V855"/>
  <c r="T856"/>
  <c r="V856"/>
  <c r="T857"/>
  <c r="V857"/>
  <c r="T858"/>
  <c r="V858"/>
  <c r="T859"/>
  <c r="V859"/>
  <c r="T860"/>
  <c r="V860"/>
  <c r="T861"/>
  <c r="V861"/>
  <c r="T862"/>
  <c r="V862"/>
  <c r="T863"/>
  <c r="V863"/>
  <c r="T864"/>
  <c r="V864"/>
  <c r="T865"/>
  <c r="V865"/>
  <c r="T866"/>
  <c r="V866"/>
  <c r="T867"/>
  <c r="V867"/>
  <c r="T868"/>
  <c r="V868"/>
  <c r="T869"/>
  <c r="V869"/>
  <c r="T870"/>
  <c r="V870"/>
  <c r="T871"/>
  <c r="V871"/>
  <c r="T872"/>
  <c r="V872"/>
  <c r="T873"/>
  <c r="V873"/>
  <c r="T874"/>
  <c r="V874"/>
  <c r="T875"/>
  <c r="V875"/>
  <c r="T876"/>
  <c r="V876"/>
  <c r="T877"/>
  <c r="V877"/>
  <c r="T878"/>
  <c r="V878"/>
  <c r="T879"/>
  <c r="V879"/>
  <c r="T880"/>
  <c r="V880"/>
  <c r="T881"/>
  <c r="V881"/>
  <c r="T882"/>
  <c r="V882"/>
  <c r="T883"/>
  <c r="V883"/>
  <c r="T884"/>
  <c r="V884"/>
  <c r="T885"/>
  <c r="V885"/>
  <c r="T886"/>
  <c r="V886"/>
  <c r="T887"/>
  <c r="V887"/>
  <c r="T888"/>
  <c r="V888"/>
  <c r="T889"/>
  <c r="V889"/>
  <c r="T890"/>
  <c r="V890"/>
  <c r="T891"/>
  <c r="V891"/>
  <c r="T892"/>
  <c r="V892"/>
  <c r="T893"/>
  <c r="V893"/>
  <c r="T894"/>
  <c r="V894"/>
  <c r="T895"/>
  <c r="V895"/>
  <c r="T896"/>
  <c r="V896"/>
  <c r="T897"/>
  <c r="V897"/>
  <c r="T898"/>
  <c r="V898"/>
  <c r="T899"/>
  <c r="V899"/>
  <c r="T900"/>
  <c r="V900"/>
  <c r="T901"/>
  <c r="V901"/>
  <c r="T902"/>
  <c r="V902"/>
  <c r="T903"/>
  <c r="V903"/>
  <c r="T904"/>
  <c r="V904"/>
  <c r="T905"/>
  <c r="V905"/>
  <c r="T906"/>
  <c r="V906"/>
  <c r="T907"/>
  <c r="V907"/>
  <c r="T908"/>
  <c r="V908"/>
  <c r="T909"/>
  <c r="V909"/>
  <c r="T910"/>
  <c r="V910"/>
  <c r="T911"/>
  <c r="V911"/>
  <c r="T912"/>
  <c r="V912"/>
  <c r="T913"/>
  <c r="V913"/>
  <c r="T914"/>
  <c r="V914"/>
  <c r="T915"/>
  <c r="V915"/>
  <c r="T916"/>
  <c r="V916"/>
  <c r="T917"/>
  <c r="V917"/>
  <c r="T918"/>
  <c r="V918"/>
  <c r="T919"/>
  <c r="V919"/>
  <c r="T920"/>
  <c r="V920"/>
  <c r="T921"/>
  <c r="V921"/>
  <c r="T922"/>
  <c r="V922"/>
  <c r="T923"/>
  <c r="V923"/>
  <c r="T924"/>
  <c r="V924"/>
  <c r="T925"/>
  <c r="V925"/>
  <c r="T926"/>
  <c r="V926"/>
  <c r="T927"/>
  <c r="V927"/>
  <c r="T928"/>
  <c r="V928"/>
  <c r="T929"/>
  <c r="V929"/>
  <c r="T930"/>
  <c r="V930"/>
  <c r="T931"/>
  <c r="V931"/>
  <c r="T932"/>
  <c r="V932"/>
  <c r="T933"/>
  <c r="V933"/>
  <c r="T934"/>
  <c r="V934"/>
  <c r="T935"/>
  <c r="V935"/>
  <c r="T936"/>
  <c r="V936"/>
  <c r="T937"/>
  <c r="V937"/>
  <c r="T938"/>
  <c r="V938"/>
  <c r="T939"/>
  <c r="V939"/>
  <c r="T940"/>
  <c r="V940"/>
  <c r="T941"/>
  <c r="V941"/>
  <c r="T942"/>
  <c r="V942"/>
  <c r="T943"/>
  <c r="V943"/>
  <c r="T944"/>
  <c r="V944"/>
  <c r="T945"/>
  <c r="V945"/>
  <c r="T946"/>
  <c r="V946"/>
  <c r="T947"/>
  <c r="V947"/>
  <c r="T948"/>
  <c r="V948"/>
  <c r="T949"/>
  <c r="V949"/>
  <c r="T950"/>
  <c r="V950"/>
  <c r="T951"/>
  <c r="V951"/>
  <c r="T952"/>
  <c r="V952"/>
  <c r="T953"/>
  <c r="V953"/>
  <c r="T954"/>
  <c r="V954"/>
  <c r="T955"/>
  <c r="V955"/>
  <c r="T956"/>
  <c r="V956"/>
  <c r="T957"/>
  <c r="V957"/>
  <c r="T958"/>
  <c r="V958"/>
  <c r="T959"/>
  <c r="V959"/>
  <c r="T960"/>
  <c r="V960"/>
  <c r="T961"/>
  <c r="V961"/>
  <c r="T962"/>
  <c r="V962"/>
  <c r="T963"/>
  <c r="V963"/>
  <c r="T964"/>
  <c r="V964"/>
  <c r="T965"/>
  <c r="V965"/>
  <c r="T966"/>
  <c r="V966"/>
  <c r="T967"/>
  <c r="V967"/>
  <c r="T968"/>
  <c r="V968"/>
  <c r="T969"/>
  <c r="V969"/>
  <c r="T970"/>
  <c r="V970"/>
  <c r="T971"/>
  <c r="V971"/>
  <c r="T972"/>
  <c r="V972"/>
  <c r="T973"/>
  <c r="V973"/>
  <c r="T974"/>
  <c r="V974"/>
  <c r="T975"/>
  <c r="V975"/>
  <c r="T976"/>
  <c r="V976"/>
  <c r="T977"/>
  <c r="V977"/>
  <c r="T978"/>
  <c r="V978"/>
  <c r="T979"/>
  <c r="V979"/>
  <c r="T980"/>
  <c r="V980"/>
  <c r="T981"/>
  <c r="V981"/>
  <c r="T982"/>
  <c r="V982"/>
  <c r="T983"/>
  <c r="V983"/>
  <c r="T984"/>
  <c r="V984"/>
  <c r="T985"/>
  <c r="V985"/>
  <c r="T986"/>
  <c r="V986"/>
  <c r="T987"/>
  <c r="V987"/>
  <c r="T988"/>
  <c r="V988"/>
  <c r="T989"/>
  <c r="V989"/>
  <c r="T990"/>
  <c r="V990"/>
  <c r="T991"/>
  <c r="V991"/>
  <c r="T992"/>
  <c r="V992"/>
  <c r="T993"/>
  <c r="V993"/>
  <c r="T994"/>
  <c r="V994"/>
  <c r="T995"/>
  <c r="V995"/>
  <c r="T996"/>
  <c r="V996"/>
  <c r="T997"/>
  <c r="V997"/>
  <c r="T998"/>
  <c r="V998"/>
  <c r="T999"/>
  <c r="V999"/>
  <c r="T1000"/>
  <c r="V1000"/>
  <c r="T1001"/>
  <c r="V1001"/>
  <c r="T1002"/>
  <c r="V1002"/>
  <c r="T1003"/>
  <c r="V1003"/>
  <c r="T1004"/>
  <c r="V1004"/>
  <c r="T1005"/>
  <c r="V1005"/>
  <c r="T1006"/>
  <c r="V1006"/>
  <c r="T1007"/>
  <c r="V1007"/>
  <c r="T1008"/>
  <c r="V1008"/>
  <c r="T1009"/>
  <c r="V1009"/>
  <c r="T1010"/>
  <c r="V1010"/>
  <c r="T1011"/>
  <c r="V1011"/>
  <c r="T1012"/>
  <c r="V1012"/>
  <c r="T1013"/>
  <c r="V1013"/>
  <c r="T1014"/>
  <c r="V1014"/>
  <c r="T1015"/>
  <c r="V1015"/>
  <c r="T1016"/>
  <c r="V1016"/>
  <c r="T1017"/>
  <c r="V1017"/>
  <c r="T1018"/>
  <c r="V1018"/>
  <c r="T1019"/>
  <c r="V1019"/>
  <c r="T1020"/>
  <c r="V1020"/>
  <c r="T1021"/>
  <c r="V1021"/>
  <c r="T1022"/>
  <c r="V1022"/>
  <c r="T1023"/>
  <c r="V1023"/>
  <c r="T1024"/>
  <c r="V1024"/>
  <c r="T1025"/>
  <c r="V1025"/>
  <c r="T1026"/>
  <c r="V1026"/>
  <c r="T1027"/>
  <c r="V1027"/>
  <c r="T1028"/>
  <c r="V1028"/>
  <c r="T1029"/>
  <c r="V1029"/>
  <c r="T1030"/>
  <c r="V1030"/>
  <c r="T1031"/>
  <c r="V1031"/>
  <c r="T1032"/>
  <c r="V1032"/>
  <c r="T1033"/>
  <c r="V1033"/>
  <c r="T1034"/>
  <c r="V1034"/>
  <c r="T1035"/>
  <c r="V1035"/>
  <c r="T1036"/>
  <c r="V1036"/>
  <c r="T1037"/>
  <c r="V1037"/>
  <c r="T1038"/>
  <c r="V1038"/>
  <c r="T1039"/>
  <c r="V1039"/>
  <c r="T1040"/>
  <c r="V1040"/>
  <c r="T1041"/>
  <c r="V1041"/>
  <c r="T1042"/>
  <c r="V1042"/>
  <c r="T1043"/>
  <c r="V1043"/>
  <c r="T1044"/>
  <c r="V1044"/>
  <c r="T1045"/>
  <c r="V1045"/>
  <c r="T1046"/>
  <c r="V1046"/>
  <c r="T1047"/>
  <c r="V1047"/>
  <c r="T1048"/>
  <c r="V1048"/>
  <c r="T1049"/>
  <c r="V1049"/>
  <c r="T1050"/>
  <c r="V1050"/>
  <c r="T1051"/>
  <c r="V1051"/>
  <c r="T1052"/>
  <c r="V1052"/>
  <c r="T1053"/>
  <c r="V1053"/>
  <c r="T1054"/>
  <c r="V1054"/>
  <c r="T1055"/>
  <c r="V1055"/>
  <c r="T1056"/>
  <c r="V1056"/>
  <c r="T1057"/>
  <c r="V1057"/>
  <c r="T1058"/>
  <c r="V1058"/>
  <c r="T1059"/>
  <c r="V1059"/>
  <c r="T1060"/>
  <c r="V1060"/>
  <c r="T1061"/>
  <c r="V1061"/>
  <c r="T1062"/>
  <c r="V1062"/>
  <c r="T1063"/>
  <c r="V1063"/>
  <c r="T1064"/>
  <c r="V1064"/>
  <c r="T1065"/>
  <c r="V1065"/>
  <c r="T1066"/>
  <c r="V1066"/>
  <c r="T1067"/>
  <c r="V1067"/>
  <c r="T1068"/>
  <c r="V1068"/>
  <c r="T1069"/>
  <c r="V1069"/>
  <c r="T1070"/>
  <c r="V1070"/>
  <c r="T1071"/>
  <c r="V1071"/>
  <c r="T1072"/>
  <c r="V1072"/>
  <c r="T1073"/>
  <c r="V1073"/>
  <c r="T1074"/>
  <c r="V1074"/>
  <c r="T1075"/>
  <c r="V1075"/>
  <c r="T1076"/>
  <c r="V1076"/>
  <c r="T1077"/>
  <c r="V1077"/>
  <c r="T1078"/>
  <c r="V1078"/>
  <c r="T1079"/>
  <c r="V1079"/>
  <c r="T1080"/>
  <c r="V1080"/>
  <c r="T1081"/>
  <c r="V1081"/>
  <c r="T1082"/>
  <c r="V1082"/>
  <c r="T1083"/>
  <c r="V1083"/>
  <c r="T1084"/>
  <c r="V1084"/>
  <c r="T1085"/>
  <c r="V1085"/>
  <c r="T1086"/>
  <c r="V1086"/>
  <c r="T1087"/>
  <c r="V1087"/>
  <c r="T1088"/>
  <c r="V1088"/>
  <c r="T1089"/>
  <c r="V1089"/>
  <c r="T1090"/>
  <c r="V1090"/>
  <c r="T1091"/>
  <c r="V1091"/>
  <c r="T1092"/>
  <c r="V1092"/>
  <c r="T1093"/>
  <c r="V1093"/>
  <c r="T1094"/>
  <c r="V1094"/>
  <c r="T1095"/>
  <c r="V1095"/>
  <c r="T1096"/>
  <c r="V1096"/>
  <c r="T1097"/>
  <c r="V1097"/>
  <c r="T1098"/>
  <c r="V1098"/>
  <c r="T1099"/>
  <c r="V1099"/>
  <c r="T1100"/>
  <c r="V1100"/>
  <c r="T1101"/>
  <c r="V1101"/>
  <c r="T1102"/>
  <c r="V1102"/>
  <c r="T1103"/>
  <c r="V1103"/>
  <c r="T1104"/>
  <c r="V1104"/>
  <c r="T1105"/>
  <c r="V1105"/>
  <c r="T1106"/>
  <c r="V1106"/>
  <c r="T1107"/>
  <c r="V1107"/>
  <c r="T1108"/>
  <c r="V1108"/>
  <c r="T1109"/>
  <c r="V1109"/>
  <c r="T1110"/>
  <c r="V1110"/>
  <c r="T1111"/>
  <c r="V1111"/>
  <c r="T1112"/>
  <c r="V1112"/>
  <c r="T1113"/>
  <c r="V1113"/>
  <c r="T1114"/>
  <c r="V1114"/>
  <c r="T1115"/>
  <c r="V1115"/>
  <c r="T1116"/>
  <c r="V1116"/>
  <c r="T1117"/>
  <c r="V1117"/>
  <c r="T1118"/>
  <c r="V1118"/>
  <c r="T1119"/>
  <c r="V1119"/>
  <c r="T1120"/>
  <c r="V1120"/>
  <c r="T1121"/>
  <c r="V1121"/>
  <c r="T1122"/>
  <c r="V1122"/>
  <c r="T1123"/>
  <c r="V1123"/>
  <c r="T1124"/>
  <c r="V1124"/>
  <c r="T1125"/>
  <c r="V1125"/>
  <c r="T1126"/>
  <c r="V1126"/>
  <c r="T1127"/>
  <c r="V1127"/>
  <c r="T1128"/>
  <c r="V1128"/>
  <c r="T1129"/>
  <c r="V1129"/>
  <c r="T1130"/>
  <c r="V1130"/>
  <c r="T1131"/>
  <c r="V1131"/>
  <c r="T1132"/>
  <c r="V1132"/>
  <c r="T1133"/>
  <c r="V1133"/>
  <c r="T1134"/>
  <c r="V1134"/>
  <c r="T1135"/>
  <c r="V1135"/>
  <c r="T1136"/>
  <c r="V1136"/>
  <c r="T1137"/>
  <c r="V1137"/>
  <c r="T1138"/>
  <c r="V1138"/>
  <c r="T1139"/>
  <c r="V1139"/>
  <c r="T1140"/>
  <c r="V1140"/>
  <c r="T1141"/>
  <c r="V1141"/>
  <c r="T1142"/>
  <c r="V1142"/>
  <c r="T1143"/>
  <c r="V1143"/>
  <c r="T1144"/>
  <c r="V1144"/>
  <c r="T1145"/>
  <c r="V1145"/>
  <c r="T1146"/>
  <c r="V1146"/>
  <c r="T1147"/>
  <c r="V1147"/>
  <c r="T1148"/>
  <c r="V1148"/>
  <c r="T1149"/>
  <c r="V1149"/>
  <c r="T1150"/>
  <c r="V1150"/>
  <c r="T1151"/>
  <c r="V1151"/>
  <c r="T1152"/>
  <c r="V1152"/>
  <c r="T1153"/>
  <c r="V1153"/>
  <c r="T1154"/>
  <c r="V1154"/>
  <c r="T1155"/>
  <c r="V1155"/>
  <c r="T1156"/>
  <c r="V1156"/>
  <c r="T1157"/>
  <c r="V1157"/>
  <c r="T1158"/>
  <c r="V1158"/>
  <c r="T1159"/>
  <c r="V1159"/>
  <c r="T1160"/>
  <c r="V1160"/>
  <c r="T1161"/>
  <c r="V1161"/>
  <c r="T1162"/>
  <c r="V1162"/>
  <c r="T1163"/>
  <c r="V1163"/>
  <c r="T1164"/>
  <c r="V1164"/>
  <c r="T1165"/>
  <c r="V1165"/>
  <c r="T1166"/>
  <c r="V1166"/>
  <c r="T1167"/>
  <c r="V1167"/>
  <c r="T1168"/>
  <c r="V1168"/>
  <c r="T1169"/>
  <c r="V1169"/>
  <c r="T1170"/>
  <c r="V1170"/>
  <c r="T1171"/>
  <c r="V1171"/>
  <c r="T1172"/>
  <c r="V1172"/>
  <c r="T1173"/>
  <c r="V1173"/>
  <c r="T1174"/>
  <c r="V1174"/>
  <c r="T1175"/>
  <c r="V1175"/>
  <c r="T1176"/>
  <c r="V1176"/>
  <c r="T1177"/>
  <c r="V1177"/>
  <c r="T1178"/>
  <c r="V1178"/>
  <c r="T1179"/>
  <c r="V1179"/>
  <c r="T1180"/>
  <c r="V1180"/>
  <c r="T1181"/>
  <c r="V1181"/>
  <c r="T1182"/>
  <c r="V1182"/>
  <c r="T1183"/>
  <c r="V1183"/>
  <c r="T1184"/>
  <c r="V1184"/>
  <c r="T1185"/>
  <c r="V1185"/>
  <c r="T1186"/>
  <c r="V1186"/>
  <c r="T1187"/>
  <c r="V1187"/>
  <c r="T1188"/>
  <c r="V1188"/>
  <c r="T1189"/>
  <c r="V1189"/>
  <c r="T1190"/>
  <c r="V1190"/>
  <c r="T1191"/>
  <c r="V1191"/>
  <c r="T1192"/>
  <c r="V1192"/>
  <c r="T1193"/>
  <c r="V1193"/>
  <c r="T1194"/>
  <c r="V1194"/>
  <c r="T1195"/>
  <c r="V1195"/>
  <c r="T1196"/>
  <c r="V1196"/>
  <c r="T1197"/>
  <c r="V1197"/>
  <c r="T1198"/>
  <c r="V1198"/>
  <c r="T1199"/>
  <c r="V1199"/>
  <c r="T1200"/>
  <c r="V1200"/>
  <c r="T1201"/>
  <c r="V1201"/>
  <c r="T1202"/>
  <c r="V1202"/>
  <c r="T1203"/>
  <c r="V1203"/>
  <c r="T1204"/>
  <c r="V1204"/>
  <c r="T1205"/>
  <c r="V1205"/>
  <c r="T1206"/>
  <c r="V1206"/>
  <c r="T1207"/>
  <c r="V1207"/>
  <c r="T1208"/>
  <c r="V1208"/>
  <c r="T1209"/>
  <c r="V1209"/>
  <c r="T1210"/>
  <c r="V1210"/>
  <c r="T1211"/>
  <c r="V1211"/>
  <c r="T1212"/>
  <c r="V1212"/>
  <c r="T1213"/>
  <c r="V1213"/>
  <c r="T1214"/>
  <c r="V1214"/>
  <c r="T1215"/>
  <c r="V1215"/>
  <c r="T1216"/>
  <c r="V1216"/>
  <c r="T1217"/>
  <c r="V1217"/>
  <c r="T1218"/>
  <c r="V1218"/>
  <c r="T1219"/>
  <c r="V1219"/>
  <c r="T1220"/>
  <c r="V1220"/>
  <c r="T1221"/>
  <c r="V1221"/>
  <c r="T1222"/>
  <c r="V1222"/>
  <c r="T1223"/>
  <c r="V1223"/>
  <c r="T1224"/>
  <c r="V1224"/>
  <c r="T1225"/>
  <c r="V1225"/>
  <c r="T1226"/>
  <c r="V1226"/>
  <c r="T1227"/>
  <c r="V1227"/>
  <c r="T1228"/>
  <c r="V1228"/>
  <c r="T1229"/>
  <c r="V1229"/>
  <c r="T1230"/>
  <c r="V1230"/>
  <c r="T1231"/>
  <c r="V1231"/>
  <c r="T1232"/>
  <c r="V1232"/>
  <c r="T1233"/>
  <c r="V1233"/>
  <c r="T1234"/>
  <c r="V1234"/>
  <c r="T1235"/>
  <c r="V1235"/>
  <c r="T1236"/>
  <c r="V1236"/>
  <c r="T1237"/>
  <c r="V1237"/>
  <c r="T1238"/>
  <c r="V1238"/>
  <c r="T1239"/>
  <c r="V1239"/>
  <c r="T1240"/>
  <c r="V1240"/>
  <c r="T1241"/>
  <c r="V1241"/>
  <c r="T1242"/>
  <c r="V1242"/>
  <c r="T1243"/>
  <c r="V1243"/>
  <c r="T1244"/>
  <c r="V1244"/>
  <c r="T1245"/>
  <c r="V1245"/>
  <c r="T1246"/>
  <c r="V1246"/>
  <c r="T1247"/>
  <c r="V1247"/>
  <c r="T1248"/>
  <c r="V1248"/>
  <c r="T1249"/>
  <c r="V1249"/>
  <c r="T1250"/>
  <c r="V1250"/>
  <c r="T1251"/>
  <c r="V1251"/>
  <c r="T1252"/>
  <c r="V1252"/>
  <c r="T1253"/>
  <c r="V1253"/>
  <c r="T1254"/>
  <c r="V1254"/>
  <c r="T1255"/>
  <c r="V1255"/>
  <c r="T1256"/>
  <c r="V1256"/>
  <c r="T1257"/>
  <c r="V1257"/>
  <c r="T1258"/>
  <c r="V1258"/>
  <c r="T1259"/>
  <c r="V1259"/>
  <c r="T1260"/>
  <c r="V1260"/>
  <c r="T1261"/>
  <c r="V1261"/>
  <c r="T1262"/>
  <c r="V1262"/>
  <c r="T1263"/>
  <c r="V1263"/>
  <c r="T1264"/>
  <c r="V1264"/>
  <c r="T1265"/>
  <c r="V1265"/>
  <c r="T1266"/>
  <c r="V1266"/>
  <c r="T1267"/>
  <c r="V1267"/>
  <c r="T1268"/>
  <c r="V1268"/>
  <c r="T1269"/>
  <c r="V1269"/>
  <c r="T1270"/>
  <c r="V1270"/>
  <c r="T1271"/>
  <c r="V1271"/>
  <c r="T1272"/>
  <c r="V1272"/>
  <c r="T1273"/>
  <c r="V1273"/>
  <c r="T1274"/>
  <c r="V1274"/>
  <c r="T1275"/>
  <c r="V1275"/>
  <c r="T1276"/>
  <c r="V1276"/>
  <c r="T1277"/>
  <c r="V1277"/>
  <c r="T1278"/>
  <c r="V1278"/>
  <c r="T1279"/>
  <c r="V1279"/>
  <c r="T1280"/>
  <c r="V1280"/>
  <c r="T1281"/>
  <c r="V1281"/>
  <c r="T1282"/>
  <c r="V1282"/>
  <c r="T1283"/>
  <c r="V1283"/>
  <c r="T1284"/>
  <c r="V1284"/>
  <c r="T1285"/>
  <c r="V1285"/>
  <c r="T1286"/>
  <c r="V1286"/>
  <c r="T1287"/>
  <c r="V1287"/>
  <c r="T1288"/>
  <c r="V1288"/>
  <c r="T1289"/>
  <c r="V1289"/>
  <c r="T1290"/>
  <c r="V1290"/>
  <c r="T1291"/>
  <c r="V1291"/>
  <c r="T1292"/>
  <c r="V1292"/>
  <c r="T1293"/>
  <c r="V1293"/>
  <c r="T1294"/>
  <c r="V1294"/>
  <c r="T1295"/>
  <c r="V1295"/>
  <c r="T1296"/>
  <c r="V1296"/>
  <c r="T1297"/>
  <c r="V1297"/>
  <c r="T1298"/>
  <c r="V1298"/>
  <c r="T1299"/>
  <c r="V1299"/>
  <c r="T1300"/>
  <c r="V1300"/>
  <c r="T1301"/>
  <c r="V1301"/>
  <c r="T1302"/>
  <c r="V1302"/>
  <c r="T1303"/>
  <c r="V1303"/>
  <c r="T1304"/>
  <c r="V1304"/>
  <c r="T1305"/>
  <c r="V1305"/>
  <c r="T1306"/>
  <c r="V1306"/>
  <c r="T1307"/>
  <c r="V1307"/>
  <c r="T1308"/>
  <c r="V1308"/>
  <c r="T1309"/>
  <c r="V1309"/>
  <c r="T1310"/>
  <c r="V1310"/>
  <c r="T1311"/>
  <c r="V1311"/>
  <c r="T1312"/>
  <c r="V1312"/>
  <c r="T1313"/>
  <c r="V1313"/>
  <c r="T1314"/>
  <c r="V1314"/>
  <c r="T1315"/>
  <c r="V1315"/>
  <c r="T1316"/>
  <c r="V1316"/>
  <c r="T1317"/>
  <c r="V1317"/>
  <c r="T1318"/>
  <c r="V1318"/>
  <c r="T1319"/>
  <c r="V1319"/>
  <c r="T1320"/>
  <c r="V1320"/>
  <c r="T1321"/>
  <c r="V1321"/>
  <c r="T1322"/>
  <c r="V1322"/>
  <c r="T1323"/>
  <c r="V1323"/>
  <c r="T1324"/>
  <c r="V1324"/>
  <c r="T1325"/>
  <c r="V1325"/>
  <c r="T1326"/>
  <c r="V1326"/>
  <c r="T1327"/>
  <c r="V1327"/>
  <c r="T1328"/>
  <c r="V1328"/>
  <c r="T1329"/>
  <c r="V1329"/>
  <c r="T1330"/>
  <c r="V1330"/>
  <c r="T1331"/>
  <c r="V1331"/>
  <c r="T1332"/>
  <c r="V1332"/>
  <c r="T1333"/>
  <c r="V1333"/>
  <c r="T1334"/>
  <c r="V1334"/>
  <c r="T1335"/>
  <c r="V1335"/>
  <c r="T1336"/>
  <c r="V1336"/>
  <c r="T1337"/>
  <c r="V1337"/>
  <c r="T1338"/>
  <c r="V1338"/>
  <c r="T1339"/>
  <c r="V1339"/>
  <c r="T1340"/>
  <c r="V1340"/>
  <c r="T1341"/>
  <c r="V1341"/>
  <c r="T1342"/>
  <c r="V1342"/>
  <c r="T1343"/>
  <c r="V1343"/>
  <c r="T1344"/>
  <c r="V1344"/>
  <c r="T1345"/>
  <c r="V1345"/>
  <c r="T1346"/>
  <c r="V1346"/>
  <c r="T1347"/>
  <c r="V1347"/>
  <c r="T1348"/>
  <c r="V1348"/>
  <c r="T1349"/>
  <c r="V1349"/>
  <c r="T1350"/>
  <c r="V1350"/>
  <c r="T1351"/>
  <c r="V1351"/>
  <c r="T1352"/>
  <c r="V1352"/>
  <c r="T1353"/>
  <c r="V1353"/>
  <c r="T1354"/>
  <c r="V1354"/>
  <c r="T1355"/>
  <c r="V1355"/>
  <c r="T1356"/>
  <c r="V1356"/>
  <c r="T1357"/>
  <c r="V1357"/>
  <c r="T1358"/>
  <c r="V1358"/>
  <c r="T1359"/>
  <c r="V1359"/>
  <c r="T1360"/>
  <c r="V1360"/>
  <c r="T1361"/>
  <c r="V1361"/>
  <c r="T1362"/>
  <c r="V1362"/>
  <c r="T1363"/>
  <c r="V1363"/>
  <c r="T1364"/>
  <c r="V1364"/>
  <c r="T1365"/>
  <c r="V1365"/>
  <c r="T1366"/>
  <c r="V1366"/>
  <c r="T1367"/>
  <c r="V1367"/>
  <c r="T1368"/>
  <c r="V1368"/>
  <c r="T1369"/>
  <c r="V1369"/>
  <c r="T1370"/>
  <c r="V1370"/>
  <c r="T1371"/>
  <c r="V1371"/>
  <c r="T1372"/>
  <c r="V1372"/>
  <c r="T1373"/>
  <c r="V1373"/>
  <c r="T1374"/>
  <c r="V1374"/>
  <c r="T1375"/>
  <c r="V1375"/>
  <c r="T1376"/>
  <c r="V1376"/>
  <c r="T1377"/>
  <c r="V1377"/>
  <c r="T1378"/>
  <c r="V1378"/>
  <c r="T1379"/>
  <c r="V1379"/>
  <c r="T1380"/>
  <c r="V1380"/>
  <c r="T1381"/>
  <c r="V1381"/>
  <c r="T1382"/>
  <c r="V1382"/>
  <c r="T1383"/>
  <c r="V1383"/>
  <c r="T1384"/>
  <c r="V1384"/>
  <c r="T1385"/>
  <c r="V1385"/>
  <c r="T1386"/>
  <c r="V1386"/>
  <c r="T1387"/>
  <c r="V1387"/>
  <c r="T1388"/>
  <c r="V1388"/>
  <c r="T1389"/>
  <c r="V1389"/>
  <c r="T1390"/>
  <c r="V1390"/>
  <c r="T1391"/>
  <c r="V1391"/>
  <c r="T1392"/>
  <c r="V1392"/>
  <c r="T1393"/>
  <c r="V1393"/>
  <c r="T1394"/>
  <c r="V1394"/>
  <c r="T1395"/>
  <c r="V1395"/>
  <c r="T1396"/>
  <c r="V1396"/>
  <c r="T1397"/>
  <c r="V1397"/>
  <c r="T1398"/>
  <c r="V1398"/>
  <c r="T1399"/>
  <c r="V1399"/>
  <c r="T1400"/>
  <c r="V1400"/>
  <c r="T1401"/>
  <c r="V1401"/>
  <c r="T1402"/>
  <c r="V1402"/>
  <c r="T1403"/>
  <c r="V1403"/>
  <c r="T1404"/>
  <c r="V1404"/>
  <c r="T1405"/>
  <c r="V1405"/>
  <c r="T1406"/>
  <c r="V1406"/>
  <c r="T1407"/>
  <c r="V1407"/>
  <c r="T1408"/>
  <c r="V1408"/>
  <c r="T1409"/>
  <c r="V1409"/>
  <c r="T1410"/>
  <c r="V1410"/>
  <c r="T1411"/>
  <c r="V1411"/>
  <c r="T1412"/>
  <c r="V1412"/>
  <c r="T1413"/>
  <c r="V1413"/>
  <c r="T1414"/>
  <c r="V1414"/>
  <c r="T1415"/>
  <c r="V1415"/>
  <c r="T1416"/>
  <c r="V1416"/>
  <c r="T1417"/>
  <c r="V1417"/>
  <c r="T1418"/>
  <c r="V1418"/>
  <c r="T1419"/>
  <c r="V1419"/>
  <c r="T1420"/>
  <c r="V1420"/>
  <c r="T1421"/>
  <c r="V1421"/>
  <c r="T1422"/>
  <c r="V1422"/>
  <c r="T1423"/>
  <c r="V1423"/>
  <c r="T1424"/>
  <c r="V1424"/>
  <c r="T1425"/>
  <c r="V1425"/>
  <c r="T1426"/>
  <c r="V1426"/>
  <c r="T1427"/>
  <c r="V1427"/>
  <c r="T1428"/>
  <c r="V1428"/>
  <c r="T1429"/>
  <c r="V1429"/>
  <c r="T1430"/>
  <c r="V1430"/>
  <c r="T1431"/>
  <c r="V1431"/>
  <c r="T1432"/>
  <c r="V1432"/>
  <c r="T1433"/>
  <c r="V1433"/>
  <c r="T1434"/>
  <c r="V1434"/>
  <c r="T1435"/>
  <c r="V1435"/>
  <c r="T1436"/>
  <c r="V1436"/>
  <c r="T1437"/>
  <c r="V1437"/>
  <c r="T1438"/>
  <c r="V1438"/>
  <c r="T1439"/>
  <c r="V1439"/>
  <c r="T1440"/>
  <c r="V1440"/>
  <c r="T1441"/>
  <c r="V1441"/>
  <c r="T1442"/>
  <c r="V1442"/>
  <c r="T1443"/>
  <c r="V1443"/>
  <c r="T1444"/>
  <c r="V1444"/>
  <c r="T1445"/>
  <c r="V1445"/>
  <c r="T1446"/>
  <c r="V1446"/>
  <c r="T1447"/>
  <c r="V1447"/>
  <c r="T1448"/>
  <c r="V1448"/>
  <c r="T1449"/>
  <c r="V1449"/>
  <c r="T1450"/>
  <c r="V1450"/>
  <c r="T1451"/>
  <c r="V1451"/>
  <c r="T1452"/>
  <c r="V1452"/>
  <c r="T1453"/>
  <c r="V1453"/>
  <c r="T1454"/>
  <c r="V1454"/>
  <c r="T1455"/>
  <c r="V1455"/>
  <c r="T1456"/>
  <c r="V1456"/>
  <c r="T1457"/>
  <c r="V1457"/>
  <c r="T1458"/>
  <c r="V1458"/>
  <c r="T1459"/>
  <c r="V1459"/>
  <c r="T1460"/>
  <c r="V1460"/>
  <c r="T1461"/>
  <c r="V1461"/>
  <c r="T1462"/>
  <c r="V1462"/>
  <c r="T1463"/>
  <c r="V1463"/>
  <c r="T1464"/>
  <c r="V1464"/>
  <c r="T1465"/>
  <c r="V1465"/>
  <c r="T1466"/>
  <c r="V1466"/>
  <c r="T1467"/>
  <c r="V1467"/>
  <c r="T1468"/>
  <c r="V1468"/>
  <c r="T1469"/>
  <c r="V1469"/>
  <c r="T1470"/>
  <c r="V1470"/>
  <c r="T1471"/>
  <c r="V1471"/>
  <c r="T1472"/>
  <c r="V1472"/>
  <c r="T1473"/>
  <c r="V1473"/>
  <c r="T1474"/>
  <c r="V1474"/>
  <c r="T1475"/>
  <c r="V1475"/>
  <c r="T1476"/>
  <c r="V1476"/>
  <c r="T1477"/>
  <c r="V1477"/>
  <c r="T1478"/>
  <c r="V1478"/>
  <c r="T1479"/>
  <c r="V1479"/>
  <c r="T1480"/>
  <c r="V1480"/>
  <c r="T1481"/>
  <c r="V1481"/>
  <c r="T1482"/>
  <c r="V1482"/>
  <c r="T1483"/>
  <c r="V1483"/>
  <c r="T1484"/>
  <c r="V1484"/>
  <c r="T1485"/>
  <c r="V1485"/>
  <c r="T1486"/>
  <c r="V1486"/>
  <c r="T1487"/>
  <c r="V1487"/>
  <c r="T1488"/>
  <c r="V1488"/>
  <c r="T1489"/>
  <c r="V1489"/>
  <c r="T1490"/>
  <c r="V1490"/>
  <c r="T1491"/>
  <c r="V1491"/>
  <c r="T1492"/>
  <c r="V1492"/>
  <c r="T1493"/>
  <c r="V1493"/>
  <c r="T1494"/>
  <c r="V1494"/>
  <c r="T1495"/>
  <c r="V1495"/>
  <c r="T1496"/>
  <c r="V1496"/>
  <c r="T1497"/>
  <c r="V1497"/>
  <c r="T1498"/>
  <c r="V1498"/>
  <c r="T1499"/>
  <c r="V1499"/>
  <c r="T1500"/>
  <c r="V1500"/>
  <c r="T1501"/>
  <c r="V1501"/>
  <c r="T1502"/>
  <c r="V1502"/>
  <c r="T1503"/>
  <c r="V1503"/>
  <c r="T1504"/>
  <c r="V1504"/>
  <c r="T1505"/>
  <c r="V1505"/>
  <c r="T1506"/>
  <c r="V1506"/>
  <c r="T1507"/>
  <c r="V1507"/>
  <c r="T1508"/>
  <c r="V1508"/>
  <c r="T1509"/>
  <c r="V1509"/>
  <c r="T1510"/>
  <c r="V1510"/>
  <c r="T1511"/>
  <c r="V1511"/>
  <c r="T1512"/>
  <c r="V1512"/>
  <c r="T1513"/>
  <c r="V1513"/>
  <c r="T1514"/>
  <c r="V1514"/>
  <c r="T1515"/>
  <c r="V1515"/>
  <c r="T1516"/>
  <c r="V1516"/>
  <c r="T1517"/>
  <c r="V1517"/>
  <c r="T1518"/>
  <c r="V1518"/>
  <c r="T1519"/>
  <c r="V1519"/>
  <c r="T1520"/>
  <c r="V1520"/>
  <c r="T1521"/>
  <c r="V1521"/>
  <c r="T1522"/>
  <c r="V1522"/>
  <c r="T1523"/>
  <c r="V1523"/>
  <c r="T1524"/>
  <c r="V1524"/>
  <c r="T1525"/>
  <c r="V1525"/>
  <c r="T1526"/>
  <c r="V1526"/>
  <c r="T1527"/>
  <c r="V1527"/>
  <c r="T1528"/>
  <c r="V1528"/>
  <c r="T1529"/>
  <c r="V1529"/>
  <c r="T1530"/>
  <c r="V1530"/>
  <c r="T1531"/>
  <c r="V1531"/>
  <c r="T1532"/>
  <c r="V1532"/>
  <c r="T1533"/>
  <c r="V1533"/>
  <c r="T1534"/>
  <c r="V1534"/>
  <c r="T1535"/>
  <c r="V1535"/>
  <c r="T1536"/>
  <c r="V1536"/>
  <c r="T1537"/>
  <c r="V1537"/>
  <c r="T1538"/>
  <c r="V1538"/>
  <c r="T1539"/>
  <c r="V1539"/>
  <c r="T1540"/>
  <c r="V1540"/>
  <c r="T1541"/>
  <c r="V1541"/>
  <c r="T1542"/>
  <c r="V1542"/>
  <c r="T1543"/>
  <c r="V1543"/>
  <c r="T1544"/>
  <c r="V1544"/>
  <c r="T1545"/>
  <c r="V1545"/>
  <c r="T1546"/>
  <c r="V1546"/>
  <c r="T1547"/>
  <c r="V1547"/>
  <c r="T1548"/>
  <c r="V1548"/>
  <c r="T1549"/>
  <c r="V1549"/>
  <c r="T1550"/>
  <c r="V1550"/>
  <c r="T1551"/>
  <c r="V1551"/>
  <c r="T1552"/>
  <c r="V1552"/>
  <c r="T1553"/>
  <c r="V1553"/>
  <c r="T1554"/>
  <c r="V1554"/>
  <c r="T1555"/>
  <c r="V1555"/>
  <c r="T1556"/>
  <c r="V1556"/>
  <c r="T1557"/>
  <c r="V1557"/>
  <c r="T1558"/>
  <c r="V1558"/>
  <c r="T1559"/>
  <c r="V1559"/>
  <c r="T1560"/>
  <c r="V1560"/>
  <c r="T1561"/>
  <c r="V1561"/>
  <c r="T1562"/>
  <c r="V1562"/>
  <c r="T1563"/>
  <c r="V1563"/>
  <c r="T1564"/>
  <c r="V1564"/>
  <c r="T1565"/>
  <c r="V1565"/>
  <c r="T1566"/>
  <c r="V1566"/>
  <c r="T1567"/>
  <c r="V1567"/>
  <c r="T1568"/>
  <c r="V1568"/>
  <c r="T1569"/>
  <c r="V1569"/>
  <c r="T1570"/>
  <c r="V1570"/>
  <c r="T1571"/>
  <c r="V1571"/>
  <c r="T1572"/>
  <c r="V1572"/>
  <c r="T1573"/>
  <c r="V1573"/>
  <c r="T1574"/>
  <c r="V1574"/>
  <c r="T1575"/>
  <c r="V1575"/>
  <c r="T1576"/>
  <c r="V1576"/>
  <c r="T1577"/>
  <c r="V1577"/>
  <c r="T1578"/>
  <c r="V1578"/>
  <c r="T1579"/>
  <c r="V1579"/>
  <c r="T1580"/>
  <c r="V1580"/>
  <c r="T1581"/>
  <c r="V1581"/>
  <c r="T1582"/>
  <c r="V1582"/>
  <c r="T1583"/>
  <c r="V1583"/>
  <c r="T1584"/>
  <c r="V1584"/>
  <c r="T1585"/>
  <c r="V1585"/>
  <c r="T1586"/>
  <c r="V1586"/>
  <c r="T1587"/>
  <c r="V1587"/>
  <c r="T1588"/>
  <c r="V1588"/>
  <c r="T1589"/>
  <c r="V1589"/>
  <c r="T1590"/>
  <c r="V1590"/>
  <c r="T1591"/>
  <c r="V1591"/>
  <c r="T1592"/>
  <c r="V1592"/>
  <c r="T1593"/>
  <c r="V1593"/>
  <c r="T1594"/>
  <c r="V1594"/>
  <c r="T1595"/>
  <c r="V1595"/>
  <c r="T1596"/>
  <c r="V1596"/>
  <c r="T1597"/>
  <c r="V1597"/>
  <c r="T1598"/>
  <c r="V1598"/>
  <c r="T1599"/>
  <c r="V1599"/>
  <c r="T1600"/>
  <c r="V1600"/>
  <c r="T1601"/>
  <c r="V1601"/>
  <c r="T1602"/>
  <c r="V1602"/>
  <c r="T1603"/>
  <c r="V1603"/>
  <c r="T1604"/>
  <c r="V1604"/>
  <c r="T1605"/>
  <c r="V1605"/>
  <c r="T1606"/>
  <c r="V1606"/>
  <c r="T1607"/>
  <c r="V1607"/>
  <c r="T1608"/>
  <c r="V1608"/>
  <c r="T1609"/>
  <c r="V1609"/>
  <c r="T1610"/>
  <c r="V1610"/>
  <c r="T1611"/>
  <c r="V1611"/>
  <c r="T1612"/>
  <c r="V1612"/>
  <c r="T1613"/>
  <c r="V1613"/>
  <c r="T1614"/>
  <c r="V1614"/>
  <c r="T1615"/>
  <c r="V1615"/>
  <c r="T1616"/>
  <c r="V1616"/>
  <c r="T1617"/>
  <c r="V1617"/>
  <c r="T1618"/>
  <c r="V1618"/>
  <c r="T1619"/>
  <c r="V1619"/>
  <c r="T1620"/>
  <c r="V1620"/>
  <c r="T1621"/>
  <c r="V1621"/>
  <c r="T1622"/>
  <c r="V1622"/>
  <c r="T1623"/>
  <c r="V1623"/>
  <c r="T1624"/>
  <c r="V1624"/>
  <c r="T1625"/>
  <c r="V1625"/>
  <c r="T1626"/>
  <c r="V1626"/>
  <c r="T1627"/>
  <c r="V1627"/>
  <c r="T1628"/>
  <c r="V1628"/>
  <c r="T1629"/>
  <c r="V1629"/>
  <c r="T1630"/>
  <c r="V1630"/>
  <c r="T1631"/>
  <c r="V1631"/>
  <c r="T1632"/>
  <c r="V1632"/>
  <c r="T1633"/>
  <c r="V1633"/>
  <c r="T1634"/>
  <c r="V1634"/>
  <c r="T1635"/>
  <c r="V1635"/>
  <c r="T1636"/>
  <c r="V1636"/>
  <c r="T1637"/>
  <c r="V1637"/>
  <c r="T1638"/>
  <c r="V1638"/>
  <c r="T1639"/>
  <c r="V1639"/>
  <c r="T1640"/>
  <c r="V1640"/>
  <c r="T1641"/>
  <c r="V1641"/>
  <c r="T1642"/>
  <c r="V1642"/>
  <c r="T1643"/>
  <c r="V1643"/>
  <c r="T1644"/>
  <c r="V1644"/>
  <c r="T1645"/>
  <c r="V1645"/>
  <c r="T1646"/>
  <c r="V1646"/>
  <c r="T1647"/>
  <c r="V1647"/>
  <c r="T1648"/>
  <c r="V1648"/>
  <c r="T1649"/>
  <c r="V1649"/>
  <c r="T1650"/>
  <c r="V1650"/>
  <c r="T1651"/>
  <c r="V1651"/>
  <c r="T1652"/>
  <c r="V1652"/>
  <c r="T1653"/>
  <c r="V1653"/>
  <c r="T1654"/>
  <c r="V1654"/>
  <c r="T1655"/>
  <c r="V1655"/>
  <c r="T1656"/>
  <c r="V1656"/>
  <c r="T1657"/>
  <c r="V1657"/>
  <c r="T1658"/>
  <c r="V1658"/>
  <c r="T1659"/>
  <c r="V1659"/>
  <c r="T1660"/>
  <c r="V1660"/>
  <c r="T1661"/>
  <c r="V1661"/>
  <c r="T1662"/>
  <c r="V1662"/>
  <c r="T1663"/>
  <c r="V1663"/>
  <c r="T1664"/>
  <c r="V1664"/>
  <c r="T1665"/>
  <c r="V1665"/>
  <c r="T1666"/>
  <c r="V1666"/>
  <c r="T1667"/>
  <c r="V1667"/>
  <c r="T1668"/>
  <c r="V1668"/>
  <c r="T1669"/>
  <c r="V1669"/>
  <c r="T1670"/>
  <c r="V1670"/>
  <c r="T1671"/>
  <c r="V1671"/>
  <c r="T1672"/>
  <c r="V1672"/>
  <c r="T1673"/>
  <c r="V1673"/>
  <c r="T1674"/>
  <c r="V1674"/>
  <c r="T1675"/>
  <c r="V1675"/>
  <c r="T1676"/>
  <c r="V1676"/>
  <c r="T1677"/>
  <c r="V1677"/>
  <c r="T1678"/>
  <c r="V1678"/>
  <c r="T1679"/>
  <c r="V1679"/>
  <c r="T1680"/>
  <c r="V1680"/>
  <c r="T1681"/>
  <c r="V1681"/>
  <c r="T1682"/>
  <c r="V1682"/>
  <c r="T1683"/>
  <c r="V1683"/>
  <c r="T1684"/>
  <c r="V1684"/>
  <c r="T1685"/>
  <c r="V1685"/>
  <c r="T1686"/>
  <c r="V1686"/>
  <c r="T1687"/>
  <c r="V1687"/>
  <c r="T1688"/>
  <c r="V1688"/>
  <c r="T1689"/>
  <c r="V1689"/>
  <c r="T1690"/>
  <c r="V1690"/>
  <c r="T1691"/>
  <c r="V1691"/>
  <c r="T1692"/>
  <c r="V1692"/>
  <c r="T1693"/>
  <c r="V1693"/>
  <c r="T1694"/>
  <c r="V1694"/>
  <c r="T1695"/>
  <c r="V1695"/>
  <c r="T1696"/>
  <c r="V1696"/>
  <c r="T1697"/>
  <c r="V1697"/>
  <c r="T1698"/>
  <c r="V1698"/>
  <c r="T1699"/>
  <c r="V1699"/>
  <c r="T1700"/>
  <c r="V1700"/>
  <c r="T1701"/>
  <c r="V1701"/>
  <c r="T1702"/>
  <c r="V1702"/>
  <c r="T1703"/>
  <c r="V1703"/>
  <c r="T1704"/>
  <c r="V1704"/>
  <c r="T1705"/>
  <c r="V1705"/>
  <c r="T1706"/>
  <c r="V1706"/>
  <c r="T1707"/>
  <c r="V1707"/>
  <c r="T1708"/>
  <c r="V1708"/>
  <c r="T1709"/>
  <c r="V1709"/>
  <c r="T1710"/>
  <c r="V1710"/>
  <c r="T1711"/>
  <c r="V1711"/>
  <c r="T1712"/>
  <c r="V1712"/>
  <c r="T1713"/>
  <c r="V1713"/>
  <c r="T1714"/>
  <c r="V1714"/>
  <c r="T1715"/>
  <c r="V1715"/>
  <c r="T1716"/>
  <c r="V1716"/>
  <c r="T1717"/>
  <c r="V1717"/>
  <c r="T1718"/>
  <c r="V1718"/>
  <c r="T1719"/>
  <c r="V1719"/>
  <c r="T1720"/>
  <c r="V1720"/>
  <c r="T1721"/>
  <c r="V1721"/>
  <c r="T1722"/>
  <c r="V1722"/>
  <c r="T1723"/>
  <c r="V1723"/>
  <c r="T1724"/>
  <c r="V1724"/>
  <c r="T1725"/>
  <c r="V1725"/>
  <c r="T1726"/>
  <c r="V1726"/>
  <c r="T1727"/>
  <c r="V1727"/>
  <c r="T1728"/>
  <c r="V1728"/>
  <c r="T1729"/>
  <c r="V1729"/>
  <c r="T1730"/>
  <c r="V1730"/>
  <c r="T1731"/>
  <c r="V1731"/>
  <c r="T1732"/>
  <c r="V1732"/>
  <c r="T1733"/>
  <c r="V1733"/>
  <c r="T1734"/>
  <c r="V1734"/>
  <c r="T1735"/>
  <c r="V1735"/>
  <c r="T1736"/>
  <c r="V1736"/>
  <c r="T1737"/>
  <c r="V1737"/>
  <c r="T1738"/>
  <c r="V1738"/>
  <c r="T1739"/>
  <c r="V1739"/>
  <c r="T1740"/>
  <c r="V1740"/>
  <c r="T1741"/>
  <c r="V1741"/>
  <c r="T1742"/>
  <c r="V1742"/>
  <c r="T1743"/>
  <c r="V1743"/>
  <c r="T1744"/>
  <c r="V1744"/>
  <c r="T1745"/>
  <c r="V1745"/>
  <c r="T1746"/>
  <c r="V1746"/>
  <c r="T1747"/>
  <c r="V1747"/>
  <c r="T1748"/>
  <c r="V1748"/>
  <c r="T1749"/>
  <c r="V1749"/>
  <c r="T1750"/>
  <c r="V1750"/>
  <c r="T1751"/>
  <c r="V1751"/>
  <c r="T1752"/>
  <c r="V1752"/>
  <c r="T1753"/>
  <c r="V1753"/>
  <c r="T1754"/>
  <c r="V1754"/>
  <c r="T1755"/>
  <c r="V1755"/>
  <c r="T1756"/>
  <c r="V1756"/>
  <c r="T1757"/>
  <c r="V1757"/>
  <c r="T1758"/>
  <c r="V1758"/>
  <c r="T1759"/>
  <c r="V1759"/>
  <c r="T1760"/>
  <c r="V1760"/>
  <c r="T1761"/>
  <c r="V1761"/>
  <c r="T1762"/>
  <c r="V1762"/>
  <c r="T1763"/>
  <c r="V1763"/>
  <c r="T1764"/>
  <c r="V1764"/>
  <c r="T1765"/>
  <c r="V1765"/>
  <c r="T1766"/>
  <c r="V1766"/>
  <c r="T1767"/>
  <c r="V1767"/>
  <c r="T1768"/>
  <c r="V1768"/>
  <c r="T1769"/>
  <c r="V1769"/>
  <c r="T1770"/>
  <c r="V1770"/>
  <c r="T1771"/>
  <c r="V1771"/>
  <c r="T1772"/>
  <c r="V1772"/>
  <c r="T1773"/>
  <c r="V1773"/>
  <c r="T1774"/>
  <c r="V1774"/>
  <c r="T1775"/>
  <c r="V1775"/>
  <c r="T1776"/>
  <c r="V1776"/>
  <c r="T1777"/>
  <c r="V1777"/>
  <c r="T1778"/>
  <c r="V1778"/>
  <c r="T1779"/>
  <c r="V1779"/>
  <c r="T1780"/>
  <c r="V1780"/>
  <c r="T1781"/>
  <c r="V1781"/>
  <c r="T1782"/>
  <c r="V1782"/>
  <c r="T1783"/>
  <c r="V1783"/>
  <c r="T1784"/>
  <c r="V1784"/>
  <c r="T1785"/>
  <c r="V1785"/>
  <c r="T1786"/>
  <c r="V1786"/>
  <c r="T1787"/>
  <c r="V1787"/>
  <c r="T1788"/>
  <c r="V1788"/>
  <c r="T1789"/>
  <c r="V1789"/>
  <c r="T1790"/>
  <c r="V1790"/>
  <c r="T1791"/>
  <c r="V1791"/>
  <c r="T1792"/>
  <c r="V1792"/>
  <c r="T1793"/>
  <c r="V1793"/>
  <c r="T1794"/>
  <c r="V1794"/>
  <c r="T1795"/>
  <c r="V1795"/>
  <c r="T1796"/>
  <c r="V1796"/>
  <c r="T1797"/>
  <c r="V1797"/>
  <c r="T1798"/>
  <c r="V1798"/>
  <c r="T1799"/>
  <c r="V1799"/>
  <c r="T1800"/>
  <c r="V1800"/>
  <c r="T1801"/>
  <c r="V1801"/>
  <c r="T1802"/>
  <c r="V1802"/>
  <c r="T1803"/>
  <c r="V1803"/>
  <c r="T1804"/>
  <c r="V1804"/>
  <c r="T1805"/>
  <c r="V1805"/>
  <c r="T1806"/>
  <c r="V1806"/>
  <c r="T1807"/>
  <c r="V1807"/>
  <c r="T1808"/>
  <c r="V1808"/>
  <c r="T1809"/>
  <c r="V1809"/>
  <c r="T1810"/>
  <c r="V1810"/>
  <c r="T1811"/>
  <c r="V1811"/>
  <c r="T1812"/>
  <c r="V1812"/>
  <c r="T1813"/>
  <c r="V1813"/>
  <c r="T1814"/>
  <c r="V1814"/>
  <c r="T1815"/>
  <c r="V1815"/>
  <c r="T1816"/>
  <c r="V1816"/>
  <c r="T1817"/>
  <c r="V1817"/>
  <c r="T1818"/>
  <c r="V1818"/>
  <c r="T1819"/>
  <c r="V1819"/>
  <c r="T1820"/>
  <c r="V1820"/>
  <c r="T1821"/>
  <c r="V1821"/>
  <c r="T1822"/>
  <c r="V1822"/>
  <c r="T1823"/>
  <c r="V1823"/>
  <c r="T1824"/>
  <c r="V1824"/>
  <c r="T1825"/>
  <c r="V1825"/>
  <c r="T1826"/>
  <c r="V1826"/>
  <c r="T1827"/>
  <c r="V1827"/>
  <c r="T1828"/>
  <c r="V1828"/>
  <c r="T1829"/>
  <c r="V1829"/>
  <c r="T1830"/>
  <c r="V1830"/>
  <c r="T1831"/>
  <c r="V1831"/>
  <c r="T1832"/>
  <c r="V1832"/>
  <c r="T1833"/>
  <c r="V1833"/>
  <c r="T1834"/>
  <c r="V1834"/>
  <c r="T1835"/>
  <c r="V1835"/>
  <c r="T1836"/>
  <c r="V1836"/>
  <c r="T1837"/>
  <c r="V1837"/>
  <c r="T1838"/>
  <c r="V1838"/>
  <c r="T1839"/>
  <c r="V1839"/>
  <c r="T1840"/>
  <c r="V1840"/>
  <c r="T1841"/>
  <c r="V1841"/>
  <c r="T1842"/>
  <c r="V1842"/>
  <c r="T1843"/>
  <c r="V1843"/>
  <c r="T1844"/>
  <c r="V1844"/>
  <c r="T1845"/>
  <c r="V1845"/>
  <c r="T1846"/>
  <c r="V1846"/>
  <c r="T1847"/>
  <c r="V1847"/>
  <c r="T1848"/>
  <c r="V1848"/>
  <c r="T1849"/>
  <c r="V1849"/>
  <c r="T1850"/>
  <c r="V1850"/>
  <c r="T1851"/>
  <c r="V1851"/>
  <c r="T1852"/>
  <c r="V1852"/>
  <c r="T1853"/>
  <c r="V1853"/>
  <c r="T1854"/>
  <c r="V1854"/>
  <c r="T1855"/>
  <c r="V1855"/>
  <c r="T1856"/>
  <c r="V1856"/>
  <c r="T1857"/>
  <c r="V1857"/>
  <c r="T1858"/>
  <c r="V1858"/>
  <c r="T1859"/>
  <c r="V1859"/>
  <c r="T1860"/>
  <c r="V1860"/>
  <c r="T1861"/>
  <c r="V1861"/>
  <c r="T1862"/>
  <c r="V1862"/>
  <c r="T1863"/>
  <c r="V1863"/>
  <c r="T1864"/>
  <c r="V1864"/>
  <c r="T1865"/>
  <c r="V1865"/>
  <c r="T1866"/>
  <c r="V1866"/>
  <c r="T1867"/>
  <c r="V1867"/>
  <c r="T1868"/>
  <c r="V1868"/>
  <c r="T1869"/>
  <c r="V1869"/>
  <c r="T1870"/>
  <c r="V1870"/>
  <c r="T1871"/>
  <c r="V1871"/>
  <c r="T1872"/>
  <c r="V1872"/>
  <c r="T1873"/>
  <c r="V1873"/>
  <c r="T1874"/>
  <c r="V1874"/>
  <c r="T1875"/>
  <c r="V1875"/>
  <c r="T1876"/>
  <c r="V1876"/>
  <c r="T1877"/>
  <c r="V1877"/>
  <c r="T1878"/>
  <c r="V1878"/>
  <c r="T1879"/>
  <c r="V1879"/>
  <c r="T1880"/>
  <c r="V1880"/>
  <c r="T1881"/>
  <c r="V1881"/>
  <c r="T1882"/>
  <c r="V1882"/>
  <c r="T1883"/>
  <c r="V1883"/>
  <c r="T1884"/>
  <c r="V1884"/>
  <c r="T1885"/>
  <c r="V1885"/>
  <c r="T1886"/>
  <c r="V1886"/>
  <c r="T1887"/>
  <c r="V1887"/>
  <c r="T1888"/>
  <c r="V1888"/>
  <c r="T1889"/>
  <c r="V1889"/>
  <c r="T1890"/>
  <c r="V1890"/>
  <c r="T1891"/>
  <c r="V1891"/>
  <c r="T1892"/>
  <c r="V1892"/>
  <c r="T1893"/>
  <c r="V1893"/>
  <c r="T1894"/>
  <c r="V1894"/>
  <c r="T1895"/>
  <c r="V1895"/>
  <c r="T1896"/>
  <c r="V1896"/>
  <c r="T1897"/>
  <c r="V1897"/>
  <c r="T1898"/>
  <c r="V1898"/>
  <c r="T1899"/>
  <c r="V1899"/>
  <c r="T1900"/>
  <c r="V1900"/>
  <c r="T1901"/>
  <c r="V1901"/>
  <c r="T1902"/>
  <c r="V1902"/>
  <c r="T1903"/>
  <c r="V1903"/>
  <c r="T1904"/>
  <c r="V1904"/>
  <c r="T1905"/>
  <c r="V1905"/>
  <c r="T1906"/>
  <c r="V1906"/>
  <c r="T1907"/>
  <c r="V1907"/>
  <c r="T1908"/>
  <c r="V1908"/>
  <c r="T1909"/>
  <c r="V1909"/>
  <c r="T1910"/>
  <c r="V1910"/>
  <c r="T1911"/>
  <c r="V1911"/>
  <c r="T1912"/>
  <c r="V1912"/>
  <c r="T1913"/>
  <c r="V1913"/>
  <c r="T1914"/>
  <c r="V1914"/>
  <c r="T1915"/>
  <c r="V1915"/>
  <c r="T1916"/>
  <c r="V1916"/>
  <c r="T1917"/>
  <c r="V1917"/>
  <c r="T1918"/>
  <c r="V1918"/>
  <c r="T1919"/>
  <c r="V1919"/>
  <c r="T1920"/>
  <c r="V1920"/>
  <c r="T1921"/>
  <c r="V1921"/>
  <c r="T1922"/>
  <c r="V1922"/>
  <c r="T1923"/>
  <c r="V1923"/>
  <c r="T1924"/>
  <c r="V1924"/>
  <c r="T1925"/>
  <c r="V1925"/>
  <c r="T1926"/>
  <c r="V1926"/>
  <c r="T1927"/>
  <c r="V1927"/>
  <c r="T1928"/>
  <c r="V1928"/>
  <c r="T1929"/>
  <c r="V1929"/>
  <c r="T1930"/>
  <c r="V1930"/>
  <c r="T1931"/>
  <c r="V1931"/>
  <c r="T1932"/>
  <c r="V1932"/>
  <c r="T1933"/>
  <c r="V1933"/>
  <c r="T1934"/>
  <c r="V1934"/>
  <c r="T1935"/>
  <c r="V1935"/>
  <c r="T1936"/>
  <c r="V1936"/>
  <c r="T1937"/>
  <c r="V1937"/>
  <c r="T1938"/>
  <c r="V1938"/>
  <c r="T1939"/>
  <c r="V1939"/>
  <c r="T1940"/>
  <c r="V1940"/>
  <c r="T1941"/>
  <c r="V1941"/>
  <c r="T1942"/>
  <c r="V1942"/>
  <c r="T1943"/>
  <c r="V1943"/>
  <c r="T1944"/>
  <c r="V1944"/>
  <c r="T1945"/>
  <c r="V1945"/>
  <c r="T1946"/>
  <c r="V1946"/>
  <c r="T1947"/>
  <c r="V1947"/>
  <c r="T1948"/>
  <c r="V1948"/>
  <c r="T1949"/>
  <c r="V1949"/>
  <c r="T1950"/>
  <c r="V1950"/>
  <c r="T1951"/>
  <c r="V1951"/>
  <c r="T1952"/>
  <c r="V1952"/>
  <c r="T1953"/>
  <c r="V1953"/>
  <c r="T1954"/>
  <c r="V1954"/>
  <c r="T1955"/>
  <c r="V1955"/>
  <c r="T1956"/>
  <c r="V1956"/>
  <c r="T1957"/>
  <c r="V1957"/>
  <c r="T1958"/>
  <c r="V1958"/>
  <c r="T1959"/>
  <c r="V1959"/>
  <c r="T1960"/>
  <c r="V1960"/>
  <c r="T1961"/>
  <c r="V1961"/>
  <c r="T1962"/>
  <c r="V1962"/>
  <c r="T1963"/>
  <c r="V1963"/>
  <c r="T1964"/>
  <c r="V1964"/>
  <c r="T1965"/>
  <c r="V1965"/>
  <c r="T1966"/>
  <c r="V1966"/>
  <c r="T1967"/>
  <c r="V1967"/>
  <c r="T1968"/>
  <c r="V1968"/>
  <c r="T1969"/>
  <c r="V1969"/>
  <c r="T1970"/>
  <c r="V1970"/>
  <c r="T1971"/>
  <c r="V1971"/>
  <c r="T1972"/>
  <c r="V1972"/>
  <c r="T1973"/>
  <c r="V1973"/>
  <c r="T1974"/>
  <c r="V1974"/>
  <c r="T1975"/>
  <c r="V1975"/>
  <c r="T1976"/>
  <c r="V1976"/>
  <c r="T1977"/>
  <c r="V1977"/>
  <c r="T1978"/>
  <c r="V1978"/>
  <c r="T1979"/>
  <c r="V1979"/>
  <c r="T1980"/>
  <c r="V1980"/>
  <c r="T1981"/>
  <c r="V1981"/>
  <c r="T1982"/>
  <c r="V1982"/>
  <c r="T1983"/>
  <c r="V1983"/>
  <c r="T1984"/>
  <c r="V1984"/>
  <c r="T1985"/>
  <c r="V1985"/>
  <c r="T1986"/>
  <c r="V1986"/>
  <c r="T1987"/>
  <c r="V1987"/>
  <c r="T1988"/>
  <c r="V1988"/>
  <c r="T1989"/>
  <c r="V1989"/>
  <c r="T1990"/>
  <c r="V1990"/>
  <c r="T1991"/>
  <c r="V1991"/>
  <c r="T1992"/>
  <c r="V1992"/>
  <c r="T1993"/>
  <c r="V1993"/>
  <c r="T1994"/>
  <c r="V1994"/>
  <c r="T1995"/>
  <c r="V1995"/>
  <c r="T1996"/>
  <c r="V1996"/>
  <c r="T1997"/>
  <c r="V1997"/>
  <c r="T1998"/>
  <c r="V1998"/>
  <c r="T1999"/>
  <c r="V1999"/>
  <c r="T2000"/>
  <c r="V2000"/>
  <c r="T2001"/>
  <c r="V2001"/>
  <c r="T2002"/>
  <c r="V2002"/>
  <c r="T2003"/>
  <c r="V2003"/>
  <c r="T2004"/>
  <c r="V2004"/>
  <c r="T2005"/>
  <c r="V2005"/>
  <c r="T2006"/>
  <c r="V2006"/>
  <c r="T2007"/>
  <c r="V2007"/>
  <c r="T2008"/>
  <c r="V2008"/>
  <c r="T2009"/>
  <c r="V2009"/>
  <c r="T2010"/>
  <c r="V2010"/>
  <c r="T2011"/>
  <c r="V2011"/>
  <c r="T2012"/>
  <c r="V2012"/>
  <c r="T2013"/>
  <c r="V2013"/>
  <c r="T2014"/>
  <c r="V2014"/>
  <c r="T2015"/>
  <c r="V2015"/>
  <c r="T2016"/>
  <c r="V2016"/>
  <c r="T2017"/>
  <c r="V2017"/>
  <c r="T2018"/>
  <c r="V2018"/>
  <c r="T2019"/>
  <c r="V2019"/>
  <c r="T2020"/>
  <c r="V2020"/>
  <c r="T2021"/>
  <c r="V2021"/>
  <c r="T2022"/>
  <c r="V2022"/>
  <c r="T2023"/>
  <c r="V2023"/>
  <c r="T2024"/>
  <c r="V2024"/>
  <c r="T2025"/>
  <c r="V2025"/>
  <c r="T2026"/>
  <c r="V2026"/>
  <c r="T2027"/>
  <c r="V2027"/>
  <c r="T2028"/>
  <c r="V2028"/>
  <c r="T2029"/>
  <c r="V2029"/>
  <c r="T2030"/>
  <c r="V2030"/>
  <c r="T2031"/>
  <c r="V2031"/>
  <c r="T2032"/>
  <c r="V2032"/>
  <c r="T2033"/>
  <c r="V2033"/>
  <c r="T2034"/>
  <c r="V2034"/>
  <c r="T2035"/>
  <c r="V2035"/>
  <c r="T2036"/>
  <c r="V2036"/>
  <c r="T2037"/>
  <c r="V2037"/>
  <c r="T2038"/>
  <c r="V2038"/>
  <c r="T2039"/>
  <c r="V2039"/>
  <c r="T2040"/>
  <c r="V2040"/>
  <c r="T2041"/>
  <c r="V2041"/>
  <c r="T2042"/>
  <c r="V2042"/>
  <c r="T2043"/>
  <c r="V2043"/>
  <c r="T2044"/>
  <c r="V2044"/>
  <c r="T2045"/>
  <c r="V2045"/>
  <c r="T2046"/>
  <c r="V2046"/>
  <c r="T2047"/>
  <c r="V2047"/>
  <c r="T2048"/>
  <c r="V2048"/>
  <c r="T2049"/>
  <c r="V2049"/>
  <c r="T2050"/>
  <c r="V2050"/>
  <c r="T2051"/>
  <c r="V2051"/>
  <c r="T2052"/>
  <c r="V2052"/>
  <c r="T2053"/>
  <c r="V2053"/>
  <c r="T2054"/>
  <c r="V2054"/>
  <c r="T2055"/>
  <c r="V2055"/>
  <c r="T2056"/>
  <c r="V2056"/>
  <c r="T2057"/>
  <c r="V2057"/>
  <c r="T2058"/>
  <c r="V2058"/>
  <c r="T2059"/>
  <c r="V2059"/>
  <c r="T2060"/>
  <c r="V2060"/>
  <c r="T2061"/>
  <c r="V2061"/>
  <c r="T2062"/>
  <c r="V2062"/>
  <c r="T2063"/>
  <c r="V2063"/>
  <c r="T2064"/>
  <c r="V2064"/>
  <c r="T2065"/>
  <c r="V2065"/>
  <c r="T2066"/>
  <c r="V2066"/>
  <c r="T2067"/>
  <c r="V2067"/>
  <c r="T2068"/>
  <c r="V2068"/>
  <c r="T2069"/>
  <c r="V2069"/>
  <c r="T2070"/>
  <c r="V2070"/>
  <c r="T2071"/>
  <c r="V2071"/>
  <c r="T2072"/>
  <c r="V2072"/>
  <c r="T2073"/>
  <c r="V2073"/>
  <c r="T2074"/>
  <c r="V2074"/>
  <c r="T2075"/>
  <c r="V2075"/>
  <c r="T2076"/>
  <c r="V2076"/>
  <c r="T2077"/>
  <c r="V2077"/>
  <c r="T2078"/>
  <c r="V2078"/>
  <c r="T2079"/>
  <c r="V2079"/>
  <c r="T2080"/>
  <c r="V2080"/>
  <c r="T2081"/>
  <c r="V2081"/>
  <c r="T2082"/>
  <c r="V2082"/>
  <c r="T2083"/>
  <c r="V2083"/>
  <c r="T2084"/>
  <c r="V2084"/>
  <c r="T2085"/>
  <c r="V2085"/>
  <c r="T2086"/>
  <c r="V2086"/>
  <c r="T2087"/>
  <c r="V2087"/>
  <c r="T2088"/>
  <c r="V2088"/>
  <c r="T2089"/>
  <c r="V2089"/>
  <c r="T2090"/>
  <c r="V2090"/>
  <c r="T2091"/>
  <c r="V2091"/>
  <c r="T2092"/>
  <c r="V2092"/>
  <c r="T2093"/>
  <c r="V2093"/>
  <c r="T2094"/>
  <c r="V2094"/>
  <c r="T2095"/>
  <c r="V2095"/>
  <c r="T2096"/>
  <c r="V2096"/>
  <c r="T2097"/>
  <c r="V2097"/>
  <c r="T2098"/>
  <c r="V2098"/>
  <c r="T2099"/>
  <c r="V2099"/>
  <c r="T2100"/>
  <c r="V2100"/>
  <c r="T2101"/>
  <c r="V2101"/>
  <c r="T2102"/>
  <c r="V2102"/>
  <c r="T2103"/>
  <c r="V2103"/>
  <c r="T2104"/>
  <c r="V2104"/>
  <c r="T2105"/>
  <c r="V2105"/>
  <c r="T2106"/>
  <c r="V2106"/>
  <c r="T2107"/>
  <c r="V2107"/>
  <c r="T2108"/>
  <c r="V2108"/>
  <c r="T2109"/>
  <c r="V2109"/>
  <c r="T2110"/>
  <c r="V2110"/>
  <c r="T2111"/>
  <c r="V2111"/>
  <c r="T2112"/>
  <c r="V2112"/>
  <c r="T2113"/>
  <c r="V2113"/>
  <c r="T2114"/>
  <c r="V2114"/>
  <c r="T2115"/>
  <c r="V2115"/>
  <c r="T2116"/>
  <c r="V2116"/>
  <c r="T2117"/>
  <c r="V2117"/>
  <c r="T2118"/>
  <c r="V2118"/>
  <c r="T2119"/>
  <c r="V2119"/>
  <c r="T2120"/>
  <c r="V2120"/>
  <c r="T2121"/>
  <c r="V2121"/>
  <c r="T2122"/>
  <c r="V2122"/>
  <c r="T2123"/>
  <c r="V2123"/>
  <c r="T2124"/>
  <c r="V2124"/>
  <c r="T2125"/>
  <c r="V2125"/>
  <c r="T2126"/>
  <c r="V2126"/>
  <c r="T2127"/>
  <c r="V2127"/>
  <c r="T2128"/>
  <c r="V2128"/>
  <c r="T2129"/>
  <c r="V2129"/>
  <c r="T2130"/>
  <c r="V2130"/>
  <c r="T2131"/>
  <c r="V2131"/>
  <c r="T2132"/>
  <c r="V2132"/>
  <c r="T2133"/>
  <c r="V2133"/>
  <c r="T2134"/>
  <c r="V2134"/>
  <c r="T2135"/>
  <c r="V2135"/>
  <c r="T2136"/>
  <c r="V2136"/>
  <c r="T2137"/>
  <c r="V2137"/>
  <c r="T2138"/>
  <c r="V2138"/>
  <c r="T2139"/>
  <c r="V2139"/>
  <c r="T2140"/>
  <c r="V2140"/>
  <c r="T2141"/>
  <c r="V2141"/>
  <c r="T2142"/>
  <c r="V2142"/>
  <c r="T2143"/>
  <c r="V2143"/>
  <c r="T2144"/>
  <c r="V2144"/>
  <c r="T2145"/>
  <c r="V2145"/>
  <c r="T2146"/>
  <c r="V2146"/>
  <c r="T2147"/>
  <c r="V2147"/>
  <c r="T2148"/>
  <c r="V2148"/>
  <c r="T2149"/>
  <c r="V2149"/>
  <c r="T2150"/>
  <c r="V2150"/>
  <c r="T2151"/>
  <c r="V2151"/>
  <c r="T2152"/>
  <c r="V2152"/>
  <c r="T2153"/>
  <c r="V2153"/>
  <c r="T2154"/>
  <c r="V2154"/>
  <c r="T2155"/>
  <c r="V2155"/>
  <c r="T2156"/>
  <c r="V2156"/>
  <c r="T2157"/>
  <c r="V2157"/>
  <c r="T2158"/>
  <c r="V2158"/>
  <c r="T2159"/>
  <c r="V2159"/>
  <c r="T2160"/>
  <c r="V2160"/>
  <c r="T2161"/>
  <c r="V2161"/>
  <c r="T2162"/>
  <c r="V2162"/>
  <c r="T2163"/>
  <c r="V2163"/>
  <c r="T2164"/>
  <c r="V2164"/>
  <c r="T2165"/>
  <c r="V2165"/>
  <c r="T2166"/>
  <c r="V2166"/>
  <c r="T2167"/>
  <c r="V2167"/>
  <c r="T2168"/>
  <c r="V2168"/>
  <c r="T2169"/>
  <c r="V2169"/>
  <c r="T2170"/>
  <c r="V2170"/>
  <c r="T2171"/>
  <c r="V2171"/>
  <c r="T2172"/>
  <c r="V2172"/>
  <c r="T2173"/>
  <c r="V2173"/>
  <c r="T2174"/>
  <c r="V2174"/>
  <c r="T2175"/>
  <c r="V2175"/>
  <c r="T2176"/>
  <c r="V2176"/>
  <c r="T2177"/>
  <c r="V2177"/>
  <c r="T2178"/>
  <c r="V2178"/>
  <c r="T2179"/>
  <c r="V2179"/>
  <c r="T2180"/>
  <c r="V2180"/>
  <c r="T2181"/>
  <c r="V2181"/>
  <c r="T2182"/>
  <c r="V2182"/>
  <c r="T2183"/>
  <c r="V2183"/>
  <c r="T2184"/>
  <c r="V2184"/>
  <c r="T2185"/>
  <c r="V2185"/>
  <c r="T2186"/>
  <c r="V2186"/>
  <c r="T2187"/>
  <c r="V2187"/>
  <c r="T2188"/>
  <c r="V2188"/>
  <c r="T2189"/>
  <c r="V2189"/>
  <c r="T2190"/>
  <c r="V2190"/>
  <c r="T2191"/>
  <c r="V2191"/>
  <c r="T2192"/>
  <c r="V2192"/>
  <c r="T2193"/>
  <c r="V2193"/>
  <c r="T2194"/>
  <c r="V2194"/>
  <c r="T2195"/>
  <c r="V2195"/>
  <c r="T2196"/>
  <c r="V2196"/>
  <c r="T2197"/>
  <c r="V2197"/>
  <c r="T2198"/>
  <c r="V2198"/>
  <c r="T2199"/>
  <c r="V2199"/>
  <c r="T2200"/>
  <c r="V2200"/>
  <c r="T2201"/>
  <c r="V2201"/>
  <c r="T2202"/>
  <c r="V2202"/>
  <c r="T2203"/>
  <c r="V2203"/>
  <c r="T2204"/>
  <c r="V2204"/>
  <c r="T2205"/>
  <c r="V2205"/>
  <c r="T2206"/>
  <c r="V2206"/>
  <c r="T2207"/>
  <c r="V2207"/>
  <c r="T2208"/>
  <c r="V2208"/>
  <c r="T2209"/>
  <c r="V2209"/>
  <c r="T2210"/>
  <c r="V2210"/>
  <c r="T2211"/>
  <c r="V2211"/>
  <c r="T2212"/>
  <c r="V2212"/>
  <c r="T2213"/>
  <c r="V2213"/>
  <c r="T2214"/>
  <c r="V2214"/>
  <c r="T2215"/>
  <c r="V2215"/>
  <c r="T2216"/>
  <c r="V2216"/>
  <c r="T2217"/>
  <c r="V2217"/>
  <c r="T2218"/>
  <c r="V2218"/>
  <c r="T2219"/>
  <c r="V2219"/>
  <c r="T2220"/>
  <c r="V2220"/>
  <c r="T2221"/>
  <c r="V2221"/>
  <c r="T2222"/>
  <c r="V2222"/>
  <c r="T2223"/>
  <c r="V2223"/>
  <c r="T2224"/>
  <c r="V2224"/>
  <c r="T2225"/>
  <c r="V2225"/>
  <c r="T2226"/>
  <c r="V2226"/>
  <c r="T2227"/>
  <c r="V2227"/>
  <c r="T2228"/>
  <c r="V2228"/>
  <c r="T2229"/>
  <c r="V2229"/>
  <c r="T2230"/>
  <c r="V2230"/>
  <c r="T2231"/>
  <c r="V2231"/>
  <c r="T2232"/>
  <c r="V2232"/>
  <c r="T2233"/>
  <c r="V2233"/>
  <c r="T2234"/>
  <c r="V2234"/>
  <c r="T2235"/>
  <c r="V2235"/>
  <c r="T2236"/>
  <c r="V2236"/>
  <c r="T2237"/>
  <c r="V2237"/>
  <c r="T2238"/>
  <c r="V2238"/>
  <c r="T2239"/>
  <c r="V2239"/>
  <c r="T2240"/>
  <c r="V2240"/>
  <c r="T2241"/>
  <c r="V2241"/>
  <c r="T2242"/>
  <c r="V2242"/>
  <c r="T2243"/>
  <c r="V2243"/>
  <c r="T2244"/>
  <c r="V2244"/>
  <c r="T2245"/>
  <c r="V2245"/>
  <c r="T2246"/>
  <c r="V2246"/>
  <c r="T2247"/>
  <c r="V2247"/>
  <c r="T2248"/>
  <c r="V2248"/>
  <c r="T2249"/>
  <c r="V2249"/>
  <c r="T2250"/>
  <c r="V2250"/>
  <c r="T2251"/>
  <c r="V2251"/>
  <c r="T2252"/>
  <c r="V2252"/>
  <c r="T2253"/>
  <c r="V2253"/>
  <c r="T2254"/>
  <c r="V2254"/>
  <c r="T2255"/>
  <c r="V2255"/>
  <c r="T2256"/>
  <c r="V2256"/>
  <c r="T2257"/>
  <c r="V2257"/>
  <c r="T2258"/>
  <c r="V2258"/>
  <c r="T2259"/>
  <c r="V2259"/>
  <c r="T2260"/>
  <c r="V2260"/>
  <c r="T2261"/>
  <c r="V2261"/>
  <c r="T2262"/>
  <c r="V2262"/>
  <c r="T2263"/>
  <c r="V2263"/>
  <c r="T2264"/>
  <c r="V2264"/>
  <c r="T2265"/>
  <c r="V2265"/>
  <c r="T2266"/>
  <c r="V2266"/>
  <c r="T2267"/>
  <c r="V2267"/>
  <c r="T2268"/>
  <c r="V2268"/>
  <c r="T2269"/>
  <c r="V2269"/>
  <c r="T2270"/>
  <c r="V2270"/>
  <c r="T2271"/>
  <c r="V2271"/>
  <c r="T2272"/>
  <c r="V2272"/>
  <c r="T2273"/>
  <c r="V2273"/>
  <c r="T2274"/>
  <c r="V2274"/>
  <c r="T2275"/>
  <c r="V2275"/>
  <c r="T2276"/>
  <c r="V2276"/>
  <c r="T2277"/>
  <c r="V2277"/>
  <c r="T2278"/>
  <c r="V2278"/>
  <c r="T2279"/>
  <c r="V2279"/>
  <c r="T2280"/>
  <c r="V2280"/>
  <c r="T2281"/>
  <c r="V2281"/>
  <c r="T2282"/>
  <c r="V2282"/>
  <c r="T2283"/>
  <c r="V2283"/>
  <c r="T2284"/>
  <c r="V2284"/>
  <c r="T2285"/>
  <c r="V2285"/>
  <c r="T2286"/>
  <c r="V2286"/>
  <c r="T2287"/>
  <c r="V2287"/>
  <c r="T2288"/>
  <c r="V2288"/>
  <c r="T2289"/>
  <c r="V2289"/>
  <c r="T2290"/>
  <c r="V2290"/>
  <c r="T2291"/>
  <c r="V2291"/>
  <c r="T2292"/>
  <c r="V2292"/>
  <c r="T2293"/>
  <c r="V2293"/>
  <c r="T2294"/>
  <c r="V2294"/>
  <c r="T2295"/>
  <c r="V2295"/>
  <c r="T2296"/>
  <c r="V2296"/>
  <c r="T2297"/>
  <c r="V2297"/>
  <c r="T2298"/>
  <c r="V2298"/>
  <c r="T2299"/>
  <c r="V2299"/>
  <c r="T2300"/>
  <c r="V2300"/>
  <c r="T2301"/>
  <c r="V2301"/>
  <c r="T2302"/>
  <c r="V2302"/>
  <c r="T2303"/>
  <c r="V2303"/>
  <c r="T2304"/>
  <c r="V2304"/>
  <c r="T2305"/>
  <c r="V2305"/>
  <c r="T2306"/>
  <c r="V2306"/>
  <c r="T2307"/>
  <c r="V2307"/>
  <c r="T2308"/>
  <c r="V2308"/>
  <c r="T2309"/>
  <c r="V2309"/>
  <c r="T2310"/>
  <c r="V2310"/>
  <c r="T2311"/>
  <c r="V2311"/>
  <c r="T2312"/>
  <c r="V2312"/>
  <c r="T2313"/>
  <c r="V2313"/>
  <c r="T2314"/>
  <c r="V2314"/>
  <c r="T2315"/>
  <c r="V2315"/>
  <c r="T2316"/>
  <c r="V2316"/>
  <c r="T2317"/>
  <c r="V2317"/>
  <c r="T2318"/>
  <c r="V2318"/>
  <c r="T2319"/>
  <c r="V2319"/>
  <c r="T2320"/>
  <c r="V2320"/>
  <c r="T2321"/>
  <c r="V2321"/>
  <c r="T2322"/>
  <c r="V2322"/>
  <c r="T2323"/>
  <c r="V2323"/>
  <c r="T2324"/>
  <c r="V2324"/>
  <c r="T2325"/>
  <c r="V2325"/>
  <c r="T2326"/>
  <c r="V2326"/>
  <c r="T2327"/>
  <c r="V2327"/>
  <c r="T2328"/>
  <c r="V2328"/>
  <c r="T2329"/>
  <c r="V2329"/>
  <c r="T2330"/>
  <c r="V2330"/>
  <c r="T2331"/>
  <c r="V2331"/>
  <c r="T2332"/>
  <c r="V2332"/>
  <c r="T2333"/>
  <c r="V2333"/>
  <c r="T2334"/>
  <c r="V2334"/>
  <c r="T2335"/>
  <c r="V2335"/>
  <c r="T2336"/>
  <c r="V2336"/>
  <c r="T2337"/>
  <c r="V2337"/>
  <c r="T2338"/>
  <c r="V2338"/>
  <c r="T2339"/>
  <c r="V2339"/>
  <c r="T2340"/>
  <c r="V2340"/>
  <c r="T2341"/>
  <c r="V2341"/>
  <c r="T2342"/>
  <c r="V2342"/>
  <c r="T2343"/>
  <c r="V2343"/>
  <c r="T2344"/>
  <c r="V2344"/>
  <c r="T2345"/>
  <c r="V2345"/>
  <c r="T2346"/>
  <c r="V2346"/>
  <c r="T2347"/>
  <c r="V2347"/>
  <c r="T2348"/>
  <c r="V2348"/>
  <c r="T2349"/>
  <c r="V2349"/>
  <c r="T2350"/>
  <c r="V2350"/>
  <c r="T2351"/>
  <c r="V2351"/>
  <c r="T2352"/>
  <c r="V2352"/>
  <c r="T2353"/>
  <c r="V2353"/>
  <c r="T2354"/>
  <c r="V2354"/>
  <c r="T2355"/>
  <c r="V2355"/>
  <c r="T2356"/>
  <c r="V2356"/>
  <c r="T2357"/>
  <c r="V2357"/>
  <c r="T2358"/>
  <c r="V2358"/>
  <c r="T2359"/>
  <c r="V2359"/>
  <c r="T2360"/>
  <c r="V2360"/>
  <c r="T2361"/>
  <c r="V2361"/>
  <c r="T2362"/>
  <c r="V2362"/>
  <c r="T2363"/>
  <c r="V2363"/>
  <c r="T2364"/>
  <c r="V2364"/>
  <c r="T2365"/>
  <c r="V2365"/>
  <c r="T2366"/>
  <c r="V2366"/>
  <c r="T2367"/>
  <c r="V2367"/>
  <c r="T2368"/>
  <c r="V2368"/>
  <c r="T2369"/>
  <c r="V2369"/>
  <c r="T2370"/>
  <c r="V2370"/>
  <c r="T2371"/>
  <c r="V2371"/>
  <c r="T2372"/>
  <c r="V2372"/>
  <c r="T2373"/>
  <c r="V2373"/>
  <c r="T2374"/>
  <c r="V2374"/>
  <c r="T2375"/>
  <c r="V2375"/>
  <c r="T2376"/>
  <c r="V2376"/>
  <c r="T2377"/>
  <c r="V2377"/>
  <c r="T2378"/>
  <c r="V2378"/>
  <c r="T2379"/>
  <c r="V2379"/>
  <c r="T2380"/>
  <c r="V2380"/>
  <c r="T2381"/>
  <c r="V2381"/>
  <c r="T2382"/>
  <c r="V2382"/>
  <c r="T2383"/>
  <c r="V2383"/>
  <c r="T2384"/>
  <c r="V2384"/>
  <c r="T2385"/>
  <c r="V2385"/>
  <c r="T2386"/>
  <c r="V2386"/>
  <c r="T2387"/>
  <c r="V2387"/>
  <c r="T2388"/>
  <c r="V2388"/>
  <c r="T2389"/>
  <c r="V2389"/>
  <c r="T2390"/>
  <c r="V2390"/>
  <c r="T2391"/>
  <c r="V2391"/>
  <c r="T2392"/>
  <c r="V2392"/>
  <c r="T2393"/>
  <c r="V2393"/>
  <c r="T2394"/>
  <c r="V2394"/>
  <c r="T2395"/>
  <c r="V2395"/>
  <c r="T2396"/>
  <c r="V2396"/>
  <c r="T2397"/>
  <c r="V2397"/>
  <c r="T2398"/>
  <c r="V2398"/>
  <c r="T2399"/>
  <c r="V2399"/>
  <c r="T2400"/>
  <c r="V2400"/>
  <c r="T2401"/>
  <c r="V2401"/>
  <c r="T2402"/>
  <c r="V2402"/>
  <c r="T2403"/>
  <c r="V2403"/>
  <c r="T2404"/>
  <c r="V2404"/>
  <c r="T2405"/>
  <c r="V2405"/>
  <c r="T2406"/>
  <c r="V2406"/>
  <c r="T2407"/>
  <c r="V2407"/>
  <c r="T2408"/>
  <c r="V2408"/>
  <c r="T2409"/>
  <c r="V2409"/>
  <c r="T2410"/>
  <c r="V2410"/>
  <c r="T2411"/>
  <c r="V2411"/>
  <c r="T2412"/>
  <c r="V2412"/>
  <c r="T2413"/>
  <c r="V2413"/>
  <c r="T2414"/>
  <c r="V2414"/>
  <c r="T2415"/>
  <c r="V2415"/>
  <c r="T2416"/>
  <c r="V2416"/>
  <c r="T2417"/>
  <c r="V2417"/>
  <c r="T2418"/>
  <c r="V2418"/>
  <c r="T2419"/>
  <c r="V2419"/>
  <c r="T2420"/>
  <c r="V2420"/>
  <c r="T2421"/>
  <c r="V2421"/>
  <c r="T2422"/>
  <c r="V2422"/>
  <c r="T2423"/>
  <c r="V2423"/>
  <c r="T2424"/>
  <c r="V2424"/>
  <c r="T2425"/>
  <c r="V2425"/>
  <c r="T2426"/>
  <c r="V2426"/>
  <c r="T2427"/>
  <c r="V2427"/>
  <c r="T2428"/>
  <c r="V2428"/>
  <c r="T2429"/>
  <c r="V2429"/>
  <c r="T2430"/>
  <c r="V2430"/>
  <c r="T2431"/>
  <c r="V2431"/>
  <c r="T2432"/>
  <c r="V2432"/>
  <c r="T2433"/>
  <c r="V2433"/>
  <c r="T2434"/>
  <c r="V2434"/>
  <c r="T2435"/>
  <c r="V2435"/>
  <c r="T2436"/>
  <c r="V2436"/>
  <c r="T2437"/>
  <c r="V2437"/>
  <c r="T2438"/>
  <c r="V2438"/>
  <c r="T2439"/>
  <c r="V2439"/>
  <c r="T2440"/>
  <c r="V2440"/>
  <c r="T2441"/>
  <c r="V2441"/>
  <c r="T2442"/>
  <c r="V2442"/>
  <c r="T2443"/>
  <c r="V2443"/>
  <c r="T2444"/>
  <c r="V2444"/>
  <c r="T2445"/>
  <c r="V2445"/>
  <c r="T2446"/>
  <c r="V2446"/>
  <c r="T2447"/>
  <c r="V2447"/>
  <c r="T2448"/>
  <c r="V2448"/>
  <c r="T2449"/>
  <c r="V2449"/>
  <c r="T2450"/>
  <c r="V2450"/>
  <c r="T2451"/>
  <c r="V2451"/>
  <c r="T2452"/>
  <c r="V2452"/>
  <c r="T2453"/>
  <c r="V2453"/>
  <c r="T2454"/>
  <c r="V2454"/>
  <c r="T2455"/>
  <c r="V2455"/>
  <c r="T2456"/>
  <c r="V2456"/>
  <c r="T2457"/>
  <c r="V2457"/>
  <c r="T2458"/>
  <c r="V2458"/>
  <c r="T2459"/>
  <c r="V2459"/>
  <c r="T2460"/>
  <c r="V2460"/>
  <c r="T2461"/>
  <c r="V2461"/>
  <c r="T2462"/>
  <c r="V2462"/>
  <c r="T2463"/>
  <c r="V2463"/>
  <c r="T2464"/>
  <c r="V2464"/>
  <c r="T2465"/>
  <c r="V2465"/>
  <c r="T2466"/>
  <c r="V2466"/>
  <c r="T2467"/>
  <c r="V2467"/>
  <c r="T2468"/>
  <c r="V2468"/>
  <c r="T2469"/>
  <c r="V2469"/>
  <c r="T2470"/>
  <c r="V2470"/>
  <c r="T2471"/>
  <c r="V2471"/>
  <c r="T2472"/>
  <c r="V2472"/>
  <c r="T2473"/>
  <c r="V2473"/>
  <c r="T2474"/>
  <c r="V2474"/>
  <c r="T2475"/>
  <c r="V2475"/>
  <c r="T2476"/>
  <c r="V2476"/>
  <c r="T2477"/>
  <c r="V2477"/>
  <c r="T2478"/>
  <c r="V2478"/>
  <c r="T2479"/>
  <c r="V2479"/>
  <c r="T2480"/>
  <c r="V2480"/>
  <c r="T2481"/>
  <c r="V2481"/>
  <c r="T2482"/>
  <c r="V2482"/>
  <c r="T2483"/>
  <c r="V2483"/>
  <c r="T2484"/>
  <c r="V2484"/>
  <c r="T2485"/>
  <c r="V2485"/>
  <c r="T2486"/>
  <c r="V2486"/>
  <c r="T2487"/>
  <c r="V2487"/>
  <c r="T2488"/>
  <c r="V2488"/>
  <c r="T2489"/>
  <c r="V2489"/>
  <c r="T2490"/>
  <c r="V2490"/>
  <c r="T2491"/>
  <c r="V2491"/>
  <c r="T2492"/>
  <c r="V2492"/>
  <c r="T2493"/>
  <c r="V2493"/>
  <c r="T2494"/>
  <c r="V2494"/>
  <c r="T2495"/>
  <c r="V2495"/>
  <c r="T2496"/>
  <c r="V2496"/>
  <c r="T2497"/>
  <c r="V2497"/>
  <c r="T2498"/>
  <c r="V2498"/>
  <c r="T2499"/>
  <c r="V2499"/>
  <c r="T2500"/>
  <c r="V2500"/>
  <c r="T2501"/>
  <c r="V2501"/>
  <c r="T2502"/>
  <c r="V2502"/>
  <c r="T2503"/>
  <c r="V2503"/>
  <c r="T2504"/>
  <c r="V2504"/>
  <c r="T2505"/>
  <c r="V2505"/>
  <c r="T2506"/>
  <c r="V2506"/>
  <c r="T2507"/>
  <c r="V2507"/>
  <c r="T2508"/>
  <c r="V2508"/>
  <c r="T2509"/>
  <c r="V2509"/>
  <c r="T2510"/>
  <c r="V2510"/>
  <c r="T2511"/>
  <c r="V2511"/>
  <c r="T2512"/>
  <c r="V2512"/>
  <c r="T2513"/>
  <c r="V2513"/>
  <c r="T2514"/>
  <c r="V2514"/>
  <c r="T2515"/>
  <c r="V2515"/>
  <c r="T2516"/>
  <c r="V2516"/>
  <c r="T2517"/>
  <c r="V2517"/>
  <c r="T2518"/>
  <c r="V2518"/>
  <c r="T2519"/>
  <c r="V2519"/>
  <c r="T2520"/>
  <c r="V2520"/>
  <c r="T2521"/>
  <c r="V2521"/>
  <c r="T2522"/>
  <c r="V2522"/>
  <c r="T2523"/>
  <c r="V2523"/>
  <c r="T2524"/>
  <c r="V2524"/>
  <c r="T2525"/>
  <c r="V2525"/>
  <c r="T2526"/>
  <c r="V2526"/>
  <c r="T2527"/>
  <c r="V2527"/>
  <c r="T2528"/>
  <c r="V2528"/>
  <c r="T2529"/>
  <c r="V2529"/>
  <c r="T2530"/>
  <c r="V2530"/>
  <c r="T2531"/>
  <c r="V2531"/>
  <c r="T2532"/>
  <c r="V2532"/>
  <c r="T2533"/>
  <c r="V2533"/>
  <c r="T2534"/>
  <c r="V2534"/>
  <c r="T2535"/>
  <c r="V2535"/>
  <c r="T2536"/>
  <c r="V2536"/>
  <c r="T2537"/>
  <c r="V2537"/>
  <c r="T2538"/>
  <c r="V2538"/>
  <c r="T2539"/>
  <c r="V2539"/>
  <c r="T2540"/>
  <c r="V2540"/>
  <c r="T2541"/>
  <c r="V2541"/>
  <c r="T2542"/>
  <c r="V2542"/>
  <c r="T2543"/>
  <c r="V2543"/>
  <c r="T2544"/>
  <c r="V2544"/>
  <c r="T2545"/>
  <c r="V2545"/>
  <c r="T2546"/>
  <c r="V2546"/>
  <c r="T2547"/>
  <c r="V2547"/>
  <c r="T2548"/>
  <c r="V2548"/>
  <c r="T2549"/>
  <c r="V2549"/>
  <c r="T2550"/>
  <c r="V2550"/>
  <c r="T2551"/>
  <c r="V2551"/>
  <c r="T2552"/>
  <c r="V2552"/>
  <c r="T2553"/>
  <c r="V2553"/>
  <c r="T2554"/>
  <c r="V2554"/>
  <c r="T2555"/>
  <c r="V2555"/>
  <c r="T2556"/>
  <c r="V2556"/>
  <c r="T2557"/>
  <c r="V2557"/>
  <c r="T2558"/>
  <c r="V2558"/>
  <c r="T2559"/>
  <c r="V2559"/>
  <c r="T2560"/>
  <c r="V2560"/>
  <c r="T2561"/>
  <c r="V2561"/>
  <c r="T2562"/>
  <c r="V2562"/>
  <c r="T2563"/>
  <c r="V2563"/>
  <c r="T2564"/>
  <c r="V2564"/>
  <c r="T2565"/>
  <c r="V2565"/>
  <c r="T2566"/>
  <c r="V2566"/>
  <c r="T2567"/>
  <c r="V2567"/>
  <c r="T2568"/>
  <c r="V2568"/>
  <c r="T2569"/>
  <c r="V2569"/>
  <c r="T2570"/>
  <c r="V2570"/>
  <c r="T2571"/>
  <c r="V2571"/>
  <c r="T2572"/>
  <c r="V2572"/>
  <c r="T2573"/>
  <c r="V2573"/>
  <c r="T2574"/>
  <c r="V2574"/>
  <c r="T2575"/>
  <c r="V2575"/>
  <c r="T2576"/>
  <c r="V2576"/>
  <c r="T2577"/>
  <c r="V2577"/>
  <c r="T2578"/>
  <c r="V2578"/>
  <c r="T2579"/>
  <c r="V2579"/>
  <c r="T2580"/>
  <c r="V2580"/>
  <c r="T2581"/>
  <c r="V2581"/>
  <c r="T2582"/>
  <c r="V2582"/>
  <c r="T2583"/>
  <c r="V2583"/>
  <c r="T2584"/>
  <c r="V2584"/>
  <c r="T2585"/>
  <c r="V2585"/>
  <c r="T2586"/>
  <c r="V2586"/>
  <c r="T2587"/>
  <c r="V2587"/>
  <c r="T2588"/>
  <c r="V2588"/>
  <c r="T2589"/>
  <c r="V2589"/>
  <c r="T2590"/>
  <c r="V2590"/>
  <c r="T2591"/>
  <c r="V2591"/>
  <c r="T2592"/>
  <c r="V2592"/>
  <c r="T2593"/>
  <c r="V2593"/>
  <c r="T2594"/>
  <c r="V2594"/>
  <c r="T2595"/>
  <c r="V2595"/>
  <c r="T2596"/>
  <c r="V2596"/>
  <c r="T2597"/>
  <c r="V2597"/>
  <c r="T2598"/>
  <c r="V2598"/>
  <c r="T2599"/>
  <c r="V2599"/>
  <c r="T2600"/>
  <c r="V2600"/>
  <c r="T2601"/>
  <c r="V2601"/>
  <c r="T2602"/>
  <c r="V2602"/>
  <c r="T2603"/>
  <c r="V2603"/>
  <c r="T2604"/>
  <c r="V2604"/>
  <c r="T2605"/>
  <c r="V2605"/>
  <c r="T2606"/>
  <c r="V2606"/>
  <c r="T2607"/>
  <c r="V2607"/>
  <c r="T2608"/>
  <c r="V2608"/>
  <c r="T2609"/>
  <c r="V2609"/>
  <c r="T2610"/>
  <c r="V2610"/>
  <c r="T2611"/>
  <c r="V2611"/>
  <c r="T2612"/>
  <c r="V2612"/>
  <c r="T2613"/>
  <c r="V2613"/>
  <c r="T2614"/>
  <c r="V2614"/>
  <c r="T2615"/>
  <c r="V2615"/>
  <c r="T2616"/>
  <c r="V2616"/>
  <c r="T2617"/>
  <c r="V2617"/>
  <c r="T2618"/>
  <c r="V2618"/>
  <c r="T2619"/>
  <c r="V2619"/>
  <c r="T2620"/>
  <c r="V2620"/>
  <c r="T2621"/>
  <c r="V2621"/>
  <c r="T2622"/>
  <c r="V2622"/>
  <c r="T2623"/>
  <c r="V2623"/>
  <c r="T2624"/>
  <c r="V2624"/>
  <c r="T2625"/>
  <c r="V2625"/>
  <c r="T2626"/>
  <c r="V2626"/>
  <c r="T2627"/>
  <c r="V2627"/>
  <c r="T2628"/>
  <c r="V2628"/>
  <c r="T2629"/>
  <c r="V2629"/>
  <c r="T2630"/>
  <c r="V2630"/>
  <c r="T2631"/>
  <c r="V2631"/>
  <c r="T2632"/>
  <c r="V2632"/>
  <c r="T2633"/>
  <c r="V2633"/>
  <c r="T2634"/>
  <c r="V2634"/>
  <c r="T2635"/>
  <c r="V2635"/>
  <c r="T2636"/>
  <c r="V2636"/>
  <c r="T2637"/>
  <c r="V2637"/>
  <c r="T2638"/>
  <c r="V2638"/>
  <c r="T2639"/>
  <c r="V2639"/>
  <c r="T2640"/>
  <c r="V2640"/>
  <c r="T2641"/>
  <c r="V2641"/>
  <c r="T2642"/>
  <c r="V2642"/>
  <c r="T2643"/>
  <c r="V2643"/>
  <c r="T2644"/>
  <c r="V2644"/>
  <c r="T2645"/>
  <c r="V2645"/>
  <c r="T2646"/>
  <c r="V2646"/>
  <c r="T2647"/>
  <c r="V2647"/>
  <c r="T2648"/>
  <c r="V2648"/>
  <c r="T2649"/>
  <c r="V2649"/>
  <c r="T2650"/>
  <c r="V2650"/>
  <c r="T2651"/>
  <c r="V2651"/>
  <c r="T2652"/>
  <c r="V2652"/>
  <c r="T2653"/>
  <c r="V2653"/>
  <c r="T2654"/>
  <c r="V2654"/>
  <c r="T2655"/>
  <c r="V2655"/>
  <c r="T2656"/>
  <c r="V2656"/>
  <c r="T2657"/>
  <c r="V2657"/>
  <c r="T2658"/>
  <c r="V2658"/>
  <c r="T2659"/>
  <c r="V2659"/>
  <c r="T2660"/>
  <c r="V2660"/>
  <c r="T2661"/>
  <c r="V2661"/>
  <c r="T2662"/>
  <c r="V2662"/>
  <c r="T2663"/>
  <c r="V2663"/>
  <c r="T2664"/>
  <c r="V2664"/>
  <c r="T2665"/>
  <c r="V2665"/>
  <c r="T2666"/>
  <c r="V2666"/>
  <c r="T2667"/>
  <c r="V2667"/>
  <c r="T2668"/>
  <c r="V2668"/>
  <c r="T2669"/>
  <c r="V2669"/>
  <c r="T2670"/>
  <c r="V2670"/>
  <c r="T2671"/>
  <c r="V2671"/>
  <c r="T2672"/>
  <c r="V2672"/>
  <c r="T2673"/>
  <c r="V2673"/>
  <c r="T2674"/>
  <c r="V2674"/>
  <c r="T2675"/>
  <c r="V2675"/>
  <c r="T2676"/>
  <c r="V2676"/>
  <c r="T2677"/>
  <c r="V2677"/>
  <c r="T2678"/>
  <c r="V2678"/>
  <c r="T2679"/>
  <c r="V2679"/>
  <c r="T2680"/>
  <c r="V2680"/>
  <c r="T2681"/>
  <c r="V2681"/>
  <c r="T2682"/>
  <c r="V2682"/>
  <c r="T2683"/>
  <c r="V2683"/>
  <c r="T2684"/>
  <c r="V2684"/>
  <c r="T2685"/>
  <c r="V2685"/>
  <c r="T2686"/>
  <c r="V2686"/>
  <c r="T2687"/>
  <c r="V2687"/>
  <c r="T2688"/>
  <c r="V2688"/>
  <c r="T2689"/>
  <c r="V2689"/>
  <c r="T2690"/>
  <c r="V2690"/>
  <c r="T2691"/>
  <c r="V2691"/>
  <c r="T2692"/>
  <c r="V2692"/>
  <c r="T2693"/>
  <c r="V2693"/>
  <c r="T2694"/>
  <c r="V2694"/>
  <c r="T2695"/>
  <c r="V2695"/>
  <c r="T2696"/>
  <c r="V2696"/>
  <c r="T2697"/>
  <c r="V2697"/>
  <c r="T2698"/>
  <c r="V2698"/>
  <c r="T2699"/>
  <c r="V2699"/>
  <c r="T2700"/>
  <c r="V2700"/>
  <c r="T2701"/>
  <c r="V2701"/>
  <c r="T2702"/>
  <c r="V2702"/>
  <c r="T2703"/>
  <c r="V2703"/>
  <c r="T2704"/>
  <c r="V2704"/>
  <c r="T2705"/>
  <c r="V2705"/>
  <c r="T2706"/>
  <c r="V2706"/>
  <c r="T2707"/>
  <c r="V2707"/>
  <c r="T2708"/>
  <c r="V2708"/>
  <c r="T2709"/>
  <c r="V2709"/>
  <c r="T2710"/>
  <c r="V2710"/>
  <c r="T2711"/>
  <c r="V2711"/>
  <c r="T2712"/>
  <c r="V2712"/>
  <c r="T2713"/>
  <c r="V2713"/>
  <c r="T2714"/>
  <c r="V2714"/>
  <c r="T2715"/>
  <c r="V2715"/>
  <c r="T2716"/>
  <c r="V2716"/>
  <c r="T2717"/>
  <c r="V2717"/>
  <c r="T2718"/>
  <c r="V2718"/>
  <c r="T2719"/>
  <c r="V2719"/>
  <c r="T2720"/>
  <c r="V2720"/>
  <c r="T2721"/>
  <c r="V2721"/>
  <c r="T2722"/>
  <c r="V2722"/>
  <c r="T2723"/>
  <c r="V2723"/>
  <c r="T2724"/>
  <c r="V2724"/>
  <c r="T2725"/>
  <c r="V2725"/>
  <c r="T2726"/>
  <c r="V2726"/>
  <c r="T2727"/>
  <c r="V2727"/>
  <c r="T2728"/>
  <c r="V2728"/>
  <c r="T2729"/>
  <c r="V2729"/>
  <c r="T2730"/>
  <c r="V2730"/>
  <c r="T2731"/>
  <c r="V2731"/>
  <c r="T2732"/>
  <c r="V2732"/>
  <c r="T2733"/>
  <c r="V2733"/>
  <c r="T2734"/>
  <c r="V2734"/>
  <c r="T2735"/>
  <c r="V2735"/>
  <c r="T2736"/>
  <c r="V2736"/>
  <c r="T2737"/>
  <c r="V2737"/>
  <c r="T2738"/>
  <c r="V2738"/>
  <c r="T2739"/>
  <c r="V2739"/>
  <c r="T2740"/>
  <c r="V2740"/>
  <c r="T2741"/>
  <c r="V2741"/>
  <c r="T2742"/>
  <c r="V2742"/>
  <c r="T2743"/>
  <c r="V2743"/>
  <c r="T2744"/>
  <c r="V2744"/>
  <c r="T2745"/>
  <c r="V2745"/>
  <c r="T2746"/>
  <c r="V2746"/>
  <c r="T2747"/>
  <c r="V2747"/>
  <c r="T2748"/>
  <c r="V2748"/>
  <c r="T2749"/>
  <c r="V2749"/>
  <c r="T2750"/>
  <c r="V2750"/>
  <c r="T2751"/>
  <c r="V2751"/>
  <c r="T2752"/>
  <c r="V2752"/>
  <c r="T2753"/>
  <c r="V2753"/>
  <c r="T2754"/>
  <c r="V2754"/>
  <c r="T2755"/>
  <c r="V2755"/>
  <c r="T2756"/>
  <c r="V2756"/>
  <c r="T2757"/>
  <c r="V2757"/>
  <c r="T2758"/>
  <c r="V2758"/>
  <c r="T2759"/>
  <c r="V2759"/>
  <c r="T2760"/>
  <c r="V2760"/>
  <c r="T2761"/>
  <c r="V2761"/>
  <c r="T2762"/>
  <c r="V2762"/>
  <c r="T2763"/>
  <c r="V2763"/>
  <c r="T2764"/>
  <c r="V2764"/>
  <c r="T2765"/>
  <c r="V2765"/>
  <c r="T2766"/>
  <c r="V2766"/>
  <c r="T2767"/>
  <c r="V2767"/>
  <c r="T2768"/>
  <c r="V2768"/>
  <c r="T2769"/>
  <c r="V2769"/>
  <c r="T2770"/>
  <c r="V2770"/>
  <c r="T2771"/>
  <c r="V2771"/>
  <c r="T2772"/>
  <c r="V2772"/>
  <c r="T2773"/>
  <c r="V2773"/>
  <c r="T2774"/>
  <c r="V2774"/>
  <c r="T2775"/>
  <c r="V2775"/>
  <c r="T2776"/>
  <c r="V2776"/>
  <c r="T2777"/>
  <c r="V2777"/>
  <c r="T2778"/>
  <c r="V2778"/>
  <c r="T2779"/>
  <c r="V2779"/>
  <c r="T2780"/>
  <c r="V2780"/>
  <c r="T2781"/>
  <c r="V2781"/>
  <c r="T2782"/>
  <c r="V2782"/>
  <c r="T2783"/>
  <c r="V2783"/>
  <c r="T2784"/>
  <c r="V2784"/>
  <c r="T2785"/>
  <c r="V2785"/>
  <c r="T2786"/>
  <c r="V2786"/>
  <c r="T2787"/>
  <c r="V2787"/>
  <c r="T2788"/>
  <c r="V2788"/>
  <c r="T2789"/>
  <c r="V2789"/>
  <c r="T2790"/>
  <c r="V2790"/>
  <c r="T2791"/>
  <c r="V2791"/>
  <c r="T2792"/>
  <c r="V2792"/>
  <c r="T2793"/>
  <c r="V2793"/>
  <c r="T2794"/>
  <c r="V2794"/>
  <c r="T2795"/>
  <c r="V2795"/>
  <c r="T2796"/>
  <c r="V2796"/>
  <c r="T2797"/>
  <c r="V2797"/>
  <c r="T2798"/>
  <c r="V2798"/>
  <c r="T2799"/>
  <c r="V2799"/>
  <c r="T2800"/>
  <c r="V2800"/>
  <c r="T2801"/>
  <c r="V2801"/>
  <c r="T2802"/>
  <c r="V2802"/>
  <c r="T2803"/>
  <c r="V2803"/>
  <c r="T2804"/>
  <c r="V2804"/>
  <c r="T2805"/>
  <c r="V2805"/>
  <c r="T2806"/>
  <c r="V2806"/>
  <c r="T2807"/>
  <c r="V2807"/>
  <c r="T2808"/>
  <c r="V2808"/>
  <c r="T2809"/>
  <c r="V2809"/>
  <c r="T2810"/>
  <c r="V2810"/>
  <c r="T2811"/>
  <c r="V2811"/>
  <c r="T2812"/>
  <c r="V2812"/>
  <c r="T2813"/>
  <c r="V2813"/>
  <c r="T2814"/>
  <c r="V2814"/>
  <c r="T2815"/>
  <c r="V2815"/>
  <c r="T2816"/>
  <c r="V2816"/>
  <c r="T2817"/>
  <c r="V2817"/>
  <c r="T2818"/>
  <c r="V2818"/>
  <c r="T2819"/>
  <c r="V2819"/>
  <c r="T2820"/>
  <c r="V2820"/>
  <c r="T2821"/>
  <c r="V2821"/>
  <c r="T2822"/>
  <c r="V2822"/>
  <c r="T2823"/>
  <c r="V2823"/>
  <c r="T2824"/>
  <c r="V2824"/>
  <c r="T2825"/>
  <c r="V2825"/>
  <c r="T2826"/>
  <c r="V2826"/>
  <c r="T2827"/>
  <c r="V2827"/>
  <c r="T2828"/>
  <c r="V2828"/>
  <c r="T2829"/>
  <c r="V2829"/>
  <c r="T2830"/>
  <c r="V2830"/>
  <c r="T2831"/>
  <c r="V2831"/>
  <c r="T2832"/>
  <c r="V2832"/>
  <c r="T2833"/>
  <c r="V2833"/>
  <c r="T2834"/>
  <c r="V2834"/>
  <c r="T2835"/>
  <c r="V2835"/>
  <c r="T2836"/>
  <c r="V2836"/>
  <c r="T2837"/>
  <c r="V2837"/>
  <c r="T2838"/>
  <c r="V2838"/>
  <c r="T2839"/>
  <c r="V2839"/>
  <c r="T2840"/>
  <c r="V2840"/>
  <c r="T2841"/>
  <c r="V2841"/>
  <c r="T2842"/>
  <c r="V2842"/>
  <c r="T2843"/>
  <c r="V2843"/>
  <c r="T2844"/>
  <c r="V2844"/>
  <c r="T2845"/>
  <c r="V2845"/>
  <c r="T2846"/>
  <c r="V2846"/>
  <c r="T2847"/>
  <c r="V2847"/>
  <c r="T2848"/>
  <c r="V2848"/>
  <c r="T2849"/>
  <c r="V2849"/>
  <c r="T2850"/>
  <c r="V2850"/>
  <c r="T2851"/>
  <c r="V2851"/>
  <c r="T2852"/>
  <c r="V2852"/>
  <c r="T2853"/>
  <c r="V2853"/>
  <c r="T2854"/>
  <c r="V2854"/>
  <c r="T2855"/>
  <c r="V2855"/>
  <c r="T2856"/>
  <c r="V2856"/>
  <c r="T2857"/>
  <c r="V2857"/>
  <c r="T2858"/>
  <c r="V2858"/>
  <c r="T2859"/>
  <c r="V2859"/>
  <c r="T2860"/>
  <c r="V2860"/>
  <c r="T2861"/>
  <c r="V2861"/>
  <c r="T2862"/>
  <c r="V2862"/>
  <c r="T2863"/>
  <c r="V2863"/>
  <c r="T2864"/>
  <c r="V2864"/>
  <c r="T2865"/>
  <c r="V2865"/>
  <c r="T2866"/>
  <c r="V2866"/>
  <c r="T2867"/>
  <c r="V2867"/>
  <c r="T2868"/>
  <c r="V2868"/>
  <c r="T2869"/>
  <c r="V2869"/>
  <c r="T2870"/>
  <c r="V2870"/>
  <c r="T2871"/>
  <c r="V2871"/>
  <c r="T2872"/>
  <c r="V2872"/>
  <c r="T2873"/>
  <c r="V2873"/>
  <c r="T2874"/>
  <c r="V2874"/>
  <c r="T2875"/>
  <c r="V2875"/>
  <c r="T2876"/>
  <c r="V2876"/>
  <c r="T2877"/>
  <c r="V2877"/>
  <c r="T2878"/>
  <c r="V2878"/>
  <c r="T2879"/>
  <c r="V2879"/>
  <c r="T2880"/>
  <c r="V2880"/>
  <c r="T2881"/>
  <c r="V2881"/>
  <c r="T2882"/>
  <c r="V2882"/>
  <c r="T2883"/>
  <c r="V2883"/>
  <c r="T2884"/>
  <c r="V2884"/>
  <c r="T2885"/>
  <c r="V2885"/>
  <c r="T2886"/>
  <c r="V2886"/>
  <c r="T2887"/>
  <c r="V2887"/>
  <c r="T2888"/>
  <c r="V2888"/>
  <c r="T2889"/>
  <c r="V2889"/>
  <c r="T2890"/>
  <c r="V2890"/>
  <c r="T2891"/>
  <c r="V2891"/>
  <c r="T2892"/>
  <c r="V2892"/>
  <c r="T2893"/>
  <c r="V2893"/>
  <c r="T2894"/>
  <c r="V2894"/>
  <c r="T2895"/>
  <c r="V2895"/>
  <c r="T2896"/>
  <c r="V2896"/>
  <c r="T2897"/>
  <c r="V2897"/>
  <c r="T2898"/>
  <c r="V2898"/>
  <c r="T2899"/>
  <c r="V2899"/>
  <c r="T2900"/>
  <c r="V2900"/>
  <c r="T2901"/>
  <c r="V2901"/>
  <c r="T2902"/>
  <c r="V2902"/>
  <c r="T2903"/>
  <c r="V2903"/>
  <c r="T2904"/>
  <c r="V2904"/>
  <c r="T2905"/>
  <c r="V2905"/>
  <c r="T2906"/>
  <c r="V2906"/>
  <c r="T2907"/>
  <c r="V2907"/>
  <c r="T2908"/>
  <c r="V2908"/>
  <c r="T2909"/>
  <c r="V2909"/>
  <c r="T2910"/>
  <c r="V2910"/>
  <c r="T2911"/>
  <c r="V2911"/>
  <c r="T2912"/>
  <c r="V2912"/>
  <c r="T2913"/>
  <c r="V2913"/>
  <c r="T2914"/>
  <c r="V2914"/>
  <c r="T2915"/>
  <c r="V2915"/>
  <c r="T2916"/>
  <c r="V2916"/>
  <c r="T2917"/>
  <c r="V2917"/>
  <c r="T2918"/>
  <c r="V2918"/>
  <c r="T2919"/>
  <c r="V2919"/>
  <c r="T2920"/>
  <c r="V2920"/>
  <c r="T2921"/>
  <c r="V2921"/>
  <c r="T2922"/>
  <c r="V2922"/>
  <c r="T2923"/>
  <c r="V2923"/>
  <c r="T2924"/>
  <c r="V2924"/>
  <c r="T2925"/>
  <c r="V2925"/>
  <c r="T2926"/>
  <c r="V2926"/>
  <c r="T2927"/>
  <c r="V2927"/>
  <c r="T2928"/>
  <c r="V2928"/>
  <c r="T2929"/>
  <c r="V2929"/>
  <c r="T2930"/>
  <c r="V2930"/>
  <c r="T2931"/>
  <c r="V2931"/>
  <c r="T2932"/>
  <c r="V2932"/>
  <c r="T2933"/>
  <c r="V2933"/>
  <c r="T2934"/>
  <c r="V2934"/>
  <c r="T2935"/>
  <c r="V2935"/>
  <c r="T2936"/>
  <c r="V2936"/>
  <c r="T2937"/>
  <c r="V2937"/>
  <c r="T2938"/>
  <c r="V2938"/>
  <c r="T2939"/>
  <c r="V2939"/>
  <c r="T2940"/>
  <c r="V2940"/>
  <c r="T2941"/>
  <c r="V2941"/>
  <c r="T2942"/>
  <c r="V2942"/>
  <c r="T2943"/>
  <c r="V2943"/>
  <c r="T2944"/>
  <c r="V2944"/>
  <c r="T2945"/>
  <c r="V2945"/>
  <c r="T2946"/>
  <c r="V2946"/>
  <c r="T2947"/>
  <c r="V2947"/>
  <c r="T2948"/>
  <c r="V2948"/>
  <c r="T2949"/>
  <c r="V2949"/>
  <c r="T2950"/>
  <c r="V2950"/>
  <c r="T2951"/>
  <c r="V2951"/>
  <c r="T2952"/>
  <c r="V2952"/>
  <c r="T2953"/>
  <c r="V2953"/>
  <c r="T2954"/>
  <c r="V2954"/>
  <c r="T2955"/>
  <c r="V2955"/>
  <c r="T2956"/>
  <c r="V2956"/>
  <c r="T2957"/>
  <c r="V2957"/>
  <c r="T2958"/>
  <c r="V2958"/>
  <c r="T2959"/>
  <c r="V2959"/>
  <c r="T2960"/>
  <c r="V2960"/>
  <c r="T2961"/>
  <c r="V2961"/>
  <c r="T2962"/>
  <c r="V2962"/>
  <c r="T2963"/>
  <c r="V2963"/>
  <c r="T2964"/>
  <c r="V2964"/>
  <c r="T2965"/>
  <c r="V2965"/>
  <c r="T2966"/>
  <c r="V2966"/>
  <c r="T2967"/>
  <c r="V2967"/>
  <c r="T2968"/>
  <c r="V2968"/>
  <c r="T2969"/>
  <c r="V2969"/>
  <c r="T2970"/>
  <c r="V2970"/>
  <c r="T2971"/>
  <c r="V2971"/>
  <c r="T2972"/>
  <c r="V2972"/>
  <c r="T2973"/>
  <c r="V2973"/>
  <c r="T2974"/>
  <c r="V2974"/>
  <c r="T2975"/>
  <c r="V2975"/>
  <c r="T2976"/>
  <c r="V2976"/>
  <c r="T2977"/>
  <c r="V2977"/>
  <c r="T2978"/>
  <c r="V2978"/>
  <c r="T2979"/>
  <c r="V2979"/>
  <c r="T2980"/>
  <c r="V2980"/>
  <c r="T2981"/>
  <c r="V2981"/>
  <c r="T2982"/>
  <c r="V2982"/>
  <c r="T2983"/>
  <c r="V2983"/>
  <c r="T2984"/>
  <c r="V2984"/>
  <c r="T2985"/>
  <c r="V2985"/>
  <c r="T2986"/>
  <c r="V2986"/>
  <c r="T2987"/>
  <c r="V2987"/>
  <c r="T2988"/>
  <c r="V2988"/>
  <c r="T2989"/>
  <c r="V2989"/>
  <c r="T2990"/>
  <c r="V2990"/>
  <c r="T2991"/>
  <c r="V2991"/>
  <c r="T2992"/>
  <c r="V2992"/>
  <c r="T2993"/>
  <c r="V2993"/>
  <c r="T2994"/>
  <c r="V2994"/>
  <c r="T2995"/>
  <c r="V2995"/>
  <c r="T2996"/>
  <c r="V2996"/>
  <c r="T2997"/>
  <c r="V2997"/>
  <c r="T2998"/>
  <c r="V2998"/>
  <c r="T2999"/>
  <c r="V2999"/>
  <c r="T3000"/>
  <c r="V3000"/>
  <c r="T3001"/>
  <c r="V3001"/>
  <c r="T3002"/>
  <c r="V3002"/>
  <c r="T3003"/>
  <c r="V3003"/>
  <c r="T3004"/>
  <c r="V3004"/>
  <c r="T3005"/>
  <c r="V3005"/>
  <c r="T3006"/>
  <c r="V3006"/>
  <c r="T3007"/>
  <c r="V3007"/>
  <c r="T3008"/>
  <c r="V3008"/>
  <c r="T3009"/>
  <c r="V3009"/>
  <c r="T3010"/>
  <c r="V3010"/>
  <c r="T3011"/>
  <c r="V3011"/>
  <c r="T3012"/>
  <c r="V3012"/>
  <c r="T3013"/>
  <c r="V3013"/>
  <c r="T3014"/>
  <c r="V3014"/>
  <c r="T3015"/>
  <c r="V3015"/>
  <c r="H4" i="8"/>
  <c r="H5"/>
  <c r="H6"/>
  <c r="H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55"/>
  <c r="FL3" i="9"/>
  <c r="FL40" s="1"/>
  <c r="I5"/>
  <c r="G6"/>
  <c r="I6"/>
  <c r="G7"/>
  <c r="I7"/>
  <c r="G8"/>
  <c r="I8"/>
  <c r="G9"/>
  <c r="I9"/>
  <c r="G10"/>
  <c r="I10"/>
  <c r="G11"/>
  <c r="I11"/>
  <c r="G12"/>
  <c r="I12"/>
  <c r="G13"/>
  <c r="I13"/>
  <c r="G14"/>
  <c r="I14"/>
  <c r="G15"/>
  <c r="I15"/>
  <c r="G16"/>
  <c r="I16"/>
  <c r="G17"/>
  <c r="I17"/>
  <c r="G18"/>
  <c r="I18"/>
  <c r="G19"/>
  <c r="I19"/>
  <c r="G20"/>
  <c r="I20"/>
  <c r="G21"/>
  <c r="I21"/>
  <c r="G22"/>
  <c r="I22"/>
  <c r="G23"/>
  <c r="I23"/>
  <c r="G24"/>
  <c r="I24"/>
  <c r="G25"/>
  <c r="I25"/>
  <c r="G26"/>
  <c r="I26"/>
  <c r="G27"/>
  <c r="I27"/>
  <c r="G28"/>
  <c r="I28"/>
  <c r="G29"/>
  <c r="I29"/>
  <c r="G30"/>
  <c r="I30"/>
  <c r="G31"/>
  <c r="I31"/>
  <c r="G32"/>
  <c r="I32"/>
  <c r="G33"/>
  <c r="I33"/>
  <c r="G34"/>
  <c r="I34"/>
  <c r="G35"/>
  <c r="I35"/>
  <c r="G36"/>
  <c r="I36"/>
  <c r="G37"/>
  <c r="I37"/>
  <c r="G38"/>
  <c r="I38"/>
  <c r="G39"/>
  <c r="I39"/>
  <c r="G40"/>
  <c r="I40"/>
  <c r="G41"/>
  <c r="I41"/>
  <c r="G42"/>
  <c r="I42"/>
  <c r="G43"/>
  <c r="I43"/>
  <c r="G44"/>
  <c r="I44"/>
  <c r="G45"/>
  <c r="I45"/>
  <c r="G46"/>
  <c r="I46"/>
  <c r="G47"/>
  <c r="I47"/>
  <c r="G48"/>
  <c r="I48"/>
  <c r="G49"/>
  <c r="I49"/>
  <c r="G50"/>
  <c r="I50"/>
  <c r="G51"/>
  <c r="I51"/>
  <c r="G52"/>
  <c r="I52"/>
  <c r="G53"/>
  <c r="I53"/>
  <c r="G54"/>
  <c r="I54"/>
  <c r="G55"/>
  <c r="I55"/>
  <c r="G56"/>
  <c r="I56"/>
  <c r="G57"/>
  <c r="I57"/>
  <c r="G58"/>
  <c r="I58"/>
  <c r="G59"/>
  <c r="I59"/>
  <c r="G60"/>
  <c r="I60"/>
  <c r="G61"/>
  <c r="I61"/>
  <c r="G62"/>
  <c r="I62"/>
  <c r="G63"/>
  <c r="I63"/>
  <c r="G64"/>
  <c r="I64"/>
  <c r="G65"/>
  <c r="I65"/>
  <c r="G66"/>
  <c r="I66"/>
  <c r="G67"/>
  <c r="I67"/>
  <c r="G68"/>
  <c r="I68"/>
  <c r="G69"/>
  <c r="I69"/>
  <c r="G70"/>
  <c r="I70"/>
  <c r="G71"/>
  <c r="I71"/>
  <c r="G72"/>
  <c r="I72"/>
  <c r="G73"/>
  <c r="I73"/>
  <c r="G74"/>
  <c r="I74"/>
  <c r="G75"/>
  <c r="I75"/>
  <c r="G76"/>
  <c r="I76"/>
  <c r="G77"/>
  <c r="I77"/>
  <c r="G78"/>
  <c r="I78"/>
  <c r="G79"/>
  <c r="I79"/>
  <c r="G80"/>
  <c r="I80"/>
  <c r="G81"/>
  <c r="I81"/>
  <c r="G82"/>
  <c r="I82"/>
  <c r="G83"/>
  <c r="I83"/>
  <c r="G84"/>
  <c r="I84"/>
  <c r="G85"/>
  <c r="I85"/>
  <c r="G86"/>
  <c r="I86"/>
  <c r="G87"/>
  <c r="I87"/>
  <c r="G88"/>
  <c r="I88"/>
  <c r="G89"/>
  <c r="I89"/>
  <c r="G90"/>
  <c r="I90"/>
  <c r="G91"/>
  <c r="I91"/>
  <c r="G92"/>
  <c r="I92"/>
  <c r="G93"/>
  <c r="I93"/>
  <c r="G94"/>
  <c r="I94"/>
  <c r="G95"/>
  <c r="I95"/>
  <c r="G96"/>
  <c r="I96"/>
  <c r="G97"/>
  <c r="I97"/>
  <c r="G98"/>
  <c r="I98"/>
  <c r="G99"/>
  <c r="I99"/>
  <c r="G100"/>
  <c r="I100"/>
  <c r="G101"/>
  <c r="I101"/>
  <c r="G102"/>
  <c r="I102"/>
  <c r="G103"/>
  <c r="I103"/>
  <c r="G104"/>
  <c r="I104"/>
  <c r="G105"/>
  <c r="I105"/>
  <c r="G106"/>
  <c r="I106"/>
  <c r="G107"/>
  <c r="I107"/>
  <c r="G108"/>
  <c r="I108"/>
  <c r="G109"/>
  <c r="I109"/>
  <c r="G110"/>
  <c r="I110"/>
  <c r="G111"/>
  <c r="I111"/>
  <c r="G112"/>
  <c r="I112"/>
  <c r="G113"/>
  <c r="I113"/>
  <c r="G114"/>
  <c r="I114"/>
  <c r="G115"/>
  <c r="I115"/>
  <c r="G116"/>
  <c r="I116"/>
  <c r="G117"/>
  <c r="I117"/>
  <c r="G118"/>
  <c r="I118"/>
  <c r="G119"/>
  <c r="I119"/>
  <c r="G120"/>
  <c r="I120"/>
  <c r="G121"/>
  <c r="I121"/>
  <c r="G122"/>
  <c r="I122"/>
  <c r="G123"/>
  <c r="I123"/>
  <c r="G124"/>
  <c r="I124"/>
  <c r="G125"/>
  <c r="I125"/>
  <c r="G126"/>
  <c r="I126"/>
  <c r="G127"/>
  <c r="I127"/>
  <c r="G128"/>
  <c r="I128"/>
  <c r="G129"/>
  <c r="I129"/>
  <c r="G130"/>
  <c r="I130"/>
  <c r="G131"/>
  <c r="I131"/>
  <c r="G132"/>
  <c r="I132"/>
  <c r="G133"/>
  <c r="I133"/>
  <c r="G134"/>
  <c r="I134"/>
  <c r="G135"/>
  <c r="I135"/>
  <c r="G136"/>
  <c r="I136"/>
  <c r="G137"/>
  <c r="I137"/>
  <c r="G138"/>
  <c r="I138"/>
  <c r="G139"/>
  <c r="I139"/>
  <c r="G140"/>
  <c r="I140"/>
  <c r="G141"/>
  <c r="I141"/>
  <c r="G142"/>
  <c r="I142"/>
  <c r="G143"/>
  <c r="I143"/>
  <c r="G144"/>
  <c r="I144"/>
  <c r="G145"/>
  <c r="I145"/>
  <c r="G146"/>
  <c r="I146"/>
  <c r="G147"/>
  <c r="I147"/>
  <c r="G148"/>
  <c r="I148"/>
  <c r="G149"/>
  <c r="I149"/>
  <c r="G150"/>
  <c r="I150"/>
  <c r="G151"/>
  <c r="I151"/>
  <c r="G152"/>
  <c r="I152"/>
  <c r="G153"/>
  <c r="I153"/>
  <c r="G154"/>
  <c r="I154"/>
  <c r="G155"/>
  <c r="I155"/>
  <c r="G156"/>
  <c r="I156"/>
  <c r="G157"/>
  <c r="I157"/>
  <c r="G158"/>
  <c r="I158"/>
  <c r="G159"/>
  <c r="I159"/>
  <c r="G160"/>
  <c r="I160"/>
  <c r="G161"/>
  <c r="I161"/>
  <c r="G162"/>
  <c r="I162"/>
  <c r="G163"/>
  <c r="I163"/>
  <c r="G164"/>
  <c r="I164"/>
  <c r="G165"/>
  <c r="I165"/>
  <c r="G166"/>
  <c r="I166"/>
  <c r="G167"/>
  <c r="I167"/>
  <c r="G168"/>
  <c r="I168"/>
  <c r="G169"/>
  <c r="I169"/>
  <c r="G170"/>
  <c r="I170"/>
  <c r="G171"/>
  <c r="I171"/>
  <c r="G172"/>
  <c r="I172"/>
  <c r="G173"/>
  <c r="I173"/>
  <c r="G174"/>
  <c r="I174"/>
  <c r="G175"/>
  <c r="I175"/>
  <c r="G176"/>
  <c r="I176"/>
  <c r="G177"/>
  <c r="I177"/>
  <c r="G178"/>
  <c r="I178"/>
  <c r="G179"/>
  <c r="I179"/>
  <c r="G180"/>
  <c r="I180"/>
  <c r="G181"/>
  <c r="I181"/>
  <c r="G182"/>
  <c r="I182"/>
  <c r="G183"/>
  <c r="I183"/>
  <c r="G184"/>
  <c r="I184"/>
  <c r="G185"/>
  <c r="I185"/>
  <c r="G186"/>
  <c r="I186"/>
  <c r="G187"/>
  <c r="I187"/>
  <c r="G188"/>
  <c r="I188"/>
  <c r="G189"/>
  <c r="I189"/>
  <c r="G190"/>
  <c r="I190"/>
  <c r="G191"/>
  <c r="I191"/>
  <c r="G192"/>
  <c r="I192"/>
  <c r="G193"/>
  <c r="I193"/>
  <c r="G194"/>
  <c r="I194"/>
  <c r="G195"/>
  <c r="I195"/>
  <c r="G196"/>
  <c r="I196"/>
  <c r="G197"/>
  <c r="I197"/>
  <c r="G198"/>
  <c r="I198"/>
  <c r="G199"/>
  <c r="I199"/>
  <c r="G200"/>
  <c r="I200"/>
  <c r="G201"/>
  <c r="I201"/>
  <c r="G202"/>
  <c r="I202"/>
  <c r="G203"/>
  <c r="I203"/>
  <c r="G204"/>
  <c r="I204"/>
  <c r="G205"/>
  <c r="I205"/>
  <c r="G206"/>
  <c r="I206"/>
  <c r="G207"/>
  <c r="I207"/>
  <c r="G208"/>
  <c r="I208"/>
  <c r="G209"/>
  <c r="I209"/>
  <c r="G210"/>
  <c r="I210"/>
  <c r="G211"/>
  <c r="I211"/>
  <c r="G212"/>
  <c r="I212"/>
  <c r="G213"/>
  <c r="I213"/>
  <c r="G214"/>
  <c r="I214"/>
  <c r="G215"/>
  <c r="I215"/>
  <c r="G216"/>
  <c r="I216"/>
  <c r="G217"/>
  <c r="I217"/>
  <c r="G218"/>
  <c r="I218"/>
  <c r="G219"/>
  <c r="I219"/>
  <c r="G220"/>
  <c r="I220"/>
  <c r="G221"/>
  <c r="I221"/>
  <c r="G222"/>
  <c r="I222"/>
  <c r="G223"/>
  <c r="I223"/>
  <c r="G224"/>
  <c r="I224"/>
  <c r="G225"/>
  <c r="I225"/>
  <c r="G226"/>
  <c r="I226"/>
  <c r="G227"/>
  <c r="I227"/>
  <c r="G228"/>
  <c r="I228"/>
  <c r="G229"/>
  <c r="I229"/>
  <c r="G230"/>
  <c r="I230"/>
  <c r="G231"/>
  <c r="I231"/>
  <c r="G232"/>
  <c r="I232"/>
  <c r="G233"/>
  <c r="I233"/>
  <c r="G234"/>
  <c r="I234"/>
  <c r="G235"/>
  <c r="I235"/>
  <c r="G236"/>
  <c r="I236"/>
  <c r="G237"/>
  <c r="I237"/>
  <c r="G238"/>
  <c r="I238"/>
  <c r="G239"/>
  <c r="I239"/>
  <c r="G240"/>
  <c r="I240"/>
  <c r="G241"/>
  <c r="I241"/>
  <c r="G242"/>
  <c r="I242"/>
  <c r="G243"/>
  <c r="I243"/>
  <c r="G244"/>
  <c r="I244"/>
  <c r="G245"/>
  <c r="I245"/>
  <c r="G246"/>
  <c r="I246"/>
  <c r="G247"/>
  <c r="I247"/>
  <c r="G248"/>
  <c r="I248"/>
  <c r="G249"/>
  <c r="I249"/>
  <c r="G250"/>
  <c r="I250"/>
  <c r="G251"/>
  <c r="I251"/>
  <c r="G252"/>
  <c r="I252"/>
  <c r="G253"/>
  <c r="I253"/>
  <c r="G254"/>
  <c r="I254"/>
  <c r="G255"/>
  <c r="I255"/>
  <c r="G256"/>
  <c r="I256"/>
  <c r="G257"/>
  <c r="I257"/>
  <c r="G258"/>
  <c r="I258"/>
  <c r="G259"/>
  <c r="I259"/>
  <c r="G260"/>
  <c r="I260"/>
  <c r="G261"/>
  <c r="I261"/>
  <c r="G262"/>
  <c r="I262"/>
  <c r="G263"/>
  <c r="I263"/>
  <c r="G264"/>
  <c r="I264"/>
  <c r="G265"/>
  <c r="I265"/>
  <c r="G266"/>
  <c r="I266"/>
  <c r="G267"/>
  <c r="I267"/>
  <c r="G268"/>
  <c r="I268"/>
  <c r="G269"/>
  <c r="I269"/>
  <c r="G270"/>
  <c r="I270"/>
  <c r="G271"/>
  <c r="I271"/>
  <c r="G272"/>
  <c r="I272"/>
  <c r="G273"/>
  <c r="I273"/>
  <c r="G274"/>
  <c r="I274"/>
  <c r="G275"/>
  <c r="I275"/>
  <c r="G276"/>
  <c r="I276"/>
  <c r="G277"/>
  <c r="I277"/>
  <c r="G278"/>
  <c r="I278"/>
  <c r="G279"/>
  <c r="I279"/>
  <c r="G280"/>
  <c r="I280"/>
  <c r="G281"/>
  <c r="I281"/>
  <c r="G282"/>
  <c r="I282"/>
  <c r="G283"/>
  <c r="I283"/>
  <c r="G284"/>
  <c r="I284"/>
  <c r="G285"/>
  <c r="I285"/>
  <c r="G286"/>
  <c r="I286"/>
  <c r="G287"/>
  <c r="I287"/>
  <c r="G288"/>
  <c r="I288"/>
  <c r="G289"/>
  <c r="I289"/>
  <c r="G290"/>
  <c r="I290"/>
  <c r="G291"/>
  <c r="I291"/>
  <c r="G292"/>
  <c r="I292"/>
  <c r="G293"/>
  <c r="I293"/>
  <c r="G294"/>
  <c r="I294"/>
  <c r="G295"/>
  <c r="I295"/>
  <c r="G296"/>
  <c r="I296"/>
  <c r="G297"/>
  <c r="I297"/>
  <c r="G298"/>
  <c r="I298"/>
  <c r="G299"/>
  <c r="I299"/>
  <c r="G300"/>
  <c r="I300"/>
  <c r="G301"/>
  <c r="I301"/>
  <c r="G302"/>
  <c r="I302"/>
  <c r="G303"/>
  <c r="I303"/>
  <c r="G304"/>
  <c r="I304"/>
  <c r="G305"/>
  <c r="I305"/>
  <c r="G306"/>
  <c r="I306"/>
  <c r="G307"/>
  <c r="I307"/>
  <c r="G308"/>
  <c r="I308"/>
  <c r="G309"/>
  <c r="I309"/>
  <c r="G310"/>
  <c r="I310"/>
  <c r="G311"/>
  <c r="I311"/>
  <c r="G312"/>
  <c r="I312"/>
  <c r="G313"/>
  <c r="I313"/>
  <c r="G314"/>
  <c r="I314"/>
  <c r="G315"/>
  <c r="I315"/>
  <c r="G316"/>
  <c r="I316"/>
  <c r="G317"/>
  <c r="I317"/>
  <c r="G318"/>
  <c r="I318"/>
  <c r="G319"/>
  <c r="I319"/>
  <c r="G320"/>
  <c r="I320"/>
  <c r="G321"/>
  <c r="I321"/>
  <c r="G322"/>
  <c r="I322"/>
  <c r="G323"/>
  <c r="I323"/>
  <c r="G324"/>
  <c r="I324"/>
  <c r="G325"/>
  <c r="I325"/>
  <c r="G326"/>
  <c r="I326"/>
  <c r="G327"/>
  <c r="I327"/>
  <c r="G328"/>
  <c r="I328"/>
  <c r="G329"/>
  <c r="I329"/>
  <c r="G330"/>
  <c r="I330"/>
  <c r="G331"/>
  <c r="I331"/>
  <c r="G332"/>
  <c r="I332"/>
  <c r="G333"/>
  <c r="I333"/>
  <c r="G334"/>
  <c r="I334"/>
  <c r="G335"/>
  <c r="I335"/>
  <c r="G336"/>
  <c r="I336"/>
  <c r="G337"/>
  <c r="I337"/>
  <c r="G338"/>
  <c r="I338"/>
  <c r="G339"/>
  <c r="I339"/>
  <c r="G340"/>
  <c r="I340"/>
  <c r="G341"/>
  <c r="I341"/>
  <c r="G342"/>
  <c r="I342"/>
  <c r="G343"/>
  <c r="I343"/>
  <c r="G344"/>
  <c r="I344"/>
  <c r="G345"/>
  <c r="I345"/>
  <c r="G346"/>
  <c r="I346"/>
  <c r="G347"/>
  <c r="I347"/>
  <c r="G348"/>
  <c r="I348"/>
  <c r="G349"/>
  <c r="I349"/>
  <c r="G350"/>
  <c r="I350"/>
  <c r="G351"/>
  <c r="I351"/>
  <c r="G352"/>
  <c r="I352"/>
  <c r="G353"/>
  <c r="I353"/>
  <c r="G354"/>
  <c r="I354"/>
  <c r="G355"/>
  <c r="I355"/>
  <c r="G356"/>
  <c r="I356"/>
  <c r="G357"/>
  <c r="I357"/>
  <c r="G358"/>
  <c r="I358"/>
  <c r="G359"/>
  <c r="I359"/>
  <c r="G360"/>
  <c r="I360"/>
  <c r="G361"/>
  <c r="I361"/>
  <c r="G362"/>
  <c r="I362"/>
  <c r="G363"/>
  <c r="I363"/>
  <c r="G364"/>
  <c r="I364"/>
  <c r="G365"/>
  <c r="I365"/>
  <c r="G366"/>
  <c r="I366"/>
  <c r="G367"/>
  <c r="I367"/>
  <c r="G368"/>
  <c r="I368"/>
  <c r="G369"/>
  <c r="I369"/>
  <c r="G370"/>
  <c r="I370"/>
  <c r="G371"/>
  <c r="I371"/>
  <c r="G372"/>
  <c r="I372"/>
  <c r="G373"/>
  <c r="I373"/>
  <c r="G374"/>
  <c r="I374"/>
  <c r="G375"/>
  <c r="I375"/>
  <c r="G376"/>
  <c r="I376"/>
  <c r="G377"/>
  <c r="I377"/>
  <c r="G378"/>
  <c r="I378"/>
  <c r="G379"/>
  <c r="I379"/>
  <c r="G380"/>
  <c r="I380"/>
  <c r="G381"/>
  <c r="I381"/>
  <c r="G382"/>
  <c r="I382"/>
  <c r="G383"/>
  <c r="I383"/>
  <c r="G384"/>
  <c r="I384"/>
  <c r="G385"/>
  <c r="I385"/>
  <c r="G386"/>
  <c r="I386"/>
  <c r="G387"/>
  <c r="I387"/>
  <c r="G388"/>
  <c r="I388"/>
  <c r="G389"/>
  <c r="I389"/>
  <c r="G390"/>
  <c r="I390"/>
  <c r="G391"/>
  <c r="I391"/>
  <c r="G392"/>
  <c r="I392"/>
  <c r="G393"/>
  <c r="I393"/>
  <c r="G394"/>
  <c r="I394"/>
  <c r="G395"/>
  <c r="I395"/>
  <c r="G396"/>
  <c r="I396"/>
  <c r="G397"/>
  <c r="I397"/>
  <c r="G398"/>
  <c r="I398"/>
  <c r="G399"/>
  <c r="I399"/>
  <c r="G400"/>
  <c r="I400"/>
  <c r="G401"/>
  <c r="I401"/>
  <c r="G402"/>
  <c r="I402"/>
  <c r="G403"/>
  <c r="I403"/>
  <c r="G404"/>
  <c r="I404"/>
  <c r="G405"/>
  <c r="I405"/>
  <c r="G406"/>
  <c r="I406"/>
  <c r="G407"/>
  <c r="I407"/>
  <c r="G408"/>
  <c r="I408"/>
  <c r="G409"/>
  <c r="I409"/>
  <c r="G410"/>
  <c r="I410"/>
  <c r="G411"/>
  <c r="I411"/>
  <c r="G412"/>
  <c r="I412"/>
  <c r="G413"/>
  <c r="I413"/>
  <c r="G414"/>
  <c r="I414"/>
  <c r="G415"/>
  <c r="I415"/>
  <c r="G416"/>
  <c r="I416"/>
  <c r="G417"/>
  <c r="I417"/>
  <c r="G418"/>
  <c r="I418"/>
  <c r="G419"/>
  <c r="I419"/>
  <c r="G420"/>
  <c r="I420"/>
  <c r="G421"/>
  <c r="I421"/>
  <c r="G422"/>
  <c r="I422"/>
  <c r="G423"/>
  <c r="I423"/>
  <c r="G424"/>
  <c r="I424"/>
  <c r="G425"/>
  <c r="I425"/>
  <c r="G426"/>
  <c r="I426"/>
  <c r="G427"/>
  <c r="I427"/>
  <c r="G428"/>
  <c r="I428"/>
  <c r="G429"/>
  <c r="I429"/>
  <c r="G430"/>
  <c r="I430"/>
  <c r="G431"/>
  <c r="I431"/>
  <c r="G432"/>
  <c r="I432"/>
  <c r="G433"/>
  <c r="I433"/>
  <c r="G434"/>
  <c r="I434"/>
  <c r="G435"/>
  <c r="I435"/>
  <c r="G436"/>
  <c r="I436"/>
  <c r="G437"/>
  <c r="I437"/>
  <c r="G438"/>
  <c r="I438"/>
  <c r="G439"/>
  <c r="I439"/>
  <c r="G440"/>
  <c r="I440"/>
  <c r="G441"/>
  <c r="I441"/>
  <c r="G442"/>
  <c r="I442"/>
  <c r="G443"/>
  <c r="I443"/>
  <c r="G444"/>
  <c r="I444"/>
  <c r="G445"/>
  <c r="I445"/>
  <c r="G446"/>
  <c r="I446"/>
  <c r="G447"/>
  <c r="I447"/>
  <c r="G448"/>
  <c r="I448"/>
  <c r="G449"/>
  <c r="I449"/>
  <c r="G450"/>
  <c r="I450"/>
  <c r="G451"/>
  <c r="I451"/>
  <c r="G452"/>
  <c r="I452"/>
  <c r="G453"/>
  <c r="I453"/>
  <c r="G454"/>
  <c r="I454"/>
  <c r="G455"/>
  <c r="I455"/>
  <c r="G456"/>
  <c r="I456"/>
  <c r="G457"/>
  <c r="I457"/>
  <c r="G458"/>
  <c r="I458"/>
  <c r="G459"/>
  <c r="I459"/>
  <c r="G460"/>
  <c r="I460"/>
  <c r="G461"/>
  <c r="I461"/>
  <c r="G462"/>
  <c r="I462"/>
  <c r="G463"/>
  <c r="I463"/>
  <c r="G464"/>
  <c r="I464"/>
  <c r="G465"/>
  <c r="I465"/>
  <c r="G466"/>
  <c r="I466"/>
  <c r="G467"/>
  <c r="I467"/>
  <c r="G468"/>
  <c r="I468"/>
  <c r="G469"/>
  <c r="I469"/>
  <c r="G470"/>
  <c r="I470"/>
  <c r="G471"/>
  <c r="I471"/>
  <c r="G472"/>
  <c r="I472"/>
  <c r="G473"/>
  <c r="I473"/>
  <c r="G474"/>
  <c r="I474"/>
  <c r="G475"/>
  <c r="I475"/>
  <c r="G476"/>
  <c r="I476"/>
  <c r="G477"/>
  <c r="I477"/>
  <c r="G478"/>
  <c r="I478"/>
  <c r="G479"/>
  <c r="I479"/>
  <c r="G480"/>
  <c r="I480"/>
  <c r="G481"/>
  <c r="I481"/>
  <c r="G482"/>
  <c r="I482"/>
  <c r="G483"/>
  <c r="I483"/>
  <c r="G484"/>
  <c r="I484"/>
  <c r="G485"/>
  <c r="I485"/>
  <c r="G486"/>
  <c r="I486"/>
  <c r="G487"/>
  <c r="I487"/>
  <c r="G488"/>
  <c r="I488"/>
  <c r="G489"/>
  <c r="I489"/>
  <c r="G490"/>
  <c r="I490"/>
  <c r="G491"/>
  <c r="I491"/>
  <c r="G492"/>
  <c r="I492"/>
  <c r="G493"/>
  <c r="I493"/>
  <c r="G494"/>
  <c r="I494"/>
  <c r="G495"/>
  <c r="I495"/>
  <c r="G496"/>
  <c r="I496"/>
  <c r="G497"/>
  <c r="I497"/>
  <c r="G498"/>
  <c r="I498"/>
  <c r="G499"/>
  <c r="I499"/>
  <c r="G500"/>
  <c r="I500"/>
  <c r="G501"/>
  <c r="I501"/>
  <c r="G502"/>
  <c r="I502"/>
  <c r="G503"/>
  <c r="I503"/>
  <c r="G504"/>
  <c r="I504"/>
  <c r="G505"/>
  <c r="I505"/>
  <c r="G506"/>
  <c r="I506"/>
  <c r="G507"/>
  <c r="I507"/>
  <c r="G508"/>
  <c r="I508"/>
  <c r="G509"/>
  <c r="I509"/>
  <c r="G510"/>
  <c r="I510"/>
  <c r="G511"/>
  <c r="I511"/>
  <c r="G512"/>
  <c r="I512"/>
  <c r="G513"/>
  <c r="I513"/>
  <c r="G514"/>
  <c r="I514"/>
  <c r="G515"/>
  <c r="I515"/>
  <c r="G516"/>
  <c r="I516"/>
  <c r="G517"/>
  <c r="I517"/>
  <c r="G518"/>
  <c r="I518"/>
  <c r="G519"/>
  <c r="I519"/>
  <c r="G520"/>
  <c r="I520"/>
  <c r="G521"/>
  <c r="I521"/>
  <c r="G522"/>
  <c r="I522"/>
  <c r="G523"/>
  <c r="I523"/>
  <c r="G524"/>
  <c r="I524"/>
  <c r="G525"/>
  <c r="I525"/>
  <c r="G526"/>
  <c r="I526"/>
  <c r="G527"/>
  <c r="I527"/>
  <c r="G7" i="3"/>
  <c r="G22"/>
  <c r="C11"/>
  <c r="C12"/>
  <c r="E12"/>
  <c r="C13"/>
  <c r="C14" s="1"/>
  <c r="F12"/>
  <c r="E14"/>
  <c r="F14"/>
  <c r="C25"/>
  <c r="G25"/>
  <c r="G26" s="1"/>
  <c r="G27" s="1"/>
  <c r="G28" s="1"/>
  <c r="C26"/>
  <c r="C27"/>
  <c r="C28"/>
  <c r="B34"/>
  <c r="C34" i="1" s="1"/>
  <c r="O14"/>
  <c r="O49" s="1"/>
  <c r="S12"/>
  <c r="S47"/>
  <c r="E27" i="6"/>
  <c r="E62" s="1"/>
  <c r="O14"/>
  <c r="O49"/>
  <c r="S12"/>
  <c r="S47" s="1"/>
  <c r="Y6" i="2"/>
  <c r="D6"/>
  <c r="D4"/>
  <c r="F53" s="1"/>
  <c r="T6" i="11"/>
  <c r="Y4"/>
  <c r="E27" i="1"/>
  <c r="E62" s="1"/>
  <c r="S14"/>
  <c r="S49"/>
  <c r="F14"/>
  <c r="F49" s="1"/>
  <c r="F12"/>
  <c r="F47"/>
  <c r="S14" i="6"/>
  <c r="S49" s="1"/>
  <c r="F14"/>
  <c r="F49"/>
  <c r="F12"/>
  <c r="F47" s="1"/>
  <c r="W30" i="14"/>
  <c r="J17" s="1"/>
  <c r="R34" s="1"/>
  <c r="Y30"/>
  <c r="J19" s="1"/>
  <c r="Q48" i="2"/>
  <c r="Z47" i="11" s="1"/>
  <c r="P47" s="1"/>
  <c r="J24" i="12" s="1"/>
  <c r="B37" i="2"/>
  <c r="B29" i="11" s="1"/>
  <c r="G5" i="1"/>
  <c r="G40" s="1"/>
  <c r="T19"/>
  <c r="T54"/>
  <c r="H10" i="12"/>
  <c r="G9" i="1"/>
  <c r="G44" s="1"/>
  <c r="B47" i="11"/>
  <c r="O39" i="14"/>
  <c r="C3"/>
  <c r="AF6" s="1"/>
  <c r="AF6" i="12"/>
  <c r="R5" i="14"/>
  <c r="D30" s="1"/>
  <c r="O28" s="1"/>
  <c r="V34" i="11"/>
  <c r="V35" s="1"/>
  <c r="H10" i="2"/>
  <c r="H8" i="11"/>
  <c r="G5" i="6"/>
  <c r="G40"/>
  <c r="O49" i="4"/>
  <c r="P14" i="2"/>
  <c r="P12" i="11"/>
  <c r="H10"/>
  <c r="H12" i="2"/>
  <c r="F4" i="14" s="1"/>
  <c r="Y32"/>
  <c r="J18"/>
  <c r="W30" i="12"/>
  <c r="J17" s="1"/>
  <c r="G47" i="4"/>
  <c r="S47"/>
  <c r="Y12" i="2"/>
  <c r="H4" i="14" s="1"/>
  <c r="G7" i="1"/>
  <c r="G42" s="1"/>
  <c r="L8" i="10"/>
  <c r="F4" i="12"/>
  <c r="F24"/>
  <c r="F24" i="14"/>
  <c r="D5"/>
  <c r="J15" s="1"/>
  <c r="V28" s="1"/>
  <c r="D5" i="12"/>
  <c r="AG6"/>
  <c r="AH6"/>
  <c r="G9" i="10"/>
  <c r="AA9" s="1"/>
  <c r="E61" i="4"/>
  <c r="B60" i="2"/>
  <c r="I44"/>
  <c r="R5" i="12"/>
  <c r="D30"/>
  <c r="O28" s="1"/>
  <c r="I10"/>
  <c r="J10" s="1"/>
  <c r="AE28" s="1"/>
  <c r="AE29" s="1"/>
  <c r="E35"/>
  <c r="S7" i="6"/>
  <c r="S42"/>
  <c r="Y10" i="11"/>
  <c r="D4"/>
  <c r="I10" i="14"/>
  <c r="J10"/>
  <c r="AE28" s="1"/>
  <c r="AE29" s="1"/>
  <c r="E35"/>
  <c r="H4" i="12"/>
  <c r="I9" i="10"/>
  <c r="T59" i="1" s="1"/>
  <c r="H18" i="11"/>
  <c r="AF33" s="1"/>
  <c r="P33" s="1"/>
  <c r="O33" s="1"/>
  <c r="AB9" i="10"/>
  <c r="AF18" i="11" s="1"/>
  <c r="O36" s="1"/>
  <c r="P36" s="1"/>
  <c r="O34"/>
  <c r="D15" i="12" s="1"/>
  <c r="AF34" i="11"/>
  <c r="J21" i="12"/>
  <c r="C69" i="6"/>
  <c r="Z28" i="14"/>
  <c r="R35"/>
  <c r="FL188" i="9"/>
  <c r="J15" i="12"/>
  <c r="Z28" s="1"/>
  <c r="V28"/>
  <c r="B31" i="14"/>
  <c r="B31" i="12"/>
  <c r="B54" i="2"/>
  <c r="FL59" i="9" l="1"/>
  <c r="FL517"/>
  <c r="FL171"/>
  <c r="FL229"/>
  <c r="FL9"/>
  <c r="FL373"/>
  <c r="FL429"/>
  <c r="FL490"/>
  <c r="FL386"/>
  <c r="FL344"/>
  <c r="FL447"/>
  <c r="FL434"/>
  <c r="FL304"/>
  <c r="FL467"/>
  <c r="FL57"/>
  <c r="FL270"/>
  <c r="FL106"/>
  <c r="FL15"/>
  <c r="FL395"/>
  <c r="FL457"/>
  <c r="FL107"/>
  <c r="FL246"/>
  <c r="FL392"/>
  <c r="FL122"/>
  <c r="FL156"/>
  <c r="FL76"/>
  <c r="FL313"/>
  <c r="FL52"/>
  <c r="FL282"/>
  <c r="FL208"/>
  <c r="FL265"/>
  <c r="FL497"/>
  <c r="FL342"/>
  <c r="FL451"/>
  <c r="FL214"/>
  <c r="FL527"/>
  <c r="FL262"/>
  <c r="FL322"/>
  <c r="FL321"/>
  <c r="FL448"/>
  <c r="FL186"/>
  <c r="FL105"/>
  <c r="FL468"/>
  <c r="FL116"/>
  <c r="FL378"/>
  <c r="FL224"/>
  <c r="FL372"/>
  <c r="FL465"/>
  <c r="FL13"/>
  <c r="FL363"/>
  <c r="FL300"/>
  <c r="FL123"/>
  <c r="FL303"/>
  <c r="FL360"/>
  <c r="FL32"/>
  <c r="FL196"/>
  <c r="FL102"/>
  <c r="FL149"/>
  <c r="FL252"/>
  <c r="FL339"/>
  <c r="FL184"/>
  <c r="FL240"/>
  <c r="FL142"/>
  <c r="FL340"/>
  <c r="FL191"/>
  <c r="FL503"/>
  <c r="FL162"/>
  <c r="FL31"/>
  <c r="FL176"/>
  <c r="FL495"/>
  <c r="FL287"/>
  <c r="FL75"/>
  <c r="FL86"/>
  <c r="FL478"/>
  <c r="FL88"/>
  <c r="FL331"/>
  <c r="FL194"/>
  <c r="FL277"/>
  <c r="FL154"/>
  <c r="FL440"/>
  <c r="FL471"/>
  <c r="FL94"/>
  <c r="FL375"/>
  <c r="FL148"/>
  <c r="FL502"/>
  <c r="FL376"/>
  <c r="FL18"/>
  <c r="FL218"/>
  <c r="FL192"/>
  <c r="FL216"/>
  <c r="FL317"/>
  <c r="FL140"/>
  <c r="FL5"/>
  <c r="G5" s="1"/>
  <c r="M8" i="10" s="1"/>
  <c r="G31" i="3" s="1"/>
  <c r="FL346" i="9"/>
  <c r="FL488"/>
  <c r="FL232"/>
  <c r="FL459"/>
  <c r="FL438"/>
  <c r="FL7"/>
  <c r="FL37"/>
  <c r="FL366"/>
  <c r="FL455"/>
  <c r="FL412"/>
  <c r="FL413"/>
  <c r="FL144"/>
  <c r="FL101"/>
  <c r="FL129"/>
  <c r="FL17"/>
  <c r="FL323"/>
  <c r="FL130"/>
  <c r="FL279"/>
  <c r="FL117"/>
  <c r="FL119"/>
  <c r="FL324"/>
  <c r="FL483"/>
  <c r="FL275"/>
  <c r="FL364"/>
  <c r="FL251"/>
  <c r="FL26"/>
  <c r="FL28"/>
  <c r="FL243"/>
  <c r="FL509"/>
  <c r="FL97"/>
  <c r="FL14"/>
  <c r="FL294"/>
  <c r="FL347"/>
  <c r="FL115"/>
  <c r="FL381"/>
  <c r="E16" i="12"/>
  <c r="P37" i="11"/>
  <c r="J23" i="12"/>
  <c r="V46" i="11"/>
  <c r="J23" i="14" s="1"/>
  <c r="R34" i="12"/>
  <c r="R35"/>
  <c r="P34" i="11"/>
  <c r="FL329" i="9"/>
  <c r="FL245"/>
  <c r="FL427"/>
  <c r="FL433"/>
  <c r="FL394"/>
  <c r="FL235"/>
  <c r="FL56"/>
  <c r="FL393"/>
  <c r="FL164"/>
  <c r="FL65"/>
  <c r="FL187"/>
  <c r="FL185"/>
  <c r="FL189"/>
  <c r="FL387"/>
  <c r="FL95"/>
  <c r="FL201"/>
  <c r="FL34"/>
  <c r="FL215"/>
  <c r="FL45"/>
  <c r="FL168"/>
  <c r="FL209"/>
  <c r="FL55"/>
  <c r="FL225"/>
  <c r="FL93"/>
  <c r="FL423"/>
  <c r="FL349"/>
  <c r="FL436"/>
  <c r="FL418"/>
  <c r="FL496"/>
  <c r="FL125"/>
  <c r="FL355"/>
  <c r="FL525"/>
  <c r="FL281"/>
  <c r="FL48"/>
  <c r="FL453"/>
  <c r="FL470"/>
  <c r="FL379"/>
  <c r="FL473"/>
  <c r="FL220"/>
  <c r="FL367"/>
  <c r="FL462"/>
  <c r="FL217"/>
  <c r="FL475"/>
  <c r="FL49"/>
  <c r="FL172"/>
  <c r="FL452"/>
  <c r="FL121"/>
  <c r="FL464"/>
  <c r="FL71"/>
  <c r="FL160"/>
  <c r="FL311"/>
  <c r="FL77"/>
  <c r="FL425"/>
  <c r="FL404"/>
  <c r="FL163"/>
  <c r="FL205"/>
  <c r="FL221"/>
  <c r="FL42"/>
  <c r="FL96"/>
  <c r="FL333"/>
  <c r="FL66"/>
  <c r="FL256"/>
  <c r="FL326"/>
  <c r="FL399"/>
  <c r="FL263"/>
  <c r="FL307"/>
  <c r="FL494"/>
  <c r="FL319"/>
  <c r="FL212"/>
  <c r="FL92"/>
  <c r="G49" i="4"/>
  <c r="G12" i="11"/>
  <c r="O39" i="12"/>
  <c r="FL152" i="9"/>
  <c r="FL241"/>
  <c r="FL441"/>
  <c r="FL25"/>
  <c r="FL223"/>
  <c r="FL103"/>
  <c r="FL449"/>
  <c r="FL6"/>
  <c r="FL181"/>
  <c r="FL113"/>
  <c r="FL414"/>
  <c r="FL382"/>
  <c r="FL519"/>
  <c r="FL79"/>
  <c r="FL357"/>
  <c r="FL54"/>
  <c r="FL169"/>
  <c r="FL320"/>
  <c r="FL238"/>
  <c r="FL147"/>
  <c r="FL484"/>
  <c r="FL410"/>
  <c r="FL336"/>
  <c r="FL335"/>
  <c r="FL139"/>
  <c r="FL10"/>
  <c r="FL222"/>
  <c r="FL348"/>
  <c r="FL315"/>
  <c r="FL302"/>
  <c r="FL283"/>
  <c r="FL242"/>
  <c r="FL356"/>
  <c r="FL30"/>
  <c r="FL359"/>
  <c r="FL365"/>
  <c r="FL370"/>
  <c r="FL338"/>
  <c r="FL267"/>
  <c r="FL228"/>
  <c r="FL431"/>
  <c r="FL371"/>
  <c r="FL61"/>
  <c r="FL295"/>
  <c r="FL74"/>
  <c r="FL127"/>
  <c r="FL20"/>
  <c r="FL226"/>
  <c r="FL236"/>
  <c r="FL420"/>
  <c r="FL198"/>
  <c r="FL476"/>
  <c r="FL411"/>
  <c r="FL210"/>
  <c r="FL343"/>
  <c r="FL426"/>
  <c r="FL178"/>
  <c r="FL200"/>
  <c r="FL405"/>
  <c r="FL204"/>
  <c r="FL137"/>
  <c r="FL170"/>
  <c r="FL308"/>
  <c r="FL195"/>
  <c r="FL227"/>
  <c r="FL237"/>
  <c r="FL424"/>
  <c r="FL446"/>
  <c r="FL474"/>
  <c r="FL415"/>
  <c r="FL439"/>
  <c r="FL264"/>
  <c r="FL390"/>
  <c r="FL274"/>
  <c r="FL21"/>
  <c r="FL38"/>
  <c r="FL444"/>
  <c r="FL298"/>
  <c r="FL51"/>
  <c r="FL206"/>
  <c r="FL401"/>
  <c r="FL166"/>
  <c r="FL291"/>
  <c r="FL60"/>
  <c r="FL111"/>
  <c r="FL276"/>
  <c r="FL213"/>
  <c r="FL389"/>
  <c r="FL316"/>
  <c r="FL136"/>
  <c r="FL299"/>
  <c r="FL479"/>
  <c r="FL312"/>
  <c r="FL193"/>
  <c r="FL391"/>
  <c r="FL190"/>
  <c r="FL151"/>
  <c r="FL400"/>
  <c r="FL67"/>
  <c r="FL175"/>
  <c r="FL248"/>
  <c r="FL197"/>
  <c r="FL73"/>
  <c r="FL498"/>
  <c r="FL377"/>
  <c r="FL369"/>
  <c r="FL520"/>
  <c r="FL422"/>
  <c r="FL271"/>
  <c r="FL511"/>
  <c r="FL430"/>
  <c r="FL487"/>
  <c r="FL442"/>
  <c r="FL260"/>
  <c r="FL50"/>
  <c r="FL29"/>
  <c r="FL292"/>
  <c r="FL523"/>
  <c r="FL458"/>
  <c r="FL80"/>
  <c r="FL354"/>
  <c r="FL124"/>
  <c r="FL87"/>
  <c r="FL269"/>
  <c r="FL383"/>
  <c r="FL505"/>
  <c r="FL143"/>
  <c r="FL114"/>
  <c r="FL428"/>
  <c r="FL16"/>
  <c r="FL435"/>
  <c r="FL332"/>
  <c r="B3" i="12"/>
  <c r="N59" i="1"/>
  <c r="I10" i="10"/>
  <c r="AB10" s="1"/>
  <c r="AF16" i="11" s="1"/>
  <c r="E15" i="14"/>
  <c r="C68" i="4"/>
  <c r="B48" i="2"/>
  <c r="B38"/>
  <c r="C34" i="6"/>
  <c r="Z22" i="11"/>
  <c r="AA29" i="12"/>
  <c r="E33" s="1"/>
  <c r="F33" s="1"/>
  <c r="FL504" i="9"/>
  <c r="FL518"/>
  <c r="FL289"/>
  <c r="FL492"/>
  <c r="FL266"/>
  <c r="FL72"/>
  <c r="FL64"/>
  <c r="FL297"/>
  <c r="FL351"/>
  <c r="FL362"/>
  <c r="FL361"/>
  <c r="FL44"/>
  <c r="FL41"/>
  <c r="FL482"/>
  <c r="FL466"/>
  <c r="FL408"/>
  <c r="FL98"/>
  <c r="FL450"/>
  <c r="FL469"/>
  <c r="FL141"/>
  <c r="FL403"/>
  <c r="FL230"/>
  <c r="FL233"/>
  <c r="FL133"/>
  <c r="FL82"/>
  <c r="FL53"/>
  <c r="FL526"/>
  <c r="FL454"/>
  <c r="FL219"/>
  <c r="FL296"/>
  <c r="FL27"/>
  <c r="FL120"/>
  <c r="FL81"/>
  <c r="FL334"/>
  <c r="FL11"/>
  <c r="FL179"/>
  <c r="FL500"/>
  <c r="FL234"/>
  <c r="FL374"/>
  <c r="FL250"/>
  <c r="FL398"/>
  <c r="FL177"/>
  <c r="FL249"/>
  <c r="FL396"/>
  <c r="FL83"/>
  <c r="FL350"/>
  <c r="FL78"/>
  <c r="FL253"/>
  <c r="FL272"/>
  <c r="FL155"/>
  <c r="FL173"/>
  <c r="FL352"/>
  <c r="FL112"/>
  <c r="FL325"/>
  <c r="FL22"/>
  <c r="FL513"/>
  <c r="FL104"/>
  <c r="FL159"/>
  <c r="FL327"/>
  <c r="AH6" i="14"/>
  <c r="FL109" i="9"/>
  <c r="C54" i="11"/>
  <c r="AF24"/>
  <c r="AF23" s="1"/>
  <c r="FL157" i="9"/>
  <c r="C69" i="1"/>
  <c r="FL278" i="9"/>
  <c r="FL58"/>
  <c r="FL135"/>
  <c r="FL288"/>
  <c r="FL293"/>
  <c r="FL516"/>
  <c r="FL211"/>
  <c r="FL521"/>
  <c r="FL47"/>
  <c r="FL515"/>
  <c r="FL456"/>
  <c r="FL345"/>
  <c r="FL35"/>
  <c r="FL261"/>
  <c r="FL258"/>
  <c r="FL397"/>
  <c r="FL167"/>
  <c r="FL100"/>
  <c r="FL368"/>
  <c r="FL89"/>
  <c r="FL358"/>
  <c r="FL259"/>
  <c r="FL445"/>
  <c r="FL486"/>
  <c r="FL522"/>
  <c r="FL90"/>
  <c r="FL174"/>
  <c r="FL406"/>
  <c r="FL138"/>
  <c r="FL239"/>
  <c r="FL126"/>
  <c r="FL12"/>
  <c r="FL284"/>
  <c r="FL330"/>
  <c r="FL493"/>
  <c r="FL199"/>
  <c r="FL255"/>
  <c r="FL353"/>
  <c r="FL306"/>
  <c r="FL69"/>
  <c r="FL328"/>
  <c r="FL419"/>
  <c r="FL409"/>
  <c r="FL8"/>
  <c r="FL85"/>
  <c r="FL33"/>
  <c r="FL305"/>
  <c r="FL19"/>
  <c r="FL421"/>
  <c r="FL180"/>
  <c r="FL46"/>
  <c r="FL286"/>
  <c r="FL63"/>
  <c r="FL165"/>
  <c r="FL508"/>
  <c r="FL341"/>
  <c r="FL128"/>
  <c r="FL158"/>
  <c r="FL132"/>
  <c r="FL118"/>
  <c r="FL402"/>
  <c r="FL489"/>
  <c r="FL337"/>
  <c r="FL512"/>
  <c r="FL499"/>
  <c r="FL145"/>
  <c r="FL318"/>
  <c r="FL506"/>
  <c r="FL203"/>
  <c r="FL131"/>
  <c r="FL460"/>
  <c r="FL182"/>
  <c r="FL385"/>
  <c r="FL134"/>
  <c r="FL273"/>
  <c r="FL309"/>
  <c r="FL183"/>
  <c r="FL99"/>
  <c r="FL280"/>
  <c r="FL477"/>
  <c r="FL301"/>
  <c r="FL443"/>
  <c r="FL110"/>
  <c r="FL161"/>
  <c r="FL432"/>
  <c r="FL507"/>
  <c r="FL524"/>
  <c r="FL84"/>
  <c r="FL254"/>
  <c r="FL153"/>
  <c r="FL480"/>
  <c r="FL91"/>
  <c r="FL285"/>
  <c r="FL36"/>
  <c r="FL485"/>
  <c r="FL514"/>
  <c r="FL461"/>
  <c r="FL384"/>
  <c r="FL501"/>
  <c r="FL231"/>
  <c r="FL388"/>
  <c r="FL150"/>
  <c r="FL463"/>
  <c r="FL417"/>
  <c r="FL491"/>
  <c r="FL24"/>
  <c r="FL43"/>
  <c r="FL202"/>
  <c r="FL472"/>
  <c r="FL39"/>
  <c r="FL257"/>
  <c r="FL481"/>
  <c r="FL314"/>
  <c r="FL437"/>
  <c r="FL510"/>
  <c r="FL416"/>
  <c r="FL23"/>
  <c r="FL290"/>
  <c r="FL108"/>
  <c r="FL62"/>
  <c r="FL268"/>
  <c r="FL207"/>
  <c r="FL146"/>
  <c r="FL70"/>
  <c r="FL68"/>
  <c r="FL310"/>
  <c r="FL244"/>
  <c r="FL407"/>
  <c r="FL247"/>
  <c r="FL380"/>
  <c r="C33" i="4"/>
  <c r="T24" i="1"/>
  <c r="G14" i="2"/>
  <c r="V47" i="11"/>
  <c r="J24" i="14" s="1"/>
  <c r="C63" i="2"/>
  <c r="T61" i="4"/>
  <c r="W12" i="10"/>
  <c r="X11" s="1"/>
  <c r="I12" s="1"/>
  <c r="V36" i="11"/>
  <c r="E16" i="14" s="1"/>
  <c r="Z27" i="2"/>
  <c r="AE30" i="14"/>
  <c r="J33"/>
  <c r="J33" i="12"/>
  <c r="AE30"/>
  <c r="B39" i="2"/>
  <c r="B30" i="11" s="1"/>
  <c r="Z30"/>
  <c r="P30" s="1"/>
  <c r="V45"/>
  <c r="J22" i="14" s="1"/>
  <c r="J22" i="12"/>
  <c r="Q22" i="2"/>
  <c r="Q18" i="11"/>
  <c r="AG33" s="1"/>
  <c r="N24" i="1"/>
  <c r="H22" i="2"/>
  <c r="AB20"/>
  <c r="AB16" i="11"/>
  <c r="AB18"/>
  <c r="AB22" i="2"/>
  <c r="K10" i="10"/>
  <c r="Q18" i="2"/>
  <c r="T19" i="4"/>
  <c r="T54" s="1"/>
  <c r="Q14" i="11"/>
  <c r="W17" i="10"/>
  <c r="W18" s="1"/>
  <c r="X17" s="1"/>
  <c r="I17" s="1"/>
  <c r="AG6" i="14"/>
  <c r="O44" i="11" l="1"/>
  <c r="O46"/>
  <c r="O43"/>
  <c r="O45"/>
  <c r="O47"/>
  <c r="V37"/>
  <c r="E17" i="14" s="1"/>
  <c r="Z17" s="1"/>
  <c r="AG4" i="12"/>
  <c r="AH4"/>
  <c r="AH2" s="1"/>
  <c r="B3" i="14"/>
  <c r="AF9" i="12"/>
  <c r="Q20" i="2"/>
  <c r="Q16" i="11"/>
  <c r="V24" s="1"/>
  <c r="T17" i="4"/>
  <c r="T52" s="1"/>
  <c r="E15" i="10"/>
  <c r="T23" i="4" s="1"/>
  <c r="T58" s="1"/>
  <c r="E15" i="12"/>
  <c r="P35" i="11"/>
  <c r="E17" i="12" s="1"/>
  <c r="L11" i="10"/>
  <c r="M9"/>
  <c r="K11"/>
  <c r="K13" s="1"/>
  <c r="AG29" i="2"/>
  <c r="AF29"/>
  <c r="V39" i="11"/>
  <c r="AG31" i="2"/>
  <c r="AF31"/>
  <c r="AG34" i="11"/>
  <c r="V33"/>
  <c r="T33" s="1"/>
  <c r="AH28" i="2"/>
  <c r="AI28" s="1"/>
  <c r="I14" i="12"/>
  <c r="U33" s="1"/>
  <c r="H14"/>
  <c r="J14"/>
  <c r="I14" i="14"/>
  <c r="U33" s="1"/>
  <c r="H14"/>
  <c r="J14"/>
  <c r="AM9" i="12" l="1"/>
  <c r="AL9" s="1"/>
  <c r="AH14" s="1"/>
  <c r="AN9"/>
  <c r="AG11"/>
  <c r="AG2"/>
  <c r="AF2" s="1"/>
  <c r="AF9" i="14"/>
  <c r="AN9" s="1"/>
  <c r="AM9" s="1"/>
  <c r="AL9" s="1"/>
  <c r="AH14" s="1"/>
  <c r="AG4"/>
  <c r="AH4"/>
  <c r="AH2" s="1"/>
  <c r="P39" i="11"/>
  <c r="AG24"/>
  <c r="AG23" s="1"/>
  <c r="T24"/>
  <c r="AF25" s="1"/>
  <c r="AG16" s="1"/>
  <c r="T27" s="1"/>
  <c r="T25"/>
  <c r="AH16"/>
  <c r="AH31" i="2"/>
  <c r="F21" i="10" s="1"/>
  <c r="Z31" i="2"/>
  <c r="B31" s="1"/>
  <c r="AF32"/>
  <c r="Z34" i="11"/>
  <c r="Z27"/>
  <c r="AG30" i="2"/>
  <c r="Z33"/>
  <c r="B33" s="1"/>
  <c r="L10" i="10"/>
  <c r="L9"/>
  <c r="AF36" i="11"/>
  <c r="AF29"/>
  <c r="Z36"/>
  <c r="Z35" i="2"/>
  <c r="B35" s="1"/>
  <c r="AG32"/>
  <c r="AF30"/>
  <c r="Z29"/>
  <c r="Z25" i="11"/>
  <c r="AH29" i="2"/>
  <c r="F19" i="10" s="1"/>
  <c r="AG11" i="14" l="1"/>
  <c r="AG2"/>
  <c r="AF2" s="1"/>
  <c r="M10" i="10"/>
  <c r="AF3" i="12"/>
  <c r="AF4"/>
  <c r="Z30" i="2"/>
  <c r="B30" s="1"/>
  <c r="AH30"/>
  <c r="F20" i="10" s="1"/>
  <c r="Z26" i="11"/>
  <c r="Z32" i="2"/>
  <c r="B32" s="1"/>
  <c r="AH32"/>
  <c r="F22" i="10" s="1"/>
  <c r="Z35" i="11"/>
  <c r="D12" i="14"/>
  <c r="T42" i="11"/>
  <c r="N19" i="10"/>
  <c r="P19"/>
  <c r="L19"/>
  <c r="B29" i="2"/>
  <c r="Z37" i="11"/>
  <c r="Z36" i="2"/>
  <c r="B36" s="1"/>
  <c r="AG18" i="11"/>
  <c r="AH18" s="1"/>
  <c r="AF28"/>
  <c r="Z34" i="2"/>
  <c r="B34" s="1"/>
  <c r="Z28" i="11"/>
  <c r="Z39"/>
  <c r="O27"/>
  <c r="P27" s="1"/>
  <c r="O25"/>
  <c r="AF4" i="14" l="1"/>
  <c r="D8" s="1"/>
  <c r="E8" s="1"/>
  <c r="AF3"/>
  <c r="D12" i="12"/>
  <c r="O31" i="11"/>
  <c r="P31" s="1"/>
  <c r="V31" s="1"/>
  <c r="O42"/>
  <c r="P25"/>
  <c r="N20" i="10"/>
  <c r="N28" s="1"/>
  <c r="P20"/>
  <c r="P28" s="1"/>
  <c r="L20"/>
  <c r="P28" i="11"/>
  <c r="V28" s="1"/>
  <c r="E13" i="12"/>
  <c r="Z40" i="2"/>
  <c r="L28" i="10"/>
  <c r="L29" s="1"/>
  <c r="AD43" i="2" s="1"/>
  <c r="Q43" s="1"/>
  <c r="V27" i="11"/>
  <c r="E13" i="14" s="1"/>
  <c r="Z32" i="11"/>
  <c r="Z40" s="1"/>
  <c r="AF5" i="14" l="1"/>
  <c r="W22" i="11"/>
  <c r="W27" i="2"/>
  <c r="Z13" i="14"/>
  <c r="V13"/>
  <c r="T8"/>
  <c r="T29" s="1"/>
  <c r="AC8"/>
  <c r="V8"/>
  <c r="Z8"/>
  <c r="AF5" i="12"/>
  <c r="D8"/>
  <c r="E8" s="1"/>
  <c r="N29" i="10"/>
  <c r="N31" s="1"/>
  <c r="V42" i="11"/>
  <c r="P42"/>
  <c r="Z13" i="12"/>
  <c r="V13"/>
  <c r="E12"/>
  <c r="P40" i="11"/>
  <c r="P26"/>
  <c r="V25"/>
  <c r="AF44" i="2" l="1"/>
  <c r="AG44" s="1"/>
  <c r="E14" i="12"/>
  <c r="V26" i="11"/>
  <c r="E14" i="14" s="1"/>
  <c r="P32" i="11"/>
  <c r="J9" i="12"/>
  <c r="Z42" i="11"/>
  <c r="Z8" i="12"/>
  <c r="V8"/>
  <c r="AC8"/>
  <c r="T8"/>
  <c r="T29" s="1"/>
  <c r="V32" i="11"/>
  <c r="E12" i="14"/>
  <c r="AD12" i="12"/>
  <c r="Z12"/>
  <c r="V12"/>
  <c r="J9" i="14"/>
  <c r="V40" i="11" l="1"/>
  <c r="AD14" i="14"/>
  <c r="V14"/>
  <c r="Z14"/>
  <c r="AD44" i="2"/>
  <c r="Q44" s="1"/>
  <c r="Z12" i="14"/>
  <c r="Z29" s="1"/>
  <c r="B33" s="1"/>
  <c r="C33" s="1"/>
  <c r="AD12"/>
  <c r="V12"/>
  <c r="V14" i="12"/>
  <c r="V29" s="1"/>
  <c r="AD14"/>
  <c r="AD29" s="1"/>
  <c r="Z14"/>
  <c r="Z29" s="1"/>
  <c r="B33" s="1"/>
  <c r="C33" s="1"/>
  <c r="AD29" i="14" l="1"/>
  <c r="V29"/>
  <c r="B35" s="1"/>
  <c r="Z34" i="12"/>
  <c r="Z35" s="1"/>
  <c r="E28" s="1"/>
  <c r="E29" s="1"/>
  <c r="H8"/>
  <c r="B35"/>
  <c r="I8"/>
  <c r="J8" s="1"/>
  <c r="Z34" i="14"/>
  <c r="Z35" s="1"/>
  <c r="E28" s="1"/>
  <c r="E29" s="1"/>
  <c r="P43" i="11"/>
  <c r="V43" s="1"/>
  <c r="Z49" i="2"/>
  <c r="Z50" s="1"/>
  <c r="Z53" s="1"/>
  <c r="H8" i="14" l="1"/>
  <c r="I8" s="1"/>
  <c r="J8" s="1"/>
  <c r="AC28" s="1"/>
  <c r="AC29" s="1"/>
  <c r="J12"/>
  <c r="J13" s="1"/>
  <c r="V48" i="11"/>
  <c r="AF50" s="1"/>
  <c r="T50" s="1"/>
  <c r="AC28" i="12"/>
  <c r="AC29" s="1"/>
  <c r="J12"/>
  <c r="J13" s="1"/>
  <c r="Z43" i="11"/>
  <c r="Z50" s="1"/>
  <c r="O50" s="1"/>
  <c r="O51" s="1"/>
  <c r="P48"/>
  <c r="Z48" l="1"/>
  <c r="G33" i="14"/>
  <c r="AC30"/>
  <c r="G33" i="12"/>
  <c r="AC30"/>
  <c r="I11" l="1"/>
  <c r="U32" s="1"/>
  <c r="H11"/>
  <c r="I11" i="14"/>
  <c r="U32" s="1"/>
  <c r="H11"/>
  <c r="J11"/>
  <c r="J29" s="1"/>
  <c r="J30" s="1"/>
  <c r="J11" i="12" l="1"/>
  <c r="J29" s="1"/>
  <c r="J30" s="1"/>
</calcChain>
</file>

<file path=xl/comments1.xml><?xml version="1.0" encoding="utf-8"?>
<comments xmlns="http://schemas.openxmlformats.org/spreadsheetml/2006/main">
  <authors>
    <author>USER</author>
  </authors>
  <commentList>
    <comment ref="A29" authorId="0">
      <text>
        <r>
          <rPr>
            <b/>
            <sz val="9"/>
            <color indexed="81"/>
            <rFont val="Tahoma"/>
            <family val="2"/>
          </rPr>
          <t>Não use a tecla barra de espaço para limpar o conteúdo, use sempre a tecla delete</t>
        </r>
        <r>
          <rPr>
            <sz val="9"/>
            <color indexed="81"/>
            <rFont val="Tahoma"/>
            <family val="2"/>
          </rPr>
          <t xml:space="preserve">
</t>
        </r>
      </text>
    </comment>
    <comment ref="A30" authorId="0">
      <text>
        <r>
          <rPr>
            <b/>
            <sz val="9"/>
            <color indexed="81"/>
            <rFont val="Tahoma"/>
            <family val="2"/>
          </rPr>
          <t>Não use a tecla barra de espaço para limpar o conteúdo, use sempre a tecla delete</t>
        </r>
        <r>
          <rPr>
            <sz val="9"/>
            <color indexed="81"/>
            <rFont val="Tahoma"/>
            <family val="2"/>
          </rPr>
          <t xml:space="preserve">
</t>
        </r>
      </text>
    </comment>
    <comment ref="A31" authorId="0">
      <text>
        <r>
          <rPr>
            <b/>
            <sz val="9"/>
            <color indexed="81"/>
            <rFont val="Tahoma"/>
            <family val="2"/>
          </rPr>
          <t>Não use a tecla barra de espaço para limpar o conteúdo, use sempre a tecla delete</t>
        </r>
        <r>
          <rPr>
            <sz val="9"/>
            <color indexed="81"/>
            <rFont val="Tahoma"/>
            <family val="2"/>
          </rPr>
          <t xml:space="preserve">
</t>
        </r>
      </text>
    </comment>
  </commentList>
</comments>
</file>

<file path=xl/comments2.xml><?xml version="1.0" encoding="utf-8"?>
<comments xmlns="http://schemas.openxmlformats.org/spreadsheetml/2006/main">
  <authors>
    <author>User</author>
  </authors>
  <commentList>
    <comment ref="E33" authorId="0">
      <text>
        <r>
          <rPr>
            <sz val="8"/>
            <color indexed="81"/>
            <rFont val="Tahoma"/>
            <family val="2"/>
          </rPr>
          <t xml:space="preserve">#valor!, vá até a linha J14 - digite a tecla delete, ou a tecla zero
</t>
        </r>
      </text>
    </comment>
  </commentList>
</comments>
</file>

<file path=xl/comments3.xml><?xml version="1.0" encoding="utf-8"?>
<comments xmlns="http://schemas.openxmlformats.org/spreadsheetml/2006/main">
  <authors>
    <author>User</author>
  </authors>
  <commentList>
    <comment ref="E33" authorId="0">
      <text>
        <r>
          <rPr>
            <sz val="8"/>
            <color indexed="81"/>
            <rFont val="Tahoma"/>
            <family val="2"/>
          </rPr>
          <t xml:space="preserve">#valor!, vá até a linha J14 - digite a tecla delete, ou a tecla zero
</t>
        </r>
      </text>
    </comment>
  </commentList>
</comments>
</file>

<file path=xl/sharedStrings.xml><?xml version="1.0" encoding="utf-8"?>
<sst xmlns="http://schemas.openxmlformats.org/spreadsheetml/2006/main" count="2405" uniqueCount="547">
  <si>
    <r>
      <t xml:space="preserve">Para usar o programa, utilize sempre a tecla </t>
    </r>
    <r>
      <rPr>
        <b/>
        <sz val="10"/>
        <color indexed="9"/>
        <rFont val="Arial"/>
        <family val="2"/>
      </rPr>
      <t xml:space="preserve">"TAB" -'ENTER" e "SETA" </t>
    </r>
    <r>
      <rPr>
        <sz val="10"/>
        <color indexed="9"/>
        <rFont val="Arial"/>
        <family val="2"/>
      </rPr>
      <t>do seu teclado, pois como os programas estão com trava de segurança, devido aos cálculos, esta tecla irá conduzir você somente pelas células que realmente necessitam de manutenção....</t>
    </r>
  </si>
  <si>
    <t>TÉRMINO DAS FÉRIAS</t>
  </si>
  <si>
    <t>DATA DO RETORNO AO TRABALHO</t>
  </si>
  <si>
    <t>DATA DO AVISO PRÉVIO DE FÉRIAS</t>
  </si>
  <si>
    <t xml:space="preserve">PERÍODO AQUISITIVO DAS FÉRIAS </t>
  </si>
  <si>
    <t>DATA DE PAGAMENTO DAS FÉRIAS</t>
  </si>
  <si>
    <t>DATA SOLICITAÇÃO DO ABONO PECUNIÁRIO</t>
  </si>
  <si>
    <t>INÍCIO</t>
  </si>
  <si>
    <t>TÉRMINO</t>
  </si>
  <si>
    <t>ÚLTIMO DIA</t>
  </si>
  <si>
    <t>DIREITO ADQUIRIDO DE FÉRIAS</t>
  </si>
  <si>
    <r>
      <t>Isso facilita você</t>
    </r>
    <r>
      <rPr>
        <sz val="10"/>
        <color indexed="9"/>
        <rFont val="Arial"/>
        <family val="2"/>
      </rPr>
      <t xml:space="preserve">:- quando você estiver na planilha, clique na </t>
    </r>
    <r>
      <rPr>
        <b/>
        <sz val="10"/>
        <color indexed="9"/>
        <rFont val="Arial"/>
        <family val="2"/>
      </rPr>
      <t>linha 1</t>
    </r>
    <r>
      <rPr>
        <sz val="10"/>
        <color indexed="9"/>
        <rFont val="Arial"/>
        <family val="2"/>
      </rPr>
      <t xml:space="preserve"> e na </t>
    </r>
    <r>
      <rPr>
        <b/>
        <sz val="10"/>
        <color indexed="9"/>
        <rFont val="Arial"/>
        <family val="2"/>
      </rPr>
      <t>célula A</t>
    </r>
    <r>
      <rPr>
        <sz val="10"/>
        <color indexed="9"/>
        <rFont val="Arial"/>
        <family val="2"/>
      </rPr>
      <t xml:space="preserve"> e daí em diante só teclar '</t>
    </r>
    <r>
      <rPr>
        <b/>
        <sz val="10"/>
        <color indexed="9"/>
        <rFont val="Arial"/>
        <family val="2"/>
      </rPr>
      <t>TAB"</t>
    </r>
  </si>
  <si>
    <r>
      <t xml:space="preserve">Para limpar coluna com </t>
    </r>
    <r>
      <rPr>
        <b/>
        <sz val="10"/>
        <color indexed="9"/>
        <rFont val="Arial"/>
        <family val="2"/>
      </rPr>
      <t xml:space="preserve">NOME ou DATA, </t>
    </r>
    <r>
      <rPr>
        <sz val="10"/>
        <color indexed="9"/>
        <rFont val="Arial"/>
        <family val="2"/>
      </rPr>
      <t xml:space="preserve">use a tecla </t>
    </r>
    <r>
      <rPr>
        <b/>
        <sz val="10"/>
        <color indexed="9"/>
        <rFont val="Arial"/>
        <family val="2"/>
      </rPr>
      <t>"BARRA DE ESPAÇO"</t>
    </r>
    <r>
      <rPr>
        <sz val="10"/>
        <color indexed="9"/>
        <rFont val="Arial"/>
        <family val="2"/>
      </rPr>
      <t xml:space="preserve"> e nunca a tecla </t>
    </r>
    <r>
      <rPr>
        <b/>
        <sz val="10"/>
        <color indexed="9"/>
        <rFont val="Arial"/>
        <family val="2"/>
      </rPr>
      <t>(ZERO)</t>
    </r>
    <r>
      <rPr>
        <sz val="10"/>
        <color indexed="9"/>
        <rFont val="Arial"/>
        <family val="2"/>
      </rPr>
      <t>;</t>
    </r>
  </si>
  <si>
    <t>ENDEREÇO</t>
  </si>
  <si>
    <t>NÚMERO</t>
  </si>
  <si>
    <t>COMPLEMENTO</t>
  </si>
  <si>
    <t>ESTADO</t>
  </si>
  <si>
    <t>UF</t>
  </si>
  <si>
    <t>CEP</t>
  </si>
  <si>
    <t>PAÍS</t>
  </si>
  <si>
    <t>FONE</t>
  </si>
  <si>
    <t>FAX</t>
  </si>
  <si>
    <t>E-MAIL</t>
  </si>
  <si>
    <t>INSCRIÇÃO ESTADUAL</t>
  </si>
  <si>
    <t>INSCRIÇÃO MUNICIPAL</t>
  </si>
  <si>
    <t>PESSOAL DE CONTATO</t>
  </si>
  <si>
    <t>NOME DO FUNCIONÁRIO</t>
  </si>
  <si>
    <t>DATA DO NASCIMENTO</t>
  </si>
  <si>
    <t>LOCAL DO NASCIMENTO</t>
  </si>
  <si>
    <t>NACIONALIDADE</t>
  </si>
  <si>
    <t>SEXO</t>
  </si>
  <si>
    <t>ESTADO CIVIL</t>
  </si>
  <si>
    <t>CÔR:</t>
  </si>
  <si>
    <t>ALTURA:</t>
  </si>
  <si>
    <t>PESO:</t>
  </si>
  <si>
    <t>CABELOS:</t>
  </si>
  <si>
    <t>OLHOS:</t>
  </si>
  <si>
    <t>SINAIS:</t>
  </si>
  <si>
    <t>TIPO DE SANGUE</t>
  </si>
  <si>
    <t>DOADOR DE SANGUE</t>
  </si>
  <si>
    <t>GRAU DE INSTRUÇÃO</t>
  </si>
  <si>
    <t>CERTIDÃO DE NASCIMENTO N°</t>
  </si>
  <si>
    <t>LIVRO N°</t>
  </si>
  <si>
    <t>FOLHA N°</t>
  </si>
  <si>
    <t>LAVRADO NO CARTÓRIO DE</t>
  </si>
  <si>
    <t>DATA DE EMISSÃO DA CERTIDÃO</t>
  </si>
  <si>
    <t>CERTIDÃO DE CASAMENTO N°</t>
  </si>
  <si>
    <t>NOME DO PAI</t>
  </si>
  <si>
    <t>NACIONALIDADE DO PAI</t>
  </si>
  <si>
    <t>NOME DA MÃE</t>
  </si>
  <si>
    <t>CARTEIRA DE IDENTIDADE</t>
  </si>
  <si>
    <t>EXPEDIDA POR</t>
  </si>
  <si>
    <t>DATA DA EMISSÃO</t>
  </si>
  <si>
    <t>Nº DA CARTEIRA DE TRABALHO</t>
  </si>
  <si>
    <t>EXPEDIDA EM:</t>
  </si>
  <si>
    <t>EMPRESA</t>
  </si>
  <si>
    <t>CIENTE EM  &gt;&gt;&gt;&gt;&gt;&gt;&gt;&gt;&gt;&gt;&gt;&gt;&gt;</t>
  </si>
  <si>
    <t xml:space="preserve">  </t>
  </si>
  <si>
    <t>ASSINATURA DO EMPREGADOR</t>
  </si>
  <si>
    <t>ASSINATURA DO EMPREGADO</t>
  </si>
  <si>
    <t>SOLICITAÇÃO DE FÉRIAS EM ABONO PECUNIÁRIO</t>
  </si>
  <si>
    <t>O abaixo assinado requer a concessão do abono pecuniário de 1/3 de</t>
  </si>
  <si>
    <t>suas férias, referente ao período aquisitivo de &gt;&gt;&gt;&gt;&gt;&gt;&gt;&gt;&gt;&gt;&gt;&gt;&gt;&gt;&gt;&gt;&gt;&gt;&gt;</t>
  </si>
  <si>
    <t>conforme faculta o Art. 143 da CLT - Consolidação das Leis do Trabalho.</t>
  </si>
  <si>
    <t>RECIBO DE FÉRIAS</t>
  </si>
  <si>
    <t>EMPRESA:</t>
  </si>
  <si>
    <t>CNPJ</t>
  </si>
  <si>
    <t>Nº</t>
  </si>
  <si>
    <t>CIDADE</t>
  </si>
  <si>
    <t>NOME DO EMPREGADO:</t>
  </si>
  <si>
    <t>CARTEIRA DE TRABALHO:</t>
  </si>
  <si>
    <t>SÉRIE</t>
  </si>
  <si>
    <t>SEÇÃO:</t>
  </si>
  <si>
    <t>PERÍODO AQUISITIVO  DE</t>
  </si>
  <si>
    <t>À</t>
  </si>
  <si>
    <t>.</t>
  </si>
  <si>
    <t>PERÍODO   DE  GOZO  DE</t>
  </si>
  <si>
    <t>.  ( DIAS GOZADOS</t>
  </si>
  <si>
    <t>)</t>
  </si>
  <si>
    <t>PERÍODO DO ABONO  DE</t>
  </si>
  <si>
    <t xml:space="preserve">.  ( DIAS ABONO </t>
  </si>
  <si>
    <t>FALTAS NÃO JUSTIFIC.</t>
  </si>
  <si>
    <t>SALÁRIO-FIXO</t>
  </si>
  <si>
    <t>MÉDIA COMISSÃO</t>
  </si>
  <si>
    <t>MÉDIA HORA-EXTRA</t>
  </si>
  <si>
    <t>MÉDIA ADIC.</t>
  </si>
  <si>
    <t>BASE CÁLCULO DAS FÉRIAS</t>
  </si>
  <si>
    <t>DEMONSTRATIVO DO CÁLCULO DAS FÉRIAS</t>
  </si>
  <si>
    <t>R$</t>
  </si>
  <si>
    <t>VALOR BRUTO DAS FÉRIAS</t>
  </si>
  <si>
    <t>DESCONTOS</t>
  </si>
  <si>
    <t>INSS</t>
  </si>
  <si>
    <t>IMPOSTO DE RENDA</t>
  </si>
  <si>
    <t>VALOR LIQUIDO DAS FÉRIAS</t>
  </si>
  <si>
    <t>Recebi da Firma:</t>
  </si>
  <si>
    <t>paga antecipadamente por motivo das minhas férias regulamentares, ora concedidas e que vou gozar de acordo com a descrição acima, tudo conforme o aviso que recebi em tempo, ao qual dei meu "ciente".</t>
  </si>
  <si>
    <t>Pela clareza, firmo o presente dando plena e geral quitação.</t>
  </si>
  <si>
    <t>MÊS DE COMPETÊNCIA</t>
  </si>
  <si>
    <t>TABELA A SER UTILIZADA NO MÊS DE</t>
  </si>
  <si>
    <t>TABELA DESCONTO DO INSS</t>
  </si>
  <si>
    <t>SALÁRIO DE CONTRIBUIÇÃO</t>
  </si>
  <si>
    <t>ALÍQUOTA</t>
  </si>
  <si>
    <t>DE</t>
  </si>
  <si>
    <t>ATÉ</t>
  </si>
  <si>
    <t xml:space="preserve">      TABELA PARA DESCONTO IMPOSTO RENDA</t>
  </si>
  <si>
    <t>ISENTO</t>
  </si>
  <si>
    <t>PERÍODO DO ABONO PECUNIÁRIO &gt;&gt;&gt;&gt;&gt;&gt;&gt;&gt;&gt;&gt;&gt;&gt;&gt;&gt;&gt;&gt;&gt;&gt;&gt;&gt;&gt;&gt;&gt;&gt;&gt;&gt;&gt;&gt;&gt;</t>
  </si>
  <si>
    <t>Via do Empregador</t>
  </si>
  <si>
    <t>Via do Empregado</t>
  </si>
  <si>
    <t>ADIANTAMENTO 50% (PRIMEIRA PARCELA DO 13º SALÁRIO)</t>
  </si>
  <si>
    <t>INFORME O Nº DE DIAS PARA DIVIDIR SUAS FÉRIAS</t>
  </si>
  <si>
    <t>Retorno ao trabalho ......................................................................................................................................</t>
  </si>
  <si>
    <t>Comunicar as férias com antecedência mínima de 30 dias</t>
  </si>
  <si>
    <t>Deverá ser solicitado 15 dias antes do término do período aquisitivo</t>
  </si>
  <si>
    <t>OBS:- O empregado deverá dar quitado do recibo de férias, pelo menos 2 (dois) dias antes do período de gozo de férias</t>
  </si>
  <si>
    <t>Plano de Saúde (deduzir da base de cálculo do IRRF)</t>
  </si>
  <si>
    <t>Pensão Alimentícia (deduzir da base de cálculo do IRRF)</t>
  </si>
  <si>
    <t>SOLICITAÇÃO DA 1ª PARCELA DO 13° SALÁRIO</t>
  </si>
  <si>
    <t>Requer sempre no mês de Janeiro.</t>
  </si>
  <si>
    <t>Prezados Senhores</t>
  </si>
  <si>
    <t>Nos temos da legislação vigente, solicito o pagamento da 1ª parcela  do 13° salário, por ocasião do gozo de minhas férias</t>
  </si>
  <si>
    <t>Solicito apor o seu ciente na cópia desta.</t>
  </si>
  <si>
    <t>AJUDA AO PROGRAMA CÁLCULO DE FÉRIAS</t>
  </si>
  <si>
    <t>ANGELO ADALBERTO TONON</t>
  </si>
  <si>
    <t>PEDAGOGO  - TÉCNICO EM CONTABILIDADE - TÉCNICO EM SEG. NO TRABALHO</t>
  </si>
  <si>
    <t>PRES.PRUDENTE/SP</t>
  </si>
  <si>
    <t>Você está utilizando algum programa?</t>
  </si>
  <si>
    <t>Passe seu e-mail, informando qual programa que utiliza!</t>
  </si>
  <si>
    <t>Você será cadastrado como usuário, e passará a receber todas as atualizações efetuadas no programa.</t>
  </si>
  <si>
    <t>Você quer ajudar? É só mandar sua sugestão.</t>
  </si>
  <si>
    <t>Valor de cada dependente p/ fins de dedução do imposto de renda</t>
  </si>
  <si>
    <r>
      <t xml:space="preserve">Todas as planilhas deste programa, estão protegidas com senha de segurança </t>
    </r>
    <r>
      <rPr>
        <b/>
        <sz val="10"/>
        <color indexed="9"/>
        <rFont val="Arial"/>
        <family val="2"/>
      </rPr>
      <t>(proteção dos cálculos) -</t>
    </r>
    <r>
      <rPr>
        <b/>
        <u/>
        <sz val="10"/>
        <color indexed="9"/>
        <rFont val="Arial"/>
        <family val="2"/>
      </rPr>
      <t>Você não precisa de senha</t>
    </r>
    <r>
      <rPr>
        <b/>
        <sz val="10"/>
        <color indexed="9"/>
        <rFont val="Arial"/>
        <family val="2"/>
      </rPr>
      <t xml:space="preserve">. A senha </t>
    </r>
    <r>
      <rPr>
        <sz val="10"/>
        <color indexed="9"/>
        <rFont val="Arial"/>
        <family val="2"/>
      </rPr>
      <t>é uma segurança para não eliminar as formulas de cálculos existentes nas planilhas</t>
    </r>
  </si>
  <si>
    <t>PRESIDENTE PRUDENTE</t>
  </si>
  <si>
    <t>SÃO PAULO</t>
  </si>
  <si>
    <t>SP</t>
  </si>
  <si>
    <t>19.013-221</t>
  </si>
  <si>
    <t>PARENTESCO</t>
  </si>
  <si>
    <t>HORÁRIO DE TRABALHO</t>
  </si>
  <si>
    <t>ENTRADA MANHÃ</t>
  </si>
  <si>
    <t>Nº IRRF</t>
  </si>
  <si>
    <t>Nº SAL.FA-MÍLIA</t>
  </si>
  <si>
    <t>BRASILEIRO</t>
  </si>
  <si>
    <t>MASCULINO</t>
  </si>
  <si>
    <t>CASADO</t>
  </si>
  <si>
    <t>BRANCA</t>
  </si>
  <si>
    <t>CASTANHO</t>
  </si>
  <si>
    <t>PRETO</t>
  </si>
  <si>
    <t>NÃO</t>
  </si>
  <si>
    <t>B+</t>
  </si>
  <si>
    <t>SIM</t>
  </si>
  <si>
    <t>SUPERIOR COMPLETO</t>
  </si>
  <si>
    <t>A-40</t>
  </si>
  <si>
    <t>45V</t>
  </si>
  <si>
    <t>P.PRUDENTE</t>
  </si>
  <si>
    <t>14/05/0005</t>
  </si>
  <si>
    <t>NACIONALIDADE DA MÃE</t>
  </si>
  <si>
    <t>JOÃO TONO (FALECIDO)</t>
  </si>
  <si>
    <t>BRASILEIRA</t>
  </si>
  <si>
    <t>SSP/SP</t>
  </si>
  <si>
    <t>EXPEDIDA PELA DRT DE</t>
  </si>
  <si>
    <t>PRES.PRUDENTE</t>
  </si>
  <si>
    <t>TITULO DE ELEITOR</t>
  </si>
  <si>
    <t>EXPEDIDA PELO JUIZO ELEITORAL DE</t>
  </si>
  <si>
    <t>C.E.F</t>
  </si>
  <si>
    <t>BRADESCO S/A</t>
  </si>
  <si>
    <t>2044-3</t>
  </si>
  <si>
    <t>CADASTRO  PIS/PASEP EM</t>
  </si>
  <si>
    <t>BANCO</t>
  </si>
  <si>
    <t>CÓDIGO DO BANCO</t>
  </si>
  <si>
    <t>CÓDIGO AGÊNCIA</t>
  </si>
  <si>
    <t>CARTEIRA DE SAÚDE</t>
  </si>
  <si>
    <t>QUANDO ESTRANGEIRO-DATA CHEGADA</t>
  </si>
  <si>
    <t>CARTEIRA MODELO 19</t>
  </si>
  <si>
    <t>RUA JOSE AFONSO</t>
  </si>
  <si>
    <t>C H ANA JACINTA</t>
  </si>
  <si>
    <t>JARDIM ESPLANDA</t>
  </si>
  <si>
    <t>018 3905-4555</t>
  </si>
  <si>
    <t>018 3905-4755</t>
  </si>
  <si>
    <t>018 9741-4741</t>
  </si>
  <si>
    <t>GGHGHGH</t>
  </si>
  <si>
    <t>145.7845.478.78</t>
  </si>
  <si>
    <t xml:space="preserve"> SIM</t>
  </si>
  <si>
    <t>DALVA</t>
  </si>
  <si>
    <t>PORTUGAL</t>
  </si>
  <si>
    <t xml:space="preserve">NÃO </t>
  </si>
  <si>
    <t>DATA DA ADMISSÃO</t>
  </si>
  <si>
    <t>1,5% SOBRE O FATURAMENTO INDIVIDUAL</t>
  </si>
  <si>
    <t>r$ 0,25 PO PEÇAS PRODUZIDA</t>
  </si>
  <si>
    <t>FORMA DE PAGAMENTO</t>
  </si>
  <si>
    <t>TAREFA</t>
  </si>
  <si>
    <t>BANCO DEPOSITÁRIO</t>
  </si>
  <si>
    <t>CNPJ / CPF / CEI</t>
  </si>
  <si>
    <t>NOME DO BANCO</t>
  </si>
  <si>
    <t>N° BANCO</t>
  </si>
  <si>
    <t>N° DA AGÊNCIA</t>
  </si>
  <si>
    <t>C/ CORRENTE</t>
  </si>
  <si>
    <t>337-3</t>
  </si>
  <si>
    <t>19.120-1</t>
  </si>
  <si>
    <t>DATA DA SOLICITAÇÃO DA 1ª PARCELA DO 13° SALÁRIO</t>
  </si>
  <si>
    <t xml:space="preserve">J </t>
  </si>
  <si>
    <t>I</t>
  </si>
  <si>
    <t>ESCOLHA O FUNCIONÁRIO QUE SAIRÁ DE FÉRIAS</t>
  </si>
  <si>
    <t>CARTEIRA RESERVISTA:</t>
  </si>
  <si>
    <t>CATEGORIA:</t>
  </si>
  <si>
    <t>CPF:</t>
  </si>
  <si>
    <t>ZONA</t>
  </si>
  <si>
    <t>SEÇÃO</t>
  </si>
  <si>
    <t>Nº: DO PIS/PASEP</t>
  </si>
  <si>
    <t>ENDEREÇO DO FUNCIONÁRIO</t>
  </si>
  <si>
    <t>N°</t>
  </si>
  <si>
    <t>BAIRRO</t>
  </si>
  <si>
    <t>FONE RESIDÊNCIA</t>
  </si>
  <si>
    <t>FONE FAX</t>
  </si>
  <si>
    <t>CELULAR</t>
  </si>
  <si>
    <t>E-MAIL PARTICULAR</t>
  </si>
  <si>
    <t>Nº REGISTRO GERAL:</t>
  </si>
  <si>
    <t>É CASADO COM BRASILEIRA(O)?:</t>
  </si>
  <si>
    <t>NOME DO CONJUGE:</t>
  </si>
  <si>
    <t>É NATURALIZADO:</t>
  </si>
  <si>
    <t>TEM FILHOS BRASILEIROS?</t>
  </si>
  <si>
    <t>QUANTOS?</t>
  </si>
  <si>
    <t>DATA DA DEMISSÃO</t>
  </si>
  <si>
    <t>CARGO:</t>
  </si>
  <si>
    <t>DOMINGO</t>
  </si>
  <si>
    <t>DALVA SUELI SOARES</t>
  </si>
  <si>
    <t>ESPOSA</t>
  </si>
  <si>
    <t>A-45</t>
  </si>
  <si>
    <t>A-41</t>
  </si>
  <si>
    <t>14/05/0006</t>
  </si>
  <si>
    <t>2044-4</t>
  </si>
  <si>
    <t>19.013-222</t>
  </si>
  <si>
    <t>19 3905-4555</t>
  </si>
  <si>
    <t>19 3905-4755</t>
  </si>
  <si>
    <t>19 9741-4741</t>
  </si>
  <si>
    <t>145.7845.478.79</t>
  </si>
  <si>
    <t>SEGUNDA-FEIRA</t>
  </si>
  <si>
    <t>A-46</t>
  </si>
  <si>
    <t>CBO:</t>
  </si>
  <si>
    <t>SALÁRIO INICIAL:</t>
  </si>
  <si>
    <t>COMISSÕES:</t>
  </si>
  <si>
    <t>OPTANTE DO FGTS ?</t>
  </si>
  <si>
    <t>DESCANSO SEMANAL:</t>
  </si>
  <si>
    <t>1º BENEFICIÁRIO - NOME:</t>
  </si>
  <si>
    <t xml:space="preserve">DEPENDENTE SALÁRIO-FAMÍLIA </t>
  </si>
  <si>
    <t>DEPENDENTE IMPOSTO DE RENDA</t>
  </si>
  <si>
    <t>DATA DE NASCIMENTO</t>
  </si>
  <si>
    <t>N° DA CERTIDÃO</t>
  </si>
  <si>
    <t>2º BENEFICIÁRIO - NOME:</t>
  </si>
  <si>
    <t>3º BENEFICIÁRIO - NOME:</t>
  </si>
  <si>
    <t>4º BENEFICIÁRIO - NOME:</t>
  </si>
  <si>
    <t>5º BENEFICIÁRIO - NOME:</t>
  </si>
  <si>
    <t>6º BENEFICIÁRIO - NOME:</t>
  </si>
  <si>
    <t>SÉRIE/UF</t>
  </si>
  <si>
    <t>DEPARTAMENTO:-</t>
  </si>
  <si>
    <t>, à importância de</t>
  </si>
  <si>
    <t>SOMA</t>
  </si>
  <si>
    <t>AVISO DE FÉRIAS</t>
  </si>
  <si>
    <t xml:space="preserve">EMPRESA:  </t>
  </si>
  <si>
    <t xml:space="preserve"> CNPJ</t>
  </si>
  <si>
    <t>ENDEREÇO:</t>
  </si>
  <si>
    <t>N.º</t>
  </si>
  <si>
    <t>CIDADE:</t>
  </si>
  <si>
    <t xml:space="preserve">NOME DO EMPREGADO: </t>
  </si>
  <si>
    <t xml:space="preserve">CARTEIRA DE TRABALHO: </t>
  </si>
  <si>
    <t>SÉRIE:</t>
  </si>
  <si>
    <t>DEPARTAMENTO:</t>
  </si>
  <si>
    <t xml:space="preserve"> SEÇÃO:  </t>
  </si>
  <si>
    <t>OUTROS</t>
  </si>
  <si>
    <t xml:space="preserve">Comunicamos à V. S ª, que ser-lhe-ão concedidas férias a partir do dia  </t>
  </si>
  <si>
    <t>à</t>
  </si>
  <si>
    <t>, relativas ao período aquisitivo de &gt;&gt;&gt;&gt;&gt;&gt;&gt;&gt;&gt;&gt;&gt;&gt;&gt;&gt;&gt;&gt;&gt;&gt;&gt;&gt;&gt;&gt;&gt;&gt;&gt;&gt;&gt;</t>
  </si>
  <si>
    <t xml:space="preserve"> </t>
  </si>
  <si>
    <t xml:space="preserve">A importância  relativa as férias e o abono pecuniário, se for o caso, ficará a sua disposição a partir de </t>
  </si>
  <si>
    <t>LOCAL:</t>
  </si>
  <si>
    <t>DATA    &gt;&gt;&gt;&gt;&gt;&gt;&gt;&gt;&gt;&gt;&gt;&gt;&gt;&gt;&gt;&gt;</t>
  </si>
  <si>
    <t>ESCOLHA A EMPRESA DESTE FUNCIONÁRIO</t>
  </si>
  <si>
    <t>IRRF FÉRIAS (LIMITE DE ISENÇÃO DO DESCONTO)</t>
  </si>
  <si>
    <t>1/3 SOBRE AS FÉRIAS GOZADAS</t>
  </si>
  <si>
    <t>1/3 SOBRE O ABONO PECUNIÁRIO DE FÉRIAS</t>
  </si>
  <si>
    <t>saldo</t>
  </si>
  <si>
    <t>IRRF</t>
  </si>
  <si>
    <t>FGTS</t>
  </si>
  <si>
    <t xml:space="preserve">Versão 8.0 - CÁLCULO FÉRIAS DE ACORDO COM N° DE FALTAS </t>
  </si>
  <si>
    <r>
      <t>"AJ" (AJUDA)</t>
    </r>
    <r>
      <rPr>
        <sz val="12"/>
        <color indexed="9"/>
        <rFont val="Arial"/>
        <family val="2"/>
      </rPr>
      <t xml:space="preserve"> - Facilita o entendimento do usuário após leitura</t>
    </r>
  </si>
  <si>
    <r>
      <t>"RECIBO" (Recibo de Férias)</t>
    </r>
    <r>
      <rPr>
        <sz val="12"/>
        <color indexed="9"/>
        <rFont val="Arial"/>
        <family val="2"/>
      </rPr>
      <t xml:space="preserve"> - quando você preenche a planilha </t>
    </r>
    <r>
      <rPr>
        <b/>
        <sz val="12"/>
        <color indexed="9"/>
        <rFont val="Arial"/>
        <family val="2"/>
      </rPr>
      <t>dados</t>
    </r>
    <r>
      <rPr>
        <sz val="12"/>
        <color indexed="9"/>
        <rFont val="Arial"/>
        <family val="2"/>
      </rPr>
      <t xml:space="preserve"> ela automaticamente alimenta o preenchimento automático do recibo de férias do trabalhador.</t>
    </r>
  </si>
  <si>
    <r>
      <t>"13°sal"</t>
    </r>
    <r>
      <rPr>
        <sz val="12"/>
        <color indexed="9"/>
        <rFont val="Arial"/>
        <family val="2"/>
      </rPr>
      <t xml:space="preserve"> - (solicitação 13° salário junto com as férias) - Pronto automático, só imprimir.(alimentada pela planilha dados)</t>
    </r>
  </si>
  <si>
    <r>
      <t xml:space="preserve">Dê manutenção nas planilhas seguindo a seqüência da régua....... Ex:- </t>
    </r>
    <r>
      <rPr>
        <b/>
        <sz val="10"/>
        <color indexed="9"/>
        <rFont val="Arial"/>
        <family val="2"/>
      </rPr>
      <t>(TAB)</t>
    </r>
    <r>
      <rPr>
        <sz val="10"/>
        <color indexed="9"/>
        <rFont val="Arial"/>
        <family val="2"/>
      </rPr>
      <t>, depois</t>
    </r>
    <r>
      <rPr>
        <b/>
        <sz val="10"/>
        <color indexed="9"/>
        <rFont val="Arial"/>
        <family val="2"/>
      </rPr>
      <t xml:space="preserve"> (DADOS)</t>
    </r>
    <r>
      <rPr>
        <sz val="10"/>
        <color indexed="9"/>
        <rFont val="Arial"/>
        <family val="2"/>
      </rPr>
      <t xml:space="preserve"> em seguida </t>
    </r>
    <r>
      <rPr>
        <b/>
        <sz val="10"/>
        <color indexed="9"/>
        <rFont val="Arial"/>
        <family val="2"/>
      </rPr>
      <t>(RECIBO).</t>
    </r>
  </si>
  <si>
    <t>Valor lançado nesta coluna, será deduzido da base de cálculo do imposto de renda</t>
  </si>
  <si>
    <t>TERÇA-FEIRA</t>
  </si>
  <si>
    <t>QUARTA-FEIRA</t>
  </si>
  <si>
    <t>QUINTA-FEIRA</t>
  </si>
  <si>
    <t>SEXTA-FEIRA</t>
  </si>
  <si>
    <t>SÁBADO</t>
  </si>
  <si>
    <t>AC</t>
  </si>
  <si>
    <t>ACRE</t>
  </si>
  <si>
    <t xml:space="preserve">AL </t>
  </si>
  <si>
    <t>ALAGOAS</t>
  </si>
  <si>
    <t>AM</t>
  </si>
  <si>
    <t>AMAZOMAS</t>
  </si>
  <si>
    <t>AP</t>
  </si>
  <si>
    <t>AMAPÁ</t>
  </si>
  <si>
    <t>BA</t>
  </si>
  <si>
    <t>BAHIA</t>
  </si>
  <si>
    <t>CE</t>
  </si>
  <si>
    <t>CEARÁ</t>
  </si>
  <si>
    <t>DF</t>
  </si>
  <si>
    <t>DISTRITO FEDERAL</t>
  </si>
  <si>
    <t>ES</t>
  </si>
  <si>
    <t>ESPÍRITO SANTO</t>
  </si>
  <si>
    <t>GO</t>
  </si>
  <si>
    <t>GOIÂNIA</t>
  </si>
  <si>
    <t>MA</t>
  </si>
  <si>
    <t>MARANHÃO</t>
  </si>
  <si>
    <t>MG</t>
  </si>
  <si>
    <t>MINAS GERAIS</t>
  </si>
  <si>
    <t>MT</t>
  </si>
  <si>
    <t>MATO GROSSO</t>
  </si>
  <si>
    <t>MS</t>
  </si>
  <si>
    <t>MATO GROSSO DO SUL</t>
  </si>
  <si>
    <t>PA</t>
  </si>
  <si>
    <t>PARÁ</t>
  </si>
  <si>
    <t>PB</t>
  </si>
  <si>
    <t>PARAÍBA</t>
  </si>
  <si>
    <t>PE</t>
  </si>
  <si>
    <t>PERNAMBUCO</t>
  </si>
  <si>
    <t>PI</t>
  </si>
  <si>
    <t>PIAUÍ</t>
  </si>
  <si>
    <t>PR</t>
  </si>
  <si>
    <t>PARANÁ</t>
  </si>
  <si>
    <t>RJ</t>
  </si>
  <si>
    <t>RIO DE JANEIRO</t>
  </si>
  <si>
    <t>RN</t>
  </si>
  <si>
    <t>RIO GRANDE DO NORTE</t>
  </si>
  <si>
    <t>RO</t>
  </si>
  <si>
    <t>RONDÔNIA</t>
  </si>
  <si>
    <t>RR</t>
  </si>
  <si>
    <t>RORAIMA</t>
  </si>
  <si>
    <t>RS</t>
  </si>
  <si>
    <t>RIO GRANDE DO SUL</t>
  </si>
  <si>
    <t>SC</t>
  </si>
  <si>
    <t>SANTA CATARINA</t>
  </si>
  <si>
    <t>SE</t>
  </si>
  <si>
    <t>SERGIPE</t>
  </si>
  <si>
    <t>TO</t>
  </si>
  <si>
    <t>TOCANTINS</t>
  </si>
  <si>
    <t>FEMININO</t>
  </si>
  <si>
    <t>SOLTEIRO</t>
  </si>
  <si>
    <t>PRETA</t>
  </si>
  <si>
    <t>DESQUITADO</t>
  </si>
  <si>
    <t>PARDA</t>
  </si>
  <si>
    <t>DIVORCIADO</t>
  </si>
  <si>
    <t>AMARELA</t>
  </si>
  <si>
    <t>SEP.JUDIC.</t>
  </si>
  <si>
    <t>INDIGENA</t>
  </si>
  <si>
    <t>NÃO INFORMADO</t>
  </si>
  <si>
    <t>UNIÃO ESTÁVEL</t>
  </si>
  <si>
    <t>Células na cor verde:- bloqueadas  - células na cor branca:- liberada para manutenção</t>
  </si>
  <si>
    <t>FÉRIAS GOZADAS (FIXO MAIS VARIÁVEL) - (DESCANSO)</t>
  </si>
  <si>
    <t>QUANTIDADE DE FALTAS DENTRO DO PERÍODO AQUISITIVO</t>
  </si>
  <si>
    <t>QUANTIDADE DE DIAS DE ABONO PECUNIÁRIO</t>
  </si>
  <si>
    <t>QUANTIDADE DE DIAS DE FÉRIAS GOZADAS</t>
  </si>
  <si>
    <t>DATA DE INÍCIO DAS FÉRIAS GOZADAS</t>
  </si>
  <si>
    <r>
      <t xml:space="preserve">Requer sempre no mês de </t>
    </r>
    <r>
      <rPr>
        <sz val="8"/>
        <color indexed="10"/>
        <rFont val="Arial"/>
        <family val="2"/>
      </rPr>
      <t>Janeiro</t>
    </r>
    <r>
      <rPr>
        <sz val="8"/>
        <rFont val="Arial"/>
        <family val="2"/>
      </rPr>
      <t xml:space="preserve">. Ou seja de </t>
    </r>
    <r>
      <rPr>
        <sz val="8"/>
        <color indexed="10"/>
        <rFont val="Arial"/>
        <family val="2"/>
      </rPr>
      <t>01 a 31 de Janeiro</t>
    </r>
  </si>
  <si>
    <t>VALOR DA MÉDIA DE COMISSÕES</t>
  </si>
  <si>
    <t xml:space="preserve">VALOR DA MÉDIA DE ADICIONAIS </t>
  </si>
  <si>
    <t>VALOR MÉDIA DE HORA-EXTRA</t>
  </si>
  <si>
    <r>
      <t>"AV"</t>
    </r>
    <r>
      <rPr>
        <sz val="12"/>
        <color indexed="9"/>
        <rFont val="Arial"/>
        <family val="2"/>
      </rPr>
      <t xml:space="preserve"> </t>
    </r>
    <r>
      <rPr>
        <b/>
        <sz val="12"/>
        <color indexed="9"/>
        <rFont val="Arial"/>
        <family val="2"/>
      </rPr>
      <t>(Aviso de férias)</t>
    </r>
    <r>
      <rPr>
        <sz val="12"/>
        <color indexed="9"/>
        <rFont val="Arial"/>
        <family val="2"/>
      </rPr>
      <t xml:space="preserve"> - Pronto automático, só imprimir. (alimentada pela planilha dados)</t>
    </r>
  </si>
  <si>
    <t>IDADE</t>
  </si>
  <si>
    <t>Funcionário com 65 anos de idade (dedução permitida no Imposto de Renda)</t>
  </si>
  <si>
    <r>
      <t>Versão 8.1</t>
    </r>
    <r>
      <rPr>
        <sz val="10"/>
        <color indexed="43"/>
        <rFont val="Arial"/>
        <family val="2"/>
      </rPr>
      <t xml:space="preserve"> </t>
    </r>
    <r>
      <rPr>
        <sz val="10"/>
        <color indexed="9"/>
        <rFont val="Arial"/>
        <family val="2"/>
      </rPr>
      <t xml:space="preserve">- Contagem da idade do funcionário automática -  </t>
    </r>
    <r>
      <rPr>
        <b/>
        <u/>
        <sz val="10"/>
        <color indexed="43"/>
        <rFont val="Arial"/>
        <family val="2"/>
      </rPr>
      <t>Planilha FUNC</t>
    </r>
    <r>
      <rPr>
        <u/>
        <sz val="10"/>
        <color indexed="43"/>
        <rFont val="Arial"/>
        <family val="2"/>
      </rPr>
      <t xml:space="preserve"> </t>
    </r>
    <r>
      <rPr>
        <sz val="10"/>
        <color indexed="9"/>
        <rFont val="Arial"/>
        <family val="2"/>
      </rPr>
      <t xml:space="preserve">- colocado botão automático para localizar, UF - ESTADO CIVIL - DESCANSO SEMANAL - SEXO - N° DE FILHOS PARA SALÁRIO-FAMÍLIA - N° DE FILHO PARA IMPOSTO DE RENDA. digite o n° do CPF e PIS/PASEP sem ponto ou virgula, pois o sistema colocará a separação automaticamente - </t>
    </r>
    <r>
      <rPr>
        <b/>
        <u/>
        <sz val="10"/>
        <color indexed="43"/>
        <rFont val="Arial"/>
        <family val="2"/>
      </rPr>
      <t>Planilha EMP</t>
    </r>
    <r>
      <rPr>
        <sz val="10"/>
        <color indexed="9"/>
        <rFont val="Arial"/>
        <family val="2"/>
      </rPr>
      <t xml:space="preserve"> - colocado botão automático para localizar UF</t>
    </r>
  </si>
  <si>
    <r>
      <t xml:space="preserve">Para limpar coluna com </t>
    </r>
    <r>
      <rPr>
        <b/>
        <sz val="10"/>
        <color indexed="9"/>
        <rFont val="Arial"/>
        <family val="2"/>
      </rPr>
      <t>VALORES ou QUANTIDADE,</t>
    </r>
    <r>
      <rPr>
        <sz val="10"/>
        <color indexed="9"/>
        <rFont val="Arial"/>
        <family val="2"/>
      </rPr>
      <t xml:space="preserve"> use sempre a tecla </t>
    </r>
    <r>
      <rPr>
        <b/>
        <u/>
        <sz val="10"/>
        <color indexed="9"/>
        <rFont val="Arial"/>
        <family val="2"/>
      </rPr>
      <t>(ZERO) ou (DELETE)</t>
    </r>
    <r>
      <rPr>
        <sz val="10"/>
        <color indexed="9"/>
        <rFont val="Arial"/>
        <family val="2"/>
      </rPr>
      <t xml:space="preserve"> e nunca </t>
    </r>
    <r>
      <rPr>
        <b/>
        <u/>
        <sz val="10"/>
        <color indexed="9"/>
        <rFont val="Arial"/>
        <family val="2"/>
      </rPr>
      <t>(BARRA DE ESPAÇO)</t>
    </r>
    <r>
      <rPr>
        <b/>
        <sz val="10"/>
        <color indexed="9"/>
        <rFont val="Arial"/>
        <family val="2"/>
      </rPr>
      <t>.</t>
    </r>
  </si>
  <si>
    <r>
      <t>"TB" (TABELA)</t>
    </r>
    <r>
      <rPr>
        <sz val="12"/>
        <color indexed="9"/>
        <rFont val="Arial"/>
        <family val="2"/>
      </rPr>
      <t xml:space="preserve"> - Tabela de desconto de INSS e IRRF - dê manutenção sempre que tiver alteração</t>
    </r>
  </si>
  <si>
    <r>
      <t>"DADOS" (dados para cálculodas férias,</t>
    </r>
    <r>
      <rPr>
        <sz val="12"/>
        <color indexed="9"/>
        <rFont val="Arial"/>
        <family val="2"/>
      </rPr>
      <t xml:space="preserve"> você determinará qual a empresa e qual o funcionário, que terá direito a férias - ganhou nova cara na versão 8.0 - agora na </t>
    </r>
    <r>
      <rPr>
        <b/>
        <sz val="12"/>
        <color indexed="13"/>
        <rFont val="Arial"/>
        <family val="2"/>
      </rPr>
      <t>versão 8.1</t>
    </r>
    <r>
      <rPr>
        <sz val="12"/>
        <color indexed="9"/>
        <rFont val="Arial"/>
        <family val="2"/>
      </rPr>
      <t xml:space="preserve"> - foi acrescentado as médias das variáveis.(comissões, horas-extras e adicionais).</t>
    </r>
  </si>
  <si>
    <r>
      <t>"AB"</t>
    </r>
    <r>
      <rPr>
        <sz val="12"/>
        <color indexed="9"/>
        <rFont val="Arial"/>
        <family val="2"/>
      </rPr>
      <t xml:space="preserve"> - </t>
    </r>
    <r>
      <rPr>
        <b/>
        <sz val="12"/>
        <color indexed="9"/>
        <rFont val="Arial"/>
        <family val="2"/>
      </rPr>
      <t>(solicitação abono pecuniário)</t>
    </r>
    <r>
      <rPr>
        <sz val="12"/>
        <color indexed="9"/>
        <rFont val="Arial"/>
        <family val="2"/>
      </rPr>
      <t xml:space="preserve"> - Pronto automático, só imprimir. (alimentada pela planilha dados) - novidade da </t>
    </r>
    <r>
      <rPr>
        <b/>
        <sz val="12"/>
        <color indexed="13"/>
        <rFont val="Arial"/>
        <family val="2"/>
      </rPr>
      <t>versão 8.1</t>
    </r>
    <r>
      <rPr>
        <sz val="12"/>
        <color indexed="9"/>
        <rFont val="Arial"/>
        <family val="2"/>
      </rPr>
      <t xml:space="preserve"> - caso não informe este direito na planilha de dados, não será preenchido recibo de solicitação do abono pecuniário</t>
    </r>
  </si>
  <si>
    <r>
      <t>Comunicar as férias com antecedência mínima de</t>
    </r>
    <r>
      <rPr>
        <sz val="10"/>
        <color indexed="10"/>
        <rFont val="Arial"/>
        <family val="2"/>
      </rPr>
      <t xml:space="preserve"> </t>
    </r>
    <r>
      <rPr>
        <b/>
        <sz val="10"/>
        <color indexed="10"/>
        <rFont val="Arial"/>
        <family val="2"/>
      </rPr>
      <t>30 dias</t>
    </r>
  </si>
  <si>
    <r>
      <t xml:space="preserve">Deverá ser solicitado </t>
    </r>
    <r>
      <rPr>
        <b/>
        <sz val="10"/>
        <color indexed="10"/>
        <rFont val="Arial"/>
        <family val="2"/>
      </rPr>
      <t>15 dias antes</t>
    </r>
    <r>
      <rPr>
        <sz val="10"/>
        <rFont val="Arial"/>
        <family val="2"/>
      </rPr>
      <t xml:space="preserve"> do término do período aquisitivo</t>
    </r>
  </si>
  <si>
    <t>Dia do retorno for no domingo, feriado ou dia já compensado, retorne no primeiro dia útil seguinte.</t>
  </si>
  <si>
    <t>Quando funcionário completar 65 anos de idade, ele tem direito a dedução do limite de isenção na base de cálculo de seu imposto de renda, assim está versão já está adaptada para fazer o dedução automática na base de cálculo do imposto de renda deste trabalhador.</t>
  </si>
  <si>
    <t>FÉRIAS PAGA EM DOBRO</t>
  </si>
  <si>
    <t>ABONO PECUNIÁRIO DE FÉRIAS (FIXO MAIS VARIÁVEL)</t>
  </si>
  <si>
    <t>Precisando de ajuda:- angelo.tonon@ig.com.br</t>
  </si>
  <si>
    <t>DIAS DE FÉRIAS</t>
  </si>
  <si>
    <t>Venc 2 férias</t>
  </si>
  <si>
    <t>NOME DA EMPRESA</t>
  </si>
  <si>
    <t>Para limpar campos digitados use o botão LIMPA DIGITAÇÃO ou a  tecla "delete"</t>
  </si>
  <si>
    <r>
      <t xml:space="preserve">FORMATO DE DATA:- </t>
    </r>
    <r>
      <rPr>
        <b/>
        <sz val="10"/>
        <color indexed="9"/>
        <rFont val="Arial"/>
        <family val="2"/>
      </rPr>
      <t xml:space="preserve">DD/MM/AAAA  </t>
    </r>
  </si>
  <si>
    <r>
      <t xml:space="preserve">Versão 8.2 </t>
    </r>
    <r>
      <rPr>
        <sz val="10"/>
        <color indexed="9"/>
        <rFont val="Arial"/>
        <family val="2"/>
      </rPr>
      <t xml:space="preserve">- </t>
    </r>
    <r>
      <rPr>
        <b/>
        <sz val="10"/>
        <color indexed="10"/>
        <rFont val="Arial"/>
        <family val="2"/>
      </rPr>
      <t>1)</t>
    </r>
    <r>
      <rPr>
        <sz val="10"/>
        <color indexed="9"/>
        <rFont val="Arial"/>
        <family val="2"/>
      </rPr>
      <t>-Corrigido nesta versão a idade do funcionário, pois ainda estava com erro na versão anterior.</t>
    </r>
    <r>
      <rPr>
        <sz val="10"/>
        <color indexed="13"/>
        <rFont val="Arial"/>
        <family val="2"/>
      </rPr>
      <t xml:space="preserve"> </t>
    </r>
    <r>
      <rPr>
        <b/>
        <sz val="10"/>
        <color indexed="13"/>
        <rFont val="Arial"/>
        <family val="2"/>
      </rPr>
      <t>Planilha DADOS</t>
    </r>
    <r>
      <rPr>
        <sz val="10"/>
        <color indexed="9"/>
        <rFont val="Arial"/>
        <family val="2"/>
      </rPr>
      <t xml:space="preserve"> - </t>
    </r>
    <r>
      <rPr>
        <b/>
        <sz val="10"/>
        <color indexed="10"/>
        <rFont val="Arial"/>
        <family val="2"/>
      </rPr>
      <t>2)</t>
    </r>
    <r>
      <rPr>
        <sz val="10"/>
        <color indexed="9"/>
        <rFont val="Arial"/>
        <family val="2"/>
      </rPr>
      <t>- Implantado no sistema de alerta para férias em dobro.</t>
    </r>
    <r>
      <rPr>
        <b/>
        <sz val="10"/>
        <color indexed="9"/>
        <rFont val="Arial"/>
        <family val="2"/>
      </rPr>
      <t xml:space="preserve"> </t>
    </r>
    <r>
      <rPr>
        <b/>
        <sz val="10"/>
        <color indexed="10"/>
        <rFont val="Arial"/>
        <family val="2"/>
      </rPr>
      <t>3)</t>
    </r>
    <r>
      <rPr>
        <sz val="10"/>
        <color indexed="10"/>
        <rFont val="Arial"/>
        <family val="2"/>
      </rPr>
      <t xml:space="preserve">- </t>
    </r>
    <r>
      <rPr>
        <sz val="10"/>
        <color indexed="9"/>
        <rFont val="Arial"/>
        <family val="2"/>
      </rPr>
      <t xml:space="preserve">Corrigido nesta versão, quando o vencimento do período aquisitivo se dá em ano bissexto o sistema dava o último dia do período aquisitivo errado. </t>
    </r>
    <r>
      <rPr>
        <b/>
        <sz val="10"/>
        <color indexed="13"/>
        <rFont val="Arial"/>
        <family val="2"/>
      </rPr>
      <t xml:space="preserve">Planilha FUNC e EMP. </t>
    </r>
    <r>
      <rPr>
        <b/>
        <sz val="10"/>
        <color indexed="10"/>
        <rFont val="Arial"/>
        <family val="2"/>
      </rPr>
      <t>4)</t>
    </r>
    <r>
      <rPr>
        <b/>
        <sz val="10"/>
        <color indexed="13"/>
        <rFont val="Arial"/>
        <family val="2"/>
      </rPr>
      <t>-</t>
    </r>
    <r>
      <rPr>
        <sz val="10"/>
        <color indexed="9"/>
        <rFont val="Arial"/>
        <family val="2"/>
      </rPr>
      <t xml:space="preserve"> Foi implementado icone para Classificação por ordem alfabética. </t>
    </r>
    <r>
      <rPr>
        <b/>
        <sz val="10"/>
        <color indexed="13"/>
        <rFont val="Arial"/>
        <family val="2"/>
      </rPr>
      <t>Planilha DADOS.</t>
    </r>
    <r>
      <rPr>
        <sz val="10"/>
        <color indexed="10"/>
        <rFont val="Arial"/>
        <family val="2"/>
      </rPr>
      <t xml:space="preserve"> 5)-</t>
    </r>
    <r>
      <rPr>
        <sz val="10"/>
        <color indexed="9"/>
        <rFont val="Arial"/>
        <family val="2"/>
      </rPr>
      <t xml:space="preserve"> Foi implementado icone para limpeza automática dos itens digitados.</t>
    </r>
  </si>
  <si>
    <r>
      <t>Versão 8.2.0</t>
    </r>
    <r>
      <rPr>
        <b/>
        <sz val="10"/>
        <color indexed="13"/>
        <rFont val="Arial"/>
        <family val="2"/>
      </rPr>
      <t xml:space="preserve"> - Obrigado Sr. Antonio Romoaldo Alves Lima, da cidade de João Pessoa-PB , </t>
    </r>
    <r>
      <rPr>
        <sz val="10"/>
        <color indexed="9"/>
        <rFont val="Arial"/>
        <family val="2"/>
      </rPr>
      <t>foi o</t>
    </r>
    <r>
      <rPr>
        <b/>
        <sz val="10"/>
        <color indexed="9"/>
        <rFont val="Arial"/>
        <family val="2"/>
      </rPr>
      <t xml:space="preserve"> </t>
    </r>
    <r>
      <rPr>
        <sz val="10"/>
        <color indexed="9"/>
        <rFont val="Arial"/>
        <family val="2"/>
      </rPr>
      <t xml:space="preserve">responsável pela localizado do erro na </t>
    </r>
    <r>
      <rPr>
        <b/>
        <sz val="10"/>
        <color indexed="10"/>
        <rFont val="Arial"/>
        <family val="2"/>
      </rPr>
      <t>Planilha EMPR</t>
    </r>
    <r>
      <rPr>
        <sz val="10"/>
        <color indexed="9"/>
        <rFont val="Arial"/>
        <family val="2"/>
      </rPr>
      <t>, no campo CNPJ quando o n° começa por  Zero, o programa não aceitava que o usuário digita-se , dava a mensagem de excesso de letras dentro do texto.(26/09/2007)</t>
    </r>
  </si>
  <si>
    <r>
      <t>Versão 08.E04.T00 - Atualizada em 02/01/2009 -</t>
    </r>
    <r>
      <rPr>
        <b/>
        <sz val="10"/>
        <rFont val="Arial"/>
        <family val="2"/>
      </rPr>
      <t xml:space="preserve"> </t>
    </r>
    <r>
      <rPr>
        <b/>
        <sz val="10"/>
        <color indexed="9"/>
        <rFont val="Arial"/>
        <family val="2"/>
      </rPr>
      <t>Atualização da tabela do imposto de renda</t>
    </r>
  </si>
  <si>
    <t>SAÍDA TARDE</t>
  </si>
  <si>
    <t>ENTRADA TARDE</t>
  </si>
  <si>
    <r>
      <t>Versão 08.E04.T01 - Atualizada em 13/02/2009 -</t>
    </r>
    <r>
      <rPr>
        <b/>
        <sz val="10"/>
        <rFont val="Arial"/>
        <family val="2"/>
      </rPr>
      <t xml:space="preserve"> </t>
    </r>
    <r>
      <rPr>
        <b/>
        <sz val="10"/>
        <color indexed="9"/>
        <rFont val="Arial"/>
        <family val="2"/>
      </rPr>
      <t>Atualização da tabela do INSS</t>
    </r>
  </si>
  <si>
    <t>Disk Automoveis Ltda</t>
  </si>
  <si>
    <t>Rua da Pedras</t>
  </si>
  <si>
    <t>Bloco B</t>
  </si>
  <si>
    <t>Centro</t>
  </si>
  <si>
    <t>Pres.Prudente</t>
  </si>
  <si>
    <t>sp</t>
  </si>
  <si>
    <t>BRASIL</t>
  </si>
  <si>
    <t>562.005.580-113</t>
  </si>
  <si>
    <t>56.25</t>
  </si>
  <si>
    <t>ADALBERTO</t>
  </si>
  <si>
    <t>PIRAPOZINHO</t>
  </si>
  <si>
    <t>Brasileira</t>
  </si>
  <si>
    <t>00038/sp</t>
  </si>
  <si>
    <t>contador</t>
  </si>
  <si>
    <t>4115-10</t>
  </si>
  <si>
    <t>adm</t>
  </si>
  <si>
    <t>contabil</t>
  </si>
  <si>
    <t xml:space="preserve">30 dias aviso férias </t>
  </si>
  <si>
    <t>Pagamento das férias</t>
  </si>
  <si>
    <t>abono pecuniário</t>
  </si>
  <si>
    <t>FÉRIAS GOZADAS (fixo)</t>
  </si>
  <si>
    <t>FÉRIAS GOZADAS (variável)</t>
  </si>
  <si>
    <t>ADIC. 1/3 FÉRIAS GOZADAS (fixo)</t>
  </si>
  <si>
    <t>ADIC. 1/3 FÉRIAS GOZADAS (variável)</t>
  </si>
  <si>
    <t xml:space="preserve">DADOS  DA FOLHA DE PAGAMENTO </t>
  </si>
  <si>
    <t>ABONO PECUNIÁRIO DE FÉRIAS (fixo)</t>
  </si>
  <si>
    <t>ABONO PECUNIÁRIO DE FÉRIAS (Váriável)</t>
  </si>
  <si>
    <t>ADIC. DE 1/3 DO AB. PEC. DE FÉRIAS (fixo)</t>
  </si>
  <si>
    <t>ADIC. DE 1/3 DO AB. PEC. DE FÉRIAS (variável)</t>
  </si>
  <si>
    <t>B. CÁLC. DAS FÉRIAS</t>
  </si>
  <si>
    <t>MÉDIA H.-EXTRA</t>
  </si>
  <si>
    <t>MÊS OU MESES</t>
  </si>
  <si>
    <t>TOTAL BRUTO PARA FOLHA</t>
  </si>
  <si>
    <t>DESCONTO DO IMPOSTO DE RENDA</t>
  </si>
  <si>
    <t>DESCONTO DO INSS</t>
  </si>
  <si>
    <r>
      <t>Versão 08.E05.T02 - Atualizada em 01/01/2010 -</t>
    </r>
    <r>
      <rPr>
        <b/>
        <sz val="10"/>
        <rFont val="Arial"/>
        <family val="2"/>
      </rPr>
      <t xml:space="preserve"> </t>
    </r>
    <r>
      <rPr>
        <b/>
        <sz val="10"/>
        <color indexed="9"/>
        <rFont val="Arial"/>
        <family val="2"/>
      </rPr>
      <t>Atualização tabela do INSS/IRRF, nesta versão elaborei uma planilha chamada demonstrativo, a mesma separa os cálculos de acordo com o mês de competência, o objetivo é facilitar a elaboração da folha de pagamento.</t>
    </r>
  </si>
  <si>
    <t>TOTAL DOS DESCONTOS</t>
  </si>
  <si>
    <t>SUB-TOTAL (1)</t>
  </si>
  <si>
    <t>SUB-TOTAL (2)</t>
  </si>
  <si>
    <t>(</t>
  </si>
  <si>
    <t xml:space="preserve">                        LOCAL E DATA</t>
  </si>
  <si>
    <t>Soma total das férias</t>
  </si>
  <si>
    <r>
      <t>Versão 08.E05.T03 - Atualizada em 01/07/2010 -</t>
    </r>
    <r>
      <rPr>
        <b/>
        <sz val="10"/>
        <rFont val="Arial"/>
        <family val="2"/>
      </rPr>
      <t xml:space="preserve"> </t>
    </r>
    <r>
      <rPr>
        <b/>
        <sz val="10"/>
        <color indexed="9"/>
        <rFont val="Arial"/>
        <family val="2"/>
      </rPr>
      <t>Atualização tabela do INSS.</t>
    </r>
  </si>
  <si>
    <t>angelo.tonon@ig.com.br</t>
  </si>
  <si>
    <r>
      <t>Versão 08.E06.T03 - Atualizada em 13/10/2010 -</t>
    </r>
    <r>
      <rPr>
        <b/>
        <sz val="10"/>
        <rFont val="Arial"/>
        <family val="2"/>
      </rPr>
      <t xml:space="preserve"> </t>
    </r>
    <r>
      <rPr>
        <b/>
        <sz val="10"/>
        <color indexed="9"/>
        <rFont val="Arial"/>
        <family val="2"/>
      </rPr>
      <t>Regularização do desconto do IRRF faixa de 22,50%. Agradeço ao Sr. JOÃO BOSCO GOMES LOPES - Patos - PB, que descobriu que o programa não estava calculando corretamente o desconto. Ajuda como está é sempre bem vinda, pois sou sozinho para desenvolver e conferir os programas.</t>
    </r>
  </si>
  <si>
    <r>
      <t>Versão 08.E06.T04 - Atualizada em 01/01/2011 -</t>
    </r>
    <r>
      <rPr>
        <b/>
        <sz val="10"/>
        <rFont val="Arial"/>
        <family val="2"/>
      </rPr>
      <t xml:space="preserve"> </t>
    </r>
    <r>
      <rPr>
        <b/>
        <sz val="10"/>
        <color indexed="9"/>
        <rFont val="Arial"/>
        <family val="2"/>
      </rPr>
      <t>Atualização tabela do INSS.</t>
    </r>
  </si>
  <si>
    <r>
      <t>Versão 08.E07.T03 - Atualizada em 17/02/2011 -</t>
    </r>
    <r>
      <rPr>
        <b/>
        <sz val="10"/>
        <rFont val="Arial"/>
        <family val="2"/>
      </rPr>
      <t xml:space="preserve"> </t>
    </r>
    <r>
      <rPr>
        <b/>
        <sz val="10"/>
        <color indexed="9"/>
        <rFont val="Arial"/>
        <family val="2"/>
      </rPr>
      <t xml:space="preserve"> Agradeço ao Sr.  </t>
    </r>
    <r>
      <rPr>
        <b/>
        <u/>
        <sz val="10"/>
        <color indexed="10"/>
        <rFont val="Arial"/>
        <family val="2"/>
      </rPr>
      <t>ANTONIO DE SOUZA RAMOS / CILASI ALIMENTOS S/A,</t>
    </r>
    <r>
      <rPr>
        <b/>
        <sz val="10"/>
        <color indexed="10"/>
        <rFont val="Arial"/>
        <family val="2"/>
      </rPr>
      <t xml:space="preserve"> </t>
    </r>
    <r>
      <rPr>
        <b/>
        <sz val="10"/>
        <color indexed="9"/>
        <rFont val="Arial"/>
        <family val="2"/>
      </rPr>
      <t>descobriu uma falha no programa de cálculo, não estava descontando corretamente o IRRF. Antecipo meus agradecimentos  pela grande ajuda..</t>
    </r>
  </si>
  <si>
    <t>teto-máximo</t>
  </si>
  <si>
    <t>dep+inss</t>
  </si>
  <si>
    <t>pensao</t>
  </si>
  <si>
    <t>FIXO</t>
  </si>
  <si>
    <t>VARIAVEL</t>
  </si>
  <si>
    <r>
      <t>Versão 9.E0.T0 - Atualizada em 01/06/2011 -</t>
    </r>
    <r>
      <rPr>
        <b/>
        <sz val="10"/>
        <rFont val="Arial"/>
        <family val="2"/>
      </rPr>
      <t xml:space="preserve"> </t>
    </r>
    <r>
      <rPr>
        <b/>
        <sz val="10"/>
        <color indexed="9"/>
        <rFont val="Arial"/>
        <family val="2"/>
      </rPr>
      <t>Na planilha TB, foi criada a opção para descontar o valor da pensão alimenticia no Recibo de férias. Na planilha DADOS, fiz um bloqueio de alguns descontos  obrigatórios, portanto não tem condições de ser excluido pelo usuário, por desconhecimento da legislação. Planilha RECIBO, foi criado outras linhas para os vencimentos e descontos. Planilha DEMONSTRATIVO apresentava erro de falso, foi corrigido nesta versão. A pedido dos usuários foi também separado no recibo e no demonstrativo de férias a parte fixa cálculada separadamente da parte variável.</t>
    </r>
  </si>
  <si>
    <t>Caso a nova versão apresente algum erro, favor comunicar. Agradeço sua colaboração.</t>
  </si>
  <si>
    <r>
      <rPr>
        <b/>
        <u/>
        <sz val="10"/>
        <color indexed="13"/>
        <rFont val="Arial"/>
        <family val="2"/>
      </rPr>
      <t>FÉRIAS JANEIRO 2012 - Atualizada em 01/01/2012</t>
    </r>
    <r>
      <rPr>
        <b/>
        <sz val="10"/>
        <color indexed="13"/>
        <rFont val="Arial"/>
        <family val="2"/>
      </rPr>
      <t xml:space="preserve"> - </t>
    </r>
    <r>
      <rPr>
        <b/>
        <sz val="10"/>
        <color indexed="9"/>
        <rFont val="Arial"/>
        <family val="2"/>
      </rPr>
      <t>Atualização da nova tabela do Imposto de Renda Retido na Fonte .</t>
    </r>
  </si>
  <si>
    <t>1/3 SOBRE AS FÉRIAS EM DOBRO</t>
  </si>
  <si>
    <r>
      <rPr>
        <b/>
        <u/>
        <sz val="10"/>
        <color indexed="13"/>
        <rFont val="Arial"/>
        <family val="2"/>
      </rPr>
      <t>FÉRIAS JANEIRO 2012 - Atualizada em 06/01/2012</t>
    </r>
    <r>
      <rPr>
        <b/>
        <sz val="10"/>
        <color indexed="13"/>
        <rFont val="Arial"/>
        <family val="2"/>
      </rPr>
      <t xml:space="preserve"> - </t>
    </r>
    <r>
      <rPr>
        <b/>
        <sz val="10"/>
        <color indexed="9"/>
        <rFont val="Arial"/>
        <family val="2"/>
      </rPr>
      <t>Atualização da nova tabela do desconto do INSS .</t>
    </r>
  </si>
  <si>
    <t>ASSINATURA</t>
  </si>
  <si>
    <t>29/02/2022</t>
  </si>
  <si>
    <t>DATA</t>
  </si>
  <si>
    <t>LOCAL</t>
  </si>
  <si>
    <t>TOTAL DE DESPESAS DA EMPRESA</t>
  </si>
  <si>
    <t>Vale Transporte descontado R$</t>
  </si>
  <si>
    <t>B.CÁLC.IRRF ADIANT. SALÁRIO</t>
  </si>
  <si>
    <t>B.CÁL.INSS - 13° SALÁRIO</t>
  </si>
  <si>
    <t>B.CÁL.INSS-SAL.E FÉRIAS</t>
  </si>
  <si>
    <t>BC-13° SALARIO</t>
  </si>
  <si>
    <t>S.FAM</t>
  </si>
  <si>
    <t>IRRF-13° SAL</t>
  </si>
  <si>
    <t>COMPRA VALE TRANSPORTE R$</t>
  </si>
  <si>
    <t>29/02/2023</t>
  </si>
  <si>
    <t>BC-FÉRIAS</t>
  </si>
  <si>
    <t>IRRF-SAL.</t>
  </si>
  <si>
    <t>Pensão Alimenticia R$</t>
  </si>
  <si>
    <t>B.CÁLC.IRRF -13° SALÁRIO</t>
  </si>
  <si>
    <t>B.CÁLC.IRRF SALÁRIO</t>
  </si>
  <si>
    <t>FGTS 13ºSALÁRIO</t>
  </si>
  <si>
    <t>B.CÁL.FGTS 13º SALÁRIO</t>
  </si>
  <si>
    <t>FGTS SAL. E FÉRIAS NO MÊS</t>
  </si>
  <si>
    <t>B.CÁL.FGTS-SAL.E FÉRIAS</t>
  </si>
  <si>
    <t>BC-SALARIO</t>
  </si>
  <si>
    <t>Limite de isenção não aplicável ao 13° Salário</t>
  </si>
  <si>
    <t>LIQUIDO A RECEBER</t>
  </si>
  <si>
    <t>Nº DEP. IRRF</t>
  </si>
  <si>
    <t>LIMITE DE ISENÇÃO DO IRRF</t>
  </si>
  <si>
    <t>PARA LIMPAR VALORES DAS CÉLULAS, USE SEMPRE A TECLA "ZERO" OU "DELETE". NÃO USAR A TECLA "BARRA DE ESPAÇO" POIS APARECERÁ O SEGUINTE ERRO #VALOR!</t>
  </si>
  <si>
    <t>TOTAL DESCONTOS</t>
  </si>
  <si>
    <t>TOTAL BRUTO</t>
  </si>
  <si>
    <t>INSS DESC.</t>
  </si>
  <si>
    <t>descontos</t>
  </si>
  <si>
    <t>SALÁRIO-FAMILIA</t>
  </si>
  <si>
    <t>DEDUÇÃO POR DEPENDENTE</t>
  </si>
  <si>
    <t>DEDUÇÃO</t>
  </si>
  <si>
    <t>TABELA DO IRRF</t>
  </si>
  <si>
    <t>CONTRIB. ASSIST/CONFEDERATIVA</t>
  </si>
  <si>
    <t xml:space="preserve">13° SALÁRIO </t>
  </si>
  <si>
    <t>1/30 AVOS</t>
  </si>
  <si>
    <t>CONTRIBUIÇÃO SINDICAL</t>
  </si>
  <si>
    <t>1ª PARCELA 13° SALÁRIO</t>
  </si>
  <si>
    <t>VALE-TRANSPORTE</t>
  </si>
  <si>
    <t>1/3 CF S/AB.PECUNIÁRIO</t>
  </si>
  <si>
    <t>PERCENTUAL DO FGTS</t>
  </si>
  <si>
    <t>ADIANT. 1ª PARC. 13º SALARIO</t>
  </si>
  <si>
    <t>ABONO PEC. FÉRIAS VARIÁVEL</t>
  </si>
  <si>
    <t>FALTAS</t>
  </si>
  <si>
    <t>ABONO PEC. FÉRIAS</t>
  </si>
  <si>
    <t>IRRF S/ 13° SALÁRIO</t>
  </si>
  <si>
    <t>1/3 CF S/FÉRIAS GOZADAS</t>
  </si>
  <si>
    <t>ADIANTAMENTO DE FÉRIAS</t>
  </si>
  <si>
    <t>FÉRIAS GOZADAS VARIÁVEL</t>
  </si>
  <si>
    <t>IRRF S/ FÉRIAS</t>
  </si>
  <si>
    <t>FÉRIAS GOZADAS</t>
  </si>
  <si>
    <t>TABELA DO SALÁRIIO-FAMÍLIA</t>
  </si>
  <si>
    <t>IRRF S/ SALÁRIO</t>
  </si>
  <si>
    <t>INSS S/ 13° SALÁRIO</t>
  </si>
  <si>
    <t>INSS S/ FÉRIAS</t>
  </si>
  <si>
    <t>INSS S/ SALÁRIO</t>
  </si>
  <si>
    <t xml:space="preserve">SALÁRIO MENSAL </t>
  </si>
  <si>
    <t>IRRF S/13° SAL</t>
  </si>
  <si>
    <t>IRRF S/FÉRIAS</t>
  </si>
  <si>
    <t>IRRF S/SAL</t>
  </si>
  <si>
    <t>FGTS(13º SAL</t>
  </si>
  <si>
    <t>FGTS(SAL.FERIAS)</t>
  </si>
  <si>
    <t>INSS/13° SAL</t>
  </si>
  <si>
    <t>INSS/FÉRIAS</t>
  </si>
  <si>
    <t>INSS/sal</t>
  </si>
  <si>
    <t>VT</t>
  </si>
  <si>
    <t>PROVENTOS</t>
  </si>
  <si>
    <t>admissão</t>
  </si>
  <si>
    <t>Usando o botão "limpar valores digitados" você evita o erro #VALOR! Dentro do hollerith.</t>
  </si>
  <si>
    <t>TABELA DO INSS</t>
  </si>
  <si>
    <t>CÁLCULO DO HOLLERITH DO FUNCIONÁRIO</t>
  </si>
  <si>
    <t>DIAS DE SALÁRIO (-) DIAS FÉRIAS</t>
  </si>
  <si>
    <t>FUNÇÃO</t>
  </si>
  <si>
    <t>dias do salario</t>
  </si>
  <si>
    <t>CTPS</t>
  </si>
  <si>
    <t>CBO</t>
  </si>
  <si>
    <t>DIAS SFAMILIA</t>
  </si>
  <si>
    <t>T.MAXIMO</t>
  </si>
  <si>
    <t>NOME DA EMPRESA/DONO DA RESIDÊNCIA</t>
  </si>
  <si>
    <t>ADMISSÃO</t>
  </si>
  <si>
    <t>MÊS/ANO</t>
  </si>
  <si>
    <t xml:space="preserve">NOME FUNCIONÁRIO </t>
  </si>
  <si>
    <r>
      <rPr>
        <b/>
        <u/>
        <sz val="10"/>
        <color indexed="13"/>
        <rFont val="Arial"/>
        <family val="2"/>
      </rPr>
      <t>FÉRIAS JANEIRO 2013 - Atualizada em 01/01/2013</t>
    </r>
    <r>
      <rPr>
        <b/>
        <sz val="10"/>
        <color indexed="13"/>
        <rFont val="Arial"/>
        <family val="2"/>
      </rPr>
      <t xml:space="preserve"> -V10 </t>
    </r>
    <r>
      <rPr>
        <b/>
        <sz val="10"/>
        <color indexed="9"/>
        <rFont val="Arial"/>
        <family val="2"/>
      </rPr>
      <t>Atualização da nova tabela do desconto do INSS .</t>
    </r>
  </si>
  <si>
    <r>
      <t>"EMP" (cadastro da empresa)</t>
    </r>
    <r>
      <rPr>
        <sz val="12"/>
        <color indexed="9"/>
        <rFont val="Arial"/>
        <family val="2"/>
      </rPr>
      <t xml:space="preserve"> - Você deverá cadastrar nesta planilha os dados das empresas. </t>
    </r>
    <r>
      <rPr>
        <b/>
        <sz val="12"/>
        <color indexed="10"/>
        <rFont val="Arial"/>
        <family val="2"/>
      </rPr>
      <t>Obs:- Proibido ao usuários inserir linhas ou colunas nesta planilha.</t>
    </r>
  </si>
  <si>
    <r>
      <t>"FUNC" (cad. de funcionários)</t>
    </r>
    <r>
      <rPr>
        <sz val="12"/>
        <color indexed="9"/>
        <rFont val="Arial"/>
        <family val="2"/>
      </rPr>
      <t xml:space="preserve">- Você deverá cadastrar nesta planilha os dados dos trabalhadores. </t>
    </r>
    <r>
      <rPr>
        <b/>
        <sz val="12"/>
        <color indexed="10"/>
        <rFont val="Arial"/>
        <family val="2"/>
      </rPr>
      <t>Obs :-Proibido ao usuário inserir linhas ou colunas na planilha.</t>
    </r>
  </si>
  <si>
    <r>
      <rPr>
        <b/>
        <u/>
        <sz val="10"/>
        <color indexed="13"/>
        <rFont val="Arial"/>
        <family val="2"/>
      </rPr>
      <t>FÉRIAS JANEIRO 2013 - Atualizada em 28/10/2013</t>
    </r>
    <r>
      <rPr>
        <b/>
        <sz val="10"/>
        <color indexed="13"/>
        <rFont val="Arial"/>
        <family val="2"/>
      </rPr>
      <t xml:space="preserve"> -V11 -  </t>
    </r>
  </si>
  <si>
    <t>Implantado planilhas hollerith (1) e hollerith (2), o sistema agora calcula as férias e os salários.</t>
  </si>
  <si>
    <t>PENSÃO ALIMENTICIA (salário)</t>
  </si>
  <si>
    <t>ANGELO</t>
  </si>
  <si>
    <r>
      <rPr>
        <b/>
        <u/>
        <sz val="10"/>
        <color indexed="13"/>
        <rFont val="Arial"/>
        <family val="2"/>
      </rPr>
      <t>FÉRIAS JANEIRO 2014 - Atualizada em 01/2014</t>
    </r>
    <r>
      <rPr>
        <b/>
        <sz val="10"/>
        <color indexed="13"/>
        <rFont val="Arial"/>
        <family val="2"/>
      </rPr>
      <t xml:space="preserve"> -V12 -  </t>
    </r>
  </si>
  <si>
    <t>luiz paulo</t>
  </si>
  <si>
    <r>
      <rPr>
        <b/>
        <u/>
        <sz val="10"/>
        <color indexed="13"/>
        <rFont val="Arial"/>
        <family val="2"/>
      </rPr>
      <t>FÉRIAS JANEIRO 2014 - Atualizada em 02/2014</t>
    </r>
    <r>
      <rPr>
        <b/>
        <sz val="10"/>
        <color indexed="13"/>
        <rFont val="Arial"/>
        <family val="2"/>
      </rPr>
      <t xml:space="preserve"> -V13 -  (06/02/2014) - Planilha DADOS - correção no período aquisitivo nos anos bissexto - Planilha Hollerith 1 e 2 -  nº de dependente do salário familia agora é automático. </t>
    </r>
  </si>
  <si>
    <t>(FÉRIAS JANEIRO 2014) - ATUALIZADO 03/2014 - V14 (19/03/2013)</t>
  </si>
  <si>
    <r>
      <rPr>
        <b/>
        <u/>
        <sz val="10"/>
        <color indexed="13"/>
        <rFont val="Arial"/>
        <family val="2"/>
      </rPr>
      <t>FÉRIAS JANEIRO 2014 - Atualizada em 03/2014</t>
    </r>
    <r>
      <rPr>
        <b/>
        <sz val="10"/>
        <color indexed="13"/>
        <rFont val="Arial"/>
        <family val="2"/>
      </rPr>
      <t xml:space="preserve"> -V14 -  (19/03/2014) - implantado valor por extenso automático nas planilhas RECIBO , HOLLERITH (1) e HOLLERITH (2) -OBS:- para o funcionamento perfeito  "HABILITE OS MACROS" sempre que entrar no programa de férias.</t>
    </r>
  </si>
</sst>
</file>

<file path=xl/styles.xml><?xml version="1.0" encoding="utf-8"?>
<styleSheet xmlns="http://schemas.openxmlformats.org/spreadsheetml/2006/main">
  <numFmts count="18">
    <numFmt numFmtId="164" formatCode="_(* #,##0_);_(* \(#,##0\);_(* &quot;-&quot;_);_(@_)"/>
    <numFmt numFmtId="165" formatCode="_(&quot;R$ &quot;* #,##0.00_);_(&quot;R$ &quot;* \(#,##0.00\);_(&quot;R$ &quot;* &quot;-&quot;??_);_(@_)"/>
    <numFmt numFmtId="166" formatCode="_(* #,##0.00_);_(* \(#,##0.00\);_(* &quot;-&quot;??_);_(@_)"/>
    <numFmt numFmtId="167" formatCode="_(&quot;R$&quot;* #,##0.00_);_(&quot;R$&quot;* \(#,##0.00\);_(&quot;R$&quot;* &quot;-&quot;??_);_(@_)"/>
    <numFmt numFmtId="168" formatCode="_(* #,##0.0000_);_(* \(#,##0.0000\);_(* &quot;-&quot;??_);_(@_)"/>
    <numFmt numFmtId="169" formatCode="mmmm"/>
    <numFmt numFmtId="170" formatCode="dd/mmmm/yyyy"/>
    <numFmt numFmtId="171" formatCode="000&quot;.&quot;000&quot;.&quot;000&quot;-&quot;00"/>
    <numFmt numFmtId="172" formatCode="000&quot;.&quot;00000&quot;.&quot;00&quot;-&quot;0"/>
    <numFmt numFmtId="173" formatCode="00&quot;.&quot;000&quot;.&quot;000&quot;/&quot;0000&quot;-&quot;00"/>
    <numFmt numFmtId="174" formatCode="00000\-000"/>
    <numFmt numFmtId="175" formatCode="\(000\)&quot; &quot;0000&quot;-&quot;0000"/>
    <numFmt numFmtId="176" formatCode="dd"/>
    <numFmt numFmtId="177" formatCode="[$-416]mmmm\-yy;@"/>
    <numFmt numFmtId="178" formatCode="mm/yyyy"/>
    <numFmt numFmtId="179" formatCode="0.000%"/>
    <numFmt numFmtId="180" formatCode="_(* #,##0_);_(* \(#,##0\);_(* &quot;-&quot;??_);_(@_)"/>
    <numFmt numFmtId="181" formatCode="????"/>
  </numFmts>
  <fonts count="76">
    <font>
      <sz val="10"/>
      <name val="Arial"/>
    </font>
    <font>
      <sz val="10"/>
      <name val="Arial"/>
      <family val="2"/>
    </font>
    <font>
      <u/>
      <sz val="10"/>
      <color indexed="12"/>
      <name val="Arial"/>
      <family val="2"/>
    </font>
    <font>
      <b/>
      <sz val="24"/>
      <name val="Arial"/>
      <family val="2"/>
    </font>
    <font>
      <sz val="24"/>
      <name val="Arial"/>
      <family val="2"/>
    </font>
    <font>
      <b/>
      <sz val="11"/>
      <name val="Arial"/>
      <family val="2"/>
    </font>
    <font>
      <b/>
      <sz val="10"/>
      <name val="Arial"/>
      <family val="2"/>
    </font>
    <font>
      <sz val="11"/>
      <name val="Arial"/>
      <family val="2"/>
    </font>
    <font>
      <sz val="7"/>
      <name val="Arial"/>
      <family val="2"/>
    </font>
    <font>
      <sz val="8"/>
      <name val="Arial"/>
      <family val="2"/>
    </font>
    <font>
      <b/>
      <sz val="26"/>
      <name val="Arial"/>
      <family val="2"/>
    </font>
    <font>
      <b/>
      <sz val="9"/>
      <name val="Arial"/>
      <family val="2"/>
    </font>
    <font>
      <b/>
      <sz val="6"/>
      <name val="Arial"/>
      <family val="2"/>
    </font>
    <font>
      <b/>
      <sz val="8"/>
      <name val="Arial"/>
      <family val="2"/>
    </font>
    <font>
      <b/>
      <sz val="14"/>
      <name val="Arial"/>
      <family val="2"/>
    </font>
    <font>
      <sz val="14"/>
      <name val="Arial"/>
      <family val="2"/>
    </font>
    <font>
      <b/>
      <sz val="12"/>
      <name val="Arial"/>
      <family val="2"/>
    </font>
    <font>
      <sz val="12"/>
      <name val="Arial"/>
      <family val="2"/>
    </font>
    <font>
      <sz val="10"/>
      <name val="Arial"/>
      <family val="2"/>
    </font>
    <font>
      <sz val="9"/>
      <name val="Arial"/>
      <family val="2"/>
    </font>
    <font>
      <b/>
      <u/>
      <sz val="18"/>
      <color indexed="10"/>
      <name val="Arial"/>
      <family val="2"/>
    </font>
    <font>
      <sz val="12"/>
      <name val="Arial"/>
      <family val="2"/>
    </font>
    <font>
      <sz val="10"/>
      <color indexed="9"/>
      <name val="Arial"/>
      <family val="2"/>
    </font>
    <font>
      <b/>
      <u/>
      <sz val="18"/>
      <color indexed="9"/>
      <name val="Arial"/>
      <family val="2"/>
    </font>
    <font>
      <u/>
      <sz val="18"/>
      <color indexed="9"/>
      <name val="Arial"/>
      <family val="2"/>
    </font>
    <font>
      <b/>
      <sz val="10"/>
      <color indexed="9"/>
      <name val="Arial"/>
      <family val="2"/>
    </font>
    <font>
      <b/>
      <u/>
      <sz val="10"/>
      <color indexed="9"/>
      <name val="Arial"/>
      <family val="2"/>
    </font>
    <font>
      <b/>
      <u/>
      <sz val="12"/>
      <color indexed="9"/>
      <name val="Arial"/>
      <family val="2"/>
    </font>
    <font>
      <b/>
      <sz val="12"/>
      <color indexed="9"/>
      <name val="Arial"/>
      <family val="2"/>
    </font>
    <font>
      <u/>
      <sz val="10"/>
      <color indexed="9"/>
      <name val="Arial"/>
      <family val="2"/>
    </font>
    <font>
      <b/>
      <sz val="12"/>
      <color indexed="9"/>
      <name val="Arial"/>
      <family val="2"/>
    </font>
    <font>
      <b/>
      <sz val="10"/>
      <color indexed="9"/>
      <name val="Arial"/>
      <family val="2"/>
    </font>
    <font>
      <sz val="12"/>
      <color indexed="9"/>
      <name val="Arial"/>
      <family val="2"/>
    </font>
    <font>
      <sz val="8"/>
      <name val="Tahoma"/>
      <family val="2"/>
    </font>
    <font>
      <sz val="12"/>
      <color indexed="9"/>
      <name val="Arial"/>
      <family val="2"/>
    </font>
    <font>
      <sz val="10"/>
      <color indexed="9"/>
      <name val="Arial"/>
      <family val="2"/>
    </font>
    <font>
      <sz val="8"/>
      <name val="Arial"/>
      <family val="2"/>
    </font>
    <font>
      <b/>
      <u/>
      <sz val="14"/>
      <color indexed="9"/>
      <name val="Arial"/>
      <family val="2"/>
    </font>
    <font>
      <b/>
      <sz val="10"/>
      <color indexed="10"/>
      <name val="Arial"/>
      <family val="2"/>
    </font>
    <font>
      <sz val="10"/>
      <color indexed="10"/>
      <name val="Arial"/>
      <family val="2"/>
    </font>
    <font>
      <b/>
      <u/>
      <sz val="12"/>
      <name val="Arial"/>
      <family val="2"/>
    </font>
    <font>
      <sz val="8"/>
      <color indexed="10"/>
      <name val="Arial"/>
      <family val="2"/>
    </font>
    <font>
      <b/>
      <u/>
      <sz val="10"/>
      <color indexed="43"/>
      <name val="Arial"/>
      <family val="2"/>
    </font>
    <font>
      <u/>
      <sz val="10"/>
      <color indexed="43"/>
      <name val="Arial"/>
      <family val="2"/>
    </font>
    <font>
      <b/>
      <sz val="10"/>
      <color indexed="43"/>
      <name val="Arial"/>
      <family val="2"/>
    </font>
    <font>
      <sz val="10"/>
      <color indexed="43"/>
      <name val="Arial"/>
      <family val="2"/>
    </font>
    <font>
      <b/>
      <sz val="12"/>
      <color indexed="10"/>
      <name val="Arial"/>
      <family val="2"/>
    </font>
    <font>
      <b/>
      <sz val="12"/>
      <color indexed="13"/>
      <name val="Arial"/>
      <family val="2"/>
    </font>
    <font>
      <b/>
      <sz val="16"/>
      <name val="Arial"/>
      <family val="2"/>
    </font>
    <font>
      <sz val="16"/>
      <name val="Arial"/>
      <family val="2"/>
    </font>
    <font>
      <b/>
      <sz val="10"/>
      <color indexed="13"/>
      <name val="Arial"/>
      <family val="2"/>
    </font>
    <font>
      <sz val="10"/>
      <color indexed="13"/>
      <name val="Arial"/>
      <family val="2"/>
    </font>
    <font>
      <sz val="10"/>
      <color indexed="62"/>
      <name val="Arial Black"/>
      <family val="2"/>
    </font>
    <font>
      <sz val="9"/>
      <color indexed="62"/>
      <name val="Arial Black"/>
      <family val="2"/>
    </font>
    <font>
      <sz val="10"/>
      <color indexed="18"/>
      <name val="Arial Black"/>
      <family val="2"/>
    </font>
    <font>
      <sz val="12"/>
      <color indexed="12"/>
      <name val="Arial Black"/>
      <family val="2"/>
    </font>
    <font>
      <b/>
      <sz val="10"/>
      <color indexed="12"/>
      <name val="Arial"/>
      <family val="2"/>
    </font>
    <font>
      <b/>
      <sz val="12"/>
      <color indexed="12"/>
      <name val="Arial"/>
      <family val="2"/>
    </font>
    <font>
      <b/>
      <u/>
      <sz val="10"/>
      <color indexed="13"/>
      <name val="Arial"/>
      <family val="2"/>
    </font>
    <font>
      <sz val="12"/>
      <color indexed="10"/>
      <name val="Arial"/>
      <family val="2"/>
    </font>
    <font>
      <b/>
      <sz val="20"/>
      <name val="Arial"/>
      <family val="2"/>
    </font>
    <font>
      <sz val="20"/>
      <name val="Arial"/>
      <family val="2"/>
    </font>
    <font>
      <b/>
      <u/>
      <sz val="10"/>
      <color indexed="10"/>
      <name val="Arial"/>
      <family val="2"/>
    </font>
    <font>
      <sz val="10"/>
      <name val="Arial"/>
      <family val="2"/>
    </font>
    <font>
      <sz val="10"/>
      <color indexed="10"/>
      <name val="Arial"/>
      <family val="2"/>
    </font>
    <font>
      <b/>
      <sz val="14"/>
      <color indexed="60"/>
      <name val="Arial"/>
      <family val="2"/>
    </font>
    <font>
      <sz val="10"/>
      <name val="Arial"/>
      <family val="2"/>
    </font>
    <font>
      <b/>
      <sz val="9"/>
      <color indexed="12"/>
      <name val="Arial"/>
      <family val="2"/>
    </font>
    <font>
      <b/>
      <sz val="9"/>
      <color indexed="10"/>
      <name val="Arial"/>
      <family val="2"/>
    </font>
    <font>
      <b/>
      <sz val="10"/>
      <color indexed="18"/>
      <name val="Arial"/>
      <family val="2"/>
    </font>
    <font>
      <sz val="8"/>
      <color indexed="81"/>
      <name val="Tahoma"/>
      <family val="2"/>
    </font>
    <font>
      <sz val="9"/>
      <color indexed="81"/>
      <name val="Tahoma"/>
      <family val="2"/>
    </font>
    <font>
      <b/>
      <sz val="9"/>
      <color indexed="81"/>
      <name val="Tahoma"/>
      <family val="2"/>
    </font>
    <font>
      <b/>
      <sz val="10"/>
      <color rgb="FFFF0000"/>
      <name val="Arial"/>
      <family val="2"/>
    </font>
    <font>
      <sz val="10"/>
      <color rgb="FFFF0000"/>
      <name val="Arial"/>
      <family val="2"/>
    </font>
    <font>
      <b/>
      <sz val="10"/>
      <color theme="0"/>
      <name val="Arial"/>
      <family val="2"/>
    </font>
  </fonts>
  <fills count="31">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18"/>
        <bgColor indexed="64"/>
      </patternFill>
    </fill>
    <fill>
      <patternFill patternType="solid">
        <fgColor indexed="22"/>
        <bgColor indexed="64"/>
      </patternFill>
    </fill>
    <fill>
      <patternFill patternType="solid">
        <fgColor indexed="62"/>
        <bgColor indexed="64"/>
      </patternFill>
    </fill>
    <fill>
      <patternFill patternType="solid">
        <fgColor indexed="45"/>
        <bgColor indexed="64"/>
      </patternFill>
    </fill>
    <fill>
      <patternFill patternType="solid">
        <fgColor indexed="51"/>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26"/>
        <bgColor indexed="64"/>
      </patternFill>
    </fill>
    <fill>
      <patternFill patternType="solid">
        <fgColor indexed="44"/>
        <bgColor indexed="64"/>
      </patternFill>
    </fill>
    <fill>
      <patternFill patternType="solid">
        <fgColor indexed="10"/>
        <bgColor indexed="64"/>
      </patternFill>
    </fill>
    <fill>
      <patternFill patternType="solid">
        <fgColor indexed="13"/>
        <bgColor indexed="64"/>
      </patternFill>
    </fill>
    <fill>
      <patternFill patternType="solid">
        <fgColor indexed="50"/>
        <bgColor indexed="64"/>
      </patternFill>
    </fill>
    <fill>
      <patternFill patternType="solid">
        <fgColor indexed="11"/>
        <bgColor indexed="64"/>
      </patternFill>
    </fill>
    <fill>
      <patternFill patternType="solid">
        <fgColor indexed="57"/>
        <bgColor indexed="64"/>
      </patternFill>
    </fill>
    <fill>
      <patternFill patternType="solid">
        <fgColor indexed="52"/>
        <bgColor indexed="64"/>
      </patternFill>
    </fill>
    <fill>
      <patternFill patternType="solid">
        <fgColor indexed="15"/>
        <bgColor indexed="64"/>
      </patternFill>
    </fill>
    <fill>
      <patternFill patternType="solid">
        <fgColor rgb="FFFFFFCC"/>
        <bgColor indexed="64"/>
      </patternFill>
    </fill>
    <fill>
      <patternFill patternType="solid">
        <fgColor rgb="FFFFC000"/>
        <bgColor indexed="64"/>
      </patternFill>
    </fill>
    <fill>
      <patternFill patternType="solid">
        <fgColor rgb="FF00B050"/>
        <bgColor indexed="64"/>
      </patternFill>
    </fill>
    <fill>
      <patternFill patternType="solid">
        <fgColor theme="0"/>
        <bgColor indexed="64"/>
      </patternFill>
    </fill>
    <fill>
      <patternFill patternType="solid">
        <fgColor rgb="FF92D050"/>
        <bgColor indexed="64"/>
      </patternFill>
    </fill>
    <fill>
      <patternFill patternType="solid">
        <fgColor rgb="FF00B0F0"/>
        <bgColor indexed="64"/>
      </patternFill>
    </fill>
    <fill>
      <patternFill patternType="solid">
        <fgColor rgb="FFC00000"/>
        <bgColor indexed="64"/>
      </patternFill>
    </fill>
    <fill>
      <patternFill patternType="solid">
        <fgColor rgb="FFFF0000"/>
        <bgColor indexed="64"/>
      </patternFill>
    </fill>
    <fill>
      <patternFill patternType="solid">
        <fgColor rgb="FFFFFF00"/>
        <bgColor indexed="64"/>
      </patternFill>
    </fill>
    <fill>
      <patternFill patternType="solid">
        <fgColor theme="4" tint="0.79998168889431442"/>
        <bgColor indexed="64"/>
      </patternFill>
    </fill>
  </fills>
  <borders count="114">
    <border>
      <left/>
      <right/>
      <top/>
      <bottom/>
      <diagonal/>
    </border>
    <border>
      <left style="mediumDashed">
        <color indexed="53"/>
      </left>
      <right style="mediumDashed">
        <color indexed="53"/>
      </right>
      <top style="mediumDashed">
        <color indexed="53"/>
      </top>
      <bottom style="mediumDashed">
        <color indexed="53"/>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double">
        <color indexed="64"/>
      </right>
      <top/>
      <bottom/>
      <diagonal/>
    </border>
    <border>
      <left style="double">
        <color indexed="64"/>
      </left>
      <right/>
      <top/>
      <bottom/>
      <diagonal/>
    </border>
    <border>
      <left/>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double">
        <color indexed="64"/>
      </left>
      <right/>
      <top/>
      <bottom style="double">
        <color indexed="64"/>
      </bottom>
      <diagonal/>
    </border>
    <border>
      <left/>
      <right style="thin">
        <color indexed="64"/>
      </right>
      <top/>
      <bottom style="double">
        <color indexed="64"/>
      </bottom>
      <diagonal/>
    </border>
    <border>
      <left/>
      <right style="double">
        <color indexed="64"/>
      </right>
      <top/>
      <bottom style="double">
        <color indexed="64"/>
      </bottom>
      <diagonal/>
    </border>
    <border>
      <left/>
      <right/>
      <top/>
      <bottom style="dotted">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bottom style="dashed">
        <color indexed="64"/>
      </bottom>
      <diagonal/>
    </border>
    <border>
      <left style="mediumDashed">
        <color indexed="53"/>
      </left>
      <right/>
      <top style="mediumDashed">
        <color indexed="53"/>
      </top>
      <bottom style="mediumDashed">
        <color indexed="53"/>
      </bottom>
      <diagonal/>
    </border>
    <border>
      <left style="mediumDashed">
        <color indexed="53"/>
      </left>
      <right style="mediumDashed">
        <color indexed="53"/>
      </right>
      <top/>
      <bottom style="mediumDashed">
        <color indexed="53"/>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mediumDashed">
        <color indexed="53"/>
      </right>
      <top style="mediumDashed">
        <color indexed="53"/>
      </top>
      <bottom style="mediumDashed">
        <color indexed="53"/>
      </bottom>
      <diagonal/>
    </border>
    <border>
      <left style="mediumDashed">
        <color indexed="53"/>
      </left>
      <right style="mediumDashed">
        <color indexed="53"/>
      </right>
      <top/>
      <bottom/>
      <diagonal/>
    </border>
    <border>
      <left style="mediumDashed">
        <color indexed="53"/>
      </left>
      <right style="mediumDashed">
        <color indexed="53"/>
      </right>
      <top style="mediumDashed">
        <color indexed="53"/>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double">
        <color indexed="64"/>
      </left>
      <right/>
      <top style="thin">
        <color indexed="64"/>
      </top>
      <bottom/>
      <diagonal/>
    </border>
    <border>
      <left style="double">
        <color indexed="64"/>
      </left>
      <right/>
      <top style="thin">
        <color indexed="64"/>
      </top>
      <bottom style="thin">
        <color indexed="64"/>
      </bottom>
      <diagonal/>
    </border>
    <border>
      <left style="double">
        <color indexed="64"/>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mediumDashed">
        <color indexed="53"/>
      </right>
      <top/>
      <bottom style="mediumDashed">
        <color indexed="53"/>
      </bottom>
      <diagonal/>
    </border>
    <border>
      <left style="mediumDashed">
        <color indexed="53"/>
      </left>
      <right/>
      <top style="mediumDashed">
        <color indexed="53"/>
      </top>
      <bottom/>
      <diagonal/>
    </border>
    <border>
      <left style="thick">
        <color indexed="64"/>
      </left>
      <right style="thick">
        <color indexed="64"/>
      </right>
      <top style="thick">
        <color indexed="64"/>
      </top>
      <bottom style="thick">
        <color indexed="64"/>
      </bottom>
      <diagonal/>
    </border>
    <border>
      <left/>
      <right style="double">
        <color indexed="64"/>
      </right>
      <top style="thin">
        <color indexed="64"/>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53"/>
      </left>
      <right style="thin">
        <color indexed="53"/>
      </right>
      <top style="thin">
        <color indexed="53"/>
      </top>
      <bottom style="thin">
        <color indexed="53"/>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style="double">
        <color indexed="64"/>
      </right>
      <top/>
      <bottom style="double">
        <color indexed="64"/>
      </bottom>
      <diagonal/>
    </border>
    <border>
      <left/>
      <right style="thin">
        <color indexed="64"/>
      </right>
      <top style="medium">
        <color indexed="64"/>
      </top>
      <bottom style="medium">
        <color indexed="64"/>
      </bottom>
      <diagonal/>
    </border>
    <border>
      <left style="thick">
        <color indexed="64"/>
      </left>
      <right style="thin">
        <color indexed="64"/>
      </right>
      <top style="thick">
        <color indexed="64"/>
      </top>
      <bottom style="thick">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
      <left/>
      <right style="double">
        <color indexed="64"/>
      </right>
      <top style="medium">
        <color indexed="64"/>
      </top>
      <bottom style="medium">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double">
        <color indexed="64"/>
      </right>
      <top style="double">
        <color indexed="64"/>
      </top>
      <bottom style="thin">
        <color indexed="64"/>
      </bottom>
      <diagonal/>
    </border>
    <border>
      <left/>
      <right/>
      <top style="double">
        <color indexed="64"/>
      </top>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top style="medium">
        <color indexed="64"/>
      </top>
      <bottom/>
      <diagonal/>
    </border>
    <border>
      <left style="thin">
        <color indexed="64"/>
      </left>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right style="thin">
        <color indexed="64"/>
      </right>
      <top style="medium">
        <color indexed="64"/>
      </top>
      <bottom/>
      <diagonal/>
    </border>
    <border>
      <left/>
      <right style="double">
        <color indexed="64"/>
      </right>
      <top/>
      <bottom style="medium">
        <color indexed="64"/>
      </bottom>
      <diagonal/>
    </border>
    <border>
      <left style="thin">
        <color indexed="64"/>
      </left>
      <right/>
      <top/>
      <bottom style="double">
        <color indexed="64"/>
      </bottom>
      <diagonal/>
    </border>
  </borders>
  <cellStyleXfs count="8">
    <xf numFmtId="0" fontId="0" fillId="0" borderId="0"/>
    <xf numFmtId="0" fontId="2" fillId="0" borderId="0" applyNumberFormat="0" applyFill="0" applyBorder="0" applyAlignment="0" applyProtection="0">
      <alignment vertical="top"/>
      <protection locked="0"/>
    </xf>
    <xf numFmtId="167" fontId="1" fillId="0" borderId="0" applyFont="0" applyFill="0" applyBorder="0" applyAlignment="0" applyProtection="0"/>
    <xf numFmtId="165" fontId="66" fillId="0" borderId="0" applyFont="0" applyFill="0" applyBorder="0" applyAlignment="0" applyProtection="0"/>
    <xf numFmtId="0" fontId="21" fillId="0" borderId="0"/>
    <xf numFmtId="9" fontId="1" fillId="0" borderId="0" applyFont="0" applyFill="0" applyBorder="0" applyAlignment="0" applyProtection="0"/>
    <xf numFmtId="166" fontId="1" fillId="0" borderId="0" applyFont="0" applyFill="0" applyBorder="0" applyAlignment="0" applyProtection="0"/>
    <xf numFmtId="166" fontId="66" fillId="0" borderId="0" applyFont="0" applyFill="0" applyBorder="0" applyAlignment="0" applyProtection="0"/>
  </cellStyleXfs>
  <cellXfs count="1672">
    <xf numFmtId="0" fontId="0" fillId="0" borderId="0" xfId="0"/>
    <xf numFmtId="0" fontId="0" fillId="2" borderId="0" xfId="0" applyFill="1"/>
    <xf numFmtId="0" fontId="0" fillId="2" borderId="0" xfId="0" applyFill="1" applyBorder="1"/>
    <xf numFmtId="0" fontId="0" fillId="2" borderId="0" xfId="0" applyFill="1" applyProtection="1">
      <protection hidden="1"/>
    </xf>
    <xf numFmtId="0" fontId="0" fillId="3" borderId="0" xfId="0" applyFill="1"/>
    <xf numFmtId="0" fontId="22" fillId="4" borderId="0" xfId="0" applyFont="1" applyFill="1"/>
    <xf numFmtId="0" fontId="23" fillId="4" borderId="0" xfId="0" applyFont="1" applyFill="1" applyBorder="1" applyAlignment="1" applyProtection="1">
      <alignment horizontal="center" vertical="center" wrapText="1"/>
      <protection hidden="1"/>
    </xf>
    <xf numFmtId="0" fontId="24" fillId="4" borderId="0" xfId="0" applyFont="1" applyFill="1" applyBorder="1" applyAlignment="1">
      <alignment horizontal="center" vertical="center" wrapText="1"/>
    </xf>
    <xf numFmtId="0" fontId="22" fillId="4" borderId="0" xfId="0" applyFont="1" applyFill="1" applyBorder="1" applyProtection="1">
      <protection hidden="1"/>
    </xf>
    <xf numFmtId="0" fontId="22" fillId="4" borderId="0" xfId="0" applyFont="1" applyFill="1" applyBorder="1"/>
    <xf numFmtId="0" fontId="27" fillId="4" borderId="0" xfId="4" applyFont="1" applyFill="1" applyAlignment="1">
      <alignment horizontal="left"/>
    </xf>
    <xf numFmtId="0" fontId="28" fillId="4" borderId="0" xfId="4" applyFont="1" applyFill="1" applyAlignment="1">
      <alignment horizontal="left"/>
    </xf>
    <xf numFmtId="0" fontId="29" fillId="4" borderId="0" xfId="1" applyFont="1" applyFill="1" applyAlignment="1" applyProtection="1">
      <alignment horizontal="left"/>
    </xf>
    <xf numFmtId="0" fontId="25" fillId="4" borderId="0" xfId="0" applyFont="1" applyFill="1"/>
    <xf numFmtId="0" fontId="25" fillId="4" borderId="0" xfId="4" applyFont="1" applyFill="1"/>
    <xf numFmtId="0" fontId="13" fillId="3" borderId="0" xfId="0" applyFont="1" applyFill="1" applyBorder="1"/>
    <xf numFmtId="0" fontId="30" fillId="5" borderId="1" xfId="0" applyFont="1" applyFill="1" applyBorder="1" applyAlignment="1">
      <alignment horizontal="center" shrinkToFit="1"/>
    </xf>
    <xf numFmtId="0" fontId="0" fillId="0" borderId="1" xfId="0" applyBorder="1"/>
    <xf numFmtId="0" fontId="6" fillId="0" borderId="1" xfId="0" applyFont="1" applyBorder="1"/>
    <xf numFmtId="0" fontId="31" fillId="6" borderId="1" xfId="0" applyFont="1" applyFill="1" applyBorder="1" applyAlignment="1" applyProtection="1">
      <alignment horizontal="left" shrinkToFit="1"/>
      <protection locked="0"/>
    </xf>
    <xf numFmtId="14" fontId="0" fillId="3" borderId="2" xfId="0" applyNumberFormat="1" applyFill="1" applyBorder="1"/>
    <xf numFmtId="14" fontId="0" fillId="3" borderId="3" xfId="0" applyNumberFormat="1" applyFill="1" applyBorder="1"/>
    <xf numFmtId="0" fontId="16" fillId="3" borderId="2" xfId="0" applyFont="1" applyFill="1" applyBorder="1" applyAlignment="1" applyProtection="1">
      <alignment horizontal="center"/>
      <protection hidden="1"/>
    </xf>
    <xf numFmtId="168" fontId="16" fillId="3" borderId="4" xfId="6" applyNumberFormat="1" applyFont="1" applyFill="1" applyBorder="1" applyAlignment="1" applyProtection="1">
      <alignment horizontal="center"/>
      <protection hidden="1"/>
    </xf>
    <xf numFmtId="0" fontId="0" fillId="3" borderId="0" xfId="0" applyFill="1" applyProtection="1">
      <protection hidden="1"/>
    </xf>
    <xf numFmtId="0" fontId="16" fillId="3" borderId="0" xfId="0" applyFont="1" applyFill="1" applyBorder="1" applyProtection="1">
      <protection hidden="1"/>
    </xf>
    <xf numFmtId="4" fontId="16" fillId="3" borderId="0" xfId="6" applyNumberFormat="1" applyFont="1" applyFill="1" applyBorder="1" applyAlignment="1" applyProtection="1">
      <alignment horizontal="right"/>
      <protection hidden="1"/>
    </xf>
    <xf numFmtId="0" fontId="16" fillId="3" borderId="0" xfId="0" applyFont="1" applyFill="1" applyBorder="1" applyAlignment="1" applyProtection="1">
      <alignment horizontal="center"/>
      <protection hidden="1"/>
    </xf>
    <xf numFmtId="166" fontId="16" fillId="3" borderId="0" xfId="6" applyFont="1" applyFill="1" applyBorder="1" applyAlignment="1" applyProtection="1">
      <protection hidden="1"/>
    </xf>
    <xf numFmtId="10" fontId="16" fillId="3" borderId="0" xfId="5" applyNumberFormat="1" applyFont="1" applyFill="1" applyBorder="1" applyAlignment="1" applyProtection="1">
      <alignment horizontal="center"/>
      <protection hidden="1"/>
    </xf>
    <xf numFmtId="0" fontId="17" fillId="3" borderId="0" xfId="0" applyFont="1" applyFill="1" applyBorder="1" applyAlignment="1" applyProtection="1">
      <alignment horizontal="center"/>
      <protection hidden="1"/>
    </xf>
    <xf numFmtId="166" fontId="16" fillId="3" borderId="0" xfId="6" applyFont="1" applyFill="1" applyBorder="1" applyAlignment="1" applyProtection="1">
      <alignment horizontal="center"/>
      <protection hidden="1"/>
    </xf>
    <xf numFmtId="10" fontId="16" fillId="3" borderId="0" xfId="5" applyNumberFormat="1" applyFont="1" applyFill="1" applyBorder="1" applyProtection="1">
      <protection hidden="1"/>
    </xf>
    <xf numFmtId="0" fontId="17" fillId="3" borderId="0" xfId="0" applyFont="1" applyFill="1" applyProtection="1">
      <protection hidden="1"/>
    </xf>
    <xf numFmtId="0" fontId="16" fillId="3" borderId="4" xfId="0" applyFont="1" applyFill="1" applyBorder="1" applyAlignment="1" applyProtection="1">
      <alignment horizontal="center"/>
      <protection hidden="1"/>
    </xf>
    <xf numFmtId="0" fontId="6" fillId="3" borderId="0" xfId="0" applyFont="1" applyFill="1" applyAlignment="1" applyProtection="1">
      <alignment horizontal="center"/>
    </xf>
    <xf numFmtId="4" fontId="16" fillId="3" borderId="5" xfId="6" applyNumberFormat="1" applyFont="1" applyFill="1" applyBorder="1" applyAlignment="1" applyProtection="1">
      <alignment horizontal="right"/>
      <protection hidden="1"/>
    </xf>
    <xf numFmtId="4" fontId="16" fillId="3" borderId="5" xfId="0" applyNumberFormat="1" applyFont="1" applyFill="1" applyBorder="1" applyProtection="1">
      <protection hidden="1"/>
    </xf>
    <xf numFmtId="0" fontId="1" fillId="2" borderId="0" xfId="0" applyFont="1" applyFill="1"/>
    <xf numFmtId="0" fontId="1" fillId="3" borderId="0" xfId="0" applyFont="1" applyFill="1"/>
    <xf numFmtId="0" fontId="0" fillId="3" borderId="6" xfId="0" applyFill="1" applyBorder="1"/>
    <xf numFmtId="0" fontId="1" fillId="3" borderId="7" xfId="0" applyFont="1" applyFill="1" applyBorder="1"/>
    <xf numFmtId="0" fontId="0" fillId="3" borderId="0" xfId="0" applyFill="1" applyBorder="1"/>
    <xf numFmtId="0" fontId="0" fillId="3" borderId="0" xfId="0" applyFill="1" applyBorder="1" applyAlignment="1"/>
    <xf numFmtId="0" fontId="0" fillId="3" borderId="8" xfId="0" applyFill="1" applyBorder="1"/>
    <xf numFmtId="0" fontId="0" fillId="3" borderId="9" xfId="0" applyFill="1" applyBorder="1"/>
    <xf numFmtId="0" fontId="0" fillId="3" borderId="9" xfId="0" applyFill="1" applyBorder="1" applyAlignment="1"/>
    <xf numFmtId="0" fontId="0" fillId="3" borderId="4" xfId="0" applyFill="1" applyBorder="1"/>
    <xf numFmtId="0" fontId="5" fillId="3" borderId="0" xfId="0" applyFont="1" applyFill="1" applyBorder="1"/>
    <xf numFmtId="0" fontId="6" fillId="3" borderId="0" xfId="0" applyFont="1" applyFill="1" applyBorder="1"/>
    <xf numFmtId="0" fontId="5" fillId="3" borderId="0" xfId="0" applyFont="1" applyFill="1"/>
    <xf numFmtId="0" fontId="6" fillId="3" borderId="0" xfId="0" applyFont="1" applyFill="1"/>
    <xf numFmtId="0" fontId="6" fillId="3" borderId="0" xfId="0" applyFont="1" applyFill="1" applyAlignment="1"/>
    <xf numFmtId="0" fontId="5" fillId="3" borderId="0" xfId="0" applyFont="1" applyFill="1" applyBorder="1" applyAlignment="1">
      <alignment horizontal="center" shrinkToFit="1"/>
    </xf>
    <xf numFmtId="0" fontId="6" fillId="3" borderId="0" xfId="0" applyFont="1" applyFill="1" applyBorder="1" applyAlignment="1">
      <alignment horizontal="center"/>
    </xf>
    <xf numFmtId="0" fontId="0" fillId="3" borderId="0" xfId="0" applyFill="1" applyAlignment="1">
      <alignment horizontal="center"/>
    </xf>
    <xf numFmtId="0" fontId="0" fillId="3" borderId="0" xfId="0" applyFill="1" applyBorder="1" applyAlignment="1">
      <alignment horizontal="center"/>
    </xf>
    <xf numFmtId="49" fontId="5" fillId="3" borderId="0" xfId="0" applyNumberFormat="1" applyFont="1" applyFill="1" applyBorder="1" applyProtection="1">
      <protection hidden="1"/>
    </xf>
    <xf numFmtId="0" fontId="5" fillId="3" borderId="0" xfId="0" applyFont="1" applyFill="1" applyBorder="1" applyAlignment="1" applyProtection="1">
      <alignment horizontal="center"/>
      <protection hidden="1"/>
    </xf>
    <xf numFmtId="49" fontId="5" fillId="3" borderId="0" xfId="0" applyNumberFormat="1" applyFont="1" applyFill="1" applyBorder="1" applyAlignment="1" applyProtection="1">
      <alignment horizontal="center"/>
      <protection hidden="1"/>
    </xf>
    <xf numFmtId="0" fontId="5" fillId="3" borderId="0" xfId="0" applyFont="1" applyFill="1" applyBorder="1" applyProtection="1">
      <protection hidden="1"/>
    </xf>
    <xf numFmtId="0" fontId="6" fillId="3" borderId="0" xfId="0" applyFont="1" applyFill="1" applyProtection="1">
      <protection hidden="1"/>
    </xf>
    <xf numFmtId="0" fontId="0" fillId="3" borderId="0" xfId="0" applyFill="1" applyBorder="1" applyProtection="1">
      <protection hidden="1"/>
    </xf>
    <xf numFmtId="0" fontId="0" fillId="3" borderId="10" xfId="0" applyFill="1" applyBorder="1"/>
    <xf numFmtId="0" fontId="0" fillId="3" borderId="11" xfId="0" applyFill="1" applyBorder="1"/>
    <xf numFmtId="0" fontId="0" fillId="3" borderId="12" xfId="0" applyFill="1" applyBorder="1"/>
    <xf numFmtId="0" fontId="0" fillId="3" borderId="13" xfId="0" applyFill="1" applyBorder="1"/>
    <xf numFmtId="0" fontId="7" fillId="3" borderId="0" xfId="0" applyFont="1" applyFill="1" applyBorder="1"/>
    <xf numFmtId="0" fontId="7" fillId="3" borderId="13" xfId="0" applyFont="1" applyFill="1" applyBorder="1"/>
    <xf numFmtId="0" fontId="7" fillId="3" borderId="9" xfId="0" applyFont="1" applyFill="1" applyBorder="1"/>
    <xf numFmtId="0" fontId="7" fillId="3" borderId="0" xfId="0" applyFont="1" applyFill="1"/>
    <xf numFmtId="0" fontId="0" fillId="3" borderId="14" xfId="0" applyFill="1" applyBorder="1"/>
    <xf numFmtId="0" fontId="13" fillId="3" borderId="6" xfId="0" applyFont="1" applyFill="1" applyBorder="1"/>
    <xf numFmtId="0" fontId="8" fillId="3" borderId="6" xfId="0" applyFont="1" applyFill="1" applyBorder="1"/>
    <xf numFmtId="0" fontId="9" fillId="3" borderId="6" xfId="0" applyFont="1" applyFill="1" applyBorder="1"/>
    <xf numFmtId="0" fontId="0" fillId="3" borderId="15" xfId="0" applyFill="1" applyBorder="1"/>
    <xf numFmtId="0" fontId="0" fillId="3" borderId="16" xfId="0" applyFill="1" applyBorder="1"/>
    <xf numFmtId="0" fontId="1" fillId="3" borderId="0" xfId="0" applyFont="1" applyFill="1" applyBorder="1"/>
    <xf numFmtId="0" fontId="8" fillId="3" borderId="0" xfId="0" applyFont="1" applyFill="1" applyBorder="1"/>
    <xf numFmtId="0" fontId="9" fillId="3" borderId="0" xfId="0" applyFont="1" applyFill="1" applyBorder="1"/>
    <xf numFmtId="0" fontId="1" fillId="3" borderId="17" xfId="0" applyFont="1" applyFill="1" applyBorder="1"/>
    <xf numFmtId="0" fontId="0" fillId="3" borderId="17" xfId="0" applyFill="1" applyBorder="1"/>
    <xf numFmtId="0" fontId="4" fillId="3" borderId="0" xfId="0" applyFont="1" applyFill="1" applyBorder="1" applyProtection="1"/>
    <xf numFmtId="0" fontId="0" fillId="3" borderId="0" xfId="0" applyFill="1" applyBorder="1" applyProtection="1"/>
    <xf numFmtId="0" fontId="0" fillId="3" borderId="0" xfId="0" applyFill="1" applyProtection="1"/>
    <xf numFmtId="0" fontId="5" fillId="3" borderId="0" xfId="0" applyFont="1" applyFill="1" applyBorder="1" applyProtection="1"/>
    <xf numFmtId="0" fontId="6" fillId="3" borderId="0" xfId="0" applyFont="1" applyFill="1" applyBorder="1" applyProtection="1"/>
    <xf numFmtId="0" fontId="5" fillId="3" borderId="0" xfId="0" applyFont="1" applyFill="1" applyAlignment="1" applyProtection="1">
      <alignment horizontal="left"/>
    </xf>
    <xf numFmtId="0" fontId="5" fillId="3" borderId="0" xfId="0" applyFont="1" applyFill="1" applyAlignment="1" applyProtection="1">
      <alignment horizontal="center"/>
    </xf>
    <xf numFmtId="0" fontId="6" fillId="3" borderId="0" xfId="0" applyFont="1" applyFill="1" applyAlignment="1" applyProtection="1">
      <alignment horizontal="left"/>
    </xf>
    <xf numFmtId="0" fontId="0" fillId="3" borderId="9" xfId="0" applyFill="1" applyBorder="1" applyProtection="1"/>
    <xf numFmtId="0" fontId="0" fillId="3" borderId="4" xfId="0" applyFill="1" applyBorder="1" applyProtection="1"/>
    <xf numFmtId="0" fontId="5" fillId="3" borderId="0" xfId="0" applyFont="1" applyFill="1" applyProtection="1"/>
    <xf numFmtId="0" fontId="6" fillId="3" borderId="0" xfId="0" applyFont="1" applyFill="1" applyProtection="1"/>
    <xf numFmtId="0" fontId="6" fillId="3" borderId="0" xfId="0" applyFont="1" applyFill="1" applyAlignment="1" applyProtection="1"/>
    <xf numFmtId="0" fontId="5" fillId="3" borderId="0" xfId="0" applyNumberFormat="1" applyFont="1" applyFill="1" applyBorder="1" applyAlignment="1" applyProtection="1">
      <alignment horizontal="center" shrinkToFit="1"/>
    </xf>
    <xf numFmtId="0" fontId="0" fillId="3" borderId="0" xfId="0" applyFill="1" applyAlignment="1" applyProtection="1">
      <alignment horizontal="center"/>
    </xf>
    <xf numFmtId="0" fontId="0" fillId="3" borderId="0" xfId="0" applyFill="1" applyBorder="1" applyAlignment="1" applyProtection="1"/>
    <xf numFmtId="0" fontId="0" fillId="3" borderId="0" xfId="0" applyFill="1" applyBorder="1" applyAlignment="1" applyProtection="1">
      <alignment horizontal="center"/>
    </xf>
    <xf numFmtId="0" fontId="6" fillId="3" borderId="0" xfId="0" applyFont="1" applyFill="1" applyBorder="1" applyAlignment="1" applyProtection="1">
      <alignment horizontal="center"/>
    </xf>
    <xf numFmtId="49" fontId="5" fillId="3" borderId="0" xfId="0" applyNumberFormat="1" applyFont="1" applyFill="1" applyBorder="1" applyProtection="1"/>
    <xf numFmtId="0" fontId="5" fillId="3" borderId="0" xfId="0" applyNumberFormat="1" applyFont="1" applyFill="1" applyBorder="1" applyAlignment="1" applyProtection="1">
      <alignment horizontal="center"/>
    </xf>
    <xf numFmtId="49" fontId="5" fillId="3" borderId="0" xfId="0" applyNumberFormat="1" applyFont="1" applyFill="1" applyBorder="1" applyAlignment="1" applyProtection="1">
      <alignment horizontal="center"/>
    </xf>
    <xf numFmtId="0" fontId="0" fillId="3" borderId="12" xfId="0" applyFill="1" applyBorder="1" applyProtection="1"/>
    <xf numFmtId="0" fontId="0" fillId="3" borderId="13" xfId="0" applyFill="1" applyBorder="1" applyProtection="1"/>
    <xf numFmtId="0" fontId="0" fillId="3" borderId="0" xfId="0" applyNumberFormat="1" applyFill="1" applyBorder="1"/>
    <xf numFmtId="0" fontId="7" fillId="3" borderId="0" xfId="0" applyFont="1" applyFill="1" applyBorder="1" applyProtection="1"/>
    <xf numFmtId="0" fontId="7" fillId="3" borderId="13" xfId="0" applyFont="1" applyFill="1" applyBorder="1" applyProtection="1"/>
    <xf numFmtId="0" fontId="7" fillId="3" borderId="9" xfId="0" applyFont="1" applyFill="1" applyBorder="1" applyProtection="1"/>
    <xf numFmtId="0" fontId="7" fillId="3" borderId="0" xfId="0" applyFont="1" applyFill="1" applyProtection="1"/>
    <xf numFmtId="0" fontId="13" fillId="3" borderId="6" xfId="0" applyFont="1" applyFill="1" applyBorder="1" applyProtection="1"/>
    <xf numFmtId="0" fontId="8" fillId="3" borderId="6" xfId="0" applyFont="1" applyFill="1" applyBorder="1" applyProtection="1"/>
    <xf numFmtId="0" fontId="9" fillId="3" borderId="6" xfId="0" applyFont="1" applyFill="1" applyBorder="1" applyProtection="1"/>
    <xf numFmtId="0" fontId="0" fillId="3" borderId="6" xfId="0" applyFill="1" applyBorder="1" applyProtection="1"/>
    <xf numFmtId="0" fontId="0" fillId="3" borderId="15" xfId="0" applyFill="1" applyBorder="1" applyProtection="1"/>
    <xf numFmtId="0" fontId="6" fillId="3" borderId="0" xfId="0" applyFont="1" applyFill="1" applyBorder="1" applyProtection="1">
      <protection hidden="1"/>
    </xf>
    <xf numFmtId="0" fontId="5" fillId="3" borderId="0" xfId="0" applyFont="1" applyFill="1" applyAlignment="1" applyProtection="1">
      <alignment horizontal="left"/>
      <protection hidden="1"/>
    </xf>
    <xf numFmtId="0" fontId="0" fillId="3" borderId="8" xfId="0" applyFill="1" applyBorder="1" applyProtection="1">
      <protection hidden="1"/>
    </xf>
    <xf numFmtId="0" fontId="5" fillId="3" borderId="0" xfId="0" applyFont="1" applyFill="1" applyAlignment="1" applyProtection="1">
      <alignment horizontal="center"/>
      <protection hidden="1"/>
    </xf>
    <xf numFmtId="0" fontId="6" fillId="3" borderId="0" xfId="0" applyFont="1" applyFill="1" applyAlignment="1" applyProtection="1">
      <alignment horizontal="left"/>
      <protection hidden="1"/>
    </xf>
    <xf numFmtId="0" fontId="0" fillId="3" borderId="9" xfId="0" applyFill="1" applyBorder="1" applyProtection="1">
      <protection hidden="1"/>
    </xf>
    <xf numFmtId="0" fontId="5" fillId="3" borderId="0" xfId="0" applyFont="1" applyFill="1" applyProtection="1">
      <protection hidden="1"/>
    </xf>
    <xf numFmtId="0" fontId="0" fillId="0" borderId="0" xfId="0" applyFill="1"/>
    <xf numFmtId="0" fontId="0" fillId="0" borderId="0" xfId="0" applyFill="1" applyBorder="1"/>
    <xf numFmtId="0" fontId="4" fillId="0" borderId="0" xfId="0" applyFont="1" applyFill="1"/>
    <xf numFmtId="0" fontId="4" fillId="0" borderId="0" xfId="0" applyFont="1" applyFill="1" applyBorder="1"/>
    <xf numFmtId="0" fontId="4" fillId="3" borderId="7" xfId="0" applyFont="1" applyFill="1" applyBorder="1"/>
    <xf numFmtId="0" fontId="4" fillId="3" borderId="18" xfId="0" applyFont="1" applyFill="1" applyBorder="1"/>
    <xf numFmtId="0" fontId="4" fillId="3" borderId="19" xfId="0" applyFont="1" applyFill="1" applyBorder="1"/>
    <xf numFmtId="0" fontId="4" fillId="3" borderId="10" xfId="0" applyFont="1" applyFill="1" applyBorder="1"/>
    <xf numFmtId="0" fontId="4" fillId="3" borderId="11" xfId="0" applyFont="1" applyFill="1" applyBorder="1"/>
    <xf numFmtId="0" fontId="0" fillId="3" borderId="7" xfId="0" applyFill="1" applyBorder="1"/>
    <xf numFmtId="0" fontId="6" fillId="3" borderId="0" xfId="0" applyFont="1" applyFill="1" applyBorder="1" applyAlignment="1" applyProtection="1">
      <alignment horizontal="center" shrinkToFit="1"/>
    </xf>
    <xf numFmtId="0" fontId="0" fillId="3" borderId="0" xfId="0" applyFill="1" applyBorder="1" applyAlignment="1" applyProtection="1">
      <alignment shrinkToFit="1"/>
    </xf>
    <xf numFmtId="0" fontId="6" fillId="3" borderId="0" xfId="0" applyFont="1" applyFill="1" applyBorder="1" applyAlignment="1" applyProtection="1"/>
    <xf numFmtId="0" fontId="5" fillId="3" borderId="0" xfId="0" applyFont="1" applyFill="1" applyBorder="1" applyAlignment="1" applyProtection="1">
      <alignment horizontal="center" shrinkToFit="1"/>
    </xf>
    <xf numFmtId="0" fontId="0" fillId="3" borderId="0" xfId="0" applyFill="1" applyBorder="1" applyAlignment="1" applyProtection="1">
      <alignment vertical="center"/>
    </xf>
    <xf numFmtId="0" fontId="0" fillId="3" borderId="9" xfId="0" applyFill="1" applyBorder="1" applyAlignment="1" applyProtection="1">
      <alignment vertical="center"/>
    </xf>
    <xf numFmtId="0" fontId="6" fillId="3" borderId="0" xfId="0" applyFont="1" applyFill="1" applyBorder="1" applyAlignment="1" applyProtection="1">
      <alignment vertical="center"/>
    </xf>
    <xf numFmtId="0" fontId="6" fillId="3" borderId="0" xfId="0" applyFont="1" applyFill="1" applyBorder="1" applyAlignment="1" applyProtection="1">
      <alignment shrinkToFit="1"/>
    </xf>
    <xf numFmtId="0" fontId="0" fillId="3" borderId="20" xfId="0" applyFill="1" applyBorder="1"/>
    <xf numFmtId="0" fontId="12" fillId="3" borderId="20" xfId="0" applyFont="1" applyFill="1" applyBorder="1"/>
    <xf numFmtId="0" fontId="8" fillId="3" borderId="20" xfId="0" applyFont="1" applyFill="1" applyBorder="1"/>
    <xf numFmtId="0" fontId="9" fillId="3" borderId="20" xfId="0" applyFont="1" applyFill="1" applyBorder="1"/>
    <xf numFmtId="0" fontId="13" fillId="3" borderId="20" xfId="0" applyFont="1" applyFill="1" applyBorder="1" applyAlignment="1">
      <alignment vertical="top"/>
    </xf>
    <xf numFmtId="0" fontId="0" fillId="3" borderId="0" xfId="0" applyFill="1" applyBorder="1" applyAlignment="1">
      <alignment horizontal="left"/>
    </xf>
    <xf numFmtId="0" fontId="0" fillId="3" borderId="0" xfId="0" applyFill="1" applyBorder="1" applyAlignment="1">
      <alignment horizontal="right"/>
    </xf>
    <xf numFmtId="0" fontId="4" fillId="3" borderId="19" xfId="0" applyFont="1" applyFill="1" applyBorder="1" applyProtection="1"/>
    <xf numFmtId="0" fontId="4" fillId="3" borderId="11" xfId="0" applyFont="1" applyFill="1" applyBorder="1" applyProtection="1"/>
    <xf numFmtId="0" fontId="0" fillId="3" borderId="7" xfId="0" applyFill="1" applyBorder="1" applyProtection="1"/>
    <xf numFmtId="0" fontId="0" fillId="3" borderId="11" xfId="0" applyFill="1" applyBorder="1" applyProtection="1"/>
    <xf numFmtId="0" fontId="0" fillId="3" borderId="9" xfId="0" applyFill="1" applyBorder="1" applyAlignment="1" applyProtection="1">
      <alignment shrinkToFit="1"/>
    </xf>
    <xf numFmtId="0" fontId="19" fillId="3" borderId="0" xfId="0" applyFont="1" applyFill="1" applyBorder="1" applyProtection="1"/>
    <xf numFmtId="0" fontId="0" fillId="3" borderId="16" xfId="0" applyFill="1" applyBorder="1" applyProtection="1"/>
    <xf numFmtId="0" fontId="13" fillId="3" borderId="0" xfId="0" applyFont="1" applyFill="1"/>
    <xf numFmtId="0" fontId="4" fillId="3" borderId="0" xfId="0" applyFont="1" applyFill="1" applyBorder="1"/>
    <xf numFmtId="0" fontId="6" fillId="3" borderId="0" xfId="0" applyFont="1" applyFill="1" applyBorder="1" applyAlignment="1" applyProtection="1">
      <alignment horizontal="center" shrinkToFit="1"/>
      <protection hidden="1"/>
    </xf>
    <xf numFmtId="0" fontId="6" fillId="3" borderId="0" xfId="0" applyNumberFormat="1" applyFont="1" applyFill="1" applyBorder="1" applyAlignment="1" applyProtection="1">
      <alignment horizontal="center" shrinkToFit="1"/>
    </xf>
    <xf numFmtId="0" fontId="0" fillId="3" borderId="0" xfId="0" applyFill="1" applyBorder="1" applyAlignment="1" applyProtection="1">
      <alignment vertical="center"/>
      <protection hidden="1"/>
    </xf>
    <xf numFmtId="0" fontId="6" fillId="3" borderId="9" xfId="0" applyFont="1" applyFill="1" applyBorder="1" applyAlignment="1" applyProtection="1">
      <alignment vertical="center"/>
      <protection hidden="1"/>
    </xf>
    <xf numFmtId="0" fontId="0" fillId="3" borderId="9" xfId="0" applyFill="1" applyBorder="1" applyAlignment="1" applyProtection="1">
      <alignment vertical="center"/>
      <protection hidden="1"/>
    </xf>
    <xf numFmtId="0" fontId="6" fillId="3" borderId="0" xfId="0" applyFont="1" applyFill="1" applyBorder="1" applyAlignment="1"/>
    <xf numFmtId="0" fontId="6" fillId="3" borderId="0" xfId="0" applyNumberFormat="1" applyFont="1" applyFill="1" applyBorder="1" applyAlignment="1" applyProtection="1">
      <alignment shrinkToFit="1"/>
    </xf>
    <xf numFmtId="0" fontId="11" fillId="3" borderId="0" xfId="0" applyFont="1" applyFill="1" applyBorder="1"/>
    <xf numFmtId="0" fontId="0" fillId="3" borderId="0" xfId="0" applyFill="1" applyBorder="1" applyAlignment="1">
      <alignment vertical="center"/>
    </xf>
    <xf numFmtId="2" fontId="6" fillId="3" borderId="0" xfId="0" applyNumberFormat="1" applyFont="1" applyFill="1" applyBorder="1"/>
    <xf numFmtId="0" fontId="6" fillId="3" borderId="0" xfId="0" applyFont="1" applyFill="1" applyBorder="1" applyAlignment="1" applyProtection="1">
      <alignment vertical="center"/>
      <protection hidden="1"/>
    </xf>
    <xf numFmtId="0" fontId="12" fillId="3" borderId="0" xfId="0" applyFont="1" applyFill="1" applyBorder="1"/>
    <xf numFmtId="0" fontId="6" fillId="0" borderId="1" xfId="0" applyFont="1" applyBorder="1" applyProtection="1">
      <protection locked="0"/>
    </xf>
    <xf numFmtId="0" fontId="0" fillId="0" borderId="21" xfId="0" applyBorder="1" applyAlignment="1">
      <alignment shrinkToFit="1"/>
    </xf>
    <xf numFmtId="0" fontId="31" fillId="6" borderId="22" xfId="0" applyFont="1" applyFill="1" applyBorder="1" applyAlignment="1" applyProtection="1">
      <alignment horizontal="left" shrinkToFit="1"/>
      <protection hidden="1"/>
    </xf>
    <xf numFmtId="0" fontId="6" fillId="0" borderId="1" xfId="0" applyFont="1" applyBorder="1" applyProtection="1">
      <protection hidden="1"/>
    </xf>
    <xf numFmtId="0" fontId="11" fillId="5" borderId="23" xfId="0" applyFont="1" applyFill="1" applyBorder="1" applyAlignment="1" applyProtection="1">
      <alignment horizontal="center" vertical="center" wrapText="1" shrinkToFit="1"/>
      <protection hidden="1"/>
    </xf>
    <xf numFmtId="0" fontId="11" fillId="7" borderId="24" xfId="0" applyFont="1" applyFill="1" applyBorder="1" applyAlignment="1" applyProtection="1">
      <alignment horizontal="center" vertical="center" shrinkToFit="1"/>
      <protection hidden="1"/>
    </xf>
    <xf numFmtId="0" fontId="11" fillId="7" borderId="24" xfId="0" applyFont="1" applyFill="1" applyBorder="1" applyAlignment="1" applyProtection="1">
      <alignment horizontal="center" vertical="center" wrapText="1" shrinkToFit="1"/>
      <protection hidden="1"/>
    </xf>
    <xf numFmtId="0" fontId="11" fillId="7" borderId="25" xfId="0" applyFont="1" applyFill="1" applyBorder="1" applyAlignment="1" applyProtection="1">
      <alignment horizontal="center" vertical="center" wrapText="1" shrinkToFit="1"/>
      <protection hidden="1"/>
    </xf>
    <xf numFmtId="0" fontId="11" fillId="5" borderId="24" xfId="0" applyFont="1" applyFill="1" applyBorder="1" applyAlignment="1" applyProtection="1">
      <alignment horizontal="center" vertical="center" shrinkToFit="1"/>
      <protection hidden="1"/>
    </xf>
    <xf numFmtId="0" fontId="11" fillId="5" borderId="24" xfId="0" applyFont="1" applyFill="1" applyBorder="1" applyAlignment="1" applyProtection="1">
      <alignment horizontal="center" vertical="center" wrapText="1" shrinkToFit="1"/>
      <protection hidden="1"/>
    </xf>
    <xf numFmtId="0" fontId="11" fillId="5" borderId="25" xfId="0" applyFont="1" applyFill="1" applyBorder="1" applyAlignment="1" applyProtection="1">
      <alignment horizontal="center" vertical="center" wrapText="1" shrinkToFit="1"/>
      <protection hidden="1"/>
    </xf>
    <xf numFmtId="0" fontId="11" fillId="8" borderId="24" xfId="0" applyFont="1" applyFill="1" applyBorder="1" applyAlignment="1" applyProtection="1">
      <alignment horizontal="center" vertical="center" shrinkToFit="1"/>
      <protection hidden="1"/>
    </xf>
    <xf numFmtId="0" fontId="11" fillId="8" borderId="24" xfId="0" applyFont="1" applyFill="1" applyBorder="1" applyAlignment="1" applyProtection="1">
      <alignment horizontal="center" vertical="center" wrapText="1" shrinkToFit="1"/>
      <protection hidden="1"/>
    </xf>
    <xf numFmtId="0" fontId="11" fillId="8" borderId="25" xfId="0" applyFont="1" applyFill="1" applyBorder="1" applyAlignment="1" applyProtection="1">
      <alignment horizontal="center" vertical="center" wrapText="1" shrinkToFit="1"/>
      <protection hidden="1"/>
    </xf>
    <xf numFmtId="0" fontId="11" fillId="9" borderId="24" xfId="0" applyFont="1" applyFill="1" applyBorder="1" applyAlignment="1" applyProtection="1">
      <alignment horizontal="center" vertical="center" shrinkToFit="1"/>
      <protection hidden="1"/>
    </xf>
    <xf numFmtId="0" fontId="11" fillId="9" borderId="24" xfId="0" applyFont="1" applyFill="1" applyBorder="1" applyAlignment="1" applyProtection="1">
      <alignment horizontal="center" vertical="center" wrapText="1" shrinkToFit="1"/>
      <protection hidden="1"/>
    </xf>
    <xf numFmtId="0" fontId="11" fillId="9" borderId="25" xfId="0" applyFont="1" applyFill="1" applyBorder="1" applyAlignment="1" applyProtection="1">
      <alignment horizontal="center" vertical="center" wrapText="1" shrinkToFit="1"/>
      <protection hidden="1"/>
    </xf>
    <xf numFmtId="0" fontId="11" fillId="3" borderId="24" xfId="0" applyFont="1" applyFill="1" applyBorder="1" applyAlignment="1" applyProtection="1">
      <alignment horizontal="center" vertical="center" shrinkToFit="1"/>
      <protection hidden="1"/>
    </xf>
    <xf numFmtId="0" fontId="11" fillId="3" borderId="24" xfId="0" applyFont="1" applyFill="1" applyBorder="1" applyAlignment="1" applyProtection="1">
      <alignment horizontal="center" vertical="center" wrapText="1" shrinkToFit="1"/>
      <protection hidden="1"/>
    </xf>
    <xf numFmtId="0" fontId="11" fillId="3" borderId="25" xfId="0" applyFont="1" applyFill="1" applyBorder="1" applyAlignment="1" applyProtection="1">
      <alignment horizontal="center" vertical="center" wrapText="1" shrinkToFit="1"/>
      <protection hidden="1"/>
    </xf>
    <xf numFmtId="0" fontId="11" fillId="10" borderId="24" xfId="0" applyFont="1" applyFill="1" applyBorder="1" applyAlignment="1" applyProtection="1">
      <alignment horizontal="center" vertical="center" shrinkToFit="1"/>
      <protection hidden="1"/>
    </xf>
    <xf numFmtId="0" fontId="11" fillId="10" borderId="24" xfId="0" applyFont="1" applyFill="1" applyBorder="1" applyAlignment="1" applyProtection="1">
      <alignment horizontal="center" vertical="center" wrapText="1" shrinkToFit="1"/>
      <protection hidden="1"/>
    </xf>
    <xf numFmtId="0" fontId="11" fillId="10" borderId="25" xfId="0" applyFont="1" applyFill="1" applyBorder="1" applyAlignment="1" applyProtection="1">
      <alignment horizontal="center" vertical="center" wrapText="1" shrinkToFit="1"/>
      <protection hidden="1"/>
    </xf>
    <xf numFmtId="14" fontId="31" fillId="6" borderId="1" xfId="0" applyNumberFormat="1" applyFont="1" applyFill="1" applyBorder="1" applyAlignment="1" applyProtection="1">
      <alignment horizontal="center" shrinkToFit="1"/>
      <protection locked="0"/>
    </xf>
    <xf numFmtId="0" fontId="31" fillId="6" borderId="1" xfId="0" applyFont="1" applyFill="1" applyBorder="1" applyAlignment="1" applyProtection="1">
      <alignment horizontal="center" shrinkToFit="1"/>
      <protection locked="0"/>
    </xf>
    <xf numFmtId="3" fontId="31" fillId="6" borderId="1" xfId="0" applyNumberFormat="1" applyFont="1" applyFill="1" applyBorder="1" applyAlignment="1" applyProtection="1">
      <alignment horizontal="center" shrinkToFit="1"/>
      <protection locked="0"/>
    </xf>
    <xf numFmtId="0" fontId="11" fillId="5" borderId="25" xfId="0" applyFont="1" applyFill="1" applyBorder="1" applyAlignment="1" applyProtection="1">
      <alignment horizontal="center" vertical="center" shrinkToFit="1"/>
      <protection hidden="1"/>
    </xf>
    <xf numFmtId="0" fontId="30" fillId="5" borderId="22" xfId="0" applyFont="1" applyFill="1" applyBorder="1" applyAlignment="1">
      <alignment shrinkToFit="1"/>
    </xf>
    <xf numFmtId="0" fontId="28" fillId="0" borderId="21" xfId="0" applyFont="1" applyFill="1" applyBorder="1" applyProtection="1">
      <protection hidden="1"/>
    </xf>
    <xf numFmtId="0" fontId="22" fillId="0" borderId="0" xfId="0" applyFont="1" applyFill="1" applyProtection="1">
      <protection hidden="1"/>
    </xf>
    <xf numFmtId="0" fontId="28" fillId="0" borderId="21" xfId="0" applyFont="1" applyFill="1" applyBorder="1" applyAlignment="1" applyProtection="1">
      <alignment horizontal="center"/>
      <protection hidden="1"/>
    </xf>
    <xf numFmtId="0" fontId="34" fillId="0" borderId="21" xfId="0" applyFont="1" applyFill="1" applyBorder="1" applyProtection="1">
      <protection hidden="1"/>
    </xf>
    <xf numFmtId="0" fontId="0" fillId="0" borderId="0" xfId="0" applyProtection="1">
      <protection hidden="1"/>
    </xf>
    <xf numFmtId="0" fontId="31" fillId="3" borderId="0" xfId="0" applyFont="1" applyFill="1" applyBorder="1"/>
    <xf numFmtId="0" fontId="35" fillId="3" borderId="0" xfId="0" applyFont="1" applyFill="1" applyBorder="1"/>
    <xf numFmtId="0" fontId="11" fillId="3" borderId="25" xfId="0" applyFont="1" applyFill="1" applyBorder="1" applyAlignment="1" applyProtection="1">
      <alignment horizontal="center" vertical="center" textRotation="90" shrinkToFit="1"/>
      <protection hidden="1"/>
    </xf>
    <xf numFmtId="0" fontId="0" fillId="3" borderId="0" xfId="0" applyFill="1" applyBorder="1" applyAlignment="1" applyProtection="1">
      <alignment shrinkToFit="1"/>
      <protection hidden="1"/>
    </xf>
    <xf numFmtId="0" fontId="5" fillId="3" borderId="0" xfId="0" applyFont="1" applyFill="1" applyBorder="1" applyAlignment="1" applyProtection="1">
      <alignment horizontal="center" vertical="center" shrinkToFit="1"/>
    </xf>
    <xf numFmtId="0" fontId="0" fillId="3" borderId="9" xfId="0" applyFill="1" applyBorder="1" applyAlignment="1">
      <alignment vertical="center"/>
    </xf>
    <xf numFmtId="169" fontId="0" fillId="3" borderId="0" xfId="0" applyNumberFormat="1" applyFill="1" applyBorder="1"/>
    <xf numFmtId="14" fontId="6" fillId="0" borderId="2" xfId="0" applyNumberFormat="1" applyFont="1" applyBorder="1" applyAlignment="1" applyProtection="1">
      <alignment vertical="center" shrinkToFit="1"/>
      <protection locked="0"/>
    </xf>
    <xf numFmtId="14" fontId="6" fillId="3" borderId="26" xfId="0" applyNumberFormat="1" applyFont="1" applyFill="1" applyBorder="1" applyAlignment="1">
      <alignment vertical="center" shrinkToFit="1"/>
    </xf>
    <xf numFmtId="0" fontId="16" fillId="3" borderId="0" xfId="0" applyFont="1" applyFill="1" applyBorder="1" applyAlignment="1" applyProtection="1">
      <alignment horizontal="center"/>
      <protection locked="0"/>
    </xf>
    <xf numFmtId="1" fontId="6" fillId="3" borderId="0" xfId="0" applyNumberFormat="1" applyFont="1" applyFill="1" applyBorder="1" applyAlignment="1" applyProtection="1">
      <alignment horizontal="center" shrinkToFit="1"/>
      <protection hidden="1"/>
    </xf>
    <xf numFmtId="14" fontId="6" fillId="3" borderId="5" xfId="0" applyNumberFormat="1" applyFont="1" applyFill="1" applyBorder="1" applyAlignment="1">
      <alignment horizontal="center" vertical="center"/>
    </xf>
    <xf numFmtId="0" fontId="6" fillId="3" borderId="27" xfId="0" applyFont="1" applyFill="1" applyBorder="1" applyAlignment="1">
      <alignment horizontal="center" vertical="center"/>
    </xf>
    <xf numFmtId="0" fontId="6" fillId="3" borderId="2" xfId="0" applyFont="1" applyFill="1" applyBorder="1" applyAlignment="1">
      <alignment horizontal="center" vertical="center"/>
    </xf>
    <xf numFmtId="49" fontId="16" fillId="3" borderId="5" xfId="0" applyNumberFormat="1" applyFont="1" applyFill="1" applyBorder="1" applyAlignment="1" applyProtection="1">
      <alignment horizontal="center"/>
      <protection hidden="1"/>
    </xf>
    <xf numFmtId="0" fontId="37" fillId="4" borderId="0" xfId="0" applyFont="1" applyFill="1" applyBorder="1" applyAlignment="1">
      <alignment horizontal="center" vertical="center"/>
    </xf>
    <xf numFmtId="0" fontId="31" fillId="6" borderId="28" xfId="0" applyFont="1" applyFill="1" applyBorder="1" applyAlignment="1" applyProtection="1">
      <alignment horizontal="left" shrinkToFit="1"/>
      <protection locked="0"/>
    </xf>
    <xf numFmtId="0" fontId="31" fillId="6" borderId="29" xfId="0" applyFont="1" applyFill="1" applyBorder="1" applyAlignment="1" applyProtection="1">
      <alignment horizontal="left" shrinkToFit="1"/>
      <protection hidden="1"/>
    </xf>
    <xf numFmtId="14" fontId="31" fillId="6" borderId="29" xfId="0" applyNumberFormat="1" applyFont="1" applyFill="1" applyBorder="1" applyAlignment="1" applyProtection="1">
      <alignment horizontal="left" shrinkToFit="1"/>
      <protection hidden="1"/>
    </xf>
    <xf numFmtId="3" fontId="31" fillId="6" borderId="29" xfId="0" applyNumberFormat="1" applyFont="1" applyFill="1" applyBorder="1" applyAlignment="1" applyProtection="1">
      <alignment horizontal="left" shrinkToFit="1"/>
      <protection hidden="1"/>
    </xf>
    <xf numFmtId="0" fontId="31" fillId="6" borderId="30" xfId="0" applyFont="1" applyFill="1" applyBorder="1" applyAlignment="1" applyProtection="1">
      <alignment horizontal="left" shrinkToFit="1"/>
      <protection hidden="1"/>
    </xf>
    <xf numFmtId="0" fontId="31" fillId="6" borderId="29" xfId="0" applyFont="1" applyFill="1" applyBorder="1" applyAlignment="1" applyProtection="1">
      <alignment horizontal="left" wrapText="1" shrinkToFit="1"/>
      <protection hidden="1"/>
    </xf>
    <xf numFmtId="0" fontId="30" fillId="5" borderId="29" xfId="0" applyFont="1" applyFill="1" applyBorder="1" applyAlignment="1">
      <alignment shrinkToFit="1"/>
    </xf>
    <xf numFmtId="0" fontId="16" fillId="2" borderId="5" xfId="0" applyFont="1" applyFill="1" applyBorder="1" applyAlignment="1" applyProtection="1">
      <alignment horizontal="left" shrinkToFit="1"/>
      <protection locked="0"/>
    </xf>
    <xf numFmtId="0" fontId="16" fillId="2" borderId="5" xfId="0" applyFont="1" applyFill="1" applyBorder="1" applyAlignment="1" applyProtection="1">
      <alignment horizontal="center" shrinkToFit="1"/>
      <protection locked="0"/>
    </xf>
    <xf numFmtId="3" fontId="16" fillId="2" borderId="5" xfId="0" applyNumberFormat="1" applyFont="1" applyFill="1" applyBorder="1" applyAlignment="1" applyProtection="1">
      <alignment horizontal="left" shrinkToFit="1"/>
      <protection locked="0"/>
    </xf>
    <xf numFmtId="0" fontId="16" fillId="2" borderId="5" xfId="0" applyFont="1" applyFill="1" applyBorder="1" applyAlignment="1" applyProtection="1">
      <alignment shrinkToFit="1"/>
      <protection locked="0"/>
    </xf>
    <xf numFmtId="3" fontId="16" fillId="2" borderId="5" xfId="0" applyNumberFormat="1" applyFont="1" applyFill="1" applyBorder="1" applyAlignment="1" applyProtection="1">
      <alignment horizontal="center" shrinkToFit="1"/>
      <protection locked="0"/>
    </xf>
    <xf numFmtId="0" fontId="40" fillId="2" borderId="5" xfId="1" applyFont="1" applyFill="1" applyBorder="1" applyAlignment="1" applyProtection="1">
      <alignment shrinkToFit="1"/>
      <protection locked="0"/>
    </xf>
    <xf numFmtId="0" fontId="18" fillId="2" borderId="5" xfId="0" applyFont="1" applyFill="1" applyBorder="1"/>
    <xf numFmtId="0" fontId="6" fillId="3" borderId="5" xfId="0" applyNumberFormat="1" applyFont="1" applyFill="1" applyBorder="1" applyAlignment="1" applyProtection="1">
      <alignment horizontal="center" vertical="center" shrinkToFit="1"/>
      <protection hidden="1"/>
    </xf>
    <xf numFmtId="0" fontId="0" fillId="2" borderId="0" xfId="0" applyFill="1" applyBorder="1" applyProtection="1">
      <protection hidden="1"/>
    </xf>
    <xf numFmtId="0" fontId="6" fillId="3" borderId="0" xfId="0" applyFont="1" applyFill="1" applyBorder="1" applyAlignment="1" applyProtection="1">
      <alignment shrinkToFit="1"/>
      <protection hidden="1"/>
    </xf>
    <xf numFmtId="0" fontId="0" fillId="2" borderId="0" xfId="0" applyFill="1" applyBorder="1" applyAlignment="1" applyProtection="1"/>
    <xf numFmtId="0" fontId="0" fillId="9" borderId="5" xfId="0" applyFill="1" applyBorder="1" applyAlignment="1" applyProtection="1">
      <alignment shrinkToFit="1"/>
      <protection locked="0"/>
    </xf>
    <xf numFmtId="4" fontId="0" fillId="9" borderId="5" xfId="0" applyNumberFormat="1" applyFill="1" applyBorder="1" applyAlignment="1" applyProtection="1">
      <alignment shrinkToFit="1"/>
      <protection locked="0"/>
    </xf>
    <xf numFmtId="49" fontId="16" fillId="3" borderId="12" xfId="0" applyNumberFormat="1" applyFont="1" applyFill="1" applyBorder="1" applyAlignment="1" applyProtection="1">
      <alignment horizontal="right"/>
      <protection hidden="1"/>
    </xf>
    <xf numFmtId="0" fontId="16" fillId="3" borderId="31" xfId="0" applyFont="1" applyFill="1" applyBorder="1" applyProtection="1">
      <protection hidden="1"/>
    </xf>
    <xf numFmtId="4" fontId="16" fillId="3" borderId="32" xfId="6" applyNumberFormat="1" applyFont="1" applyFill="1" applyBorder="1" applyAlignment="1" applyProtection="1">
      <alignment horizontal="right"/>
      <protection hidden="1"/>
    </xf>
    <xf numFmtId="0" fontId="16" fillId="3" borderId="9" xfId="0" applyFont="1" applyFill="1" applyBorder="1" applyAlignment="1" applyProtection="1">
      <alignment horizontal="center"/>
      <protection hidden="1"/>
    </xf>
    <xf numFmtId="4" fontId="16" fillId="3" borderId="32" xfId="6" applyNumberFormat="1" applyFont="1" applyFill="1" applyBorder="1" applyAlignment="1" applyProtection="1">
      <protection hidden="1"/>
    </xf>
    <xf numFmtId="0" fontId="16" fillId="3" borderId="33" xfId="0" applyFont="1" applyFill="1" applyBorder="1" applyProtection="1">
      <protection hidden="1"/>
    </xf>
    <xf numFmtId="0" fontId="16" fillId="3" borderId="34" xfId="0" applyFont="1" applyFill="1" applyBorder="1" applyProtection="1">
      <protection hidden="1"/>
    </xf>
    <xf numFmtId="0" fontId="16" fillId="3" borderId="35" xfId="0" applyFont="1" applyFill="1" applyBorder="1" applyProtection="1">
      <protection hidden="1"/>
    </xf>
    <xf numFmtId="4" fontId="16" fillId="3" borderId="36" xfId="6" applyNumberFormat="1" applyFont="1" applyFill="1" applyBorder="1" applyAlignment="1" applyProtection="1">
      <alignment horizontal="right"/>
      <protection hidden="1"/>
    </xf>
    <xf numFmtId="0" fontId="16" fillId="3" borderId="37" xfId="0" applyFont="1" applyFill="1" applyBorder="1" applyAlignment="1" applyProtection="1">
      <alignment horizontal="center"/>
      <protection hidden="1"/>
    </xf>
    <xf numFmtId="4" fontId="16" fillId="2" borderId="26" xfId="0" applyNumberFormat="1" applyFont="1" applyFill="1" applyBorder="1" applyAlignment="1" applyProtection="1">
      <alignment horizontal="center"/>
      <protection locked="0"/>
    </xf>
    <xf numFmtId="0" fontId="0" fillId="3" borderId="38" xfId="0" applyFill="1" applyBorder="1"/>
    <xf numFmtId="14" fontId="38" fillId="3" borderId="39" xfId="0" applyNumberFormat="1" applyFont="1" applyFill="1" applyBorder="1" applyAlignment="1">
      <alignment horizontal="center" vertical="center" shrinkToFit="1"/>
    </xf>
    <xf numFmtId="14" fontId="38" fillId="3" borderId="40" xfId="0" applyNumberFormat="1" applyFont="1" applyFill="1" applyBorder="1" applyAlignment="1">
      <alignment horizontal="center" vertical="center" shrinkToFit="1"/>
    </xf>
    <xf numFmtId="0" fontId="6" fillId="3" borderId="39" xfId="0" applyFont="1" applyFill="1" applyBorder="1" applyAlignment="1">
      <alignment horizontal="center" shrinkToFit="1"/>
    </xf>
    <xf numFmtId="14" fontId="6" fillId="3" borderId="41" xfId="0" applyNumberFormat="1" applyFont="1" applyFill="1" applyBorder="1" applyAlignment="1">
      <alignment horizontal="center" vertical="center"/>
    </xf>
    <xf numFmtId="0" fontId="0" fillId="0" borderId="0" xfId="0" applyProtection="1">
      <protection locked="0"/>
    </xf>
    <xf numFmtId="0" fontId="22" fillId="0" borderId="0" xfId="0" applyFont="1" applyProtection="1">
      <protection locked="0"/>
    </xf>
    <xf numFmtId="171" fontId="6" fillId="2" borderId="5" xfId="0" applyNumberFormat="1" applyFont="1" applyFill="1" applyBorder="1" applyAlignment="1" applyProtection="1">
      <alignment horizontal="center" shrinkToFit="1"/>
      <protection locked="0"/>
    </xf>
    <xf numFmtId="0" fontId="6" fillId="0" borderId="0" xfId="0" applyFont="1" applyBorder="1" applyProtection="1">
      <protection locked="0"/>
    </xf>
    <xf numFmtId="0" fontId="0" fillId="0" borderId="0" xfId="0" applyAlignment="1" applyProtection="1">
      <alignment shrinkToFit="1"/>
      <protection locked="0"/>
    </xf>
    <xf numFmtId="0" fontId="0" fillId="0" borderId="0" xfId="0" applyBorder="1" applyAlignment="1" applyProtection="1">
      <alignment shrinkToFit="1"/>
      <protection locked="0"/>
    </xf>
    <xf numFmtId="0" fontId="0" fillId="3" borderId="2" xfId="0" applyFill="1" applyBorder="1"/>
    <xf numFmtId="0" fontId="0" fillId="3" borderId="34" xfId="0" applyFill="1" applyBorder="1"/>
    <xf numFmtId="3" fontId="41" fillId="0" borderId="0" xfId="0" applyNumberFormat="1" applyFont="1" applyAlignment="1">
      <alignment vertical="top"/>
    </xf>
    <xf numFmtId="0" fontId="0" fillId="0" borderId="21" xfId="0" applyBorder="1"/>
    <xf numFmtId="0" fontId="30" fillId="5" borderId="42" xfId="0" applyFont="1" applyFill="1" applyBorder="1" applyAlignment="1">
      <alignment shrinkToFit="1"/>
    </xf>
    <xf numFmtId="0" fontId="30" fillId="5" borderId="43" xfId="0" applyFont="1" applyFill="1" applyBorder="1" applyAlignment="1">
      <alignment horizontal="center" shrinkToFit="1"/>
    </xf>
    <xf numFmtId="0" fontId="30" fillId="5" borderId="30" xfId="0" applyFont="1" applyFill="1" applyBorder="1" applyAlignment="1">
      <alignment horizontal="center" shrinkToFit="1"/>
    </xf>
    <xf numFmtId="0" fontId="30" fillId="5" borderId="44" xfId="0" applyFont="1" applyFill="1" applyBorder="1" applyAlignment="1">
      <alignment shrinkToFit="1"/>
    </xf>
    <xf numFmtId="0" fontId="46" fillId="5" borderId="44" xfId="0" applyFont="1" applyFill="1" applyBorder="1" applyAlignment="1">
      <alignment shrinkToFit="1"/>
    </xf>
    <xf numFmtId="0" fontId="46" fillId="5" borderId="44" xfId="0" applyFont="1" applyFill="1" applyBorder="1" applyAlignment="1">
      <alignment horizontal="center" shrinkToFit="1"/>
    </xf>
    <xf numFmtId="0" fontId="0" fillId="3" borderId="27" xfId="0" applyFill="1" applyBorder="1" applyProtection="1">
      <protection hidden="1"/>
    </xf>
    <xf numFmtId="0" fontId="0" fillId="3" borderId="45" xfId="0" applyFill="1" applyBorder="1" applyProtection="1">
      <protection hidden="1"/>
    </xf>
    <xf numFmtId="14" fontId="38" fillId="9" borderId="5" xfId="0" applyNumberFormat="1" applyFont="1" applyFill="1" applyBorder="1" applyAlignment="1" applyProtection="1">
      <alignment vertical="center" shrinkToFit="1"/>
      <protection hidden="1"/>
    </xf>
    <xf numFmtId="0" fontId="16" fillId="3" borderId="40" xfId="0" applyFont="1" applyFill="1" applyBorder="1" applyAlignment="1" applyProtection="1">
      <alignment horizontal="center"/>
      <protection hidden="1"/>
    </xf>
    <xf numFmtId="0" fontId="0" fillId="0" borderId="0" xfId="0" applyNumberFormat="1"/>
    <xf numFmtId="14" fontId="0" fillId="0" borderId="0" xfId="0" applyNumberFormat="1"/>
    <xf numFmtId="0" fontId="0" fillId="3" borderId="4" xfId="0" applyFill="1" applyBorder="1" applyProtection="1">
      <protection hidden="1"/>
    </xf>
    <xf numFmtId="0" fontId="0" fillId="3" borderId="38" xfId="0" applyFill="1" applyBorder="1" applyProtection="1">
      <protection hidden="1"/>
    </xf>
    <xf numFmtId="166" fontId="38" fillId="2" borderId="40" xfId="6" applyFont="1" applyFill="1" applyBorder="1" applyProtection="1">
      <protection locked="0"/>
    </xf>
    <xf numFmtId="166" fontId="38" fillId="2" borderId="41" xfId="6" applyFont="1" applyFill="1" applyBorder="1" applyProtection="1">
      <protection locked="0"/>
    </xf>
    <xf numFmtId="0" fontId="0" fillId="11" borderId="5" xfId="0" applyFill="1" applyBorder="1" applyAlignment="1" applyProtection="1">
      <alignment shrinkToFit="1"/>
      <protection locked="0"/>
    </xf>
    <xf numFmtId="4" fontId="0" fillId="11" borderId="5" xfId="0" applyNumberFormat="1" applyFill="1" applyBorder="1" applyAlignment="1" applyProtection="1">
      <alignment shrinkToFit="1"/>
      <protection locked="0"/>
    </xf>
    <xf numFmtId="0" fontId="0" fillId="10" borderId="5" xfId="0" applyFill="1" applyBorder="1" applyAlignment="1" applyProtection="1">
      <alignment shrinkToFit="1"/>
      <protection locked="0"/>
    </xf>
    <xf numFmtId="4" fontId="0" fillId="10" borderId="5" xfId="0" applyNumberFormat="1" applyFill="1" applyBorder="1" applyAlignment="1" applyProtection="1">
      <alignment shrinkToFit="1"/>
      <protection locked="0"/>
    </xf>
    <xf numFmtId="0" fontId="0" fillId="8" borderId="5" xfId="0" applyFill="1" applyBorder="1"/>
    <xf numFmtId="0" fontId="0" fillId="8" borderId="27" xfId="0" applyFill="1" applyBorder="1"/>
    <xf numFmtId="0" fontId="0" fillId="8" borderId="46" xfId="0" applyFill="1" applyBorder="1"/>
    <xf numFmtId="0" fontId="0" fillId="8" borderId="31" xfId="0" applyFill="1" applyBorder="1"/>
    <xf numFmtId="0" fontId="0" fillId="3" borderId="47" xfId="0" applyFill="1" applyBorder="1"/>
    <xf numFmtId="0" fontId="0" fillId="11" borderId="5" xfId="0" applyFill="1" applyBorder="1" applyProtection="1">
      <protection locked="0"/>
    </xf>
    <xf numFmtId="0" fontId="39" fillId="11" borderId="27" xfId="0" applyFont="1" applyFill="1" applyBorder="1" applyAlignment="1" applyProtection="1">
      <protection locked="0"/>
    </xf>
    <xf numFmtId="0" fontId="39" fillId="11" borderId="5" xfId="0" applyFont="1" applyFill="1" applyBorder="1" applyProtection="1">
      <protection locked="0"/>
    </xf>
    <xf numFmtId="0" fontId="0" fillId="11" borderId="2" xfId="0" applyFill="1" applyBorder="1" applyAlignment="1" applyProtection="1">
      <protection locked="0"/>
    </xf>
    <xf numFmtId="0" fontId="0" fillId="11" borderId="46" xfId="0" applyFill="1" applyBorder="1"/>
    <xf numFmtId="0" fontId="0" fillId="11" borderId="0" xfId="0" applyFill="1" applyBorder="1"/>
    <xf numFmtId="0" fontId="0" fillId="11" borderId="0" xfId="0" applyFill="1" applyBorder="1" applyProtection="1">
      <protection locked="0"/>
    </xf>
    <xf numFmtId="0" fontId="0" fillId="11" borderId="0" xfId="0" applyFill="1" applyBorder="1" applyProtection="1">
      <protection hidden="1"/>
    </xf>
    <xf numFmtId="0" fontId="0" fillId="11" borderId="5" xfId="0" applyFill="1" applyBorder="1" applyAlignment="1" applyProtection="1">
      <protection hidden="1"/>
    </xf>
    <xf numFmtId="0" fontId="0" fillId="11" borderId="5" xfId="0" applyFill="1" applyBorder="1" applyProtection="1">
      <protection hidden="1"/>
    </xf>
    <xf numFmtId="0" fontId="0" fillId="8" borderId="5" xfId="0" applyNumberFormat="1" applyFill="1" applyBorder="1"/>
    <xf numFmtId="14" fontId="0" fillId="9" borderId="26" xfId="0" applyNumberFormat="1" applyFill="1" applyBorder="1" applyAlignment="1">
      <alignment horizontal="center"/>
    </xf>
    <xf numFmtId="14" fontId="0" fillId="9" borderId="32" xfId="0" applyNumberFormat="1" applyFill="1" applyBorder="1" applyAlignment="1">
      <alignment horizontal="center"/>
    </xf>
    <xf numFmtId="0" fontId="0" fillId="3" borderId="46" xfId="0" applyFill="1" applyBorder="1"/>
    <xf numFmtId="0" fontId="0" fillId="9" borderId="5" xfId="0" applyFill="1" applyBorder="1"/>
    <xf numFmtId="0" fontId="39" fillId="9" borderId="5" xfId="0" applyFont="1" applyFill="1" applyBorder="1"/>
    <xf numFmtId="0" fontId="0" fillId="4" borderId="0" xfId="0" applyFill="1" applyAlignment="1">
      <alignment horizontal="justify" vertical="justify" wrapText="1" shrinkToFit="1"/>
    </xf>
    <xf numFmtId="14" fontId="0" fillId="0" borderId="0" xfId="0" applyNumberFormat="1" applyAlignment="1">
      <alignment horizontal="center"/>
    </xf>
    <xf numFmtId="0" fontId="16" fillId="12" borderId="5" xfId="0" applyFont="1" applyFill="1" applyBorder="1" applyAlignment="1" applyProtection="1">
      <alignment horizontal="left" shrinkToFit="1"/>
      <protection locked="0"/>
    </xf>
    <xf numFmtId="0" fontId="6" fillId="12" borderId="5" xfId="0" applyFont="1" applyFill="1" applyBorder="1" applyAlignment="1" applyProtection="1">
      <alignment horizontal="center" shrinkToFit="1"/>
      <protection locked="0"/>
    </xf>
    <xf numFmtId="14" fontId="6" fillId="12" borderId="5" xfId="0" applyNumberFormat="1" applyFont="1" applyFill="1" applyBorder="1" applyAlignment="1" applyProtection="1">
      <alignment horizontal="center" shrinkToFit="1"/>
      <protection locked="0"/>
    </xf>
    <xf numFmtId="0" fontId="6" fillId="12" borderId="48" xfId="0" applyFont="1" applyFill="1" applyBorder="1" applyAlignment="1" applyProtection="1">
      <alignment horizontal="center" shrinkToFit="1"/>
      <protection hidden="1"/>
    </xf>
    <xf numFmtId="0" fontId="6" fillId="12" borderId="5" xfId="0" applyFont="1" applyFill="1" applyBorder="1" applyAlignment="1" applyProtection="1">
      <alignment horizontal="left" shrinkToFit="1"/>
      <protection locked="0"/>
    </xf>
    <xf numFmtId="3" fontId="6" fillId="12" borderId="5" xfId="0" applyNumberFormat="1" applyFont="1" applyFill="1" applyBorder="1" applyAlignment="1" applyProtection="1">
      <alignment horizontal="center" shrinkToFit="1"/>
      <protection locked="0"/>
    </xf>
    <xf numFmtId="171" fontId="6" fillId="12" borderId="5" xfId="0" applyNumberFormat="1" applyFont="1" applyFill="1" applyBorder="1" applyAlignment="1" applyProtection="1">
      <alignment horizontal="center" shrinkToFit="1"/>
      <protection locked="0"/>
    </xf>
    <xf numFmtId="172" fontId="6" fillId="12" borderId="5" xfId="0" applyNumberFormat="1" applyFont="1" applyFill="1" applyBorder="1" applyAlignment="1" applyProtection="1">
      <alignment horizontal="center" shrinkToFit="1"/>
      <protection locked="0"/>
    </xf>
    <xf numFmtId="166" fontId="6" fillId="12" borderId="5" xfId="6" applyFont="1" applyFill="1" applyBorder="1" applyAlignment="1" applyProtection="1">
      <alignment horizontal="left" shrinkToFit="1"/>
      <protection locked="0"/>
    </xf>
    <xf numFmtId="2" fontId="6" fillId="12" borderId="5" xfId="0" applyNumberFormat="1" applyFont="1" applyFill="1" applyBorder="1" applyAlignment="1" applyProtection="1">
      <alignment horizontal="center" shrinkToFit="1"/>
      <protection locked="0"/>
    </xf>
    <xf numFmtId="3" fontId="16" fillId="12" borderId="5" xfId="0" applyNumberFormat="1" applyFont="1" applyFill="1" applyBorder="1" applyAlignment="1" applyProtection="1">
      <alignment horizontal="center" shrinkToFit="1"/>
      <protection locked="0"/>
    </xf>
    <xf numFmtId="174" fontId="16" fillId="12" borderId="5" xfId="0" applyNumberFormat="1" applyFont="1" applyFill="1" applyBorder="1" applyAlignment="1" applyProtection="1">
      <alignment horizontal="left" shrinkToFit="1"/>
      <protection locked="0"/>
    </xf>
    <xf numFmtId="175" fontId="16" fillId="12" borderId="5" xfId="0" applyNumberFormat="1" applyFont="1" applyFill="1" applyBorder="1" applyAlignment="1" applyProtection="1">
      <alignment horizontal="left" shrinkToFit="1"/>
      <protection locked="0"/>
    </xf>
    <xf numFmtId="173" fontId="16" fillId="12" borderId="5" xfId="0" applyNumberFormat="1" applyFont="1" applyFill="1" applyBorder="1" applyAlignment="1" applyProtection="1">
      <alignment horizontal="left" shrinkToFit="1"/>
      <protection locked="0"/>
    </xf>
    <xf numFmtId="0" fontId="16" fillId="12" borderId="5" xfId="0" applyFont="1" applyFill="1" applyBorder="1" applyAlignment="1" applyProtection="1">
      <alignment horizontal="center" shrinkToFit="1"/>
      <protection locked="0"/>
    </xf>
    <xf numFmtId="0" fontId="16" fillId="12" borderId="5" xfId="0" applyNumberFormat="1" applyFont="1" applyFill="1" applyBorder="1" applyAlignment="1" applyProtection="1">
      <alignment horizontal="center" shrinkToFit="1"/>
      <protection locked="0"/>
    </xf>
    <xf numFmtId="0" fontId="16" fillId="12" borderId="5" xfId="0" applyNumberFormat="1" applyFont="1" applyFill="1" applyBorder="1" applyAlignment="1" applyProtection="1">
      <alignment horizontal="left" shrinkToFit="1"/>
      <protection locked="0"/>
    </xf>
    <xf numFmtId="0" fontId="40" fillId="12" borderId="5" xfId="1" applyFont="1" applyFill="1" applyBorder="1" applyAlignment="1" applyProtection="1">
      <alignment shrinkToFit="1"/>
      <protection locked="0"/>
    </xf>
    <xf numFmtId="3" fontId="16" fillId="12" borderId="5" xfId="0" applyNumberFormat="1" applyFont="1" applyFill="1" applyBorder="1" applyAlignment="1" applyProtection="1">
      <alignment horizontal="left" shrinkToFit="1"/>
      <protection locked="0"/>
    </xf>
    <xf numFmtId="0" fontId="18" fillId="12" borderId="5" xfId="0" applyFont="1" applyFill="1" applyBorder="1"/>
    <xf numFmtId="0" fontId="0" fillId="12" borderId="0" xfId="0" applyFill="1"/>
    <xf numFmtId="0" fontId="30" fillId="5" borderId="29" xfId="0" applyFont="1" applyFill="1" applyBorder="1" applyAlignment="1" applyProtection="1">
      <alignment shrinkToFit="1"/>
      <protection locked="0"/>
    </xf>
    <xf numFmtId="0" fontId="0" fillId="0" borderId="30" xfId="0" applyBorder="1" applyProtection="1">
      <protection locked="0"/>
    </xf>
    <xf numFmtId="0" fontId="6" fillId="2" borderId="5" xfId="0" applyFont="1" applyFill="1" applyBorder="1" applyProtection="1">
      <protection locked="0"/>
    </xf>
    <xf numFmtId="0" fontId="0" fillId="2" borderId="5" xfId="0" applyFill="1" applyBorder="1" applyProtection="1">
      <protection locked="0"/>
    </xf>
    <xf numFmtId="0" fontId="38" fillId="3" borderId="49" xfId="0" applyFont="1" applyFill="1" applyBorder="1" applyAlignment="1" applyProtection="1">
      <alignment shrinkToFit="1"/>
      <protection hidden="1"/>
    </xf>
    <xf numFmtId="0" fontId="38" fillId="3" borderId="50" xfId="0" applyFont="1" applyFill="1" applyBorder="1" applyAlignment="1" applyProtection="1">
      <alignment shrinkToFit="1"/>
      <protection hidden="1"/>
    </xf>
    <xf numFmtId="0" fontId="16" fillId="3" borderId="25" xfId="0" applyFont="1" applyFill="1" applyBorder="1" applyAlignment="1" applyProtection="1">
      <alignment horizontal="center" shrinkToFit="1"/>
      <protection hidden="1"/>
    </xf>
    <xf numFmtId="4" fontId="16" fillId="2" borderId="51" xfId="0" applyNumberFormat="1" applyFont="1" applyFill="1" applyBorder="1" applyAlignment="1" applyProtection="1">
      <alignment horizontal="center"/>
      <protection locked="0"/>
    </xf>
    <xf numFmtId="0" fontId="0" fillId="5" borderId="0" xfId="0" applyFill="1" applyBorder="1"/>
    <xf numFmtId="0" fontId="0" fillId="5" borderId="0" xfId="0" applyFill="1" applyBorder="1" applyAlignment="1"/>
    <xf numFmtId="0" fontId="0" fillId="5" borderId="9" xfId="0" applyFill="1" applyBorder="1"/>
    <xf numFmtId="0" fontId="0" fillId="5" borderId="9" xfId="0" applyFill="1" applyBorder="1" applyAlignment="1"/>
    <xf numFmtId="0" fontId="4" fillId="5" borderId="18" xfId="0" applyFont="1" applyFill="1" applyBorder="1"/>
    <xf numFmtId="0" fontId="4" fillId="5" borderId="19" xfId="0" applyFont="1" applyFill="1" applyBorder="1"/>
    <xf numFmtId="0" fontId="4" fillId="5" borderId="10" xfId="0" applyFont="1" applyFill="1" applyBorder="1"/>
    <xf numFmtId="0" fontId="4" fillId="5" borderId="11" xfId="0" applyFont="1" applyFill="1" applyBorder="1"/>
    <xf numFmtId="0" fontId="6" fillId="12" borderId="5" xfId="0" applyNumberFormat="1" applyFont="1" applyFill="1" applyBorder="1" applyAlignment="1" applyProtection="1">
      <alignment horizontal="center" shrinkToFit="1"/>
      <protection hidden="1"/>
    </xf>
    <xf numFmtId="0" fontId="11" fillId="5" borderId="25" xfId="0" applyFont="1" applyFill="1" applyBorder="1" applyAlignment="1" applyProtection="1">
      <alignment horizontal="center" vertical="center" textRotation="90" wrapText="1" shrinkToFit="1"/>
      <protection hidden="1"/>
    </xf>
    <xf numFmtId="0" fontId="11" fillId="5" borderId="52" xfId="0" applyFont="1" applyFill="1" applyBorder="1" applyAlignment="1" applyProtection="1">
      <alignment horizontal="center" vertical="center" wrapText="1" shrinkToFit="1"/>
      <protection hidden="1"/>
    </xf>
    <xf numFmtId="0" fontId="11" fillId="5" borderId="52" xfId="0" applyFont="1" applyFill="1" applyBorder="1" applyAlignment="1" applyProtection="1">
      <alignment horizontal="center" vertical="center" textRotation="90" wrapText="1" shrinkToFit="1"/>
      <protection hidden="1"/>
    </xf>
    <xf numFmtId="0" fontId="46" fillId="5" borderId="53" xfId="0" applyFont="1" applyFill="1" applyBorder="1" applyAlignment="1">
      <alignment horizontal="center" shrinkToFit="1"/>
    </xf>
    <xf numFmtId="4" fontId="46" fillId="3" borderId="5" xfId="6" applyNumberFormat="1" applyFont="1" applyFill="1" applyBorder="1" applyAlignment="1" applyProtection="1">
      <alignment horizontal="right"/>
      <protection hidden="1"/>
    </xf>
    <xf numFmtId="4" fontId="46" fillId="2" borderId="41" xfId="0" applyNumberFormat="1" applyFont="1" applyFill="1" applyBorder="1" applyAlignment="1" applyProtection="1">
      <alignment horizontal="center"/>
      <protection locked="0"/>
    </xf>
    <xf numFmtId="4" fontId="46" fillId="0" borderId="32" xfId="6" applyNumberFormat="1" applyFont="1" applyFill="1" applyBorder="1" applyAlignment="1" applyProtection="1">
      <alignment horizontal="right"/>
      <protection locked="0"/>
    </xf>
    <xf numFmtId="4" fontId="46" fillId="0" borderId="5" xfId="6" applyNumberFormat="1" applyFont="1" applyFill="1" applyBorder="1" applyProtection="1">
      <protection locked="0"/>
    </xf>
    <xf numFmtId="4" fontId="46" fillId="2" borderId="5" xfId="6" applyNumberFormat="1" applyFont="1" applyFill="1" applyBorder="1" applyAlignment="1" applyProtection="1">
      <protection locked="0"/>
    </xf>
    <xf numFmtId="4" fontId="46" fillId="3" borderId="5" xfId="6" applyNumberFormat="1" applyFont="1" applyFill="1" applyBorder="1" applyAlignment="1" applyProtection="1">
      <protection hidden="1"/>
    </xf>
    <xf numFmtId="4" fontId="46" fillId="2" borderId="36" xfId="6" applyNumberFormat="1" applyFont="1" applyFill="1" applyBorder="1" applyAlignment="1" applyProtection="1">
      <protection locked="0"/>
    </xf>
    <xf numFmtId="10" fontId="46" fillId="3" borderId="3" xfId="5" applyNumberFormat="1" applyFont="1" applyFill="1" applyBorder="1" applyAlignment="1" applyProtection="1">
      <alignment horizontal="center"/>
      <protection hidden="1"/>
    </xf>
    <xf numFmtId="0" fontId="0" fillId="10" borderId="0" xfId="0" applyFill="1" applyAlignment="1">
      <alignment horizontal="center"/>
    </xf>
    <xf numFmtId="14" fontId="0" fillId="0" borderId="0" xfId="0" applyNumberFormat="1" applyAlignment="1" applyProtection="1">
      <alignment shrinkToFit="1"/>
      <protection locked="0"/>
    </xf>
    <xf numFmtId="0" fontId="0" fillId="0" borderId="0" xfId="0" applyAlignment="1">
      <alignment shrinkToFit="1"/>
    </xf>
    <xf numFmtId="0" fontId="0" fillId="0" borderId="5" xfId="0" applyFill="1" applyBorder="1" applyAlignment="1">
      <alignment shrinkToFit="1"/>
    </xf>
    <xf numFmtId="0" fontId="0" fillId="0" borderId="0" xfId="0" applyFill="1" applyBorder="1" applyAlignment="1">
      <alignment shrinkToFit="1"/>
    </xf>
    <xf numFmtId="14" fontId="0" fillId="0" borderId="0" xfId="0" applyNumberFormat="1" applyFill="1" applyBorder="1" applyAlignment="1">
      <alignment shrinkToFit="1"/>
    </xf>
    <xf numFmtId="14" fontId="0" fillId="5" borderId="54" xfId="0" applyNumberFormat="1" applyFill="1" applyBorder="1" applyAlignment="1">
      <alignment horizontal="center" shrinkToFit="1"/>
    </xf>
    <xf numFmtId="14" fontId="38" fillId="11" borderId="55" xfId="0" applyNumberFormat="1" applyFont="1" applyFill="1" applyBorder="1"/>
    <xf numFmtId="14" fontId="0" fillId="11" borderId="54" xfId="0" applyNumberFormat="1" applyFill="1" applyBorder="1" applyAlignment="1">
      <alignment shrinkToFit="1"/>
    </xf>
    <xf numFmtId="14" fontId="38" fillId="5" borderId="55" xfId="0" applyNumberFormat="1" applyFont="1" applyFill="1" applyBorder="1"/>
    <xf numFmtId="14" fontId="0" fillId="13" borderId="25" xfId="0" applyNumberFormat="1" applyFill="1" applyBorder="1" applyAlignment="1">
      <alignment shrinkToFit="1"/>
    </xf>
    <xf numFmtId="14" fontId="38" fillId="10" borderId="55" xfId="0" applyNumberFormat="1" applyFont="1" applyFill="1" applyBorder="1"/>
    <xf numFmtId="176" fontId="0" fillId="0" borderId="0" xfId="0" applyNumberFormat="1"/>
    <xf numFmtId="1" fontId="6" fillId="7" borderId="5" xfId="0" applyNumberFormat="1" applyFont="1" applyFill="1" applyBorder="1" applyAlignment="1">
      <alignment horizontal="center"/>
    </xf>
    <xf numFmtId="0" fontId="6" fillId="7" borderId="5" xfId="0" applyNumberFormat="1" applyFont="1" applyFill="1" applyBorder="1" applyAlignment="1">
      <alignment horizontal="center"/>
    </xf>
    <xf numFmtId="0" fontId="6" fillId="0" borderId="0" xfId="0" applyFont="1" applyFill="1" applyAlignment="1">
      <alignment horizontal="center"/>
    </xf>
    <xf numFmtId="1" fontId="6" fillId="10" borderId="5" xfId="0" applyNumberFormat="1" applyFont="1" applyFill="1" applyBorder="1" applyAlignment="1">
      <alignment horizontal="center"/>
    </xf>
    <xf numFmtId="0" fontId="6" fillId="10" borderId="5" xfId="0" applyNumberFormat="1" applyFont="1" applyFill="1" applyBorder="1" applyAlignment="1">
      <alignment horizontal="center"/>
    </xf>
    <xf numFmtId="178" fontId="6" fillId="7" borderId="5" xfId="0" applyNumberFormat="1" applyFont="1" applyFill="1" applyBorder="1"/>
    <xf numFmtId="0" fontId="14" fillId="3" borderId="0" xfId="0" applyFont="1" applyFill="1" applyBorder="1" applyAlignment="1">
      <alignment vertical="center"/>
    </xf>
    <xf numFmtId="0" fontId="15" fillId="3" borderId="0" xfId="0" applyFont="1" applyFill="1" applyBorder="1" applyAlignment="1">
      <alignment vertical="center"/>
    </xf>
    <xf numFmtId="0" fontId="6" fillId="10" borderId="27" xfId="0" applyNumberFormat="1" applyFont="1" applyFill="1" applyBorder="1" applyAlignment="1">
      <alignment horizontal="center"/>
    </xf>
    <xf numFmtId="1" fontId="14" fillId="10" borderId="5" xfId="0" applyNumberFormat="1" applyFont="1" applyFill="1" applyBorder="1" applyAlignment="1">
      <alignment horizontal="center" vertical="center" shrinkToFit="1"/>
    </xf>
    <xf numFmtId="0" fontId="6" fillId="10" borderId="27" xfId="0" applyNumberFormat="1" applyFont="1" applyFill="1" applyBorder="1" applyAlignment="1" applyProtection="1">
      <alignment horizontal="center" vertical="center"/>
      <protection hidden="1"/>
    </xf>
    <xf numFmtId="166" fontId="6" fillId="3" borderId="27" xfId="0" applyNumberFormat="1" applyFont="1" applyFill="1" applyBorder="1" applyAlignment="1" applyProtection="1">
      <protection hidden="1"/>
    </xf>
    <xf numFmtId="0" fontId="6" fillId="3" borderId="2" xfId="0" applyFont="1" applyFill="1" applyBorder="1" applyAlignment="1" applyProtection="1">
      <protection hidden="1"/>
    </xf>
    <xf numFmtId="0" fontId="6" fillId="5" borderId="2" xfId="0" applyFont="1" applyFill="1" applyBorder="1" applyAlignment="1" applyProtection="1">
      <alignment horizontal="left" shrinkToFit="1"/>
      <protection hidden="1"/>
    </xf>
    <xf numFmtId="0" fontId="6" fillId="5" borderId="5" xfId="0" applyFont="1" applyFill="1" applyBorder="1" applyAlignment="1" applyProtection="1">
      <alignment horizontal="left" shrinkToFit="1"/>
      <protection hidden="1"/>
    </xf>
    <xf numFmtId="0" fontId="6" fillId="2" borderId="0" xfId="0" applyFont="1" applyFill="1" applyBorder="1" applyAlignment="1">
      <alignment horizontal="center"/>
    </xf>
    <xf numFmtId="0" fontId="18" fillId="0" borderId="0" xfId="0" applyFont="1" applyFill="1"/>
    <xf numFmtId="0" fontId="6" fillId="3" borderId="5" xfId="0" applyFont="1" applyFill="1" applyBorder="1" applyAlignment="1" applyProtection="1">
      <alignment shrinkToFit="1"/>
      <protection hidden="1"/>
    </xf>
    <xf numFmtId="0" fontId="6" fillId="5" borderId="27" xfId="0" applyNumberFormat="1" applyFont="1" applyFill="1" applyBorder="1" applyAlignment="1" applyProtection="1">
      <alignment horizontal="center" vertical="center"/>
      <protection hidden="1"/>
    </xf>
    <xf numFmtId="4" fontId="16" fillId="3" borderId="0" xfId="0" applyNumberFormat="1" applyFont="1" applyFill="1" applyBorder="1" applyAlignment="1" applyProtection="1">
      <alignment vertical="center" shrinkToFit="1"/>
      <protection hidden="1"/>
    </xf>
    <xf numFmtId="0" fontId="0" fillId="3" borderId="56" xfId="0" applyFill="1" applyBorder="1"/>
    <xf numFmtId="0" fontId="6" fillId="3" borderId="57" xfId="0" applyFont="1" applyFill="1" applyBorder="1" applyAlignment="1"/>
    <xf numFmtId="0" fontId="0" fillId="3" borderId="58" xfId="0" applyFill="1" applyBorder="1"/>
    <xf numFmtId="0" fontId="0" fillId="3" borderId="59" xfId="0" applyFill="1" applyBorder="1"/>
    <xf numFmtId="0" fontId="0" fillId="3" borderId="60" xfId="0" applyFill="1" applyBorder="1"/>
    <xf numFmtId="0" fontId="6" fillId="3" borderId="61" xfId="0" applyFont="1" applyFill="1" applyBorder="1" applyAlignment="1"/>
    <xf numFmtId="0" fontId="6" fillId="3" borderId="59" xfId="0" applyFont="1" applyFill="1" applyBorder="1" applyAlignment="1"/>
    <xf numFmtId="0" fontId="6" fillId="3" borderId="59" xfId="0" applyFont="1" applyFill="1" applyBorder="1"/>
    <xf numFmtId="0" fontId="6" fillId="3" borderId="59" xfId="0" applyFont="1" applyFill="1" applyBorder="1" applyAlignment="1">
      <alignment horizontal="center"/>
    </xf>
    <xf numFmtId="0" fontId="6" fillId="3" borderId="57" xfId="0" applyFont="1" applyFill="1" applyBorder="1"/>
    <xf numFmtId="0" fontId="0" fillId="3" borderId="57" xfId="0" applyFill="1" applyBorder="1"/>
    <xf numFmtId="166" fontId="0" fillId="0" borderId="0" xfId="6" applyFont="1" applyFill="1"/>
    <xf numFmtId="0" fontId="60" fillId="3" borderId="0" xfId="0" applyFont="1" applyFill="1" applyBorder="1" applyAlignment="1">
      <alignment horizontal="center" vertical="center"/>
    </xf>
    <xf numFmtId="0" fontId="61" fillId="3" borderId="0" xfId="0" applyFont="1" applyFill="1" applyBorder="1" applyAlignment="1">
      <alignment horizontal="center" vertical="center"/>
    </xf>
    <xf numFmtId="0" fontId="6" fillId="3" borderId="62" xfId="0" applyFont="1" applyFill="1" applyBorder="1" applyAlignment="1"/>
    <xf numFmtId="0" fontId="6" fillId="3" borderId="63" xfId="0" applyFont="1" applyFill="1" applyBorder="1" applyAlignment="1"/>
    <xf numFmtId="0" fontId="6" fillId="3" borderId="63" xfId="0" applyFont="1" applyFill="1" applyBorder="1" applyAlignment="1" applyProtection="1">
      <alignment horizontal="center"/>
    </xf>
    <xf numFmtId="4" fontId="16" fillId="3" borderId="0" xfId="0" applyNumberFormat="1" applyFont="1" applyFill="1" applyBorder="1" applyAlignment="1" applyProtection="1">
      <alignment vertical="center"/>
      <protection hidden="1"/>
    </xf>
    <xf numFmtId="0" fontId="6" fillId="14" borderId="64" xfId="0" applyFont="1" applyFill="1" applyBorder="1" applyAlignment="1" applyProtection="1">
      <alignment horizontal="center" shrinkToFit="1"/>
      <protection hidden="1"/>
    </xf>
    <xf numFmtId="0" fontId="6" fillId="14" borderId="65" xfId="0" applyFont="1" applyFill="1" applyBorder="1" applyAlignment="1" applyProtection="1">
      <alignment horizontal="center" shrinkToFit="1"/>
      <protection hidden="1"/>
    </xf>
    <xf numFmtId="4" fontId="6" fillId="14" borderId="65" xfId="0" applyNumberFormat="1" applyFont="1" applyFill="1" applyBorder="1" applyAlignment="1" applyProtection="1">
      <alignment horizontal="center" shrinkToFit="1"/>
      <protection hidden="1"/>
    </xf>
    <xf numFmtId="4" fontId="6" fillId="14" borderId="66" xfId="0" applyNumberFormat="1" applyFont="1" applyFill="1" applyBorder="1" applyAlignment="1" applyProtection="1">
      <alignment horizontal="center" shrinkToFit="1"/>
      <protection hidden="1"/>
    </xf>
    <xf numFmtId="166" fontId="6" fillId="3" borderId="63" xfId="6" applyFont="1" applyFill="1" applyBorder="1" applyAlignment="1" applyProtection="1">
      <alignment horizontal="center"/>
      <protection hidden="1"/>
    </xf>
    <xf numFmtId="0" fontId="14" fillId="3" borderId="57" xfId="0" applyFont="1" applyFill="1" applyBorder="1" applyAlignment="1">
      <alignment vertical="center"/>
    </xf>
    <xf numFmtId="3" fontId="6" fillId="3" borderId="59" xfId="0" applyNumberFormat="1" applyFont="1" applyFill="1" applyBorder="1" applyAlignment="1" applyProtection="1">
      <alignment horizontal="center" vertical="center" shrinkToFit="1"/>
      <protection hidden="1"/>
    </xf>
    <xf numFmtId="0" fontId="6" fillId="3" borderId="59" xfId="0" applyFont="1" applyFill="1" applyBorder="1" applyAlignment="1" applyProtection="1">
      <alignment vertical="center" shrinkToFit="1"/>
      <protection hidden="1"/>
    </xf>
    <xf numFmtId="0" fontId="0" fillId="3" borderId="59" xfId="0" applyFill="1" applyBorder="1" applyProtection="1">
      <protection hidden="1"/>
    </xf>
    <xf numFmtId="0" fontId="0" fillId="3" borderId="60" xfId="0" applyFill="1" applyBorder="1" applyProtection="1">
      <protection hidden="1"/>
    </xf>
    <xf numFmtId="0" fontId="35" fillId="4" borderId="0" xfId="0" applyFont="1" applyFill="1"/>
    <xf numFmtId="4" fontId="16" fillId="3" borderId="51" xfId="0" applyNumberFormat="1" applyFont="1" applyFill="1" applyBorder="1" applyAlignment="1" applyProtection="1">
      <alignment horizontal="center"/>
      <protection hidden="1"/>
    </xf>
    <xf numFmtId="4" fontId="46" fillId="2" borderId="67" xfId="0" applyNumberFormat="1" applyFont="1" applyFill="1" applyBorder="1" applyAlignment="1" applyProtection="1">
      <alignment horizontal="center"/>
      <protection locked="0"/>
    </xf>
    <xf numFmtId="0" fontId="0" fillId="10" borderId="5" xfId="0" applyFill="1" applyBorder="1" applyAlignment="1" applyProtection="1">
      <alignment shrinkToFit="1"/>
      <protection hidden="1"/>
    </xf>
    <xf numFmtId="166" fontId="6" fillId="10" borderId="27" xfId="0" applyNumberFormat="1" applyFont="1" applyFill="1" applyBorder="1" applyAlignment="1" applyProtection="1">
      <alignment horizontal="center"/>
      <protection hidden="1"/>
    </xf>
    <xf numFmtId="166" fontId="6" fillId="10" borderId="3" xfId="0" applyNumberFormat="1" applyFont="1" applyFill="1" applyBorder="1" applyAlignment="1" applyProtection="1">
      <alignment horizontal="center"/>
      <protection hidden="1"/>
    </xf>
    <xf numFmtId="0" fontId="18" fillId="14" borderId="5" xfId="0" applyFont="1" applyFill="1" applyBorder="1" applyAlignment="1" applyProtection="1">
      <alignment shrinkToFit="1"/>
      <protection hidden="1"/>
    </xf>
    <xf numFmtId="0" fontId="0" fillId="14" borderId="5" xfId="0" applyFill="1" applyBorder="1" applyAlignment="1" applyProtection="1">
      <alignment shrinkToFit="1"/>
      <protection hidden="1"/>
    </xf>
    <xf numFmtId="0" fontId="64" fillId="14" borderId="5" xfId="0" applyFont="1" applyFill="1" applyBorder="1" applyAlignment="1" applyProtection="1">
      <alignment shrinkToFit="1"/>
      <protection hidden="1"/>
    </xf>
    <xf numFmtId="166" fontId="6" fillId="10" borderId="27" xfId="0" applyNumberFormat="1" applyFont="1" applyFill="1" applyBorder="1" applyAlignment="1" applyProtection="1">
      <alignment vertical="center"/>
      <protection hidden="1"/>
    </xf>
    <xf numFmtId="4" fontId="0" fillId="0" borderId="0" xfId="0" applyNumberFormat="1"/>
    <xf numFmtId="4" fontId="0" fillId="0" borderId="0" xfId="0" applyNumberFormat="1" applyAlignment="1">
      <alignment shrinkToFit="1"/>
    </xf>
    <xf numFmtId="0" fontId="18" fillId="0" borderId="5" xfId="0" applyFont="1" applyFill="1" applyBorder="1"/>
    <xf numFmtId="0" fontId="0" fillId="0" borderId="5" xfId="0" applyFill="1" applyBorder="1"/>
    <xf numFmtId="166" fontId="63" fillId="8" borderId="5" xfId="6" applyFont="1" applyFill="1" applyBorder="1" applyAlignment="1">
      <alignment horizontal="center"/>
    </xf>
    <xf numFmtId="166" fontId="0" fillId="8" borderId="5" xfId="0" applyNumberFormat="1" applyFill="1" applyBorder="1"/>
    <xf numFmtId="166" fontId="63" fillId="15" borderId="5" xfId="6" applyFont="1" applyFill="1" applyBorder="1"/>
    <xf numFmtId="166" fontId="0" fillId="0" borderId="5" xfId="6" applyFont="1" applyFill="1" applyBorder="1"/>
    <xf numFmtId="166" fontId="16" fillId="3" borderId="5" xfId="6" applyFont="1" applyFill="1" applyBorder="1" applyAlignment="1" applyProtection="1">
      <alignment vertical="center" shrinkToFit="1"/>
      <protection hidden="1"/>
    </xf>
    <xf numFmtId="2" fontId="0" fillId="0" borderId="0" xfId="0" applyNumberFormat="1" applyFill="1"/>
    <xf numFmtId="4" fontId="0" fillId="15" borderId="5" xfId="0" applyNumberFormat="1" applyFill="1" applyBorder="1" applyAlignment="1" applyProtection="1">
      <alignment shrinkToFit="1"/>
      <protection locked="0"/>
    </xf>
    <xf numFmtId="0" fontId="0" fillId="15" borderId="5" xfId="0" applyFill="1" applyBorder="1"/>
    <xf numFmtId="2" fontId="0" fillId="0" borderId="5" xfId="0" applyNumberFormat="1" applyBorder="1"/>
    <xf numFmtId="166" fontId="63" fillId="16" borderId="5" xfId="6" applyFont="1" applyFill="1" applyBorder="1"/>
    <xf numFmtId="0" fontId="16" fillId="3" borderId="49" xfId="0" applyFont="1" applyFill="1" applyBorder="1" applyAlignment="1" applyProtection="1">
      <protection hidden="1"/>
    </xf>
    <xf numFmtId="166" fontId="16" fillId="3" borderId="50" xfId="6" applyFont="1" applyFill="1" applyBorder="1" applyAlignment="1" applyProtection="1">
      <protection hidden="1"/>
    </xf>
    <xf numFmtId="9" fontId="16" fillId="3" borderId="47" xfId="6" applyNumberFormat="1" applyFont="1" applyFill="1" applyBorder="1" applyAlignment="1" applyProtection="1">
      <alignment horizontal="center"/>
      <protection hidden="1"/>
    </xf>
    <xf numFmtId="0" fontId="16" fillId="3" borderId="34" xfId="0" applyFont="1" applyFill="1" applyBorder="1" applyAlignment="1" applyProtection="1">
      <protection hidden="1"/>
    </xf>
    <xf numFmtId="4" fontId="13" fillId="3" borderId="5" xfId="6" applyNumberFormat="1" applyFont="1" applyFill="1" applyBorder="1" applyAlignment="1" applyProtection="1">
      <alignment shrinkToFit="1"/>
      <protection hidden="1"/>
    </xf>
    <xf numFmtId="0" fontId="0" fillId="17" borderId="0" xfId="0" applyFill="1" applyBorder="1"/>
    <xf numFmtId="178" fontId="6" fillId="10" borderId="5" xfId="0" applyNumberFormat="1" applyFont="1" applyFill="1" applyBorder="1" applyAlignment="1">
      <alignment shrinkToFit="1"/>
    </xf>
    <xf numFmtId="0" fontId="6" fillId="7" borderId="27" xfId="0" applyFont="1" applyFill="1" applyBorder="1" applyAlignment="1"/>
    <xf numFmtId="166" fontId="0" fillId="0" borderId="0" xfId="6" applyFont="1" applyFill="1" applyBorder="1"/>
    <xf numFmtId="166" fontId="0" fillId="8" borderId="0" xfId="0" applyNumberFormat="1" applyFill="1" applyBorder="1"/>
    <xf numFmtId="177" fontId="0" fillId="0" borderId="0" xfId="0" applyNumberFormat="1" applyFill="1" applyBorder="1"/>
    <xf numFmtId="177" fontId="0" fillId="0" borderId="0" xfId="0" applyNumberFormat="1" applyFill="1"/>
    <xf numFmtId="180" fontId="63" fillId="15" borderId="5" xfId="6" applyNumberFormat="1" applyFont="1" applyFill="1" applyBorder="1"/>
    <xf numFmtId="166" fontId="16" fillId="10" borderId="27" xfId="6" applyFont="1" applyFill="1" applyBorder="1" applyAlignment="1" applyProtection="1">
      <protection hidden="1"/>
    </xf>
    <xf numFmtId="166" fontId="0" fillId="10" borderId="2" xfId="6" applyFont="1" applyFill="1" applyBorder="1" applyAlignment="1"/>
    <xf numFmtId="166" fontId="0" fillId="10" borderId="3" xfId="6" applyFont="1" applyFill="1" applyBorder="1" applyAlignment="1"/>
    <xf numFmtId="0" fontId="0" fillId="0" borderId="0" xfId="0" applyAlignment="1">
      <alignment horizontal="right"/>
    </xf>
    <xf numFmtId="1" fontId="14" fillId="10" borderId="27" xfId="0" applyNumberFormat="1" applyFont="1" applyFill="1" applyBorder="1" applyAlignment="1" applyProtection="1">
      <alignment horizontal="center" vertical="center" shrinkToFit="1"/>
      <protection hidden="1"/>
    </xf>
    <xf numFmtId="0" fontId="0" fillId="2" borderId="0" xfId="0" applyFill="1" applyProtection="1">
      <protection locked="0"/>
    </xf>
    <xf numFmtId="0" fontId="65" fillId="0" borderId="45" xfId="0" applyNumberFormat="1" applyFont="1" applyFill="1" applyBorder="1" applyAlignment="1" applyProtection="1">
      <alignment horizontal="center" vertical="center" shrinkToFit="1"/>
      <protection locked="0"/>
    </xf>
    <xf numFmtId="166" fontId="46" fillId="2" borderId="68" xfId="0" applyNumberFormat="1" applyFont="1" applyFill="1" applyBorder="1" applyAlignment="1" applyProtection="1">
      <alignment horizontal="center"/>
      <protection locked="0"/>
    </xf>
    <xf numFmtId="0" fontId="6" fillId="3" borderId="0" xfId="0" applyFont="1" applyFill="1" applyAlignment="1">
      <alignment horizontal="center"/>
    </xf>
    <xf numFmtId="0" fontId="18" fillId="3" borderId="0" xfId="0" applyFont="1" applyFill="1"/>
    <xf numFmtId="0" fontId="0" fillId="21" borderId="0" xfId="0" applyFill="1"/>
    <xf numFmtId="0" fontId="10" fillId="21" borderId="0" xfId="0" applyFont="1" applyFill="1" applyBorder="1" applyAlignment="1">
      <alignment horizontal="center" vertical="center"/>
    </xf>
    <xf numFmtId="0" fontId="0" fillId="21" borderId="62" xfId="0" applyFill="1" applyBorder="1"/>
    <xf numFmtId="0" fontId="0" fillId="21" borderId="63" xfId="0" applyFill="1" applyBorder="1"/>
    <xf numFmtId="0" fontId="0" fillId="21" borderId="56" xfId="0" applyFill="1" applyBorder="1"/>
    <xf numFmtId="0" fontId="6" fillId="21" borderId="57" xfId="0" applyFont="1" applyFill="1" applyBorder="1" applyAlignment="1"/>
    <xf numFmtId="0" fontId="6" fillId="21" borderId="0" xfId="0" applyFont="1" applyFill="1" applyBorder="1" applyAlignment="1"/>
    <xf numFmtId="0" fontId="6" fillId="21" borderId="0" xfId="0" applyFont="1" applyFill="1" applyBorder="1" applyAlignment="1" applyProtection="1">
      <alignment horizontal="center"/>
    </xf>
    <xf numFmtId="0" fontId="0" fillId="21" borderId="58" xfId="0" applyFill="1" applyBorder="1"/>
    <xf numFmtId="0" fontId="6" fillId="21" borderId="0" xfId="0" applyFont="1" applyFill="1" applyBorder="1" applyAlignment="1" applyProtection="1"/>
    <xf numFmtId="0" fontId="0" fillId="21" borderId="0" xfId="0" applyFill="1" applyBorder="1" applyProtection="1"/>
    <xf numFmtId="0" fontId="0" fillId="21" borderId="61" xfId="0" applyFill="1" applyBorder="1"/>
    <xf numFmtId="0" fontId="0" fillId="21" borderId="59" xfId="0" applyFill="1" applyBorder="1"/>
    <xf numFmtId="0" fontId="0" fillId="21" borderId="60" xfId="0" applyFill="1" applyBorder="1"/>
    <xf numFmtId="0" fontId="0" fillId="21" borderId="0" xfId="0" applyFill="1" applyBorder="1"/>
    <xf numFmtId="0" fontId="0" fillId="21" borderId="63" xfId="0" applyFill="1" applyBorder="1" applyProtection="1"/>
    <xf numFmtId="0" fontId="6" fillId="21" borderId="0" xfId="0" applyFont="1" applyFill="1" applyBorder="1" applyProtection="1"/>
    <xf numFmtId="0" fontId="6" fillId="21" borderId="61" xfId="0" applyFont="1" applyFill="1" applyBorder="1"/>
    <xf numFmtId="0" fontId="6" fillId="21" borderId="59" xfId="0" applyFont="1" applyFill="1" applyBorder="1" applyProtection="1"/>
    <xf numFmtId="0" fontId="0" fillId="21" borderId="59" xfId="0" applyFill="1" applyBorder="1" applyProtection="1"/>
    <xf numFmtId="0" fontId="6" fillId="21" borderId="0" xfId="0" applyFont="1" applyFill="1" applyBorder="1"/>
    <xf numFmtId="0" fontId="6" fillId="21" borderId="62" xfId="0" applyFont="1" applyFill="1" applyBorder="1"/>
    <xf numFmtId="0" fontId="6" fillId="21" borderId="63" xfId="0" applyFont="1" applyFill="1" applyBorder="1"/>
    <xf numFmtId="0" fontId="6" fillId="21" borderId="0" xfId="0" applyFont="1" applyFill="1" applyBorder="1" applyAlignment="1" applyProtection="1">
      <alignment horizontal="center" shrinkToFit="1"/>
    </xf>
    <xf numFmtId="0" fontId="6" fillId="21" borderId="0" xfId="0" applyNumberFormat="1" applyFont="1" applyFill="1" applyBorder="1" applyAlignment="1" applyProtection="1">
      <alignment shrinkToFit="1"/>
    </xf>
    <xf numFmtId="0" fontId="6" fillId="21" borderId="0" xfId="0" applyFont="1" applyFill="1" applyBorder="1" applyAlignment="1" applyProtection="1">
      <alignment shrinkToFit="1"/>
    </xf>
    <xf numFmtId="0" fontId="6" fillId="21" borderId="0" xfId="0" applyNumberFormat="1" applyFont="1" applyFill="1" applyBorder="1" applyAlignment="1" applyProtection="1">
      <alignment horizontal="center" shrinkToFit="1"/>
    </xf>
    <xf numFmtId="0" fontId="11" fillId="21" borderId="0" xfId="0" applyFont="1" applyFill="1" applyBorder="1"/>
    <xf numFmtId="0" fontId="6" fillId="21" borderId="9" xfId="0" applyFont="1" applyFill="1" applyBorder="1" applyAlignment="1" applyProtection="1">
      <alignment horizontal="center" shrinkToFit="1"/>
      <protection hidden="1"/>
    </xf>
    <xf numFmtId="0" fontId="0" fillId="21" borderId="0" xfId="0" applyFill="1" applyBorder="1" applyAlignment="1" applyProtection="1">
      <alignment shrinkToFit="1"/>
      <protection hidden="1"/>
    </xf>
    <xf numFmtId="1" fontId="6" fillId="21" borderId="9" xfId="0" applyNumberFormat="1" applyFont="1" applyFill="1" applyBorder="1" applyAlignment="1" applyProtection="1">
      <alignment horizontal="center" shrinkToFit="1"/>
      <protection hidden="1"/>
    </xf>
    <xf numFmtId="0" fontId="6" fillId="21" borderId="0" xfId="0" applyFont="1" applyFill="1" applyBorder="1" applyAlignment="1">
      <alignment horizontal="center"/>
    </xf>
    <xf numFmtId="0" fontId="6" fillId="21" borderId="61" xfId="0" applyFont="1" applyFill="1" applyBorder="1" applyAlignment="1"/>
    <xf numFmtId="0" fontId="6" fillId="21" borderId="59" xfId="0" applyFont="1" applyFill="1" applyBorder="1" applyAlignment="1"/>
    <xf numFmtId="0" fontId="6" fillId="21" borderId="59" xfId="0" applyFont="1" applyFill="1" applyBorder="1"/>
    <xf numFmtId="0" fontId="6" fillId="21" borderId="59" xfId="0" applyFont="1" applyFill="1" applyBorder="1" applyAlignment="1">
      <alignment horizontal="center"/>
    </xf>
    <xf numFmtId="0" fontId="6" fillId="21" borderId="69" xfId="0" applyFont="1" applyFill="1" applyBorder="1" applyProtection="1">
      <protection hidden="1"/>
    </xf>
    <xf numFmtId="0" fontId="6" fillId="21" borderId="27" xfId="0" applyFont="1" applyFill="1" applyBorder="1" applyProtection="1">
      <protection hidden="1"/>
    </xf>
    <xf numFmtId="0" fontId="6" fillId="21" borderId="70" xfId="0" applyFont="1" applyFill="1" applyBorder="1" applyProtection="1">
      <protection hidden="1"/>
    </xf>
    <xf numFmtId="0" fontId="0" fillId="21" borderId="0" xfId="0" applyFill="1" applyBorder="1" applyProtection="1">
      <protection hidden="1"/>
    </xf>
    <xf numFmtId="0" fontId="6" fillId="21" borderId="71" xfId="0" applyFont="1" applyFill="1" applyBorder="1" applyAlignment="1" applyProtection="1">
      <alignment vertical="center"/>
      <protection hidden="1"/>
    </xf>
    <xf numFmtId="0" fontId="6" fillId="21" borderId="0" xfId="0" applyFont="1" applyFill="1" applyBorder="1" applyAlignment="1">
      <alignment vertical="center"/>
    </xf>
    <xf numFmtId="0" fontId="0" fillId="21" borderId="0" xfId="0" applyFill="1" applyBorder="1" applyAlignment="1">
      <alignment vertical="center"/>
    </xf>
    <xf numFmtId="0" fontId="6" fillId="21" borderId="72" xfId="0" applyFont="1" applyFill="1" applyBorder="1" applyAlignment="1" applyProtection="1">
      <alignment shrinkToFit="1"/>
      <protection hidden="1"/>
    </xf>
    <xf numFmtId="0" fontId="6" fillId="21" borderId="2" xfId="0" applyFont="1" applyFill="1" applyBorder="1" applyAlignment="1" applyProtection="1">
      <alignment shrinkToFit="1"/>
      <protection hidden="1"/>
    </xf>
    <xf numFmtId="0" fontId="6" fillId="21" borderId="3" xfId="0" applyFont="1" applyFill="1" applyBorder="1" applyAlignment="1" applyProtection="1">
      <alignment shrinkToFit="1"/>
      <protection hidden="1"/>
    </xf>
    <xf numFmtId="3" fontId="6" fillId="21" borderId="2" xfId="0" applyNumberFormat="1" applyFont="1" applyFill="1" applyBorder="1" applyAlignment="1" applyProtection="1">
      <alignment horizontal="center" vertical="center" shrinkToFit="1"/>
      <protection hidden="1"/>
    </xf>
    <xf numFmtId="0" fontId="6" fillId="21" borderId="2" xfId="0" applyFont="1" applyFill="1" applyBorder="1" applyAlignment="1" applyProtection="1">
      <alignment vertical="center" shrinkToFit="1"/>
      <protection hidden="1"/>
    </xf>
    <xf numFmtId="0" fontId="6" fillId="21" borderId="3" xfId="0" applyFont="1" applyFill="1" applyBorder="1" applyAlignment="1" applyProtection="1">
      <alignment vertical="center" shrinkToFit="1"/>
      <protection hidden="1"/>
    </xf>
    <xf numFmtId="0" fontId="6" fillId="21" borderId="73" xfId="0" applyFont="1" applyFill="1" applyBorder="1" applyAlignment="1" applyProtection="1">
      <alignment vertical="center"/>
      <protection hidden="1"/>
    </xf>
    <xf numFmtId="0" fontId="6" fillId="21" borderId="71" xfId="0" applyFont="1" applyFill="1" applyBorder="1" applyProtection="1">
      <protection hidden="1"/>
    </xf>
    <xf numFmtId="0" fontId="0" fillId="21" borderId="0" xfId="0" applyFill="1" applyProtection="1">
      <protection hidden="1"/>
    </xf>
    <xf numFmtId="0" fontId="11" fillId="21" borderId="57" xfId="0" applyFont="1" applyFill="1" applyBorder="1"/>
    <xf numFmtId="0" fontId="11" fillId="21" borderId="0" xfId="0" applyFont="1" applyFill="1" applyBorder="1" applyAlignment="1">
      <alignment horizontal="left"/>
    </xf>
    <xf numFmtId="0" fontId="13" fillId="21" borderId="0" xfId="0" applyFont="1" applyFill="1" applyBorder="1"/>
    <xf numFmtId="0" fontId="6" fillId="21" borderId="58" xfId="0" applyFont="1" applyFill="1" applyBorder="1"/>
    <xf numFmtId="0" fontId="6" fillId="21" borderId="57" xfId="0" applyFont="1" applyFill="1" applyBorder="1"/>
    <xf numFmtId="0" fontId="0" fillId="21" borderId="57" xfId="0" applyFill="1" applyBorder="1"/>
    <xf numFmtId="0" fontId="6" fillId="21" borderId="59" xfId="0" applyFont="1" applyFill="1" applyBorder="1" applyAlignment="1">
      <alignment horizontal="center" vertical="center"/>
    </xf>
    <xf numFmtId="0" fontId="6" fillId="21" borderId="60" xfId="0" applyFont="1" applyFill="1" applyBorder="1" applyAlignment="1">
      <alignment horizontal="center" vertical="center"/>
    </xf>
    <xf numFmtId="0" fontId="12" fillId="21" borderId="0" xfId="0" applyFont="1" applyFill="1" applyBorder="1"/>
    <xf numFmtId="0" fontId="6" fillId="21" borderId="58" xfId="0" applyFont="1" applyFill="1" applyBorder="1" applyAlignment="1">
      <alignment vertical="center"/>
    </xf>
    <xf numFmtId="0" fontId="6" fillId="10" borderId="3" xfId="0" applyFont="1" applyFill="1" applyBorder="1" applyAlignment="1">
      <alignment horizontal="center"/>
    </xf>
    <xf numFmtId="0" fontId="6" fillId="10" borderId="5" xfId="0" applyFont="1" applyFill="1" applyBorder="1" applyAlignment="1">
      <alignment horizontal="center"/>
    </xf>
    <xf numFmtId="0" fontId="0" fillId="0" borderId="0" xfId="0" applyFill="1" applyProtection="1">
      <protection hidden="1"/>
    </xf>
    <xf numFmtId="0" fontId="0" fillId="0" borderId="0" xfId="0" applyNumberFormat="1" applyFill="1" applyProtection="1">
      <protection hidden="1"/>
    </xf>
    <xf numFmtId="0" fontId="0" fillId="18" borderId="0" xfId="0" applyFill="1" applyProtection="1">
      <protection hidden="1"/>
    </xf>
    <xf numFmtId="0" fontId="66" fillId="0" borderId="0" xfId="0" applyFont="1" applyFill="1" applyProtection="1">
      <protection hidden="1"/>
    </xf>
    <xf numFmtId="14" fontId="38" fillId="0" borderId="0" xfId="0" applyNumberFormat="1" applyFont="1" applyFill="1" applyProtection="1">
      <protection hidden="1"/>
    </xf>
    <xf numFmtId="0" fontId="41" fillId="12" borderId="0" xfId="0" applyFont="1" applyFill="1" applyBorder="1" applyAlignment="1">
      <alignment horizontal="left"/>
    </xf>
    <xf numFmtId="0" fontId="0" fillId="12" borderId="6" xfId="0" applyFill="1" applyBorder="1"/>
    <xf numFmtId="0" fontId="0" fillId="12" borderId="14" xfId="0" applyFill="1" applyBorder="1"/>
    <xf numFmtId="14" fontId="0" fillId="0" borderId="0" xfId="0" applyNumberFormat="1" applyFill="1" applyProtection="1">
      <protection hidden="1"/>
    </xf>
    <xf numFmtId="0" fontId="66" fillId="0" borderId="0" xfId="0" applyFont="1" applyFill="1" applyBorder="1" applyProtection="1">
      <protection hidden="1"/>
    </xf>
    <xf numFmtId="166" fontId="6" fillId="2" borderId="0" xfId="7" applyFont="1" applyFill="1" applyBorder="1" applyProtection="1">
      <protection locked="0"/>
    </xf>
    <xf numFmtId="0" fontId="0" fillId="0" borderId="7" xfId="0" applyBorder="1"/>
    <xf numFmtId="0" fontId="0" fillId="0" borderId="0" xfId="0" applyBorder="1"/>
    <xf numFmtId="0" fontId="0" fillId="12" borderId="11" xfId="0" applyFill="1" applyBorder="1"/>
    <xf numFmtId="0" fontId="0" fillId="12" borderId="9" xfId="0" applyFill="1" applyBorder="1"/>
    <xf numFmtId="0" fontId="0" fillId="12" borderId="7" xfId="0" applyFill="1" applyBorder="1"/>
    <xf numFmtId="0" fontId="0" fillId="12" borderId="8" xfId="0" applyFill="1" applyBorder="1" applyProtection="1">
      <protection hidden="1"/>
    </xf>
    <xf numFmtId="0" fontId="38" fillId="0" borderId="0" xfId="0" applyFont="1" applyAlignment="1">
      <alignment horizontal="right"/>
    </xf>
    <xf numFmtId="0" fontId="0" fillId="0" borderId="27" xfId="0" applyBorder="1"/>
    <xf numFmtId="0" fontId="0" fillId="12" borderId="74" xfId="0" applyFill="1" applyBorder="1"/>
    <xf numFmtId="166" fontId="6" fillId="17" borderId="5" xfId="7" applyFont="1" applyFill="1" applyBorder="1" applyAlignment="1">
      <alignment horizontal="right" shrinkToFit="1"/>
    </xf>
    <xf numFmtId="0" fontId="0" fillId="17" borderId="5" xfId="0" applyFill="1" applyBorder="1"/>
    <xf numFmtId="0" fontId="9" fillId="0" borderId="0" xfId="0" applyFont="1"/>
    <xf numFmtId="166" fontId="68" fillId="12" borderId="51" xfId="7" applyFont="1" applyFill="1" applyBorder="1" applyAlignment="1" applyProtection="1">
      <alignment horizontal="left"/>
      <protection hidden="1"/>
    </xf>
    <xf numFmtId="0" fontId="6" fillId="12" borderId="32" xfId="0" applyFont="1" applyFill="1" applyBorder="1" applyAlignment="1">
      <alignment horizontal="center"/>
    </xf>
    <xf numFmtId="166" fontId="6" fillId="0" borderId="0" xfId="7" applyFont="1" applyFill="1" applyBorder="1"/>
    <xf numFmtId="166" fontId="6" fillId="17" borderId="5" xfId="7" applyFont="1" applyFill="1" applyBorder="1" applyAlignment="1">
      <alignment horizontal="center"/>
    </xf>
    <xf numFmtId="0" fontId="0" fillId="17" borderId="5" xfId="0" applyFill="1" applyBorder="1" applyAlignment="1">
      <alignment horizontal="center"/>
    </xf>
    <xf numFmtId="2" fontId="6" fillId="0" borderId="0" xfId="0" applyNumberFormat="1" applyFont="1" applyBorder="1" applyProtection="1">
      <protection locked="0"/>
    </xf>
    <xf numFmtId="166" fontId="0" fillId="21" borderId="41" xfId="0" applyNumberFormat="1" applyFill="1" applyBorder="1" applyProtection="1">
      <protection hidden="1"/>
    </xf>
    <xf numFmtId="0" fontId="0" fillId="0" borderId="5" xfId="0" applyBorder="1" applyAlignment="1">
      <alignment shrinkToFit="1"/>
    </xf>
    <xf numFmtId="0" fontId="6" fillId="17" borderId="5" xfId="0" applyFont="1" applyFill="1" applyBorder="1" applyAlignment="1">
      <alignment horizontal="center"/>
    </xf>
    <xf numFmtId="166" fontId="6" fillId="0" borderId="41" xfId="7" applyFont="1" applyFill="1" applyBorder="1" applyAlignment="1" applyProtection="1">
      <alignment horizontal="left"/>
      <protection locked="0"/>
    </xf>
    <xf numFmtId="165" fontId="6" fillId="12" borderId="41" xfId="3" applyFont="1" applyFill="1" applyBorder="1" applyAlignment="1">
      <alignment vertical="center" shrinkToFit="1"/>
    </xf>
    <xf numFmtId="165" fontId="6" fillId="12" borderId="5" xfId="3" applyFont="1" applyFill="1" applyBorder="1" applyAlignment="1">
      <alignment horizontal="center" vertical="center" shrinkToFit="1"/>
    </xf>
    <xf numFmtId="165" fontId="6" fillId="12" borderId="74" xfId="3" applyFont="1" applyFill="1" applyBorder="1" applyAlignment="1">
      <alignment horizontal="center" vertical="center" shrinkToFit="1"/>
    </xf>
    <xf numFmtId="14" fontId="38" fillId="0" borderId="0" xfId="0" applyNumberFormat="1" applyFont="1" applyFill="1" applyAlignment="1" applyProtection="1">
      <alignment horizontal="right"/>
      <protection hidden="1"/>
    </xf>
    <xf numFmtId="166" fontId="6" fillId="22" borderId="5" xfId="7" applyFont="1" applyFill="1" applyBorder="1" applyProtection="1">
      <protection locked="0"/>
    </xf>
    <xf numFmtId="166" fontId="6" fillId="23" borderId="3" xfId="7" applyFont="1" applyFill="1" applyBorder="1" applyProtection="1">
      <protection locked="0"/>
    </xf>
    <xf numFmtId="0" fontId="6" fillId="24" borderId="0" xfId="0" applyFont="1" applyFill="1" applyBorder="1" applyAlignment="1" applyProtection="1">
      <alignment shrinkToFit="1"/>
      <protection locked="0"/>
    </xf>
    <xf numFmtId="0" fontId="13" fillId="12" borderId="41" xfId="0" applyFont="1" applyFill="1" applyBorder="1" applyAlignment="1">
      <alignment horizontal="center" vertical="center" wrapText="1" shrinkToFit="1"/>
    </xf>
    <xf numFmtId="166" fontId="13" fillId="12" borderId="5" xfId="0" applyNumberFormat="1" applyFont="1" applyFill="1" applyBorder="1" applyAlignment="1">
      <alignment horizontal="center" wrapText="1"/>
    </xf>
    <xf numFmtId="0" fontId="13" fillId="12" borderId="74" xfId="0" applyFont="1" applyFill="1" applyBorder="1" applyAlignment="1">
      <alignment horizontal="center" wrapText="1" shrinkToFit="1"/>
    </xf>
    <xf numFmtId="0" fontId="66" fillId="10" borderId="5" xfId="0" applyFont="1" applyFill="1" applyBorder="1" applyProtection="1">
      <protection hidden="1"/>
    </xf>
    <xf numFmtId="166" fontId="0" fillId="0" borderId="0" xfId="0" applyNumberFormat="1"/>
    <xf numFmtId="166" fontId="18" fillId="25" borderId="5" xfId="7" applyFont="1" applyFill="1" applyBorder="1" applyAlignment="1" applyProtection="1">
      <alignment shrinkToFit="1"/>
      <protection locked="0"/>
    </xf>
    <xf numFmtId="0" fontId="18" fillId="25" borderId="27" xfId="0" applyFont="1" applyFill="1" applyBorder="1" applyAlignment="1" applyProtection="1">
      <alignment shrinkToFit="1"/>
      <protection locked="0"/>
    </xf>
    <xf numFmtId="166" fontId="6" fillId="26" borderId="5" xfId="7" applyFont="1" applyFill="1" applyBorder="1" applyProtection="1">
      <protection locked="0"/>
    </xf>
    <xf numFmtId="166" fontId="66" fillId="26" borderId="5" xfId="7" applyFont="1" applyFill="1" applyBorder="1" applyAlignment="1" applyProtection="1">
      <alignment shrinkToFit="1"/>
      <protection locked="0"/>
    </xf>
    <xf numFmtId="0" fontId="9" fillId="26" borderId="5" xfId="0" applyFont="1" applyFill="1" applyBorder="1" applyAlignment="1" applyProtection="1">
      <alignment shrinkToFit="1"/>
      <protection locked="0"/>
    </xf>
    <xf numFmtId="0" fontId="6" fillId="0" borderId="2" xfId="0" applyFont="1" applyBorder="1" applyProtection="1">
      <protection locked="0"/>
    </xf>
    <xf numFmtId="166" fontId="6" fillId="24" borderId="0" xfId="7" applyFont="1" applyFill="1" applyBorder="1" applyAlignment="1" applyProtection="1">
      <alignment horizontal="left"/>
      <protection locked="0"/>
    </xf>
    <xf numFmtId="166" fontId="46" fillId="12" borderId="41" xfId="0" applyNumberFormat="1" applyFont="1" applyFill="1" applyBorder="1" applyAlignment="1" applyProtection="1">
      <alignment shrinkToFit="1"/>
      <protection hidden="1"/>
    </xf>
    <xf numFmtId="0" fontId="46" fillId="21" borderId="5" xfId="0" applyFont="1" applyFill="1" applyBorder="1" applyAlignment="1" applyProtection="1">
      <alignment horizontal="center"/>
      <protection hidden="1"/>
    </xf>
    <xf numFmtId="0" fontId="48" fillId="12" borderId="2" xfId="0" applyFont="1" applyFill="1" applyBorder="1" applyAlignment="1"/>
    <xf numFmtId="0" fontId="6" fillId="12" borderId="34" xfId="0" applyFont="1" applyFill="1" applyBorder="1" applyAlignment="1"/>
    <xf numFmtId="166" fontId="38" fillId="15" borderId="5" xfId="7" applyFont="1" applyFill="1" applyBorder="1" applyAlignment="1">
      <alignment shrinkToFit="1"/>
    </xf>
    <xf numFmtId="2" fontId="38" fillId="15" borderId="5" xfId="0" applyNumberFormat="1" applyFont="1" applyFill="1" applyBorder="1"/>
    <xf numFmtId="166" fontId="6" fillId="8" borderId="3" xfId="0" applyNumberFormat="1" applyFont="1" applyFill="1" applyBorder="1" applyProtection="1">
      <protection locked="0"/>
    </xf>
    <xf numFmtId="0" fontId="6" fillId="24" borderId="0" xfId="0" applyFont="1" applyFill="1" applyBorder="1" applyProtection="1">
      <protection locked="0"/>
    </xf>
    <xf numFmtId="166" fontId="6" fillId="0" borderId="75" xfId="7" applyFont="1" applyBorder="1" applyProtection="1">
      <protection locked="0"/>
    </xf>
    <xf numFmtId="166" fontId="6" fillId="17" borderId="41" xfId="7" applyFont="1" applyFill="1" applyBorder="1"/>
    <xf numFmtId="166" fontId="6" fillId="17" borderId="27" xfId="7" applyFont="1" applyFill="1" applyBorder="1"/>
    <xf numFmtId="0" fontId="0" fillId="0" borderId="0" xfId="0" applyFill="1" applyBorder="1" applyProtection="1">
      <protection hidden="1"/>
    </xf>
    <xf numFmtId="0" fontId="0" fillId="0" borderId="0" xfId="0" applyNumberFormat="1" applyFill="1" applyBorder="1" applyProtection="1">
      <protection hidden="1"/>
    </xf>
    <xf numFmtId="14" fontId="0" fillId="0" borderId="0" xfId="0" applyNumberFormat="1" applyFill="1" applyBorder="1" applyProtection="1">
      <protection hidden="1"/>
    </xf>
    <xf numFmtId="166" fontId="0" fillId="11" borderId="5" xfId="7" applyFont="1" applyFill="1" applyBorder="1" applyAlignment="1">
      <alignment shrinkToFit="1"/>
    </xf>
    <xf numFmtId="166" fontId="0" fillId="11" borderId="0" xfId="7" applyFont="1" applyFill="1" applyBorder="1" applyAlignment="1">
      <alignment shrinkToFit="1"/>
    </xf>
    <xf numFmtId="166" fontId="0" fillId="11" borderId="26" xfId="7" applyFont="1" applyFill="1" applyBorder="1" applyAlignment="1">
      <alignment shrinkToFit="1"/>
    </xf>
    <xf numFmtId="166" fontId="38" fillId="0" borderId="5" xfId="7" applyFont="1" applyBorder="1" applyAlignment="1">
      <alignment shrinkToFit="1"/>
    </xf>
    <xf numFmtId="0" fontId="0" fillId="0" borderId="5" xfId="0" applyBorder="1"/>
    <xf numFmtId="166" fontId="0" fillId="0" borderId="5" xfId="7" applyFont="1" applyBorder="1" applyAlignment="1">
      <alignment shrinkToFit="1"/>
    </xf>
    <xf numFmtId="2" fontId="0" fillId="8" borderId="3" xfId="0" applyNumberFormat="1" applyFill="1" applyBorder="1" applyAlignment="1">
      <alignment horizontal="right"/>
    </xf>
    <xf numFmtId="2" fontId="0" fillId="24" borderId="0" xfId="0" applyNumberFormat="1" applyFill="1" applyBorder="1" applyAlignment="1">
      <alignment horizontal="right"/>
    </xf>
    <xf numFmtId="166" fontId="6" fillId="12" borderId="26" xfId="7" applyFont="1" applyFill="1" applyBorder="1" applyProtection="1">
      <protection hidden="1"/>
    </xf>
    <xf numFmtId="0" fontId="0" fillId="27" borderId="4" xfId="0" applyFill="1" applyBorder="1"/>
    <xf numFmtId="0" fontId="0" fillId="27" borderId="26" xfId="0" applyFill="1" applyBorder="1"/>
    <xf numFmtId="0" fontId="0" fillId="27" borderId="76" xfId="0" applyFill="1" applyBorder="1"/>
    <xf numFmtId="166" fontId="6" fillId="0" borderId="39" xfId="7" applyFont="1" applyBorder="1" applyProtection="1">
      <protection locked="0"/>
    </xf>
    <xf numFmtId="166" fontId="6" fillId="12" borderId="27" xfId="7" applyFont="1" applyFill="1" applyBorder="1"/>
    <xf numFmtId="0" fontId="6" fillId="12" borderId="3" xfId="0" applyFont="1" applyFill="1" applyBorder="1" applyAlignment="1">
      <alignment horizontal="left"/>
    </xf>
    <xf numFmtId="0" fontId="66" fillId="0" borderId="0" xfId="0" applyFont="1" applyFill="1" applyAlignment="1" applyProtection="1">
      <protection hidden="1"/>
    </xf>
    <xf numFmtId="166" fontId="0" fillId="10" borderId="5" xfId="7" applyFont="1" applyFill="1" applyBorder="1" applyAlignment="1" applyProtection="1">
      <alignment shrinkToFit="1"/>
      <protection hidden="1"/>
    </xf>
    <xf numFmtId="166" fontId="0" fillId="10" borderId="0" xfId="7" applyFont="1" applyFill="1" applyBorder="1" applyAlignment="1">
      <alignment shrinkToFit="1"/>
    </xf>
    <xf numFmtId="166" fontId="0" fillId="14" borderId="26" xfId="7" applyFont="1" applyFill="1" applyBorder="1" applyAlignment="1">
      <alignment shrinkToFit="1"/>
    </xf>
    <xf numFmtId="166" fontId="0" fillId="7" borderId="5" xfId="7" applyFont="1" applyFill="1" applyBorder="1" applyAlignment="1" applyProtection="1">
      <alignment shrinkToFit="1"/>
      <protection hidden="1"/>
    </xf>
    <xf numFmtId="166" fontId="39" fillId="14" borderId="5" xfId="7" applyFont="1" applyFill="1" applyBorder="1" applyAlignment="1">
      <alignment shrinkToFit="1"/>
    </xf>
    <xf numFmtId="0" fontId="0" fillId="7" borderId="5" xfId="0" applyFill="1" applyBorder="1" applyAlignment="1" applyProtection="1">
      <alignment shrinkToFit="1"/>
      <protection hidden="1"/>
    </xf>
    <xf numFmtId="166" fontId="0" fillId="10" borderId="5" xfId="7" applyFont="1" applyFill="1" applyBorder="1" applyAlignment="1">
      <alignment shrinkToFit="1"/>
    </xf>
    <xf numFmtId="0" fontId="9" fillId="10" borderId="5" xfId="0" applyFont="1" applyFill="1" applyBorder="1" applyAlignment="1" applyProtection="1">
      <alignment shrinkToFit="1"/>
      <protection hidden="1"/>
    </xf>
    <xf numFmtId="0" fontId="0" fillId="8" borderId="3" xfId="0" applyFill="1" applyBorder="1" applyAlignment="1" applyProtection="1">
      <alignment horizontal="center"/>
      <protection hidden="1"/>
    </xf>
    <xf numFmtId="0" fontId="0" fillId="24" borderId="0" xfId="0" applyFill="1" applyBorder="1" applyAlignment="1" applyProtection="1">
      <alignment horizontal="center"/>
      <protection hidden="1"/>
    </xf>
    <xf numFmtId="2" fontId="6" fillId="0" borderId="41" xfId="0" applyNumberFormat="1" applyFont="1" applyBorder="1" applyProtection="1">
      <protection locked="0"/>
    </xf>
    <xf numFmtId="0" fontId="6" fillId="12" borderId="5" xfId="0" applyFont="1" applyFill="1" applyBorder="1" applyAlignment="1">
      <alignment horizontal="left"/>
    </xf>
    <xf numFmtId="0" fontId="0" fillId="9" borderId="26" xfId="0" applyFill="1" applyBorder="1"/>
    <xf numFmtId="166" fontId="6" fillId="0" borderId="5" xfId="7" applyFont="1" applyBorder="1" applyProtection="1">
      <protection locked="0"/>
    </xf>
    <xf numFmtId="2" fontId="6" fillId="24" borderId="41" xfId="0" applyNumberFormat="1" applyFont="1" applyFill="1" applyBorder="1" applyProtection="1">
      <protection locked="0"/>
    </xf>
    <xf numFmtId="10" fontId="6" fillId="0" borderId="5" xfId="0" applyNumberFormat="1" applyFont="1" applyBorder="1" applyProtection="1">
      <protection locked="0"/>
    </xf>
    <xf numFmtId="166" fontId="0" fillId="12" borderId="5" xfId="7" applyFont="1" applyFill="1" applyBorder="1" applyAlignment="1" applyProtection="1">
      <alignment shrinkToFit="1"/>
    </xf>
    <xf numFmtId="166" fontId="0" fillId="12" borderId="3" xfId="7" applyFont="1" applyFill="1" applyBorder="1" applyProtection="1">
      <protection hidden="1"/>
    </xf>
    <xf numFmtId="0" fontId="0" fillId="9" borderId="12" xfId="0" applyFill="1" applyBorder="1"/>
    <xf numFmtId="0" fontId="0" fillId="9" borderId="76" xfId="0" applyFill="1" applyBorder="1"/>
    <xf numFmtId="0" fontId="9" fillId="10" borderId="3" xfId="0" applyFont="1" applyFill="1" applyBorder="1" applyAlignment="1" applyProtection="1">
      <alignment shrinkToFit="1"/>
      <protection hidden="1"/>
    </xf>
    <xf numFmtId="0" fontId="6" fillId="0" borderId="41" xfId="0" applyFont="1" applyBorder="1" applyProtection="1">
      <protection locked="0"/>
    </xf>
    <xf numFmtId="2" fontId="0" fillId="12" borderId="41" xfId="0" applyNumberFormat="1" applyFill="1" applyBorder="1" applyAlignment="1">
      <alignment horizontal="right"/>
    </xf>
    <xf numFmtId="10" fontId="0" fillId="12" borderId="5" xfId="0" applyNumberFormat="1" applyFill="1" applyBorder="1"/>
    <xf numFmtId="166" fontId="0" fillId="12" borderId="3" xfId="7" applyFont="1" applyFill="1" applyBorder="1"/>
    <xf numFmtId="0" fontId="0" fillId="12" borderId="41" xfId="0" applyFill="1" applyBorder="1" applyAlignment="1" applyProtection="1">
      <alignment horizontal="center"/>
      <protection hidden="1"/>
    </xf>
    <xf numFmtId="0" fontId="0" fillId="23" borderId="7" xfId="0" applyFill="1" applyBorder="1"/>
    <xf numFmtId="166" fontId="0" fillId="14" borderId="5" xfId="7" applyFont="1" applyFill="1" applyBorder="1" applyAlignment="1">
      <alignment shrinkToFit="1"/>
    </xf>
    <xf numFmtId="166" fontId="66" fillId="28" borderId="5" xfId="7" applyFont="1" applyFill="1" applyBorder="1" applyAlignment="1">
      <alignment shrinkToFit="1"/>
    </xf>
    <xf numFmtId="10" fontId="6" fillId="0" borderId="40" xfId="7" applyNumberFormat="1" applyFont="1" applyFill="1" applyBorder="1" applyProtection="1">
      <protection locked="0"/>
    </xf>
    <xf numFmtId="0" fontId="0" fillId="23" borderId="0" xfId="0" applyFill="1" applyBorder="1"/>
    <xf numFmtId="0" fontId="0" fillId="23" borderId="70" xfId="0" applyFill="1" applyBorder="1"/>
    <xf numFmtId="0" fontId="0" fillId="14" borderId="26" xfId="0" applyFill="1" applyBorder="1"/>
    <xf numFmtId="0" fontId="0" fillId="28" borderId="76" xfId="0" applyFill="1" applyBorder="1"/>
    <xf numFmtId="166" fontId="6" fillId="21" borderId="39" xfId="7" applyFont="1" applyFill="1" applyBorder="1" applyProtection="1">
      <protection hidden="1"/>
    </xf>
    <xf numFmtId="10" fontId="6" fillId="8" borderId="3" xfId="7" applyNumberFormat="1" applyFont="1" applyFill="1" applyBorder="1" applyProtection="1">
      <protection locked="0"/>
    </xf>
    <xf numFmtId="10" fontId="6" fillId="24" borderId="0" xfId="7" applyNumberFormat="1" applyFont="1" applyFill="1" applyBorder="1" applyProtection="1">
      <protection locked="0"/>
    </xf>
    <xf numFmtId="0" fontId="18" fillId="0" borderId="41" xfId="0" applyFont="1" applyBorder="1" applyAlignment="1">
      <alignment horizontal="center"/>
    </xf>
    <xf numFmtId="0" fontId="0" fillId="23" borderId="9" xfId="0" applyFill="1" applyBorder="1"/>
    <xf numFmtId="0" fontId="0" fillId="23" borderId="46" xfId="0" applyFill="1" applyBorder="1"/>
    <xf numFmtId="0" fontId="0" fillId="28" borderId="26" xfId="0" applyFill="1" applyBorder="1"/>
    <xf numFmtId="166" fontId="0" fillId="7" borderId="5" xfId="7" applyFont="1" applyFill="1" applyBorder="1" applyAlignment="1">
      <alignment shrinkToFit="1"/>
    </xf>
    <xf numFmtId="10" fontId="6" fillId="8" borderId="47" xfId="7" applyNumberFormat="1" applyFont="1" applyFill="1" applyBorder="1" applyProtection="1">
      <protection locked="0"/>
    </xf>
    <xf numFmtId="10" fontId="6" fillId="0" borderId="45" xfId="7" applyNumberFormat="1" applyFont="1" applyBorder="1" applyProtection="1">
      <protection locked="0"/>
    </xf>
    <xf numFmtId="166" fontId="66" fillId="23" borderId="3" xfId="7" applyFont="1" applyFill="1" applyBorder="1" applyAlignment="1" applyProtection="1">
      <protection hidden="1"/>
    </xf>
    <xf numFmtId="166" fontId="66" fillId="23" borderId="2" xfId="7" applyFont="1" applyFill="1" applyBorder="1" applyAlignment="1" applyProtection="1">
      <protection hidden="1"/>
    </xf>
    <xf numFmtId="0" fontId="0" fillId="23" borderId="27" xfId="0" applyFill="1" applyBorder="1"/>
    <xf numFmtId="0" fontId="0" fillId="28" borderId="70" xfId="0" applyFill="1" applyBorder="1"/>
    <xf numFmtId="166" fontId="6" fillId="12" borderId="5" xfId="7" applyFont="1" applyFill="1" applyBorder="1" applyProtection="1">
      <protection hidden="1"/>
    </xf>
    <xf numFmtId="0" fontId="66" fillId="10" borderId="5" xfId="0" applyFont="1" applyFill="1" applyBorder="1" applyAlignment="1" applyProtection="1">
      <protection hidden="1"/>
    </xf>
    <xf numFmtId="0" fontId="56" fillId="8" borderId="13" xfId="0" applyFont="1" applyFill="1" applyBorder="1" applyAlignment="1">
      <alignment horizontal="center" vertical="center" wrapText="1"/>
    </xf>
    <xf numFmtId="0" fontId="56" fillId="24" borderId="0" xfId="0" applyFont="1" applyFill="1" applyBorder="1" applyAlignment="1">
      <alignment horizontal="center" vertical="center" wrapText="1"/>
    </xf>
    <xf numFmtId="10" fontId="6" fillId="0" borderId="41" xfId="7" applyNumberFormat="1" applyFont="1" applyBorder="1" applyProtection="1">
      <protection locked="0"/>
    </xf>
    <xf numFmtId="0" fontId="0" fillId="28" borderId="4" xfId="0" applyFill="1" applyBorder="1"/>
    <xf numFmtId="0" fontId="0" fillId="28" borderId="12" xfId="0" applyFill="1" applyBorder="1"/>
    <xf numFmtId="0" fontId="46" fillId="0" borderId="5" xfId="0" applyFont="1" applyBorder="1" applyAlignment="1" applyProtection="1">
      <alignment horizontal="center"/>
      <protection locked="0"/>
    </xf>
    <xf numFmtId="14" fontId="38" fillId="0" borderId="0" xfId="0" applyNumberFormat="1" applyFont="1" applyFill="1" applyBorder="1" applyProtection="1">
      <protection hidden="1"/>
    </xf>
    <xf numFmtId="0" fontId="66" fillId="18" borderId="5" xfId="0" applyFont="1" applyFill="1" applyBorder="1" applyAlignment="1" applyProtection="1">
      <alignment shrinkToFit="1"/>
      <protection hidden="1"/>
    </xf>
    <xf numFmtId="39" fontId="0" fillId="12" borderId="27" xfId="7" applyNumberFormat="1" applyFont="1" applyFill="1" applyBorder="1"/>
    <xf numFmtId="166" fontId="0" fillId="12" borderId="5" xfId="7" applyFont="1" applyFill="1" applyBorder="1"/>
    <xf numFmtId="0" fontId="0" fillId="14" borderId="3" xfId="0" applyFill="1" applyBorder="1"/>
    <xf numFmtId="0" fontId="0" fillId="14" borderId="5" xfId="0" applyFill="1" applyBorder="1"/>
    <xf numFmtId="0" fontId="0" fillId="14" borderId="74" xfId="0" applyFill="1" applyBorder="1"/>
    <xf numFmtId="166" fontId="6" fillId="12" borderId="41" xfId="7" applyFont="1" applyFill="1" applyBorder="1" applyProtection="1">
      <protection hidden="1"/>
    </xf>
    <xf numFmtId="14" fontId="6" fillId="0" borderId="0" xfId="0" applyNumberFormat="1" applyFont="1" applyFill="1" applyBorder="1" applyProtection="1">
      <protection hidden="1"/>
    </xf>
    <xf numFmtId="0" fontId="56" fillId="24" borderId="0" xfId="0" applyFont="1" applyFill="1" applyBorder="1" applyAlignment="1">
      <alignment horizontal="center" vertical="center" shrinkToFit="1"/>
    </xf>
    <xf numFmtId="166" fontId="6" fillId="0" borderId="27" xfId="7" applyFont="1" applyBorder="1" applyProtection="1">
      <protection locked="0"/>
    </xf>
    <xf numFmtId="0" fontId="56" fillId="8" borderId="12" xfId="0" applyFont="1" applyFill="1" applyBorder="1" applyAlignment="1">
      <alignment horizontal="center" vertical="center" wrapText="1"/>
    </xf>
    <xf numFmtId="0" fontId="66" fillId="14" borderId="12" xfId="0" applyFont="1" applyFill="1" applyBorder="1" applyProtection="1">
      <protection hidden="1"/>
    </xf>
    <xf numFmtId="181" fontId="66" fillId="10" borderId="5" xfId="0" applyNumberFormat="1" applyFont="1" applyFill="1" applyBorder="1" applyProtection="1">
      <protection hidden="1"/>
    </xf>
    <xf numFmtId="166" fontId="0" fillId="10" borderId="5" xfId="7" applyFont="1" applyFill="1" applyBorder="1" applyAlignment="1" applyProtection="1">
      <alignment shrinkToFit="1"/>
      <protection locked="0"/>
    </xf>
    <xf numFmtId="0" fontId="0" fillId="7" borderId="5" xfId="0" applyFill="1" applyBorder="1" applyAlignment="1" applyProtection="1">
      <alignment shrinkToFit="1"/>
      <protection locked="0"/>
    </xf>
    <xf numFmtId="0" fontId="9" fillId="10" borderId="3" xfId="0" applyFont="1" applyFill="1" applyBorder="1" applyAlignment="1" applyProtection="1">
      <alignment shrinkToFit="1"/>
      <protection locked="0"/>
    </xf>
    <xf numFmtId="166" fontId="66" fillId="8" borderId="3" xfId="7" applyFont="1" applyFill="1" applyBorder="1" applyAlignment="1" applyProtection="1">
      <alignment shrinkToFit="1"/>
      <protection hidden="1"/>
    </xf>
    <xf numFmtId="0" fontId="56" fillId="24" borderId="0" xfId="0" applyFont="1" applyFill="1" applyBorder="1" applyAlignment="1" applyProtection="1">
      <alignment horizontal="center" vertical="center" shrinkToFit="1"/>
      <protection locked="0"/>
    </xf>
    <xf numFmtId="0" fontId="0" fillId="9" borderId="27" xfId="0" applyFill="1" applyBorder="1"/>
    <xf numFmtId="0" fontId="0" fillId="9" borderId="74" xfId="0" applyFill="1" applyBorder="1"/>
    <xf numFmtId="0" fontId="39" fillId="12" borderId="27" xfId="0" applyFont="1" applyFill="1" applyBorder="1" applyAlignment="1" applyProtection="1">
      <protection hidden="1"/>
    </xf>
    <xf numFmtId="166" fontId="0" fillId="17" borderId="0" xfId="0" applyNumberFormat="1" applyFill="1" applyBorder="1" applyAlignment="1"/>
    <xf numFmtId="166" fontId="0" fillId="17" borderId="46" xfId="0" applyNumberFormat="1" applyFill="1" applyBorder="1" applyAlignment="1"/>
    <xf numFmtId="0" fontId="0" fillId="9" borderId="46" xfId="0" applyFill="1" applyBorder="1"/>
    <xf numFmtId="0" fontId="0" fillId="18" borderId="0" xfId="0" applyNumberFormat="1" applyFill="1" applyBorder="1" applyProtection="1">
      <protection hidden="1"/>
    </xf>
    <xf numFmtId="0" fontId="66" fillId="0" borderId="0" xfId="0" applyFont="1" applyFill="1" applyBorder="1"/>
    <xf numFmtId="178" fontId="6" fillId="0" borderId="0" xfId="0" applyNumberFormat="1" applyFont="1" applyFill="1" applyAlignment="1">
      <alignment horizontal="center"/>
    </xf>
    <xf numFmtId="166" fontId="0" fillId="14" borderId="5" xfId="7" applyFont="1" applyFill="1" applyBorder="1" applyAlignment="1" applyProtection="1">
      <alignment shrinkToFit="1"/>
      <protection locked="0"/>
    </xf>
    <xf numFmtId="166" fontId="0" fillId="7" borderId="5" xfId="7" applyFont="1" applyFill="1" applyBorder="1" applyAlignment="1" applyProtection="1">
      <alignment shrinkToFit="1"/>
      <protection locked="0"/>
    </xf>
    <xf numFmtId="10" fontId="6" fillId="0" borderId="27" xfId="0" applyNumberFormat="1" applyFont="1" applyBorder="1" applyProtection="1">
      <protection locked="0"/>
    </xf>
    <xf numFmtId="166" fontId="0" fillId="12" borderId="5" xfId="7" applyFont="1" applyFill="1" applyBorder="1" applyProtection="1">
      <protection hidden="1"/>
    </xf>
    <xf numFmtId="0" fontId="0" fillId="9" borderId="3" xfId="0" applyFill="1" applyBorder="1"/>
    <xf numFmtId="0" fontId="56" fillId="24" borderId="0" xfId="0" applyFont="1" applyFill="1" applyBorder="1" applyAlignment="1" applyProtection="1">
      <alignment horizontal="center" vertical="center" shrinkToFit="1"/>
      <protection hidden="1"/>
    </xf>
    <xf numFmtId="0" fontId="0" fillId="28" borderId="3" xfId="0" applyFill="1" applyBorder="1"/>
    <xf numFmtId="0" fontId="39" fillId="12" borderId="5" xfId="0" applyFont="1" applyFill="1" applyBorder="1" applyAlignment="1" applyProtection="1">
      <protection hidden="1"/>
    </xf>
    <xf numFmtId="0" fontId="46" fillId="12" borderId="5" xfId="0" applyFont="1" applyFill="1" applyBorder="1" applyAlignment="1" applyProtection="1">
      <alignment horizontal="center" shrinkToFit="1"/>
      <protection hidden="1"/>
    </xf>
    <xf numFmtId="0" fontId="66" fillId="0" borderId="0" xfId="0" applyFont="1" applyFill="1" applyAlignment="1" applyProtection="1">
      <alignment wrapText="1"/>
      <protection hidden="1"/>
    </xf>
    <xf numFmtId="0" fontId="66" fillId="10" borderId="0" xfId="0" applyFont="1" applyFill="1" applyAlignment="1" applyProtection="1">
      <alignment wrapText="1"/>
      <protection hidden="1"/>
    </xf>
    <xf numFmtId="0" fontId="6" fillId="10" borderId="5" xfId="0" applyFont="1" applyFill="1" applyBorder="1" applyAlignment="1">
      <alignment horizontal="center" shrinkToFit="1"/>
    </xf>
    <xf numFmtId="0" fontId="6" fillId="7" borderId="5" xfId="0" applyFont="1" applyFill="1" applyBorder="1" applyAlignment="1">
      <alignment horizontal="center" shrinkToFit="1"/>
    </xf>
    <xf numFmtId="0" fontId="13" fillId="7" borderId="5" xfId="0" applyFont="1" applyFill="1" applyBorder="1" applyAlignment="1">
      <alignment horizontal="center" shrinkToFit="1"/>
    </xf>
    <xf numFmtId="0" fontId="6" fillId="7" borderId="5" xfId="0" applyFont="1" applyFill="1" applyBorder="1" applyAlignment="1">
      <alignment horizontal="center"/>
    </xf>
    <xf numFmtId="0" fontId="56" fillId="8" borderId="3" xfId="0" applyFont="1" applyFill="1" applyBorder="1" applyAlignment="1">
      <alignment horizontal="center" vertical="center" wrapText="1"/>
    </xf>
    <xf numFmtId="0" fontId="6" fillId="10" borderId="27" xfId="0" applyFont="1" applyFill="1" applyBorder="1" applyAlignment="1">
      <alignment horizontal="center" shrinkToFit="1"/>
    </xf>
    <xf numFmtId="0" fontId="6" fillId="10" borderId="27" xfId="0" applyFont="1" applyFill="1" applyBorder="1" applyAlignment="1">
      <alignment shrinkToFit="1"/>
    </xf>
    <xf numFmtId="0" fontId="6" fillId="10" borderId="5" xfId="0" applyFont="1" applyFill="1" applyBorder="1" applyAlignment="1">
      <alignment shrinkToFit="1"/>
    </xf>
    <xf numFmtId="0" fontId="6" fillId="10" borderId="74" xfId="0" applyFont="1" applyFill="1" applyBorder="1" applyAlignment="1">
      <alignment shrinkToFit="1"/>
    </xf>
    <xf numFmtId="0" fontId="6" fillId="10" borderId="41" xfId="0" applyFont="1" applyFill="1" applyBorder="1" applyAlignment="1">
      <alignment horizontal="center"/>
    </xf>
    <xf numFmtId="0" fontId="66" fillId="18" borderId="5" xfId="0" applyFont="1" applyFill="1" applyBorder="1" applyAlignment="1" applyProtection="1">
      <alignment horizontal="center"/>
      <protection hidden="1"/>
    </xf>
    <xf numFmtId="0" fontId="66" fillId="18" borderId="5" xfId="0" applyFont="1" applyFill="1" applyBorder="1" applyAlignment="1" applyProtection="1">
      <alignment horizontal="center" wrapText="1"/>
      <protection hidden="1"/>
    </xf>
    <xf numFmtId="166" fontId="0" fillId="17" borderId="0" xfId="0" applyNumberFormat="1" applyFill="1" applyBorder="1"/>
    <xf numFmtId="166" fontId="0" fillId="17" borderId="5" xfId="0" applyNumberFormat="1" applyFill="1" applyBorder="1"/>
    <xf numFmtId="0" fontId="56" fillId="17" borderId="0" xfId="0" applyFont="1" applyFill="1" applyBorder="1" applyAlignment="1">
      <alignment horizontal="center" vertical="center" wrapText="1"/>
    </xf>
    <xf numFmtId="0" fontId="66" fillId="11" borderId="3" xfId="0" applyFont="1" applyFill="1" applyBorder="1" applyProtection="1">
      <protection hidden="1"/>
    </xf>
    <xf numFmtId="0" fontId="66" fillId="11" borderId="5" xfId="0" applyFont="1" applyFill="1" applyBorder="1" applyAlignment="1" applyProtection="1">
      <alignment horizontal="center"/>
      <protection hidden="1"/>
    </xf>
    <xf numFmtId="0" fontId="38" fillId="11" borderId="5" xfId="0" applyNumberFormat="1" applyFont="1" applyFill="1" applyBorder="1" applyAlignment="1" applyProtection="1">
      <alignment horizontal="center"/>
      <protection hidden="1"/>
    </xf>
    <xf numFmtId="0" fontId="69" fillId="17" borderId="0" xfId="0" applyFont="1" applyFill="1" applyBorder="1" applyAlignment="1">
      <alignment horizontal="center" vertical="center" wrapText="1"/>
    </xf>
    <xf numFmtId="0" fontId="69" fillId="24" borderId="8" xfId="0" applyFont="1" applyFill="1" applyBorder="1" applyAlignment="1">
      <alignment horizontal="center" vertical="center" wrapText="1"/>
    </xf>
    <xf numFmtId="49" fontId="6" fillId="12" borderId="5" xfId="0" applyNumberFormat="1" applyFont="1" applyFill="1" applyBorder="1" applyAlignment="1" applyProtection="1">
      <alignment horizontal="center" shrinkToFit="1"/>
    </xf>
    <xf numFmtId="0" fontId="66" fillId="11" borderId="3" xfId="0" applyFont="1" applyFill="1" applyBorder="1" applyAlignment="1" applyProtection="1">
      <alignment horizontal="center"/>
      <protection hidden="1"/>
    </xf>
    <xf numFmtId="0" fontId="38" fillId="11" borderId="5" xfId="0" applyFont="1" applyFill="1" applyBorder="1" applyAlignment="1" applyProtection="1">
      <alignment horizontal="center"/>
      <protection hidden="1"/>
    </xf>
    <xf numFmtId="0" fontId="6" fillId="12" borderId="5" xfId="0" applyFont="1" applyFill="1" applyBorder="1" applyAlignment="1" applyProtection="1">
      <alignment horizontal="center" shrinkToFit="1"/>
      <protection hidden="1"/>
    </xf>
    <xf numFmtId="0" fontId="6" fillId="12" borderId="5" xfId="0" applyFont="1" applyFill="1" applyBorder="1" applyAlignment="1" applyProtection="1">
      <alignment horizontal="center"/>
      <protection hidden="1"/>
    </xf>
    <xf numFmtId="178" fontId="6" fillId="12" borderId="74" xfId="0" applyNumberFormat="1" applyFont="1" applyFill="1" applyBorder="1" applyAlignment="1" applyProtection="1">
      <alignment horizontal="center"/>
      <protection hidden="1"/>
    </xf>
    <xf numFmtId="0" fontId="38" fillId="19" borderId="5" xfId="0" applyFont="1" applyFill="1" applyBorder="1" applyAlignment="1" applyProtection="1">
      <alignment horizontal="center"/>
      <protection hidden="1"/>
    </xf>
    <xf numFmtId="0" fontId="0" fillId="19" borderId="2" xfId="0" applyFill="1" applyBorder="1"/>
    <xf numFmtId="0" fontId="0" fillId="19" borderId="27" xfId="0" applyFill="1" applyBorder="1"/>
    <xf numFmtId="178" fontId="6" fillId="21" borderId="74" xfId="0" applyNumberFormat="1" applyFont="1" applyFill="1" applyBorder="1" applyAlignment="1" applyProtection="1">
      <alignment horizontal="center"/>
      <protection hidden="1"/>
    </xf>
    <xf numFmtId="166" fontId="6" fillId="21" borderId="41" xfId="7" applyFont="1" applyFill="1" applyBorder="1" applyProtection="1">
      <protection hidden="1"/>
    </xf>
    <xf numFmtId="10" fontId="6" fillId="12" borderId="5" xfId="0" applyNumberFormat="1" applyFont="1" applyFill="1" applyBorder="1" applyAlignment="1" applyProtection="1">
      <alignment shrinkToFit="1"/>
      <protection hidden="1"/>
    </xf>
    <xf numFmtId="166" fontId="6" fillId="21" borderId="41" xfId="0" applyNumberFormat="1" applyFont="1" applyFill="1" applyBorder="1" applyProtection="1">
      <protection hidden="1"/>
    </xf>
    <xf numFmtId="1" fontId="46" fillId="21" borderId="5" xfId="0" applyNumberFormat="1" applyFont="1" applyFill="1" applyBorder="1" applyAlignment="1" applyProtection="1">
      <alignment horizontal="center" shrinkToFit="1"/>
      <protection hidden="1"/>
    </xf>
    <xf numFmtId="0" fontId="0" fillId="29" borderId="0" xfId="0" applyFill="1" applyProtection="1">
      <protection hidden="1"/>
    </xf>
    <xf numFmtId="0" fontId="0" fillId="29" borderId="0" xfId="0" applyFill="1" applyAlignment="1" applyProtection="1">
      <alignment horizontal="center"/>
      <protection hidden="1"/>
    </xf>
    <xf numFmtId="4" fontId="16" fillId="24" borderId="41" xfId="0" applyNumberFormat="1" applyFont="1" applyFill="1" applyBorder="1" applyAlignment="1" applyProtection="1">
      <alignment horizontal="center"/>
      <protection locked="0"/>
    </xf>
    <xf numFmtId="3" fontId="6" fillId="21" borderId="0" xfId="0" applyNumberFormat="1" applyFont="1" applyFill="1" applyAlignment="1" applyProtection="1">
      <alignment horizontal="center"/>
      <protection hidden="1"/>
    </xf>
    <xf numFmtId="0" fontId="6" fillId="12" borderId="77" xfId="0" applyFont="1" applyFill="1" applyBorder="1" applyAlignment="1" applyProtection="1">
      <alignment horizontal="center"/>
      <protection hidden="1"/>
    </xf>
    <xf numFmtId="4" fontId="6" fillId="21" borderId="39" xfId="2" applyNumberFormat="1" applyFont="1" applyFill="1" applyBorder="1" applyProtection="1">
      <protection hidden="1"/>
    </xf>
    <xf numFmtId="166" fontId="73" fillId="21" borderId="39" xfId="7" applyFont="1" applyFill="1" applyBorder="1" applyProtection="1">
      <protection hidden="1"/>
    </xf>
    <xf numFmtId="166" fontId="73" fillId="21" borderId="5" xfId="7" applyFont="1" applyFill="1" applyBorder="1" applyProtection="1">
      <protection hidden="1"/>
    </xf>
    <xf numFmtId="166" fontId="73" fillId="21" borderId="41" xfId="7" applyFont="1" applyFill="1" applyBorder="1" applyProtection="1">
      <protection hidden="1"/>
    </xf>
    <xf numFmtId="166" fontId="6" fillId="21" borderId="75" xfId="7" applyFont="1" applyFill="1" applyBorder="1" applyProtection="1">
      <protection hidden="1"/>
    </xf>
    <xf numFmtId="166" fontId="6" fillId="21" borderId="5" xfId="7" applyFont="1" applyFill="1" applyBorder="1" applyProtection="1">
      <protection hidden="1"/>
    </xf>
    <xf numFmtId="3" fontId="46" fillId="21" borderId="67" xfId="0" applyNumberFormat="1" applyFont="1" applyFill="1" applyBorder="1" applyAlignment="1" applyProtection="1">
      <alignment horizontal="center"/>
      <protection hidden="1"/>
    </xf>
    <xf numFmtId="0" fontId="0" fillId="0" borderId="0" xfId="0" applyNumberFormat="1" applyFill="1"/>
    <xf numFmtId="179" fontId="63" fillId="0" borderId="0" xfId="5" applyNumberFormat="1" applyFont="1" applyFill="1"/>
    <xf numFmtId="0" fontId="0" fillId="22" borderId="5" xfId="0" applyFill="1" applyBorder="1" applyAlignment="1" applyProtection="1">
      <alignment shrinkToFit="1"/>
      <protection locked="0"/>
    </xf>
    <xf numFmtId="0" fontId="9" fillId="10" borderId="5" xfId="0" applyFont="1" applyFill="1" applyBorder="1" applyAlignment="1" applyProtection="1">
      <alignment shrinkToFit="1"/>
      <protection locked="0"/>
    </xf>
    <xf numFmtId="0" fontId="46" fillId="21" borderId="36" xfId="0" applyFont="1" applyFill="1" applyBorder="1" applyAlignment="1" applyProtection="1">
      <alignment horizontal="center"/>
      <protection hidden="1"/>
    </xf>
    <xf numFmtId="0" fontId="74" fillId="8" borderId="5" xfId="0" applyFont="1" applyFill="1" applyBorder="1"/>
    <xf numFmtId="17" fontId="74" fillId="22" borderId="5" xfId="0" applyNumberFormat="1" applyFont="1" applyFill="1" applyBorder="1"/>
    <xf numFmtId="0" fontId="74" fillId="22" borderId="5" xfId="0" applyFont="1" applyFill="1" applyBorder="1"/>
    <xf numFmtId="17" fontId="0" fillId="22" borderId="5" xfId="0" applyNumberFormat="1" applyFill="1" applyBorder="1"/>
    <xf numFmtId="0" fontId="0" fillId="22" borderId="5" xfId="0" applyFill="1" applyBorder="1"/>
    <xf numFmtId="17" fontId="18" fillId="22" borderId="5" xfId="0" applyNumberFormat="1" applyFont="1" applyFill="1" applyBorder="1"/>
    <xf numFmtId="0" fontId="0" fillId="29" borderId="5" xfId="0" applyFill="1" applyBorder="1"/>
    <xf numFmtId="0" fontId="9" fillId="26" borderId="0" xfId="0" applyFont="1" applyFill="1" applyBorder="1" applyAlignment="1" applyProtection="1">
      <alignment shrinkToFit="1"/>
      <protection locked="0"/>
    </xf>
    <xf numFmtId="166" fontId="66" fillId="26" borderId="0" xfId="7" applyFont="1" applyFill="1" applyBorder="1" applyAlignment="1" applyProtection="1">
      <alignment shrinkToFit="1"/>
      <protection locked="0"/>
    </xf>
    <xf numFmtId="166" fontId="6" fillId="26" borderId="0" xfId="7" applyFont="1" applyFill="1" applyBorder="1" applyProtection="1">
      <protection locked="0"/>
    </xf>
    <xf numFmtId="0" fontId="66" fillId="10" borderId="0" xfId="0" applyFont="1" applyFill="1" applyBorder="1" applyProtection="1">
      <protection hidden="1"/>
    </xf>
    <xf numFmtId="0" fontId="6" fillId="12" borderId="34" xfId="0" applyFont="1" applyFill="1" applyBorder="1" applyAlignment="1">
      <alignment vertical="center"/>
    </xf>
    <xf numFmtId="0" fontId="48" fillId="12" borderId="2" xfId="0" applyFont="1" applyFill="1" applyBorder="1" applyAlignment="1">
      <alignment vertical="center"/>
    </xf>
    <xf numFmtId="166" fontId="46" fillId="12" borderId="41" xfId="0" applyNumberFormat="1" applyFont="1" applyFill="1" applyBorder="1" applyAlignment="1" applyProtection="1">
      <alignment vertical="center" shrinkToFit="1"/>
      <protection hidden="1"/>
    </xf>
    <xf numFmtId="0" fontId="13" fillId="12" borderId="74" xfId="0" applyFont="1" applyFill="1" applyBorder="1" applyAlignment="1">
      <alignment horizontal="center" vertical="center" wrapText="1" shrinkToFit="1"/>
    </xf>
    <xf numFmtId="166" fontId="13" fillId="12" borderId="5" xfId="0" applyNumberFormat="1" applyFont="1" applyFill="1" applyBorder="1" applyAlignment="1">
      <alignment horizontal="center" vertical="center" wrapText="1"/>
    </xf>
    <xf numFmtId="0" fontId="6" fillId="12" borderId="32" xfId="0" applyFont="1" applyFill="1" applyBorder="1" applyAlignment="1">
      <alignment horizontal="center" vertical="center"/>
    </xf>
    <xf numFmtId="0" fontId="0" fillId="12" borderId="74" xfId="0" applyFill="1" applyBorder="1" applyAlignment="1">
      <alignment vertical="center"/>
    </xf>
    <xf numFmtId="0" fontId="0" fillId="0" borderId="27" xfId="0" applyBorder="1" applyAlignment="1">
      <alignment vertical="center"/>
    </xf>
    <xf numFmtId="0" fontId="0" fillId="12" borderId="8" xfId="0" applyFill="1" applyBorder="1" applyAlignment="1" applyProtection="1">
      <alignment vertical="center"/>
      <protection hidden="1"/>
    </xf>
    <xf numFmtId="0" fontId="0" fillId="21" borderId="0" xfId="0" applyFill="1" applyBorder="1" applyAlignment="1" applyProtection="1">
      <alignment vertical="center"/>
      <protection hidden="1"/>
    </xf>
    <xf numFmtId="0" fontId="0" fillId="12" borderId="7" xfId="0" applyFill="1" applyBorder="1" applyAlignment="1">
      <alignment vertical="center"/>
    </xf>
    <xf numFmtId="0" fontId="0" fillId="12" borderId="9" xfId="0" applyFill="1" applyBorder="1" applyAlignment="1">
      <alignment vertical="center"/>
    </xf>
    <xf numFmtId="0" fontId="0" fillId="12" borderId="11" xfId="0" applyFill="1" applyBorder="1" applyAlignment="1">
      <alignment vertical="center"/>
    </xf>
    <xf numFmtId="0" fontId="0" fillId="12" borderId="14" xfId="0" applyFill="1" applyBorder="1" applyAlignment="1">
      <alignment vertical="center"/>
    </xf>
    <xf numFmtId="0" fontId="0" fillId="12" borderId="6" xfId="0" applyFill="1" applyBorder="1" applyAlignment="1">
      <alignment vertical="center"/>
    </xf>
    <xf numFmtId="0" fontId="6" fillId="10" borderId="5" xfId="0" applyFont="1" applyFill="1" applyBorder="1" applyAlignment="1">
      <alignment horizontal="center" vertical="center"/>
    </xf>
    <xf numFmtId="0" fontId="6" fillId="10" borderId="41" xfId="0" applyFont="1" applyFill="1" applyBorder="1" applyAlignment="1">
      <alignment horizontal="center" vertical="center"/>
    </xf>
    <xf numFmtId="0" fontId="46" fillId="12" borderId="5" xfId="0" applyFont="1" applyFill="1" applyBorder="1" applyAlignment="1" applyProtection="1">
      <alignment horizontal="center" vertical="center" shrinkToFit="1"/>
      <protection hidden="1"/>
    </xf>
    <xf numFmtId="166" fontId="6" fillId="12" borderId="5" xfId="7" applyFont="1" applyFill="1" applyBorder="1" applyAlignment="1" applyProtection="1">
      <alignment vertical="center"/>
      <protection hidden="1"/>
    </xf>
    <xf numFmtId="0" fontId="39" fillId="12" borderId="5" xfId="0" applyFont="1" applyFill="1" applyBorder="1" applyAlignment="1" applyProtection="1">
      <alignment vertical="center"/>
      <protection hidden="1"/>
    </xf>
    <xf numFmtId="10" fontId="6" fillId="12" borderId="5" xfId="0" applyNumberFormat="1" applyFont="1" applyFill="1" applyBorder="1" applyAlignment="1" applyProtection="1">
      <alignment vertical="center" shrinkToFit="1"/>
      <protection hidden="1"/>
    </xf>
    <xf numFmtId="166" fontId="6" fillId="21" borderId="41" xfId="0" applyNumberFormat="1" applyFont="1" applyFill="1" applyBorder="1" applyAlignment="1" applyProtection="1">
      <alignment vertical="center"/>
      <protection hidden="1"/>
    </xf>
    <xf numFmtId="166" fontId="6" fillId="0" borderId="5" xfId="7" applyFont="1" applyBorder="1" applyAlignment="1" applyProtection="1">
      <alignment vertical="center"/>
      <protection locked="0"/>
    </xf>
    <xf numFmtId="166" fontId="73" fillId="21" borderId="41" xfId="7" applyFont="1" applyFill="1" applyBorder="1" applyAlignment="1" applyProtection="1">
      <alignment vertical="center"/>
      <protection hidden="1"/>
    </xf>
    <xf numFmtId="0" fontId="39" fillId="12" borderId="27" xfId="0" applyFont="1" applyFill="1" applyBorder="1" applyAlignment="1" applyProtection="1">
      <alignment vertical="center"/>
      <protection hidden="1"/>
    </xf>
    <xf numFmtId="166" fontId="6" fillId="21" borderId="41" xfId="7" applyFont="1" applyFill="1" applyBorder="1" applyAlignment="1" applyProtection="1">
      <alignment vertical="center"/>
      <protection hidden="1"/>
    </xf>
    <xf numFmtId="1" fontId="46" fillId="21" borderId="5" xfId="0" applyNumberFormat="1" applyFont="1" applyFill="1" applyBorder="1" applyAlignment="1" applyProtection="1">
      <alignment horizontal="center" vertical="center" shrinkToFit="1"/>
      <protection hidden="1"/>
    </xf>
    <xf numFmtId="166" fontId="73" fillId="21" borderId="5" xfId="7" applyFont="1" applyFill="1" applyBorder="1" applyAlignment="1" applyProtection="1">
      <alignment vertical="center"/>
      <protection hidden="1"/>
    </xf>
    <xf numFmtId="0" fontId="46" fillId="0" borderId="5" xfId="0" applyFont="1" applyBorder="1" applyAlignment="1" applyProtection="1">
      <alignment horizontal="center" vertical="center"/>
      <protection locked="0"/>
    </xf>
    <xf numFmtId="166" fontId="6" fillId="21" borderId="39" xfId="7" applyFont="1" applyFill="1" applyBorder="1" applyAlignment="1" applyProtection="1">
      <alignment vertical="center"/>
      <protection hidden="1"/>
    </xf>
    <xf numFmtId="166" fontId="6" fillId="0" borderId="39" xfId="7" applyFont="1" applyBorder="1" applyAlignment="1" applyProtection="1">
      <alignment vertical="center"/>
      <protection locked="0"/>
    </xf>
    <xf numFmtId="166" fontId="73" fillId="12" borderId="5" xfId="7" applyFont="1" applyFill="1" applyBorder="1" applyAlignment="1" applyProtection="1">
      <alignment vertical="center"/>
      <protection hidden="1"/>
    </xf>
    <xf numFmtId="166" fontId="6" fillId="21" borderId="5" xfId="7" applyFont="1" applyFill="1" applyBorder="1" applyAlignment="1" applyProtection="1">
      <alignment vertical="center"/>
      <protection hidden="1"/>
    </xf>
    <xf numFmtId="166" fontId="73" fillId="21" borderId="39" xfId="7" applyFont="1" applyFill="1" applyBorder="1" applyAlignment="1" applyProtection="1">
      <alignment vertical="center"/>
      <protection locked="0"/>
    </xf>
    <xf numFmtId="0" fontId="6" fillId="12" borderId="3" xfId="0" applyFont="1" applyFill="1" applyBorder="1" applyAlignment="1">
      <alignment horizontal="left" vertical="center"/>
    </xf>
    <xf numFmtId="0" fontId="46" fillId="21" borderId="5" xfId="0" applyFont="1" applyFill="1" applyBorder="1" applyAlignment="1" applyProtection="1">
      <alignment horizontal="center" vertical="center"/>
      <protection hidden="1"/>
    </xf>
    <xf numFmtId="166" fontId="6" fillId="12" borderId="27" xfId="7" applyFont="1" applyFill="1" applyBorder="1" applyAlignment="1">
      <alignment vertical="center"/>
    </xf>
    <xf numFmtId="166" fontId="6" fillId="17" borderId="27" xfId="7" applyFont="1" applyFill="1" applyBorder="1" applyAlignment="1">
      <alignment vertical="center"/>
    </xf>
    <xf numFmtId="166" fontId="6" fillId="17" borderId="41" xfId="7" applyFont="1" applyFill="1" applyBorder="1" applyAlignment="1">
      <alignment vertical="center"/>
    </xf>
    <xf numFmtId="0" fontId="6" fillId="10" borderId="74" xfId="0" applyFont="1" applyFill="1" applyBorder="1" applyAlignment="1">
      <alignment vertical="center" shrinkToFit="1"/>
    </xf>
    <xf numFmtId="0" fontId="6" fillId="10" borderId="5" xfId="0" applyFont="1" applyFill="1" applyBorder="1" applyAlignment="1">
      <alignment vertical="center" shrinkToFit="1"/>
    </xf>
    <xf numFmtId="0" fontId="6" fillId="10" borderId="27" xfId="0" applyFont="1" applyFill="1" applyBorder="1" applyAlignment="1">
      <alignment vertical="center" shrinkToFit="1"/>
    </xf>
    <xf numFmtId="0" fontId="6" fillId="10" borderId="27" xfId="0" applyFont="1" applyFill="1" applyBorder="1" applyAlignment="1">
      <alignment horizontal="center" vertical="center" shrinkToFit="1"/>
    </xf>
    <xf numFmtId="166" fontId="0" fillId="12" borderId="5" xfId="7" applyFont="1" applyFill="1" applyBorder="1" applyAlignment="1" applyProtection="1">
      <alignment vertical="center"/>
      <protection hidden="1"/>
    </xf>
    <xf numFmtId="10" fontId="6" fillId="0" borderId="27" xfId="0" applyNumberFormat="1" applyFont="1" applyBorder="1" applyAlignment="1" applyProtection="1">
      <alignment vertical="center"/>
      <protection locked="0"/>
    </xf>
    <xf numFmtId="0" fontId="0" fillId="14" borderId="74" xfId="0" applyFill="1" applyBorder="1" applyAlignment="1">
      <alignment vertical="center"/>
    </xf>
    <xf numFmtId="0" fontId="0" fillId="14" borderId="5" xfId="0" applyFill="1" applyBorder="1" applyAlignment="1">
      <alignment vertical="center"/>
    </xf>
    <xf numFmtId="0" fontId="0" fillId="28" borderId="3" xfId="0" applyFill="1" applyBorder="1" applyAlignment="1">
      <alignment vertical="center"/>
    </xf>
    <xf numFmtId="0" fontId="0" fillId="9" borderId="74" xfId="0" applyFill="1" applyBorder="1" applyAlignment="1">
      <alignment vertical="center"/>
    </xf>
    <xf numFmtId="0" fontId="0" fillId="9" borderId="5" xfId="0" applyFill="1" applyBorder="1" applyAlignment="1">
      <alignment vertical="center"/>
    </xf>
    <xf numFmtId="0" fontId="0" fillId="9" borderId="3" xfId="0" applyFill="1" applyBorder="1" applyAlignment="1">
      <alignment vertical="center"/>
    </xf>
    <xf numFmtId="0" fontId="0" fillId="9" borderId="46" xfId="0" applyFill="1" applyBorder="1" applyAlignment="1">
      <alignment vertical="center"/>
    </xf>
    <xf numFmtId="166" fontId="0" fillId="17" borderId="46" xfId="0" applyNumberFormat="1" applyFill="1" applyBorder="1" applyAlignment="1">
      <alignment vertical="center"/>
    </xf>
    <xf numFmtId="166" fontId="0" fillId="17" borderId="0" xfId="0" applyNumberFormat="1" applyFill="1" applyBorder="1" applyAlignment="1">
      <alignment vertical="center"/>
    </xf>
    <xf numFmtId="0" fontId="0" fillId="9" borderId="27" xfId="0" applyFill="1" applyBorder="1" applyAlignment="1">
      <alignment vertical="center"/>
    </xf>
    <xf numFmtId="166" fontId="0" fillId="12" borderId="3" xfId="7" applyFont="1" applyFill="1" applyBorder="1" applyAlignment="1" applyProtection="1">
      <alignment vertical="center"/>
      <protection hidden="1"/>
    </xf>
    <xf numFmtId="166" fontId="6" fillId="0" borderId="27" xfId="7" applyFont="1" applyBorder="1" applyAlignment="1" applyProtection="1">
      <alignment vertical="center"/>
      <protection locked="0"/>
    </xf>
    <xf numFmtId="166" fontId="0" fillId="12" borderId="5" xfId="7" applyFont="1" applyFill="1" applyBorder="1" applyAlignment="1">
      <alignment vertical="center"/>
    </xf>
    <xf numFmtId="39" fontId="0" fillId="12" borderId="27" xfId="7" applyNumberFormat="1" applyFont="1" applyFill="1" applyBorder="1" applyAlignment="1">
      <alignment vertical="center"/>
    </xf>
    <xf numFmtId="0" fontId="0" fillId="28" borderId="76" xfId="0" applyFill="1" applyBorder="1" applyAlignment="1">
      <alignment vertical="center"/>
    </xf>
    <xf numFmtId="0" fontId="0" fillId="28" borderId="26" xfId="0" applyFill="1" applyBorder="1" applyAlignment="1">
      <alignment vertical="center"/>
    </xf>
    <xf numFmtId="0" fontId="0" fillId="28" borderId="12" xfId="0" applyFill="1" applyBorder="1" applyAlignment="1">
      <alignment vertical="center"/>
    </xf>
    <xf numFmtId="0" fontId="0" fillId="0" borderId="0" xfId="0" applyBorder="1" applyAlignment="1">
      <alignment vertical="center"/>
    </xf>
    <xf numFmtId="0" fontId="0" fillId="28" borderId="4" xfId="0" applyFill="1" applyBorder="1" applyAlignment="1">
      <alignment vertical="center"/>
    </xf>
    <xf numFmtId="10" fontId="6" fillId="0" borderId="41" xfId="7" applyNumberFormat="1" applyFont="1" applyBorder="1" applyAlignment="1" applyProtection="1">
      <alignment vertical="center"/>
      <protection locked="0"/>
    </xf>
    <xf numFmtId="0" fontId="0" fillId="28" borderId="70" xfId="0" applyFill="1" applyBorder="1" applyAlignment="1">
      <alignment vertical="center"/>
    </xf>
    <xf numFmtId="0" fontId="0" fillId="23" borderId="27" xfId="0" applyFill="1" applyBorder="1" applyAlignment="1">
      <alignment vertical="center"/>
    </xf>
    <xf numFmtId="166" fontId="66" fillId="23" borderId="2" xfId="7" applyFont="1" applyFill="1" applyBorder="1" applyAlignment="1" applyProtection="1">
      <alignment vertical="center"/>
      <protection hidden="1"/>
    </xf>
    <xf numFmtId="166" fontId="66" fillId="23" borderId="3" xfId="7" applyFont="1" applyFill="1" applyBorder="1" applyAlignment="1" applyProtection="1">
      <alignment vertical="center"/>
      <protection hidden="1"/>
    </xf>
    <xf numFmtId="10" fontId="6" fillId="0" borderId="45" xfId="7" applyNumberFormat="1" applyFont="1" applyBorder="1" applyAlignment="1" applyProtection="1">
      <alignment vertical="center"/>
      <protection locked="0"/>
    </xf>
    <xf numFmtId="0" fontId="0" fillId="23" borderId="46" xfId="0" applyFill="1" applyBorder="1" applyAlignment="1">
      <alignment vertical="center"/>
    </xf>
    <xf numFmtId="0" fontId="0" fillId="23" borderId="9" xfId="0" applyFill="1" applyBorder="1" applyAlignment="1">
      <alignment vertical="center"/>
    </xf>
    <xf numFmtId="0" fontId="18" fillId="0" borderId="41" xfId="0" applyFont="1" applyBorder="1" applyAlignment="1">
      <alignment horizontal="center" vertical="center"/>
    </xf>
    <xf numFmtId="0" fontId="0" fillId="23" borderId="70" xfId="0" applyFill="1" applyBorder="1" applyAlignment="1">
      <alignment vertical="center"/>
    </xf>
    <xf numFmtId="0" fontId="0" fillId="23" borderId="0" xfId="0" applyFill="1" applyBorder="1" applyAlignment="1">
      <alignment vertical="center"/>
    </xf>
    <xf numFmtId="10" fontId="6" fillId="0" borderId="40" xfId="7" applyNumberFormat="1" applyFont="1" applyFill="1" applyBorder="1" applyAlignment="1" applyProtection="1">
      <alignment vertical="center"/>
      <protection locked="0"/>
    </xf>
    <xf numFmtId="0" fontId="0" fillId="9" borderId="76" xfId="0" applyFill="1" applyBorder="1" applyAlignment="1">
      <alignment vertical="center"/>
    </xf>
    <xf numFmtId="0" fontId="0" fillId="9" borderId="26" xfId="0" applyFill="1" applyBorder="1" applyAlignment="1">
      <alignment vertical="center"/>
    </xf>
    <xf numFmtId="0" fontId="0" fillId="23" borderId="7" xfId="0" applyFill="1" applyBorder="1" applyAlignment="1">
      <alignment vertical="center"/>
    </xf>
    <xf numFmtId="0" fontId="0" fillId="9" borderId="12" xfId="0" applyFill="1" applyBorder="1" applyAlignment="1">
      <alignment vertical="center"/>
    </xf>
    <xf numFmtId="0" fontId="0" fillId="12" borderId="41" xfId="0" applyFill="1" applyBorder="1" applyAlignment="1" applyProtection="1">
      <alignment horizontal="center" vertical="center"/>
      <protection hidden="1"/>
    </xf>
    <xf numFmtId="166" fontId="0" fillId="12" borderId="3" xfId="7" applyFont="1" applyFill="1" applyBorder="1" applyAlignment="1">
      <alignment vertical="center"/>
    </xf>
    <xf numFmtId="10" fontId="0" fillId="12" borderId="5" xfId="0" applyNumberFormat="1" applyFill="1" applyBorder="1" applyAlignment="1">
      <alignment vertical="center"/>
    </xf>
    <xf numFmtId="2" fontId="0" fillId="12" borderId="41" xfId="0" applyNumberFormat="1" applyFill="1" applyBorder="1" applyAlignment="1">
      <alignment horizontal="right" vertical="center"/>
    </xf>
    <xf numFmtId="10" fontId="6" fillId="0" borderId="5" xfId="0" applyNumberFormat="1" applyFont="1" applyBorder="1" applyAlignment="1" applyProtection="1">
      <alignment vertical="center"/>
      <protection locked="0"/>
    </xf>
    <xf numFmtId="0" fontId="6" fillId="0" borderId="41" xfId="0" applyFont="1" applyBorder="1" applyAlignment="1" applyProtection="1">
      <alignment vertical="center"/>
      <protection locked="0"/>
    </xf>
    <xf numFmtId="2" fontId="6" fillId="24" borderId="41" xfId="0" applyNumberFormat="1" applyFont="1" applyFill="1" applyBorder="1" applyAlignment="1" applyProtection="1">
      <alignment vertical="center"/>
      <protection locked="0"/>
    </xf>
    <xf numFmtId="166" fontId="0" fillId="12" borderId="5" xfId="7" applyFont="1" applyFill="1" applyBorder="1" applyAlignment="1" applyProtection="1">
      <alignment vertical="center" shrinkToFit="1"/>
    </xf>
    <xf numFmtId="0" fontId="0" fillId="27" borderId="76" xfId="0" applyFill="1" applyBorder="1" applyAlignment="1">
      <alignment vertical="center"/>
    </xf>
    <xf numFmtId="0" fontId="0" fillId="27" borderId="26" xfId="0" applyFill="1" applyBorder="1" applyAlignment="1">
      <alignment vertical="center"/>
    </xf>
    <xf numFmtId="0" fontId="6" fillId="12" borderId="5" xfId="0" applyFont="1" applyFill="1" applyBorder="1" applyAlignment="1">
      <alignment horizontal="left" vertical="center"/>
    </xf>
    <xf numFmtId="2" fontId="6" fillId="0" borderId="41" xfId="0" applyNumberFormat="1" applyFont="1" applyBorder="1" applyAlignment="1" applyProtection="1">
      <alignment vertical="center"/>
      <protection locked="0"/>
    </xf>
    <xf numFmtId="0" fontId="0" fillId="27" borderId="4" xfId="0" applyFill="1" applyBorder="1" applyAlignment="1">
      <alignment vertical="center"/>
    </xf>
    <xf numFmtId="166" fontId="6" fillId="12" borderId="26" xfId="7" applyFont="1" applyFill="1" applyBorder="1" applyAlignment="1" applyProtection="1">
      <alignment vertical="center"/>
      <protection hidden="1"/>
    </xf>
    <xf numFmtId="166" fontId="6" fillId="0" borderId="75" xfId="7" applyFont="1" applyBorder="1" applyAlignment="1" applyProtection="1">
      <alignment vertical="center"/>
      <protection locked="0"/>
    </xf>
    <xf numFmtId="166" fontId="6" fillId="21" borderId="75" xfId="7" applyFont="1" applyFill="1" applyBorder="1" applyAlignment="1" applyProtection="1">
      <alignment vertical="center"/>
      <protection hidden="1"/>
    </xf>
    <xf numFmtId="166" fontId="6" fillId="0" borderId="41" xfId="7" applyFont="1" applyFill="1" applyBorder="1" applyAlignment="1" applyProtection="1">
      <alignment horizontal="left" vertical="center"/>
      <protection locked="0"/>
    </xf>
    <xf numFmtId="166" fontId="0" fillId="21" borderId="41" xfId="0" applyNumberFormat="1" applyFill="1" applyBorder="1" applyAlignment="1" applyProtection="1">
      <alignment vertical="center"/>
      <protection hidden="1"/>
    </xf>
    <xf numFmtId="166" fontId="68" fillId="12" borderId="51" xfId="7" applyFont="1" applyFill="1" applyBorder="1" applyAlignment="1" applyProtection="1">
      <alignment horizontal="left" vertical="center"/>
      <protection hidden="1"/>
    </xf>
    <xf numFmtId="0" fontId="0" fillId="0" borderId="7" xfId="0" applyBorder="1" applyAlignment="1">
      <alignment vertical="center"/>
    </xf>
    <xf numFmtId="0" fontId="13" fillId="26" borderId="73" xfId="0" applyFont="1" applyFill="1" applyBorder="1" applyAlignment="1">
      <alignment horizontal="center" vertical="center"/>
    </xf>
    <xf numFmtId="0" fontId="13" fillId="26" borderId="71" xfId="0" applyFont="1" applyFill="1" applyBorder="1" applyAlignment="1">
      <alignment horizontal="center" vertical="center"/>
    </xf>
    <xf numFmtId="0" fontId="13" fillId="26" borderId="73" xfId="0" applyFont="1" applyFill="1" applyBorder="1" applyAlignment="1">
      <alignment horizontal="center"/>
    </xf>
    <xf numFmtId="0" fontId="13" fillId="26" borderId="71" xfId="0" applyFont="1" applyFill="1" applyBorder="1" applyAlignment="1">
      <alignment horizontal="center"/>
    </xf>
    <xf numFmtId="0" fontId="13" fillId="26" borderId="78" xfId="0" applyFont="1" applyFill="1" applyBorder="1" applyAlignment="1" applyProtection="1">
      <alignment horizontal="center"/>
      <protection hidden="1"/>
    </xf>
    <xf numFmtId="0" fontId="13" fillId="26" borderId="78" xfId="0" applyFont="1" applyFill="1" applyBorder="1" applyAlignment="1">
      <alignment horizontal="center" vertical="center"/>
    </xf>
    <xf numFmtId="0" fontId="16" fillId="3" borderId="27" xfId="0" applyFont="1" applyFill="1" applyBorder="1" applyAlignment="1" applyProtection="1">
      <alignment horizontal="center" vertical="center" wrapText="1"/>
      <protection hidden="1"/>
    </xf>
    <xf numFmtId="0" fontId="16" fillId="3" borderId="2" xfId="0" applyFont="1" applyFill="1" applyBorder="1" applyAlignment="1" applyProtection="1">
      <alignment horizontal="center" vertical="center" wrapText="1"/>
      <protection hidden="1"/>
    </xf>
    <xf numFmtId="0" fontId="16" fillId="3" borderId="3" xfId="0" applyFont="1" applyFill="1" applyBorder="1" applyAlignment="1" applyProtection="1">
      <alignment horizontal="center" vertical="center" wrapText="1"/>
      <protection hidden="1"/>
    </xf>
    <xf numFmtId="0" fontId="20" fillId="5" borderId="27" xfId="0" applyFont="1" applyFill="1" applyBorder="1" applyAlignment="1" applyProtection="1">
      <alignment horizontal="center" vertical="center" wrapText="1"/>
      <protection hidden="1"/>
    </xf>
    <xf numFmtId="0" fontId="20" fillId="5" borderId="2" xfId="0" applyFont="1" applyFill="1" applyBorder="1" applyAlignment="1" applyProtection="1">
      <alignment horizontal="center" vertical="center" wrapText="1"/>
      <protection hidden="1"/>
    </xf>
    <xf numFmtId="0" fontId="20" fillId="5" borderId="3" xfId="0" applyFont="1" applyFill="1" applyBorder="1" applyAlignment="1" applyProtection="1">
      <alignment horizontal="center" vertical="center" wrapText="1"/>
      <protection hidden="1"/>
    </xf>
    <xf numFmtId="0" fontId="30" fillId="4" borderId="0" xfId="0" applyFont="1" applyFill="1" applyBorder="1" applyAlignment="1">
      <alignment horizontal="left" vertical="center"/>
    </xf>
    <xf numFmtId="0" fontId="22" fillId="4" borderId="0" xfId="0" applyFont="1" applyFill="1" applyBorder="1" applyAlignment="1" applyProtection="1">
      <alignment horizontal="justify" vertical="center" wrapText="1"/>
      <protection hidden="1"/>
    </xf>
    <xf numFmtId="0" fontId="22" fillId="4" borderId="0" xfId="0" applyFont="1" applyFill="1" applyBorder="1" applyAlignment="1">
      <alignment horizontal="justify" vertical="center" wrapText="1"/>
    </xf>
    <xf numFmtId="0" fontId="26" fillId="4" borderId="0" xfId="0" applyFont="1" applyFill="1" applyBorder="1" applyAlignment="1" applyProtection="1">
      <alignment horizontal="left" vertical="top"/>
      <protection hidden="1"/>
    </xf>
    <xf numFmtId="0" fontId="0" fillId="3" borderId="9" xfId="0" applyFill="1" applyBorder="1" applyAlignment="1">
      <alignment horizontal="center"/>
    </xf>
    <xf numFmtId="0" fontId="22" fillId="4" borderId="0" xfId="0" applyFont="1" applyFill="1" applyBorder="1" applyAlignment="1" applyProtection="1">
      <alignment horizontal="left"/>
      <protection hidden="1"/>
    </xf>
    <xf numFmtId="0" fontId="22" fillId="4" borderId="0" xfId="0" applyFont="1" applyFill="1" applyBorder="1" applyAlignment="1" applyProtection="1">
      <alignment horizontal="left" vertical="center"/>
      <protection hidden="1"/>
    </xf>
    <xf numFmtId="0" fontId="37" fillId="4" borderId="0" xfId="0" applyFont="1" applyFill="1" applyBorder="1" applyAlignment="1">
      <alignment horizontal="center" vertical="center"/>
    </xf>
    <xf numFmtId="0" fontId="22" fillId="4" borderId="0" xfId="0" applyFont="1" applyFill="1" applyBorder="1" applyAlignment="1">
      <alignment horizontal="justify" wrapText="1"/>
    </xf>
    <xf numFmtId="0" fontId="30" fillId="4" borderId="0" xfId="0" applyFont="1" applyFill="1" applyBorder="1" applyAlignment="1">
      <alignment horizontal="left" vertical="center" wrapText="1"/>
    </xf>
    <xf numFmtId="0" fontId="0" fillId="0" borderId="0" xfId="0" applyAlignment="1">
      <alignment horizontal="left" vertical="center" wrapText="1"/>
    </xf>
    <xf numFmtId="0" fontId="28" fillId="4" borderId="0" xfId="0" applyFont="1" applyFill="1" applyBorder="1" applyAlignment="1">
      <alignment horizontal="justify" vertical="justify" wrapText="1"/>
    </xf>
    <xf numFmtId="0" fontId="32" fillId="4" borderId="0" xfId="0" applyFont="1" applyFill="1" applyBorder="1" applyAlignment="1">
      <alignment horizontal="justify" vertical="justify" wrapText="1"/>
    </xf>
    <xf numFmtId="0" fontId="32" fillId="4" borderId="0" xfId="0" applyFont="1" applyFill="1" applyBorder="1" applyAlignment="1">
      <alignment horizontal="left" vertical="center"/>
    </xf>
    <xf numFmtId="0" fontId="22" fillId="4" borderId="0" xfId="0" applyFont="1" applyFill="1" applyBorder="1" applyAlignment="1" applyProtection="1">
      <alignment horizontal="left" wrapText="1"/>
      <protection hidden="1"/>
    </xf>
    <xf numFmtId="0" fontId="44" fillId="4" borderId="0" xfId="0" applyFont="1" applyFill="1" applyAlignment="1">
      <alignment horizontal="justify" vertical="justify" wrapText="1" shrinkToFit="1"/>
    </xf>
    <xf numFmtId="0" fontId="35" fillId="4" borderId="0" xfId="0" applyFont="1" applyFill="1" applyAlignment="1">
      <alignment horizontal="justify" vertical="justify" wrapText="1" shrinkToFit="1"/>
    </xf>
    <xf numFmtId="0" fontId="30" fillId="4" borderId="0" xfId="0" applyFont="1" applyFill="1" applyBorder="1" applyAlignment="1">
      <alignment horizontal="justify" vertical="justify" wrapText="1" shrinkToFit="1"/>
    </xf>
    <xf numFmtId="0" fontId="0" fillId="0" borderId="0" xfId="0" applyAlignment="1">
      <alignment horizontal="justify" vertical="justify" wrapText="1" shrinkToFit="1"/>
    </xf>
    <xf numFmtId="0" fontId="50" fillId="4" borderId="0" xfId="0" applyFont="1" applyFill="1" applyAlignment="1">
      <alignment horizontal="left" vertical="justify" wrapText="1" shrinkToFit="1"/>
    </xf>
    <xf numFmtId="0" fontId="58" fillId="4" borderId="0" xfId="0" applyFont="1" applyFill="1" applyAlignment="1">
      <alignment horizontal="justify" vertical="justify" wrapText="1" shrinkToFit="1"/>
    </xf>
    <xf numFmtId="0" fontId="50" fillId="4" borderId="0" xfId="0" applyFont="1" applyFill="1" applyAlignment="1">
      <alignment horizontal="justify" vertical="justify" wrapText="1" shrinkToFit="1"/>
    </xf>
    <xf numFmtId="0" fontId="50" fillId="4" borderId="0" xfId="0" applyFont="1" applyFill="1" applyAlignment="1">
      <alignment horizontal="justify" vertical="center" wrapText="1" shrinkToFit="1"/>
    </xf>
    <xf numFmtId="0" fontId="75" fillId="4" borderId="0" xfId="0" applyFont="1" applyFill="1" applyAlignment="1">
      <alignment horizontal="left" vertical="justify" wrapText="1" shrinkToFit="1"/>
    </xf>
    <xf numFmtId="0" fontId="73" fillId="4" borderId="0" xfId="0" applyFont="1" applyFill="1" applyAlignment="1">
      <alignment horizontal="left" vertical="justify" wrapText="1" shrinkToFit="1"/>
    </xf>
    <xf numFmtId="0" fontId="11" fillId="3" borderId="14" xfId="0" applyFont="1" applyFill="1" applyBorder="1" applyAlignment="1" applyProtection="1">
      <alignment horizontal="left" shrinkToFit="1"/>
      <protection hidden="1"/>
    </xf>
    <xf numFmtId="0" fontId="11" fillId="3" borderId="6" xfId="0" applyFont="1" applyFill="1" applyBorder="1" applyAlignment="1" applyProtection="1">
      <alignment horizontal="left" shrinkToFit="1"/>
      <protection hidden="1"/>
    </xf>
    <xf numFmtId="0" fontId="11" fillId="3" borderId="15" xfId="0" applyFont="1" applyFill="1" applyBorder="1" applyAlignment="1" applyProtection="1">
      <alignment horizontal="left" shrinkToFit="1"/>
      <protection hidden="1"/>
    </xf>
    <xf numFmtId="0" fontId="16" fillId="3" borderId="70" xfId="0" applyFont="1" applyFill="1" applyBorder="1" applyAlignment="1" applyProtection="1">
      <alignment horizontal="center"/>
      <protection hidden="1"/>
    </xf>
    <xf numFmtId="0" fontId="17" fillId="3" borderId="4" xfId="0" applyFont="1" applyFill="1" applyBorder="1" applyAlignment="1" applyProtection="1">
      <alignment horizontal="center"/>
      <protection hidden="1"/>
    </xf>
    <xf numFmtId="0" fontId="11" fillId="3" borderId="35" xfId="0" applyFont="1" applyFill="1" applyBorder="1" applyAlignment="1" applyProtection="1">
      <alignment horizontal="left"/>
      <protection hidden="1"/>
    </xf>
    <xf numFmtId="0" fontId="11" fillId="3" borderId="37" xfId="0" applyFont="1" applyFill="1" applyBorder="1" applyAlignment="1" applyProtection="1">
      <alignment horizontal="left"/>
      <protection hidden="1"/>
    </xf>
    <xf numFmtId="0" fontId="11" fillId="3" borderId="81" xfId="0" applyFont="1" applyFill="1" applyBorder="1" applyAlignment="1" applyProtection="1">
      <alignment horizontal="left"/>
      <protection hidden="1"/>
    </xf>
    <xf numFmtId="0" fontId="5" fillId="3" borderId="70" xfId="0" applyFont="1" applyFill="1" applyBorder="1" applyAlignment="1" applyProtection="1">
      <protection hidden="1"/>
    </xf>
    <xf numFmtId="0" fontId="7" fillId="3" borderId="4" xfId="0" applyFont="1" applyFill="1" applyBorder="1" applyAlignment="1"/>
    <xf numFmtId="0" fontId="16" fillId="3" borderId="34" xfId="0" applyFont="1" applyFill="1" applyBorder="1" applyAlignment="1" applyProtection="1">
      <alignment shrinkToFit="1"/>
      <protection hidden="1"/>
    </xf>
    <xf numFmtId="0" fontId="0" fillId="3" borderId="2" xfId="0" applyFill="1" applyBorder="1" applyAlignment="1" applyProtection="1">
      <alignment shrinkToFit="1"/>
      <protection hidden="1"/>
    </xf>
    <xf numFmtId="0" fontId="0" fillId="3" borderId="3" xfId="0" applyFill="1" applyBorder="1" applyAlignment="1" applyProtection="1">
      <alignment shrinkToFit="1"/>
      <protection hidden="1"/>
    </xf>
    <xf numFmtId="0" fontId="14" fillId="5" borderId="82" xfId="0" applyFont="1" applyFill="1" applyBorder="1" applyAlignment="1" applyProtection="1">
      <alignment horizontal="center"/>
      <protection hidden="1"/>
    </xf>
    <xf numFmtId="0" fontId="15" fillId="5" borderId="83" xfId="0" applyFont="1" applyFill="1" applyBorder="1" applyAlignment="1" applyProtection="1">
      <alignment horizontal="center"/>
      <protection hidden="1"/>
    </xf>
    <xf numFmtId="0" fontId="15" fillId="5" borderId="84" xfId="0" applyFont="1" applyFill="1" applyBorder="1" applyAlignment="1" applyProtection="1">
      <alignment horizontal="center"/>
      <protection hidden="1"/>
    </xf>
    <xf numFmtId="0" fontId="6" fillId="3" borderId="14" xfId="0" applyFont="1" applyFill="1" applyBorder="1" applyAlignment="1" applyProtection="1">
      <alignment shrinkToFit="1"/>
      <protection hidden="1"/>
    </xf>
    <xf numFmtId="0" fontId="0" fillId="3" borderId="6" xfId="0" applyFill="1" applyBorder="1" applyAlignment="1">
      <alignment shrinkToFit="1"/>
    </xf>
    <xf numFmtId="0" fontId="0" fillId="3" borderId="15" xfId="0" applyFill="1" applyBorder="1" applyAlignment="1">
      <alignment shrinkToFit="1"/>
    </xf>
    <xf numFmtId="0" fontId="6" fillId="3" borderId="0" xfId="0" applyFont="1" applyFill="1" applyAlignment="1">
      <alignment horizontal="center" shrinkToFit="1"/>
    </xf>
    <xf numFmtId="0" fontId="16" fillId="3" borderId="9" xfId="0" applyFont="1" applyFill="1" applyBorder="1" applyAlignment="1" applyProtection="1">
      <alignment horizontal="center"/>
      <protection hidden="1"/>
    </xf>
    <xf numFmtId="0" fontId="17" fillId="3" borderId="11" xfId="0" applyFont="1" applyFill="1" applyBorder="1" applyAlignment="1" applyProtection="1">
      <alignment horizontal="center"/>
      <protection hidden="1"/>
    </xf>
    <xf numFmtId="0" fontId="6" fillId="3" borderId="27" xfId="0" applyFont="1" applyFill="1" applyBorder="1" applyAlignment="1" applyProtection="1">
      <protection hidden="1"/>
    </xf>
    <xf numFmtId="0" fontId="0" fillId="3" borderId="2" xfId="0" applyFill="1" applyBorder="1" applyAlignment="1" applyProtection="1">
      <protection hidden="1"/>
    </xf>
    <xf numFmtId="0" fontId="0" fillId="3" borderId="3" xfId="0" applyFill="1" applyBorder="1" applyAlignment="1" applyProtection="1">
      <protection hidden="1"/>
    </xf>
    <xf numFmtId="0" fontId="48" fillId="5" borderId="82" xfId="0" applyFont="1" applyFill="1" applyBorder="1" applyAlignment="1" applyProtection="1">
      <alignment horizontal="center"/>
      <protection hidden="1"/>
    </xf>
    <xf numFmtId="0" fontId="48" fillId="5" borderId="83" xfId="0" applyFont="1" applyFill="1" applyBorder="1" applyAlignment="1" applyProtection="1">
      <alignment horizontal="center"/>
      <protection hidden="1"/>
    </xf>
    <xf numFmtId="0" fontId="49" fillId="5" borderId="84" xfId="0" applyFont="1" applyFill="1" applyBorder="1" applyAlignment="1" applyProtection="1">
      <alignment horizontal="center"/>
      <protection hidden="1"/>
    </xf>
    <xf numFmtId="0" fontId="16" fillId="3" borderId="8" xfId="0" applyFont="1" applyFill="1" applyBorder="1" applyAlignment="1" applyProtection="1">
      <alignment horizontal="center"/>
      <protection hidden="1"/>
    </xf>
    <xf numFmtId="0" fontId="17" fillId="3" borderId="0" xfId="0" applyFont="1" applyFill="1" applyBorder="1" applyAlignment="1" applyProtection="1">
      <alignment horizontal="center"/>
      <protection hidden="1"/>
    </xf>
    <xf numFmtId="10" fontId="16" fillId="3" borderId="9" xfId="5" applyNumberFormat="1" applyFont="1" applyFill="1" applyBorder="1" applyAlignment="1" applyProtection="1">
      <alignment horizontal="center"/>
      <protection hidden="1"/>
    </xf>
    <xf numFmtId="0" fontId="17" fillId="3" borderId="47" xfId="0" applyFont="1" applyFill="1" applyBorder="1" applyAlignment="1" applyProtection="1">
      <alignment horizontal="center"/>
      <protection hidden="1"/>
    </xf>
    <xf numFmtId="0" fontId="5" fillId="3" borderId="82" xfId="0" applyFont="1" applyFill="1" applyBorder="1" applyAlignment="1" applyProtection="1">
      <protection hidden="1"/>
    </xf>
    <xf numFmtId="0" fontId="7" fillId="3" borderId="83" xfId="0" applyFont="1" applyFill="1" applyBorder="1" applyAlignment="1"/>
    <xf numFmtId="10" fontId="46" fillId="2" borderId="2" xfId="5" applyNumberFormat="1" applyFont="1" applyFill="1" applyBorder="1" applyAlignment="1" applyProtection="1">
      <alignment horizontal="center"/>
      <protection locked="0"/>
    </xf>
    <xf numFmtId="0" fontId="59" fillId="2" borderId="45" xfId="0" applyFont="1" applyFill="1" applyBorder="1" applyAlignment="1" applyProtection="1">
      <alignment horizontal="center"/>
      <protection locked="0"/>
    </xf>
    <xf numFmtId="10" fontId="46" fillId="3" borderId="27" xfId="5" applyNumberFormat="1" applyFont="1" applyFill="1" applyBorder="1" applyAlignment="1" applyProtection="1">
      <alignment horizontal="center"/>
      <protection hidden="1"/>
    </xf>
    <xf numFmtId="0" fontId="59" fillId="3" borderId="45" xfId="0" applyFont="1" applyFill="1" applyBorder="1" applyAlignment="1" applyProtection="1">
      <alignment horizontal="center"/>
      <protection hidden="1"/>
    </xf>
    <xf numFmtId="10" fontId="46" fillId="2" borderId="79" xfId="5" applyNumberFormat="1" applyFont="1" applyFill="1" applyBorder="1" applyAlignment="1" applyProtection="1">
      <alignment horizontal="center"/>
      <protection locked="0"/>
    </xf>
    <xf numFmtId="0" fontId="59" fillId="2" borderId="80" xfId="0" applyFont="1" applyFill="1" applyBorder="1" applyAlignment="1" applyProtection="1">
      <alignment horizontal="center"/>
      <protection locked="0"/>
    </xf>
    <xf numFmtId="0" fontId="0" fillId="0" borderId="0" xfId="0" applyAlignment="1">
      <alignment horizontal="center"/>
    </xf>
    <xf numFmtId="0" fontId="6" fillId="20" borderId="34" xfId="0" applyFont="1" applyFill="1" applyBorder="1" applyAlignment="1" applyProtection="1">
      <alignment horizontal="left"/>
      <protection hidden="1"/>
    </xf>
    <xf numFmtId="0" fontId="6" fillId="20" borderId="2" xfId="0" applyFont="1" applyFill="1" applyBorder="1" applyAlignment="1" applyProtection="1">
      <alignment horizontal="left"/>
      <protection hidden="1"/>
    </xf>
    <xf numFmtId="0" fontId="6" fillId="20" borderId="3" xfId="0" applyFont="1" applyFill="1" applyBorder="1" applyAlignment="1" applyProtection="1">
      <alignment horizontal="left"/>
      <protection hidden="1"/>
    </xf>
    <xf numFmtId="0" fontId="11" fillId="3" borderId="31" xfId="0" applyFont="1" applyFill="1" applyBorder="1" applyAlignment="1">
      <alignment horizontal="left"/>
    </xf>
    <xf numFmtId="0" fontId="11" fillId="3" borderId="47" xfId="0" applyFont="1" applyFill="1" applyBorder="1" applyAlignment="1">
      <alignment horizontal="left"/>
    </xf>
    <xf numFmtId="0" fontId="6" fillId="3" borderId="34" xfId="0" applyFont="1" applyFill="1" applyBorder="1" applyAlignment="1">
      <alignment horizontal="left" vertical="center"/>
    </xf>
    <xf numFmtId="0" fontId="6" fillId="3" borderId="2" xfId="0" applyFont="1" applyFill="1" applyBorder="1" applyAlignment="1">
      <alignment horizontal="left" vertical="center"/>
    </xf>
    <xf numFmtId="0" fontId="6" fillId="3" borderId="3" xfId="0" applyFont="1" applyFill="1" applyBorder="1" applyAlignment="1">
      <alignment horizontal="left" vertical="center"/>
    </xf>
    <xf numFmtId="0" fontId="6" fillId="3" borderId="33" xfId="0" applyFont="1" applyFill="1" applyBorder="1" applyAlignment="1">
      <alignment vertical="center" shrinkToFit="1"/>
    </xf>
    <xf numFmtId="0" fontId="6" fillId="3" borderId="4" xfId="0" applyFont="1" applyFill="1" applyBorder="1" applyAlignment="1">
      <alignment vertical="center" shrinkToFit="1"/>
    </xf>
    <xf numFmtId="0" fontId="6" fillId="3" borderId="12" xfId="0" applyFont="1" applyFill="1" applyBorder="1" applyAlignment="1">
      <alignment vertical="center" shrinkToFit="1"/>
    </xf>
    <xf numFmtId="0" fontId="6" fillId="3" borderId="27" xfId="0" applyFont="1" applyFill="1" applyBorder="1" applyAlignment="1">
      <alignment horizontal="left" vertical="center"/>
    </xf>
    <xf numFmtId="14" fontId="18" fillId="3" borderId="70" xfId="0" applyNumberFormat="1" applyFont="1" applyFill="1" applyBorder="1" applyAlignment="1">
      <alignment horizontal="center" vertical="center" wrapText="1"/>
    </xf>
    <xf numFmtId="14" fontId="18" fillId="3" borderId="4" xfId="0" applyNumberFormat="1" applyFont="1" applyFill="1" applyBorder="1" applyAlignment="1">
      <alignment horizontal="center" vertical="center" wrapText="1"/>
    </xf>
    <xf numFmtId="14" fontId="18" fillId="3" borderId="12" xfId="0" applyNumberFormat="1" applyFont="1" applyFill="1" applyBorder="1" applyAlignment="1">
      <alignment horizontal="center" vertical="center" wrapText="1"/>
    </xf>
    <xf numFmtId="14" fontId="18" fillId="3" borderId="31" xfId="0" applyNumberFormat="1" applyFont="1" applyFill="1" applyBorder="1" applyAlignment="1">
      <alignment horizontal="center" vertical="center" wrapText="1"/>
    </xf>
    <xf numFmtId="14" fontId="18" fillId="3" borderId="9" xfId="0" applyNumberFormat="1" applyFont="1" applyFill="1" applyBorder="1" applyAlignment="1">
      <alignment horizontal="center" vertical="center" wrapText="1"/>
    </xf>
    <xf numFmtId="14" fontId="18" fillId="3" borderId="47" xfId="0" applyNumberFormat="1" applyFont="1" applyFill="1" applyBorder="1" applyAlignment="1">
      <alignment horizontal="center" vertical="center" wrapText="1"/>
    </xf>
    <xf numFmtId="14" fontId="38" fillId="3" borderId="27" xfId="0" applyNumberFormat="1" applyFont="1" applyFill="1" applyBorder="1" applyAlignment="1">
      <alignment horizontal="left" vertical="center" shrinkToFit="1"/>
    </xf>
    <xf numFmtId="14" fontId="38" fillId="3" borderId="2" xfId="0" applyNumberFormat="1" applyFont="1" applyFill="1" applyBorder="1" applyAlignment="1">
      <alignment horizontal="left" vertical="center" shrinkToFit="1"/>
    </xf>
    <xf numFmtId="14" fontId="38" fillId="3" borderId="3" xfId="0" applyNumberFormat="1" applyFont="1" applyFill="1" applyBorder="1" applyAlignment="1">
      <alignment horizontal="left" vertical="center" shrinkToFit="1"/>
    </xf>
    <xf numFmtId="14" fontId="6" fillId="0" borderId="26" xfId="0" applyNumberFormat="1" applyFont="1" applyBorder="1" applyAlignment="1" applyProtection="1">
      <alignment horizontal="center" vertical="center" shrinkToFit="1"/>
      <protection locked="0"/>
    </xf>
    <xf numFmtId="14" fontId="6" fillId="0" borderId="32" xfId="0" applyNumberFormat="1" applyFont="1" applyBorder="1" applyAlignment="1" applyProtection="1">
      <alignment horizontal="center" vertical="center" shrinkToFit="1"/>
      <protection locked="0"/>
    </xf>
    <xf numFmtId="0" fontId="18" fillId="3" borderId="70" xfId="0" applyFont="1" applyFill="1" applyBorder="1" applyAlignment="1">
      <alignment horizontal="justify" vertical="justify" wrapText="1"/>
    </xf>
    <xf numFmtId="0" fontId="18" fillId="3" borderId="4" xfId="0" applyFont="1" applyFill="1" applyBorder="1" applyAlignment="1">
      <alignment horizontal="justify" vertical="justify" wrapText="1"/>
    </xf>
    <xf numFmtId="0" fontId="18" fillId="3" borderId="12" xfId="0" applyFont="1" applyFill="1" applyBorder="1" applyAlignment="1">
      <alignment horizontal="justify" vertical="justify" wrapText="1"/>
    </xf>
    <xf numFmtId="0" fontId="18" fillId="3" borderId="31" xfId="0" applyFont="1" applyFill="1" applyBorder="1" applyAlignment="1">
      <alignment horizontal="justify" vertical="justify" wrapText="1"/>
    </xf>
    <xf numFmtId="0" fontId="18" fillId="3" borderId="9" xfId="0" applyFont="1" applyFill="1" applyBorder="1" applyAlignment="1">
      <alignment horizontal="justify" vertical="justify" wrapText="1"/>
    </xf>
    <xf numFmtId="0" fontId="18" fillId="3" borderId="47" xfId="0" applyFont="1" applyFill="1" applyBorder="1" applyAlignment="1">
      <alignment horizontal="justify" vertical="justify" wrapText="1"/>
    </xf>
    <xf numFmtId="0" fontId="6" fillId="3" borderId="33" xfId="0" applyFont="1" applyFill="1" applyBorder="1" applyAlignment="1" applyProtection="1">
      <alignment horizontal="left" vertical="center"/>
      <protection hidden="1"/>
    </xf>
    <xf numFmtId="0" fontId="6" fillId="3" borderId="4" xfId="0" applyFont="1" applyFill="1" applyBorder="1" applyAlignment="1" applyProtection="1">
      <alignment horizontal="left" vertical="center"/>
      <protection hidden="1"/>
    </xf>
    <xf numFmtId="0" fontId="6" fillId="3" borderId="12" xfId="0" applyFont="1" applyFill="1" applyBorder="1" applyAlignment="1" applyProtection="1">
      <alignment horizontal="left" vertical="center"/>
      <protection hidden="1"/>
    </xf>
    <xf numFmtId="0" fontId="6" fillId="3" borderId="10" xfId="0" applyFont="1" applyFill="1" applyBorder="1" applyAlignment="1" applyProtection="1">
      <alignment horizontal="left" vertical="center"/>
      <protection hidden="1"/>
    </xf>
    <xf numFmtId="0" fontId="6" fillId="3" borderId="9" xfId="0" applyFont="1" applyFill="1" applyBorder="1" applyAlignment="1" applyProtection="1">
      <alignment horizontal="left" vertical="center"/>
      <protection hidden="1"/>
    </xf>
    <xf numFmtId="0" fontId="6" fillId="3" borderId="47" xfId="0" applyFont="1" applyFill="1" applyBorder="1" applyAlignment="1" applyProtection="1">
      <alignment horizontal="left" vertical="center"/>
      <protection hidden="1"/>
    </xf>
    <xf numFmtId="0" fontId="6" fillId="3" borderId="33" xfId="0" applyFont="1" applyFill="1" applyBorder="1" applyAlignment="1">
      <alignment horizontal="left" vertical="center"/>
    </xf>
    <xf numFmtId="0" fontId="6" fillId="3" borderId="4" xfId="0" applyFont="1" applyFill="1" applyBorder="1" applyAlignment="1">
      <alignment horizontal="left" vertical="center"/>
    </xf>
    <xf numFmtId="0" fontId="6" fillId="3" borderId="12" xfId="0" applyFont="1" applyFill="1" applyBorder="1" applyAlignment="1">
      <alignment horizontal="left" vertical="center"/>
    </xf>
    <xf numFmtId="0" fontId="6" fillId="3" borderId="10" xfId="0" applyFont="1" applyFill="1" applyBorder="1" applyAlignment="1">
      <alignment horizontal="left" vertical="center"/>
    </xf>
    <xf numFmtId="0" fontId="6" fillId="3" borderId="9" xfId="0" applyFont="1" applyFill="1" applyBorder="1" applyAlignment="1">
      <alignment horizontal="left" vertical="center"/>
    </xf>
    <xf numFmtId="0" fontId="6" fillId="3" borderId="47" xfId="0" applyFont="1" applyFill="1" applyBorder="1" applyAlignment="1">
      <alignment horizontal="left" vertical="center"/>
    </xf>
    <xf numFmtId="0" fontId="38" fillId="9" borderId="27" xfId="0" applyFont="1" applyFill="1" applyBorder="1" applyAlignment="1">
      <alignment horizontal="center" vertical="center" wrapText="1"/>
    </xf>
    <xf numFmtId="0" fontId="38" fillId="9" borderId="2" xfId="0" applyFont="1" applyFill="1" applyBorder="1" applyAlignment="1">
      <alignment horizontal="center" vertical="center" wrapText="1"/>
    </xf>
    <xf numFmtId="0" fontId="38" fillId="9" borderId="45" xfId="0" applyFont="1" applyFill="1" applyBorder="1" applyAlignment="1">
      <alignment horizontal="center" vertical="center" wrapText="1"/>
    </xf>
    <xf numFmtId="0" fontId="38" fillId="9" borderId="34" xfId="0" applyFont="1" applyFill="1" applyBorder="1" applyAlignment="1">
      <alignment horizontal="center" vertical="center"/>
    </xf>
    <xf numFmtId="0" fontId="38" fillId="9" borderId="2" xfId="0" applyFont="1" applyFill="1" applyBorder="1" applyAlignment="1">
      <alignment horizontal="center" vertical="center"/>
    </xf>
    <xf numFmtId="0" fontId="38" fillId="9" borderId="3" xfId="0" applyFont="1" applyFill="1" applyBorder="1" applyAlignment="1">
      <alignment horizontal="center" vertical="center"/>
    </xf>
    <xf numFmtId="4" fontId="6" fillId="3" borderId="27" xfId="0" applyNumberFormat="1" applyFont="1" applyFill="1" applyBorder="1" applyAlignment="1" applyProtection="1">
      <alignment horizontal="center" vertical="center" shrinkToFit="1"/>
      <protection hidden="1"/>
    </xf>
    <xf numFmtId="4" fontId="6" fillId="3" borderId="3" xfId="0" applyNumberFormat="1" applyFont="1" applyFill="1" applyBorder="1" applyAlignment="1" applyProtection="1">
      <alignment horizontal="center" vertical="center" shrinkToFit="1"/>
      <protection hidden="1"/>
    </xf>
    <xf numFmtId="0" fontId="38" fillId="3" borderId="50" xfId="0" applyFont="1" applyFill="1" applyBorder="1" applyAlignment="1" applyProtection="1">
      <alignment horizontal="right" shrinkToFit="1"/>
      <protection hidden="1"/>
    </xf>
    <xf numFmtId="0" fontId="38" fillId="3" borderId="92" xfId="0" applyFont="1" applyFill="1" applyBorder="1" applyAlignment="1" applyProtection="1">
      <alignment horizontal="right" shrinkToFit="1"/>
      <protection hidden="1"/>
    </xf>
    <xf numFmtId="0" fontId="6" fillId="3" borderId="34" xfId="0" applyFont="1" applyFill="1" applyBorder="1" applyAlignment="1">
      <alignment vertical="center"/>
    </xf>
    <xf numFmtId="0" fontId="6" fillId="3" borderId="2" xfId="0" applyFont="1" applyFill="1" applyBorder="1" applyAlignment="1">
      <alignment vertical="center"/>
    </xf>
    <xf numFmtId="0" fontId="6" fillId="3" borderId="3" xfId="0" applyFont="1" applyFill="1" applyBorder="1" applyAlignment="1">
      <alignment vertical="center"/>
    </xf>
    <xf numFmtId="0" fontId="6" fillId="3" borderId="34" xfId="0" applyFont="1" applyFill="1" applyBorder="1" applyAlignment="1">
      <alignment horizontal="left"/>
    </xf>
    <xf numFmtId="0" fontId="6" fillId="3" borderId="2" xfId="0" applyFont="1" applyFill="1" applyBorder="1" applyAlignment="1">
      <alignment horizontal="left"/>
    </xf>
    <xf numFmtId="0" fontId="6" fillId="3" borderId="3" xfId="0" applyFont="1" applyFill="1" applyBorder="1" applyAlignment="1">
      <alignment horizontal="left"/>
    </xf>
    <xf numFmtId="0" fontId="6" fillId="3" borderId="27" xfId="0" applyFont="1" applyFill="1" applyBorder="1" applyAlignment="1">
      <alignment horizontal="left"/>
    </xf>
    <xf numFmtId="0" fontId="6" fillId="3" borderId="10" xfId="0" applyFont="1" applyFill="1" applyBorder="1" applyAlignment="1">
      <alignment horizontal="left"/>
    </xf>
    <xf numFmtId="0" fontId="6" fillId="3" borderId="9" xfId="0" applyFont="1" applyFill="1" applyBorder="1" applyAlignment="1">
      <alignment horizontal="left"/>
    </xf>
    <xf numFmtId="0" fontId="6" fillId="3" borderId="47" xfId="0" applyFont="1" applyFill="1" applyBorder="1" applyAlignment="1">
      <alignment horizontal="left"/>
    </xf>
    <xf numFmtId="0" fontId="6" fillId="3" borderId="27"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45" xfId="0" applyFont="1" applyFill="1" applyBorder="1" applyAlignment="1">
      <alignment horizontal="center" vertical="center"/>
    </xf>
    <xf numFmtId="0" fontId="6" fillId="11" borderId="31" xfId="0" applyFont="1" applyFill="1" applyBorder="1" applyAlignment="1" applyProtection="1">
      <alignment horizontal="center"/>
      <protection hidden="1"/>
    </xf>
    <xf numFmtId="0" fontId="6" fillId="11" borderId="9" xfId="0" applyFont="1" applyFill="1" applyBorder="1" applyAlignment="1" applyProtection="1">
      <alignment horizontal="center"/>
      <protection hidden="1"/>
    </xf>
    <xf numFmtId="0" fontId="6" fillId="11" borderId="47" xfId="0" applyFont="1" applyFill="1" applyBorder="1" applyAlignment="1" applyProtection="1">
      <alignment horizontal="center"/>
      <protection hidden="1"/>
    </xf>
    <xf numFmtId="0" fontId="6" fillId="9" borderId="27" xfId="0" applyFont="1" applyFill="1" applyBorder="1" applyAlignment="1">
      <alignment horizontal="center"/>
    </xf>
    <xf numFmtId="0" fontId="6" fillId="9" borderId="3" xfId="0" applyFont="1" applyFill="1" applyBorder="1" applyAlignment="1">
      <alignment horizontal="center"/>
    </xf>
    <xf numFmtId="0" fontId="6" fillId="11" borderId="27" xfId="0" applyFont="1" applyFill="1" applyBorder="1" applyAlignment="1">
      <alignment horizontal="center"/>
    </xf>
    <xf numFmtId="0" fontId="6" fillId="11" borderId="3" xfId="0" applyFont="1" applyFill="1" applyBorder="1" applyAlignment="1">
      <alignment horizontal="center"/>
    </xf>
    <xf numFmtId="0" fontId="6" fillId="3" borderId="34" xfId="0" applyFont="1" applyFill="1" applyBorder="1" applyAlignment="1" applyProtection="1">
      <alignment horizontal="left"/>
      <protection hidden="1"/>
    </xf>
    <xf numFmtId="0" fontId="6" fillId="3" borderId="2" xfId="0" applyFont="1" applyFill="1" applyBorder="1" applyAlignment="1" applyProtection="1">
      <alignment horizontal="left"/>
      <protection hidden="1"/>
    </xf>
    <xf numFmtId="0" fontId="6" fillId="3" borderId="3" xfId="0" applyFont="1" applyFill="1" applyBorder="1" applyAlignment="1" applyProtection="1">
      <alignment horizontal="left"/>
      <protection hidden="1"/>
    </xf>
    <xf numFmtId="0" fontId="6" fillId="2" borderId="34" xfId="0" applyFont="1" applyFill="1" applyBorder="1" applyAlignment="1" applyProtection="1">
      <alignment horizontal="left"/>
      <protection locked="0"/>
    </xf>
    <xf numFmtId="0" fontId="6" fillId="2" borderId="2" xfId="0" applyFont="1" applyFill="1" applyBorder="1" applyAlignment="1" applyProtection="1">
      <alignment horizontal="left"/>
      <protection locked="0"/>
    </xf>
    <xf numFmtId="0" fontId="6" fillId="2" borderId="3" xfId="0" applyFont="1" applyFill="1" applyBorder="1" applyAlignment="1" applyProtection="1">
      <alignment horizontal="left"/>
      <protection locked="0"/>
    </xf>
    <xf numFmtId="0" fontId="6" fillId="2" borderId="34" xfId="0" applyFont="1" applyFill="1" applyBorder="1" applyAlignment="1" applyProtection="1">
      <alignment horizontal="left"/>
      <protection hidden="1"/>
    </xf>
    <xf numFmtId="0" fontId="6" fillId="2" borderId="2" xfId="0" applyFont="1" applyFill="1" applyBorder="1" applyAlignment="1" applyProtection="1">
      <alignment horizontal="left"/>
      <protection hidden="1"/>
    </xf>
    <xf numFmtId="0" fontId="6" fillId="2" borderId="3" xfId="0" applyFont="1" applyFill="1" applyBorder="1" applyAlignment="1" applyProtection="1">
      <alignment horizontal="left"/>
      <protection hidden="1"/>
    </xf>
    <xf numFmtId="4" fontId="6" fillId="2" borderId="27" xfId="0" applyNumberFormat="1" applyFont="1" applyFill="1" applyBorder="1" applyAlignment="1" applyProtection="1">
      <alignment horizontal="center" vertical="center" shrinkToFit="1"/>
      <protection locked="0"/>
    </xf>
    <xf numFmtId="4" fontId="6" fillId="2" borderId="3" xfId="0" applyNumberFormat="1" applyFont="1" applyFill="1" applyBorder="1" applyAlignment="1" applyProtection="1">
      <alignment horizontal="center" vertical="center" shrinkToFit="1"/>
      <protection locked="0"/>
    </xf>
    <xf numFmtId="4" fontId="6" fillId="2" borderId="27" xfId="0" applyNumberFormat="1" applyFont="1" applyFill="1" applyBorder="1" applyAlignment="1" applyProtection="1">
      <alignment horizontal="center" vertical="center" shrinkToFit="1"/>
      <protection hidden="1"/>
    </xf>
    <xf numFmtId="4" fontId="6" fillId="2" borderId="3" xfId="0" applyNumberFormat="1" applyFont="1" applyFill="1" applyBorder="1" applyAlignment="1" applyProtection="1">
      <alignment horizontal="center" vertical="center" shrinkToFit="1"/>
      <protection hidden="1"/>
    </xf>
    <xf numFmtId="0" fontId="6" fillId="5" borderId="64" xfId="0" applyFont="1" applyFill="1" applyBorder="1" applyAlignment="1">
      <alignment horizontal="center"/>
    </xf>
    <xf numFmtId="0" fontId="6" fillId="5" borderId="86" xfId="0" applyFont="1" applyFill="1" applyBorder="1" applyAlignment="1">
      <alignment horizontal="center"/>
    </xf>
    <xf numFmtId="0" fontId="0" fillId="5" borderId="87" xfId="0" applyFill="1" applyBorder="1" applyAlignment="1">
      <alignment horizontal="center" shrinkToFit="1"/>
    </xf>
    <xf numFmtId="0" fontId="0" fillId="5" borderId="88" xfId="0" applyFill="1" applyBorder="1" applyAlignment="1">
      <alignment horizontal="center" shrinkToFit="1"/>
    </xf>
    <xf numFmtId="0" fontId="6" fillId="11" borderId="23" xfId="0" applyFont="1" applyFill="1" applyBorder="1" applyAlignment="1">
      <alignment horizontal="center" shrinkToFit="1"/>
    </xf>
    <xf numFmtId="0" fontId="6" fillId="11" borderId="89" xfId="0" applyFont="1" applyFill="1" applyBorder="1" applyAlignment="1">
      <alignment horizontal="center" shrinkToFit="1"/>
    </xf>
    <xf numFmtId="0" fontId="0" fillId="11" borderId="90" xfId="0" applyFill="1" applyBorder="1" applyAlignment="1">
      <alignment horizontal="center"/>
    </xf>
    <xf numFmtId="0" fontId="0" fillId="11" borderId="91" xfId="0" applyFill="1" applyBorder="1" applyAlignment="1">
      <alignment horizontal="center"/>
    </xf>
    <xf numFmtId="0" fontId="6" fillId="3" borderId="0" xfId="0" applyFont="1" applyFill="1" applyBorder="1" applyAlignment="1">
      <alignment horizontal="center" vertical="center" wrapText="1"/>
    </xf>
    <xf numFmtId="0" fontId="6" fillId="3" borderId="7"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34" xfId="0" applyFont="1" applyFill="1" applyBorder="1" applyAlignment="1" applyProtection="1">
      <alignment horizontal="left" shrinkToFit="1"/>
    </xf>
    <xf numFmtId="0" fontId="6" fillId="3" borderId="2" xfId="0" applyFont="1" applyFill="1" applyBorder="1" applyAlignment="1" applyProtection="1">
      <alignment horizontal="left" shrinkToFit="1"/>
    </xf>
    <xf numFmtId="0" fontId="6" fillId="3" borderId="3" xfId="0" applyFont="1" applyFill="1" applyBorder="1" applyAlignment="1" applyProtection="1">
      <alignment horizontal="left" shrinkToFit="1"/>
    </xf>
    <xf numFmtId="4" fontId="6" fillId="20" borderId="27" xfId="0" applyNumberFormat="1" applyFont="1" applyFill="1" applyBorder="1" applyAlignment="1" applyProtection="1">
      <alignment horizontal="center" vertical="center" shrinkToFit="1"/>
      <protection hidden="1"/>
    </xf>
    <xf numFmtId="0" fontId="0" fillId="0" borderId="3" xfId="0" applyBorder="1" applyAlignment="1">
      <alignment horizontal="center" vertical="center" shrinkToFit="1"/>
    </xf>
    <xf numFmtId="0" fontId="14" fillId="20" borderId="33" xfId="0" applyFont="1" applyFill="1" applyBorder="1" applyAlignment="1">
      <alignment horizontal="center"/>
    </xf>
    <xf numFmtId="0" fontId="14" fillId="20" borderId="4" xfId="0" applyFont="1" applyFill="1" applyBorder="1" applyAlignment="1">
      <alignment horizontal="center"/>
    </xf>
    <xf numFmtId="0" fontId="14" fillId="20" borderId="38" xfId="0" applyFont="1" applyFill="1" applyBorder="1" applyAlignment="1">
      <alignment horizontal="center"/>
    </xf>
    <xf numFmtId="0" fontId="6" fillId="13" borderId="62" xfId="0" applyFont="1" applyFill="1" applyBorder="1" applyAlignment="1">
      <alignment horizontal="center"/>
    </xf>
    <xf numFmtId="0" fontId="6" fillId="13" borderId="56" xfId="0" applyFont="1" applyFill="1" applyBorder="1" applyAlignment="1">
      <alignment horizontal="center"/>
    </xf>
    <xf numFmtId="0" fontId="0" fillId="13" borderId="73" xfId="0" applyFill="1" applyBorder="1" applyAlignment="1">
      <alignment horizontal="center"/>
    </xf>
    <xf numFmtId="0" fontId="0" fillId="13" borderId="85" xfId="0" applyFill="1" applyBorder="1" applyAlignment="1">
      <alignment horizontal="center"/>
    </xf>
    <xf numFmtId="0" fontId="0" fillId="3" borderId="70"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31" xfId="0" applyFill="1" applyBorder="1" applyAlignment="1">
      <alignment horizontal="center" vertical="center" wrapText="1"/>
    </xf>
    <xf numFmtId="0" fontId="0" fillId="3" borderId="9" xfId="0" applyFill="1" applyBorder="1" applyAlignment="1">
      <alignment horizontal="center" vertical="center" wrapText="1"/>
    </xf>
    <xf numFmtId="0" fontId="0" fillId="3" borderId="47" xfId="0" applyFill="1" applyBorder="1" applyAlignment="1">
      <alignment horizontal="center" vertical="center" wrapText="1"/>
    </xf>
    <xf numFmtId="0" fontId="6" fillId="3" borderId="10" xfId="0" applyFont="1" applyFill="1" applyBorder="1" applyAlignment="1">
      <alignment vertical="center" shrinkToFit="1"/>
    </xf>
    <xf numFmtId="0" fontId="6" fillId="3" borderId="9" xfId="0" applyFont="1" applyFill="1" applyBorder="1" applyAlignment="1">
      <alignment vertical="center" shrinkToFit="1"/>
    </xf>
    <xf numFmtId="0" fontId="6" fillId="3" borderId="47" xfId="0" applyFont="1" applyFill="1" applyBorder="1" applyAlignment="1">
      <alignment vertical="center" shrinkToFit="1"/>
    </xf>
    <xf numFmtId="0" fontId="6" fillId="10" borderId="27" xfId="0" applyFont="1" applyFill="1" applyBorder="1" applyAlignment="1">
      <alignment horizontal="center"/>
    </xf>
    <xf numFmtId="0" fontId="6" fillId="10" borderId="3" xfId="0" applyFont="1" applyFill="1" applyBorder="1" applyAlignment="1">
      <alignment horizontal="center"/>
    </xf>
    <xf numFmtId="0" fontId="9" fillId="3" borderId="70" xfId="0" applyFont="1" applyFill="1" applyBorder="1" applyAlignment="1">
      <alignment horizontal="left" vertical="center"/>
    </xf>
    <xf numFmtId="0" fontId="9" fillId="3" borderId="4" xfId="0" applyFont="1" applyFill="1" applyBorder="1" applyAlignment="1">
      <alignment horizontal="left" vertical="center"/>
    </xf>
    <xf numFmtId="0" fontId="9" fillId="3" borderId="38" xfId="0" applyFont="1" applyFill="1" applyBorder="1" applyAlignment="1">
      <alignment horizontal="left" vertical="center"/>
    </xf>
    <xf numFmtId="0" fontId="6" fillId="3" borderId="34"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5" fillId="3" borderId="0" xfId="0" applyFont="1" applyFill="1" applyBorder="1" applyAlignment="1">
      <alignment horizontal="center" vertical="center"/>
    </xf>
    <xf numFmtId="0" fontId="5" fillId="3" borderId="0" xfId="0" applyFont="1" applyFill="1" applyAlignment="1">
      <alignment horizontal="center" vertical="center"/>
    </xf>
    <xf numFmtId="0" fontId="5" fillId="3" borderId="0" xfId="0" applyFont="1" applyFill="1" applyBorder="1" applyAlignment="1">
      <alignment horizontal="center"/>
    </xf>
    <xf numFmtId="0" fontId="0" fillId="3" borderId="0" xfId="0" applyFill="1" applyAlignment="1"/>
    <xf numFmtId="170" fontId="6" fillId="3" borderId="9" xfId="0" applyNumberFormat="1" applyFont="1" applyFill="1" applyBorder="1" applyAlignment="1">
      <alignment horizontal="center"/>
    </xf>
    <xf numFmtId="0" fontId="5" fillId="3" borderId="0" xfId="0" applyFont="1" applyFill="1" applyBorder="1" applyAlignment="1">
      <alignment horizontal="left"/>
    </xf>
    <xf numFmtId="0" fontId="3" fillId="5" borderId="0" xfId="0" applyFont="1" applyFill="1" applyBorder="1" applyAlignment="1" applyProtection="1">
      <alignment horizontal="center" vertical="center"/>
    </xf>
    <xf numFmtId="0" fontId="4" fillId="5" borderId="0" xfId="0" applyFont="1" applyFill="1" applyBorder="1" applyProtection="1"/>
    <xf numFmtId="0" fontId="4" fillId="5" borderId="9" xfId="0" applyFont="1" applyFill="1" applyBorder="1" applyProtection="1"/>
    <xf numFmtId="0" fontId="5" fillId="3" borderId="0" xfId="0" applyFont="1" applyFill="1" applyAlignment="1"/>
    <xf numFmtId="0" fontId="7" fillId="3" borderId="0" xfId="0" applyFont="1" applyFill="1" applyAlignment="1"/>
    <xf numFmtId="0" fontId="6" fillId="3" borderId="9" xfId="0" applyFont="1" applyFill="1" applyBorder="1" applyAlignment="1" applyProtection="1">
      <alignment horizontal="center" shrinkToFit="1"/>
      <protection hidden="1"/>
    </xf>
    <xf numFmtId="0" fontId="18" fillId="3" borderId="9" xfId="0" applyFont="1" applyFill="1" applyBorder="1" applyAlignment="1" applyProtection="1">
      <alignment horizontal="center" shrinkToFit="1"/>
      <protection hidden="1"/>
    </xf>
    <xf numFmtId="3" fontId="6" fillId="3" borderId="9" xfId="0" applyNumberFormat="1" applyFont="1" applyFill="1" applyBorder="1" applyAlignment="1" applyProtection="1">
      <alignment horizontal="center" shrinkToFit="1"/>
      <protection hidden="1"/>
    </xf>
    <xf numFmtId="173" fontId="6" fillId="3" borderId="9" xfId="0" applyNumberFormat="1" applyFont="1" applyFill="1" applyBorder="1" applyAlignment="1" applyProtection="1">
      <alignment horizontal="center" shrinkToFit="1"/>
      <protection hidden="1"/>
    </xf>
    <xf numFmtId="0" fontId="6" fillId="3" borderId="9" xfId="0" applyNumberFormat="1" applyFont="1" applyFill="1" applyBorder="1" applyAlignment="1" applyProtection="1">
      <alignment horizontal="center" shrinkToFit="1"/>
      <protection hidden="1"/>
    </xf>
    <xf numFmtId="49" fontId="6" fillId="2" borderId="9" xfId="0" applyNumberFormat="1" applyFont="1" applyFill="1" applyBorder="1" applyAlignment="1" applyProtection="1">
      <alignment horizontal="center" shrinkToFit="1"/>
      <protection locked="0"/>
    </xf>
    <xf numFmtId="0" fontId="6" fillId="3" borderId="9" xfId="0" applyFont="1" applyFill="1" applyBorder="1" applyAlignment="1">
      <alignment horizontal="center" shrinkToFit="1"/>
    </xf>
    <xf numFmtId="170" fontId="6" fillId="3" borderId="9" xfId="0"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hidden="1"/>
    </xf>
    <xf numFmtId="0" fontId="5" fillId="3" borderId="4" xfId="0" applyFont="1" applyFill="1" applyBorder="1" applyAlignment="1">
      <alignment horizontal="center"/>
    </xf>
    <xf numFmtId="3" fontId="6" fillId="3" borderId="9" xfId="0" applyNumberFormat="1" applyFont="1" applyFill="1" applyBorder="1" applyAlignment="1" applyProtection="1">
      <alignment horizontal="center" shrinkToFit="1"/>
    </xf>
    <xf numFmtId="0" fontId="6" fillId="3" borderId="9" xfId="0" applyFont="1" applyFill="1" applyBorder="1" applyAlignment="1" applyProtection="1">
      <alignment horizontal="center" shrinkToFit="1"/>
    </xf>
    <xf numFmtId="0" fontId="5" fillId="3" borderId="0" xfId="0" applyFont="1" applyFill="1" applyBorder="1" applyAlignment="1" applyProtection="1">
      <alignment horizontal="center" vertical="center"/>
    </xf>
    <xf numFmtId="0" fontId="5" fillId="3" borderId="0" xfId="0" applyFont="1" applyFill="1" applyAlignment="1" applyProtection="1">
      <alignment horizontal="center" vertical="center"/>
    </xf>
    <xf numFmtId="0" fontId="3" fillId="3" borderId="0" xfId="0" applyFont="1" applyFill="1" applyBorder="1" applyAlignment="1" applyProtection="1">
      <alignment horizontal="center" vertical="center"/>
    </xf>
    <xf numFmtId="0" fontId="4" fillId="3" borderId="0" xfId="0" applyFont="1" applyFill="1" applyBorder="1" applyProtection="1"/>
    <xf numFmtId="0" fontId="4" fillId="3" borderId="9" xfId="0" applyFont="1" applyFill="1" applyBorder="1" applyProtection="1"/>
    <xf numFmtId="0" fontId="0" fillId="3" borderId="9" xfId="0" applyFill="1" applyBorder="1" applyAlignment="1" applyProtection="1">
      <alignment horizontal="center" shrinkToFit="1"/>
    </xf>
    <xf numFmtId="173" fontId="6" fillId="3" borderId="9" xfId="0" applyNumberFormat="1" applyFont="1" applyFill="1" applyBorder="1" applyAlignment="1" applyProtection="1">
      <alignment horizontal="center" shrinkToFit="1"/>
    </xf>
    <xf numFmtId="0" fontId="18" fillId="3" borderId="9" xfId="0" applyFont="1" applyFill="1" applyBorder="1" applyAlignment="1" applyProtection="1">
      <alignment horizontal="center" shrinkToFit="1"/>
    </xf>
    <xf numFmtId="0" fontId="5" fillId="3" borderId="4" xfId="0" applyFont="1" applyFill="1" applyBorder="1" applyAlignment="1" applyProtection="1">
      <alignment horizontal="center"/>
    </xf>
    <xf numFmtId="0" fontId="5" fillId="3" borderId="0" xfId="0" applyFont="1" applyFill="1" applyAlignment="1" applyProtection="1"/>
    <xf numFmtId="0" fontId="7" fillId="3" borderId="0" xfId="0" applyFont="1" applyFill="1" applyAlignment="1" applyProtection="1"/>
    <xf numFmtId="0" fontId="5" fillId="3" borderId="9" xfId="0" applyFont="1" applyFill="1" applyBorder="1" applyAlignment="1" applyProtection="1">
      <alignment horizontal="center" vertical="center"/>
      <protection hidden="1"/>
    </xf>
    <xf numFmtId="0" fontId="5" fillId="3" borderId="0" xfId="0" applyFont="1" applyFill="1" applyBorder="1" applyAlignment="1" applyProtection="1">
      <alignment horizontal="center"/>
    </xf>
    <xf numFmtId="0" fontId="0" fillId="3" borderId="0" xfId="0" applyFill="1" applyAlignment="1" applyProtection="1"/>
    <xf numFmtId="0" fontId="5" fillId="3" borderId="0" xfId="0" applyFont="1" applyFill="1" applyBorder="1" applyAlignment="1" applyProtection="1">
      <alignment horizontal="left"/>
    </xf>
    <xf numFmtId="170" fontId="6" fillId="3" borderId="9" xfId="0" applyNumberFormat="1" applyFont="1" applyFill="1" applyBorder="1" applyAlignment="1">
      <alignment horizontal="center" vertical="center"/>
    </xf>
    <xf numFmtId="0" fontId="5" fillId="3" borderId="0" xfId="0" applyFont="1" applyFill="1" applyBorder="1" applyAlignment="1" applyProtection="1">
      <alignment horizontal="center" shrinkToFit="1"/>
    </xf>
    <xf numFmtId="0" fontId="0" fillId="3" borderId="0" xfId="0" applyFill="1" applyBorder="1" applyAlignment="1">
      <alignment horizontal="center" shrinkToFit="1"/>
    </xf>
    <xf numFmtId="0" fontId="6" fillId="3" borderId="0" xfId="0" applyFont="1" applyFill="1" applyBorder="1" applyAlignment="1" applyProtection="1">
      <alignment horizontal="center" shrinkToFit="1"/>
    </xf>
    <xf numFmtId="0" fontId="0" fillId="3" borderId="0" xfId="0" applyFill="1" applyBorder="1" applyAlignment="1" applyProtection="1">
      <alignment horizontal="center" shrinkToFit="1"/>
    </xf>
    <xf numFmtId="0" fontId="6" fillId="3" borderId="9" xfId="0" applyFont="1" applyFill="1" applyBorder="1" applyAlignment="1" applyProtection="1">
      <alignment horizontal="center" vertical="center" shrinkToFit="1"/>
    </xf>
    <xf numFmtId="0" fontId="5" fillId="3" borderId="0" xfId="0" applyFont="1" applyFill="1" applyBorder="1" applyAlignment="1" applyProtection="1">
      <alignment vertical="center"/>
    </xf>
    <xf numFmtId="0" fontId="0" fillId="3" borderId="0" xfId="0" applyFill="1" applyBorder="1" applyAlignment="1" applyProtection="1">
      <alignment vertical="center"/>
    </xf>
    <xf numFmtId="0" fontId="0" fillId="3" borderId="9" xfId="0" applyFill="1" applyBorder="1" applyAlignment="1" applyProtection="1">
      <alignment vertical="center"/>
    </xf>
    <xf numFmtId="0" fontId="0" fillId="3" borderId="9" xfId="0" applyFill="1" applyBorder="1" applyAlignment="1"/>
    <xf numFmtId="0" fontId="0" fillId="3" borderId="0" xfId="0" applyFill="1" applyAlignment="1">
      <alignment horizontal="center" shrinkToFit="1"/>
    </xf>
    <xf numFmtId="0" fontId="3" fillId="5" borderId="93" xfId="0" applyFont="1" applyFill="1" applyBorder="1" applyAlignment="1" applyProtection="1">
      <alignment horizontal="center" vertical="center"/>
    </xf>
    <xf numFmtId="0" fontId="4" fillId="5" borderId="93" xfId="0" applyFont="1" applyFill="1" applyBorder="1" applyAlignment="1" applyProtection="1">
      <alignment horizontal="center" vertical="center"/>
    </xf>
    <xf numFmtId="0" fontId="4" fillId="5" borderId="93" xfId="0" applyFont="1" applyFill="1" applyBorder="1" applyAlignment="1" applyProtection="1"/>
    <xf numFmtId="0" fontId="4" fillId="5" borderId="9" xfId="0" applyFont="1" applyFill="1" applyBorder="1" applyAlignment="1" applyProtection="1">
      <alignment horizontal="center" vertical="center"/>
    </xf>
    <xf numFmtId="0" fontId="4" fillId="5" borderId="9" xfId="0" applyFont="1" applyFill="1" applyBorder="1" applyAlignment="1" applyProtection="1"/>
    <xf numFmtId="0" fontId="0" fillId="3" borderId="0" xfId="0" applyFill="1" applyAlignment="1" applyProtection="1">
      <alignment vertical="center"/>
    </xf>
    <xf numFmtId="0" fontId="5" fillId="3" borderId="0" xfId="0" applyFont="1" applyFill="1" applyBorder="1" applyAlignment="1" applyProtection="1">
      <alignment horizontal="center" shrinkToFit="1"/>
      <protection hidden="1"/>
    </xf>
    <xf numFmtId="0" fontId="0" fillId="3" borderId="0" xfId="0" applyFill="1" applyBorder="1" applyAlignment="1" applyProtection="1">
      <alignment horizontal="center" shrinkToFit="1"/>
      <protection hidden="1"/>
    </xf>
    <xf numFmtId="0" fontId="6" fillId="3" borderId="0" xfId="0" applyFont="1" applyFill="1" applyBorder="1" applyAlignment="1" applyProtection="1">
      <alignment horizontal="left" shrinkToFit="1"/>
    </xf>
    <xf numFmtId="0" fontId="0" fillId="3" borderId="0" xfId="0" applyFill="1" applyAlignment="1">
      <alignment shrinkToFit="1"/>
    </xf>
    <xf numFmtId="0" fontId="3" fillId="3" borderId="93" xfId="0" applyFont="1" applyFill="1" applyBorder="1" applyAlignment="1" applyProtection="1">
      <alignment horizontal="center" vertical="center"/>
    </xf>
    <xf numFmtId="0" fontId="4" fillId="3" borderId="93" xfId="0" applyFont="1" applyFill="1" applyBorder="1" applyAlignment="1" applyProtection="1">
      <alignment horizontal="center" vertical="center"/>
    </xf>
    <xf numFmtId="0" fontId="4" fillId="3" borderId="93" xfId="0" applyFont="1" applyFill="1" applyBorder="1" applyAlignment="1" applyProtection="1"/>
    <xf numFmtId="0" fontId="4" fillId="3" borderId="9" xfId="0" applyFont="1" applyFill="1" applyBorder="1" applyAlignment="1" applyProtection="1">
      <alignment horizontal="center" vertical="center"/>
    </xf>
    <xf numFmtId="0" fontId="4" fillId="3" borderId="9" xfId="0" applyFont="1" applyFill="1" applyBorder="1" applyAlignment="1" applyProtection="1"/>
    <xf numFmtId="0" fontId="5" fillId="3" borderId="0" xfId="0" applyFont="1" applyFill="1" applyBorder="1" applyAlignment="1" applyProtection="1">
      <alignment shrinkToFit="1"/>
    </xf>
    <xf numFmtId="0" fontId="6" fillId="3" borderId="0" xfId="0" applyFont="1" applyFill="1" applyBorder="1" applyAlignment="1" applyProtection="1">
      <alignment shrinkToFit="1"/>
    </xf>
    <xf numFmtId="0" fontId="5" fillId="3" borderId="0" xfId="0" applyFont="1" applyFill="1" applyBorder="1" applyAlignment="1" applyProtection="1">
      <alignment horizontal="left" shrinkToFit="1"/>
    </xf>
    <xf numFmtId="0" fontId="5" fillId="3" borderId="0" xfId="0" applyFont="1" applyFill="1" applyBorder="1" applyAlignment="1" applyProtection="1">
      <alignment vertical="center"/>
      <protection hidden="1"/>
    </xf>
    <xf numFmtId="0" fontId="0" fillId="3" borderId="0" xfId="0" applyFill="1" applyBorder="1" applyAlignment="1" applyProtection="1">
      <alignment vertical="center"/>
      <protection hidden="1"/>
    </xf>
    <xf numFmtId="0" fontId="5" fillId="3" borderId="9" xfId="0" applyFont="1" applyFill="1" applyBorder="1" applyAlignment="1" applyProtection="1">
      <alignment horizontal="center" vertical="center" shrinkToFit="1"/>
    </xf>
    <xf numFmtId="0" fontId="5" fillId="3" borderId="9" xfId="0" applyFont="1" applyFill="1" applyBorder="1" applyAlignment="1" applyProtection="1">
      <alignment horizontal="center" shrinkToFit="1"/>
    </xf>
    <xf numFmtId="3" fontId="5" fillId="3" borderId="9" xfId="0" applyNumberFormat="1" applyFont="1" applyFill="1" applyBorder="1" applyAlignment="1" applyProtection="1">
      <alignment horizontal="center" shrinkToFit="1"/>
    </xf>
    <xf numFmtId="0" fontId="14" fillId="3" borderId="0" xfId="0" applyFont="1" applyFill="1" applyBorder="1" applyAlignment="1" applyProtection="1">
      <alignment vertical="center"/>
      <protection hidden="1"/>
    </xf>
    <xf numFmtId="0" fontId="15" fillId="3" borderId="0" xfId="0" applyFont="1" applyFill="1" applyBorder="1" applyAlignment="1" applyProtection="1">
      <alignment vertical="center"/>
      <protection hidden="1"/>
    </xf>
    <xf numFmtId="0" fontId="15" fillId="3" borderId="0" xfId="0" applyFont="1" applyFill="1" applyBorder="1" applyAlignment="1" applyProtection="1">
      <protection hidden="1"/>
    </xf>
    <xf numFmtId="173" fontId="5" fillId="3" borderId="9" xfId="0" applyNumberFormat="1" applyFont="1" applyFill="1" applyBorder="1" applyAlignment="1" applyProtection="1">
      <alignment horizontal="center" shrinkToFit="1"/>
    </xf>
    <xf numFmtId="0" fontId="7" fillId="3" borderId="9" xfId="0" applyFont="1" applyFill="1" applyBorder="1" applyAlignment="1" applyProtection="1">
      <alignment horizontal="center" shrinkToFit="1"/>
    </xf>
    <xf numFmtId="0" fontId="5" fillId="3" borderId="0" xfId="0" applyFont="1" applyFill="1" applyBorder="1" applyAlignment="1" applyProtection="1">
      <alignment horizontal="left" shrinkToFit="1"/>
      <protection hidden="1"/>
    </xf>
    <xf numFmtId="0" fontId="0" fillId="3" borderId="0" xfId="0" applyFill="1" applyAlignment="1" applyProtection="1">
      <alignment shrinkToFit="1"/>
      <protection hidden="1"/>
    </xf>
    <xf numFmtId="0" fontId="6" fillId="21" borderId="9" xfId="0" applyFont="1" applyFill="1" applyBorder="1" applyAlignment="1" applyProtection="1">
      <alignment horizontal="center" shrinkToFit="1"/>
    </xf>
    <xf numFmtId="0" fontId="0" fillId="21" borderId="9" xfId="0" applyFill="1" applyBorder="1" applyAlignment="1" applyProtection="1">
      <alignment horizontal="center" shrinkToFit="1"/>
    </xf>
    <xf numFmtId="3" fontId="6" fillId="21" borderId="9" xfId="0" applyNumberFormat="1" applyFont="1" applyFill="1" applyBorder="1" applyAlignment="1" applyProtection="1">
      <alignment horizontal="center" shrinkToFit="1"/>
    </xf>
    <xf numFmtId="170" fontId="6" fillId="21" borderId="9" xfId="0" applyNumberFormat="1" applyFont="1" applyFill="1" applyBorder="1" applyAlignment="1">
      <alignment horizontal="center" vertical="center"/>
    </xf>
    <xf numFmtId="170" fontId="6" fillId="21" borderId="9" xfId="0" applyNumberFormat="1" applyFont="1" applyFill="1" applyBorder="1" applyAlignment="1">
      <alignment horizontal="center"/>
    </xf>
    <xf numFmtId="4" fontId="16" fillId="30" borderId="9" xfId="0" applyNumberFormat="1" applyFont="1" applyFill="1" applyBorder="1" applyAlignment="1" applyProtection="1">
      <alignment horizontal="center" shrinkToFit="1"/>
    </xf>
    <xf numFmtId="0" fontId="6" fillId="21" borderId="57" xfId="0" applyFont="1" applyFill="1" applyBorder="1" applyAlignment="1">
      <alignment horizontal="justify" vertical="justify" wrapText="1"/>
    </xf>
    <xf numFmtId="0" fontId="6" fillId="21" borderId="0" xfId="0" applyFont="1" applyFill="1" applyBorder="1" applyAlignment="1">
      <alignment horizontal="justify" vertical="justify" wrapText="1"/>
    </xf>
    <xf numFmtId="0" fontId="6" fillId="21" borderId="58" xfId="0" applyFont="1" applyFill="1" applyBorder="1" applyAlignment="1">
      <alignment horizontal="justify" vertical="justify" wrapText="1"/>
    </xf>
    <xf numFmtId="0" fontId="0" fillId="21" borderId="9" xfId="0" applyFill="1" applyBorder="1" applyAlignment="1" applyProtection="1"/>
    <xf numFmtId="0" fontId="0" fillId="21" borderId="101" xfId="0" applyFill="1" applyBorder="1" applyAlignment="1" applyProtection="1"/>
    <xf numFmtId="0" fontId="6" fillId="21" borderId="99" xfId="0" applyFont="1" applyFill="1" applyBorder="1" applyAlignment="1" applyProtection="1">
      <alignment vertical="center" shrinkToFit="1"/>
      <protection hidden="1"/>
    </xf>
    <xf numFmtId="0" fontId="6" fillId="21" borderId="9" xfId="0" applyFont="1" applyFill="1" applyBorder="1" applyAlignment="1" applyProtection="1">
      <alignment vertical="center" shrinkToFit="1"/>
      <protection hidden="1"/>
    </xf>
    <xf numFmtId="49" fontId="11" fillId="21" borderId="9" xfId="0" applyNumberFormat="1" applyFont="1" applyFill="1" applyBorder="1" applyAlignment="1" applyProtection="1">
      <alignment horizontal="center" vertical="center" shrinkToFit="1"/>
    </xf>
    <xf numFmtId="0" fontId="11" fillId="21" borderId="9" xfId="0" applyFont="1" applyFill="1" applyBorder="1" applyAlignment="1" applyProtection="1">
      <alignment horizontal="center" vertical="center" shrinkToFit="1"/>
    </xf>
    <xf numFmtId="0" fontId="13" fillId="21" borderId="100" xfId="0" applyFont="1" applyFill="1" applyBorder="1" applyAlignment="1" applyProtection="1">
      <alignment vertical="center"/>
      <protection hidden="1"/>
    </xf>
    <xf numFmtId="0" fontId="0" fillId="21" borderId="100" xfId="0" applyFill="1" applyBorder="1" applyAlignment="1" applyProtection="1">
      <protection hidden="1"/>
    </xf>
    <xf numFmtId="0" fontId="0" fillId="21" borderId="89" xfId="0" applyFill="1" applyBorder="1" applyAlignment="1" applyProtection="1">
      <protection hidden="1"/>
    </xf>
    <xf numFmtId="4" fontId="6" fillId="21" borderId="95" xfId="0" applyNumberFormat="1" applyFont="1" applyFill="1" applyBorder="1" applyAlignment="1" applyProtection="1">
      <alignment horizontal="center" shrinkToFit="1"/>
      <protection hidden="1"/>
    </xf>
    <xf numFmtId="4" fontId="0" fillId="21" borderId="95" xfId="0" applyNumberFormat="1" applyFill="1" applyBorder="1" applyAlignment="1" applyProtection="1">
      <alignment horizontal="center" shrinkToFit="1"/>
      <protection hidden="1"/>
    </xf>
    <xf numFmtId="4" fontId="0" fillId="21" borderId="91" xfId="0" applyNumberFormat="1" applyFill="1" applyBorder="1" applyAlignment="1" applyProtection="1">
      <alignment horizontal="center" shrinkToFit="1"/>
      <protection hidden="1"/>
    </xf>
    <xf numFmtId="4" fontId="16" fillId="21" borderId="65" xfId="0" applyNumberFormat="1" applyFont="1" applyFill="1" applyBorder="1" applyAlignment="1" applyProtection="1">
      <alignment horizontal="right" vertical="center" shrinkToFit="1"/>
      <protection hidden="1"/>
    </xf>
    <xf numFmtId="4" fontId="16" fillId="21" borderId="86" xfId="0" applyNumberFormat="1" applyFont="1" applyFill="1" applyBorder="1" applyAlignment="1" applyProtection="1">
      <alignment horizontal="right" vertical="center" shrinkToFit="1"/>
      <protection hidden="1"/>
    </xf>
    <xf numFmtId="0" fontId="6" fillId="21" borderId="2" xfId="0" applyFont="1" applyFill="1" applyBorder="1" applyAlignment="1" applyProtection="1">
      <alignment horizontal="center" shrinkToFit="1"/>
      <protection hidden="1"/>
    </xf>
    <xf numFmtId="0" fontId="6" fillId="21" borderId="72" xfId="0" applyFont="1" applyFill="1" applyBorder="1" applyAlignment="1" applyProtection="1">
      <alignment horizontal="left" vertical="center"/>
      <protection hidden="1"/>
    </xf>
    <xf numFmtId="0" fontId="6" fillId="21" borderId="2" xfId="0" applyFont="1" applyFill="1" applyBorder="1" applyAlignment="1" applyProtection="1">
      <alignment horizontal="left" vertical="center"/>
      <protection hidden="1"/>
    </xf>
    <xf numFmtId="0" fontId="6" fillId="21" borderId="3" xfId="0" applyFont="1" applyFill="1" applyBorder="1" applyAlignment="1" applyProtection="1">
      <alignment horizontal="left" vertical="center"/>
      <protection hidden="1"/>
    </xf>
    <xf numFmtId="0" fontId="6" fillId="21" borderId="64" xfId="0" applyFont="1" applyFill="1" applyBorder="1" applyAlignment="1" applyProtection="1">
      <alignment horizontal="left" vertical="center"/>
      <protection hidden="1"/>
    </xf>
    <xf numFmtId="0" fontId="6" fillId="21" borderId="65" xfId="0" applyFont="1" applyFill="1" applyBorder="1" applyAlignment="1" applyProtection="1">
      <alignment horizontal="left" vertical="center"/>
      <protection hidden="1"/>
    </xf>
    <xf numFmtId="0" fontId="6" fillId="21" borderId="66" xfId="0" applyFont="1" applyFill="1" applyBorder="1" applyAlignment="1" applyProtection="1">
      <alignment horizontal="left" vertical="center"/>
      <protection hidden="1"/>
    </xf>
    <xf numFmtId="0" fontId="6" fillId="21" borderId="72" xfId="0" applyFont="1" applyFill="1" applyBorder="1" applyAlignment="1" applyProtection="1">
      <alignment horizontal="left"/>
      <protection hidden="1"/>
    </xf>
    <xf numFmtId="0" fontId="6" fillId="21" borderId="2" xfId="0" applyFont="1" applyFill="1" applyBorder="1" applyAlignment="1" applyProtection="1">
      <alignment horizontal="left"/>
      <protection hidden="1"/>
    </xf>
    <xf numFmtId="0" fontId="6" fillId="21" borderId="3" xfId="0" applyFont="1" applyFill="1" applyBorder="1" applyAlignment="1" applyProtection="1">
      <alignment horizontal="left"/>
      <protection hidden="1"/>
    </xf>
    <xf numFmtId="0" fontId="10" fillId="18" borderId="73" xfId="0" applyFont="1" applyFill="1" applyBorder="1" applyAlignment="1">
      <alignment horizontal="center" vertical="center"/>
    </xf>
    <xf numFmtId="0" fontId="10" fillId="18" borderId="71" xfId="0" applyFont="1" applyFill="1" applyBorder="1" applyAlignment="1">
      <alignment horizontal="center" vertical="center"/>
    </xf>
    <xf numFmtId="0" fontId="10" fillId="18" borderId="85" xfId="0" applyFont="1" applyFill="1" applyBorder="1" applyAlignment="1">
      <alignment horizontal="center" vertical="center"/>
    </xf>
    <xf numFmtId="0" fontId="6" fillId="21" borderId="9" xfId="0" applyNumberFormat="1" applyFont="1" applyFill="1" applyBorder="1" applyAlignment="1" applyProtection="1">
      <alignment horizontal="center" vertical="center" shrinkToFit="1"/>
    </xf>
    <xf numFmtId="0" fontId="0" fillId="21" borderId="9" xfId="0" applyNumberFormat="1" applyFill="1" applyBorder="1" applyAlignment="1" applyProtection="1">
      <alignment horizontal="center" vertical="center" shrinkToFit="1"/>
    </xf>
    <xf numFmtId="173" fontId="6" fillId="21" borderId="9" xfId="0" applyNumberFormat="1" applyFont="1" applyFill="1" applyBorder="1" applyAlignment="1" applyProtection="1">
      <alignment horizontal="center" vertical="center" shrinkToFit="1"/>
    </xf>
    <xf numFmtId="0" fontId="6" fillId="21" borderId="9" xfId="0" applyFont="1" applyFill="1" applyBorder="1" applyAlignment="1" applyProtection="1">
      <alignment horizontal="center" vertical="center" shrinkToFit="1"/>
    </xf>
    <xf numFmtId="0" fontId="0" fillId="21" borderId="9" xfId="0" applyFill="1" applyBorder="1" applyAlignment="1" applyProtection="1">
      <alignment horizontal="center" vertical="center" shrinkToFit="1"/>
    </xf>
    <xf numFmtId="3" fontId="6" fillId="21" borderId="9" xfId="0" applyNumberFormat="1" applyFont="1" applyFill="1" applyBorder="1" applyAlignment="1" applyProtection="1">
      <alignment horizontal="center" vertical="center" shrinkToFit="1"/>
    </xf>
    <xf numFmtId="0" fontId="6" fillId="21" borderId="0" xfId="0" applyFont="1" applyFill="1" applyBorder="1" applyAlignment="1" applyProtection="1">
      <alignment horizontal="center" shrinkToFit="1"/>
    </xf>
    <xf numFmtId="0" fontId="0" fillId="21" borderId="0" xfId="0" applyFill="1" applyBorder="1" applyAlignment="1">
      <alignment horizontal="center" shrinkToFit="1"/>
    </xf>
    <xf numFmtId="0" fontId="13" fillId="21" borderId="100" xfId="0" applyFont="1" applyFill="1" applyBorder="1" applyAlignment="1" applyProtection="1">
      <alignment horizontal="center" vertical="center"/>
      <protection hidden="1"/>
    </xf>
    <xf numFmtId="0" fontId="0" fillId="21" borderId="100" xfId="0" applyFill="1" applyBorder="1" applyAlignment="1" applyProtection="1">
      <alignment vertical="center"/>
      <protection hidden="1"/>
    </xf>
    <xf numFmtId="0" fontId="13" fillId="21" borderId="100" xfId="0" applyFont="1" applyFill="1" applyBorder="1" applyAlignment="1">
      <alignment horizontal="center" vertical="center"/>
    </xf>
    <xf numFmtId="0" fontId="6" fillId="21" borderId="100" xfId="0" applyFont="1" applyFill="1" applyBorder="1" applyAlignment="1">
      <alignment horizontal="center" vertical="center"/>
    </xf>
    <xf numFmtId="0" fontId="0" fillId="21" borderId="100" xfId="0" applyFill="1" applyBorder="1" applyAlignment="1">
      <alignment vertical="center"/>
    </xf>
    <xf numFmtId="0" fontId="12" fillId="21" borderId="100" xfId="0" applyFont="1" applyFill="1" applyBorder="1" applyAlignment="1">
      <alignment horizontal="center" vertical="center"/>
    </xf>
    <xf numFmtId="0" fontId="14" fillId="21" borderId="62" xfId="0" applyFont="1" applyFill="1" applyBorder="1" applyAlignment="1">
      <alignment horizontal="center" vertical="center"/>
    </xf>
    <xf numFmtId="0" fontId="14" fillId="21" borderId="63" xfId="0" applyFont="1" applyFill="1" applyBorder="1" applyAlignment="1">
      <alignment horizontal="center" vertical="center"/>
    </xf>
    <xf numFmtId="0" fontId="14" fillId="21" borderId="56" xfId="0" applyFont="1" applyFill="1" applyBorder="1" applyAlignment="1">
      <alignment horizontal="center" vertical="center"/>
    </xf>
    <xf numFmtId="0" fontId="6" fillId="21" borderId="73" xfId="0" applyFont="1" applyFill="1" applyBorder="1" applyAlignment="1" applyProtection="1">
      <alignment horizontal="center" vertical="center"/>
      <protection hidden="1"/>
    </xf>
    <xf numFmtId="0" fontId="6" fillId="21" borderId="71" xfId="0" applyFont="1" applyFill="1" applyBorder="1" applyAlignment="1" applyProtection="1">
      <alignment horizontal="center" vertical="center"/>
      <protection hidden="1"/>
    </xf>
    <xf numFmtId="0" fontId="6" fillId="21" borderId="87" xfId="0" applyFont="1" applyFill="1" applyBorder="1" applyAlignment="1" applyProtection="1">
      <alignment horizontal="left" vertical="center"/>
      <protection hidden="1"/>
    </xf>
    <xf numFmtId="0" fontId="6" fillId="21" borderId="102" xfId="0" applyFont="1" applyFill="1" applyBorder="1" applyAlignment="1" applyProtection="1">
      <alignment horizontal="left" vertical="center"/>
      <protection hidden="1"/>
    </xf>
    <xf numFmtId="0" fontId="6" fillId="21" borderId="4" xfId="0" applyFont="1" applyFill="1" applyBorder="1" applyAlignment="1" applyProtection="1">
      <alignment horizontal="left" vertical="center"/>
      <protection hidden="1"/>
    </xf>
    <xf numFmtId="0" fontId="6" fillId="21" borderId="12" xfId="0" applyFont="1" applyFill="1" applyBorder="1" applyAlignment="1" applyProtection="1">
      <alignment horizontal="left" vertical="center"/>
      <protection hidden="1"/>
    </xf>
    <xf numFmtId="0" fontId="0" fillId="21" borderId="2" xfId="0" applyFill="1" applyBorder="1" applyAlignment="1" applyProtection="1">
      <alignment horizontal="left"/>
      <protection hidden="1"/>
    </xf>
    <xf numFmtId="0" fontId="0" fillId="21" borderId="3" xfId="0" applyFill="1" applyBorder="1" applyAlignment="1" applyProtection="1">
      <alignment horizontal="left"/>
      <protection hidden="1"/>
    </xf>
    <xf numFmtId="4" fontId="16" fillId="21" borderId="2" xfId="0" applyNumberFormat="1" applyFont="1" applyFill="1" applyBorder="1" applyAlignment="1" applyProtection="1">
      <alignment horizontal="right" vertical="center" shrinkToFit="1"/>
      <protection hidden="1"/>
    </xf>
    <xf numFmtId="4" fontId="16" fillId="21" borderId="94" xfId="0" applyNumberFormat="1" applyFont="1" applyFill="1" applyBorder="1" applyAlignment="1" applyProtection="1">
      <alignment horizontal="right" vertical="center" shrinkToFit="1"/>
      <protection hidden="1"/>
    </xf>
    <xf numFmtId="0" fontId="6" fillId="21" borderId="2" xfId="0" applyFont="1" applyFill="1" applyBorder="1" applyAlignment="1" applyProtection="1">
      <alignment vertical="center" shrinkToFit="1"/>
      <protection hidden="1"/>
    </xf>
    <xf numFmtId="4" fontId="16" fillId="21" borderId="2" xfId="0" applyNumberFormat="1" applyFont="1" applyFill="1" applyBorder="1" applyAlignment="1" applyProtection="1">
      <alignment horizontal="right" vertical="center"/>
      <protection hidden="1"/>
    </xf>
    <xf numFmtId="4" fontId="16" fillId="21" borderId="94" xfId="0" applyNumberFormat="1" applyFont="1" applyFill="1" applyBorder="1" applyAlignment="1" applyProtection="1">
      <alignment horizontal="right" vertical="center"/>
      <protection hidden="1"/>
    </xf>
    <xf numFmtId="0" fontId="12" fillId="21" borderId="23" xfId="0" applyFont="1" applyFill="1" applyBorder="1" applyAlignment="1">
      <alignment vertical="center"/>
    </xf>
    <xf numFmtId="0" fontId="12" fillId="21" borderId="100" xfId="0" applyFont="1" applyFill="1" applyBorder="1" applyAlignment="1">
      <alignment vertical="center"/>
    </xf>
    <xf numFmtId="0" fontId="14" fillId="21" borderId="24" xfId="0" applyFont="1" applyFill="1" applyBorder="1" applyAlignment="1">
      <alignment horizontal="center" vertical="center"/>
    </xf>
    <xf numFmtId="0" fontId="15" fillId="21" borderId="96" xfId="0" applyFont="1" applyFill="1" applyBorder="1" applyAlignment="1">
      <alignment horizontal="center" vertical="center"/>
    </xf>
    <xf numFmtId="0" fontId="15" fillId="21" borderId="97" xfId="0" applyFont="1" applyFill="1" applyBorder="1" applyAlignment="1">
      <alignment horizontal="center" vertical="center"/>
    </xf>
    <xf numFmtId="0" fontId="6" fillId="21" borderId="90" xfId="0" applyFont="1" applyFill="1" applyBorder="1" applyAlignment="1" applyProtection="1">
      <alignment horizontal="center" shrinkToFit="1"/>
      <protection hidden="1"/>
    </xf>
    <xf numFmtId="0" fontId="6" fillId="21" borderId="95" xfId="0" applyFont="1" applyFill="1" applyBorder="1" applyAlignment="1" applyProtection="1">
      <alignment horizontal="center" shrinkToFit="1"/>
      <protection hidden="1"/>
    </xf>
    <xf numFmtId="166" fontId="6" fillId="21" borderId="95" xfId="6" applyFont="1" applyFill="1" applyBorder="1" applyAlignment="1" applyProtection="1">
      <alignment horizontal="center"/>
      <protection hidden="1"/>
    </xf>
    <xf numFmtId="0" fontId="6" fillId="21" borderId="99" xfId="0" applyFont="1" applyFill="1" applyBorder="1" applyAlignment="1" applyProtection="1">
      <alignment horizontal="left" vertical="center"/>
      <protection hidden="1"/>
    </xf>
    <xf numFmtId="0" fontId="6" fillId="21" borderId="9" xfId="0" applyFont="1" applyFill="1" applyBorder="1" applyAlignment="1" applyProtection="1">
      <alignment horizontal="left" vertical="center"/>
      <protection hidden="1"/>
    </xf>
    <xf numFmtId="0" fontId="6" fillId="21" borderId="47" xfId="0" applyFont="1" applyFill="1" applyBorder="1" applyAlignment="1" applyProtection="1">
      <alignment horizontal="left" vertical="center"/>
      <protection hidden="1"/>
    </xf>
    <xf numFmtId="0" fontId="13" fillId="21" borderId="61" xfId="0" applyFont="1" applyFill="1" applyBorder="1" applyAlignment="1">
      <alignment horizontal="left" vertical="center"/>
    </xf>
    <xf numFmtId="0" fontId="9" fillId="21" borderId="59" xfId="0" applyFont="1" applyFill="1" applyBorder="1" applyAlignment="1">
      <alignment horizontal="left" vertical="center"/>
    </xf>
    <xf numFmtId="0" fontId="0" fillId="21" borderId="59" xfId="0" applyFill="1" applyBorder="1" applyAlignment="1">
      <alignment horizontal="left" vertical="center"/>
    </xf>
    <xf numFmtId="0" fontId="6" fillId="21" borderId="72" xfId="0" applyFont="1" applyFill="1" applyBorder="1" applyAlignment="1" applyProtection="1">
      <alignment shrinkToFit="1"/>
      <protection hidden="1"/>
    </xf>
    <xf numFmtId="0" fontId="6" fillId="21" borderId="2" xfId="0" applyFont="1" applyFill="1" applyBorder="1" applyAlignment="1" applyProtection="1">
      <alignment shrinkToFit="1"/>
      <protection hidden="1"/>
    </xf>
    <xf numFmtId="0" fontId="0" fillId="21" borderId="2" xfId="0" applyFill="1" applyBorder="1" applyAlignment="1" applyProtection="1">
      <alignment shrinkToFit="1"/>
      <protection hidden="1"/>
    </xf>
    <xf numFmtId="0" fontId="0" fillId="21" borderId="3" xfId="0" applyFill="1" applyBorder="1" applyAlignment="1" applyProtection="1">
      <alignment shrinkToFit="1"/>
      <protection hidden="1"/>
    </xf>
    <xf numFmtId="0" fontId="6" fillId="21" borderId="0" xfId="0" applyFont="1" applyFill="1" applyBorder="1" applyAlignment="1" applyProtection="1">
      <alignment shrinkToFit="1"/>
      <protection hidden="1"/>
    </xf>
    <xf numFmtId="0" fontId="0" fillId="21" borderId="0" xfId="0" applyFill="1" applyBorder="1" applyAlignment="1" applyProtection="1">
      <alignment shrinkToFit="1"/>
      <protection hidden="1"/>
    </xf>
    <xf numFmtId="4" fontId="16" fillId="21" borderId="71" xfId="0" applyNumberFormat="1" applyFont="1" applyFill="1" applyBorder="1" applyAlignment="1" applyProtection="1">
      <alignment horizontal="right" vertical="center"/>
      <protection hidden="1"/>
    </xf>
    <xf numFmtId="4" fontId="16" fillId="21" borderId="85" xfId="0" applyNumberFormat="1" applyFont="1" applyFill="1" applyBorder="1" applyAlignment="1" applyProtection="1">
      <alignment horizontal="right" vertical="center"/>
      <protection hidden="1"/>
    </xf>
    <xf numFmtId="0" fontId="6" fillId="21" borderId="72" xfId="0" applyFont="1" applyFill="1" applyBorder="1" applyAlignment="1" applyProtection="1">
      <alignment vertical="center" shrinkToFit="1"/>
      <protection hidden="1"/>
    </xf>
    <xf numFmtId="0" fontId="0" fillId="21" borderId="2" xfId="0" applyFill="1" applyBorder="1" applyAlignment="1" applyProtection="1">
      <alignment vertical="center" shrinkToFit="1"/>
      <protection hidden="1"/>
    </xf>
    <xf numFmtId="0" fontId="6" fillId="21" borderId="0" xfId="0" applyFont="1" applyFill="1" applyBorder="1" applyAlignment="1">
      <alignment horizontal="center" vertical="center"/>
    </xf>
    <xf numFmtId="0" fontId="6" fillId="21" borderId="58" xfId="0" applyFont="1" applyFill="1" applyBorder="1" applyAlignment="1">
      <alignment horizontal="center" vertical="center"/>
    </xf>
    <xf numFmtId="0" fontId="6" fillId="21" borderId="57" xfId="0" applyFont="1" applyFill="1" applyBorder="1" applyAlignment="1" applyProtection="1">
      <alignment horizontal="left" shrinkToFit="1"/>
      <protection hidden="1"/>
    </xf>
    <xf numFmtId="0" fontId="6" fillId="21" borderId="0" xfId="0" applyFont="1" applyFill="1" applyBorder="1" applyAlignment="1" applyProtection="1">
      <alignment horizontal="left" shrinkToFit="1"/>
      <protection hidden="1"/>
    </xf>
    <xf numFmtId="0" fontId="6" fillId="21" borderId="57" xfId="0" applyFont="1" applyFill="1" applyBorder="1" applyAlignment="1">
      <alignment horizontal="center" vertical="center"/>
    </xf>
    <xf numFmtId="4" fontId="16" fillId="21" borderId="4" xfId="0" applyNumberFormat="1" applyFont="1" applyFill="1" applyBorder="1" applyAlignment="1" applyProtection="1">
      <alignment horizontal="right" vertical="center" shrinkToFit="1"/>
      <protection hidden="1"/>
    </xf>
    <xf numFmtId="4" fontId="16" fillId="21" borderId="98" xfId="0" applyNumberFormat="1" applyFont="1" applyFill="1" applyBorder="1" applyAlignment="1" applyProtection="1">
      <alignment horizontal="right" vertical="center" shrinkToFit="1"/>
      <protection hidden="1"/>
    </xf>
    <xf numFmtId="4" fontId="16" fillId="21" borderId="2" xfId="0" applyNumberFormat="1" applyFont="1" applyFill="1" applyBorder="1" applyAlignment="1" applyProtection="1">
      <protection hidden="1"/>
    </xf>
    <xf numFmtId="4" fontId="16" fillId="21" borderId="94" xfId="0" applyNumberFormat="1" applyFont="1" applyFill="1" applyBorder="1" applyAlignment="1" applyProtection="1">
      <protection hidden="1"/>
    </xf>
    <xf numFmtId="4" fontId="16" fillId="21" borderId="71" xfId="0" applyNumberFormat="1" applyFont="1" applyFill="1" applyBorder="1" applyAlignment="1" applyProtection="1">
      <alignment horizontal="right" vertical="center" shrinkToFit="1"/>
      <protection hidden="1"/>
    </xf>
    <xf numFmtId="4" fontId="16" fillId="21" borderId="85" xfId="0" applyNumberFormat="1" applyFont="1" applyFill="1" applyBorder="1" applyAlignment="1" applyProtection="1">
      <alignment horizontal="right" vertical="center" shrinkToFit="1"/>
      <protection hidden="1"/>
    </xf>
    <xf numFmtId="4" fontId="16" fillId="21" borderId="73" xfId="0" applyNumberFormat="1" applyFont="1" applyFill="1" applyBorder="1" applyAlignment="1" applyProtection="1">
      <alignment horizontal="left" vertical="center"/>
      <protection hidden="1"/>
    </xf>
    <xf numFmtId="0" fontId="0" fillId="21" borderId="71" xfId="0" applyFill="1" applyBorder="1" applyAlignment="1" applyProtection="1">
      <protection hidden="1"/>
    </xf>
    <xf numFmtId="166" fontId="16" fillId="3" borderId="27" xfId="6" applyFont="1" applyFill="1" applyBorder="1" applyAlignment="1" applyProtection="1">
      <alignment horizontal="center" vertical="center" shrinkToFit="1"/>
      <protection hidden="1"/>
    </xf>
    <xf numFmtId="166" fontId="16" fillId="3" borderId="2" xfId="6" applyFont="1" applyFill="1" applyBorder="1" applyAlignment="1" applyProtection="1">
      <alignment horizontal="center" vertical="center" shrinkToFit="1"/>
      <protection hidden="1"/>
    </xf>
    <xf numFmtId="166" fontId="16" fillId="3" borderId="94" xfId="6" applyFont="1" applyFill="1" applyBorder="1" applyAlignment="1" applyProtection="1">
      <alignment horizontal="center" vertical="center" shrinkToFit="1"/>
      <protection hidden="1"/>
    </xf>
    <xf numFmtId="0" fontId="6" fillId="3" borderId="72" xfId="0" applyFont="1" applyFill="1" applyBorder="1" applyAlignment="1" applyProtection="1">
      <alignment horizontal="left" shrinkToFit="1"/>
      <protection hidden="1"/>
    </xf>
    <xf numFmtId="0" fontId="6" fillId="3" borderId="2" xfId="0" applyFont="1" applyFill="1" applyBorder="1" applyAlignment="1" applyProtection="1">
      <alignment horizontal="left" shrinkToFit="1"/>
      <protection hidden="1"/>
    </xf>
    <xf numFmtId="1" fontId="14" fillId="10" borderId="5" xfId="0" applyNumberFormat="1" applyFont="1" applyFill="1" applyBorder="1" applyAlignment="1" applyProtection="1">
      <alignment horizontal="center" vertical="center"/>
      <protection hidden="1"/>
    </xf>
    <xf numFmtId="0" fontId="14" fillId="10" borderId="5" xfId="0" applyFont="1" applyFill="1" applyBorder="1" applyAlignment="1" applyProtection="1">
      <alignment horizontal="center" vertical="center"/>
      <protection hidden="1"/>
    </xf>
    <xf numFmtId="0" fontId="6" fillId="3" borderId="72" xfId="0" applyFont="1" applyFill="1" applyBorder="1" applyAlignment="1">
      <alignment horizontal="left"/>
    </xf>
    <xf numFmtId="1" fontId="14" fillId="10" borderId="27" xfId="0" applyNumberFormat="1" applyFont="1" applyFill="1" applyBorder="1" applyAlignment="1" applyProtection="1">
      <alignment horizontal="center" vertical="center"/>
      <protection hidden="1"/>
    </xf>
    <xf numFmtId="1" fontId="14" fillId="10" borderId="3" xfId="0" applyNumberFormat="1" applyFont="1" applyFill="1" applyBorder="1" applyAlignment="1" applyProtection="1">
      <alignment horizontal="center" vertical="center"/>
      <protection hidden="1"/>
    </xf>
    <xf numFmtId="166" fontId="6" fillId="3" borderId="27" xfId="6" applyFont="1" applyFill="1" applyBorder="1" applyAlignment="1" applyProtection="1">
      <alignment horizontal="center" vertical="center"/>
      <protection hidden="1"/>
    </xf>
    <xf numFmtId="166" fontId="6" fillId="3" borderId="2" xfId="6" applyFont="1" applyFill="1" applyBorder="1" applyAlignment="1" applyProtection="1">
      <alignment horizontal="center" vertical="center"/>
      <protection hidden="1"/>
    </xf>
    <xf numFmtId="166" fontId="6" fillId="3" borderId="3" xfId="6" applyFont="1" applyFill="1" applyBorder="1" applyAlignment="1" applyProtection="1">
      <alignment horizontal="center" vertical="center"/>
      <protection hidden="1"/>
    </xf>
    <xf numFmtId="166" fontId="6" fillId="5" borderId="27" xfId="0" applyNumberFormat="1" applyFont="1" applyFill="1" applyBorder="1" applyAlignment="1" applyProtection="1">
      <alignment horizontal="center" vertical="center"/>
      <protection hidden="1"/>
    </xf>
    <xf numFmtId="166" fontId="6" fillId="5" borderId="2" xfId="0" applyNumberFormat="1" applyFont="1" applyFill="1" applyBorder="1" applyAlignment="1" applyProtection="1">
      <alignment horizontal="center" vertical="center"/>
      <protection hidden="1"/>
    </xf>
    <xf numFmtId="166" fontId="6" fillId="5" borderId="3" xfId="0" applyNumberFormat="1" applyFont="1" applyFill="1" applyBorder="1" applyAlignment="1" applyProtection="1">
      <alignment horizontal="center" vertical="center"/>
      <protection hidden="1"/>
    </xf>
    <xf numFmtId="0" fontId="16" fillId="3" borderId="72" xfId="0" applyFont="1" applyFill="1" applyBorder="1" applyAlignment="1" applyProtection="1">
      <alignment horizontal="left"/>
      <protection hidden="1"/>
    </xf>
    <xf numFmtId="0" fontId="16" fillId="3" borderId="2" xfId="0" applyFont="1" applyFill="1" applyBorder="1" applyAlignment="1" applyProtection="1">
      <alignment horizontal="left"/>
      <protection hidden="1"/>
    </xf>
    <xf numFmtId="166" fontId="6" fillId="3" borderId="27" xfId="6" applyFont="1" applyFill="1" applyBorder="1" applyAlignment="1" applyProtection="1">
      <alignment horizontal="center"/>
      <protection hidden="1"/>
    </xf>
    <xf numFmtId="166" fontId="6" fillId="3" borderId="2" xfId="6" applyFont="1" applyFill="1" applyBorder="1" applyAlignment="1" applyProtection="1">
      <alignment horizontal="center"/>
      <protection hidden="1"/>
    </xf>
    <xf numFmtId="166" fontId="6" fillId="3" borderId="3" xfId="6" applyFont="1" applyFill="1" applyBorder="1" applyAlignment="1" applyProtection="1">
      <alignment horizontal="center"/>
      <protection hidden="1"/>
    </xf>
    <xf numFmtId="0" fontId="6" fillId="3" borderId="3" xfId="0" applyFont="1" applyFill="1" applyBorder="1" applyAlignment="1" applyProtection="1">
      <alignment horizontal="left" shrinkToFit="1"/>
      <protection hidden="1"/>
    </xf>
    <xf numFmtId="166" fontId="16" fillId="10" borderId="5" xfId="6" applyFont="1" applyFill="1" applyBorder="1" applyAlignment="1" applyProtection="1">
      <alignment horizontal="center" vertical="center" shrinkToFit="1"/>
      <protection hidden="1"/>
    </xf>
    <xf numFmtId="166" fontId="16" fillId="10" borderId="55" xfId="6" applyFont="1" applyFill="1" applyBorder="1" applyAlignment="1" applyProtection="1">
      <alignment horizontal="center" vertical="center" shrinkToFit="1"/>
      <protection hidden="1"/>
    </xf>
    <xf numFmtId="166" fontId="16" fillId="5" borderId="5" xfId="6" applyFont="1" applyFill="1" applyBorder="1" applyAlignment="1" applyProtection="1">
      <alignment horizontal="center" vertical="center" shrinkToFit="1"/>
      <protection hidden="1"/>
    </xf>
    <xf numFmtId="166" fontId="16" fillId="5" borderId="55" xfId="6" applyFont="1" applyFill="1" applyBorder="1" applyAlignment="1" applyProtection="1">
      <alignment horizontal="center" vertical="center" shrinkToFit="1"/>
      <protection hidden="1"/>
    </xf>
    <xf numFmtId="166" fontId="16" fillId="3" borderId="5" xfId="6" applyFont="1" applyFill="1" applyBorder="1" applyAlignment="1" applyProtection="1">
      <alignment horizontal="right" vertical="center" shrinkToFit="1"/>
      <protection hidden="1"/>
    </xf>
    <xf numFmtId="166" fontId="16" fillId="3" borderId="55" xfId="6" applyFont="1" applyFill="1" applyBorder="1" applyAlignment="1" applyProtection="1">
      <alignment horizontal="right" vertical="center" shrinkToFit="1"/>
      <protection hidden="1"/>
    </xf>
    <xf numFmtId="0" fontId="14" fillId="10" borderId="72" xfId="0" applyFont="1" applyFill="1" applyBorder="1" applyAlignment="1">
      <alignment horizontal="left" vertical="center" shrinkToFit="1"/>
    </xf>
    <xf numFmtId="0" fontId="14" fillId="10" borderId="2" xfId="0" applyFont="1" applyFill="1" applyBorder="1" applyAlignment="1">
      <alignment horizontal="left" vertical="center" shrinkToFit="1"/>
    </xf>
    <xf numFmtId="0" fontId="14" fillId="10" borderId="3" xfId="0" applyFont="1" applyFill="1" applyBorder="1" applyAlignment="1">
      <alignment horizontal="left" vertical="center" shrinkToFit="1"/>
    </xf>
    <xf numFmtId="0" fontId="6" fillId="3" borderId="72" xfId="0" applyFont="1" applyFill="1" applyBorder="1" applyAlignment="1" applyProtection="1">
      <alignment horizontal="left"/>
      <protection hidden="1"/>
    </xf>
    <xf numFmtId="0" fontId="6" fillId="3" borderId="72" xfId="0" applyFont="1" applyFill="1" applyBorder="1" applyAlignment="1" applyProtection="1">
      <alignment horizontal="left" vertical="center" shrinkToFit="1"/>
      <protection hidden="1"/>
    </xf>
    <xf numFmtId="0" fontId="6" fillId="3" borderId="2" xfId="0" applyFont="1" applyFill="1" applyBorder="1" applyAlignment="1" applyProtection="1">
      <alignment horizontal="left" vertical="center" shrinkToFit="1"/>
      <protection hidden="1"/>
    </xf>
    <xf numFmtId="0" fontId="6" fillId="3" borderId="3" xfId="0" applyFont="1" applyFill="1" applyBorder="1" applyAlignment="1" applyProtection="1">
      <alignment horizontal="left" vertical="center" shrinkToFit="1"/>
      <protection hidden="1"/>
    </xf>
    <xf numFmtId="166" fontId="6" fillId="3" borderId="27" xfId="0" applyNumberFormat="1" applyFont="1" applyFill="1" applyBorder="1" applyAlignment="1" applyProtection="1">
      <alignment horizontal="center" vertical="center"/>
      <protection hidden="1"/>
    </xf>
    <xf numFmtId="166" fontId="6" fillId="3" borderId="2" xfId="0" applyNumberFormat="1" applyFont="1" applyFill="1" applyBorder="1" applyAlignment="1" applyProtection="1">
      <alignment horizontal="center" vertical="center"/>
      <protection hidden="1"/>
    </xf>
    <xf numFmtId="166" fontId="6" fillId="3" borderId="3" xfId="0" applyNumberFormat="1" applyFont="1" applyFill="1" applyBorder="1" applyAlignment="1" applyProtection="1">
      <alignment horizontal="center" vertical="center"/>
      <protection hidden="1"/>
    </xf>
    <xf numFmtId="164" fontId="6" fillId="10" borderId="27" xfId="0" applyNumberFormat="1" applyFont="1" applyFill="1" applyBorder="1" applyAlignment="1" applyProtection="1">
      <alignment horizontal="center" vertical="center"/>
      <protection hidden="1"/>
    </xf>
    <xf numFmtId="164" fontId="6" fillId="10" borderId="2" xfId="0" applyNumberFormat="1" applyFont="1" applyFill="1" applyBorder="1" applyAlignment="1" applyProtection="1">
      <alignment horizontal="center" vertical="center"/>
      <protection hidden="1"/>
    </xf>
    <xf numFmtId="164" fontId="6" fillId="10" borderId="3" xfId="0" applyNumberFormat="1" applyFont="1" applyFill="1" applyBorder="1" applyAlignment="1" applyProtection="1">
      <alignment horizontal="center" vertical="center"/>
      <protection hidden="1"/>
    </xf>
    <xf numFmtId="0" fontId="60" fillId="5" borderId="73" xfId="0" applyFont="1" applyFill="1" applyBorder="1" applyAlignment="1">
      <alignment horizontal="center" vertical="center"/>
    </xf>
    <xf numFmtId="0" fontId="61" fillId="5" borderId="71" xfId="0" applyFont="1" applyFill="1" applyBorder="1" applyAlignment="1">
      <alignment horizontal="center" vertical="center"/>
    </xf>
    <xf numFmtId="0" fontId="61" fillId="5" borderId="85" xfId="0" applyFont="1" applyFill="1" applyBorder="1" applyAlignment="1">
      <alignment horizontal="center" vertical="center"/>
    </xf>
    <xf numFmtId="0" fontId="6" fillId="3" borderId="65" xfId="0" applyNumberFormat="1" applyFont="1" applyFill="1" applyBorder="1" applyAlignment="1" applyProtection="1">
      <alignment horizontal="center" vertical="center" shrinkToFit="1"/>
    </xf>
    <xf numFmtId="0" fontId="0" fillId="3" borderId="65" xfId="0" applyNumberFormat="1" applyFill="1" applyBorder="1" applyAlignment="1" applyProtection="1">
      <alignment horizontal="center" vertical="center" shrinkToFit="1"/>
    </xf>
    <xf numFmtId="173" fontId="6" fillId="3" borderId="65" xfId="0" applyNumberFormat="1" applyFont="1" applyFill="1" applyBorder="1" applyAlignment="1" applyProtection="1">
      <alignment horizontal="center" vertical="center" shrinkToFit="1"/>
    </xf>
    <xf numFmtId="0" fontId="0" fillId="3" borderId="9" xfId="0" applyFill="1" applyBorder="1" applyAlignment="1" applyProtection="1">
      <alignment horizontal="center" vertical="center" shrinkToFit="1"/>
    </xf>
    <xf numFmtId="3" fontId="6" fillId="3" borderId="9" xfId="0" applyNumberFormat="1" applyFont="1" applyFill="1" applyBorder="1" applyAlignment="1" applyProtection="1">
      <alignment horizontal="center" vertical="center" shrinkToFit="1"/>
    </xf>
    <xf numFmtId="0" fontId="6" fillId="3" borderId="72" xfId="0" applyFont="1" applyFill="1" applyBorder="1" applyAlignment="1" applyProtection="1">
      <alignment horizontal="left" vertical="center"/>
      <protection hidden="1"/>
    </xf>
    <xf numFmtId="0" fontId="6" fillId="3" borderId="2" xfId="0" applyFont="1" applyFill="1" applyBorder="1" applyAlignment="1" applyProtection="1">
      <alignment horizontal="left" vertical="center"/>
      <protection hidden="1"/>
    </xf>
    <xf numFmtId="0" fontId="6" fillId="3" borderId="3" xfId="0" applyFont="1" applyFill="1" applyBorder="1" applyAlignment="1" applyProtection="1">
      <alignment horizontal="left" vertical="center"/>
      <protection hidden="1"/>
    </xf>
    <xf numFmtId="0" fontId="13" fillId="3" borderId="100" xfId="0" applyFont="1" applyFill="1" applyBorder="1" applyAlignment="1" applyProtection="1">
      <alignment vertical="center"/>
      <protection hidden="1"/>
    </xf>
    <xf numFmtId="0" fontId="0" fillId="3" borderId="100" xfId="0" applyFill="1" applyBorder="1" applyAlignment="1" applyProtection="1">
      <protection hidden="1"/>
    </xf>
    <xf numFmtId="0" fontId="0" fillId="3" borderId="89" xfId="0" applyFill="1" applyBorder="1" applyAlignment="1" applyProtection="1">
      <protection hidden="1"/>
    </xf>
    <xf numFmtId="4" fontId="6" fillId="3" borderId="95" xfId="0" applyNumberFormat="1" applyFont="1" applyFill="1" applyBorder="1" applyAlignment="1" applyProtection="1">
      <alignment horizontal="center" shrinkToFit="1"/>
      <protection hidden="1"/>
    </xf>
    <xf numFmtId="4" fontId="0" fillId="3" borderId="95" xfId="0" applyNumberFormat="1" applyFill="1" applyBorder="1" applyAlignment="1" applyProtection="1">
      <alignment horizontal="center" shrinkToFit="1"/>
      <protection hidden="1"/>
    </xf>
    <xf numFmtId="4" fontId="0" fillId="3" borderId="91" xfId="0" applyNumberFormat="1" applyFill="1" applyBorder="1" applyAlignment="1" applyProtection="1">
      <alignment horizontal="center" shrinkToFit="1"/>
      <protection hidden="1"/>
    </xf>
    <xf numFmtId="4" fontId="6" fillId="11" borderId="103" xfId="0" applyNumberFormat="1" applyFont="1" applyFill="1" applyBorder="1" applyAlignment="1" applyProtection="1">
      <alignment horizontal="center" vertical="center" wrapText="1" shrinkToFit="1"/>
      <protection hidden="1"/>
    </xf>
    <xf numFmtId="4" fontId="6" fillId="11" borderId="63" xfId="0" applyNumberFormat="1" applyFont="1" applyFill="1" applyBorder="1" applyAlignment="1" applyProtection="1">
      <alignment horizontal="center" vertical="center" wrapText="1" shrinkToFit="1"/>
      <protection hidden="1"/>
    </xf>
    <xf numFmtId="4" fontId="6" fillId="11" borderId="56" xfId="0" applyNumberFormat="1" applyFont="1" applyFill="1" applyBorder="1" applyAlignment="1" applyProtection="1">
      <alignment horizontal="center" vertical="center" wrapText="1" shrinkToFit="1"/>
      <protection hidden="1"/>
    </xf>
    <xf numFmtId="4" fontId="6" fillId="11" borderId="31" xfId="0" applyNumberFormat="1" applyFont="1" applyFill="1" applyBorder="1" applyAlignment="1" applyProtection="1">
      <alignment horizontal="center" vertical="center" wrapText="1" shrinkToFit="1"/>
      <protection hidden="1"/>
    </xf>
    <xf numFmtId="4" fontId="6" fillId="11" borderId="9" xfId="0" applyNumberFormat="1" applyFont="1" applyFill="1" applyBorder="1" applyAlignment="1" applyProtection="1">
      <alignment horizontal="center" vertical="center" wrapText="1" shrinkToFit="1"/>
      <protection hidden="1"/>
    </xf>
    <xf numFmtId="4" fontId="6" fillId="11" borderId="101" xfId="0" applyNumberFormat="1" applyFont="1" applyFill="1" applyBorder="1" applyAlignment="1" applyProtection="1">
      <alignment horizontal="center" vertical="center" wrapText="1" shrinkToFit="1"/>
      <protection hidden="1"/>
    </xf>
    <xf numFmtId="0" fontId="13" fillId="3" borderId="100" xfId="0" applyFont="1" applyFill="1" applyBorder="1" applyAlignment="1" applyProtection="1">
      <alignment horizontal="center" vertical="center"/>
      <protection hidden="1"/>
    </xf>
    <xf numFmtId="0" fontId="0" fillId="3" borderId="100" xfId="0" applyFill="1" applyBorder="1" applyAlignment="1" applyProtection="1">
      <alignment vertical="center"/>
      <protection hidden="1"/>
    </xf>
    <xf numFmtId="0" fontId="13" fillId="3" borderId="100" xfId="0" applyFont="1" applyFill="1" applyBorder="1" applyAlignment="1">
      <alignment horizontal="center" vertical="center"/>
    </xf>
    <xf numFmtId="0" fontId="6" fillId="3" borderId="100" xfId="0" applyFont="1" applyFill="1" applyBorder="1" applyAlignment="1">
      <alignment horizontal="center" vertical="center"/>
    </xf>
    <xf numFmtId="0" fontId="0" fillId="3" borderId="100" xfId="0" applyFill="1" applyBorder="1" applyAlignment="1">
      <alignment vertical="center"/>
    </xf>
    <xf numFmtId="0" fontId="12" fillId="3" borderId="100" xfId="0" applyFont="1" applyFill="1" applyBorder="1" applyAlignment="1">
      <alignment horizontal="center" vertical="center"/>
    </xf>
    <xf numFmtId="0" fontId="12" fillId="3" borderId="23" xfId="0" applyFont="1" applyFill="1" applyBorder="1" applyAlignment="1">
      <alignment vertical="center"/>
    </xf>
    <xf numFmtId="0" fontId="12" fillId="3" borderId="100" xfId="0" applyFont="1" applyFill="1" applyBorder="1" applyAlignment="1">
      <alignment vertical="center"/>
    </xf>
    <xf numFmtId="166" fontId="6" fillId="3" borderId="95" xfId="6" applyFont="1" applyFill="1" applyBorder="1" applyAlignment="1" applyProtection="1">
      <alignment horizontal="center"/>
      <protection hidden="1"/>
    </xf>
    <xf numFmtId="0" fontId="6" fillId="3" borderId="90" xfId="0" applyFont="1" applyFill="1" applyBorder="1" applyAlignment="1" applyProtection="1">
      <alignment horizontal="center" shrinkToFit="1"/>
      <protection hidden="1"/>
    </xf>
    <xf numFmtId="0" fontId="6" fillId="3" borderId="95" xfId="0" applyFont="1" applyFill="1" applyBorder="1" applyAlignment="1" applyProtection="1">
      <alignment horizontal="center" shrinkToFit="1"/>
      <protection hidden="1"/>
    </xf>
    <xf numFmtId="1" fontId="6" fillId="10" borderId="27" xfId="0" applyNumberFormat="1" applyFont="1" applyFill="1" applyBorder="1" applyAlignment="1">
      <alignment horizontal="center" vertical="center"/>
    </xf>
    <xf numFmtId="1" fontId="6" fillId="10" borderId="3" xfId="0" applyNumberFormat="1" applyFont="1" applyFill="1" applyBorder="1" applyAlignment="1">
      <alignment horizontal="center" vertical="center"/>
    </xf>
    <xf numFmtId="177" fontId="6" fillId="10" borderId="27" xfId="0" applyNumberFormat="1" applyFont="1" applyFill="1" applyBorder="1" applyAlignment="1">
      <alignment horizontal="center" vertical="center" shrinkToFit="1"/>
    </xf>
    <xf numFmtId="177" fontId="6" fillId="10" borderId="2" xfId="0" applyNumberFormat="1" applyFont="1" applyFill="1" applyBorder="1" applyAlignment="1">
      <alignment horizontal="center" vertical="center" shrinkToFit="1"/>
    </xf>
    <xf numFmtId="177" fontId="6" fillId="10" borderId="3" xfId="0" applyNumberFormat="1" applyFont="1" applyFill="1" applyBorder="1" applyAlignment="1">
      <alignment horizontal="center" vertical="center" shrinkToFit="1"/>
    </xf>
    <xf numFmtId="4" fontId="6" fillId="14" borderId="100" xfId="0" applyNumberFormat="1" applyFont="1" applyFill="1" applyBorder="1" applyAlignment="1" applyProtection="1">
      <alignment horizontal="center" shrinkToFit="1"/>
      <protection hidden="1"/>
    </xf>
    <xf numFmtId="0" fontId="0" fillId="0" borderId="2" xfId="0" applyBorder="1"/>
    <xf numFmtId="0" fontId="0" fillId="0" borderId="3" xfId="0" applyBorder="1"/>
    <xf numFmtId="166" fontId="16" fillId="3" borderId="27" xfId="6" applyFont="1" applyFill="1" applyBorder="1" applyAlignment="1" applyProtection="1">
      <alignment horizontal="right" vertical="center" shrinkToFit="1"/>
      <protection hidden="1"/>
    </xf>
    <xf numFmtId="166" fontId="16" fillId="3" borderId="2" xfId="6" applyFont="1" applyFill="1" applyBorder="1" applyAlignment="1" applyProtection="1">
      <alignment horizontal="right" vertical="center" shrinkToFit="1"/>
      <protection hidden="1"/>
    </xf>
    <xf numFmtId="166" fontId="16" fillId="3" borderId="94" xfId="6" applyFont="1" applyFill="1" applyBorder="1" applyAlignment="1" applyProtection="1">
      <alignment horizontal="right" vertical="center" shrinkToFit="1"/>
      <protection hidden="1"/>
    </xf>
    <xf numFmtId="166" fontId="16" fillId="5" borderId="27" xfId="6" applyFont="1" applyFill="1" applyBorder="1" applyAlignment="1" applyProtection="1">
      <alignment horizontal="center" vertical="center" shrinkToFit="1"/>
      <protection hidden="1"/>
    </xf>
    <xf numFmtId="166" fontId="16" fillId="5" borderId="2" xfId="6" applyFont="1" applyFill="1" applyBorder="1" applyAlignment="1" applyProtection="1">
      <alignment horizontal="center" vertical="center" shrinkToFit="1"/>
      <protection hidden="1"/>
    </xf>
    <xf numFmtId="166" fontId="16" fillId="5" borderId="94" xfId="6" applyFont="1" applyFill="1" applyBorder="1" applyAlignment="1" applyProtection="1">
      <alignment horizontal="center" vertical="center" shrinkToFit="1"/>
      <protection hidden="1"/>
    </xf>
    <xf numFmtId="0" fontId="6" fillId="3" borderId="54" xfId="0" applyFont="1" applyFill="1" applyBorder="1" applyAlignment="1" applyProtection="1">
      <alignment horizontal="left" vertical="center"/>
      <protection hidden="1"/>
    </xf>
    <xf numFmtId="0" fontId="6" fillId="3" borderId="5" xfId="0" applyFont="1" applyFill="1" applyBorder="1" applyAlignment="1" applyProtection="1">
      <alignment horizontal="left" vertical="center"/>
      <protection hidden="1"/>
    </xf>
    <xf numFmtId="177" fontId="6" fillId="10" borderId="27" xfId="0" applyNumberFormat="1" applyFont="1" applyFill="1" applyBorder="1" applyAlignment="1" applyProtection="1">
      <alignment horizontal="center" vertical="center" shrinkToFit="1"/>
      <protection hidden="1"/>
    </xf>
    <xf numFmtId="177" fontId="6" fillId="10" borderId="2" xfId="0" applyNumberFormat="1" applyFont="1" applyFill="1" applyBorder="1" applyAlignment="1" applyProtection="1">
      <alignment horizontal="center" vertical="center" shrinkToFit="1"/>
      <protection hidden="1"/>
    </xf>
    <xf numFmtId="177" fontId="6" fillId="10" borderId="3" xfId="0" applyNumberFormat="1" applyFont="1" applyFill="1" applyBorder="1" applyAlignment="1" applyProtection="1">
      <alignment horizontal="center" vertical="center" shrinkToFit="1"/>
      <protection hidden="1"/>
    </xf>
    <xf numFmtId="0" fontId="14" fillId="10" borderId="3" xfId="0" applyFont="1" applyFill="1" applyBorder="1" applyAlignment="1" applyProtection="1">
      <alignment horizontal="center" vertical="center"/>
      <protection hidden="1"/>
    </xf>
    <xf numFmtId="0" fontId="6" fillId="10" borderId="27" xfId="0" applyNumberFormat="1" applyFont="1" applyFill="1" applyBorder="1" applyAlignment="1" applyProtection="1">
      <alignment horizontal="center" vertical="center"/>
      <protection hidden="1"/>
    </xf>
    <xf numFmtId="0" fontId="6" fillId="10" borderId="3" xfId="0" applyNumberFormat="1" applyFont="1" applyFill="1" applyBorder="1" applyAlignment="1" applyProtection="1">
      <alignment horizontal="center" vertical="center"/>
      <protection hidden="1"/>
    </xf>
    <xf numFmtId="3" fontId="6" fillId="5" borderId="27" xfId="0" applyNumberFormat="1" applyFont="1" applyFill="1" applyBorder="1" applyAlignment="1" applyProtection="1">
      <alignment horizontal="center" vertical="center"/>
      <protection hidden="1"/>
    </xf>
    <xf numFmtId="3" fontId="6" fillId="5" borderId="3" xfId="0" applyNumberFormat="1" applyFont="1" applyFill="1" applyBorder="1" applyAlignment="1" applyProtection="1">
      <alignment horizontal="center" vertical="center"/>
      <protection hidden="1"/>
    </xf>
    <xf numFmtId="166" fontId="6" fillId="3" borderId="27" xfId="0" applyNumberFormat="1" applyFont="1" applyFill="1" applyBorder="1" applyAlignment="1" applyProtection="1">
      <alignment horizontal="center"/>
      <protection hidden="1"/>
    </xf>
    <xf numFmtId="166" fontId="6" fillId="3" borderId="2" xfId="0" applyNumberFormat="1" applyFont="1" applyFill="1" applyBorder="1" applyAlignment="1" applyProtection="1">
      <alignment horizontal="center"/>
      <protection hidden="1"/>
    </xf>
    <xf numFmtId="166" fontId="6" fillId="3" borderId="3" xfId="0" applyNumberFormat="1" applyFont="1" applyFill="1" applyBorder="1" applyAlignment="1" applyProtection="1">
      <alignment horizontal="center"/>
      <protection hidden="1"/>
    </xf>
    <xf numFmtId="166" fontId="6" fillId="3" borderId="70" xfId="6" applyNumberFormat="1" applyFont="1" applyFill="1" applyBorder="1" applyAlignment="1" applyProtection="1">
      <alignment horizontal="center"/>
      <protection hidden="1"/>
    </xf>
    <xf numFmtId="166" fontId="6" fillId="3" borderId="4" xfId="6" applyNumberFormat="1" applyFont="1" applyFill="1" applyBorder="1" applyAlignment="1" applyProtection="1">
      <alignment horizontal="center"/>
      <protection hidden="1"/>
    </xf>
    <xf numFmtId="166" fontId="6" fillId="3" borderId="70" xfId="0" applyNumberFormat="1" applyFont="1" applyFill="1" applyBorder="1" applyAlignment="1" applyProtection="1">
      <alignment horizontal="center"/>
      <protection hidden="1"/>
    </xf>
    <xf numFmtId="0" fontId="6" fillId="3" borderId="4" xfId="0" applyFont="1" applyFill="1" applyBorder="1" applyAlignment="1" applyProtection="1">
      <alignment horizontal="center"/>
      <protection hidden="1"/>
    </xf>
    <xf numFmtId="166" fontId="6" fillId="3" borderId="27" xfId="6" applyNumberFormat="1" applyFont="1" applyFill="1" applyBorder="1" applyAlignment="1" applyProtection="1">
      <alignment horizontal="center" vertical="center"/>
      <protection hidden="1"/>
    </xf>
    <xf numFmtId="0" fontId="14" fillId="5" borderId="72" xfId="0" applyFont="1" applyFill="1" applyBorder="1" applyAlignment="1" applyProtection="1">
      <alignment horizontal="left" vertical="center"/>
      <protection hidden="1"/>
    </xf>
    <xf numFmtId="0" fontId="14" fillId="5" borderId="2" xfId="0" applyFont="1" applyFill="1" applyBorder="1" applyAlignment="1" applyProtection="1">
      <alignment horizontal="left" vertical="center"/>
      <protection hidden="1"/>
    </xf>
    <xf numFmtId="0" fontId="14" fillId="5" borderId="3" xfId="0" applyFont="1" applyFill="1" applyBorder="1" applyAlignment="1" applyProtection="1">
      <alignment horizontal="left" vertical="center"/>
      <protection hidden="1"/>
    </xf>
    <xf numFmtId="166" fontId="6" fillId="3" borderId="70" xfId="6" applyFont="1" applyFill="1" applyBorder="1" applyAlignment="1" applyProtection="1">
      <alignment horizontal="center"/>
      <protection hidden="1"/>
    </xf>
    <xf numFmtId="166" fontId="6" fillId="3" borderId="4" xfId="6" applyFont="1" applyFill="1" applyBorder="1" applyAlignment="1" applyProtection="1">
      <alignment horizontal="center"/>
      <protection hidden="1"/>
    </xf>
    <xf numFmtId="166" fontId="6" fillId="3" borderId="5" xfId="0" applyNumberFormat="1" applyFont="1" applyFill="1" applyBorder="1" applyAlignment="1" applyProtection="1">
      <alignment horizontal="center" vertical="center"/>
      <protection hidden="1"/>
    </xf>
    <xf numFmtId="0" fontId="6" fillId="3" borderId="5" xfId="0" applyFont="1" applyFill="1" applyBorder="1" applyAlignment="1" applyProtection="1">
      <alignment horizontal="center" vertical="center"/>
      <protection hidden="1"/>
    </xf>
    <xf numFmtId="0" fontId="6" fillId="10" borderId="5" xfId="0" applyFont="1" applyFill="1" applyBorder="1" applyAlignment="1">
      <alignment horizontal="center"/>
    </xf>
    <xf numFmtId="0" fontId="14" fillId="5" borderId="54" xfId="0" applyFont="1" applyFill="1" applyBorder="1" applyAlignment="1">
      <alignment horizontal="center" vertical="center"/>
    </xf>
    <xf numFmtId="0" fontId="14" fillId="5" borderId="5" xfId="0" applyFont="1" applyFill="1" applyBorder="1" applyAlignment="1">
      <alignment horizontal="center" vertical="center"/>
    </xf>
    <xf numFmtId="4" fontId="16" fillId="8" borderId="5" xfId="0" applyNumberFormat="1" applyFont="1" applyFill="1" applyBorder="1" applyAlignment="1" applyProtection="1">
      <alignment horizontal="right" vertical="center" shrinkToFit="1"/>
      <protection hidden="1"/>
    </xf>
    <xf numFmtId="4" fontId="16" fillId="8" borderId="55" xfId="0" applyNumberFormat="1" applyFont="1" applyFill="1" applyBorder="1" applyAlignment="1" applyProtection="1">
      <alignment horizontal="right" vertical="center" shrinkToFit="1"/>
      <protection hidden="1"/>
    </xf>
    <xf numFmtId="166" fontId="6" fillId="3" borderId="5" xfId="6" applyFont="1" applyFill="1" applyBorder="1" applyAlignment="1" applyProtection="1">
      <alignment horizontal="center" vertical="center"/>
      <protection hidden="1"/>
    </xf>
    <xf numFmtId="0" fontId="6" fillId="3" borderId="2" xfId="0" applyFont="1" applyFill="1" applyBorder="1" applyAlignment="1" applyProtection="1">
      <alignment horizontal="center"/>
      <protection hidden="1"/>
    </xf>
    <xf numFmtId="0" fontId="6" fillId="3" borderId="3" xfId="0" applyFont="1" applyFill="1" applyBorder="1" applyAlignment="1" applyProtection="1">
      <alignment horizontal="center"/>
      <protection hidden="1"/>
    </xf>
    <xf numFmtId="0" fontId="6" fillId="3" borderId="72" xfId="0" applyFont="1" applyFill="1" applyBorder="1" applyAlignment="1" applyProtection="1">
      <alignment horizontal="center" shrinkToFit="1"/>
      <protection hidden="1"/>
    </xf>
    <xf numFmtId="0" fontId="6" fillId="3" borderId="2" xfId="0" applyFont="1" applyFill="1" applyBorder="1" applyAlignment="1" applyProtection="1">
      <alignment horizontal="center" shrinkToFit="1"/>
      <protection hidden="1"/>
    </xf>
    <xf numFmtId="0" fontId="6" fillId="3" borderId="3" xfId="0" applyFont="1" applyFill="1" applyBorder="1" applyAlignment="1" applyProtection="1">
      <alignment horizontal="center" shrinkToFit="1"/>
      <protection hidden="1"/>
    </xf>
    <xf numFmtId="166" fontId="6" fillId="5" borderId="2" xfId="0" applyNumberFormat="1" applyFont="1" applyFill="1" applyBorder="1" applyAlignment="1" applyProtection="1">
      <alignment horizontal="center"/>
      <protection hidden="1"/>
    </xf>
    <xf numFmtId="166" fontId="6" fillId="5" borderId="3" xfId="0" applyNumberFormat="1" applyFont="1" applyFill="1" applyBorder="1" applyAlignment="1" applyProtection="1">
      <alignment horizontal="center"/>
      <protection hidden="1"/>
    </xf>
    <xf numFmtId="0" fontId="14" fillId="5" borderId="72" xfId="0" applyFont="1" applyFill="1" applyBorder="1" applyAlignment="1" applyProtection="1">
      <alignment horizontal="left" shrinkToFit="1"/>
      <protection hidden="1"/>
    </xf>
    <xf numFmtId="0" fontId="14" fillId="5" borderId="2" xfId="0" applyFont="1" applyFill="1" applyBorder="1" applyAlignment="1" applyProtection="1">
      <alignment horizontal="left" shrinkToFit="1"/>
      <protection hidden="1"/>
    </xf>
    <xf numFmtId="166" fontId="6" fillId="5" borderId="27" xfId="0" applyNumberFormat="1" applyFont="1" applyFill="1" applyBorder="1" applyAlignment="1" applyProtection="1">
      <alignment horizontal="center"/>
      <protection hidden="1"/>
    </xf>
    <xf numFmtId="166" fontId="6" fillId="3" borderId="0" xfId="6" applyFont="1" applyFill="1" applyBorder="1" applyAlignment="1" applyProtection="1">
      <alignment horizontal="center"/>
      <protection hidden="1"/>
    </xf>
    <xf numFmtId="166" fontId="16" fillId="10" borderId="27" xfId="0" applyNumberFormat="1" applyFont="1" applyFill="1" applyBorder="1" applyAlignment="1" applyProtection="1">
      <alignment horizontal="center" shrinkToFit="1"/>
      <protection hidden="1"/>
    </xf>
    <xf numFmtId="166" fontId="16" fillId="10" borderId="27" xfId="6" applyFont="1" applyFill="1" applyBorder="1" applyAlignment="1" applyProtection="1">
      <alignment horizontal="center"/>
      <protection hidden="1"/>
    </xf>
    <xf numFmtId="166" fontId="0" fillId="10" borderId="2" xfId="6" applyFont="1" applyFill="1" applyBorder="1"/>
    <xf numFmtId="166" fontId="0" fillId="10" borderId="3" xfId="6" applyFont="1" applyFill="1" applyBorder="1"/>
    <xf numFmtId="166" fontId="16" fillId="5" borderId="27" xfId="6" applyFont="1" applyFill="1" applyBorder="1" applyAlignment="1" applyProtection="1">
      <alignment horizontal="center"/>
      <protection hidden="1"/>
    </xf>
    <xf numFmtId="166" fontId="16" fillId="5" borderId="2" xfId="6" applyFont="1" applyFill="1" applyBorder="1" applyAlignment="1" applyProtection="1">
      <alignment horizontal="center"/>
      <protection hidden="1"/>
    </xf>
    <xf numFmtId="166" fontId="16" fillId="5" borderId="94" xfId="6" applyFont="1" applyFill="1" applyBorder="1" applyAlignment="1" applyProtection="1">
      <alignment horizontal="center"/>
      <protection hidden="1"/>
    </xf>
    <xf numFmtId="4" fontId="16" fillId="3" borderId="0" xfId="0" applyNumberFormat="1" applyFont="1" applyFill="1" applyBorder="1" applyAlignment="1" applyProtection="1">
      <alignment horizontal="center" vertical="center"/>
      <protection hidden="1"/>
    </xf>
    <xf numFmtId="166" fontId="14" fillId="15" borderId="95" xfId="0" applyNumberFormat="1" applyFont="1" applyFill="1" applyBorder="1" applyAlignment="1" applyProtection="1">
      <alignment vertical="center" shrinkToFit="1"/>
      <protection hidden="1"/>
    </xf>
    <xf numFmtId="0" fontId="6" fillId="3" borderId="61" xfId="0" applyFont="1" applyFill="1" applyBorder="1" applyAlignment="1" applyProtection="1">
      <alignment vertical="center" shrinkToFit="1"/>
      <protection hidden="1"/>
    </xf>
    <xf numFmtId="0" fontId="0" fillId="3" borderId="59" xfId="0" applyFill="1" applyBorder="1" applyAlignment="1" applyProtection="1">
      <alignment vertical="center" shrinkToFit="1"/>
      <protection hidden="1"/>
    </xf>
    <xf numFmtId="0" fontId="6" fillId="3" borderId="59" xfId="0" applyFont="1" applyFill="1" applyBorder="1" applyAlignment="1" applyProtection="1">
      <alignment vertical="center" shrinkToFit="1"/>
      <protection hidden="1"/>
    </xf>
    <xf numFmtId="0" fontId="16" fillId="3" borderId="72" xfId="0" applyFont="1" applyFill="1" applyBorder="1" applyAlignment="1">
      <alignment horizontal="left"/>
    </xf>
    <xf numFmtId="0" fontId="16" fillId="3" borderId="2" xfId="0" applyFont="1" applyFill="1" applyBorder="1" applyAlignment="1">
      <alignment horizontal="left"/>
    </xf>
    <xf numFmtId="0" fontId="16" fillId="3" borderId="3" xfId="0" applyFont="1" applyFill="1" applyBorder="1" applyAlignment="1">
      <alignment horizontal="left"/>
    </xf>
    <xf numFmtId="166" fontId="6" fillId="5" borderId="2" xfId="6" applyFont="1" applyFill="1" applyBorder="1" applyAlignment="1" applyProtection="1">
      <alignment horizontal="center"/>
      <protection hidden="1"/>
    </xf>
    <xf numFmtId="166" fontId="6" fillId="5" borderId="3" xfId="6" applyFont="1" applyFill="1" applyBorder="1" applyAlignment="1" applyProtection="1">
      <alignment horizontal="center"/>
      <protection hidden="1"/>
    </xf>
    <xf numFmtId="0" fontId="6" fillId="3" borderId="54" xfId="0" applyFont="1" applyFill="1" applyBorder="1" applyAlignment="1">
      <alignment horizontal="left"/>
    </xf>
    <xf numFmtId="0" fontId="6" fillId="3" borderId="5" xfId="0" applyFont="1" applyFill="1" applyBorder="1" applyAlignment="1">
      <alignment horizontal="left"/>
    </xf>
    <xf numFmtId="0" fontId="18" fillId="0" borderId="113" xfId="0" applyFont="1" applyBorder="1" applyAlignment="1" applyProtection="1">
      <alignment horizontal="center" shrinkToFit="1"/>
      <protection hidden="1"/>
    </xf>
    <xf numFmtId="0" fontId="0" fillId="0" borderId="6" xfId="0" applyBorder="1" applyAlignment="1" applyProtection="1">
      <alignment horizontal="center" shrinkToFit="1"/>
      <protection hidden="1"/>
    </xf>
    <xf numFmtId="0" fontId="0" fillId="0" borderId="16" xfId="0" applyBorder="1" applyAlignment="1" applyProtection="1">
      <alignment horizontal="center" shrinkToFit="1"/>
      <protection hidden="1"/>
    </xf>
    <xf numFmtId="165" fontId="6" fillId="12" borderId="34" xfId="3" applyFont="1" applyFill="1" applyBorder="1" applyAlignment="1">
      <alignment horizontal="center"/>
    </xf>
    <xf numFmtId="165" fontId="6" fillId="12" borderId="2" xfId="3" applyFont="1" applyFill="1" applyBorder="1" applyAlignment="1">
      <alignment horizontal="center"/>
    </xf>
    <xf numFmtId="165" fontId="6" fillId="12" borderId="3" xfId="3" applyFont="1" applyFill="1" applyBorder="1" applyAlignment="1">
      <alignment horizontal="center"/>
    </xf>
    <xf numFmtId="165" fontId="6" fillId="12" borderId="27" xfId="3" applyFont="1" applyFill="1" applyBorder="1" applyAlignment="1">
      <alignment horizontal="center"/>
    </xf>
    <xf numFmtId="0" fontId="6" fillId="12" borderId="31" xfId="0" applyFont="1" applyFill="1" applyBorder="1" applyAlignment="1">
      <alignment horizontal="center"/>
    </xf>
    <xf numFmtId="0" fontId="6" fillId="12" borderId="9" xfId="0" applyFont="1" applyFill="1" applyBorder="1" applyAlignment="1">
      <alignment horizontal="center"/>
    </xf>
    <xf numFmtId="0" fontId="6" fillId="12" borderId="11" xfId="0" applyFont="1" applyFill="1" applyBorder="1" applyAlignment="1">
      <alignment horizontal="center"/>
    </xf>
    <xf numFmtId="0" fontId="41" fillId="12" borderId="79" xfId="0" applyFont="1" applyFill="1" applyBorder="1" applyAlignment="1" applyProtection="1">
      <alignment horizontal="center"/>
      <protection hidden="1"/>
    </xf>
    <xf numFmtId="0" fontId="41" fillId="12" borderId="37" xfId="0" applyFont="1" applyFill="1" applyBorder="1" applyAlignment="1" applyProtection="1">
      <alignment horizontal="center"/>
      <protection hidden="1"/>
    </xf>
    <xf numFmtId="0" fontId="41" fillId="12" borderId="81" xfId="0" applyFont="1" applyFill="1" applyBorder="1" applyAlignment="1" applyProtection="1">
      <alignment horizontal="center"/>
      <protection hidden="1"/>
    </xf>
    <xf numFmtId="14" fontId="6" fillId="2" borderId="2" xfId="0" applyNumberFormat="1" applyFont="1" applyFill="1" applyBorder="1" applyAlignment="1" applyProtection="1">
      <alignment horizontal="center"/>
      <protection locked="0"/>
    </xf>
    <xf numFmtId="0" fontId="6" fillId="2" borderId="45" xfId="0" applyFont="1" applyFill="1" applyBorder="1" applyAlignment="1" applyProtection="1">
      <alignment horizontal="center"/>
      <protection locked="0"/>
    </xf>
    <xf numFmtId="0" fontId="6" fillId="21" borderId="27" xfId="0" applyFont="1" applyFill="1" applyBorder="1" applyAlignment="1" applyProtection="1">
      <alignment horizontal="center" shrinkToFit="1"/>
      <protection hidden="1"/>
    </xf>
    <xf numFmtId="0" fontId="6" fillId="21" borderId="3" xfId="0" applyFont="1" applyFill="1" applyBorder="1" applyAlignment="1" applyProtection="1">
      <alignment horizontal="center" shrinkToFit="1"/>
      <protection hidden="1"/>
    </xf>
    <xf numFmtId="0" fontId="13" fillId="12" borderId="34" xfId="0" applyFont="1" applyFill="1" applyBorder="1" applyAlignment="1">
      <alignment horizontal="center" wrapText="1" shrinkToFit="1"/>
    </xf>
    <xf numFmtId="0" fontId="13" fillId="12" borderId="2" xfId="0" applyFont="1" applyFill="1" applyBorder="1" applyAlignment="1">
      <alignment horizontal="center" wrapText="1" shrinkToFit="1"/>
    </xf>
    <xf numFmtId="0" fontId="13" fillId="12" borderId="3" xfId="0" applyFont="1" applyFill="1" applyBorder="1" applyAlignment="1">
      <alignment horizontal="center" wrapText="1" shrinkToFit="1"/>
    </xf>
    <xf numFmtId="0" fontId="68" fillId="12" borderId="27" xfId="0" applyFont="1" applyFill="1" applyBorder="1" applyAlignment="1">
      <alignment horizontal="center" shrinkToFit="1"/>
    </xf>
    <xf numFmtId="0" fontId="68" fillId="12" borderId="2" xfId="0" applyFont="1" applyFill="1" applyBorder="1" applyAlignment="1">
      <alignment horizontal="center" shrinkToFit="1"/>
    </xf>
    <xf numFmtId="0" fontId="68" fillId="12" borderId="45" xfId="0" applyFont="1" applyFill="1" applyBorder="1" applyAlignment="1">
      <alignment horizontal="center" shrinkToFit="1"/>
    </xf>
    <xf numFmtId="0" fontId="18" fillId="21" borderId="27" xfId="0" applyFont="1" applyFill="1" applyBorder="1" applyAlignment="1" applyProtection="1">
      <alignment horizontal="center"/>
      <protection hidden="1"/>
    </xf>
    <xf numFmtId="0" fontId="18" fillId="21" borderId="2" xfId="0" applyFont="1" applyFill="1" applyBorder="1" applyAlignment="1" applyProtection="1">
      <alignment horizontal="center"/>
      <protection hidden="1"/>
    </xf>
    <xf numFmtId="0" fontId="18" fillId="21" borderId="3" xfId="0" applyFont="1" applyFill="1" applyBorder="1" applyAlignment="1" applyProtection="1">
      <alignment horizontal="center"/>
      <protection hidden="1"/>
    </xf>
    <xf numFmtId="0" fontId="6" fillId="26" borderId="62" xfId="0" applyFont="1" applyFill="1" applyBorder="1" applyAlignment="1" applyProtection="1">
      <alignment horizontal="center"/>
      <protection hidden="1"/>
    </xf>
    <xf numFmtId="0" fontId="6" fillId="26" borderId="63" xfId="0" applyFont="1" applyFill="1" applyBorder="1" applyAlignment="1" applyProtection="1">
      <alignment horizontal="center"/>
      <protection hidden="1"/>
    </xf>
    <xf numFmtId="0" fontId="6" fillId="26" borderId="111" xfId="0" applyFont="1" applyFill="1" applyBorder="1" applyAlignment="1" applyProtection="1">
      <alignment horizontal="center"/>
      <protection hidden="1"/>
    </xf>
    <xf numFmtId="0" fontId="48" fillId="12" borderId="27" xfId="0" applyFont="1" applyFill="1" applyBorder="1" applyAlignment="1">
      <alignment horizontal="center" vertical="center"/>
    </xf>
    <xf numFmtId="0" fontId="48" fillId="12" borderId="2" xfId="0" applyFont="1" applyFill="1" applyBorder="1" applyAlignment="1">
      <alignment horizontal="center" vertical="center"/>
    </xf>
    <xf numFmtId="0" fontId="48" fillId="12" borderId="3" xfId="0" applyFont="1" applyFill="1" applyBorder="1" applyAlignment="1">
      <alignment horizontal="center" vertical="center"/>
    </xf>
    <xf numFmtId="0" fontId="13" fillId="26" borderId="61" xfId="0" applyFont="1" applyFill="1" applyBorder="1" applyAlignment="1">
      <alignment horizontal="center"/>
    </xf>
    <xf numFmtId="0" fontId="13" fillId="26" borderId="59" xfId="0" applyFont="1" applyFill="1" applyBorder="1" applyAlignment="1">
      <alignment horizontal="center"/>
    </xf>
    <xf numFmtId="0" fontId="13" fillId="26" borderId="112" xfId="0" applyFont="1" applyFill="1" applyBorder="1" applyAlignment="1">
      <alignment horizontal="center"/>
    </xf>
    <xf numFmtId="166" fontId="13" fillId="12" borderId="27" xfId="0" applyNumberFormat="1" applyFont="1" applyFill="1" applyBorder="1" applyAlignment="1">
      <alignment horizontal="center" wrapText="1"/>
    </xf>
    <xf numFmtId="166" fontId="13" fillId="12" borderId="3" xfId="0" applyNumberFormat="1" applyFont="1" applyFill="1" applyBorder="1" applyAlignment="1">
      <alignment horizontal="center" wrapText="1"/>
    </xf>
    <xf numFmtId="0" fontId="13" fillId="12" borderId="27" xfId="0" applyFont="1" applyFill="1" applyBorder="1" applyAlignment="1">
      <alignment horizontal="center" vertical="center" wrapText="1"/>
    </xf>
    <xf numFmtId="0" fontId="13" fillId="12" borderId="2" xfId="0" applyFont="1" applyFill="1" applyBorder="1" applyAlignment="1">
      <alignment horizontal="center" vertical="center" wrapText="1"/>
    </xf>
    <xf numFmtId="0" fontId="13" fillId="12" borderId="3" xfId="0" applyFont="1" applyFill="1" applyBorder="1" applyAlignment="1">
      <alignment horizontal="center" vertical="center" wrapText="1"/>
    </xf>
    <xf numFmtId="0" fontId="6" fillId="12" borderId="69" xfId="0" applyFont="1" applyFill="1" applyBorder="1" applyAlignment="1" applyProtection="1">
      <alignment horizontal="center"/>
      <protection hidden="1"/>
    </xf>
    <xf numFmtId="0" fontId="6" fillId="12" borderId="65" xfId="0" applyFont="1" applyFill="1" applyBorder="1" applyAlignment="1" applyProtection="1">
      <alignment horizontal="center"/>
      <protection hidden="1"/>
    </xf>
    <xf numFmtId="0" fontId="6" fillId="12" borderId="66" xfId="0" applyFont="1" applyFill="1" applyBorder="1" applyAlignment="1" applyProtection="1">
      <alignment horizontal="center"/>
      <protection hidden="1"/>
    </xf>
    <xf numFmtId="0" fontId="6" fillId="12" borderId="34" xfId="0" applyFont="1" applyFill="1" applyBorder="1" applyAlignment="1">
      <alignment horizontal="left"/>
    </xf>
    <xf numFmtId="0" fontId="6" fillId="12" borderId="3" xfId="0" applyFont="1" applyFill="1" applyBorder="1" applyAlignment="1">
      <alignment horizontal="left"/>
    </xf>
    <xf numFmtId="166" fontId="6" fillId="0" borderId="27" xfId="7" applyFont="1" applyBorder="1" applyAlignment="1" applyProtection="1">
      <alignment horizontal="left"/>
      <protection locked="0"/>
    </xf>
    <xf numFmtId="166" fontId="6" fillId="0" borderId="2" xfId="7" applyFont="1" applyBorder="1" applyAlignment="1" applyProtection="1">
      <alignment horizontal="left"/>
      <protection locked="0"/>
    </xf>
    <xf numFmtId="166" fontId="6" fillId="0" borderId="3" xfId="7" applyFont="1" applyBorder="1" applyAlignment="1" applyProtection="1">
      <alignment horizontal="left"/>
      <protection locked="0"/>
    </xf>
    <xf numFmtId="0" fontId="6" fillId="17" borderId="34" xfId="0" applyFont="1" applyFill="1" applyBorder="1" applyAlignment="1">
      <alignment horizontal="left"/>
    </xf>
    <xf numFmtId="0" fontId="6" fillId="17" borderId="2" xfId="0" applyFont="1" applyFill="1" applyBorder="1" applyAlignment="1">
      <alignment horizontal="left"/>
    </xf>
    <xf numFmtId="0" fontId="6" fillId="17" borderId="3" xfId="0" applyFont="1" applyFill="1" applyBorder="1" applyAlignment="1">
      <alignment horizontal="left"/>
    </xf>
    <xf numFmtId="0" fontId="6" fillId="17" borderId="5" xfId="0" applyFont="1" applyFill="1" applyBorder="1" applyAlignment="1" applyProtection="1">
      <alignment horizontal="left" shrinkToFit="1"/>
      <protection hidden="1"/>
    </xf>
    <xf numFmtId="0" fontId="67" fillId="17" borderId="8" xfId="0" applyFont="1" applyFill="1" applyBorder="1" applyAlignment="1">
      <alignment horizontal="center" vertical="center" wrapText="1"/>
    </xf>
    <xf numFmtId="0" fontId="67" fillId="17" borderId="0" xfId="0" applyFont="1" applyFill="1" applyBorder="1" applyAlignment="1">
      <alignment horizontal="center" vertical="center" wrapText="1"/>
    </xf>
    <xf numFmtId="0" fontId="67" fillId="17" borderId="14" xfId="0" applyFont="1" applyFill="1" applyBorder="1" applyAlignment="1">
      <alignment horizontal="center" vertical="center" wrapText="1"/>
    </xf>
    <xf numFmtId="0" fontId="67" fillId="17" borderId="6" xfId="0" applyFont="1" applyFill="1" applyBorder="1" applyAlignment="1">
      <alignment horizontal="center" vertical="center" wrapText="1"/>
    </xf>
    <xf numFmtId="165" fontId="6" fillId="12" borderId="5" xfId="3" applyFont="1" applyFill="1" applyBorder="1" applyAlignment="1">
      <alignment horizontal="right" vertical="center" shrinkToFit="1"/>
    </xf>
    <xf numFmtId="165" fontId="6" fillId="12" borderId="27" xfId="3" applyFont="1" applyFill="1" applyBorder="1" applyAlignment="1">
      <alignment horizontal="center" vertical="center" shrinkToFit="1"/>
    </xf>
    <xf numFmtId="165" fontId="6" fillId="12" borderId="2" xfId="3" applyFont="1" applyFill="1" applyBorder="1" applyAlignment="1">
      <alignment horizontal="center" vertical="center" shrinkToFit="1"/>
    </xf>
    <xf numFmtId="165" fontId="6" fillId="12" borderId="3" xfId="3" applyFont="1" applyFill="1" applyBorder="1" applyAlignment="1">
      <alignment horizontal="center" vertical="center" shrinkToFit="1"/>
    </xf>
    <xf numFmtId="0" fontId="0" fillId="12" borderId="8" xfId="0" applyFill="1" applyBorder="1" applyAlignment="1">
      <alignment horizontal="right"/>
    </xf>
    <xf numFmtId="0" fontId="0" fillId="12" borderId="0" xfId="0" applyFill="1" applyBorder="1" applyAlignment="1">
      <alignment horizontal="right"/>
    </xf>
    <xf numFmtId="0" fontId="0" fillId="12" borderId="37" xfId="0" applyFill="1" applyBorder="1" applyAlignment="1">
      <alignment horizontal="center"/>
    </xf>
    <xf numFmtId="0" fontId="0" fillId="12" borderId="80" xfId="0" applyFill="1" applyBorder="1" applyAlignment="1">
      <alignment horizontal="center"/>
    </xf>
    <xf numFmtId="0" fontId="6" fillId="12" borderId="34" xfId="0" applyFont="1" applyFill="1" applyBorder="1" applyAlignment="1">
      <alignment horizontal="center" vertical="center"/>
    </xf>
    <xf numFmtId="0" fontId="6" fillId="12" borderId="2" xfId="0" applyFont="1" applyFill="1" applyBorder="1" applyAlignment="1">
      <alignment horizontal="center" vertical="center"/>
    </xf>
    <xf numFmtId="0" fontId="6" fillId="12" borderId="45" xfId="0" applyFont="1" applyFill="1" applyBorder="1" applyAlignment="1">
      <alignment horizontal="center" vertical="center"/>
    </xf>
    <xf numFmtId="0" fontId="6" fillId="0" borderId="74" xfId="0" applyFont="1" applyBorder="1" applyAlignment="1" applyProtection="1">
      <alignment horizontal="left" shrinkToFit="1"/>
      <protection locked="0"/>
    </xf>
    <xf numFmtId="0" fontId="6" fillId="0" borderId="5" xfId="0" applyFont="1" applyBorder="1" applyAlignment="1" applyProtection="1">
      <alignment horizontal="left" shrinkToFit="1"/>
      <protection locked="0"/>
    </xf>
    <xf numFmtId="166" fontId="73" fillId="21" borderId="27" xfId="7" applyFont="1" applyFill="1" applyBorder="1" applyAlignment="1" applyProtection="1">
      <alignment horizontal="left"/>
      <protection hidden="1"/>
    </xf>
    <xf numFmtId="166" fontId="73" fillId="21" borderId="2" xfId="7" applyFont="1" applyFill="1" applyBorder="1" applyAlignment="1" applyProtection="1">
      <alignment horizontal="left"/>
      <protection hidden="1"/>
    </xf>
    <xf numFmtId="166" fontId="73" fillId="21" borderId="3" xfId="7" applyFont="1" applyFill="1" applyBorder="1" applyAlignment="1" applyProtection="1">
      <alignment horizontal="left"/>
      <protection hidden="1"/>
    </xf>
    <xf numFmtId="166" fontId="73" fillId="21" borderId="27" xfId="7" applyFont="1" applyFill="1" applyBorder="1" applyAlignment="1" applyProtection="1">
      <alignment horizontal="left"/>
      <protection locked="0"/>
    </xf>
    <xf numFmtId="0" fontId="0" fillId="0" borderId="2" xfId="0" applyBorder="1" applyAlignment="1">
      <alignment horizontal="left"/>
    </xf>
    <xf numFmtId="166" fontId="73" fillId="21" borderId="2" xfId="7" applyFont="1" applyFill="1" applyBorder="1" applyAlignment="1" applyProtection="1">
      <alignment horizontal="left"/>
      <protection locked="0"/>
    </xf>
    <xf numFmtId="0" fontId="0" fillId="0" borderId="3" xfId="0" applyBorder="1" applyAlignment="1">
      <alignment horizontal="left"/>
    </xf>
    <xf numFmtId="0" fontId="0" fillId="23" borderId="27" xfId="0" applyFill="1" applyBorder="1" applyAlignment="1">
      <alignment horizontal="center"/>
    </xf>
    <xf numFmtId="0" fontId="0" fillId="23" borderId="2" xfId="0" applyFill="1" applyBorder="1" applyAlignment="1">
      <alignment horizontal="center"/>
    </xf>
    <xf numFmtId="0" fontId="0" fillId="23" borderId="3" xfId="0" applyFill="1" applyBorder="1" applyAlignment="1">
      <alignment horizontal="center"/>
    </xf>
    <xf numFmtId="0" fontId="6" fillId="15" borderId="27" xfId="0" applyFont="1" applyFill="1" applyBorder="1" applyAlignment="1">
      <alignment horizontal="center"/>
    </xf>
    <xf numFmtId="0" fontId="6" fillId="15" borderId="2" xfId="0" applyFont="1" applyFill="1" applyBorder="1" applyAlignment="1">
      <alignment horizontal="center"/>
    </xf>
    <xf numFmtId="0" fontId="6" fillId="15" borderId="3" xfId="0" applyFont="1" applyFill="1" applyBorder="1" applyAlignment="1">
      <alignment horizontal="center"/>
    </xf>
    <xf numFmtId="16" fontId="0" fillId="12" borderId="74" xfId="0" applyNumberFormat="1" applyFill="1" applyBorder="1" applyAlignment="1" applyProtection="1">
      <alignment horizontal="left" shrinkToFit="1"/>
      <protection hidden="1"/>
    </xf>
    <xf numFmtId="0" fontId="0" fillId="21" borderId="5" xfId="0" applyFill="1" applyBorder="1" applyAlignment="1" applyProtection="1">
      <alignment horizontal="left" shrinkToFit="1"/>
      <protection hidden="1"/>
    </xf>
    <xf numFmtId="0" fontId="18" fillId="21" borderId="27" xfId="0" applyFont="1" applyFill="1" applyBorder="1" applyAlignment="1">
      <alignment horizontal="left"/>
    </xf>
    <xf numFmtId="0" fontId="18" fillId="21" borderId="2" xfId="0" applyFont="1" applyFill="1" applyBorder="1" applyAlignment="1">
      <alignment horizontal="left"/>
    </xf>
    <xf numFmtId="0" fontId="18" fillId="21" borderId="3" xfId="0" applyFont="1" applyFill="1" applyBorder="1" applyAlignment="1">
      <alignment horizontal="left"/>
    </xf>
    <xf numFmtId="0" fontId="0" fillId="21" borderId="74" xfId="0" applyFill="1" applyBorder="1" applyAlignment="1" applyProtection="1">
      <alignment horizontal="left" shrinkToFit="1"/>
      <protection hidden="1"/>
    </xf>
    <xf numFmtId="0" fontId="18" fillId="21" borderId="27" xfId="0" applyFont="1" applyFill="1" applyBorder="1" applyAlignment="1">
      <alignment horizontal="left" shrinkToFit="1"/>
    </xf>
    <xf numFmtId="0" fontId="18" fillId="21" borderId="2" xfId="0" applyFont="1" applyFill="1" applyBorder="1" applyAlignment="1">
      <alignment horizontal="left" shrinkToFit="1"/>
    </xf>
    <xf numFmtId="0" fontId="18" fillId="21" borderId="3" xfId="0" applyFont="1" applyFill="1" applyBorder="1" applyAlignment="1">
      <alignment horizontal="left" shrinkToFit="1"/>
    </xf>
    <xf numFmtId="16" fontId="18" fillId="21" borderId="34" xfId="0" applyNumberFormat="1" applyFont="1" applyFill="1" applyBorder="1" applyAlignment="1" applyProtection="1">
      <alignment horizontal="center" shrinkToFit="1"/>
      <protection hidden="1"/>
    </xf>
    <xf numFmtId="16" fontId="0" fillId="21" borderId="2" xfId="0" applyNumberFormat="1" applyFill="1" applyBorder="1" applyAlignment="1" applyProtection="1">
      <alignment horizontal="center" shrinkToFit="1"/>
      <protection hidden="1"/>
    </xf>
    <xf numFmtId="16" fontId="0" fillId="21" borderId="3" xfId="0" applyNumberFormat="1" applyFill="1" applyBorder="1" applyAlignment="1" applyProtection="1">
      <alignment horizontal="center" shrinkToFit="1"/>
      <protection hidden="1"/>
    </xf>
    <xf numFmtId="0" fontId="18" fillId="12" borderId="27" xfId="0" applyFont="1" applyFill="1" applyBorder="1" applyAlignment="1" applyProtection="1">
      <alignment horizontal="left" shrinkToFit="1"/>
      <protection hidden="1"/>
    </xf>
    <xf numFmtId="0" fontId="0" fillId="12" borderId="2" xfId="0" applyFill="1" applyBorder="1" applyAlignment="1" applyProtection="1">
      <alignment horizontal="left" shrinkToFit="1"/>
      <protection hidden="1"/>
    </xf>
    <xf numFmtId="0" fontId="0" fillId="12" borderId="3" xfId="0" applyFill="1" applyBorder="1" applyAlignment="1" applyProtection="1">
      <alignment horizontal="left" shrinkToFit="1"/>
      <protection hidden="1"/>
    </xf>
    <xf numFmtId="0" fontId="6" fillId="15" borderId="70" xfId="0" applyFont="1" applyFill="1" applyBorder="1" applyAlignment="1">
      <alignment horizontal="center"/>
    </xf>
    <xf numFmtId="0" fontId="0" fillId="0" borderId="4" xfId="0" applyBorder="1" applyAlignment="1">
      <alignment horizontal="center"/>
    </xf>
    <xf numFmtId="0" fontId="0" fillId="0" borderId="12" xfId="0" applyBorder="1" applyAlignment="1">
      <alignment horizontal="center"/>
    </xf>
    <xf numFmtId="16" fontId="18" fillId="21" borderId="34" xfId="0" applyNumberFormat="1" applyFont="1" applyFill="1" applyBorder="1" applyAlignment="1" applyProtection="1">
      <alignment horizontal="left" shrinkToFit="1"/>
      <protection hidden="1"/>
    </xf>
    <xf numFmtId="16" fontId="18" fillId="21" borderId="2" xfId="0" applyNumberFormat="1" applyFont="1" applyFill="1" applyBorder="1" applyAlignment="1" applyProtection="1">
      <alignment horizontal="left" shrinkToFit="1"/>
      <protection hidden="1"/>
    </xf>
    <xf numFmtId="16" fontId="18" fillId="21" borderId="3" xfId="0" applyNumberFormat="1" applyFont="1" applyFill="1" applyBorder="1" applyAlignment="1" applyProtection="1">
      <alignment horizontal="left" shrinkToFit="1"/>
      <protection hidden="1"/>
    </xf>
    <xf numFmtId="0" fontId="0" fillId="12" borderId="27" xfId="0" applyFill="1" applyBorder="1" applyAlignment="1" applyProtection="1">
      <alignment horizontal="left"/>
      <protection hidden="1"/>
    </xf>
    <xf numFmtId="16" fontId="0" fillId="21" borderId="34" xfId="0" applyNumberFormat="1" applyFill="1" applyBorder="1" applyAlignment="1" applyProtection="1">
      <alignment horizontal="left" shrinkToFit="1"/>
      <protection hidden="1"/>
    </xf>
    <xf numFmtId="16" fontId="0" fillId="21" borderId="2" xfId="0" applyNumberFormat="1" applyFill="1" applyBorder="1" applyAlignment="1" applyProtection="1">
      <alignment horizontal="left" shrinkToFit="1"/>
      <protection hidden="1"/>
    </xf>
    <xf numFmtId="16" fontId="0" fillId="21" borderId="3" xfId="0" applyNumberFormat="1" applyFill="1" applyBorder="1" applyAlignment="1" applyProtection="1">
      <alignment horizontal="left" shrinkToFit="1"/>
      <protection hidden="1"/>
    </xf>
    <xf numFmtId="0" fontId="0" fillId="12" borderId="27" xfId="0" applyFill="1" applyBorder="1" applyAlignment="1" applyProtection="1">
      <alignment horizontal="left" shrinkToFit="1"/>
      <protection hidden="1"/>
    </xf>
    <xf numFmtId="0" fontId="0" fillId="18" borderId="27" xfId="0" applyFill="1" applyBorder="1" applyAlignment="1">
      <alignment horizontal="right"/>
    </xf>
    <xf numFmtId="0" fontId="0" fillId="18" borderId="3" xfId="0" applyFill="1" applyBorder="1" applyAlignment="1">
      <alignment horizontal="right"/>
    </xf>
    <xf numFmtId="0" fontId="6" fillId="10" borderId="34" xfId="0" applyFont="1" applyFill="1" applyBorder="1" applyAlignment="1">
      <alignment horizontal="center"/>
    </xf>
    <xf numFmtId="0" fontId="6" fillId="10" borderId="2" xfId="0" applyFont="1" applyFill="1" applyBorder="1" applyAlignment="1">
      <alignment horizontal="center"/>
    </xf>
    <xf numFmtId="0" fontId="6" fillId="12" borderId="34" xfId="0" applyFont="1" applyFill="1" applyBorder="1" applyAlignment="1" applyProtection="1">
      <alignment horizontal="left" shrinkToFit="1"/>
      <protection hidden="1"/>
    </xf>
    <xf numFmtId="0" fontId="6" fillId="12" borderId="2" xfId="0" applyFont="1" applyFill="1" applyBorder="1" applyAlignment="1" applyProtection="1">
      <alignment horizontal="left" shrinkToFit="1"/>
      <protection hidden="1"/>
    </xf>
    <xf numFmtId="0" fontId="6" fillId="10" borderId="45" xfId="0" applyFont="1" applyFill="1" applyBorder="1" applyAlignment="1">
      <alignment horizontal="center"/>
    </xf>
    <xf numFmtId="0" fontId="6" fillId="10" borderId="49" xfId="0" applyFont="1" applyFill="1" applyBorder="1" applyAlignment="1">
      <alignment horizontal="center"/>
    </xf>
    <xf numFmtId="0" fontId="6" fillId="10" borderId="50" xfId="0" applyFont="1" applyFill="1" applyBorder="1" applyAlignment="1">
      <alignment horizontal="center"/>
    </xf>
    <xf numFmtId="0" fontId="6" fillId="10" borderId="106" xfId="0" applyFont="1" applyFill="1" applyBorder="1" applyAlignment="1">
      <alignment horizontal="center"/>
    </xf>
    <xf numFmtId="0" fontId="6" fillId="15" borderId="107" xfId="0" applyFont="1" applyFill="1" applyBorder="1" applyAlignment="1">
      <alignment horizontal="center"/>
    </xf>
    <xf numFmtId="0" fontId="6" fillId="15" borderId="104" xfId="0" applyFont="1" applyFill="1" applyBorder="1" applyAlignment="1">
      <alignment horizontal="center"/>
    </xf>
    <xf numFmtId="0" fontId="56" fillId="17" borderId="108" xfId="0" applyFont="1" applyFill="1" applyBorder="1" applyAlignment="1">
      <alignment horizontal="center" vertical="center" wrapText="1"/>
    </xf>
    <xf numFmtId="0" fontId="56" fillId="17" borderId="109" xfId="0" applyFont="1" applyFill="1" applyBorder="1" applyAlignment="1">
      <alignment horizontal="center" vertical="center" wrapText="1"/>
    </xf>
    <xf numFmtId="0" fontId="56" fillId="17" borderId="110" xfId="0" applyFont="1" applyFill="1" applyBorder="1" applyAlignment="1">
      <alignment horizontal="center" vertical="center" wrapText="1"/>
    </xf>
    <xf numFmtId="0" fontId="0" fillId="0" borderId="2" xfId="0" applyBorder="1" applyAlignment="1">
      <alignment horizontal="center"/>
    </xf>
    <xf numFmtId="0" fontId="0" fillId="0" borderId="45" xfId="0" applyBorder="1" applyAlignment="1">
      <alignment horizontal="center"/>
    </xf>
    <xf numFmtId="0" fontId="0" fillId="11" borderId="27" xfId="0" applyFill="1" applyBorder="1" applyAlignment="1">
      <alignment horizontal="center"/>
    </xf>
    <xf numFmtId="0" fontId="0" fillId="11" borderId="2" xfId="0" applyFill="1" applyBorder="1" applyAlignment="1">
      <alignment horizontal="center"/>
    </xf>
    <xf numFmtId="178" fontId="6" fillId="12" borderId="34" xfId="0" applyNumberFormat="1" applyFont="1" applyFill="1" applyBorder="1" applyAlignment="1" applyProtection="1">
      <alignment horizontal="left"/>
      <protection hidden="1"/>
    </xf>
    <xf numFmtId="178" fontId="6" fillId="12" borderId="2" xfId="0" applyNumberFormat="1" applyFont="1" applyFill="1" applyBorder="1" applyAlignment="1" applyProtection="1">
      <alignment horizontal="left"/>
      <protection hidden="1"/>
    </xf>
    <xf numFmtId="4" fontId="6" fillId="21" borderId="27" xfId="0" applyNumberFormat="1" applyFont="1" applyFill="1" applyBorder="1" applyAlignment="1" applyProtection="1">
      <alignment horizontal="center"/>
      <protection hidden="1"/>
    </xf>
    <xf numFmtId="4" fontId="6" fillId="21" borderId="3" xfId="0" applyNumberFormat="1" applyFont="1" applyFill="1" applyBorder="1" applyAlignment="1" applyProtection="1">
      <alignment horizontal="center"/>
      <protection hidden="1"/>
    </xf>
    <xf numFmtId="0" fontId="6" fillId="21" borderId="27" xfId="0" applyFont="1" applyFill="1" applyBorder="1" applyAlignment="1" applyProtection="1">
      <alignment horizontal="center"/>
      <protection hidden="1"/>
    </xf>
    <xf numFmtId="0" fontId="6" fillId="21" borderId="2" xfId="0" applyFont="1" applyFill="1" applyBorder="1" applyAlignment="1" applyProtection="1">
      <alignment horizontal="center"/>
      <protection hidden="1"/>
    </xf>
    <xf numFmtId="0" fontId="6" fillId="21" borderId="45" xfId="0" applyFont="1" applyFill="1" applyBorder="1" applyAlignment="1" applyProtection="1">
      <alignment horizontal="center"/>
      <protection hidden="1"/>
    </xf>
    <xf numFmtId="0" fontId="69" fillId="21" borderId="105" xfId="0" applyFont="1" applyFill="1" applyBorder="1" applyAlignment="1">
      <alignment horizontal="center" vertical="center" wrapText="1"/>
    </xf>
    <xf numFmtId="0" fontId="69" fillId="21" borderId="36" xfId="0" applyFont="1" applyFill="1" applyBorder="1" applyAlignment="1">
      <alignment horizontal="center" vertical="center" wrapText="1"/>
    </xf>
    <xf numFmtId="0" fontId="0" fillId="11" borderId="27" xfId="0" applyFill="1" applyBorder="1" applyAlignment="1">
      <alignment horizontal="center" shrinkToFit="1"/>
    </xf>
    <xf numFmtId="0" fontId="0" fillId="11" borderId="2" xfId="0" applyFill="1" applyBorder="1" applyAlignment="1">
      <alignment horizontal="center" shrinkToFit="1"/>
    </xf>
    <xf numFmtId="0" fontId="6" fillId="12" borderId="49" xfId="0" applyFont="1" applyFill="1" applyBorder="1" applyAlignment="1" applyProtection="1">
      <alignment horizontal="left"/>
      <protection hidden="1"/>
    </xf>
    <xf numFmtId="0" fontId="6" fillId="12" borderId="50" xfId="0" applyFont="1" applyFill="1" applyBorder="1" applyAlignment="1" applyProtection="1">
      <alignment horizontal="left"/>
      <protection hidden="1"/>
    </xf>
    <xf numFmtId="0" fontId="6" fillId="21" borderId="104" xfId="0" applyFont="1" applyFill="1" applyBorder="1" applyAlignment="1" applyProtection="1">
      <alignment horizontal="center"/>
      <protection hidden="1"/>
    </xf>
    <xf numFmtId="0" fontId="6" fillId="21" borderId="50" xfId="0" applyFont="1" applyFill="1" applyBorder="1" applyAlignment="1" applyProtection="1">
      <alignment horizontal="center"/>
      <protection hidden="1"/>
    </xf>
    <xf numFmtId="0" fontId="6" fillId="21" borderId="92" xfId="0" applyFont="1" applyFill="1" applyBorder="1" applyAlignment="1" applyProtection="1">
      <alignment horizontal="center"/>
      <protection hidden="1"/>
    </xf>
    <xf numFmtId="0" fontId="69" fillId="17" borderId="18" xfId="0" applyFont="1" applyFill="1" applyBorder="1" applyAlignment="1">
      <alignment horizontal="center" wrapText="1"/>
    </xf>
    <xf numFmtId="0" fontId="69" fillId="17" borderId="93" xfId="0" applyFont="1" applyFill="1" applyBorder="1" applyAlignment="1">
      <alignment horizontal="center" wrapText="1"/>
    </xf>
    <xf numFmtId="0" fontId="69" fillId="17" borderId="19" xfId="0" applyFont="1" applyFill="1" applyBorder="1" applyAlignment="1">
      <alignment horizontal="center" wrapText="1"/>
    </xf>
    <xf numFmtId="0" fontId="69" fillId="17" borderId="8" xfId="0" applyFont="1" applyFill="1" applyBorder="1" applyAlignment="1">
      <alignment horizontal="center" wrapText="1"/>
    </xf>
    <xf numFmtId="0" fontId="69" fillId="17" borderId="0" xfId="0" applyFont="1" applyFill="1" applyBorder="1" applyAlignment="1">
      <alignment horizontal="center" wrapText="1"/>
    </xf>
    <xf numFmtId="0" fontId="69" fillId="17" borderId="7" xfId="0" applyFont="1" applyFill="1" applyBorder="1" applyAlignment="1">
      <alignment horizontal="center" wrapText="1"/>
    </xf>
    <xf numFmtId="0" fontId="69" fillId="17" borderId="10" xfId="0" applyFont="1" applyFill="1" applyBorder="1" applyAlignment="1">
      <alignment horizontal="center" wrapText="1"/>
    </xf>
    <xf numFmtId="0" fontId="69" fillId="17" borderId="9" xfId="0" applyFont="1" applyFill="1" applyBorder="1" applyAlignment="1">
      <alignment horizontal="center" wrapText="1"/>
    </xf>
    <xf numFmtId="0" fontId="69" fillId="17" borderId="11" xfId="0" applyFont="1" applyFill="1" applyBorder="1" applyAlignment="1">
      <alignment horizontal="center" wrapText="1"/>
    </xf>
    <xf numFmtId="0" fontId="6" fillId="12" borderId="32" xfId="0" applyFont="1" applyFill="1" applyBorder="1" applyAlignment="1" applyProtection="1">
      <alignment horizontal="center"/>
      <protection hidden="1"/>
    </xf>
    <xf numFmtId="0" fontId="6" fillId="12" borderId="31" xfId="0" applyFont="1" applyFill="1" applyBorder="1" applyAlignment="1" applyProtection="1">
      <alignment horizontal="center"/>
      <protection hidden="1"/>
    </xf>
    <xf numFmtId="0" fontId="6" fillId="12" borderId="9" xfId="0" applyFont="1" applyFill="1" applyBorder="1" applyAlignment="1" applyProtection="1">
      <alignment horizontal="center"/>
      <protection hidden="1"/>
    </xf>
    <xf numFmtId="0" fontId="6" fillId="12" borderId="11" xfId="0" applyFont="1" applyFill="1" applyBorder="1" applyAlignment="1" applyProtection="1">
      <alignment horizontal="center"/>
      <protection hidden="1"/>
    </xf>
    <xf numFmtId="14" fontId="6" fillId="21" borderId="27" xfId="0" applyNumberFormat="1" applyFont="1" applyFill="1" applyBorder="1" applyAlignment="1" applyProtection="1">
      <alignment horizontal="center"/>
      <protection hidden="1"/>
    </xf>
    <xf numFmtId="14" fontId="6" fillId="21" borderId="3" xfId="0" applyNumberFormat="1" applyFont="1" applyFill="1" applyBorder="1" applyAlignment="1" applyProtection="1">
      <alignment horizontal="center"/>
      <protection hidden="1"/>
    </xf>
    <xf numFmtId="14" fontId="6" fillId="21" borderId="5" xfId="0" applyNumberFormat="1" applyFont="1" applyFill="1" applyBorder="1" applyAlignment="1" applyProtection="1">
      <alignment horizontal="center"/>
      <protection hidden="1"/>
    </xf>
    <xf numFmtId="0" fontId="6" fillId="10" borderId="34" xfId="0" applyFont="1" applyFill="1" applyBorder="1" applyAlignment="1">
      <alignment horizontal="center" vertical="center"/>
    </xf>
    <xf numFmtId="0" fontId="6" fillId="10" borderId="2" xfId="0" applyFont="1" applyFill="1" applyBorder="1" applyAlignment="1">
      <alignment horizontal="center" vertical="center"/>
    </xf>
    <xf numFmtId="0" fontId="6" fillId="10" borderId="45" xfId="0" applyFont="1" applyFill="1" applyBorder="1" applyAlignment="1">
      <alignment horizontal="center" vertical="center"/>
    </xf>
    <xf numFmtId="0" fontId="6" fillId="10" borderId="49" xfId="0" applyFont="1" applyFill="1" applyBorder="1" applyAlignment="1">
      <alignment horizontal="center" vertical="center"/>
    </xf>
    <xf numFmtId="0" fontId="6" fillId="10" borderId="50" xfId="0" applyFont="1" applyFill="1" applyBorder="1" applyAlignment="1">
      <alignment horizontal="center" vertical="center"/>
    </xf>
    <xf numFmtId="0" fontId="6" fillId="10" borderId="106" xfId="0" applyFont="1" applyFill="1" applyBorder="1" applyAlignment="1">
      <alignment horizontal="center" vertical="center"/>
    </xf>
    <xf numFmtId="0" fontId="6" fillId="15" borderId="107" xfId="0" applyFont="1" applyFill="1" applyBorder="1" applyAlignment="1">
      <alignment horizontal="center" vertical="center"/>
    </xf>
    <xf numFmtId="0" fontId="6" fillId="15" borderId="104" xfId="0" applyFont="1" applyFill="1" applyBorder="1" applyAlignment="1">
      <alignment horizontal="center" vertical="center"/>
    </xf>
    <xf numFmtId="0" fontId="6" fillId="10" borderId="3" xfId="0" applyFont="1" applyFill="1" applyBorder="1" applyAlignment="1">
      <alignment horizontal="center" vertical="center"/>
    </xf>
    <xf numFmtId="0" fontId="6" fillId="10" borderId="27" xfId="0" applyFont="1" applyFill="1" applyBorder="1" applyAlignment="1">
      <alignment horizontal="center" vertical="center"/>
    </xf>
    <xf numFmtId="0" fontId="6" fillId="12" borderId="34" xfId="0" applyFont="1" applyFill="1" applyBorder="1" applyAlignment="1" applyProtection="1">
      <alignment horizontal="left" vertical="center" shrinkToFit="1"/>
      <protection hidden="1"/>
    </xf>
    <xf numFmtId="0" fontId="6" fillId="12" borderId="2" xfId="0" applyFont="1" applyFill="1" applyBorder="1" applyAlignment="1" applyProtection="1">
      <alignment horizontal="left" vertical="center" shrinkToFit="1"/>
      <protection hidden="1"/>
    </xf>
    <xf numFmtId="0" fontId="6" fillId="0" borderId="74" xfId="0" applyFont="1" applyBorder="1" applyAlignment="1" applyProtection="1">
      <alignment horizontal="left" vertical="center" shrinkToFit="1"/>
      <protection locked="0"/>
    </xf>
    <xf numFmtId="0" fontId="6" fillId="0" borderId="5" xfId="0" applyFont="1" applyBorder="1" applyAlignment="1" applyProtection="1">
      <alignment horizontal="left" vertical="center" shrinkToFit="1"/>
      <protection locked="0"/>
    </xf>
    <xf numFmtId="0" fontId="0" fillId="12" borderId="27" xfId="0" applyFill="1" applyBorder="1" applyAlignment="1" applyProtection="1">
      <alignment horizontal="left" vertical="center"/>
      <protection hidden="1"/>
    </xf>
    <xf numFmtId="0" fontId="0" fillId="21" borderId="2" xfId="0" applyFill="1" applyBorder="1" applyAlignment="1" applyProtection="1">
      <alignment horizontal="left" vertical="center"/>
      <protection hidden="1"/>
    </xf>
    <xf numFmtId="0" fontId="0" fillId="21" borderId="3" xfId="0" applyFill="1" applyBorder="1" applyAlignment="1" applyProtection="1">
      <alignment horizontal="left" vertical="center"/>
      <protection hidden="1"/>
    </xf>
    <xf numFmtId="0" fontId="0" fillId="12" borderId="27" xfId="0" applyFill="1" applyBorder="1" applyAlignment="1" applyProtection="1">
      <alignment horizontal="left" vertical="center" shrinkToFit="1"/>
      <protection hidden="1"/>
    </xf>
    <xf numFmtId="0" fontId="0" fillId="12" borderId="3" xfId="0" applyFill="1" applyBorder="1" applyAlignment="1" applyProtection="1">
      <alignment horizontal="left" vertical="center" shrinkToFit="1"/>
      <protection hidden="1"/>
    </xf>
    <xf numFmtId="0" fontId="6" fillId="15" borderId="27" xfId="0" applyFont="1" applyFill="1" applyBorder="1" applyAlignment="1">
      <alignment horizontal="center" vertical="center"/>
    </xf>
    <xf numFmtId="0" fontId="0" fillId="0" borderId="2" xfId="0" applyBorder="1" applyAlignment="1">
      <alignment horizontal="center" vertical="center"/>
    </xf>
    <xf numFmtId="0" fontId="0" fillId="0" borderId="45" xfId="0" applyBorder="1" applyAlignment="1">
      <alignment horizontal="center" vertical="center"/>
    </xf>
    <xf numFmtId="16" fontId="0" fillId="21" borderId="34" xfId="0" applyNumberFormat="1" applyFill="1" applyBorder="1" applyAlignment="1" applyProtection="1">
      <alignment horizontal="left" vertical="center" shrinkToFit="1"/>
      <protection hidden="1"/>
    </xf>
    <xf numFmtId="16" fontId="0" fillId="21" borderId="2" xfId="0" applyNumberFormat="1" applyFill="1" applyBorder="1" applyAlignment="1" applyProtection="1">
      <alignment horizontal="left" vertical="center" shrinkToFit="1"/>
      <protection hidden="1"/>
    </xf>
    <xf numFmtId="16" fontId="18" fillId="21" borderId="34" xfId="0" applyNumberFormat="1" applyFont="1" applyFill="1" applyBorder="1" applyAlignment="1" applyProtection="1">
      <alignment horizontal="left" vertical="center" shrinkToFit="1"/>
      <protection hidden="1"/>
    </xf>
    <xf numFmtId="16" fontId="18" fillId="21" borderId="2" xfId="0" applyNumberFormat="1" applyFont="1" applyFill="1" applyBorder="1" applyAlignment="1" applyProtection="1">
      <alignment horizontal="left" vertical="center" shrinkToFit="1"/>
      <protection hidden="1"/>
    </xf>
    <xf numFmtId="16" fontId="18" fillId="21" borderId="3" xfId="0" applyNumberFormat="1" applyFont="1" applyFill="1" applyBorder="1" applyAlignment="1" applyProtection="1">
      <alignment horizontal="left" vertical="center" shrinkToFit="1"/>
      <protection hidden="1"/>
    </xf>
    <xf numFmtId="16" fontId="0" fillId="21" borderId="3" xfId="0" applyNumberFormat="1" applyFill="1" applyBorder="1" applyAlignment="1" applyProtection="1">
      <alignment horizontal="left" vertical="center" shrinkToFit="1"/>
      <protection hidden="1"/>
    </xf>
    <xf numFmtId="0" fontId="0" fillId="12" borderId="2" xfId="0" applyFill="1" applyBorder="1" applyAlignment="1" applyProtection="1">
      <alignment horizontal="left" vertical="center" shrinkToFit="1"/>
      <protection hidden="1"/>
    </xf>
    <xf numFmtId="166" fontId="73" fillId="21" borderId="27" xfId="7" applyFont="1" applyFill="1" applyBorder="1" applyAlignment="1" applyProtection="1">
      <alignment horizontal="left" vertical="center"/>
      <protection locked="0"/>
    </xf>
    <xf numFmtId="166" fontId="73" fillId="21" borderId="2" xfId="7" applyFont="1" applyFill="1" applyBorder="1" applyAlignment="1" applyProtection="1">
      <alignment horizontal="left" vertical="center"/>
      <protection locked="0"/>
    </xf>
    <xf numFmtId="166" fontId="73" fillId="21" borderId="3" xfId="7" applyFont="1" applyFill="1" applyBorder="1" applyAlignment="1" applyProtection="1">
      <alignment horizontal="left" vertical="center"/>
      <protection locked="0"/>
    </xf>
    <xf numFmtId="0" fontId="6" fillId="15" borderId="2" xfId="0" applyFont="1" applyFill="1" applyBorder="1" applyAlignment="1">
      <alignment horizontal="center" vertical="center"/>
    </xf>
    <xf numFmtId="0" fontId="6" fillId="15" borderId="3" xfId="0" applyFont="1" applyFill="1" applyBorder="1" applyAlignment="1">
      <alignment horizontal="center" vertical="center"/>
    </xf>
    <xf numFmtId="16" fontId="18" fillId="21" borderId="34" xfId="0" applyNumberFormat="1" applyFont="1" applyFill="1" applyBorder="1" applyAlignment="1" applyProtection="1">
      <alignment horizontal="center" vertical="center" shrinkToFit="1"/>
      <protection hidden="1"/>
    </xf>
    <xf numFmtId="16" fontId="0" fillId="21" borderId="2" xfId="0" applyNumberFormat="1" applyFill="1" applyBorder="1" applyAlignment="1" applyProtection="1">
      <alignment horizontal="center" vertical="center" shrinkToFit="1"/>
      <protection hidden="1"/>
    </xf>
    <xf numFmtId="16" fontId="0" fillId="21" borderId="3" xfId="0" applyNumberFormat="1" applyFill="1" applyBorder="1" applyAlignment="1" applyProtection="1">
      <alignment horizontal="center" vertical="center" shrinkToFit="1"/>
      <protection hidden="1"/>
    </xf>
    <xf numFmtId="0" fontId="18" fillId="12" borderId="27" xfId="0" applyFont="1" applyFill="1" applyBorder="1" applyAlignment="1" applyProtection="1">
      <alignment horizontal="left" vertical="center" shrinkToFit="1"/>
      <protection hidden="1"/>
    </xf>
    <xf numFmtId="0" fontId="6" fillId="15" borderId="70" xfId="0" applyFont="1" applyFill="1" applyBorder="1" applyAlignment="1">
      <alignment horizontal="center" vertical="center"/>
    </xf>
    <xf numFmtId="0" fontId="0" fillId="0" borderId="4" xfId="0" applyBorder="1" applyAlignment="1">
      <alignment horizontal="center" vertical="center"/>
    </xf>
    <xf numFmtId="0" fontId="0" fillId="0" borderId="12" xfId="0" applyBorder="1" applyAlignment="1">
      <alignment horizontal="center" vertical="center"/>
    </xf>
    <xf numFmtId="0" fontId="0" fillId="21" borderId="74" xfId="0" applyFill="1" applyBorder="1" applyAlignment="1" applyProtection="1">
      <alignment horizontal="left" vertical="center" shrinkToFit="1"/>
      <protection hidden="1"/>
    </xf>
    <xf numFmtId="0" fontId="0" fillId="21" borderId="5" xfId="0" applyFill="1" applyBorder="1" applyAlignment="1" applyProtection="1">
      <alignment horizontal="left" vertical="center" shrinkToFit="1"/>
      <protection hidden="1"/>
    </xf>
    <xf numFmtId="16" fontId="0" fillId="12" borderId="74" xfId="0" applyNumberFormat="1" applyFill="1" applyBorder="1" applyAlignment="1" applyProtection="1">
      <alignment horizontal="left" vertical="center" shrinkToFit="1"/>
      <protection hidden="1"/>
    </xf>
    <xf numFmtId="0" fontId="18" fillId="21" borderId="27" xfId="0" applyFont="1" applyFill="1" applyBorder="1" applyAlignment="1">
      <alignment horizontal="left" vertical="center"/>
    </xf>
    <xf numFmtId="0" fontId="18" fillId="21" borderId="2" xfId="0" applyFont="1" applyFill="1" applyBorder="1" applyAlignment="1">
      <alignment horizontal="left" vertical="center"/>
    </xf>
    <xf numFmtId="0" fontId="18" fillId="21" borderId="3" xfId="0" applyFont="1" applyFill="1" applyBorder="1" applyAlignment="1">
      <alignment horizontal="left" vertical="center"/>
    </xf>
    <xf numFmtId="0" fontId="18" fillId="21" borderId="27" xfId="0" applyFont="1" applyFill="1" applyBorder="1" applyAlignment="1">
      <alignment horizontal="left" vertical="center" shrinkToFit="1"/>
    </xf>
    <xf numFmtId="0" fontId="18" fillId="21" borderId="2" xfId="0" applyFont="1" applyFill="1" applyBorder="1" applyAlignment="1">
      <alignment horizontal="left" vertical="center" shrinkToFit="1"/>
    </xf>
    <xf numFmtId="0" fontId="18" fillId="21" borderId="3" xfId="0" applyFont="1" applyFill="1" applyBorder="1" applyAlignment="1">
      <alignment horizontal="left" vertical="center" shrinkToFit="1"/>
    </xf>
    <xf numFmtId="0" fontId="0" fillId="23" borderId="27" xfId="0" applyFill="1" applyBorder="1" applyAlignment="1">
      <alignment horizontal="center" vertical="center"/>
    </xf>
    <xf numFmtId="0" fontId="0" fillId="23" borderId="2" xfId="0" applyFill="1" applyBorder="1" applyAlignment="1">
      <alignment horizontal="center" vertical="center"/>
    </xf>
    <xf numFmtId="0" fontId="0" fillId="23" borderId="3" xfId="0" applyFill="1" applyBorder="1" applyAlignment="1">
      <alignment horizontal="center" vertical="center"/>
    </xf>
    <xf numFmtId="0" fontId="0" fillId="0" borderId="2" xfId="0" applyBorder="1" applyAlignment="1">
      <alignment horizontal="left" vertical="center"/>
    </xf>
    <xf numFmtId="0" fontId="0" fillId="0" borderId="3" xfId="0" applyBorder="1" applyAlignment="1">
      <alignment horizontal="left" vertical="center"/>
    </xf>
    <xf numFmtId="0" fontId="18" fillId="0" borderId="113" xfId="0" applyFont="1" applyBorder="1" applyAlignment="1" applyProtection="1">
      <alignment horizontal="center" vertical="center" shrinkToFit="1"/>
      <protection hidden="1"/>
    </xf>
    <xf numFmtId="0" fontId="0" fillId="0" borderId="6" xfId="0" applyBorder="1" applyAlignment="1" applyProtection="1">
      <alignment horizontal="center" vertical="center" shrinkToFit="1"/>
      <protection hidden="1"/>
    </xf>
    <xf numFmtId="0" fontId="0" fillId="0" borderId="16" xfId="0" applyBorder="1" applyAlignment="1" applyProtection="1">
      <alignment horizontal="center" vertical="center" shrinkToFit="1"/>
      <protection hidden="1"/>
    </xf>
    <xf numFmtId="166" fontId="6" fillId="0" borderId="27" xfId="7" applyFont="1" applyBorder="1" applyAlignment="1" applyProtection="1">
      <alignment horizontal="left" vertical="center"/>
      <protection locked="0"/>
    </xf>
    <xf numFmtId="166" fontId="6" fillId="0" borderId="2" xfId="7" applyFont="1" applyBorder="1" applyAlignment="1" applyProtection="1">
      <alignment horizontal="left" vertical="center"/>
      <protection locked="0"/>
    </xf>
    <xf numFmtId="166" fontId="6" fillId="0" borderId="3" xfId="7" applyFont="1" applyBorder="1" applyAlignment="1" applyProtection="1">
      <alignment horizontal="left" vertical="center"/>
      <protection locked="0"/>
    </xf>
    <xf numFmtId="0" fontId="6" fillId="26" borderId="62" xfId="0" applyFont="1" applyFill="1" applyBorder="1" applyAlignment="1" applyProtection="1">
      <alignment horizontal="center" vertical="center"/>
      <protection hidden="1"/>
    </xf>
    <xf numFmtId="0" fontId="6" fillId="26" borderId="63" xfId="0" applyFont="1" applyFill="1" applyBorder="1" applyAlignment="1" applyProtection="1">
      <alignment horizontal="center" vertical="center"/>
      <protection hidden="1"/>
    </xf>
    <xf numFmtId="0" fontId="6" fillId="26" borderId="111" xfId="0" applyFont="1" applyFill="1" applyBorder="1" applyAlignment="1" applyProtection="1">
      <alignment horizontal="center" vertical="center"/>
      <protection hidden="1"/>
    </xf>
    <xf numFmtId="0" fontId="13" fillId="26" borderId="61" xfId="0" applyFont="1" applyFill="1" applyBorder="1" applyAlignment="1">
      <alignment horizontal="center" vertical="center"/>
    </xf>
    <xf numFmtId="0" fontId="13" fillId="26" borderId="59" xfId="0" applyFont="1" applyFill="1" applyBorder="1" applyAlignment="1">
      <alignment horizontal="center" vertical="center"/>
    </xf>
    <xf numFmtId="0" fontId="13" fillId="26" borderId="112" xfId="0" applyFont="1" applyFill="1" applyBorder="1" applyAlignment="1">
      <alignment horizontal="center" vertical="center"/>
    </xf>
    <xf numFmtId="166" fontId="13" fillId="12" borderId="27" xfId="0" applyNumberFormat="1" applyFont="1" applyFill="1" applyBorder="1" applyAlignment="1">
      <alignment horizontal="center" vertical="center" wrapText="1"/>
    </xf>
    <xf numFmtId="166" fontId="13" fillId="12" borderId="3" xfId="0" applyNumberFormat="1" applyFont="1" applyFill="1" applyBorder="1" applyAlignment="1">
      <alignment horizontal="center" vertical="center" wrapText="1"/>
    </xf>
    <xf numFmtId="0" fontId="6" fillId="12" borderId="34" xfId="0" applyFont="1" applyFill="1" applyBorder="1" applyAlignment="1" applyProtection="1">
      <alignment horizontal="center" vertical="center"/>
      <protection hidden="1"/>
    </xf>
    <xf numFmtId="0" fontId="6" fillId="12" borderId="2" xfId="0" applyFont="1" applyFill="1" applyBorder="1" applyAlignment="1" applyProtection="1">
      <alignment horizontal="center" vertical="center"/>
      <protection hidden="1"/>
    </xf>
    <xf numFmtId="0" fontId="6" fillId="12" borderId="45" xfId="0" applyFont="1" applyFill="1" applyBorder="1" applyAlignment="1" applyProtection="1">
      <alignment horizontal="center" vertical="center"/>
      <protection hidden="1"/>
    </xf>
    <xf numFmtId="0" fontId="6" fillId="12" borderId="34" xfId="0" applyFont="1" applyFill="1" applyBorder="1" applyAlignment="1">
      <alignment horizontal="left" vertical="center"/>
    </xf>
    <xf numFmtId="0" fontId="6" fillId="12" borderId="3" xfId="0" applyFont="1" applyFill="1" applyBorder="1" applyAlignment="1">
      <alignment horizontal="left" vertical="center"/>
    </xf>
    <xf numFmtId="0" fontId="6" fillId="17" borderId="34" xfId="0" applyFont="1" applyFill="1" applyBorder="1" applyAlignment="1">
      <alignment horizontal="left" vertical="center"/>
    </xf>
    <xf numFmtId="0" fontId="6" fillId="17" borderId="2" xfId="0" applyFont="1" applyFill="1" applyBorder="1" applyAlignment="1">
      <alignment horizontal="left" vertical="center"/>
    </xf>
    <xf numFmtId="0" fontId="6" fillId="17" borderId="3" xfId="0" applyFont="1" applyFill="1" applyBorder="1" applyAlignment="1">
      <alignment horizontal="left" vertical="center"/>
    </xf>
    <xf numFmtId="0" fontId="6" fillId="17" borderId="5" xfId="0" applyFont="1" applyFill="1" applyBorder="1" applyAlignment="1" applyProtection="1">
      <alignment horizontal="left" vertical="center" shrinkToFit="1"/>
      <protection hidden="1"/>
    </xf>
    <xf numFmtId="0" fontId="0" fillId="12" borderId="8" xfId="0" applyFill="1" applyBorder="1" applyAlignment="1">
      <alignment horizontal="right" vertical="center"/>
    </xf>
    <xf numFmtId="0" fontId="0" fillId="12" borderId="0" xfId="0" applyFill="1" applyBorder="1" applyAlignment="1">
      <alignment horizontal="right" vertical="center"/>
    </xf>
    <xf numFmtId="0" fontId="0" fillId="12" borderId="37" xfId="0" applyFill="1" applyBorder="1" applyAlignment="1">
      <alignment horizontal="center" vertical="center"/>
    </xf>
    <xf numFmtId="0" fontId="0" fillId="12" borderId="80" xfId="0" applyFill="1" applyBorder="1" applyAlignment="1">
      <alignment horizontal="center" vertical="center"/>
    </xf>
    <xf numFmtId="165" fontId="6" fillId="12" borderId="34" xfId="3" applyFont="1" applyFill="1" applyBorder="1" applyAlignment="1">
      <alignment horizontal="center" vertical="center"/>
    </xf>
    <xf numFmtId="165" fontId="6" fillId="12" borderId="2" xfId="3" applyFont="1" applyFill="1" applyBorder="1" applyAlignment="1">
      <alignment horizontal="center" vertical="center"/>
    </xf>
    <xf numFmtId="165" fontId="6" fillId="12" borderId="3" xfId="3" applyFont="1" applyFill="1" applyBorder="1" applyAlignment="1">
      <alignment horizontal="center" vertical="center"/>
    </xf>
    <xf numFmtId="165" fontId="6" fillId="12" borderId="27" xfId="3" applyFont="1" applyFill="1" applyBorder="1" applyAlignment="1">
      <alignment horizontal="center" vertical="center"/>
    </xf>
    <xf numFmtId="0" fontId="6" fillId="12" borderId="31"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1" xfId="0" applyFont="1" applyFill="1" applyBorder="1" applyAlignment="1">
      <alignment horizontal="center" vertical="center"/>
    </xf>
    <xf numFmtId="0" fontId="41" fillId="12" borderId="79" xfId="0" applyFont="1" applyFill="1" applyBorder="1" applyAlignment="1" applyProtection="1">
      <alignment horizontal="center" vertical="center"/>
      <protection hidden="1"/>
    </xf>
    <xf numFmtId="0" fontId="41" fillId="12" borderId="37" xfId="0" applyFont="1" applyFill="1" applyBorder="1" applyAlignment="1" applyProtection="1">
      <alignment horizontal="center" vertical="center"/>
      <protection hidden="1"/>
    </xf>
    <xf numFmtId="0" fontId="41" fillId="12" borderId="81" xfId="0" applyFont="1" applyFill="1" applyBorder="1" applyAlignment="1" applyProtection="1">
      <alignment horizontal="center" vertical="center"/>
      <protection hidden="1"/>
    </xf>
    <xf numFmtId="0" fontId="6" fillId="2" borderId="2" xfId="0" applyFont="1" applyFill="1" applyBorder="1" applyAlignment="1" applyProtection="1">
      <alignment horizontal="left" vertical="center"/>
      <protection locked="0"/>
    </xf>
    <xf numFmtId="0" fontId="6" fillId="2" borderId="3" xfId="0" applyFont="1" applyFill="1" applyBorder="1" applyAlignment="1" applyProtection="1">
      <alignment horizontal="left" vertical="center"/>
      <protection locked="0"/>
    </xf>
    <xf numFmtId="14" fontId="6" fillId="2" borderId="2" xfId="0" applyNumberFormat="1" applyFont="1" applyFill="1" applyBorder="1" applyAlignment="1" applyProtection="1">
      <alignment horizontal="center" vertical="center"/>
      <protection locked="0"/>
    </xf>
    <xf numFmtId="0" fontId="6" fillId="2" borderId="45" xfId="0" applyFont="1" applyFill="1" applyBorder="1" applyAlignment="1" applyProtection="1">
      <alignment horizontal="center" vertical="center"/>
      <protection locked="0"/>
    </xf>
    <xf numFmtId="0" fontId="6" fillId="12" borderId="69" xfId="0" applyFont="1" applyFill="1" applyBorder="1" applyAlignment="1" applyProtection="1">
      <alignment horizontal="center" vertical="center"/>
      <protection hidden="1"/>
    </xf>
    <xf numFmtId="0" fontId="6" fillId="12" borderId="65" xfId="0" applyFont="1" applyFill="1" applyBorder="1" applyAlignment="1" applyProtection="1">
      <alignment horizontal="center" vertical="center"/>
      <protection hidden="1"/>
    </xf>
    <xf numFmtId="0" fontId="6" fillId="12" borderId="66" xfId="0" applyFont="1" applyFill="1" applyBorder="1" applyAlignment="1" applyProtection="1">
      <alignment horizontal="center" vertical="center"/>
      <protection hidden="1"/>
    </xf>
    <xf numFmtId="0" fontId="6" fillId="21" borderId="27" xfId="0" applyFont="1" applyFill="1" applyBorder="1" applyAlignment="1" applyProtection="1">
      <alignment horizontal="center" vertical="center" shrinkToFit="1"/>
      <protection hidden="1"/>
    </xf>
    <xf numFmtId="0" fontId="6" fillId="21" borderId="2" xfId="0" applyFont="1" applyFill="1" applyBorder="1" applyAlignment="1" applyProtection="1">
      <alignment horizontal="center" vertical="center" shrinkToFit="1"/>
      <protection hidden="1"/>
    </xf>
    <xf numFmtId="0" fontId="6" fillId="21" borderId="3" xfId="0" applyFont="1" applyFill="1" applyBorder="1" applyAlignment="1" applyProtection="1">
      <alignment horizontal="center" vertical="center" shrinkToFit="1"/>
      <protection hidden="1"/>
    </xf>
    <xf numFmtId="0" fontId="13" fillId="12" borderId="34" xfId="0" applyFont="1" applyFill="1" applyBorder="1" applyAlignment="1">
      <alignment horizontal="center" vertical="center" wrapText="1" shrinkToFit="1"/>
    </xf>
    <xf numFmtId="0" fontId="13" fillId="12" borderId="2" xfId="0" applyFont="1" applyFill="1" applyBorder="1" applyAlignment="1">
      <alignment horizontal="center" vertical="center" wrapText="1" shrinkToFit="1"/>
    </xf>
    <xf numFmtId="0" fontId="13" fillId="12" borderId="3" xfId="0" applyFont="1" applyFill="1" applyBorder="1" applyAlignment="1">
      <alignment horizontal="center" vertical="center" wrapText="1" shrinkToFit="1"/>
    </xf>
    <xf numFmtId="0" fontId="68" fillId="12" borderId="27" xfId="0" applyFont="1" applyFill="1" applyBorder="1" applyAlignment="1">
      <alignment horizontal="center" vertical="center" shrinkToFit="1"/>
    </xf>
    <xf numFmtId="0" fontId="68" fillId="12" borderId="2" xfId="0" applyFont="1" applyFill="1" applyBorder="1" applyAlignment="1">
      <alignment horizontal="center" vertical="center" shrinkToFit="1"/>
    </xf>
    <xf numFmtId="0" fontId="68" fillId="12" borderId="45" xfId="0" applyFont="1" applyFill="1" applyBorder="1" applyAlignment="1">
      <alignment horizontal="center" vertical="center" shrinkToFit="1"/>
    </xf>
    <xf numFmtId="0" fontId="18" fillId="21" borderId="27" xfId="0" applyFont="1" applyFill="1" applyBorder="1" applyAlignment="1" applyProtection="1">
      <alignment horizontal="center" vertical="center"/>
      <protection hidden="1"/>
    </xf>
    <xf numFmtId="0" fontId="18" fillId="21" borderId="2" xfId="0" applyFont="1" applyFill="1" applyBorder="1" applyAlignment="1" applyProtection="1">
      <alignment horizontal="center" vertical="center"/>
      <protection hidden="1"/>
    </xf>
    <xf numFmtId="0" fontId="18" fillId="21" borderId="3" xfId="0" applyFont="1" applyFill="1" applyBorder="1" applyAlignment="1" applyProtection="1">
      <alignment horizontal="center" vertical="center"/>
      <protection hidden="1"/>
    </xf>
  </cellXfs>
  <cellStyles count="8">
    <cellStyle name="Hyperlink" xfId="1" builtinId="8"/>
    <cellStyle name="Moeda" xfId="2" builtinId="4"/>
    <cellStyle name="Moeda 2" xfId="3"/>
    <cellStyle name="Normal" xfId="0" builtinId="0"/>
    <cellStyle name="Normal_ajuda" xfId="4"/>
    <cellStyle name="Porcentagem" xfId="5" builtinId="5"/>
    <cellStyle name="Separador de milhares" xfId="6" builtinId="3"/>
    <cellStyle name="Separador de milhares 2" xfId="7"/>
  </cellStyles>
  <dxfs count="4">
    <dxf>
      <font>
        <condense val="0"/>
        <extend val="0"/>
        <color indexed="10"/>
      </font>
      <fill>
        <patternFill patternType="solid">
          <bgColor indexed="47"/>
        </patternFill>
      </fill>
    </dxf>
    <dxf>
      <font>
        <condense val="0"/>
        <extend val="0"/>
        <color indexed="10"/>
      </font>
      <fill>
        <patternFill patternType="solid">
          <bgColor indexed="47"/>
        </patternFill>
      </fill>
    </dxf>
    <dxf>
      <font>
        <condense val="0"/>
        <extend val="0"/>
        <color rgb="FF9C6500"/>
      </font>
      <fill>
        <patternFill>
          <bgColor rgb="FFFFEB9C"/>
        </patternFill>
      </fill>
    </dxf>
    <dxf>
      <font>
        <condense val="0"/>
        <extend val="0"/>
        <color rgb="FF9C65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Radio" checked="Checked" firstButton="1" fmlaLink="$K$19"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16" fmlaLink="$G$3" fmlaRange="FUNC!$B$4:$B$4755" noThreeD="1" sel="2" val="0"/>
</file>

<file path=xl/ctrlProps/ctrlProp6.xml><?xml version="1.0" encoding="utf-8"?>
<formControlPr xmlns="http://schemas.microsoft.com/office/spreadsheetml/2009/9/main" objectType="Drop" dropStyle="combo" dx="16" fmlaLink="$G$4" fmlaRange="EMP!$B$3:$B$4755" noThreeD="1" sel="2"/>
</file>

<file path=xl/ctrlProps/ctrlProp7.xml><?xml version="1.0" encoding="utf-8"?>
<formControlPr xmlns="http://schemas.microsoft.com/office/spreadsheetml/2009/9/main" objectType="Radio" firstButton="1" fmlaLink="$K$3"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fmlaLink="$M$22" lockText="1"/>
</file>

<file path=xl/ctrlProps/ctrlProp10.xml><?xml version="1.0" encoding="utf-8"?>
<formControlPr xmlns="http://schemas.microsoft.com/office/spreadsheetml/2009/9/main" objectType="CheckBox" fmlaLink="$M$21" lockText="1" noThreeD="1"/>
</file>

<file path=xl/ctrlProps/ctrlProp11.xml><?xml version="1.0" encoding="utf-8"?>
<formControlPr xmlns="http://schemas.microsoft.com/office/spreadsheetml/2009/9/main" objectType="CheckBox" checked="Checked" fmlaLink="$M$20" lockText="1"/>
</file>

<file path=xl/ctrlProps/ctrlProp12.xml><?xml version="1.0" encoding="utf-8"?>
<formControlPr xmlns="http://schemas.microsoft.com/office/spreadsheetml/2009/9/main" objectType="CheckBox" checked="Checked" fmlaLink="$M$19" lockText="1" noThreeD="1"/>
</file>

<file path=xl/ctrlProps/ctrlProp13.xml><?xml version="1.0" encoding="utf-8"?>
<formControlPr xmlns="http://schemas.microsoft.com/office/spreadsheetml/2009/9/main" objectType="CheckBox" checked="Checked" fmlaLink="$K$20" lockText="1"/>
</file>

<file path=xl/ctrlProps/ctrlProp14.xml><?xml version="1.0" encoding="utf-8"?>
<formControlPr xmlns="http://schemas.microsoft.com/office/spreadsheetml/2009/9/main" objectType="CheckBox" fmlaLink="$K$21" lockText="1" noThreeD="1"/>
</file>

<file path=xl/ctrlProps/ctrlProp15.xml><?xml version="1.0" encoding="utf-8"?>
<formControlPr xmlns="http://schemas.microsoft.com/office/spreadsheetml/2009/9/main" objectType="CheckBox" checked="Checked" fmlaLink="$K$19" lockText="1" noThreeD="1"/>
</file>

<file path=xl/ctrlProps/ctrlProp16.xml><?xml version="1.0" encoding="utf-8"?>
<formControlPr xmlns="http://schemas.microsoft.com/office/spreadsheetml/2009/9/main" objectType="CheckBox" fmlaLink="$K$22" lockText="1" noThreeD="1"/>
</file>

<file path=xl/ctrlProps/ctrlProp17.xml><?xml version="1.0" encoding="utf-8"?>
<formControlPr xmlns="http://schemas.microsoft.com/office/spreadsheetml/2009/9/main" objectType="CheckBox" checked="Checked" fmlaLink="$O$20" lockText="1" noThreeD="1"/>
</file>

<file path=xl/ctrlProps/ctrlProp18.xml><?xml version="1.0" encoding="utf-8"?>
<formControlPr xmlns="http://schemas.microsoft.com/office/spreadsheetml/2009/9/main" objectType="CheckBox" checked="Checked" fmlaLink="$O$19" lockText="1" noThreeD="1"/>
</file>

<file path=xl/ctrlProps/ctrlProp19.xml><?xml version="1.0" encoding="utf-8"?>
<formControlPr xmlns="http://schemas.microsoft.com/office/spreadsheetml/2009/9/main" objectType="CheckBox" fmlaLink="$O$22" lockText="1" noThreeD="1"/>
</file>

<file path=xl/ctrlProps/ctrlProp20.xml><?xml version="1.0" encoding="utf-8"?>
<formControlPr xmlns="http://schemas.microsoft.com/office/spreadsheetml/2009/9/main" objectType="CheckBox" fmlaLink="$O$21" lockText="1"/>
</file>

<file path=xl/ctrlProps/ctrlProp21.xml><?xml version="1.0" encoding="utf-8"?>
<formControlPr xmlns="http://schemas.microsoft.com/office/spreadsheetml/2009/9/main" objectType="CheckBox" fmlaLink="$M$23" lockText="1"/>
</file>

<file path=xl/ctrlProps/ctrlProp22.xml><?xml version="1.0" encoding="utf-8"?>
<formControlPr xmlns="http://schemas.microsoft.com/office/spreadsheetml/2009/9/main" objectType="CheckBox" fmlaLink="$K$23" lockText="1"/>
</file>

<file path=xl/ctrlProps/ctrlProp23.xml><?xml version="1.0" encoding="utf-8"?>
<formControlPr xmlns="http://schemas.microsoft.com/office/spreadsheetml/2009/9/main" objectType="CheckBox" checked="Checked" fmlaLink="$O$23" lockText="1" noThreeD="1"/>
</file>

<file path=xl/ctrlProps/ctrlProp24.xml><?xml version="1.0" encoding="utf-8"?>
<formControlPr xmlns="http://schemas.microsoft.com/office/spreadsheetml/2009/9/main" objectType="CheckBox" fmlaLink="$M$24" lockText="1" noThreeD="1"/>
</file>

<file path=xl/ctrlProps/ctrlProp25.xml><?xml version="1.0" encoding="utf-8"?>
<formControlPr xmlns="http://schemas.microsoft.com/office/spreadsheetml/2009/9/main" objectType="CheckBox" fmlaLink="$K$24" lockText="1"/>
</file>

<file path=xl/ctrlProps/ctrlProp26.xml><?xml version="1.0" encoding="utf-8"?>
<formControlPr xmlns="http://schemas.microsoft.com/office/spreadsheetml/2009/9/main" objectType="CheckBox" fmlaLink="$O$24" lockText="1" noThreeD="1"/>
</file>

<file path=xl/ctrlProps/ctrlProp27.xml><?xml version="1.0" encoding="utf-8"?>
<formControlPr xmlns="http://schemas.microsoft.com/office/spreadsheetml/2009/9/main" objectType="CheckBox" fmlaLink="$M$25" lockText="1"/>
</file>

<file path=xl/ctrlProps/ctrlProp28.xml><?xml version="1.0" encoding="utf-8"?>
<formControlPr xmlns="http://schemas.microsoft.com/office/spreadsheetml/2009/9/main" objectType="CheckBox" fmlaLink="$K$25" lockText="1" noThreeD="1"/>
</file>

<file path=xl/ctrlProps/ctrlProp29.xml><?xml version="1.0" encoding="utf-8"?>
<formControlPr xmlns="http://schemas.microsoft.com/office/spreadsheetml/2009/9/main" objectType="CheckBox" fmlaLink="$O$25" lockText="1" noThreeD="1"/>
</file>

<file path=xl/ctrlProps/ctrlProp30.xml><?xml version="1.0" encoding="utf-8"?>
<formControlPr xmlns="http://schemas.microsoft.com/office/spreadsheetml/2009/9/main" objectType="CheckBox" checked="Checked" fmlaLink="$K$26" lockText="1" noThreeD="1"/>
</file>

<file path=xl/ctrlProps/ctrlProp31.xml><?xml version="1.0" encoding="utf-8"?>
<formControlPr xmlns="http://schemas.microsoft.com/office/spreadsheetml/2009/9/main" objectType="CheckBox" checked="Checked" fmlaLink="$M$26" lockText="1" noThreeD="1"/>
</file>

<file path=xl/ctrlProps/ctrlProp32.xml><?xml version="1.0" encoding="utf-8"?>
<formControlPr xmlns="http://schemas.microsoft.com/office/spreadsheetml/2009/9/main" objectType="CheckBox" checked="Checked" fmlaLink="$O$26"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CheckBox" checked="Checked" fmlaLink="$U$8" lockText="1"/>
</file>

<file path=xl/ctrlProps/ctrlProp39.xml><?xml version="1.0" encoding="utf-8"?>
<formControlPr xmlns="http://schemas.microsoft.com/office/spreadsheetml/2009/9/main" objectType="CheckBox" checked="Checked" fmlaLink="$U$9" lockText="1"/>
</file>

<file path=xl/ctrlProps/ctrlProp40.xml><?xml version="1.0" encoding="utf-8"?>
<formControlPr xmlns="http://schemas.microsoft.com/office/spreadsheetml/2009/9/main" objectType="CheckBox" checked="Checked" fmlaLink="$Y$9" lockText="1"/>
</file>

<file path=xl/ctrlProps/ctrlProp41.xml><?xml version="1.0" encoding="utf-8"?>
<formControlPr xmlns="http://schemas.microsoft.com/office/spreadsheetml/2009/9/main" objectType="CheckBox" checked="Checked" fmlaLink="$AB$9" lockText="1"/>
</file>

<file path=xl/ctrlProps/ctrlProp42.xml><?xml version="1.0" encoding="utf-8"?>
<formControlPr xmlns="http://schemas.microsoft.com/office/spreadsheetml/2009/9/main" objectType="CheckBox" checked="Checked" fmlaLink="$Y$8" lockText="1"/>
</file>

<file path=xl/ctrlProps/ctrlProp43.xml><?xml version="1.0" encoding="utf-8"?>
<formControlPr xmlns="http://schemas.microsoft.com/office/spreadsheetml/2009/9/main" objectType="CheckBox" checked="Checked" fmlaLink="$AB$8" lockText="1"/>
</file>

<file path=xl/ctrlProps/ctrlProp44.xml><?xml version="1.0" encoding="utf-8"?>
<formControlPr xmlns="http://schemas.microsoft.com/office/spreadsheetml/2009/9/main" objectType="CheckBox" checked="Checked" fmlaLink="$U$10" lockText="1"/>
</file>

<file path=xl/ctrlProps/ctrlProp45.xml><?xml version="1.0" encoding="utf-8"?>
<formControlPr xmlns="http://schemas.microsoft.com/office/spreadsheetml/2009/9/main" objectType="CheckBox" checked="Checked" fmlaLink="$Y$10" lockText="1"/>
</file>

<file path=xl/ctrlProps/ctrlProp46.xml><?xml version="1.0" encoding="utf-8"?>
<formControlPr xmlns="http://schemas.microsoft.com/office/spreadsheetml/2009/9/main" objectType="CheckBox" checked="Checked" fmlaLink="$U$11" lockText="1"/>
</file>

<file path=xl/ctrlProps/ctrlProp47.xml><?xml version="1.0" encoding="utf-8"?>
<formControlPr xmlns="http://schemas.microsoft.com/office/spreadsheetml/2009/9/main" objectType="CheckBox" checked="Checked" fmlaLink="$Y$11" lockText="1"/>
</file>

<file path=xl/ctrlProps/ctrlProp48.xml><?xml version="1.0" encoding="utf-8"?>
<formControlPr xmlns="http://schemas.microsoft.com/office/spreadsheetml/2009/9/main" objectType="CheckBox" checked="Checked" fmlaLink="$U$12" lockText="1"/>
</file>

<file path=xl/ctrlProps/ctrlProp49.xml><?xml version="1.0" encoding="utf-8"?>
<formControlPr xmlns="http://schemas.microsoft.com/office/spreadsheetml/2009/9/main" objectType="CheckBox" checked="Checked" fmlaLink="$Y$12" lockText="1"/>
</file>

<file path=xl/ctrlProps/ctrlProp50.xml><?xml version="1.0" encoding="utf-8"?>
<formControlPr xmlns="http://schemas.microsoft.com/office/spreadsheetml/2009/9/main" objectType="CheckBox" checked="Checked" fmlaLink="$U$14" lockText="1"/>
</file>

<file path=xl/ctrlProps/ctrlProp51.xml><?xml version="1.0" encoding="utf-8"?>
<formControlPr xmlns="http://schemas.microsoft.com/office/spreadsheetml/2009/9/main" objectType="CheckBox" checked="Checked" fmlaLink="$Y$14" lockText="1"/>
</file>

<file path=xl/ctrlProps/ctrlProp52.xml><?xml version="1.0" encoding="utf-8"?>
<formControlPr xmlns="http://schemas.microsoft.com/office/spreadsheetml/2009/9/main" objectType="CheckBox" checked="Checked" fmlaLink="$AB$10" lockText="1"/>
</file>

<file path=xl/ctrlProps/ctrlProp53.xml><?xml version="1.0" encoding="utf-8"?>
<formControlPr xmlns="http://schemas.microsoft.com/office/spreadsheetml/2009/9/main" objectType="CheckBox" checked="Checked" fmlaLink="$AB$11" lockText="1"/>
</file>

<file path=xl/ctrlProps/ctrlProp54.xml><?xml version="1.0" encoding="utf-8"?>
<formControlPr xmlns="http://schemas.microsoft.com/office/spreadsheetml/2009/9/main" objectType="CheckBox" checked="Checked" fmlaLink="$AB$12" lockText="1"/>
</file>

<file path=xl/ctrlProps/ctrlProp55.xml><?xml version="1.0" encoding="utf-8"?>
<formControlPr xmlns="http://schemas.microsoft.com/office/spreadsheetml/2009/9/main" objectType="CheckBox" checked="Checked" fmlaLink="$AB$14" lockText="1"/>
</file>

<file path=xl/ctrlProps/ctrlProp56.xml><?xml version="1.0" encoding="utf-8"?>
<formControlPr xmlns="http://schemas.microsoft.com/office/spreadsheetml/2009/9/main" objectType="CheckBox" checked="Checked" fmlaLink="$U$19" lockText="1"/>
</file>

<file path=xl/ctrlProps/ctrlProp57.xml><?xml version="1.0" encoding="utf-8"?>
<formControlPr xmlns="http://schemas.microsoft.com/office/spreadsheetml/2009/9/main" objectType="CheckBox" fmlaLink="$Y$19" lockText="1"/>
</file>

<file path=xl/ctrlProps/ctrlProp58.xml><?xml version="1.0" encoding="utf-8"?>
<formControlPr xmlns="http://schemas.microsoft.com/office/spreadsheetml/2009/9/main" objectType="CheckBox" checked="Checked" fmlaLink="$AB$19" lockText="1" noThreeD="1"/>
</file>

<file path=xl/ctrlProps/ctrlProp59.xml><?xml version="1.0" encoding="utf-8"?>
<formControlPr xmlns="http://schemas.microsoft.com/office/spreadsheetml/2009/9/main" objectType="CheckBox" fmlaLink="$U$15" lockText="1"/>
</file>

<file path=xl/ctrlProps/ctrlProp60.xml><?xml version="1.0" encoding="utf-8"?>
<formControlPr xmlns="http://schemas.microsoft.com/office/spreadsheetml/2009/9/main" objectType="CheckBox" fmlaLink="$U$17" lockText="1"/>
</file>

<file path=xl/ctrlProps/ctrlProp61.xml><?xml version="1.0" encoding="utf-8"?>
<formControlPr xmlns="http://schemas.microsoft.com/office/spreadsheetml/2009/9/main" objectType="CheckBox" fmlaLink="$Y$15" lockText="1"/>
</file>

<file path=xl/ctrlProps/ctrlProp62.xml><?xml version="1.0" encoding="utf-8"?>
<formControlPr xmlns="http://schemas.microsoft.com/office/spreadsheetml/2009/9/main" objectType="CheckBox" fmlaLink="AB15" lockText="1"/>
</file>

<file path=xl/ctrlProps/ctrlProp63.xml><?xml version="1.0" encoding="utf-8"?>
<formControlPr xmlns="http://schemas.microsoft.com/office/spreadsheetml/2009/9/main" objectType="CheckBox" fmlaLink="$Y$17" lockText="1"/>
</file>

<file path=xl/ctrlProps/ctrlProp64.xml><?xml version="1.0" encoding="utf-8"?>
<formControlPr xmlns="http://schemas.microsoft.com/office/spreadsheetml/2009/9/main" objectType="CheckBox" fmlaLink="$AB$17" lockText="1" noThreeD="1"/>
</file>

<file path=xl/ctrlProps/ctrlProp65.xml><?xml version="1.0" encoding="utf-8"?>
<formControlPr xmlns="http://schemas.microsoft.com/office/spreadsheetml/2009/9/main" objectType="CheckBox" checked="Checked" fmlaLink="$Y$18" lockText="1"/>
</file>

<file path=xl/ctrlProps/ctrlProp66.xml><?xml version="1.0" encoding="utf-8"?>
<formControlPr xmlns="http://schemas.microsoft.com/office/spreadsheetml/2009/9/main" objectType="CheckBox" fmlaLink="$AB$17" lockText="1"/>
</file>

<file path=xl/ctrlProps/ctrlProp67.xml><?xml version="1.0" encoding="utf-8"?>
<formControlPr xmlns="http://schemas.microsoft.com/office/spreadsheetml/2009/9/main" objectType="CheckBox" checked="Checked" fmlaLink="$AB$19" lockText="1"/>
</file>

<file path=xl/ctrlProps/ctrlProp68.xml><?xml version="1.0" encoding="utf-8"?>
<formControlPr xmlns="http://schemas.microsoft.com/office/spreadsheetml/2009/9/main" objectType="CheckBox" fmlaLink="$U$30" lockText="1"/>
</file>

<file path=xl/ctrlProps/ctrlProp69.xml><?xml version="1.0" encoding="utf-8"?>
<formControlPr xmlns="http://schemas.microsoft.com/office/spreadsheetml/2009/9/main" objectType="CheckBox" checked="Checked" fmlaLink="$S$8" lockText="1"/>
</file>

<file path=xl/ctrlProps/ctrlProp70.xml><?xml version="1.0" encoding="utf-8"?>
<formControlPr xmlns="http://schemas.microsoft.com/office/spreadsheetml/2009/9/main" objectType="CheckBox" fmlaLink="$S$9" lockText="1"/>
</file>

<file path=xl/ctrlProps/ctrlProp71.xml><?xml version="1.0" encoding="utf-8"?>
<formControlPr xmlns="http://schemas.microsoft.com/office/spreadsheetml/2009/9/main" objectType="CheckBox" fmlaLink="$S$10" lockText="1"/>
</file>

<file path=xl/ctrlProps/ctrlProp72.xml><?xml version="1.0" encoding="utf-8"?>
<formControlPr xmlns="http://schemas.microsoft.com/office/spreadsheetml/2009/9/main" objectType="CheckBox" fmlaLink="$S$12" lockText="1"/>
</file>

<file path=xl/ctrlProps/ctrlProp73.xml><?xml version="1.0" encoding="utf-8"?>
<formControlPr xmlns="http://schemas.microsoft.com/office/spreadsheetml/2009/9/main" objectType="CheckBox" checked="Checked" fmlaLink="$AB$19" lockText="1" noThreeD="1"/>
</file>

<file path=xl/ctrlProps/ctrlProp74.xml><?xml version="1.0" encoding="utf-8"?>
<formControlPr xmlns="http://schemas.microsoft.com/office/spreadsheetml/2009/9/main" objectType="CheckBox" fmlaLink="$U$25" lockText="1"/>
</file>

<file path=xl/ctrlProps/ctrlProp75.xml><?xml version="1.0" encoding="utf-8"?>
<formControlPr xmlns="http://schemas.microsoft.com/office/spreadsheetml/2009/9/main" objectType="CheckBox" fmlaLink="$Y$25" lockText="1"/>
</file>

<file path=xl/ctrlProps/ctrlProp76.xml><?xml version="1.0" encoding="utf-8"?>
<formControlPr xmlns="http://schemas.microsoft.com/office/spreadsheetml/2009/9/main" objectType="CheckBox" fmlaLink="AB25" lockText="1"/>
</file>

<file path=xl/ctrlProps/ctrlProp77.xml><?xml version="1.0" encoding="utf-8"?>
<formControlPr xmlns="http://schemas.microsoft.com/office/spreadsheetml/2009/9/main" objectType="CheckBox" checked="Checked" fmlaLink="$AB$19" lockText="1" noThreeD="1"/>
</file>

<file path=xl/ctrlProps/ctrlProp78.xml><?xml version="1.0" encoding="utf-8"?>
<formControlPr xmlns="http://schemas.microsoft.com/office/spreadsheetml/2009/9/main" objectType="CheckBox" fmlaLink="$U$26" lockText="1"/>
</file>

<file path=xl/ctrlProps/ctrlProp79.xml><?xml version="1.0" encoding="utf-8"?>
<formControlPr xmlns="http://schemas.microsoft.com/office/spreadsheetml/2009/9/main" objectType="CheckBox" fmlaLink="$Y$26" lockText="1"/>
</file>

<file path=xl/ctrlProps/ctrlProp80.xml><?xml version="1.0" encoding="utf-8"?>
<formControlPr xmlns="http://schemas.microsoft.com/office/spreadsheetml/2009/9/main" objectType="CheckBox" fmlaLink="AB26" lockText="1"/>
</file>

<file path=xl/ctrlProps/ctrlProp81.xml><?xml version="1.0" encoding="utf-8"?>
<formControlPr xmlns="http://schemas.microsoft.com/office/spreadsheetml/2009/9/main" objectType="CheckBox" checked="Checked" fmlaLink="$AB$19" lockText="1" noThreeD="1"/>
</file>

<file path=xl/ctrlProps/ctrlProp82.xml><?xml version="1.0" encoding="utf-8"?>
<formControlPr xmlns="http://schemas.microsoft.com/office/spreadsheetml/2009/9/main" objectType="CheckBox" fmlaLink="AB27" lockText="1"/>
</file>

<file path=xl/ctrlProps/ctrlProp83.xml><?xml version="1.0" encoding="utf-8"?>
<formControlPr xmlns="http://schemas.microsoft.com/office/spreadsheetml/2009/9/main" objectType="CheckBox" fmlaLink="$U$20" lockText="1"/>
</file>

<file path=xl/ctrlProps/ctrlProp84.xml><?xml version="1.0" encoding="utf-8"?>
<formControlPr xmlns="http://schemas.microsoft.com/office/spreadsheetml/2009/9/main" objectType="CheckBox" fmlaLink="$Y$20" lockText="1"/>
</file>

<file path=xl/ctrlProps/ctrlProp85.xml><?xml version="1.0" encoding="utf-8"?>
<formControlPr xmlns="http://schemas.microsoft.com/office/spreadsheetml/2009/9/main" objectType="CheckBox" checked="Checked" fmlaLink="$AB$19" lockText="1" noThreeD="1"/>
</file>

<file path=xl/ctrlProps/ctrlProp86.xml><?xml version="1.0" encoding="utf-8"?>
<formControlPr xmlns="http://schemas.microsoft.com/office/spreadsheetml/2009/9/main" objectType="CheckBox" fmlaLink="$U$21" lockText="1"/>
</file>

<file path=xl/ctrlProps/ctrlProp87.xml><?xml version="1.0" encoding="utf-8"?>
<formControlPr xmlns="http://schemas.microsoft.com/office/spreadsheetml/2009/9/main" objectType="CheckBox" fmlaLink="$Y$21" lockText="1"/>
</file>

<file path=xl/ctrlProps/ctrlProp88.xml><?xml version="1.0" encoding="utf-8"?>
<formControlPr xmlns="http://schemas.microsoft.com/office/spreadsheetml/2009/9/main" objectType="CheckBox" fmlaLink="AB21" lockText="1"/>
</file>

<file path=xl/ctrlProps/ctrlProp89.xml><?xml version="1.0" encoding="utf-8"?>
<formControlPr xmlns="http://schemas.microsoft.com/office/spreadsheetml/2009/9/main" objectType="CheckBox" checked="Checked" fmlaLink="$AB$19" lockText="1" noThreeD="1"/>
</file>

<file path=xl/ctrlProps/ctrlProp90.xml><?xml version="1.0" encoding="utf-8"?>
<formControlPr xmlns="http://schemas.microsoft.com/office/spreadsheetml/2009/9/main" objectType="CheckBox" fmlaLink="$U$22" lockText="1"/>
</file>

<file path=xl/ctrlProps/ctrlProp91.xml><?xml version="1.0" encoding="utf-8"?>
<formControlPr xmlns="http://schemas.microsoft.com/office/spreadsheetml/2009/9/main" objectType="CheckBox" fmlaLink="$Y$22" lockText="1"/>
</file>

<file path=xl/ctrlProps/ctrlProp92.xml><?xml version="1.0" encoding="utf-8"?>
<formControlPr xmlns="http://schemas.microsoft.com/office/spreadsheetml/2009/9/main" objectType="CheckBox" fmlaLink="AB22" lockText="1"/>
</file>

<file path=xl/ctrlProps/ctrlProp93.xml><?xml version="1.0" encoding="utf-8"?>
<formControlPr xmlns="http://schemas.microsoft.com/office/spreadsheetml/2009/9/main" objectType="CheckBox" checked="Checked" fmlaLink="$AB$19" lockText="1" noThreeD="1"/>
</file>

<file path=xl/ctrlProps/ctrlProp94.xml><?xml version="1.0" encoding="utf-8"?>
<formControlPr xmlns="http://schemas.microsoft.com/office/spreadsheetml/2009/9/main" objectType="CheckBox" fmlaLink="$U$23" lockText="1"/>
</file>

<file path=xl/ctrlProps/ctrlProp95.xml><?xml version="1.0" encoding="utf-8"?>
<formControlPr xmlns="http://schemas.microsoft.com/office/spreadsheetml/2009/9/main" objectType="CheckBox" fmlaLink="$Y$23" lockText="1"/>
</file>

<file path=xl/ctrlProps/ctrlProp96.xml><?xml version="1.0" encoding="utf-8"?>
<formControlPr xmlns="http://schemas.microsoft.com/office/spreadsheetml/2009/9/main" objectType="CheckBox" fmlaLink="AB23" lockText="1"/>
</file>

<file path=xl/ctrlProps/ctrlProp97.xml><?xml version="1.0" encoding="utf-8"?>
<formControlPr xmlns="http://schemas.microsoft.com/office/spreadsheetml/2009/9/main" objectType="CheckBox" checked="Checked" fmlaLink="$AB$19" lockText="1" noThreeD="1"/>
</file>

<file path=xl/ctrlProps/ctrlProp98.xml><?xml version="1.0" encoding="utf-8"?>
<formControlPr xmlns="http://schemas.microsoft.com/office/spreadsheetml/2009/9/main" objectType="CheckBox" fmlaLink="$U$24" lockText="1"/>
</file>

<file path=xl/ctrlProps/ctrlProp99.xml><?xml version="1.0" encoding="utf-8"?>
<formControlPr xmlns="http://schemas.microsoft.com/office/spreadsheetml/2009/9/main" objectType="CheckBox" fmlaLink="$Y$24" lockText="1"/>
</file>

<file path=xl/ctrlProps/ctrlProp100.xml><?xml version="1.0" encoding="utf-8"?>
<formControlPr xmlns="http://schemas.microsoft.com/office/spreadsheetml/2009/9/main" objectType="CheckBox" fmlaLink="AB24" lockText="1"/>
</file>

<file path=xl/ctrlProps/ctrlProp101.xml><?xml version="1.0" encoding="utf-8"?>
<formControlPr xmlns="http://schemas.microsoft.com/office/spreadsheetml/2009/9/main" objectType="CheckBox" checked="Checked" fmlaLink="$U$13" lockText="1"/>
</file>

<file path=xl/ctrlProps/ctrlProp102.xml><?xml version="1.0" encoding="utf-8"?>
<formControlPr xmlns="http://schemas.microsoft.com/office/spreadsheetml/2009/9/main" objectType="CheckBox" checked="Checked" fmlaLink="$Y$13" lockText="1"/>
</file>

<file path=xl/ctrlProps/ctrlProp103.xml><?xml version="1.0" encoding="utf-8"?>
<formControlPr xmlns="http://schemas.microsoft.com/office/spreadsheetml/2009/9/main" objectType="CheckBox" checked="Checked" fmlaLink="$AB$13" lockText="1"/>
</file>

<file path=xl/ctrlProps/ctrlProp104.xml><?xml version="1.0" encoding="utf-8"?>
<formControlPr xmlns="http://schemas.microsoft.com/office/spreadsheetml/2009/9/main" objectType="CheckBox" fmlaLink="$S$13" lockText="1"/>
</file>

<file path=xl/ctrlProps/ctrlProp105.xml><?xml version="1.0" encoding="utf-8"?>
<formControlPr xmlns="http://schemas.microsoft.com/office/spreadsheetml/2009/9/main" objectType="CheckBox" fmlaLink="$X$30" lockText="1"/>
</file>

<file path=xl/ctrlProps/ctrlProp106.xml><?xml version="1.0" encoding="utf-8"?>
<formControlPr xmlns="http://schemas.microsoft.com/office/spreadsheetml/2009/9/main" objectType="CheckBox" fmlaLink="AB20" lockText="1"/>
</file>

<file path=xl/ctrlProps/ctrlProp107.xml><?xml version="1.0" encoding="utf-8"?>
<formControlPr xmlns="http://schemas.microsoft.com/office/spreadsheetml/2009/9/main" objectType="CheckBox" fmlaLink="$X$32" lockText="1"/>
</file>

<file path=xl/ctrlProps/ctrlProp108.xml><?xml version="1.0" encoding="utf-8"?>
<formControlPr xmlns="http://schemas.microsoft.com/office/spreadsheetml/2009/9/main" objectType="CheckBox" fmlaLink="$S$32" lockText="1"/>
</file>

<file path=xl/ctrlProps/ctrlProp109.xml><?xml version="1.0" encoding="utf-8"?>
<formControlPr xmlns="http://schemas.microsoft.com/office/spreadsheetml/2009/9/main" objectType="CheckBox" checked="Checked" fmlaLink="$U$8" lockText="1"/>
</file>

<file path=xl/ctrlProps/ctrlProp110.xml><?xml version="1.0" encoding="utf-8"?>
<formControlPr xmlns="http://schemas.microsoft.com/office/spreadsheetml/2009/9/main" objectType="CheckBox" checked="Checked" fmlaLink="$U$9" lockText="1"/>
</file>

<file path=xl/ctrlProps/ctrlProp111.xml><?xml version="1.0" encoding="utf-8"?>
<formControlPr xmlns="http://schemas.microsoft.com/office/spreadsheetml/2009/9/main" objectType="CheckBox" checked="Checked" fmlaLink="$Y$9" lockText="1"/>
</file>

<file path=xl/ctrlProps/ctrlProp112.xml><?xml version="1.0" encoding="utf-8"?>
<formControlPr xmlns="http://schemas.microsoft.com/office/spreadsheetml/2009/9/main" objectType="CheckBox" checked="Checked" fmlaLink="$AB$9" lockText="1"/>
</file>

<file path=xl/ctrlProps/ctrlProp113.xml><?xml version="1.0" encoding="utf-8"?>
<formControlPr xmlns="http://schemas.microsoft.com/office/spreadsheetml/2009/9/main" objectType="CheckBox" checked="Checked" fmlaLink="$Y$8" lockText="1"/>
</file>

<file path=xl/ctrlProps/ctrlProp114.xml><?xml version="1.0" encoding="utf-8"?>
<formControlPr xmlns="http://schemas.microsoft.com/office/spreadsheetml/2009/9/main" objectType="CheckBox" checked="Checked" fmlaLink="$AB$8" lockText="1"/>
</file>

<file path=xl/ctrlProps/ctrlProp115.xml><?xml version="1.0" encoding="utf-8"?>
<formControlPr xmlns="http://schemas.microsoft.com/office/spreadsheetml/2009/9/main" objectType="CheckBox" checked="Checked" fmlaLink="$U$10" lockText="1"/>
</file>

<file path=xl/ctrlProps/ctrlProp116.xml><?xml version="1.0" encoding="utf-8"?>
<formControlPr xmlns="http://schemas.microsoft.com/office/spreadsheetml/2009/9/main" objectType="CheckBox" checked="Checked" fmlaLink="$Y$10" lockText="1"/>
</file>

<file path=xl/ctrlProps/ctrlProp117.xml><?xml version="1.0" encoding="utf-8"?>
<formControlPr xmlns="http://schemas.microsoft.com/office/spreadsheetml/2009/9/main" objectType="CheckBox" checked="Checked" fmlaLink="$U$11" lockText="1"/>
</file>

<file path=xl/ctrlProps/ctrlProp118.xml><?xml version="1.0" encoding="utf-8"?>
<formControlPr xmlns="http://schemas.microsoft.com/office/spreadsheetml/2009/9/main" objectType="CheckBox" checked="Checked" fmlaLink="$Y$11" lockText="1"/>
</file>

<file path=xl/ctrlProps/ctrlProp119.xml><?xml version="1.0" encoding="utf-8"?>
<formControlPr xmlns="http://schemas.microsoft.com/office/spreadsheetml/2009/9/main" objectType="CheckBox" checked="Checked" fmlaLink="$U$12" lockText="1"/>
</file>

<file path=xl/ctrlProps/ctrlProp120.xml><?xml version="1.0" encoding="utf-8"?>
<formControlPr xmlns="http://schemas.microsoft.com/office/spreadsheetml/2009/9/main" objectType="CheckBox" checked="Checked" fmlaLink="$Y$12" lockText="1"/>
</file>

<file path=xl/ctrlProps/ctrlProp121.xml><?xml version="1.0" encoding="utf-8"?>
<formControlPr xmlns="http://schemas.microsoft.com/office/spreadsheetml/2009/9/main" objectType="CheckBox" checked="Checked" fmlaLink="$U$14" lockText="1"/>
</file>

<file path=xl/ctrlProps/ctrlProp122.xml><?xml version="1.0" encoding="utf-8"?>
<formControlPr xmlns="http://schemas.microsoft.com/office/spreadsheetml/2009/9/main" objectType="CheckBox" checked="Checked" fmlaLink="$Y$14" lockText="1"/>
</file>

<file path=xl/ctrlProps/ctrlProp123.xml><?xml version="1.0" encoding="utf-8"?>
<formControlPr xmlns="http://schemas.microsoft.com/office/spreadsheetml/2009/9/main" objectType="CheckBox" checked="Checked" fmlaLink="$AB$10" lockText="1"/>
</file>

<file path=xl/ctrlProps/ctrlProp124.xml><?xml version="1.0" encoding="utf-8"?>
<formControlPr xmlns="http://schemas.microsoft.com/office/spreadsheetml/2009/9/main" objectType="CheckBox" fmlaLink="$AB$11" lockText="1"/>
</file>

<file path=xl/ctrlProps/ctrlProp125.xml><?xml version="1.0" encoding="utf-8"?>
<formControlPr xmlns="http://schemas.microsoft.com/office/spreadsheetml/2009/9/main" objectType="CheckBox" checked="Checked" fmlaLink="$AB$12" lockText="1"/>
</file>

<file path=xl/ctrlProps/ctrlProp126.xml><?xml version="1.0" encoding="utf-8"?>
<formControlPr xmlns="http://schemas.microsoft.com/office/spreadsheetml/2009/9/main" objectType="CheckBox" checked="Checked" fmlaLink="$AB$14" lockText="1"/>
</file>

<file path=xl/ctrlProps/ctrlProp127.xml><?xml version="1.0" encoding="utf-8"?>
<formControlPr xmlns="http://schemas.microsoft.com/office/spreadsheetml/2009/9/main" objectType="CheckBox" checked="Checked" fmlaLink="$U$19" lockText="1"/>
</file>

<file path=xl/ctrlProps/ctrlProp128.xml><?xml version="1.0" encoding="utf-8"?>
<formControlPr xmlns="http://schemas.microsoft.com/office/spreadsheetml/2009/9/main" objectType="CheckBox" checked="Checked" fmlaLink="$Y$19" lockText="1"/>
</file>

<file path=xl/ctrlProps/ctrlProp129.xml><?xml version="1.0" encoding="utf-8"?>
<formControlPr xmlns="http://schemas.microsoft.com/office/spreadsheetml/2009/9/main" objectType="CheckBox" checked="Checked" fmlaLink="$AB$19" lockText="1" noThreeD="1"/>
</file>

<file path=xl/ctrlProps/ctrlProp130.xml><?xml version="1.0" encoding="utf-8"?>
<formControlPr xmlns="http://schemas.microsoft.com/office/spreadsheetml/2009/9/main" objectType="CheckBox" fmlaLink="$U$15" lockText="1"/>
</file>

<file path=xl/ctrlProps/ctrlProp131.xml><?xml version="1.0" encoding="utf-8"?>
<formControlPr xmlns="http://schemas.microsoft.com/office/spreadsheetml/2009/9/main" objectType="CheckBox" fmlaLink="$U$17" lockText="1"/>
</file>

<file path=xl/ctrlProps/ctrlProp132.xml><?xml version="1.0" encoding="utf-8"?>
<formControlPr xmlns="http://schemas.microsoft.com/office/spreadsheetml/2009/9/main" objectType="CheckBox" fmlaLink="$Y$15" lockText="1"/>
</file>

<file path=xl/ctrlProps/ctrlProp133.xml><?xml version="1.0" encoding="utf-8"?>
<formControlPr xmlns="http://schemas.microsoft.com/office/spreadsheetml/2009/9/main" objectType="CheckBox" fmlaLink="AB15" lockText="1"/>
</file>

<file path=xl/ctrlProps/ctrlProp134.xml><?xml version="1.0" encoding="utf-8"?>
<formControlPr xmlns="http://schemas.microsoft.com/office/spreadsheetml/2009/9/main" objectType="CheckBox" checked="Checked" fmlaLink="$Y$17" lockText="1"/>
</file>

<file path=xl/ctrlProps/ctrlProp135.xml><?xml version="1.0" encoding="utf-8"?>
<formControlPr xmlns="http://schemas.microsoft.com/office/spreadsheetml/2009/9/main" objectType="CheckBox" fmlaLink="$AB$17" lockText="1" noThreeD="1"/>
</file>

<file path=xl/ctrlProps/ctrlProp136.xml><?xml version="1.0" encoding="utf-8"?>
<formControlPr xmlns="http://schemas.microsoft.com/office/spreadsheetml/2009/9/main" objectType="CheckBox" checked="Checked" fmlaLink="$Y$18" lockText="1"/>
</file>

<file path=xl/ctrlProps/ctrlProp137.xml><?xml version="1.0" encoding="utf-8"?>
<formControlPr xmlns="http://schemas.microsoft.com/office/spreadsheetml/2009/9/main" objectType="CheckBox" fmlaLink="$AB$17" lockText="1"/>
</file>

<file path=xl/ctrlProps/ctrlProp138.xml><?xml version="1.0" encoding="utf-8"?>
<formControlPr xmlns="http://schemas.microsoft.com/office/spreadsheetml/2009/9/main" objectType="CheckBox" checked="Checked" fmlaLink="$AB$19" lockText="1"/>
</file>

<file path=xl/ctrlProps/ctrlProp139.xml><?xml version="1.0" encoding="utf-8"?>
<formControlPr xmlns="http://schemas.microsoft.com/office/spreadsheetml/2009/9/main" objectType="CheckBox" fmlaLink="$U$30" lockText="1"/>
</file>

<file path=xl/ctrlProps/ctrlProp140.xml><?xml version="1.0" encoding="utf-8"?>
<formControlPr xmlns="http://schemas.microsoft.com/office/spreadsheetml/2009/9/main" objectType="CheckBox" checked="Checked" fmlaLink="$S$8" lockText="1"/>
</file>

<file path=xl/ctrlProps/ctrlProp141.xml><?xml version="1.0" encoding="utf-8"?>
<formControlPr xmlns="http://schemas.microsoft.com/office/spreadsheetml/2009/9/main" objectType="CheckBox" fmlaLink="$S$9" lockText="1"/>
</file>

<file path=xl/ctrlProps/ctrlProp142.xml><?xml version="1.0" encoding="utf-8"?>
<formControlPr xmlns="http://schemas.microsoft.com/office/spreadsheetml/2009/9/main" objectType="CheckBox" fmlaLink="$S$10" lockText="1"/>
</file>

<file path=xl/ctrlProps/ctrlProp143.xml><?xml version="1.0" encoding="utf-8"?>
<formControlPr xmlns="http://schemas.microsoft.com/office/spreadsheetml/2009/9/main" objectType="CheckBox" fmlaLink="$S$12" lockText="1"/>
</file>

<file path=xl/ctrlProps/ctrlProp144.xml><?xml version="1.0" encoding="utf-8"?>
<formControlPr xmlns="http://schemas.microsoft.com/office/spreadsheetml/2009/9/main" objectType="CheckBox" checked="Checked" fmlaLink="$AB$19" lockText="1" noThreeD="1"/>
</file>

<file path=xl/ctrlProps/ctrlProp145.xml><?xml version="1.0" encoding="utf-8"?>
<formControlPr xmlns="http://schemas.microsoft.com/office/spreadsheetml/2009/9/main" objectType="CheckBox" checked="Checked" fmlaLink="$U$25" lockText="1"/>
</file>

<file path=xl/ctrlProps/ctrlProp146.xml><?xml version="1.0" encoding="utf-8"?>
<formControlPr xmlns="http://schemas.microsoft.com/office/spreadsheetml/2009/9/main" objectType="CheckBox" checked="Checked" fmlaLink="$Y$25" lockText="1"/>
</file>

<file path=xl/ctrlProps/ctrlProp147.xml><?xml version="1.0" encoding="utf-8"?>
<formControlPr xmlns="http://schemas.microsoft.com/office/spreadsheetml/2009/9/main" objectType="CheckBox" checked="Checked" fmlaLink="AB25" lockText="1"/>
</file>

<file path=xl/ctrlProps/ctrlProp148.xml><?xml version="1.0" encoding="utf-8"?>
<formControlPr xmlns="http://schemas.microsoft.com/office/spreadsheetml/2009/9/main" objectType="CheckBox" checked="Checked" fmlaLink="$AB$19" lockText="1" noThreeD="1"/>
</file>

<file path=xl/ctrlProps/ctrlProp149.xml><?xml version="1.0" encoding="utf-8"?>
<formControlPr xmlns="http://schemas.microsoft.com/office/spreadsheetml/2009/9/main" objectType="CheckBox" checked="Checked" fmlaLink="$U$26" lockText="1"/>
</file>

<file path=xl/ctrlProps/ctrlProp150.xml><?xml version="1.0" encoding="utf-8"?>
<formControlPr xmlns="http://schemas.microsoft.com/office/spreadsheetml/2009/9/main" objectType="CheckBox" checked="Checked" fmlaLink="$Y$26" lockText="1"/>
</file>

<file path=xl/ctrlProps/ctrlProp151.xml><?xml version="1.0" encoding="utf-8"?>
<formControlPr xmlns="http://schemas.microsoft.com/office/spreadsheetml/2009/9/main" objectType="CheckBox" checked="Checked" fmlaLink="AB26" lockText="1"/>
</file>

<file path=xl/ctrlProps/ctrlProp152.xml><?xml version="1.0" encoding="utf-8"?>
<formControlPr xmlns="http://schemas.microsoft.com/office/spreadsheetml/2009/9/main" objectType="CheckBox" checked="Checked" fmlaLink="$AB$19" lockText="1" noThreeD="1"/>
</file>

<file path=xl/ctrlProps/ctrlProp153.xml><?xml version="1.0" encoding="utf-8"?>
<formControlPr xmlns="http://schemas.microsoft.com/office/spreadsheetml/2009/9/main" objectType="CheckBox" checked="Checked" fmlaLink="AB27" lockText="1"/>
</file>

<file path=xl/ctrlProps/ctrlProp154.xml><?xml version="1.0" encoding="utf-8"?>
<formControlPr xmlns="http://schemas.microsoft.com/office/spreadsheetml/2009/9/main" objectType="CheckBox" checked="Checked" fmlaLink="$U$20" lockText="1"/>
</file>

<file path=xl/ctrlProps/ctrlProp155.xml><?xml version="1.0" encoding="utf-8"?>
<formControlPr xmlns="http://schemas.microsoft.com/office/spreadsheetml/2009/9/main" objectType="CheckBox" checked="Checked" fmlaLink="$Y$20" lockText="1"/>
</file>

<file path=xl/ctrlProps/ctrlProp156.xml><?xml version="1.0" encoding="utf-8"?>
<formControlPr xmlns="http://schemas.microsoft.com/office/spreadsheetml/2009/9/main" objectType="CheckBox" checked="Checked" fmlaLink="$AB$19" lockText="1" noThreeD="1"/>
</file>

<file path=xl/ctrlProps/ctrlProp157.xml><?xml version="1.0" encoding="utf-8"?>
<formControlPr xmlns="http://schemas.microsoft.com/office/spreadsheetml/2009/9/main" objectType="CheckBox" checked="Checked" fmlaLink="$U$21" lockText="1"/>
</file>

<file path=xl/ctrlProps/ctrlProp158.xml><?xml version="1.0" encoding="utf-8"?>
<formControlPr xmlns="http://schemas.microsoft.com/office/spreadsheetml/2009/9/main" objectType="CheckBox" checked="Checked" fmlaLink="$Y$21" lockText="1"/>
</file>

<file path=xl/ctrlProps/ctrlProp159.xml><?xml version="1.0" encoding="utf-8"?>
<formControlPr xmlns="http://schemas.microsoft.com/office/spreadsheetml/2009/9/main" objectType="CheckBox" checked="Checked" fmlaLink="AB21" lockText="1"/>
</file>

<file path=xl/ctrlProps/ctrlProp160.xml><?xml version="1.0" encoding="utf-8"?>
<formControlPr xmlns="http://schemas.microsoft.com/office/spreadsheetml/2009/9/main" objectType="CheckBox" checked="Checked" fmlaLink="$AB$19" lockText="1" noThreeD="1"/>
</file>

<file path=xl/ctrlProps/ctrlProp161.xml><?xml version="1.0" encoding="utf-8"?>
<formControlPr xmlns="http://schemas.microsoft.com/office/spreadsheetml/2009/9/main" objectType="CheckBox" checked="Checked" fmlaLink="$U$22" lockText="1"/>
</file>

<file path=xl/ctrlProps/ctrlProp162.xml><?xml version="1.0" encoding="utf-8"?>
<formControlPr xmlns="http://schemas.microsoft.com/office/spreadsheetml/2009/9/main" objectType="CheckBox" checked="Checked" fmlaLink="$Y$22" lockText="1"/>
</file>

<file path=xl/ctrlProps/ctrlProp163.xml><?xml version="1.0" encoding="utf-8"?>
<formControlPr xmlns="http://schemas.microsoft.com/office/spreadsheetml/2009/9/main" objectType="CheckBox" checked="Checked" fmlaLink="AB22" lockText="1"/>
</file>

<file path=xl/ctrlProps/ctrlProp164.xml><?xml version="1.0" encoding="utf-8"?>
<formControlPr xmlns="http://schemas.microsoft.com/office/spreadsheetml/2009/9/main" objectType="CheckBox" checked="Checked" fmlaLink="$AB$19" lockText="1" noThreeD="1"/>
</file>

<file path=xl/ctrlProps/ctrlProp165.xml><?xml version="1.0" encoding="utf-8"?>
<formControlPr xmlns="http://schemas.microsoft.com/office/spreadsheetml/2009/9/main" objectType="CheckBox" checked="Checked" fmlaLink="$U$23" lockText="1"/>
</file>

<file path=xl/ctrlProps/ctrlProp166.xml><?xml version="1.0" encoding="utf-8"?>
<formControlPr xmlns="http://schemas.microsoft.com/office/spreadsheetml/2009/9/main" objectType="CheckBox" checked="Checked" fmlaLink="$Y$23" lockText="1"/>
</file>

<file path=xl/ctrlProps/ctrlProp167.xml><?xml version="1.0" encoding="utf-8"?>
<formControlPr xmlns="http://schemas.microsoft.com/office/spreadsheetml/2009/9/main" objectType="CheckBox" checked="Checked" fmlaLink="AB23" lockText="1"/>
</file>

<file path=xl/ctrlProps/ctrlProp168.xml><?xml version="1.0" encoding="utf-8"?>
<formControlPr xmlns="http://schemas.microsoft.com/office/spreadsheetml/2009/9/main" objectType="CheckBox" checked="Checked" fmlaLink="$AB$19" lockText="1" noThreeD="1"/>
</file>

<file path=xl/ctrlProps/ctrlProp169.xml><?xml version="1.0" encoding="utf-8"?>
<formControlPr xmlns="http://schemas.microsoft.com/office/spreadsheetml/2009/9/main" objectType="CheckBox" checked="Checked" fmlaLink="$U$24" lockText="1"/>
</file>

<file path=xl/ctrlProps/ctrlProp170.xml><?xml version="1.0" encoding="utf-8"?>
<formControlPr xmlns="http://schemas.microsoft.com/office/spreadsheetml/2009/9/main" objectType="CheckBox" checked="Checked" fmlaLink="$Y$24" lockText="1"/>
</file>

<file path=xl/ctrlProps/ctrlProp171.xml><?xml version="1.0" encoding="utf-8"?>
<formControlPr xmlns="http://schemas.microsoft.com/office/spreadsheetml/2009/9/main" objectType="CheckBox" checked="Checked" fmlaLink="AB24" lockText="1"/>
</file>

<file path=xl/ctrlProps/ctrlProp172.xml><?xml version="1.0" encoding="utf-8"?>
<formControlPr xmlns="http://schemas.microsoft.com/office/spreadsheetml/2009/9/main" objectType="CheckBox" checked="Checked" fmlaLink="$U$13" lockText="1"/>
</file>

<file path=xl/ctrlProps/ctrlProp173.xml><?xml version="1.0" encoding="utf-8"?>
<formControlPr xmlns="http://schemas.microsoft.com/office/spreadsheetml/2009/9/main" objectType="CheckBox" checked="Checked" fmlaLink="$Y$13" lockText="1"/>
</file>

<file path=xl/ctrlProps/ctrlProp174.xml><?xml version="1.0" encoding="utf-8"?>
<formControlPr xmlns="http://schemas.microsoft.com/office/spreadsheetml/2009/9/main" objectType="CheckBox" checked="Checked" fmlaLink="$AB$13" lockText="1"/>
</file>

<file path=xl/ctrlProps/ctrlProp175.xml><?xml version="1.0" encoding="utf-8"?>
<formControlPr xmlns="http://schemas.microsoft.com/office/spreadsheetml/2009/9/main" objectType="CheckBox" fmlaLink="$S$13" lockText="1"/>
</file>

<file path=xl/ctrlProps/ctrlProp176.xml><?xml version="1.0" encoding="utf-8"?>
<formControlPr xmlns="http://schemas.microsoft.com/office/spreadsheetml/2009/9/main" objectType="CheckBox" fmlaLink="$X$30" lockText="1"/>
</file>

<file path=xl/ctrlProps/ctrlProp177.xml><?xml version="1.0" encoding="utf-8"?>
<formControlPr xmlns="http://schemas.microsoft.com/office/spreadsheetml/2009/9/main" objectType="CheckBox" checked="Checked" fmlaLink="AB20" lockText="1"/>
</file>

<file path=xl/ctrlProps/ctrlProp178.xml><?xml version="1.0" encoding="utf-8"?>
<formControlPr xmlns="http://schemas.microsoft.com/office/spreadsheetml/2009/9/main" objectType="CheckBox" fmlaLink="$X$32" lockText="1"/>
</file>

<file path=xl/ctrlProps/ctrlProp179.xml><?xml version="1.0" encoding="utf-8"?>
<formControlPr xmlns="http://schemas.microsoft.com/office/spreadsheetml/2009/9/main" objectType="CheckBox" fmlaLink="$S$32"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7</xdr:col>
      <xdr:colOff>428625</xdr:colOff>
      <xdr:row>9</xdr:row>
      <xdr:rowOff>76200</xdr:rowOff>
    </xdr:to>
    <xdr:pic>
      <xdr:nvPicPr>
        <xdr:cNvPr id="2" name="Picture 8"/>
        <xdr:cNvPicPr>
          <a:picLocks noChangeAspect="1" noChangeArrowheads="1"/>
        </xdr:cNvPicPr>
      </xdr:nvPicPr>
      <xdr:blipFill>
        <a:blip xmlns:r="http://schemas.openxmlformats.org/officeDocument/2006/relationships" r:embed="rId1" cstate="print"/>
        <a:srcRect/>
        <a:stretch>
          <a:fillRect/>
        </a:stretch>
      </xdr:blipFill>
      <xdr:spPr bwMode="auto">
        <a:xfrm>
          <a:off x="0" y="190500"/>
          <a:ext cx="5762625" cy="1600200"/>
        </a:xfrm>
        <a:prstGeom prst="rect">
          <a:avLst/>
        </a:prstGeom>
        <a:noFill/>
        <a:ln w="1">
          <a:noFill/>
          <a:miter lim="800000"/>
          <a:headEnd/>
          <a:tailEnd/>
        </a:ln>
      </xdr:spPr>
    </xdr:pic>
    <xdr:clientData/>
  </xdr:twoCellAnchor>
  <xdr:twoCellAnchor>
    <xdr:from>
      <xdr:col>0</xdr:col>
      <xdr:colOff>19049</xdr:colOff>
      <xdr:row>10</xdr:row>
      <xdr:rowOff>57146</xdr:rowOff>
    </xdr:from>
    <xdr:to>
      <xdr:col>7</xdr:col>
      <xdr:colOff>409574</xdr:colOff>
      <xdr:row>65</xdr:row>
      <xdr:rowOff>47624</xdr:rowOff>
    </xdr:to>
    <xdr:sp macro="" textlink="">
      <xdr:nvSpPr>
        <xdr:cNvPr id="3" name="CaixaDeTexto 2"/>
        <xdr:cNvSpPr txBox="1"/>
      </xdr:nvSpPr>
      <xdr:spPr>
        <a:xfrm>
          <a:off x="19049" y="1704971"/>
          <a:ext cx="4657725" cy="8896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400" b="1"/>
            <a:t>Sistemas para contabilidade, gestão</a:t>
          </a:r>
          <a:r>
            <a:rPr lang="pt-BR" sz="1400" b="1" baseline="0"/>
            <a:t> e automação comercial ERP completo</a:t>
          </a:r>
          <a:r>
            <a:rPr lang="pt-BR" sz="1400" b="1"/>
            <a:t>:</a:t>
          </a:r>
        </a:p>
        <a:p>
          <a:endParaRPr lang="pt-BR" sz="1400" b="1"/>
        </a:p>
        <a:p>
          <a:pPr algn="ctr"/>
          <a:r>
            <a:rPr lang="pt-BR" sz="1400" b="1"/>
            <a:t>Sistema</a:t>
          </a:r>
          <a:r>
            <a:rPr lang="pt-BR" sz="1400" b="1" baseline="0"/>
            <a:t> de gestão e automação comercial:</a:t>
          </a:r>
          <a:endParaRPr lang="pt-BR" sz="1400" b="1"/>
        </a:p>
        <a:p>
          <a:endParaRPr lang="pt-BR" sz="1100"/>
        </a:p>
        <a:p>
          <a:r>
            <a:rPr lang="pt-BR" sz="1100"/>
            <a:t>* NF-e.</a:t>
          </a:r>
        </a:p>
        <a:p>
          <a:r>
            <a:rPr lang="pt-BR" sz="1100"/>
            <a:t>* CT-e.</a:t>
          </a:r>
        </a:p>
        <a:p>
          <a:r>
            <a:rPr lang="pt-BR" sz="1100"/>
            <a:t>* MFD-e.</a:t>
          </a:r>
        </a:p>
        <a:p>
          <a:r>
            <a:rPr lang="pt-BR" sz="1100"/>
            <a:t>* CF-e.</a:t>
          </a:r>
        </a:p>
        <a:p>
          <a:r>
            <a:rPr lang="pt-BR" sz="1100"/>
            <a:t>* NFS-e.</a:t>
          </a:r>
        </a:p>
        <a:p>
          <a:r>
            <a:rPr lang="pt-BR" sz="1100"/>
            <a:t>*</a:t>
          </a:r>
          <a:r>
            <a:rPr lang="pt-BR" sz="1100" baseline="0"/>
            <a:t> PAF-ECF.</a:t>
          </a:r>
        </a:p>
        <a:p>
          <a:r>
            <a:rPr lang="pt-BR" sz="1100" baseline="0"/>
            <a:t>* Frete de Loja.</a:t>
          </a:r>
          <a:endParaRPr lang="pt-BR" sz="1100"/>
        </a:p>
        <a:p>
          <a:r>
            <a:rPr lang="pt-BR" sz="1100"/>
            <a:t>*</a:t>
          </a:r>
          <a:r>
            <a:rPr lang="pt-BR" sz="1100" baseline="0"/>
            <a:t> Sintegra.</a:t>
          </a:r>
        </a:p>
        <a:p>
          <a:r>
            <a:rPr lang="pt-BR" sz="1100" baseline="0"/>
            <a:t>* SPED.</a:t>
          </a:r>
        </a:p>
        <a:p>
          <a:r>
            <a:rPr lang="pt-BR" sz="1100" baseline="0"/>
            <a:t>* Ordem de Produção.</a:t>
          </a:r>
        </a:p>
        <a:p>
          <a:r>
            <a:rPr lang="pt-BR" sz="1100" baseline="0"/>
            <a:t>* Ordem de Serviço.</a:t>
          </a:r>
        </a:p>
        <a:p>
          <a:r>
            <a:rPr lang="pt-BR" sz="1100" baseline="0"/>
            <a:t>* Faturamento/Financeiro.</a:t>
          </a:r>
        </a:p>
        <a:p>
          <a:r>
            <a:rPr lang="pt-BR" sz="1100" baseline="0"/>
            <a:t>* Controle de Estoque.</a:t>
          </a:r>
        </a:p>
        <a:p>
          <a:r>
            <a:rPr lang="pt-BR" sz="1100" baseline="0"/>
            <a:t>* Controle Bancário.</a:t>
          </a:r>
        </a:p>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dk1"/>
              </a:solidFill>
              <a:latin typeface="+mn-lt"/>
              <a:ea typeface="+mn-ea"/>
              <a:cs typeface="+mn-cs"/>
            </a:rPr>
            <a:t>* Sistemas 100% Web.</a:t>
          </a:r>
        </a:p>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dk1"/>
              </a:solidFill>
              <a:latin typeface="+mn-lt"/>
              <a:ea typeface="+mn-ea"/>
              <a:cs typeface="+mn-cs"/>
            </a:rPr>
            <a:t>* Integração com a contabilidade</a:t>
          </a:r>
          <a:r>
            <a:rPr lang="pt-BR" sz="1100" baseline="0">
              <a:solidFill>
                <a:schemeClr val="dk1"/>
              </a:solidFill>
              <a:latin typeface="+mn-lt"/>
              <a:ea typeface="+mn-ea"/>
              <a:cs typeface="+mn-cs"/>
            </a:rPr>
            <a:t> via internet.</a:t>
          </a:r>
          <a:endParaRPr lang="pt-BR" sz="110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pt-BR" sz="110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pt-BR" sz="1100">
            <a:solidFill>
              <a:schemeClr val="dk1"/>
            </a:solidFill>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pt-BR" sz="1400" b="1">
              <a:solidFill>
                <a:schemeClr val="dk1"/>
              </a:solidFill>
              <a:latin typeface="+mn-lt"/>
              <a:ea typeface="+mn-ea"/>
              <a:cs typeface="+mn-cs"/>
            </a:rPr>
            <a:t>Sistema Contábil:</a:t>
          </a:r>
        </a:p>
        <a:p>
          <a:pPr marL="0" marR="0" indent="0" defTabSz="914400" eaLnBrk="1" fontAlgn="auto" latinLnBrk="0" hangingPunct="1">
            <a:lnSpc>
              <a:spcPct val="100000"/>
            </a:lnSpc>
            <a:spcBef>
              <a:spcPts val="0"/>
            </a:spcBef>
            <a:spcAft>
              <a:spcPts val="0"/>
            </a:spcAft>
            <a:buClrTx/>
            <a:buSzTx/>
            <a:buFontTx/>
            <a:buNone/>
            <a:tabLst/>
            <a:defRPr/>
          </a:pPr>
          <a:endParaRPr lang="pt-BR"/>
        </a:p>
        <a:p>
          <a:r>
            <a:rPr lang="pt-BR" sz="1100" b="1" baseline="0"/>
            <a:t>* Folha de Pagamento.</a:t>
          </a:r>
        </a:p>
        <a:p>
          <a:r>
            <a:rPr lang="pt-BR" sz="1100" baseline="0"/>
            <a:t>* eSocial.</a:t>
          </a:r>
        </a:p>
        <a:p>
          <a:r>
            <a:rPr lang="pt-BR" sz="1100" b="1"/>
            <a:t>* Escrita Fiscal.</a:t>
          </a:r>
        </a:p>
        <a:p>
          <a:r>
            <a:rPr lang="pt-BR" sz="1100"/>
            <a:t>* SPED:</a:t>
          </a:r>
          <a:r>
            <a:rPr lang="pt-BR" sz="1100" baseline="0"/>
            <a:t> EFD Contribuições, EFD Fiscal.</a:t>
          </a:r>
          <a:endParaRPr lang="pt-BR" sz="1100"/>
        </a:p>
        <a:p>
          <a:r>
            <a:rPr lang="pt-BR" sz="1100" b="1"/>
            <a:t>* Contabilidade:</a:t>
          </a:r>
          <a:r>
            <a:rPr lang="pt-BR" sz="1100" b="1" baseline="0"/>
            <a:t> </a:t>
          </a:r>
          <a:r>
            <a:rPr lang="pt-BR" sz="1100" baseline="0"/>
            <a:t>Fiscal, Societária e Gerencial (Padrão IFRS).</a:t>
          </a:r>
          <a:endParaRPr lang="pt-BR" sz="1100"/>
        </a:p>
        <a:p>
          <a:r>
            <a:rPr lang="pt-BR" sz="1100"/>
            <a:t>* Controle</a:t>
          </a:r>
          <a:r>
            <a:rPr lang="pt-BR" sz="1100" baseline="0"/>
            <a:t> Patrimonial.</a:t>
          </a:r>
        </a:p>
        <a:p>
          <a:r>
            <a:rPr lang="pt-BR" sz="1100" baseline="0"/>
            <a:t>* SPED: ECF, ECD.</a:t>
          </a:r>
          <a:endParaRPr lang="pt-BR" sz="1100"/>
        </a:p>
        <a:p>
          <a:r>
            <a:rPr lang="pt-BR" sz="1100" b="1"/>
            <a:t>*</a:t>
          </a:r>
          <a:r>
            <a:rPr lang="pt-BR" sz="1100" b="1" baseline="0"/>
            <a:t> CRM: Relacionamento com o cliente, publicação de documentos via Internet.</a:t>
          </a:r>
        </a:p>
        <a:p>
          <a:r>
            <a:rPr lang="pt-BR" sz="1100" b="1" baseline="0"/>
            <a:t>* Controle de CND Web.</a:t>
          </a:r>
        </a:p>
        <a:p>
          <a:r>
            <a:rPr lang="pt-BR" sz="1100" baseline="0"/>
            <a:t>* Controle de Protocolos.</a:t>
          </a:r>
        </a:p>
        <a:p>
          <a:r>
            <a:rPr lang="pt-BR" sz="1100" baseline="0"/>
            <a:t>* Integração entre a contabilidade e a empresa (lançamentos contábeis automatizados).</a:t>
          </a:r>
        </a:p>
        <a:p>
          <a:endParaRPr lang="pt-BR" sz="1100" b="1" baseline="0"/>
        </a:p>
        <a:p>
          <a:r>
            <a:rPr lang="pt-BR" sz="1100" b="1" baseline="0"/>
            <a:t>Agende uma demonstração sem compromissão (nosso suporte fica em Vitória-ES):</a:t>
          </a:r>
        </a:p>
        <a:p>
          <a:endParaRPr lang="pt-BR" sz="1100"/>
        </a:p>
        <a:p>
          <a:r>
            <a:rPr lang="pt-BR" sz="1100" b="1"/>
            <a:t>(27) 3319-6493.</a:t>
          </a:r>
        </a:p>
        <a:p>
          <a:r>
            <a:rPr lang="pt-BR" sz="1100" b="1"/>
            <a:t>(27)</a:t>
          </a:r>
          <a:r>
            <a:rPr lang="pt-BR" sz="1100" b="1" baseline="0"/>
            <a:t> 99834-4700.</a:t>
          </a:r>
          <a:endParaRPr lang="pt-BR" sz="1100" b="1"/>
        </a:p>
        <a:p>
          <a:endParaRPr lang="pt-BR" sz="1100" b="1"/>
        </a:p>
        <a:p>
          <a:r>
            <a:rPr lang="pt-BR" sz="1100" b="1"/>
            <a:t>Rua Alberto de Oliveira Santos, 59, Ed. Ricamar, Sl</a:t>
          </a:r>
          <a:r>
            <a:rPr lang="pt-BR" sz="1100" b="1" baseline="0"/>
            <a:t> 806, Centro, Vitória-ES (Edifício da OAB-ES).</a:t>
          </a:r>
          <a:endParaRPr lang="pt-BR"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19050</xdr:colOff>
      <xdr:row>5</xdr:row>
      <xdr:rowOff>292674</xdr:rowOff>
    </xdr:from>
    <xdr:to>
      <xdr:col>20</xdr:col>
      <xdr:colOff>161925</xdr:colOff>
      <xdr:row>15</xdr:row>
      <xdr:rowOff>57150</xdr:rowOff>
    </xdr:to>
    <xdr:pic>
      <xdr:nvPicPr>
        <xdr:cNvPr id="2150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753225" y="473649"/>
          <a:ext cx="5019675" cy="1802826"/>
        </a:xfrm>
        <a:prstGeom prst="rect">
          <a:avLst/>
        </a:prstGeom>
        <a:noFill/>
        <a:ln w="1">
          <a:no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17</xdr:col>
      <xdr:colOff>152400</xdr:colOff>
      <xdr:row>19</xdr:row>
      <xdr:rowOff>221676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5600700" y="171450"/>
          <a:ext cx="5019675" cy="1802826"/>
        </a:xfrm>
        <a:prstGeom prst="rect">
          <a:avLst/>
        </a:prstGeom>
        <a:noFill/>
        <a:ln w="1">
          <a:noFill/>
          <a:miter lim="800000"/>
          <a:headEnd/>
          <a:tailEnd type="none" w="med" len="med"/>
        </a:ln>
        <a:effec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504825</xdr:colOff>
      <xdr:row>2</xdr:row>
      <xdr:rowOff>47625</xdr:rowOff>
    </xdr:from>
    <xdr:to>
      <xdr:col>5</xdr:col>
      <xdr:colOff>647700</xdr:colOff>
      <xdr:row>2</xdr:row>
      <xdr:rowOff>180975</xdr:rowOff>
    </xdr:to>
    <xdr:sp macro="" textlink="">
      <xdr:nvSpPr>
        <xdr:cNvPr id="12004" name="AutoShape 15"/>
        <xdr:cNvSpPr>
          <a:spLocks noChangeArrowheads="1"/>
        </xdr:cNvSpPr>
      </xdr:nvSpPr>
      <xdr:spPr bwMode="auto">
        <a:xfrm>
          <a:off x="3238500" y="333375"/>
          <a:ext cx="857250" cy="133350"/>
        </a:xfrm>
        <a:prstGeom prst="rightArrow">
          <a:avLst>
            <a:gd name="adj1" fmla="val 50000"/>
            <a:gd name="adj2" fmla="val 160714"/>
          </a:avLst>
        </a:prstGeom>
        <a:solidFill>
          <a:srgbClr val="FF6600"/>
        </a:solidFill>
        <a:ln w="9525">
          <a:solidFill>
            <a:srgbClr val="000000"/>
          </a:solidFill>
          <a:miter lim="800000"/>
          <a:headEnd/>
          <a:tailEnd/>
        </a:ln>
      </xdr:spPr>
    </xdr:sp>
    <xdr:clientData/>
  </xdr:twoCellAnchor>
  <xdr:twoCellAnchor>
    <xdr:from>
      <xdr:col>4</xdr:col>
      <xdr:colOff>485775</xdr:colOff>
      <xdr:row>3</xdr:row>
      <xdr:rowOff>38100</xdr:rowOff>
    </xdr:from>
    <xdr:to>
      <xdr:col>5</xdr:col>
      <xdr:colOff>628650</xdr:colOff>
      <xdr:row>3</xdr:row>
      <xdr:rowOff>171450</xdr:rowOff>
    </xdr:to>
    <xdr:sp macro="" textlink="">
      <xdr:nvSpPr>
        <xdr:cNvPr id="12005" name="AutoShape 16"/>
        <xdr:cNvSpPr>
          <a:spLocks noChangeArrowheads="1"/>
        </xdr:cNvSpPr>
      </xdr:nvSpPr>
      <xdr:spPr bwMode="auto">
        <a:xfrm>
          <a:off x="3219450" y="552450"/>
          <a:ext cx="857250" cy="133350"/>
        </a:xfrm>
        <a:prstGeom prst="rightArrow">
          <a:avLst>
            <a:gd name="adj1" fmla="val 50000"/>
            <a:gd name="adj2" fmla="val 160714"/>
          </a:avLst>
        </a:prstGeom>
        <a:solidFill>
          <a:srgbClr val="FF6600"/>
        </a:solidFill>
        <a:ln w="9525">
          <a:solidFill>
            <a:srgbClr val="000000"/>
          </a:solidFill>
          <a:miter lim="800000"/>
          <a:headEnd/>
          <a:tailEnd/>
        </a:ln>
      </xdr:spPr>
    </xdr:sp>
    <xdr:clientData/>
  </xdr:twoCellAnchor>
  <xdr:twoCellAnchor editAs="oneCell">
    <xdr:from>
      <xdr:col>29</xdr:col>
      <xdr:colOff>19050</xdr:colOff>
      <xdr:row>4</xdr:row>
      <xdr:rowOff>9525</xdr:rowOff>
    </xdr:from>
    <xdr:to>
      <xdr:col>37</xdr:col>
      <xdr:colOff>9525</xdr:colOff>
      <xdr:row>10</xdr:row>
      <xdr:rowOff>107376</xdr:rowOff>
    </xdr:to>
    <xdr:pic>
      <xdr:nvPicPr>
        <xdr:cNvPr id="4"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124700" y="742950"/>
          <a:ext cx="5019675" cy="1802826"/>
        </a:xfrm>
        <a:prstGeom prst="rect">
          <a:avLst/>
        </a:prstGeom>
        <a:noFill/>
        <a:ln w="1">
          <a:noFill/>
          <a:miter lim="800000"/>
          <a:headEnd/>
          <a:tailEnd type="none" w="med" len="med"/>
        </a:ln>
        <a:effec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26</xdr:col>
      <xdr:colOff>50800</xdr:colOff>
      <xdr:row>21</xdr:row>
      <xdr:rowOff>38100</xdr:rowOff>
    </xdr:from>
    <xdr:to>
      <xdr:col>36</xdr:col>
      <xdr:colOff>25400</xdr:colOff>
      <xdr:row>32</xdr:row>
      <xdr:rowOff>139700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9499600" y="4368800"/>
          <a:ext cx="6070600" cy="2324100"/>
        </a:xfrm>
        <a:prstGeom prst="rect">
          <a:avLst/>
        </a:prstGeom>
        <a:noFill/>
        <a:ln w="1">
          <a:noFill/>
          <a:miter lim="800000"/>
          <a:headEnd/>
          <a:tailEnd type="none" w="med" len="med"/>
        </a:ln>
        <a:effec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28575</xdr:colOff>
      <xdr:row>48</xdr:row>
      <xdr:rowOff>28575</xdr:rowOff>
    </xdr:from>
    <xdr:to>
      <xdr:col>23</xdr:col>
      <xdr:colOff>342900</xdr:colOff>
      <xdr:row>48</xdr:row>
      <xdr:rowOff>142875</xdr:rowOff>
    </xdr:to>
    <xdr:sp macro="" textlink="">
      <xdr:nvSpPr>
        <xdr:cNvPr id="16106" name="AutoShape 78"/>
        <xdr:cNvSpPr>
          <a:spLocks noChangeArrowheads="1"/>
        </xdr:cNvSpPr>
      </xdr:nvSpPr>
      <xdr:spPr bwMode="auto">
        <a:xfrm>
          <a:off x="4343400" y="7867650"/>
          <a:ext cx="971550" cy="114300"/>
        </a:xfrm>
        <a:prstGeom prst="rightArrow">
          <a:avLst>
            <a:gd name="adj1" fmla="val 50000"/>
            <a:gd name="adj2" fmla="val 212500"/>
          </a:avLst>
        </a:prstGeom>
        <a:solidFill>
          <a:srgbClr val="000000"/>
        </a:solidFill>
        <a:ln w="9525">
          <a:solidFill>
            <a:srgbClr val="000000"/>
          </a:solidFill>
          <a:miter lim="800000"/>
          <a:headEnd/>
          <a:tailEnd/>
        </a:ln>
      </xdr:spPr>
    </xdr:sp>
    <xdr:clientData/>
  </xdr:twoCellAnchor>
  <xdr:twoCellAnchor editAs="oneCell">
    <xdr:from>
      <xdr:col>36</xdr:col>
      <xdr:colOff>19051</xdr:colOff>
      <xdr:row>0</xdr:row>
      <xdr:rowOff>0</xdr:rowOff>
    </xdr:from>
    <xdr:to>
      <xdr:col>43</xdr:col>
      <xdr:colOff>438151</xdr:colOff>
      <xdr:row>11</xdr:row>
      <xdr:rowOff>88326</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458076" y="0"/>
          <a:ext cx="4686300" cy="1802826"/>
        </a:xfrm>
        <a:prstGeom prst="rect">
          <a:avLst/>
        </a:prstGeom>
        <a:noFill/>
        <a:ln w="1">
          <a:noFill/>
          <a:miter lim="800000"/>
          <a:headEnd/>
          <a:tailEnd type="none" w="med" len="med"/>
        </a:ln>
        <a:effec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36</xdr:col>
      <xdr:colOff>8284</xdr:colOff>
      <xdr:row>0</xdr:row>
      <xdr:rowOff>82827</xdr:rowOff>
    </xdr:from>
    <xdr:to>
      <xdr:col>42</xdr:col>
      <xdr:colOff>289893</xdr:colOff>
      <xdr:row>13</xdr:row>
      <xdr:rowOff>22066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7040219" y="82827"/>
          <a:ext cx="3669196" cy="1802826"/>
        </a:xfrm>
        <a:prstGeom prst="rect">
          <a:avLst/>
        </a:prstGeom>
        <a:noFill/>
        <a:ln w="1">
          <a:noFill/>
          <a:miter lim="800000"/>
          <a:headEnd/>
          <a:tailEnd type="none" w="med" len="med"/>
        </a:ln>
        <a:effec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34</xdr:col>
      <xdr:colOff>19050</xdr:colOff>
      <xdr:row>8</xdr:row>
      <xdr:rowOff>133350</xdr:rowOff>
    </xdr:from>
    <xdr:to>
      <xdr:col>37</xdr:col>
      <xdr:colOff>133350</xdr:colOff>
      <xdr:row>13</xdr:row>
      <xdr:rowOff>85725</xdr:rowOff>
    </xdr:to>
    <xdr:sp macro="" textlink="">
      <xdr:nvSpPr>
        <xdr:cNvPr id="16562" name="Line 24"/>
        <xdr:cNvSpPr>
          <a:spLocks noChangeShapeType="1"/>
        </xdr:cNvSpPr>
      </xdr:nvSpPr>
      <xdr:spPr bwMode="auto">
        <a:xfrm flipV="1">
          <a:off x="9439275" y="1685925"/>
          <a:ext cx="0" cy="1047750"/>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pt-B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34</xdr:col>
      <xdr:colOff>19050</xdr:colOff>
      <xdr:row>8</xdr:row>
      <xdr:rowOff>133350</xdr:rowOff>
    </xdr:from>
    <xdr:to>
      <xdr:col>37</xdr:col>
      <xdr:colOff>133350</xdr:colOff>
      <xdr:row>13</xdr:row>
      <xdr:rowOff>85725</xdr:rowOff>
    </xdr:to>
    <xdr:sp macro="" textlink="">
      <xdr:nvSpPr>
        <xdr:cNvPr id="18604" name="Line 24"/>
        <xdr:cNvSpPr>
          <a:spLocks noChangeShapeType="1"/>
        </xdr:cNvSpPr>
      </xdr:nvSpPr>
      <xdr:spPr bwMode="auto">
        <a:xfrm flipV="1">
          <a:off x="9344025" y="1847850"/>
          <a:ext cx="0" cy="1047750"/>
        </a:xfrm>
        <a:prstGeom prst="line">
          <a:avLst/>
        </a:prstGeom>
        <a:noFill/>
        <a:ln w="9525">
          <a:solidFill>
            <a:srgbClr val="000000"/>
          </a:solidFill>
          <a:round/>
          <a:headEnd/>
          <a:tailEnd type="triangle" w="med" len="med"/>
        </a:ln>
        <a:effectLst>
          <a:outerShdw dist="35921" dir="2700000" algn="ctr" rotWithShape="0">
            <a:srgbClr val="000000"/>
          </a:outerShdw>
        </a:effectLst>
      </xdr:spPr>
      <xdr:txBody>
        <a:bodyPr/>
        <a:lstStyle/>
        <a:p>
          <a:endParaRPr lang="pt-B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angelo.tonon@ig.com.br"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4.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33" Type="http://schemas.openxmlformats.org/officeDocument/2006/relationships/ctrlProp" Target="../ctrlProps/ctrlProp5.xml"/><Relationship Id="rId2" Type="http://schemas.openxmlformats.org/officeDocument/2006/relationships/drawing" Target="../drawings/drawing4.xml"/><Relationship Id="rId16" Type="http://schemas.openxmlformats.org/officeDocument/2006/relationships/ctrlProp" Target="../ctrlProps/ctrlProp17.xml"/><Relationship Id="rId20" Type="http://schemas.openxmlformats.org/officeDocument/2006/relationships/ctrlProp" Target="../ctrlProps/ctrlProp21.xml"/><Relationship Id="rId29" Type="http://schemas.openxmlformats.org/officeDocument/2006/relationships/ctrlProp" Target="../ctrlProps/ctrlProp30.xml"/><Relationship Id="rId1" Type="http://schemas.openxmlformats.org/officeDocument/2006/relationships/printerSettings" Target="../printerSettings/printerSettings5.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32" Type="http://schemas.openxmlformats.org/officeDocument/2006/relationships/ctrlProp" Target="../ctrlProps/ctrlProp33.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ctrlProp" Target="../ctrlProps/ctrlProp29.xml"/><Relationship Id="rId10" Type="http://schemas.openxmlformats.org/officeDocument/2006/relationships/ctrlProp" Target="../ctrlProps/ctrlProp11.xml"/><Relationship Id="rId19" Type="http://schemas.openxmlformats.org/officeDocument/2006/relationships/ctrlProp" Target="../ctrlProps/ctrlProp20.xml"/><Relationship Id="rId31" Type="http://schemas.openxmlformats.org/officeDocument/2006/relationships/ctrlProp" Target="../ctrlProps/ctrlProp32.xml"/><Relationship Id="rId4" Type="http://schemas.openxmlformats.org/officeDocument/2006/relationships/comments" Target="../comments1.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 Id="rId30" Type="http://schemas.openxmlformats.org/officeDocument/2006/relationships/ctrlProp" Target="../ctrlProps/ctrlProp3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4.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trlProp" Target="../ctrlProps/ctrlProp35.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 Id="rId4" Type="http://schemas.openxmlformats.org/officeDocument/2006/relationships/ctrlProp" Target="../ctrlProps/ctrlProp3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3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47.xml"/><Relationship Id="rId18" Type="http://schemas.openxmlformats.org/officeDocument/2006/relationships/ctrlProp" Target="../ctrlProps/ctrlProp52.xml"/><Relationship Id="rId26" Type="http://schemas.openxmlformats.org/officeDocument/2006/relationships/ctrlProp" Target="../ctrlProps/ctrlProp60.xml"/><Relationship Id="rId39" Type="http://schemas.openxmlformats.org/officeDocument/2006/relationships/ctrlProp" Target="../ctrlProps/ctrlProp73.xml"/><Relationship Id="rId21" Type="http://schemas.openxmlformats.org/officeDocument/2006/relationships/ctrlProp" Target="../ctrlProps/ctrlProp55.xml"/><Relationship Id="rId34" Type="http://schemas.openxmlformats.org/officeDocument/2006/relationships/ctrlProp" Target="../ctrlProps/ctrlProp68.xml"/><Relationship Id="rId42" Type="http://schemas.openxmlformats.org/officeDocument/2006/relationships/ctrlProp" Target="../ctrlProps/ctrlProp76.xml"/><Relationship Id="rId47" Type="http://schemas.openxmlformats.org/officeDocument/2006/relationships/ctrlProp" Target="../ctrlProps/ctrlProp81.xml"/><Relationship Id="rId50" Type="http://schemas.openxmlformats.org/officeDocument/2006/relationships/ctrlProp" Target="../ctrlProps/ctrlProp84.xml"/><Relationship Id="rId55" Type="http://schemas.openxmlformats.org/officeDocument/2006/relationships/ctrlProp" Target="../ctrlProps/ctrlProp89.xml"/><Relationship Id="rId63" Type="http://schemas.openxmlformats.org/officeDocument/2006/relationships/ctrlProp" Target="../ctrlProps/ctrlProp97.xml"/><Relationship Id="rId68" Type="http://schemas.openxmlformats.org/officeDocument/2006/relationships/ctrlProp" Target="../ctrlProps/ctrlProp102.xml"/><Relationship Id="rId7" Type="http://schemas.openxmlformats.org/officeDocument/2006/relationships/ctrlProp" Target="../ctrlProps/ctrlProp41.xml"/><Relationship Id="rId71" Type="http://schemas.openxmlformats.org/officeDocument/2006/relationships/ctrlProp" Target="../ctrlProps/ctrlProp105.xml"/><Relationship Id="rId2" Type="http://schemas.openxmlformats.org/officeDocument/2006/relationships/drawing" Target="../drawings/drawing8.xml"/><Relationship Id="rId16" Type="http://schemas.openxmlformats.org/officeDocument/2006/relationships/ctrlProp" Target="../ctrlProps/ctrlProp50.xml"/><Relationship Id="rId29" Type="http://schemas.openxmlformats.org/officeDocument/2006/relationships/ctrlProp" Target="../ctrlProps/ctrlProp63.xml"/><Relationship Id="rId11" Type="http://schemas.openxmlformats.org/officeDocument/2006/relationships/ctrlProp" Target="../ctrlProps/ctrlProp45.xml"/><Relationship Id="rId24" Type="http://schemas.openxmlformats.org/officeDocument/2006/relationships/ctrlProp" Target="../ctrlProps/ctrlProp58.xml"/><Relationship Id="rId32" Type="http://schemas.openxmlformats.org/officeDocument/2006/relationships/ctrlProp" Target="../ctrlProps/ctrlProp66.xml"/><Relationship Id="rId37" Type="http://schemas.openxmlformats.org/officeDocument/2006/relationships/ctrlProp" Target="../ctrlProps/ctrlProp71.xml"/><Relationship Id="rId40" Type="http://schemas.openxmlformats.org/officeDocument/2006/relationships/ctrlProp" Target="../ctrlProps/ctrlProp74.xml"/><Relationship Id="rId45" Type="http://schemas.openxmlformats.org/officeDocument/2006/relationships/ctrlProp" Target="../ctrlProps/ctrlProp79.xml"/><Relationship Id="rId53" Type="http://schemas.openxmlformats.org/officeDocument/2006/relationships/ctrlProp" Target="../ctrlProps/ctrlProp87.xml"/><Relationship Id="rId58" Type="http://schemas.openxmlformats.org/officeDocument/2006/relationships/ctrlProp" Target="../ctrlProps/ctrlProp92.xml"/><Relationship Id="rId66" Type="http://schemas.openxmlformats.org/officeDocument/2006/relationships/ctrlProp" Target="../ctrlProps/ctrlProp100.xml"/><Relationship Id="rId74" Type="http://schemas.openxmlformats.org/officeDocument/2006/relationships/ctrlProp" Target="../ctrlProps/ctrlProp108.xml"/><Relationship Id="rId5" Type="http://schemas.openxmlformats.org/officeDocument/2006/relationships/ctrlProp" Target="../ctrlProps/ctrlProp39.xml"/><Relationship Id="rId15" Type="http://schemas.openxmlformats.org/officeDocument/2006/relationships/ctrlProp" Target="../ctrlProps/ctrlProp49.xml"/><Relationship Id="rId23" Type="http://schemas.openxmlformats.org/officeDocument/2006/relationships/ctrlProp" Target="../ctrlProps/ctrlProp57.xml"/><Relationship Id="rId28" Type="http://schemas.openxmlformats.org/officeDocument/2006/relationships/ctrlProp" Target="../ctrlProps/ctrlProp62.xml"/><Relationship Id="rId36" Type="http://schemas.openxmlformats.org/officeDocument/2006/relationships/ctrlProp" Target="../ctrlProps/ctrlProp70.xml"/><Relationship Id="rId49" Type="http://schemas.openxmlformats.org/officeDocument/2006/relationships/ctrlProp" Target="../ctrlProps/ctrlProp83.xml"/><Relationship Id="rId57" Type="http://schemas.openxmlformats.org/officeDocument/2006/relationships/ctrlProp" Target="../ctrlProps/ctrlProp91.xml"/><Relationship Id="rId61" Type="http://schemas.openxmlformats.org/officeDocument/2006/relationships/ctrlProp" Target="../ctrlProps/ctrlProp95.xml"/><Relationship Id="rId10" Type="http://schemas.openxmlformats.org/officeDocument/2006/relationships/ctrlProp" Target="../ctrlProps/ctrlProp44.xml"/><Relationship Id="rId19" Type="http://schemas.openxmlformats.org/officeDocument/2006/relationships/ctrlProp" Target="../ctrlProps/ctrlProp53.xml"/><Relationship Id="rId31" Type="http://schemas.openxmlformats.org/officeDocument/2006/relationships/ctrlProp" Target="../ctrlProps/ctrlProp65.xml"/><Relationship Id="rId44" Type="http://schemas.openxmlformats.org/officeDocument/2006/relationships/ctrlProp" Target="../ctrlProps/ctrlProp78.xml"/><Relationship Id="rId52" Type="http://schemas.openxmlformats.org/officeDocument/2006/relationships/ctrlProp" Target="../ctrlProps/ctrlProp86.xml"/><Relationship Id="rId60" Type="http://schemas.openxmlformats.org/officeDocument/2006/relationships/ctrlProp" Target="../ctrlProps/ctrlProp94.xml"/><Relationship Id="rId65" Type="http://schemas.openxmlformats.org/officeDocument/2006/relationships/ctrlProp" Target="../ctrlProps/ctrlProp99.xml"/><Relationship Id="rId73" Type="http://schemas.openxmlformats.org/officeDocument/2006/relationships/ctrlProp" Target="../ctrlProps/ctrlProp107.xml"/><Relationship Id="rId4" Type="http://schemas.openxmlformats.org/officeDocument/2006/relationships/comments" Target="../comments2.xml"/><Relationship Id="rId9" Type="http://schemas.openxmlformats.org/officeDocument/2006/relationships/ctrlProp" Target="../ctrlProps/ctrlProp43.xml"/><Relationship Id="rId14" Type="http://schemas.openxmlformats.org/officeDocument/2006/relationships/ctrlProp" Target="../ctrlProps/ctrlProp48.xml"/><Relationship Id="rId22" Type="http://schemas.openxmlformats.org/officeDocument/2006/relationships/ctrlProp" Target="../ctrlProps/ctrlProp56.xml"/><Relationship Id="rId27" Type="http://schemas.openxmlformats.org/officeDocument/2006/relationships/ctrlProp" Target="../ctrlProps/ctrlProp61.xml"/><Relationship Id="rId30" Type="http://schemas.openxmlformats.org/officeDocument/2006/relationships/ctrlProp" Target="../ctrlProps/ctrlProp64.xml"/><Relationship Id="rId35" Type="http://schemas.openxmlformats.org/officeDocument/2006/relationships/ctrlProp" Target="../ctrlProps/ctrlProp69.xml"/><Relationship Id="rId43" Type="http://schemas.openxmlformats.org/officeDocument/2006/relationships/ctrlProp" Target="../ctrlProps/ctrlProp77.xml"/><Relationship Id="rId48" Type="http://schemas.openxmlformats.org/officeDocument/2006/relationships/ctrlProp" Target="../ctrlProps/ctrlProp82.xml"/><Relationship Id="rId56" Type="http://schemas.openxmlformats.org/officeDocument/2006/relationships/ctrlProp" Target="../ctrlProps/ctrlProp90.xml"/><Relationship Id="rId64" Type="http://schemas.openxmlformats.org/officeDocument/2006/relationships/ctrlProp" Target="../ctrlProps/ctrlProp98.xml"/><Relationship Id="rId69" Type="http://schemas.openxmlformats.org/officeDocument/2006/relationships/ctrlProp" Target="../ctrlProps/ctrlProp103.xml"/><Relationship Id="rId8" Type="http://schemas.openxmlformats.org/officeDocument/2006/relationships/ctrlProp" Target="../ctrlProps/ctrlProp42.xml"/><Relationship Id="rId51" Type="http://schemas.openxmlformats.org/officeDocument/2006/relationships/ctrlProp" Target="../ctrlProps/ctrlProp85.xml"/><Relationship Id="rId72" Type="http://schemas.openxmlformats.org/officeDocument/2006/relationships/ctrlProp" Target="../ctrlProps/ctrlProp106.xml"/><Relationship Id="rId3" Type="http://schemas.openxmlformats.org/officeDocument/2006/relationships/vmlDrawing" Target="../drawings/vmlDrawing9.vml"/><Relationship Id="rId12" Type="http://schemas.openxmlformats.org/officeDocument/2006/relationships/ctrlProp" Target="../ctrlProps/ctrlProp46.xml"/><Relationship Id="rId17" Type="http://schemas.openxmlformats.org/officeDocument/2006/relationships/ctrlProp" Target="../ctrlProps/ctrlProp51.xml"/><Relationship Id="rId25" Type="http://schemas.openxmlformats.org/officeDocument/2006/relationships/ctrlProp" Target="../ctrlProps/ctrlProp59.xml"/><Relationship Id="rId33" Type="http://schemas.openxmlformats.org/officeDocument/2006/relationships/ctrlProp" Target="../ctrlProps/ctrlProp67.xml"/><Relationship Id="rId38" Type="http://schemas.openxmlformats.org/officeDocument/2006/relationships/ctrlProp" Target="../ctrlProps/ctrlProp72.xml"/><Relationship Id="rId46" Type="http://schemas.openxmlformats.org/officeDocument/2006/relationships/ctrlProp" Target="../ctrlProps/ctrlProp80.xml"/><Relationship Id="rId59" Type="http://schemas.openxmlformats.org/officeDocument/2006/relationships/ctrlProp" Target="../ctrlProps/ctrlProp93.xml"/><Relationship Id="rId67" Type="http://schemas.openxmlformats.org/officeDocument/2006/relationships/ctrlProp" Target="../ctrlProps/ctrlProp101.xml"/><Relationship Id="rId75" Type="http://schemas.openxmlformats.org/officeDocument/2006/relationships/ctrlProp" Target="../ctrlProps/ctrlProp38.xml"/><Relationship Id="rId20" Type="http://schemas.openxmlformats.org/officeDocument/2006/relationships/ctrlProp" Target="../ctrlProps/ctrlProp54.xml"/><Relationship Id="rId41" Type="http://schemas.openxmlformats.org/officeDocument/2006/relationships/ctrlProp" Target="../ctrlProps/ctrlProp75.xml"/><Relationship Id="rId54" Type="http://schemas.openxmlformats.org/officeDocument/2006/relationships/ctrlProp" Target="../ctrlProps/ctrlProp88.xml"/><Relationship Id="rId62" Type="http://schemas.openxmlformats.org/officeDocument/2006/relationships/ctrlProp" Target="../ctrlProps/ctrlProp96.xml"/><Relationship Id="rId70" Type="http://schemas.openxmlformats.org/officeDocument/2006/relationships/ctrlProp" Target="../ctrlProps/ctrlProp104.xml"/><Relationship Id="rId1" Type="http://schemas.openxmlformats.org/officeDocument/2006/relationships/printerSettings" Target="../printerSettings/printerSettings11.bin"/><Relationship Id="rId6" Type="http://schemas.openxmlformats.org/officeDocument/2006/relationships/ctrlProp" Target="../ctrlProps/ctrlProp40.x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118.xml"/><Relationship Id="rId18" Type="http://schemas.openxmlformats.org/officeDocument/2006/relationships/ctrlProp" Target="../ctrlProps/ctrlProp123.xml"/><Relationship Id="rId26" Type="http://schemas.openxmlformats.org/officeDocument/2006/relationships/ctrlProp" Target="../ctrlProps/ctrlProp131.xml"/><Relationship Id="rId39" Type="http://schemas.openxmlformats.org/officeDocument/2006/relationships/ctrlProp" Target="../ctrlProps/ctrlProp144.xml"/><Relationship Id="rId21" Type="http://schemas.openxmlformats.org/officeDocument/2006/relationships/ctrlProp" Target="../ctrlProps/ctrlProp126.xml"/><Relationship Id="rId34" Type="http://schemas.openxmlformats.org/officeDocument/2006/relationships/ctrlProp" Target="../ctrlProps/ctrlProp139.xml"/><Relationship Id="rId42" Type="http://schemas.openxmlformats.org/officeDocument/2006/relationships/ctrlProp" Target="../ctrlProps/ctrlProp147.xml"/><Relationship Id="rId47" Type="http://schemas.openxmlformats.org/officeDocument/2006/relationships/ctrlProp" Target="../ctrlProps/ctrlProp152.xml"/><Relationship Id="rId50" Type="http://schemas.openxmlformats.org/officeDocument/2006/relationships/ctrlProp" Target="../ctrlProps/ctrlProp155.xml"/><Relationship Id="rId55" Type="http://schemas.openxmlformats.org/officeDocument/2006/relationships/ctrlProp" Target="../ctrlProps/ctrlProp160.xml"/><Relationship Id="rId63" Type="http://schemas.openxmlformats.org/officeDocument/2006/relationships/ctrlProp" Target="../ctrlProps/ctrlProp168.xml"/><Relationship Id="rId68" Type="http://schemas.openxmlformats.org/officeDocument/2006/relationships/ctrlProp" Target="../ctrlProps/ctrlProp173.xml"/><Relationship Id="rId7" Type="http://schemas.openxmlformats.org/officeDocument/2006/relationships/ctrlProp" Target="../ctrlProps/ctrlProp112.xml"/><Relationship Id="rId71" Type="http://schemas.openxmlformats.org/officeDocument/2006/relationships/ctrlProp" Target="../ctrlProps/ctrlProp176.xml"/><Relationship Id="rId2" Type="http://schemas.openxmlformats.org/officeDocument/2006/relationships/drawing" Target="../drawings/drawing9.xml"/><Relationship Id="rId16" Type="http://schemas.openxmlformats.org/officeDocument/2006/relationships/ctrlProp" Target="../ctrlProps/ctrlProp121.xml"/><Relationship Id="rId29" Type="http://schemas.openxmlformats.org/officeDocument/2006/relationships/ctrlProp" Target="../ctrlProps/ctrlProp134.xml"/><Relationship Id="rId11" Type="http://schemas.openxmlformats.org/officeDocument/2006/relationships/ctrlProp" Target="../ctrlProps/ctrlProp116.xml"/><Relationship Id="rId24" Type="http://schemas.openxmlformats.org/officeDocument/2006/relationships/ctrlProp" Target="../ctrlProps/ctrlProp129.xml"/><Relationship Id="rId32" Type="http://schemas.openxmlformats.org/officeDocument/2006/relationships/ctrlProp" Target="../ctrlProps/ctrlProp137.xml"/><Relationship Id="rId37" Type="http://schemas.openxmlformats.org/officeDocument/2006/relationships/ctrlProp" Target="../ctrlProps/ctrlProp142.xml"/><Relationship Id="rId40" Type="http://schemas.openxmlformats.org/officeDocument/2006/relationships/ctrlProp" Target="../ctrlProps/ctrlProp145.xml"/><Relationship Id="rId45" Type="http://schemas.openxmlformats.org/officeDocument/2006/relationships/ctrlProp" Target="../ctrlProps/ctrlProp150.xml"/><Relationship Id="rId53" Type="http://schemas.openxmlformats.org/officeDocument/2006/relationships/ctrlProp" Target="../ctrlProps/ctrlProp158.xml"/><Relationship Id="rId58" Type="http://schemas.openxmlformats.org/officeDocument/2006/relationships/ctrlProp" Target="../ctrlProps/ctrlProp163.xml"/><Relationship Id="rId66" Type="http://schemas.openxmlformats.org/officeDocument/2006/relationships/ctrlProp" Target="../ctrlProps/ctrlProp171.xml"/><Relationship Id="rId74" Type="http://schemas.openxmlformats.org/officeDocument/2006/relationships/ctrlProp" Target="../ctrlProps/ctrlProp179.xml"/><Relationship Id="rId5" Type="http://schemas.openxmlformats.org/officeDocument/2006/relationships/ctrlProp" Target="../ctrlProps/ctrlProp110.xml"/><Relationship Id="rId15" Type="http://schemas.openxmlformats.org/officeDocument/2006/relationships/ctrlProp" Target="../ctrlProps/ctrlProp120.xml"/><Relationship Id="rId23" Type="http://schemas.openxmlformats.org/officeDocument/2006/relationships/ctrlProp" Target="../ctrlProps/ctrlProp128.xml"/><Relationship Id="rId28" Type="http://schemas.openxmlformats.org/officeDocument/2006/relationships/ctrlProp" Target="../ctrlProps/ctrlProp133.xml"/><Relationship Id="rId36" Type="http://schemas.openxmlformats.org/officeDocument/2006/relationships/ctrlProp" Target="../ctrlProps/ctrlProp141.xml"/><Relationship Id="rId49" Type="http://schemas.openxmlformats.org/officeDocument/2006/relationships/ctrlProp" Target="../ctrlProps/ctrlProp154.xml"/><Relationship Id="rId57" Type="http://schemas.openxmlformats.org/officeDocument/2006/relationships/ctrlProp" Target="../ctrlProps/ctrlProp162.xml"/><Relationship Id="rId61" Type="http://schemas.openxmlformats.org/officeDocument/2006/relationships/ctrlProp" Target="../ctrlProps/ctrlProp166.xml"/><Relationship Id="rId10" Type="http://schemas.openxmlformats.org/officeDocument/2006/relationships/ctrlProp" Target="../ctrlProps/ctrlProp115.xml"/><Relationship Id="rId19" Type="http://schemas.openxmlformats.org/officeDocument/2006/relationships/ctrlProp" Target="../ctrlProps/ctrlProp124.xml"/><Relationship Id="rId31" Type="http://schemas.openxmlformats.org/officeDocument/2006/relationships/ctrlProp" Target="../ctrlProps/ctrlProp136.xml"/><Relationship Id="rId44" Type="http://schemas.openxmlformats.org/officeDocument/2006/relationships/ctrlProp" Target="../ctrlProps/ctrlProp149.xml"/><Relationship Id="rId52" Type="http://schemas.openxmlformats.org/officeDocument/2006/relationships/ctrlProp" Target="../ctrlProps/ctrlProp157.xml"/><Relationship Id="rId60" Type="http://schemas.openxmlformats.org/officeDocument/2006/relationships/ctrlProp" Target="../ctrlProps/ctrlProp165.xml"/><Relationship Id="rId65" Type="http://schemas.openxmlformats.org/officeDocument/2006/relationships/ctrlProp" Target="../ctrlProps/ctrlProp170.xml"/><Relationship Id="rId73" Type="http://schemas.openxmlformats.org/officeDocument/2006/relationships/ctrlProp" Target="../ctrlProps/ctrlProp178.xml"/><Relationship Id="rId4" Type="http://schemas.openxmlformats.org/officeDocument/2006/relationships/comments" Target="../comments3.xml"/><Relationship Id="rId9" Type="http://schemas.openxmlformats.org/officeDocument/2006/relationships/ctrlProp" Target="../ctrlProps/ctrlProp114.xml"/><Relationship Id="rId14" Type="http://schemas.openxmlformats.org/officeDocument/2006/relationships/ctrlProp" Target="../ctrlProps/ctrlProp119.xml"/><Relationship Id="rId22" Type="http://schemas.openxmlformats.org/officeDocument/2006/relationships/ctrlProp" Target="../ctrlProps/ctrlProp127.xml"/><Relationship Id="rId27" Type="http://schemas.openxmlformats.org/officeDocument/2006/relationships/ctrlProp" Target="../ctrlProps/ctrlProp132.xml"/><Relationship Id="rId30" Type="http://schemas.openxmlformats.org/officeDocument/2006/relationships/ctrlProp" Target="../ctrlProps/ctrlProp135.xml"/><Relationship Id="rId35" Type="http://schemas.openxmlformats.org/officeDocument/2006/relationships/ctrlProp" Target="../ctrlProps/ctrlProp140.xml"/><Relationship Id="rId43" Type="http://schemas.openxmlformats.org/officeDocument/2006/relationships/ctrlProp" Target="../ctrlProps/ctrlProp148.xml"/><Relationship Id="rId48" Type="http://schemas.openxmlformats.org/officeDocument/2006/relationships/ctrlProp" Target="../ctrlProps/ctrlProp153.xml"/><Relationship Id="rId56" Type="http://schemas.openxmlformats.org/officeDocument/2006/relationships/ctrlProp" Target="../ctrlProps/ctrlProp161.xml"/><Relationship Id="rId64" Type="http://schemas.openxmlformats.org/officeDocument/2006/relationships/ctrlProp" Target="../ctrlProps/ctrlProp169.xml"/><Relationship Id="rId69" Type="http://schemas.openxmlformats.org/officeDocument/2006/relationships/ctrlProp" Target="../ctrlProps/ctrlProp174.xml"/><Relationship Id="rId8" Type="http://schemas.openxmlformats.org/officeDocument/2006/relationships/ctrlProp" Target="../ctrlProps/ctrlProp113.xml"/><Relationship Id="rId51" Type="http://schemas.openxmlformats.org/officeDocument/2006/relationships/ctrlProp" Target="../ctrlProps/ctrlProp156.xml"/><Relationship Id="rId72" Type="http://schemas.openxmlformats.org/officeDocument/2006/relationships/ctrlProp" Target="../ctrlProps/ctrlProp177.xml"/><Relationship Id="rId3" Type="http://schemas.openxmlformats.org/officeDocument/2006/relationships/vmlDrawing" Target="../drawings/vmlDrawing10.vml"/><Relationship Id="rId12" Type="http://schemas.openxmlformats.org/officeDocument/2006/relationships/ctrlProp" Target="../ctrlProps/ctrlProp117.xml"/><Relationship Id="rId17" Type="http://schemas.openxmlformats.org/officeDocument/2006/relationships/ctrlProp" Target="../ctrlProps/ctrlProp122.xml"/><Relationship Id="rId25" Type="http://schemas.openxmlformats.org/officeDocument/2006/relationships/ctrlProp" Target="../ctrlProps/ctrlProp130.xml"/><Relationship Id="rId33" Type="http://schemas.openxmlformats.org/officeDocument/2006/relationships/ctrlProp" Target="../ctrlProps/ctrlProp138.xml"/><Relationship Id="rId38" Type="http://schemas.openxmlformats.org/officeDocument/2006/relationships/ctrlProp" Target="../ctrlProps/ctrlProp143.xml"/><Relationship Id="rId46" Type="http://schemas.openxmlformats.org/officeDocument/2006/relationships/ctrlProp" Target="../ctrlProps/ctrlProp151.xml"/><Relationship Id="rId59" Type="http://schemas.openxmlformats.org/officeDocument/2006/relationships/ctrlProp" Target="../ctrlProps/ctrlProp164.xml"/><Relationship Id="rId67" Type="http://schemas.openxmlformats.org/officeDocument/2006/relationships/ctrlProp" Target="../ctrlProps/ctrlProp172.xml"/><Relationship Id="rId75" Type="http://schemas.openxmlformats.org/officeDocument/2006/relationships/ctrlProp" Target="../ctrlProps/ctrlProp109.xml"/><Relationship Id="rId20" Type="http://schemas.openxmlformats.org/officeDocument/2006/relationships/ctrlProp" Target="../ctrlProps/ctrlProp125.xml"/><Relationship Id="rId41" Type="http://schemas.openxmlformats.org/officeDocument/2006/relationships/ctrlProp" Target="../ctrlProps/ctrlProp146.xml"/><Relationship Id="rId54" Type="http://schemas.openxmlformats.org/officeDocument/2006/relationships/ctrlProp" Target="../ctrlProps/ctrlProp159.xml"/><Relationship Id="rId62" Type="http://schemas.openxmlformats.org/officeDocument/2006/relationships/ctrlProp" Target="../ctrlProps/ctrlProp167.xml"/><Relationship Id="rId70" Type="http://schemas.openxmlformats.org/officeDocument/2006/relationships/ctrlProp" Target="../ctrlProps/ctrlProp175.xml"/><Relationship Id="rId1" Type="http://schemas.openxmlformats.org/officeDocument/2006/relationships/printerSettings" Target="../printerSettings/printerSettings12.bin"/><Relationship Id="rId6" Type="http://schemas.openxmlformats.org/officeDocument/2006/relationships/ctrlProp" Target="../ctrlProps/ctrlProp111.xml"/></Relationships>
</file>

<file path=xl/worksheets/sheet1.xml><?xml version="1.0" encoding="utf-8"?>
<worksheet xmlns="http://schemas.openxmlformats.org/spreadsheetml/2006/main" xmlns:r="http://schemas.openxmlformats.org/officeDocument/2006/relationships">
  <dimension ref="A1"/>
  <sheetViews>
    <sheetView tabSelected="1" workbookViewId="0">
      <selection activeCell="J10" sqref="J10"/>
    </sheetView>
  </sheetViews>
  <sheetFormatPr defaultRowHeight="12.75"/>
  <sheetData/>
  <sheetProtection password="D752" sheet="1" objects="1" scenarios="1" selectLockedCells="1" selectUnlockedCells="1"/>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sheetPr codeName="Plan1"/>
  <dimension ref="A1:L67"/>
  <sheetViews>
    <sheetView workbookViewId="0">
      <pane xSplit="12" ySplit="6" topLeftCell="M13" activePane="bottomRight" state="frozen"/>
      <selection pane="topRight" activeCell="M1" sqref="M1"/>
      <selection pane="bottomLeft" activeCell="A7" sqref="A7"/>
      <selection pane="bottomRight" activeCell="O52" sqref="O52"/>
    </sheetView>
  </sheetViews>
  <sheetFormatPr defaultRowHeight="12.75"/>
  <cols>
    <col min="1" max="1" width="0.42578125" style="1" customWidth="1"/>
    <col min="2" max="16384" width="9.140625" style="1"/>
  </cols>
  <sheetData>
    <row r="1" spans="1:12" ht="14.25" customHeight="1">
      <c r="A1" s="873" t="s">
        <v>545</v>
      </c>
      <c r="B1" s="874"/>
      <c r="C1" s="874"/>
      <c r="D1" s="874"/>
      <c r="E1" s="874"/>
      <c r="F1" s="874"/>
      <c r="G1" s="874"/>
      <c r="H1" s="874"/>
      <c r="I1" s="874"/>
      <c r="J1" s="874"/>
      <c r="K1" s="874"/>
      <c r="L1" s="875"/>
    </row>
    <row r="2" spans="1:12" hidden="1">
      <c r="A2" s="4"/>
      <c r="B2" s="4"/>
      <c r="C2" s="4"/>
      <c r="D2" s="4"/>
      <c r="E2" s="4"/>
      <c r="F2" s="4"/>
      <c r="G2" s="4"/>
      <c r="H2" s="4"/>
      <c r="I2" s="4"/>
      <c r="J2" s="4"/>
      <c r="K2" s="4"/>
      <c r="L2" s="4"/>
    </row>
    <row r="3" spans="1:12" hidden="1">
      <c r="A3" s="4"/>
      <c r="B3" s="4"/>
      <c r="C3" s="4"/>
      <c r="D3" s="4"/>
      <c r="E3" s="4"/>
      <c r="F3" s="4"/>
      <c r="G3" s="4"/>
      <c r="H3" s="4"/>
      <c r="I3" s="4"/>
      <c r="J3" s="4"/>
      <c r="K3" s="4"/>
      <c r="L3" s="4"/>
    </row>
    <row r="4" spans="1:12" hidden="1">
      <c r="A4" s="4"/>
      <c r="B4" s="4"/>
      <c r="C4" s="4"/>
      <c r="D4" s="4"/>
      <c r="E4" s="4"/>
      <c r="F4" s="4"/>
      <c r="G4" s="4"/>
      <c r="H4" s="4"/>
      <c r="I4" s="4"/>
      <c r="J4" s="4"/>
      <c r="K4" s="4"/>
      <c r="L4" s="4"/>
    </row>
    <row r="5" spans="1:12" ht="5.25" hidden="1" customHeight="1">
      <c r="A5" s="883"/>
      <c r="B5" s="883"/>
      <c r="C5" s="883"/>
      <c r="D5" s="883"/>
      <c r="E5" s="883"/>
      <c r="F5" s="883"/>
      <c r="G5" s="883"/>
      <c r="H5" s="883"/>
      <c r="I5" s="883"/>
      <c r="J5" s="883"/>
      <c r="K5" s="883"/>
      <c r="L5" s="883"/>
    </row>
    <row r="6" spans="1:12" ht="23.25" customHeight="1">
      <c r="A6" s="876" t="s">
        <v>122</v>
      </c>
      <c r="B6" s="877"/>
      <c r="C6" s="877"/>
      <c r="D6" s="877"/>
      <c r="E6" s="877"/>
      <c r="F6" s="877"/>
      <c r="G6" s="877"/>
      <c r="H6" s="877"/>
      <c r="I6" s="877"/>
      <c r="J6" s="877"/>
      <c r="K6" s="877"/>
      <c r="L6" s="878"/>
    </row>
    <row r="7" spans="1:12" ht="4.5" customHeight="1">
      <c r="A7" s="5"/>
      <c r="B7" s="6"/>
      <c r="C7" s="7"/>
      <c r="D7" s="7"/>
      <c r="E7" s="7"/>
      <c r="F7" s="7"/>
      <c r="G7" s="7"/>
      <c r="H7" s="7"/>
      <c r="I7" s="7"/>
      <c r="J7" s="7"/>
      <c r="K7" s="7"/>
      <c r="L7" s="7"/>
    </row>
    <row r="8" spans="1:12" ht="15" customHeight="1">
      <c r="A8" s="5"/>
      <c r="B8" s="880" t="s">
        <v>131</v>
      </c>
      <c r="C8" s="881"/>
      <c r="D8" s="881"/>
      <c r="E8" s="881"/>
      <c r="F8" s="881"/>
      <c r="G8" s="881"/>
      <c r="H8" s="881"/>
      <c r="I8" s="881"/>
      <c r="J8" s="881"/>
      <c r="K8" s="881"/>
      <c r="L8" s="881"/>
    </row>
    <row r="9" spans="1:12" ht="15" customHeight="1">
      <c r="A9" s="5"/>
      <c r="B9" s="881"/>
      <c r="C9" s="881"/>
      <c r="D9" s="881"/>
      <c r="E9" s="881"/>
      <c r="F9" s="881"/>
      <c r="G9" s="881"/>
      <c r="H9" s="881"/>
      <c r="I9" s="881"/>
      <c r="J9" s="881"/>
      <c r="K9" s="881"/>
      <c r="L9" s="881"/>
    </row>
    <row r="10" spans="1:12" ht="18.75" customHeight="1">
      <c r="A10" s="5"/>
      <c r="B10" s="887" t="s">
        <v>0</v>
      </c>
      <c r="C10" s="887"/>
      <c r="D10" s="887"/>
      <c r="E10" s="887"/>
      <c r="F10" s="887"/>
      <c r="G10" s="887"/>
      <c r="H10" s="887"/>
      <c r="I10" s="887"/>
      <c r="J10" s="887"/>
      <c r="K10" s="887"/>
      <c r="L10" s="887"/>
    </row>
    <row r="11" spans="1:12" ht="18.75" customHeight="1">
      <c r="A11" s="5"/>
      <c r="B11" s="887"/>
      <c r="C11" s="887"/>
      <c r="D11" s="887"/>
      <c r="E11" s="887"/>
      <c r="F11" s="887"/>
      <c r="G11" s="887"/>
      <c r="H11" s="887"/>
      <c r="I11" s="887"/>
      <c r="J11" s="887"/>
      <c r="K11" s="887"/>
      <c r="L11" s="887"/>
    </row>
    <row r="12" spans="1:12" ht="18" customHeight="1">
      <c r="A12" s="5"/>
      <c r="B12" s="882" t="s">
        <v>11</v>
      </c>
      <c r="C12" s="882"/>
      <c r="D12" s="882"/>
      <c r="E12" s="882"/>
      <c r="F12" s="882"/>
      <c r="G12" s="882"/>
      <c r="H12" s="882"/>
      <c r="I12" s="882"/>
      <c r="J12" s="882"/>
      <c r="K12" s="882"/>
      <c r="L12" s="882"/>
    </row>
    <row r="13" spans="1:12" ht="10.5" customHeight="1">
      <c r="A13" s="5"/>
      <c r="B13" s="881" t="s">
        <v>286</v>
      </c>
      <c r="C13" s="881"/>
      <c r="D13" s="881"/>
      <c r="E13" s="881"/>
      <c r="F13" s="881"/>
      <c r="G13" s="881"/>
      <c r="H13" s="881"/>
      <c r="I13" s="881"/>
      <c r="J13" s="881"/>
      <c r="K13" s="881"/>
      <c r="L13" s="881"/>
    </row>
    <row r="14" spans="1:12" ht="10.5" customHeight="1">
      <c r="A14" s="5"/>
      <c r="B14" s="881"/>
      <c r="C14" s="881"/>
      <c r="D14" s="881"/>
      <c r="E14" s="881"/>
      <c r="F14" s="881"/>
      <c r="G14" s="881"/>
      <c r="H14" s="881"/>
      <c r="I14" s="881"/>
      <c r="J14" s="881"/>
      <c r="K14" s="881"/>
      <c r="L14" s="881"/>
    </row>
    <row r="15" spans="1:12" ht="26.25" customHeight="1">
      <c r="A15" s="5"/>
      <c r="B15" s="893" t="s">
        <v>370</v>
      </c>
      <c r="C15" s="893"/>
      <c r="D15" s="893"/>
      <c r="E15" s="893"/>
      <c r="F15" s="893"/>
      <c r="G15" s="893"/>
      <c r="H15" s="893"/>
      <c r="I15" s="893"/>
      <c r="J15" s="893"/>
      <c r="K15" s="893"/>
      <c r="L15" s="893"/>
    </row>
    <row r="16" spans="1:12" ht="18" customHeight="1">
      <c r="A16" s="5"/>
      <c r="B16" s="884" t="s">
        <v>12</v>
      </c>
      <c r="C16" s="884"/>
      <c r="D16" s="884"/>
      <c r="E16" s="884"/>
      <c r="F16" s="884"/>
      <c r="G16" s="884"/>
      <c r="H16" s="884"/>
      <c r="I16" s="884"/>
      <c r="J16" s="884"/>
      <c r="K16" s="884"/>
      <c r="L16" s="884"/>
    </row>
    <row r="17" spans="1:12" ht="21.75" customHeight="1">
      <c r="A17" s="5"/>
      <c r="B17" s="885" t="s">
        <v>385</v>
      </c>
      <c r="C17" s="885"/>
      <c r="D17" s="885"/>
      <c r="E17" s="885"/>
      <c r="F17" s="8"/>
      <c r="G17" s="8"/>
      <c r="H17" s="8"/>
      <c r="I17" s="8"/>
      <c r="J17" s="8"/>
      <c r="K17" s="8"/>
      <c r="L17" s="9"/>
    </row>
    <row r="18" spans="1:12" s="2" customFormat="1" ht="18.75" hidden="1" customHeight="1">
      <c r="A18" s="886" t="s">
        <v>282</v>
      </c>
      <c r="B18" s="886"/>
      <c r="C18" s="886"/>
      <c r="D18" s="886"/>
      <c r="E18" s="886"/>
      <c r="F18" s="886"/>
      <c r="G18" s="886"/>
      <c r="H18" s="886"/>
      <c r="I18" s="886"/>
      <c r="J18" s="886"/>
      <c r="K18" s="886"/>
      <c r="L18" s="886"/>
    </row>
    <row r="19" spans="1:12" s="2" customFormat="1" ht="18.75" customHeight="1">
      <c r="A19" s="216"/>
      <c r="B19" s="879" t="s">
        <v>283</v>
      </c>
      <c r="C19" s="879"/>
      <c r="D19" s="879"/>
      <c r="E19" s="879"/>
      <c r="F19" s="879"/>
      <c r="G19" s="879"/>
      <c r="H19" s="879"/>
      <c r="I19" s="879"/>
      <c r="J19" s="879"/>
      <c r="K19" s="879"/>
      <c r="L19" s="879"/>
    </row>
    <row r="20" spans="1:12" s="2" customFormat="1" ht="18.75" customHeight="1">
      <c r="A20" s="216"/>
      <c r="B20" s="879" t="s">
        <v>371</v>
      </c>
      <c r="C20" s="879"/>
      <c r="D20" s="879"/>
      <c r="E20" s="879"/>
      <c r="F20" s="879"/>
      <c r="G20" s="879"/>
      <c r="H20" s="879"/>
      <c r="I20" s="879"/>
      <c r="J20" s="879"/>
      <c r="K20" s="879"/>
      <c r="L20" s="879"/>
    </row>
    <row r="21" spans="1:12" s="2" customFormat="1" ht="31.5" customHeight="1">
      <c r="A21" s="9"/>
      <c r="B21" s="890" t="s">
        <v>537</v>
      </c>
      <c r="C21" s="891"/>
      <c r="D21" s="891"/>
      <c r="E21" s="891"/>
      <c r="F21" s="891"/>
      <c r="G21" s="891"/>
      <c r="H21" s="891"/>
      <c r="I21" s="891"/>
      <c r="J21" s="891"/>
      <c r="K21" s="891"/>
      <c r="L21" s="891"/>
    </row>
    <row r="22" spans="1:12" s="2" customFormat="1" ht="34.5" customHeight="1">
      <c r="A22" s="9"/>
      <c r="B22" s="890" t="s">
        <v>536</v>
      </c>
      <c r="C22" s="891"/>
      <c r="D22" s="891"/>
      <c r="E22" s="891"/>
      <c r="F22" s="891"/>
      <c r="G22" s="891"/>
      <c r="H22" s="891"/>
      <c r="I22" s="891"/>
      <c r="J22" s="891"/>
      <c r="K22" s="891"/>
      <c r="L22" s="891"/>
    </row>
    <row r="23" spans="1:12" s="2" customFormat="1" ht="18.75" customHeight="1">
      <c r="A23" s="9"/>
      <c r="B23" s="888" t="s">
        <v>372</v>
      </c>
      <c r="C23" s="889"/>
      <c r="D23" s="889"/>
      <c r="E23" s="889"/>
      <c r="F23" s="889"/>
      <c r="G23" s="889"/>
      <c r="H23" s="889"/>
      <c r="I23" s="889"/>
      <c r="J23" s="889"/>
      <c r="K23" s="889"/>
      <c r="L23" s="889"/>
    </row>
    <row r="24" spans="1:12" s="2" customFormat="1" ht="26.25" customHeight="1">
      <c r="A24" s="9"/>
      <c r="B24" s="889"/>
      <c r="C24" s="889"/>
      <c r="D24" s="889"/>
      <c r="E24" s="889"/>
      <c r="F24" s="889"/>
      <c r="G24" s="889"/>
      <c r="H24" s="889"/>
      <c r="I24" s="889"/>
      <c r="J24" s="889"/>
      <c r="K24" s="889"/>
      <c r="L24" s="889"/>
    </row>
    <row r="25" spans="1:12" s="2" customFormat="1" ht="18.75" customHeight="1">
      <c r="A25" s="9"/>
      <c r="B25" s="879" t="s">
        <v>366</v>
      </c>
      <c r="C25" s="892"/>
      <c r="D25" s="892"/>
      <c r="E25" s="892"/>
      <c r="F25" s="892"/>
      <c r="G25" s="892"/>
      <c r="H25" s="892"/>
      <c r="I25" s="892"/>
      <c r="J25" s="892"/>
      <c r="K25" s="892"/>
      <c r="L25" s="892"/>
    </row>
    <row r="26" spans="1:12" s="2" customFormat="1" ht="18.75" customHeight="1">
      <c r="A26" s="9"/>
      <c r="B26" s="888" t="s">
        <v>373</v>
      </c>
      <c r="C26" s="889"/>
      <c r="D26" s="889"/>
      <c r="E26" s="889"/>
      <c r="F26" s="889"/>
      <c r="G26" s="889"/>
      <c r="H26" s="889"/>
      <c r="I26" s="889"/>
      <c r="J26" s="889"/>
      <c r="K26" s="889"/>
      <c r="L26" s="889"/>
    </row>
    <row r="27" spans="1:12" s="2" customFormat="1" ht="30" customHeight="1">
      <c r="A27" s="9"/>
      <c r="B27" s="889"/>
      <c r="C27" s="889"/>
      <c r="D27" s="889"/>
      <c r="E27" s="889"/>
      <c r="F27" s="889"/>
      <c r="G27" s="889"/>
      <c r="H27" s="889"/>
      <c r="I27" s="889"/>
      <c r="J27" s="889"/>
      <c r="K27" s="889"/>
      <c r="L27" s="889"/>
    </row>
    <row r="28" spans="1:12" s="2" customFormat="1" ht="18.75" customHeight="1">
      <c r="A28" s="9"/>
      <c r="B28" s="888" t="s">
        <v>285</v>
      </c>
      <c r="C28" s="889"/>
      <c r="D28" s="889"/>
      <c r="E28" s="889"/>
      <c r="F28" s="889"/>
      <c r="G28" s="889"/>
      <c r="H28" s="889"/>
      <c r="I28" s="889"/>
      <c r="J28" s="889"/>
      <c r="K28" s="889"/>
      <c r="L28" s="889"/>
    </row>
    <row r="29" spans="1:12" s="2" customFormat="1" ht="18.75" customHeight="1">
      <c r="A29" s="9"/>
      <c r="B29" s="889"/>
      <c r="C29" s="889"/>
      <c r="D29" s="889"/>
      <c r="E29" s="889"/>
      <c r="F29" s="889"/>
      <c r="G29" s="889"/>
      <c r="H29" s="889"/>
      <c r="I29" s="889"/>
      <c r="J29" s="889"/>
      <c r="K29" s="889"/>
      <c r="L29" s="889"/>
    </row>
    <row r="30" spans="1:12" s="2" customFormat="1" ht="18.75" customHeight="1">
      <c r="A30" s="9"/>
      <c r="B30" s="896" t="s">
        <v>284</v>
      </c>
      <c r="C30" s="896"/>
      <c r="D30" s="896"/>
      <c r="E30" s="896"/>
      <c r="F30" s="896"/>
      <c r="G30" s="896"/>
      <c r="H30" s="896"/>
      <c r="I30" s="896"/>
      <c r="J30" s="896"/>
      <c r="K30" s="896"/>
      <c r="L30" s="896"/>
    </row>
    <row r="31" spans="1:12" s="2" customFormat="1" ht="17.25" customHeight="1">
      <c r="A31" s="9"/>
      <c r="B31" s="897"/>
      <c r="C31" s="897"/>
      <c r="D31" s="897"/>
      <c r="E31" s="897"/>
      <c r="F31" s="897"/>
      <c r="G31" s="897"/>
      <c r="H31" s="897"/>
      <c r="I31" s="897"/>
      <c r="J31" s="897"/>
      <c r="K31" s="897"/>
      <c r="L31" s="897"/>
    </row>
    <row r="32" spans="1:12" s="2" customFormat="1" ht="2.25" hidden="1" customHeight="1">
      <c r="A32" s="9"/>
      <c r="B32" s="304"/>
      <c r="C32" s="304"/>
      <c r="D32" s="304"/>
      <c r="E32" s="304"/>
      <c r="F32" s="304"/>
      <c r="G32" s="304"/>
      <c r="H32" s="304"/>
      <c r="I32" s="304"/>
      <c r="J32" s="304"/>
      <c r="K32" s="304"/>
      <c r="L32" s="304"/>
    </row>
    <row r="33" spans="1:12" s="2" customFormat="1" ht="20.25" hidden="1" customHeight="1">
      <c r="A33" s="9"/>
      <c r="B33" s="894" t="s">
        <v>369</v>
      </c>
      <c r="C33" s="895"/>
      <c r="D33" s="895"/>
      <c r="E33" s="895"/>
      <c r="F33" s="895"/>
      <c r="G33" s="895"/>
      <c r="H33" s="895"/>
      <c r="I33" s="895"/>
      <c r="J33" s="895"/>
      <c r="K33" s="895"/>
      <c r="L33" s="895"/>
    </row>
    <row r="34" spans="1:12" s="2" customFormat="1" ht="18.75" hidden="1" customHeight="1">
      <c r="A34" s="9"/>
      <c r="B34" s="895"/>
      <c r="C34" s="895"/>
      <c r="D34" s="895"/>
      <c r="E34" s="895"/>
      <c r="F34" s="895"/>
      <c r="G34" s="895"/>
      <c r="H34" s="895"/>
      <c r="I34" s="895"/>
      <c r="J34" s="895"/>
      <c r="K34" s="895"/>
      <c r="L34" s="895"/>
    </row>
    <row r="35" spans="1:12" s="2" customFormat="1" ht="16.5" hidden="1" customHeight="1">
      <c r="A35" s="9"/>
      <c r="B35" s="895"/>
      <c r="C35" s="895"/>
      <c r="D35" s="895"/>
      <c r="E35" s="895"/>
      <c r="F35" s="895"/>
      <c r="G35" s="895"/>
      <c r="H35" s="895"/>
      <c r="I35" s="895"/>
      <c r="J35" s="895"/>
      <c r="K35" s="895"/>
      <c r="L35" s="895"/>
    </row>
    <row r="36" spans="1:12" s="2" customFormat="1" ht="37.5" hidden="1" customHeight="1">
      <c r="A36" s="9"/>
      <c r="B36" s="895" t="s">
        <v>377</v>
      </c>
      <c r="C36" s="895"/>
      <c r="D36" s="895"/>
      <c r="E36" s="895"/>
      <c r="F36" s="895"/>
      <c r="G36" s="895"/>
      <c r="H36" s="895"/>
      <c r="I36" s="895"/>
      <c r="J36" s="895"/>
      <c r="K36" s="895"/>
      <c r="L36" s="895"/>
    </row>
    <row r="37" spans="1:12" s="2" customFormat="1" ht="50.25" hidden="1" customHeight="1">
      <c r="A37" s="9"/>
      <c r="B37" s="898" t="s">
        <v>386</v>
      </c>
      <c r="C37" s="898"/>
      <c r="D37" s="898"/>
      <c r="E37" s="898"/>
      <c r="F37" s="898"/>
      <c r="G37" s="898"/>
      <c r="H37" s="898"/>
      <c r="I37" s="898"/>
      <c r="J37" s="898"/>
      <c r="K37" s="898"/>
      <c r="L37" s="898"/>
    </row>
    <row r="38" spans="1:12" s="2" customFormat="1" ht="20.25" hidden="1" customHeight="1">
      <c r="A38" s="9"/>
      <c r="B38" s="898"/>
      <c r="C38" s="898"/>
      <c r="D38" s="898"/>
      <c r="E38" s="898"/>
      <c r="F38" s="898"/>
      <c r="G38" s="898"/>
      <c r="H38" s="898"/>
      <c r="I38" s="898"/>
      <c r="J38" s="898"/>
      <c r="K38" s="898"/>
      <c r="L38" s="898"/>
    </row>
    <row r="39" spans="1:12" s="2" customFormat="1" ht="20.25" hidden="1" customHeight="1">
      <c r="A39" s="9"/>
      <c r="B39" s="899" t="s">
        <v>387</v>
      </c>
      <c r="C39" s="900"/>
      <c r="D39" s="900"/>
      <c r="E39" s="900"/>
      <c r="F39" s="900"/>
      <c r="G39" s="900"/>
      <c r="H39" s="900"/>
      <c r="I39" s="900"/>
      <c r="J39" s="900"/>
      <c r="K39" s="900"/>
      <c r="L39" s="900"/>
    </row>
    <row r="40" spans="1:12" s="2" customFormat="1" ht="20.25" hidden="1" customHeight="1">
      <c r="A40" s="9"/>
      <c r="B40" s="900"/>
      <c r="C40" s="900"/>
      <c r="D40" s="900"/>
      <c r="E40" s="900"/>
      <c r="F40" s="900"/>
      <c r="G40" s="900"/>
      <c r="H40" s="900"/>
      <c r="I40" s="900"/>
      <c r="J40" s="900"/>
      <c r="K40" s="900"/>
      <c r="L40" s="900"/>
    </row>
    <row r="41" spans="1:12" s="2" customFormat="1" ht="14.25" hidden="1" customHeight="1">
      <c r="A41" s="9"/>
      <c r="B41" s="898" t="s">
        <v>388</v>
      </c>
      <c r="C41" s="898"/>
      <c r="D41" s="898"/>
      <c r="E41" s="898"/>
      <c r="F41" s="898"/>
      <c r="G41" s="898"/>
      <c r="H41" s="898"/>
      <c r="I41" s="898"/>
      <c r="J41" s="898"/>
      <c r="K41" s="898"/>
      <c r="L41" s="898"/>
    </row>
    <row r="42" spans="1:12" s="2" customFormat="1" ht="14.25" hidden="1" customHeight="1">
      <c r="A42" s="9"/>
      <c r="B42" s="898" t="s">
        <v>391</v>
      </c>
      <c r="C42" s="898"/>
      <c r="D42" s="898"/>
      <c r="E42" s="898"/>
      <c r="F42" s="898"/>
      <c r="G42" s="898"/>
      <c r="H42" s="898"/>
      <c r="I42" s="898"/>
      <c r="J42" s="898"/>
      <c r="K42" s="898"/>
      <c r="L42" s="898"/>
    </row>
    <row r="43" spans="1:12" s="2" customFormat="1" ht="0.75" hidden="1" customHeight="1">
      <c r="A43" s="9"/>
      <c r="B43" s="900" t="s">
        <v>427</v>
      </c>
      <c r="C43" s="900"/>
      <c r="D43" s="900"/>
      <c r="E43" s="900"/>
      <c r="F43" s="900"/>
      <c r="G43" s="900"/>
      <c r="H43" s="900"/>
      <c r="I43" s="900"/>
      <c r="J43" s="900"/>
      <c r="K43" s="900"/>
      <c r="L43" s="900"/>
    </row>
    <row r="44" spans="1:12" s="2" customFormat="1" ht="13.5" hidden="1" customHeight="1">
      <c r="A44" s="9"/>
      <c r="B44" s="898" t="s">
        <v>434</v>
      </c>
      <c r="C44" s="898"/>
      <c r="D44" s="898"/>
      <c r="E44" s="898"/>
      <c r="F44" s="898"/>
      <c r="G44" s="898"/>
      <c r="H44" s="898"/>
      <c r="I44" s="898"/>
      <c r="J44" s="898"/>
      <c r="K44" s="898"/>
      <c r="L44" s="898"/>
    </row>
    <row r="45" spans="1:12" s="2" customFormat="1" ht="50.25" hidden="1" customHeight="1">
      <c r="A45" s="9"/>
      <c r="B45" s="898" t="s">
        <v>436</v>
      </c>
      <c r="C45" s="898"/>
      <c r="D45" s="898"/>
      <c r="E45" s="898"/>
      <c r="F45" s="898"/>
      <c r="G45" s="898"/>
      <c r="H45" s="898"/>
      <c r="I45" s="898"/>
      <c r="J45" s="898"/>
      <c r="K45" s="898"/>
      <c r="L45" s="898"/>
    </row>
    <row r="46" spans="1:12" s="2" customFormat="1" ht="10.5" hidden="1" customHeight="1">
      <c r="A46" s="9"/>
      <c r="B46" s="898" t="s">
        <v>437</v>
      </c>
      <c r="C46" s="898"/>
      <c r="D46" s="898"/>
      <c r="E46" s="898"/>
      <c r="F46" s="898"/>
      <c r="G46" s="898"/>
      <c r="H46" s="898"/>
      <c r="I46" s="898"/>
      <c r="J46" s="898"/>
      <c r="K46" s="898"/>
      <c r="L46" s="898"/>
    </row>
    <row r="47" spans="1:12" s="2" customFormat="1" ht="41.25" hidden="1" customHeight="1">
      <c r="A47" s="9"/>
      <c r="B47" s="900" t="s">
        <v>438</v>
      </c>
      <c r="C47" s="900"/>
      <c r="D47" s="900"/>
      <c r="E47" s="900"/>
      <c r="F47" s="900"/>
      <c r="G47" s="900"/>
      <c r="H47" s="900"/>
      <c r="I47" s="900"/>
      <c r="J47" s="900"/>
      <c r="K47" s="900"/>
      <c r="L47" s="900"/>
    </row>
    <row r="48" spans="1:12" s="2" customFormat="1" ht="101.25" customHeight="1">
      <c r="A48" s="9"/>
      <c r="B48" s="900" t="s">
        <v>444</v>
      </c>
      <c r="C48" s="900"/>
      <c r="D48" s="900"/>
      <c r="E48" s="900"/>
      <c r="F48" s="900"/>
      <c r="G48" s="900"/>
      <c r="H48" s="900"/>
      <c r="I48" s="900"/>
      <c r="J48" s="900"/>
      <c r="K48" s="900"/>
      <c r="L48" s="900"/>
    </row>
    <row r="49" spans="1:12" s="2" customFormat="1" ht="24.75" customHeight="1">
      <c r="A49" s="9"/>
      <c r="B49" s="900" t="s">
        <v>446</v>
      </c>
      <c r="C49" s="900"/>
      <c r="D49" s="900"/>
      <c r="E49" s="900"/>
      <c r="F49" s="900"/>
      <c r="G49" s="900"/>
      <c r="H49" s="900"/>
      <c r="I49" s="900"/>
      <c r="J49" s="900"/>
      <c r="K49" s="900"/>
      <c r="L49" s="900"/>
    </row>
    <row r="50" spans="1:12" s="2" customFormat="1" ht="18" customHeight="1">
      <c r="A50" s="9"/>
      <c r="B50" s="900" t="s">
        <v>448</v>
      </c>
      <c r="C50" s="900"/>
      <c r="D50" s="900"/>
      <c r="E50" s="900"/>
      <c r="F50" s="900"/>
      <c r="G50" s="900"/>
      <c r="H50" s="900"/>
      <c r="I50" s="900"/>
      <c r="J50" s="900"/>
      <c r="K50" s="900"/>
      <c r="L50" s="900"/>
    </row>
    <row r="51" spans="1:12" s="2" customFormat="1" ht="18" customHeight="1">
      <c r="A51" s="9"/>
      <c r="B51" s="900" t="s">
        <v>535</v>
      </c>
      <c r="C51" s="900"/>
      <c r="D51" s="900"/>
      <c r="E51" s="900"/>
      <c r="F51" s="900"/>
      <c r="G51" s="900"/>
      <c r="H51" s="900"/>
      <c r="I51" s="900"/>
      <c r="J51" s="900"/>
      <c r="K51" s="900"/>
      <c r="L51" s="900"/>
    </row>
    <row r="52" spans="1:12" s="2" customFormat="1" ht="17.25" customHeight="1">
      <c r="A52" s="9"/>
      <c r="B52" s="900" t="s">
        <v>538</v>
      </c>
      <c r="C52" s="900"/>
      <c r="D52" s="900"/>
      <c r="E52" s="900"/>
      <c r="F52" s="900"/>
      <c r="G52" s="900"/>
      <c r="H52" s="900"/>
      <c r="I52" s="900"/>
      <c r="J52" s="900"/>
      <c r="K52" s="900"/>
      <c r="L52" s="900"/>
    </row>
    <row r="53" spans="1:12" s="2" customFormat="1" ht="15" customHeight="1">
      <c r="A53" s="9"/>
      <c r="B53" s="902" t="s">
        <v>539</v>
      </c>
      <c r="C53" s="902"/>
      <c r="D53" s="902"/>
      <c r="E53" s="902"/>
      <c r="F53" s="902"/>
      <c r="G53" s="902"/>
      <c r="H53" s="902"/>
      <c r="I53" s="902"/>
      <c r="J53" s="902"/>
      <c r="K53" s="902"/>
      <c r="L53" s="902"/>
    </row>
    <row r="54" spans="1:12" s="2" customFormat="1" ht="15" customHeight="1">
      <c r="A54" s="9"/>
      <c r="B54" s="900" t="s">
        <v>542</v>
      </c>
      <c r="C54" s="900"/>
      <c r="D54" s="900"/>
      <c r="E54" s="900"/>
      <c r="F54" s="900"/>
      <c r="G54" s="900"/>
      <c r="H54" s="900"/>
      <c r="I54" s="900"/>
      <c r="J54" s="900"/>
      <c r="K54" s="900"/>
      <c r="L54" s="900"/>
    </row>
    <row r="55" spans="1:12" s="2" customFormat="1" ht="41.25" customHeight="1">
      <c r="A55" s="9"/>
      <c r="B55" s="901" t="s">
        <v>544</v>
      </c>
      <c r="C55" s="901"/>
      <c r="D55" s="901"/>
      <c r="E55" s="901"/>
      <c r="F55" s="901"/>
      <c r="G55" s="901"/>
      <c r="H55" s="901"/>
      <c r="I55" s="901"/>
      <c r="J55" s="901"/>
      <c r="K55" s="901"/>
      <c r="L55" s="901"/>
    </row>
    <row r="56" spans="1:12" s="2" customFormat="1" ht="42" customHeight="1">
      <c r="A56" s="9"/>
      <c r="B56" s="901" t="s">
        <v>546</v>
      </c>
      <c r="C56" s="901"/>
      <c r="D56" s="901"/>
      <c r="E56" s="901"/>
      <c r="F56" s="901"/>
      <c r="G56" s="901"/>
      <c r="H56" s="901"/>
      <c r="I56" s="901"/>
      <c r="J56" s="901"/>
      <c r="K56" s="901"/>
      <c r="L56" s="901"/>
    </row>
    <row r="57" spans="1:12" s="2" customFormat="1" ht="21" customHeight="1">
      <c r="A57" s="9"/>
      <c r="B57" s="903" t="s">
        <v>445</v>
      </c>
      <c r="C57" s="903"/>
      <c r="D57" s="903"/>
      <c r="E57" s="903"/>
      <c r="F57" s="903"/>
      <c r="G57" s="903"/>
      <c r="H57" s="903"/>
      <c r="I57" s="903"/>
      <c r="J57" s="903"/>
      <c r="K57" s="903"/>
      <c r="L57" s="903"/>
    </row>
    <row r="58" spans="1:12" ht="15.75">
      <c r="A58" s="5"/>
      <c r="B58" s="10" t="s">
        <v>123</v>
      </c>
      <c r="C58" s="5"/>
      <c r="D58" s="5"/>
      <c r="E58" s="5"/>
      <c r="F58" s="5"/>
      <c r="G58" s="5"/>
      <c r="H58" s="5"/>
      <c r="I58" s="5"/>
      <c r="J58" s="5"/>
      <c r="K58" s="5"/>
      <c r="L58" s="5"/>
    </row>
    <row r="59" spans="1:12" ht="15.75">
      <c r="A59" s="5"/>
      <c r="B59" s="11" t="s">
        <v>124</v>
      </c>
      <c r="C59" s="5"/>
      <c r="D59" s="5"/>
      <c r="E59" s="5"/>
      <c r="F59" s="5"/>
      <c r="G59" s="5"/>
      <c r="H59" s="5"/>
      <c r="I59" s="5"/>
      <c r="J59" s="5"/>
      <c r="K59" s="5"/>
      <c r="L59" s="5"/>
    </row>
    <row r="60" spans="1:12" ht="15.75">
      <c r="A60" s="5"/>
      <c r="B60" s="11" t="s">
        <v>125</v>
      </c>
      <c r="C60" s="417"/>
      <c r="D60" s="417"/>
      <c r="E60" s="5"/>
      <c r="F60" s="5"/>
      <c r="G60" s="5"/>
      <c r="H60" s="5"/>
      <c r="I60" s="5"/>
      <c r="J60" s="5"/>
      <c r="K60" s="5"/>
      <c r="L60" s="5"/>
    </row>
    <row r="61" spans="1:12" ht="12" customHeight="1">
      <c r="A61" s="5"/>
      <c r="B61" s="12" t="s">
        <v>435</v>
      </c>
      <c r="C61" s="5"/>
      <c r="D61" s="5"/>
      <c r="E61" s="5"/>
      <c r="F61" s="5"/>
      <c r="G61" s="5"/>
      <c r="H61" s="5"/>
      <c r="I61" s="5"/>
      <c r="J61" s="5"/>
      <c r="K61" s="5"/>
      <c r="L61" s="5"/>
    </row>
    <row r="62" spans="1:12" ht="5.25" customHeight="1">
      <c r="A62" s="5"/>
      <c r="B62" s="5"/>
      <c r="C62" s="5"/>
      <c r="D62" s="5"/>
      <c r="E62" s="5"/>
      <c r="F62" s="5"/>
      <c r="G62" s="5"/>
      <c r="H62" s="5"/>
      <c r="I62" s="5"/>
      <c r="J62" s="5"/>
      <c r="K62" s="5"/>
      <c r="L62" s="5"/>
    </row>
    <row r="63" spans="1:12">
      <c r="A63" s="5"/>
      <c r="B63" s="13" t="s">
        <v>126</v>
      </c>
      <c r="C63" s="5"/>
      <c r="D63" s="5"/>
      <c r="E63" s="5"/>
      <c r="F63" s="5"/>
      <c r="G63" s="5"/>
      <c r="H63" s="5"/>
      <c r="I63" s="5"/>
      <c r="J63" s="5"/>
      <c r="K63" s="5"/>
      <c r="L63" s="5"/>
    </row>
    <row r="64" spans="1:12">
      <c r="A64" s="5"/>
      <c r="B64" s="13" t="s">
        <v>127</v>
      </c>
      <c r="C64" s="5"/>
      <c r="D64" s="5"/>
      <c r="E64" s="5"/>
      <c r="F64" s="5"/>
      <c r="G64" s="5"/>
      <c r="H64" s="5"/>
      <c r="I64" s="5"/>
      <c r="J64" s="5"/>
      <c r="K64" s="5"/>
      <c r="L64" s="5"/>
    </row>
    <row r="65" spans="1:12">
      <c r="A65" s="5"/>
      <c r="B65" s="13" t="s">
        <v>128</v>
      </c>
      <c r="C65" s="5"/>
      <c r="D65" s="5"/>
      <c r="E65" s="5"/>
      <c r="F65" s="5"/>
      <c r="G65" s="5"/>
      <c r="H65" s="5"/>
      <c r="I65" s="5"/>
      <c r="J65" s="5"/>
      <c r="K65" s="5"/>
      <c r="L65" s="5"/>
    </row>
    <row r="66" spans="1:12" ht="11.25" customHeight="1">
      <c r="A66" s="5"/>
      <c r="B66" s="14" t="s">
        <v>129</v>
      </c>
      <c r="C66" s="5"/>
      <c r="D66" s="5"/>
      <c r="E66" s="5"/>
      <c r="F66" s="5"/>
      <c r="G66" s="5"/>
      <c r="H66" s="5"/>
      <c r="I66" s="5"/>
      <c r="J66" s="5"/>
      <c r="K66" s="5"/>
      <c r="L66" s="5"/>
    </row>
    <row r="67" spans="1:12" hidden="1">
      <c r="B67" s="5"/>
    </row>
  </sheetData>
  <sheetProtection password="CEBA" sheet="1" selectLockedCells="1"/>
  <mergeCells count="41">
    <mergeCell ref="B56:L56"/>
    <mergeCell ref="B53:L53"/>
    <mergeCell ref="B54:L54"/>
    <mergeCell ref="B57:L57"/>
    <mergeCell ref="B42:L42"/>
    <mergeCell ref="B50:L50"/>
    <mergeCell ref="B55:L55"/>
    <mergeCell ref="B51:L51"/>
    <mergeCell ref="B52:L52"/>
    <mergeCell ref="B47:L47"/>
    <mergeCell ref="B49:L49"/>
    <mergeCell ref="B39:L40"/>
    <mergeCell ref="B48:L48"/>
    <mergeCell ref="B46:L46"/>
    <mergeCell ref="B44:L44"/>
    <mergeCell ref="B45:L45"/>
    <mergeCell ref="B43:L43"/>
    <mergeCell ref="B41:L41"/>
    <mergeCell ref="B33:L35"/>
    <mergeCell ref="B30:L31"/>
    <mergeCell ref="B36:L36"/>
    <mergeCell ref="B37:L38"/>
    <mergeCell ref="B28:L29"/>
    <mergeCell ref="B26:L27"/>
    <mergeCell ref="B22:L22"/>
    <mergeCell ref="B21:L21"/>
    <mergeCell ref="B25:L25"/>
    <mergeCell ref="B15:L15"/>
    <mergeCell ref="B23:L24"/>
    <mergeCell ref="A1:L1"/>
    <mergeCell ref="A6:L6"/>
    <mergeCell ref="B19:L19"/>
    <mergeCell ref="B20:L20"/>
    <mergeCell ref="B8:L9"/>
    <mergeCell ref="B12:L12"/>
    <mergeCell ref="A5:L5"/>
    <mergeCell ref="B16:L16"/>
    <mergeCell ref="B17:E17"/>
    <mergeCell ref="A18:L18"/>
    <mergeCell ref="B10:L11"/>
    <mergeCell ref="B13:L14"/>
  </mergeCells>
  <phoneticPr fontId="0" type="noConversion"/>
  <hyperlinks>
    <hyperlink ref="B61" r:id="rId1"/>
  </hyperlinks>
  <pageMargins left="0.39370078740157483" right="0.39370078740157483" top="0.98425196850393704" bottom="0.98425196850393704" header="0.51181102362204722" footer="0.51181102362204722"/>
  <pageSetup paperSize="9" scale="90" orientation="portrait" horizontalDpi="360" verticalDpi="360" r:id="rId2"/>
  <headerFooter alignWithMargins="0"/>
  <drawing r:id="rId3"/>
</worksheet>
</file>

<file path=xl/worksheets/sheet3.xml><?xml version="1.0" encoding="utf-8"?>
<worksheet xmlns="http://schemas.openxmlformats.org/spreadsheetml/2006/main" xmlns:r="http://schemas.openxmlformats.org/officeDocument/2006/relationships">
  <sheetPr codeName="Plan2"/>
  <dimension ref="A1:K69"/>
  <sheetViews>
    <sheetView showZeros="0" zoomScaleNormal="100" zoomScaleSheetLayoutView="100" workbookViewId="0">
      <pane xSplit="8" ySplit="7" topLeftCell="I8" activePane="bottomRight" state="frozen"/>
      <selection pane="topRight" activeCell="I1" sqref="I1"/>
      <selection pane="bottomLeft" activeCell="A8" sqref="A8"/>
      <selection pane="bottomRight" activeCell="G25" sqref="G25"/>
    </sheetView>
  </sheetViews>
  <sheetFormatPr defaultRowHeight="12.75"/>
  <cols>
    <col min="1" max="1" width="1.140625" style="1" customWidth="1"/>
    <col min="2" max="2" width="8.42578125" style="1" customWidth="1"/>
    <col min="3" max="3" width="12.7109375" style="1" customWidth="1"/>
    <col min="4" max="4" width="13.5703125" style="1" customWidth="1"/>
    <col min="5" max="5" width="14.28515625" style="1" customWidth="1"/>
    <col min="6" max="6" width="12.7109375" style="1" customWidth="1"/>
    <col min="7" max="7" width="12" style="1" customWidth="1"/>
    <col min="8" max="9" width="9.140625" style="1"/>
    <col min="10" max="10" width="9" style="1" customWidth="1"/>
    <col min="11" max="11" width="7.28515625" style="1" hidden="1" customWidth="1"/>
    <col min="12" max="16384" width="9.140625" style="1"/>
  </cols>
  <sheetData>
    <row r="1" spans="1:11" ht="13.5" thickBot="1">
      <c r="A1" s="4">
        <v>0</v>
      </c>
      <c r="B1" s="923" t="s">
        <v>356</v>
      </c>
      <c r="C1" s="923"/>
      <c r="D1" s="923"/>
      <c r="E1" s="923"/>
      <c r="F1" s="923"/>
      <c r="G1" s="923"/>
      <c r="H1" s="4"/>
    </row>
    <row r="2" spans="1:11" hidden="1">
      <c r="A2" s="4"/>
      <c r="B2" s="4"/>
      <c r="C2" s="4"/>
      <c r="D2" s="4"/>
      <c r="E2" s="4"/>
      <c r="F2" s="4"/>
      <c r="G2" s="4"/>
      <c r="H2" s="4"/>
    </row>
    <row r="3" spans="1:11" hidden="1">
      <c r="A3" s="4"/>
      <c r="B3" s="4"/>
      <c r="C3" s="4"/>
      <c r="D3" s="4"/>
      <c r="E3" s="4"/>
      <c r="F3" s="4"/>
      <c r="G3" s="4"/>
      <c r="H3" s="4"/>
      <c r="K3" s="1">
        <v>1</v>
      </c>
    </row>
    <row r="4" spans="1:11" hidden="1">
      <c r="A4" s="4"/>
      <c r="B4" s="4"/>
      <c r="C4" s="4"/>
      <c r="D4" s="4"/>
      <c r="E4" s="4"/>
      <c r="F4" s="4"/>
      <c r="G4" s="4"/>
      <c r="H4" s="4"/>
    </row>
    <row r="5" spans="1:11" hidden="1">
      <c r="A5" s="4"/>
      <c r="B5" s="4"/>
      <c r="C5" s="4"/>
      <c r="D5" s="4"/>
      <c r="E5" s="4"/>
      <c r="F5" s="4"/>
      <c r="G5" s="4"/>
      <c r="H5" s="4"/>
    </row>
    <row r="6" spans="1:11" ht="0.75" hidden="1" customHeight="1">
      <c r="A6" s="4"/>
      <c r="B6" s="926" t="s">
        <v>97</v>
      </c>
      <c r="C6" s="927"/>
      <c r="D6" s="928"/>
      <c r="E6" s="215"/>
      <c r="F6" s="20"/>
      <c r="G6" s="21"/>
      <c r="H6" s="4"/>
    </row>
    <row r="7" spans="1:11" ht="16.5" hidden="1" customHeight="1">
      <c r="A7" s="4"/>
      <c r="B7" s="907" t="s">
        <v>98</v>
      </c>
      <c r="C7" s="908"/>
      <c r="D7" s="908"/>
      <c r="E7" s="908"/>
      <c r="F7" s="908"/>
      <c r="G7" s="237">
        <f>E6</f>
        <v>0</v>
      </c>
      <c r="H7" s="4"/>
    </row>
    <row r="8" spans="1:11" ht="21.75" thickTop="1" thickBot="1">
      <c r="A8" s="4"/>
      <c r="B8" s="929" t="s">
        <v>99</v>
      </c>
      <c r="C8" s="930"/>
      <c r="D8" s="930"/>
      <c r="E8" s="930"/>
      <c r="F8" s="930"/>
      <c r="G8" s="931"/>
      <c r="H8" s="4"/>
    </row>
    <row r="9" spans="1:11" ht="16.5" thickTop="1">
      <c r="A9" s="4"/>
      <c r="B9" s="932" t="s">
        <v>100</v>
      </c>
      <c r="C9" s="933"/>
      <c r="D9" s="933"/>
      <c r="E9" s="933"/>
      <c r="F9" s="924" t="s">
        <v>101</v>
      </c>
      <c r="G9" s="925"/>
      <c r="H9" s="4"/>
    </row>
    <row r="10" spans="1:11" ht="15.75">
      <c r="A10" s="4"/>
      <c r="B10" s="242" t="s">
        <v>102</v>
      </c>
      <c r="C10" s="36">
        <v>0</v>
      </c>
      <c r="D10" s="23" t="s">
        <v>103</v>
      </c>
      <c r="E10" s="352">
        <v>1317.07</v>
      </c>
      <c r="F10" s="938">
        <v>0.08</v>
      </c>
      <c r="G10" s="939"/>
      <c r="H10" s="4"/>
    </row>
    <row r="11" spans="1:11" ht="15" customHeight="1">
      <c r="A11" s="4"/>
      <c r="B11" s="243" t="s">
        <v>102</v>
      </c>
      <c r="C11" s="36">
        <f>E10+0.01</f>
        <v>1317.08</v>
      </c>
      <c r="D11" s="22" t="s">
        <v>103</v>
      </c>
      <c r="E11" s="352">
        <v>2195.12</v>
      </c>
      <c r="F11" s="938">
        <v>0.09</v>
      </c>
      <c r="G11" s="939"/>
      <c r="H11" s="4"/>
    </row>
    <row r="12" spans="1:11" ht="0.75" hidden="1" customHeight="1">
      <c r="A12" s="4"/>
      <c r="B12" s="243" t="s">
        <v>102</v>
      </c>
      <c r="C12" s="348">
        <f>E11</f>
        <v>2195.12</v>
      </c>
      <c r="D12" s="22" t="s">
        <v>103</v>
      </c>
      <c r="E12" s="353">
        <f>E11</f>
        <v>2195.12</v>
      </c>
      <c r="F12" s="940">
        <f>F11</f>
        <v>0.09</v>
      </c>
      <c r="G12" s="941"/>
      <c r="H12" s="4"/>
    </row>
    <row r="13" spans="1:11" ht="15.75" customHeight="1" thickBot="1">
      <c r="A13" s="4"/>
      <c r="B13" s="244" t="s">
        <v>102</v>
      </c>
      <c r="C13" s="245">
        <f>E12+0.01</f>
        <v>2195.13</v>
      </c>
      <c r="D13" s="246" t="s">
        <v>103</v>
      </c>
      <c r="E13" s="354">
        <v>4390.24</v>
      </c>
      <c r="F13" s="942">
        <v>0.11</v>
      </c>
      <c r="G13" s="943"/>
      <c r="H13" s="4"/>
    </row>
    <row r="14" spans="1:11" ht="15.75" hidden="1">
      <c r="A14" s="4"/>
      <c r="B14" s="238" t="s">
        <v>102</v>
      </c>
      <c r="C14" s="239">
        <f>C13</f>
        <v>2195.13</v>
      </c>
      <c r="D14" s="240" t="s">
        <v>103</v>
      </c>
      <c r="E14" s="241">
        <f>E13</f>
        <v>4390.24</v>
      </c>
      <c r="F14" s="934">
        <f>F13</f>
        <v>0.11</v>
      </c>
      <c r="G14" s="935"/>
      <c r="H14" s="4"/>
    </row>
    <row r="15" spans="1:11" s="3" customFormat="1" ht="8.25" customHeight="1" thickTop="1">
      <c r="A15" s="24"/>
      <c r="B15" s="25"/>
      <c r="C15" s="26"/>
      <c r="D15" s="27"/>
      <c r="E15" s="28"/>
      <c r="F15" s="29"/>
      <c r="G15" s="30"/>
      <c r="H15" s="24"/>
    </row>
    <row r="16" spans="1:11" s="3" customFormat="1" ht="15.75" hidden="1">
      <c r="A16" s="24"/>
      <c r="B16" s="25"/>
      <c r="C16" s="26"/>
      <c r="D16" s="27"/>
      <c r="E16" s="28"/>
      <c r="F16" s="29"/>
      <c r="G16" s="30"/>
      <c r="H16" s="24"/>
    </row>
    <row r="17" spans="1:11" s="3" customFormat="1" ht="0.75" customHeight="1" thickBot="1">
      <c r="A17" s="24"/>
      <c r="B17" s="912" t="s">
        <v>115</v>
      </c>
      <c r="C17" s="913"/>
      <c r="D17" s="913"/>
      <c r="E17" s="913"/>
      <c r="F17" s="913"/>
      <c r="G17" s="247">
        <v>0</v>
      </c>
      <c r="H17" s="24"/>
    </row>
    <row r="18" spans="1:11" s="3" customFormat="1" ht="17.25" thickTop="1" thickBot="1">
      <c r="A18" s="24"/>
      <c r="B18" s="936" t="s">
        <v>116</v>
      </c>
      <c r="C18" s="937"/>
      <c r="D18" s="937"/>
      <c r="E18" s="937"/>
      <c r="F18" s="937"/>
      <c r="G18" s="461">
        <v>0</v>
      </c>
      <c r="H18" s="24"/>
    </row>
    <row r="19" spans="1:11" s="3" customFormat="1" ht="13.5" customHeight="1" thickTop="1">
      <c r="A19" s="24"/>
      <c r="B19" s="25"/>
      <c r="C19" s="26"/>
      <c r="D19" s="27"/>
      <c r="E19" s="28"/>
      <c r="F19" s="29"/>
      <c r="G19" s="30"/>
      <c r="H19" s="24"/>
      <c r="K19" s="459">
        <v>1</v>
      </c>
    </row>
    <row r="20" spans="1:11" s="3" customFormat="1" ht="18.75" customHeight="1">
      <c r="A20" s="24"/>
      <c r="B20" s="25"/>
      <c r="C20" s="26"/>
      <c r="D20" s="27"/>
      <c r="E20" s="28"/>
      <c r="F20" s="29"/>
      <c r="G20" s="30"/>
      <c r="H20" s="24"/>
    </row>
    <row r="21" spans="1:11" s="3" customFormat="1" ht="13.5" hidden="1" customHeight="1">
      <c r="A21" s="24"/>
      <c r="B21" s="25"/>
      <c r="C21" s="31"/>
      <c r="D21" s="27"/>
      <c r="E21" s="28"/>
      <c r="F21" s="32"/>
      <c r="G21" s="33"/>
      <c r="H21" s="24"/>
    </row>
    <row r="22" spans="1:11" ht="8.25" customHeight="1" thickBot="1">
      <c r="A22" s="4"/>
      <c r="B22" s="907"/>
      <c r="C22" s="908"/>
      <c r="D22" s="908"/>
      <c r="E22" s="908"/>
      <c r="F22" s="908"/>
      <c r="G22" s="237">
        <f>G7</f>
        <v>0</v>
      </c>
      <c r="H22" s="4"/>
    </row>
    <row r="23" spans="1:11" ht="19.5" thickTop="1" thickBot="1">
      <c r="A23" s="4"/>
      <c r="B23" s="917" t="s">
        <v>104</v>
      </c>
      <c r="C23" s="918"/>
      <c r="D23" s="918"/>
      <c r="E23" s="918"/>
      <c r="F23" s="918"/>
      <c r="G23" s="919"/>
      <c r="H23" s="4"/>
    </row>
    <row r="24" spans="1:11" ht="16.5" thickTop="1">
      <c r="A24" s="4"/>
      <c r="B24" s="441" t="s">
        <v>102</v>
      </c>
      <c r="C24" s="442">
        <v>0</v>
      </c>
      <c r="D24" s="34" t="s">
        <v>103</v>
      </c>
      <c r="E24" s="350">
        <v>1787.77</v>
      </c>
      <c r="F24" s="443">
        <v>0</v>
      </c>
      <c r="G24" s="272">
        <v>0</v>
      </c>
      <c r="H24" s="462" t="s">
        <v>105</v>
      </c>
    </row>
    <row r="25" spans="1:11" ht="15" customHeight="1">
      <c r="A25" s="4"/>
      <c r="B25" s="242" t="s">
        <v>102</v>
      </c>
      <c r="C25" s="37">
        <f>E24+0.01</f>
        <v>1787.78</v>
      </c>
      <c r="D25" s="34" t="s">
        <v>103</v>
      </c>
      <c r="E25" s="351">
        <v>2679.29</v>
      </c>
      <c r="F25" s="355">
        <v>7.4999999999999997E-2</v>
      </c>
      <c r="G25" s="741">
        <f>E24*F25</f>
        <v>134.08000000000001</v>
      </c>
      <c r="H25" s="4"/>
    </row>
    <row r="26" spans="1:11" ht="15.75" customHeight="1">
      <c r="A26" s="4"/>
      <c r="B26" s="242" t="s">
        <v>102</v>
      </c>
      <c r="C26" s="37">
        <f>E25+0.01</f>
        <v>2679.3</v>
      </c>
      <c r="D26" s="34" t="s">
        <v>103</v>
      </c>
      <c r="E26" s="351">
        <v>3572.43</v>
      </c>
      <c r="F26" s="355">
        <v>0.15</v>
      </c>
      <c r="G26" s="741">
        <f>E25*(F26-F25)+G25</f>
        <v>335.03</v>
      </c>
      <c r="H26" s="4"/>
    </row>
    <row r="27" spans="1:11" ht="15.75" customHeight="1">
      <c r="A27" s="4"/>
      <c r="B27" s="242" t="s">
        <v>102</v>
      </c>
      <c r="C27" s="37">
        <f>E26+0.01</f>
        <v>3572.44</v>
      </c>
      <c r="D27" s="34" t="s">
        <v>103</v>
      </c>
      <c r="E27" s="351">
        <v>4463.8100000000004</v>
      </c>
      <c r="F27" s="355">
        <v>0.22500000000000001</v>
      </c>
      <c r="G27" s="741">
        <f>E26*(F27-F26)+G26</f>
        <v>602.96</v>
      </c>
      <c r="H27" s="4"/>
    </row>
    <row r="28" spans="1:11" ht="15.75">
      <c r="A28" s="4"/>
      <c r="B28" s="444" t="s">
        <v>102</v>
      </c>
      <c r="C28" s="37">
        <f>E27+0.01</f>
        <v>4463.82</v>
      </c>
      <c r="D28" s="34" t="s">
        <v>103</v>
      </c>
      <c r="E28" s="445">
        <v>9999999999999.9902</v>
      </c>
      <c r="F28" s="355">
        <v>0.27500000000000002</v>
      </c>
      <c r="G28" s="741">
        <f>E27*(F28-F27)+G27</f>
        <v>826.15</v>
      </c>
      <c r="H28" s="4"/>
    </row>
    <row r="29" spans="1:11" ht="15.75">
      <c r="A29" s="4"/>
      <c r="B29" s="914" t="s">
        <v>130</v>
      </c>
      <c r="C29" s="915"/>
      <c r="D29" s="915"/>
      <c r="E29" s="915"/>
      <c r="F29" s="916"/>
      <c r="G29" s="349">
        <v>179.71</v>
      </c>
      <c r="H29" s="4"/>
    </row>
    <row r="30" spans="1:11" ht="18.75" customHeight="1" thickBot="1">
      <c r="A30" s="4"/>
      <c r="B30" s="909" t="s">
        <v>276</v>
      </c>
      <c r="C30" s="910"/>
      <c r="D30" s="910"/>
      <c r="E30" s="910"/>
      <c r="F30" s="911"/>
      <c r="G30" s="419">
        <v>10</v>
      </c>
      <c r="H30" s="4"/>
    </row>
    <row r="31" spans="1:11" ht="18" hidden="1" customHeight="1" thickTop="1" thickBot="1">
      <c r="A31" s="4"/>
      <c r="B31" s="904" t="s">
        <v>368</v>
      </c>
      <c r="C31" s="905"/>
      <c r="D31" s="905"/>
      <c r="E31" s="905"/>
      <c r="F31" s="906"/>
      <c r="G31" s="418">
        <f ca="1">IF(DADOS!M8&lt;65,0,IF(DADOS!M8&gt;=65,TB!E24))</f>
        <v>1787.77</v>
      </c>
      <c r="H31" s="4"/>
    </row>
    <row r="32" spans="1:11" ht="20.25" hidden="1" customHeight="1" thickTop="1" thickBot="1">
      <c r="A32" s="4"/>
      <c r="B32" s="920" t="s">
        <v>287</v>
      </c>
      <c r="C32" s="921"/>
      <c r="D32" s="921"/>
      <c r="E32" s="921"/>
      <c r="F32" s="922"/>
      <c r="G32" s="334">
        <v>0</v>
      </c>
      <c r="H32" s="4"/>
    </row>
    <row r="33" spans="1:8" ht="18" hidden="1" customHeight="1" thickTop="1">
      <c r="A33" s="4"/>
      <c r="B33" s="4" t="s">
        <v>110</v>
      </c>
      <c r="C33" s="4"/>
      <c r="D33" s="4"/>
      <c r="E33" s="4"/>
      <c r="F33" s="35">
        <v>30</v>
      </c>
      <c r="G33" s="4"/>
      <c r="H33" s="4"/>
    </row>
    <row r="34" spans="1:8" ht="13.5" thickTop="1">
      <c r="A34" s="4"/>
      <c r="B34" s="463" t="str">
        <f>AJ!A1</f>
        <v>(FÉRIAS JANEIRO 2014) - ATUALIZADO 03/2014 - V14 (19/03/2013)</v>
      </c>
      <c r="C34" s="4"/>
      <c r="D34" s="4"/>
      <c r="E34" s="4"/>
      <c r="F34" s="4"/>
      <c r="G34" s="4"/>
      <c r="H34" s="4"/>
    </row>
    <row r="35" spans="1:8">
      <c r="A35" s="4"/>
      <c r="B35" s="463"/>
      <c r="C35" s="4"/>
      <c r="D35" s="4"/>
      <c r="E35" s="4"/>
      <c r="F35" s="4"/>
      <c r="G35" s="4"/>
      <c r="H35" s="4"/>
    </row>
    <row r="36" spans="1:8">
      <c r="A36" s="4"/>
      <c r="B36" s="4"/>
      <c r="C36" s="4"/>
      <c r="D36" s="4"/>
      <c r="E36" s="4"/>
      <c r="F36" s="4"/>
      <c r="G36" s="4"/>
      <c r="H36" s="4"/>
    </row>
    <row r="37" spans="1:8">
      <c r="A37" s="4"/>
      <c r="B37" s="4"/>
      <c r="C37" s="4"/>
      <c r="D37" s="4"/>
      <c r="E37" s="4"/>
      <c r="F37" s="4"/>
      <c r="G37" s="4"/>
      <c r="H37" s="4"/>
    </row>
    <row r="38" spans="1:8">
      <c r="A38" s="4"/>
      <c r="B38" s="4"/>
      <c r="C38" s="4"/>
      <c r="D38" s="4"/>
      <c r="E38" s="4"/>
      <c r="F38" s="4"/>
      <c r="G38" s="4"/>
      <c r="H38" s="4"/>
    </row>
    <row r="39" spans="1:8">
      <c r="A39" s="4"/>
      <c r="B39" s="4"/>
      <c r="C39" s="4"/>
      <c r="D39" s="4"/>
      <c r="E39" s="4"/>
      <c r="F39" s="4"/>
      <c r="G39" s="4"/>
      <c r="H39" s="4"/>
    </row>
    <row r="40" spans="1:8">
      <c r="A40" s="4"/>
      <c r="B40" s="4"/>
      <c r="C40" s="4"/>
      <c r="D40" s="4"/>
      <c r="E40" s="4"/>
      <c r="F40" s="4"/>
      <c r="G40" s="4"/>
      <c r="H40" s="4"/>
    </row>
    <row r="41" spans="1:8">
      <c r="A41" s="4"/>
      <c r="B41" s="4"/>
      <c r="C41" s="4"/>
      <c r="D41" s="4"/>
      <c r="E41" s="4"/>
      <c r="F41" s="4"/>
      <c r="G41" s="4"/>
      <c r="H41" s="4"/>
    </row>
    <row r="42" spans="1:8">
      <c r="A42" s="4"/>
      <c r="B42" s="4"/>
      <c r="C42" s="4"/>
      <c r="D42" s="4"/>
      <c r="E42" s="4"/>
      <c r="F42" s="4"/>
      <c r="G42" s="4"/>
      <c r="H42" s="4"/>
    </row>
    <row r="43" spans="1:8">
      <c r="A43" s="4"/>
      <c r="B43" s="4"/>
      <c r="C43" s="4"/>
      <c r="D43" s="4"/>
      <c r="E43" s="4"/>
      <c r="F43" s="4"/>
      <c r="G43" s="4"/>
      <c r="H43" s="4"/>
    </row>
    <row r="44" spans="1:8">
      <c r="A44" s="4"/>
      <c r="B44" s="4"/>
      <c r="C44" s="4"/>
      <c r="D44" s="4"/>
      <c r="E44" s="4"/>
      <c r="F44" s="4"/>
      <c r="G44" s="4"/>
      <c r="H44" s="4"/>
    </row>
    <row r="45" spans="1:8">
      <c r="A45" s="4"/>
      <c r="B45" s="4"/>
      <c r="C45" s="4"/>
      <c r="D45" s="4"/>
      <c r="E45" s="4"/>
      <c r="F45" s="4"/>
      <c r="G45" s="4"/>
      <c r="H45" s="4"/>
    </row>
    <row r="46" spans="1:8">
      <c r="A46" s="4"/>
      <c r="B46" s="4"/>
      <c r="C46" s="4"/>
      <c r="D46" s="4"/>
      <c r="E46" s="4"/>
      <c r="F46" s="4"/>
      <c r="G46" s="4"/>
      <c r="H46" s="4"/>
    </row>
    <row r="47" spans="1:8">
      <c r="A47" s="4"/>
      <c r="B47" s="4"/>
      <c r="C47" s="4"/>
      <c r="D47" s="4"/>
      <c r="E47" s="4"/>
      <c r="F47" s="4"/>
      <c r="G47" s="4"/>
      <c r="H47" s="4"/>
    </row>
    <row r="48" spans="1:8">
      <c r="A48" s="4"/>
      <c r="B48" s="4"/>
      <c r="C48" s="4"/>
      <c r="D48" s="4"/>
      <c r="E48" s="4"/>
      <c r="F48" s="4"/>
      <c r="G48" s="4"/>
      <c r="H48" s="4"/>
    </row>
    <row r="49" spans="1:8">
      <c r="A49" s="4"/>
      <c r="B49" s="4"/>
      <c r="C49" s="4"/>
      <c r="D49" s="4"/>
      <c r="E49" s="4"/>
      <c r="F49" s="4"/>
      <c r="G49" s="4"/>
      <c r="H49" s="4"/>
    </row>
    <row r="50" spans="1:8">
      <c r="A50" s="4"/>
      <c r="B50" s="4"/>
      <c r="C50" s="4"/>
      <c r="D50" s="4"/>
      <c r="E50" s="4"/>
      <c r="F50" s="4"/>
      <c r="G50" s="4"/>
      <c r="H50" s="4"/>
    </row>
    <row r="51" spans="1:8">
      <c r="A51" s="4"/>
      <c r="B51" s="4"/>
      <c r="C51" s="4"/>
      <c r="D51" s="4"/>
      <c r="E51" s="4"/>
      <c r="F51" s="4"/>
      <c r="G51" s="4"/>
      <c r="H51" s="4"/>
    </row>
    <row r="52" spans="1:8">
      <c r="A52" s="4"/>
      <c r="B52" s="4"/>
      <c r="C52" s="4"/>
      <c r="D52" s="4"/>
      <c r="E52" s="4"/>
      <c r="F52" s="4"/>
      <c r="G52" s="4"/>
      <c r="H52" s="4"/>
    </row>
    <row r="53" spans="1:8">
      <c r="A53" s="4"/>
      <c r="B53" s="4"/>
      <c r="C53" s="4"/>
      <c r="D53" s="4"/>
      <c r="E53" s="4"/>
      <c r="F53" s="4"/>
      <c r="G53" s="4"/>
      <c r="H53" s="4"/>
    </row>
    <row r="54" spans="1:8">
      <c r="A54" s="4"/>
      <c r="B54" s="4"/>
      <c r="C54" s="4"/>
      <c r="D54" s="4"/>
      <c r="E54" s="4"/>
      <c r="F54" s="4"/>
      <c r="G54" s="4"/>
      <c r="H54" s="4"/>
    </row>
    <row r="55" spans="1:8">
      <c r="A55" s="4"/>
      <c r="B55" s="4"/>
      <c r="C55" s="4"/>
      <c r="D55" s="4"/>
      <c r="E55" s="4"/>
      <c r="F55" s="4"/>
      <c r="G55" s="4"/>
      <c r="H55" s="4"/>
    </row>
    <row r="56" spans="1:8">
      <c r="A56" s="4"/>
      <c r="B56" s="4"/>
      <c r="C56" s="4"/>
      <c r="D56" s="4"/>
      <c r="E56" s="4"/>
      <c r="F56" s="4"/>
      <c r="G56" s="4"/>
      <c r="H56" s="4"/>
    </row>
    <row r="57" spans="1:8">
      <c r="A57" s="4"/>
      <c r="B57" s="4"/>
      <c r="C57" s="4"/>
      <c r="D57" s="4"/>
      <c r="E57" s="4"/>
      <c r="F57" s="4"/>
      <c r="G57" s="4"/>
      <c r="H57" s="4"/>
    </row>
    <row r="58" spans="1:8">
      <c r="A58" s="4"/>
      <c r="B58" s="4"/>
      <c r="C58" s="4"/>
      <c r="D58" s="4"/>
      <c r="E58" s="4"/>
      <c r="F58" s="4"/>
      <c r="G58" s="4"/>
      <c r="H58" s="4"/>
    </row>
    <row r="59" spans="1:8">
      <c r="A59" s="4"/>
      <c r="B59" s="4"/>
      <c r="C59" s="4"/>
      <c r="D59" s="4"/>
      <c r="E59" s="4"/>
      <c r="F59" s="4"/>
      <c r="G59" s="4"/>
      <c r="H59" s="4"/>
    </row>
    <row r="60" spans="1:8">
      <c r="A60" s="4"/>
      <c r="B60" s="4"/>
      <c r="C60" s="4"/>
      <c r="D60" s="4"/>
      <c r="E60" s="4"/>
      <c r="F60" s="4"/>
      <c r="G60" s="4"/>
      <c r="H60" s="4"/>
    </row>
    <row r="61" spans="1:8">
      <c r="A61" s="4"/>
      <c r="B61" s="4"/>
      <c r="C61" s="4"/>
      <c r="D61" s="4"/>
      <c r="E61" s="4"/>
      <c r="F61" s="4"/>
      <c r="G61" s="4"/>
      <c r="H61" s="4"/>
    </row>
    <row r="62" spans="1:8">
      <c r="A62" s="4"/>
      <c r="B62" s="4"/>
      <c r="C62" s="4"/>
      <c r="D62" s="4"/>
      <c r="E62" s="4"/>
      <c r="F62" s="4"/>
      <c r="G62" s="4"/>
      <c r="H62" s="4"/>
    </row>
    <row r="63" spans="1:8">
      <c r="A63" s="4"/>
      <c r="B63" s="4"/>
      <c r="C63" s="4"/>
      <c r="D63" s="4"/>
      <c r="E63" s="4"/>
      <c r="F63" s="4"/>
      <c r="G63" s="4"/>
      <c r="H63" s="4"/>
    </row>
    <row r="64" spans="1:8">
      <c r="A64" s="4"/>
      <c r="B64" s="4"/>
      <c r="C64" s="4"/>
      <c r="D64" s="4"/>
      <c r="E64" s="4"/>
      <c r="F64" s="4"/>
      <c r="G64" s="4"/>
      <c r="H64" s="4"/>
    </row>
    <row r="65" spans="1:8">
      <c r="A65" s="4"/>
      <c r="B65" s="4"/>
      <c r="C65" s="4"/>
      <c r="D65" s="4"/>
      <c r="E65" s="4"/>
      <c r="F65" s="4"/>
      <c r="G65" s="4"/>
      <c r="H65" s="4"/>
    </row>
    <row r="66" spans="1:8">
      <c r="A66" s="4"/>
      <c r="B66" s="4"/>
      <c r="C66" s="4"/>
      <c r="D66" s="4"/>
      <c r="E66" s="4"/>
      <c r="F66" s="4"/>
      <c r="G66" s="4"/>
      <c r="H66" s="4"/>
    </row>
    <row r="67" spans="1:8">
      <c r="A67" s="4"/>
      <c r="B67" s="4"/>
      <c r="C67" s="4"/>
      <c r="D67" s="4"/>
      <c r="E67" s="4"/>
      <c r="F67" s="4"/>
      <c r="G67" s="4"/>
      <c r="H67" s="4"/>
    </row>
    <row r="68" spans="1:8">
      <c r="A68" s="4"/>
      <c r="B68" s="4"/>
      <c r="C68" s="4"/>
      <c r="D68" s="4"/>
      <c r="E68" s="4"/>
      <c r="F68" s="4"/>
      <c r="G68" s="4"/>
      <c r="H68" s="4"/>
    </row>
    <row r="69" spans="1:8">
      <c r="A69" s="4"/>
      <c r="B69" s="4"/>
      <c r="C69" s="4"/>
      <c r="D69" s="4"/>
      <c r="E69" s="4"/>
      <c r="F69" s="4"/>
      <c r="G69" s="4"/>
      <c r="H69" s="4"/>
    </row>
  </sheetData>
  <sheetProtection password="CEBA" sheet="1" selectLockedCells="1"/>
  <dataConsolidate/>
  <mergeCells count="19">
    <mergeCell ref="B32:F32"/>
    <mergeCell ref="B1:G1"/>
    <mergeCell ref="F9:G9"/>
    <mergeCell ref="B6:D6"/>
    <mergeCell ref="B7:F7"/>
    <mergeCell ref="B8:G8"/>
    <mergeCell ref="B9:E9"/>
    <mergeCell ref="F14:G14"/>
    <mergeCell ref="B18:F18"/>
    <mergeCell ref="F11:G11"/>
    <mergeCell ref="F10:G10"/>
    <mergeCell ref="F12:G12"/>
    <mergeCell ref="F13:G13"/>
    <mergeCell ref="B31:F31"/>
    <mergeCell ref="B22:F22"/>
    <mergeCell ref="B30:F30"/>
    <mergeCell ref="B17:F17"/>
    <mergeCell ref="B29:F29"/>
    <mergeCell ref="B23:G23"/>
  </mergeCells>
  <phoneticPr fontId="0" type="noConversion"/>
  <dataValidations xWindow="626" yWindow="320" count="3">
    <dataValidation allowBlank="1" showInputMessage="1" showErrorMessage="1" promptTitle="TABELA DO IMPOSTO DE RENDA!!!!" prompt="MANUTENÇÃO SOMENTE QUANDO HOUVER ALTERAÇÃO POR PARTE DO GOVERNO" sqref="G24:G32 B23:B29 B32 E24:F28 D24 C25:D28"/>
    <dataValidation allowBlank="1" showInputMessage="1" showErrorMessage="1" promptTitle="TABELA DO INSS!!!!!" prompt="MANUTENÇÃO SOMENTE QUANDO HOUVER ALTERAÇÃO POR PARTE DA PREVIDÊNCIA SOCIAL" sqref="C8:E8 B8:B14 C10:E14 F8:F14"/>
    <dataValidation allowBlank="1" showErrorMessage="1" sqref="B15:G15"/>
  </dataValidations>
  <printOptions horizontalCentered="1" verticalCentered="1"/>
  <pageMargins left="0.78740157480314965" right="0.78740157480314965" top="0.98425196850393704" bottom="0.98425196850393704" header="0.51181102362204722" footer="0.51181102362204722"/>
  <pageSetup paperSize="9" orientation="portrait" horizontalDpi="120" verticalDpi="14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sheetPr codeName="Plan7"/>
  <dimension ref="A1:IO698"/>
  <sheetViews>
    <sheetView workbookViewId="0">
      <pane xSplit="2" ySplit="4" topLeftCell="CC5" activePane="bottomRight" state="frozen"/>
      <selection activeCell="A3" sqref="A3"/>
      <selection pane="topRight" activeCell="C3" sqref="C3"/>
      <selection pane="bottomLeft" activeCell="A5" sqref="A5"/>
      <selection pane="bottomRight" activeCell="CK6" sqref="CK6"/>
    </sheetView>
  </sheetViews>
  <sheetFormatPr defaultColWidth="0" defaultRowHeight="12.75"/>
  <cols>
    <col min="1" max="1" width="3.5703125" style="200" hidden="1" customWidth="1"/>
    <col min="2" max="2" width="28.7109375" customWidth="1"/>
    <col min="3" max="3" width="0.42578125" hidden="1" customWidth="1"/>
    <col min="4" max="4" width="5" customWidth="1"/>
    <col min="5" max="5" width="4.5703125" bestFit="1" customWidth="1"/>
    <col min="6" max="6" width="11.85546875" bestFit="1" customWidth="1"/>
    <col min="7" max="7" width="2.85546875" style="200" customWidth="1"/>
    <col min="8" max="8" width="11.85546875" customWidth="1"/>
    <col min="9" max="9" width="3.85546875" hidden="1" customWidth="1"/>
    <col min="10" max="10" width="3.5703125" bestFit="1" customWidth="1"/>
    <col min="11" max="11" width="14.42578125" bestFit="1" customWidth="1"/>
    <col min="12" max="12" width="12.140625" bestFit="1" customWidth="1"/>
    <col min="13" max="13" width="8.140625" customWidth="1"/>
    <col min="14" max="14" width="8.7109375" hidden="1" customWidth="1"/>
    <col min="15" max="15" width="8" hidden="1" customWidth="1"/>
    <col min="16" max="16" width="6" hidden="1" customWidth="1"/>
    <col min="17" max="17" width="0.140625" hidden="1" customWidth="1"/>
    <col min="18" max="18" width="7.28515625" hidden="1" customWidth="1"/>
    <col min="19" max="19" width="6.7109375" hidden="1" customWidth="1"/>
    <col min="20" max="20" width="7.7109375" hidden="1" customWidth="1"/>
    <col min="21" max="21" width="10.7109375" hidden="1" customWidth="1"/>
    <col min="22" max="22" width="21.85546875" hidden="1" customWidth="1"/>
    <col min="23" max="23" width="14.28515625" hidden="1" customWidth="1"/>
    <col min="24" max="24" width="8.28515625" hidden="1" customWidth="1"/>
    <col min="25" max="25" width="8.7109375" hidden="1" customWidth="1"/>
    <col min="26" max="26" width="12.7109375" hidden="1" customWidth="1"/>
    <col min="27" max="27" width="11.140625" hidden="1" customWidth="1"/>
    <col min="28" max="28" width="13.85546875" hidden="1" customWidth="1"/>
    <col min="29" max="29" width="8.28515625" hidden="1" customWidth="1"/>
    <col min="30" max="30" width="8.7109375" hidden="1" customWidth="1"/>
    <col min="31" max="31" width="12.7109375" hidden="1" customWidth="1"/>
    <col min="32" max="32" width="11.140625" hidden="1" customWidth="1"/>
    <col min="33" max="33" width="23.42578125" hidden="1" customWidth="1"/>
    <col min="34" max="34" width="14.28515625" hidden="1" customWidth="1"/>
    <col min="35" max="35" width="29.42578125" hidden="1" customWidth="1"/>
    <col min="36" max="36" width="14.42578125" hidden="1" customWidth="1"/>
    <col min="37" max="37" width="11.85546875" customWidth="1"/>
    <col min="38" max="38" width="13.28515625" hidden="1" customWidth="1"/>
    <col min="39" max="39" width="10.140625" hidden="1" customWidth="1"/>
    <col min="40" max="40" width="11.7109375" bestFit="1" customWidth="1"/>
    <col min="41" max="41" width="8.85546875" customWidth="1"/>
    <col min="42" max="42" width="20.28515625" hidden="1" customWidth="1"/>
    <col min="43" max="43" width="9.7109375" hidden="1" customWidth="1"/>
    <col min="44" max="44" width="13.85546875" hidden="1" customWidth="1"/>
    <col min="45" max="45" width="10.85546875" hidden="1" customWidth="1"/>
    <col min="46" max="46" width="5.7109375" hidden="1" customWidth="1"/>
    <col min="47" max="47" width="17.28515625" hidden="1" customWidth="1"/>
    <col min="48" max="48" width="2.85546875" hidden="1" customWidth="1"/>
    <col min="49" max="49" width="14.42578125" customWidth="1"/>
    <col min="50" max="50" width="9.42578125" hidden="1" customWidth="1"/>
    <col min="51" max="51" width="16.5703125" hidden="1" customWidth="1"/>
    <col min="52" max="52" width="5.5703125" hidden="1" customWidth="1"/>
    <col min="53" max="53" width="6.7109375" hidden="1" customWidth="1"/>
    <col min="54" max="54" width="32" hidden="1" customWidth="1"/>
    <col min="55" max="55" width="10.140625" hidden="1" customWidth="1"/>
    <col min="56" max="56" width="6.7109375" hidden="1" customWidth="1"/>
    <col min="57" max="57" width="15" customWidth="1"/>
    <col min="58" max="58" width="6.85546875" hidden="1" customWidth="1"/>
    <col min="59" max="59" width="14.5703125" hidden="1" customWidth="1"/>
    <col min="60" max="60" width="10.28515625" hidden="1" customWidth="1"/>
    <col min="61" max="61" width="8.5703125" hidden="1" customWidth="1"/>
    <col min="62" max="62" width="0.28515625" hidden="1" customWidth="1"/>
    <col min="63" max="63" width="4" hidden="1" customWidth="1"/>
    <col min="64" max="64" width="16.7109375" hidden="1" customWidth="1"/>
    <col min="65" max="65" width="18.85546875" hidden="1" customWidth="1"/>
    <col min="66" max="66" width="9.7109375" hidden="1" customWidth="1"/>
    <col min="67" max="67" width="23.42578125" hidden="1" customWidth="1"/>
    <col min="68" max="68" width="12" hidden="1" customWidth="1"/>
    <col min="69" max="69" width="3.5703125" hidden="1" customWidth="1"/>
    <col min="70" max="70" width="15.5703125" hidden="1" customWidth="1"/>
    <col min="71" max="72" width="13.28515625" hidden="1" customWidth="1"/>
    <col min="73" max="73" width="17.5703125" hidden="1" customWidth="1"/>
    <col min="74" max="74" width="7.85546875" hidden="1" customWidth="1"/>
    <col min="75" max="75" width="13.85546875" hidden="1" customWidth="1"/>
    <col min="76" max="76" width="11.140625" hidden="1" customWidth="1"/>
    <col min="77" max="77" width="15.85546875" hidden="1" customWidth="1"/>
    <col min="78" max="78" width="14.140625" hidden="1" customWidth="1"/>
    <col min="79" max="79" width="17.7109375" hidden="1" customWidth="1"/>
    <col min="80" max="80" width="12.42578125" hidden="1" customWidth="1"/>
    <col min="81" max="81" width="5.28515625" customWidth="1"/>
    <col min="82" max="82" width="5" customWidth="1"/>
    <col min="83" max="83" width="11.42578125" customWidth="1"/>
    <col min="84" max="84" width="7.5703125" customWidth="1"/>
    <col min="85" max="85" width="16.5703125" bestFit="1" customWidth="1"/>
    <col min="86" max="86" width="10.5703125" bestFit="1" customWidth="1"/>
    <col min="87" max="87" width="15.5703125" customWidth="1"/>
    <col min="88" max="89" width="14.5703125" customWidth="1"/>
    <col min="90" max="90" width="40.7109375" hidden="1" customWidth="1"/>
    <col min="91" max="91" width="28.85546875" hidden="1" customWidth="1"/>
    <col min="92" max="92" width="0.140625" hidden="1" customWidth="1"/>
    <col min="93" max="93" width="8.7109375" hidden="1" customWidth="1"/>
    <col min="94" max="94" width="18.7109375" hidden="1" customWidth="1"/>
    <col min="95" max="96" width="8.7109375" hidden="1" customWidth="1"/>
    <col min="97" max="97" width="7" hidden="1" customWidth="1"/>
    <col min="98" max="98" width="8.7109375" hidden="1" customWidth="1"/>
    <col min="99" max="99" width="15.28515625" hidden="1" customWidth="1"/>
    <col min="100" max="100" width="21.42578125" hidden="1" customWidth="1"/>
    <col min="101" max="102" width="11.7109375" hidden="1" customWidth="1"/>
    <col min="103" max="103" width="12.140625" hidden="1" customWidth="1"/>
    <col min="104" max="104" width="10.42578125" hidden="1" customWidth="1"/>
    <col min="105" max="105" width="9.28515625" hidden="1" customWidth="1"/>
    <col min="106" max="106" width="6" hidden="1" customWidth="1"/>
    <col min="107" max="107" width="6.42578125" hidden="1" customWidth="1"/>
    <col min="108" max="108" width="12.7109375" hidden="1" customWidth="1"/>
    <col min="109" max="109" width="11.140625" hidden="1" customWidth="1"/>
    <col min="110" max="110" width="21.7109375" hidden="1" customWidth="1"/>
    <col min="111" max="112" width="11.7109375" hidden="1" customWidth="1"/>
    <col min="113" max="113" width="12.140625" hidden="1" customWidth="1"/>
    <col min="114" max="114" width="11.85546875" hidden="1" customWidth="1"/>
    <col min="115" max="115" width="8.7109375" hidden="1" customWidth="1"/>
    <col min="116" max="116" width="6" hidden="1" customWidth="1"/>
    <col min="117" max="117" width="6.42578125" hidden="1" customWidth="1"/>
    <col min="118" max="118" width="12.7109375" hidden="1" customWidth="1"/>
    <col min="119" max="119" width="15.85546875" hidden="1" customWidth="1"/>
    <col min="120" max="120" width="22" hidden="1" customWidth="1"/>
    <col min="121" max="122" width="11.7109375" hidden="1" customWidth="1"/>
    <col min="123" max="124" width="11.85546875" hidden="1" customWidth="1"/>
    <col min="125" max="125" width="9.28515625" hidden="1" customWidth="1"/>
    <col min="126" max="126" width="6" hidden="1" customWidth="1"/>
    <col min="127" max="127" width="6.42578125" hidden="1" customWidth="1"/>
    <col min="128" max="128" width="12.7109375" hidden="1" customWidth="1"/>
    <col min="129" max="129" width="15.85546875" hidden="1" customWidth="1"/>
    <col min="130" max="130" width="22" hidden="1" customWidth="1"/>
    <col min="131" max="132" width="11.7109375" hidden="1" customWidth="1"/>
    <col min="133" max="133" width="11.42578125" hidden="1" customWidth="1"/>
    <col min="134" max="134" width="11.85546875" hidden="1" customWidth="1"/>
    <col min="135" max="135" width="9.28515625" hidden="1" customWidth="1"/>
    <col min="136" max="136" width="6" hidden="1" customWidth="1"/>
    <col min="137" max="137" width="6.42578125" hidden="1" customWidth="1"/>
    <col min="138" max="138" width="12.42578125" hidden="1" customWidth="1"/>
    <col min="139" max="139" width="16.140625" hidden="1" customWidth="1"/>
    <col min="140" max="140" width="22" hidden="1" customWidth="1"/>
    <col min="141" max="142" width="11.7109375" hidden="1" customWidth="1"/>
    <col min="143" max="143" width="12" hidden="1" customWidth="1"/>
    <col min="144" max="144" width="11.85546875" hidden="1" customWidth="1"/>
    <col min="145" max="145" width="9.28515625" hidden="1" customWidth="1"/>
    <col min="146" max="146" width="6" hidden="1" customWidth="1"/>
    <col min="147" max="147" width="6.42578125" hidden="1" customWidth="1"/>
    <col min="148" max="148" width="12.7109375" hidden="1" customWidth="1"/>
    <col min="149" max="149" width="16" hidden="1" customWidth="1"/>
    <col min="150" max="150" width="22" hidden="1" customWidth="1"/>
    <col min="151" max="151" width="11.7109375" hidden="1" customWidth="1"/>
    <col min="152" max="152" width="11.42578125" hidden="1" customWidth="1"/>
    <col min="153" max="153" width="12.140625" hidden="1" customWidth="1"/>
    <col min="154" max="154" width="11.85546875" hidden="1" customWidth="1"/>
    <col min="155" max="155" width="9.28515625" hidden="1" customWidth="1"/>
    <col min="156" max="157" width="6" hidden="1" customWidth="1"/>
    <col min="158" max="158" width="12.7109375" hidden="1" customWidth="1"/>
    <col min="159" max="159" width="6.5703125" hidden="1" customWidth="1"/>
    <col min="160" max="160" width="2.7109375" hidden="1" customWidth="1"/>
    <col min="161" max="161" width="0.28515625" hidden="1" customWidth="1"/>
    <col min="162" max="163" width="6" hidden="1" customWidth="1"/>
    <col min="164" max="164" width="6.28515625" hidden="1" customWidth="1"/>
    <col min="165" max="165" width="6.140625" hidden="1" customWidth="1"/>
    <col min="166" max="167" width="6" hidden="1" customWidth="1"/>
    <col min="168" max="168" width="10.7109375" hidden="1" customWidth="1"/>
    <col min="169" max="185" width="5.140625" hidden="1" customWidth="1"/>
    <col min="186" max="186" width="1.85546875" hidden="1" customWidth="1"/>
    <col min="187" max="196" width="5.140625" hidden="1" customWidth="1"/>
    <col min="197" max="197" width="3.28515625" hidden="1" customWidth="1"/>
    <col min="198" max="214" width="5.140625" hidden="1" customWidth="1"/>
    <col min="215" max="215" width="3.140625" hidden="1" customWidth="1"/>
    <col min="216" max="223" width="5.140625" hidden="1" customWidth="1"/>
    <col min="224" max="224" width="4.85546875" hidden="1" customWidth="1"/>
    <col min="225" max="225" width="5.140625" hidden="1" customWidth="1"/>
    <col min="226" max="226" width="4.85546875" hidden="1" customWidth="1"/>
    <col min="227" max="235" width="5.140625" hidden="1" customWidth="1"/>
    <col min="236" max="236" width="13.140625" hidden="1" customWidth="1"/>
    <col min="237" max="240" width="5.140625" hidden="1" customWidth="1"/>
    <col min="241" max="245" width="9.140625" hidden="1" customWidth="1"/>
    <col min="246" max="246" width="1.140625" hidden="1" customWidth="1"/>
    <col min="247" max="248" width="9.140625" hidden="1" customWidth="1"/>
    <col min="249" max="249" width="1.85546875" hidden="1" customWidth="1"/>
  </cols>
  <sheetData>
    <row r="1" spans="1:247" ht="1.5" customHeight="1" thickBot="1">
      <c r="A1" s="197">
        <v>1</v>
      </c>
      <c r="B1">
        <v>2</v>
      </c>
      <c r="C1">
        <v>3</v>
      </c>
      <c r="D1">
        <v>4</v>
      </c>
      <c r="E1">
        <v>5</v>
      </c>
      <c r="F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c r="BT1">
        <v>71</v>
      </c>
      <c r="BU1">
        <v>72</v>
      </c>
      <c r="BV1">
        <v>73</v>
      </c>
      <c r="BW1">
        <v>74</v>
      </c>
      <c r="BX1">
        <v>75</v>
      </c>
      <c r="BY1">
        <v>76</v>
      </c>
      <c r="BZ1">
        <v>77</v>
      </c>
      <c r="CA1">
        <v>78</v>
      </c>
      <c r="CB1">
        <v>79</v>
      </c>
      <c r="CC1">
        <v>81</v>
      </c>
      <c r="CD1">
        <v>82</v>
      </c>
      <c r="CE1">
        <v>83</v>
      </c>
      <c r="CF1">
        <v>84</v>
      </c>
      <c r="CG1">
        <v>84</v>
      </c>
      <c r="CH1">
        <v>85</v>
      </c>
      <c r="CI1">
        <v>86</v>
      </c>
      <c r="CJ1">
        <v>87</v>
      </c>
      <c r="CK1">
        <v>88</v>
      </c>
      <c r="CL1">
        <v>89</v>
      </c>
      <c r="CM1">
        <v>90</v>
      </c>
      <c r="CN1">
        <v>91</v>
      </c>
      <c r="CO1">
        <v>92</v>
      </c>
      <c r="CP1">
        <v>93</v>
      </c>
      <c r="CQ1">
        <v>94</v>
      </c>
      <c r="CR1">
        <v>95</v>
      </c>
      <c r="CS1">
        <v>96</v>
      </c>
      <c r="CT1">
        <v>97</v>
      </c>
      <c r="CU1">
        <v>98</v>
      </c>
      <c r="CV1">
        <v>99</v>
      </c>
      <c r="CW1">
        <v>100</v>
      </c>
      <c r="CX1">
        <v>101</v>
      </c>
      <c r="CY1">
        <v>102</v>
      </c>
      <c r="CZ1">
        <v>103</v>
      </c>
      <c r="DA1">
        <v>104</v>
      </c>
      <c r="DB1">
        <v>105</v>
      </c>
      <c r="DC1">
        <v>106</v>
      </c>
      <c r="DD1">
        <v>107</v>
      </c>
      <c r="DE1">
        <v>108</v>
      </c>
      <c r="DF1">
        <v>109</v>
      </c>
      <c r="DG1">
        <v>110</v>
      </c>
      <c r="DH1">
        <v>111</v>
      </c>
      <c r="DI1">
        <v>112</v>
      </c>
      <c r="DJ1">
        <v>113</v>
      </c>
      <c r="DK1">
        <v>114</v>
      </c>
      <c r="DL1">
        <v>115</v>
      </c>
      <c r="DM1">
        <v>116</v>
      </c>
      <c r="DN1">
        <v>117</v>
      </c>
      <c r="DO1">
        <v>118</v>
      </c>
      <c r="DP1">
        <v>119</v>
      </c>
      <c r="DQ1">
        <v>120</v>
      </c>
      <c r="DR1">
        <v>121</v>
      </c>
      <c r="DS1">
        <v>122</v>
      </c>
      <c r="DT1">
        <v>123</v>
      </c>
      <c r="DU1">
        <v>124</v>
      </c>
      <c r="DV1">
        <v>125</v>
      </c>
      <c r="DW1">
        <v>126</v>
      </c>
      <c r="DX1">
        <v>127</v>
      </c>
      <c r="DY1">
        <v>128</v>
      </c>
      <c r="DZ1">
        <v>129</v>
      </c>
      <c r="EA1">
        <v>130</v>
      </c>
      <c r="EB1">
        <v>131</v>
      </c>
      <c r="EC1">
        <v>132</v>
      </c>
      <c r="ED1">
        <v>133</v>
      </c>
      <c r="EE1">
        <v>134</v>
      </c>
      <c r="EF1">
        <v>135</v>
      </c>
      <c r="EG1">
        <v>136</v>
      </c>
      <c r="EH1">
        <v>137</v>
      </c>
      <c r="EI1">
        <v>138</v>
      </c>
      <c r="EJ1">
        <v>139</v>
      </c>
      <c r="EK1">
        <v>140</v>
      </c>
      <c r="EL1">
        <v>141</v>
      </c>
      <c r="EM1">
        <v>142</v>
      </c>
      <c r="EN1">
        <v>143</v>
      </c>
      <c r="EO1">
        <v>144</v>
      </c>
      <c r="EP1">
        <v>145</v>
      </c>
      <c r="EQ1">
        <v>146</v>
      </c>
      <c r="ER1">
        <v>147</v>
      </c>
      <c r="ES1">
        <v>148</v>
      </c>
      <c r="ET1">
        <v>149</v>
      </c>
      <c r="EU1">
        <v>150</v>
      </c>
      <c r="EV1">
        <v>151</v>
      </c>
      <c r="EW1">
        <v>152</v>
      </c>
      <c r="EX1">
        <v>153</v>
      </c>
      <c r="EY1">
        <v>154</v>
      </c>
      <c r="EZ1">
        <v>155</v>
      </c>
      <c r="FA1">
        <v>156</v>
      </c>
      <c r="FB1">
        <v>157</v>
      </c>
      <c r="FC1">
        <v>158</v>
      </c>
    </row>
    <row r="2" spans="1:247" ht="18" hidden="1" customHeight="1" thickBot="1">
      <c r="A2" s="197"/>
      <c r="CQ2" s="944" t="s">
        <v>137</v>
      </c>
      <c r="CR2" s="944"/>
      <c r="CS2" s="944"/>
      <c r="CT2" s="944"/>
      <c r="CU2" s="944"/>
    </row>
    <row r="3" spans="1:247" s="17" customFormat="1" ht="53.25" customHeight="1" thickBot="1">
      <c r="A3" s="198">
        <v>0</v>
      </c>
      <c r="B3" s="333" t="s">
        <v>26</v>
      </c>
      <c r="C3" s="203" t="s">
        <v>55</v>
      </c>
      <c r="D3" s="344" t="s">
        <v>140</v>
      </c>
      <c r="E3" s="344" t="s">
        <v>139</v>
      </c>
      <c r="F3" s="345" t="s">
        <v>27</v>
      </c>
      <c r="G3" s="346" t="s">
        <v>367</v>
      </c>
      <c r="H3" s="177" t="s">
        <v>28</v>
      </c>
      <c r="I3" s="176" t="s">
        <v>16</v>
      </c>
      <c r="J3" s="176" t="s">
        <v>17</v>
      </c>
      <c r="K3" s="176" t="s">
        <v>29</v>
      </c>
      <c r="L3" s="176" t="s">
        <v>30</v>
      </c>
      <c r="M3" s="177" t="s">
        <v>31</v>
      </c>
      <c r="N3" s="176" t="s">
        <v>32</v>
      </c>
      <c r="O3" s="176" t="s">
        <v>33</v>
      </c>
      <c r="P3" s="176" t="s">
        <v>34</v>
      </c>
      <c r="Q3" s="176" t="s">
        <v>35</v>
      </c>
      <c r="R3" s="176" t="s">
        <v>36</v>
      </c>
      <c r="S3" s="176" t="s">
        <v>37</v>
      </c>
      <c r="T3" s="177" t="s">
        <v>38</v>
      </c>
      <c r="U3" s="177" t="s">
        <v>39</v>
      </c>
      <c r="V3" s="194" t="s">
        <v>40</v>
      </c>
      <c r="W3" s="178" t="s">
        <v>41</v>
      </c>
      <c r="X3" s="176" t="s">
        <v>42</v>
      </c>
      <c r="Y3" s="176" t="s">
        <v>43</v>
      </c>
      <c r="Z3" s="177" t="s">
        <v>44</v>
      </c>
      <c r="AA3" s="178" t="s">
        <v>45</v>
      </c>
      <c r="AB3" s="177" t="s">
        <v>46</v>
      </c>
      <c r="AC3" s="176" t="s">
        <v>42</v>
      </c>
      <c r="AD3" s="194" t="s">
        <v>43</v>
      </c>
      <c r="AE3" s="177" t="s">
        <v>44</v>
      </c>
      <c r="AF3" s="178" t="s">
        <v>45</v>
      </c>
      <c r="AG3" s="176" t="s">
        <v>47</v>
      </c>
      <c r="AH3" s="177" t="s">
        <v>48</v>
      </c>
      <c r="AI3" s="176" t="s">
        <v>49</v>
      </c>
      <c r="AJ3" s="178" t="s">
        <v>155</v>
      </c>
      <c r="AK3" s="177" t="s">
        <v>50</v>
      </c>
      <c r="AL3" s="176" t="s">
        <v>51</v>
      </c>
      <c r="AM3" s="177" t="s">
        <v>52</v>
      </c>
      <c r="AN3" s="177" t="s">
        <v>53</v>
      </c>
      <c r="AO3" s="176" t="s">
        <v>252</v>
      </c>
      <c r="AP3" s="176" t="s">
        <v>159</v>
      </c>
      <c r="AQ3" s="177" t="s">
        <v>54</v>
      </c>
      <c r="AR3" s="177" t="s">
        <v>202</v>
      </c>
      <c r="AS3" s="176" t="s">
        <v>203</v>
      </c>
      <c r="AT3" s="176" t="s">
        <v>71</v>
      </c>
      <c r="AU3" s="176" t="s">
        <v>51</v>
      </c>
      <c r="AV3" s="178" t="s">
        <v>52</v>
      </c>
      <c r="AW3" s="176" t="s">
        <v>204</v>
      </c>
      <c r="AX3" s="177" t="s">
        <v>52</v>
      </c>
      <c r="AY3" s="194" t="s">
        <v>161</v>
      </c>
      <c r="AZ3" s="176" t="s">
        <v>205</v>
      </c>
      <c r="BA3" s="176" t="s">
        <v>206</v>
      </c>
      <c r="BB3" s="176" t="s">
        <v>162</v>
      </c>
      <c r="BC3" s="178" t="s">
        <v>52</v>
      </c>
      <c r="BD3" s="172" t="s">
        <v>166</v>
      </c>
      <c r="BE3" s="176" t="s">
        <v>207</v>
      </c>
      <c r="BF3" s="176" t="s">
        <v>167</v>
      </c>
      <c r="BG3" s="176" t="s">
        <v>13</v>
      </c>
      <c r="BH3" s="178" t="s">
        <v>168</v>
      </c>
      <c r="BI3" s="178" t="s">
        <v>169</v>
      </c>
      <c r="BJ3" s="176" t="s">
        <v>208</v>
      </c>
      <c r="BK3" s="176" t="s">
        <v>209</v>
      </c>
      <c r="BL3" s="176" t="s">
        <v>15</v>
      </c>
      <c r="BM3" s="176" t="s">
        <v>210</v>
      </c>
      <c r="BN3" s="176" t="s">
        <v>18</v>
      </c>
      <c r="BO3" s="194" t="s">
        <v>68</v>
      </c>
      <c r="BP3" s="176" t="s">
        <v>16</v>
      </c>
      <c r="BQ3" s="176" t="s">
        <v>17</v>
      </c>
      <c r="BR3" s="176" t="s">
        <v>211</v>
      </c>
      <c r="BS3" s="194" t="s">
        <v>212</v>
      </c>
      <c r="BT3" s="194" t="s">
        <v>213</v>
      </c>
      <c r="BU3" s="176" t="s">
        <v>214</v>
      </c>
      <c r="BV3" s="178" t="s">
        <v>170</v>
      </c>
      <c r="BW3" s="177" t="s">
        <v>171</v>
      </c>
      <c r="BX3" s="177" t="s">
        <v>172</v>
      </c>
      <c r="BY3" s="177" t="s">
        <v>215</v>
      </c>
      <c r="BZ3" s="177" t="s">
        <v>216</v>
      </c>
      <c r="CA3" s="176" t="s">
        <v>217</v>
      </c>
      <c r="CB3" s="177" t="s">
        <v>218</v>
      </c>
      <c r="CC3" s="177" t="s">
        <v>219</v>
      </c>
      <c r="CD3" s="176" t="s">
        <v>220</v>
      </c>
      <c r="CE3" s="177" t="s">
        <v>185</v>
      </c>
      <c r="CF3" s="177" t="s">
        <v>221</v>
      </c>
      <c r="CG3" s="176" t="s">
        <v>222</v>
      </c>
      <c r="CH3" s="176" t="s">
        <v>237</v>
      </c>
      <c r="CI3" s="176" t="s">
        <v>253</v>
      </c>
      <c r="CJ3" s="176" t="s">
        <v>72</v>
      </c>
      <c r="CK3" s="194" t="s">
        <v>238</v>
      </c>
      <c r="CL3" s="194" t="s">
        <v>239</v>
      </c>
      <c r="CM3" s="194" t="s">
        <v>189</v>
      </c>
      <c r="CN3" s="177" t="s">
        <v>188</v>
      </c>
      <c r="CO3" s="177" t="s">
        <v>240</v>
      </c>
      <c r="CP3" s="194" t="s">
        <v>190</v>
      </c>
      <c r="CQ3" s="177" t="s">
        <v>138</v>
      </c>
      <c r="CR3" s="177" t="s">
        <v>138</v>
      </c>
      <c r="CS3" s="178" t="s">
        <v>389</v>
      </c>
      <c r="CT3" s="177" t="s">
        <v>390</v>
      </c>
      <c r="CU3" s="178" t="s">
        <v>241</v>
      </c>
      <c r="CV3" s="188" t="s">
        <v>242</v>
      </c>
      <c r="CW3" s="189" t="s">
        <v>243</v>
      </c>
      <c r="CX3" s="189" t="s">
        <v>244</v>
      </c>
      <c r="CY3" s="188" t="s">
        <v>136</v>
      </c>
      <c r="CZ3" s="189" t="s">
        <v>245</v>
      </c>
      <c r="DA3" s="189" t="s">
        <v>246</v>
      </c>
      <c r="DB3" s="189" t="s">
        <v>42</v>
      </c>
      <c r="DC3" s="189" t="s">
        <v>43</v>
      </c>
      <c r="DD3" s="189" t="s">
        <v>44</v>
      </c>
      <c r="DE3" s="190" t="s">
        <v>45</v>
      </c>
      <c r="DF3" s="185" t="s">
        <v>247</v>
      </c>
      <c r="DG3" s="186" t="s">
        <v>243</v>
      </c>
      <c r="DH3" s="186" t="s">
        <v>244</v>
      </c>
      <c r="DI3" s="185" t="s">
        <v>136</v>
      </c>
      <c r="DJ3" s="186" t="s">
        <v>245</v>
      </c>
      <c r="DK3" s="186" t="s">
        <v>246</v>
      </c>
      <c r="DL3" s="186" t="s">
        <v>42</v>
      </c>
      <c r="DM3" s="186" t="s">
        <v>43</v>
      </c>
      <c r="DN3" s="186" t="s">
        <v>44</v>
      </c>
      <c r="DO3" s="187" t="s">
        <v>45</v>
      </c>
      <c r="DP3" s="182" t="s">
        <v>248</v>
      </c>
      <c r="DQ3" s="183" t="s">
        <v>243</v>
      </c>
      <c r="DR3" s="183" t="s">
        <v>244</v>
      </c>
      <c r="DS3" s="182" t="s">
        <v>136</v>
      </c>
      <c r="DT3" s="183" t="s">
        <v>245</v>
      </c>
      <c r="DU3" s="183" t="s">
        <v>246</v>
      </c>
      <c r="DV3" s="183" t="s">
        <v>42</v>
      </c>
      <c r="DW3" s="183" t="s">
        <v>43</v>
      </c>
      <c r="DX3" s="183" t="s">
        <v>44</v>
      </c>
      <c r="DY3" s="184" t="s">
        <v>45</v>
      </c>
      <c r="DZ3" s="173" t="s">
        <v>249</v>
      </c>
      <c r="EA3" s="174" t="s">
        <v>243</v>
      </c>
      <c r="EB3" s="174" t="s">
        <v>244</v>
      </c>
      <c r="EC3" s="173" t="s">
        <v>136</v>
      </c>
      <c r="ED3" s="174" t="s">
        <v>245</v>
      </c>
      <c r="EE3" s="174" t="s">
        <v>246</v>
      </c>
      <c r="EF3" s="174" t="s">
        <v>42</v>
      </c>
      <c r="EG3" s="174" t="s">
        <v>43</v>
      </c>
      <c r="EH3" s="174" t="s">
        <v>44</v>
      </c>
      <c r="EI3" s="175" t="s">
        <v>45</v>
      </c>
      <c r="EJ3" s="176" t="s">
        <v>250</v>
      </c>
      <c r="EK3" s="177" t="s">
        <v>243</v>
      </c>
      <c r="EL3" s="177" t="s">
        <v>244</v>
      </c>
      <c r="EM3" s="176" t="s">
        <v>136</v>
      </c>
      <c r="EN3" s="177" t="s">
        <v>245</v>
      </c>
      <c r="EO3" s="177" t="s">
        <v>246</v>
      </c>
      <c r="EP3" s="177" t="s">
        <v>42</v>
      </c>
      <c r="EQ3" s="177" t="s">
        <v>43</v>
      </c>
      <c r="ER3" s="177" t="s">
        <v>44</v>
      </c>
      <c r="ES3" s="178" t="s">
        <v>45</v>
      </c>
      <c r="ET3" s="179" t="s">
        <v>251</v>
      </c>
      <c r="EU3" s="180" t="s">
        <v>243</v>
      </c>
      <c r="EV3" s="180" t="s">
        <v>244</v>
      </c>
      <c r="EW3" s="179" t="s">
        <v>136</v>
      </c>
      <c r="EX3" s="180" t="s">
        <v>245</v>
      </c>
      <c r="EY3" s="180" t="s">
        <v>246</v>
      </c>
      <c r="EZ3" s="180" t="s">
        <v>42</v>
      </c>
      <c r="FA3" s="180" t="s">
        <v>43</v>
      </c>
      <c r="FB3" s="180" t="s">
        <v>44</v>
      </c>
      <c r="FC3" s="181" t="s">
        <v>45</v>
      </c>
      <c r="FD3"/>
      <c r="FE3"/>
      <c r="FF3"/>
      <c r="FG3"/>
      <c r="FH3"/>
      <c r="FI3"/>
      <c r="FJ3"/>
      <c r="FK3"/>
      <c r="FL3" s="274">
        <f ca="1">TODAY()</f>
        <v>42373</v>
      </c>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row>
    <row r="4" spans="1:247" s="171" customFormat="1" ht="18.75" hidden="1" customHeight="1" thickBot="1">
      <c r="A4" s="196">
        <v>1</v>
      </c>
      <c r="B4" s="218" t="s">
        <v>271</v>
      </c>
      <c r="C4" s="218"/>
      <c r="D4" s="218"/>
      <c r="E4" s="218"/>
      <c r="F4" s="219" t="s">
        <v>271</v>
      </c>
      <c r="G4" s="219"/>
      <c r="H4" s="218" t="s">
        <v>271</v>
      </c>
      <c r="I4" s="218" t="s">
        <v>271</v>
      </c>
      <c r="J4" s="218" t="s">
        <v>271</v>
      </c>
      <c r="K4" s="218" t="s">
        <v>271</v>
      </c>
      <c r="L4" s="218" t="s">
        <v>271</v>
      </c>
      <c r="M4" s="218" t="s">
        <v>271</v>
      </c>
      <c r="N4" s="218" t="s">
        <v>271</v>
      </c>
      <c r="O4" s="218" t="s">
        <v>271</v>
      </c>
      <c r="P4" s="218" t="s">
        <v>271</v>
      </c>
      <c r="Q4" s="218" t="s">
        <v>271</v>
      </c>
      <c r="R4" s="218" t="s">
        <v>271</v>
      </c>
      <c r="S4" s="218" t="s">
        <v>271</v>
      </c>
      <c r="T4" s="218" t="s">
        <v>271</v>
      </c>
      <c r="U4" s="218" t="s">
        <v>271</v>
      </c>
      <c r="V4" s="218" t="s">
        <v>271</v>
      </c>
      <c r="W4" s="218" t="s">
        <v>271</v>
      </c>
      <c r="X4" s="218" t="s">
        <v>271</v>
      </c>
      <c r="Y4" s="218" t="s">
        <v>271</v>
      </c>
      <c r="Z4" s="218" t="s">
        <v>271</v>
      </c>
      <c r="AA4" s="218" t="s">
        <v>271</v>
      </c>
      <c r="AB4" s="218" t="s">
        <v>271</v>
      </c>
      <c r="AC4" s="218" t="s">
        <v>271</v>
      </c>
      <c r="AD4" s="218"/>
      <c r="AE4" s="218" t="s">
        <v>271</v>
      </c>
      <c r="AF4" s="218" t="s">
        <v>271</v>
      </c>
      <c r="AG4" s="218" t="s">
        <v>271</v>
      </c>
      <c r="AH4" s="218" t="s">
        <v>271</v>
      </c>
      <c r="AI4" s="218" t="s">
        <v>271</v>
      </c>
      <c r="AJ4" s="218" t="s">
        <v>271</v>
      </c>
      <c r="AK4" s="218" t="s">
        <v>271</v>
      </c>
      <c r="AL4" s="218" t="s">
        <v>271</v>
      </c>
      <c r="AM4" s="218" t="s">
        <v>271</v>
      </c>
      <c r="AN4" s="220" t="s">
        <v>271</v>
      </c>
      <c r="AO4" s="218" t="s">
        <v>271</v>
      </c>
      <c r="AP4" s="218" t="s">
        <v>271</v>
      </c>
      <c r="AQ4" s="218" t="s">
        <v>271</v>
      </c>
      <c r="AR4" s="218" t="s">
        <v>271</v>
      </c>
      <c r="AS4" s="218" t="s">
        <v>271</v>
      </c>
      <c r="AT4" s="218" t="s">
        <v>271</v>
      </c>
      <c r="AU4" s="218" t="s">
        <v>271</v>
      </c>
      <c r="AV4" s="218" t="s">
        <v>271</v>
      </c>
      <c r="AW4" s="218" t="s">
        <v>271</v>
      </c>
      <c r="AX4" s="218" t="s">
        <v>271</v>
      </c>
      <c r="AY4" s="218" t="s">
        <v>271</v>
      </c>
      <c r="AZ4" s="218" t="s">
        <v>271</v>
      </c>
      <c r="BA4" s="218" t="s">
        <v>271</v>
      </c>
      <c r="BB4" s="218" t="s">
        <v>271</v>
      </c>
      <c r="BC4" s="218" t="s">
        <v>271</v>
      </c>
      <c r="BD4" s="221" t="s">
        <v>271</v>
      </c>
      <c r="BE4" s="218" t="s">
        <v>271</v>
      </c>
      <c r="BF4" s="218" t="s">
        <v>271</v>
      </c>
      <c r="BG4" s="218" t="s">
        <v>271</v>
      </c>
      <c r="BH4" s="218" t="s">
        <v>271</v>
      </c>
      <c r="BI4" s="221" t="s">
        <v>271</v>
      </c>
      <c r="BJ4" s="218" t="s">
        <v>271</v>
      </c>
      <c r="BK4" s="218" t="s">
        <v>271</v>
      </c>
      <c r="BL4" s="218" t="s">
        <v>271</v>
      </c>
      <c r="BM4" s="218" t="s">
        <v>271</v>
      </c>
      <c r="BN4" s="218"/>
      <c r="BO4" s="218" t="s">
        <v>271</v>
      </c>
      <c r="BP4" s="218" t="s">
        <v>271</v>
      </c>
      <c r="BQ4" s="218" t="s">
        <v>271</v>
      </c>
      <c r="BR4" s="218" t="s">
        <v>57</v>
      </c>
      <c r="BS4" s="218" t="s">
        <v>271</v>
      </c>
      <c r="BT4" s="218" t="s">
        <v>271</v>
      </c>
      <c r="BU4" s="218" t="s">
        <v>271</v>
      </c>
      <c r="BV4" s="218" t="s">
        <v>271</v>
      </c>
      <c r="BW4" s="218" t="s">
        <v>271</v>
      </c>
      <c r="BX4" s="218" t="s">
        <v>271</v>
      </c>
      <c r="BY4" s="218" t="s">
        <v>271</v>
      </c>
      <c r="BZ4" s="218" t="s">
        <v>271</v>
      </c>
      <c r="CA4" s="218" t="s">
        <v>271</v>
      </c>
      <c r="CB4" s="218" t="s">
        <v>271</v>
      </c>
      <c r="CC4" s="218" t="s">
        <v>271</v>
      </c>
      <c r="CD4" s="218" t="s">
        <v>271</v>
      </c>
      <c r="CE4" s="218" t="s">
        <v>271</v>
      </c>
      <c r="CF4" s="218" t="s">
        <v>271</v>
      </c>
      <c r="CG4" s="218" t="s">
        <v>271</v>
      </c>
      <c r="CH4" s="218" t="s">
        <v>271</v>
      </c>
      <c r="CI4" s="218" t="s">
        <v>271</v>
      </c>
      <c r="CJ4" s="218" t="s">
        <v>271</v>
      </c>
      <c r="CK4" s="218" t="s">
        <v>271</v>
      </c>
      <c r="CL4" s="218" t="s">
        <v>271</v>
      </c>
      <c r="CM4" s="218" t="s">
        <v>271</v>
      </c>
      <c r="CN4" s="218" t="s">
        <v>271</v>
      </c>
      <c r="CO4" s="218" t="s">
        <v>271</v>
      </c>
      <c r="CP4" s="218" t="s">
        <v>271</v>
      </c>
      <c r="CQ4" s="218" t="s">
        <v>271</v>
      </c>
      <c r="CR4" s="218"/>
      <c r="CS4" s="222" t="s">
        <v>271</v>
      </c>
      <c r="CT4" s="218" t="s">
        <v>271</v>
      </c>
      <c r="CU4" s="218" t="s">
        <v>271</v>
      </c>
      <c r="CV4" s="170" t="s">
        <v>271</v>
      </c>
      <c r="CW4" s="170" t="s">
        <v>271</v>
      </c>
      <c r="CX4" s="170" t="s">
        <v>271</v>
      </c>
      <c r="CY4" s="170" t="s">
        <v>271</v>
      </c>
      <c r="CZ4" s="170" t="s">
        <v>271</v>
      </c>
      <c r="DA4" s="170" t="s">
        <v>271</v>
      </c>
      <c r="DB4" s="170" t="s">
        <v>271</v>
      </c>
      <c r="DC4" s="170" t="s">
        <v>271</v>
      </c>
      <c r="DD4" s="170" t="s">
        <v>271</v>
      </c>
      <c r="DE4" s="170" t="s">
        <v>271</v>
      </c>
      <c r="DF4" s="170" t="s">
        <v>271</v>
      </c>
      <c r="DG4" s="170" t="s">
        <v>271</v>
      </c>
      <c r="DH4" s="170" t="s">
        <v>271</v>
      </c>
      <c r="DI4" s="170" t="s">
        <v>271</v>
      </c>
      <c r="DJ4" s="170" t="s">
        <v>271</v>
      </c>
      <c r="DK4" s="170" t="s">
        <v>271</v>
      </c>
      <c r="DL4" s="170" t="s">
        <v>271</v>
      </c>
      <c r="DM4" s="170" t="s">
        <v>271</v>
      </c>
      <c r="DN4" s="170" t="s">
        <v>271</v>
      </c>
      <c r="DO4" s="170" t="s">
        <v>271</v>
      </c>
      <c r="DP4" s="170" t="s">
        <v>271</v>
      </c>
      <c r="DQ4" s="170" t="s">
        <v>271</v>
      </c>
      <c r="DR4" s="170" t="s">
        <v>271</v>
      </c>
      <c r="DS4" s="170" t="s">
        <v>271</v>
      </c>
      <c r="DT4" s="170" t="s">
        <v>271</v>
      </c>
      <c r="DU4" s="170" t="s">
        <v>271</v>
      </c>
      <c r="DV4" s="170" t="s">
        <v>271</v>
      </c>
      <c r="DW4" s="170" t="s">
        <v>271</v>
      </c>
      <c r="DX4" s="170" t="s">
        <v>271</v>
      </c>
      <c r="DY4" s="170" t="s">
        <v>271</v>
      </c>
      <c r="DZ4" s="170" t="s">
        <v>271</v>
      </c>
      <c r="EA4" s="170" t="s">
        <v>271</v>
      </c>
      <c r="EB4" s="170" t="s">
        <v>271</v>
      </c>
      <c r="EC4" s="170" t="s">
        <v>271</v>
      </c>
      <c r="ED4" s="170" t="s">
        <v>271</v>
      </c>
      <c r="EE4" s="170" t="s">
        <v>271</v>
      </c>
      <c r="EF4" s="170" t="s">
        <v>271</v>
      </c>
      <c r="EG4" s="170" t="s">
        <v>271</v>
      </c>
      <c r="EH4" s="170" t="s">
        <v>271</v>
      </c>
      <c r="EI4" s="170" t="s">
        <v>271</v>
      </c>
      <c r="EJ4" s="170" t="s">
        <v>271</v>
      </c>
      <c r="EK4" s="170" t="s">
        <v>271</v>
      </c>
      <c r="EL4" s="170" t="s">
        <v>271</v>
      </c>
      <c r="EM4" s="170" t="s">
        <v>271</v>
      </c>
      <c r="EN4" s="170" t="s">
        <v>271</v>
      </c>
      <c r="EO4" s="170" t="s">
        <v>271</v>
      </c>
      <c r="EP4" s="170" t="s">
        <v>271</v>
      </c>
      <c r="EQ4" s="170" t="s">
        <v>271</v>
      </c>
      <c r="ER4" s="170" t="s">
        <v>271</v>
      </c>
      <c r="ES4" s="170" t="s">
        <v>271</v>
      </c>
      <c r="ET4" s="170" t="s">
        <v>271</v>
      </c>
      <c r="EU4" s="170" t="s">
        <v>271</v>
      </c>
      <c r="EV4" s="170" t="s">
        <v>271</v>
      </c>
      <c r="EW4" s="170" t="s">
        <v>271</v>
      </c>
      <c r="EX4" s="170" t="s">
        <v>271</v>
      </c>
      <c r="EY4" s="170" t="s">
        <v>271</v>
      </c>
      <c r="EZ4" s="170" t="s">
        <v>271</v>
      </c>
      <c r="FA4" s="170" t="s">
        <v>271</v>
      </c>
      <c r="FB4" s="170" t="s">
        <v>271</v>
      </c>
      <c r="FC4" s="170" t="s">
        <v>271</v>
      </c>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row>
    <row r="5" spans="1:247" s="18" customFormat="1" ht="17.25" customHeight="1" thickBot="1">
      <c r="A5" s="199">
        <v>2</v>
      </c>
      <c r="B5" s="306" t="s">
        <v>541</v>
      </c>
      <c r="C5" s="307">
        <v>2</v>
      </c>
      <c r="D5" s="307">
        <v>1</v>
      </c>
      <c r="E5" s="307">
        <v>2</v>
      </c>
      <c r="F5" s="308">
        <v>12553</v>
      </c>
      <c r="G5" s="343">
        <f t="shared" ref="G5:G68" ca="1" si="0">IF(F5=0," ",IF(F5&gt;0,FL5))</f>
        <v>81</v>
      </c>
      <c r="H5" s="307" t="s">
        <v>402</v>
      </c>
      <c r="I5" s="309" t="str">
        <f t="shared" ref="I5:I68" si="1">VLOOKUP(J5,$FH$5:$FI$32,2)</f>
        <v>SÃO PAULO</v>
      </c>
      <c r="J5" s="307" t="s">
        <v>134</v>
      </c>
      <c r="K5" s="307" t="s">
        <v>403</v>
      </c>
      <c r="L5" s="310" t="s">
        <v>142</v>
      </c>
      <c r="M5" s="310" t="s">
        <v>143</v>
      </c>
      <c r="N5" s="310" t="s">
        <v>144</v>
      </c>
      <c r="O5" s="310">
        <v>1.8</v>
      </c>
      <c r="P5" s="310">
        <v>75</v>
      </c>
      <c r="Q5" s="310" t="s">
        <v>145</v>
      </c>
      <c r="R5" s="310" t="s">
        <v>146</v>
      </c>
      <c r="S5" s="310" t="s">
        <v>147</v>
      </c>
      <c r="T5" s="310" t="s">
        <v>148</v>
      </c>
      <c r="U5" s="307" t="s">
        <v>149</v>
      </c>
      <c r="V5" s="307" t="s">
        <v>150</v>
      </c>
      <c r="W5" s="311">
        <v>45450</v>
      </c>
      <c r="X5" s="307" t="s">
        <v>151</v>
      </c>
      <c r="Y5" s="307" t="s">
        <v>152</v>
      </c>
      <c r="Z5" s="307" t="s">
        <v>153</v>
      </c>
      <c r="AA5" s="307" t="s">
        <v>154</v>
      </c>
      <c r="AB5" s="311">
        <v>45450</v>
      </c>
      <c r="AC5" s="307" t="s">
        <v>151</v>
      </c>
      <c r="AD5" s="307" t="s">
        <v>152</v>
      </c>
      <c r="AE5" s="307" t="s">
        <v>153</v>
      </c>
      <c r="AF5" s="307" t="s">
        <v>154</v>
      </c>
      <c r="AG5" s="310" t="s">
        <v>156</v>
      </c>
      <c r="AH5" s="307" t="s">
        <v>141</v>
      </c>
      <c r="AI5" s="310" t="s">
        <v>199</v>
      </c>
      <c r="AJ5" s="307" t="s">
        <v>157</v>
      </c>
      <c r="AK5" s="311">
        <v>11513514</v>
      </c>
      <c r="AL5" s="307" t="s">
        <v>158</v>
      </c>
      <c r="AM5" s="308">
        <v>38486</v>
      </c>
      <c r="AN5" s="311">
        <v>55563</v>
      </c>
      <c r="AO5" s="307" t="s">
        <v>404</v>
      </c>
      <c r="AP5" s="307" t="s">
        <v>160</v>
      </c>
      <c r="AQ5" s="308">
        <v>37909</v>
      </c>
      <c r="AR5" s="307"/>
      <c r="AS5" s="307"/>
      <c r="AT5" s="307"/>
      <c r="AU5" s="310"/>
      <c r="AV5" s="308"/>
      <c r="AW5" s="312">
        <v>92599999749</v>
      </c>
      <c r="AX5" s="312">
        <v>12512512512</v>
      </c>
      <c r="AY5" s="312">
        <v>12512512512</v>
      </c>
      <c r="AZ5" s="312">
        <v>12512512512</v>
      </c>
      <c r="BA5" s="312">
        <v>12512512512</v>
      </c>
      <c r="BB5" s="312">
        <v>12512512512</v>
      </c>
      <c r="BC5" s="312">
        <v>12512512512</v>
      </c>
      <c r="BD5" s="312">
        <v>12512512512</v>
      </c>
      <c r="BE5" s="313">
        <v>11111111111</v>
      </c>
      <c r="BF5" s="307" t="s">
        <v>163</v>
      </c>
      <c r="BG5" s="310" t="s">
        <v>164</v>
      </c>
      <c r="BH5" s="307">
        <v>237</v>
      </c>
      <c r="BI5" s="307" t="s">
        <v>165</v>
      </c>
      <c r="BJ5" s="310" t="s">
        <v>173</v>
      </c>
      <c r="BK5" s="307">
        <v>45</v>
      </c>
      <c r="BL5" s="307" t="s">
        <v>174</v>
      </c>
      <c r="BM5" s="310" t="s">
        <v>175</v>
      </c>
      <c r="BN5" s="307" t="s">
        <v>135</v>
      </c>
      <c r="BO5" s="310" t="s">
        <v>132</v>
      </c>
      <c r="BP5" s="307" t="s">
        <v>133</v>
      </c>
      <c r="BQ5" s="307" t="s">
        <v>134</v>
      </c>
      <c r="BR5" s="307" t="s">
        <v>176</v>
      </c>
      <c r="BS5" s="307" t="s">
        <v>177</v>
      </c>
      <c r="BT5" s="307" t="s">
        <v>178</v>
      </c>
      <c r="BU5" s="310" t="s">
        <v>179</v>
      </c>
      <c r="BV5" s="307"/>
      <c r="BW5" s="308">
        <v>38456</v>
      </c>
      <c r="BX5" s="311">
        <v>145454145</v>
      </c>
      <c r="BY5" s="307" t="s">
        <v>180</v>
      </c>
      <c r="BZ5" s="307" t="s">
        <v>181</v>
      </c>
      <c r="CA5" s="310" t="s">
        <v>182</v>
      </c>
      <c r="CB5" s="307" t="s">
        <v>183</v>
      </c>
      <c r="CC5" s="307" t="s">
        <v>184</v>
      </c>
      <c r="CD5" s="307">
        <v>1</v>
      </c>
      <c r="CE5" s="308">
        <v>40210</v>
      </c>
      <c r="CF5" s="308"/>
      <c r="CG5" s="307" t="s">
        <v>405</v>
      </c>
      <c r="CH5" s="307" t="s">
        <v>406</v>
      </c>
      <c r="CI5" s="307" t="s">
        <v>407</v>
      </c>
      <c r="CJ5" s="307" t="s">
        <v>408</v>
      </c>
      <c r="CK5" s="314">
        <v>1000</v>
      </c>
      <c r="CL5" s="310" t="s">
        <v>186</v>
      </c>
      <c r="CM5" s="310" t="s">
        <v>187</v>
      </c>
      <c r="CN5" s="307"/>
      <c r="CO5" s="307" t="s">
        <v>149</v>
      </c>
      <c r="CP5" s="307" t="s">
        <v>163</v>
      </c>
      <c r="CQ5" s="315"/>
      <c r="CR5" s="315"/>
      <c r="CS5" s="315"/>
      <c r="CT5" s="315"/>
      <c r="CU5" s="307"/>
      <c r="CV5" s="217" t="s">
        <v>224</v>
      </c>
      <c r="CW5" s="192" t="s">
        <v>147</v>
      </c>
      <c r="CX5" s="192" t="s">
        <v>149</v>
      </c>
      <c r="CY5" s="192" t="s">
        <v>225</v>
      </c>
      <c r="CZ5" s="191">
        <v>24453</v>
      </c>
      <c r="DA5" s="193">
        <v>45455</v>
      </c>
      <c r="DB5" s="192" t="s">
        <v>226</v>
      </c>
      <c r="DC5" s="192" t="s">
        <v>152</v>
      </c>
      <c r="DD5" s="192" t="s">
        <v>153</v>
      </c>
      <c r="DE5" s="191">
        <v>38091</v>
      </c>
      <c r="DF5" s="19" t="s">
        <v>224</v>
      </c>
      <c r="DG5" s="192" t="s">
        <v>147</v>
      </c>
      <c r="DH5" s="192" t="s">
        <v>149</v>
      </c>
      <c r="DI5" s="192" t="s">
        <v>225</v>
      </c>
      <c r="DJ5" s="191">
        <v>24453</v>
      </c>
      <c r="DK5" s="193">
        <v>45455</v>
      </c>
      <c r="DL5" s="192" t="s">
        <v>226</v>
      </c>
      <c r="DM5" s="192" t="s">
        <v>152</v>
      </c>
      <c r="DN5" s="192" t="s">
        <v>153</v>
      </c>
      <c r="DO5" s="191">
        <v>38091</v>
      </c>
      <c r="DP5" s="19" t="s">
        <v>224</v>
      </c>
      <c r="DQ5" s="192" t="s">
        <v>147</v>
      </c>
      <c r="DR5" s="192" t="s">
        <v>149</v>
      </c>
      <c r="DS5" s="192" t="s">
        <v>225</v>
      </c>
      <c r="DT5" s="191">
        <v>24453</v>
      </c>
      <c r="DU5" s="193">
        <v>45455</v>
      </c>
      <c r="DV5" s="192" t="s">
        <v>226</v>
      </c>
      <c r="DW5" s="192" t="s">
        <v>152</v>
      </c>
      <c r="DX5" s="192" t="s">
        <v>153</v>
      </c>
      <c r="DY5" s="191">
        <v>38091</v>
      </c>
      <c r="DZ5" s="19" t="s">
        <v>224</v>
      </c>
      <c r="EA5" s="192" t="s">
        <v>147</v>
      </c>
      <c r="EB5" s="192" t="s">
        <v>149</v>
      </c>
      <c r="EC5" s="192" t="s">
        <v>225</v>
      </c>
      <c r="ED5" s="191">
        <v>24453</v>
      </c>
      <c r="EE5" s="193">
        <v>45455</v>
      </c>
      <c r="EF5" s="192" t="s">
        <v>226</v>
      </c>
      <c r="EG5" s="192" t="s">
        <v>152</v>
      </c>
      <c r="EH5" s="192" t="s">
        <v>153</v>
      </c>
      <c r="EI5" s="191">
        <v>38091</v>
      </c>
      <c r="EJ5" s="19" t="s">
        <v>224</v>
      </c>
      <c r="EK5" s="192" t="s">
        <v>147</v>
      </c>
      <c r="EL5" s="192" t="s">
        <v>149</v>
      </c>
      <c r="EM5" s="192" t="s">
        <v>225</v>
      </c>
      <c r="EN5" s="191">
        <v>24453</v>
      </c>
      <c r="EO5" s="193">
        <v>45455</v>
      </c>
      <c r="EP5" s="192" t="s">
        <v>226</v>
      </c>
      <c r="EQ5" s="192" t="s">
        <v>152</v>
      </c>
      <c r="ER5" s="192" t="s">
        <v>153</v>
      </c>
      <c r="ES5" s="191">
        <v>38091</v>
      </c>
      <c r="ET5" s="19" t="s">
        <v>224</v>
      </c>
      <c r="EU5" s="192" t="s">
        <v>147</v>
      </c>
      <c r="EV5" s="192" t="s">
        <v>149</v>
      </c>
      <c r="EW5" s="192" t="s">
        <v>225</v>
      </c>
      <c r="EX5" s="191">
        <v>24453</v>
      </c>
      <c r="EY5" s="193">
        <v>45455</v>
      </c>
      <c r="EZ5" s="192" t="s">
        <v>226</v>
      </c>
      <c r="FA5" s="192" t="s">
        <v>152</v>
      </c>
      <c r="FB5" s="192" t="s">
        <v>153</v>
      </c>
      <c r="FC5" s="191">
        <v>38091</v>
      </c>
      <c r="FD5"/>
      <c r="FE5"/>
      <c r="FF5" s="254"/>
      <c r="FG5" s="253"/>
      <c r="FH5" s="253"/>
      <c r="FI5" s="253"/>
      <c r="FJ5" s="253"/>
      <c r="FK5" s="253"/>
      <c r="FL5" s="273">
        <f ca="1">YEAR($FL$3)-YEAR(F5)-1+IF(DATE(1901,MONTH(F5),DAY(F5))-DATE(1901,MONTH($FL$3),DAY($FL$3))&lt;=0,1,0)</f>
        <v>81</v>
      </c>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row>
    <row r="6" spans="1:247" s="18" customFormat="1" ht="16.5" thickBot="1">
      <c r="A6" s="196">
        <v>3</v>
      </c>
      <c r="B6" s="306" t="s">
        <v>543</v>
      </c>
      <c r="C6" s="307">
        <v>4</v>
      </c>
      <c r="D6" s="307">
        <v>2</v>
      </c>
      <c r="E6" s="307">
        <v>3</v>
      </c>
      <c r="F6" s="308"/>
      <c r="G6" s="343" t="str">
        <f t="shared" si="0"/>
        <v xml:space="preserve"> </v>
      </c>
      <c r="H6" s="307"/>
      <c r="I6" s="309" t="e">
        <f t="shared" si="1"/>
        <v>#N/A</v>
      </c>
      <c r="J6" s="307"/>
      <c r="K6" s="307"/>
      <c r="L6" s="310"/>
      <c r="M6" s="310"/>
      <c r="N6" s="310" t="s">
        <v>144</v>
      </c>
      <c r="O6" s="310">
        <v>1.75</v>
      </c>
      <c r="P6" s="310">
        <v>65</v>
      </c>
      <c r="Q6" s="310" t="s">
        <v>145</v>
      </c>
      <c r="R6" s="310" t="s">
        <v>146</v>
      </c>
      <c r="S6" s="310" t="s">
        <v>147</v>
      </c>
      <c r="T6" s="310" t="s">
        <v>148</v>
      </c>
      <c r="U6" s="307" t="s">
        <v>149</v>
      </c>
      <c r="V6" s="307" t="s">
        <v>150</v>
      </c>
      <c r="W6" s="311">
        <v>45451</v>
      </c>
      <c r="X6" s="307" t="s">
        <v>227</v>
      </c>
      <c r="Y6" s="307" t="s">
        <v>152</v>
      </c>
      <c r="Z6" s="307" t="s">
        <v>153</v>
      </c>
      <c r="AA6" s="307" t="s">
        <v>228</v>
      </c>
      <c r="AB6" s="311">
        <v>45451</v>
      </c>
      <c r="AC6" s="307" t="s">
        <v>227</v>
      </c>
      <c r="AD6" s="307" t="s">
        <v>152</v>
      </c>
      <c r="AE6" s="307" t="s">
        <v>153</v>
      </c>
      <c r="AF6" s="307" t="s">
        <v>228</v>
      </c>
      <c r="AG6" s="310" t="s">
        <v>156</v>
      </c>
      <c r="AH6" s="307" t="s">
        <v>141</v>
      </c>
      <c r="AI6" s="310" t="s">
        <v>200</v>
      </c>
      <c r="AJ6" s="307" t="s">
        <v>157</v>
      </c>
      <c r="AK6" s="307"/>
      <c r="AL6" s="307" t="s">
        <v>158</v>
      </c>
      <c r="AM6" s="308">
        <v>38487</v>
      </c>
      <c r="AN6" s="311"/>
      <c r="AO6" s="307"/>
      <c r="AP6" s="307" t="s">
        <v>160</v>
      </c>
      <c r="AQ6" s="308">
        <v>37910</v>
      </c>
      <c r="AR6" s="307"/>
      <c r="AS6" s="307"/>
      <c r="AT6" s="307"/>
      <c r="AU6" s="310"/>
      <c r="AV6" s="308"/>
      <c r="AW6" s="312"/>
      <c r="AX6" s="308">
        <v>34328</v>
      </c>
      <c r="AY6" s="307"/>
      <c r="AZ6" s="307"/>
      <c r="BA6" s="307"/>
      <c r="BB6" s="307"/>
      <c r="BC6" s="308"/>
      <c r="BD6" s="308">
        <v>37755</v>
      </c>
      <c r="BE6" s="313"/>
      <c r="BF6" s="307" t="s">
        <v>163</v>
      </c>
      <c r="BG6" s="310" t="s">
        <v>164</v>
      </c>
      <c r="BH6" s="307">
        <v>238</v>
      </c>
      <c r="BI6" s="307" t="s">
        <v>229</v>
      </c>
      <c r="BJ6" s="310" t="s">
        <v>173</v>
      </c>
      <c r="BK6" s="307">
        <v>46</v>
      </c>
      <c r="BL6" s="307" t="s">
        <v>174</v>
      </c>
      <c r="BM6" s="310" t="s">
        <v>175</v>
      </c>
      <c r="BN6" s="307" t="s">
        <v>230</v>
      </c>
      <c r="BO6" s="310" t="s">
        <v>132</v>
      </c>
      <c r="BP6" s="307" t="s">
        <v>133</v>
      </c>
      <c r="BQ6" s="307" t="s">
        <v>134</v>
      </c>
      <c r="BR6" s="307" t="s">
        <v>231</v>
      </c>
      <c r="BS6" s="307" t="s">
        <v>232</v>
      </c>
      <c r="BT6" s="307" t="s">
        <v>233</v>
      </c>
      <c r="BU6" s="310" t="s">
        <v>179</v>
      </c>
      <c r="BV6" s="307"/>
      <c r="BW6" s="308">
        <v>38457</v>
      </c>
      <c r="BX6" s="311">
        <v>145454146</v>
      </c>
      <c r="BY6" s="307" t="s">
        <v>234</v>
      </c>
      <c r="BZ6" s="307" t="s">
        <v>181</v>
      </c>
      <c r="CA6" s="310" t="s">
        <v>182</v>
      </c>
      <c r="CB6" s="307" t="s">
        <v>183</v>
      </c>
      <c r="CC6" s="307" t="s">
        <v>184</v>
      </c>
      <c r="CD6" s="307">
        <v>3</v>
      </c>
      <c r="CE6" s="308"/>
      <c r="CF6" s="308"/>
      <c r="CG6" s="307"/>
      <c r="CH6" s="307"/>
      <c r="CI6" s="307"/>
      <c r="CJ6" s="307"/>
      <c r="CK6" s="314">
        <v>5000</v>
      </c>
      <c r="CL6" s="310" t="s">
        <v>186</v>
      </c>
      <c r="CM6" s="310" t="s">
        <v>187</v>
      </c>
      <c r="CN6" s="307"/>
      <c r="CO6" s="307" t="s">
        <v>149</v>
      </c>
      <c r="CP6" s="307" t="s">
        <v>163</v>
      </c>
      <c r="CQ6" s="315"/>
      <c r="CR6" s="315"/>
      <c r="CS6" s="315"/>
      <c r="CT6" s="315"/>
      <c r="CU6" s="307"/>
      <c r="CV6" s="217" t="s">
        <v>224</v>
      </c>
      <c r="CW6" s="192" t="s">
        <v>147</v>
      </c>
      <c r="CX6" s="192" t="s">
        <v>149</v>
      </c>
      <c r="CY6" s="192" t="s">
        <v>225</v>
      </c>
      <c r="CZ6" s="191">
        <v>24454</v>
      </c>
      <c r="DA6" s="193">
        <v>45456</v>
      </c>
      <c r="DB6" s="192" t="s">
        <v>236</v>
      </c>
      <c r="DC6" s="192" t="s">
        <v>152</v>
      </c>
      <c r="DD6" s="192" t="s">
        <v>153</v>
      </c>
      <c r="DE6" s="191">
        <v>38092</v>
      </c>
      <c r="DF6" s="19" t="s">
        <v>224</v>
      </c>
      <c r="DG6" s="192" t="s">
        <v>147</v>
      </c>
      <c r="DH6" s="192" t="s">
        <v>149</v>
      </c>
      <c r="DI6" s="192" t="s">
        <v>225</v>
      </c>
      <c r="DJ6" s="191">
        <v>24454</v>
      </c>
      <c r="DK6" s="193">
        <v>45456</v>
      </c>
      <c r="DL6" s="192" t="s">
        <v>236</v>
      </c>
      <c r="DM6" s="192" t="s">
        <v>152</v>
      </c>
      <c r="DN6" s="192" t="s">
        <v>153</v>
      </c>
      <c r="DO6" s="191">
        <v>38092</v>
      </c>
      <c r="DP6" s="19" t="s">
        <v>224</v>
      </c>
      <c r="DQ6" s="192" t="s">
        <v>147</v>
      </c>
      <c r="DR6" s="192" t="s">
        <v>149</v>
      </c>
      <c r="DS6" s="192" t="s">
        <v>225</v>
      </c>
      <c r="DT6" s="191">
        <v>24454</v>
      </c>
      <c r="DU6" s="193">
        <v>45456</v>
      </c>
      <c r="DV6" s="192" t="s">
        <v>236</v>
      </c>
      <c r="DW6" s="192" t="s">
        <v>152</v>
      </c>
      <c r="DX6" s="192" t="s">
        <v>153</v>
      </c>
      <c r="DY6" s="191">
        <v>38092</v>
      </c>
      <c r="DZ6" s="19" t="s">
        <v>224</v>
      </c>
      <c r="EA6" s="192" t="s">
        <v>147</v>
      </c>
      <c r="EB6" s="192" t="s">
        <v>149</v>
      </c>
      <c r="EC6" s="192" t="s">
        <v>225</v>
      </c>
      <c r="ED6" s="191">
        <v>24454</v>
      </c>
      <c r="EE6" s="193">
        <v>45456</v>
      </c>
      <c r="EF6" s="192" t="s">
        <v>236</v>
      </c>
      <c r="EG6" s="192" t="s">
        <v>152</v>
      </c>
      <c r="EH6" s="192" t="s">
        <v>153</v>
      </c>
      <c r="EI6" s="191">
        <v>38092</v>
      </c>
      <c r="EJ6" s="19" t="s">
        <v>224</v>
      </c>
      <c r="EK6" s="192" t="s">
        <v>147</v>
      </c>
      <c r="EL6" s="192" t="s">
        <v>149</v>
      </c>
      <c r="EM6" s="192" t="s">
        <v>225</v>
      </c>
      <c r="EN6" s="191">
        <v>24454</v>
      </c>
      <c r="EO6" s="193">
        <v>45456</v>
      </c>
      <c r="EP6" s="192" t="s">
        <v>236</v>
      </c>
      <c r="EQ6" s="192" t="s">
        <v>152</v>
      </c>
      <c r="ER6" s="192" t="s">
        <v>153</v>
      </c>
      <c r="ES6" s="191">
        <v>38092</v>
      </c>
      <c r="ET6" s="19" t="s">
        <v>224</v>
      </c>
      <c r="EU6" s="192" t="s">
        <v>147</v>
      </c>
      <c r="EV6" s="192" t="s">
        <v>149</v>
      </c>
      <c r="EW6" s="192" t="s">
        <v>225</v>
      </c>
      <c r="EX6" s="191">
        <v>24454</v>
      </c>
      <c r="EY6" s="193">
        <v>45456</v>
      </c>
      <c r="EZ6" s="192" t="s">
        <v>236</v>
      </c>
      <c r="FA6" s="192" t="s">
        <v>152</v>
      </c>
      <c r="FB6" s="192" t="s">
        <v>153</v>
      </c>
      <c r="FC6" s="191">
        <v>38092</v>
      </c>
      <c r="FD6"/>
      <c r="FE6"/>
      <c r="FF6" s="253">
        <v>1</v>
      </c>
      <c r="FG6" s="253" t="s">
        <v>235</v>
      </c>
      <c r="FH6" s="253" t="s">
        <v>293</v>
      </c>
      <c r="FI6" s="253" t="s">
        <v>294</v>
      </c>
      <c r="FJ6" s="253" t="s">
        <v>142</v>
      </c>
      <c r="FK6" s="256"/>
      <c r="FL6" s="273">
        <f t="shared" ref="FL6:FL69" ca="1" si="2">YEAR($FL$3)-YEAR(F6)-1+IF(DATE(1901,MONTH(F6),DAY(F6))-DATE(1901,MONTH($FL$3),DAY($FL$3))&lt;=0,1,0)</f>
        <v>116</v>
      </c>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row>
    <row r="7" spans="1:247" s="18" customFormat="1" ht="16.5" thickBot="1">
      <c r="A7" s="199">
        <v>4</v>
      </c>
      <c r="B7" s="306"/>
      <c r="C7" s="310"/>
      <c r="D7" s="307" t="s">
        <v>271</v>
      </c>
      <c r="E7" s="307" t="s">
        <v>271</v>
      </c>
      <c r="F7" s="308"/>
      <c r="G7" s="343" t="str">
        <f t="shared" si="0"/>
        <v xml:space="preserve"> </v>
      </c>
      <c r="H7" s="307"/>
      <c r="I7" s="309" t="e">
        <f t="shared" si="1"/>
        <v>#N/A</v>
      </c>
      <c r="J7" s="307"/>
      <c r="K7" s="307"/>
      <c r="L7" s="310"/>
      <c r="M7" s="310"/>
      <c r="N7" s="310"/>
      <c r="O7" s="310"/>
      <c r="P7" s="310"/>
      <c r="Q7" s="310"/>
      <c r="R7" s="310"/>
      <c r="S7" s="310"/>
      <c r="T7" s="310"/>
      <c r="U7" s="307"/>
      <c r="V7" s="307"/>
      <c r="W7" s="311"/>
      <c r="X7" s="307"/>
      <c r="Y7" s="307"/>
      <c r="Z7" s="307"/>
      <c r="AA7" s="307"/>
      <c r="AB7" s="311"/>
      <c r="AC7" s="307"/>
      <c r="AD7" s="307"/>
      <c r="AE7" s="307"/>
      <c r="AF7" s="307"/>
      <c r="AG7" s="310"/>
      <c r="AH7" s="307"/>
      <c r="AI7" s="310"/>
      <c r="AJ7" s="307"/>
      <c r="AK7" s="307"/>
      <c r="AL7" s="307"/>
      <c r="AM7" s="308"/>
      <c r="AN7" s="311"/>
      <c r="AO7" s="307"/>
      <c r="AP7" s="307"/>
      <c r="AQ7" s="308"/>
      <c r="AR7" s="307"/>
      <c r="AS7" s="307"/>
      <c r="AT7" s="307"/>
      <c r="AU7" s="310"/>
      <c r="AV7" s="308"/>
      <c r="AW7" s="312"/>
      <c r="AX7" s="308"/>
      <c r="AY7" s="307"/>
      <c r="AZ7" s="307"/>
      <c r="BA7" s="307"/>
      <c r="BB7" s="307"/>
      <c r="BC7" s="308"/>
      <c r="BD7" s="308"/>
      <c r="BE7" s="313"/>
      <c r="BF7" s="307"/>
      <c r="BG7" s="310"/>
      <c r="BH7" s="307"/>
      <c r="BI7" s="307"/>
      <c r="BJ7" s="310"/>
      <c r="BK7" s="307"/>
      <c r="BL7" s="307"/>
      <c r="BM7" s="310"/>
      <c r="BN7" s="307"/>
      <c r="BO7" s="310"/>
      <c r="BP7" s="307"/>
      <c r="BQ7" s="307"/>
      <c r="BR7" s="307"/>
      <c r="BS7" s="307"/>
      <c r="BT7" s="307"/>
      <c r="BU7" s="310"/>
      <c r="BV7" s="307"/>
      <c r="BW7" s="308"/>
      <c r="BX7" s="311"/>
      <c r="BY7" s="307"/>
      <c r="BZ7" s="307"/>
      <c r="CA7" s="310"/>
      <c r="CB7" s="307"/>
      <c r="CC7" s="307"/>
      <c r="CD7" s="307"/>
      <c r="CE7" s="308"/>
      <c r="CF7" s="308"/>
      <c r="CG7" s="307"/>
      <c r="CH7" s="307"/>
      <c r="CI7" s="307"/>
      <c r="CJ7" s="307"/>
      <c r="CK7" s="314"/>
      <c r="CL7" s="310"/>
      <c r="CM7" s="310"/>
      <c r="CN7" s="307"/>
      <c r="CO7" s="307"/>
      <c r="CP7" s="307"/>
      <c r="CQ7" s="315"/>
      <c r="CR7" s="315"/>
      <c r="CS7" s="315"/>
      <c r="CT7" s="315"/>
      <c r="CU7" s="307"/>
      <c r="CV7" s="217"/>
      <c r="CW7" s="192"/>
      <c r="CX7" s="192"/>
      <c r="CY7" s="192"/>
      <c r="CZ7" s="191"/>
      <c r="DA7" s="193"/>
      <c r="DB7" s="192"/>
      <c r="DC7" s="192"/>
      <c r="DD7" s="192"/>
      <c r="DE7" s="191"/>
      <c r="DF7" s="19"/>
      <c r="DG7" s="192"/>
      <c r="DH7" s="192"/>
      <c r="DI7" s="192"/>
      <c r="DJ7" s="191"/>
      <c r="DK7" s="193"/>
      <c r="DL7" s="192"/>
      <c r="DM7" s="192"/>
      <c r="DN7" s="192"/>
      <c r="DO7" s="191"/>
      <c r="DP7" s="19"/>
      <c r="DQ7" s="192"/>
      <c r="DR7" s="192"/>
      <c r="DS7" s="192"/>
      <c r="DT7" s="191"/>
      <c r="DU7" s="193"/>
      <c r="DV7" s="192"/>
      <c r="DW7" s="192"/>
      <c r="DX7" s="192"/>
      <c r="DY7" s="191"/>
      <c r="DZ7" s="19"/>
      <c r="EA7" s="192"/>
      <c r="EB7" s="192"/>
      <c r="EC7" s="192"/>
      <c r="ED7" s="191"/>
      <c r="EE7" s="193"/>
      <c r="EF7" s="192"/>
      <c r="EG7" s="192"/>
      <c r="EH7" s="192"/>
      <c r="EI7" s="191"/>
      <c r="EJ7" s="19"/>
      <c r="EK7" s="192"/>
      <c r="EL7" s="192"/>
      <c r="EM7" s="192"/>
      <c r="EN7" s="191"/>
      <c r="EO7" s="193"/>
      <c r="EP7" s="192"/>
      <c r="EQ7" s="192"/>
      <c r="ER7" s="192"/>
      <c r="ES7" s="191"/>
      <c r="ET7" s="19"/>
      <c r="EU7" s="192"/>
      <c r="EV7" s="192"/>
      <c r="EW7" s="192"/>
      <c r="EX7" s="191"/>
      <c r="EY7" s="193"/>
      <c r="EZ7" s="192"/>
      <c r="FA7" s="192"/>
      <c r="FB7" s="192"/>
      <c r="FC7" s="191"/>
      <c r="FD7"/>
      <c r="FE7"/>
      <c r="FF7" s="253">
        <v>2</v>
      </c>
      <c r="FG7" s="253" t="s">
        <v>288</v>
      </c>
      <c r="FH7" s="253" t="s">
        <v>295</v>
      </c>
      <c r="FI7" s="253" t="s">
        <v>296</v>
      </c>
      <c r="FJ7" s="253" t="s">
        <v>345</v>
      </c>
      <c r="FK7" s="256"/>
      <c r="FL7" s="273">
        <f t="shared" ca="1" si="2"/>
        <v>116</v>
      </c>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row>
    <row r="8" spans="1:247" s="18" customFormat="1" ht="16.5" thickBot="1">
      <c r="A8" s="196">
        <v>5</v>
      </c>
      <c r="B8" s="306"/>
      <c r="C8" s="310"/>
      <c r="D8" s="307" t="s">
        <v>271</v>
      </c>
      <c r="E8" s="307" t="s">
        <v>271</v>
      </c>
      <c r="F8" s="308"/>
      <c r="G8" s="343" t="str">
        <f t="shared" si="0"/>
        <v xml:space="preserve"> </v>
      </c>
      <c r="H8" s="307"/>
      <c r="I8" s="309" t="e">
        <f t="shared" si="1"/>
        <v>#N/A</v>
      </c>
      <c r="J8" s="307"/>
      <c r="K8" s="307"/>
      <c r="L8" s="310"/>
      <c r="M8" s="310"/>
      <c r="N8" s="310"/>
      <c r="O8" s="310"/>
      <c r="P8" s="310"/>
      <c r="Q8" s="310"/>
      <c r="R8" s="310"/>
      <c r="S8" s="310"/>
      <c r="T8" s="310"/>
      <c r="U8" s="307"/>
      <c r="V8" s="307"/>
      <c r="W8" s="311"/>
      <c r="X8" s="307"/>
      <c r="Y8" s="307"/>
      <c r="Z8" s="307"/>
      <c r="AA8" s="307"/>
      <c r="AB8" s="311"/>
      <c r="AC8" s="307"/>
      <c r="AD8" s="307"/>
      <c r="AE8" s="307"/>
      <c r="AF8" s="307"/>
      <c r="AG8" s="310"/>
      <c r="AH8" s="307"/>
      <c r="AI8" s="310"/>
      <c r="AJ8" s="307"/>
      <c r="AK8" s="307"/>
      <c r="AL8" s="307"/>
      <c r="AM8" s="308"/>
      <c r="AN8" s="311" t="s">
        <v>271</v>
      </c>
      <c r="AO8" s="307"/>
      <c r="AP8" s="307"/>
      <c r="AQ8" s="308"/>
      <c r="AR8" s="307"/>
      <c r="AS8" s="307"/>
      <c r="AT8" s="307"/>
      <c r="AU8" s="310"/>
      <c r="AV8" s="308"/>
      <c r="AW8" s="312"/>
      <c r="AX8" s="308"/>
      <c r="AY8" s="307"/>
      <c r="AZ8" s="307"/>
      <c r="BA8" s="307"/>
      <c r="BB8" s="307"/>
      <c r="BC8" s="308"/>
      <c r="BD8" s="308"/>
      <c r="BE8" s="313"/>
      <c r="BF8" s="307"/>
      <c r="BG8" s="310"/>
      <c r="BH8" s="307"/>
      <c r="BI8" s="307"/>
      <c r="BJ8" s="310"/>
      <c r="BK8" s="307"/>
      <c r="BL8" s="307"/>
      <c r="BM8" s="310"/>
      <c r="BN8" s="307"/>
      <c r="BO8" s="310"/>
      <c r="BP8" s="307"/>
      <c r="BQ8" s="307"/>
      <c r="BR8" s="307"/>
      <c r="BS8" s="307"/>
      <c r="BT8" s="307"/>
      <c r="BU8" s="310"/>
      <c r="BV8" s="307"/>
      <c r="BW8" s="308"/>
      <c r="BX8" s="311"/>
      <c r="BY8" s="307"/>
      <c r="BZ8" s="307"/>
      <c r="CA8" s="310"/>
      <c r="CB8" s="307"/>
      <c r="CC8" s="307"/>
      <c r="CD8" s="307"/>
      <c r="CE8" s="308"/>
      <c r="CF8" s="308"/>
      <c r="CG8" s="307"/>
      <c r="CH8" s="307"/>
      <c r="CI8" s="307"/>
      <c r="CJ8" s="307"/>
      <c r="CK8" s="314"/>
      <c r="CL8" s="310"/>
      <c r="CM8" s="310"/>
      <c r="CN8" s="307"/>
      <c r="CO8" s="307"/>
      <c r="CP8" s="307"/>
      <c r="CQ8" s="315"/>
      <c r="CR8" s="315"/>
      <c r="CS8" s="315"/>
      <c r="CT8" s="315"/>
      <c r="CU8" s="307"/>
      <c r="CV8" s="217"/>
      <c r="CW8" s="192"/>
      <c r="CX8" s="192"/>
      <c r="CY8" s="192"/>
      <c r="CZ8" s="191"/>
      <c r="DA8" s="193"/>
      <c r="DB8" s="192"/>
      <c r="DC8" s="192"/>
      <c r="DD8" s="192"/>
      <c r="DE8" s="191"/>
      <c r="DF8" s="19"/>
      <c r="DG8" s="192"/>
      <c r="DH8" s="192"/>
      <c r="DI8" s="192"/>
      <c r="DJ8" s="191"/>
      <c r="DK8" s="193"/>
      <c r="DL8" s="192"/>
      <c r="DM8" s="192"/>
      <c r="DN8" s="192"/>
      <c r="DO8" s="191"/>
      <c r="DP8" s="19"/>
      <c r="DQ8" s="192"/>
      <c r="DR8" s="192"/>
      <c r="DS8" s="192"/>
      <c r="DT8" s="191"/>
      <c r="DU8" s="193"/>
      <c r="DV8" s="192"/>
      <c r="DW8" s="192"/>
      <c r="DX8" s="192"/>
      <c r="DY8" s="191"/>
      <c r="DZ8" s="19"/>
      <c r="EA8" s="192"/>
      <c r="EB8" s="192"/>
      <c r="EC8" s="192"/>
      <c r="ED8" s="191"/>
      <c r="EE8" s="193"/>
      <c r="EF8" s="192"/>
      <c r="EG8" s="192"/>
      <c r="EH8" s="192"/>
      <c r="EI8" s="191"/>
      <c r="EJ8" s="19"/>
      <c r="EK8" s="192"/>
      <c r="EL8" s="192"/>
      <c r="EM8" s="192"/>
      <c r="EN8" s="191"/>
      <c r="EO8" s="193"/>
      <c r="EP8" s="192"/>
      <c r="EQ8" s="192"/>
      <c r="ER8" s="192"/>
      <c r="ES8" s="191"/>
      <c r="ET8" s="19"/>
      <c r="EU8" s="192"/>
      <c r="EV8" s="192"/>
      <c r="EW8" s="192"/>
      <c r="EX8" s="191"/>
      <c r="EY8" s="193"/>
      <c r="EZ8" s="192"/>
      <c r="FA8" s="192"/>
      <c r="FB8" s="192"/>
      <c r="FC8" s="191"/>
      <c r="FD8"/>
      <c r="FE8"/>
      <c r="FF8" s="253">
        <v>3</v>
      </c>
      <c r="FG8" s="253" t="s">
        <v>289</v>
      </c>
      <c r="FH8" s="253" t="s">
        <v>297</v>
      </c>
      <c r="FI8" s="253" t="s">
        <v>298</v>
      </c>
      <c r="FJ8" s="253"/>
      <c r="FK8" s="256"/>
      <c r="FL8" s="273">
        <f t="shared" ca="1" si="2"/>
        <v>116</v>
      </c>
      <c r="FM8" s="261"/>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row>
    <row r="9" spans="1:247" s="18" customFormat="1" ht="16.5" thickBot="1">
      <c r="A9" s="199">
        <v>6</v>
      </c>
      <c r="B9" s="306"/>
      <c r="C9" s="310"/>
      <c r="D9" s="307" t="s">
        <v>271</v>
      </c>
      <c r="E9" s="307" t="s">
        <v>271</v>
      </c>
      <c r="F9" s="308"/>
      <c r="G9" s="343" t="str">
        <f t="shared" si="0"/>
        <v xml:space="preserve"> </v>
      </c>
      <c r="H9" s="307"/>
      <c r="I9" s="309" t="e">
        <f t="shared" si="1"/>
        <v>#N/A</v>
      </c>
      <c r="J9" s="307"/>
      <c r="K9" s="307"/>
      <c r="L9" s="310"/>
      <c r="M9" s="310"/>
      <c r="N9" s="310"/>
      <c r="O9" s="310"/>
      <c r="P9" s="310"/>
      <c r="Q9" s="310"/>
      <c r="R9" s="310"/>
      <c r="S9" s="310"/>
      <c r="T9" s="310"/>
      <c r="U9" s="307"/>
      <c r="V9" s="307"/>
      <c r="W9" s="311"/>
      <c r="X9" s="307"/>
      <c r="Y9" s="307"/>
      <c r="Z9" s="307"/>
      <c r="AA9" s="307"/>
      <c r="AB9" s="311"/>
      <c r="AC9" s="307"/>
      <c r="AD9" s="307"/>
      <c r="AE9" s="307"/>
      <c r="AF9" s="307"/>
      <c r="AG9" s="310"/>
      <c r="AH9" s="307"/>
      <c r="AI9" s="310"/>
      <c r="AJ9" s="307"/>
      <c r="AK9" s="307"/>
      <c r="AL9" s="307"/>
      <c r="AM9" s="308"/>
      <c r="AN9" s="311"/>
      <c r="AO9" s="307"/>
      <c r="AP9" s="307"/>
      <c r="AQ9" s="308"/>
      <c r="AR9" s="307"/>
      <c r="AS9" s="307"/>
      <c r="AT9" s="307"/>
      <c r="AU9" s="310"/>
      <c r="AV9" s="308"/>
      <c r="AW9" s="312"/>
      <c r="AX9" s="308"/>
      <c r="AY9" s="307"/>
      <c r="AZ9" s="307"/>
      <c r="BA9" s="307"/>
      <c r="BB9" s="307"/>
      <c r="BC9" s="308"/>
      <c r="BD9" s="308"/>
      <c r="BE9" s="313"/>
      <c r="BF9" s="307"/>
      <c r="BG9" s="310"/>
      <c r="BH9" s="307"/>
      <c r="BI9" s="307"/>
      <c r="BJ9" s="310"/>
      <c r="BK9" s="307"/>
      <c r="BL9" s="307"/>
      <c r="BM9" s="310"/>
      <c r="BN9" s="307"/>
      <c r="BO9" s="310"/>
      <c r="BP9" s="307"/>
      <c r="BQ9" s="307"/>
      <c r="BR9" s="307"/>
      <c r="BS9" s="307"/>
      <c r="BT9" s="307"/>
      <c r="BU9" s="310"/>
      <c r="BV9" s="307"/>
      <c r="BW9" s="308"/>
      <c r="BX9" s="311"/>
      <c r="BY9" s="307"/>
      <c r="BZ9" s="307"/>
      <c r="CA9" s="310"/>
      <c r="CB9" s="307"/>
      <c r="CC9" s="307"/>
      <c r="CD9" s="307"/>
      <c r="CE9" s="308"/>
      <c r="CF9" s="308"/>
      <c r="CG9" s="307"/>
      <c r="CH9" s="307"/>
      <c r="CI9" s="307"/>
      <c r="CJ9" s="307"/>
      <c r="CK9" s="314"/>
      <c r="CL9" s="310"/>
      <c r="CM9" s="310"/>
      <c r="CN9" s="307"/>
      <c r="CO9" s="307"/>
      <c r="CP9" s="307"/>
      <c r="CQ9" s="315"/>
      <c r="CR9" s="315"/>
      <c r="CS9" s="315"/>
      <c r="CT9" s="315"/>
      <c r="CU9" s="307"/>
      <c r="CV9" s="217"/>
      <c r="CW9" s="192"/>
      <c r="CX9" s="192"/>
      <c r="CY9" s="192"/>
      <c r="CZ9" s="191"/>
      <c r="DA9" s="193"/>
      <c r="DB9" s="192"/>
      <c r="DC9" s="192"/>
      <c r="DD9" s="192"/>
      <c r="DE9" s="191"/>
      <c r="DF9" s="19"/>
      <c r="DG9" s="192"/>
      <c r="DH9" s="192"/>
      <c r="DI9" s="192"/>
      <c r="DJ9" s="191"/>
      <c r="DK9" s="193"/>
      <c r="DL9" s="192"/>
      <c r="DM9" s="192"/>
      <c r="DN9" s="192"/>
      <c r="DO9" s="191"/>
      <c r="DP9" s="19"/>
      <c r="DQ9" s="192"/>
      <c r="DR9" s="192"/>
      <c r="DS9" s="192"/>
      <c r="DT9" s="191"/>
      <c r="DU9" s="193"/>
      <c r="DV9" s="192"/>
      <c r="DW9" s="192"/>
      <c r="DX9" s="192"/>
      <c r="DY9" s="191"/>
      <c r="DZ9" s="19"/>
      <c r="EA9" s="192"/>
      <c r="EB9" s="192"/>
      <c r="EC9" s="192"/>
      <c r="ED9" s="191"/>
      <c r="EE9" s="193"/>
      <c r="EF9" s="192"/>
      <c r="EG9" s="192"/>
      <c r="EH9" s="192"/>
      <c r="EI9" s="191"/>
      <c r="EJ9" s="19"/>
      <c r="EK9" s="192"/>
      <c r="EL9" s="192"/>
      <c r="EM9" s="192"/>
      <c r="EN9" s="191"/>
      <c r="EO9" s="193"/>
      <c r="EP9" s="192"/>
      <c r="EQ9" s="192"/>
      <c r="ER9" s="192"/>
      <c r="ES9" s="191"/>
      <c r="ET9" s="19"/>
      <c r="EU9" s="192"/>
      <c r="EV9" s="192"/>
      <c r="EW9" s="192"/>
      <c r="EX9" s="191"/>
      <c r="EY9" s="193"/>
      <c r="EZ9" s="192"/>
      <c r="FA9" s="192"/>
      <c r="FB9" s="192"/>
      <c r="FC9" s="191"/>
      <c r="FD9"/>
      <c r="FE9"/>
      <c r="FF9" s="253">
        <v>4</v>
      </c>
      <c r="FG9" s="253" t="s">
        <v>290</v>
      </c>
      <c r="FH9" s="253" t="s">
        <v>299</v>
      </c>
      <c r="FI9" s="253" t="s">
        <v>300</v>
      </c>
      <c r="FJ9" s="257" t="s">
        <v>346</v>
      </c>
      <c r="FK9" s="258" t="s">
        <v>144</v>
      </c>
      <c r="FL9" s="273">
        <f t="shared" ca="1" si="2"/>
        <v>116</v>
      </c>
      <c r="FM9" s="261"/>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row>
    <row r="10" spans="1:247" s="18" customFormat="1" ht="16.5" thickBot="1">
      <c r="A10" s="196">
        <v>7</v>
      </c>
      <c r="B10" s="306"/>
      <c r="C10" s="310"/>
      <c r="D10" s="307" t="s">
        <v>271</v>
      </c>
      <c r="E10" s="307" t="s">
        <v>271</v>
      </c>
      <c r="F10" s="308"/>
      <c r="G10" s="343" t="str">
        <f t="shared" si="0"/>
        <v xml:space="preserve"> </v>
      </c>
      <c r="H10" s="307"/>
      <c r="I10" s="309" t="e">
        <f t="shared" si="1"/>
        <v>#N/A</v>
      </c>
      <c r="J10" s="307"/>
      <c r="K10" s="307"/>
      <c r="L10" s="310"/>
      <c r="M10" s="310"/>
      <c r="N10" s="310"/>
      <c r="O10" s="310"/>
      <c r="P10" s="310"/>
      <c r="Q10" s="310"/>
      <c r="R10" s="310"/>
      <c r="S10" s="310"/>
      <c r="T10" s="310"/>
      <c r="U10" s="307"/>
      <c r="V10" s="307"/>
      <c r="W10" s="311"/>
      <c r="X10" s="307"/>
      <c r="Y10" s="307"/>
      <c r="Z10" s="307"/>
      <c r="AA10" s="307"/>
      <c r="AB10" s="311"/>
      <c r="AC10" s="307"/>
      <c r="AD10" s="307"/>
      <c r="AE10" s="307"/>
      <c r="AF10" s="307"/>
      <c r="AG10" s="310"/>
      <c r="AH10" s="307"/>
      <c r="AI10" s="310"/>
      <c r="AJ10" s="307"/>
      <c r="AK10" s="307"/>
      <c r="AL10" s="307"/>
      <c r="AM10" s="308"/>
      <c r="AN10" s="311"/>
      <c r="AO10" s="307"/>
      <c r="AP10" s="307"/>
      <c r="AQ10" s="308"/>
      <c r="AR10" s="307"/>
      <c r="AS10" s="307"/>
      <c r="AT10" s="307"/>
      <c r="AU10" s="310"/>
      <c r="AV10" s="308"/>
      <c r="AW10" s="312"/>
      <c r="AX10" s="308"/>
      <c r="AY10" s="307"/>
      <c r="AZ10" s="307"/>
      <c r="BA10" s="307"/>
      <c r="BB10" s="307"/>
      <c r="BC10" s="308"/>
      <c r="BD10" s="308"/>
      <c r="BE10" s="313"/>
      <c r="BF10" s="307"/>
      <c r="BG10" s="310"/>
      <c r="BH10" s="307"/>
      <c r="BI10" s="307"/>
      <c r="BJ10" s="310"/>
      <c r="BK10" s="307"/>
      <c r="BL10" s="307"/>
      <c r="BM10" s="310"/>
      <c r="BN10" s="307"/>
      <c r="BO10" s="310"/>
      <c r="BP10" s="307"/>
      <c r="BQ10" s="307"/>
      <c r="BR10" s="307"/>
      <c r="BS10" s="307"/>
      <c r="BT10" s="307"/>
      <c r="BU10" s="310"/>
      <c r="BV10" s="307"/>
      <c r="BW10" s="308"/>
      <c r="BX10" s="311"/>
      <c r="BY10" s="307"/>
      <c r="BZ10" s="307"/>
      <c r="CA10" s="310"/>
      <c r="CB10" s="307"/>
      <c r="CC10" s="307"/>
      <c r="CD10" s="307"/>
      <c r="CE10" s="308"/>
      <c r="CF10" s="308"/>
      <c r="CG10" s="307"/>
      <c r="CH10" s="307"/>
      <c r="CI10" s="307"/>
      <c r="CJ10" s="307"/>
      <c r="CK10" s="314"/>
      <c r="CL10" s="310"/>
      <c r="CM10" s="310"/>
      <c r="CN10" s="307"/>
      <c r="CO10" s="307"/>
      <c r="CP10" s="307"/>
      <c r="CQ10" s="315"/>
      <c r="CR10" s="315"/>
      <c r="CS10" s="315"/>
      <c r="CT10" s="315"/>
      <c r="CU10" s="307"/>
      <c r="CV10" s="217"/>
      <c r="CW10" s="192"/>
      <c r="CX10" s="192"/>
      <c r="CY10" s="192"/>
      <c r="CZ10" s="191"/>
      <c r="DA10" s="193"/>
      <c r="DB10" s="192"/>
      <c r="DC10" s="192"/>
      <c r="DD10" s="192"/>
      <c r="DE10" s="191"/>
      <c r="DF10" s="19"/>
      <c r="DG10" s="192"/>
      <c r="DH10" s="192"/>
      <c r="DI10" s="192"/>
      <c r="DJ10" s="191"/>
      <c r="DK10" s="193"/>
      <c r="DL10" s="192"/>
      <c r="DM10" s="192"/>
      <c r="DN10" s="192"/>
      <c r="DO10" s="191"/>
      <c r="DP10" s="19"/>
      <c r="DQ10" s="192"/>
      <c r="DR10" s="192"/>
      <c r="DS10" s="192"/>
      <c r="DT10" s="191"/>
      <c r="DU10" s="193"/>
      <c r="DV10" s="192"/>
      <c r="DW10" s="192"/>
      <c r="DX10" s="192"/>
      <c r="DY10" s="191"/>
      <c r="DZ10" s="19"/>
      <c r="EA10" s="192"/>
      <c r="EB10" s="192"/>
      <c r="EC10" s="192"/>
      <c r="ED10" s="191"/>
      <c r="EE10" s="193"/>
      <c r="EF10" s="192"/>
      <c r="EG10" s="192"/>
      <c r="EH10" s="192"/>
      <c r="EI10" s="191"/>
      <c r="EJ10" s="19"/>
      <c r="EK10" s="192"/>
      <c r="EL10" s="192"/>
      <c r="EM10" s="192"/>
      <c r="EN10" s="191"/>
      <c r="EO10" s="193"/>
      <c r="EP10" s="192"/>
      <c r="EQ10" s="192"/>
      <c r="ER10" s="192"/>
      <c r="ES10" s="191"/>
      <c r="ET10" s="19"/>
      <c r="EU10" s="192"/>
      <c r="EV10" s="192"/>
      <c r="EW10" s="192"/>
      <c r="EX10" s="191"/>
      <c r="EY10" s="193"/>
      <c r="EZ10" s="192"/>
      <c r="FA10" s="192"/>
      <c r="FB10" s="192"/>
      <c r="FC10" s="191"/>
      <c r="FD10"/>
      <c r="FE10"/>
      <c r="FF10" s="253">
        <v>5</v>
      </c>
      <c r="FG10" s="253" t="s">
        <v>291</v>
      </c>
      <c r="FH10" s="253" t="s">
        <v>301</v>
      </c>
      <c r="FI10" s="253" t="s">
        <v>302</v>
      </c>
      <c r="FJ10" s="257" t="s">
        <v>143</v>
      </c>
      <c r="FK10" s="258" t="s">
        <v>347</v>
      </c>
      <c r="FL10" s="273">
        <f t="shared" ca="1" si="2"/>
        <v>116</v>
      </c>
      <c r="FM10" s="261"/>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row>
    <row r="11" spans="1:247" s="18" customFormat="1" ht="16.5" thickBot="1">
      <c r="A11" s="199">
        <v>8</v>
      </c>
      <c r="B11" s="306"/>
      <c r="C11" s="310"/>
      <c r="D11" s="307" t="s">
        <v>271</v>
      </c>
      <c r="E11" s="307" t="s">
        <v>271</v>
      </c>
      <c r="F11" s="308"/>
      <c r="G11" s="343" t="str">
        <f t="shared" si="0"/>
        <v xml:space="preserve"> </v>
      </c>
      <c r="H11" s="307"/>
      <c r="I11" s="309" t="e">
        <f t="shared" si="1"/>
        <v>#N/A</v>
      </c>
      <c r="J11" s="307"/>
      <c r="K11" s="307"/>
      <c r="L11" s="310"/>
      <c r="M11" s="310"/>
      <c r="N11" s="310"/>
      <c r="O11" s="310"/>
      <c r="P11" s="310"/>
      <c r="Q11" s="310"/>
      <c r="R11" s="310"/>
      <c r="S11" s="310"/>
      <c r="T11" s="310"/>
      <c r="U11" s="307"/>
      <c r="V11" s="307"/>
      <c r="W11" s="311"/>
      <c r="X11" s="307"/>
      <c r="Y11" s="307"/>
      <c r="Z11" s="307"/>
      <c r="AA11" s="307"/>
      <c r="AB11" s="311"/>
      <c r="AC11" s="307"/>
      <c r="AD11" s="307"/>
      <c r="AE11" s="307"/>
      <c r="AF11" s="307"/>
      <c r="AG11" s="310"/>
      <c r="AH11" s="307"/>
      <c r="AI11" s="310"/>
      <c r="AJ11" s="307"/>
      <c r="AK11" s="307"/>
      <c r="AL11" s="307"/>
      <c r="AM11" s="308"/>
      <c r="AN11" s="311"/>
      <c r="AO11" s="307"/>
      <c r="AP11" s="307"/>
      <c r="AQ11" s="308"/>
      <c r="AR11" s="307"/>
      <c r="AS11" s="307"/>
      <c r="AT11" s="307"/>
      <c r="AU11" s="310"/>
      <c r="AV11" s="308"/>
      <c r="AW11" s="312"/>
      <c r="AX11" s="308"/>
      <c r="AY11" s="307"/>
      <c r="AZ11" s="307"/>
      <c r="BA11" s="307"/>
      <c r="BB11" s="307"/>
      <c r="BC11" s="308"/>
      <c r="BD11" s="308"/>
      <c r="BE11" s="313"/>
      <c r="BF11" s="307"/>
      <c r="BG11" s="310"/>
      <c r="BH11" s="307"/>
      <c r="BI11" s="307"/>
      <c r="BJ11" s="310"/>
      <c r="BK11" s="307"/>
      <c r="BL11" s="307"/>
      <c r="BM11" s="310"/>
      <c r="BN11" s="307"/>
      <c r="BO11" s="310"/>
      <c r="BP11" s="307"/>
      <c r="BQ11" s="307"/>
      <c r="BR11" s="307"/>
      <c r="BS11" s="307"/>
      <c r="BT11" s="307"/>
      <c r="BU11" s="310"/>
      <c r="BV11" s="307"/>
      <c r="BW11" s="308"/>
      <c r="BX11" s="311"/>
      <c r="BY11" s="307"/>
      <c r="BZ11" s="307"/>
      <c r="CA11" s="310"/>
      <c r="CB11" s="307"/>
      <c r="CC11" s="307"/>
      <c r="CD11" s="307"/>
      <c r="CE11" s="308"/>
      <c r="CF11" s="308"/>
      <c r="CG11" s="307"/>
      <c r="CH11" s="307"/>
      <c r="CI11" s="307"/>
      <c r="CJ11" s="307"/>
      <c r="CK11" s="314"/>
      <c r="CL11" s="310"/>
      <c r="CM11" s="310"/>
      <c r="CN11" s="307"/>
      <c r="CO11" s="307"/>
      <c r="CP11" s="307"/>
      <c r="CQ11" s="315"/>
      <c r="CR11" s="315"/>
      <c r="CS11" s="315"/>
      <c r="CT11" s="315"/>
      <c r="CU11" s="307"/>
      <c r="CV11" s="217"/>
      <c r="CW11" s="192"/>
      <c r="CX11" s="192"/>
      <c r="CY11" s="192"/>
      <c r="CZ11" s="191"/>
      <c r="DA11" s="193"/>
      <c r="DB11" s="192"/>
      <c r="DC11" s="192"/>
      <c r="DD11" s="192"/>
      <c r="DE11" s="191"/>
      <c r="DF11" s="19"/>
      <c r="DG11" s="192"/>
      <c r="DH11" s="192"/>
      <c r="DI11" s="192"/>
      <c r="DJ11" s="191"/>
      <c r="DK11" s="193"/>
      <c r="DL11" s="192"/>
      <c r="DM11" s="192"/>
      <c r="DN11" s="192"/>
      <c r="DO11" s="191"/>
      <c r="DP11" s="19"/>
      <c r="DQ11" s="192"/>
      <c r="DR11" s="192"/>
      <c r="DS11" s="192"/>
      <c r="DT11" s="191"/>
      <c r="DU11" s="193"/>
      <c r="DV11" s="192"/>
      <c r="DW11" s="192"/>
      <c r="DX11" s="192"/>
      <c r="DY11" s="191"/>
      <c r="DZ11" s="19"/>
      <c r="EA11" s="192"/>
      <c r="EB11" s="192"/>
      <c r="EC11" s="192"/>
      <c r="ED11" s="191"/>
      <c r="EE11" s="193"/>
      <c r="EF11" s="192"/>
      <c r="EG11" s="192"/>
      <c r="EH11" s="192"/>
      <c r="EI11" s="191"/>
      <c r="EJ11" s="19"/>
      <c r="EK11" s="192"/>
      <c r="EL11" s="192"/>
      <c r="EM11" s="192"/>
      <c r="EN11" s="191"/>
      <c r="EO11" s="193"/>
      <c r="EP11" s="192"/>
      <c r="EQ11" s="192"/>
      <c r="ER11" s="192"/>
      <c r="ES11" s="191"/>
      <c r="ET11" s="19"/>
      <c r="EU11" s="192"/>
      <c r="EV11" s="192"/>
      <c r="EW11" s="192"/>
      <c r="EX11" s="191"/>
      <c r="EY11" s="193"/>
      <c r="EZ11" s="192"/>
      <c r="FA11" s="192"/>
      <c r="FB11" s="192"/>
      <c r="FC11" s="191"/>
      <c r="FD11"/>
      <c r="FE11"/>
      <c r="FF11" s="253">
        <v>6</v>
      </c>
      <c r="FG11" s="253" t="s">
        <v>292</v>
      </c>
      <c r="FH11" s="253" t="s">
        <v>303</v>
      </c>
      <c r="FI11" s="253" t="s">
        <v>304</v>
      </c>
      <c r="FJ11" s="257" t="s">
        <v>348</v>
      </c>
      <c r="FK11" s="258" t="s">
        <v>349</v>
      </c>
      <c r="FL11" s="273">
        <f t="shared" ca="1" si="2"/>
        <v>116</v>
      </c>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row>
    <row r="12" spans="1:247" s="18" customFormat="1" ht="16.5" thickBot="1">
      <c r="A12" s="196">
        <v>9</v>
      </c>
      <c r="B12" s="306"/>
      <c r="C12" s="310"/>
      <c r="D12" s="307" t="s">
        <v>271</v>
      </c>
      <c r="E12" s="307" t="s">
        <v>271</v>
      </c>
      <c r="F12" s="308"/>
      <c r="G12" s="343" t="str">
        <f t="shared" si="0"/>
        <v xml:space="preserve"> </v>
      </c>
      <c r="H12" s="307"/>
      <c r="I12" s="309" t="e">
        <f t="shared" si="1"/>
        <v>#N/A</v>
      </c>
      <c r="J12" s="307"/>
      <c r="K12" s="307"/>
      <c r="L12" s="310"/>
      <c r="M12" s="310"/>
      <c r="N12" s="310"/>
      <c r="O12" s="310"/>
      <c r="P12" s="310"/>
      <c r="Q12" s="310"/>
      <c r="R12" s="310"/>
      <c r="S12" s="310"/>
      <c r="T12" s="310"/>
      <c r="U12" s="307"/>
      <c r="V12" s="307"/>
      <c r="W12" s="311"/>
      <c r="X12" s="307"/>
      <c r="Y12" s="307"/>
      <c r="Z12" s="307"/>
      <c r="AA12" s="307"/>
      <c r="AB12" s="311"/>
      <c r="AC12" s="307"/>
      <c r="AD12" s="307"/>
      <c r="AE12" s="307"/>
      <c r="AF12" s="307"/>
      <c r="AG12" s="310"/>
      <c r="AH12" s="307"/>
      <c r="AI12" s="310"/>
      <c r="AJ12" s="307"/>
      <c r="AK12" s="307"/>
      <c r="AL12" s="307"/>
      <c r="AM12" s="308"/>
      <c r="AN12" s="311"/>
      <c r="AO12" s="307"/>
      <c r="AP12" s="307"/>
      <c r="AQ12" s="308"/>
      <c r="AR12" s="307"/>
      <c r="AS12" s="307"/>
      <c r="AT12" s="307"/>
      <c r="AU12" s="310"/>
      <c r="AV12" s="308"/>
      <c r="AW12" s="312"/>
      <c r="AX12" s="308"/>
      <c r="AY12" s="307"/>
      <c r="AZ12" s="307"/>
      <c r="BA12" s="307"/>
      <c r="BB12" s="307"/>
      <c r="BC12" s="308"/>
      <c r="BD12" s="308"/>
      <c r="BE12" s="313"/>
      <c r="BF12" s="307"/>
      <c r="BG12" s="310"/>
      <c r="BH12" s="307"/>
      <c r="BI12" s="307"/>
      <c r="BJ12" s="310"/>
      <c r="BK12" s="307"/>
      <c r="BL12" s="307"/>
      <c r="BM12" s="310"/>
      <c r="BN12" s="307"/>
      <c r="BO12" s="310"/>
      <c r="BP12" s="307"/>
      <c r="BQ12" s="307"/>
      <c r="BR12" s="307"/>
      <c r="BS12" s="307"/>
      <c r="BT12" s="307"/>
      <c r="BU12" s="310"/>
      <c r="BV12" s="307"/>
      <c r="BW12" s="308"/>
      <c r="BX12" s="311"/>
      <c r="BY12" s="307"/>
      <c r="BZ12" s="307"/>
      <c r="CA12" s="310"/>
      <c r="CB12" s="307"/>
      <c r="CC12" s="307"/>
      <c r="CD12" s="307"/>
      <c r="CE12" s="308"/>
      <c r="CF12" s="308"/>
      <c r="CG12" s="307"/>
      <c r="CH12" s="307"/>
      <c r="CI12" s="307"/>
      <c r="CJ12" s="307"/>
      <c r="CK12" s="314"/>
      <c r="CL12" s="310"/>
      <c r="CM12" s="310"/>
      <c r="CN12" s="307"/>
      <c r="CO12" s="307"/>
      <c r="CP12" s="307"/>
      <c r="CQ12" s="315"/>
      <c r="CR12" s="315"/>
      <c r="CS12" s="315"/>
      <c r="CT12" s="315"/>
      <c r="CU12" s="307"/>
      <c r="CV12" s="217"/>
      <c r="CW12" s="192"/>
      <c r="CX12" s="192"/>
      <c r="CY12" s="192"/>
      <c r="CZ12" s="191"/>
      <c r="DA12" s="193"/>
      <c r="DB12" s="192"/>
      <c r="DC12" s="192"/>
      <c r="DD12" s="192"/>
      <c r="DE12" s="191"/>
      <c r="DF12" s="19"/>
      <c r="DG12" s="192"/>
      <c r="DH12" s="192"/>
      <c r="DI12" s="192"/>
      <c r="DJ12" s="191"/>
      <c r="DK12" s="193"/>
      <c r="DL12" s="192"/>
      <c r="DM12" s="192"/>
      <c r="DN12" s="192"/>
      <c r="DO12" s="191"/>
      <c r="DP12" s="19"/>
      <c r="DQ12" s="192"/>
      <c r="DR12" s="192"/>
      <c r="DS12" s="192"/>
      <c r="DT12" s="191"/>
      <c r="DU12" s="193"/>
      <c r="DV12" s="192"/>
      <c r="DW12" s="192"/>
      <c r="DX12" s="192"/>
      <c r="DY12" s="191"/>
      <c r="DZ12" s="19"/>
      <c r="EA12" s="192"/>
      <c r="EB12" s="192"/>
      <c r="EC12" s="192"/>
      <c r="ED12" s="191"/>
      <c r="EE12" s="193"/>
      <c r="EF12" s="192"/>
      <c r="EG12" s="192"/>
      <c r="EH12" s="192"/>
      <c r="EI12" s="191"/>
      <c r="EJ12" s="19"/>
      <c r="EK12" s="192"/>
      <c r="EL12" s="192"/>
      <c r="EM12" s="192"/>
      <c r="EN12" s="191"/>
      <c r="EO12" s="193"/>
      <c r="EP12" s="192"/>
      <c r="EQ12" s="192"/>
      <c r="ER12" s="192"/>
      <c r="ES12" s="191"/>
      <c r="ET12" s="19"/>
      <c r="EU12" s="192"/>
      <c r="EV12" s="192"/>
      <c r="EW12" s="192"/>
      <c r="EX12" s="191"/>
      <c r="EY12" s="193"/>
      <c r="EZ12" s="192"/>
      <c r="FA12" s="192"/>
      <c r="FB12" s="192"/>
      <c r="FC12" s="191"/>
      <c r="FD12"/>
      <c r="FE12"/>
      <c r="FF12" s="253">
        <v>7</v>
      </c>
      <c r="FG12" s="253" t="s">
        <v>223</v>
      </c>
      <c r="FH12" s="253" t="s">
        <v>305</v>
      </c>
      <c r="FI12" s="253" t="s">
        <v>306</v>
      </c>
      <c r="FJ12" s="257" t="s">
        <v>350</v>
      </c>
      <c r="FK12" s="258" t="s">
        <v>351</v>
      </c>
      <c r="FL12" s="273">
        <f t="shared" ca="1" si="2"/>
        <v>116</v>
      </c>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row>
    <row r="13" spans="1:247" s="18" customFormat="1" ht="16.5" thickBot="1">
      <c r="A13" s="199">
        <v>10</v>
      </c>
      <c r="B13" s="306"/>
      <c r="C13" s="310"/>
      <c r="D13" s="307" t="s">
        <v>271</v>
      </c>
      <c r="E13" s="307" t="s">
        <v>271</v>
      </c>
      <c r="F13" s="308"/>
      <c r="G13" s="343" t="str">
        <f t="shared" si="0"/>
        <v xml:space="preserve"> </v>
      </c>
      <c r="H13" s="307"/>
      <c r="I13" s="309" t="e">
        <f t="shared" si="1"/>
        <v>#N/A</v>
      </c>
      <c r="J13" s="307"/>
      <c r="K13" s="307"/>
      <c r="L13" s="310"/>
      <c r="M13" s="310"/>
      <c r="N13" s="310"/>
      <c r="O13" s="310"/>
      <c r="P13" s="310"/>
      <c r="Q13" s="310"/>
      <c r="R13" s="310"/>
      <c r="S13" s="310"/>
      <c r="T13" s="310"/>
      <c r="U13" s="307"/>
      <c r="V13" s="307"/>
      <c r="W13" s="311"/>
      <c r="X13" s="307"/>
      <c r="Y13" s="307"/>
      <c r="Z13" s="307"/>
      <c r="AA13" s="307"/>
      <c r="AB13" s="311"/>
      <c r="AC13" s="307"/>
      <c r="AD13" s="307"/>
      <c r="AE13" s="307"/>
      <c r="AF13" s="307"/>
      <c r="AG13" s="310"/>
      <c r="AH13" s="307"/>
      <c r="AI13" s="310"/>
      <c r="AJ13" s="307"/>
      <c r="AK13" s="307"/>
      <c r="AL13" s="307"/>
      <c r="AM13" s="308"/>
      <c r="AN13" s="311"/>
      <c r="AO13" s="307"/>
      <c r="AP13" s="307"/>
      <c r="AQ13" s="308"/>
      <c r="AR13" s="307"/>
      <c r="AS13" s="307"/>
      <c r="AT13" s="307"/>
      <c r="AU13" s="310"/>
      <c r="AV13" s="308"/>
      <c r="AW13" s="312"/>
      <c r="AX13" s="308"/>
      <c r="AY13" s="307"/>
      <c r="AZ13" s="307"/>
      <c r="BA13" s="307"/>
      <c r="BB13" s="307"/>
      <c r="BC13" s="308"/>
      <c r="BD13" s="308"/>
      <c r="BE13" s="313"/>
      <c r="BF13" s="307"/>
      <c r="BG13" s="310"/>
      <c r="BH13" s="307"/>
      <c r="BI13" s="307"/>
      <c r="BJ13" s="310"/>
      <c r="BK13" s="307"/>
      <c r="BL13" s="307"/>
      <c r="BM13" s="310"/>
      <c r="BN13" s="307"/>
      <c r="BO13" s="310"/>
      <c r="BP13" s="307"/>
      <c r="BQ13" s="307"/>
      <c r="BR13" s="307"/>
      <c r="BS13" s="307"/>
      <c r="BT13" s="307"/>
      <c r="BU13" s="310"/>
      <c r="BV13" s="307"/>
      <c r="BW13" s="308"/>
      <c r="BX13" s="311"/>
      <c r="BY13" s="307"/>
      <c r="BZ13" s="307"/>
      <c r="CA13" s="310"/>
      <c r="CB13" s="307"/>
      <c r="CC13" s="307"/>
      <c r="CD13" s="307"/>
      <c r="CE13" s="308"/>
      <c r="CF13" s="308"/>
      <c r="CG13" s="307"/>
      <c r="CH13" s="307"/>
      <c r="CI13" s="307"/>
      <c r="CJ13" s="307"/>
      <c r="CK13" s="314"/>
      <c r="CL13" s="310"/>
      <c r="CM13" s="310"/>
      <c r="CN13" s="307"/>
      <c r="CO13" s="307"/>
      <c r="CP13" s="307"/>
      <c r="CQ13" s="315"/>
      <c r="CR13" s="315"/>
      <c r="CS13" s="315"/>
      <c r="CT13" s="315"/>
      <c r="CU13" s="307"/>
      <c r="CV13" s="217"/>
      <c r="CW13" s="192"/>
      <c r="CX13" s="192"/>
      <c r="CY13" s="192"/>
      <c r="CZ13" s="191"/>
      <c r="DA13" s="193"/>
      <c r="DB13" s="192"/>
      <c r="DC13" s="192"/>
      <c r="DD13" s="192"/>
      <c r="DE13" s="191"/>
      <c r="DF13" s="19"/>
      <c r="DG13" s="192"/>
      <c r="DH13" s="192"/>
      <c r="DI13" s="192"/>
      <c r="DJ13" s="191"/>
      <c r="DK13" s="193"/>
      <c r="DL13" s="192"/>
      <c r="DM13" s="192"/>
      <c r="DN13" s="192"/>
      <c r="DO13" s="191"/>
      <c r="DP13" s="19"/>
      <c r="DQ13" s="192"/>
      <c r="DR13" s="192"/>
      <c r="DS13" s="192"/>
      <c r="DT13" s="191"/>
      <c r="DU13" s="193"/>
      <c r="DV13" s="192"/>
      <c r="DW13" s="192"/>
      <c r="DX13" s="192"/>
      <c r="DY13" s="191"/>
      <c r="DZ13" s="19"/>
      <c r="EA13" s="192"/>
      <c r="EB13" s="192"/>
      <c r="EC13" s="192"/>
      <c r="ED13" s="191"/>
      <c r="EE13" s="193"/>
      <c r="EF13" s="192"/>
      <c r="EG13" s="192"/>
      <c r="EH13" s="192"/>
      <c r="EI13" s="191"/>
      <c r="EJ13" s="19"/>
      <c r="EK13" s="192"/>
      <c r="EL13" s="192"/>
      <c r="EM13" s="192"/>
      <c r="EN13" s="191"/>
      <c r="EO13" s="193"/>
      <c r="EP13" s="192"/>
      <c r="EQ13" s="192"/>
      <c r="ER13" s="192"/>
      <c r="ES13" s="191"/>
      <c r="ET13" s="19"/>
      <c r="EU13" s="192"/>
      <c r="EV13" s="192"/>
      <c r="EW13" s="192"/>
      <c r="EX13" s="191"/>
      <c r="EY13" s="193"/>
      <c r="EZ13" s="192"/>
      <c r="FA13" s="192"/>
      <c r="FB13" s="192"/>
      <c r="FC13" s="191"/>
      <c r="FD13"/>
      <c r="FE13"/>
      <c r="FF13" s="253">
        <v>8</v>
      </c>
      <c r="FG13" s="253"/>
      <c r="FH13" s="253" t="s">
        <v>307</v>
      </c>
      <c r="FI13" s="253" t="s">
        <v>308</v>
      </c>
      <c r="FJ13" s="257" t="s">
        <v>352</v>
      </c>
      <c r="FK13" s="258" t="s">
        <v>353</v>
      </c>
      <c r="FL13" s="273">
        <f t="shared" ca="1" si="2"/>
        <v>116</v>
      </c>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row>
    <row r="14" spans="1:247" s="18" customFormat="1" ht="16.5" thickBot="1">
      <c r="A14" s="196">
        <v>11</v>
      </c>
      <c r="B14" s="306"/>
      <c r="C14" s="307"/>
      <c r="D14" s="307" t="s">
        <v>271</v>
      </c>
      <c r="E14" s="307" t="s">
        <v>271</v>
      </c>
      <c r="F14" s="308"/>
      <c r="G14" s="343" t="str">
        <f t="shared" si="0"/>
        <v xml:space="preserve"> </v>
      </c>
      <c r="H14" s="307"/>
      <c r="I14" s="309" t="e">
        <f t="shared" si="1"/>
        <v>#N/A</v>
      </c>
      <c r="J14" s="307"/>
      <c r="K14" s="307"/>
      <c r="L14" s="310"/>
      <c r="M14" s="310"/>
      <c r="N14" s="310"/>
      <c r="O14" s="310"/>
      <c r="P14" s="310"/>
      <c r="Q14" s="310"/>
      <c r="R14" s="310"/>
      <c r="S14" s="310"/>
      <c r="T14" s="310"/>
      <c r="U14" s="307"/>
      <c r="V14" s="307"/>
      <c r="W14" s="311"/>
      <c r="X14" s="307"/>
      <c r="Y14" s="307"/>
      <c r="Z14" s="307"/>
      <c r="AA14" s="307"/>
      <c r="AB14" s="311"/>
      <c r="AC14" s="307"/>
      <c r="AD14" s="307"/>
      <c r="AE14" s="307"/>
      <c r="AF14" s="307"/>
      <c r="AG14" s="310"/>
      <c r="AH14" s="307"/>
      <c r="AI14" s="310"/>
      <c r="AJ14" s="307"/>
      <c r="AK14" s="307"/>
      <c r="AL14" s="307"/>
      <c r="AM14" s="308"/>
      <c r="AN14" s="311"/>
      <c r="AO14" s="307"/>
      <c r="AP14" s="307"/>
      <c r="AQ14" s="308"/>
      <c r="AR14" s="307"/>
      <c r="AS14" s="307"/>
      <c r="AT14" s="307"/>
      <c r="AU14" s="310"/>
      <c r="AV14" s="308"/>
      <c r="AW14" s="312"/>
      <c r="AX14" s="308"/>
      <c r="AY14" s="307"/>
      <c r="AZ14" s="307"/>
      <c r="BA14" s="307"/>
      <c r="BB14" s="307"/>
      <c r="BC14" s="308"/>
      <c r="BD14" s="308"/>
      <c r="BE14" s="313"/>
      <c r="BF14" s="307"/>
      <c r="BG14" s="310"/>
      <c r="BH14" s="307"/>
      <c r="BI14" s="307"/>
      <c r="BJ14" s="310"/>
      <c r="BK14" s="307"/>
      <c r="BL14" s="307"/>
      <c r="BM14" s="310"/>
      <c r="BN14" s="307"/>
      <c r="BO14" s="310"/>
      <c r="BP14" s="307"/>
      <c r="BQ14" s="307"/>
      <c r="BR14" s="307"/>
      <c r="BS14" s="307"/>
      <c r="BT14" s="307"/>
      <c r="BU14" s="310"/>
      <c r="BV14" s="307"/>
      <c r="BW14" s="308"/>
      <c r="BX14" s="311"/>
      <c r="BY14" s="307"/>
      <c r="BZ14" s="307"/>
      <c r="CA14" s="310"/>
      <c r="CB14" s="307"/>
      <c r="CC14" s="307"/>
      <c r="CD14" s="307"/>
      <c r="CE14" s="308"/>
      <c r="CF14" s="308"/>
      <c r="CG14" s="307"/>
      <c r="CH14" s="307"/>
      <c r="CI14" s="307"/>
      <c r="CJ14" s="307"/>
      <c r="CK14" s="314"/>
      <c r="CL14" s="310"/>
      <c r="CM14" s="310"/>
      <c r="CN14" s="307"/>
      <c r="CO14" s="307"/>
      <c r="CP14" s="307"/>
      <c r="CQ14" s="315"/>
      <c r="CR14" s="315"/>
      <c r="CS14" s="315"/>
      <c r="CT14" s="315"/>
      <c r="CU14" s="307"/>
      <c r="CV14" s="217"/>
      <c r="CW14" s="192"/>
      <c r="CX14" s="192"/>
      <c r="CY14" s="192"/>
      <c r="CZ14" s="191"/>
      <c r="DA14" s="193"/>
      <c r="DB14" s="192"/>
      <c r="DC14" s="192"/>
      <c r="DD14" s="192"/>
      <c r="DE14" s="191"/>
      <c r="DF14" s="19"/>
      <c r="DG14" s="192"/>
      <c r="DH14" s="192"/>
      <c r="DI14" s="192"/>
      <c r="DJ14" s="191"/>
      <c r="DK14" s="193"/>
      <c r="DL14" s="192"/>
      <c r="DM14" s="192"/>
      <c r="DN14" s="192"/>
      <c r="DO14" s="191"/>
      <c r="DP14" s="19"/>
      <c r="DQ14" s="192"/>
      <c r="DR14" s="192"/>
      <c r="DS14" s="192"/>
      <c r="DT14" s="191"/>
      <c r="DU14" s="193"/>
      <c r="DV14" s="192"/>
      <c r="DW14" s="192"/>
      <c r="DX14" s="192"/>
      <c r="DY14" s="191"/>
      <c r="DZ14" s="19"/>
      <c r="EA14" s="192"/>
      <c r="EB14" s="192"/>
      <c r="EC14" s="192"/>
      <c r="ED14" s="191"/>
      <c r="EE14" s="193"/>
      <c r="EF14" s="192"/>
      <c r="EG14" s="192"/>
      <c r="EH14" s="192"/>
      <c r="EI14" s="191"/>
      <c r="EJ14" s="19"/>
      <c r="EK14" s="192"/>
      <c r="EL14" s="192"/>
      <c r="EM14" s="192"/>
      <c r="EN14" s="191"/>
      <c r="EO14" s="193"/>
      <c r="EP14" s="192"/>
      <c r="EQ14" s="192"/>
      <c r="ER14" s="192"/>
      <c r="ES14" s="191"/>
      <c r="ET14" s="19"/>
      <c r="EU14" s="192"/>
      <c r="EV14" s="192"/>
      <c r="EW14" s="192"/>
      <c r="EX14" s="191"/>
      <c r="EY14" s="193"/>
      <c r="EZ14" s="192"/>
      <c r="FA14" s="192"/>
      <c r="FB14" s="192"/>
      <c r="FC14" s="191"/>
      <c r="FD14"/>
      <c r="FE14"/>
      <c r="FF14" s="253">
        <v>9</v>
      </c>
      <c r="FG14" s="253"/>
      <c r="FH14" s="253" t="s">
        <v>309</v>
      </c>
      <c r="FI14" s="253" t="s">
        <v>310</v>
      </c>
      <c r="FJ14" s="257" t="s">
        <v>267</v>
      </c>
      <c r="FK14" s="257" t="s">
        <v>354</v>
      </c>
      <c r="FL14" s="273">
        <f t="shared" ca="1" si="2"/>
        <v>116</v>
      </c>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row>
    <row r="15" spans="1:247" s="18" customFormat="1" ht="16.5" thickBot="1">
      <c r="A15" s="199">
        <v>12</v>
      </c>
      <c r="B15" s="306"/>
      <c r="C15" s="310"/>
      <c r="D15" s="307" t="s">
        <v>271</v>
      </c>
      <c r="E15" s="307" t="s">
        <v>271</v>
      </c>
      <c r="F15" s="308"/>
      <c r="G15" s="343" t="str">
        <f t="shared" si="0"/>
        <v xml:space="preserve"> </v>
      </c>
      <c r="H15" s="307"/>
      <c r="I15" s="309" t="e">
        <f t="shared" si="1"/>
        <v>#N/A</v>
      </c>
      <c r="J15" s="307"/>
      <c r="K15" s="307"/>
      <c r="L15" s="310"/>
      <c r="M15" s="310"/>
      <c r="N15" s="310"/>
      <c r="O15" s="310"/>
      <c r="P15" s="310"/>
      <c r="Q15" s="310"/>
      <c r="R15" s="310"/>
      <c r="S15" s="310"/>
      <c r="T15" s="310"/>
      <c r="U15" s="307"/>
      <c r="V15" s="307"/>
      <c r="W15" s="311"/>
      <c r="X15" s="307"/>
      <c r="Y15" s="307"/>
      <c r="Z15" s="307"/>
      <c r="AA15" s="307"/>
      <c r="AB15" s="311"/>
      <c r="AC15" s="307"/>
      <c r="AD15" s="307"/>
      <c r="AE15" s="307"/>
      <c r="AF15" s="307"/>
      <c r="AG15" s="310"/>
      <c r="AH15" s="307"/>
      <c r="AI15" s="310"/>
      <c r="AJ15" s="307"/>
      <c r="AK15" s="307"/>
      <c r="AL15" s="307"/>
      <c r="AM15" s="308"/>
      <c r="AN15" s="311"/>
      <c r="AO15" s="307"/>
      <c r="AP15" s="307"/>
      <c r="AQ15" s="308"/>
      <c r="AR15" s="307"/>
      <c r="AS15" s="307"/>
      <c r="AT15" s="307"/>
      <c r="AU15" s="310"/>
      <c r="AV15" s="308"/>
      <c r="AW15" s="312"/>
      <c r="AX15" s="308"/>
      <c r="AY15" s="307"/>
      <c r="AZ15" s="307"/>
      <c r="BA15" s="307"/>
      <c r="BB15" s="307"/>
      <c r="BC15" s="308"/>
      <c r="BD15" s="308"/>
      <c r="BE15" s="313"/>
      <c r="BF15" s="307"/>
      <c r="BG15" s="310"/>
      <c r="BH15" s="307"/>
      <c r="BI15" s="307"/>
      <c r="BJ15" s="310"/>
      <c r="BK15" s="307"/>
      <c r="BL15" s="307"/>
      <c r="BM15" s="310"/>
      <c r="BN15" s="307"/>
      <c r="BO15" s="310"/>
      <c r="BP15" s="307"/>
      <c r="BQ15" s="307"/>
      <c r="BR15" s="307"/>
      <c r="BS15" s="307"/>
      <c r="BT15" s="307"/>
      <c r="BU15" s="310"/>
      <c r="BV15" s="307"/>
      <c r="BW15" s="308"/>
      <c r="BX15" s="311"/>
      <c r="BY15" s="307"/>
      <c r="BZ15" s="307"/>
      <c r="CA15" s="310"/>
      <c r="CB15" s="307"/>
      <c r="CC15" s="307"/>
      <c r="CD15" s="307"/>
      <c r="CE15" s="308"/>
      <c r="CF15" s="308"/>
      <c r="CG15" s="307"/>
      <c r="CH15" s="307"/>
      <c r="CI15" s="307"/>
      <c r="CJ15" s="307"/>
      <c r="CK15" s="314"/>
      <c r="CL15" s="310"/>
      <c r="CM15" s="310"/>
      <c r="CN15" s="307"/>
      <c r="CO15" s="307"/>
      <c r="CP15" s="307"/>
      <c r="CQ15" s="315"/>
      <c r="CR15" s="315"/>
      <c r="CS15" s="315"/>
      <c r="CT15" s="315"/>
      <c r="CU15" s="307"/>
      <c r="CV15" s="217"/>
      <c r="CW15" s="192"/>
      <c r="CX15" s="192"/>
      <c r="CY15" s="192"/>
      <c r="CZ15" s="191"/>
      <c r="DA15" s="193"/>
      <c r="DB15" s="192"/>
      <c r="DC15" s="192"/>
      <c r="DD15" s="192"/>
      <c r="DE15" s="191"/>
      <c r="DF15" s="19"/>
      <c r="DG15" s="192"/>
      <c r="DH15" s="192"/>
      <c r="DI15" s="192"/>
      <c r="DJ15" s="191"/>
      <c r="DK15" s="193"/>
      <c r="DL15" s="192"/>
      <c r="DM15" s="192"/>
      <c r="DN15" s="192"/>
      <c r="DO15" s="191"/>
      <c r="DP15" s="19"/>
      <c r="DQ15" s="192"/>
      <c r="DR15" s="192"/>
      <c r="DS15" s="192"/>
      <c r="DT15" s="191"/>
      <c r="DU15" s="193"/>
      <c r="DV15" s="192"/>
      <c r="DW15" s="192"/>
      <c r="DX15" s="192"/>
      <c r="DY15" s="191"/>
      <c r="DZ15" s="19"/>
      <c r="EA15" s="192"/>
      <c r="EB15" s="192"/>
      <c r="EC15" s="192"/>
      <c r="ED15" s="191"/>
      <c r="EE15" s="193"/>
      <c r="EF15" s="192"/>
      <c r="EG15" s="192"/>
      <c r="EH15" s="192"/>
      <c r="EI15" s="191"/>
      <c r="EJ15" s="19"/>
      <c r="EK15" s="192"/>
      <c r="EL15" s="192"/>
      <c r="EM15" s="192"/>
      <c r="EN15" s="191"/>
      <c r="EO15" s="193"/>
      <c r="EP15" s="192"/>
      <c r="EQ15" s="192"/>
      <c r="ER15" s="192"/>
      <c r="ES15" s="191"/>
      <c r="ET15" s="19"/>
      <c r="EU15" s="192"/>
      <c r="EV15" s="192"/>
      <c r="EW15" s="192"/>
      <c r="EX15" s="191"/>
      <c r="EY15" s="193"/>
      <c r="EZ15" s="192"/>
      <c r="FA15" s="192"/>
      <c r="FB15" s="192"/>
      <c r="FC15" s="191"/>
      <c r="FD15"/>
      <c r="FE15"/>
      <c r="FF15" s="253">
        <v>10</v>
      </c>
      <c r="FG15" s="253"/>
      <c r="FH15" s="253" t="s">
        <v>311</v>
      </c>
      <c r="FI15" s="253" t="s">
        <v>312</v>
      </c>
      <c r="FJ15" s="257" t="s">
        <v>355</v>
      </c>
      <c r="FK15" s="253"/>
      <c r="FL15" s="273">
        <f t="shared" ca="1" si="2"/>
        <v>116</v>
      </c>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row>
    <row r="16" spans="1:247" s="168" customFormat="1" ht="16.5" thickBot="1">
      <c r="A16" s="196">
        <v>13</v>
      </c>
      <c r="B16" s="306"/>
      <c r="C16" s="307"/>
      <c r="D16" s="307" t="s">
        <v>271</v>
      </c>
      <c r="E16" s="307" t="s">
        <v>271</v>
      </c>
      <c r="F16" s="308"/>
      <c r="G16" s="343" t="str">
        <f t="shared" si="0"/>
        <v xml:space="preserve"> </v>
      </c>
      <c r="H16" s="307"/>
      <c r="I16" s="309" t="e">
        <f t="shared" si="1"/>
        <v>#N/A</v>
      </c>
      <c r="J16" s="307"/>
      <c r="K16" s="307"/>
      <c r="L16" s="310"/>
      <c r="M16" s="310"/>
      <c r="N16" s="310"/>
      <c r="O16" s="310"/>
      <c r="P16" s="310"/>
      <c r="Q16" s="310"/>
      <c r="R16" s="310"/>
      <c r="S16" s="310"/>
      <c r="T16" s="310"/>
      <c r="U16" s="307"/>
      <c r="V16" s="307"/>
      <c r="W16" s="311"/>
      <c r="X16" s="307"/>
      <c r="Y16" s="307"/>
      <c r="Z16" s="307"/>
      <c r="AA16" s="307"/>
      <c r="AB16" s="311"/>
      <c r="AC16" s="307"/>
      <c r="AD16" s="307"/>
      <c r="AE16" s="307"/>
      <c r="AF16" s="307"/>
      <c r="AG16" s="310"/>
      <c r="AH16" s="307"/>
      <c r="AI16" s="310"/>
      <c r="AJ16" s="307"/>
      <c r="AK16" s="307"/>
      <c r="AL16" s="307"/>
      <c r="AM16" s="308"/>
      <c r="AN16" s="311"/>
      <c r="AO16" s="307"/>
      <c r="AP16" s="307"/>
      <c r="AQ16" s="308"/>
      <c r="AR16" s="307"/>
      <c r="AS16" s="307"/>
      <c r="AT16" s="307"/>
      <c r="AU16" s="310"/>
      <c r="AV16" s="308"/>
      <c r="AW16" s="312"/>
      <c r="AX16" s="308"/>
      <c r="AY16" s="307"/>
      <c r="AZ16" s="307"/>
      <c r="BA16" s="307"/>
      <c r="BB16" s="307"/>
      <c r="BC16" s="308"/>
      <c r="BD16" s="308"/>
      <c r="BE16" s="313"/>
      <c r="BF16" s="307"/>
      <c r="BG16" s="310"/>
      <c r="BH16" s="307"/>
      <c r="BI16" s="307"/>
      <c r="BJ16" s="310"/>
      <c r="BK16" s="307"/>
      <c r="BL16" s="307"/>
      <c r="BM16" s="310"/>
      <c r="BN16" s="307"/>
      <c r="BO16" s="310"/>
      <c r="BP16" s="307"/>
      <c r="BQ16" s="307"/>
      <c r="BR16" s="307"/>
      <c r="BS16" s="307"/>
      <c r="BT16" s="307"/>
      <c r="BU16" s="310"/>
      <c r="BV16" s="307"/>
      <c r="BW16" s="308"/>
      <c r="BX16" s="311"/>
      <c r="BY16" s="307"/>
      <c r="BZ16" s="307"/>
      <c r="CA16" s="310"/>
      <c r="CB16" s="307"/>
      <c r="CC16" s="307"/>
      <c r="CD16" s="307"/>
      <c r="CE16" s="308"/>
      <c r="CF16" s="308"/>
      <c r="CG16" s="307"/>
      <c r="CH16" s="307"/>
      <c r="CI16" s="307"/>
      <c r="CJ16" s="307"/>
      <c r="CK16" s="314"/>
      <c r="CL16" s="310"/>
      <c r="CM16" s="310"/>
      <c r="CN16" s="307"/>
      <c r="CO16" s="307"/>
      <c r="CP16" s="307"/>
      <c r="CQ16" s="315"/>
      <c r="CR16" s="315"/>
      <c r="CS16" s="315"/>
      <c r="CT16" s="315"/>
      <c r="CU16" s="307"/>
      <c r="CV16" s="217"/>
      <c r="CW16" s="192"/>
      <c r="CX16" s="192"/>
      <c r="CY16" s="192"/>
      <c r="CZ16" s="191"/>
      <c r="DA16" s="193"/>
      <c r="DB16" s="192"/>
      <c r="DC16" s="192"/>
      <c r="DD16" s="192"/>
      <c r="DE16" s="191"/>
      <c r="DF16" s="19"/>
      <c r="DG16" s="192"/>
      <c r="DH16" s="192"/>
      <c r="DI16" s="192"/>
      <c r="DJ16" s="191"/>
      <c r="DK16" s="193"/>
      <c r="DL16" s="192"/>
      <c r="DM16" s="192"/>
      <c r="DN16" s="192"/>
      <c r="DO16" s="191"/>
      <c r="DP16" s="19"/>
      <c r="DQ16" s="192"/>
      <c r="DR16" s="192"/>
      <c r="DS16" s="192"/>
      <c r="DT16" s="191"/>
      <c r="DU16" s="193"/>
      <c r="DV16" s="192"/>
      <c r="DW16" s="192"/>
      <c r="DX16" s="192"/>
      <c r="DY16" s="191"/>
      <c r="DZ16" s="19"/>
      <c r="EA16" s="192"/>
      <c r="EB16" s="192"/>
      <c r="EC16" s="192"/>
      <c r="ED16" s="191"/>
      <c r="EE16" s="193"/>
      <c r="EF16" s="192"/>
      <c r="EG16" s="192"/>
      <c r="EH16" s="192"/>
      <c r="EI16" s="191"/>
      <c r="EJ16" s="19"/>
      <c r="EK16" s="192"/>
      <c r="EL16" s="192"/>
      <c r="EM16" s="192"/>
      <c r="EN16" s="191"/>
      <c r="EO16" s="193"/>
      <c r="EP16" s="192"/>
      <c r="EQ16" s="192"/>
      <c r="ER16" s="192"/>
      <c r="ES16" s="191"/>
      <c r="ET16" s="19"/>
      <c r="EU16" s="192"/>
      <c r="EV16" s="192"/>
      <c r="EW16" s="192"/>
      <c r="EX16" s="191"/>
      <c r="EY16" s="193"/>
      <c r="EZ16" s="192"/>
      <c r="FA16" s="192"/>
      <c r="FB16" s="192"/>
      <c r="FC16" s="191"/>
      <c r="FD16"/>
      <c r="FE16"/>
      <c r="FF16" s="253">
        <v>11</v>
      </c>
      <c r="FG16" s="253"/>
      <c r="FH16" s="253" t="s">
        <v>313</v>
      </c>
      <c r="FI16" s="253" t="s">
        <v>314</v>
      </c>
      <c r="FJ16" s="253"/>
      <c r="FK16" s="253"/>
      <c r="FL16" s="273">
        <f t="shared" ca="1" si="2"/>
        <v>116</v>
      </c>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row>
    <row r="17" spans="1:247" s="18" customFormat="1" ht="16.5" thickBot="1">
      <c r="A17" s="199">
        <v>14</v>
      </c>
      <c r="B17" s="306"/>
      <c r="C17" s="310"/>
      <c r="D17" s="307" t="s">
        <v>271</v>
      </c>
      <c r="E17" s="307" t="s">
        <v>271</v>
      </c>
      <c r="F17" s="308"/>
      <c r="G17" s="343" t="str">
        <f t="shared" si="0"/>
        <v xml:space="preserve"> </v>
      </c>
      <c r="H17" s="307"/>
      <c r="I17" s="309" t="e">
        <f t="shared" si="1"/>
        <v>#N/A</v>
      </c>
      <c r="J17" s="307"/>
      <c r="K17" s="307"/>
      <c r="L17" s="310"/>
      <c r="M17" s="310"/>
      <c r="N17" s="310"/>
      <c r="O17" s="310"/>
      <c r="P17" s="310"/>
      <c r="Q17" s="310"/>
      <c r="R17" s="310"/>
      <c r="S17" s="310"/>
      <c r="T17" s="310"/>
      <c r="U17" s="307"/>
      <c r="V17" s="307"/>
      <c r="W17" s="311"/>
      <c r="X17" s="307"/>
      <c r="Y17" s="307"/>
      <c r="Z17" s="307"/>
      <c r="AA17" s="307"/>
      <c r="AB17" s="311"/>
      <c r="AC17" s="307"/>
      <c r="AD17" s="307"/>
      <c r="AE17" s="307"/>
      <c r="AF17" s="307"/>
      <c r="AG17" s="310"/>
      <c r="AH17" s="307"/>
      <c r="AI17" s="310"/>
      <c r="AJ17" s="307"/>
      <c r="AK17" s="307"/>
      <c r="AL17" s="307"/>
      <c r="AM17" s="308"/>
      <c r="AN17" s="311"/>
      <c r="AO17" s="307"/>
      <c r="AP17" s="307"/>
      <c r="AQ17" s="308"/>
      <c r="AR17" s="307"/>
      <c r="AS17" s="307"/>
      <c r="AT17" s="307"/>
      <c r="AU17" s="310"/>
      <c r="AV17" s="308"/>
      <c r="AW17" s="312"/>
      <c r="AX17" s="308"/>
      <c r="AY17" s="307"/>
      <c r="AZ17" s="307"/>
      <c r="BA17" s="307"/>
      <c r="BB17" s="307"/>
      <c r="BC17" s="308"/>
      <c r="BD17" s="308"/>
      <c r="BE17" s="313"/>
      <c r="BF17" s="307"/>
      <c r="BG17" s="310"/>
      <c r="BH17" s="307"/>
      <c r="BI17" s="307"/>
      <c r="BJ17" s="310"/>
      <c r="BK17" s="307"/>
      <c r="BL17" s="307"/>
      <c r="BM17" s="310"/>
      <c r="BN17" s="307"/>
      <c r="BO17" s="310"/>
      <c r="BP17" s="307"/>
      <c r="BQ17" s="307"/>
      <c r="BR17" s="307"/>
      <c r="BS17" s="307"/>
      <c r="BT17" s="307"/>
      <c r="BU17" s="310"/>
      <c r="BV17" s="307"/>
      <c r="BW17" s="308"/>
      <c r="BX17" s="311"/>
      <c r="BY17" s="307"/>
      <c r="BZ17" s="307"/>
      <c r="CA17" s="310"/>
      <c r="CB17" s="307"/>
      <c r="CC17" s="307"/>
      <c r="CD17" s="307"/>
      <c r="CE17" s="308"/>
      <c r="CF17" s="308"/>
      <c r="CG17" s="307"/>
      <c r="CH17" s="307"/>
      <c r="CI17" s="307"/>
      <c r="CJ17" s="307"/>
      <c r="CK17" s="314"/>
      <c r="CL17" s="310"/>
      <c r="CM17" s="310"/>
      <c r="CN17" s="307"/>
      <c r="CO17" s="307"/>
      <c r="CP17" s="307"/>
      <c r="CQ17" s="315"/>
      <c r="CR17" s="315"/>
      <c r="CS17" s="315"/>
      <c r="CT17" s="315"/>
      <c r="CU17" s="307"/>
      <c r="CV17" s="217"/>
      <c r="CW17" s="192"/>
      <c r="CX17" s="192"/>
      <c r="CY17" s="192"/>
      <c r="CZ17" s="191"/>
      <c r="DA17" s="193"/>
      <c r="DB17" s="192"/>
      <c r="DC17" s="192"/>
      <c r="DD17" s="192"/>
      <c r="DE17" s="191"/>
      <c r="DF17" s="19"/>
      <c r="DG17" s="192"/>
      <c r="DH17" s="192"/>
      <c r="DI17" s="192"/>
      <c r="DJ17" s="191"/>
      <c r="DK17" s="193"/>
      <c r="DL17" s="192"/>
      <c r="DM17" s="192"/>
      <c r="DN17" s="192"/>
      <c r="DO17" s="191"/>
      <c r="DP17" s="19"/>
      <c r="DQ17" s="192"/>
      <c r="DR17" s="192"/>
      <c r="DS17" s="192"/>
      <c r="DT17" s="191"/>
      <c r="DU17" s="193"/>
      <c r="DV17" s="192"/>
      <c r="DW17" s="192"/>
      <c r="DX17" s="192"/>
      <c r="DY17" s="191"/>
      <c r="DZ17" s="19"/>
      <c r="EA17" s="192"/>
      <c r="EB17" s="192"/>
      <c r="EC17" s="192"/>
      <c r="ED17" s="191"/>
      <c r="EE17" s="193"/>
      <c r="EF17" s="192"/>
      <c r="EG17" s="192"/>
      <c r="EH17" s="192"/>
      <c r="EI17" s="191"/>
      <c r="EJ17" s="19"/>
      <c r="EK17" s="192"/>
      <c r="EL17" s="192"/>
      <c r="EM17" s="192"/>
      <c r="EN17" s="191"/>
      <c r="EO17" s="193"/>
      <c r="EP17" s="192"/>
      <c r="EQ17" s="192"/>
      <c r="ER17" s="192"/>
      <c r="ES17" s="191"/>
      <c r="ET17" s="19"/>
      <c r="EU17" s="192"/>
      <c r="EV17" s="192"/>
      <c r="EW17" s="192"/>
      <c r="EX17" s="191"/>
      <c r="EY17" s="193"/>
      <c r="EZ17" s="192"/>
      <c r="FA17" s="192"/>
      <c r="FB17" s="192"/>
      <c r="FC17" s="191"/>
      <c r="FD17"/>
      <c r="FE17"/>
      <c r="FF17" s="253">
        <v>12</v>
      </c>
      <c r="FG17" s="253"/>
      <c r="FH17" s="253" t="s">
        <v>315</v>
      </c>
      <c r="FI17" s="253" t="s">
        <v>316</v>
      </c>
      <c r="FJ17" s="253"/>
      <c r="FK17" s="253"/>
      <c r="FL17" s="273">
        <f t="shared" ca="1" si="2"/>
        <v>116</v>
      </c>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row>
    <row r="18" spans="1:247" s="18" customFormat="1" ht="16.5" thickBot="1">
      <c r="A18" s="196">
        <v>15</v>
      </c>
      <c r="B18" s="306"/>
      <c r="C18" s="310"/>
      <c r="D18" s="307" t="s">
        <v>271</v>
      </c>
      <c r="E18" s="307" t="s">
        <v>271</v>
      </c>
      <c r="F18" s="308"/>
      <c r="G18" s="343" t="str">
        <f t="shared" si="0"/>
        <v xml:space="preserve"> </v>
      </c>
      <c r="H18" s="307"/>
      <c r="I18" s="309" t="e">
        <f t="shared" si="1"/>
        <v>#N/A</v>
      </c>
      <c r="J18" s="307"/>
      <c r="K18" s="307"/>
      <c r="L18" s="310"/>
      <c r="M18" s="310"/>
      <c r="N18" s="310"/>
      <c r="O18" s="310"/>
      <c r="P18" s="310"/>
      <c r="Q18" s="310"/>
      <c r="R18" s="310"/>
      <c r="S18" s="310"/>
      <c r="T18" s="310"/>
      <c r="U18" s="307"/>
      <c r="V18" s="307"/>
      <c r="W18" s="311"/>
      <c r="X18" s="307"/>
      <c r="Y18" s="307"/>
      <c r="Z18" s="307"/>
      <c r="AA18" s="307"/>
      <c r="AB18" s="311"/>
      <c r="AC18" s="307"/>
      <c r="AD18" s="307"/>
      <c r="AE18" s="307"/>
      <c r="AF18" s="307"/>
      <c r="AG18" s="310"/>
      <c r="AH18" s="307"/>
      <c r="AI18" s="310"/>
      <c r="AJ18" s="307"/>
      <c r="AK18" s="307"/>
      <c r="AL18" s="307"/>
      <c r="AM18" s="308"/>
      <c r="AN18" s="311"/>
      <c r="AO18" s="307"/>
      <c r="AP18" s="307"/>
      <c r="AQ18" s="308"/>
      <c r="AR18" s="307"/>
      <c r="AS18" s="307"/>
      <c r="AT18" s="307"/>
      <c r="AU18" s="310"/>
      <c r="AV18" s="308"/>
      <c r="AW18" s="312"/>
      <c r="AX18" s="308"/>
      <c r="AY18" s="307"/>
      <c r="AZ18" s="307"/>
      <c r="BA18" s="307"/>
      <c r="BB18" s="307"/>
      <c r="BC18" s="308"/>
      <c r="BD18" s="308"/>
      <c r="BE18" s="313"/>
      <c r="BF18" s="307"/>
      <c r="BG18" s="310"/>
      <c r="BH18" s="307"/>
      <c r="BI18" s="307"/>
      <c r="BJ18" s="310"/>
      <c r="BK18" s="307"/>
      <c r="BL18" s="307"/>
      <c r="BM18" s="310"/>
      <c r="BN18" s="307"/>
      <c r="BO18" s="310"/>
      <c r="BP18" s="307"/>
      <c r="BQ18" s="307"/>
      <c r="BR18" s="307"/>
      <c r="BS18" s="307"/>
      <c r="BT18" s="307"/>
      <c r="BU18" s="310"/>
      <c r="BV18" s="307"/>
      <c r="BW18" s="308"/>
      <c r="BX18" s="311"/>
      <c r="BY18" s="307"/>
      <c r="BZ18" s="307"/>
      <c r="CA18" s="310"/>
      <c r="CB18" s="307"/>
      <c r="CC18" s="307"/>
      <c r="CD18" s="307"/>
      <c r="CE18" s="308"/>
      <c r="CF18" s="308"/>
      <c r="CG18" s="307"/>
      <c r="CH18" s="307"/>
      <c r="CI18" s="307"/>
      <c r="CJ18" s="307"/>
      <c r="CK18" s="314"/>
      <c r="CL18" s="310"/>
      <c r="CM18" s="310"/>
      <c r="CN18" s="307"/>
      <c r="CO18" s="307"/>
      <c r="CP18" s="307"/>
      <c r="CQ18" s="315"/>
      <c r="CR18" s="315"/>
      <c r="CS18" s="315"/>
      <c r="CT18" s="315"/>
      <c r="CU18" s="307"/>
      <c r="CV18" s="217"/>
      <c r="CW18" s="192"/>
      <c r="CX18" s="192"/>
      <c r="CY18" s="192"/>
      <c r="CZ18" s="191"/>
      <c r="DA18" s="193"/>
      <c r="DB18" s="192"/>
      <c r="DC18" s="192"/>
      <c r="DD18" s="192"/>
      <c r="DE18" s="191"/>
      <c r="DF18" s="19"/>
      <c r="DG18" s="192"/>
      <c r="DH18" s="192"/>
      <c r="DI18" s="192"/>
      <c r="DJ18" s="191"/>
      <c r="DK18" s="193"/>
      <c r="DL18" s="192"/>
      <c r="DM18" s="192"/>
      <c r="DN18" s="192"/>
      <c r="DO18" s="191"/>
      <c r="DP18" s="19"/>
      <c r="DQ18" s="192"/>
      <c r="DR18" s="192"/>
      <c r="DS18" s="192"/>
      <c r="DT18" s="191"/>
      <c r="DU18" s="193"/>
      <c r="DV18" s="192"/>
      <c r="DW18" s="192"/>
      <c r="DX18" s="192"/>
      <c r="DY18" s="191"/>
      <c r="DZ18" s="19"/>
      <c r="EA18" s="192"/>
      <c r="EB18" s="192"/>
      <c r="EC18" s="192"/>
      <c r="ED18" s="191"/>
      <c r="EE18" s="193"/>
      <c r="EF18" s="192"/>
      <c r="EG18" s="192"/>
      <c r="EH18" s="192"/>
      <c r="EI18" s="191"/>
      <c r="EJ18" s="19"/>
      <c r="EK18" s="192"/>
      <c r="EL18" s="192"/>
      <c r="EM18" s="192"/>
      <c r="EN18" s="191"/>
      <c r="EO18" s="193"/>
      <c r="EP18" s="192"/>
      <c r="EQ18" s="192"/>
      <c r="ER18" s="192"/>
      <c r="ES18" s="191"/>
      <c r="ET18" s="19"/>
      <c r="EU18" s="192"/>
      <c r="EV18" s="192"/>
      <c r="EW18" s="192"/>
      <c r="EX18" s="191"/>
      <c r="EY18" s="193"/>
      <c r="EZ18" s="192"/>
      <c r="FA18" s="192"/>
      <c r="FB18" s="192"/>
      <c r="FC18" s="191"/>
      <c r="FD18"/>
      <c r="FE18"/>
      <c r="FF18" s="253">
        <v>13</v>
      </c>
      <c r="FG18" s="253"/>
      <c r="FH18" s="253" t="s">
        <v>317</v>
      </c>
      <c r="FI18" s="253" t="s">
        <v>318</v>
      </c>
      <c r="FJ18" s="253"/>
      <c r="FK18" s="253"/>
      <c r="FL18" s="273">
        <f t="shared" ca="1" si="2"/>
        <v>116</v>
      </c>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row>
    <row r="19" spans="1:247" s="18" customFormat="1" ht="16.5" thickBot="1">
      <c r="A19" s="199">
        <v>16</v>
      </c>
      <c r="B19" s="306"/>
      <c r="C19" s="310"/>
      <c r="D19" s="307" t="s">
        <v>271</v>
      </c>
      <c r="E19" s="307" t="s">
        <v>271</v>
      </c>
      <c r="F19" s="308"/>
      <c r="G19" s="343" t="str">
        <f t="shared" si="0"/>
        <v xml:space="preserve"> </v>
      </c>
      <c r="H19" s="307"/>
      <c r="I19" s="309" t="e">
        <f t="shared" si="1"/>
        <v>#N/A</v>
      </c>
      <c r="J19" s="307"/>
      <c r="K19" s="307"/>
      <c r="L19" s="310"/>
      <c r="M19" s="310"/>
      <c r="N19" s="310"/>
      <c r="O19" s="310"/>
      <c r="P19" s="310"/>
      <c r="Q19" s="310"/>
      <c r="R19" s="310"/>
      <c r="S19" s="310"/>
      <c r="T19" s="310"/>
      <c r="U19" s="307"/>
      <c r="V19" s="307"/>
      <c r="W19" s="311"/>
      <c r="X19" s="307"/>
      <c r="Y19" s="307"/>
      <c r="Z19" s="307"/>
      <c r="AA19" s="307"/>
      <c r="AB19" s="311"/>
      <c r="AC19" s="307"/>
      <c r="AD19" s="307"/>
      <c r="AE19" s="307"/>
      <c r="AF19" s="307"/>
      <c r="AG19" s="310"/>
      <c r="AH19" s="307"/>
      <c r="AI19" s="310"/>
      <c r="AJ19" s="307"/>
      <c r="AK19" s="307"/>
      <c r="AL19" s="307"/>
      <c r="AM19" s="308"/>
      <c r="AN19" s="311"/>
      <c r="AO19" s="307"/>
      <c r="AP19" s="307"/>
      <c r="AQ19" s="308"/>
      <c r="AR19" s="307"/>
      <c r="AS19" s="307"/>
      <c r="AT19" s="307"/>
      <c r="AU19" s="310"/>
      <c r="AV19" s="308"/>
      <c r="AW19" s="312"/>
      <c r="AX19" s="308"/>
      <c r="AY19" s="307"/>
      <c r="AZ19" s="307"/>
      <c r="BA19" s="307"/>
      <c r="BB19" s="307"/>
      <c r="BC19" s="308"/>
      <c r="BD19" s="308"/>
      <c r="BE19" s="313"/>
      <c r="BF19" s="307"/>
      <c r="BG19" s="310"/>
      <c r="BH19" s="307"/>
      <c r="BI19" s="307"/>
      <c r="BJ19" s="310"/>
      <c r="BK19" s="307"/>
      <c r="BL19" s="307"/>
      <c r="BM19" s="310"/>
      <c r="BN19" s="307"/>
      <c r="BO19" s="310"/>
      <c r="BP19" s="307"/>
      <c r="BQ19" s="307"/>
      <c r="BR19" s="307"/>
      <c r="BS19" s="307"/>
      <c r="BT19" s="307"/>
      <c r="BU19" s="310"/>
      <c r="BV19" s="307"/>
      <c r="BW19" s="308"/>
      <c r="BX19" s="311"/>
      <c r="BY19" s="307"/>
      <c r="BZ19" s="307"/>
      <c r="CA19" s="310"/>
      <c r="CB19" s="307"/>
      <c r="CC19" s="307"/>
      <c r="CD19" s="307"/>
      <c r="CE19" s="308"/>
      <c r="CF19" s="308"/>
      <c r="CG19" s="307"/>
      <c r="CH19" s="307"/>
      <c r="CI19" s="307"/>
      <c r="CJ19" s="307"/>
      <c r="CK19" s="314"/>
      <c r="CL19" s="310"/>
      <c r="CM19" s="310"/>
      <c r="CN19" s="307"/>
      <c r="CO19" s="307"/>
      <c r="CP19" s="307"/>
      <c r="CQ19" s="315"/>
      <c r="CR19" s="315"/>
      <c r="CS19" s="315"/>
      <c r="CT19" s="315"/>
      <c r="CU19" s="307"/>
      <c r="CV19" s="217"/>
      <c r="CW19" s="192"/>
      <c r="CX19" s="192"/>
      <c r="CY19" s="192"/>
      <c r="CZ19" s="191"/>
      <c r="DA19" s="193"/>
      <c r="DB19" s="192"/>
      <c r="DC19" s="192"/>
      <c r="DD19" s="192"/>
      <c r="DE19" s="191"/>
      <c r="DF19" s="19"/>
      <c r="DG19" s="192"/>
      <c r="DH19" s="192"/>
      <c r="DI19" s="192"/>
      <c r="DJ19" s="191"/>
      <c r="DK19" s="193"/>
      <c r="DL19" s="192"/>
      <c r="DM19" s="192"/>
      <c r="DN19" s="192"/>
      <c r="DO19" s="191"/>
      <c r="DP19" s="19"/>
      <c r="DQ19" s="192"/>
      <c r="DR19" s="192"/>
      <c r="DS19" s="192"/>
      <c r="DT19" s="191"/>
      <c r="DU19" s="193"/>
      <c r="DV19" s="192"/>
      <c r="DW19" s="192"/>
      <c r="DX19" s="192"/>
      <c r="DY19" s="191"/>
      <c r="DZ19" s="19"/>
      <c r="EA19" s="192"/>
      <c r="EB19" s="192"/>
      <c r="EC19" s="192"/>
      <c r="ED19" s="191"/>
      <c r="EE19" s="193"/>
      <c r="EF19" s="192"/>
      <c r="EG19" s="192"/>
      <c r="EH19" s="192"/>
      <c r="EI19" s="191"/>
      <c r="EJ19" s="19"/>
      <c r="EK19" s="192"/>
      <c r="EL19" s="192"/>
      <c r="EM19" s="192"/>
      <c r="EN19" s="191"/>
      <c r="EO19" s="193"/>
      <c r="EP19" s="192"/>
      <c r="EQ19" s="192"/>
      <c r="ER19" s="192"/>
      <c r="ES19" s="191"/>
      <c r="ET19" s="19"/>
      <c r="EU19" s="192"/>
      <c r="EV19" s="192"/>
      <c r="EW19" s="192"/>
      <c r="EX19" s="191"/>
      <c r="EY19" s="193"/>
      <c r="EZ19" s="192"/>
      <c r="FA19" s="192"/>
      <c r="FB19" s="192"/>
      <c r="FC19" s="191"/>
      <c r="FD19"/>
      <c r="FE19"/>
      <c r="FF19" s="253">
        <v>14</v>
      </c>
      <c r="FG19" s="253"/>
      <c r="FH19" s="253" t="s">
        <v>319</v>
      </c>
      <c r="FI19" s="253" t="s">
        <v>320</v>
      </c>
      <c r="FJ19" s="253"/>
      <c r="FK19" s="253"/>
      <c r="FL19" s="273">
        <f t="shared" ca="1" si="2"/>
        <v>116</v>
      </c>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row>
    <row r="20" spans="1:247" s="18" customFormat="1" ht="16.5" thickBot="1">
      <c r="A20" s="196">
        <v>17</v>
      </c>
      <c r="B20" s="306"/>
      <c r="C20" s="307"/>
      <c r="D20" s="307" t="s">
        <v>271</v>
      </c>
      <c r="E20" s="307" t="s">
        <v>271</v>
      </c>
      <c r="F20" s="308"/>
      <c r="G20" s="343" t="str">
        <f t="shared" si="0"/>
        <v xml:space="preserve"> </v>
      </c>
      <c r="H20" s="307"/>
      <c r="I20" s="309" t="e">
        <f t="shared" si="1"/>
        <v>#N/A</v>
      </c>
      <c r="J20" s="307"/>
      <c r="K20" s="307"/>
      <c r="L20" s="310"/>
      <c r="M20" s="310"/>
      <c r="N20" s="310"/>
      <c r="O20" s="310"/>
      <c r="P20" s="310"/>
      <c r="Q20" s="310"/>
      <c r="R20" s="310"/>
      <c r="S20" s="310"/>
      <c r="T20" s="310"/>
      <c r="U20" s="307"/>
      <c r="V20" s="307"/>
      <c r="W20" s="311"/>
      <c r="X20" s="307"/>
      <c r="Y20" s="307"/>
      <c r="Z20" s="307"/>
      <c r="AA20" s="307"/>
      <c r="AB20" s="311"/>
      <c r="AC20" s="307"/>
      <c r="AD20" s="307"/>
      <c r="AE20" s="307"/>
      <c r="AF20" s="307"/>
      <c r="AG20" s="310"/>
      <c r="AH20" s="307"/>
      <c r="AI20" s="310"/>
      <c r="AJ20" s="307"/>
      <c r="AK20" s="307"/>
      <c r="AL20" s="307"/>
      <c r="AM20" s="308"/>
      <c r="AN20" s="311"/>
      <c r="AO20" s="307"/>
      <c r="AP20" s="307"/>
      <c r="AQ20" s="308"/>
      <c r="AR20" s="307"/>
      <c r="AS20" s="307"/>
      <c r="AT20" s="307"/>
      <c r="AU20" s="310"/>
      <c r="AV20" s="308"/>
      <c r="AW20" s="312"/>
      <c r="AX20" s="308"/>
      <c r="AY20" s="307"/>
      <c r="AZ20" s="307"/>
      <c r="BA20" s="307"/>
      <c r="BB20" s="307"/>
      <c r="BC20" s="308"/>
      <c r="BD20" s="308"/>
      <c r="BE20" s="313"/>
      <c r="BF20" s="307"/>
      <c r="BG20" s="310"/>
      <c r="BH20" s="307"/>
      <c r="BI20" s="307"/>
      <c r="BJ20" s="310"/>
      <c r="BK20" s="307"/>
      <c r="BL20" s="307"/>
      <c r="BM20" s="310"/>
      <c r="BN20" s="307"/>
      <c r="BO20" s="310"/>
      <c r="BP20" s="307"/>
      <c r="BQ20" s="307"/>
      <c r="BR20" s="307"/>
      <c r="BS20" s="307"/>
      <c r="BT20" s="307"/>
      <c r="BU20" s="310"/>
      <c r="BV20" s="307"/>
      <c r="BW20" s="308"/>
      <c r="BX20" s="311"/>
      <c r="BY20" s="307"/>
      <c r="BZ20" s="307"/>
      <c r="CA20" s="310"/>
      <c r="CB20" s="307"/>
      <c r="CC20" s="307"/>
      <c r="CD20" s="307"/>
      <c r="CE20" s="308"/>
      <c r="CF20" s="308"/>
      <c r="CG20" s="307"/>
      <c r="CH20" s="307"/>
      <c r="CI20" s="307"/>
      <c r="CJ20" s="307"/>
      <c r="CK20" s="314"/>
      <c r="CL20" s="310"/>
      <c r="CM20" s="310"/>
      <c r="CN20" s="307"/>
      <c r="CO20" s="307"/>
      <c r="CP20" s="307"/>
      <c r="CQ20" s="315"/>
      <c r="CR20" s="315"/>
      <c r="CS20" s="315"/>
      <c r="CT20" s="315"/>
      <c r="CU20" s="307"/>
      <c r="CV20" s="217"/>
      <c r="CW20" s="192"/>
      <c r="CX20" s="192"/>
      <c r="CY20" s="192"/>
      <c r="CZ20" s="191"/>
      <c r="DA20" s="193"/>
      <c r="DB20" s="192"/>
      <c r="DC20" s="192"/>
      <c r="DD20" s="192"/>
      <c r="DE20" s="191"/>
      <c r="DF20" s="19"/>
      <c r="DG20" s="192"/>
      <c r="DH20" s="192"/>
      <c r="DI20" s="192"/>
      <c r="DJ20" s="191"/>
      <c r="DK20" s="193"/>
      <c r="DL20" s="192"/>
      <c r="DM20" s="192"/>
      <c r="DN20" s="192"/>
      <c r="DO20" s="191"/>
      <c r="DP20" s="19"/>
      <c r="DQ20" s="192"/>
      <c r="DR20" s="192"/>
      <c r="DS20" s="192"/>
      <c r="DT20" s="191"/>
      <c r="DU20" s="193"/>
      <c r="DV20" s="192"/>
      <c r="DW20" s="192"/>
      <c r="DX20" s="192"/>
      <c r="DY20" s="191"/>
      <c r="DZ20" s="19"/>
      <c r="EA20" s="192"/>
      <c r="EB20" s="192"/>
      <c r="EC20" s="192"/>
      <c r="ED20" s="191"/>
      <c r="EE20" s="193"/>
      <c r="EF20" s="192"/>
      <c r="EG20" s="192"/>
      <c r="EH20" s="192"/>
      <c r="EI20" s="191"/>
      <c r="EJ20" s="19"/>
      <c r="EK20" s="192"/>
      <c r="EL20" s="192"/>
      <c r="EM20" s="192"/>
      <c r="EN20" s="191"/>
      <c r="EO20" s="193"/>
      <c r="EP20" s="192"/>
      <c r="EQ20" s="192"/>
      <c r="ER20" s="192"/>
      <c r="ES20" s="191"/>
      <c r="ET20" s="19"/>
      <c r="EU20" s="192"/>
      <c r="EV20" s="192"/>
      <c r="EW20" s="192"/>
      <c r="EX20" s="191"/>
      <c r="EY20" s="193"/>
      <c r="EZ20" s="192"/>
      <c r="FA20" s="192"/>
      <c r="FB20" s="192"/>
      <c r="FC20" s="191"/>
      <c r="FD20"/>
      <c r="FE20"/>
      <c r="FF20" s="253">
        <v>15</v>
      </c>
      <c r="FG20" s="253"/>
      <c r="FH20" s="253" t="s">
        <v>321</v>
      </c>
      <c r="FI20" s="253" t="s">
        <v>322</v>
      </c>
      <c r="FJ20" s="253"/>
      <c r="FK20" s="253"/>
      <c r="FL20" s="273">
        <f t="shared" ca="1" si="2"/>
        <v>116</v>
      </c>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row>
    <row r="21" spans="1:247" ht="16.5" thickBot="1">
      <c r="A21" s="199">
        <v>18</v>
      </c>
      <c r="B21" s="306"/>
      <c r="C21" s="310"/>
      <c r="D21" s="307" t="s">
        <v>271</v>
      </c>
      <c r="E21" s="307" t="s">
        <v>271</v>
      </c>
      <c r="F21" s="308"/>
      <c r="G21" s="343" t="str">
        <f t="shared" si="0"/>
        <v xml:space="preserve"> </v>
      </c>
      <c r="H21" s="307"/>
      <c r="I21" s="309" t="e">
        <f t="shared" si="1"/>
        <v>#N/A</v>
      </c>
      <c r="J21" s="307"/>
      <c r="K21" s="307"/>
      <c r="L21" s="310"/>
      <c r="M21" s="310"/>
      <c r="N21" s="310"/>
      <c r="O21" s="310"/>
      <c r="P21" s="310"/>
      <c r="Q21" s="310"/>
      <c r="R21" s="310"/>
      <c r="S21" s="310"/>
      <c r="T21" s="310"/>
      <c r="U21" s="307"/>
      <c r="V21" s="307"/>
      <c r="W21" s="311"/>
      <c r="X21" s="307"/>
      <c r="Y21" s="307"/>
      <c r="Z21" s="307"/>
      <c r="AA21" s="307"/>
      <c r="AB21" s="311"/>
      <c r="AC21" s="307"/>
      <c r="AD21" s="307"/>
      <c r="AE21" s="307"/>
      <c r="AF21" s="307"/>
      <c r="AG21" s="310"/>
      <c r="AH21" s="307"/>
      <c r="AI21" s="310"/>
      <c r="AJ21" s="307"/>
      <c r="AK21" s="307"/>
      <c r="AL21" s="307"/>
      <c r="AM21" s="308"/>
      <c r="AN21" s="311"/>
      <c r="AO21" s="307"/>
      <c r="AP21" s="307"/>
      <c r="AQ21" s="308"/>
      <c r="AR21" s="307"/>
      <c r="AS21" s="307"/>
      <c r="AT21" s="307"/>
      <c r="AU21" s="310"/>
      <c r="AV21" s="308"/>
      <c r="AW21" s="312"/>
      <c r="AX21" s="308"/>
      <c r="AY21" s="307"/>
      <c r="AZ21" s="307"/>
      <c r="BA21" s="307"/>
      <c r="BB21" s="307"/>
      <c r="BC21" s="308"/>
      <c r="BD21" s="308"/>
      <c r="BE21" s="313"/>
      <c r="BF21" s="307"/>
      <c r="BG21" s="310"/>
      <c r="BH21" s="307"/>
      <c r="BI21" s="307"/>
      <c r="BJ21" s="310"/>
      <c r="BK21" s="307"/>
      <c r="BL21" s="307"/>
      <c r="BM21" s="310"/>
      <c r="BN21" s="307"/>
      <c r="BO21" s="310"/>
      <c r="BP21" s="307"/>
      <c r="BQ21" s="307"/>
      <c r="BR21" s="307"/>
      <c r="BS21" s="307"/>
      <c r="BT21" s="307"/>
      <c r="BU21" s="310"/>
      <c r="BV21" s="307"/>
      <c r="BW21" s="308"/>
      <c r="BX21" s="311"/>
      <c r="BY21" s="307"/>
      <c r="BZ21" s="307"/>
      <c r="CA21" s="310"/>
      <c r="CB21" s="307"/>
      <c r="CC21" s="307"/>
      <c r="CD21" s="307"/>
      <c r="CE21" s="308"/>
      <c r="CF21" s="308"/>
      <c r="CG21" s="307"/>
      <c r="CH21" s="307"/>
      <c r="CI21" s="307"/>
      <c r="CJ21" s="307"/>
      <c r="CK21" s="314"/>
      <c r="CL21" s="310"/>
      <c r="CM21" s="310"/>
      <c r="CN21" s="307"/>
      <c r="CO21" s="307"/>
      <c r="CP21" s="307"/>
      <c r="CQ21" s="315"/>
      <c r="CR21" s="315"/>
      <c r="CS21" s="315"/>
      <c r="CT21" s="315"/>
      <c r="CU21" s="307"/>
      <c r="CV21" s="217"/>
      <c r="CW21" s="192"/>
      <c r="CX21" s="192"/>
      <c r="CY21" s="192"/>
      <c r="CZ21" s="191"/>
      <c r="DA21" s="193"/>
      <c r="DB21" s="192"/>
      <c r="DC21" s="192"/>
      <c r="DD21" s="192"/>
      <c r="DE21" s="191"/>
      <c r="DF21" s="19"/>
      <c r="DG21" s="192"/>
      <c r="DH21" s="192"/>
      <c r="DI21" s="192"/>
      <c r="DJ21" s="191"/>
      <c r="DK21" s="193"/>
      <c r="DL21" s="192"/>
      <c r="DM21" s="192"/>
      <c r="DN21" s="192"/>
      <c r="DO21" s="191"/>
      <c r="DP21" s="19"/>
      <c r="DQ21" s="192"/>
      <c r="DR21" s="192"/>
      <c r="DS21" s="192"/>
      <c r="DT21" s="191"/>
      <c r="DU21" s="193"/>
      <c r="DV21" s="192"/>
      <c r="DW21" s="192"/>
      <c r="DX21" s="192"/>
      <c r="DY21" s="191"/>
      <c r="DZ21" s="19"/>
      <c r="EA21" s="192"/>
      <c r="EB21" s="192"/>
      <c r="EC21" s="192"/>
      <c r="ED21" s="191"/>
      <c r="EE21" s="193"/>
      <c r="EF21" s="192"/>
      <c r="EG21" s="192"/>
      <c r="EH21" s="192"/>
      <c r="EI21" s="191"/>
      <c r="EJ21" s="19"/>
      <c r="EK21" s="192"/>
      <c r="EL21" s="192"/>
      <c r="EM21" s="192"/>
      <c r="EN21" s="191"/>
      <c r="EO21" s="193"/>
      <c r="EP21" s="192"/>
      <c r="EQ21" s="192"/>
      <c r="ER21" s="192"/>
      <c r="ES21" s="191"/>
      <c r="ET21" s="19"/>
      <c r="EU21" s="192"/>
      <c r="EV21" s="192"/>
      <c r="EW21" s="192"/>
      <c r="EX21" s="191"/>
      <c r="EY21" s="193"/>
      <c r="EZ21" s="192"/>
      <c r="FA21" s="192"/>
      <c r="FB21" s="192"/>
      <c r="FC21" s="191"/>
      <c r="FF21" s="253"/>
      <c r="FG21" s="253"/>
      <c r="FH21" s="253" t="s">
        <v>323</v>
      </c>
      <c r="FI21" s="253" t="s">
        <v>324</v>
      </c>
      <c r="FJ21" s="253"/>
      <c r="FK21" s="253"/>
      <c r="FL21" s="273">
        <f t="shared" ca="1" si="2"/>
        <v>116</v>
      </c>
    </row>
    <row r="22" spans="1:247" ht="16.5" thickBot="1">
      <c r="A22" s="196">
        <v>19</v>
      </c>
      <c r="B22" s="306"/>
      <c r="C22" s="310"/>
      <c r="D22" s="307" t="s">
        <v>271</v>
      </c>
      <c r="E22" s="307" t="s">
        <v>271</v>
      </c>
      <c r="F22" s="308"/>
      <c r="G22" s="343" t="str">
        <f t="shared" si="0"/>
        <v xml:space="preserve"> </v>
      </c>
      <c r="H22" s="307"/>
      <c r="I22" s="309" t="e">
        <f t="shared" si="1"/>
        <v>#N/A</v>
      </c>
      <c r="J22" s="307"/>
      <c r="K22" s="307"/>
      <c r="L22" s="310"/>
      <c r="M22" s="310"/>
      <c r="N22" s="310"/>
      <c r="O22" s="310"/>
      <c r="P22" s="310"/>
      <c r="Q22" s="310"/>
      <c r="R22" s="310"/>
      <c r="S22" s="310"/>
      <c r="T22" s="310"/>
      <c r="U22" s="307"/>
      <c r="V22" s="307"/>
      <c r="W22" s="311"/>
      <c r="X22" s="307"/>
      <c r="Y22" s="307"/>
      <c r="Z22" s="307"/>
      <c r="AA22" s="307"/>
      <c r="AB22" s="311"/>
      <c r="AC22" s="307"/>
      <c r="AD22" s="307"/>
      <c r="AE22" s="307"/>
      <c r="AF22" s="307"/>
      <c r="AG22" s="310"/>
      <c r="AH22" s="307"/>
      <c r="AI22" s="310"/>
      <c r="AJ22" s="307"/>
      <c r="AK22" s="307"/>
      <c r="AL22" s="307"/>
      <c r="AM22" s="308"/>
      <c r="AN22" s="311"/>
      <c r="AO22" s="307"/>
      <c r="AP22" s="307"/>
      <c r="AQ22" s="308"/>
      <c r="AR22" s="307"/>
      <c r="AS22" s="307"/>
      <c r="AT22" s="307"/>
      <c r="AU22" s="310"/>
      <c r="AV22" s="308"/>
      <c r="AW22" s="312"/>
      <c r="AX22" s="308"/>
      <c r="AY22" s="307"/>
      <c r="AZ22" s="307"/>
      <c r="BA22" s="307"/>
      <c r="BB22" s="307"/>
      <c r="BC22" s="308"/>
      <c r="BD22" s="308"/>
      <c r="BE22" s="313"/>
      <c r="BF22" s="307"/>
      <c r="BG22" s="310"/>
      <c r="BH22" s="307"/>
      <c r="BI22" s="307"/>
      <c r="BJ22" s="310"/>
      <c r="BK22" s="307"/>
      <c r="BL22" s="307"/>
      <c r="BM22" s="310"/>
      <c r="BN22" s="307"/>
      <c r="BO22" s="310"/>
      <c r="BP22" s="307"/>
      <c r="BQ22" s="307"/>
      <c r="BR22" s="307"/>
      <c r="BS22" s="307"/>
      <c r="BT22" s="307"/>
      <c r="BU22" s="310"/>
      <c r="BV22" s="307"/>
      <c r="BW22" s="308"/>
      <c r="BX22" s="311"/>
      <c r="BY22" s="307"/>
      <c r="BZ22" s="307"/>
      <c r="CA22" s="310"/>
      <c r="CB22" s="307"/>
      <c r="CC22" s="307"/>
      <c r="CD22" s="307"/>
      <c r="CE22" s="308"/>
      <c r="CF22" s="308"/>
      <c r="CG22" s="307"/>
      <c r="CH22" s="307"/>
      <c r="CI22" s="307"/>
      <c r="CJ22" s="307"/>
      <c r="CK22" s="314"/>
      <c r="CL22" s="310"/>
      <c r="CM22" s="310"/>
      <c r="CN22" s="307"/>
      <c r="CO22" s="307"/>
      <c r="CP22" s="307"/>
      <c r="CQ22" s="315"/>
      <c r="CR22" s="315"/>
      <c r="CS22" s="315"/>
      <c r="CT22" s="315"/>
      <c r="CU22" s="307"/>
      <c r="CV22" s="217"/>
      <c r="CW22" s="192"/>
      <c r="CX22" s="192"/>
      <c r="CY22" s="192"/>
      <c r="CZ22" s="191"/>
      <c r="DA22" s="193"/>
      <c r="DB22" s="192"/>
      <c r="DC22" s="192"/>
      <c r="DD22" s="192"/>
      <c r="DE22" s="191"/>
      <c r="DF22" s="19"/>
      <c r="DG22" s="192"/>
      <c r="DH22" s="192"/>
      <c r="DI22" s="192"/>
      <c r="DJ22" s="191"/>
      <c r="DK22" s="193"/>
      <c r="DL22" s="192"/>
      <c r="DM22" s="192"/>
      <c r="DN22" s="192"/>
      <c r="DO22" s="191"/>
      <c r="DP22" s="19"/>
      <c r="DQ22" s="192"/>
      <c r="DR22" s="192"/>
      <c r="DS22" s="192"/>
      <c r="DT22" s="191"/>
      <c r="DU22" s="193"/>
      <c r="DV22" s="192"/>
      <c r="DW22" s="192"/>
      <c r="DX22" s="192"/>
      <c r="DY22" s="191"/>
      <c r="DZ22" s="19"/>
      <c r="EA22" s="192"/>
      <c r="EB22" s="192"/>
      <c r="EC22" s="192"/>
      <c r="ED22" s="191"/>
      <c r="EE22" s="193"/>
      <c r="EF22" s="192"/>
      <c r="EG22" s="192"/>
      <c r="EH22" s="192"/>
      <c r="EI22" s="191"/>
      <c r="EJ22" s="19"/>
      <c r="EK22" s="192"/>
      <c r="EL22" s="192"/>
      <c r="EM22" s="192"/>
      <c r="EN22" s="191"/>
      <c r="EO22" s="193"/>
      <c r="EP22" s="192"/>
      <c r="EQ22" s="192"/>
      <c r="ER22" s="192"/>
      <c r="ES22" s="191"/>
      <c r="ET22" s="19"/>
      <c r="EU22" s="192"/>
      <c r="EV22" s="192"/>
      <c r="EW22" s="192"/>
      <c r="EX22" s="191"/>
      <c r="EY22" s="193"/>
      <c r="EZ22" s="192"/>
      <c r="FA22" s="192"/>
      <c r="FB22" s="192"/>
      <c r="FC22" s="191"/>
      <c r="FF22" s="253"/>
      <c r="FG22" s="253"/>
      <c r="FH22" s="253" t="s">
        <v>325</v>
      </c>
      <c r="FI22" s="253" t="s">
        <v>326</v>
      </c>
      <c r="FJ22" s="253"/>
      <c r="FK22" s="253"/>
      <c r="FL22" s="273">
        <f t="shared" ca="1" si="2"/>
        <v>116</v>
      </c>
    </row>
    <row r="23" spans="1:247" ht="16.5" thickBot="1">
      <c r="A23" s="199">
        <v>20</v>
      </c>
      <c r="B23" s="306"/>
      <c r="C23" s="310"/>
      <c r="D23" s="307" t="s">
        <v>271</v>
      </c>
      <c r="E23" s="307" t="s">
        <v>271</v>
      </c>
      <c r="F23" s="308"/>
      <c r="G23" s="343" t="str">
        <f t="shared" si="0"/>
        <v xml:space="preserve"> </v>
      </c>
      <c r="H23" s="307"/>
      <c r="I23" s="309" t="e">
        <f t="shared" si="1"/>
        <v>#N/A</v>
      </c>
      <c r="J23" s="307"/>
      <c r="K23" s="307"/>
      <c r="L23" s="310"/>
      <c r="M23" s="310"/>
      <c r="N23" s="310"/>
      <c r="O23" s="310"/>
      <c r="P23" s="310"/>
      <c r="Q23" s="310"/>
      <c r="R23" s="310"/>
      <c r="S23" s="310"/>
      <c r="T23" s="310"/>
      <c r="U23" s="307"/>
      <c r="V23" s="307"/>
      <c r="W23" s="311"/>
      <c r="X23" s="307"/>
      <c r="Y23" s="307"/>
      <c r="Z23" s="307"/>
      <c r="AA23" s="307"/>
      <c r="AB23" s="311"/>
      <c r="AC23" s="307"/>
      <c r="AD23" s="307"/>
      <c r="AE23" s="307"/>
      <c r="AF23" s="307"/>
      <c r="AG23" s="310"/>
      <c r="AH23" s="307"/>
      <c r="AI23" s="310"/>
      <c r="AJ23" s="307"/>
      <c r="AK23" s="307"/>
      <c r="AL23" s="307"/>
      <c r="AM23" s="308"/>
      <c r="AN23" s="311"/>
      <c r="AO23" s="307"/>
      <c r="AP23" s="307"/>
      <c r="AQ23" s="308"/>
      <c r="AR23" s="307"/>
      <c r="AS23" s="307"/>
      <c r="AT23" s="307"/>
      <c r="AU23" s="310"/>
      <c r="AV23" s="308"/>
      <c r="AW23" s="312"/>
      <c r="AX23" s="308"/>
      <c r="AY23" s="307"/>
      <c r="AZ23" s="307"/>
      <c r="BA23" s="307"/>
      <c r="BB23" s="307"/>
      <c r="BC23" s="308"/>
      <c r="BD23" s="308"/>
      <c r="BE23" s="313"/>
      <c r="BF23" s="307"/>
      <c r="BG23" s="310"/>
      <c r="BH23" s="307"/>
      <c r="BI23" s="307"/>
      <c r="BJ23" s="310"/>
      <c r="BK23" s="307"/>
      <c r="BL23" s="307"/>
      <c r="BM23" s="310"/>
      <c r="BN23" s="307"/>
      <c r="BO23" s="310"/>
      <c r="BP23" s="307"/>
      <c r="BQ23" s="307"/>
      <c r="BR23" s="307"/>
      <c r="BS23" s="307"/>
      <c r="BT23" s="307"/>
      <c r="BU23" s="310"/>
      <c r="BV23" s="307"/>
      <c r="BW23" s="308"/>
      <c r="BX23" s="311"/>
      <c r="BY23" s="307"/>
      <c r="BZ23" s="307"/>
      <c r="CA23" s="310"/>
      <c r="CB23" s="307"/>
      <c r="CC23" s="307"/>
      <c r="CD23" s="307"/>
      <c r="CE23" s="308"/>
      <c r="CF23" s="308"/>
      <c r="CG23" s="307"/>
      <c r="CH23" s="307"/>
      <c r="CI23" s="307"/>
      <c r="CJ23" s="307"/>
      <c r="CK23" s="314"/>
      <c r="CL23" s="310"/>
      <c r="CM23" s="310"/>
      <c r="CN23" s="307"/>
      <c r="CO23" s="307"/>
      <c r="CP23" s="307"/>
      <c r="CQ23" s="315"/>
      <c r="CR23" s="315"/>
      <c r="CS23" s="315"/>
      <c r="CT23" s="315"/>
      <c r="CU23" s="307"/>
      <c r="CV23" s="217"/>
      <c r="CW23" s="192"/>
      <c r="CX23" s="192"/>
      <c r="CY23" s="192"/>
      <c r="CZ23" s="191"/>
      <c r="DA23" s="193"/>
      <c r="DB23" s="192"/>
      <c r="DC23" s="192"/>
      <c r="DD23" s="192"/>
      <c r="DE23" s="191"/>
      <c r="DF23" s="19"/>
      <c r="DG23" s="192"/>
      <c r="DH23" s="192"/>
      <c r="DI23" s="192"/>
      <c r="DJ23" s="191"/>
      <c r="DK23" s="193"/>
      <c r="DL23" s="192"/>
      <c r="DM23" s="192"/>
      <c r="DN23" s="192"/>
      <c r="DO23" s="191"/>
      <c r="DP23" s="19"/>
      <c r="DQ23" s="192"/>
      <c r="DR23" s="192"/>
      <c r="DS23" s="192"/>
      <c r="DT23" s="191"/>
      <c r="DU23" s="193"/>
      <c r="DV23" s="192"/>
      <c r="DW23" s="192"/>
      <c r="DX23" s="192"/>
      <c r="DY23" s="191"/>
      <c r="DZ23" s="19"/>
      <c r="EA23" s="192"/>
      <c r="EB23" s="192"/>
      <c r="EC23" s="192"/>
      <c r="ED23" s="191"/>
      <c r="EE23" s="193"/>
      <c r="EF23" s="192"/>
      <c r="EG23" s="192"/>
      <c r="EH23" s="192"/>
      <c r="EI23" s="191"/>
      <c r="EJ23" s="19"/>
      <c r="EK23" s="192"/>
      <c r="EL23" s="192"/>
      <c r="EM23" s="192"/>
      <c r="EN23" s="191"/>
      <c r="EO23" s="193"/>
      <c r="EP23" s="192"/>
      <c r="EQ23" s="192"/>
      <c r="ER23" s="192"/>
      <c r="ES23" s="191"/>
      <c r="ET23" s="19"/>
      <c r="EU23" s="192"/>
      <c r="EV23" s="192"/>
      <c r="EW23" s="192"/>
      <c r="EX23" s="191"/>
      <c r="EY23" s="193"/>
      <c r="EZ23" s="192"/>
      <c r="FA23" s="192"/>
      <c r="FB23" s="192"/>
      <c r="FC23" s="191"/>
      <c r="FF23" s="253"/>
      <c r="FG23" s="253"/>
      <c r="FH23" s="253" t="s">
        <v>327</v>
      </c>
      <c r="FI23" s="253" t="s">
        <v>328</v>
      </c>
      <c r="FJ23" s="253"/>
      <c r="FK23" s="253"/>
      <c r="FL23" s="273">
        <f t="shared" ca="1" si="2"/>
        <v>116</v>
      </c>
    </row>
    <row r="24" spans="1:247" ht="16.5" thickBot="1">
      <c r="A24" s="196">
        <v>21</v>
      </c>
      <c r="B24" s="306"/>
      <c r="C24" s="310"/>
      <c r="D24" s="307" t="s">
        <v>271</v>
      </c>
      <c r="E24" s="307" t="s">
        <v>271</v>
      </c>
      <c r="F24" s="308"/>
      <c r="G24" s="343" t="str">
        <f t="shared" si="0"/>
        <v xml:space="preserve"> </v>
      </c>
      <c r="H24" s="307"/>
      <c r="I24" s="309" t="e">
        <f t="shared" si="1"/>
        <v>#N/A</v>
      </c>
      <c r="J24" s="307"/>
      <c r="K24" s="307"/>
      <c r="L24" s="310"/>
      <c r="M24" s="310"/>
      <c r="N24" s="310"/>
      <c r="O24" s="310"/>
      <c r="P24" s="310"/>
      <c r="Q24" s="310"/>
      <c r="R24" s="310"/>
      <c r="S24" s="310"/>
      <c r="T24" s="310"/>
      <c r="U24" s="307"/>
      <c r="V24" s="307"/>
      <c r="W24" s="311"/>
      <c r="X24" s="307"/>
      <c r="Y24" s="307"/>
      <c r="Z24" s="307"/>
      <c r="AA24" s="307"/>
      <c r="AB24" s="311"/>
      <c r="AC24" s="307"/>
      <c r="AD24" s="307"/>
      <c r="AE24" s="307"/>
      <c r="AF24" s="307"/>
      <c r="AG24" s="310"/>
      <c r="AH24" s="307"/>
      <c r="AI24" s="310"/>
      <c r="AJ24" s="307"/>
      <c r="AK24" s="307"/>
      <c r="AL24" s="307"/>
      <c r="AM24" s="308"/>
      <c r="AN24" s="311"/>
      <c r="AO24" s="307"/>
      <c r="AP24" s="307"/>
      <c r="AQ24" s="308"/>
      <c r="AR24" s="307"/>
      <c r="AS24" s="307"/>
      <c r="AT24" s="307"/>
      <c r="AU24" s="310"/>
      <c r="AV24" s="308"/>
      <c r="AW24" s="312"/>
      <c r="AX24" s="308"/>
      <c r="AY24" s="307"/>
      <c r="AZ24" s="307"/>
      <c r="BA24" s="307"/>
      <c r="BB24" s="307"/>
      <c r="BC24" s="308"/>
      <c r="BD24" s="308"/>
      <c r="BE24" s="313"/>
      <c r="BF24" s="307"/>
      <c r="BG24" s="310"/>
      <c r="BH24" s="307"/>
      <c r="BI24" s="307"/>
      <c r="BJ24" s="310"/>
      <c r="BK24" s="307"/>
      <c r="BL24" s="307"/>
      <c r="BM24" s="310"/>
      <c r="BN24" s="307"/>
      <c r="BO24" s="310"/>
      <c r="BP24" s="307"/>
      <c r="BQ24" s="307"/>
      <c r="BR24" s="307"/>
      <c r="BS24" s="307"/>
      <c r="BT24" s="307"/>
      <c r="BU24" s="310"/>
      <c r="BV24" s="307"/>
      <c r="BW24" s="308"/>
      <c r="BX24" s="311"/>
      <c r="BY24" s="307"/>
      <c r="BZ24" s="307"/>
      <c r="CA24" s="310"/>
      <c r="CB24" s="307"/>
      <c r="CC24" s="307"/>
      <c r="CD24" s="307"/>
      <c r="CE24" s="308"/>
      <c r="CF24" s="308"/>
      <c r="CG24" s="307"/>
      <c r="CH24" s="307"/>
      <c r="CI24" s="307"/>
      <c r="CJ24" s="307"/>
      <c r="CK24" s="314"/>
      <c r="CL24" s="310"/>
      <c r="CM24" s="310"/>
      <c r="CN24" s="307"/>
      <c r="CO24" s="307"/>
      <c r="CP24" s="307"/>
      <c r="CQ24" s="315"/>
      <c r="CR24" s="315"/>
      <c r="CS24" s="315"/>
      <c r="CT24" s="315"/>
      <c r="CU24" s="307"/>
      <c r="CV24" s="217"/>
      <c r="CW24" s="192"/>
      <c r="CX24" s="192"/>
      <c r="CY24" s="192"/>
      <c r="CZ24" s="191"/>
      <c r="DA24" s="193"/>
      <c r="DB24" s="192"/>
      <c r="DC24" s="192"/>
      <c r="DD24" s="192"/>
      <c r="DE24" s="191"/>
      <c r="DF24" s="19"/>
      <c r="DG24" s="192"/>
      <c r="DH24" s="192"/>
      <c r="DI24" s="192"/>
      <c r="DJ24" s="191"/>
      <c r="DK24" s="193"/>
      <c r="DL24" s="192"/>
      <c r="DM24" s="192"/>
      <c r="DN24" s="192"/>
      <c r="DO24" s="191"/>
      <c r="DP24" s="19"/>
      <c r="DQ24" s="192"/>
      <c r="DR24" s="192"/>
      <c r="DS24" s="192"/>
      <c r="DT24" s="191"/>
      <c r="DU24" s="193"/>
      <c r="DV24" s="192"/>
      <c r="DW24" s="192"/>
      <c r="DX24" s="192"/>
      <c r="DY24" s="191"/>
      <c r="DZ24" s="19"/>
      <c r="EA24" s="192"/>
      <c r="EB24" s="192"/>
      <c r="EC24" s="192"/>
      <c r="ED24" s="191"/>
      <c r="EE24" s="193"/>
      <c r="EF24" s="192"/>
      <c r="EG24" s="192"/>
      <c r="EH24" s="192"/>
      <c r="EI24" s="191"/>
      <c r="EJ24" s="19"/>
      <c r="EK24" s="192"/>
      <c r="EL24" s="192"/>
      <c r="EM24" s="192"/>
      <c r="EN24" s="191"/>
      <c r="EO24" s="193"/>
      <c r="EP24" s="192"/>
      <c r="EQ24" s="192"/>
      <c r="ER24" s="192"/>
      <c r="ES24" s="191"/>
      <c r="ET24" s="19"/>
      <c r="EU24" s="192"/>
      <c r="EV24" s="192"/>
      <c r="EW24" s="192"/>
      <c r="EX24" s="191"/>
      <c r="EY24" s="193"/>
      <c r="EZ24" s="192"/>
      <c r="FA24" s="192"/>
      <c r="FB24" s="192"/>
      <c r="FC24" s="191"/>
      <c r="FF24" s="253"/>
      <c r="FG24" s="253"/>
      <c r="FH24" s="253" t="s">
        <v>329</v>
      </c>
      <c r="FI24" s="253" t="s">
        <v>330</v>
      </c>
      <c r="FJ24" s="253"/>
      <c r="FK24" s="253"/>
      <c r="FL24" s="273">
        <f t="shared" ca="1" si="2"/>
        <v>116</v>
      </c>
    </row>
    <row r="25" spans="1:247" ht="16.5" thickBot="1">
      <c r="A25" s="199">
        <v>22</v>
      </c>
      <c r="B25" s="306"/>
      <c r="C25" s="310"/>
      <c r="D25" s="307" t="s">
        <v>271</v>
      </c>
      <c r="E25" s="307" t="s">
        <v>271</v>
      </c>
      <c r="F25" s="308"/>
      <c r="G25" s="343" t="str">
        <f t="shared" si="0"/>
        <v xml:space="preserve"> </v>
      </c>
      <c r="H25" s="307"/>
      <c r="I25" s="309" t="e">
        <f t="shared" si="1"/>
        <v>#N/A</v>
      </c>
      <c r="J25" s="307"/>
      <c r="K25" s="307"/>
      <c r="L25" s="310"/>
      <c r="M25" s="310"/>
      <c r="N25" s="310"/>
      <c r="O25" s="310"/>
      <c r="P25" s="310"/>
      <c r="Q25" s="310"/>
      <c r="R25" s="310"/>
      <c r="S25" s="310"/>
      <c r="T25" s="310"/>
      <c r="U25" s="307"/>
      <c r="V25" s="307"/>
      <c r="W25" s="311"/>
      <c r="X25" s="307"/>
      <c r="Y25" s="307"/>
      <c r="Z25" s="307"/>
      <c r="AA25" s="307"/>
      <c r="AB25" s="311"/>
      <c r="AC25" s="307"/>
      <c r="AD25" s="307"/>
      <c r="AE25" s="307"/>
      <c r="AF25" s="307"/>
      <c r="AG25" s="310"/>
      <c r="AH25" s="307"/>
      <c r="AI25" s="310"/>
      <c r="AJ25" s="307"/>
      <c r="AK25" s="307"/>
      <c r="AL25" s="307"/>
      <c r="AM25" s="308"/>
      <c r="AN25" s="311"/>
      <c r="AO25" s="307"/>
      <c r="AP25" s="307"/>
      <c r="AQ25" s="308"/>
      <c r="AR25" s="307"/>
      <c r="AS25" s="307"/>
      <c r="AT25" s="307"/>
      <c r="AU25" s="310"/>
      <c r="AV25" s="308"/>
      <c r="AW25" s="312"/>
      <c r="AX25" s="308"/>
      <c r="AY25" s="307"/>
      <c r="AZ25" s="307"/>
      <c r="BA25" s="307"/>
      <c r="BB25" s="307"/>
      <c r="BC25" s="308"/>
      <c r="BD25" s="308"/>
      <c r="BE25" s="313"/>
      <c r="BF25" s="307"/>
      <c r="BG25" s="310"/>
      <c r="BH25" s="307"/>
      <c r="BI25" s="307"/>
      <c r="BJ25" s="310"/>
      <c r="BK25" s="307"/>
      <c r="BL25" s="307"/>
      <c r="BM25" s="310"/>
      <c r="BN25" s="307"/>
      <c r="BO25" s="310"/>
      <c r="BP25" s="307"/>
      <c r="BQ25" s="307"/>
      <c r="BR25" s="307"/>
      <c r="BS25" s="307"/>
      <c r="BT25" s="307"/>
      <c r="BU25" s="310"/>
      <c r="BV25" s="307"/>
      <c r="BW25" s="308"/>
      <c r="BX25" s="311"/>
      <c r="BY25" s="307"/>
      <c r="BZ25" s="307"/>
      <c r="CA25" s="310"/>
      <c r="CB25" s="307"/>
      <c r="CC25" s="307"/>
      <c r="CD25" s="307"/>
      <c r="CE25" s="308"/>
      <c r="CF25" s="308"/>
      <c r="CG25" s="307"/>
      <c r="CH25" s="307"/>
      <c r="CI25" s="307"/>
      <c r="CJ25" s="307"/>
      <c r="CK25" s="314"/>
      <c r="CL25" s="310"/>
      <c r="CM25" s="310"/>
      <c r="CN25" s="307"/>
      <c r="CO25" s="307"/>
      <c r="CP25" s="307"/>
      <c r="CQ25" s="315"/>
      <c r="CR25" s="315"/>
      <c r="CS25" s="315"/>
      <c r="CT25" s="315"/>
      <c r="CU25" s="307"/>
      <c r="CV25" s="217"/>
      <c r="CW25" s="192"/>
      <c r="CX25" s="192"/>
      <c r="CY25" s="192"/>
      <c r="CZ25" s="191"/>
      <c r="DA25" s="193"/>
      <c r="DB25" s="192"/>
      <c r="DC25" s="192"/>
      <c r="DD25" s="192"/>
      <c r="DE25" s="191"/>
      <c r="DF25" s="19"/>
      <c r="DG25" s="192"/>
      <c r="DH25" s="192"/>
      <c r="DI25" s="192"/>
      <c r="DJ25" s="191"/>
      <c r="DK25" s="193"/>
      <c r="DL25" s="192"/>
      <c r="DM25" s="192"/>
      <c r="DN25" s="192"/>
      <c r="DO25" s="191"/>
      <c r="DP25" s="19"/>
      <c r="DQ25" s="192"/>
      <c r="DR25" s="192"/>
      <c r="DS25" s="192"/>
      <c r="DT25" s="191"/>
      <c r="DU25" s="193"/>
      <c r="DV25" s="192"/>
      <c r="DW25" s="192"/>
      <c r="DX25" s="192"/>
      <c r="DY25" s="191"/>
      <c r="DZ25" s="19"/>
      <c r="EA25" s="192"/>
      <c r="EB25" s="192"/>
      <c r="EC25" s="192"/>
      <c r="ED25" s="191"/>
      <c r="EE25" s="193"/>
      <c r="EF25" s="192"/>
      <c r="EG25" s="192"/>
      <c r="EH25" s="192"/>
      <c r="EI25" s="191"/>
      <c r="EJ25" s="19"/>
      <c r="EK25" s="192"/>
      <c r="EL25" s="192"/>
      <c r="EM25" s="192"/>
      <c r="EN25" s="191"/>
      <c r="EO25" s="193"/>
      <c r="EP25" s="192"/>
      <c r="EQ25" s="192"/>
      <c r="ER25" s="192"/>
      <c r="ES25" s="191"/>
      <c r="ET25" s="19"/>
      <c r="EU25" s="192"/>
      <c r="EV25" s="192"/>
      <c r="EW25" s="192"/>
      <c r="EX25" s="191"/>
      <c r="EY25" s="193"/>
      <c r="EZ25" s="192"/>
      <c r="FA25" s="192"/>
      <c r="FB25" s="192"/>
      <c r="FC25" s="191"/>
      <c r="FF25" s="253"/>
      <c r="FG25" s="253"/>
      <c r="FH25" s="253" t="s">
        <v>331</v>
      </c>
      <c r="FI25" s="253" t="s">
        <v>332</v>
      </c>
      <c r="FJ25" s="253"/>
      <c r="FK25" s="253"/>
      <c r="FL25" s="273">
        <f t="shared" ca="1" si="2"/>
        <v>116</v>
      </c>
    </row>
    <row r="26" spans="1:247" ht="16.5" thickBot="1">
      <c r="A26" s="196">
        <v>23</v>
      </c>
      <c r="B26" s="306"/>
      <c r="C26" s="310"/>
      <c r="D26" s="307" t="s">
        <v>271</v>
      </c>
      <c r="E26" s="307" t="s">
        <v>271</v>
      </c>
      <c r="F26" s="308"/>
      <c r="G26" s="343" t="str">
        <f t="shared" si="0"/>
        <v xml:space="preserve"> </v>
      </c>
      <c r="H26" s="307"/>
      <c r="I26" s="309" t="e">
        <f t="shared" si="1"/>
        <v>#N/A</v>
      </c>
      <c r="J26" s="307"/>
      <c r="K26" s="307"/>
      <c r="L26" s="310"/>
      <c r="M26" s="310"/>
      <c r="N26" s="310"/>
      <c r="O26" s="310"/>
      <c r="P26" s="310"/>
      <c r="Q26" s="310"/>
      <c r="R26" s="310"/>
      <c r="S26" s="310"/>
      <c r="T26" s="310"/>
      <c r="U26" s="307"/>
      <c r="V26" s="307"/>
      <c r="W26" s="311"/>
      <c r="X26" s="307"/>
      <c r="Y26" s="307"/>
      <c r="Z26" s="307"/>
      <c r="AA26" s="307"/>
      <c r="AB26" s="311"/>
      <c r="AC26" s="307"/>
      <c r="AD26" s="307"/>
      <c r="AE26" s="307"/>
      <c r="AF26" s="307"/>
      <c r="AG26" s="310"/>
      <c r="AH26" s="307"/>
      <c r="AI26" s="310"/>
      <c r="AJ26" s="307"/>
      <c r="AK26" s="307"/>
      <c r="AL26" s="307"/>
      <c r="AM26" s="308"/>
      <c r="AN26" s="311"/>
      <c r="AO26" s="307"/>
      <c r="AP26" s="307"/>
      <c r="AQ26" s="308"/>
      <c r="AR26" s="307"/>
      <c r="AS26" s="307"/>
      <c r="AT26" s="307"/>
      <c r="AU26" s="310"/>
      <c r="AV26" s="308"/>
      <c r="AW26" s="312"/>
      <c r="AX26" s="308"/>
      <c r="AY26" s="307"/>
      <c r="AZ26" s="307"/>
      <c r="BA26" s="307"/>
      <c r="BB26" s="307"/>
      <c r="BC26" s="308"/>
      <c r="BD26" s="308"/>
      <c r="BE26" s="313"/>
      <c r="BF26" s="307"/>
      <c r="BG26" s="310"/>
      <c r="BH26" s="307"/>
      <c r="BI26" s="307"/>
      <c r="BJ26" s="310"/>
      <c r="BK26" s="307"/>
      <c r="BL26" s="307"/>
      <c r="BM26" s="310"/>
      <c r="BN26" s="307"/>
      <c r="BO26" s="310"/>
      <c r="BP26" s="307"/>
      <c r="BQ26" s="307"/>
      <c r="BR26" s="307"/>
      <c r="BS26" s="307"/>
      <c r="BT26" s="307"/>
      <c r="BU26" s="310"/>
      <c r="BV26" s="307"/>
      <c r="BW26" s="308"/>
      <c r="BX26" s="311"/>
      <c r="BY26" s="307"/>
      <c r="BZ26" s="307"/>
      <c r="CA26" s="310"/>
      <c r="CB26" s="307"/>
      <c r="CC26" s="307"/>
      <c r="CD26" s="307"/>
      <c r="CE26" s="308"/>
      <c r="CF26" s="308"/>
      <c r="CG26" s="307"/>
      <c r="CH26" s="307"/>
      <c r="CI26" s="307"/>
      <c r="CJ26" s="307"/>
      <c r="CK26" s="314"/>
      <c r="CL26" s="310"/>
      <c r="CM26" s="310"/>
      <c r="CN26" s="307"/>
      <c r="CO26" s="307"/>
      <c r="CP26" s="307"/>
      <c r="CQ26" s="315"/>
      <c r="CR26" s="315"/>
      <c r="CS26" s="315"/>
      <c r="CT26" s="315"/>
      <c r="CU26" s="307"/>
      <c r="CV26" s="217"/>
      <c r="CW26" s="192"/>
      <c r="CX26" s="192"/>
      <c r="CY26" s="192"/>
      <c r="CZ26" s="191"/>
      <c r="DA26" s="193"/>
      <c r="DB26" s="192"/>
      <c r="DC26" s="192"/>
      <c r="DD26" s="192"/>
      <c r="DE26" s="191"/>
      <c r="DF26" s="19"/>
      <c r="DG26" s="192"/>
      <c r="DH26" s="192"/>
      <c r="DI26" s="192"/>
      <c r="DJ26" s="191"/>
      <c r="DK26" s="193"/>
      <c r="DL26" s="192"/>
      <c r="DM26" s="192"/>
      <c r="DN26" s="192"/>
      <c r="DO26" s="191"/>
      <c r="DP26" s="19"/>
      <c r="DQ26" s="192"/>
      <c r="DR26" s="192"/>
      <c r="DS26" s="192"/>
      <c r="DT26" s="191"/>
      <c r="DU26" s="193"/>
      <c r="DV26" s="192"/>
      <c r="DW26" s="192"/>
      <c r="DX26" s="192"/>
      <c r="DY26" s="191"/>
      <c r="DZ26" s="19"/>
      <c r="EA26" s="192"/>
      <c r="EB26" s="192"/>
      <c r="EC26" s="192"/>
      <c r="ED26" s="191"/>
      <c r="EE26" s="193"/>
      <c r="EF26" s="192"/>
      <c r="EG26" s="192"/>
      <c r="EH26" s="192"/>
      <c r="EI26" s="191"/>
      <c r="EJ26" s="19"/>
      <c r="EK26" s="192"/>
      <c r="EL26" s="192"/>
      <c r="EM26" s="192"/>
      <c r="EN26" s="191"/>
      <c r="EO26" s="193"/>
      <c r="EP26" s="192"/>
      <c r="EQ26" s="192"/>
      <c r="ER26" s="192"/>
      <c r="ES26" s="191"/>
      <c r="ET26" s="19"/>
      <c r="EU26" s="192"/>
      <c r="EV26" s="192"/>
      <c r="EW26" s="192"/>
      <c r="EX26" s="191"/>
      <c r="EY26" s="193"/>
      <c r="EZ26" s="192"/>
      <c r="FA26" s="192"/>
      <c r="FB26" s="192"/>
      <c r="FC26" s="191"/>
      <c r="FF26" s="253"/>
      <c r="FG26" s="253"/>
      <c r="FH26" s="253" t="s">
        <v>333</v>
      </c>
      <c r="FI26" s="253" t="s">
        <v>334</v>
      </c>
      <c r="FJ26" s="253"/>
      <c r="FK26" s="253"/>
      <c r="FL26" s="273">
        <f t="shared" ca="1" si="2"/>
        <v>116</v>
      </c>
    </row>
    <row r="27" spans="1:247" ht="16.5" thickBot="1">
      <c r="A27" s="199">
        <v>24</v>
      </c>
      <c r="B27" s="306"/>
      <c r="C27" s="310"/>
      <c r="D27" s="307" t="s">
        <v>271</v>
      </c>
      <c r="E27" s="307" t="s">
        <v>271</v>
      </c>
      <c r="F27" s="308"/>
      <c r="G27" s="343" t="str">
        <f t="shared" si="0"/>
        <v xml:space="preserve"> </v>
      </c>
      <c r="H27" s="307"/>
      <c r="I27" s="309" t="e">
        <f t="shared" si="1"/>
        <v>#N/A</v>
      </c>
      <c r="J27" s="307"/>
      <c r="K27" s="307"/>
      <c r="L27" s="310"/>
      <c r="M27" s="310"/>
      <c r="N27" s="310"/>
      <c r="O27" s="310"/>
      <c r="P27" s="310"/>
      <c r="Q27" s="310"/>
      <c r="R27" s="310"/>
      <c r="S27" s="310"/>
      <c r="T27" s="310"/>
      <c r="U27" s="307"/>
      <c r="V27" s="307"/>
      <c r="W27" s="311"/>
      <c r="X27" s="307"/>
      <c r="Y27" s="307"/>
      <c r="Z27" s="307"/>
      <c r="AA27" s="307"/>
      <c r="AB27" s="311"/>
      <c r="AC27" s="307"/>
      <c r="AD27" s="307"/>
      <c r="AE27" s="307"/>
      <c r="AF27" s="307"/>
      <c r="AG27" s="310"/>
      <c r="AH27" s="307"/>
      <c r="AI27" s="310"/>
      <c r="AJ27" s="307"/>
      <c r="AK27" s="307"/>
      <c r="AL27" s="307"/>
      <c r="AM27" s="308"/>
      <c r="AN27" s="311"/>
      <c r="AO27" s="307"/>
      <c r="AP27" s="307"/>
      <c r="AQ27" s="308"/>
      <c r="AR27" s="307"/>
      <c r="AS27" s="307"/>
      <c r="AT27" s="307"/>
      <c r="AU27" s="310"/>
      <c r="AV27" s="308"/>
      <c r="AW27" s="312"/>
      <c r="AX27" s="308"/>
      <c r="AY27" s="307"/>
      <c r="AZ27" s="307"/>
      <c r="BA27" s="307"/>
      <c r="BB27" s="307"/>
      <c r="BC27" s="308"/>
      <c r="BD27" s="308"/>
      <c r="BE27" s="313"/>
      <c r="BF27" s="307"/>
      <c r="BG27" s="310"/>
      <c r="BH27" s="307"/>
      <c r="BI27" s="307"/>
      <c r="BJ27" s="310"/>
      <c r="BK27" s="307"/>
      <c r="BL27" s="307"/>
      <c r="BM27" s="310"/>
      <c r="BN27" s="307"/>
      <c r="BO27" s="310"/>
      <c r="BP27" s="307"/>
      <c r="BQ27" s="307"/>
      <c r="BR27" s="307"/>
      <c r="BS27" s="307"/>
      <c r="BT27" s="307"/>
      <c r="BU27" s="310"/>
      <c r="BV27" s="307"/>
      <c r="BW27" s="308"/>
      <c r="BX27" s="311"/>
      <c r="BY27" s="307"/>
      <c r="BZ27" s="307"/>
      <c r="CA27" s="310"/>
      <c r="CB27" s="307"/>
      <c r="CC27" s="307"/>
      <c r="CD27" s="307"/>
      <c r="CE27" s="308"/>
      <c r="CF27" s="308"/>
      <c r="CG27" s="307"/>
      <c r="CH27" s="307"/>
      <c r="CI27" s="307"/>
      <c r="CJ27" s="307"/>
      <c r="CK27" s="314"/>
      <c r="CL27" s="310"/>
      <c r="CM27" s="310"/>
      <c r="CN27" s="307"/>
      <c r="CO27" s="307"/>
      <c r="CP27" s="307"/>
      <c r="CQ27" s="315"/>
      <c r="CR27" s="315"/>
      <c r="CS27" s="315"/>
      <c r="CT27" s="315"/>
      <c r="CU27" s="307"/>
      <c r="CV27" s="217"/>
      <c r="CW27" s="192"/>
      <c r="CX27" s="192"/>
      <c r="CY27" s="192"/>
      <c r="CZ27" s="191"/>
      <c r="DA27" s="193"/>
      <c r="DB27" s="192"/>
      <c r="DC27" s="192"/>
      <c r="DD27" s="192"/>
      <c r="DE27" s="191"/>
      <c r="DF27" s="19"/>
      <c r="DG27" s="192"/>
      <c r="DH27" s="192"/>
      <c r="DI27" s="192"/>
      <c r="DJ27" s="191"/>
      <c r="DK27" s="193"/>
      <c r="DL27" s="192"/>
      <c r="DM27" s="192"/>
      <c r="DN27" s="192"/>
      <c r="DO27" s="191"/>
      <c r="DP27" s="19"/>
      <c r="DQ27" s="192"/>
      <c r="DR27" s="192"/>
      <c r="DS27" s="192"/>
      <c r="DT27" s="191"/>
      <c r="DU27" s="193"/>
      <c r="DV27" s="192"/>
      <c r="DW27" s="192"/>
      <c r="DX27" s="192"/>
      <c r="DY27" s="191"/>
      <c r="DZ27" s="19"/>
      <c r="EA27" s="192"/>
      <c r="EB27" s="192"/>
      <c r="EC27" s="192"/>
      <c r="ED27" s="191"/>
      <c r="EE27" s="193"/>
      <c r="EF27" s="192"/>
      <c r="EG27" s="192"/>
      <c r="EH27" s="192"/>
      <c r="EI27" s="191"/>
      <c r="EJ27" s="19"/>
      <c r="EK27" s="192"/>
      <c r="EL27" s="192"/>
      <c r="EM27" s="192"/>
      <c r="EN27" s="191"/>
      <c r="EO27" s="193"/>
      <c r="EP27" s="192"/>
      <c r="EQ27" s="192"/>
      <c r="ER27" s="192"/>
      <c r="ES27" s="191"/>
      <c r="ET27" s="19"/>
      <c r="EU27" s="192"/>
      <c r="EV27" s="192"/>
      <c r="EW27" s="192"/>
      <c r="EX27" s="191"/>
      <c r="EY27" s="193"/>
      <c r="EZ27" s="192"/>
      <c r="FA27" s="192"/>
      <c r="FB27" s="192"/>
      <c r="FC27" s="191"/>
      <c r="FF27" s="253"/>
      <c r="FG27" s="253"/>
      <c r="FH27" s="253" t="s">
        <v>335</v>
      </c>
      <c r="FI27" s="253" t="s">
        <v>336</v>
      </c>
      <c r="FJ27" s="253"/>
      <c r="FK27" s="253"/>
      <c r="FL27" s="273">
        <f t="shared" ca="1" si="2"/>
        <v>116</v>
      </c>
    </row>
    <row r="28" spans="1:247" ht="16.5" thickBot="1">
      <c r="A28" s="196">
        <v>25</v>
      </c>
      <c r="B28" s="306"/>
      <c r="C28" s="307"/>
      <c r="D28" s="307" t="s">
        <v>271</v>
      </c>
      <c r="E28" s="307" t="s">
        <v>271</v>
      </c>
      <c r="F28" s="308"/>
      <c r="G28" s="343" t="str">
        <f t="shared" si="0"/>
        <v xml:space="preserve"> </v>
      </c>
      <c r="H28" s="307"/>
      <c r="I28" s="309" t="e">
        <f t="shared" si="1"/>
        <v>#N/A</v>
      </c>
      <c r="J28" s="307"/>
      <c r="K28" s="307"/>
      <c r="L28" s="310"/>
      <c r="M28" s="310"/>
      <c r="N28" s="310"/>
      <c r="O28" s="310"/>
      <c r="P28" s="310"/>
      <c r="Q28" s="310"/>
      <c r="R28" s="310"/>
      <c r="S28" s="310"/>
      <c r="T28" s="310"/>
      <c r="U28" s="307"/>
      <c r="V28" s="307"/>
      <c r="W28" s="311"/>
      <c r="X28" s="307"/>
      <c r="Y28" s="307"/>
      <c r="Z28" s="307"/>
      <c r="AA28" s="307"/>
      <c r="AB28" s="311"/>
      <c r="AC28" s="307"/>
      <c r="AD28" s="307"/>
      <c r="AE28" s="307"/>
      <c r="AF28" s="307"/>
      <c r="AG28" s="310"/>
      <c r="AH28" s="307"/>
      <c r="AI28" s="310"/>
      <c r="AJ28" s="307"/>
      <c r="AK28" s="307"/>
      <c r="AL28" s="307"/>
      <c r="AM28" s="308"/>
      <c r="AN28" s="311"/>
      <c r="AO28" s="307"/>
      <c r="AP28" s="307"/>
      <c r="AQ28" s="308"/>
      <c r="AR28" s="307"/>
      <c r="AS28" s="307"/>
      <c r="AT28" s="307"/>
      <c r="AU28" s="310"/>
      <c r="AV28" s="308"/>
      <c r="AW28" s="312"/>
      <c r="AX28" s="308"/>
      <c r="AY28" s="307"/>
      <c r="AZ28" s="307"/>
      <c r="BA28" s="307"/>
      <c r="BB28" s="307"/>
      <c r="BC28" s="308"/>
      <c r="BD28" s="308"/>
      <c r="BE28" s="313"/>
      <c r="BF28" s="307"/>
      <c r="BG28" s="310"/>
      <c r="BH28" s="307"/>
      <c r="BI28" s="307"/>
      <c r="BJ28" s="310"/>
      <c r="BK28" s="307"/>
      <c r="BL28" s="307"/>
      <c r="BM28" s="310"/>
      <c r="BN28" s="307"/>
      <c r="BO28" s="310"/>
      <c r="BP28" s="307"/>
      <c r="BQ28" s="307"/>
      <c r="BR28" s="307"/>
      <c r="BS28" s="307"/>
      <c r="BT28" s="307"/>
      <c r="BU28" s="310"/>
      <c r="BV28" s="307"/>
      <c r="BW28" s="308"/>
      <c r="BX28" s="311"/>
      <c r="BY28" s="307"/>
      <c r="BZ28" s="307"/>
      <c r="CA28" s="310"/>
      <c r="CB28" s="307"/>
      <c r="CC28" s="307"/>
      <c r="CD28" s="307"/>
      <c r="CE28" s="308"/>
      <c r="CF28" s="308"/>
      <c r="CG28" s="307"/>
      <c r="CH28" s="307"/>
      <c r="CI28" s="307"/>
      <c r="CJ28" s="307"/>
      <c r="CK28" s="314"/>
      <c r="CL28" s="310"/>
      <c r="CM28" s="310"/>
      <c r="CN28" s="307"/>
      <c r="CO28" s="307"/>
      <c r="CP28" s="307"/>
      <c r="CQ28" s="315"/>
      <c r="CR28" s="315"/>
      <c r="CS28" s="315"/>
      <c r="CT28" s="315"/>
      <c r="CU28" s="307"/>
      <c r="CV28" s="217"/>
      <c r="CW28" s="192"/>
      <c r="CX28" s="192"/>
      <c r="CY28" s="192"/>
      <c r="CZ28" s="191"/>
      <c r="DA28" s="193"/>
      <c r="DB28" s="192"/>
      <c r="DC28" s="192"/>
      <c r="DD28" s="192"/>
      <c r="DE28" s="191"/>
      <c r="DF28" s="19"/>
      <c r="DG28" s="192"/>
      <c r="DH28" s="192"/>
      <c r="DI28" s="192"/>
      <c r="DJ28" s="191"/>
      <c r="DK28" s="193"/>
      <c r="DL28" s="192"/>
      <c r="DM28" s="192"/>
      <c r="DN28" s="192"/>
      <c r="DO28" s="191"/>
      <c r="DP28" s="19"/>
      <c r="DQ28" s="192"/>
      <c r="DR28" s="192"/>
      <c r="DS28" s="192"/>
      <c r="DT28" s="191"/>
      <c r="DU28" s="193"/>
      <c r="DV28" s="192"/>
      <c r="DW28" s="192"/>
      <c r="DX28" s="192"/>
      <c r="DY28" s="191"/>
      <c r="DZ28" s="19"/>
      <c r="EA28" s="192"/>
      <c r="EB28" s="192"/>
      <c r="EC28" s="192"/>
      <c r="ED28" s="191"/>
      <c r="EE28" s="193"/>
      <c r="EF28" s="192"/>
      <c r="EG28" s="192"/>
      <c r="EH28" s="192"/>
      <c r="EI28" s="191"/>
      <c r="EJ28" s="19"/>
      <c r="EK28" s="192"/>
      <c r="EL28" s="192"/>
      <c r="EM28" s="192"/>
      <c r="EN28" s="191"/>
      <c r="EO28" s="193"/>
      <c r="EP28" s="192"/>
      <c r="EQ28" s="192"/>
      <c r="ER28" s="192"/>
      <c r="ES28" s="191"/>
      <c r="ET28" s="19"/>
      <c r="EU28" s="192"/>
      <c r="EV28" s="192"/>
      <c r="EW28" s="192"/>
      <c r="EX28" s="191"/>
      <c r="EY28" s="193"/>
      <c r="EZ28" s="192"/>
      <c r="FA28" s="192"/>
      <c r="FB28" s="192"/>
      <c r="FC28" s="191"/>
      <c r="FF28" s="253"/>
      <c r="FG28" s="253"/>
      <c r="FH28" s="253" t="s">
        <v>337</v>
      </c>
      <c r="FI28" s="253" t="s">
        <v>338</v>
      </c>
      <c r="FJ28" s="253"/>
      <c r="FK28" s="253"/>
      <c r="FL28" s="273">
        <f t="shared" ca="1" si="2"/>
        <v>116</v>
      </c>
    </row>
    <row r="29" spans="1:247" ht="16.5" thickBot="1">
      <c r="A29" s="199">
        <v>26</v>
      </c>
      <c r="B29" s="306"/>
      <c r="C29" s="310"/>
      <c r="D29" s="307" t="s">
        <v>271</v>
      </c>
      <c r="E29" s="307" t="s">
        <v>271</v>
      </c>
      <c r="F29" s="308"/>
      <c r="G29" s="343" t="str">
        <f t="shared" si="0"/>
        <v xml:space="preserve"> </v>
      </c>
      <c r="H29" s="307"/>
      <c r="I29" s="309" t="e">
        <f t="shared" si="1"/>
        <v>#N/A</v>
      </c>
      <c r="J29" s="307"/>
      <c r="K29" s="307"/>
      <c r="L29" s="310"/>
      <c r="M29" s="310"/>
      <c r="N29" s="310"/>
      <c r="O29" s="310"/>
      <c r="P29" s="310"/>
      <c r="Q29" s="310"/>
      <c r="R29" s="310"/>
      <c r="S29" s="310"/>
      <c r="T29" s="310"/>
      <c r="U29" s="307"/>
      <c r="V29" s="307"/>
      <c r="W29" s="311"/>
      <c r="X29" s="307"/>
      <c r="Y29" s="307"/>
      <c r="Z29" s="307"/>
      <c r="AA29" s="307"/>
      <c r="AB29" s="311"/>
      <c r="AC29" s="307"/>
      <c r="AD29" s="307"/>
      <c r="AE29" s="307"/>
      <c r="AF29" s="307"/>
      <c r="AG29" s="310"/>
      <c r="AH29" s="307"/>
      <c r="AI29" s="310"/>
      <c r="AJ29" s="307"/>
      <c r="AK29" s="307"/>
      <c r="AL29" s="307"/>
      <c r="AM29" s="308"/>
      <c r="AN29" s="311"/>
      <c r="AO29" s="307"/>
      <c r="AP29" s="307"/>
      <c r="AQ29" s="308"/>
      <c r="AR29" s="307"/>
      <c r="AS29" s="307"/>
      <c r="AT29" s="307"/>
      <c r="AU29" s="310"/>
      <c r="AV29" s="308"/>
      <c r="AW29" s="312"/>
      <c r="AX29" s="308"/>
      <c r="AY29" s="307"/>
      <c r="AZ29" s="307"/>
      <c r="BA29" s="307"/>
      <c r="BB29" s="307"/>
      <c r="BC29" s="308"/>
      <c r="BD29" s="308"/>
      <c r="BE29" s="313"/>
      <c r="BF29" s="307"/>
      <c r="BG29" s="310"/>
      <c r="BH29" s="307"/>
      <c r="BI29" s="307"/>
      <c r="BJ29" s="310"/>
      <c r="BK29" s="307"/>
      <c r="BL29" s="307"/>
      <c r="BM29" s="310"/>
      <c r="BN29" s="307"/>
      <c r="BO29" s="310"/>
      <c r="BP29" s="307"/>
      <c r="BQ29" s="307"/>
      <c r="BR29" s="307"/>
      <c r="BS29" s="307"/>
      <c r="BT29" s="307"/>
      <c r="BU29" s="310"/>
      <c r="BV29" s="307"/>
      <c r="BW29" s="308"/>
      <c r="BX29" s="311"/>
      <c r="BY29" s="307"/>
      <c r="BZ29" s="307"/>
      <c r="CA29" s="310"/>
      <c r="CB29" s="307"/>
      <c r="CC29" s="307"/>
      <c r="CD29" s="307"/>
      <c r="CE29" s="308"/>
      <c r="CF29" s="308"/>
      <c r="CG29" s="307"/>
      <c r="CH29" s="307"/>
      <c r="CI29" s="307"/>
      <c r="CJ29" s="307"/>
      <c r="CK29" s="314"/>
      <c r="CL29" s="310"/>
      <c r="CM29" s="310"/>
      <c r="CN29" s="307"/>
      <c r="CO29" s="307"/>
      <c r="CP29" s="307"/>
      <c r="CQ29" s="315"/>
      <c r="CR29" s="315"/>
      <c r="CS29" s="315"/>
      <c r="CT29" s="315"/>
      <c r="CU29" s="307"/>
      <c r="CV29" s="217"/>
      <c r="CW29" s="192"/>
      <c r="CX29" s="192"/>
      <c r="CY29" s="192"/>
      <c r="CZ29" s="191"/>
      <c r="DA29" s="193"/>
      <c r="DB29" s="192"/>
      <c r="DC29" s="192"/>
      <c r="DD29" s="192"/>
      <c r="DE29" s="191"/>
      <c r="DF29" s="19"/>
      <c r="DG29" s="192"/>
      <c r="DH29" s="192"/>
      <c r="DI29" s="192"/>
      <c r="DJ29" s="191"/>
      <c r="DK29" s="193"/>
      <c r="DL29" s="192"/>
      <c r="DM29" s="192"/>
      <c r="DN29" s="192"/>
      <c r="DO29" s="191"/>
      <c r="DP29" s="19"/>
      <c r="DQ29" s="192"/>
      <c r="DR29" s="192"/>
      <c r="DS29" s="192"/>
      <c r="DT29" s="191"/>
      <c r="DU29" s="193"/>
      <c r="DV29" s="192"/>
      <c r="DW29" s="192"/>
      <c r="DX29" s="192"/>
      <c r="DY29" s="191"/>
      <c r="DZ29" s="19"/>
      <c r="EA29" s="192"/>
      <c r="EB29" s="192"/>
      <c r="EC29" s="192"/>
      <c r="ED29" s="191"/>
      <c r="EE29" s="193"/>
      <c r="EF29" s="192"/>
      <c r="EG29" s="192"/>
      <c r="EH29" s="192"/>
      <c r="EI29" s="191"/>
      <c r="EJ29" s="19"/>
      <c r="EK29" s="192"/>
      <c r="EL29" s="192"/>
      <c r="EM29" s="192"/>
      <c r="EN29" s="191"/>
      <c r="EO29" s="193"/>
      <c r="EP29" s="192"/>
      <c r="EQ29" s="192"/>
      <c r="ER29" s="192"/>
      <c r="ES29" s="191"/>
      <c r="ET29" s="19"/>
      <c r="EU29" s="192"/>
      <c r="EV29" s="192"/>
      <c r="EW29" s="192"/>
      <c r="EX29" s="191"/>
      <c r="EY29" s="193"/>
      <c r="EZ29" s="192"/>
      <c r="FA29" s="192"/>
      <c r="FB29" s="192"/>
      <c r="FC29" s="191"/>
      <c r="FF29" s="253"/>
      <c r="FG29" s="253"/>
      <c r="FH29" s="253" t="s">
        <v>339</v>
      </c>
      <c r="FI29" s="253" t="s">
        <v>340</v>
      </c>
      <c r="FJ29" s="253"/>
      <c r="FK29" s="253"/>
      <c r="FL29" s="273">
        <f t="shared" ca="1" si="2"/>
        <v>116</v>
      </c>
    </row>
    <row r="30" spans="1:247" ht="16.5" thickBot="1">
      <c r="A30" s="196">
        <v>27</v>
      </c>
      <c r="B30" s="306"/>
      <c r="C30" s="310"/>
      <c r="D30" s="307" t="s">
        <v>271</v>
      </c>
      <c r="E30" s="307" t="s">
        <v>271</v>
      </c>
      <c r="F30" s="308"/>
      <c r="G30" s="343" t="str">
        <f t="shared" si="0"/>
        <v xml:space="preserve"> </v>
      </c>
      <c r="H30" s="307"/>
      <c r="I30" s="309" t="e">
        <f t="shared" si="1"/>
        <v>#N/A</v>
      </c>
      <c r="J30" s="307"/>
      <c r="K30" s="307"/>
      <c r="L30" s="310"/>
      <c r="M30" s="310"/>
      <c r="N30" s="310"/>
      <c r="O30" s="310"/>
      <c r="P30" s="310"/>
      <c r="Q30" s="310"/>
      <c r="R30" s="310"/>
      <c r="S30" s="310"/>
      <c r="T30" s="310"/>
      <c r="U30" s="307"/>
      <c r="V30" s="307"/>
      <c r="W30" s="311"/>
      <c r="X30" s="307"/>
      <c r="Y30" s="307"/>
      <c r="Z30" s="307"/>
      <c r="AA30" s="307"/>
      <c r="AB30" s="311"/>
      <c r="AC30" s="307"/>
      <c r="AD30" s="307"/>
      <c r="AE30" s="307"/>
      <c r="AF30" s="307"/>
      <c r="AG30" s="310"/>
      <c r="AH30" s="307"/>
      <c r="AI30" s="310"/>
      <c r="AJ30" s="307"/>
      <c r="AK30" s="307"/>
      <c r="AL30" s="307"/>
      <c r="AM30" s="308"/>
      <c r="AN30" s="311"/>
      <c r="AO30" s="307"/>
      <c r="AP30" s="307"/>
      <c r="AQ30" s="308"/>
      <c r="AR30" s="307"/>
      <c r="AS30" s="307"/>
      <c r="AT30" s="307"/>
      <c r="AU30" s="310"/>
      <c r="AV30" s="308"/>
      <c r="AW30" s="312"/>
      <c r="AX30" s="308"/>
      <c r="AY30" s="307"/>
      <c r="AZ30" s="307"/>
      <c r="BA30" s="307"/>
      <c r="BB30" s="307"/>
      <c r="BC30" s="308"/>
      <c r="BD30" s="308"/>
      <c r="BE30" s="313"/>
      <c r="BF30" s="307"/>
      <c r="BG30" s="310"/>
      <c r="BH30" s="307"/>
      <c r="BI30" s="307"/>
      <c r="BJ30" s="310"/>
      <c r="BK30" s="307"/>
      <c r="BL30" s="307"/>
      <c r="BM30" s="310"/>
      <c r="BN30" s="307"/>
      <c r="BO30" s="310"/>
      <c r="BP30" s="307"/>
      <c r="BQ30" s="307"/>
      <c r="BR30" s="307"/>
      <c r="BS30" s="307"/>
      <c r="BT30" s="307"/>
      <c r="BU30" s="310"/>
      <c r="BV30" s="307"/>
      <c r="BW30" s="308"/>
      <c r="BX30" s="311"/>
      <c r="BY30" s="307"/>
      <c r="BZ30" s="307"/>
      <c r="CA30" s="310"/>
      <c r="CB30" s="307"/>
      <c r="CC30" s="307"/>
      <c r="CD30" s="307"/>
      <c r="CE30" s="308"/>
      <c r="CF30" s="308"/>
      <c r="CG30" s="307"/>
      <c r="CH30" s="307"/>
      <c r="CI30" s="307"/>
      <c r="CJ30" s="307"/>
      <c r="CK30" s="314"/>
      <c r="CL30" s="310"/>
      <c r="CM30" s="310"/>
      <c r="CN30" s="307"/>
      <c r="CO30" s="307"/>
      <c r="CP30" s="307"/>
      <c r="CQ30" s="315"/>
      <c r="CR30" s="315"/>
      <c r="CS30" s="315"/>
      <c r="CT30" s="315"/>
      <c r="CU30" s="307"/>
      <c r="CV30" s="217"/>
      <c r="CW30" s="192"/>
      <c r="CX30" s="192"/>
      <c r="CY30" s="192"/>
      <c r="CZ30" s="191"/>
      <c r="DA30" s="193"/>
      <c r="DB30" s="192"/>
      <c r="DC30" s="192"/>
      <c r="DD30" s="192"/>
      <c r="DE30" s="191"/>
      <c r="DF30" s="19"/>
      <c r="DG30" s="192"/>
      <c r="DH30" s="192"/>
      <c r="DI30" s="192"/>
      <c r="DJ30" s="191"/>
      <c r="DK30" s="193"/>
      <c r="DL30" s="192"/>
      <c r="DM30" s="192"/>
      <c r="DN30" s="192"/>
      <c r="DO30" s="191"/>
      <c r="DP30" s="19"/>
      <c r="DQ30" s="192"/>
      <c r="DR30" s="192"/>
      <c r="DS30" s="192"/>
      <c r="DT30" s="191"/>
      <c r="DU30" s="193"/>
      <c r="DV30" s="192"/>
      <c r="DW30" s="192"/>
      <c r="DX30" s="192"/>
      <c r="DY30" s="191"/>
      <c r="DZ30" s="19"/>
      <c r="EA30" s="192"/>
      <c r="EB30" s="192"/>
      <c r="EC30" s="192"/>
      <c r="ED30" s="191"/>
      <c r="EE30" s="193"/>
      <c r="EF30" s="192"/>
      <c r="EG30" s="192"/>
      <c r="EH30" s="192"/>
      <c r="EI30" s="191"/>
      <c r="EJ30" s="19"/>
      <c r="EK30" s="192"/>
      <c r="EL30" s="192"/>
      <c r="EM30" s="192"/>
      <c r="EN30" s="191"/>
      <c r="EO30" s="193"/>
      <c r="EP30" s="192"/>
      <c r="EQ30" s="192"/>
      <c r="ER30" s="192"/>
      <c r="ES30" s="191"/>
      <c r="ET30" s="19"/>
      <c r="EU30" s="192"/>
      <c r="EV30" s="192"/>
      <c r="EW30" s="192"/>
      <c r="EX30" s="191"/>
      <c r="EY30" s="193"/>
      <c r="EZ30" s="192"/>
      <c r="FA30" s="192"/>
      <c r="FB30" s="192"/>
      <c r="FC30" s="191"/>
      <c r="FF30" s="253"/>
      <c r="FG30" s="253"/>
      <c r="FH30" s="253" t="s">
        <v>341</v>
      </c>
      <c r="FI30" s="253" t="s">
        <v>342</v>
      </c>
      <c r="FJ30" s="253"/>
      <c r="FK30" s="253"/>
      <c r="FL30" s="273">
        <f t="shared" ca="1" si="2"/>
        <v>116</v>
      </c>
    </row>
    <row r="31" spans="1:247" ht="16.5" thickBot="1">
      <c r="A31" s="199">
        <v>28</v>
      </c>
      <c r="B31" s="306"/>
      <c r="C31" s="310"/>
      <c r="D31" s="307" t="s">
        <v>271</v>
      </c>
      <c r="E31" s="307" t="s">
        <v>271</v>
      </c>
      <c r="F31" s="308"/>
      <c r="G31" s="343" t="str">
        <f t="shared" si="0"/>
        <v xml:space="preserve"> </v>
      </c>
      <c r="H31" s="307"/>
      <c r="I31" s="309" t="e">
        <f t="shared" si="1"/>
        <v>#N/A</v>
      </c>
      <c r="J31" s="307"/>
      <c r="K31" s="307"/>
      <c r="L31" s="310"/>
      <c r="M31" s="310"/>
      <c r="N31" s="310"/>
      <c r="O31" s="310"/>
      <c r="P31" s="310"/>
      <c r="Q31" s="310"/>
      <c r="R31" s="310"/>
      <c r="S31" s="310"/>
      <c r="T31" s="310"/>
      <c r="U31" s="307"/>
      <c r="V31" s="307"/>
      <c r="W31" s="311"/>
      <c r="X31" s="307"/>
      <c r="Y31" s="307"/>
      <c r="Z31" s="307"/>
      <c r="AA31" s="307"/>
      <c r="AB31" s="311"/>
      <c r="AC31" s="307"/>
      <c r="AD31" s="307"/>
      <c r="AE31" s="307"/>
      <c r="AF31" s="307"/>
      <c r="AG31" s="310"/>
      <c r="AH31" s="307"/>
      <c r="AI31" s="310"/>
      <c r="AJ31" s="307"/>
      <c r="AK31" s="307"/>
      <c r="AL31" s="307"/>
      <c r="AM31" s="308"/>
      <c r="AN31" s="311"/>
      <c r="AO31" s="307"/>
      <c r="AP31" s="307"/>
      <c r="AQ31" s="308"/>
      <c r="AR31" s="307"/>
      <c r="AS31" s="307"/>
      <c r="AT31" s="307"/>
      <c r="AU31" s="310"/>
      <c r="AV31" s="308"/>
      <c r="AW31" s="312"/>
      <c r="AX31" s="308"/>
      <c r="AY31" s="307"/>
      <c r="AZ31" s="307"/>
      <c r="BA31" s="307"/>
      <c r="BB31" s="307"/>
      <c r="BC31" s="308"/>
      <c r="BD31" s="308"/>
      <c r="BE31" s="313"/>
      <c r="BF31" s="307"/>
      <c r="BG31" s="310"/>
      <c r="BH31" s="307"/>
      <c r="BI31" s="307"/>
      <c r="BJ31" s="310"/>
      <c r="BK31" s="307"/>
      <c r="BL31" s="307"/>
      <c r="BM31" s="310"/>
      <c r="BN31" s="307"/>
      <c r="BO31" s="310"/>
      <c r="BP31" s="307"/>
      <c r="BQ31" s="307"/>
      <c r="BR31" s="307"/>
      <c r="BS31" s="307"/>
      <c r="BT31" s="307"/>
      <c r="BU31" s="310"/>
      <c r="BV31" s="307"/>
      <c r="BW31" s="308"/>
      <c r="BX31" s="311"/>
      <c r="BY31" s="307"/>
      <c r="BZ31" s="307"/>
      <c r="CA31" s="310"/>
      <c r="CB31" s="307"/>
      <c r="CC31" s="307"/>
      <c r="CD31" s="307"/>
      <c r="CE31" s="308"/>
      <c r="CF31" s="308"/>
      <c r="CG31" s="307"/>
      <c r="CH31" s="307"/>
      <c r="CI31" s="307"/>
      <c r="CJ31" s="307"/>
      <c r="CK31" s="314"/>
      <c r="CL31" s="310"/>
      <c r="CM31" s="310"/>
      <c r="CN31" s="307"/>
      <c r="CO31" s="307"/>
      <c r="CP31" s="307"/>
      <c r="CQ31" s="315"/>
      <c r="CR31" s="315"/>
      <c r="CS31" s="315"/>
      <c r="CT31" s="315"/>
      <c r="CU31" s="307"/>
      <c r="CV31" s="217"/>
      <c r="CW31" s="192"/>
      <c r="CX31" s="192"/>
      <c r="CY31" s="192"/>
      <c r="CZ31" s="191"/>
      <c r="DA31" s="193"/>
      <c r="DB31" s="192"/>
      <c r="DC31" s="192"/>
      <c r="DD31" s="192"/>
      <c r="DE31" s="191"/>
      <c r="DF31" s="19"/>
      <c r="DG31" s="192"/>
      <c r="DH31" s="192"/>
      <c r="DI31" s="192"/>
      <c r="DJ31" s="191"/>
      <c r="DK31" s="193"/>
      <c r="DL31" s="192"/>
      <c r="DM31" s="192"/>
      <c r="DN31" s="192"/>
      <c r="DO31" s="191"/>
      <c r="DP31" s="19"/>
      <c r="DQ31" s="192"/>
      <c r="DR31" s="192"/>
      <c r="DS31" s="192"/>
      <c r="DT31" s="191"/>
      <c r="DU31" s="193"/>
      <c r="DV31" s="192"/>
      <c r="DW31" s="192"/>
      <c r="DX31" s="192"/>
      <c r="DY31" s="191"/>
      <c r="DZ31" s="19"/>
      <c r="EA31" s="192"/>
      <c r="EB31" s="192"/>
      <c r="EC31" s="192"/>
      <c r="ED31" s="191"/>
      <c r="EE31" s="193"/>
      <c r="EF31" s="192"/>
      <c r="EG31" s="192"/>
      <c r="EH31" s="192"/>
      <c r="EI31" s="191"/>
      <c r="EJ31" s="19"/>
      <c r="EK31" s="192"/>
      <c r="EL31" s="192"/>
      <c r="EM31" s="192"/>
      <c r="EN31" s="191"/>
      <c r="EO31" s="193"/>
      <c r="EP31" s="192"/>
      <c r="EQ31" s="192"/>
      <c r="ER31" s="192"/>
      <c r="ES31" s="191"/>
      <c r="ET31" s="19"/>
      <c r="EU31" s="192"/>
      <c r="EV31" s="192"/>
      <c r="EW31" s="192"/>
      <c r="EX31" s="191"/>
      <c r="EY31" s="193"/>
      <c r="EZ31" s="192"/>
      <c r="FA31" s="192"/>
      <c r="FB31" s="192"/>
      <c r="FC31" s="191"/>
      <c r="FF31" s="253"/>
      <c r="FG31" s="253"/>
      <c r="FH31" s="253" t="s">
        <v>134</v>
      </c>
      <c r="FI31" s="253" t="s">
        <v>133</v>
      </c>
      <c r="FJ31" s="253"/>
      <c r="FK31" s="253"/>
      <c r="FL31" s="273">
        <f t="shared" ca="1" si="2"/>
        <v>116</v>
      </c>
    </row>
    <row r="32" spans="1:247" ht="16.5" thickBot="1">
      <c r="A32" s="196">
        <v>29</v>
      </c>
      <c r="B32" s="306"/>
      <c r="C32" s="310"/>
      <c r="D32" s="307" t="s">
        <v>271</v>
      </c>
      <c r="E32" s="307" t="s">
        <v>271</v>
      </c>
      <c r="F32" s="308"/>
      <c r="G32" s="343" t="str">
        <f t="shared" si="0"/>
        <v xml:space="preserve"> </v>
      </c>
      <c r="H32" s="307"/>
      <c r="I32" s="309" t="e">
        <f t="shared" si="1"/>
        <v>#N/A</v>
      </c>
      <c r="J32" s="307"/>
      <c r="K32" s="307"/>
      <c r="L32" s="310"/>
      <c r="M32" s="310"/>
      <c r="N32" s="310"/>
      <c r="O32" s="310"/>
      <c r="P32" s="310"/>
      <c r="Q32" s="310"/>
      <c r="R32" s="310"/>
      <c r="S32" s="310"/>
      <c r="T32" s="310"/>
      <c r="U32" s="307"/>
      <c r="V32" s="307"/>
      <c r="W32" s="311"/>
      <c r="X32" s="307"/>
      <c r="Y32" s="307"/>
      <c r="Z32" s="307"/>
      <c r="AA32" s="307"/>
      <c r="AB32" s="311"/>
      <c r="AC32" s="307"/>
      <c r="AD32" s="307"/>
      <c r="AE32" s="307"/>
      <c r="AF32" s="307"/>
      <c r="AG32" s="310"/>
      <c r="AH32" s="307"/>
      <c r="AI32" s="310"/>
      <c r="AJ32" s="307"/>
      <c r="AK32" s="307"/>
      <c r="AL32" s="307"/>
      <c r="AM32" s="308"/>
      <c r="AN32" s="311"/>
      <c r="AO32" s="307"/>
      <c r="AP32" s="307"/>
      <c r="AQ32" s="308"/>
      <c r="AR32" s="307"/>
      <c r="AS32" s="307"/>
      <c r="AT32" s="307"/>
      <c r="AU32" s="310"/>
      <c r="AV32" s="308"/>
      <c r="AW32" s="312"/>
      <c r="AX32" s="308"/>
      <c r="AY32" s="307"/>
      <c r="AZ32" s="307"/>
      <c r="BA32" s="307"/>
      <c r="BB32" s="307"/>
      <c r="BC32" s="308"/>
      <c r="BD32" s="308"/>
      <c r="BE32" s="313"/>
      <c r="BF32" s="307"/>
      <c r="BG32" s="310"/>
      <c r="BH32" s="307"/>
      <c r="BI32" s="307"/>
      <c r="BJ32" s="310"/>
      <c r="BK32" s="307"/>
      <c r="BL32" s="307"/>
      <c r="BM32" s="310"/>
      <c r="BN32" s="307"/>
      <c r="BO32" s="310"/>
      <c r="BP32" s="307"/>
      <c r="BQ32" s="307"/>
      <c r="BR32" s="307"/>
      <c r="BS32" s="307"/>
      <c r="BT32" s="307"/>
      <c r="BU32" s="310"/>
      <c r="BV32" s="307"/>
      <c r="BW32" s="308"/>
      <c r="BX32" s="311"/>
      <c r="BY32" s="307"/>
      <c r="BZ32" s="307"/>
      <c r="CA32" s="310"/>
      <c r="CB32" s="307"/>
      <c r="CC32" s="307"/>
      <c r="CD32" s="307"/>
      <c r="CE32" s="308"/>
      <c r="CF32" s="308"/>
      <c r="CG32" s="307"/>
      <c r="CH32" s="307"/>
      <c r="CI32" s="307"/>
      <c r="CJ32" s="307"/>
      <c r="CK32" s="314"/>
      <c r="CL32" s="310"/>
      <c r="CM32" s="310"/>
      <c r="CN32" s="307"/>
      <c r="CO32" s="307"/>
      <c r="CP32" s="307"/>
      <c r="CQ32" s="315"/>
      <c r="CR32" s="315"/>
      <c r="CS32" s="315"/>
      <c r="CT32" s="315"/>
      <c r="CU32" s="307"/>
      <c r="CV32" s="217"/>
      <c r="CW32" s="192"/>
      <c r="CX32" s="192"/>
      <c r="CY32" s="192"/>
      <c r="CZ32" s="191"/>
      <c r="DA32" s="193"/>
      <c r="DB32" s="192"/>
      <c r="DC32" s="192"/>
      <c r="DD32" s="192"/>
      <c r="DE32" s="191"/>
      <c r="DF32" s="19"/>
      <c r="DG32" s="192"/>
      <c r="DH32" s="192"/>
      <c r="DI32" s="192"/>
      <c r="DJ32" s="191"/>
      <c r="DK32" s="193"/>
      <c r="DL32" s="192"/>
      <c r="DM32" s="192"/>
      <c r="DN32" s="192"/>
      <c r="DO32" s="191"/>
      <c r="DP32" s="19"/>
      <c r="DQ32" s="192"/>
      <c r="DR32" s="192"/>
      <c r="DS32" s="192"/>
      <c r="DT32" s="191"/>
      <c r="DU32" s="193"/>
      <c r="DV32" s="192"/>
      <c r="DW32" s="192"/>
      <c r="DX32" s="192"/>
      <c r="DY32" s="191"/>
      <c r="DZ32" s="19"/>
      <c r="EA32" s="192"/>
      <c r="EB32" s="192"/>
      <c r="EC32" s="192"/>
      <c r="ED32" s="191"/>
      <c r="EE32" s="193"/>
      <c r="EF32" s="192"/>
      <c r="EG32" s="192"/>
      <c r="EH32" s="192"/>
      <c r="EI32" s="191"/>
      <c r="EJ32" s="19"/>
      <c r="EK32" s="192"/>
      <c r="EL32" s="192"/>
      <c r="EM32" s="192"/>
      <c r="EN32" s="191"/>
      <c r="EO32" s="193"/>
      <c r="EP32" s="192"/>
      <c r="EQ32" s="192"/>
      <c r="ER32" s="192"/>
      <c r="ES32" s="191"/>
      <c r="ET32" s="19"/>
      <c r="EU32" s="192"/>
      <c r="EV32" s="192"/>
      <c r="EW32" s="192"/>
      <c r="EX32" s="191"/>
      <c r="EY32" s="193"/>
      <c r="EZ32" s="192"/>
      <c r="FA32" s="192"/>
      <c r="FB32" s="192"/>
      <c r="FC32" s="191"/>
      <c r="FF32" s="253"/>
      <c r="FG32" s="253"/>
      <c r="FH32" s="253" t="s">
        <v>343</v>
      </c>
      <c r="FI32" s="253" t="s">
        <v>344</v>
      </c>
      <c r="FJ32" s="253"/>
      <c r="FK32" s="253"/>
      <c r="FL32" s="273">
        <f t="shared" ca="1" si="2"/>
        <v>116</v>
      </c>
    </row>
    <row r="33" spans="1:168" ht="16.5" thickBot="1">
      <c r="A33" s="199">
        <v>30</v>
      </c>
      <c r="B33" s="306"/>
      <c r="C33" s="310"/>
      <c r="D33" s="307" t="s">
        <v>271</v>
      </c>
      <c r="E33" s="307" t="s">
        <v>271</v>
      </c>
      <c r="F33" s="308"/>
      <c r="G33" s="343" t="str">
        <f t="shared" si="0"/>
        <v xml:space="preserve"> </v>
      </c>
      <c r="H33" s="307" t="s">
        <v>271</v>
      </c>
      <c r="I33" s="309" t="e">
        <f t="shared" si="1"/>
        <v>#N/A</v>
      </c>
      <c r="J33" s="307"/>
      <c r="K33" s="307"/>
      <c r="L33" s="310"/>
      <c r="M33" s="310"/>
      <c r="N33" s="310"/>
      <c r="O33" s="310"/>
      <c r="P33" s="310"/>
      <c r="Q33" s="310"/>
      <c r="R33" s="310"/>
      <c r="S33" s="310"/>
      <c r="T33" s="310"/>
      <c r="U33" s="307"/>
      <c r="V33" s="307"/>
      <c r="W33" s="311"/>
      <c r="X33" s="307"/>
      <c r="Y33" s="307"/>
      <c r="Z33" s="307"/>
      <c r="AA33" s="307"/>
      <c r="AB33" s="311"/>
      <c r="AC33" s="307"/>
      <c r="AD33" s="307"/>
      <c r="AE33" s="307"/>
      <c r="AF33" s="307"/>
      <c r="AG33" s="310"/>
      <c r="AH33" s="307"/>
      <c r="AI33" s="310"/>
      <c r="AJ33" s="307"/>
      <c r="AK33" s="307"/>
      <c r="AL33" s="307"/>
      <c r="AM33" s="308"/>
      <c r="AN33" s="311"/>
      <c r="AO33" s="307"/>
      <c r="AP33" s="307"/>
      <c r="AQ33" s="308"/>
      <c r="AR33" s="307"/>
      <c r="AS33" s="307"/>
      <c r="AT33" s="307"/>
      <c r="AU33" s="310"/>
      <c r="AV33" s="308"/>
      <c r="AW33" s="312"/>
      <c r="AX33" s="308"/>
      <c r="AY33" s="307"/>
      <c r="AZ33" s="307"/>
      <c r="BA33" s="307"/>
      <c r="BB33" s="307"/>
      <c r="BC33" s="308"/>
      <c r="BD33" s="308"/>
      <c r="BE33" s="313"/>
      <c r="BF33" s="307"/>
      <c r="BG33" s="310"/>
      <c r="BH33" s="307"/>
      <c r="BI33" s="307"/>
      <c r="BJ33" s="310"/>
      <c r="BK33" s="307"/>
      <c r="BL33" s="307"/>
      <c r="BM33" s="310"/>
      <c r="BN33" s="307"/>
      <c r="BO33" s="310"/>
      <c r="BP33" s="307"/>
      <c r="BQ33" s="307"/>
      <c r="BR33" s="307"/>
      <c r="BS33" s="307"/>
      <c r="BT33" s="307"/>
      <c r="BU33" s="310"/>
      <c r="BV33" s="307"/>
      <c r="BW33" s="308"/>
      <c r="BX33" s="311"/>
      <c r="BY33" s="307"/>
      <c r="BZ33" s="307"/>
      <c r="CA33" s="310"/>
      <c r="CB33" s="307"/>
      <c r="CC33" s="307"/>
      <c r="CD33" s="307"/>
      <c r="CE33" s="308"/>
      <c r="CF33" s="308"/>
      <c r="CG33" s="307"/>
      <c r="CH33" s="307"/>
      <c r="CI33" s="307"/>
      <c r="CJ33" s="307"/>
      <c r="CK33" s="314"/>
      <c r="CL33" s="310"/>
      <c r="CM33" s="310"/>
      <c r="CN33" s="307"/>
      <c r="CO33" s="307"/>
      <c r="CP33" s="307"/>
      <c r="CQ33" s="315"/>
      <c r="CR33" s="315"/>
      <c r="CS33" s="315"/>
      <c r="CT33" s="315"/>
      <c r="CU33" s="307"/>
      <c r="CV33" s="217"/>
      <c r="CW33" s="192"/>
      <c r="CX33" s="192"/>
      <c r="CY33" s="192"/>
      <c r="CZ33" s="191"/>
      <c r="DA33" s="193"/>
      <c r="DB33" s="192"/>
      <c r="DC33" s="192"/>
      <c r="DD33" s="192"/>
      <c r="DE33" s="191"/>
      <c r="DF33" s="19"/>
      <c r="DG33" s="192"/>
      <c r="DH33" s="192"/>
      <c r="DI33" s="192"/>
      <c r="DJ33" s="191"/>
      <c r="DK33" s="193"/>
      <c r="DL33" s="192"/>
      <c r="DM33" s="192"/>
      <c r="DN33" s="192"/>
      <c r="DO33" s="191"/>
      <c r="DP33" s="19"/>
      <c r="DQ33" s="192"/>
      <c r="DR33" s="192"/>
      <c r="DS33" s="192"/>
      <c r="DT33" s="191"/>
      <c r="DU33" s="193"/>
      <c r="DV33" s="192"/>
      <c r="DW33" s="192"/>
      <c r="DX33" s="192"/>
      <c r="DY33" s="191"/>
      <c r="DZ33" s="19"/>
      <c r="EA33" s="192"/>
      <c r="EB33" s="192"/>
      <c r="EC33" s="192"/>
      <c r="ED33" s="191"/>
      <c r="EE33" s="193"/>
      <c r="EF33" s="192"/>
      <c r="EG33" s="192"/>
      <c r="EH33" s="192"/>
      <c r="EI33" s="191"/>
      <c r="EJ33" s="19"/>
      <c r="EK33" s="192"/>
      <c r="EL33" s="192"/>
      <c r="EM33" s="192"/>
      <c r="EN33" s="191"/>
      <c r="EO33" s="193"/>
      <c r="EP33" s="192"/>
      <c r="EQ33" s="192"/>
      <c r="ER33" s="192"/>
      <c r="ES33" s="191"/>
      <c r="ET33" s="19"/>
      <c r="EU33" s="192"/>
      <c r="EV33" s="192"/>
      <c r="EW33" s="192"/>
      <c r="EX33" s="191"/>
      <c r="EY33" s="193"/>
      <c r="EZ33" s="192"/>
      <c r="FA33" s="192"/>
      <c r="FB33" s="192"/>
      <c r="FC33" s="191"/>
      <c r="FL33" s="273">
        <f t="shared" ca="1" si="2"/>
        <v>116</v>
      </c>
    </row>
    <row r="34" spans="1:168" ht="16.5" thickBot="1">
      <c r="A34" s="196">
        <v>31</v>
      </c>
      <c r="B34" s="306"/>
      <c r="C34" s="310"/>
      <c r="D34" s="307" t="s">
        <v>271</v>
      </c>
      <c r="E34" s="307" t="s">
        <v>271</v>
      </c>
      <c r="F34" s="308"/>
      <c r="G34" s="343" t="str">
        <f t="shared" si="0"/>
        <v xml:space="preserve"> </v>
      </c>
      <c r="H34" s="307"/>
      <c r="I34" s="309" t="e">
        <f t="shared" si="1"/>
        <v>#N/A</v>
      </c>
      <c r="J34" s="307"/>
      <c r="K34" s="307"/>
      <c r="L34" s="310"/>
      <c r="M34" s="310"/>
      <c r="N34" s="310"/>
      <c r="O34" s="310"/>
      <c r="P34" s="310"/>
      <c r="Q34" s="310"/>
      <c r="R34" s="310"/>
      <c r="S34" s="310"/>
      <c r="T34" s="310"/>
      <c r="U34" s="307"/>
      <c r="V34" s="307"/>
      <c r="W34" s="311"/>
      <c r="X34" s="307"/>
      <c r="Y34" s="307"/>
      <c r="Z34" s="307"/>
      <c r="AA34" s="307"/>
      <c r="AB34" s="311"/>
      <c r="AC34" s="307"/>
      <c r="AD34" s="307"/>
      <c r="AE34" s="307"/>
      <c r="AF34" s="307"/>
      <c r="AG34" s="310"/>
      <c r="AH34" s="307"/>
      <c r="AI34" s="310"/>
      <c r="AJ34" s="307"/>
      <c r="AK34" s="307"/>
      <c r="AL34" s="307"/>
      <c r="AM34" s="308"/>
      <c r="AN34" s="311"/>
      <c r="AO34" s="307"/>
      <c r="AP34" s="307"/>
      <c r="AQ34" s="308"/>
      <c r="AR34" s="307"/>
      <c r="AS34" s="307"/>
      <c r="AT34" s="307"/>
      <c r="AU34" s="310"/>
      <c r="AV34" s="308"/>
      <c r="AW34" s="312"/>
      <c r="AX34" s="308"/>
      <c r="AY34" s="307"/>
      <c r="AZ34" s="307"/>
      <c r="BA34" s="307"/>
      <c r="BB34" s="307"/>
      <c r="BC34" s="308"/>
      <c r="BD34" s="308"/>
      <c r="BE34" s="313"/>
      <c r="BF34" s="307"/>
      <c r="BG34" s="310"/>
      <c r="BH34" s="307"/>
      <c r="BI34" s="307"/>
      <c r="BJ34" s="310"/>
      <c r="BK34" s="307"/>
      <c r="BL34" s="307"/>
      <c r="BM34" s="310"/>
      <c r="BN34" s="307"/>
      <c r="BO34" s="310"/>
      <c r="BP34" s="307"/>
      <c r="BQ34" s="307"/>
      <c r="BR34" s="307"/>
      <c r="BS34" s="307"/>
      <c r="BT34" s="307"/>
      <c r="BU34" s="310"/>
      <c r="BV34" s="307"/>
      <c r="BW34" s="308"/>
      <c r="BX34" s="311"/>
      <c r="BY34" s="307"/>
      <c r="BZ34" s="307"/>
      <c r="CA34" s="310"/>
      <c r="CB34" s="307"/>
      <c r="CC34" s="307"/>
      <c r="CD34" s="307"/>
      <c r="CE34" s="308"/>
      <c r="CF34" s="308"/>
      <c r="CG34" s="307"/>
      <c r="CH34" s="307"/>
      <c r="CI34" s="307"/>
      <c r="CJ34" s="307"/>
      <c r="CK34" s="314"/>
      <c r="CL34" s="310"/>
      <c r="CM34" s="310"/>
      <c r="CN34" s="307"/>
      <c r="CO34" s="307"/>
      <c r="CP34" s="307"/>
      <c r="CQ34" s="315"/>
      <c r="CR34" s="315"/>
      <c r="CS34" s="315"/>
      <c r="CT34" s="315"/>
      <c r="CU34" s="307"/>
      <c r="CV34" s="217"/>
      <c r="CW34" s="192"/>
      <c r="CX34" s="192"/>
      <c r="CY34" s="192"/>
      <c r="CZ34" s="191"/>
      <c r="DA34" s="193"/>
      <c r="DB34" s="192"/>
      <c r="DC34" s="192"/>
      <c r="DD34" s="192"/>
      <c r="DE34" s="191"/>
      <c r="DF34" s="19"/>
      <c r="DG34" s="192"/>
      <c r="DH34" s="192"/>
      <c r="DI34" s="192"/>
      <c r="DJ34" s="191"/>
      <c r="DK34" s="193"/>
      <c r="DL34" s="192"/>
      <c r="DM34" s="192"/>
      <c r="DN34" s="192"/>
      <c r="DO34" s="191"/>
      <c r="DP34" s="19"/>
      <c r="DQ34" s="192"/>
      <c r="DR34" s="192"/>
      <c r="DS34" s="192"/>
      <c r="DT34" s="191"/>
      <c r="DU34" s="193"/>
      <c r="DV34" s="192"/>
      <c r="DW34" s="192"/>
      <c r="DX34" s="192"/>
      <c r="DY34" s="191"/>
      <c r="DZ34" s="19"/>
      <c r="EA34" s="192"/>
      <c r="EB34" s="192"/>
      <c r="EC34" s="192"/>
      <c r="ED34" s="191"/>
      <c r="EE34" s="193"/>
      <c r="EF34" s="192"/>
      <c r="EG34" s="192"/>
      <c r="EH34" s="192"/>
      <c r="EI34" s="191"/>
      <c r="EJ34" s="19"/>
      <c r="EK34" s="192"/>
      <c r="EL34" s="192"/>
      <c r="EM34" s="192"/>
      <c r="EN34" s="191"/>
      <c r="EO34" s="193"/>
      <c r="EP34" s="192"/>
      <c r="EQ34" s="192"/>
      <c r="ER34" s="192"/>
      <c r="ES34" s="191"/>
      <c r="ET34" s="19"/>
      <c r="EU34" s="192"/>
      <c r="EV34" s="192"/>
      <c r="EW34" s="192"/>
      <c r="EX34" s="191"/>
      <c r="EY34" s="193"/>
      <c r="EZ34" s="192"/>
      <c r="FA34" s="192"/>
      <c r="FB34" s="192"/>
      <c r="FC34" s="191"/>
      <c r="FL34" s="273">
        <f t="shared" ca="1" si="2"/>
        <v>116</v>
      </c>
    </row>
    <row r="35" spans="1:168" ht="16.5" thickBot="1">
      <c r="A35" s="199">
        <v>32</v>
      </c>
      <c r="B35" s="306"/>
      <c r="C35" s="310"/>
      <c r="D35" s="307" t="s">
        <v>271</v>
      </c>
      <c r="E35" s="307" t="s">
        <v>271</v>
      </c>
      <c r="F35" s="308"/>
      <c r="G35" s="343" t="str">
        <f t="shared" si="0"/>
        <v xml:space="preserve"> </v>
      </c>
      <c r="H35" s="307"/>
      <c r="I35" s="309" t="e">
        <f t="shared" si="1"/>
        <v>#N/A</v>
      </c>
      <c r="J35" s="307"/>
      <c r="K35" s="307"/>
      <c r="L35" s="310"/>
      <c r="M35" s="310"/>
      <c r="N35" s="310"/>
      <c r="O35" s="310"/>
      <c r="P35" s="310"/>
      <c r="Q35" s="310"/>
      <c r="R35" s="310"/>
      <c r="S35" s="310"/>
      <c r="T35" s="310"/>
      <c r="U35" s="307"/>
      <c r="V35" s="307"/>
      <c r="W35" s="311"/>
      <c r="X35" s="307"/>
      <c r="Y35" s="307"/>
      <c r="Z35" s="307"/>
      <c r="AA35" s="307"/>
      <c r="AB35" s="311"/>
      <c r="AC35" s="307"/>
      <c r="AD35" s="307"/>
      <c r="AE35" s="307"/>
      <c r="AF35" s="307"/>
      <c r="AG35" s="310"/>
      <c r="AH35" s="307"/>
      <c r="AI35" s="310"/>
      <c r="AJ35" s="307"/>
      <c r="AK35" s="307"/>
      <c r="AL35" s="307"/>
      <c r="AM35" s="308"/>
      <c r="AN35" s="311"/>
      <c r="AO35" s="307"/>
      <c r="AP35" s="307"/>
      <c r="AQ35" s="308"/>
      <c r="AR35" s="307"/>
      <c r="AS35" s="307"/>
      <c r="AT35" s="307"/>
      <c r="AU35" s="310"/>
      <c r="AV35" s="308"/>
      <c r="AW35" s="312"/>
      <c r="AX35" s="308"/>
      <c r="AY35" s="307"/>
      <c r="AZ35" s="307"/>
      <c r="BA35" s="307"/>
      <c r="BB35" s="307"/>
      <c r="BC35" s="308"/>
      <c r="BD35" s="308"/>
      <c r="BE35" s="313"/>
      <c r="BF35" s="307"/>
      <c r="BG35" s="310"/>
      <c r="BH35" s="307"/>
      <c r="BI35" s="307"/>
      <c r="BJ35" s="310"/>
      <c r="BK35" s="307"/>
      <c r="BL35" s="307"/>
      <c r="BM35" s="310"/>
      <c r="BN35" s="307"/>
      <c r="BO35" s="310"/>
      <c r="BP35" s="307"/>
      <c r="BQ35" s="307"/>
      <c r="BR35" s="307"/>
      <c r="BS35" s="307"/>
      <c r="BT35" s="307"/>
      <c r="BU35" s="310"/>
      <c r="BV35" s="307"/>
      <c r="BW35" s="308"/>
      <c r="BX35" s="311"/>
      <c r="BY35" s="307"/>
      <c r="BZ35" s="307"/>
      <c r="CA35" s="310"/>
      <c r="CB35" s="307"/>
      <c r="CC35" s="307"/>
      <c r="CD35" s="307"/>
      <c r="CE35" s="308"/>
      <c r="CF35" s="308"/>
      <c r="CG35" s="307"/>
      <c r="CH35" s="307"/>
      <c r="CI35" s="307"/>
      <c r="CJ35" s="307"/>
      <c r="CK35" s="314"/>
      <c r="CL35" s="310"/>
      <c r="CM35" s="310"/>
      <c r="CN35" s="307"/>
      <c r="CO35" s="307"/>
      <c r="CP35" s="307"/>
      <c r="CQ35" s="315"/>
      <c r="CR35" s="315"/>
      <c r="CS35" s="315"/>
      <c r="CT35" s="315"/>
      <c r="CU35" s="307"/>
      <c r="CV35" s="217"/>
      <c r="CW35" s="192"/>
      <c r="CX35" s="192"/>
      <c r="CY35" s="192"/>
      <c r="CZ35" s="191"/>
      <c r="DA35" s="193"/>
      <c r="DB35" s="192"/>
      <c r="DC35" s="192"/>
      <c r="DD35" s="192"/>
      <c r="DE35" s="191"/>
      <c r="DF35" s="19"/>
      <c r="DG35" s="192"/>
      <c r="DH35" s="192"/>
      <c r="DI35" s="192"/>
      <c r="DJ35" s="191"/>
      <c r="DK35" s="193"/>
      <c r="DL35" s="192"/>
      <c r="DM35" s="192"/>
      <c r="DN35" s="192"/>
      <c r="DO35" s="191"/>
      <c r="DP35" s="19"/>
      <c r="DQ35" s="192"/>
      <c r="DR35" s="192"/>
      <c r="DS35" s="192"/>
      <c r="DT35" s="191"/>
      <c r="DU35" s="193"/>
      <c r="DV35" s="192"/>
      <c r="DW35" s="192"/>
      <c r="DX35" s="192"/>
      <c r="DY35" s="191"/>
      <c r="DZ35" s="19"/>
      <c r="EA35" s="192"/>
      <c r="EB35" s="192"/>
      <c r="EC35" s="192"/>
      <c r="ED35" s="191"/>
      <c r="EE35" s="193"/>
      <c r="EF35" s="192"/>
      <c r="EG35" s="192"/>
      <c r="EH35" s="192"/>
      <c r="EI35" s="191"/>
      <c r="EJ35" s="19"/>
      <c r="EK35" s="192"/>
      <c r="EL35" s="192"/>
      <c r="EM35" s="192"/>
      <c r="EN35" s="191"/>
      <c r="EO35" s="193"/>
      <c r="EP35" s="192"/>
      <c r="EQ35" s="192"/>
      <c r="ER35" s="192"/>
      <c r="ES35" s="191"/>
      <c r="ET35" s="19"/>
      <c r="EU35" s="192"/>
      <c r="EV35" s="192"/>
      <c r="EW35" s="192"/>
      <c r="EX35" s="191"/>
      <c r="EY35" s="193"/>
      <c r="EZ35" s="192"/>
      <c r="FA35" s="192"/>
      <c r="FB35" s="192"/>
      <c r="FC35" s="191"/>
      <c r="FL35" s="273">
        <f t="shared" ca="1" si="2"/>
        <v>116</v>
      </c>
    </row>
    <row r="36" spans="1:168" ht="16.5" thickBot="1">
      <c r="A36" s="196">
        <v>33</v>
      </c>
      <c r="B36" s="306"/>
      <c r="C36" s="310"/>
      <c r="D36" s="307" t="s">
        <v>271</v>
      </c>
      <c r="E36" s="307" t="s">
        <v>271</v>
      </c>
      <c r="F36" s="308"/>
      <c r="G36" s="343" t="str">
        <f t="shared" si="0"/>
        <v xml:space="preserve"> </v>
      </c>
      <c r="H36" s="307"/>
      <c r="I36" s="309" t="e">
        <f t="shared" si="1"/>
        <v>#N/A</v>
      </c>
      <c r="J36" s="307"/>
      <c r="K36" s="307"/>
      <c r="L36" s="310"/>
      <c r="M36" s="310"/>
      <c r="N36" s="310"/>
      <c r="O36" s="310"/>
      <c r="P36" s="310"/>
      <c r="Q36" s="310"/>
      <c r="R36" s="310"/>
      <c r="S36" s="310"/>
      <c r="T36" s="310"/>
      <c r="U36" s="307"/>
      <c r="V36" s="307"/>
      <c r="W36" s="311"/>
      <c r="X36" s="307"/>
      <c r="Y36" s="307"/>
      <c r="Z36" s="307"/>
      <c r="AA36" s="307"/>
      <c r="AB36" s="311"/>
      <c r="AC36" s="307"/>
      <c r="AD36" s="307"/>
      <c r="AE36" s="307"/>
      <c r="AF36" s="307"/>
      <c r="AG36" s="310"/>
      <c r="AH36" s="307"/>
      <c r="AI36" s="310"/>
      <c r="AJ36" s="307"/>
      <c r="AK36" s="307"/>
      <c r="AL36" s="307"/>
      <c r="AM36" s="308"/>
      <c r="AN36" s="311"/>
      <c r="AO36" s="307"/>
      <c r="AP36" s="307"/>
      <c r="AQ36" s="308"/>
      <c r="AR36" s="307"/>
      <c r="AS36" s="307"/>
      <c r="AT36" s="307"/>
      <c r="AU36" s="310"/>
      <c r="AV36" s="308"/>
      <c r="AW36" s="312"/>
      <c r="AX36" s="308"/>
      <c r="AY36" s="307"/>
      <c r="AZ36" s="307"/>
      <c r="BA36" s="307"/>
      <c r="BB36" s="307"/>
      <c r="BC36" s="308"/>
      <c r="BD36" s="308"/>
      <c r="BE36" s="313"/>
      <c r="BF36" s="307"/>
      <c r="BG36" s="310"/>
      <c r="BH36" s="307"/>
      <c r="BI36" s="307"/>
      <c r="BJ36" s="310"/>
      <c r="BK36" s="307"/>
      <c r="BL36" s="307"/>
      <c r="BM36" s="310"/>
      <c r="BN36" s="307"/>
      <c r="BO36" s="310"/>
      <c r="BP36" s="307"/>
      <c r="BQ36" s="307"/>
      <c r="BR36" s="307"/>
      <c r="BS36" s="307"/>
      <c r="BT36" s="307"/>
      <c r="BU36" s="310"/>
      <c r="BV36" s="307"/>
      <c r="BW36" s="308"/>
      <c r="BX36" s="311"/>
      <c r="BY36" s="307"/>
      <c r="BZ36" s="307"/>
      <c r="CA36" s="310"/>
      <c r="CB36" s="307"/>
      <c r="CC36" s="307"/>
      <c r="CD36" s="307"/>
      <c r="CE36" s="308"/>
      <c r="CF36" s="308"/>
      <c r="CG36" s="307"/>
      <c r="CH36" s="307"/>
      <c r="CI36" s="307"/>
      <c r="CJ36" s="307"/>
      <c r="CK36" s="314"/>
      <c r="CL36" s="310"/>
      <c r="CM36" s="310"/>
      <c r="CN36" s="307"/>
      <c r="CO36" s="307"/>
      <c r="CP36" s="307"/>
      <c r="CQ36" s="315"/>
      <c r="CR36" s="315"/>
      <c r="CS36" s="315"/>
      <c r="CT36" s="315"/>
      <c r="CU36" s="307"/>
      <c r="CV36" s="217"/>
      <c r="CW36" s="192"/>
      <c r="CX36" s="192"/>
      <c r="CY36" s="192"/>
      <c r="CZ36" s="191"/>
      <c r="DA36" s="193"/>
      <c r="DB36" s="192"/>
      <c r="DC36" s="192"/>
      <c r="DD36" s="192"/>
      <c r="DE36" s="191"/>
      <c r="DF36" s="19"/>
      <c r="DG36" s="192"/>
      <c r="DH36" s="192"/>
      <c r="DI36" s="192"/>
      <c r="DJ36" s="191"/>
      <c r="DK36" s="193"/>
      <c r="DL36" s="192"/>
      <c r="DM36" s="192"/>
      <c r="DN36" s="192"/>
      <c r="DO36" s="191"/>
      <c r="DP36" s="19"/>
      <c r="DQ36" s="192"/>
      <c r="DR36" s="192"/>
      <c r="DS36" s="192"/>
      <c r="DT36" s="191"/>
      <c r="DU36" s="193"/>
      <c r="DV36" s="192"/>
      <c r="DW36" s="192"/>
      <c r="DX36" s="192"/>
      <c r="DY36" s="191"/>
      <c r="DZ36" s="19"/>
      <c r="EA36" s="192"/>
      <c r="EB36" s="192"/>
      <c r="EC36" s="192"/>
      <c r="ED36" s="191"/>
      <c r="EE36" s="193"/>
      <c r="EF36" s="192"/>
      <c r="EG36" s="192"/>
      <c r="EH36" s="192"/>
      <c r="EI36" s="191"/>
      <c r="EJ36" s="19"/>
      <c r="EK36" s="192"/>
      <c r="EL36" s="192"/>
      <c r="EM36" s="192"/>
      <c r="EN36" s="191"/>
      <c r="EO36" s="193"/>
      <c r="EP36" s="192"/>
      <c r="EQ36" s="192"/>
      <c r="ER36" s="192"/>
      <c r="ES36" s="191"/>
      <c r="ET36" s="19"/>
      <c r="EU36" s="192"/>
      <c r="EV36" s="192"/>
      <c r="EW36" s="192"/>
      <c r="EX36" s="191"/>
      <c r="EY36" s="193"/>
      <c r="EZ36" s="192"/>
      <c r="FA36" s="192"/>
      <c r="FB36" s="192"/>
      <c r="FC36" s="191"/>
      <c r="FL36" s="273">
        <f t="shared" ca="1" si="2"/>
        <v>116</v>
      </c>
    </row>
    <row r="37" spans="1:168" ht="16.5" thickBot="1">
      <c r="A37" s="199">
        <v>34</v>
      </c>
      <c r="B37" s="306"/>
      <c r="C37" s="310"/>
      <c r="D37" s="307" t="s">
        <v>271</v>
      </c>
      <c r="E37" s="307" t="s">
        <v>271</v>
      </c>
      <c r="F37" s="308"/>
      <c r="G37" s="343" t="str">
        <f t="shared" si="0"/>
        <v xml:space="preserve"> </v>
      </c>
      <c r="H37" s="307"/>
      <c r="I37" s="309" t="e">
        <f t="shared" si="1"/>
        <v>#N/A</v>
      </c>
      <c r="J37" s="307"/>
      <c r="K37" s="307"/>
      <c r="L37" s="310"/>
      <c r="M37" s="310"/>
      <c r="N37" s="310"/>
      <c r="O37" s="310"/>
      <c r="P37" s="310"/>
      <c r="Q37" s="310"/>
      <c r="R37" s="310"/>
      <c r="S37" s="310"/>
      <c r="T37" s="310"/>
      <c r="U37" s="307"/>
      <c r="V37" s="307"/>
      <c r="W37" s="311"/>
      <c r="X37" s="307"/>
      <c r="Y37" s="307"/>
      <c r="Z37" s="307"/>
      <c r="AA37" s="307"/>
      <c r="AB37" s="311"/>
      <c r="AC37" s="307"/>
      <c r="AD37" s="307"/>
      <c r="AE37" s="307"/>
      <c r="AF37" s="307"/>
      <c r="AG37" s="310"/>
      <c r="AH37" s="307"/>
      <c r="AI37" s="310"/>
      <c r="AJ37" s="307"/>
      <c r="AK37" s="307"/>
      <c r="AL37" s="307"/>
      <c r="AM37" s="308"/>
      <c r="AN37" s="311"/>
      <c r="AO37" s="307"/>
      <c r="AP37" s="307"/>
      <c r="AQ37" s="308"/>
      <c r="AR37" s="307"/>
      <c r="AS37" s="307"/>
      <c r="AT37" s="307"/>
      <c r="AU37" s="310"/>
      <c r="AV37" s="308"/>
      <c r="AW37" s="312"/>
      <c r="AX37" s="308"/>
      <c r="AY37" s="307"/>
      <c r="AZ37" s="307"/>
      <c r="BA37" s="307"/>
      <c r="BB37" s="307"/>
      <c r="BC37" s="308"/>
      <c r="BD37" s="308"/>
      <c r="BE37" s="313"/>
      <c r="BF37" s="307"/>
      <c r="BG37" s="310"/>
      <c r="BH37" s="307"/>
      <c r="BI37" s="307"/>
      <c r="BJ37" s="310"/>
      <c r="BK37" s="307"/>
      <c r="BL37" s="307"/>
      <c r="BM37" s="310"/>
      <c r="BN37" s="307"/>
      <c r="BO37" s="310"/>
      <c r="BP37" s="307"/>
      <c r="BQ37" s="307"/>
      <c r="BR37" s="307"/>
      <c r="BS37" s="307"/>
      <c r="BT37" s="307"/>
      <c r="BU37" s="310"/>
      <c r="BV37" s="307"/>
      <c r="BW37" s="308"/>
      <c r="BX37" s="311"/>
      <c r="BY37" s="307"/>
      <c r="BZ37" s="307"/>
      <c r="CA37" s="310"/>
      <c r="CB37" s="307"/>
      <c r="CC37" s="307"/>
      <c r="CD37" s="307"/>
      <c r="CE37" s="308"/>
      <c r="CF37" s="308"/>
      <c r="CG37" s="307"/>
      <c r="CH37" s="307"/>
      <c r="CI37" s="307"/>
      <c r="CJ37" s="307"/>
      <c r="CK37" s="314"/>
      <c r="CL37" s="310"/>
      <c r="CM37" s="310"/>
      <c r="CN37" s="307"/>
      <c r="CO37" s="307"/>
      <c r="CP37" s="307"/>
      <c r="CQ37" s="315"/>
      <c r="CR37" s="315"/>
      <c r="CS37" s="315"/>
      <c r="CT37" s="315"/>
      <c r="CU37" s="307"/>
      <c r="CV37" s="217"/>
      <c r="CW37" s="192"/>
      <c r="CX37" s="192"/>
      <c r="CY37" s="192"/>
      <c r="CZ37" s="191"/>
      <c r="DA37" s="193"/>
      <c r="DB37" s="192"/>
      <c r="DC37" s="192"/>
      <c r="DD37" s="192"/>
      <c r="DE37" s="191"/>
      <c r="DF37" s="19"/>
      <c r="DG37" s="192"/>
      <c r="DH37" s="192"/>
      <c r="DI37" s="192"/>
      <c r="DJ37" s="191"/>
      <c r="DK37" s="193"/>
      <c r="DL37" s="192"/>
      <c r="DM37" s="192"/>
      <c r="DN37" s="192"/>
      <c r="DO37" s="191"/>
      <c r="DP37" s="19"/>
      <c r="DQ37" s="192"/>
      <c r="DR37" s="192"/>
      <c r="DS37" s="192"/>
      <c r="DT37" s="191"/>
      <c r="DU37" s="193"/>
      <c r="DV37" s="192"/>
      <c r="DW37" s="192"/>
      <c r="DX37" s="192"/>
      <c r="DY37" s="191"/>
      <c r="DZ37" s="19"/>
      <c r="EA37" s="192"/>
      <c r="EB37" s="192"/>
      <c r="EC37" s="192"/>
      <c r="ED37" s="191"/>
      <c r="EE37" s="193"/>
      <c r="EF37" s="192"/>
      <c r="EG37" s="192"/>
      <c r="EH37" s="192"/>
      <c r="EI37" s="191"/>
      <c r="EJ37" s="19"/>
      <c r="EK37" s="192"/>
      <c r="EL37" s="192"/>
      <c r="EM37" s="192"/>
      <c r="EN37" s="191"/>
      <c r="EO37" s="193"/>
      <c r="EP37" s="192"/>
      <c r="EQ37" s="192"/>
      <c r="ER37" s="192"/>
      <c r="ES37" s="191"/>
      <c r="ET37" s="19"/>
      <c r="EU37" s="192"/>
      <c r="EV37" s="192"/>
      <c r="EW37" s="192"/>
      <c r="EX37" s="191"/>
      <c r="EY37" s="193"/>
      <c r="EZ37" s="192"/>
      <c r="FA37" s="192"/>
      <c r="FB37" s="192"/>
      <c r="FC37" s="191"/>
      <c r="FL37" s="273">
        <f t="shared" ca="1" si="2"/>
        <v>116</v>
      </c>
    </row>
    <row r="38" spans="1:168" ht="16.5" thickBot="1">
      <c r="A38" s="196">
        <v>35</v>
      </c>
      <c r="B38" s="306"/>
      <c r="C38" s="310"/>
      <c r="D38" s="307" t="s">
        <v>271</v>
      </c>
      <c r="E38" s="307" t="s">
        <v>271</v>
      </c>
      <c r="F38" s="308"/>
      <c r="G38" s="343" t="str">
        <f t="shared" si="0"/>
        <v xml:space="preserve"> </v>
      </c>
      <c r="H38" s="307"/>
      <c r="I38" s="309" t="e">
        <f t="shared" si="1"/>
        <v>#N/A</v>
      </c>
      <c r="J38" s="307"/>
      <c r="K38" s="307"/>
      <c r="L38" s="310"/>
      <c r="M38" s="310"/>
      <c r="N38" s="310"/>
      <c r="O38" s="310"/>
      <c r="P38" s="310"/>
      <c r="Q38" s="310"/>
      <c r="R38" s="310"/>
      <c r="S38" s="310"/>
      <c r="T38" s="310"/>
      <c r="U38" s="307"/>
      <c r="V38" s="307"/>
      <c r="W38" s="311"/>
      <c r="X38" s="307"/>
      <c r="Y38" s="307"/>
      <c r="Z38" s="307"/>
      <c r="AA38" s="307"/>
      <c r="AB38" s="311"/>
      <c r="AC38" s="307"/>
      <c r="AD38" s="307"/>
      <c r="AE38" s="307"/>
      <c r="AF38" s="307"/>
      <c r="AG38" s="310"/>
      <c r="AH38" s="307"/>
      <c r="AI38" s="310"/>
      <c r="AJ38" s="307"/>
      <c r="AK38" s="307"/>
      <c r="AL38" s="307"/>
      <c r="AM38" s="308"/>
      <c r="AN38" s="311"/>
      <c r="AO38" s="307"/>
      <c r="AP38" s="307"/>
      <c r="AQ38" s="308"/>
      <c r="AR38" s="307"/>
      <c r="AS38" s="307"/>
      <c r="AT38" s="307"/>
      <c r="AU38" s="310"/>
      <c r="AV38" s="308"/>
      <c r="AW38" s="312"/>
      <c r="AX38" s="308"/>
      <c r="AY38" s="307"/>
      <c r="AZ38" s="307"/>
      <c r="BA38" s="307"/>
      <c r="BB38" s="307"/>
      <c r="BC38" s="308"/>
      <c r="BD38" s="308"/>
      <c r="BE38" s="313"/>
      <c r="BF38" s="307"/>
      <c r="BG38" s="310"/>
      <c r="BH38" s="307"/>
      <c r="BI38" s="307"/>
      <c r="BJ38" s="310"/>
      <c r="BK38" s="307"/>
      <c r="BL38" s="307"/>
      <c r="BM38" s="310"/>
      <c r="BN38" s="307"/>
      <c r="BO38" s="310"/>
      <c r="BP38" s="307"/>
      <c r="BQ38" s="307"/>
      <c r="BR38" s="307"/>
      <c r="BS38" s="307"/>
      <c r="BT38" s="307"/>
      <c r="BU38" s="310"/>
      <c r="BV38" s="307"/>
      <c r="BW38" s="308"/>
      <c r="BX38" s="311"/>
      <c r="BY38" s="307"/>
      <c r="BZ38" s="307"/>
      <c r="CA38" s="310"/>
      <c r="CB38" s="307"/>
      <c r="CC38" s="307"/>
      <c r="CD38" s="307"/>
      <c r="CE38" s="308"/>
      <c r="CF38" s="308"/>
      <c r="CG38" s="307"/>
      <c r="CH38" s="307"/>
      <c r="CI38" s="307"/>
      <c r="CJ38" s="307"/>
      <c r="CK38" s="314"/>
      <c r="CL38" s="310"/>
      <c r="CM38" s="310"/>
      <c r="CN38" s="307"/>
      <c r="CO38" s="307"/>
      <c r="CP38" s="307"/>
      <c r="CQ38" s="315"/>
      <c r="CR38" s="315"/>
      <c r="CS38" s="315"/>
      <c r="CT38" s="315"/>
      <c r="CU38" s="307"/>
      <c r="CV38" s="217"/>
      <c r="CW38" s="192"/>
      <c r="CX38" s="192"/>
      <c r="CY38" s="192"/>
      <c r="CZ38" s="191"/>
      <c r="DA38" s="193"/>
      <c r="DB38" s="192"/>
      <c r="DC38" s="192"/>
      <c r="DD38" s="192"/>
      <c r="DE38" s="191"/>
      <c r="DF38" s="19"/>
      <c r="DG38" s="192"/>
      <c r="DH38" s="192"/>
      <c r="DI38" s="192"/>
      <c r="DJ38" s="191"/>
      <c r="DK38" s="193"/>
      <c r="DL38" s="192"/>
      <c r="DM38" s="192"/>
      <c r="DN38" s="192"/>
      <c r="DO38" s="191"/>
      <c r="DP38" s="19"/>
      <c r="DQ38" s="192"/>
      <c r="DR38" s="192"/>
      <c r="DS38" s="192"/>
      <c r="DT38" s="191"/>
      <c r="DU38" s="193"/>
      <c r="DV38" s="192"/>
      <c r="DW38" s="192"/>
      <c r="DX38" s="192"/>
      <c r="DY38" s="191"/>
      <c r="DZ38" s="19"/>
      <c r="EA38" s="192"/>
      <c r="EB38" s="192"/>
      <c r="EC38" s="192"/>
      <c r="ED38" s="191"/>
      <c r="EE38" s="193"/>
      <c r="EF38" s="192"/>
      <c r="EG38" s="192"/>
      <c r="EH38" s="192"/>
      <c r="EI38" s="191"/>
      <c r="EJ38" s="19"/>
      <c r="EK38" s="192"/>
      <c r="EL38" s="192"/>
      <c r="EM38" s="192"/>
      <c r="EN38" s="191"/>
      <c r="EO38" s="193"/>
      <c r="EP38" s="192"/>
      <c r="EQ38" s="192"/>
      <c r="ER38" s="192"/>
      <c r="ES38" s="191"/>
      <c r="ET38" s="19"/>
      <c r="EU38" s="192"/>
      <c r="EV38" s="192"/>
      <c r="EW38" s="192"/>
      <c r="EX38" s="191"/>
      <c r="EY38" s="193"/>
      <c r="EZ38" s="192"/>
      <c r="FA38" s="192"/>
      <c r="FB38" s="192"/>
      <c r="FC38" s="191"/>
      <c r="FL38" s="273">
        <f t="shared" ca="1" si="2"/>
        <v>116</v>
      </c>
    </row>
    <row r="39" spans="1:168" ht="16.5" thickBot="1">
      <c r="A39" s="199">
        <v>36</v>
      </c>
      <c r="B39" s="306"/>
      <c r="C39" s="310"/>
      <c r="D39" s="307" t="s">
        <v>271</v>
      </c>
      <c r="E39" s="307" t="s">
        <v>271</v>
      </c>
      <c r="F39" s="308"/>
      <c r="G39" s="343" t="str">
        <f t="shared" si="0"/>
        <v xml:space="preserve"> </v>
      </c>
      <c r="H39" s="307"/>
      <c r="I39" s="309" t="e">
        <f t="shared" si="1"/>
        <v>#N/A</v>
      </c>
      <c r="J39" s="307"/>
      <c r="K39" s="307"/>
      <c r="L39" s="310"/>
      <c r="M39" s="310"/>
      <c r="N39" s="310"/>
      <c r="O39" s="310"/>
      <c r="P39" s="310"/>
      <c r="Q39" s="310"/>
      <c r="R39" s="310"/>
      <c r="S39" s="310"/>
      <c r="T39" s="310"/>
      <c r="U39" s="307"/>
      <c r="V39" s="307"/>
      <c r="W39" s="311"/>
      <c r="X39" s="307"/>
      <c r="Y39" s="307"/>
      <c r="Z39" s="307"/>
      <c r="AA39" s="307"/>
      <c r="AB39" s="311"/>
      <c r="AC39" s="307"/>
      <c r="AD39" s="307"/>
      <c r="AE39" s="307"/>
      <c r="AF39" s="307"/>
      <c r="AG39" s="310"/>
      <c r="AH39" s="307"/>
      <c r="AI39" s="310"/>
      <c r="AJ39" s="307"/>
      <c r="AK39" s="307"/>
      <c r="AL39" s="307"/>
      <c r="AM39" s="308"/>
      <c r="AN39" s="311"/>
      <c r="AO39" s="307"/>
      <c r="AP39" s="307"/>
      <c r="AQ39" s="308"/>
      <c r="AR39" s="307"/>
      <c r="AS39" s="307"/>
      <c r="AT39" s="307"/>
      <c r="AU39" s="310"/>
      <c r="AV39" s="308"/>
      <c r="AW39" s="312"/>
      <c r="AX39" s="308"/>
      <c r="AY39" s="307"/>
      <c r="AZ39" s="307"/>
      <c r="BA39" s="307"/>
      <c r="BB39" s="307"/>
      <c r="BC39" s="308"/>
      <c r="BD39" s="308"/>
      <c r="BE39" s="313"/>
      <c r="BF39" s="307"/>
      <c r="BG39" s="310"/>
      <c r="BH39" s="307"/>
      <c r="BI39" s="307"/>
      <c r="BJ39" s="310"/>
      <c r="BK39" s="307"/>
      <c r="BL39" s="307"/>
      <c r="BM39" s="310"/>
      <c r="BN39" s="307"/>
      <c r="BO39" s="310"/>
      <c r="BP39" s="307"/>
      <c r="BQ39" s="307"/>
      <c r="BR39" s="307"/>
      <c r="BS39" s="307"/>
      <c r="BT39" s="307"/>
      <c r="BU39" s="310"/>
      <c r="BV39" s="307"/>
      <c r="BW39" s="308"/>
      <c r="BX39" s="311"/>
      <c r="BY39" s="307"/>
      <c r="BZ39" s="307"/>
      <c r="CA39" s="310"/>
      <c r="CB39" s="307"/>
      <c r="CC39" s="307"/>
      <c r="CD39" s="307"/>
      <c r="CE39" s="308"/>
      <c r="CF39" s="308"/>
      <c r="CG39" s="307"/>
      <c r="CH39" s="307"/>
      <c r="CI39" s="307"/>
      <c r="CJ39" s="307"/>
      <c r="CK39" s="314"/>
      <c r="CL39" s="310"/>
      <c r="CM39" s="310"/>
      <c r="CN39" s="307"/>
      <c r="CO39" s="307"/>
      <c r="CP39" s="307"/>
      <c r="CQ39" s="315"/>
      <c r="CR39" s="315"/>
      <c r="CS39" s="315"/>
      <c r="CT39" s="315"/>
      <c r="CU39" s="307"/>
      <c r="CV39" s="217"/>
      <c r="CW39" s="192"/>
      <c r="CX39" s="192"/>
      <c r="CY39" s="192"/>
      <c r="CZ39" s="191"/>
      <c r="DA39" s="193"/>
      <c r="DB39" s="192"/>
      <c r="DC39" s="192"/>
      <c r="DD39" s="192"/>
      <c r="DE39" s="191"/>
      <c r="DF39" s="19"/>
      <c r="DG39" s="192"/>
      <c r="DH39" s="192"/>
      <c r="DI39" s="192"/>
      <c r="DJ39" s="191"/>
      <c r="DK39" s="193"/>
      <c r="DL39" s="192"/>
      <c r="DM39" s="192"/>
      <c r="DN39" s="192"/>
      <c r="DO39" s="191"/>
      <c r="DP39" s="19"/>
      <c r="DQ39" s="192"/>
      <c r="DR39" s="192"/>
      <c r="DS39" s="192"/>
      <c r="DT39" s="191"/>
      <c r="DU39" s="193"/>
      <c r="DV39" s="192"/>
      <c r="DW39" s="192"/>
      <c r="DX39" s="192"/>
      <c r="DY39" s="191"/>
      <c r="DZ39" s="19"/>
      <c r="EA39" s="192"/>
      <c r="EB39" s="192"/>
      <c r="EC39" s="192"/>
      <c r="ED39" s="191"/>
      <c r="EE39" s="193"/>
      <c r="EF39" s="192"/>
      <c r="EG39" s="192"/>
      <c r="EH39" s="192"/>
      <c r="EI39" s="191"/>
      <c r="EJ39" s="19"/>
      <c r="EK39" s="192"/>
      <c r="EL39" s="192"/>
      <c r="EM39" s="192"/>
      <c r="EN39" s="191"/>
      <c r="EO39" s="193"/>
      <c r="EP39" s="192"/>
      <c r="EQ39" s="192"/>
      <c r="ER39" s="192"/>
      <c r="ES39" s="191"/>
      <c r="ET39" s="19"/>
      <c r="EU39" s="192"/>
      <c r="EV39" s="192"/>
      <c r="EW39" s="192"/>
      <c r="EX39" s="191"/>
      <c r="EY39" s="193"/>
      <c r="EZ39" s="192"/>
      <c r="FA39" s="192"/>
      <c r="FB39" s="192"/>
      <c r="FC39" s="191"/>
      <c r="FL39" s="273">
        <f t="shared" ca="1" si="2"/>
        <v>116</v>
      </c>
    </row>
    <row r="40" spans="1:168" ht="16.5" thickBot="1">
      <c r="A40" s="196">
        <v>37</v>
      </c>
      <c r="B40" s="306"/>
      <c r="C40" s="310"/>
      <c r="D40" s="307" t="s">
        <v>271</v>
      </c>
      <c r="E40" s="307" t="s">
        <v>271</v>
      </c>
      <c r="F40" s="308"/>
      <c r="G40" s="343" t="str">
        <f t="shared" si="0"/>
        <v xml:space="preserve"> </v>
      </c>
      <c r="H40" s="307"/>
      <c r="I40" s="309" t="e">
        <f t="shared" si="1"/>
        <v>#N/A</v>
      </c>
      <c r="J40" s="307"/>
      <c r="K40" s="307"/>
      <c r="L40" s="310"/>
      <c r="M40" s="310"/>
      <c r="N40" s="310"/>
      <c r="O40" s="310"/>
      <c r="P40" s="310"/>
      <c r="Q40" s="310"/>
      <c r="R40" s="310"/>
      <c r="S40" s="310"/>
      <c r="T40" s="310"/>
      <c r="U40" s="307"/>
      <c r="V40" s="307"/>
      <c r="W40" s="311"/>
      <c r="X40" s="307"/>
      <c r="Y40" s="307"/>
      <c r="Z40" s="307"/>
      <c r="AA40" s="307"/>
      <c r="AB40" s="311"/>
      <c r="AC40" s="307"/>
      <c r="AD40" s="307"/>
      <c r="AE40" s="307"/>
      <c r="AF40" s="307"/>
      <c r="AG40" s="310"/>
      <c r="AH40" s="307"/>
      <c r="AI40" s="310"/>
      <c r="AJ40" s="307"/>
      <c r="AK40" s="307"/>
      <c r="AL40" s="307"/>
      <c r="AM40" s="308"/>
      <c r="AN40" s="311"/>
      <c r="AO40" s="307"/>
      <c r="AP40" s="307"/>
      <c r="AQ40" s="308"/>
      <c r="AR40" s="307"/>
      <c r="AS40" s="307"/>
      <c r="AT40" s="307"/>
      <c r="AU40" s="310"/>
      <c r="AV40" s="308"/>
      <c r="AW40" s="312"/>
      <c r="AX40" s="308"/>
      <c r="AY40" s="307"/>
      <c r="AZ40" s="307"/>
      <c r="BA40" s="307"/>
      <c r="BB40" s="307"/>
      <c r="BC40" s="308"/>
      <c r="BD40" s="308"/>
      <c r="BE40" s="313"/>
      <c r="BF40" s="307"/>
      <c r="BG40" s="310"/>
      <c r="BH40" s="307"/>
      <c r="BI40" s="307"/>
      <c r="BJ40" s="310"/>
      <c r="BK40" s="307"/>
      <c r="BL40" s="307"/>
      <c r="BM40" s="310"/>
      <c r="BN40" s="307"/>
      <c r="BO40" s="310"/>
      <c r="BP40" s="307"/>
      <c r="BQ40" s="307"/>
      <c r="BR40" s="307"/>
      <c r="BS40" s="307"/>
      <c r="BT40" s="307"/>
      <c r="BU40" s="310"/>
      <c r="BV40" s="307"/>
      <c r="BW40" s="308"/>
      <c r="BX40" s="311"/>
      <c r="BY40" s="307"/>
      <c r="BZ40" s="307"/>
      <c r="CA40" s="310"/>
      <c r="CB40" s="307"/>
      <c r="CC40" s="307"/>
      <c r="CD40" s="307"/>
      <c r="CE40" s="308"/>
      <c r="CF40" s="308"/>
      <c r="CG40" s="307"/>
      <c r="CH40" s="307"/>
      <c r="CI40" s="307"/>
      <c r="CJ40" s="307"/>
      <c r="CK40" s="314"/>
      <c r="CL40" s="310"/>
      <c r="CM40" s="310"/>
      <c r="CN40" s="307"/>
      <c r="CO40" s="307"/>
      <c r="CP40" s="307"/>
      <c r="CQ40" s="315"/>
      <c r="CR40" s="315"/>
      <c r="CS40" s="315"/>
      <c r="CT40" s="315"/>
      <c r="CU40" s="307"/>
      <c r="CV40" s="217"/>
      <c r="CW40" s="192"/>
      <c r="CX40" s="192"/>
      <c r="CY40" s="192"/>
      <c r="CZ40" s="191"/>
      <c r="DA40" s="193"/>
      <c r="DB40" s="192"/>
      <c r="DC40" s="192"/>
      <c r="DD40" s="192"/>
      <c r="DE40" s="191"/>
      <c r="DF40" s="19"/>
      <c r="DG40" s="192"/>
      <c r="DH40" s="192"/>
      <c r="DI40" s="192"/>
      <c r="DJ40" s="191"/>
      <c r="DK40" s="193"/>
      <c r="DL40" s="192"/>
      <c r="DM40" s="192"/>
      <c r="DN40" s="192"/>
      <c r="DO40" s="191"/>
      <c r="DP40" s="19"/>
      <c r="DQ40" s="192"/>
      <c r="DR40" s="192"/>
      <c r="DS40" s="192"/>
      <c r="DT40" s="191"/>
      <c r="DU40" s="193"/>
      <c r="DV40" s="192"/>
      <c r="DW40" s="192"/>
      <c r="DX40" s="192"/>
      <c r="DY40" s="191"/>
      <c r="DZ40" s="19"/>
      <c r="EA40" s="192"/>
      <c r="EB40" s="192"/>
      <c r="EC40" s="192"/>
      <c r="ED40" s="191"/>
      <c r="EE40" s="193"/>
      <c r="EF40" s="192"/>
      <c r="EG40" s="192"/>
      <c r="EH40" s="192"/>
      <c r="EI40" s="191"/>
      <c r="EJ40" s="19"/>
      <c r="EK40" s="192"/>
      <c r="EL40" s="192"/>
      <c r="EM40" s="192"/>
      <c r="EN40" s="191"/>
      <c r="EO40" s="193"/>
      <c r="EP40" s="192"/>
      <c r="EQ40" s="192"/>
      <c r="ER40" s="192"/>
      <c r="ES40" s="191"/>
      <c r="ET40" s="19"/>
      <c r="EU40" s="192"/>
      <c r="EV40" s="192"/>
      <c r="EW40" s="192"/>
      <c r="EX40" s="191"/>
      <c r="EY40" s="193"/>
      <c r="EZ40" s="192"/>
      <c r="FA40" s="192"/>
      <c r="FB40" s="192"/>
      <c r="FC40" s="191"/>
      <c r="FL40" s="273">
        <f t="shared" ca="1" si="2"/>
        <v>116</v>
      </c>
    </row>
    <row r="41" spans="1:168" ht="16.5" thickBot="1">
      <c r="A41" s="199">
        <v>38</v>
      </c>
      <c r="B41" s="306"/>
      <c r="C41" s="310"/>
      <c r="D41" s="307" t="s">
        <v>271</v>
      </c>
      <c r="E41" s="307" t="s">
        <v>271</v>
      </c>
      <c r="F41" s="308"/>
      <c r="G41" s="343" t="str">
        <f t="shared" si="0"/>
        <v xml:space="preserve"> </v>
      </c>
      <c r="H41" s="307"/>
      <c r="I41" s="309" t="e">
        <f t="shared" si="1"/>
        <v>#N/A</v>
      </c>
      <c r="J41" s="307"/>
      <c r="K41" s="307"/>
      <c r="L41" s="310"/>
      <c r="M41" s="310"/>
      <c r="N41" s="310"/>
      <c r="O41" s="310"/>
      <c r="P41" s="310"/>
      <c r="Q41" s="310"/>
      <c r="R41" s="310"/>
      <c r="S41" s="310"/>
      <c r="T41" s="310"/>
      <c r="U41" s="307"/>
      <c r="V41" s="307"/>
      <c r="W41" s="311"/>
      <c r="X41" s="307"/>
      <c r="Y41" s="307"/>
      <c r="Z41" s="307"/>
      <c r="AA41" s="307"/>
      <c r="AB41" s="311"/>
      <c r="AC41" s="307"/>
      <c r="AD41" s="307"/>
      <c r="AE41" s="307"/>
      <c r="AF41" s="307"/>
      <c r="AG41" s="310"/>
      <c r="AH41" s="307"/>
      <c r="AI41" s="310"/>
      <c r="AJ41" s="307"/>
      <c r="AK41" s="307"/>
      <c r="AL41" s="307"/>
      <c r="AM41" s="308"/>
      <c r="AN41" s="311"/>
      <c r="AO41" s="307"/>
      <c r="AP41" s="307"/>
      <c r="AQ41" s="308"/>
      <c r="AR41" s="307"/>
      <c r="AS41" s="307"/>
      <c r="AT41" s="307"/>
      <c r="AU41" s="310"/>
      <c r="AV41" s="308"/>
      <c r="AW41" s="312"/>
      <c r="AX41" s="308"/>
      <c r="AY41" s="307"/>
      <c r="AZ41" s="307"/>
      <c r="BA41" s="307"/>
      <c r="BB41" s="307"/>
      <c r="BC41" s="308"/>
      <c r="BD41" s="308"/>
      <c r="BE41" s="313"/>
      <c r="BF41" s="307"/>
      <c r="BG41" s="310"/>
      <c r="BH41" s="307"/>
      <c r="BI41" s="307"/>
      <c r="BJ41" s="310"/>
      <c r="BK41" s="307"/>
      <c r="BL41" s="307"/>
      <c r="BM41" s="310"/>
      <c r="BN41" s="307"/>
      <c r="BO41" s="310"/>
      <c r="BP41" s="307"/>
      <c r="BQ41" s="307"/>
      <c r="BR41" s="307"/>
      <c r="BS41" s="307"/>
      <c r="BT41" s="307"/>
      <c r="BU41" s="310"/>
      <c r="BV41" s="307"/>
      <c r="BW41" s="308"/>
      <c r="BX41" s="311"/>
      <c r="BY41" s="307"/>
      <c r="BZ41" s="307"/>
      <c r="CA41" s="310"/>
      <c r="CB41" s="307"/>
      <c r="CC41" s="307"/>
      <c r="CD41" s="307"/>
      <c r="CE41" s="308"/>
      <c r="CF41" s="308"/>
      <c r="CG41" s="307"/>
      <c r="CH41" s="307"/>
      <c r="CI41" s="307"/>
      <c r="CJ41" s="307"/>
      <c r="CK41" s="314"/>
      <c r="CL41" s="310"/>
      <c r="CM41" s="310"/>
      <c r="CN41" s="307"/>
      <c r="CO41" s="307"/>
      <c r="CP41" s="307"/>
      <c r="CQ41" s="315"/>
      <c r="CR41" s="315"/>
      <c r="CS41" s="315"/>
      <c r="CT41" s="315"/>
      <c r="CU41" s="307"/>
      <c r="CV41" s="217"/>
      <c r="CW41" s="192"/>
      <c r="CX41" s="192"/>
      <c r="CY41" s="192"/>
      <c r="CZ41" s="191"/>
      <c r="DA41" s="193"/>
      <c r="DB41" s="192"/>
      <c r="DC41" s="192"/>
      <c r="DD41" s="192"/>
      <c r="DE41" s="191"/>
      <c r="DF41" s="19"/>
      <c r="DG41" s="192"/>
      <c r="DH41" s="192"/>
      <c r="DI41" s="192"/>
      <c r="DJ41" s="191"/>
      <c r="DK41" s="193"/>
      <c r="DL41" s="192"/>
      <c r="DM41" s="192"/>
      <c r="DN41" s="192"/>
      <c r="DO41" s="191"/>
      <c r="DP41" s="19"/>
      <c r="DQ41" s="192"/>
      <c r="DR41" s="192"/>
      <c r="DS41" s="192"/>
      <c r="DT41" s="191"/>
      <c r="DU41" s="193"/>
      <c r="DV41" s="192"/>
      <c r="DW41" s="192"/>
      <c r="DX41" s="192"/>
      <c r="DY41" s="191"/>
      <c r="DZ41" s="19"/>
      <c r="EA41" s="192"/>
      <c r="EB41" s="192"/>
      <c r="EC41" s="192"/>
      <c r="ED41" s="191"/>
      <c r="EE41" s="193"/>
      <c r="EF41" s="192"/>
      <c r="EG41" s="192"/>
      <c r="EH41" s="192"/>
      <c r="EI41" s="191"/>
      <c r="EJ41" s="19"/>
      <c r="EK41" s="192"/>
      <c r="EL41" s="192"/>
      <c r="EM41" s="192"/>
      <c r="EN41" s="191"/>
      <c r="EO41" s="193"/>
      <c r="EP41" s="192"/>
      <c r="EQ41" s="192"/>
      <c r="ER41" s="192"/>
      <c r="ES41" s="191"/>
      <c r="ET41" s="19"/>
      <c r="EU41" s="192"/>
      <c r="EV41" s="192"/>
      <c r="EW41" s="192"/>
      <c r="EX41" s="191"/>
      <c r="EY41" s="193"/>
      <c r="EZ41" s="192"/>
      <c r="FA41" s="192"/>
      <c r="FB41" s="192"/>
      <c r="FC41" s="191"/>
      <c r="FL41" s="273">
        <f t="shared" ca="1" si="2"/>
        <v>116</v>
      </c>
    </row>
    <row r="42" spans="1:168" ht="16.5" thickBot="1">
      <c r="A42" s="196">
        <v>39</v>
      </c>
      <c r="B42" s="306"/>
      <c r="C42" s="310"/>
      <c r="D42" s="307" t="s">
        <v>271</v>
      </c>
      <c r="E42" s="307" t="s">
        <v>271</v>
      </c>
      <c r="F42" s="308"/>
      <c r="G42" s="343" t="str">
        <f t="shared" si="0"/>
        <v xml:space="preserve"> </v>
      </c>
      <c r="H42" s="307"/>
      <c r="I42" s="309" t="e">
        <f t="shared" si="1"/>
        <v>#N/A</v>
      </c>
      <c r="J42" s="307"/>
      <c r="K42" s="307"/>
      <c r="L42" s="310"/>
      <c r="M42" s="310"/>
      <c r="N42" s="310"/>
      <c r="O42" s="310"/>
      <c r="P42" s="310"/>
      <c r="Q42" s="310"/>
      <c r="R42" s="310"/>
      <c r="S42" s="310"/>
      <c r="T42" s="310"/>
      <c r="U42" s="307"/>
      <c r="V42" s="307"/>
      <c r="W42" s="311"/>
      <c r="X42" s="307"/>
      <c r="Y42" s="307"/>
      <c r="Z42" s="307"/>
      <c r="AA42" s="307"/>
      <c r="AB42" s="311"/>
      <c r="AC42" s="307"/>
      <c r="AD42" s="307"/>
      <c r="AE42" s="307"/>
      <c r="AF42" s="307"/>
      <c r="AG42" s="310"/>
      <c r="AH42" s="307"/>
      <c r="AI42" s="310"/>
      <c r="AJ42" s="307"/>
      <c r="AK42" s="307"/>
      <c r="AL42" s="307"/>
      <c r="AM42" s="308"/>
      <c r="AN42" s="311"/>
      <c r="AO42" s="307"/>
      <c r="AP42" s="307"/>
      <c r="AQ42" s="308"/>
      <c r="AR42" s="307"/>
      <c r="AS42" s="307"/>
      <c r="AT42" s="307"/>
      <c r="AU42" s="310"/>
      <c r="AV42" s="308"/>
      <c r="AW42" s="312"/>
      <c r="AX42" s="308"/>
      <c r="AY42" s="307"/>
      <c r="AZ42" s="307"/>
      <c r="BA42" s="307"/>
      <c r="BB42" s="307"/>
      <c r="BC42" s="308"/>
      <c r="BD42" s="308"/>
      <c r="BE42" s="313"/>
      <c r="BF42" s="307"/>
      <c r="BG42" s="310"/>
      <c r="BH42" s="307"/>
      <c r="BI42" s="307"/>
      <c r="BJ42" s="310"/>
      <c r="BK42" s="307"/>
      <c r="BL42" s="307"/>
      <c r="BM42" s="310"/>
      <c r="BN42" s="307"/>
      <c r="BO42" s="310"/>
      <c r="BP42" s="307"/>
      <c r="BQ42" s="307"/>
      <c r="BR42" s="307"/>
      <c r="BS42" s="307"/>
      <c r="BT42" s="307"/>
      <c r="BU42" s="310"/>
      <c r="BV42" s="307"/>
      <c r="BW42" s="308"/>
      <c r="BX42" s="311"/>
      <c r="BY42" s="307"/>
      <c r="BZ42" s="307"/>
      <c r="CA42" s="310"/>
      <c r="CB42" s="307"/>
      <c r="CC42" s="307"/>
      <c r="CD42" s="307"/>
      <c r="CE42" s="308"/>
      <c r="CF42" s="308"/>
      <c r="CG42" s="307"/>
      <c r="CH42" s="307"/>
      <c r="CI42" s="307"/>
      <c r="CJ42" s="307"/>
      <c r="CK42" s="314"/>
      <c r="CL42" s="310"/>
      <c r="CM42" s="310"/>
      <c r="CN42" s="307"/>
      <c r="CO42" s="307"/>
      <c r="CP42" s="307"/>
      <c r="CQ42" s="315"/>
      <c r="CR42" s="315"/>
      <c r="CS42" s="315"/>
      <c r="CT42" s="315"/>
      <c r="CU42" s="307"/>
      <c r="CV42" s="217"/>
      <c r="CW42" s="192"/>
      <c r="CX42" s="192"/>
      <c r="CY42" s="192"/>
      <c r="CZ42" s="191"/>
      <c r="DA42" s="193"/>
      <c r="DB42" s="192"/>
      <c r="DC42" s="192"/>
      <c r="DD42" s="192"/>
      <c r="DE42" s="191"/>
      <c r="DF42" s="19"/>
      <c r="DG42" s="192"/>
      <c r="DH42" s="192"/>
      <c r="DI42" s="192"/>
      <c r="DJ42" s="191"/>
      <c r="DK42" s="193"/>
      <c r="DL42" s="192"/>
      <c r="DM42" s="192"/>
      <c r="DN42" s="192"/>
      <c r="DO42" s="191"/>
      <c r="DP42" s="19"/>
      <c r="DQ42" s="192"/>
      <c r="DR42" s="192"/>
      <c r="DS42" s="192"/>
      <c r="DT42" s="191"/>
      <c r="DU42" s="193"/>
      <c r="DV42" s="192"/>
      <c r="DW42" s="192"/>
      <c r="DX42" s="192"/>
      <c r="DY42" s="191"/>
      <c r="DZ42" s="19"/>
      <c r="EA42" s="192"/>
      <c r="EB42" s="192"/>
      <c r="EC42" s="192"/>
      <c r="ED42" s="191"/>
      <c r="EE42" s="193"/>
      <c r="EF42" s="192"/>
      <c r="EG42" s="192"/>
      <c r="EH42" s="192"/>
      <c r="EI42" s="191"/>
      <c r="EJ42" s="19"/>
      <c r="EK42" s="192"/>
      <c r="EL42" s="192"/>
      <c r="EM42" s="192"/>
      <c r="EN42" s="191"/>
      <c r="EO42" s="193"/>
      <c r="EP42" s="192"/>
      <c r="EQ42" s="192"/>
      <c r="ER42" s="192"/>
      <c r="ES42" s="191"/>
      <c r="ET42" s="19"/>
      <c r="EU42" s="192"/>
      <c r="EV42" s="192"/>
      <c r="EW42" s="192"/>
      <c r="EX42" s="191"/>
      <c r="EY42" s="193"/>
      <c r="EZ42" s="192"/>
      <c r="FA42" s="192"/>
      <c r="FB42" s="192"/>
      <c r="FC42" s="191"/>
      <c r="FL42" s="273">
        <f t="shared" ca="1" si="2"/>
        <v>116</v>
      </c>
    </row>
    <row r="43" spans="1:168" ht="16.5" thickBot="1">
      <c r="A43" s="199">
        <v>40</v>
      </c>
      <c r="B43" s="306"/>
      <c r="C43" s="310"/>
      <c r="D43" s="307" t="s">
        <v>271</v>
      </c>
      <c r="E43" s="307" t="s">
        <v>271</v>
      </c>
      <c r="F43" s="308"/>
      <c r="G43" s="343" t="str">
        <f t="shared" si="0"/>
        <v xml:space="preserve"> </v>
      </c>
      <c r="H43" s="307"/>
      <c r="I43" s="309" t="e">
        <f t="shared" si="1"/>
        <v>#N/A</v>
      </c>
      <c r="J43" s="307"/>
      <c r="K43" s="307"/>
      <c r="L43" s="310"/>
      <c r="M43" s="310"/>
      <c r="N43" s="310"/>
      <c r="O43" s="310"/>
      <c r="P43" s="310"/>
      <c r="Q43" s="310"/>
      <c r="R43" s="310"/>
      <c r="S43" s="310"/>
      <c r="T43" s="310"/>
      <c r="U43" s="307"/>
      <c r="V43" s="307"/>
      <c r="W43" s="311"/>
      <c r="X43" s="307"/>
      <c r="Y43" s="307"/>
      <c r="Z43" s="307"/>
      <c r="AA43" s="307"/>
      <c r="AB43" s="311"/>
      <c r="AC43" s="307"/>
      <c r="AD43" s="307"/>
      <c r="AE43" s="307"/>
      <c r="AF43" s="307"/>
      <c r="AG43" s="310"/>
      <c r="AH43" s="307"/>
      <c r="AI43" s="310"/>
      <c r="AJ43" s="307"/>
      <c r="AK43" s="307"/>
      <c r="AL43" s="307"/>
      <c r="AM43" s="308"/>
      <c r="AN43" s="311"/>
      <c r="AO43" s="307"/>
      <c r="AP43" s="307"/>
      <c r="AQ43" s="308"/>
      <c r="AR43" s="307"/>
      <c r="AS43" s="307"/>
      <c r="AT43" s="307"/>
      <c r="AU43" s="310"/>
      <c r="AV43" s="308"/>
      <c r="AW43" s="312"/>
      <c r="AX43" s="308"/>
      <c r="AY43" s="307"/>
      <c r="AZ43" s="307"/>
      <c r="BA43" s="307"/>
      <c r="BB43" s="307"/>
      <c r="BC43" s="308"/>
      <c r="BD43" s="308"/>
      <c r="BE43" s="313"/>
      <c r="BF43" s="307"/>
      <c r="BG43" s="310"/>
      <c r="BH43" s="307"/>
      <c r="BI43" s="307"/>
      <c r="BJ43" s="310"/>
      <c r="BK43" s="307"/>
      <c r="BL43" s="307"/>
      <c r="BM43" s="310"/>
      <c r="BN43" s="307"/>
      <c r="BO43" s="310"/>
      <c r="BP43" s="307"/>
      <c r="BQ43" s="307"/>
      <c r="BR43" s="307"/>
      <c r="BS43" s="307"/>
      <c r="BT43" s="307"/>
      <c r="BU43" s="310"/>
      <c r="BV43" s="307"/>
      <c r="BW43" s="308"/>
      <c r="BX43" s="311"/>
      <c r="BY43" s="307"/>
      <c r="BZ43" s="307"/>
      <c r="CA43" s="310"/>
      <c r="CB43" s="307"/>
      <c r="CC43" s="307"/>
      <c r="CD43" s="307"/>
      <c r="CE43" s="308"/>
      <c r="CF43" s="308"/>
      <c r="CG43" s="307"/>
      <c r="CH43" s="307"/>
      <c r="CI43" s="307"/>
      <c r="CJ43" s="307"/>
      <c r="CK43" s="314"/>
      <c r="CL43" s="310"/>
      <c r="CM43" s="310"/>
      <c r="CN43" s="307"/>
      <c r="CO43" s="307"/>
      <c r="CP43" s="307"/>
      <c r="CQ43" s="315"/>
      <c r="CR43" s="315"/>
      <c r="CS43" s="315"/>
      <c r="CT43" s="315"/>
      <c r="CU43" s="307"/>
      <c r="CV43" s="217"/>
      <c r="CW43" s="192"/>
      <c r="CX43" s="192"/>
      <c r="CY43" s="192"/>
      <c r="CZ43" s="191"/>
      <c r="DA43" s="193"/>
      <c r="DB43" s="192"/>
      <c r="DC43" s="192"/>
      <c r="DD43" s="192"/>
      <c r="DE43" s="191"/>
      <c r="DF43" s="19"/>
      <c r="DG43" s="192"/>
      <c r="DH43" s="192"/>
      <c r="DI43" s="192"/>
      <c r="DJ43" s="191"/>
      <c r="DK43" s="193"/>
      <c r="DL43" s="192"/>
      <c r="DM43" s="192"/>
      <c r="DN43" s="192"/>
      <c r="DO43" s="191"/>
      <c r="DP43" s="19"/>
      <c r="DQ43" s="192"/>
      <c r="DR43" s="192"/>
      <c r="DS43" s="192"/>
      <c r="DT43" s="191"/>
      <c r="DU43" s="193"/>
      <c r="DV43" s="192"/>
      <c r="DW43" s="192"/>
      <c r="DX43" s="192"/>
      <c r="DY43" s="191"/>
      <c r="DZ43" s="19"/>
      <c r="EA43" s="192"/>
      <c r="EB43" s="192"/>
      <c r="EC43" s="192"/>
      <c r="ED43" s="191"/>
      <c r="EE43" s="193"/>
      <c r="EF43" s="192"/>
      <c r="EG43" s="192"/>
      <c r="EH43" s="192"/>
      <c r="EI43" s="191"/>
      <c r="EJ43" s="19"/>
      <c r="EK43" s="192"/>
      <c r="EL43" s="192"/>
      <c r="EM43" s="192"/>
      <c r="EN43" s="191"/>
      <c r="EO43" s="193"/>
      <c r="EP43" s="192"/>
      <c r="EQ43" s="192"/>
      <c r="ER43" s="192"/>
      <c r="ES43" s="191"/>
      <c r="ET43" s="19"/>
      <c r="EU43" s="192"/>
      <c r="EV43" s="192"/>
      <c r="EW43" s="192"/>
      <c r="EX43" s="191"/>
      <c r="EY43" s="193"/>
      <c r="EZ43" s="192"/>
      <c r="FA43" s="192"/>
      <c r="FB43" s="192"/>
      <c r="FC43" s="191"/>
      <c r="FL43" s="273">
        <f t="shared" ca="1" si="2"/>
        <v>116</v>
      </c>
    </row>
    <row r="44" spans="1:168" ht="16.5" thickBot="1">
      <c r="A44" s="196">
        <v>41</v>
      </c>
      <c r="B44" s="306"/>
      <c r="C44" s="310"/>
      <c r="D44" s="307" t="s">
        <v>271</v>
      </c>
      <c r="E44" s="307" t="s">
        <v>271</v>
      </c>
      <c r="F44" s="308"/>
      <c r="G44" s="343" t="str">
        <f t="shared" si="0"/>
        <v xml:space="preserve"> </v>
      </c>
      <c r="H44" s="307"/>
      <c r="I44" s="309" t="e">
        <f t="shared" si="1"/>
        <v>#N/A</v>
      </c>
      <c r="J44" s="307"/>
      <c r="K44" s="307"/>
      <c r="L44" s="310"/>
      <c r="M44" s="310"/>
      <c r="N44" s="310"/>
      <c r="O44" s="310"/>
      <c r="P44" s="310"/>
      <c r="Q44" s="310"/>
      <c r="R44" s="310"/>
      <c r="S44" s="310"/>
      <c r="T44" s="310"/>
      <c r="U44" s="307"/>
      <c r="V44" s="307"/>
      <c r="W44" s="311"/>
      <c r="X44" s="307"/>
      <c r="Y44" s="307"/>
      <c r="Z44" s="307"/>
      <c r="AA44" s="307"/>
      <c r="AB44" s="311"/>
      <c r="AC44" s="307"/>
      <c r="AD44" s="307"/>
      <c r="AE44" s="307"/>
      <c r="AF44" s="307"/>
      <c r="AG44" s="310"/>
      <c r="AH44" s="307"/>
      <c r="AI44" s="310"/>
      <c r="AJ44" s="307"/>
      <c r="AK44" s="307"/>
      <c r="AL44" s="307"/>
      <c r="AM44" s="308"/>
      <c r="AN44" s="311"/>
      <c r="AO44" s="307"/>
      <c r="AP44" s="307"/>
      <c r="AQ44" s="308"/>
      <c r="AR44" s="307"/>
      <c r="AS44" s="307"/>
      <c r="AT44" s="307"/>
      <c r="AU44" s="310"/>
      <c r="AV44" s="308"/>
      <c r="AW44" s="312"/>
      <c r="AX44" s="308"/>
      <c r="AY44" s="307"/>
      <c r="AZ44" s="307"/>
      <c r="BA44" s="307"/>
      <c r="BB44" s="307"/>
      <c r="BC44" s="308"/>
      <c r="BD44" s="308"/>
      <c r="BE44" s="313"/>
      <c r="BF44" s="307"/>
      <c r="BG44" s="310"/>
      <c r="BH44" s="307"/>
      <c r="BI44" s="307"/>
      <c r="BJ44" s="310"/>
      <c r="BK44" s="307"/>
      <c r="BL44" s="307"/>
      <c r="BM44" s="310"/>
      <c r="BN44" s="307"/>
      <c r="BO44" s="310"/>
      <c r="BP44" s="307"/>
      <c r="BQ44" s="307"/>
      <c r="BR44" s="307"/>
      <c r="BS44" s="307"/>
      <c r="BT44" s="307"/>
      <c r="BU44" s="310"/>
      <c r="BV44" s="307"/>
      <c r="BW44" s="308"/>
      <c r="BX44" s="311"/>
      <c r="BY44" s="307"/>
      <c r="BZ44" s="307"/>
      <c r="CA44" s="310"/>
      <c r="CB44" s="307"/>
      <c r="CC44" s="307"/>
      <c r="CD44" s="307"/>
      <c r="CE44" s="308"/>
      <c r="CF44" s="308"/>
      <c r="CG44" s="307"/>
      <c r="CH44" s="307"/>
      <c r="CI44" s="307"/>
      <c r="CJ44" s="307"/>
      <c r="CK44" s="314"/>
      <c r="CL44" s="310"/>
      <c r="CM44" s="310"/>
      <c r="CN44" s="307"/>
      <c r="CO44" s="307"/>
      <c r="CP44" s="307"/>
      <c r="CQ44" s="315"/>
      <c r="CR44" s="315"/>
      <c r="CS44" s="315"/>
      <c r="CT44" s="315"/>
      <c r="CU44" s="307"/>
      <c r="CV44" s="217"/>
      <c r="CW44" s="192"/>
      <c r="CX44" s="192"/>
      <c r="CY44" s="192"/>
      <c r="CZ44" s="191"/>
      <c r="DA44" s="193"/>
      <c r="DB44" s="192"/>
      <c r="DC44" s="192"/>
      <c r="DD44" s="192"/>
      <c r="DE44" s="191"/>
      <c r="DF44" s="19"/>
      <c r="DG44" s="192"/>
      <c r="DH44" s="192"/>
      <c r="DI44" s="192"/>
      <c r="DJ44" s="191"/>
      <c r="DK44" s="193"/>
      <c r="DL44" s="192"/>
      <c r="DM44" s="192"/>
      <c r="DN44" s="192"/>
      <c r="DO44" s="191"/>
      <c r="DP44" s="19"/>
      <c r="DQ44" s="192"/>
      <c r="DR44" s="192"/>
      <c r="DS44" s="192"/>
      <c r="DT44" s="191"/>
      <c r="DU44" s="193"/>
      <c r="DV44" s="192"/>
      <c r="DW44" s="192"/>
      <c r="DX44" s="192"/>
      <c r="DY44" s="191"/>
      <c r="DZ44" s="19"/>
      <c r="EA44" s="192"/>
      <c r="EB44" s="192"/>
      <c r="EC44" s="192"/>
      <c r="ED44" s="191"/>
      <c r="EE44" s="193"/>
      <c r="EF44" s="192"/>
      <c r="EG44" s="192"/>
      <c r="EH44" s="192"/>
      <c r="EI44" s="191"/>
      <c r="EJ44" s="19"/>
      <c r="EK44" s="192"/>
      <c r="EL44" s="192"/>
      <c r="EM44" s="192"/>
      <c r="EN44" s="191"/>
      <c r="EO44" s="193"/>
      <c r="EP44" s="192"/>
      <c r="EQ44" s="192"/>
      <c r="ER44" s="192"/>
      <c r="ES44" s="191"/>
      <c r="ET44" s="19"/>
      <c r="EU44" s="192"/>
      <c r="EV44" s="192"/>
      <c r="EW44" s="192"/>
      <c r="EX44" s="191"/>
      <c r="EY44" s="193"/>
      <c r="EZ44" s="192"/>
      <c r="FA44" s="192"/>
      <c r="FB44" s="192"/>
      <c r="FC44" s="191"/>
      <c r="FL44" s="273">
        <f t="shared" ca="1" si="2"/>
        <v>116</v>
      </c>
    </row>
    <row r="45" spans="1:168" ht="16.5" thickBot="1">
      <c r="A45" s="199">
        <v>42</v>
      </c>
      <c r="B45" s="306"/>
      <c r="C45" s="310"/>
      <c r="D45" s="307" t="s">
        <v>271</v>
      </c>
      <c r="E45" s="307" t="s">
        <v>271</v>
      </c>
      <c r="F45" s="308"/>
      <c r="G45" s="343" t="str">
        <f t="shared" si="0"/>
        <v xml:space="preserve"> </v>
      </c>
      <c r="H45" s="307"/>
      <c r="I45" s="309" t="e">
        <f t="shared" si="1"/>
        <v>#N/A</v>
      </c>
      <c r="J45" s="307"/>
      <c r="K45" s="307"/>
      <c r="L45" s="310"/>
      <c r="M45" s="310"/>
      <c r="N45" s="310"/>
      <c r="O45" s="310"/>
      <c r="P45" s="310"/>
      <c r="Q45" s="310"/>
      <c r="R45" s="310"/>
      <c r="S45" s="310"/>
      <c r="T45" s="310"/>
      <c r="U45" s="307"/>
      <c r="V45" s="307"/>
      <c r="W45" s="311"/>
      <c r="X45" s="307"/>
      <c r="Y45" s="307"/>
      <c r="Z45" s="307"/>
      <c r="AA45" s="307"/>
      <c r="AB45" s="311"/>
      <c r="AC45" s="307"/>
      <c r="AD45" s="307"/>
      <c r="AE45" s="307"/>
      <c r="AF45" s="307"/>
      <c r="AG45" s="310"/>
      <c r="AH45" s="307"/>
      <c r="AI45" s="310"/>
      <c r="AJ45" s="307"/>
      <c r="AK45" s="307"/>
      <c r="AL45" s="307"/>
      <c r="AM45" s="308"/>
      <c r="AN45" s="311"/>
      <c r="AO45" s="307"/>
      <c r="AP45" s="307"/>
      <c r="AQ45" s="308"/>
      <c r="AR45" s="307"/>
      <c r="AS45" s="307"/>
      <c r="AT45" s="307"/>
      <c r="AU45" s="310"/>
      <c r="AV45" s="308"/>
      <c r="AW45" s="312"/>
      <c r="AX45" s="308"/>
      <c r="AY45" s="307"/>
      <c r="AZ45" s="307"/>
      <c r="BA45" s="307"/>
      <c r="BB45" s="307"/>
      <c r="BC45" s="308"/>
      <c r="BD45" s="308"/>
      <c r="BE45" s="313"/>
      <c r="BF45" s="307"/>
      <c r="BG45" s="310"/>
      <c r="BH45" s="307"/>
      <c r="BI45" s="307"/>
      <c r="BJ45" s="310"/>
      <c r="BK45" s="307"/>
      <c r="BL45" s="307"/>
      <c r="BM45" s="310"/>
      <c r="BN45" s="307"/>
      <c r="BO45" s="310"/>
      <c r="BP45" s="307"/>
      <c r="BQ45" s="307"/>
      <c r="BR45" s="307"/>
      <c r="BS45" s="307"/>
      <c r="BT45" s="307"/>
      <c r="BU45" s="310"/>
      <c r="BV45" s="307"/>
      <c r="BW45" s="308"/>
      <c r="BX45" s="311"/>
      <c r="BY45" s="307"/>
      <c r="BZ45" s="307"/>
      <c r="CA45" s="310"/>
      <c r="CB45" s="307"/>
      <c r="CC45" s="307"/>
      <c r="CD45" s="307"/>
      <c r="CE45" s="308"/>
      <c r="CF45" s="308"/>
      <c r="CG45" s="307"/>
      <c r="CH45" s="307"/>
      <c r="CI45" s="307"/>
      <c r="CJ45" s="307"/>
      <c r="CK45" s="314"/>
      <c r="CL45" s="310"/>
      <c r="CM45" s="310"/>
      <c r="CN45" s="307"/>
      <c r="CO45" s="307"/>
      <c r="CP45" s="307"/>
      <c r="CQ45" s="315"/>
      <c r="CR45" s="315"/>
      <c r="CS45" s="315"/>
      <c r="CT45" s="315"/>
      <c r="CU45" s="307"/>
      <c r="CV45" s="217"/>
      <c r="CW45" s="192"/>
      <c r="CX45" s="192"/>
      <c r="CY45" s="192"/>
      <c r="CZ45" s="191"/>
      <c r="DA45" s="193"/>
      <c r="DB45" s="192"/>
      <c r="DC45" s="192"/>
      <c r="DD45" s="192"/>
      <c r="DE45" s="191"/>
      <c r="DF45" s="19"/>
      <c r="DG45" s="192"/>
      <c r="DH45" s="192"/>
      <c r="DI45" s="192"/>
      <c r="DJ45" s="191"/>
      <c r="DK45" s="193"/>
      <c r="DL45" s="192"/>
      <c r="DM45" s="192"/>
      <c r="DN45" s="192"/>
      <c r="DO45" s="191"/>
      <c r="DP45" s="19"/>
      <c r="DQ45" s="192"/>
      <c r="DR45" s="192"/>
      <c r="DS45" s="192"/>
      <c r="DT45" s="191"/>
      <c r="DU45" s="193"/>
      <c r="DV45" s="192"/>
      <c r="DW45" s="192"/>
      <c r="DX45" s="192"/>
      <c r="DY45" s="191"/>
      <c r="DZ45" s="19"/>
      <c r="EA45" s="192"/>
      <c r="EB45" s="192"/>
      <c r="EC45" s="192"/>
      <c r="ED45" s="191"/>
      <c r="EE45" s="193"/>
      <c r="EF45" s="192"/>
      <c r="EG45" s="192"/>
      <c r="EH45" s="192"/>
      <c r="EI45" s="191"/>
      <c r="EJ45" s="19"/>
      <c r="EK45" s="192"/>
      <c r="EL45" s="192"/>
      <c r="EM45" s="192"/>
      <c r="EN45" s="191"/>
      <c r="EO45" s="193"/>
      <c r="EP45" s="192"/>
      <c r="EQ45" s="192"/>
      <c r="ER45" s="192"/>
      <c r="ES45" s="191"/>
      <c r="ET45" s="19"/>
      <c r="EU45" s="192"/>
      <c r="EV45" s="192"/>
      <c r="EW45" s="192"/>
      <c r="EX45" s="191"/>
      <c r="EY45" s="193"/>
      <c r="EZ45" s="192"/>
      <c r="FA45" s="192"/>
      <c r="FB45" s="192"/>
      <c r="FC45" s="191"/>
      <c r="FL45" s="273">
        <f t="shared" ca="1" si="2"/>
        <v>116</v>
      </c>
    </row>
    <row r="46" spans="1:168" ht="16.5" thickBot="1">
      <c r="A46" s="196">
        <v>43</v>
      </c>
      <c r="B46" s="306"/>
      <c r="C46" s="310"/>
      <c r="D46" s="307" t="s">
        <v>271</v>
      </c>
      <c r="E46" s="307" t="s">
        <v>271</v>
      </c>
      <c r="F46" s="308"/>
      <c r="G46" s="343" t="str">
        <f t="shared" si="0"/>
        <v xml:space="preserve"> </v>
      </c>
      <c r="H46" s="307"/>
      <c r="I46" s="309" t="e">
        <f t="shared" si="1"/>
        <v>#N/A</v>
      </c>
      <c r="J46" s="307"/>
      <c r="K46" s="307"/>
      <c r="L46" s="310"/>
      <c r="M46" s="310"/>
      <c r="N46" s="310"/>
      <c r="O46" s="310"/>
      <c r="P46" s="310"/>
      <c r="Q46" s="310"/>
      <c r="R46" s="310"/>
      <c r="S46" s="310"/>
      <c r="T46" s="310"/>
      <c r="U46" s="307"/>
      <c r="V46" s="307"/>
      <c r="W46" s="311"/>
      <c r="X46" s="307"/>
      <c r="Y46" s="307"/>
      <c r="Z46" s="307"/>
      <c r="AA46" s="307"/>
      <c r="AB46" s="311"/>
      <c r="AC46" s="307"/>
      <c r="AD46" s="307"/>
      <c r="AE46" s="307"/>
      <c r="AF46" s="307"/>
      <c r="AG46" s="310"/>
      <c r="AH46" s="307"/>
      <c r="AI46" s="310"/>
      <c r="AJ46" s="307"/>
      <c r="AK46" s="307"/>
      <c r="AL46" s="307"/>
      <c r="AM46" s="308"/>
      <c r="AN46" s="311"/>
      <c r="AO46" s="307"/>
      <c r="AP46" s="307"/>
      <c r="AQ46" s="308"/>
      <c r="AR46" s="307"/>
      <c r="AS46" s="307"/>
      <c r="AT46" s="307"/>
      <c r="AU46" s="310"/>
      <c r="AV46" s="308"/>
      <c r="AW46" s="312"/>
      <c r="AX46" s="308"/>
      <c r="AY46" s="307"/>
      <c r="AZ46" s="307"/>
      <c r="BA46" s="307"/>
      <c r="BB46" s="307"/>
      <c r="BC46" s="308"/>
      <c r="BD46" s="308"/>
      <c r="BE46" s="313"/>
      <c r="BF46" s="307"/>
      <c r="BG46" s="310"/>
      <c r="BH46" s="307"/>
      <c r="BI46" s="307"/>
      <c r="BJ46" s="310"/>
      <c r="BK46" s="307"/>
      <c r="BL46" s="307"/>
      <c r="BM46" s="310"/>
      <c r="BN46" s="307"/>
      <c r="BO46" s="310"/>
      <c r="BP46" s="307"/>
      <c r="BQ46" s="307"/>
      <c r="BR46" s="307"/>
      <c r="BS46" s="307"/>
      <c r="BT46" s="307"/>
      <c r="BU46" s="310"/>
      <c r="BV46" s="307"/>
      <c r="BW46" s="308"/>
      <c r="BX46" s="311"/>
      <c r="BY46" s="307"/>
      <c r="BZ46" s="307"/>
      <c r="CA46" s="310"/>
      <c r="CB46" s="307"/>
      <c r="CC46" s="307"/>
      <c r="CD46" s="307"/>
      <c r="CE46" s="308"/>
      <c r="CF46" s="308"/>
      <c r="CG46" s="307"/>
      <c r="CH46" s="307"/>
      <c r="CI46" s="307"/>
      <c r="CJ46" s="307"/>
      <c r="CK46" s="314"/>
      <c r="CL46" s="310"/>
      <c r="CM46" s="310"/>
      <c r="CN46" s="307"/>
      <c r="CO46" s="307"/>
      <c r="CP46" s="307"/>
      <c r="CQ46" s="315"/>
      <c r="CR46" s="315"/>
      <c r="CS46" s="315"/>
      <c r="CT46" s="315"/>
      <c r="CU46" s="307"/>
      <c r="CV46" s="217"/>
      <c r="CW46" s="192"/>
      <c r="CX46" s="192"/>
      <c r="CY46" s="192"/>
      <c r="CZ46" s="191"/>
      <c r="DA46" s="193"/>
      <c r="DB46" s="192"/>
      <c r="DC46" s="192"/>
      <c r="DD46" s="192"/>
      <c r="DE46" s="191"/>
      <c r="DF46" s="19"/>
      <c r="DG46" s="192"/>
      <c r="DH46" s="192"/>
      <c r="DI46" s="192"/>
      <c r="DJ46" s="191"/>
      <c r="DK46" s="193"/>
      <c r="DL46" s="192"/>
      <c r="DM46" s="192"/>
      <c r="DN46" s="192"/>
      <c r="DO46" s="191"/>
      <c r="DP46" s="19"/>
      <c r="DQ46" s="192"/>
      <c r="DR46" s="192"/>
      <c r="DS46" s="192"/>
      <c r="DT46" s="191"/>
      <c r="DU46" s="193"/>
      <c r="DV46" s="192"/>
      <c r="DW46" s="192"/>
      <c r="DX46" s="192"/>
      <c r="DY46" s="191"/>
      <c r="DZ46" s="19"/>
      <c r="EA46" s="192"/>
      <c r="EB46" s="192"/>
      <c r="EC46" s="192"/>
      <c r="ED46" s="191"/>
      <c r="EE46" s="193"/>
      <c r="EF46" s="192"/>
      <c r="EG46" s="192"/>
      <c r="EH46" s="192"/>
      <c r="EI46" s="191"/>
      <c r="EJ46" s="19"/>
      <c r="EK46" s="192"/>
      <c r="EL46" s="192"/>
      <c r="EM46" s="192"/>
      <c r="EN46" s="191"/>
      <c r="EO46" s="193"/>
      <c r="EP46" s="192"/>
      <c r="EQ46" s="192"/>
      <c r="ER46" s="192"/>
      <c r="ES46" s="191"/>
      <c r="ET46" s="19"/>
      <c r="EU46" s="192"/>
      <c r="EV46" s="192"/>
      <c r="EW46" s="192"/>
      <c r="EX46" s="191"/>
      <c r="EY46" s="193"/>
      <c r="EZ46" s="192"/>
      <c r="FA46" s="192"/>
      <c r="FB46" s="192"/>
      <c r="FC46" s="191"/>
      <c r="FL46" s="273">
        <f t="shared" ca="1" si="2"/>
        <v>116</v>
      </c>
    </row>
    <row r="47" spans="1:168" ht="16.5" thickBot="1">
      <c r="A47" s="199">
        <v>44</v>
      </c>
      <c r="B47" s="306"/>
      <c r="C47" s="310"/>
      <c r="D47" s="307" t="s">
        <v>271</v>
      </c>
      <c r="E47" s="307" t="s">
        <v>271</v>
      </c>
      <c r="F47" s="308"/>
      <c r="G47" s="343" t="str">
        <f t="shared" si="0"/>
        <v xml:space="preserve"> </v>
      </c>
      <c r="H47" s="307"/>
      <c r="I47" s="309" t="e">
        <f t="shared" si="1"/>
        <v>#N/A</v>
      </c>
      <c r="J47" s="307"/>
      <c r="K47" s="307"/>
      <c r="L47" s="310"/>
      <c r="M47" s="310"/>
      <c r="N47" s="310"/>
      <c r="O47" s="310"/>
      <c r="P47" s="310"/>
      <c r="Q47" s="310"/>
      <c r="R47" s="310"/>
      <c r="S47" s="310"/>
      <c r="T47" s="310"/>
      <c r="U47" s="307"/>
      <c r="V47" s="307"/>
      <c r="W47" s="311"/>
      <c r="X47" s="307"/>
      <c r="Y47" s="307"/>
      <c r="Z47" s="307"/>
      <c r="AA47" s="307"/>
      <c r="AB47" s="311"/>
      <c r="AC47" s="307"/>
      <c r="AD47" s="307"/>
      <c r="AE47" s="307"/>
      <c r="AF47" s="307"/>
      <c r="AG47" s="310"/>
      <c r="AH47" s="307"/>
      <c r="AI47" s="310"/>
      <c r="AJ47" s="307"/>
      <c r="AK47" s="307"/>
      <c r="AL47" s="307"/>
      <c r="AM47" s="308"/>
      <c r="AN47" s="311"/>
      <c r="AO47" s="307"/>
      <c r="AP47" s="307"/>
      <c r="AQ47" s="308"/>
      <c r="AR47" s="307"/>
      <c r="AS47" s="307"/>
      <c r="AT47" s="307"/>
      <c r="AU47" s="310"/>
      <c r="AV47" s="308"/>
      <c r="AW47" s="312"/>
      <c r="AX47" s="308"/>
      <c r="AY47" s="307"/>
      <c r="AZ47" s="307"/>
      <c r="BA47" s="307"/>
      <c r="BB47" s="307"/>
      <c r="BC47" s="308"/>
      <c r="BD47" s="308"/>
      <c r="BE47" s="313"/>
      <c r="BF47" s="307"/>
      <c r="BG47" s="310"/>
      <c r="BH47" s="307"/>
      <c r="BI47" s="307"/>
      <c r="BJ47" s="310"/>
      <c r="BK47" s="307"/>
      <c r="BL47" s="307"/>
      <c r="BM47" s="310"/>
      <c r="BN47" s="307"/>
      <c r="BO47" s="310"/>
      <c r="BP47" s="307"/>
      <c r="BQ47" s="307"/>
      <c r="BR47" s="307"/>
      <c r="BS47" s="307"/>
      <c r="BT47" s="307"/>
      <c r="BU47" s="310"/>
      <c r="BV47" s="307"/>
      <c r="BW47" s="308"/>
      <c r="BX47" s="311"/>
      <c r="BY47" s="307"/>
      <c r="BZ47" s="307"/>
      <c r="CA47" s="310"/>
      <c r="CB47" s="307"/>
      <c r="CC47" s="307"/>
      <c r="CD47" s="307"/>
      <c r="CE47" s="308"/>
      <c r="CF47" s="308"/>
      <c r="CG47" s="307"/>
      <c r="CH47" s="307"/>
      <c r="CI47" s="307"/>
      <c r="CJ47" s="307"/>
      <c r="CK47" s="314"/>
      <c r="CL47" s="310"/>
      <c r="CM47" s="310"/>
      <c r="CN47" s="307"/>
      <c r="CO47" s="307"/>
      <c r="CP47" s="307"/>
      <c r="CQ47" s="315"/>
      <c r="CR47" s="315"/>
      <c r="CS47" s="315"/>
      <c r="CT47" s="315"/>
      <c r="CU47" s="307"/>
      <c r="CV47" s="217"/>
      <c r="CW47" s="192"/>
      <c r="CX47" s="192"/>
      <c r="CY47" s="192"/>
      <c r="CZ47" s="191"/>
      <c r="DA47" s="193"/>
      <c r="DB47" s="192"/>
      <c r="DC47" s="192"/>
      <c r="DD47" s="192"/>
      <c r="DE47" s="191"/>
      <c r="DF47" s="19"/>
      <c r="DG47" s="192"/>
      <c r="DH47" s="192"/>
      <c r="DI47" s="192"/>
      <c r="DJ47" s="191"/>
      <c r="DK47" s="193"/>
      <c r="DL47" s="192"/>
      <c r="DM47" s="192"/>
      <c r="DN47" s="192"/>
      <c r="DO47" s="191"/>
      <c r="DP47" s="19"/>
      <c r="DQ47" s="192"/>
      <c r="DR47" s="192"/>
      <c r="DS47" s="192"/>
      <c r="DT47" s="191"/>
      <c r="DU47" s="193"/>
      <c r="DV47" s="192"/>
      <c r="DW47" s="192"/>
      <c r="DX47" s="192"/>
      <c r="DY47" s="191"/>
      <c r="DZ47" s="19"/>
      <c r="EA47" s="192"/>
      <c r="EB47" s="192"/>
      <c r="EC47" s="192"/>
      <c r="ED47" s="191"/>
      <c r="EE47" s="193"/>
      <c r="EF47" s="192"/>
      <c r="EG47" s="192"/>
      <c r="EH47" s="192"/>
      <c r="EI47" s="191"/>
      <c r="EJ47" s="19"/>
      <c r="EK47" s="192"/>
      <c r="EL47" s="192"/>
      <c r="EM47" s="192"/>
      <c r="EN47" s="191"/>
      <c r="EO47" s="193"/>
      <c r="EP47" s="192"/>
      <c r="EQ47" s="192"/>
      <c r="ER47" s="192"/>
      <c r="ES47" s="191"/>
      <c r="ET47" s="19"/>
      <c r="EU47" s="192"/>
      <c r="EV47" s="192"/>
      <c r="EW47" s="192"/>
      <c r="EX47" s="191"/>
      <c r="EY47" s="193"/>
      <c r="EZ47" s="192"/>
      <c r="FA47" s="192"/>
      <c r="FB47" s="192"/>
      <c r="FC47" s="191"/>
      <c r="FL47" s="273">
        <f t="shared" ca="1" si="2"/>
        <v>116</v>
      </c>
    </row>
    <row r="48" spans="1:168" ht="16.5" thickBot="1">
      <c r="A48" s="196">
        <v>45</v>
      </c>
      <c r="B48" s="306"/>
      <c r="C48" s="310"/>
      <c r="D48" s="307" t="s">
        <v>271</v>
      </c>
      <c r="E48" s="307" t="s">
        <v>271</v>
      </c>
      <c r="F48" s="308"/>
      <c r="G48" s="343" t="str">
        <f t="shared" si="0"/>
        <v xml:space="preserve"> </v>
      </c>
      <c r="H48" s="307"/>
      <c r="I48" s="309" t="e">
        <f t="shared" si="1"/>
        <v>#N/A</v>
      </c>
      <c r="J48" s="307"/>
      <c r="K48" s="307"/>
      <c r="L48" s="310"/>
      <c r="M48" s="310"/>
      <c r="N48" s="310"/>
      <c r="O48" s="310"/>
      <c r="P48" s="310"/>
      <c r="Q48" s="310"/>
      <c r="R48" s="310"/>
      <c r="S48" s="310"/>
      <c r="T48" s="310"/>
      <c r="U48" s="307"/>
      <c r="V48" s="307"/>
      <c r="W48" s="311"/>
      <c r="X48" s="307"/>
      <c r="Y48" s="307"/>
      <c r="Z48" s="307"/>
      <c r="AA48" s="307"/>
      <c r="AB48" s="311"/>
      <c r="AC48" s="307"/>
      <c r="AD48" s="307"/>
      <c r="AE48" s="307"/>
      <c r="AF48" s="307"/>
      <c r="AG48" s="310"/>
      <c r="AH48" s="307"/>
      <c r="AI48" s="310"/>
      <c r="AJ48" s="307"/>
      <c r="AK48" s="307"/>
      <c r="AL48" s="307"/>
      <c r="AM48" s="308"/>
      <c r="AN48" s="311"/>
      <c r="AO48" s="307"/>
      <c r="AP48" s="307"/>
      <c r="AQ48" s="308"/>
      <c r="AR48" s="307"/>
      <c r="AS48" s="307"/>
      <c r="AT48" s="307"/>
      <c r="AU48" s="310"/>
      <c r="AV48" s="308"/>
      <c r="AW48" s="312"/>
      <c r="AX48" s="308"/>
      <c r="AY48" s="307"/>
      <c r="AZ48" s="307"/>
      <c r="BA48" s="307"/>
      <c r="BB48" s="307"/>
      <c r="BC48" s="308"/>
      <c r="BD48" s="308"/>
      <c r="BE48" s="313"/>
      <c r="BF48" s="307"/>
      <c r="BG48" s="310"/>
      <c r="BH48" s="307"/>
      <c r="BI48" s="307"/>
      <c r="BJ48" s="310"/>
      <c r="BK48" s="307"/>
      <c r="BL48" s="307"/>
      <c r="BM48" s="310"/>
      <c r="BN48" s="307"/>
      <c r="BO48" s="310"/>
      <c r="BP48" s="307"/>
      <c r="BQ48" s="307"/>
      <c r="BR48" s="307"/>
      <c r="BS48" s="307"/>
      <c r="BT48" s="307"/>
      <c r="BU48" s="310"/>
      <c r="BV48" s="307"/>
      <c r="BW48" s="308"/>
      <c r="BX48" s="311"/>
      <c r="BY48" s="307"/>
      <c r="BZ48" s="307"/>
      <c r="CA48" s="310"/>
      <c r="CB48" s="307"/>
      <c r="CC48" s="307"/>
      <c r="CD48" s="307"/>
      <c r="CE48" s="308"/>
      <c r="CF48" s="308"/>
      <c r="CG48" s="307"/>
      <c r="CH48" s="307"/>
      <c r="CI48" s="307"/>
      <c r="CJ48" s="307"/>
      <c r="CK48" s="314"/>
      <c r="CL48" s="310"/>
      <c r="CM48" s="310"/>
      <c r="CN48" s="307"/>
      <c r="CO48" s="307"/>
      <c r="CP48" s="307"/>
      <c r="CQ48" s="315"/>
      <c r="CR48" s="315"/>
      <c r="CS48" s="315"/>
      <c r="CT48" s="315"/>
      <c r="CU48" s="307"/>
      <c r="CV48" s="217"/>
      <c r="CW48" s="192"/>
      <c r="CX48" s="192"/>
      <c r="CY48" s="192"/>
      <c r="CZ48" s="191"/>
      <c r="DA48" s="193"/>
      <c r="DB48" s="192"/>
      <c r="DC48" s="192"/>
      <c r="DD48" s="192"/>
      <c r="DE48" s="191"/>
      <c r="DF48" s="19"/>
      <c r="DG48" s="192"/>
      <c r="DH48" s="192"/>
      <c r="DI48" s="192"/>
      <c r="DJ48" s="191"/>
      <c r="DK48" s="193"/>
      <c r="DL48" s="192"/>
      <c r="DM48" s="192"/>
      <c r="DN48" s="192"/>
      <c r="DO48" s="191"/>
      <c r="DP48" s="19"/>
      <c r="DQ48" s="192"/>
      <c r="DR48" s="192"/>
      <c r="DS48" s="192"/>
      <c r="DT48" s="191"/>
      <c r="DU48" s="193"/>
      <c r="DV48" s="192"/>
      <c r="DW48" s="192"/>
      <c r="DX48" s="192"/>
      <c r="DY48" s="191"/>
      <c r="DZ48" s="19"/>
      <c r="EA48" s="192"/>
      <c r="EB48" s="192"/>
      <c r="EC48" s="192"/>
      <c r="ED48" s="191"/>
      <c r="EE48" s="193"/>
      <c r="EF48" s="192"/>
      <c r="EG48" s="192"/>
      <c r="EH48" s="192"/>
      <c r="EI48" s="191"/>
      <c r="EJ48" s="19"/>
      <c r="EK48" s="192"/>
      <c r="EL48" s="192"/>
      <c r="EM48" s="192"/>
      <c r="EN48" s="191"/>
      <c r="EO48" s="193"/>
      <c r="EP48" s="192"/>
      <c r="EQ48" s="192"/>
      <c r="ER48" s="192"/>
      <c r="ES48" s="191"/>
      <c r="ET48" s="19"/>
      <c r="EU48" s="192"/>
      <c r="EV48" s="192"/>
      <c r="EW48" s="192"/>
      <c r="EX48" s="191"/>
      <c r="EY48" s="193"/>
      <c r="EZ48" s="192"/>
      <c r="FA48" s="192"/>
      <c r="FB48" s="192"/>
      <c r="FC48" s="191"/>
      <c r="FL48" s="273">
        <f t="shared" ca="1" si="2"/>
        <v>116</v>
      </c>
    </row>
    <row r="49" spans="1:168" ht="16.5" thickBot="1">
      <c r="A49" s="199">
        <v>46</v>
      </c>
      <c r="B49" s="306"/>
      <c r="C49" s="310"/>
      <c r="D49" s="307" t="s">
        <v>271</v>
      </c>
      <c r="E49" s="307" t="s">
        <v>271</v>
      </c>
      <c r="F49" s="308"/>
      <c r="G49" s="343" t="str">
        <f t="shared" si="0"/>
        <v xml:space="preserve"> </v>
      </c>
      <c r="H49" s="307"/>
      <c r="I49" s="309" t="e">
        <f t="shared" si="1"/>
        <v>#N/A</v>
      </c>
      <c r="J49" s="307"/>
      <c r="K49" s="307"/>
      <c r="L49" s="310"/>
      <c r="M49" s="310"/>
      <c r="N49" s="310"/>
      <c r="O49" s="310"/>
      <c r="P49" s="310"/>
      <c r="Q49" s="310"/>
      <c r="R49" s="310"/>
      <c r="S49" s="310"/>
      <c r="T49" s="310"/>
      <c r="U49" s="307"/>
      <c r="V49" s="307"/>
      <c r="W49" s="311"/>
      <c r="X49" s="307"/>
      <c r="Y49" s="307"/>
      <c r="Z49" s="307"/>
      <c r="AA49" s="307"/>
      <c r="AB49" s="311"/>
      <c r="AC49" s="307"/>
      <c r="AD49" s="307"/>
      <c r="AE49" s="307"/>
      <c r="AF49" s="307"/>
      <c r="AG49" s="310"/>
      <c r="AH49" s="307"/>
      <c r="AI49" s="310"/>
      <c r="AJ49" s="307"/>
      <c r="AK49" s="307"/>
      <c r="AL49" s="307"/>
      <c r="AM49" s="308"/>
      <c r="AN49" s="311"/>
      <c r="AO49" s="307"/>
      <c r="AP49" s="307"/>
      <c r="AQ49" s="308"/>
      <c r="AR49" s="307"/>
      <c r="AS49" s="307"/>
      <c r="AT49" s="307"/>
      <c r="AU49" s="310"/>
      <c r="AV49" s="308"/>
      <c r="AW49" s="312"/>
      <c r="AX49" s="308"/>
      <c r="AY49" s="307"/>
      <c r="AZ49" s="307"/>
      <c r="BA49" s="307"/>
      <c r="BB49" s="307"/>
      <c r="BC49" s="308"/>
      <c r="BD49" s="308"/>
      <c r="BE49" s="313"/>
      <c r="BF49" s="307"/>
      <c r="BG49" s="310"/>
      <c r="BH49" s="307"/>
      <c r="BI49" s="307"/>
      <c r="BJ49" s="310"/>
      <c r="BK49" s="307"/>
      <c r="BL49" s="307"/>
      <c r="BM49" s="310"/>
      <c r="BN49" s="307"/>
      <c r="BO49" s="310"/>
      <c r="BP49" s="307"/>
      <c r="BQ49" s="307"/>
      <c r="BR49" s="307"/>
      <c r="BS49" s="307"/>
      <c r="BT49" s="307"/>
      <c r="BU49" s="310"/>
      <c r="BV49" s="307"/>
      <c r="BW49" s="308"/>
      <c r="BX49" s="311"/>
      <c r="BY49" s="307"/>
      <c r="BZ49" s="307"/>
      <c r="CA49" s="310"/>
      <c r="CB49" s="307"/>
      <c r="CC49" s="307"/>
      <c r="CD49" s="307"/>
      <c r="CE49" s="308"/>
      <c r="CF49" s="308"/>
      <c r="CG49" s="307"/>
      <c r="CH49" s="307"/>
      <c r="CI49" s="307"/>
      <c r="CJ49" s="307"/>
      <c r="CK49" s="314"/>
      <c r="CL49" s="310"/>
      <c r="CM49" s="310"/>
      <c r="CN49" s="307"/>
      <c r="CO49" s="307"/>
      <c r="CP49" s="307"/>
      <c r="CQ49" s="315"/>
      <c r="CR49" s="315"/>
      <c r="CS49" s="315"/>
      <c r="CT49" s="315"/>
      <c r="CU49" s="307"/>
      <c r="CV49" s="217"/>
      <c r="CW49" s="192"/>
      <c r="CX49" s="192"/>
      <c r="CY49" s="192"/>
      <c r="CZ49" s="191"/>
      <c r="DA49" s="193"/>
      <c r="DB49" s="192"/>
      <c r="DC49" s="192"/>
      <c r="DD49" s="192"/>
      <c r="DE49" s="191"/>
      <c r="DF49" s="19"/>
      <c r="DG49" s="192"/>
      <c r="DH49" s="192"/>
      <c r="DI49" s="192"/>
      <c r="DJ49" s="191"/>
      <c r="DK49" s="193"/>
      <c r="DL49" s="192"/>
      <c r="DM49" s="192"/>
      <c r="DN49" s="192"/>
      <c r="DO49" s="191"/>
      <c r="DP49" s="19"/>
      <c r="DQ49" s="192"/>
      <c r="DR49" s="192"/>
      <c r="DS49" s="192"/>
      <c r="DT49" s="191"/>
      <c r="DU49" s="193"/>
      <c r="DV49" s="192"/>
      <c r="DW49" s="192"/>
      <c r="DX49" s="192"/>
      <c r="DY49" s="191"/>
      <c r="DZ49" s="19"/>
      <c r="EA49" s="192"/>
      <c r="EB49" s="192"/>
      <c r="EC49" s="192"/>
      <c r="ED49" s="191"/>
      <c r="EE49" s="193"/>
      <c r="EF49" s="192"/>
      <c r="EG49" s="192"/>
      <c r="EH49" s="192"/>
      <c r="EI49" s="191"/>
      <c r="EJ49" s="19"/>
      <c r="EK49" s="192"/>
      <c r="EL49" s="192"/>
      <c r="EM49" s="192"/>
      <c r="EN49" s="191"/>
      <c r="EO49" s="193"/>
      <c r="EP49" s="192"/>
      <c r="EQ49" s="192"/>
      <c r="ER49" s="192"/>
      <c r="ES49" s="191"/>
      <c r="ET49" s="19"/>
      <c r="EU49" s="192"/>
      <c r="EV49" s="192"/>
      <c r="EW49" s="192"/>
      <c r="EX49" s="191"/>
      <c r="EY49" s="193"/>
      <c r="EZ49" s="192"/>
      <c r="FA49" s="192"/>
      <c r="FB49" s="192"/>
      <c r="FC49" s="191"/>
      <c r="FL49" s="273">
        <f t="shared" ca="1" si="2"/>
        <v>116</v>
      </c>
    </row>
    <row r="50" spans="1:168" ht="16.5" thickBot="1">
      <c r="A50" s="196">
        <v>47</v>
      </c>
      <c r="B50" s="306"/>
      <c r="C50" s="310"/>
      <c r="D50" s="307" t="s">
        <v>271</v>
      </c>
      <c r="E50" s="307" t="s">
        <v>271</v>
      </c>
      <c r="F50" s="308"/>
      <c r="G50" s="343" t="str">
        <f t="shared" si="0"/>
        <v xml:space="preserve"> </v>
      </c>
      <c r="H50" s="307"/>
      <c r="I50" s="309" t="e">
        <f t="shared" si="1"/>
        <v>#N/A</v>
      </c>
      <c r="J50" s="307"/>
      <c r="K50" s="307"/>
      <c r="L50" s="310"/>
      <c r="M50" s="310"/>
      <c r="N50" s="310"/>
      <c r="O50" s="310"/>
      <c r="P50" s="310"/>
      <c r="Q50" s="310"/>
      <c r="R50" s="310"/>
      <c r="S50" s="310"/>
      <c r="T50" s="310"/>
      <c r="U50" s="307"/>
      <c r="V50" s="307"/>
      <c r="W50" s="311"/>
      <c r="X50" s="307"/>
      <c r="Y50" s="307"/>
      <c r="Z50" s="307"/>
      <c r="AA50" s="307"/>
      <c r="AB50" s="311"/>
      <c r="AC50" s="307"/>
      <c r="AD50" s="307"/>
      <c r="AE50" s="307"/>
      <c r="AF50" s="307"/>
      <c r="AG50" s="310"/>
      <c r="AH50" s="307"/>
      <c r="AI50" s="310"/>
      <c r="AJ50" s="307"/>
      <c r="AK50" s="307"/>
      <c r="AL50" s="307"/>
      <c r="AM50" s="308"/>
      <c r="AN50" s="311"/>
      <c r="AO50" s="307"/>
      <c r="AP50" s="307"/>
      <c r="AQ50" s="308"/>
      <c r="AR50" s="307"/>
      <c r="AS50" s="307"/>
      <c r="AT50" s="307"/>
      <c r="AU50" s="310"/>
      <c r="AV50" s="308"/>
      <c r="AW50" s="312"/>
      <c r="AX50" s="308"/>
      <c r="AY50" s="307"/>
      <c r="AZ50" s="307"/>
      <c r="BA50" s="307"/>
      <c r="BB50" s="307"/>
      <c r="BC50" s="308"/>
      <c r="BD50" s="308"/>
      <c r="BE50" s="313"/>
      <c r="BF50" s="307"/>
      <c r="BG50" s="310"/>
      <c r="BH50" s="307"/>
      <c r="BI50" s="307"/>
      <c r="BJ50" s="310"/>
      <c r="BK50" s="307"/>
      <c r="BL50" s="307"/>
      <c r="BM50" s="310"/>
      <c r="BN50" s="307"/>
      <c r="BO50" s="310"/>
      <c r="BP50" s="307"/>
      <c r="BQ50" s="307"/>
      <c r="BR50" s="307"/>
      <c r="BS50" s="307"/>
      <c r="BT50" s="307"/>
      <c r="BU50" s="310"/>
      <c r="BV50" s="307"/>
      <c r="BW50" s="308"/>
      <c r="BX50" s="311"/>
      <c r="BY50" s="307"/>
      <c r="BZ50" s="307"/>
      <c r="CA50" s="310"/>
      <c r="CB50" s="307"/>
      <c r="CC50" s="307"/>
      <c r="CD50" s="307"/>
      <c r="CE50" s="308"/>
      <c r="CF50" s="308"/>
      <c r="CG50" s="307"/>
      <c r="CH50" s="307"/>
      <c r="CI50" s="307"/>
      <c r="CJ50" s="307"/>
      <c r="CK50" s="314"/>
      <c r="CL50" s="310"/>
      <c r="CM50" s="310"/>
      <c r="CN50" s="307"/>
      <c r="CO50" s="307"/>
      <c r="CP50" s="307"/>
      <c r="CQ50" s="315"/>
      <c r="CR50" s="315"/>
      <c r="CS50" s="315"/>
      <c r="CT50" s="315"/>
      <c r="CU50" s="307"/>
      <c r="CV50" s="217"/>
      <c r="CW50" s="192"/>
      <c r="CX50" s="192"/>
      <c r="CY50" s="192"/>
      <c r="CZ50" s="191"/>
      <c r="DA50" s="193"/>
      <c r="DB50" s="192"/>
      <c r="DC50" s="192"/>
      <c r="DD50" s="192"/>
      <c r="DE50" s="191"/>
      <c r="DF50" s="19"/>
      <c r="DG50" s="192"/>
      <c r="DH50" s="192"/>
      <c r="DI50" s="192"/>
      <c r="DJ50" s="191"/>
      <c r="DK50" s="193"/>
      <c r="DL50" s="192"/>
      <c r="DM50" s="192"/>
      <c r="DN50" s="192"/>
      <c r="DO50" s="191"/>
      <c r="DP50" s="19"/>
      <c r="DQ50" s="192"/>
      <c r="DR50" s="192"/>
      <c r="DS50" s="192"/>
      <c r="DT50" s="191"/>
      <c r="DU50" s="193"/>
      <c r="DV50" s="192"/>
      <c r="DW50" s="192"/>
      <c r="DX50" s="192"/>
      <c r="DY50" s="191"/>
      <c r="DZ50" s="19"/>
      <c r="EA50" s="192"/>
      <c r="EB50" s="192"/>
      <c r="EC50" s="192"/>
      <c r="ED50" s="191"/>
      <c r="EE50" s="193"/>
      <c r="EF50" s="192"/>
      <c r="EG50" s="192"/>
      <c r="EH50" s="192"/>
      <c r="EI50" s="191"/>
      <c r="EJ50" s="19"/>
      <c r="EK50" s="192"/>
      <c r="EL50" s="192"/>
      <c r="EM50" s="192"/>
      <c r="EN50" s="191"/>
      <c r="EO50" s="193"/>
      <c r="EP50" s="192"/>
      <c r="EQ50" s="192"/>
      <c r="ER50" s="192"/>
      <c r="ES50" s="191"/>
      <c r="ET50" s="19"/>
      <c r="EU50" s="192"/>
      <c r="EV50" s="192"/>
      <c r="EW50" s="192"/>
      <c r="EX50" s="191"/>
      <c r="EY50" s="193"/>
      <c r="EZ50" s="192"/>
      <c r="FA50" s="192"/>
      <c r="FB50" s="192"/>
      <c r="FC50" s="191"/>
      <c r="FL50" s="273">
        <f t="shared" ca="1" si="2"/>
        <v>116</v>
      </c>
    </row>
    <row r="51" spans="1:168" ht="16.5" thickBot="1">
      <c r="A51" s="199">
        <v>48</v>
      </c>
      <c r="B51" s="306"/>
      <c r="C51" s="310"/>
      <c r="D51" s="307" t="s">
        <v>271</v>
      </c>
      <c r="E51" s="307" t="s">
        <v>271</v>
      </c>
      <c r="F51" s="308"/>
      <c r="G51" s="343" t="str">
        <f t="shared" si="0"/>
        <v xml:space="preserve"> </v>
      </c>
      <c r="H51" s="307"/>
      <c r="I51" s="309" t="e">
        <f t="shared" si="1"/>
        <v>#N/A</v>
      </c>
      <c r="J51" s="307"/>
      <c r="K51" s="307"/>
      <c r="L51" s="310"/>
      <c r="M51" s="310"/>
      <c r="N51" s="310"/>
      <c r="O51" s="310"/>
      <c r="P51" s="310"/>
      <c r="Q51" s="310"/>
      <c r="R51" s="310"/>
      <c r="S51" s="310"/>
      <c r="T51" s="310"/>
      <c r="U51" s="307"/>
      <c r="V51" s="307"/>
      <c r="W51" s="311"/>
      <c r="X51" s="307"/>
      <c r="Y51" s="307"/>
      <c r="Z51" s="307"/>
      <c r="AA51" s="307"/>
      <c r="AB51" s="311"/>
      <c r="AC51" s="307"/>
      <c r="AD51" s="307"/>
      <c r="AE51" s="307"/>
      <c r="AF51" s="307"/>
      <c r="AG51" s="310"/>
      <c r="AH51" s="307"/>
      <c r="AI51" s="310"/>
      <c r="AJ51" s="307"/>
      <c r="AK51" s="307"/>
      <c r="AL51" s="307"/>
      <c r="AM51" s="308"/>
      <c r="AN51" s="311"/>
      <c r="AO51" s="307"/>
      <c r="AP51" s="307"/>
      <c r="AQ51" s="308"/>
      <c r="AR51" s="307"/>
      <c r="AS51" s="307"/>
      <c r="AT51" s="307"/>
      <c r="AU51" s="310"/>
      <c r="AV51" s="308"/>
      <c r="AW51" s="312"/>
      <c r="AX51" s="308"/>
      <c r="AY51" s="307"/>
      <c r="AZ51" s="307"/>
      <c r="BA51" s="307"/>
      <c r="BB51" s="307"/>
      <c r="BC51" s="308"/>
      <c r="BD51" s="308"/>
      <c r="BE51" s="313"/>
      <c r="BF51" s="307"/>
      <c r="BG51" s="310"/>
      <c r="BH51" s="307"/>
      <c r="BI51" s="307"/>
      <c r="BJ51" s="310"/>
      <c r="BK51" s="307"/>
      <c r="BL51" s="307"/>
      <c r="BM51" s="310"/>
      <c r="BN51" s="307"/>
      <c r="BO51" s="310"/>
      <c r="BP51" s="307"/>
      <c r="BQ51" s="307"/>
      <c r="BR51" s="307"/>
      <c r="BS51" s="307"/>
      <c r="BT51" s="307"/>
      <c r="BU51" s="310"/>
      <c r="BV51" s="307"/>
      <c r="BW51" s="308"/>
      <c r="BX51" s="311"/>
      <c r="BY51" s="307"/>
      <c r="BZ51" s="307"/>
      <c r="CA51" s="310"/>
      <c r="CB51" s="307"/>
      <c r="CC51" s="307"/>
      <c r="CD51" s="307"/>
      <c r="CE51" s="308"/>
      <c r="CF51" s="308"/>
      <c r="CG51" s="307"/>
      <c r="CH51" s="307"/>
      <c r="CI51" s="307"/>
      <c r="CJ51" s="307"/>
      <c r="CK51" s="314"/>
      <c r="CL51" s="310"/>
      <c r="CM51" s="310"/>
      <c r="CN51" s="307"/>
      <c r="CO51" s="307"/>
      <c r="CP51" s="307"/>
      <c r="CQ51" s="315"/>
      <c r="CR51" s="315"/>
      <c r="CS51" s="315"/>
      <c r="CT51" s="315"/>
      <c r="CU51" s="307"/>
      <c r="CV51" s="217"/>
      <c r="CW51" s="192"/>
      <c r="CX51" s="192"/>
      <c r="CY51" s="192"/>
      <c r="CZ51" s="191"/>
      <c r="DA51" s="193"/>
      <c r="DB51" s="192"/>
      <c r="DC51" s="192"/>
      <c r="DD51" s="192"/>
      <c r="DE51" s="191"/>
      <c r="DF51" s="19"/>
      <c r="DG51" s="192"/>
      <c r="DH51" s="192"/>
      <c r="DI51" s="192"/>
      <c r="DJ51" s="191"/>
      <c r="DK51" s="193"/>
      <c r="DL51" s="192"/>
      <c r="DM51" s="192"/>
      <c r="DN51" s="192"/>
      <c r="DO51" s="191"/>
      <c r="DP51" s="19"/>
      <c r="DQ51" s="192"/>
      <c r="DR51" s="192"/>
      <c r="DS51" s="192"/>
      <c r="DT51" s="191"/>
      <c r="DU51" s="193"/>
      <c r="DV51" s="192"/>
      <c r="DW51" s="192"/>
      <c r="DX51" s="192"/>
      <c r="DY51" s="191"/>
      <c r="DZ51" s="19"/>
      <c r="EA51" s="192"/>
      <c r="EB51" s="192"/>
      <c r="EC51" s="192"/>
      <c r="ED51" s="191"/>
      <c r="EE51" s="193"/>
      <c r="EF51" s="192"/>
      <c r="EG51" s="192"/>
      <c r="EH51" s="192"/>
      <c r="EI51" s="191"/>
      <c r="EJ51" s="19"/>
      <c r="EK51" s="192"/>
      <c r="EL51" s="192"/>
      <c r="EM51" s="192"/>
      <c r="EN51" s="191"/>
      <c r="EO51" s="193"/>
      <c r="EP51" s="192"/>
      <c r="EQ51" s="192"/>
      <c r="ER51" s="192"/>
      <c r="ES51" s="191"/>
      <c r="ET51" s="19"/>
      <c r="EU51" s="192"/>
      <c r="EV51" s="192"/>
      <c r="EW51" s="192"/>
      <c r="EX51" s="191"/>
      <c r="EY51" s="193"/>
      <c r="EZ51" s="192"/>
      <c r="FA51" s="192"/>
      <c r="FB51" s="192"/>
      <c r="FC51" s="191"/>
      <c r="FL51" s="273">
        <f t="shared" ca="1" si="2"/>
        <v>116</v>
      </c>
    </row>
    <row r="52" spans="1:168" ht="16.5" thickBot="1">
      <c r="A52" s="196">
        <v>49</v>
      </c>
      <c r="B52" s="306"/>
      <c r="C52" s="310"/>
      <c r="D52" s="307" t="s">
        <v>271</v>
      </c>
      <c r="E52" s="307" t="s">
        <v>271</v>
      </c>
      <c r="F52" s="308"/>
      <c r="G52" s="343" t="str">
        <f t="shared" si="0"/>
        <v xml:space="preserve"> </v>
      </c>
      <c r="H52" s="307"/>
      <c r="I52" s="309" t="e">
        <f t="shared" si="1"/>
        <v>#N/A</v>
      </c>
      <c r="J52" s="307"/>
      <c r="K52" s="307"/>
      <c r="L52" s="310"/>
      <c r="M52" s="310"/>
      <c r="N52" s="310"/>
      <c r="O52" s="310"/>
      <c r="P52" s="310"/>
      <c r="Q52" s="310"/>
      <c r="R52" s="310"/>
      <c r="S52" s="310"/>
      <c r="T52" s="310"/>
      <c r="U52" s="307"/>
      <c r="V52" s="307"/>
      <c r="W52" s="311"/>
      <c r="X52" s="307"/>
      <c r="Y52" s="307"/>
      <c r="Z52" s="307"/>
      <c r="AA52" s="307"/>
      <c r="AB52" s="311"/>
      <c r="AC52" s="307"/>
      <c r="AD52" s="307"/>
      <c r="AE52" s="307"/>
      <c r="AF52" s="307"/>
      <c r="AG52" s="310"/>
      <c r="AH52" s="307"/>
      <c r="AI52" s="310"/>
      <c r="AJ52" s="307"/>
      <c r="AK52" s="307"/>
      <c r="AL52" s="307"/>
      <c r="AM52" s="308"/>
      <c r="AN52" s="311"/>
      <c r="AO52" s="307"/>
      <c r="AP52" s="307"/>
      <c r="AQ52" s="308"/>
      <c r="AR52" s="307"/>
      <c r="AS52" s="307"/>
      <c r="AT52" s="307"/>
      <c r="AU52" s="310"/>
      <c r="AV52" s="308"/>
      <c r="AW52" s="312"/>
      <c r="AX52" s="308"/>
      <c r="AY52" s="307"/>
      <c r="AZ52" s="307"/>
      <c r="BA52" s="307"/>
      <c r="BB52" s="307"/>
      <c r="BC52" s="308"/>
      <c r="BD52" s="308"/>
      <c r="BE52" s="313"/>
      <c r="BF52" s="307"/>
      <c r="BG52" s="310"/>
      <c r="BH52" s="307"/>
      <c r="BI52" s="307"/>
      <c r="BJ52" s="310"/>
      <c r="BK52" s="307"/>
      <c r="BL52" s="307"/>
      <c r="BM52" s="310"/>
      <c r="BN52" s="307"/>
      <c r="BO52" s="310"/>
      <c r="BP52" s="307"/>
      <c r="BQ52" s="307"/>
      <c r="BR52" s="307"/>
      <c r="BS52" s="307"/>
      <c r="BT52" s="307"/>
      <c r="BU52" s="310"/>
      <c r="BV52" s="307"/>
      <c r="BW52" s="308"/>
      <c r="BX52" s="311"/>
      <c r="BY52" s="307"/>
      <c r="BZ52" s="307"/>
      <c r="CA52" s="310"/>
      <c r="CB52" s="307"/>
      <c r="CC52" s="307"/>
      <c r="CD52" s="307"/>
      <c r="CE52" s="308"/>
      <c r="CF52" s="308"/>
      <c r="CG52" s="307"/>
      <c r="CH52" s="307"/>
      <c r="CI52" s="307"/>
      <c r="CJ52" s="307"/>
      <c r="CK52" s="314"/>
      <c r="CL52" s="310"/>
      <c r="CM52" s="310"/>
      <c r="CN52" s="307"/>
      <c r="CO52" s="307"/>
      <c r="CP52" s="307"/>
      <c r="CQ52" s="315"/>
      <c r="CR52" s="315"/>
      <c r="CS52" s="315"/>
      <c r="CT52" s="315"/>
      <c r="CU52" s="307"/>
      <c r="CV52" s="217"/>
      <c r="CW52" s="192"/>
      <c r="CX52" s="192"/>
      <c r="CY52" s="192"/>
      <c r="CZ52" s="191"/>
      <c r="DA52" s="193"/>
      <c r="DB52" s="192"/>
      <c r="DC52" s="192"/>
      <c r="DD52" s="192"/>
      <c r="DE52" s="191"/>
      <c r="DF52" s="19"/>
      <c r="DG52" s="192"/>
      <c r="DH52" s="192"/>
      <c r="DI52" s="192"/>
      <c r="DJ52" s="191"/>
      <c r="DK52" s="193"/>
      <c r="DL52" s="192"/>
      <c r="DM52" s="192"/>
      <c r="DN52" s="192"/>
      <c r="DO52" s="191"/>
      <c r="DP52" s="19"/>
      <c r="DQ52" s="192"/>
      <c r="DR52" s="192"/>
      <c r="DS52" s="192"/>
      <c r="DT52" s="191"/>
      <c r="DU52" s="193"/>
      <c r="DV52" s="192"/>
      <c r="DW52" s="192"/>
      <c r="DX52" s="192"/>
      <c r="DY52" s="191"/>
      <c r="DZ52" s="19"/>
      <c r="EA52" s="192"/>
      <c r="EB52" s="192"/>
      <c r="EC52" s="192"/>
      <c r="ED52" s="191"/>
      <c r="EE52" s="193"/>
      <c r="EF52" s="192"/>
      <c r="EG52" s="192"/>
      <c r="EH52" s="192"/>
      <c r="EI52" s="191"/>
      <c r="EJ52" s="19"/>
      <c r="EK52" s="192"/>
      <c r="EL52" s="192"/>
      <c r="EM52" s="192"/>
      <c r="EN52" s="191"/>
      <c r="EO52" s="193"/>
      <c r="EP52" s="192"/>
      <c r="EQ52" s="192"/>
      <c r="ER52" s="192"/>
      <c r="ES52" s="191"/>
      <c r="ET52" s="19"/>
      <c r="EU52" s="192"/>
      <c r="EV52" s="192"/>
      <c r="EW52" s="192"/>
      <c r="EX52" s="191"/>
      <c r="EY52" s="193"/>
      <c r="EZ52" s="192"/>
      <c r="FA52" s="192"/>
      <c r="FB52" s="192"/>
      <c r="FC52" s="191"/>
      <c r="FL52" s="273">
        <f t="shared" ca="1" si="2"/>
        <v>116</v>
      </c>
    </row>
    <row r="53" spans="1:168" ht="16.5" thickBot="1">
      <c r="A53" s="199">
        <v>50</v>
      </c>
      <c r="B53" s="306"/>
      <c r="C53" s="310"/>
      <c r="D53" s="307" t="s">
        <v>271</v>
      </c>
      <c r="E53" s="307" t="s">
        <v>271</v>
      </c>
      <c r="F53" s="308"/>
      <c r="G53" s="343" t="str">
        <f t="shared" si="0"/>
        <v xml:space="preserve"> </v>
      </c>
      <c r="H53" s="307"/>
      <c r="I53" s="309" t="e">
        <f t="shared" si="1"/>
        <v>#N/A</v>
      </c>
      <c r="J53" s="307"/>
      <c r="K53" s="307"/>
      <c r="L53" s="310"/>
      <c r="M53" s="310"/>
      <c r="N53" s="310"/>
      <c r="O53" s="310"/>
      <c r="P53" s="310"/>
      <c r="Q53" s="310"/>
      <c r="R53" s="310"/>
      <c r="S53" s="310"/>
      <c r="T53" s="310"/>
      <c r="U53" s="307"/>
      <c r="V53" s="307"/>
      <c r="W53" s="311"/>
      <c r="X53" s="307"/>
      <c r="Y53" s="307"/>
      <c r="Z53" s="307"/>
      <c r="AA53" s="307"/>
      <c r="AB53" s="311"/>
      <c r="AC53" s="307"/>
      <c r="AD53" s="307"/>
      <c r="AE53" s="307"/>
      <c r="AF53" s="307"/>
      <c r="AG53" s="310"/>
      <c r="AH53" s="307"/>
      <c r="AI53" s="310"/>
      <c r="AJ53" s="307"/>
      <c r="AK53" s="307"/>
      <c r="AL53" s="307"/>
      <c r="AM53" s="308"/>
      <c r="AN53" s="311"/>
      <c r="AO53" s="307"/>
      <c r="AP53" s="307"/>
      <c r="AQ53" s="308"/>
      <c r="AR53" s="307"/>
      <c r="AS53" s="307"/>
      <c r="AT53" s="307"/>
      <c r="AU53" s="310"/>
      <c r="AV53" s="308"/>
      <c r="AW53" s="312"/>
      <c r="AX53" s="308"/>
      <c r="AY53" s="307"/>
      <c r="AZ53" s="307"/>
      <c r="BA53" s="307"/>
      <c r="BB53" s="307"/>
      <c r="BC53" s="308"/>
      <c r="BD53" s="308"/>
      <c r="BE53" s="313"/>
      <c r="BF53" s="307"/>
      <c r="BG53" s="310"/>
      <c r="BH53" s="307"/>
      <c r="BI53" s="307"/>
      <c r="BJ53" s="310"/>
      <c r="BK53" s="307"/>
      <c r="BL53" s="307"/>
      <c r="BM53" s="310"/>
      <c r="BN53" s="307"/>
      <c r="BO53" s="310"/>
      <c r="BP53" s="307"/>
      <c r="BQ53" s="307"/>
      <c r="BR53" s="307"/>
      <c r="BS53" s="307"/>
      <c r="BT53" s="307"/>
      <c r="BU53" s="310"/>
      <c r="BV53" s="307"/>
      <c r="BW53" s="308"/>
      <c r="BX53" s="311"/>
      <c r="BY53" s="307"/>
      <c r="BZ53" s="307"/>
      <c r="CA53" s="310"/>
      <c r="CB53" s="307"/>
      <c r="CC53" s="307"/>
      <c r="CD53" s="307"/>
      <c r="CE53" s="308"/>
      <c r="CF53" s="308"/>
      <c r="CG53" s="307"/>
      <c r="CH53" s="307"/>
      <c r="CI53" s="307"/>
      <c r="CJ53" s="307"/>
      <c r="CK53" s="314"/>
      <c r="CL53" s="310"/>
      <c r="CM53" s="310"/>
      <c r="CN53" s="307"/>
      <c r="CO53" s="307"/>
      <c r="CP53" s="307"/>
      <c r="CQ53" s="315"/>
      <c r="CR53" s="315"/>
      <c r="CS53" s="315"/>
      <c r="CT53" s="315"/>
      <c r="CU53" s="307"/>
      <c r="CV53" s="217"/>
      <c r="CW53" s="192"/>
      <c r="CX53" s="192"/>
      <c r="CY53" s="192"/>
      <c r="CZ53" s="191"/>
      <c r="DA53" s="193"/>
      <c r="DB53" s="192"/>
      <c r="DC53" s="192"/>
      <c r="DD53" s="192"/>
      <c r="DE53" s="191"/>
      <c r="DF53" s="19"/>
      <c r="DG53" s="192"/>
      <c r="DH53" s="192"/>
      <c r="DI53" s="192"/>
      <c r="DJ53" s="191"/>
      <c r="DK53" s="193"/>
      <c r="DL53" s="192"/>
      <c r="DM53" s="192"/>
      <c r="DN53" s="192"/>
      <c r="DO53" s="191"/>
      <c r="DP53" s="19"/>
      <c r="DQ53" s="192"/>
      <c r="DR53" s="192"/>
      <c r="DS53" s="192"/>
      <c r="DT53" s="191"/>
      <c r="DU53" s="193"/>
      <c r="DV53" s="192"/>
      <c r="DW53" s="192"/>
      <c r="DX53" s="192"/>
      <c r="DY53" s="191"/>
      <c r="DZ53" s="19"/>
      <c r="EA53" s="192"/>
      <c r="EB53" s="192"/>
      <c r="EC53" s="192"/>
      <c r="ED53" s="191"/>
      <c r="EE53" s="193"/>
      <c r="EF53" s="192"/>
      <c r="EG53" s="192"/>
      <c r="EH53" s="192"/>
      <c r="EI53" s="191"/>
      <c r="EJ53" s="19"/>
      <c r="EK53" s="192"/>
      <c r="EL53" s="192"/>
      <c r="EM53" s="192"/>
      <c r="EN53" s="191"/>
      <c r="EO53" s="193"/>
      <c r="EP53" s="192"/>
      <c r="EQ53" s="192"/>
      <c r="ER53" s="192"/>
      <c r="ES53" s="191"/>
      <c r="ET53" s="19"/>
      <c r="EU53" s="192"/>
      <c r="EV53" s="192"/>
      <c r="EW53" s="192"/>
      <c r="EX53" s="191"/>
      <c r="EY53" s="193"/>
      <c r="EZ53" s="192"/>
      <c r="FA53" s="192"/>
      <c r="FB53" s="192"/>
      <c r="FC53" s="191"/>
      <c r="FL53" s="273">
        <f t="shared" ca="1" si="2"/>
        <v>116</v>
      </c>
    </row>
    <row r="54" spans="1:168" ht="16.5" thickBot="1">
      <c r="A54" s="196">
        <v>51</v>
      </c>
      <c r="B54" s="306"/>
      <c r="C54" s="310"/>
      <c r="D54" s="307" t="s">
        <v>271</v>
      </c>
      <c r="E54" s="307" t="s">
        <v>271</v>
      </c>
      <c r="F54" s="308"/>
      <c r="G54" s="343" t="str">
        <f t="shared" si="0"/>
        <v xml:space="preserve"> </v>
      </c>
      <c r="H54" s="307"/>
      <c r="I54" s="309" t="e">
        <f t="shared" si="1"/>
        <v>#N/A</v>
      </c>
      <c r="J54" s="307"/>
      <c r="K54" s="307"/>
      <c r="L54" s="310"/>
      <c r="M54" s="310"/>
      <c r="N54" s="310"/>
      <c r="O54" s="310"/>
      <c r="P54" s="310"/>
      <c r="Q54" s="310"/>
      <c r="R54" s="310"/>
      <c r="S54" s="310"/>
      <c r="T54" s="310"/>
      <c r="U54" s="307"/>
      <c r="V54" s="307"/>
      <c r="W54" s="311"/>
      <c r="X54" s="307"/>
      <c r="Y54" s="307"/>
      <c r="Z54" s="307"/>
      <c r="AA54" s="307"/>
      <c r="AB54" s="311"/>
      <c r="AC54" s="307"/>
      <c r="AD54" s="307"/>
      <c r="AE54" s="307"/>
      <c r="AF54" s="307"/>
      <c r="AG54" s="310"/>
      <c r="AH54" s="307"/>
      <c r="AI54" s="310"/>
      <c r="AJ54" s="307"/>
      <c r="AK54" s="307"/>
      <c r="AL54" s="307"/>
      <c r="AM54" s="308"/>
      <c r="AN54" s="311"/>
      <c r="AO54" s="307"/>
      <c r="AP54" s="307"/>
      <c r="AQ54" s="308"/>
      <c r="AR54" s="307"/>
      <c r="AS54" s="307"/>
      <c r="AT54" s="307"/>
      <c r="AU54" s="310"/>
      <c r="AV54" s="308"/>
      <c r="AW54" s="312"/>
      <c r="AX54" s="308"/>
      <c r="AY54" s="307"/>
      <c r="AZ54" s="307"/>
      <c r="BA54" s="307"/>
      <c r="BB54" s="307"/>
      <c r="BC54" s="308"/>
      <c r="BD54" s="308"/>
      <c r="BE54" s="313"/>
      <c r="BF54" s="307"/>
      <c r="BG54" s="310"/>
      <c r="BH54" s="307"/>
      <c r="BI54" s="307"/>
      <c r="BJ54" s="310"/>
      <c r="BK54" s="307"/>
      <c r="BL54" s="307"/>
      <c r="BM54" s="310"/>
      <c r="BN54" s="307"/>
      <c r="BO54" s="310"/>
      <c r="BP54" s="307"/>
      <c r="BQ54" s="307"/>
      <c r="BR54" s="307"/>
      <c r="BS54" s="307"/>
      <c r="BT54" s="307"/>
      <c r="BU54" s="310"/>
      <c r="BV54" s="307"/>
      <c r="BW54" s="308"/>
      <c r="BX54" s="311"/>
      <c r="BY54" s="307"/>
      <c r="BZ54" s="307"/>
      <c r="CA54" s="310"/>
      <c r="CB54" s="307"/>
      <c r="CC54" s="307"/>
      <c r="CD54" s="307"/>
      <c r="CE54" s="308"/>
      <c r="CF54" s="308"/>
      <c r="CG54" s="307"/>
      <c r="CH54" s="307"/>
      <c r="CI54" s="307"/>
      <c r="CJ54" s="307"/>
      <c r="CK54" s="314"/>
      <c r="CL54" s="310"/>
      <c r="CM54" s="310"/>
      <c r="CN54" s="307"/>
      <c r="CO54" s="307"/>
      <c r="CP54" s="307"/>
      <c r="CQ54" s="315"/>
      <c r="CR54" s="315"/>
      <c r="CS54" s="315"/>
      <c r="CT54" s="315"/>
      <c r="CU54" s="307"/>
      <c r="CV54" s="217"/>
      <c r="CW54" s="192"/>
      <c r="CX54" s="192"/>
      <c r="CY54" s="192"/>
      <c r="CZ54" s="191"/>
      <c r="DA54" s="193"/>
      <c r="DB54" s="192"/>
      <c r="DC54" s="192"/>
      <c r="DD54" s="192"/>
      <c r="DE54" s="191"/>
      <c r="DF54" s="19"/>
      <c r="DG54" s="192"/>
      <c r="DH54" s="192"/>
      <c r="DI54" s="192"/>
      <c r="DJ54" s="191"/>
      <c r="DK54" s="193"/>
      <c r="DL54" s="192"/>
      <c r="DM54" s="192"/>
      <c r="DN54" s="192"/>
      <c r="DO54" s="191"/>
      <c r="DP54" s="19"/>
      <c r="DQ54" s="192"/>
      <c r="DR54" s="192"/>
      <c r="DS54" s="192"/>
      <c r="DT54" s="191"/>
      <c r="DU54" s="193"/>
      <c r="DV54" s="192"/>
      <c r="DW54" s="192"/>
      <c r="DX54" s="192"/>
      <c r="DY54" s="191"/>
      <c r="DZ54" s="19"/>
      <c r="EA54" s="192"/>
      <c r="EB54" s="192"/>
      <c r="EC54" s="192"/>
      <c r="ED54" s="191"/>
      <c r="EE54" s="193"/>
      <c r="EF54" s="192"/>
      <c r="EG54" s="192"/>
      <c r="EH54" s="192"/>
      <c r="EI54" s="191"/>
      <c r="EJ54" s="19"/>
      <c r="EK54" s="192"/>
      <c r="EL54" s="192"/>
      <c r="EM54" s="192"/>
      <c r="EN54" s="191"/>
      <c r="EO54" s="193"/>
      <c r="EP54" s="192"/>
      <c r="EQ54" s="192"/>
      <c r="ER54" s="192"/>
      <c r="ES54" s="191"/>
      <c r="ET54" s="19"/>
      <c r="EU54" s="192"/>
      <c r="EV54" s="192"/>
      <c r="EW54" s="192"/>
      <c r="EX54" s="191"/>
      <c r="EY54" s="193"/>
      <c r="EZ54" s="192"/>
      <c r="FA54" s="192"/>
      <c r="FB54" s="192"/>
      <c r="FC54" s="191"/>
      <c r="FL54" s="273">
        <f t="shared" ca="1" si="2"/>
        <v>116</v>
      </c>
    </row>
    <row r="55" spans="1:168" ht="16.5" thickBot="1">
      <c r="A55" s="199">
        <v>52</v>
      </c>
      <c r="B55" s="306"/>
      <c r="C55" s="310"/>
      <c r="D55" s="307" t="s">
        <v>271</v>
      </c>
      <c r="E55" s="307" t="s">
        <v>271</v>
      </c>
      <c r="F55" s="308"/>
      <c r="G55" s="343" t="str">
        <f t="shared" si="0"/>
        <v xml:space="preserve"> </v>
      </c>
      <c r="H55" s="307"/>
      <c r="I55" s="309" t="e">
        <f t="shared" si="1"/>
        <v>#N/A</v>
      </c>
      <c r="J55" s="307"/>
      <c r="K55" s="307"/>
      <c r="L55" s="310"/>
      <c r="M55" s="310"/>
      <c r="N55" s="310"/>
      <c r="O55" s="310"/>
      <c r="P55" s="310"/>
      <c r="Q55" s="310"/>
      <c r="R55" s="310"/>
      <c r="S55" s="310"/>
      <c r="T55" s="310"/>
      <c r="U55" s="307"/>
      <c r="V55" s="307"/>
      <c r="W55" s="311"/>
      <c r="X55" s="307"/>
      <c r="Y55" s="307"/>
      <c r="Z55" s="307"/>
      <c r="AA55" s="307"/>
      <c r="AB55" s="311"/>
      <c r="AC55" s="307"/>
      <c r="AD55" s="307"/>
      <c r="AE55" s="307"/>
      <c r="AF55" s="307"/>
      <c r="AG55" s="310"/>
      <c r="AH55" s="307"/>
      <c r="AI55" s="310"/>
      <c r="AJ55" s="307"/>
      <c r="AK55" s="307"/>
      <c r="AL55" s="307"/>
      <c r="AM55" s="308"/>
      <c r="AN55" s="311"/>
      <c r="AO55" s="307"/>
      <c r="AP55" s="307"/>
      <c r="AQ55" s="308"/>
      <c r="AR55" s="307"/>
      <c r="AS55" s="307"/>
      <c r="AT55" s="307"/>
      <c r="AU55" s="310"/>
      <c r="AV55" s="308"/>
      <c r="AW55" s="312"/>
      <c r="AX55" s="308"/>
      <c r="AY55" s="307"/>
      <c r="AZ55" s="307"/>
      <c r="BA55" s="307"/>
      <c r="BB55" s="307"/>
      <c r="BC55" s="308"/>
      <c r="BD55" s="308"/>
      <c r="BE55" s="313"/>
      <c r="BF55" s="307"/>
      <c r="BG55" s="310"/>
      <c r="BH55" s="307"/>
      <c r="BI55" s="307"/>
      <c r="BJ55" s="310"/>
      <c r="BK55" s="307"/>
      <c r="BL55" s="307"/>
      <c r="BM55" s="310"/>
      <c r="BN55" s="307"/>
      <c r="BO55" s="310"/>
      <c r="BP55" s="307"/>
      <c r="BQ55" s="307"/>
      <c r="BR55" s="307"/>
      <c r="BS55" s="307"/>
      <c r="BT55" s="307"/>
      <c r="BU55" s="310"/>
      <c r="BV55" s="307"/>
      <c r="BW55" s="308"/>
      <c r="BX55" s="311"/>
      <c r="BY55" s="307"/>
      <c r="BZ55" s="307"/>
      <c r="CA55" s="310"/>
      <c r="CB55" s="307"/>
      <c r="CC55" s="307"/>
      <c r="CD55" s="307"/>
      <c r="CE55" s="308"/>
      <c r="CF55" s="308"/>
      <c r="CG55" s="307"/>
      <c r="CH55" s="307"/>
      <c r="CI55" s="307"/>
      <c r="CJ55" s="307"/>
      <c r="CK55" s="314"/>
      <c r="CL55" s="310"/>
      <c r="CM55" s="310"/>
      <c r="CN55" s="307"/>
      <c r="CO55" s="307"/>
      <c r="CP55" s="307"/>
      <c r="CQ55" s="315"/>
      <c r="CR55" s="315"/>
      <c r="CS55" s="315"/>
      <c r="CT55" s="315"/>
      <c r="CU55" s="307"/>
      <c r="CV55" s="217"/>
      <c r="CW55" s="192"/>
      <c r="CX55" s="192"/>
      <c r="CY55" s="192"/>
      <c r="CZ55" s="191"/>
      <c r="DA55" s="193"/>
      <c r="DB55" s="192"/>
      <c r="DC55" s="192"/>
      <c r="DD55" s="192"/>
      <c r="DE55" s="191"/>
      <c r="DF55" s="19"/>
      <c r="DG55" s="192"/>
      <c r="DH55" s="192"/>
      <c r="DI55" s="192"/>
      <c r="DJ55" s="191"/>
      <c r="DK55" s="193"/>
      <c r="DL55" s="192"/>
      <c r="DM55" s="192"/>
      <c r="DN55" s="192"/>
      <c r="DO55" s="191"/>
      <c r="DP55" s="19"/>
      <c r="DQ55" s="192"/>
      <c r="DR55" s="192"/>
      <c r="DS55" s="192"/>
      <c r="DT55" s="191"/>
      <c r="DU55" s="193"/>
      <c r="DV55" s="192"/>
      <c r="DW55" s="192"/>
      <c r="DX55" s="192"/>
      <c r="DY55" s="191"/>
      <c r="DZ55" s="19"/>
      <c r="EA55" s="192"/>
      <c r="EB55" s="192"/>
      <c r="EC55" s="192"/>
      <c r="ED55" s="191"/>
      <c r="EE55" s="193"/>
      <c r="EF55" s="192"/>
      <c r="EG55" s="192"/>
      <c r="EH55" s="192"/>
      <c r="EI55" s="191"/>
      <c r="EJ55" s="19"/>
      <c r="EK55" s="192"/>
      <c r="EL55" s="192"/>
      <c r="EM55" s="192"/>
      <c r="EN55" s="191"/>
      <c r="EO55" s="193"/>
      <c r="EP55" s="192"/>
      <c r="EQ55" s="192"/>
      <c r="ER55" s="192"/>
      <c r="ES55" s="191"/>
      <c r="ET55" s="19"/>
      <c r="EU55" s="192"/>
      <c r="EV55" s="192"/>
      <c r="EW55" s="192"/>
      <c r="EX55" s="191"/>
      <c r="EY55" s="193"/>
      <c r="EZ55" s="192"/>
      <c r="FA55" s="192"/>
      <c r="FB55" s="192"/>
      <c r="FC55" s="191"/>
      <c r="FL55" s="273">
        <f t="shared" ca="1" si="2"/>
        <v>116</v>
      </c>
    </row>
    <row r="56" spans="1:168" ht="16.5" thickBot="1">
      <c r="A56" s="196">
        <v>53</v>
      </c>
      <c r="B56" s="306"/>
      <c r="C56" s="310"/>
      <c r="D56" s="307" t="s">
        <v>271</v>
      </c>
      <c r="E56" s="307" t="s">
        <v>271</v>
      </c>
      <c r="F56" s="308"/>
      <c r="G56" s="343" t="str">
        <f t="shared" si="0"/>
        <v xml:space="preserve"> </v>
      </c>
      <c r="H56" s="307"/>
      <c r="I56" s="309" t="e">
        <f t="shared" si="1"/>
        <v>#N/A</v>
      </c>
      <c r="J56" s="307"/>
      <c r="K56" s="307"/>
      <c r="L56" s="310"/>
      <c r="M56" s="310"/>
      <c r="N56" s="310"/>
      <c r="O56" s="310"/>
      <c r="P56" s="310"/>
      <c r="Q56" s="310"/>
      <c r="R56" s="310"/>
      <c r="S56" s="310"/>
      <c r="T56" s="310"/>
      <c r="U56" s="307"/>
      <c r="V56" s="307"/>
      <c r="W56" s="311"/>
      <c r="X56" s="307"/>
      <c r="Y56" s="307"/>
      <c r="Z56" s="307"/>
      <c r="AA56" s="307"/>
      <c r="AB56" s="311"/>
      <c r="AC56" s="307"/>
      <c r="AD56" s="307"/>
      <c r="AE56" s="307"/>
      <c r="AF56" s="307"/>
      <c r="AG56" s="310"/>
      <c r="AH56" s="307"/>
      <c r="AI56" s="310"/>
      <c r="AJ56" s="307"/>
      <c r="AK56" s="307"/>
      <c r="AL56" s="307"/>
      <c r="AM56" s="308"/>
      <c r="AN56" s="311"/>
      <c r="AO56" s="307"/>
      <c r="AP56" s="307"/>
      <c r="AQ56" s="308"/>
      <c r="AR56" s="307"/>
      <c r="AS56" s="307"/>
      <c r="AT56" s="307"/>
      <c r="AU56" s="310"/>
      <c r="AV56" s="308"/>
      <c r="AW56" s="312"/>
      <c r="AX56" s="308"/>
      <c r="AY56" s="307"/>
      <c r="AZ56" s="307"/>
      <c r="BA56" s="307"/>
      <c r="BB56" s="307"/>
      <c r="BC56" s="308"/>
      <c r="BD56" s="308"/>
      <c r="BE56" s="313"/>
      <c r="BF56" s="307"/>
      <c r="BG56" s="310"/>
      <c r="BH56" s="307"/>
      <c r="BI56" s="307"/>
      <c r="BJ56" s="310"/>
      <c r="BK56" s="307"/>
      <c r="BL56" s="307"/>
      <c r="BM56" s="310"/>
      <c r="BN56" s="307"/>
      <c r="BO56" s="310"/>
      <c r="BP56" s="307"/>
      <c r="BQ56" s="307"/>
      <c r="BR56" s="307"/>
      <c r="BS56" s="307"/>
      <c r="BT56" s="307"/>
      <c r="BU56" s="310"/>
      <c r="BV56" s="307"/>
      <c r="BW56" s="308"/>
      <c r="BX56" s="311"/>
      <c r="BY56" s="307"/>
      <c r="BZ56" s="307"/>
      <c r="CA56" s="310"/>
      <c r="CB56" s="307"/>
      <c r="CC56" s="307"/>
      <c r="CD56" s="307"/>
      <c r="CE56" s="308"/>
      <c r="CF56" s="308"/>
      <c r="CG56" s="307"/>
      <c r="CH56" s="307"/>
      <c r="CI56" s="307"/>
      <c r="CJ56" s="307"/>
      <c r="CK56" s="314"/>
      <c r="CL56" s="310"/>
      <c r="CM56" s="310"/>
      <c r="CN56" s="307"/>
      <c r="CO56" s="307"/>
      <c r="CP56" s="307"/>
      <c r="CQ56" s="315"/>
      <c r="CR56" s="315"/>
      <c r="CS56" s="315"/>
      <c r="CT56" s="315"/>
      <c r="CU56" s="307"/>
      <c r="CV56" s="217"/>
      <c r="CW56" s="192"/>
      <c r="CX56" s="192"/>
      <c r="CY56" s="192"/>
      <c r="CZ56" s="191"/>
      <c r="DA56" s="193"/>
      <c r="DB56" s="192"/>
      <c r="DC56" s="192"/>
      <c r="DD56" s="192"/>
      <c r="DE56" s="191"/>
      <c r="DF56" s="19"/>
      <c r="DG56" s="192"/>
      <c r="DH56" s="192"/>
      <c r="DI56" s="192"/>
      <c r="DJ56" s="191"/>
      <c r="DK56" s="193"/>
      <c r="DL56" s="192"/>
      <c r="DM56" s="192"/>
      <c r="DN56" s="192"/>
      <c r="DO56" s="191"/>
      <c r="DP56" s="19"/>
      <c r="DQ56" s="192"/>
      <c r="DR56" s="192"/>
      <c r="DS56" s="192"/>
      <c r="DT56" s="191"/>
      <c r="DU56" s="193"/>
      <c r="DV56" s="192"/>
      <c r="DW56" s="192"/>
      <c r="DX56" s="192"/>
      <c r="DY56" s="191"/>
      <c r="DZ56" s="19"/>
      <c r="EA56" s="192"/>
      <c r="EB56" s="192"/>
      <c r="EC56" s="192"/>
      <c r="ED56" s="191"/>
      <c r="EE56" s="193"/>
      <c r="EF56" s="192"/>
      <c r="EG56" s="192"/>
      <c r="EH56" s="192"/>
      <c r="EI56" s="191"/>
      <c r="EJ56" s="19"/>
      <c r="EK56" s="192"/>
      <c r="EL56" s="192"/>
      <c r="EM56" s="192"/>
      <c r="EN56" s="191"/>
      <c r="EO56" s="193"/>
      <c r="EP56" s="192"/>
      <c r="EQ56" s="192"/>
      <c r="ER56" s="192"/>
      <c r="ES56" s="191"/>
      <c r="ET56" s="19"/>
      <c r="EU56" s="192"/>
      <c r="EV56" s="192"/>
      <c r="EW56" s="192"/>
      <c r="EX56" s="191"/>
      <c r="EY56" s="193"/>
      <c r="EZ56" s="192"/>
      <c r="FA56" s="192"/>
      <c r="FB56" s="192"/>
      <c r="FC56" s="191"/>
      <c r="FL56" s="273">
        <f t="shared" ca="1" si="2"/>
        <v>116</v>
      </c>
    </row>
    <row r="57" spans="1:168" ht="16.5" thickBot="1">
      <c r="A57" s="199">
        <v>54</v>
      </c>
      <c r="B57" s="306"/>
      <c r="C57" s="310"/>
      <c r="D57" s="307" t="s">
        <v>271</v>
      </c>
      <c r="E57" s="307" t="s">
        <v>271</v>
      </c>
      <c r="F57" s="308"/>
      <c r="G57" s="343" t="str">
        <f t="shared" si="0"/>
        <v xml:space="preserve"> </v>
      </c>
      <c r="H57" s="307"/>
      <c r="I57" s="309" t="e">
        <f t="shared" si="1"/>
        <v>#N/A</v>
      </c>
      <c r="J57" s="307"/>
      <c r="K57" s="307"/>
      <c r="L57" s="310"/>
      <c r="M57" s="310"/>
      <c r="N57" s="310"/>
      <c r="O57" s="310"/>
      <c r="P57" s="310"/>
      <c r="Q57" s="310"/>
      <c r="R57" s="310"/>
      <c r="S57" s="310"/>
      <c r="T57" s="310"/>
      <c r="U57" s="307"/>
      <c r="V57" s="307"/>
      <c r="W57" s="311"/>
      <c r="X57" s="307"/>
      <c r="Y57" s="307"/>
      <c r="Z57" s="307"/>
      <c r="AA57" s="307"/>
      <c r="AB57" s="311"/>
      <c r="AC57" s="307"/>
      <c r="AD57" s="307"/>
      <c r="AE57" s="307"/>
      <c r="AF57" s="307"/>
      <c r="AG57" s="310"/>
      <c r="AH57" s="307"/>
      <c r="AI57" s="310"/>
      <c r="AJ57" s="307"/>
      <c r="AK57" s="307"/>
      <c r="AL57" s="307"/>
      <c r="AM57" s="308"/>
      <c r="AN57" s="311"/>
      <c r="AO57" s="307"/>
      <c r="AP57" s="307"/>
      <c r="AQ57" s="308"/>
      <c r="AR57" s="307"/>
      <c r="AS57" s="307"/>
      <c r="AT57" s="307"/>
      <c r="AU57" s="310"/>
      <c r="AV57" s="308"/>
      <c r="AW57" s="312"/>
      <c r="AX57" s="308"/>
      <c r="AY57" s="307"/>
      <c r="AZ57" s="307"/>
      <c r="BA57" s="307"/>
      <c r="BB57" s="307"/>
      <c r="BC57" s="308"/>
      <c r="BD57" s="308"/>
      <c r="BE57" s="313"/>
      <c r="BF57" s="307"/>
      <c r="BG57" s="310"/>
      <c r="BH57" s="307"/>
      <c r="BI57" s="307"/>
      <c r="BJ57" s="310"/>
      <c r="BK57" s="307"/>
      <c r="BL57" s="307"/>
      <c r="BM57" s="310"/>
      <c r="BN57" s="307"/>
      <c r="BO57" s="310"/>
      <c r="BP57" s="307"/>
      <c r="BQ57" s="307"/>
      <c r="BR57" s="307"/>
      <c r="BS57" s="307"/>
      <c r="BT57" s="307"/>
      <c r="BU57" s="310"/>
      <c r="BV57" s="307"/>
      <c r="BW57" s="308"/>
      <c r="BX57" s="311"/>
      <c r="BY57" s="307"/>
      <c r="BZ57" s="307"/>
      <c r="CA57" s="310"/>
      <c r="CB57" s="307"/>
      <c r="CC57" s="307"/>
      <c r="CD57" s="307"/>
      <c r="CE57" s="308"/>
      <c r="CF57" s="308"/>
      <c r="CG57" s="307"/>
      <c r="CH57" s="307"/>
      <c r="CI57" s="307"/>
      <c r="CJ57" s="307"/>
      <c r="CK57" s="314"/>
      <c r="CL57" s="310"/>
      <c r="CM57" s="310"/>
      <c r="CN57" s="307"/>
      <c r="CO57" s="307"/>
      <c r="CP57" s="307"/>
      <c r="CQ57" s="315"/>
      <c r="CR57" s="315"/>
      <c r="CS57" s="315"/>
      <c r="CT57" s="315"/>
      <c r="CU57" s="307"/>
      <c r="CV57" s="217"/>
      <c r="CW57" s="192"/>
      <c r="CX57" s="192"/>
      <c r="CY57" s="192"/>
      <c r="CZ57" s="191"/>
      <c r="DA57" s="193"/>
      <c r="DB57" s="192"/>
      <c r="DC57" s="192"/>
      <c r="DD57" s="192"/>
      <c r="DE57" s="191"/>
      <c r="DF57" s="19"/>
      <c r="DG57" s="192"/>
      <c r="DH57" s="192"/>
      <c r="DI57" s="192"/>
      <c r="DJ57" s="191"/>
      <c r="DK57" s="193"/>
      <c r="DL57" s="192"/>
      <c r="DM57" s="192"/>
      <c r="DN57" s="192"/>
      <c r="DO57" s="191"/>
      <c r="DP57" s="19"/>
      <c r="DQ57" s="192"/>
      <c r="DR57" s="192"/>
      <c r="DS57" s="192"/>
      <c r="DT57" s="191"/>
      <c r="DU57" s="193"/>
      <c r="DV57" s="192"/>
      <c r="DW57" s="192"/>
      <c r="DX57" s="192"/>
      <c r="DY57" s="191"/>
      <c r="DZ57" s="19"/>
      <c r="EA57" s="192"/>
      <c r="EB57" s="192"/>
      <c r="EC57" s="192"/>
      <c r="ED57" s="191"/>
      <c r="EE57" s="193"/>
      <c r="EF57" s="192"/>
      <c r="EG57" s="192"/>
      <c r="EH57" s="192"/>
      <c r="EI57" s="191"/>
      <c r="EJ57" s="19"/>
      <c r="EK57" s="192"/>
      <c r="EL57" s="192"/>
      <c r="EM57" s="192"/>
      <c r="EN57" s="191"/>
      <c r="EO57" s="193"/>
      <c r="EP57" s="192"/>
      <c r="EQ57" s="192"/>
      <c r="ER57" s="192"/>
      <c r="ES57" s="191"/>
      <c r="ET57" s="19"/>
      <c r="EU57" s="192"/>
      <c r="EV57" s="192"/>
      <c r="EW57" s="192"/>
      <c r="EX57" s="191"/>
      <c r="EY57" s="193"/>
      <c r="EZ57" s="192"/>
      <c r="FA57" s="192"/>
      <c r="FB57" s="192"/>
      <c r="FC57" s="191"/>
      <c r="FL57" s="273">
        <f t="shared" ca="1" si="2"/>
        <v>116</v>
      </c>
    </row>
    <row r="58" spans="1:168" ht="16.5" thickBot="1">
      <c r="A58" s="196">
        <v>55</v>
      </c>
      <c r="B58" s="306"/>
      <c r="C58" s="310"/>
      <c r="D58" s="307" t="s">
        <v>271</v>
      </c>
      <c r="E58" s="307" t="s">
        <v>271</v>
      </c>
      <c r="F58" s="308"/>
      <c r="G58" s="343" t="str">
        <f t="shared" si="0"/>
        <v xml:space="preserve"> </v>
      </c>
      <c r="H58" s="307"/>
      <c r="I58" s="309" t="e">
        <f t="shared" si="1"/>
        <v>#N/A</v>
      </c>
      <c r="J58" s="307"/>
      <c r="K58" s="307"/>
      <c r="L58" s="310"/>
      <c r="M58" s="310"/>
      <c r="N58" s="310"/>
      <c r="O58" s="310"/>
      <c r="P58" s="310"/>
      <c r="Q58" s="310"/>
      <c r="R58" s="310"/>
      <c r="S58" s="310"/>
      <c r="T58" s="310"/>
      <c r="U58" s="307"/>
      <c r="V58" s="307"/>
      <c r="W58" s="311"/>
      <c r="X58" s="307"/>
      <c r="Y58" s="307"/>
      <c r="Z58" s="307"/>
      <c r="AA58" s="307"/>
      <c r="AB58" s="311"/>
      <c r="AC58" s="307"/>
      <c r="AD58" s="307"/>
      <c r="AE58" s="307"/>
      <c r="AF58" s="307"/>
      <c r="AG58" s="310"/>
      <c r="AH58" s="307"/>
      <c r="AI58" s="310"/>
      <c r="AJ58" s="307"/>
      <c r="AK58" s="307"/>
      <c r="AL58" s="307"/>
      <c r="AM58" s="308"/>
      <c r="AN58" s="311"/>
      <c r="AO58" s="307"/>
      <c r="AP58" s="307"/>
      <c r="AQ58" s="308"/>
      <c r="AR58" s="307"/>
      <c r="AS58" s="307"/>
      <c r="AT58" s="307"/>
      <c r="AU58" s="310"/>
      <c r="AV58" s="308"/>
      <c r="AW58" s="312"/>
      <c r="AX58" s="308"/>
      <c r="AY58" s="307"/>
      <c r="AZ58" s="307"/>
      <c r="BA58" s="307"/>
      <c r="BB58" s="307"/>
      <c r="BC58" s="308"/>
      <c r="BD58" s="308"/>
      <c r="BE58" s="313"/>
      <c r="BF58" s="307"/>
      <c r="BG58" s="310"/>
      <c r="BH58" s="307"/>
      <c r="BI58" s="307"/>
      <c r="BJ58" s="310"/>
      <c r="BK58" s="307"/>
      <c r="BL58" s="307"/>
      <c r="BM58" s="310"/>
      <c r="BN58" s="307"/>
      <c r="BO58" s="310"/>
      <c r="BP58" s="307"/>
      <c r="BQ58" s="307"/>
      <c r="BR58" s="307"/>
      <c r="BS58" s="307"/>
      <c r="BT58" s="307"/>
      <c r="BU58" s="310"/>
      <c r="BV58" s="307"/>
      <c r="BW58" s="308"/>
      <c r="BX58" s="311"/>
      <c r="BY58" s="307"/>
      <c r="BZ58" s="307"/>
      <c r="CA58" s="310"/>
      <c r="CB58" s="307"/>
      <c r="CC58" s="307"/>
      <c r="CD58" s="307"/>
      <c r="CE58" s="308"/>
      <c r="CF58" s="308"/>
      <c r="CG58" s="307"/>
      <c r="CH58" s="307"/>
      <c r="CI58" s="307"/>
      <c r="CJ58" s="307"/>
      <c r="CK58" s="314"/>
      <c r="CL58" s="310"/>
      <c r="CM58" s="310"/>
      <c r="CN58" s="307"/>
      <c r="CO58" s="307"/>
      <c r="CP58" s="307"/>
      <c r="CQ58" s="315"/>
      <c r="CR58" s="315"/>
      <c r="CS58" s="315"/>
      <c r="CT58" s="315"/>
      <c r="CU58" s="307"/>
      <c r="CV58" s="217"/>
      <c r="CW58" s="192"/>
      <c r="CX58" s="192"/>
      <c r="CY58" s="192"/>
      <c r="CZ58" s="191"/>
      <c r="DA58" s="193"/>
      <c r="DB58" s="192"/>
      <c r="DC58" s="192"/>
      <c r="DD58" s="192"/>
      <c r="DE58" s="191"/>
      <c r="DF58" s="19"/>
      <c r="DG58" s="192"/>
      <c r="DH58" s="192"/>
      <c r="DI58" s="192"/>
      <c r="DJ58" s="191"/>
      <c r="DK58" s="193"/>
      <c r="DL58" s="192"/>
      <c r="DM58" s="192"/>
      <c r="DN58" s="192"/>
      <c r="DO58" s="191"/>
      <c r="DP58" s="19"/>
      <c r="DQ58" s="192"/>
      <c r="DR58" s="192"/>
      <c r="DS58" s="192"/>
      <c r="DT58" s="191"/>
      <c r="DU58" s="193"/>
      <c r="DV58" s="192"/>
      <c r="DW58" s="192"/>
      <c r="DX58" s="192"/>
      <c r="DY58" s="191"/>
      <c r="DZ58" s="19"/>
      <c r="EA58" s="192"/>
      <c r="EB58" s="192"/>
      <c r="EC58" s="192"/>
      <c r="ED58" s="191"/>
      <c r="EE58" s="193"/>
      <c r="EF58" s="192"/>
      <c r="EG58" s="192"/>
      <c r="EH58" s="192"/>
      <c r="EI58" s="191"/>
      <c r="EJ58" s="19"/>
      <c r="EK58" s="192"/>
      <c r="EL58" s="192"/>
      <c r="EM58" s="192"/>
      <c r="EN58" s="191"/>
      <c r="EO58" s="193"/>
      <c r="EP58" s="192"/>
      <c r="EQ58" s="192"/>
      <c r="ER58" s="192"/>
      <c r="ES58" s="191"/>
      <c r="ET58" s="19"/>
      <c r="EU58" s="192"/>
      <c r="EV58" s="192"/>
      <c r="EW58" s="192"/>
      <c r="EX58" s="191"/>
      <c r="EY58" s="193"/>
      <c r="EZ58" s="192"/>
      <c r="FA58" s="192"/>
      <c r="FB58" s="192"/>
      <c r="FC58" s="191"/>
      <c r="FL58" s="273">
        <f t="shared" ca="1" si="2"/>
        <v>116</v>
      </c>
    </row>
    <row r="59" spans="1:168" ht="16.5" thickBot="1">
      <c r="A59" s="199">
        <v>56</v>
      </c>
      <c r="B59" s="306"/>
      <c r="C59" s="310"/>
      <c r="D59" s="307" t="s">
        <v>271</v>
      </c>
      <c r="E59" s="307" t="s">
        <v>271</v>
      </c>
      <c r="F59" s="308"/>
      <c r="G59" s="343" t="str">
        <f t="shared" si="0"/>
        <v xml:space="preserve"> </v>
      </c>
      <c r="H59" s="307"/>
      <c r="I59" s="309" t="e">
        <f t="shared" si="1"/>
        <v>#N/A</v>
      </c>
      <c r="J59" s="307"/>
      <c r="K59" s="307"/>
      <c r="L59" s="310"/>
      <c r="M59" s="310"/>
      <c r="N59" s="310"/>
      <c r="O59" s="310"/>
      <c r="P59" s="310"/>
      <c r="Q59" s="310"/>
      <c r="R59" s="310"/>
      <c r="S59" s="310"/>
      <c r="T59" s="310"/>
      <c r="U59" s="307"/>
      <c r="V59" s="307"/>
      <c r="W59" s="311"/>
      <c r="X59" s="307"/>
      <c r="Y59" s="307"/>
      <c r="Z59" s="307"/>
      <c r="AA59" s="307"/>
      <c r="AB59" s="311"/>
      <c r="AC59" s="307"/>
      <c r="AD59" s="307"/>
      <c r="AE59" s="307"/>
      <c r="AF59" s="307"/>
      <c r="AG59" s="310"/>
      <c r="AH59" s="307"/>
      <c r="AI59" s="310"/>
      <c r="AJ59" s="307"/>
      <c r="AK59" s="307"/>
      <c r="AL59" s="307"/>
      <c r="AM59" s="308"/>
      <c r="AN59" s="311"/>
      <c r="AO59" s="307"/>
      <c r="AP59" s="307"/>
      <c r="AQ59" s="308"/>
      <c r="AR59" s="307"/>
      <c r="AS59" s="307"/>
      <c r="AT59" s="307"/>
      <c r="AU59" s="310"/>
      <c r="AV59" s="308"/>
      <c r="AW59" s="312"/>
      <c r="AX59" s="308"/>
      <c r="AY59" s="307"/>
      <c r="AZ59" s="307"/>
      <c r="BA59" s="307"/>
      <c r="BB59" s="307"/>
      <c r="BC59" s="308"/>
      <c r="BD59" s="308"/>
      <c r="BE59" s="313"/>
      <c r="BF59" s="307"/>
      <c r="BG59" s="310"/>
      <c r="BH59" s="307"/>
      <c r="BI59" s="307"/>
      <c r="BJ59" s="310"/>
      <c r="BK59" s="307"/>
      <c r="BL59" s="307"/>
      <c r="BM59" s="310"/>
      <c r="BN59" s="307"/>
      <c r="BO59" s="310"/>
      <c r="BP59" s="307"/>
      <c r="BQ59" s="307"/>
      <c r="BR59" s="307"/>
      <c r="BS59" s="307"/>
      <c r="BT59" s="307"/>
      <c r="BU59" s="310"/>
      <c r="BV59" s="307"/>
      <c r="BW59" s="308"/>
      <c r="BX59" s="311"/>
      <c r="BY59" s="307"/>
      <c r="BZ59" s="307"/>
      <c r="CA59" s="310"/>
      <c r="CB59" s="307"/>
      <c r="CC59" s="307"/>
      <c r="CD59" s="307"/>
      <c r="CE59" s="308"/>
      <c r="CF59" s="308"/>
      <c r="CG59" s="307"/>
      <c r="CH59" s="307"/>
      <c r="CI59" s="307"/>
      <c r="CJ59" s="307"/>
      <c r="CK59" s="314"/>
      <c r="CL59" s="310"/>
      <c r="CM59" s="310"/>
      <c r="CN59" s="307"/>
      <c r="CO59" s="307"/>
      <c r="CP59" s="307"/>
      <c r="CQ59" s="315"/>
      <c r="CR59" s="315"/>
      <c r="CS59" s="315"/>
      <c r="CT59" s="315"/>
      <c r="CU59" s="307"/>
      <c r="CV59" s="217"/>
      <c r="CW59" s="192"/>
      <c r="CX59" s="192"/>
      <c r="CY59" s="192"/>
      <c r="CZ59" s="191"/>
      <c r="DA59" s="193"/>
      <c r="DB59" s="192"/>
      <c r="DC59" s="192"/>
      <c r="DD59" s="192"/>
      <c r="DE59" s="191"/>
      <c r="DF59" s="19"/>
      <c r="DG59" s="192"/>
      <c r="DH59" s="192"/>
      <c r="DI59" s="192"/>
      <c r="DJ59" s="191"/>
      <c r="DK59" s="193"/>
      <c r="DL59" s="192"/>
      <c r="DM59" s="192"/>
      <c r="DN59" s="192"/>
      <c r="DO59" s="191"/>
      <c r="DP59" s="19"/>
      <c r="DQ59" s="192"/>
      <c r="DR59" s="192"/>
      <c r="DS59" s="192"/>
      <c r="DT59" s="191"/>
      <c r="DU59" s="193"/>
      <c r="DV59" s="192"/>
      <c r="DW59" s="192"/>
      <c r="DX59" s="192"/>
      <c r="DY59" s="191"/>
      <c r="DZ59" s="19"/>
      <c r="EA59" s="192"/>
      <c r="EB59" s="192"/>
      <c r="EC59" s="192"/>
      <c r="ED59" s="191"/>
      <c r="EE59" s="193"/>
      <c r="EF59" s="192"/>
      <c r="EG59" s="192"/>
      <c r="EH59" s="192"/>
      <c r="EI59" s="191"/>
      <c r="EJ59" s="19"/>
      <c r="EK59" s="192"/>
      <c r="EL59" s="192"/>
      <c r="EM59" s="192"/>
      <c r="EN59" s="191"/>
      <c r="EO59" s="193"/>
      <c r="EP59" s="192"/>
      <c r="EQ59" s="192"/>
      <c r="ER59" s="192"/>
      <c r="ES59" s="191"/>
      <c r="ET59" s="19"/>
      <c r="EU59" s="192"/>
      <c r="EV59" s="192"/>
      <c r="EW59" s="192"/>
      <c r="EX59" s="191"/>
      <c r="EY59" s="193"/>
      <c r="EZ59" s="192"/>
      <c r="FA59" s="192"/>
      <c r="FB59" s="192"/>
      <c r="FC59" s="191"/>
      <c r="FL59" s="273">
        <f t="shared" ca="1" si="2"/>
        <v>116</v>
      </c>
    </row>
    <row r="60" spans="1:168" ht="16.5" thickBot="1">
      <c r="A60" s="196">
        <v>57</v>
      </c>
      <c r="B60" s="306"/>
      <c r="C60" s="310"/>
      <c r="D60" s="307" t="s">
        <v>271</v>
      </c>
      <c r="E60" s="307" t="s">
        <v>271</v>
      </c>
      <c r="F60" s="308"/>
      <c r="G60" s="343" t="str">
        <f t="shared" si="0"/>
        <v xml:space="preserve"> </v>
      </c>
      <c r="H60" s="307"/>
      <c r="I60" s="309" t="e">
        <f t="shared" si="1"/>
        <v>#N/A</v>
      </c>
      <c r="J60" s="307"/>
      <c r="K60" s="307"/>
      <c r="L60" s="310"/>
      <c r="M60" s="310"/>
      <c r="N60" s="310"/>
      <c r="O60" s="310"/>
      <c r="P60" s="310"/>
      <c r="Q60" s="310"/>
      <c r="R60" s="310"/>
      <c r="S60" s="310"/>
      <c r="T60" s="310"/>
      <c r="U60" s="307"/>
      <c r="V60" s="307"/>
      <c r="W60" s="311"/>
      <c r="X60" s="307"/>
      <c r="Y60" s="307"/>
      <c r="Z60" s="307"/>
      <c r="AA60" s="307"/>
      <c r="AB60" s="311"/>
      <c r="AC60" s="307"/>
      <c r="AD60" s="307"/>
      <c r="AE60" s="307"/>
      <c r="AF60" s="307"/>
      <c r="AG60" s="310"/>
      <c r="AH60" s="307"/>
      <c r="AI60" s="310"/>
      <c r="AJ60" s="307"/>
      <c r="AK60" s="307"/>
      <c r="AL60" s="307"/>
      <c r="AM60" s="308"/>
      <c r="AN60" s="311"/>
      <c r="AO60" s="307"/>
      <c r="AP60" s="307"/>
      <c r="AQ60" s="308"/>
      <c r="AR60" s="307"/>
      <c r="AS60" s="307"/>
      <c r="AT60" s="307"/>
      <c r="AU60" s="310"/>
      <c r="AV60" s="308"/>
      <c r="AW60" s="312"/>
      <c r="AX60" s="308"/>
      <c r="AY60" s="307"/>
      <c r="AZ60" s="307"/>
      <c r="BA60" s="307"/>
      <c r="BB60" s="307"/>
      <c r="BC60" s="308"/>
      <c r="BD60" s="308"/>
      <c r="BE60" s="313"/>
      <c r="BF60" s="307"/>
      <c r="BG60" s="310"/>
      <c r="BH60" s="307"/>
      <c r="BI60" s="307"/>
      <c r="BJ60" s="310"/>
      <c r="BK60" s="307"/>
      <c r="BL60" s="307"/>
      <c r="BM60" s="310"/>
      <c r="BN60" s="307"/>
      <c r="BO60" s="310"/>
      <c r="BP60" s="307"/>
      <c r="BQ60" s="307"/>
      <c r="BR60" s="307"/>
      <c r="BS60" s="307"/>
      <c r="BT60" s="307"/>
      <c r="BU60" s="310"/>
      <c r="BV60" s="307"/>
      <c r="BW60" s="308"/>
      <c r="BX60" s="311"/>
      <c r="BY60" s="307"/>
      <c r="BZ60" s="307"/>
      <c r="CA60" s="310"/>
      <c r="CB60" s="307"/>
      <c r="CC60" s="307"/>
      <c r="CD60" s="307"/>
      <c r="CE60" s="308"/>
      <c r="CF60" s="308"/>
      <c r="CG60" s="307"/>
      <c r="CH60" s="307"/>
      <c r="CI60" s="307"/>
      <c r="CJ60" s="307"/>
      <c r="CK60" s="314"/>
      <c r="CL60" s="310"/>
      <c r="CM60" s="310"/>
      <c r="CN60" s="307"/>
      <c r="CO60" s="307"/>
      <c r="CP60" s="307"/>
      <c r="CQ60" s="315"/>
      <c r="CR60" s="315"/>
      <c r="CS60" s="315"/>
      <c r="CT60" s="315"/>
      <c r="CU60" s="307"/>
      <c r="CV60" s="217"/>
      <c r="CW60" s="192"/>
      <c r="CX60" s="192"/>
      <c r="CY60" s="192"/>
      <c r="CZ60" s="191"/>
      <c r="DA60" s="193"/>
      <c r="DB60" s="192"/>
      <c r="DC60" s="192"/>
      <c r="DD60" s="192"/>
      <c r="DE60" s="191"/>
      <c r="DF60" s="19"/>
      <c r="DG60" s="192"/>
      <c r="DH60" s="192"/>
      <c r="DI60" s="192"/>
      <c r="DJ60" s="191"/>
      <c r="DK60" s="193"/>
      <c r="DL60" s="192"/>
      <c r="DM60" s="192"/>
      <c r="DN60" s="192"/>
      <c r="DO60" s="191"/>
      <c r="DP60" s="19"/>
      <c r="DQ60" s="192"/>
      <c r="DR60" s="192"/>
      <c r="DS60" s="192"/>
      <c r="DT60" s="191"/>
      <c r="DU60" s="193"/>
      <c r="DV60" s="192"/>
      <c r="DW60" s="192"/>
      <c r="DX60" s="192"/>
      <c r="DY60" s="191"/>
      <c r="DZ60" s="19"/>
      <c r="EA60" s="192"/>
      <c r="EB60" s="192"/>
      <c r="EC60" s="192"/>
      <c r="ED60" s="191"/>
      <c r="EE60" s="193"/>
      <c r="EF60" s="192"/>
      <c r="EG60" s="192"/>
      <c r="EH60" s="192"/>
      <c r="EI60" s="191"/>
      <c r="EJ60" s="19"/>
      <c r="EK60" s="192"/>
      <c r="EL60" s="192"/>
      <c r="EM60" s="192"/>
      <c r="EN60" s="191"/>
      <c r="EO60" s="193"/>
      <c r="EP60" s="192"/>
      <c r="EQ60" s="192"/>
      <c r="ER60" s="192"/>
      <c r="ES60" s="191"/>
      <c r="ET60" s="19"/>
      <c r="EU60" s="192"/>
      <c r="EV60" s="192"/>
      <c r="EW60" s="192"/>
      <c r="EX60" s="191"/>
      <c r="EY60" s="193"/>
      <c r="EZ60" s="192"/>
      <c r="FA60" s="192"/>
      <c r="FB60" s="192"/>
      <c r="FC60" s="191"/>
      <c r="FL60" s="273">
        <f t="shared" ca="1" si="2"/>
        <v>116</v>
      </c>
    </row>
    <row r="61" spans="1:168" ht="16.5" thickBot="1">
      <c r="A61" s="199">
        <v>58</v>
      </c>
      <c r="B61" s="306"/>
      <c r="C61" s="310"/>
      <c r="D61" s="307" t="s">
        <v>271</v>
      </c>
      <c r="E61" s="307" t="s">
        <v>271</v>
      </c>
      <c r="F61" s="308"/>
      <c r="G61" s="343" t="str">
        <f t="shared" si="0"/>
        <v xml:space="preserve"> </v>
      </c>
      <c r="H61" s="307"/>
      <c r="I61" s="309" t="e">
        <f t="shared" si="1"/>
        <v>#N/A</v>
      </c>
      <c r="J61" s="307"/>
      <c r="K61" s="307"/>
      <c r="L61" s="310"/>
      <c r="M61" s="310"/>
      <c r="N61" s="310"/>
      <c r="O61" s="310"/>
      <c r="P61" s="310"/>
      <c r="Q61" s="310"/>
      <c r="R61" s="310"/>
      <c r="S61" s="310"/>
      <c r="T61" s="310"/>
      <c r="U61" s="307"/>
      <c r="V61" s="307"/>
      <c r="W61" s="311"/>
      <c r="X61" s="307"/>
      <c r="Y61" s="307"/>
      <c r="Z61" s="307"/>
      <c r="AA61" s="307"/>
      <c r="AB61" s="311"/>
      <c r="AC61" s="307"/>
      <c r="AD61" s="307"/>
      <c r="AE61" s="307"/>
      <c r="AF61" s="307"/>
      <c r="AG61" s="310"/>
      <c r="AH61" s="307"/>
      <c r="AI61" s="310"/>
      <c r="AJ61" s="307"/>
      <c r="AK61" s="307"/>
      <c r="AL61" s="307"/>
      <c r="AM61" s="308"/>
      <c r="AN61" s="311"/>
      <c r="AO61" s="307"/>
      <c r="AP61" s="307"/>
      <c r="AQ61" s="308"/>
      <c r="AR61" s="307"/>
      <c r="AS61" s="307"/>
      <c r="AT61" s="307"/>
      <c r="AU61" s="310"/>
      <c r="AV61" s="308"/>
      <c r="AW61" s="312"/>
      <c r="AX61" s="308"/>
      <c r="AY61" s="307"/>
      <c r="AZ61" s="307"/>
      <c r="BA61" s="307"/>
      <c r="BB61" s="307"/>
      <c r="BC61" s="308"/>
      <c r="BD61" s="308"/>
      <c r="BE61" s="313"/>
      <c r="BF61" s="307"/>
      <c r="BG61" s="310"/>
      <c r="BH61" s="307"/>
      <c r="BI61" s="307"/>
      <c r="BJ61" s="310"/>
      <c r="BK61" s="307"/>
      <c r="BL61" s="307"/>
      <c r="BM61" s="310"/>
      <c r="BN61" s="307"/>
      <c r="BO61" s="310"/>
      <c r="BP61" s="307"/>
      <c r="BQ61" s="307"/>
      <c r="BR61" s="307"/>
      <c r="BS61" s="307"/>
      <c r="BT61" s="307"/>
      <c r="BU61" s="310"/>
      <c r="BV61" s="307"/>
      <c r="BW61" s="308"/>
      <c r="BX61" s="311"/>
      <c r="BY61" s="307"/>
      <c r="BZ61" s="307"/>
      <c r="CA61" s="310"/>
      <c r="CB61" s="307"/>
      <c r="CC61" s="307"/>
      <c r="CD61" s="307"/>
      <c r="CE61" s="308"/>
      <c r="CF61" s="308"/>
      <c r="CG61" s="307"/>
      <c r="CH61" s="307"/>
      <c r="CI61" s="307"/>
      <c r="CJ61" s="307"/>
      <c r="CK61" s="314"/>
      <c r="CL61" s="310"/>
      <c r="CM61" s="310"/>
      <c r="CN61" s="307"/>
      <c r="CO61" s="307"/>
      <c r="CP61" s="307"/>
      <c r="CQ61" s="315"/>
      <c r="CR61" s="315"/>
      <c r="CS61" s="315"/>
      <c r="CT61" s="315"/>
      <c r="CU61" s="307"/>
      <c r="CV61" s="217"/>
      <c r="CW61" s="192"/>
      <c r="CX61" s="192"/>
      <c r="CY61" s="192"/>
      <c r="CZ61" s="191"/>
      <c r="DA61" s="193"/>
      <c r="DB61" s="192"/>
      <c r="DC61" s="192"/>
      <c r="DD61" s="192"/>
      <c r="DE61" s="191"/>
      <c r="DF61" s="19"/>
      <c r="DG61" s="192"/>
      <c r="DH61" s="192"/>
      <c r="DI61" s="192"/>
      <c r="DJ61" s="191"/>
      <c r="DK61" s="193"/>
      <c r="DL61" s="192"/>
      <c r="DM61" s="192"/>
      <c r="DN61" s="192"/>
      <c r="DO61" s="191"/>
      <c r="DP61" s="19"/>
      <c r="DQ61" s="192"/>
      <c r="DR61" s="192"/>
      <c r="DS61" s="192"/>
      <c r="DT61" s="191"/>
      <c r="DU61" s="193"/>
      <c r="DV61" s="192"/>
      <c r="DW61" s="192"/>
      <c r="DX61" s="192"/>
      <c r="DY61" s="191"/>
      <c r="DZ61" s="19"/>
      <c r="EA61" s="192"/>
      <c r="EB61" s="192"/>
      <c r="EC61" s="192"/>
      <c r="ED61" s="191"/>
      <c r="EE61" s="193"/>
      <c r="EF61" s="192"/>
      <c r="EG61" s="192"/>
      <c r="EH61" s="192"/>
      <c r="EI61" s="191"/>
      <c r="EJ61" s="19"/>
      <c r="EK61" s="192"/>
      <c r="EL61" s="192"/>
      <c r="EM61" s="192"/>
      <c r="EN61" s="191"/>
      <c r="EO61" s="193"/>
      <c r="EP61" s="192"/>
      <c r="EQ61" s="192"/>
      <c r="ER61" s="192"/>
      <c r="ES61" s="191"/>
      <c r="ET61" s="19"/>
      <c r="EU61" s="192"/>
      <c r="EV61" s="192"/>
      <c r="EW61" s="192"/>
      <c r="EX61" s="191"/>
      <c r="EY61" s="193"/>
      <c r="EZ61" s="192"/>
      <c r="FA61" s="192"/>
      <c r="FB61" s="192"/>
      <c r="FC61" s="191"/>
      <c r="FL61" s="273">
        <f t="shared" ca="1" si="2"/>
        <v>116</v>
      </c>
    </row>
    <row r="62" spans="1:168" ht="16.5" thickBot="1">
      <c r="A62" s="196">
        <v>59</v>
      </c>
      <c r="B62" s="306"/>
      <c r="C62" s="310"/>
      <c r="D62" s="307" t="s">
        <v>271</v>
      </c>
      <c r="E62" s="307" t="s">
        <v>271</v>
      </c>
      <c r="F62" s="308"/>
      <c r="G62" s="343" t="str">
        <f t="shared" si="0"/>
        <v xml:space="preserve"> </v>
      </c>
      <c r="H62" s="307"/>
      <c r="I62" s="309" t="e">
        <f t="shared" si="1"/>
        <v>#N/A</v>
      </c>
      <c r="J62" s="307"/>
      <c r="K62" s="307"/>
      <c r="L62" s="310"/>
      <c r="M62" s="310"/>
      <c r="N62" s="310"/>
      <c r="O62" s="310"/>
      <c r="P62" s="310"/>
      <c r="Q62" s="310"/>
      <c r="R62" s="310"/>
      <c r="S62" s="310"/>
      <c r="T62" s="310"/>
      <c r="U62" s="307"/>
      <c r="V62" s="307"/>
      <c r="W62" s="311"/>
      <c r="X62" s="307"/>
      <c r="Y62" s="307"/>
      <c r="Z62" s="307"/>
      <c r="AA62" s="307"/>
      <c r="AB62" s="311"/>
      <c r="AC62" s="307"/>
      <c r="AD62" s="307"/>
      <c r="AE62" s="307"/>
      <c r="AF62" s="307"/>
      <c r="AG62" s="310"/>
      <c r="AH62" s="307"/>
      <c r="AI62" s="310"/>
      <c r="AJ62" s="307"/>
      <c r="AK62" s="307"/>
      <c r="AL62" s="307"/>
      <c r="AM62" s="308"/>
      <c r="AN62" s="311"/>
      <c r="AO62" s="307"/>
      <c r="AP62" s="307"/>
      <c r="AQ62" s="308"/>
      <c r="AR62" s="307"/>
      <c r="AS62" s="307"/>
      <c r="AT62" s="307"/>
      <c r="AU62" s="310"/>
      <c r="AV62" s="308"/>
      <c r="AW62" s="312"/>
      <c r="AX62" s="308"/>
      <c r="AY62" s="307"/>
      <c r="AZ62" s="307"/>
      <c r="BA62" s="307"/>
      <c r="BB62" s="307"/>
      <c r="BC62" s="308"/>
      <c r="BD62" s="308"/>
      <c r="BE62" s="313"/>
      <c r="BF62" s="307"/>
      <c r="BG62" s="310"/>
      <c r="BH62" s="307"/>
      <c r="BI62" s="307"/>
      <c r="BJ62" s="310"/>
      <c r="BK62" s="307"/>
      <c r="BL62" s="307"/>
      <c r="BM62" s="310"/>
      <c r="BN62" s="307"/>
      <c r="BO62" s="310"/>
      <c r="BP62" s="307"/>
      <c r="BQ62" s="307"/>
      <c r="BR62" s="307"/>
      <c r="BS62" s="307"/>
      <c r="BT62" s="307"/>
      <c r="BU62" s="310"/>
      <c r="BV62" s="307"/>
      <c r="BW62" s="308"/>
      <c r="BX62" s="311"/>
      <c r="BY62" s="307"/>
      <c r="BZ62" s="307"/>
      <c r="CA62" s="310"/>
      <c r="CB62" s="307"/>
      <c r="CC62" s="307"/>
      <c r="CD62" s="307"/>
      <c r="CE62" s="308"/>
      <c r="CF62" s="308"/>
      <c r="CG62" s="307"/>
      <c r="CH62" s="307"/>
      <c r="CI62" s="307"/>
      <c r="CJ62" s="307"/>
      <c r="CK62" s="314"/>
      <c r="CL62" s="310"/>
      <c r="CM62" s="310"/>
      <c r="CN62" s="307"/>
      <c r="CO62" s="307"/>
      <c r="CP62" s="307"/>
      <c r="CQ62" s="315"/>
      <c r="CR62" s="315"/>
      <c r="CS62" s="315"/>
      <c r="CT62" s="315"/>
      <c r="CU62" s="307"/>
      <c r="CV62" s="217"/>
      <c r="CW62" s="192"/>
      <c r="CX62" s="192"/>
      <c r="CY62" s="192"/>
      <c r="CZ62" s="191"/>
      <c r="DA62" s="193"/>
      <c r="DB62" s="192"/>
      <c r="DC62" s="192"/>
      <c r="DD62" s="192"/>
      <c r="DE62" s="191"/>
      <c r="DF62" s="19"/>
      <c r="DG62" s="192"/>
      <c r="DH62" s="192"/>
      <c r="DI62" s="192"/>
      <c r="DJ62" s="191"/>
      <c r="DK62" s="193"/>
      <c r="DL62" s="192"/>
      <c r="DM62" s="192"/>
      <c r="DN62" s="192"/>
      <c r="DO62" s="191"/>
      <c r="DP62" s="19"/>
      <c r="DQ62" s="192"/>
      <c r="DR62" s="192"/>
      <c r="DS62" s="192"/>
      <c r="DT62" s="191"/>
      <c r="DU62" s="193"/>
      <c r="DV62" s="192"/>
      <c r="DW62" s="192"/>
      <c r="DX62" s="192"/>
      <c r="DY62" s="191"/>
      <c r="DZ62" s="19"/>
      <c r="EA62" s="192"/>
      <c r="EB62" s="192"/>
      <c r="EC62" s="192"/>
      <c r="ED62" s="191"/>
      <c r="EE62" s="193"/>
      <c r="EF62" s="192"/>
      <c r="EG62" s="192"/>
      <c r="EH62" s="192"/>
      <c r="EI62" s="191"/>
      <c r="EJ62" s="19"/>
      <c r="EK62" s="192"/>
      <c r="EL62" s="192"/>
      <c r="EM62" s="192"/>
      <c r="EN62" s="191"/>
      <c r="EO62" s="193"/>
      <c r="EP62" s="192"/>
      <c r="EQ62" s="192"/>
      <c r="ER62" s="192"/>
      <c r="ES62" s="191"/>
      <c r="ET62" s="19"/>
      <c r="EU62" s="192"/>
      <c r="EV62" s="192"/>
      <c r="EW62" s="192"/>
      <c r="EX62" s="191"/>
      <c r="EY62" s="193"/>
      <c r="EZ62" s="192"/>
      <c r="FA62" s="192"/>
      <c r="FB62" s="192"/>
      <c r="FC62" s="191"/>
      <c r="FL62" s="273">
        <f t="shared" ca="1" si="2"/>
        <v>116</v>
      </c>
    </row>
    <row r="63" spans="1:168" ht="16.5" thickBot="1">
      <c r="A63" s="199">
        <v>60</v>
      </c>
      <c r="B63" s="306"/>
      <c r="C63" s="310"/>
      <c r="D63" s="307" t="s">
        <v>271</v>
      </c>
      <c r="E63" s="307" t="s">
        <v>271</v>
      </c>
      <c r="F63" s="308"/>
      <c r="G63" s="343" t="str">
        <f t="shared" si="0"/>
        <v xml:space="preserve"> </v>
      </c>
      <c r="H63" s="307"/>
      <c r="I63" s="309" t="e">
        <f t="shared" si="1"/>
        <v>#N/A</v>
      </c>
      <c r="J63" s="307"/>
      <c r="K63" s="307"/>
      <c r="L63" s="310"/>
      <c r="M63" s="310"/>
      <c r="N63" s="310"/>
      <c r="O63" s="310"/>
      <c r="P63" s="310"/>
      <c r="Q63" s="310"/>
      <c r="R63" s="310"/>
      <c r="S63" s="310"/>
      <c r="T63" s="310"/>
      <c r="U63" s="307"/>
      <c r="V63" s="307"/>
      <c r="W63" s="311"/>
      <c r="X63" s="307"/>
      <c r="Y63" s="307"/>
      <c r="Z63" s="307"/>
      <c r="AA63" s="307"/>
      <c r="AB63" s="311"/>
      <c r="AC63" s="307"/>
      <c r="AD63" s="307"/>
      <c r="AE63" s="307"/>
      <c r="AF63" s="307"/>
      <c r="AG63" s="310"/>
      <c r="AH63" s="307"/>
      <c r="AI63" s="310"/>
      <c r="AJ63" s="307"/>
      <c r="AK63" s="307"/>
      <c r="AL63" s="307"/>
      <c r="AM63" s="308"/>
      <c r="AN63" s="311"/>
      <c r="AO63" s="307"/>
      <c r="AP63" s="307"/>
      <c r="AQ63" s="308"/>
      <c r="AR63" s="307"/>
      <c r="AS63" s="307"/>
      <c r="AT63" s="307"/>
      <c r="AU63" s="310"/>
      <c r="AV63" s="308"/>
      <c r="AW63" s="312"/>
      <c r="AX63" s="308"/>
      <c r="AY63" s="307"/>
      <c r="AZ63" s="307"/>
      <c r="BA63" s="307"/>
      <c r="BB63" s="307"/>
      <c r="BC63" s="308"/>
      <c r="BD63" s="308"/>
      <c r="BE63" s="313"/>
      <c r="BF63" s="307"/>
      <c r="BG63" s="310"/>
      <c r="BH63" s="307"/>
      <c r="BI63" s="307"/>
      <c r="BJ63" s="310"/>
      <c r="BK63" s="307"/>
      <c r="BL63" s="307"/>
      <c r="BM63" s="310"/>
      <c r="BN63" s="307"/>
      <c r="BO63" s="310"/>
      <c r="BP63" s="307"/>
      <c r="BQ63" s="307"/>
      <c r="BR63" s="307"/>
      <c r="BS63" s="307"/>
      <c r="BT63" s="307"/>
      <c r="BU63" s="310"/>
      <c r="BV63" s="307"/>
      <c r="BW63" s="308"/>
      <c r="BX63" s="311"/>
      <c r="BY63" s="307"/>
      <c r="BZ63" s="307"/>
      <c r="CA63" s="310"/>
      <c r="CB63" s="307"/>
      <c r="CC63" s="307"/>
      <c r="CD63" s="307"/>
      <c r="CE63" s="308"/>
      <c r="CF63" s="308"/>
      <c r="CG63" s="307"/>
      <c r="CH63" s="307"/>
      <c r="CI63" s="307"/>
      <c r="CJ63" s="307"/>
      <c r="CK63" s="314"/>
      <c r="CL63" s="310"/>
      <c r="CM63" s="310"/>
      <c r="CN63" s="307"/>
      <c r="CO63" s="307"/>
      <c r="CP63" s="307"/>
      <c r="CQ63" s="315"/>
      <c r="CR63" s="315"/>
      <c r="CS63" s="315"/>
      <c r="CT63" s="315"/>
      <c r="CU63" s="307"/>
      <c r="CV63" s="217"/>
      <c r="CW63" s="192"/>
      <c r="CX63" s="192"/>
      <c r="CY63" s="192"/>
      <c r="CZ63" s="191"/>
      <c r="DA63" s="193"/>
      <c r="DB63" s="192"/>
      <c r="DC63" s="192"/>
      <c r="DD63" s="192"/>
      <c r="DE63" s="191"/>
      <c r="DF63" s="19"/>
      <c r="DG63" s="192"/>
      <c r="DH63" s="192"/>
      <c r="DI63" s="192"/>
      <c r="DJ63" s="191"/>
      <c r="DK63" s="193"/>
      <c r="DL63" s="192"/>
      <c r="DM63" s="192"/>
      <c r="DN63" s="192"/>
      <c r="DO63" s="191"/>
      <c r="DP63" s="19"/>
      <c r="DQ63" s="192"/>
      <c r="DR63" s="192"/>
      <c r="DS63" s="192"/>
      <c r="DT63" s="191"/>
      <c r="DU63" s="193"/>
      <c r="DV63" s="192"/>
      <c r="DW63" s="192"/>
      <c r="DX63" s="192"/>
      <c r="DY63" s="191"/>
      <c r="DZ63" s="19"/>
      <c r="EA63" s="192"/>
      <c r="EB63" s="192"/>
      <c r="EC63" s="192"/>
      <c r="ED63" s="191"/>
      <c r="EE63" s="193"/>
      <c r="EF63" s="192"/>
      <c r="EG63" s="192"/>
      <c r="EH63" s="192"/>
      <c r="EI63" s="191"/>
      <c r="EJ63" s="19"/>
      <c r="EK63" s="192"/>
      <c r="EL63" s="192"/>
      <c r="EM63" s="192"/>
      <c r="EN63" s="191"/>
      <c r="EO63" s="193"/>
      <c r="EP63" s="192"/>
      <c r="EQ63" s="192"/>
      <c r="ER63" s="192"/>
      <c r="ES63" s="191"/>
      <c r="ET63" s="19"/>
      <c r="EU63" s="192"/>
      <c r="EV63" s="192"/>
      <c r="EW63" s="192"/>
      <c r="EX63" s="191"/>
      <c r="EY63" s="193"/>
      <c r="EZ63" s="192"/>
      <c r="FA63" s="192"/>
      <c r="FB63" s="192"/>
      <c r="FC63" s="191"/>
      <c r="FL63" s="273">
        <f t="shared" ca="1" si="2"/>
        <v>116</v>
      </c>
    </row>
    <row r="64" spans="1:168" ht="16.5" thickBot="1">
      <c r="A64" s="196">
        <v>61</v>
      </c>
      <c r="B64" s="306"/>
      <c r="C64" s="310"/>
      <c r="D64" s="307" t="s">
        <v>271</v>
      </c>
      <c r="E64" s="307" t="s">
        <v>271</v>
      </c>
      <c r="F64" s="308"/>
      <c r="G64" s="343" t="str">
        <f t="shared" si="0"/>
        <v xml:space="preserve"> </v>
      </c>
      <c r="H64" s="307"/>
      <c r="I64" s="309" t="e">
        <f t="shared" si="1"/>
        <v>#N/A</v>
      </c>
      <c r="J64" s="307"/>
      <c r="K64" s="307"/>
      <c r="L64" s="310"/>
      <c r="M64" s="310"/>
      <c r="N64" s="310"/>
      <c r="O64" s="310"/>
      <c r="P64" s="310"/>
      <c r="Q64" s="310"/>
      <c r="R64" s="310"/>
      <c r="S64" s="310"/>
      <c r="T64" s="310"/>
      <c r="U64" s="307"/>
      <c r="V64" s="307"/>
      <c r="W64" s="311"/>
      <c r="X64" s="307"/>
      <c r="Y64" s="307"/>
      <c r="Z64" s="307"/>
      <c r="AA64" s="307"/>
      <c r="AB64" s="311"/>
      <c r="AC64" s="307"/>
      <c r="AD64" s="307"/>
      <c r="AE64" s="307"/>
      <c r="AF64" s="307"/>
      <c r="AG64" s="310"/>
      <c r="AH64" s="307"/>
      <c r="AI64" s="310"/>
      <c r="AJ64" s="307"/>
      <c r="AK64" s="307"/>
      <c r="AL64" s="307"/>
      <c r="AM64" s="308"/>
      <c r="AN64" s="311"/>
      <c r="AO64" s="307"/>
      <c r="AP64" s="307"/>
      <c r="AQ64" s="308"/>
      <c r="AR64" s="307"/>
      <c r="AS64" s="307"/>
      <c r="AT64" s="307"/>
      <c r="AU64" s="310"/>
      <c r="AV64" s="308"/>
      <c r="AW64" s="312"/>
      <c r="AX64" s="308"/>
      <c r="AY64" s="307"/>
      <c r="AZ64" s="307"/>
      <c r="BA64" s="307"/>
      <c r="BB64" s="307"/>
      <c r="BC64" s="308"/>
      <c r="BD64" s="308"/>
      <c r="BE64" s="313"/>
      <c r="BF64" s="307"/>
      <c r="BG64" s="310"/>
      <c r="BH64" s="307"/>
      <c r="BI64" s="307"/>
      <c r="BJ64" s="310"/>
      <c r="BK64" s="307"/>
      <c r="BL64" s="307"/>
      <c r="BM64" s="310"/>
      <c r="BN64" s="307"/>
      <c r="BO64" s="310"/>
      <c r="BP64" s="307"/>
      <c r="BQ64" s="307"/>
      <c r="BR64" s="307"/>
      <c r="BS64" s="307"/>
      <c r="BT64" s="307"/>
      <c r="BU64" s="310"/>
      <c r="BV64" s="307"/>
      <c r="BW64" s="308"/>
      <c r="BX64" s="311"/>
      <c r="BY64" s="307"/>
      <c r="BZ64" s="307"/>
      <c r="CA64" s="310"/>
      <c r="CB64" s="307"/>
      <c r="CC64" s="307"/>
      <c r="CD64" s="307"/>
      <c r="CE64" s="308"/>
      <c r="CF64" s="308"/>
      <c r="CG64" s="307"/>
      <c r="CH64" s="307"/>
      <c r="CI64" s="307"/>
      <c r="CJ64" s="307"/>
      <c r="CK64" s="314"/>
      <c r="CL64" s="310"/>
      <c r="CM64" s="310"/>
      <c r="CN64" s="307"/>
      <c r="CO64" s="307"/>
      <c r="CP64" s="307"/>
      <c r="CQ64" s="315"/>
      <c r="CR64" s="315"/>
      <c r="CS64" s="315"/>
      <c r="CT64" s="315"/>
      <c r="CU64" s="307"/>
      <c r="CV64" s="217"/>
      <c r="CW64" s="192"/>
      <c r="CX64" s="192"/>
      <c r="CY64" s="192"/>
      <c r="CZ64" s="191"/>
      <c r="DA64" s="193"/>
      <c r="DB64" s="192"/>
      <c r="DC64" s="192"/>
      <c r="DD64" s="192"/>
      <c r="DE64" s="191"/>
      <c r="DF64" s="19"/>
      <c r="DG64" s="192"/>
      <c r="DH64" s="192"/>
      <c r="DI64" s="192"/>
      <c r="DJ64" s="191"/>
      <c r="DK64" s="193"/>
      <c r="DL64" s="192"/>
      <c r="DM64" s="192"/>
      <c r="DN64" s="192"/>
      <c r="DO64" s="191"/>
      <c r="DP64" s="19"/>
      <c r="DQ64" s="192"/>
      <c r="DR64" s="192"/>
      <c r="DS64" s="192"/>
      <c r="DT64" s="191"/>
      <c r="DU64" s="193"/>
      <c r="DV64" s="192"/>
      <c r="DW64" s="192"/>
      <c r="DX64" s="192"/>
      <c r="DY64" s="191"/>
      <c r="DZ64" s="19"/>
      <c r="EA64" s="192"/>
      <c r="EB64" s="192"/>
      <c r="EC64" s="192"/>
      <c r="ED64" s="191"/>
      <c r="EE64" s="193"/>
      <c r="EF64" s="192"/>
      <c r="EG64" s="192"/>
      <c r="EH64" s="192"/>
      <c r="EI64" s="191"/>
      <c r="EJ64" s="19"/>
      <c r="EK64" s="192"/>
      <c r="EL64" s="192"/>
      <c r="EM64" s="192"/>
      <c r="EN64" s="191"/>
      <c r="EO64" s="193"/>
      <c r="EP64" s="192"/>
      <c r="EQ64" s="192"/>
      <c r="ER64" s="192"/>
      <c r="ES64" s="191"/>
      <c r="ET64" s="19"/>
      <c r="EU64" s="192"/>
      <c r="EV64" s="192"/>
      <c r="EW64" s="192"/>
      <c r="EX64" s="191"/>
      <c r="EY64" s="193"/>
      <c r="EZ64" s="192"/>
      <c r="FA64" s="192"/>
      <c r="FB64" s="192"/>
      <c r="FC64" s="191"/>
      <c r="FL64" s="273">
        <f t="shared" ca="1" si="2"/>
        <v>116</v>
      </c>
    </row>
    <row r="65" spans="1:168" ht="16.5" thickBot="1">
      <c r="A65" s="199">
        <v>62</v>
      </c>
      <c r="B65" s="306"/>
      <c r="C65" s="310"/>
      <c r="D65" s="307" t="s">
        <v>271</v>
      </c>
      <c r="E65" s="307" t="s">
        <v>271</v>
      </c>
      <c r="F65" s="308"/>
      <c r="G65" s="343" t="str">
        <f t="shared" si="0"/>
        <v xml:space="preserve"> </v>
      </c>
      <c r="H65" s="307"/>
      <c r="I65" s="309" t="e">
        <f t="shared" si="1"/>
        <v>#N/A</v>
      </c>
      <c r="J65" s="307"/>
      <c r="K65" s="307"/>
      <c r="L65" s="310"/>
      <c r="M65" s="310"/>
      <c r="N65" s="310"/>
      <c r="O65" s="310"/>
      <c r="P65" s="310"/>
      <c r="Q65" s="310"/>
      <c r="R65" s="310"/>
      <c r="S65" s="310"/>
      <c r="T65" s="310"/>
      <c r="U65" s="307"/>
      <c r="V65" s="307"/>
      <c r="W65" s="311"/>
      <c r="X65" s="307"/>
      <c r="Y65" s="307"/>
      <c r="Z65" s="307"/>
      <c r="AA65" s="307"/>
      <c r="AB65" s="311"/>
      <c r="AC65" s="307"/>
      <c r="AD65" s="307"/>
      <c r="AE65" s="307"/>
      <c r="AF65" s="307"/>
      <c r="AG65" s="310"/>
      <c r="AH65" s="307"/>
      <c r="AI65" s="310"/>
      <c r="AJ65" s="307"/>
      <c r="AK65" s="307"/>
      <c r="AL65" s="307"/>
      <c r="AM65" s="308"/>
      <c r="AN65" s="311"/>
      <c r="AO65" s="307"/>
      <c r="AP65" s="307"/>
      <c r="AQ65" s="308"/>
      <c r="AR65" s="307"/>
      <c r="AS65" s="307"/>
      <c r="AT65" s="307"/>
      <c r="AU65" s="310"/>
      <c r="AV65" s="308"/>
      <c r="AW65" s="312"/>
      <c r="AX65" s="308"/>
      <c r="AY65" s="307"/>
      <c r="AZ65" s="307"/>
      <c r="BA65" s="307"/>
      <c r="BB65" s="307"/>
      <c r="BC65" s="308"/>
      <c r="BD65" s="308"/>
      <c r="BE65" s="313"/>
      <c r="BF65" s="307"/>
      <c r="BG65" s="310"/>
      <c r="BH65" s="307"/>
      <c r="BI65" s="307"/>
      <c r="BJ65" s="310"/>
      <c r="BK65" s="307"/>
      <c r="BL65" s="307"/>
      <c r="BM65" s="310"/>
      <c r="BN65" s="307"/>
      <c r="BO65" s="310"/>
      <c r="BP65" s="307"/>
      <c r="BQ65" s="307"/>
      <c r="BR65" s="307"/>
      <c r="BS65" s="307"/>
      <c r="BT65" s="307"/>
      <c r="BU65" s="310"/>
      <c r="BV65" s="307"/>
      <c r="BW65" s="308"/>
      <c r="BX65" s="311"/>
      <c r="BY65" s="307"/>
      <c r="BZ65" s="307"/>
      <c r="CA65" s="310"/>
      <c r="CB65" s="307"/>
      <c r="CC65" s="307"/>
      <c r="CD65" s="307"/>
      <c r="CE65" s="308"/>
      <c r="CF65" s="308"/>
      <c r="CG65" s="307"/>
      <c r="CH65" s="307"/>
      <c r="CI65" s="307"/>
      <c r="CJ65" s="307"/>
      <c r="CK65" s="314"/>
      <c r="CL65" s="310"/>
      <c r="CM65" s="310"/>
      <c r="CN65" s="307"/>
      <c r="CO65" s="307"/>
      <c r="CP65" s="307"/>
      <c r="CQ65" s="315"/>
      <c r="CR65" s="315"/>
      <c r="CS65" s="315"/>
      <c r="CT65" s="315"/>
      <c r="CU65" s="307"/>
      <c r="CV65" s="217"/>
      <c r="CW65" s="192"/>
      <c r="CX65" s="192"/>
      <c r="CY65" s="192"/>
      <c r="CZ65" s="191"/>
      <c r="DA65" s="193"/>
      <c r="DB65" s="192"/>
      <c r="DC65" s="192"/>
      <c r="DD65" s="192"/>
      <c r="DE65" s="191"/>
      <c r="DF65" s="19"/>
      <c r="DG65" s="192"/>
      <c r="DH65" s="192"/>
      <c r="DI65" s="192"/>
      <c r="DJ65" s="191"/>
      <c r="DK65" s="193"/>
      <c r="DL65" s="192"/>
      <c r="DM65" s="192"/>
      <c r="DN65" s="192"/>
      <c r="DO65" s="191"/>
      <c r="DP65" s="19"/>
      <c r="DQ65" s="192"/>
      <c r="DR65" s="192"/>
      <c r="DS65" s="192"/>
      <c r="DT65" s="191"/>
      <c r="DU65" s="193"/>
      <c r="DV65" s="192"/>
      <c r="DW65" s="192"/>
      <c r="DX65" s="192"/>
      <c r="DY65" s="191"/>
      <c r="DZ65" s="19"/>
      <c r="EA65" s="192"/>
      <c r="EB65" s="192"/>
      <c r="EC65" s="192"/>
      <c r="ED65" s="191"/>
      <c r="EE65" s="193"/>
      <c r="EF65" s="192"/>
      <c r="EG65" s="192"/>
      <c r="EH65" s="192"/>
      <c r="EI65" s="191"/>
      <c r="EJ65" s="19"/>
      <c r="EK65" s="192"/>
      <c r="EL65" s="192"/>
      <c r="EM65" s="192"/>
      <c r="EN65" s="191"/>
      <c r="EO65" s="193"/>
      <c r="EP65" s="192"/>
      <c r="EQ65" s="192"/>
      <c r="ER65" s="192"/>
      <c r="ES65" s="191"/>
      <c r="ET65" s="19"/>
      <c r="EU65" s="192"/>
      <c r="EV65" s="192"/>
      <c r="EW65" s="192"/>
      <c r="EX65" s="191"/>
      <c r="EY65" s="193"/>
      <c r="EZ65" s="192"/>
      <c r="FA65" s="192"/>
      <c r="FB65" s="192"/>
      <c r="FC65" s="191"/>
      <c r="FL65" s="273">
        <f t="shared" ca="1" si="2"/>
        <v>116</v>
      </c>
    </row>
    <row r="66" spans="1:168" ht="16.5" thickBot="1">
      <c r="A66" s="196">
        <v>63</v>
      </c>
      <c r="B66" s="306"/>
      <c r="C66" s="310"/>
      <c r="D66" s="307" t="s">
        <v>271</v>
      </c>
      <c r="E66" s="307" t="s">
        <v>271</v>
      </c>
      <c r="F66" s="308"/>
      <c r="G66" s="343" t="str">
        <f t="shared" si="0"/>
        <v xml:space="preserve"> </v>
      </c>
      <c r="H66" s="307"/>
      <c r="I66" s="309" t="e">
        <f t="shared" si="1"/>
        <v>#N/A</v>
      </c>
      <c r="J66" s="307"/>
      <c r="K66" s="307"/>
      <c r="L66" s="310"/>
      <c r="M66" s="310"/>
      <c r="N66" s="310"/>
      <c r="O66" s="310"/>
      <c r="P66" s="310"/>
      <c r="Q66" s="310"/>
      <c r="R66" s="310"/>
      <c r="S66" s="310"/>
      <c r="T66" s="310"/>
      <c r="U66" s="307"/>
      <c r="V66" s="307"/>
      <c r="W66" s="311"/>
      <c r="X66" s="307"/>
      <c r="Y66" s="307"/>
      <c r="Z66" s="307"/>
      <c r="AA66" s="307"/>
      <c r="AB66" s="311"/>
      <c r="AC66" s="307"/>
      <c r="AD66" s="307"/>
      <c r="AE66" s="307"/>
      <c r="AF66" s="307"/>
      <c r="AG66" s="310"/>
      <c r="AH66" s="307"/>
      <c r="AI66" s="310"/>
      <c r="AJ66" s="307"/>
      <c r="AK66" s="307"/>
      <c r="AL66" s="307"/>
      <c r="AM66" s="308"/>
      <c r="AN66" s="311"/>
      <c r="AO66" s="307"/>
      <c r="AP66" s="307"/>
      <c r="AQ66" s="308"/>
      <c r="AR66" s="307"/>
      <c r="AS66" s="307"/>
      <c r="AT66" s="307"/>
      <c r="AU66" s="310"/>
      <c r="AV66" s="308"/>
      <c r="AW66" s="312"/>
      <c r="AX66" s="308"/>
      <c r="AY66" s="307"/>
      <c r="AZ66" s="307"/>
      <c r="BA66" s="307"/>
      <c r="BB66" s="307"/>
      <c r="BC66" s="308"/>
      <c r="BD66" s="308"/>
      <c r="BE66" s="313"/>
      <c r="BF66" s="307"/>
      <c r="BG66" s="310"/>
      <c r="BH66" s="307"/>
      <c r="BI66" s="307"/>
      <c r="BJ66" s="310"/>
      <c r="BK66" s="307"/>
      <c r="BL66" s="307"/>
      <c r="BM66" s="310"/>
      <c r="BN66" s="307"/>
      <c r="BO66" s="310"/>
      <c r="BP66" s="307"/>
      <c r="BQ66" s="307"/>
      <c r="BR66" s="307"/>
      <c r="BS66" s="307"/>
      <c r="BT66" s="307"/>
      <c r="BU66" s="310"/>
      <c r="BV66" s="307"/>
      <c r="BW66" s="308"/>
      <c r="BX66" s="311"/>
      <c r="BY66" s="307"/>
      <c r="BZ66" s="307"/>
      <c r="CA66" s="310"/>
      <c r="CB66" s="307"/>
      <c r="CC66" s="307"/>
      <c r="CD66" s="307"/>
      <c r="CE66" s="308"/>
      <c r="CF66" s="308"/>
      <c r="CG66" s="307"/>
      <c r="CH66" s="307"/>
      <c r="CI66" s="307"/>
      <c r="CJ66" s="307"/>
      <c r="CK66" s="314"/>
      <c r="CL66" s="310"/>
      <c r="CM66" s="310"/>
      <c r="CN66" s="307"/>
      <c r="CO66" s="307"/>
      <c r="CP66" s="307"/>
      <c r="CQ66" s="315"/>
      <c r="CR66" s="315"/>
      <c r="CS66" s="315"/>
      <c r="CT66" s="315"/>
      <c r="CU66" s="307"/>
      <c r="CV66" s="217"/>
      <c r="CW66" s="192"/>
      <c r="CX66" s="192"/>
      <c r="CY66" s="192"/>
      <c r="CZ66" s="191"/>
      <c r="DA66" s="193"/>
      <c r="DB66" s="192"/>
      <c r="DC66" s="192"/>
      <c r="DD66" s="192"/>
      <c r="DE66" s="191"/>
      <c r="DF66" s="19"/>
      <c r="DG66" s="192"/>
      <c r="DH66" s="192"/>
      <c r="DI66" s="192"/>
      <c r="DJ66" s="191"/>
      <c r="DK66" s="193"/>
      <c r="DL66" s="192"/>
      <c r="DM66" s="192"/>
      <c r="DN66" s="192"/>
      <c r="DO66" s="191"/>
      <c r="DP66" s="19"/>
      <c r="DQ66" s="192"/>
      <c r="DR66" s="192"/>
      <c r="DS66" s="192"/>
      <c r="DT66" s="191"/>
      <c r="DU66" s="193"/>
      <c r="DV66" s="192"/>
      <c r="DW66" s="192"/>
      <c r="DX66" s="192"/>
      <c r="DY66" s="191"/>
      <c r="DZ66" s="19"/>
      <c r="EA66" s="192"/>
      <c r="EB66" s="192"/>
      <c r="EC66" s="192"/>
      <c r="ED66" s="191"/>
      <c r="EE66" s="193"/>
      <c r="EF66" s="192"/>
      <c r="EG66" s="192"/>
      <c r="EH66" s="192"/>
      <c r="EI66" s="191"/>
      <c r="EJ66" s="19"/>
      <c r="EK66" s="192"/>
      <c r="EL66" s="192"/>
      <c r="EM66" s="192"/>
      <c r="EN66" s="191"/>
      <c r="EO66" s="193"/>
      <c r="EP66" s="192"/>
      <c r="EQ66" s="192"/>
      <c r="ER66" s="192"/>
      <c r="ES66" s="191"/>
      <c r="ET66" s="19"/>
      <c r="EU66" s="192"/>
      <c r="EV66" s="192"/>
      <c r="EW66" s="192"/>
      <c r="EX66" s="191"/>
      <c r="EY66" s="193"/>
      <c r="EZ66" s="192"/>
      <c r="FA66" s="192"/>
      <c r="FB66" s="192"/>
      <c r="FC66" s="191"/>
      <c r="FL66" s="273">
        <f t="shared" ca="1" si="2"/>
        <v>116</v>
      </c>
    </row>
    <row r="67" spans="1:168" ht="16.5" thickBot="1">
      <c r="A67" s="199">
        <v>64</v>
      </c>
      <c r="B67" s="306"/>
      <c r="C67" s="310"/>
      <c r="D67" s="307" t="s">
        <v>271</v>
      </c>
      <c r="E67" s="307" t="s">
        <v>271</v>
      </c>
      <c r="F67" s="308"/>
      <c r="G67" s="343" t="str">
        <f t="shared" si="0"/>
        <v xml:space="preserve"> </v>
      </c>
      <c r="H67" s="307"/>
      <c r="I67" s="309" t="e">
        <f t="shared" si="1"/>
        <v>#N/A</v>
      </c>
      <c r="J67" s="307"/>
      <c r="K67" s="307"/>
      <c r="L67" s="310"/>
      <c r="M67" s="310"/>
      <c r="N67" s="310"/>
      <c r="O67" s="310"/>
      <c r="P67" s="310"/>
      <c r="Q67" s="310"/>
      <c r="R67" s="310"/>
      <c r="S67" s="310"/>
      <c r="T67" s="310"/>
      <c r="U67" s="307"/>
      <c r="V67" s="307"/>
      <c r="W67" s="311"/>
      <c r="X67" s="307"/>
      <c r="Y67" s="307"/>
      <c r="Z67" s="307"/>
      <c r="AA67" s="307"/>
      <c r="AB67" s="311"/>
      <c r="AC67" s="307"/>
      <c r="AD67" s="307"/>
      <c r="AE67" s="307"/>
      <c r="AF67" s="307"/>
      <c r="AG67" s="310"/>
      <c r="AH67" s="307"/>
      <c r="AI67" s="310"/>
      <c r="AJ67" s="307"/>
      <c r="AK67" s="307"/>
      <c r="AL67" s="307"/>
      <c r="AM67" s="308"/>
      <c r="AN67" s="311"/>
      <c r="AO67" s="307"/>
      <c r="AP67" s="307"/>
      <c r="AQ67" s="308"/>
      <c r="AR67" s="307"/>
      <c r="AS67" s="307"/>
      <c r="AT67" s="307"/>
      <c r="AU67" s="310"/>
      <c r="AV67" s="308"/>
      <c r="AW67" s="312"/>
      <c r="AX67" s="308"/>
      <c r="AY67" s="307"/>
      <c r="AZ67" s="307"/>
      <c r="BA67" s="307"/>
      <c r="BB67" s="307"/>
      <c r="BC67" s="308"/>
      <c r="BD67" s="308"/>
      <c r="BE67" s="313"/>
      <c r="BF67" s="307"/>
      <c r="BG67" s="310"/>
      <c r="BH67" s="307"/>
      <c r="BI67" s="307"/>
      <c r="BJ67" s="310"/>
      <c r="BK67" s="307"/>
      <c r="BL67" s="307"/>
      <c r="BM67" s="310"/>
      <c r="BN67" s="307"/>
      <c r="BO67" s="310"/>
      <c r="BP67" s="307"/>
      <c r="BQ67" s="307"/>
      <c r="BR67" s="307"/>
      <c r="BS67" s="307"/>
      <c r="BT67" s="307"/>
      <c r="BU67" s="310"/>
      <c r="BV67" s="307"/>
      <c r="BW67" s="308"/>
      <c r="BX67" s="311"/>
      <c r="BY67" s="307"/>
      <c r="BZ67" s="307"/>
      <c r="CA67" s="310"/>
      <c r="CB67" s="307"/>
      <c r="CC67" s="307"/>
      <c r="CD67" s="307"/>
      <c r="CE67" s="308"/>
      <c r="CF67" s="308"/>
      <c r="CG67" s="307"/>
      <c r="CH67" s="307"/>
      <c r="CI67" s="307"/>
      <c r="CJ67" s="307"/>
      <c r="CK67" s="314"/>
      <c r="CL67" s="310"/>
      <c r="CM67" s="310"/>
      <c r="CN67" s="307"/>
      <c r="CO67" s="307"/>
      <c r="CP67" s="307"/>
      <c r="CQ67" s="315"/>
      <c r="CR67" s="315"/>
      <c r="CS67" s="315"/>
      <c r="CT67" s="315"/>
      <c r="CU67" s="307"/>
      <c r="CV67" s="217"/>
      <c r="CW67" s="192"/>
      <c r="CX67" s="192"/>
      <c r="CY67" s="192"/>
      <c r="CZ67" s="191"/>
      <c r="DA67" s="193"/>
      <c r="DB67" s="192"/>
      <c r="DC67" s="192"/>
      <c r="DD67" s="192"/>
      <c r="DE67" s="191"/>
      <c r="DF67" s="19"/>
      <c r="DG67" s="192"/>
      <c r="DH67" s="192"/>
      <c r="DI67" s="192"/>
      <c r="DJ67" s="191"/>
      <c r="DK67" s="193"/>
      <c r="DL67" s="192"/>
      <c r="DM67" s="192"/>
      <c r="DN67" s="192"/>
      <c r="DO67" s="191"/>
      <c r="DP67" s="19"/>
      <c r="DQ67" s="192"/>
      <c r="DR67" s="192"/>
      <c r="DS67" s="192"/>
      <c r="DT67" s="191"/>
      <c r="DU67" s="193"/>
      <c r="DV67" s="192"/>
      <c r="DW67" s="192"/>
      <c r="DX67" s="192"/>
      <c r="DY67" s="191"/>
      <c r="DZ67" s="19"/>
      <c r="EA67" s="192"/>
      <c r="EB67" s="192"/>
      <c r="EC67" s="192"/>
      <c r="ED67" s="191"/>
      <c r="EE67" s="193"/>
      <c r="EF67" s="192"/>
      <c r="EG67" s="192"/>
      <c r="EH67" s="192"/>
      <c r="EI67" s="191"/>
      <c r="EJ67" s="19"/>
      <c r="EK67" s="192"/>
      <c r="EL67" s="192"/>
      <c r="EM67" s="192"/>
      <c r="EN67" s="191"/>
      <c r="EO67" s="193"/>
      <c r="EP67" s="192"/>
      <c r="EQ67" s="192"/>
      <c r="ER67" s="192"/>
      <c r="ES67" s="191"/>
      <c r="ET67" s="19"/>
      <c r="EU67" s="192"/>
      <c r="EV67" s="192"/>
      <c r="EW67" s="192"/>
      <c r="EX67" s="191"/>
      <c r="EY67" s="193"/>
      <c r="EZ67" s="192"/>
      <c r="FA67" s="192"/>
      <c r="FB67" s="192"/>
      <c r="FC67" s="191"/>
      <c r="FL67" s="273">
        <f t="shared" ca="1" si="2"/>
        <v>116</v>
      </c>
    </row>
    <row r="68" spans="1:168" ht="16.5" thickBot="1">
      <c r="A68" s="196">
        <v>65</v>
      </c>
      <c r="B68" s="306"/>
      <c r="C68" s="310"/>
      <c r="D68" s="307" t="s">
        <v>271</v>
      </c>
      <c r="E68" s="307" t="s">
        <v>271</v>
      </c>
      <c r="F68" s="308"/>
      <c r="G68" s="343" t="str">
        <f t="shared" si="0"/>
        <v xml:space="preserve"> </v>
      </c>
      <c r="H68" s="307"/>
      <c r="I68" s="309" t="e">
        <f t="shared" si="1"/>
        <v>#N/A</v>
      </c>
      <c r="J68" s="307"/>
      <c r="K68" s="307"/>
      <c r="L68" s="310"/>
      <c r="M68" s="310"/>
      <c r="N68" s="310"/>
      <c r="O68" s="310"/>
      <c r="P68" s="310"/>
      <c r="Q68" s="310"/>
      <c r="R68" s="310"/>
      <c r="S68" s="310"/>
      <c r="T68" s="310"/>
      <c r="U68" s="307"/>
      <c r="V68" s="307"/>
      <c r="W68" s="311"/>
      <c r="X68" s="307"/>
      <c r="Y68" s="307"/>
      <c r="Z68" s="307"/>
      <c r="AA68" s="307"/>
      <c r="AB68" s="311"/>
      <c r="AC68" s="307"/>
      <c r="AD68" s="307"/>
      <c r="AE68" s="307"/>
      <c r="AF68" s="307"/>
      <c r="AG68" s="310"/>
      <c r="AH68" s="307"/>
      <c r="AI68" s="310"/>
      <c r="AJ68" s="307"/>
      <c r="AK68" s="307"/>
      <c r="AL68" s="307"/>
      <c r="AM68" s="308"/>
      <c r="AN68" s="311"/>
      <c r="AO68" s="307"/>
      <c r="AP68" s="307"/>
      <c r="AQ68" s="308"/>
      <c r="AR68" s="307"/>
      <c r="AS68" s="307"/>
      <c r="AT68" s="307"/>
      <c r="AU68" s="310"/>
      <c r="AV68" s="308"/>
      <c r="AW68" s="312"/>
      <c r="AX68" s="308"/>
      <c r="AY68" s="307"/>
      <c r="AZ68" s="307"/>
      <c r="BA68" s="307"/>
      <c r="BB68" s="307"/>
      <c r="BC68" s="308"/>
      <c r="BD68" s="308"/>
      <c r="BE68" s="313"/>
      <c r="BF68" s="307"/>
      <c r="BG68" s="310"/>
      <c r="BH68" s="307"/>
      <c r="BI68" s="307"/>
      <c r="BJ68" s="310"/>
      <c r="BK68" s="307"/>
      <c r="BL68" s="307"/>
      <c r="BM68" s="310"/>
      <c r="BN68" s="307"/>
      <c r="BO68" s="310"/>
      <c r="BP68" s="307"/>
      <c r="BQ68" s="307"/>
      <c r="BR68" s="307"/>
      <c r="BS68" s="307"/>
      <c r="BT68" s="307"/>
      <c r="BU68" s="310"/>
      <c r="BV68" s="307"/>
      <c r="BW68" s="308"/>
      <c r="BX68" s="311"/>
      <c r="BY68" s="307"/>
      <c r="BZ68" s="307"/>
      <c r="CA68" s="310"/>
      <c r="CB68" s="307"/>
      <c r="CC68" s="307"/>
      <c r="CD68" s="307"/>
      <c r="CE68" s="308"/>
      <c r="CF68" s="308"/>
      <c r="CG68" s="307"/>
      <c r="CH68" s="307"/>
      <c r="CI68" s="307"/>
      <c r="CJ68" s="307"/>
      <c r="CK68" s="314"/>
      <c r="CL68" s="310"/>
      <c r="CM68" s="310"/>
      <c r="CN68" s="307"/>
      <c r="CO68" s="307"/>
      <c r="CP68" s="307"/>
      <c r="CQ68" s="315"/>
      <c r="CR68" s="315"/>
      <c r="CS68" s="315"/>
      <c r="CT68" s="315"/>
      <c r="CU68" s="307"/>
      <c r="CV68" s="217"/>
      <c r="CW68" s="192"/>
      <c r="CX68" s="192"/>
      <c r="CY68" s="192"/>
      <c r="CZ68" s="191"/>
      <c r="DA68" s="193"/>
      <c r="DB68" s="192"/>
      <c r="DC68" s="192"/>
      <c r="DD68" s="192"/>
      <c r="DE68" s="191"/>
      <c r="DF68" s="19"/>
      <c r="DG68" s="192"/>
      <c r="DH68" s="192"/>
      <c r="DI68" s="192"/>
      <c r="DJ68" s="191"/>
      <c r="DK68" s="193"/>
      <c r="DL68" s="192"/>
      <c r="DM68" s="192"/>
      <c r="DN68" s="192"/>
      <c r="DO68" s="191"/>
      <c r="DP68" s="19"/>
      <c r="DQ68" s="192"/>
      <c r="DR68" s="192"/>
      <c r="DS68" s="192"/>
      <c r="DT68" s="191"/>
      <c r="DU68" s="193"/>
      <c r="DV68" s="192"/>
      <c r="DW68" s="192"/>
      <c r="DX68" s="192"/>
      <c r="DY68" s="191"/>
      <c r="DZ68" s="19"/>
      <c r="EA68" s="192"/>
      <c r="EB68" s="192"/>
      <c r="EC68" s="192"/>
      <c r="ED68" s="191"/>
      <c r="EE68" s="193"/>
      <c r="EF68" s="192"/>
      <c r="EG68" s="192"/>
      <c r="EH68" s="192"/>
      <c r="EI68" s="191"/>
      <c r="EJ68" s="19"/>
      <c r="EK68" s="192"/>
      <c r="EL68" s="192"/>
      <c r="EM68" s="192"/>
      <c r="EN68" s="191"/>
      <c r="EO68" s="193"/>
      <c r="EP68" s="192"/>
      <c r="EQ68" s="192"/>
      <c r="ER68" s="192"/>
      <c r="ES68" s="191"/>
      <c r="ET68" s="19"/>
      <c r="EU68" s="192"/>
      <c r="EV68" s="192"/>
      <c r="EW68" s="192"/>
      <c r="EX68" s="191"/>
      <c r="EY68" s="193"/>
      <c r="EZ68" s="192"/>
      <c r="FA68" s="192"/>
      <c r="FB68" s="192"/>
      <c r="FC68" s="191"/>
      <c r="FL68" s="273">
        <f t="shared" ca="1" si="2"/>
        <v>116</v>
      </c>
    </row>
    <row r="69" spans="1:168" ht="16.5" thickBot="1">
      <c r="A69" s="199">
        <v>66</v>
      </c>
      <c r="B69" s="306"/>
      <c r="C69" s="310"/>
      <c r="D69" s="307" t="s">
        <v>271</v>
      </c>
      <c r="E69" s="307" t="s">
        <v>271</v>
      </c>
      <c r="F69" s="308"/>
      <c r="G69" s="343" t="str">
        <f t="shared" ref="G69:G132" si="3">IF(F69=0," ",IF(F69&gt;0,FL69))</f>
        <v xml:space="preserve"> </v>
      </c>
      <c r="H69" s="307"/>
      <c r="I69" s="309" t="e">
        <f t="shared" ref="I69:I132" si="4">VLOOKUP(J69,$FH$5:$FI$32,2)</f>
        <v>#N/A</v>
      </c>
      <c r="J69" s="307"/>
      <c r="K69" s="307"/>
      <c r="L69" s="310"/>
      <c r="M69" s="310"/>
      <c r="N69" s="310"/>
      <c r="O69" s="310"/>
      <c r="P69" s="310"/>
      <c r="Q69" s="310"/>
      <c r="R69" s="310"/>
      <c r="S69" s="310"/>
      <c r="T69" s="310"/>
      <c r="U69" s="307"/>
      <c r="V69" s="307"/>
      <c r="W69" s="311"/>
      <c r="X69" s="307"/>
      <c r="Y69" s="307"/>
      <c r="Z69" s="307"/>
      <c r="AA69" s="307"/>
      <c r="AB69" s="311"/>
      <c r="AC69" s="307"/>
      <c r="AD69" s="307"/>
      <c r="AE69" s="307"/>
      <c r="AF69" s="307"/>
      <c r="AG69" s="310"/>
      <c r="AH69" s="307"/>
      <c r="AI69" s="310"/>
      <c r="AJ69" s="307"/>
      <c r="AK69" s="307"/>
      <c r="AL69" s="307"/>
      <c r="AM69" s="308"/>
      <c r="AN69" s="311"/>
      <c r="AO69" s="307"/>
      <c r="AP69" s="307"/>
      <c r="AQ69" s="308"/>
      <c r="AR69" s="307"/>
      <c r="AS69" s="307"/>
      <c r="AT69" s="307"/>
      <c r="AU69" s="310"/>
      <c r="AV69" s="308"/>
      <c r="AW69" s="312"/>
      <c r="AX69" s="308"/>
      <c r="AY69" s="307"/>
      <c r="AZ69" s="307"/>
      <c r="BA69" s="307"/>
      <c r="BB69" s="307"/>
      <c r="BC69" s="308"/>
      <c r="BD69" s="308"/>
      <c r="BE69" s="313"/>
      <c r="BF69" s="307"/>
      <c r="BG69" s="310"/>
      <c r="BH69" s="307"/>
      <c r="BI69" s="307"/>
      <c r="BJ69" s="310"/>
      <c r="BK69" s="307"/>
      <c r="BL69" s="307"/>
      <c r="BM69" s="310"/>
      <c r="BN69" s="307"/>
      <c r="BO69" s="310"/>
      <c r="BP69" s="307"/>
      <c r="BQ69" s="307"/>
      <c r="BR69" s="307"/>
      <c r="BS69" s="307"/>
      <c r="BT69" s="307"/>
      <c r="BU69" s="310"/>
      <c r="BV69" s="307"/>
      <c r="BW69" s="308"/>
      <c r="BX69" s="311"/>
      <c r="BY69" s="307"/>
      <c r="BZ69" s="307"/>
      <c r="CA69" s="310"/>
      <c r="CB69" s="307"/>
      <c r="CC69" s="307"/>
      <c r="CD69" s="307"/>
      <c r="CE69" s="308"/>
      <c r="CF69" s="308"/>
      <c r="CG69" s="307"/>
      <c r="CH69" s="307"/>
      <c r="CI69" s="307"/>
      <c r="CJ69" s="307"/>
      <c r="CK69" s="314"/>
      <c r="CL69" s="310"/>
      <c r="CM69" s="310"/>
      <c r="CN69" s="307"/>
      <c r="CO69" s="307"/>
      <c r="CP69" s="307"/>
      <c r="CQ69" s="315"/>
      <c r="CR69" s="315"/>
      <c r="CS69" s="315"/>
      <c r="CT69" s="315"/>
      <c r="CU69" s="307"/>
      <c r="CV69" s="217"/>
      <c r="CW69" s="192"/>
      <c r="CX69" s="192"/>
      <c r="CY69" s="192"/>
      <c r="CZ69" s="191"/>
      <c r="DA69" s="193"/>
      <c r="DB69" s="192"/>
      <c r="DC69" s="192"/>
      <c r="DD69" s="192"/>
      <c r="DE69" s="191"/>
      <c r="DF69" s="19"/>
      <c r="DG69" s="192"/>
      <c r="DH69" s="192"/>
      <c r="DI69" s="192"/>
      <c r="DJ69" s="191"/>
      <c r="DK69" s="193"/>
      <c r="DL69" s="192"/>
      <c r="DM69" s="192"/>
      <c r="DN69" s="192"/>
      <c r="DO69" s="191"/>
      <c r="DP69" s="19"/>
      <c r="DQ69" s="192"/>
      <c r="DR69" s="192"/>
      <c r="DS69" s="192"/>
      <c r="DT69" s="191"/>
      <c r="DU69" s="193"/>
      <c r="DV69" s="192"/>
      <c r="DW69" s="192"/>
      <c r="DX69" s="192"/>
      <c r="DY69" s="191"/>
      <c r="DZ69" s="19"/>
      <c r="EA69" s="192"/>
      <c r="EB69" s="192"/>
      <c r="EC69" s="192"/>
      <c r="ED69" s="191"/>
      <c r="EE69" s="193"/>
      <c r="EF69" s="192"/>
      <c r="EG69" s="192"/>
      <c r="EH69" s="192"/>
      <c r="EI69" s="191"/>
      <c r="EJ69" s="19"/>
      <c r="EK69" s="192"/>
      <c r="EL69" s="192"/>
      <c r="EM69" s="192"/>
      <c r="EN69" s="191"/>
      <c r="EO69" s="193"/>
      <c r="EP69" s="192"/>
      <c r="EQ69" s="192"/>
      <c r="ER69" s="192"/>
      <c r="ES69" s="191"/>
      <c r="ET69" s="19"/>
      <c r="EU69" s="192"/>
      <c r="EV69" s="192"/>
      <c r="EW69" s="192"/>
      <c r="EX69" s="191"/>
      <c r="EY69" s="193"/>
      <c r="EZ69" s="192"/>
      <c r="FA69" s="192"/>
      <c r="FB69" s="192"/>
      <c r="FC69" s="191"/>
      <c r="FL69" s="273">
        <f t="shared" ca="1" si="2"/>
        <v>116</v>
      </c>
    </row>
    <row r="70" spans="1:168" ht="16.5" thickBot="1">
      <c r="A70" s="196">
        <v>67</v>
      </c>
      <c r="B70" s="306"/>
      <c r="C70" s="310"/>
      <c r="D70" s="307" t="s">
        <v>271</v>
      </c>
      <c r="E70" s="307" t="s">
        <v>271</v>
      </c>
      <c r="F70" s="308"/>
      <c r="G70" s="343" t="str">
        <f t="shared" si="3"/>
        <v xml:space="preserve"> </v>
      </c>
      <c r="H70" s="307"/>
      <c r="I70" s="309" t="e">
        <f t="shared" si="4"/>
        <v>#N/A</v>
      </c>
      <c r="J70" s="307"/>
      <c r="K70" s="307"/>
      <c r="L70" s="310"/>
      <c r="M70" s="310"/>
      <c r="N70" s="310"/>
      <c r="O70" s="310"/>
      <c r="P70" s="310"/>
      <c r="Q70" s="310"/>
      <c r="R70" s="310"/>
      <c r="S70" s="310"/>
      <c r="T70" s="310"/>
      <c r="U70" s="307"/>
      <c r="V70" s="307"/>
      <c r="W70" s="311"/>
      <c r="X70" s="307"/>
      <c r="Y70" s="307"/>
      <c r="Z70" s="307"/>
      <c r="AA70" s="307"/>
      <c r="AB70" s="311"/>
      <c r="AC70" s="307"/>
      <c r="AD70" s="307"/>
      <c r="AE70" s="307"/>
      <c r="AF70" s="307"/>
      <c r="AG70" s="310"/>
      <c r="AH70" s="307"/>
      <c r="AI70" s="310"/>
      <c r="AJ70" s="307"/>
      <c r="AK70" s="307"/>
      <c r="AL70" s="307"/>
      <c r="AM70" s="308"/>
      <c r="AN70" s="311"/>
      <c r="AO70" s="307"/>
      <c r="AP70" s="307"/>
      <c r="AQ70" s="308"/>
      <c r="AR70" s="307"/>
      <c r="AS70" s="307"/>
      <c r="AT70" s="307"/>
      <c r="AU70" s="310"/>
      <c r="AV70" s="308"/>
      <c r="AW70" s="312"/>
      <c r="AX70" s="308"/>
      <c r="AY70" s="307"/>
      <c r="AZ70" s="307"/>
      <c r="BA70" s="307"/>
      <c r="BB70" s="307"/>
      <c r="BC70" s="308"/>
      <c r="BD70" s="308"/>
      <c r="BE70" s="313"/>
      <c r="BF70" s="307"/>
      <c r="BG70" s="310"/>
      <c r="BH70" s="307"/>
      <c r="BI70" s="307"/>
      <c r="BJ70" s="310"/>
      <c r="BK70" s="307"/>
      <c r="BL70" s="307"/>
      <c r="BM70" s="310"/>
      <c r="BN70" s="307"/>
      <c r="BO70" s="310"/>
      <c r="BP70" s="307"/>
      <c r="BQ70" s="307"/>
      <c r="BR70" s="307"/>
      <c r="BS70" s="307"/>
      <c r="BT70" s="307"/>
      <c r="BU70" s="310"/>
      <c r="BV70" s="307"/>
      <c r="BW70" s="308"/>
      <c r="BX70" s="311"/>
      <c r="BY70" s="307"/>
      <c r="BZ70" s="307"/>
      <c r="CA70" s="310"/>
      <c r="CB70" s="307"/>
      <c r="CC70" s="307"/>
      <c r="CD70" s="307"/>
      <c r="CE70" s="308"/>
      <c r="CF70" s="308"/>
      <c r="CG70" s="307"/>
      <c r="CH70" s="307"/>
      <c r="CI70" s="307"/>
      <c r="CJ70" s="307"/>
      <c r="CK70" s="314"/>
      <c r="CL70" s="310"/>
      <c r="CM70" s="310"/>
      <c r="CN70" s="307"/>
      <c r="CO70" s="307"/>
      <c r="CP70" s="307"/>
      <c r="CQ70" s="315"/>
      <c r="CR70" s="315"/>
      <c r="CS70" s="315"/>
      <c r="CT70" s="315"/>
      <c r="CU70" s="307"/>
      <c r="CV70" s="217"/>
      <c r="CW70" s="192"/>
      <c r="CX70" s="192"/>
      <c r="CY70" s="192"/>
      <c r="CZ70" s="191"/>
      <c r="DA70" s="193"/>
      <c r="DB70" s="192"/>
      <c r="DC70" s="192"/>
      <c r="DD70" s="192"/>
      <c r="DE70" s="191"/>
      <c r="DF70" s="19"/>
      <c r="DG70" s="192"/>
      <c r="DH70" s="192"/>
      <c r="DI70" s="192"/>
      <c r="DJ70" s="191"/>
      <c r="DK70" s="193"/>
      <c r="DL70" s="192"/>
      <c r="DM70" s="192"/>
      <c r="DN70" s="192"/>
      <c r="DO70" s="191"/>
      <c r="DP70" s="19"/>
      <c r="DQ70" s="192"/>
      <c r="DR70" s="192"/>
      <c r="DS70" s="192"/>
      <c r="DT70" s="191"/>
      <c r="DU70" s="193"/>
      <c r="DV70" s="192"/>
      <c r="DW70" s="192"/>
      <c r="DX70" s="192"/>
      <c r="DY70" s="191"/>
      <c r="DZ70" s="19"/>
      <c r="EA70" s="192"/>
      <c r="EB70" s="192"/>
      <c r="EC70" s="192"/>
      <c r="ED70" s="191"/>
      <c r="EE70" s="193"/>
      <c r="EF70" s="192"/>
      <c r="EG70" s="192"/>
      <c r="EH70" s="192"/>
      <c r="EI70" s="191"/>
      <c r="EJ70" s="19"/>
      <c r="EK70" s="192"/>
      <c r="EL70" s="192"/>
      <c r="EM70" s="192"/>
      <c r="EN70" s="191"/>
      <c r="EO70" s="193"/>
      <c r="EP70" s="192"/>
      <c r="EQ70" s="192"/>
      <c r="ER70" s="192"/>
      <c r="ES70" s="191"/>
      <c r="ET70" s="19"/>
      <c r="EU70" s="192"/>
      <c r="EV70" s="192"/>
      <c r="EW70" s="192"/>
      <c r="EX70" s="191"/>
      <c r="EY70" s="193"/>
      <c r="EZ70" s="192"/>
      <c r="FA70" s="192"/>
      <c r="FB70" s="192"/>
      <c r="FC70" s="191"/>
      <c r="FL70" s="273">
        <f t="shared" ref="FL70:FL133" ca="1" si="5">YEAR($FL$3)-YEAR(F70)-1+IF(DATE(1901,MONTH(F70),DAY(F70))-DATE(1901,MONTH($FL$3),DAY($FL$3))&lt;=0,1,0)</f>
        <v>116</v>
      </c>
    </row>
    <row r="71" spans="1:168" ht="16.5" thickBot="1">
      <c r="A71" s="199">
        <v>68</v>
      </c>
      <c r="B71" s="306"/>
      <c r="C71" s="310"/>
      <c r="D71" s="307" t="s">
        <v>271</v>
      </c>
      <c r="E71" s="307" t="s">
        <v>271</v>
      </c>
      <c r="F71" s="308"/>
      <c r="G71" s="343" t="str">
        <f t="shared" si="3"/>
        <v xml:space="preserve"> </v>
      </c>
      <c r="H71" s="307"/>
      <c r="I71" s="309" t="e">
        <f t="shared" si="4"/>
        <v>#N/A</v>
      </c>
      <c r="J71" s="307"/>
      <c r="K71" s="307"/>
      <c r="L71" s="310"/>
      <c r="M71" s="310"/>
      <c r="N71" s="310"/>
      <c r="O71" s="310"/>
      <c r="P71" s="310"/>
      <c r="Q71" s="310"/>
      <c r="R71" s="310"/>
      <c r="S71" s="310"/>
      <c r="T71" s="310"/>
      <c r="U71" s="307"/>
      <c r="V71" s="307"/>
      <c r="W71" s="311"/>
      <c r="X71" s="307"/>
      <c r="Y71" s="307"/>
      <c r="Z71" s="307"/>
      <c r="AA71" s="307"/>
      <c r="AB71" s="311"/>
      <c r="AC71" s="307"/>
      <c r="AD71" s="307"/>
      <c r="AE71" s="307"/>
      <c r="AF71" s="307"/>
      <c r="AG71" s="310"/>
      <c r="AH71" s="307"/>
      <c r="AI71" s="310"/>
      <c r="AJ71" s="307"/>
      <c r="AK71" s="307"/>
      <c r="AL71" s="307"/>
      <c r="AM71" s="308"/>
      <c r="AN71" s="311"/>
      <c r="AO71" s="307"/>
      <c r="AP71" s="307"/>
      <c r="AQ71" s="308"/>
      <c r="AR71" s="307"/>
      <c r="AS71" s="307"/>
      <c r="AT71" s="307"/>
      <c r="AU71" s="310"/>
      <c r="AV71" s="308"/>
      <c r="AW71" s="312"/>
      <c r="AX71" s="308"/>
      <c r="AY71" s="307"/>
      <c r="AZ71" s="307"/>
      <c r="BA71" s="307"/>
      <c r="BB71" s="307"/>
      <c r="BC71" s="308"/>
      <c r="BD71" s="308"/>
      <c r="BE71" s="313"/>
      <c r="BF71" s="307"/>
      <c r="BG71" s="310"/>
      <c r="BH71" s="307"/>
      <c r="BI71" s="307"/>
      <c r="BJ71" s="310"/>
      <c r="BK71" s="307"/>
      <c r="BL71" s="307"/>
      <c r="BM71" s="310"/>
      <c r="BN71" s="307"/>
      <c r="BO71" s="310"/>
      <c r="BP71" s="307"/>
      <c r="BQ71" s="307"/>
      <c r="BR71" s="307"/>
      <c r="BS71" s="307"/>
      <c r="BT71" s="307"/>
      <c r="BU71" s="310"/>
      <c r="BV71" s="307"/>
      <c r="BW71" s="308"/>
      <c r="BX71" s="311"/>
      <c r="BY71" s="307"/>
      <c r="BZ71" s="307"/>
      <c r="CA71" s="310"/>
      <c r="CB71" s="307"/>
      <c r="CC71" s="307"/>
      <c r="CD71" s="307"/>
      <c r="CE71" s="308"/>
      <c r="CF71" s="308"/>
      <c r="CG71" s="307"/>
      <c r="CH71" s="307"/>
      <c r="CI71" s="307"/>
      <c r="CJ71" s="307"/>
      <c r="CK71" s="314"/>
      <c r="CL71" s="310"/>
      <c r="CM71" s="310"/>
      <c r="CN71" s="307"/>
      <c r="CO71" s="307"/>
      <c r="CP71" s="307"/>
      <c r="CQ71" s="315"/>
      <c r="CR71" s="315"/>
      <c r="CS71" s="315"/>
      <c r="CT71" s="315"/>
      <c r="CU71" s="307"/>
      <c r="CV71" s="217"/>
      <c r="CW71" s="192"/>
      <c r="CX71" s="192"/>
      <c r="CY71" s="192"/>
      <c r="CZ71" s="191"/>
      <c r="DA71" s="193"/>
      <c r="DB71" s="192"/>
      <c r="DC71" s="192"/>
      <c r="DD71" s="192"/>
      <c r="DE71" s="191"/>
      <c r="DF71" s="19"/>
      <c r="DG71" s="192"/>
      <c r="DH71" s="192"/>
      <c r="DI71" s="192"/>
      <c r="DJ71" s="191"/>
      <c r="DK71" s="193"/>
      <c r="DL71" s="192"/>
      <c r="DM71" s="192"/>
      <c r="DN71" s="192"/>
      <c r="DO71" s="191"/>
      <c r="DP71" s="19"/>
      <c r="DQ71" s="192"/>
      <c r="DR71" s="192"/>
      <c r="DS71" s="192"/>
      <c r="DT71" s="191"/>
      <c r="DU71" s="193"/>
      <c r="DV71" s="192"/>
      <c r="DW71" s="192"/>
      <c r="DX71" s="192"/>
      <c r="DY71" s="191"/>
      <c r="DZ71" s="19"/>
      <c r="EA71" s="192"/>
      <c r="EB71" s="192"/>
      <c r="EC71" s="192"/>
      <c r="ED71" s="191"/>
      <c r="EE71" s="193"/>
      <c r="EF71" s="192"/>
      <c r="EG71" s="192"/>
      <c r="EH71" s="192"/>
      <c r="EI71" s="191"/>
      <c r="EJ71" s="19"/>
      <c r="EK71" s="192"/>
      <c r="EL71" s="192"/>
      <c r="EM71" s="192"/>
      <c r="EN71" s="191"/>
      <c r="EO71" s="193"/>
      <c r="EP71" s="192"/>
      <c r="EQ71" s="192"/>
      <c r="ER71" s="192"/>
      <c r="ES71" s="191"/>
      <c r="ET71" s="19"/>
      <c r="EU71" s="192"/>
      <c r="EV71" s="192"/>
      <c r="EW71" s="192"/>
      <c r="EX71" s="191"/>
      <c r="EY71" s="193"/>
      <c r="EZ71" s="192"/>
      <c r="FA71" s="192"/>
      <c r="FB71" s="192"/>
      <c r="FC71" s="191"/>
      <c r="FL71" s="273">
        <f t="shared" ca="1" si="5"/>
        <v>116</v>
      </c>
    </row>
    <row r="72" spans="1:168" ht="16.5" thickBot="1">
      <c r="A72" s="196">
        <v>69</v>
      </c>
      <c r="B72" s="306"/>
      <c r="C72" s="310"/>
      <c r="D72" s="307" t="s">
        <v>271</v>
      </c>
      <c r="E72" s="307" t="s">
        <v>271</v>
      </c>
      <c r="F72" s="308"/>
      <c r="G72" s="343" t="str">
        <f t="shared" si="3"/>
        <v xml:space="preserve"> </v>
      </c>
      <c r="H72" s="307"/>
      <c r="I72" s="309" t="e">
        <f t="shared" si="4"/>
        <v>#N/A</v>
      </c>
      <c r="J72" s="307"/>
      <c r="K72" s="307"/>
      <c r="L72" s="310"/>
      <c r="M72" s="310"/>
      <c r="N72" s="310"/>
      <c r="O72" s="310"/>
      <c r="P72" s="310"/>
      <c r="Q72" s="310"/>
      <c r="R72" s="310"/>
      <c r="S72" s="310"/>
      <c r="T72" s="310"/>
      <c r="U72" s="307"/>
      <c r="V72" s="307"/>
      <c r="W72" s="311"/>
      <c r="X72" s="307"/>
      <c r="Y72" s="307"/>
      <c r="Z72" s="307"/>
      <c r="AA72" s="307"/>
      <c r="AB72" s="311"/>
      <c r="AC72" s="307"/>
      <c r="AD72" s="307"/>
      <c r="AE72" s="307"/>
      <c r="AF72" s="307"/>
      <c r="AG72" s="310"/>
      <c r="AH72" s="307"/>
      <c r="AI72" s="310"/>
      <c r="AJ72" s="307"/>
      <c r="AK72" s="307"/>
      <c r="AL72" s="307"/>
      <c r="AM72" s="308"/>
      <c r="AN72" s="311"/>
      <c r="AO72" s="307"/>
      <c r="AP72" s="307"/>
      <c r="AQ72" s="308"/>
      <c r="AR72" s="307"/>
      <c r="AS72" s="307"/>
      <c r="AT72" s="307"/>
      <c r="AU72" s="310"/>
      <c r="AV72" s="308"/>
      <c r="AW72" s="312"/>
      <c r="AX72" s="308"/>
      <c r="AY72" s="307"/>
      <c r="AZ72" s="307"/>
      <c r="BA72" s="307"/>
      <c r="BB72" s="307"/>
      <c r="BC72" s="308"/>
      <c r="BD72" s="308"/>
      <c r="BE72" s="313"/>
      <c r="BF72" s="307"/>
      <c r="BG72" s="310"/>
      <c r="BH72" s="307"/>
      <c r="BI72" s="307"/>
      <c r="BJ72" s="310"/>
      <c r="BK72" s="307"/>
      <c r="BL72" s="307"/>
      <c r="BM72" s="310"/>
      <c r="BN72" s="307"/>
      <c r="BO72" s="310"/>
      <c r="BP72" s="307"/>
      <c r="BQ72" s="307"/>
      <c r="BR72" s="307"/>
      <c r="BS72" s="307"/>
      <c r="BT72" s="307"/>
      <c r="BU72" s="310"/>
      <c r="BV72" s="307"/>
      <c r="BW72" s="308"/>
      <c r="BX72" s="311"/>
      <c r="BY72" s="307"/>
      <c r="BZ72" s="307"/>
      <c r="CA72" s="310"/>
      <c r="CB72" s="307"/>
      <c r="CC72" s="307"/>
      <c r="CD72" s="307"/>
      <c r="CE72" s="308"/>
      <c r="CF72" s="308"/>
      <c r="CG72" s="307"/>
      <c r="CH72" s="307"/>
      <c r="CI72" s="307"/>
      <c r="CJ72" s="307"/>
      <c r="CK72" s="314"/>
      <c r="CL72" s="310"/>
      <c r="CM72" s="310"/>
      <c r="CN72" s="307"/>
      <c r="CO72" s="307"/>
      <c r="CP72" s="307"/>
      <c r="CQ72" s="315"/>
      <c r="CR72" s="315"/>
      <c r="CS72" s="315"/>
      <c r="CT72" s="315"/>
      <c r="CU72" s="307"/>
      <c r="CV72" s="217"/>
      <c r="CW72" s="192"/>
      <c r="CX72" s="192"/>
      <c r="CY72" s="192"/>
      <c r="CZ72" s="191"/>
      <c r="DA72" s="193"/>
      <c r="DB72" s="192"/>
      <c r="DC72" s="192"/>
      <c r="DD72" s="192"/>
      <c r="DE72" s="191"/>
      <c r="DF72" s="19"/>
      <c r="DG72" s="192"/>
      <c r="DH72" s="192"/>
      <c r="DI72" s="192"/>
      <c r="DJ72" s="191"/>
      <c r="DK72" s="193"/>
      <c r="DL72" s="192"/>
      <c r="DM72" s="192"/>
      <c r="DN72" s="192"/>
      <c r="DO72" s="191"/>
      <c r="DP72" s="19"/>
      <c r="DQ72" s="192"/>
      <c r="DR72" s="192"/>
      <c r="DS72" s="192"/>
      <c r="DT72" s="191"/>
      <c r="DU72" s="193"/>
      <c r="DV72" s="192"/>
      <c r="DW72" s="192"/>
      <c r="DX72" s="192"/>
      <c r="DY72" s="191"/>
      <c r="DZ72" s="19"/>
      <c r="EA72" s="192"/>
      <c r="EB72" s="192"/>
      <c r="EC72" s="192"/>
      <c r="ED72" s="191"/>
      <c r="EE72" s="193"/>
      <c r="EF72" s="192"/>
      <c r="EG72" s="192"/>
      <c r="EH72" s="192"/>
      <c r="EI72" s="191"/>
      <c r="EJ72" s="19"/>
      <c r="EK72" s="192"/>
      <c r="EL72" s="192"/>
      <c r="EM72" s="192"/>
      <c r="EN72" s="191"/>
      <c r="EO72" s="193"/>
      <c r="EP72" s="192"/>
      <c r="EQ72" s="192"/>
      <c r="ER72" s="192"/>
      <c r="ES72" s="191"/>
      <c r="ET72" s="19"/>
      <c r="EU72" s="192"/>
      <c r="EV72" s="192"/>
      <c r="EW72" s="192"/>
      <c r="EX72" s="191"/>
      <c r="EY72" s="193"/>
      <c r="EZ72" s="192"/>
      <c r="FA72" s="192"/>
      <c r="FB72" s="192"/>
      <c r="FC72" s="191"/>
      <c r="FL72" s="273">
        <f t="shared" ca="1" si="5"/>
        <v>116</v>
      </c>
    </row>
    <row r="73" spans="1:168" ht="16.5" thickBot="1">
      <c r="A73" s="199">
        <v>70</v>
      </c>
      <c r="B73" s="306"/>
      <c r="C73" s="310"/>
      <c r="D73" s="307" t="s">
        <v>271</v>
      </c>
      <c r="E73" s="307" t="s">
        <v>271</v>
      </c>
      <c r="F73" s="308"/>
      <c r="G73" s="343" t="str">
        <f t="shared" si="3"/>
        <v xml:space="preserve"> </v>
      </c>
      <c r="H73" s="307"/>
      <c r="I73" s="309" t="e">
        <f t="shared" si="4"/>
        <v>#N/A</v>
      </c>
      <c r="J73" s="307"/>
      <c r="K73" s="307"/>
      <c r="L73" s="310"/>
      <c r="M73" s="310"/>
      <c r="N73" s="310"/>
      <c r="O73" s="310"/>
      <c r="P73" s="310"/>
      <c r="Q73" s="310"/>
      <c r="R73" s="310"/>
      <c r="S73" s="310"/>
      <c r="T73" s="310"/>
      <c r="U73" s="307"/>
      <c r="V73" s="307"/>
      <c r="W73" s="311"/>
      <c r="X73" s="307"/>
      <c r="Y73" s="307"/>
      <c r="Z73" s="307"/>
      <c r="AA73" s="307"/>
      <c r="AB73" s="311"/>
      <c r="AC73" s="307"/>
      <c r="AD73" s="307"/>
      <c r="AE73" s="307"/>
      <c r="AF73" s="307"/>
      <c r="AG73" s="310"/>
      <c r="AH73" s="307"/>
      <c r="AI73" s="310"/>
      <c r="AJ73" s="307"/>
      <c r="AK73" s="307"/>
      <c r="AL73" s="307"/>
      <c r="AM73" s="308"/>
      <c r="AN73" s="311"/>
      <c r="AO73" s="307"/>
      <c r="AP73" s="307"/>
      <c r="AQ73" s="308"/>
      <c r="AR73" s="307"/>
      <c r="AS73" s="307"/>
      <c r="AT73" s="307"/>
      <c r="AU73" s="310"/>
      <c r="AV73" s="308"/>
      <c r="AW73" s="312"/>
      <c r="AX73" s="308"/>
      <c r="AY73" s="307"/>
      <c r="AZ73" s="307"/>
      <c r="BA73" s="307"/>
      <c r="BB73" s="307"/>
      <c r="BC73" s="308"/>
      <c r="BD73" s="308"/>
      <c r="BE73" s="313"/>
      <c r="BF73" s="307"/>
      <c r="BG73" s="310"/>
      <c r="BH73" s="307"/>
      <c r="BI73" s="307"/>
      <c r="BJ73" s="310"/>
      <c r="BK73" s="307"/>
      <c r="BL73" s="307"/>
      <c r="BM73" s="310"/>
      <c r="BN73" s="307"/>
      <c r="BO73" s="310"/>
      <c r="BP73" s="307"/>
      <c r="BQ73" s="307"/>
      <c r="BR73" s="307"/>
      <c r="BS73" s="307"/>
      <c r="BT73" s="307"/>
      <c r="BU73" s="310"/>
      <c r="BV73" s="307"/>
      <c r="BW73" s="308"/>
      <c r="BX73" s="311"/>
      <c r="BY73" s="307"/>
      <c r="BZ73" s="307"/>
      <c r="CA73" s="310"/>
      <c r="CB73" s="307"/>
      <c r="CC73" s="307"/>
      <c r="CD73" s="307"/>
      <c r="CE73" s="308"/>
      <c r="CF73" s="308"/>
      <c r="CG73" s="307"/>
      <c r="CH73" s="307"/>
      <c r="CI73" s="307"/>
      <c r="CJ73" s="307"/>
      <c r="CK73" s="314"/>
      <c r="CL73" s="310"/>
      <c r="CM73" s="310"/>
      <c r="CN73" s="307"/>
      <c r="CO73" s="307"/>
      <c r="CP73" s="307"/>
      <c r="CQ73" s="315"/>
      <c r="CR73" s="315"/>
      <c r="CS73" s="315"/>
      <c r="CT73" s="315"/>
      <c r="CU73" s="307"/>
      <c r="CV73" s="217"/>
      <c r="CW73" s="192"/>
      <c r="CX73" s="192"/>
      <c r="CY73" s="192"/>
      <c r="CZ73" s="191"/>
      <c r="DA73" s="193"/>
      <c r="DB73" s="192"/>
      <c r="DC73" s="192"/>
      <c r="DD73" s="192"/>
      <c r="DE73" s="191"/>
      <c r="DF73" s="19"/>
      <c r="DG73" s="192"/>
      <c r="DH73" s="192"/>
      <c r="DI73" s="192"/>
      <c r="DJ73" s="191"/>
      <c r="DK73" s="193"/>
      <c r="DL73" s="192"/>
      <c r="DM73" s="192"/>
      <c r="DN73" s="192"/>
      <c r="DO73" s="191"/>
      <c r="DP73" s="19"/>
      <c r="DQ73" s="192"/>
      <c r="DR73" s="192"/>
      <c r="DS73" s="192"/>
      <c r="DT73" s="191"/>
      <c r="DU73" s="193"/>
      <c r="DV73" s="192"/>
      <c r="DW73" s="192"/>
      <c r="DX73" s="192"/>
      <c r="DY73" s="191"/>
      <c r="DZ73" s="19"/>
      <c r="EA73" s="192"/>
      <c r="EB73" s="192"/>
      <c r="EC73" s="192"/>
      <c r="ED73" s="191"/>
      <c r="EE73" s="193"/>
      <c r="EF73" s="192"/>
      <c r="EG73" s="192"/>
      <c r="EH73" s="192"/>
      <c r="EI73" s="191"/>
      <c r="EJ73" s="19"/>
      <c r="EK73" s="192"/>
      <c r="EL73" s="192"/>
      <c r="EM73" s="192"/>
      <c r="EN73" s="191"/>
      <c r="EO73" s="193"/>
      <c r="EP73" s="192"/>
      <c r="EQ73" s="192"/>
      <c r="ER73" s="192"/>
      <c r="ES73" s="191"/>
      <c r="ET73" s="19"/>
      <c r="EU73" s="192"/>
      <c r="EV73" s="192"/>
      <c r="EW73" s="192"/>
      <c r="EX73" s="191"/>
      <c r="EY73" s="193"/>
      <c r="EZ73" s="192"/>
      <c r="FA73" s="192"/>
      <c r="FB73" s="192"/>
      <c r="FC73" s="191"/>
      <c r="FL73" s="273">
        <f t="shared" ca="1" si="5"/>
        <v>116</v>
      </c>
    </row>
    <row r="74" spans="1:168" ht="16.5" thickBot="1">
      <c r="A74" s="196">
        <v>71</v>
      </c>
      <c r="B74" s="306"/>
      <c r="C74" s="310"/>
      <c r="D74" s="307" t="s">
        <v>271</v>
      </c>
      <c r="E74" s="307" t="s">
        <v>271</v>
      </c>
      <c r="F74" s="308"/>
      <c r="G74" s="343" t="str">
        <f t="shared" si="3"/>
        <v xml:space="preserve"> </v>
      </c>
      <c r="H74" s="307"/>
      <c r="I74" s="309" t="e">
        <f t="shared" si="4"/>
        <v>#N/A</v>
      </c>
      <c r="J74" s="307"/>
      <c r="K74" s="307"/>
      <c r="L74" s="310"/>
      <c r="M74" s="310"/>
      <c r="N74" s="310"/>
      <c r="O74" s="310"/>
      <c r="P74" s="310"/>
      <c r="Q74" s="310"/>
      <c r="R74" s="310"/>
      <c r="S74" s="310"/>
      <c r="T74" s="310"/>
      <c r="U74" s="307"/>
      <c r="V74" s="307"/>
      <c r="W74" s="311"/>
      <c r="X74" s="307"/>
      <c r="Y74" s="307"/>
      <c r="Z74" s="307"/>
      <c r="AA74" s="307"/>
      <c r="AB74" s="311"/>
      <c r="AC74" s="307"/>
      <c r="AD74" s="307"/>
      <c r="AE74" s="307"/>
      <c r="AF74" s="307"/>
      <c r="AG74" s="310"/>
      <c r="AH74" s="307"/>
      <c r="AI74" s="310"/>
      <c r="AJ74" s="307"/>
      <c r="AK74" s="307"/>
      <c r="AL74" s="307"/>
      <c r="AM74" s="308"/>
      <c r="AN74" s="311"/>
      <c r="AO74" s="307"/>
      <c r="AP74" s="307"/>
      <c r="AQ74" s="308"/>
      <c r="AR74" s="307"/>
      <c r="AS74" s="307"/>
      <c r="AT74" s="307"/>
      <c r="AU74" s="310"/>
      <c r="AV74" s="308"/>
      <c r="AW74" s="312"/>
      <c r="AX74" s="308"/>
      <c r="AY74" s="307"/>
      <c r="AZ74" s="307"/>
      <c r="BA74" s="307"/>
      <c r="BB74" s="307"/>
      <c r="BC74" s="308"/>
      <c r="BD74" s="308"/>
      <c r="BE74" s="313"/>
      <c r="BF74" s="307"/>
      <c r="BG74" s="310"/>
      <c r="BH74" s="307"/>
      <c r="BI74" s="307"/>
      <c r="BJ74" s="310"/>
      <c r="BK74" s="307"/>
      <c r="BL74" s="307"/>
      <c r="BM74" s="310"/>
      <c r="BN74" s="307"/>
      <c r="BO74" s="310"/>
      <c r="BP74" s="307"/>
      <c r="BQ74" s="307"/>
      <c r="BR74" s="307"/>
      <c r="BS74" s="307"/>
      <c r="BT74" s="307"/>
      <c r="BU74" s="310"/>
      <c r="BV74" s="307"/>
      <c r="BW74" s="308"/>
      <c r="BX74" s="311"/>
      <c r="BY74" s="307"/>
      <c r="BZ74" s="307"/>
      <c r="CA74" s="310"/>
      <c r="CB74" s="307"/>
      <c r="CC74" s="307"/>
      <c r="CD74" s="307"/>
      <c r="CE74" s="308"/>
      <c r="CF74" s="308"/>
      <c r="CG74" s="307"/>
      <c r="CH74" s="307"/>
      <c r="CI74" s="307"/>
      <c r="CJ74" s="307"/>
      <c r="CK74" s="314"/>
      <c r="CL74" s="310"/>
      <c r="CM74" s="310"/>
      <c r="CN74" s="307"/>
      <c r="CO74" s="307"/>
      <c r="CP74" s="307"/>
      <c r="CQ74" s="315"/>
      <c r="CR74" s="315"/>
      <c r="CS74" s="315"/>
      <c r="CT74" s="315"/>
      <c r="CU74" s="307"/>
      <c r="CV74" s="217"/>
      <c r="CW74" s="192"/>
      <c r="CX74" s="192"/>
      <c r="CY74" s="192"/>
      <c r="CZ74" s="191"/>
      <c r="DA74" s="193"/>
      <c r="DB74" s="192"/>
      <c r="DC74" s="192"/>
      <c r="DD74" s="192"/>
      <c r="DE74" s="191"/>
      <c r="DF74" s="19"/>
      <c r="DG74" s="192"/>
      <c r="DH74" s="192"/>
      <c r="DI74" s="192"/>
      <c r="DJ74" s="191"/>
      <c r="DK74" s="193"/>
      <c r="DL74" s="192"/>
      <c r="DM74" s="192"/>
      <c r="DN74" s="192"/>
      <c r="DO74" s="191"/>
      <c r="DP74" s="19"/>
      <c r="DQ74" s="192"/>
      <c r="DR74" s="192"/>
      <c r="DS74" s="192"/>
      <c r="DT74" s="191"/>
      <c r="DU74" s="193"/>
      <c r="DV74" s="192"/>
      <c r="DW74" s="192"/>
      <c r="DX74" s="192"/>
      <c r="DY74" s="191"/>
      <c r="DZ74" s="19"/>
      <c r="EA74" s="192"/>
      <c r="EB74" s="192"/>
      <c r="EC74" s="192"/>
      <c r="ED74" s="191"/>
      <c r="EE74" s="193"/>
      <c r="EF74" s="192"/>
      <c r="EG74" s="192"/>
      <c r="EH74" s="192"/>
      <c r="EI74" s="191"/>
      <c r="EJ74" s="19"/>
      <c r="EK74" s="192"/>
      <c r="EL74" s="192"/>
      <c r="EM74" s="192"/>
      <c r="EN74" s="191"/>
      <c r="EO74" s="193"/>
      <c r="EP74" s="192"/>
      <c r="EQ74" s="192"/>
      <c r="ER74" s="192"/>
      <c r="ES74" s="191"/>
      <c r="ET74" s="19"/>
      <c r="EU74" s="192"/>
      <c r="EV74" s="192"/>
      <c r="EW74" s="192"/>
      <c r="EX74" s="191"/>
      <c r="EY74" s="193"/>
      <c r="EZ74" s="192"/>
      <c r="FA74" s="192"/>
      <c r="FB74" s="192"/>
      <c r="FC74" s="191"/>
      <c r="FL74" s="273">
        <f t="shared" ca="1" si="5"/>
        <v>116</v>
      </c>
    </row>
    <row r="75" spans="1:168" ht="16.5" thickBot="1">
      <c r="A75" s="199">
        <v>72</v>
      </c>
      <c r="B75" s="306"/>
      <c r="C75" s="310"/>
      <c r="D75" s="307" t="s">
        <v>271</v>
      </c>
      <c r="E75" s="307" t="s">
        <v>271</v>
      </c>
      <c r="F75" s="308"/>
      <c r="G75" s="343" t="str">
        <f t="shared" si="3"/>
        <v xml:space="preserve"> </v>
      </c>
      <c r="H75" s="307"/>
      <c r="I75" s="309" t="e">
        <f t="shared" si="4"/>
        <v>#N/A</v>
      </c>
      <c r="J75" s="307"/>
      <c r="K75" s="307"/>
      <c r="L75" s="310"/>
      <c r="M75" s="310"/>
      <c r="N75" s="310"/>
      <c r="O75" s="310"/>
      <c r="P75" s="310"/>
      <c r="Q75" s="310"/>
      <c r="R75" s="310"/>
      <c r="S75" s="310"/>
      <c r="T75" s="310"/>
      <c r="U75" s="307"/>
      <c r="V75" s="307"/>
      <c r="W75" s="311"/>
      <c r="X75" s="307"/>
      <c r="Y75" s="307"/>
      <c r="Z75" s="307"/>
      <c r="AA75" s="307"/>
      <c r="AB75" s="311"/>
      <c r="AC75" s="307"/>
      <c r="AD75" s="307"/>
      <c r="AE75" s="307"/>
      <c r="AF75" s="307"/>
      <c r="AG75" s="310"/>
      <c r="AH75" s="307"/>
      <c r="AI75" s="310"/>
      <c r="AJ75" s="307"/>
      <c r="AK75" s="307"/>
      <c r="AL75" s="307"/>
      <c r="AM75" s="308"/>
      <c r="AN75" s="311"/>
      <c r="AO75" s="307"/>
      <c r="AP75" s="307"/>
      <c r="AQ75" s="308"/>
      <c r="AR75" s="307"/>
      <c r="AS75" s="307"/>
      <c r="AT75" s="307"/>
      <c r="AU75" s="310"/>
      <c r="AV75" s="308"/>
      <c r="AW75" s="312"/>
      <c r="AX75" s="308"/>
      <c r="AY75" s="307"/>
      <c r="AZ75" s="307"/>
      <c r="BA75" s="307"/>
      <c r="BB75" s="307"/>
      <c r="BC75" s="308"/>
      <c r="BD75" s="308"/>
      <c r="BE75" s="313"/>
      <c r="BF75" s="307"/>
      <c r="BG75" s="310"/>
      <c r="BH75" s="307"/>
      <c r="BI75" s="307"/>
      <c r="BJ75" s="310"/>
      <c r="BK75" s="307"/>
      <c r="BL75" s="307"/>
      <c r="BM75" s="310"/>
      <c r="BN75" s="307"/>
      <c r="BO75" s="310"/>
      <c r="BP75" s="307"/>
      <c r="BQ75" s="307"/>
      <c r="BR75" s="307"/>
      <c r="BS75" s="307"/>
      <c r="BT75" s="307"/>
      <c r="BU75" s="310"/>
      <c r="BV75" s="307"/>
      <c r="BW75" s="308"/>
      <c r="BX75" s="311"/>
      <c r="BY75" s="307"/>
      <c r="BZ75" s="307"/>
      <c r="CA75" s="310"/>
      <c r="CB75" s="307"/>
      <c r="CC75" s="307"/>
      <c r="CD75" s="307"/>
      <c r="CE75" s="308"/>
      <c r="CF75" s="308"/>
      <c r="CG75" s="307"/>
      <c r="CH75" s="307"/>
      <c r="CI75" s="307"/>
      <c r="CJ75" s="307"/>
      <c r="CK75" s="314"/>
      <c r="CL75" s="310"/>
      <c r="CM75" s="310"/>
      <c r="CN75" s="307"/>
      <c r="CO75" s="307"/>
      <c r="CP75" s="307"/>
      <c r="CQ75" s="315"/>
      <c r="CR75" s="315"/>
      <c r="CS75" s="315"/>
      <c r="CT75" s="315"/>
      <c r="CU75" s="307"/>
      <c r="CV75" s="217"/>
      <c r="CW75" s="192"/>
      <c r="CX75" s="192"/>
      <c r="CY75" s="192"/>
      <c r="CZ75" s="191"/>
      <c r="DA75" s="193"/>
      <c r="DB75" s="192"/>
      <c r="DC75" s="192"/>
      <c r="DD75" s="192"/>
      <c r="DE75" s="191"/>
      <c r="DF75" s="19"/>
      <c r="DG75" s="192"/>
      <c r="DH75" s="192"/>
      <c r="DI75" s="192"/>
      <c r="DJ75" s="191"/>
      <c r="DK75" s="193"/>
      <c r="DL75" s="192"/>
      <c r="DM75" s="192"/>
      <c r="DN75" s="192"/>
      <c r="DO75" s="191"/>
      <c r="DP75" s="19"/>
      <c r="DQ75" s="192"/>
      <c r="DR75" s="192"/>
      <c r="DS75" s="192"/>
      <c r="DT75" s="191"/>
      <c r="DU75" s="193"/>
      <c r="DV75" s="192"/>
      <c r="DW75" s="192"/>
      <c r="DX75" s="192"/>
      <c r="DY75" s="191"/>
      <c r="DZ75" s="19"/>
      <c r="EA75" s="192"/>
      <c r="EB75" s="192"/>
      <c r="EC75" s="192"/>
      <c r="ED75" s="191"/>
      <c r="EE75" s="193"/>
      <c r="EF75" s="192"/>
      <c r="EG75" s="192"/>
      <c r="EH75" s="192"/>
      <c r="EI75" s="191"/>
      <c r="EJ75" s="19"/>
      <c r="EK75" s="192"/>
      <c r="EL75" s="192"/>
      <c r="EM75" s="192"/>
      <c r="EN75" s="191"/>
      <c r="EO75" s="193"/>
      <c r="EP75" s="192"/>
      <c r="EQ75" s="192"/>
      <c r="ER75" s="192"/>
      <c r="ES75" s="191"/>
      <c r="ET75" s="19"/>
      <c r="EU75" s="192"/>
      <c r="EV75" s="192"/>
      <c r="EW75" s="192"/>
      <c r="EX75" s="191"/>
      <c r="EY75" s="193"/>
      <c r="EZ75" s="192"/>
      <c r="FA75" s="192"/>
      <c r="FB75" s="192"/>
      <c r="FC75" s="191"/>
      <c r="FL75" s="273">
        <f t="shared" ca="1" si="5"/>
        <v>116</v>
      </c>
    </row>
    <row r="76" spans="1:168" ht="16.5" thickBot="1">
      <c r="A76" s="196">
        <v>73</v>
      </c>
      <c r="B76" s="306"/>
      <c r="C76" s="310"/>
      <c r="D76" s="307" t="s">
        <v>271</v>
      </c>
      <c r="E76" s="307" t="s">
        <v>271</v>
      </c>
      <c r="F76" s="308"/>
      <c r="G76" s="343" t="str">
        <f t="shared" si="3"/>
        <v xml:space="preserve"> </v>
      </c>
      <c r="H76" s="307"/>
      <c r="I76" s="309" t="e">
        <f t="shared" si="4"/>
        <v>#N/A</v>
      </c>
      <c r="J76" s="307"/>
      <c r="K76" s="307"/>
      <c r="L76" s="310"/>
      <c r="M76" s="310"/>
      <c r="N76" s="310"/>
      <c r="O76" s="310"/>
      <c r="P76" s="310"/>
      <c r="Q76" s="310"/>
      <c r="R76" s="310"/>
      <c r="S76" s="310"/>
      <c r="T76" s="310"/>
      <c r="U76" s="307"/>
      <c r="V76" s="307"/>
      <c r="W76" s="311"/>
      <c r="X76" s="307"/>
      <c r="Y76" s="307"/>
      <c r="Z76" s="307"/>
      <c r="AA76" s="307"/>
      <c r="AB76" s="311"/>
      <c r="AC76" s="307"/>
      <c r="AD76" s="307"/>
      <c r="AE76" s="307"/>
      <c r="AF76" s="307"/>
      <c r="AG76" s="310"/>
      <c r="AH76" s="307"/>
      <c r="AI76" s="310"/>
      <c r="AJ76" s="307"/>
      <c r="AK76" s="307"/>
      <c r="AL76" s="307"/>
      <c r="AM76" s="308"/>
      <c r="AN76" s="311"/>
      <c r="AO76" s="307"/>
      <c r="AP76" s="307"/>
      <c r="AQ76" s="308"/>
      <c r="AR76" s="307"/>
      <c r="AS76" s="307"/>
      <c r="AT76" s="307"/>
      <c r="AU76" s="310"/>
      <c r="AV76" s="308"/>
      <c r="AW76" s="312"/>
      <c r="AX76" s="308"/>
      <c r="AY76" s="307"/>
      <c r="AZ76" s="307"/>
      <c r="BA76" s="307"/>
      <c r="BB76" s="307"/>
      <c r="BC76" s="308"/>
      <c r="BD76" s="308"/>
      <c r="BE76" s="313"/>
      <c r="BF76" s="307"/>
      <c r="BG76" s="310"/>
      <c r="BH76" s="307"/>
      <c r="BI76" s="307"/>
      <c r="BJ76" s="310"/>
      <c r="BK76" s="307"/>
      <c r="BL76" s="307"/>
      <c r="BM76" s="310"/>
      <c r="BN76" s="307"/>
      <c r="BO76" s="310"/>
      <c r="BP76" s="307"/>
      <c r="BQ76" s="307"/>
      <c r="BR76" s="307"/>
      <c r="BS76" s="307"/>
      <c r="BT76" s="307"/>
      <c r="BU76" s="310"/>
      <c r="BV76" s="307"/>
      <c r="BW76" s="308"/>
      <c r="BX76" s="311"/>
      <c r="BY76" s="307"/>
      <c r="BZ76" s="307"/>
      <c r="CA76" s="310"/>
      <c r="CB76" s="307"/>
      <c r="CC76" s="307"/>
      <c r="CD76" s="307"/>
      <c r="CE76" s="308"/>
      <c r="CF76" s="308"/>
      <c r="CG76" s="307"/>
      <c r="CH76" s="307"/>
      <c r="CI76" s="307"/>
      <c r="CJ76" s="307"/>
      <c r="CK76" s="314"/>
      <c r="CL76" s="310"/>
      <c r="CM76" s="310"/>
      <c r="CN76" s="307"/>
      <c r="CO76" s="307"/>
      <c r="CP76" s="307"/>
      <c r="CQ76" s="315"/>
      <c r="CR76" s="315"/>
      <c r="CS76" s="315"/>
      <c r="CT76" s="315"/>
      <c r="CU76" s="307"/>
      <c r="CV76" s="217"/>
      <c r="CW76" s="192"/>
      <c r="CX76" s="192"/>
      <c r="CY76" s="192"/>
      <c r="CZ76" s="191"/>
      <c r="DA76" s="193"/>
      <c r="DB76" s="192"/>
      <c r="DC76" s="192"/>
      <c r="DD76" s="192"/>
      <c r="DE76" s="191"/>
      <c r="DF76" s="19"/>
      <c r="DG76" s="192"/>
      <c r="DH76" s="192"/>
      <c r="DI76" s="192"/>
      <c r="DJ76" s="191"/>
      <c r="DK76" s="193"/>
      <c r="DL76" s="192"/>
      <c r="DM76" s="192"/>
      <c r="DN76" s="192"/>
      <c r="DO76" s="191"/>
      <c r="DP76" s="19"/>
      <c r="DQ76" s="192"/>
      <c r="DR76" s="192"/>
      <c r="DS76" s="192"/>
      <c r="DT76" s="191"/>
      <c r="DU76" s="193"/>
      <c r="DV76" s="192"/>
      <c r="DW76" s="192"/>
      <c r="DX76" s="192"/>
      <c r="DY76" s="191"/>
      <c r="DZ76" s="19"/>
      <c r="EA76" s="192"/>
      <c r="EB76" s="192"/>
      <c r="EC76" s="192"/>
      <c r="ED76" s="191"/>
      <c r="EE76" s="193"/>
      <c r="EF76" s="192"/>
      <c r="EG76" s="192"/>
      <c r="EH76" s="192"/>
      <c r="EI76" s="191"/>
      <c r="EJ76" s="19"/>
      <c r="EK76" s="192"/>
      <c r="EL76" s="192"/>
      <c r="EM76" s="192"/>
      <c r="EN76" s="191"/>
      <c r="EO76" s="193"/>
      <c r="EP76" s="192"/>
      <c r="EQ76" s="192"/>
      <c r="ER76" s="192"/>
      <c r="ES76" s="191"/>
      <c r="ET76" s="19"/>
      <c r="EU76" s="192"/>
      <c r="EV76" s="192"/>
      <c r="EW76" s="192"/>
      <c r="EX76" s="191"/>
      <c r="EY76" s="193"/>
      <c r="EZ76" s="192"/>
      <c r="FA76" s="192"/>
      <c r="FB76" s="192"/>
      <c r="FC76" s="191"/>
      <c r="FL76" s="273">
        <f t="shared" ca="1" si="5"/>
        <v>116</v>
      </c>
    </row>
    <row r="77" spans="1:168" ht="16.5" thickBot="1">
      <c r="A77" s="199">
        <v>74</v>
      </c>
      <c r="B77" s="306"/>
      <c r="C77" s="310"/>
      <c r="D77" s="307" t="s">
        <v>271</v>
      </c>
      <c r="E77" s="307" t="s">
        <v>271</v>
      </c>
      <c r="F77" s="308"/>
      <c r="G77" s="343" t="str">
        <f t="shared" si="3"/>
        <v xml:space="preserve"> </v>
      </c>
      <c r="H77" s="307"/>
      <c r="I77" s="309" t="e">
        <f t="shared" si="4"/>
        <v>#N/A</v>
      </c>
      <c r="J77" s="307"/>
      <c r="K77" s="307"/>
      <c r="L77" s="310"/>
      <c r="M77" s="310"/>
      <c r="N77" s="310"/>
      <c r="O77" s="310"/>
      <c r="P77" s="310"/>
      <c r="Q77" s="310"/>
      <c r="R77" s="310"/>
      <c r="S77" s="310"/>
      <c r="T77" s="310"/>
      <c r="U77" s="307"/>
      <c r="V77" s="307"/>
      <c r="W77" s="311"/>
      <c r="X77" s="307"/>
      <c r="Y77" s="307"/>
      <c r="Z77" s="307"/>
      <c r="AA77" s="307"/>
      <c r="AB77" s="311"/>
      <c r="AC77" s="307"/>
      <c r="AD77" s="307"/>
      <c r="AE77" s="307"/>
      <c r="AF77" s="307"/>
      <c r="AG77" s="310"/>
      <c r="AH77" s="307"/>
      <c r="AI77" s="310"/>
      <c r="AJ77" s="307"/>
      <c r="AK77" s="307"/>
      <c r="AL77" s="307"/>
      <c r="AM77" s="308"/>
      <c r="AN77" s="311"/>
      <c r="AO77" s="307"/>
      <c r="AP77" s="307"/>
      <c r="AQ77" s="308"/>
      <c r="AR77" s="307"/>
      <c r="AS77" s="307"/>
      <c r="AT77" s="307"/>
      <c r="AU77" s="310"/>
      <c r="AV77" s="308"/>
      <c r="AW77" s="312"/>
      <c r="AX77" s="308"/>
      <c r="AY77" s="307"/>
      <c r="AZ77" s="307"/>
      <c r="BA77" s="307"/>
      <c r="BB77" s="307"/>
      <c r="BC77" s="308"/>
      <c r="BD77" s="308"/>
      <c r="BE77" s="313"/>
      <c r="BF77" s="307"/>
      <c r="BG77" s="310"/>
      <c r="BH77" s="307"/>
      <c r="BI77" s="307"/>
      <c r="BJ77" s="310"/>
      <c r="BK77" s="307"/>
      <c r="BL77" s="307"/>
      <c r="BM77" s="310"/>
      <c r="BN77" s="307"/>
      <c r="BO77" s="310"/>
      <c r="BP77" s="307"/>
      <c r="BQ77" s="307"/>
      <c r="BR77" s="307"/>
      <c r="BS77" s="307"/>
      <c r="BT77" s="307"/>
      <c r="BU77" s="310"/>
      <c r="BV77" s="307"/>
      <c r="BW77" s="308"/>
      <c r="BX77" s="311"/>
      <c r="BY77" s="307"/>
      <c r="BZ77" s="307"/>
      <c r="CA77" s="310"/>
      <c r="CB77" s="307"/>
      <c r="CC77" s="307"/>
      <c r="CD77" s="307"/>
      <c r="CE77" s="308"/>
      <c r="CF77" s="308"/>
      <c r="CG77" s="307"/>
      <c r="CH77" s="307"/>
      <c r="CI77" s="307"/>
      <c r="CJ77" s="307"/>
      <c r="CK77" s="314"/>
      <c r="CL77" s="310"/>
      <c r="CM77" s="310"/>
      <c r="CN77" s="307"/>
      <c r="CO77" s="307"/>
      <c r="CP77" s="307"/>
      <c r="CQ77" s="315"/>
      <c r="CR77" s="315"/>
      <c r="CS77" s="315"/>
      <c r="CT77" s="315"/>
      <c r="CU77" s="307"/>
      <c r="CV77" s="217"/>
      <c r="CW77" s="192"/>
      <c r="CX77" s="192"/>
      <c r="CY77" s="192"/>
      <c r="CZ77" s="191"/>
      <c r="DA77" s="193"/>
      <c r="DB77" s="192"/>
      <c r="DC77" s="192"/>
      <c r="DD77" s="192"/>
      <c r="DE77" s="191"/>
      <c r="DF77" s="19"/>
      <c r="DG77" s="192"/>
      <c r="DH77" s="192"/>
      <c r="DI77" s="192"/>
      <c r="DJ77" s="191"/>
      <c r="DK77" s="193"/>
      <c r="DL77" s="192"/>
      <c r="DM77" s="192"/>
      <c r="DN77" s="192"/>
      <c r="DO77" s="191"/>
      <c r="DP77" s="19"/>
      <c r="DQ77" s="192"/>
      <c r="DR77" s="192"/>
      <c r="DS77" s="192"/>
      <c r="DT77" s="191"/>
      <c r="DU77" s="193"/>
      <c r="DV77" s="192"/>
      <c r="DW77" s="192"/>
      <c r="DX77" s="192"/>
      <c r="DY77" s="191"/>
      <c r="DZ77" s="19"/>
      <c r="EA77" s="192"/>
      <c r="EB77" s="192"/>
      <c r="EC77" s="192"/>
      <c r="ED77" s="191"/>
      <c r="EE77" s="193"/>
      <c r="EF77" s="192"/>
      <c r="EG77" s="192"/>
      <c r="EH77" s="192"/>
      <c r="EI77" s="191"/>
      <c r="EJ77" s="19"/>
      <c r="EK77" s="192"/>
      <c r="EL77" s="192"/>
      <c r="EM77" s="192"/>
      <c r="EN77" s="191"/>
      <c r="EO77" s="193"/>
      <c r="EP77" s="192"/>
      <c r="EQ77" s="192"/>
      <c r="ER77" s="192"/>
      <c r="ES77" s="191"/>
      <c r="ET77" s="19"/>
      <c r="EU77" s="192"/>
      <c r="EV77" s="192"/>
      <c r="EW77" s="192"/>
      <c r="EX77" s="191"/>
      <c r="EY77" s="193"/>
      <c r="EZ77" s="192"/>
      <c r="FA77" s="192"/>
      <c r="FB77" s="192"/>
      <c r="FC77" s="191"/>
      <c r="FL77" s="273">
        <f t="shared" ca="1" si="5"/>
        <v>116</v>
      </c>
    </row>
    <row r="78" spans="1:168" ht="16.5" thickBot="1">
      <c r="A78" s="196">
        <v>75</v>
      </c>
      <c r="B78" s="306"/>
      <c r="C78" s="310"/>
      <c r="D78" s="307" t="s">
        <v>271</v>
      </c>
      <c r="E78" s="307" t="s">
        <v>271</v>
      </c>
      <c r="F78" s="308"/>
      <c r="G78" s="343" t="str">
        <f t="shared" si="3"/>
        <v xml:space="preserve"> </v>
      </c>
      <c r="H78" s="307"/>
      <c r="I78" s="309" t="e">
        <f t="shared" si="4"/>
        <v>#N/A</v>
      </c>
      <c r="J78" s="307"/>
      <c r="K78" s="307"/>
      <c r="L78" s="310"/>
      <c r="M78" s="310"/>
      <c r="N78" s="310"/>
      <c r="O78" s="310"/>
      <c r="P78" s="310"/>
      <c r="Q78" s="310"/>
      <c r="R78" s="310"/>
      <c r="S78" s="310"/>
      <c r="T78" s="310"/>
      <c r="U78" s="307"/>
      <c r="V78" s="307"/>
      <c r="W78" s="311"/>
      <c r="X78" s="307"/>
      <c r="Y78" s="307"/>
      <c r="Z78" s="307"/>
      <c r="AA78" s="307"/>
      <c r="AB78" s="311"/>
      <c r="AC78" s="307"/>
      <c r="AD78" s="307"/>
      <c r="AE78" s="307"/>
      <c r="AF78" s="307"/>
      <c r="AG78" s="310"/>
      <c r="AH78" s="307"/>
      <c r="AI78" s="310"/>
      <c r="AJ78" s="307"/>
      <c r="AK78" s="307"/>
      <c r="AL78" s="307"/>
      <c r="AM78" s="308"/>
      <c r="AN78" s="311"/>
      <c r="AO78" s="307"/>
      <c r="AP78" s="307"/>
      <c r="AQ78" s="308"/>
      <c r="AR78" s="307"/>
      <c r="AS78" s="307"/>
      <c r="AT78" s="307"/>
      <c r="AU78" s="310"/>
      <c r="AV78" s="308"/>
      <c r="AW78" s="312"/>
      <c r="AX78" s="308"/>
      <c r="AY78" s="307"/>
      <c r="AZ78" s="307"/>
      <c r="BA78" s="307"/>
      <c r="BB78" s="307"/>
      <c r="BC78" s="308"/>
      <c r="BD78" s="308"/>
      <c r="BE78" s="313"/>
      <c r="BF78" s="307"/>
      <c r="BG78" s="310"/>
      <c r="BH78" s="307"/>
      <c r="BI78" s="307"/>
      <c r="BJ78" s="310"/>
      <c r="BK78" s="307"/>
      <c r="BL78" s="307"/>
      <c r="BM78" s="310"/>
      <c r="BN78" s="307"/>
      <c r="BO78" s="310"/>
      <c r="BP78" s="307"/>
      <c r="BQ78" s="307"/>
      <c r="BR78" s="307"/>
      <c r="BS78" s="307"/>
      <c r="BT78" s="307"/>
      <c r="BU78" s="310"/>
      <c r="BV78" s="307"/>
      <c r="BW78" s="308"/>
      <c r="BX78" s="311"/>
      <c r="BY78" s="307"/>
      <c r="BZ78" s="307"/>
      <c r="CA78" s="310"/>
      <c r="CB78" s="307"/>
      <c r="CC78" s="307"/>
      <c r="CD78" s="307"/>
      <c r="CE78" s="308"/>
      <c r="CF78" s="308"/>
      <c r="CG78" s="307"/>
      <c r="CH78" s="307"/>
      <c r="CI78" s="307"/>
      <c r="CJ78" s="307"/>
      <c r="CK78" s="314"/>
      <c r="CL78" s="310"/>
      <c r="CM78" s="310"/>
      <c r="CN78" s="307"/>
      <c r="CO78" s="307"/>
      <c r="CP78" s="307"/>
      <c r="CQ78" s="315"/>
      <c r="CR78" s="315"/>
      <c r="CS78" s="315"/>
      <c r="CT78" s="315"/>
      <c r="CU78" s="307"/>
      <c r="CV78" s="217"/>
      <c r="CW78" s="192"/>
      <c r="CX78" s="192"/>
      <c r="CY78" s="192"/>
      <c r="CZ78" s="191"/>
      <c r="DA78" s="193"/>
      <c r="DB78" s="192"/>
      <c r="DC78" s="192"/>
      <c r="DD78" s="192"/>
      <c r="DE78" s="191"/>
      <c r="DF78" s="19"/>
      <c r="DG78" s="192"/>
      <c r="DH78" s="192"/>
      <c r="DI78" s="192"/>
      <c r="DJ78" s="191"/>
      <c r="DK78" s="193"/>
      <c r="DL78" s="192"/>
      <c r="DM78" s="192"/>
      <c r="DN78" s="192"/>
      <c r="DO78" s="191"/>
      <c r="DP78" s="19"/>
      <c r="DQ78" s="192"/>
      <c r="DR78" s="192"/>
      <c r="DS78" s="192"/>
      <c r="DT78" s="191"/>
      <c r="DU78" s="193"/>
      <c r="DV78" s="192"/>
      <c r="DW78" s="192"/>
      <c r="DX78" s="192"/>
      <c r="DY78" s="191"/>
      <c r="DZ78" s="19"/>
      <c r="EA78" s="192"/>
      <c r="EB78" s="192"/>
      <c r="EC78" s="192"/>
      <c r="ED78" s="191"/>
      <c r="EE78" s="193"/>
      <c r="EF78" s="192"/>
      <c r="EG78" s="192"/>
      <c r="EH78" s="192"/>
      <c r="EI78" s="191"/>
      <c r="EJ78" s="19"/>
      <c r="EK78" s="192"/>
      <c r="EL78" s="192"/>
      <c r="EM78" s="192"/>
      <c r="EN78" s="191"/>
      <c r="EO78" s="193"/>
      <c r="EP78" s="192"/>
      <c r="EQ78" s="192"/>
      <c r="ER78" s="192"/>
      <c r="ES78" s="191"/>
      <c r="ET78" s="19"/>
      <c r="EU78" s="192"/>
      <c r="EV78" s="192"/>
      <c r="EW78" s="192"/>
      <c r="EX78" s="191"/>
      <c r="EY78" s="193"/>
      <c r="EZ78" s="192"/>
      <c r="FA78" s="192"/>
      <c r="FB78" s="192"/>
      <c r="FC78" s="191"/>
      <c r="FL78" s="273">
        <f t="shared" ca="1" si="5"/>
        <v>116</v>
      </c>
    </row>
    <row r="79" spans="1:168" ht="16.5" thickBot="1">
      <c r="A79" s="199">
        <v>76</v>
      </c>
      <c r="B79" s="306"/>
      <c r="C79" s="310"/>
      <c r="D79" s="307" t="s">
        <v>271</v>
      </c>
      <c r="E79" s="307" t="s">
        <v>271</v>
      </c>
      <c r="F79" s="308"/>
      <c r="G79" s="343" t="str">
        <f t="shared" si="3"/>
        <v xml:space="preserve"> </v>
      </c>
      <c r="H79" s="307"/>
      <c r="I79" s="309" t="e">
        <f t="shared" si="4"/>
        <v>#N/A</v>
      </c>
      <c r="J79" s="307"/>
      <c r="K79" s="307"/>
      <c r="L79" s="310"/>
      <c r="M79" s="310"/>
      <c r="N79" s="310"/>
      <c r="O79" s="310"/>
      <c r="P79" s="310"/>
      <c r="Q79" s="310"/>
      <c r="R79" s="310"/>
      <c r="S79" s="310"/>
      <c r="T79" s="310"/>
      <c r="U79" s="307"/>
      <c r="V79" s="307"/>
      <c r="W79" s="311"/>
      <c r="X79" s="307"/>
      <c r="Y79" s="307"/>
      <c r="Z79" s="307"/>
      <c r="AA79" s="307"/>
      <c r="AB79" s="311"/>
      <c r="AC79" s="307"/>
      <c r="AD79" s="307"/>
      <c r="AE79" s="307"/>
      <c r="AF79" s="307"/>
      <c r="AG79" s="310"/>
      <c r="AH79" s="307"/>
      <c r="AI79" s="310"/>
      <c r="AJ79" s="307"/>
      <c r="AK79" s="307"/>
      <c r="AL79" s="307"/>
      <c r="AM79" s="308"/>
      <c r="AN79" s="311"/>
      <c r="AO79" s="307"/>
      <c r="AP79" s="307"/>
      <c r="AQ79" s="308"/>
      <c r="AR79" s="307"/>
      <c r="AS79" s="307"/>
      <c r="AT79" s="307"/>
      <c r="AU79" s="310"/>
      <c r="AV79" s="308"/>
      <c r="AW79" s="312"/>
      <c r="AX79" s="308"/>
      <c r="AY79" s="307"/>
      <c r="AZ79" s="307"/>
      <c r="BA79" s="307"/>
      <c r="BB79" s="307"/>
      <c r="BC79" s="308"/>
      <c r="BD79" s="308"/>
      <c r="BE79" s="313"/>
      <c r="BF79" s="307"/>
      <c r="BG79" s="310"/>
      <c r="BH79" s="307"/>
      <c r="BI79" s="307"/>
      <c r="BJ79" s="310"/>
      <c r="BK79" s="307"/>
      <c r="BL79" s="307"/>
      <c r="BM79" s="310"/>
      <c r="BN79" s="307"/>
      <c r="BO79" s="310"/>
      <c r="BP79" s="307"/>
      <c r="BQ79" s="307"/>
      <c r="BR79" s="307"/>
      <c r="BS79" s="307"/>
      <c r="BT79" s="307"/>
      <c r="BU79" s="310"/>
      <c r="BV79" s="307"/>
      <c r="BW79" s="308"/>
      <c r="BX79" s="311"/>
      <c r="BY79" s="307"/>
      <c r="BZ79" s="307"/>
      <c r="CA79" s="310"/>
      <c r="CB79" s="307"/>
      <c r="CC79" s="307"/>
      <c r="CD79" s="307"/>
      <c r="CE79" s="308"/>
      <c r="CF79" s="308"/>
      <c r="CG79" s="307"/>
      <c r="CH79" s="307"/>
      <c r="CI79" s="307"/>
      <c r="CJ79" s="307"/>
      <c r="CK79" s="314"/>
      <c r="CL79" s="310"/>
      <c r="CM79" s="310"/>
      <c r="CN79" s="307"/>
      <c r="CO79" s="307"/>
      <c r="CP79" s="307"/>
      <c r="CQ79" s="315"/>
      <c r="CR79" s="315"/>
      <c r="CS79" s="315"/>
      <c r="CT79" s="315"/>
      <c r="CU79" s="307"/>
      <c r="CV79" s="217"/>
      <c r="CW79" s="192"/>
      <c r="CX79" s="192"/>
      <c r="CY79" s="192"/>
      <c r="CZ79" s="191"/>
      <c r="DA79" s="193"/>
      <c r="DB79" s="192"/>
      <c r="DC79" s="192"/>
      <c r="DD79" s="192"/>
      <c r="DE79" s="191"/>
      <c r="DF79" s="19"/>
      <c r="DG79" s="192"/>
      <c r="DH79" s="192"/>
      <c r="DI79" s="192"/>
      <c r="DJ79" s="191"/>
      <c r="DK79" s="193"/>
      <c r="DL79" s="192"/>
      <c r="DM79" s="192"/>
      <c r="DN79" s="192"/>
      <c r="DO79" s="191"/>
      <c r="DP79" s="19"/>
      <c r="DQ79" s="192"/>
      <c r="DR79" s="192"/>
      <c r="DS79" s="192"/>
      <c r="DT79" s="191"/>
      <c r="DU79" s="193"/>
      <c r="DV79" s="192"/>
      <c r="DW79" s="192"/>
      <c r="DX79" s="192"/>
      <c r="DY79" s="191"/>
      <c r="DZ79" s="19"/>
      <c r="EA79" s="192"/>
      <c r="EB79" s="192"/>
      <c r="EC79" s="192"/>
      <c r="ED79" s="191"/>
      <c r="EE79" s="193"/>
      <c r="EF79" s="192"/>
      <c r="EG79" s="192"/>
      <c r="EH79" s="192"/>
      <c r="EI79" s="191"/>
      <c r="EJ79" s="19"/>
      <c r="EK79" s="192"/>
      <c r="EL79" s="192"/>
      <c r="EM79" s="192"/>
      <c r="EN79" s="191"/>
      <c r="EO79" s="193"/>
      <c r="EP79" s="192"/>
      <c r="EQ79" s="192"/>
      <c r="ER79" s="192"/>
      <c r="ES79" s="191"/>
      <c r="ET79" s="19"/>
      <c r="EU79" s="192"/>
      <c r="EV79" s="192"/>
      <c r="EW79" s="192"/>
      <c r="EX79" s="191"/>
      <c r="EY79" s="193"/>
      <c r="EZ79" s="192"/>
      <c r="FA79" s="192"/>
      <c r="FB79" s="192"/>
      <c r="FC79" s="191"/>
      <c r="FL79" s="273">
        <f t="shared" ca="1" si="5"/>
        <v>116</v>
      </c>
    </row>
    <row r="80" spans="1:168" ht="16.5" thickBot="1">
      <c r="A80" s="196">
        <v>77</v>
      </c>
      <c r="B80" s="306"/>
      <c r="C80" s="310"/>
      <c r="D80" s="307" t="s">
        <v>271</v>
      </c>
      <c r="E80" s="307" t="s">
        <v>271</v>
      </c>
      <c r="F80" s="308"/>
      <c r="G80" s="343" t="str">
        <f t="shared" si="3"/>
        <v xml:space="preserve"> </v>
      </c>
      <c r="H80" s="307"/>
      <c r="I80" s="309" t="e">
        <f t="shared" si="4"/>
        <v>#N/A</v>
      </c>
      <c r="J80" s="307"/>
      <c r="K80" s="307"/>
      <c r="L80" s="310"/>
      <c r="M80" s="310"/>
      <c r="N80" s="310"/>
      <c r="O80" s="310"/>
      <c r="P80" s="310"/>
      <c r="Q80" s="310"/>
      <c r="R80" s="310"/>
      <c r="S80" s="310"/>
      <c r="T80" s="310"/>
      <c r="U80" s="307"/>
      <c r="V80" s="307"/>
      <c r="W80" s="311"/>
      <c r="X80" s="307"/>
      <c r="Y80" s="307"/>
      <c r="Z80" s="307"/>
      <c r="AA80" s="307"/>
      <c r="AB80" s="311"/>
      <c r="AC80" s="307"/>
      <c r="AD80" s="307"/>
      <c r="AE80" s="307"/>
      <c r="AF80" s="307"/>
      <c r="AG80" s="310"/>
      <c r="AH80" s="307"/>
      <c r="AI80" s="310"/>
      <c r="AJ80" s="307"/>
      <c r="AK80" s="307"/>
      <c r="AL80" s="307"/>
      <c r="AM80" s="308"/>
      <c r="AN80" s="311"/>
      <c r="AO80" s="307"/>
      <c r="AP80" s="307"/>
      <c r="AQ80" s="308"/>
      <c r="AR80" s="307"/>
      <c r="AS80" s="307"/>
      <c r="AT80" s="307"/>
      <c r="AU80" s="310"/>
      <c r="AV80" s="308"/>
      <c r="AW80" s="312"/>
      <c r="AX80" s="308"/>
      <c r="AY80" s="307"/>
      <c r="AZ80" s="307"/>
      <c r="BA80" s="307"/>
      <c r="BB80" s="307"/>
      <c r="BC80" s="308"/>
      <c r="BD80" s="308"/>
      <c r="BE80" s="313"/>
      <c r="BF80" s="307"/>
      <c r="BG80" s="310"/>
      <c r="BH80" s="307"/>
      <c r="BI80" s="307"/>
      <c r="BJ80" s="310"/>
      <c r="BK80" s="307"/>
      <c r="BL80" s="307"/>
      <c r="BM80" s="310"/>
      <c r="BN80" s="307"/>
      <c r="BO80" s="310"/>
      <c r="BP80" s="307"/>
      <c r="BQ80" s="307"/>
      <c r="BR80" s="307"/>
      <c r="BS80" s="307"/>
      <c r="BT80" s="307"/>
      <c r="BU80" s="310"/>
      <c r="BV80" s="307"/>
      <c r="BW80" s="308"/>
      <c r="BX80" s="311"/>
      <c r="BY80" s="307"/>
      <c r="BZ80" s="307"/>
      <c r="CA80" s="310"/>
      <c r="CB80" s="307"/>
      <c r="CC80" s="307"/>
      <c r="CD80" s="307"/>
      <c r="CE80" s="308"/>
      <c r="CF80" s="308"/>
      <c r="CG80" s="307"/>
      <c r="CH80" s="307"/>
      <c r="CI80" s="307"/>
      <c r="CJ80" s="307"/>
      <c r="CK80" s="314"/>
      <c r="CL80" s="310"/>
      <c r="CM80" s="310"/>
      <c r="CN80" s="307"/>
      <c r="CO80" s="307"/>
      <c r="CP80" s="307"/>
      <c r="CQ80" s="315"/>
      <c r="CR80" s="315"/>
      <c r="CS80" s="315"/>
      <c r="CT80" s="315"/>
      <c r="CU80" s="307"/>
      <c r="CV80" s="217"/>
      <c r="CW80" s="192"/>
      <c r="CX80" s="192"/>
      <c r="CY80" s="192"/>
      <c r="CZ80" s="191"/>
      <c r="DA80" s="193"/>
      <c r="DB80" s="192"/>
      <c r="DC80" s="192"/>
      <c r="DD80" s="192"/>
      <c r="DE80" s="191"/>
      <c r="DF80" s="19"/>
      <c r="DG80" s="192"/>
      <c r="DH80" s="192"/>
      <c r="DI80" s="192"/>
      <c r="DJ80" s="191"/>
      <c r="DK80" s="193"/>
      <c r="DL80" s="192"/>
      <c r="DM80" s="192"/>
      <c r="DN80" s="192"/>
      <c r="DO80" s="191"/>
      <c r="DP80" s="19"/>
      <c r="DQ80" s="192"/>
      <c r="DR80" s="192"/>
      <c r="DS80" s="192"/>
      <c r="DT80" s="191"/>
      <c r="DU80" s="193"/>
      <c r="DV80" s="192"/>
      <c r="DW80" s="192"/>
      <c r="DX80" s="192"/>
      <c r="DY80" s="191"/>
      <c r="DZ80" s="19"/>
      <c r="EA80" s="192"/>
      <c r="EB80" s="192"/>
      <c r="EC80" s="192"/>
      <c r="ED80" s="191"/>
      <c r="EE80" s="193"/>
      <c r="EF80" s="192"/>
      <c r="EG80" s="192"/>
      <c r="EH80" s="192"/>
      <c r="EI80" s="191"/>
      <c r="EJ80" s="19"/>
      <c r="EK80" s="192"/>
      <c r="EL80" s="192"/>
      <c r="EM80" s="192"/>
      <c r="EN80" s="191"/>
      <c r="EO80" s="193"/>
      <c r="EP80" s="192"/>
      <c r="EQ80" s="192"/>
      <c r="ER80" s="192"/>
      <c r="ES80" s="191"/>
      <c r="ET80" s="19"/>
      <c r="EU80" s="192"/>
      <c r="EV80" s="192"/>
      <c r="EW80" s="192"/>
      <c r="EX80" s="191"/>
      <c r="EY80" s="193"/>
      <c r="EZ80" s="192"/>
      <c r="FA80" s="192"/>
      <c r="FB80" s="192"/>
      <c r="FC80" s="191"/>
      <c r="FL80" s="273">
        <f t="shared" ca="1" si="5"/>
        <v>116</v>
      </c>
    </row>
    <row r="81" spans="1:168" ht="16.5" thickBot="1">
      <c r="A81" s="199">
        <v>78</v>
      </c>
      <c r="B81" s="306"/>
      <c r="C81" s="310"/>
      <c r="D81" s="307" t="s">
        <v>271</v>
      </c>
      <c r="E81" s="307" t="s">
        <v>271</v>
      </c>
      <c r="F81" s="308"/>
      <c r="G81" s="343" t="str">
        <f t="shared" si="3"/>
        <v xml:space="preserve"> </v>
      </c>
      <c r="H81" s="307"/>
      <c r="I81" s="309" t="e">
        <f t="shared" si="4"/>
        <v>#N/A</v>
      </c>
      <c r="J81" s="307"/>
      <c r="K81" s="307"/>
      <c r="L81" s="310"/>
      <c r="M81" s="310"/>
      <c r="N81" s="310"/>
      <c r="O81" s="310"/>
      <c r="P81" s="310"/>
      <c r="Q81" s="310"/>
      <c r="R81" s="310"/>
      <c r="S81" s="310"/>
      <c r="T81" s="310"/>
      <c r="U81" s="307"/>
      <c r="V81" s="307"/>
      <c r="W81" s="311"/>
      <c r="X81" s="307"/>
      <c r="Y81" s="307"/>
      <c r="Z81" s="307"/>
      <c r="AA81" s="307"/>
      <c r="AB81" s="311"/>
      <c r="AC81" s="307"/>
      <c r="AD81" s="307"/>
      <c r="AE81" s="307"/>
      <c r="AF81" s="307"/>
      <c r="AG81" s="310"/>
      <c r="AH81" s="307"/>
      <c r="AI81" s="310"/>
      <c r="AJ81" s="307"/>
      <c r="AK81" s="307"/>
      <c r="AL81" s="307"/>
      <c r="AM81" s="308"/>
      <c r="AN81" s="311"/>
      <c r="AO81" s="307"/>
      <c r="AP81" s="307"/>
      <c r="AQ81" s="308"/>
      <c r="AR81" s="307"/>
      <c r="AS81" s="307"/>
      <c r="AT81" s="307"/>
      <c r="AU81" s="310"/>
      <c r="AV81" s="308"/>
      <c r="AW81" s="312"/>
      <c r="AX81" s="308"/>
      <c r="AY81" s="307"/>
      <c r="AZ81" s="307"/>
      <c r="BA81" s="307"/>
      <c r="BB81" s="307"/>
      <c r="BC81" s="308"/>
      <c r="BD81" s="308"/>
      <c r="BE81" s="313"/>
      <c r="BF81" s="307"/>
      <c r="BG81" s="310"/>
      <c r="BH81" s="307"/>
      <c r="BI81" s="307"/>
      <c r="BJ81" s="310"/>
      <c r="BK81" s="307"/>
      <c r="BL81" s="307"/>
      <c r="BM81" s="310"/>
      <c r="BN81" s="307"/>
      <c r="BO81" s="310"/>
      <c r="BP81" s="307"/>
      <c r="BQ81" s="307"/>
      <c r="BR81" s="307"/>
      <c r="BS81" s="307"/>
      <c r="BT81" s="307"/>
      <c r="BU81" s="310"/>
      <c r="BV81" s="307"/>
      <c r="BW81" s="308"/>
      <c r="BX81" s="311"/>
      <c r="BY81" s="307"/>
      <c r="BZ81" s="307"/>
      <c r="CA81" s="310"/>
      <c r="CB81" s="307"/>
      <c r="CC81" s="307"/>
      <c r="CD81" s="307"/>
      <c r="CE81" s="308"/>
      <c r="CF81" s="308"/>
      <c r="CG81" s="307"/>
      <c r="CH81" s="307"/>
      <c r="CI81" s="307"/>
      <c r="CJ81" s="307"/>
      <c r="CK81" s="314"/>
      <c r="CL81" s="310"/>
      <c r="CM81" s="310"/>
      <c r="CN81" s="307"/>
      <c r="CO81" s="307"/>
      <c r="CP81" s="307"/>
      <c r="CQ81" s="315"/>
      <c r="CR81" s="315"/>
      <c r="CS81" s="315"/>
      <c r="CT81" s="315"/>
      <c r="CU81" s="307"/>
      <c r="CV81" s="217"/>
      <c r="CW81" s="192"/>
      <c r="CX81" s="192"/>
      <c r="CY81" s="192"/>
      <c r="CZ81" s="191"/>
      <c r="DA81" s="193"/>
      <c r="DB81" s="192"/>
      <c r="DC81" s="192"/>
      <c r="DD81" s="192"/>
      <c r="DE81" s="191"/>
      <c r="DF81" s="19"/>
      <c r="DG81" s="192"/>
      <c r="DH81" s="192"/>
      <c r="DI81" s="192"/>
      <c r="DJ81" s="191"/>
      <c r="DK81" s="193"/>
      <c r="DL81" s="192"/>
      <c r="DM81" s="192"/>
      <c r="DN81" s="192"/>
      <c r="DO81" s="191"/>
      <c r="DP81" s="19"/>
      <c r="DQ81" s="192"/>
      <c r="DR81" s="192"/>
      <c r="DS81" s="192"/>
      <c r="DT81" s="191"/>
      <c r="DU81" s="193"/>
      <c r="DV81" s="192"/>
      <c r="DW81" s="192"/>
      <c r="DX81" s="192"/>
      <c r="DY81" s="191"/>
      <c r="DZ81" s="19"/>
      <c r="EA81" s="192"/>
      <c r="EB81" s="192"/>
      <c r="EC81" s="192"/>
      <c r="ED81" s="191"/>
      <c r="EE81" s="193"/>
      <c r="EF81" s="192"/>
      <c r="EG81" s="192"/>
      <c r="EH81" s="192"/>
      <c r="EI81" s="191"/>
      <c r="EJ81" s="19"/>
      <c r="EK81" s="192"/>
      <c r="EL81" s="192"/>
      <c r="EM81" s="192"/>
      <c r="EN81" s="191"/>
      <c r="EO81" s="193"/>
      <c r="EP81" s="192"/>
      <c r="EQ81" s="192"/>
      <c r="ER81" s="192"/>
      <c r="ES81" s="191"/>
      <c r="ET81" s="19"/>
      <c r="EU81" s="192"/>
      <c r="EV81" s="192"/>
      <c r="EW81" s="192"/>
      <c r="EX81" s="191"/>
      <c r="EY81" s="193"/>
      <c r="EZ81" s="192"/>
      <c r="FA81" s="192"/>
      <c r="FB81" s="192"/>
      <c r="FC81" s="191"/>
      <c r="FL81" s="273">
        <f t="shared" ca="1" si="5"/>
        <v>116</v>
      </c>
    </row>
    <row r="82" spans="1:168" ht="16.5" thickBot="1">
      <c r="A82" s="196">
        <v>79</v>
      </c>
      <c r="B82" s="306"/>
      <c r="C82" s="310"/>
      <c r="D82" s="307" t="s">
        <v>271</v>
      </c>
      <c r="E82" s="307" t="s">
        <v>271</v>
      </c>
      <c r="F82" s="308"/>
      <c r="G82" s="343" t="str">
        <f t="shared" si="3"/>
        <v xml:space="preserve"> </v>
      </c>
      <c r="H82" s="307"/>
      <c r="I82" s="309" t="e">
        <f t="shared" si="4"/>
        <v>#N/A</v>
      </c>
      <c r="J82" s="307"/>
      <c r="K82" s="307"/>
      <c r="L82" s="310"/>
      <c r="M82" s="310"/>
      <c r="N82" s="310"/>
      <c r="O82" s="310"/>
      <c r="P82" s="310"/>
      <c r="Q82" s="310"/>
      <c r="R82" s="310"/>
      <c r="S82" s="310"/>
      <c r="T82" s="310"/>
      <c r="U82" s="307"/>
      <c r="V82" s="307"/>
      <c r="W82" s="311"/>
      <c r="X82" s="307"/>
      <c r="Y82" s="307"/>
      <c r="Z82" s="307"/>
      <c r="AA82" s="307"/>
      <c r="AB82" s="311"/>
      <c r="AC82" s="307"/>
      <c r="AD82" s="307"/>
      <c r="AE82" s="307"/>
      <c r="AF82" s="307"/>
      <c r="AG82" s="310"/>
      <c r="AH82" s="307"/>
      <c r="AI82" s="310"/>
      <c r="AJ82" s="307"/>
      <c r="AK82" s="307"/>
      <c r="AL82" s="307"/>
      <c r="AM82" s="308"/>
      <c r="AN82" s="311"/>
      <c r="AO82" s="307"/>
      <c r="AP82" s="307"/>
      <c r="AQ82" s="308"/>
      <c r="AR82" s="307"/>
      <c r="AS82" s="307"/>
      <c r="AT82" s="307"/>
      <c r="AU82" s="310"/>
      <c r="AV82" s="308"/>
      <c r="AW82" s="312"/>
      <c r="AX82" s="308"/>
      <c r="AY82" s="307"/>
      <c r="AZ82" s="307"/>
      <c r="BA82" s="307"/>
      <c r="BB82" s="307"/>
      <c r="BC82" s="308"/>
      <c r="BD82" s="308"/>
      <c r="BE82" s="313"/>
      <c r="BF82" s="307"/>
      <c r="BG82" s="310"/>
      <c r="BH82" s="307"/>
      <c r="BI82" s="307"/>
      <c r="BJ82" s="310"/>
      <c r="BK82" s="307"/>
      <c r="BL82" s="307"/>
      <c r="BM82" s="310"/>
      <c r="BN82" s="307"/>
      <c r="BO82" s="310"/>
      <c r="BP82" s="307"/>
      <c r="BQ82" s="307"/>
      <c r="BR82" s="307"/>
      <c r="BS82" s="307"/>
      <c r="BT82" s="307"/>
      <c r="BU82" s="310"/>
      <c r="BV82" s="307"/>
      <c r="BW82" s="308"/>
      <c r="BX82" s="311"/>
      <c r="BY82" s="307"/>
      <c r="BZ82" s="307"/>
      <c r="CA82" s="310"/>
      <c r="CB82" s="307"/>
      <c r="CC82" s="307"/>
      <c r="CD82" s="307"/>
      <c r="CE82" s="308"/>
      <c r="CF82" s="308"/>
      <c r="CG82" s="307"/>
      <c r="CH82" s="307"/>
      <c r="CI82" s="307"/>
      <c r="CJ82" s="307"/>
      <c r="CK82" s="314"/>
      <c r="CL82" s="310"/>
      <c r="CM82" s="310"/>
      <c r="CN82" s="307"/>
      <c r="CO82" s="307"/>
      <c r="CP82" s="307"/>
      <c r="CQ82" s="315"/>
      <c r="CR82" s="315"/>
      <c r="CS82" s="315"/>
      <c r="CT82" s="315"/>
      <c r="CU82" s="307"/>
      <c r="CV82" s="217"/>
      <c r="CW82" s="192"/>
      <c r="CX82" s="192"/>
      <c r="CY82" s="192"/>
      <c r="CZ82" s="191"/>
      <c r="DA82" s="193"/>
      <c r="DB82" s="192"/>
      <c r="DC82" s="192"/>
      <c r="DD82" s="192"/>
      <c r="DE82" s="191"/>
      <c r="DF82" s="19"/>
      <c r="DG82" s="192"/>
      <c r="DH82" s="192"/>
      <c r="DI82" s="192"/>
      <c r="DJ82" s="191"/>
      <c r="DK82" s="193"/>
      <c r="DL82" s="192"/>
      <c r="DM82" s="192"/>
      <c r="DN82" s="192"/>
      <c r="DO82" s="191"/>
      <c r="DP82" s="19"/>
      <c r="DQ82" s="192"/>
      <c r="DR82" s="192"/>
      <c r="DS82" s="192"/>
      <c r="DT82" s="191"/>
      <c r="DU82" s="193"/>
      <c r="DV82" s="192"/>
      <c r="DW82" s="192"/>
      <c r="DX82" s="192"/>
      <c r="DY82" s="191"/>
      <c r="DZ82" s="19"/>
      <c r="EA82" s="192"/>
      <c r="EB82" s="192"/>
      <c r="EC82" s="192"/>
      <c r="ED82" s="191"/>
      <c r="EE82" s="193"/>
      <c r="EF82" s="192"/>
      <c r="EG82" s="192"/>
      <c r="EH82" s="192"/>
      <c r="EI82" s="191"/>
      <c r="EJ82" s="19"/>
      <c r="EK82" s="192"/>
      <c r="EL82" s="192"/>
      <c r="EM82" s="192"/>
      <c r="EN82" s="191"/>
      <c r="EO82" s="193"/>
      <c r="EP82" s="192"/>
      <c r="EQ82" s="192"/>
      <c r="ER82" s="192"/>
      <c r="ES82" s="191"/>
      <c r="ET82" s="19"/>
      <c r="EU82" s="192"/>
      <c r="EV82" s="192"/>
      <c r="EW82" s="192"/>
      <c r="EX82" s="191"/>
      <c r="EY82" s="193"/>
      <c r="EZ82" s="192"/>
      <c r="FA82" s="192"/>
      <c r="FB82" s="192"/>
      <c r="FC82" s="191"/>
      <c r="FL82" s="273">
        <f t="shared" ca="1" si="5"/>
        <v>116</v>
      </c>
    </row>
    <row r="83" spans="1:168" ht="16.5" thickBot="1">
      <c r="A83" s="199">
        <v>80</v>
      </c>
      <c r="B83" s="306"/>
      <c r="C83" s="310"/>
      <c r="D83" s="307" t="s">
        <v>271</v>
      </c>
      <c r="E83" s="307" t="s">
        <v>271</v>
      </c>
      <c r="F83" s="308"/>
      <c r="G83" s="343" t="str">
        <f t="shared" si="3"/>
        <v xml:space="preserve"> </v>
      </c>
      <c r="H83" s="307"/>
      <c r="I83" s="309" t="e">
        <f t="shared" si="4"/>
        <v>#N/A</v>
      </c>
      <c r="J83" s="307"/>
      <c r="K83" s="307"/>
      <c r="L83" s="310"/>
      <c r="M83" s="310"/>
      <c r="N83" s="310"/>
      <c r="O83" s="310"/>
      <c r="P83" s="310"/>
      <c r="Q83" s="310"/>
      <c r="R83" s="310"/>
      <c r="S83" s="310"/>
      <c r="T83" s="310"/>
      <c r="U83" s="307"/>
      <c r="V83" s="307"/>
      <c r="W83" s="311"/>
      <c r="X83" s="307"/>
      <c r="Y83" s="307"/>
      <c r="Z83" s="307"/>
      <c r="AA83" s="307"/>
      <c r="AB83" s="311"/>
      <c r="AC83" s="307"/>
      <c r="AD83" s="307"/>
      <c r="AE83" s="307"/>
      <c r="AF83" s="307"/>
      <c r="AG83" s="310"/>
      <c r="AH83" s="307"/>
      <c r="AI83" s="310"/>
      <c r="AJ83" s="307"/>
      <c r="AK83" s="307"/>
      <c r="AL83" s="307"/>
      <c r="AM83" s="308"/>
      <c r="AN83" s="311"/>
      <c r="AO83" s="307"/>
      <c r="AP83" s="307"/>
      <c r="AQ83" s="308"/>
      <c r="AR83" s="307"/>
      <c r="AS83" s="307"/>
      <c r="AT83" s="307"/>
      <c r="AU83" s="310"/>
      <c r="AV83" s="308"/>
      <c r="AW83" s="312"/>
      <c r="AX83" s="308"/>
      <c r="AY83" s="307"/>
      <c r="AZ83" s="307"/>
      <c r="BA83" s="307"/>
      <c r="BB83" s="307"/>
      <c r="BC83" s="308"/>
      <c r="BD83" s="308"/>
      <c r="BE83" s="313"/>
      <c r="BF83" s="307"/>
      <c r="BG83" s="310"/>
      <c r="BH83" s="307"/>
      <c r="BI83" s="307"/>
      <c r="BJ83" s="310"/>
      <c r="BK83" s="307"/>
      <c r="BL83" s="307"/>
      <c r="BM83" s="310"/>
      <c r="BN83" s="307"/>
      <c r="BO83" s="310"/>
      <c r="BP83" s="307"/>
      <c r="BQ83" s="307"/>
      <c r="BR83" s="307"/>
      <c r="BS83" s="307"/>
      <c r="BT83" s="307"/>
      <c r="BU83" s="310"/>
      <c r="BV83" s="307"/>
      <c r="BW83" s="308"/>
      <c r="BX83" s="311"/>
      <c r="BY83" s="307"/>
      <c r="BZ83" s="307"/>
      <c r="CA83" s="310"/>
      <c r="CB83" s="307"/>
      <c r="CC83" s="307"/>
      <c r="CD83" s="307"/>
      <c r="CE83" s="308"/>
      <c r="CF83" s="308"/>
      <c r="CG83" s="307"/>
      <c r="CH83" s="307"/>
      <c r="CI83" s="307"/>
      <c r="CJ83" s="307"/>
      <c r="CK83" s="314"/>
      <c r="CL83" s="310"/>
      <c r="CM83" s="310"/>
      <c r="CN83" s="307"/>
      <c r="CO83" s="307"/>
      <c r="CP83" s="307"/>
      <c r="CQ83" s="315"/>
      <c r="CR83" s="315"/>
      <c r="CS83" s="315"/>
      <c r="CT83" s="315"/>
      <c r="CU83" s="307"/>
      <c r="CV83" s="217"/>
      <c r="CW83" s="192"/>
      <c r="CX83" s="192"/>
      <c r="CY83" s="192"/>
      <c r="CZ83" s="191"/>
      <c r="DA83" s="193"/>
      <c r="DB83" s="192"/>
      <c r="DC83" s="192"/>
      <c r="DD83" s="192"/>
      <c r="DE83" s="191"/>
      <c r="DF83" s="19"/>
      <c r="DG83" s="192"/>
      <c r="DH83" s="192"/>
      <c r="DI83" s="192"/>
      <c r="DJ83" s="191"/>
      <c r="DK83" s="193"/>
      <c r="DL83" s="192"/>
      <c r="DM83" s="192"/>
      <c r="DN83" s="192"/>
      <c r="DO83" s="191"/>
      <c r="DP83" s="19"/>
      <c r="DQ83" s="192"/>
      <c r="DR83" s="192"/>
      <c r="DS83" s="192"/>
      <c r="DT83" s="191"/>
      <c r="DU83" s="193"/>
      <c r="DV83" s="192"/>
      <c r="DW83" s="192"/>
      <c r="DX83" s="192"/>
      <c r="DY83" s="191"/>
      <c r="DZ83" s="19"/>
      <c r="EA83" s="192"/>
      <c r="EB83" s="192"/>
      <c r="EC83" s="192"/>
      <c r="ED83" s="191"/>
      <c r="EE83" s="193"/>
      <c r="EF83" s="192"/>
      <c r="EG83" s="192"/>
      <c r="EH83" s="192"/>
      <c r="EI83" s="191"/>
      <c r="EJ83" s="19"/>
      <c r="EK83" s="192"/>
      <c r="EL83" s="192"/>
      <c r="EM83" s="192"/>
      <c r="EN83" s="191"/>
      <c r="EO83" s="193"/>
      <c r="EP83" s="192"/>
      <c r="EQ83" s="192"/>
      <c r="ER83" s="192"/>
      <c r="ES83" s="191"/>
      <c r="ET83" s="19"/>
      <c r="EU83" s="192"/>
      <c r="EV83" s="192"/>
      <c r="EW83" s="192"/>
      <c r="EX83" s="191"/>
      <c r="EY83" s="193"/>
      <c r="EZ83" s="192"/>
      <c r="FA83" s="192"/>
      <c r="FB83" s="192"/>
      <c r="FC83" s="191"/>
      <c r="FL83" s="273">
        <f t="shared" ca="1" si="5"/>
        <v>116</v>
      </c>
    </row>
    <row r="84" spans="1:168" ht="16.5" thickBot="1">
      <c r="A84" s="196">
        <v>81</v>
      </c>
      <c r="B84" s="306"/>
      <c r="C84" s="310"/>
      <c r="D84" s="307" t="s">
        <v>271</v>
      </c>
      <c r="E84" s="307" t="s">
        <v>271</v>
      </c>
      <c r="F84" s="308"/>
      <c r="G84" s="343" t="str">
        <f t="shared" si="3"/>
        <v xml:space="preserve"> </v>
      </c>
      <c r="H84" s="307"/>
      <c r="I84" s="309" t="e">
        <f t="shared" si="4"/>
        <v>#N/A</v>
      </c>
      <c r="J84" s="307"/>
      <c r="K84" s="307"/>
      <c r="L84" s="310"/>
      <c r="M84" s="310"/>
      <c r="N84" s="310"/>
      <c r="O84" s="310"/>
      <c r="P84" s="310"/>
      <c r="Q84" s="310"/>
      <c r="R84" s="310"/>
      <c r="S84" s="310"/>
      <c r="T84" s="310"/>
      <c r="U84" s="307"/>
      <c r="V84" s="307"/>
      <c r="W84" s="311"/>
      <c r="X84" s="307"/>
      <c r="Y84" s="307"/>
      <c r="Z84" s="307"/>
      <c r="AA84" s="307"/>
      <c r="AB84" s="311"/>
      <c r="AC84" s="307"/>
      <c r="AD84" s="307"/>
      <c r="AE84" s="307"/>
      <c r="AF84" s="307"/>
      <c r="AG84" s="310"/>
      <c r="AH84" s="307"/>
      <c r="AI84" s="310"/>
      <c r="AJ84" s="307"/>
      <c r="AK84" s="307"/>
      <c r="AL84" s="307"/>
      <c r="AM84" s="308"/>
      <c r="AN84" s="311"/>
      <c r="AO84" s="307"/>
      <c r="AP84" s="307"/>
      <c r="AQ84" s="308"/>
      <c r="AR84" s="307"/>
      <c r="AS84" s="307"/>
      <c r="AT84" s="307"/>
      <c r="AU84" s="310"/>
      <c r="AV84" s="308"/>
      <c r="AW84" s="312"/>
      <c r="AX84" s="308"/>
      <c r="AY84" s="307"/>
      <c r="AZ84" s="307"/>
      <c r="BA84" s="307"/>
      <c r="BB84" s="307"/>
      <c r="BC84" s="308"/>
      <c r="BD84" s="308"/>
      <c r="BE84" s="313"/>
      <c r="BF84" s="307"/>
      <c r="BG84" s="310"/>
      <c r="BH84" s="307"/>
      <c r="BI84" s="307"/>
      <c r="BJ84" s="310"/>
      <c r="BK84" s="307"/>
      <c r="BL84" s="307"/>
      <c r="BM84" s="310"/>
      <c r="BN84" s="307"/>
      <c r="BO84" s="310"/>
      <c r="BP84" s="307"/>
      <c r="BQ84" s="307"/>
      <c r="BR84" s="307"/>
      <c r="BS84" s="307"/>
      <c r="BT84" s="307"/>
      <c r="BU84" s="310"/>
      <c r="BV84" s="307"/>
      <c r="BW84" s="308"/>
      <c r="BX84" s="311"/>
      <c r="BY84" s="307"/>
      <c r="BZ84" s="307"/>
      <c r="CA84" s="310"/>
      <c r="CB84" s="307"/>
      <c r="CC84" s="307"/>
      <c r="CD84" s="307"/>
      <c r="CE84" s="308"/>
      <c r="CF84" s="308"/>
      <c r="CG84" s="307"/>
      <c r="CH84" s="307"/>
      <c r="CI84" s="307"/>
      <c r="CJ84" s="307"/>
      <c r="CK84" s="314"/>
      <c r="CL84" s="310"/>
      <c r="CM84" s="310"/>
      <c r="CN84" s="307"/>
      <c r="CO84" s="307"/>
      <c r="CP84" s="307"/>
      <c r="CQ84" s="315"/>
      <c r="CR84" s="315"/>
      <c r="CS84" s="315"/>
      <c r="CT84" s="315"/>
      <c r="CU84" s="307"/>
      <c r="CV84" s="217"/>
      <c r="CW84" s="192"/>
      <c r="CX84" s="192"/>
      <c r="CY84" s="192"/>
      <c r="CZ84" s="191"/>
      <c r="DA84" s="193"/>
      <c r="DB84" s="192"/>
      <c r="DC84" s="192"/>
      <c r="DD84" s="192"/>
      <c r="DE84" s="191"/>
      <c r="DF84" s="19"/>
      <c r="DG84" s="192"/>
      <c r="DH84" s="192"/>
      <c r="DI84" s="192"/>
      <c r="DJ84" s="191"/>
      <c r="DK84" s="193"/>
      <c r="DL84" s="192"/>
      <c r="DM84" s="192"/>
      <c r="DN84" s="192"/>
      <c r="DO84" s="191"/>
      <c r="DP84" s="19"/>
      <c r="DQ84" s="192"/>
      <c r="DR84" s="192"/>
      <c r="DS84" s="192"/>
      <c r="DT84" s="191"/>
      <c r="DU84" s="193"/>
      <c r="DV84" s="192"/>
      <c r="DW84" s="192"/>
      <c r="DX84" s="192"/>
      <c r="DY84" s="191"/>
      <c r="DZ84" s="19"/>
      <c r="EA84" s="192"/>
      <c r="EB84" s="192"/>
      <c r="EC84" s="192"/>
      <c r="ED84" s="191"/>
      <c r="EE84" s="193"/>
      <c r="EF84" s="192"/>
      <c r="EG84" s="192"/>
      <c r="EH84" s="192"/>
      <c r="EI84" s="191"/>
      <c r="EJ84" s="19"/>
      <c r="EK84" s="192"/>
      <c r="EL84" s="192"/>
      <c r="EM84" s="192"/>
      <c r="EN84" s="191"/>
      <c r="EO84" s="193"/>
      <c r="EP84" s="192"/>
      <c r="EQ84" s="192"/>
      <c r="ER84" s="192"/>
      <c r="ES84" s="191"/>
      <c r="ET84" s="19"/>
      <c r="EU84" s="192"/>
      <c r="EV84" s="192"/>
      <c r="EW84" s="192"/>
      <c r="EX84" s="191"/>
      <c r="EY84" s="193"/>
      <c r="EZ84" s="192"/>
      <c r="FA84" s="192"/>
      <c r="FB84" s="192"/>
      <c r="FC84" s="191"/>
      <c r="FL84" s="273">
        <f t="shared" ca="1" si="5"/>
        <v>116</v>
      </c>
    </row>
    <row r="85" spans="1:168" ht="16.5" thickBot="1">
      <c r="A85" s="199">
        <v>82</v>
      </c>
      <c r="B85" s="306"/>
      <c r="C85" s="310"/>
      <c r="D85" s="307" t="s">
        <v>271</v>
      </c>
      <c r="E85" s="307" t="s">
        <v>271</v>
      </c>
      <c r="F85" s="308"/>
      <c r="G85" s="343" t="str">
        <f t="shared" si="3"/>
        <v xml:space="preserve"> </v>
      </c>
      <c r="H85" s="307"/>
      <c r="I85" s="309" t="e">
        <f t="shared" si="4"/>
        <v>#N/A</v>
      </c>
      <c r="J85" s="307"/>
      <c r="K85" s="307"/>
      <c r="L85" s="310"/>
      <c r="M85" s="310"/>
      <c r="N85" s="310"/>
      <c r="O85" s="310"/>
      <c r="P85" s="310"/>
      <c r="Q85" s="310"/>
      <c r="R85" s="310"/>
      <c r="S85" s="310"/>
      <c r="T85" s="310"/>
      <c r="U85" s="307"/>
      <c r="V85" s="307"/>
      <c r="W85" s="311"/>
      <c r="X85" s="307"/>
      <c r="Y85" s="307"/>
      <c r="Z85" s="307"/>
      <c r="AA85" s="307"/>
      <c r="AB85" s="311"/>
      <c r="AC85" s="307"/>
      <c r="AD85" s="307"/>
      <c r="AE85" s="307"/>
      <c r="AF85" s="307"/>
      <c r="AG85" s="310"/>
      <c r="AH85" s="307"/>
      <c r="AI85" s="310"/>
      <c r="AJ85" s="307"/>
      <c r="AK85" s="307"/>
      <c r="AL85" s="307"/>
      <c r="AM85" s="308"/>
      <c r="AN85" s="311"/>
      <c r="AO85" s="307"/>
      <c r="AP85" s="307"/>
      <c r="AQ85" s="308"/>
      <c r="AR85" s="307"/>
      <c r="AS85" s="307"/>
      <c r="AT85" s="307"/>
      <c r="AU85" s="310"/>
      <c r="AV85" s="308"/>
      <c r="AW85" s="312"/>
      <c r="AX85" s="308"/>
      <c r="AY85" s="307"/>
      <c r="AZ85" s="307"/>
      <c r="BA85" s="307"/>
      <c r="BB85" s="307"/>
      <c r="BC85" s="308"/>
      <c r="BD85" s="308"/>
      <c r="BE85" s="313"/>
      <c r="BF85" s="307"/>
      <c r="BG85" s="310"/>
      <c r="BH85" s="307"/>
      <c r="BI85" s="307"/>
      <c r="BJ85" s="310"/>
      <c r="BK85" s="307"/>
      <c r="BL85" s="307"/>
      <c r="BM85" s="310"/>
      <c r="BN85" s="307"/>
      <c r="BO85" s="310"/>
      <c r="BP85" s="307"/>
      <c r="BQ85" s="307"/>
      <c r="BR85" s="307"/>
      <c r="BS85" s="307"/>
      <c r="BT85" s="307"/>
      <c r="BU85" s="310"/>
      <c r="BV85" s="307"/>
      <c r="BW85" s="308"/>
      <c r="BX85" s="311"/>
      <c r="BY85" s="307"/>
      <c r="BZ85" s="307"/>
      <c r="CA85" s="310"/>
      <c r="CB85" s="307"/>
      <c r="CC85" s="307"/>
      <c r="CD85" s="307"/>
      <c r="CE85" s="308"/>
      <c r="CF85" s="308"/>
      <c r="CG85" s="307"/>
      <c r="CH85" s="307"/>
      <c r="CI85" s="307"/>
      <c r="CJ85" s="307"/>
      <c r="CK85" s="314"/>
      <c r="CL85" s="310"/>
      <c r="CM85" s="310"/>
      <c r="CN85" s="307"/>
      <c r="CO85" s="307"/>
      <c r="CP85" s="307"/>
      <c r="CQ85" s="315"/>
      <c r="CR85" s="315"/>
      <c r="CS85" s="315"/>
      <c r="CT85" s="315"/>
      <c r="CU85" s="307"/>
      <c r="CV85" s="217"/>
      <c r="CW85" s="192"/>
      <c r="CX85" s="192"/>
      <c r="CY85" s="192"/>
      <c r="CZ85" s="191"/>
      <c r="DA85" s="193"/>
      <c r="DB85" s="192"/>
      <c r="DC85" s="192"/>
      <c r="DD85" s="192"/>
      <c r="DE85" s="191"/>
      <c r="DF85" s="19"/>
      <c r="DG85" s="192"/>
      <c r="DH85" s="192"/>
      <c r="DI85" s="192"/>
      <c r="DJ85" s="191"/>
      <c r="DK85" s="193"/>
      <c r="DL85" s="192"/>
      <c r="DM85" s="192"/>
      <c r="DN85" s="192"/>
      <c r="DO85" s="191"/>
      <c r="DP85" s="19"/>
      <c r="DQ85" s="192"/>
      <c r="DR85" s="192"/>
      <c r="DS85" s="192"/>
      <c r="DT85" s="191"/>
      <c r="DU85" s="193"/>
      <c r="DV85" s="192"/>
      <c r="DW85" s="192"/>
      <c r="DX85" s="192"/>
      <c r="DY85" s="191"/>
      <c r="DZ85" s="19"/>
      <c r="EA85" s="192"/>
      <c r="EB85" s="192"/>
      <c r="EC85" s="192"/>
      <c r="ED85" s="191"/>
      <c r="EE85" s="193"/>
      <c r="EF85" s="192"/>
      <c r="EG85" s="192"/>
      <c r="EH85" s="192"/>
      <c r="EI85" s="191"/>
      <c r="EJ85" s="19"/>
      <c r="EK85" s="192"/>
      <c r="EL85" s="192"/>
      <c r="EM85" s="192"/>
      <c r="EN85" s="191"/>
      <c r="EO85" s="193"/>
      <c r="EP85" s="192"/>
      <c r="EQ85" s="192"/>
      <c r="ER85" s="192"/>
      <c r="ES85" s="191"/>
      <c r="ET85" s="19"/>
      <c r="EU85" s="192"/>
      <c r="EV85" s="192"/>
      <c r="EW85" s="192"/>
      <c r="EX85" s="191"/>
      <c r="EY85" s="193"/>
      <c r="EZ85" s="192"/>
      <c r="FA85" s="192"/>
      <c r="FB85" s="192"/>
      <c r="FC85" s="191"/>
      <c r="FL85" s="273">
        <f t="shared" ca="1" si="5"/>
        <v>116</v>
      </c>
    </row>
    <row r="86" spans="1:168" ht="16.5" thickBot="1">
      <c r="A86" s="196">
        <v>83</v>
      </c>
      <c r="B86" s="306"/>
      <c r="C86" s="310"/>
      <c r="D86" s="307" t="s">
        <v>271</v>
      </c>
      <c r="E86" s="307" t="s">
        <v>271</v>
      </c>
      <c r="F86" s="308"/>
      <c r="G86" s="343" t="str">
        <f t="shared" si="3"/>
        <v xml:space="preserve"> </v>
      </c>
      <c r="H86" s="307"/>
      <c r="I86" s="309" t="e">
        <f t="shared" si="4"/>
        <v>#N/A</v>
      </c>
      <c r="J86" s="307"/>
      <c r="K86" s="307"/>
      <c r="L86" s="310"/>
      <c r="M86" s="310"/>
      <c r="N86" s="310"/>
      <c r="O86" s="310"/>
      <c r="P86" s="310"/>
      <c r="Q86" s="310"/>
      <c r="R86" s="310"/>
      <c r="S86" s="310"/>
      <c r="T86" s="310"/>
      <c r="U86" s="307"/>
      <c r="V86" s="307"/>
      <c r="W86" s="311"/>
      <c r="X86" s="307"/>
      <c r="Y86" s="307"/>
      <c r="Z86" s="307"/>
      <c r="AA86" s="307"/>
      <c r="AB86" s="311"/>
      <c r="AC86" s="307"/>
      <c r="AD86" s="307"/>
      <c r="AE86" s="307"/>
      <c r="AF86" s="307"/>
      <c r="AG86" s="310"/>
      <c r="AH86" s="307"/>
      <c r="AI86" s="310"/>
      <c r="AJ86" s="307"/>
      <c r="AK86" s="307"/>
      <c r="AL86" s="307"/>
      <c r="AM86" s="308"/>
      <c r="AN86" s="311"/>
      <c r="AO86" s="307"/>
      <c r="AP86" s="307"/>
      <c r="AQ86" s="308"/>
      <c r="AR86" s="307"/>
      <c r="AS86" s="307"/>
      <c r="AT86" s="307"/>
      <c r="AU86" s="310"/>
      <c r="AV86" s="308"/>
      <c r="AW86" s="312"/>
      <c r="AX86" s="308"/>
      <c r="AY86" s="307"/>
      <c r="AZ86" s="307"/>
      <c r="BA86" s="307"/>
      <c r="BB86" s="307"/>
      <c r="BC86" s="308"/>
      <c r="BD86" s="308"/>
      <c r="BE86" s="313"/>
      <c r="BF86" s="307"/>
      <c r="BG86" s="310"/>
      <c r="BH86" s="307"/>
      <c r="BI86" s="307"/>
      <c r="BJ86" s="310"/>
      <c r="BK86" s="307"/>
      <c r="BL86" s="307"/>
      <c r="BM86" s="310"/>
      <c r="BN86" s="307"/>
      <c r="BO86" s="310"/>
      <c r="BP86" s="307"/>
      <c r="BQ86" s="307"/>
      <c r="BR86" s="307"/>
      <c r="BS86" s="307"/>
      <c r="BT86" s="307"/>
      <c r="BU86" s="310"/>
      <c r="BV86" s="307"/>
      <c r="BW86" s="308"/>
      <c r="BX86" s="311"/>
      <c r="BY86" s="307"/>
      <c r="BZ86" s="307"/>
      <c r="CA86" s="310"/>
      <c r="CB86" s="307"/>
      <c r="CC86" s="307"/>
      <c r="CD86" s="307"/>
      <c r="CE86" s="308"/>
      <c r="CF86" s="308"/>
      <c r="CG86" s="307"/>
      <c r="CH86" s="307"/>
      <c r="CI86" s="307"/>
      <c r="CJ86" s="307"/>
      <c r="CK86" s="314"/>
      <c r="CL86" s="310"/>
      <c r="CM86" s="310"/>
      <c r="CN86" s="307"/>
      <c r="CO86" s="307"/>
      <c r="CP86" s="307"/>
      <c r="CQ86" s="315"/>
      <c r="CR86" s="315"/>
      <c r="CS86" s="315"/>
      <c r="CT86" s="315"/>
      <c r="CU86" s="307"/>
      <c r="CV86" s="217"/>
      <c r="CW86" s="192"/>
      <c r="CX86" s="192"/>
      <c r="CY86" s="192"/>
      <c r="CZ86" s="191"/>
      <c r="DA86" s="193"/>
      <c r="DB86" s="192"/>
      <c r="DC86" s="192"/>
      <c r="DD86" s="192"/>
      <c r="DE86" s="191"/>
      <c r="DF86" s="19"/>
      <c r="DG86" s="192"/>
      <c r="DH86" s="192"/>
      <c r="DI86" s="192"/>
      <c r="DJ86" s="191"/>
      <c r="DK86" s="193"/>
      <c r="DL86" s="192"/>
      <c r="DM86" s="192"/>
      <c r="DN86" s="192"/>
      <c r="DO86" s="191"/>
      <c r="DP86" s="19"/>
      <c r="DQ86" s="192"/>
      <c r="DR86" s="192"/>
      <c r="DS86" s="192"/>
      <c r="DT86" s="191"/>
      <c r="DU86" s="193"/>
      <c r="DV86" s="192"/>
      <c r="DW86" s="192"/>
      <c r="DX86" s="192"/>
      <c r="DY86" s="191"/>
      <c r="DZ86" s="19"/>
      <c r="EA86" s="192"/>
      <c r="EB86" s="192"/>
      <c r="EC86" s="192"/>
      <c r="ED86" s="191"/>
      <c r="EE86" s="193"/>
      <c r="EF86" s="192"/>
      <c r="EG86" s="192"/>
      <c r="EH86" s="192"/>
      <c r="EI86" s="191"/>
      <c r="EJ86" s="19"/>
      <c r="EK86" s="192"/>
      <c r="EL86" s="192"/>
      <c r="EM86" s="192"/>
      <c r="EN86" s="191"/>
      <c r="EO86" s="193"/>
      <c r="EP86" s="192"/>
      <c r="EQ86" s="192"/>
      <c r="ER86" s="192"/>
      <c r="ES86" s="191"/>
      <c r="ET86" s="19"/>
      <c r="EU86" s="192"/>
      <c r="EV86" s="192"/>
      <c r="EW86" s="192"/>
      <c r="EX86" s="191"/>
      <c r="EY86" s="193"/>
      <c r="EZ86" s="192"/>
      <c r="FA86" s="192"/>
      <c r="FB86" s="192"/>
      <c r="FC86" s="191"/>
      <c r="FL86" s="273">
        <f t="shared" ca="1" si="5"/>
        <v>116</v>
      </c>
    </row>
    <row r="87" spans="1:168" ht="16.5" thickBot="1">
      <c r="A87" s="199">
        <v>84</v>
      </c>
      <c r="B87" s="306"/>
      <c r="C87" s="310"/>
      <c r="D87" s="307" t="s">
        <v>271</v>
      </c>
      <c r="E87" s="307" t="s">
        <v>271</v>
      </c>
      <c r="F87" s="308"/>
      <c r="G87" s="343" t="str">
        <f t="shared" si="3"/>
        <v xml:space="preserve"> </v>
      </c>
      <c r="H87" s="307"/>
      <c r="I87" s="309" t="e">
        <f t="shared" si="4"/>
        <v>#N/A</v>
      </c>
      <c r="J87" s="307"/>
      <c r="K87" s="307"/>
      <c r="L87" s="310"/>
      <c r="M87" s="310"/>
      <c r="N87" s="310"/>
      <c r="O87" s="310"/>
      <c r="P87" s="310"/>
      <c r="Q87" s="310"/>
      <c r="R87" s="310"/>
      <c r="S87" s="310"/>
      <c r="T87" s="310"/>
      <c r="U87" s="307"/>
      <c r="V87" s="307"/>
      <c r="W87" s="311"/>
      <c r="X87" s="307"/>
      <c r="Y87" s="307"/>
      <c r="Z87" s="307"/>
      <c r="AA87" s="307"/>
      <c r="AB87" s="311"/>
      <c r="AC87" s="307"/>
      <c r="AD87" s="307"/>
      <c r="AE87" s="307"/>
      <c r="AF87" s="307"/>
      <c r="AG87" s="310"/>
      <c r="AH87" s="307"/>
      <c r="AI87" s="310"/>
      <c r="AJ87" s="307"/>
      <c r="AK87" s="307"/>
      <c r="AL87" s="307"/>
      <c r="AM87" s="308"/>
      <c r="AN87" s="311"/>
      <c r="AO87" s="307"/>
      <c r="AP87" s="307"/>
      <c r="AQ87" s="308"/>
      <c r="AR87" s="307"/>
      <c r="AS87" s="307"/>
      <c r="AT87" s="307"/>
      <c r="AU87" s="310"/>
      <c r="AV87" s="308"/>
      <c r="AW87" s="312"/>
      <c r="AX87" s="308"/>
      <c r="AY87" s="307"/>
      <c r="AZ87" s="307"/>
      <c r="BA87" s="307"/>
      <c r="BB87" s="307"/>
      <c r="BC87" s="308"/>
      <c r="BD87" s="308"/>
      <c r="BE87" s="313"/>
      <c r="BF87" s="307"/>
      <c r="BG87" s="310"/>
      <c r="BH87" s="307"/>
      <c r="BI87" s="307"/>
      <c r="BJ87" s="310"/>
      <c r="BK87" s="307"/>
      <c r="BL87" s="307"/>
      <c r="BM87" s="310"/>
      <c r="BN87" s="307"/>
      <c r="BO87" s="310"/>
      <c r="BP87" s="307"/>
      <c r="BQ87" s="307"/>
      <c r="BR87" s="307"/>
      <c r="BS87" s="307"/>
      <c r="BT87" s="307"/>
      <c r="BU87" s="310"/>
      <c r="BV87" s="307"/>
      <c r="BW87" s="308"/>
      <c r="BX87" s="311"/>
      <c r="BY87" s="307"/>
      <c r="BZ87" s="307"/>
      <c r="CA87" s="310"/>
      <c r="CB87" s="307"/>
      <c r="CC87" s="307"/>
      <c r="CD87" s="307"/>
      <c r="CE87" s="308"/>
      <c r="CF87" s="308"/>
      <c r="CG87" s="307"/>
      <c r="CH87" s="307"/>
      <c r="CI87" s="307"/>
      <c r="CJ87" s="307"/>
      <c r="CK87" s="314"/>
      <c r="CL87" s="310"/>
      <c r="CM87" s="310"/>
      <c r="CN87" s="307"/>
      <c r="CO87" s="307"/>
      <c r="CP87" s="307"/>
      <c r="CQ87" s="315"/>
      <c r="CR87" s="315"/>
      <c r="CS87" s="315"/>
      <c r="CT87" s="315"/>
      <c r="CU87" s="307"/>
      <c r="CV87" s="217"/>
      <c r="CW87" s="192"/>
      <c r="CX87" s="192"/>
      <c r="CY87" s="192"/>
      <c r="CZ87" s="191"/>
      <c r="DA87" s="193"/>
      <c r="DB87" s="192"/>
      <c r="DC87" s="192"/>
      <c r="DD87" s="192"/>
      <c r="DE87" s="191"/>
      <c r="DF87" s="19"/>
      <c r="DG87" s="192"/>
      <c r="DH87" s="192"/>
      <c r="DI87" s="192"/>
      <c r="DJ87" s="191"/>
      <c r="DK87" s="193"/>
      <c r="DL87" s="192"/>
      <c r="DM87" s="192"/>
      <c r="DN87" s="192"/>
      <c r="DO87" s="191"/>
      <c r="DP87" s="19"/>
      <c r="DQ87" s="192"/>
      <c r="DR87" s="192"/>
      <c r="DS87" s="192"/>
      <c r="DT87" s="191"/>
      <c r="DU87" s="193"/>
      <c r="DV87" s="192"/>
      <c r="DW87" s="192"/>
      <c r="DX87" s="192"/>
      <c r="DY87" s="191"/>
      <c r="DZ87" s="19"/>
      <c r="EA87" s="192"/>
      <c r="EB87" s="192"/>
      <c r="EC87" s="192"/>
      <c r="ED87" s="191"/>
      <c r="EE87" s="193"/>
      <c r="EF87" s="192"/>
      <c r="EG87" s="192"/>
      <c r="EH87" s="192"/>
      <c r="EI87" s="191"/>
      <c r="EJ87" s="19"/>
      <c r="EK87" s="192"/>
      <c r="EL87" s="192"/>
      <c r="EM87" s="192"/>
      <c r="EN87" s="191"/>
      <c r="EO87" s="193"/>
      <c r="EP87" s="192"/>
      <c r="EQ87" s="192"/>
      <c r="ER87" s="192"/>
      <c r="ES87" s="191"/>
      <c r="ET87" s="19"/>
      <c r="EU87" s="192"/>
      <c r="EV87" s="192"/>
      <c r="EW87" s="192"/>
      <c r="EX87" s="191"/>
      <c r="EY87" s="193"/>
      <c r="EZ87" s="192"/>
      <c r="FA87" s="192"/>
      <c r="FB87" s="192"/>
      <c r="FC87" s="191"/>
      <c r="FL87" s="273">
        <f t="shared" ca="1" si="5"/>
        <v>116</v>
      </c>
    </row>
    <row r="88" spans="1:168" ht="16.5" thickBot="1">
      <c r="A88" s="196">
        <v>85</v>
      </c>
      <c r="B88" s="306"/>
      <c r="C88" s="310"/>
      <c r="D88" s="307" t="s">
        <v>271</v>
      </c>
      <c r="E88" s="307" t="s">
        <v>271</v>
      </c>
      <c r="F88" s="308"/>
      <c r="G88" s="343" t="str">
        <f t="shared" si="3"/>
        <v xml:space="preserve"> </v>
      </c>
      <c r="H88" s="307"/>
      <c r="I88" s="309" t="e">
        <f t="shared" si="4"/>
        <v>#N/A</v>
      </c>
      <c r="J88" s="307"/>
      <c r="K88" s="307"/>
      <c r="L88" s="310"/>
      <c r="M88" s="310"/>
      <c r="N88" s="310"/>
      <c r="O88" s="310"/>
      <c r="P88" s="310"/>
      <c r="Q88" s="310"/>
      <c r="R88" s="310"/>
      <c r="S88" s="310"/>
      <c r="T88" s="310"/>
      <c r="U88" s="307"/>
      <c r="V88" s="307"/>
      <c r="W88" s="311"/>
      <c r="X88" s="307"/>
      <c r="Y88" s="307"/>
      <c r="Z88" s="307"/>
      <c r="AA88" s="307"/>
      <c r="AB88" s="311"/>
      <c r="AC88" s="307"/>
      <c r="AD88" s="307"/>
      <c r="AE88" s="307"/>
      <c r="AF88" s="307"/>
      <c r="AG88" s="310"/>
      <c r="AH88" s="307"/>
      <c r="AI88" s="310"/>
      <c r="AJ88" s="307"/>
      <c r="AK88" s="307"/>
      <c r="AL88" s="307"/>
      <c r="AM88" s="308"/>
      <c r="AN88" s="311"/>
      <c r="AO88" s="307"/>
      <c r="AP88" s="307"/>
      <c r="AQ88" s="308"/>
      <c r="AR88" s="307"/>
      <c r="AS88" s="307"/>
      <c r="AT88" s="307"/>
      <c r="AU88" s="310"/>
      <c r="AV88" s="308"/>
      <c r="AW88" s="312"/>
      <c r="AX88" s="308"/>
      <c r="AY88" s="307"/>
      <c r="AZ88" s="307"/>
      <c r="BA88" s="307"/>
      <c r="BB88" s="307"/>
      <c r="BC88" s="308"/>
      <c r="BD88" s="308"/>
      <c r="BE88" s="313"/>
      <c r="BF88" s="307"/>
      <c r="BG88" s="310"/>
      <c r="BH88" s="307"/>
      <c r="BI88" s="307"/>
      <c r="BJ88" s="310"/>
      <c r="BK88" s="307"/>
      <c r="BL88" s="307"/>
      <c r="BM88" s="310"/>
      <c r="BN88" s="307"/>
      <c r="BO88" s="310"/>
      <c r="BP88" s="307"/>
      <c r="BQ88" s="307"/>
      <c r="BR88" s="307"/>
      <c r="BS88" s="307"/>
      <c r="BT88" s="307"/>
      <c r="BU88" s="310"/>
      <c r="BV88" s="307"/>
      <c r="BW88" s="308"/>
      <c r="BX88" s="311"/>
      <c r="BY88" s="307"/>
      <c r="BZ88" s="307"/>
      <c r="CA88" s="310"/>
      <c r="CB88" s="307"/>
      <c r="CC88" s="307"/>
      <c r="CD88" s="307"/>
      <c r="CE88" s="308"/>
      <c r="CF88" s="308"/>
      <c r="CG88" s="307"/>
      <c r="CH88" s="307"/>
      <c r="CI88" s="307"/>
      <c r="CJ88" s="307"/>
      <c r="CK88" s="314"/>
      <c r="CL88" s="310"/>
      <c r="CM88" s="310"/>
      <c r="CN88" s="307"/>
      <c r="CO88" s="307"/>
      <c r="CP88" s="307"/>
      <c r="CQ88" s="315"/>
      <c r="CR88" s="315"/>
      <c r="CS88" s="315"/>
      <c r="CT88" s="315"/>
      <c r="CU88" s="307"/>
      <c r="CV88" s="217"/>
      <c r="CW88" s="192"/>
      <c r="CX88" s="192"/>
      <c r="CY88" s="192"/>
      <c r="CZ88" s="191"/>
      <c r="DA88" s="193"/>
      <c r="DB88" s="192"/>
      <c r="DC88" s="192"/>
      <c r="DD88" s="192"/>
      <c r="DE88" s="191"/>
      <c r="DF88" s="19"/>
      <c r="DG88" s="192"/>
      <c r="DH88" s="192"/>
      <c r="DI88" s="192"/>
      <c r="DJ88" s="191"/>
      <c r="DK88" s="193"/>
      <c r="DL88" s="192"/>
      <c r="DM88" s="192"/>
      <c r="DN88" s="192"/>
      <c r="DO88" s="191"/>
      <c r="DP88" s="19"/>
      <c r="DQ88" s="192"/>
      <c r="DR88" s="192"/>
      <c r="DS88" s="192"/>
      <c r="DT88" s="191"/>
      <c r="DU88" s="193"/>
      <c r="DV88" s="192"/>
      <c r="DW88" s="192"/>
      <c r="DX88" s="192"/>
      <c r="DY88" s="191"/>
      <c r="DZ88" s="19"/>
      <c r="EA88" s="192"/>
      <c r="EB88" s="192"/>
      <c r="EC88" s="192"/>
      <c r="ED88" s="191"/>
      <c r="EE88" s="193"/>
      <c r="EF88" s="192"/>
      <c r="EG88" s="192"/>
      <c r="EH88" s="192"/>
      <c r="EI88" s="191"/>
      <c r="EJ88" s="19"/>
      <c r="EK88" s="192"/>
      <c r="EL88" s="192"/>
      <c r="EM88" s="192"/>
      <c r="EN88" s="191"/>
      <c r="EO88" s="193"/>
      <c r="EP88" s="192"/>
      <c r="EQ88" s="192"/>
      <c r="ER88" s="192"/>
      <c r="ES88" s="191"/>
      <c r="ET88" s="19"/>
      <c r="EU88" s="192"/>
      <c r="EV88" s="192"/>
      <c r="EW88" s="192"/>
      <c r="EX88" s="191"/>
      <c r="EY88" s="193"/>
      <c r="EZ88" s="192"/>
      <c r="FA88" s="192"/>
      <c r="FB88" s="192"/>
      <c r="FC88" s="191"/>
      <c r="FL88" s="273">
        <f t="shared" ca="1" si="5"/>
        <v>116</v>
      </c>
    </row>
    <row r="89" spans="1:168" ht="16.5" thickBot="1">
      <c r="A89" s="199">
        <v>86</v>
      </c>
      <c r="B89" s="306"/>
      <c r="C89" s="310"/>
      <c r="D89" s="307" t="s">
        <v>271</v>
      </c>
      <c r="E89" s="307" t="s">
        <v>271</v>
      </c>
      <c r="F89" s="308"/>
      <c r="G89" s="343" t="str">
        <f t="shared" si="3"/>
        <v xml:space="preserve"> </v>
      </c>
      <c r="H89" s="307"/>
      <c r="I89" s="309" t="e">
        <f t="shared" si="4"/>
        <v>#N/A</v>
      </c>
      <c r="J89" s="307"/>
      <c r="K89" s="307"/>
      <c r="L89" s="310"/>
      <c r="M89" s="310"/>
      <c r="N89" s="310"/>
      <c r="O89" s="310"/>
      <c r="P89" s="310"/>
      <c r="Q89" s="310"/>
      <c r="R89" s="310"/>
      <c r="S89" s="310"/>
      <c r="T89" s="310"/>
      <c r="U89" s="307"/>
      <c r="V89" s="307"/>
      <c r="W89" s="311"/>
      <c r="X89" s="307"/>
      <c r="Y89" s="307"/>
      <c r="Z89" s="307"/>
      <c r="AA89" s="307"/>
      <c r="AB89" s="311"/>
      <c r="AC89" s="307"/>
      <c r="AD89" s="307"/>
      <c r="AE89" s="307"/>
      <c r="AF89" s="307"/>
      <c r="AG89" s="310"/>
      <c r="AH89" s="307"/>
      <c r="AI89" s="310"/>
      <c r="AJ89" s="307"/>
      <c r="AK89" s="307"/>
      <c r="AL89" s="307"/>
      <c r="AM89" s="308"/>
      <c r="AN89" s="311"/>
      <c r="AO89" s="307"/>
      <c r="AP89" s="307"/>
      <c r="AQ89" s="308"/>
      <c r="AR89" s="307"/>
      <c r="AS89" s="307"/>
      <c r="AT89" s="307"/>
      <c r="AU89" s="310"/>
      <c r="AV89" s="308"/>
      <c r="AW89" s="312"/>
      <c r="AX89" s="308"/>
      <c r="AY89" s="307"/>
      <c r="AZ89" s="307"/>
      <c r="BA89" s="307"/>
      <c r="BB89" s="307"/>
      <c r="BC89" s="308"/>
      <c r="BD89" s="308"/>
      <c r="BE89" s="313"/>
      <c r="BF89" s="307"/>
      <c r="BG89" s="310"/>
      <c r="BH89" s="307"/>
      <c r="BI89" s="307"/>
      <c r="BJ89" s="310"/>
      <c r="BK89" s="307"/>
      <c r="BL89" s="307"/>
      <c r="BM89" s="310"/>
      <c r="BN89" s="307"/>
      <c r="BO89" s="310"/>
      <c r="BP89" s="307"/>
      <c r="BQ89" s="307"/>
      <c r="BR89" s="307"/>
      <c r="BS89" s="307"/>
      <c r="BT89" s="307"/>
      <c r="BU89" s="310"/>
      <c r="BV89" s="307"/>
      <c r="BW89" s="308"/>
      <c r="BX89" s="311"/>
      <c r="BY89" s="307"/>
      <c r="BZ89" s="307"/>
      <c r="CA89" s="310"/>
      <c r="CB89" s="307"/>
      <c r="CC89" s="307"/>
      <c r="CD89" s="307"/>
      <c r="CE89" s="308"/>
      <c r="CF89" s="308"/>
      <c r="CG89" s="307"/>
      <c r="CH89" s="307"/>
      <c r="CI89" s="307"/>
      <c r="CJ89" s="307"/>
      <c r="CK89" s="314"/>
      <c r="CL89" s="310"/>
      <c r="CM89" s="310"/>
      <c r="CN89" s="307"/>
      <c r="CO89" s="307"/>
      <c r="CP89" s="307"/>
      <c r="CQ89" s="315"/>
      <c r="CR89" s="315"/>
      <c r="CS89" s="315"/>
      <c r="CT89" s="315"/>
      <c r="CU89" s="307"/>
      <c r="CV89" s="217"/>
      <c r="CW89" s="192"/>
      <c r="CX89" s="192"/>
      <c r="CY89" s="192"/>
      <c r="CZ89" s="191"/>
      <c r="DA89" s="193"/>
      <c r="DB89" s="192"/>
      <c r="DC89" s="192"/>
      <c r="DD89" s="192"/>
      <c r="DE89" s="191"/>
      <c r="DF89" s="19"/>
      <c r="DG89" s="192"/>
      <c r="DH89" s="192"/>
      <c r="DI89" s="192"/>
      <c r="DJ89" s="191"/>
      <c r="DK89" s="193"/>
      <c r="DL89" s="192"/>
      <c r="DM89" s="192"/>
      <c r="DN89" s="192"/>
      <c r="DO89" s="191"/>
      <c r="DP89" s="19"/>
      <c r="DQ89" s="192"/>
      <c r="DR89" s="192"/>
      <c r="DS89" s="192"/>
      <c r="DT89" s="191"/>
      <c r="DU89" s="193"/>
      <c r="DV89" s="192"/>
      <c r="DW89" s="192"/>
      <c r="DX89" s="192"/>
      <c r="DY89" s="191"/>
      <c r="DZ89" s="19"/>
      <c r="EA89" s="192"/>
      <c r="EB89" s="192"/>
      <c r="EC89" s="192"/>
      <c r="ED89" s="191"/>
      <c r="EE89" s="193"/>
      <c r="EF89" s="192"/>
      <c r="EG89" s="192"/>
      <c r="EH89" s="192"/>
      <c r="EI89" s="191"/>
      <c r="EJ89" s="19"/>
      <c r="EK89" s="192"/>
      <c r="EL89" s="192"/>
      <c r="EM89" s="192"/>
      <c r="EN89" s="191"/>
      <c r="EO89" s="193"/>
      <c r="EP89" s="192"/>
      <c r="EQ89" s="192"/>
      <c r="ER89" s="192"/>
      <c r="ES89" s="191"/>
      <c r="ET89" s="19"/>
      <c r="EU89" s="192"/>
      <c r="EV89" s="192"/>
      <c r="EW89" s="192"/>
      <c r="EX89" s="191"/>
      <c r="EY89" s="193"/>
      <c r="EZ89" s="192"/>
      <c r="FA89" s="192"/>
      <c r="FB89" s="192"/>
      <c r="FC89" s="191"/>
      <c r="FL89" s="273">
        <f t="shared" ca="1" si="5"/>
        <v>116</v>
      </c>
    </row>
    <row r="90" spans="1:168" ht="16.5" thickBot="1">
      <c r="A90" s="196">
        <v>87</v>
      </c>
      <c r="B90" s="306"/>
      <c r="C90" s="310"/>
      <c r="D90" s="307" t="s">
        <v>271</v>
      </c>
      <c r="E90" s="307" t="s">
        <v>271</v>
      </c>
      <c r="F90" s="308"/>
      <c r="G90" s="343" t="str">
        <f t="shared" si="3"/>
        <v xml:space="preserve"> </v>
      </c>
      <c r="H90" s="307"/>
      <c r="I90" s="309" t="e">
        <f t="shared" si="4"/>
        <v>#N/A</v>
      </c>
      <c r="J90" s="307"/>
      <c r="K90" s="307"/>
      <c r="L90" s="310"/>
      <c r="M90" s="310"/>
      <c r="N90" s="310"/>
      <c r="O90" s="310"/>
      <c r="P90" s="310"/>
      <c r="Q90" s="310"/>
      <c r="R90" s="310"/>
      <c r="S90" s="310"/>
      <c r="T90" s="310"/>
      <c r="U90" s="307"/>
      <c r="V90" s="307"/>
      <c r="W90" s="311"/>
      <c r="X90" s="307"/>
      <c r="Y90" s="307"/>
      <c r="Z90" s="307"/>
      <c r="AA90" s="307"/>
      <c r="AB90" s="311"/>
      <c r="AC90" s="307"/>
      <c r="AD90" s="307"/>
      <c r="AE90" s="307"/>
      <c r="AF90" s="307"/>
      <c r="AG90" s="310"/>
      <c r="AH90" s="307"/>
      <c r="AI90" s="310"/>
      <c r="AJ90" s="307"/>
      <c r="AK90" s="307"/>
      <c r="AL90" s="307"/>
      <c r="AM90" s="308"/>
      <c r="AN90" s="311"/>
      <c r="AO90" s="307"/>
      <c r="AP90" s="307"/>
      <c r="AQ90" s="308"/>
      <c r="AR90" s="307"/>
      <c r="AS90" s="307"/>
      <c r="AT90" s="307"/>
      <c r="AU90" s="310"/>
      <c r="AV90" s="308"/>
      <c r="AW90" s="312"/>
      <c r="AX90" s="308"/>
      <c r="AY90" s="307"/>
      <c r="AZ90" s="307"/>
      <c r="BA90" s="307"/>
      <c r="BB90" s="307"/>
      <c r="BC90" s="308"/>
      <c r="BD90" s="308"/>
      <c r="BE90" s="313"/>
      <c r="BF90" s="307"/>
      <c r="BG90" s="310"/>
      <c r="BH90" s="307"/>
      <c r="BI90" s="307"/>
      <c r="BJ90" s="310"/>
      <c r="BK90" s="307"/>
      <c r="BL90" s="307"/>
      <c r="BM90" s="310"/>
      <c r="BN90" s="307"/>
      <c r="BO90" s="310"/>
      <c r="BP90" s="307"/>
      <c r="BQ90" s="307"/>
      <c r="BR90" s="307"/>
      <c r="BS90" s="307"/>
      <c r="BT90" s="307"/>
      <c r="BU90" s="310"/>
      <c r="BV90" s="307"/>
      <c r="BW90" s="308"/>
      <c r="BX90" s="311"/>
      <c r="BY90" s="307"/>
      <c r="BZ90" s="307"/>
      <c r="CA90" s="310"/>
      <c r="CB90" s="307"/>
      <c r="CC90" s="307"/>
      <c r="CD90" s="307"/>
      <c r="CE90" s="308"/>
      <c r="CF90" s="308"/>
      <c r="CG90" s="307"/>
      <c r="CH90" s="307"/>
      <c r="CI90" s="307"/>
      <c r="CJ90" s="307"/>
      <c r="CK90" s="314"/>
      <c r="CL90" s="310"/>
      <c r="CM90" s="310"/>
      <c r="CN90" s="307"/>
      <c r="CO90" s="307"/>
      <c r="CP90" s="307"/>
      <c r="CQ90" s="315"/>
      <c r="CR90" s="315"/>
      <c r="CS90" s="315"/>
      <c r="CT90" s="315"/>
      <c r="CU90" s="307"/>
      <c r="CV90" s="217"/>
      <c r="CW90" s="192"/>
      <c r="CX90" s="192"/>
      <c r="CY90" s="192"/>
      <c r="CZ90" s="191"/>
      <c r="DA90" s="193"/>
      <c r="DB90" s="192"/>
      <c r="DC90" s="192"/>
      <c r="DD90" s="192"/>
      <c r="DE90" s="191"/>
      <c r="DF90" s="19"/>
      <c r="DG90" s="192"/>
      <c r="DH90" s="192"/>
      <c r="DI90" s="192"/>
      <c r="DJ90" s="191"/>
      <c r="DK90" s="193"/>
      <c r="DL90" s="192"/>
      <c r="DM90" s="192"/>
      <c r="DN90" s="192"/>
      <c r="DO90" s="191"/>
      <c r="DP90" s="19"/>
      <c r="DQ90" s="192"/>
      <c r="DR90" s="192"/>
      <c r="DS90" s="192"/>
      <c r="DT90" s="191"/>
      <c r="DU90" s="193"/>
      <c r="DV90" s="192"/>
      <c r="DW90" s="192"/>
      <c r="DX90" s="192"/>
      <c r="DY90" s="191"/>
      <c r="DZ90" s="19"/>
      <c r="EA90" s="192"/>
      <c r="EB90" s="192"/>
      <c r="EC90" s="192"/>
      <c r="ED90" s="191"/>
      <c r="EE90" s="193"/>
      <c r="EF90" s="192"/>
      <c r="EG90" s="192"/>
      <c r="EH90" s="192"/>
      <c r="EI90" s="191"/>
      <c r="EJ90" s="19"/>
      <c r="EK90" s="192"/>
      <c r="EL90" s="192"/>
      <c r="EM90" s="192"/>
      <c r="EN90" s="191"/>
      <c r="EO90" s="193"/>
      <c r="EP90" s="192"/>
      <c r="EQ90" s="192"/>
      <c r="ER90" s="192"/>
      <c r="ES90" s="191"/>
      <c r="ET90" s="19"/>
      <c r="EU90" s="192"/>
      <c r="EV90" s="192"/>
      <c r="EW90" s="192"/>
      <c r="EX90" s="191"/>
      <c r="EY90" s="193"/>
      <c r="EZ90" s="192"/>
      <c r="FA90" s="192"/>
      <c r="FB90" s="192"/>
      <c r="FC90" s="191"/>
      <c r="FL90" s="273">
        <f t="shared" ca="1" si="5"/>
        <v>116</v>
      </c>
    </row>
    <row r="91" spans="1:168" ht="16.5" thickBot="1">
      <c r="A91" s="199">
        <v>88</v>
      </c>
      <c r="B91" s="306"/>
      <c r="C91" s="310"/>
      <c r="D91" s="307" t="s">
        <v>271</v>
      </c>
      <c r="E91" s="307" t="s">
        <v>271</v>
      </c>
      <c r="F91" s="308"/>
      <c r="G91" s="343" t="str">
        <f t="shared" si="3"/>
        <v xml:space="preserve"> </v>
      </c>
      <c r="H91" s="307"/>
      <c r="I91" s="309" t="e">
        <f t="shared" si="4"/>
        <v>#N/A</v>
      </c>
      <c r="J91" s="307"/>
      <c r="K91" s="307"/>
      <c r="L91" s="310"/>
      <c r="M91" s="310"/>
      <c r="N91" s="310"/>
      <c r="O91" s="310"/>
      <c r="P91" s="310"/>
      <c r="Q91" s="310"/>
      <c r="R91" s="310"/>
      <c r="S91" s="310"/>
      <c r="T91" s="310"/>
      <c r="U91" s="307"/>
      <c r="V91" s="307"/>
      <c r="W91" s="311"/>
      <c r="X91" s="307"/>
      <c r="Y91" s="307"/>
      <c r="Z91" s="307"/>
      <c r="AA91" s="307"/>
      <c r="AB91" s="311"/>
      <c r="AC91" s="307"/>
      <c r="AD91" s="307"/>
      <c r="AE91" s="307"/>
      <c r="AF91" s="307"/>
      <c r="AG91" s="310"/>
      <c r="AH91" s="307"/>
      <c r="AI91" s="310"/>
      <c r="AJ91" s="307"/>
      <c r="AK91" s="307"/>
      <c r="AL91" s="307"/>
      <c r="AM91" s="308"/>
      <c r="AN91" s="311"/>
      <c r="AO91" s="307"/>
      <c r="AP91" s="307"/>
      <c r="AQ91" s="308"/>
      <c r="AR91" s="307"/>
      <c r="AS91" s="307"/>
      <c r="AT91" s="307"/>
      <c r="AU91" s="310"/>
      <c r="AV91" s="308"/>
      <c r="AW91" s="312"/>
      <c r="AX91" s="308"/>
      <c r="AY91" s="307"/>
      <c r="AZ91" s="307"/>
      <c r="BA91" s="307"/>
      <c r="BB91" s="307"/>
      <c r="BC91" s="308"/>
      <c r="BD91" s="308"/>
      <c r="BE91" s="313"/>
      <c r="BF91" s="307"/>
      <c r="BG91" s="310"/>
      <c r="BH91" s="307"/>
      <c r="BI91" s="307"/>
      <c r="BJ91" s="310"/>
      <c r="BK91" s="307"/>
      <c r="BL91" s="307"/>
      <c r="BM91" s="310"/>
      <c r="BN91" s="307"/>
      <c r="BO91" s="310"/>
      <c r="BP91" s="307"/>
      <c r="BQ91" s="307"/>
      <c r="BR91" s="307"/>
      <c r="BS91" s="307"/>
      <c r="BT91" s="307"/>
      <c r="BU91" s="310"/>
      <c r="BV91" s="307"/>
      <c r="BW91" s="308"/>
      <c r="BX91" s="311"/>
      <c r="BY91" s="307"/>
      <c r="BZ91" s="307"/>
      <c r="CA91" s="310"/>
      <c r="CB91" s="307"/>
      <c r="CC91" s="307"/>
      <c r="CD91" s="307"/>
      <c r="CE91" s="308"/>
      <c r="CF91" s="308"/>
      <c r="CG91" s="307"/>
      <c r="CH91" s="307"/>
      <c r="CI91" s="307"/>
      <c r="CJ91" s="307"/>
      <c r="CK91" s="314"/>
      <c r="CL91" s="310"/>
      <c r="CM91" s="310"/>
      <c r="CN91" s="307"/>
      <c r="CO91" s="307"/>
      <c r="CP91" s="307"/>
      <c r="CQ91" s="315"/>
      <c r="CR91" s="315"/>
      <c r="CS91" s="315"/>
      <c r="CT91" s="315"/>
      <c r="CU91" s="307"/>
      <c r="CV91" s="217"/>
      <c r="CW91" s="192"/>
      <c r="CX91" s="192"/>
      <c r="CY91" s="192"/>
      <c r="CZ91" s="191"/>
      <c r="DA91" s="193"/>
      <c r="DB91" s="192"/>
      <c r="DC91" s="192"/>
      <c r="DD91" s="192"/>
      <c r="DE91" s="191"/>
      <c r="DF91" s="19"/>
      <c r="DG91" s="192"/>
      <c r="DH91" s="192"/>
      <c r="DI91" s="192"/>
      <c r="DJ91" s="191"/>
      <c r="DK91" s="193"/>
      <c r="DL91" s="192"/>
      <c r="DM91" s="192"/>
      <c r="DN91" s="192"/>
      <c r="DO91" s="191"/>
      <c r="DP91" s="19"/>
      <c r="DQ91" s="192"/>
      <c r="DR91" s="192"/>
      <c r="DS91" s="192"/>
      <c r="DT91" s="191"/>
      <c r="DU91" s="193"/>
      <c r="DV91" s="192"/>
      <c r="DW91" s="192"/>
      <c r="DX91" s="192"/>
      <c r="DY91" s="191"/>
      <c r="DZ91" s="19"/>
      <c r="EA91" s="192"/>
      <c r="EB91" s="192"/>
      <c r="EC91" s="192"/>
      <c r="ED91" s="191"/>
      <c r="EE91" s="193"/>
      <c r="EF91" s="192"/>
      <c r="EG91" s="192"/>
      <c r="EH91" s="192"/>
      <c r="EI91" s="191"/>
      <c r="EJ91" s="19"/>
      <c r="EK91" s="192"/>
      <c r="EL91" s="192"/>
      <c r="EM91" s="192"/>
      <c r="EN91" s="191"/>
      <c r="EO91" s="193"/>
      <c r="EP91" s="192"/>
      <c r="EQ91" s="192"/>
      <c r="ER91" s="192"/>
      <c r="ES91" s="191"/>
      <c r="ET91" s="19"/>
      <c r="EU91" s="192"/>
      <c r="EV91" s="192"/>
      <c r="EW91" s="192"/>
      <c r="EX91" s="191"/>
      <c r="EY91" s="193"/>
      <c r="EZ91" s="192"/>
      <c r="FA91" s="192"/>
      <c r="FB91" s="192"/>
      <c r="FC91" s="191"/>
      <c r="FL91" s="273">
        <f t="shared" ca="1" si="5"/>
        <v>116</v>
      </c>
    </row>
    <row r="92" spans="1:168" ht="16.5" thickBot="1">
      <c r="A92" s="196">
        <v>89</v>
      </c>
      <c r="B92" s="306"/>
      <c r="C92" s="310"/>
      <c r="D92" s="307" t="s">
        <v>271</v>
      </c>
      <c r="E92" s="307" t="s">
        <v>271</v>
      </c>
      <c r="F92" s="308"/>
      <c r="G92" s="343" t="str">
        <f t="shared" si="3"/>
        <v xml:space="preserve"> </v>
      </c>
      <c r="H92" s="307"/>
      <c r="I92" s="309" t="e">
        <f t="shared" si="4"/>
        <v>#N/A</v>
      </c>
      <c r="J92" s="307"/>
      <c r="K92" s="307"/>
      <c r="L92" s="310"/>
      <c r="M92" s="310"/>
      <c r="N92" s="310"/>
      <c r="O92" s="310"/>
      <c r="P92" s="310"/>
      <c r="Q92" s="310"/>
      <c r="R92" s="310"/>
      <c r="S92" s="310"/>
      <c r="T92" s="310"/>
      <c r="U92" s="307"/>
      <c r="V92" s="307"/>
      <c r="W92" s="311"/>
      <c r="X92" s="307"/>
      <c r="Y92" s="307"/>
      <c r="Z92" s="307"/>
      <c r="AA92" s="307"/>
      <c r="AB92" s="311"/>
      <c r="AC92" s="307"/>
      <c r="AD92" s="307"/>
      <c r="AE92" s="307"/>
      <c r="AF92" s="307"/>
      <c r="AG92" s="310"/>
      <c r="AH92" s="307"/>
      <c r="AI92" s="310"/>
      <c r="AJ92" s="307"/>
      <c r="AK92" s="307"/>
      <c r="AL92" s="307"/>
      <c r="AM92" s="308"/>
      <c r="AN92" s="311"/>
      <c r="AO92" s="307"/>
      <c r="AP92" s="307"/>
      <c r="AQ92" s="308"/>
      <c r="AR92" s="307"/>
      <c r="AS92" s="307"/>
      <c r="AT92" s="307"/>
      <c r="AU92" s="310"/>
      <c r="AV92" s="308"/>
      <c r="AW92" s="312"/>
      <c r="AX92" s="308"/>
      <c r="AY92" s="307"/>
      <c r="AZ92" s="307"/>
      <c r="BA92" s="307"/>
      <c r="BB92" s="307"/>
      <c r="BC92" s="308"/>
      <c r="BD92" s="308"/>
      <c r="BE92" s="313"/>
      <c r="BF92" s="307"/>
      <c r="BG92" s="310"/>
      <c r="BH92" s="307"/>
      <c r="BI92" s="307"/>
      <c r="BJ92" s="310"/>
      <c r="BK92" s="307"/>
      <c r="BL92" s="307"/>
      <c r="BM92" s="310"/>
      <c r="BN92" s="307"/>
      <c r="BO92" s="310"/>
      <c r="BP92" s="307"/>
      <c r="BQ92" s="307"/>
      <c r="BR92" s="307"/>
      <c r="BS92" s="307"/>
      <c r="BT92" s="307"/>
      <c r="BU92" s="310"/>
      <c r="BV92" s="307"/>
      <c r="BW92" s="308"/>
      <c r="BX92" s="311"/>
      <c r="BY92" s="307"/>
      <c r="BZ92" s="307"/>
      <c r="CA92" s="310"/>
      <c r="CB92" s="307"/>
      <c r="CC92" s="307"/>
      <c r="CD92" s="307"/>
      <c r="CE92" s="308"/>
      <c r="CF92" s="308"/>
      <c r="CG92" s="307"/>
      <c r="CH92" s="307"/>
      <c r="CI92" s="307"/>
      <c r="CJ92" s="307"/>
      <c r="CK92" s="314"/>
      <c r="CL92" s="310"/>
      <c r="CM92" s="310"/>
      <c r="CN92" s="307"/>
      <c r="CO92" s="307"/>
      <c r="CP92" s="307"/>
      <c r="CQ92" s="315"/>
      <c r="CR92" s="315"/>
      <c r="CS92" s="315"/>
      <c r="CT92" s="315"/>
      <c r="CU92" s="307"/>
      <c r="CV92" s="217"/>
      <c r="CW92" s="192"/>
      <c r="CX92" s="192"/>
      <c r="CY92" s="192"/>
      <c r="CZ92" s="191"/>
      <c r="DA92" s="193"/>
      <c r="DB92" s="192"/>
      <c r="DC92" s="192"/>
      <c r="DD92" s="192"/>
      <c r="DE92" s="191"/>
      <c r="DF92" s="19"/>
      <c r="DG92" s="192"/>
      <c r="DH92" s="192"/>
      <c r="DI92" s="192"/>
      <c r="DJ92" s="191"/>
      <c r="DK92" s="193"/>
      <c r="DL92" s="192"/>
      <c r="DM92" s="192"/>
      <c r="DN92" s="192"/>
      <c r="DO92" s="191"/>
      <c r="DP92" s="19"/>
      <c r="DQ92" s="192"/>
      <c r="DR92" s="192"/>
      <c r="DS92" s="192"/>
      <c r="DT92" s="191"/>
      <c r="DU92" s="193"/>
      <c r="DV92" s="192"/>
      <c r="DW92" s="192"/>
      <c r="DX92" s="192"/>
      <c r="DY92" s="191"/>
      <c r="DZ92" s="19"/>
      <c r="EA92" s="192"/>
      <c r="EB92" s="192"/>
      <c r="EC92" s="192"/>
      <c r="ED92" s="191"/>
      <c r="EE92" s="193"/>
      <c r="EF92" s="192"/>
      <c r="EG92" s="192"/>
      <c r="EH92" s="192"/>
      <c r="EI92" s="191"/>
      <c r="EJ92" s="19"/>
      <c r="EK92" s="192"/>
      <c r="EL92" s="192"/>
      <c r="EM92" s="192"/>
      <c r="EN92" s="191"/>
      <c r="EO92" s="193"/>
      <c r="EP92" s="192"/>
      <c r="EQ92" s="192"/>
      <c r="ER92" s="192"/>
      <c r="ES92" s="191"/>
      <c r="ET92" s="19"/>
      <c r="EU92" s="192"/>
      <c r="EV92" s="192"/>
      <c r="EW92" s="192"/>
      <c r="EX92" s="191"/>
      <c r="EY92" s="193"/>
      <c r="EZ92" s="192"/>
      <c r="FA92" s="192"/>
      <c r="FB92" s="192"/>
      <c r="FC92" s="191"/>
      <c r="FL92" s="273">
        <f t="shared" ca="1" si="5"/>
        <v>116</v>
      </c>
    </row>
    <row r="93" spans="1:168" ht="16.5" thickBot="1">
      <c r="A93" s="199">
        <v>90</v>
      </c>
      <c r="B93" s="306"/>
      <c r="C93" s="310"/>
      <c r="D93" s="307" t="s">
        <v>271</v>
      </c>
      <c r="E93" s="307" t="s">
        <v>271</v>
      </c>
      <c r="F93" s="308"/>
      <c r="G93" s="343" t="str">
        <f t="shared" si="3"/>
        <v xml:space="preserve"> </v>
      </c>
      <c r="H93" s="307"/>
      <c r="I93" s="309" t="e">
        <f t="shared" si="4"/>
        <v>#N/A</v>
      </c>
      <c r="J93" s="307"/>
      <c r="K93" s="307"/>
      <c r="L93" s="310"/>
      <c r="M93" s="310"/>
      <c r="N93" s="310"/>
      <c r="O93" s="310"/>
      <c r="P93" s="310"/>
      <c r="Q93" s="310"/>
      <c r="R93" s="310"/>
      <c r="S93" s="310"/>
      <c r="T93" s="310"/>
      <c r="U93" s="307"/>
      <c r="V93" s="307"/>
      <c r="W93" s="311"/>
      <c r="X93" s="307"/>
      <c r="Y93" s="307"/>
      <c r="Z93" s="307"/>
      <c r="AA93" s="307"/>
      <c r="AB93" s="311"/>
      <c r="AC93" s="307"/>
      <c r="AD93" s="307"/>
      <c r="AE93" s="307"/>
      <c r="AF93" s="307"/>
      <c r="AG93" s="310"/>
      <c r="AH93" s="307"/>
      <c r="AI93" s="310"/>
      <c r="AJ93" s="307"/>
      <c r="AK93" s="307"/>
      <c r="AL93" s="307"/>
      <c r="AM93" s="308"/>
      <c r="AN93" s="311"/>
      <c r="AO93" s="307"/>
      <c r="AP93" s="307"/>
      <c r="AQ93" s="308"/>
      <c r="AR93" s="307"/>
      <c r="AS93" s="307"/>
      <c r="AT93" s="307"/>
      <c r="AU93" s="310"/>
      <c r="AV93" s="308"/>
      <c r="AW93" s="312"/>
      <c r="AX93" s="308"/>
      <c r="AY93" s="307"/>
      <c r="AZ93" s="307"/>
      <c r="BA93" s="307"/>
      <c r="BB93" s="307"/>
      <c r="BC93" s="308"/>
      <c r="BD93" s="308"/>
      <c r="BE93" s="313"/>
      <c r="BF93" s="307"/>
      <c r="BG93" s="310"/>
      <c r="BH93" s="307"/>
      <c r="BI93" s="307"/>
      <c r="BJ93" s="310"/>
      <c r="BK93" s="307"/>
      <c r="BL93" s="307"/>
      <c r="BM93" s="310"/>
      <c r="BN93" s="307"/>
      <c r="BO93" s="310"/>
      <c r="BP93" s="307"/>
      <c r="BQ93" s="307"/>
      <c r="BR93" s="307"/>
      <c r="BS93" s="307"/>
      <c r="BT93" s="307"/>
      <c r="BU93" s="310"/>
      <c r="BV93" s="307"/>
      <c r="BW93" s="308"/>
      <c r="BX93" s="311"/>
      <c r="BY93" s="307"/>
      <c r="BZ93" s="307"/>
      <c r="CA93" s="310"/>
      <c r="CB93" s="307"/>
      <c r="CC93" s="307"/>
      <c r="CD93" s="307"/>
      <c r="CE93" s="308"/>
      <c r="CF93" s="308"/>
      <c r="CG93" s="307"/>
      <c r="CH93" s="307"/>
      <c r="CI93" s="307"/>
      <c r="CJ93" s="307"/>
      <c r="CK93" s="314"/>
      <c r="CL93" s="310"/>
      <c r="CM93" s="310"/>
      <c r="CN93" s="307"/>
      <c r="CO93" s="307"/>
      <c r="CP93" s="307"/>
      <c r="CQ93" s="315"/>
      <c r="CR93" s="315"/>
      <c r="CS93" s="315"/>
      <c r="CT93" s="315"/>
      <c r="CU93" s="307"/>
      <c r="CV93" s="217"/>
      <c r="CW93" s="192"/>
      <c r="CX93" s="192"/>
      <c r="CY93" s="192"/>
      <c r="CZ93" s="191"/>
      <c r="DA93" s="193"/>
      <c r="DB93" s="192"/>
      <c r="DC93" s="192"/>
      <c r="DD93" s="192"/>
      <c r="DE93" s="191"/>
      <c r="DF93" s="19"/>
      <c r="DG93" s="192"/>
      <c r="DH93" s="192"/>
      <c r="DI93" s="192"/>
      <c r="DJ93" s="191"/>
      <c r="DK93" s="193"/>
      <c r="DL93" s="192"/>
      <c r="DM93" s="192"/>
      <c r="DN93" s="192"/>
      <c r="DO93" s="191"/>
      <c r="DP93" s="19"/>
      <c r="DQ93" s="192"/>
      <c r="DR93" s="192"/>
      <c r="DS93" s="192"/>
      <c r="DT93" s="191"/>
      <c r="DU93" s="193"/>
      <c r="DV93" s="192"/>
      <c r="DW93" s="192"/>
      <c r="DX93" s="192"/>
      <c r="DY93" s="191"/>
      <c r="DZ93" s="19"/>
      <c r="EA93" s="192"/>
      <c r="EB93" s="192"/>
      <c r="EC93" s="192"/>
      <c r="ED93" s="191"/>
      <c r="EE93" s="193"/>
      <c r="EF93" s="192"/>
      <c r="EG93" s="192"/>
      <c r="EH93" s="192"/>
      <c r="EI93" s="191"/>
      <c r="EJ93" s="19"/>
      <c r="EK93" s="192"/>
      <c r="EL93" s="192"/>
      <c r="EM93" s="192"/>
      <c r="EN93" s="191"/>
      <c r="EO93" s="193"/>
      <c r="EP93" s="192"/>
      <c r="EQ93" s="192"/>
      <c r="ER93" s="192"/>
      <c r="ES93" s="191"/>
      <c r="ET93" s="19"/>
      <c r="EU93" s="192"/>
      <c r="EV93" s="192"/>
      <c r="EW93" s="192"/>
      <c r="EX93" s="191"/>
      <c r="EY93" s="193"/>
      <c r="EZ93" s="192"/>
      <c r="FA93" s="192"/>
      <c r="FB93" s="192"/>
      <c r="FC93" s="191"/>
      <c r="FL93" s="273">
        <f t="shared" ca="1" si="5"/>
        <v>116</v>
      </c>
    </row>
    <row r="94" spans="1:168" ht="16.5" thickBot="1">
      <c r="A94" s="196">
        <v>91</v>
      </c>
      <c r="B94" s="306"/>
      <c r="C94" s="310"/>
      <c r="D94" s="307" t="s">
        <v>271</v>
      </c>
      <c r="E94" s="307" t="s">
        <v>271</v>
      </c>
      <c r="F94" s="308"/>
      <c r="G94" s="343" t="str">
        <f t="shared" si="3"/>
        <v xml:space="preserve"> </v>
      </c>
      <c r="H94" s="307"/>
      <c r="I94" s="309" t="e">
        <f t="shared" si="4"/>
        <v>#N/A</v>
      </c>
      <c r="J94" s="307"/>
      <c r="K94" s="307"/>
      <c r="L94" s="310"/>
      <c r="M94" s="310"/>
      <c r="N94" s="310"/>
      <c r="O94" s="310"/>
      <c r="P94" s="310"/>
      <c r="Q94" s="310"/>
      <c r="R94" s="310"/>
      <c r="S94" s="310"/>
      <c r="T94" s="310"/>
      <c r="U94" s="307"/>
      <c r="V94" s="307"/>
      <c r="W94" s="311"/>
      <c r="X94" s="307"/>
      <c r="Y94" s="307"/>
      <c r="Z94" s="307"/>
      <c r="AA94" s="307"/>
      <c r="AB94" s="311"/>
      <c r="AC94" s="307"/>
      <c r="AD94" s="307"/>
      <c r="AE94" s="307"/>
      <c r="AF94" s="307"/>
      <c r="AG94" s="310"/>
      <c r="AH94" s="307"/>
      <c r="AI94" s="310"/>
      <c r="AJ94" s="307"/>
      <c r="AK94" s="307"/>
      <c r="AL94" s="307"/>
      <c r="AM94" s="308"/>
      <c r="AN94" s="311"/>
      <c r="AO94" s="307"/>
      <c r="AP94" s="307"/>
      <c r="AQ94" s="308"/>
      <c r="AR94" s="307"/>
      <c r="AS94" s="307"/>
      <c r="AT94" s="307"/>
      <c r="AU94" s="310"/>
      <c r="AV94" s="308"/>
      <c r="AW94" s="312"/>
      <c r="AX94" s="308"/>
      <c r="AY94" s="307"/>
      <c r="AZ94" s="307"/>
      <c r="BA94" s="307"/>
      <c r="BB94" s="307"/>
      <c r="BC94" s="308"/>
      <c r="BD94" s="308"/>
      <c r="BE94" s="313"/>
      <c r="BF94" s="307"/>
      <c r="BG94" s="310"/>
      <c r="BH94" s="307"/>
      <c r="BI94" s="307"/>
      <c r="BJ94" s="310"/>
      <c r="BK94" s="307"/>
      <c r="BL94" s="307"/>
      <c r="BM94" s="310"/>
      <c r="BN94" s="307"/>
      <c r="BO94" s="310"/>
      <c r="BP94" s="307"/>
      <c r="BQ94" s="307"/>
      <c r="BR94" s="307"/>
      <c r="BS94" s="307"/>
      <c r="BT94" s="307"/>
      <c r="BU94" s="310"/>
      <c r="BV94" s="307"/>
      <c r="BW94" s="308"/>
      <c r="BX94" s="311"/>
      <c r="BY94" s="307"/>
      <c r="BZ94" s="307"/>
      <c r="CA94" s="310"/>
      <c r="CB94" s="307"/>
      <c r="CC94" s="307"/>
      <c r="CD94" s="307"/>
      <c r="CE94" s="308"/>
      <c r="CF94" s="308"/>
      <c r="CG94" s="307"/>
      <c r="CH94" s="307"/>
      <c r="CI94" s="307"/>
      <c r="CJ94" s="307"/>
      <c r="CK94" s="314"/>
      <c r="CL94" s="310"/>
      <c r="CM94" s="310"/>
      <c r="CN94" s="307"/>
      <c r="CO94" s="307"/>
      <c r="CP94" s="307"/>
      <c r="CQ94" s="315"/>
      <c r="CR94" s="315"/>
      <c r="CS94" s="315"/>
      <c r="CT94" s="315"/>
      <c r="CU94" s="307"/>
      <c r="CV94" s="217"/>
      <c r="CW94" s="192"/>
      <c r="CX94" s="192"/>
      <c r="CY94" s="192"/>
      <c r="CZ94" s="191"/>
      <c r="DA94" s="193"/>
      <c r="DB94" s="192"/>
      <c r="DC94" s="192"/>
      <c r="DD94" s="192"/>
      <c r="DE94" s="191"/>
      <c r="DF94" s="19"/>
      <c r="DG94" s="192"/>
      <c r="DH94" s="192"/>
      <c r="DI94" s="192"/>
      <c r="DJ94" s="191"/>
      <c r="DK94" s="193"/>
      <c r="DL94" s="192"/>
      <c r="DM94" s="192"/>
      <c r="DN94" s="192"/>
      <c r="DO94" s="191"/>
      <c r="DP94" s="19"/>
      <c r="DQ94" s="192"/>
      <c r="DR94" s="192"/>
      <c r="DS94" s="192"/>
      <c r="DT94" s="191"/>
      <c r="DU94" s="193"/>
      <c r="DV94" s="192"/>
      <c r="DW94" s="192"/>
      <c r="DX94" s="192"/>
      <c r="DY94" s="191"/>
      <c r="DZ94" s="19"/>
      <c r="EA94" s="192"/>
      <c r="EB94" s="192"/>
      <c r="EC94" s="192"/>
      <c r="ED94" s="191"/>
      <c r="EE94" s="193"/>
      <c r="EF94" s="192"/>
      <c r="EG94" s="192"/>
      <c r="EH94" s="192"/>
      <c r="EI94" s="191"/>
      <c r="EJ94" s="19"/>
      <c r="EK94" s="192"/>
      <c r="EL94" s="192"/>
      <c r="EM94" s="192"/>
      <c r="EN94" s="191"/>
      <c r="EO94" s="193"/>
      <c r="EP94" s="192"/>
      <c r="EQ94" s="192"/>
      <c r="ER94" s="192"/>
      <c r="ES94" s="191"/>
      <c r="ET94" s="19"/>
      <c r="EU94" s="192"/>
      <c r="EV94" s="192"/>
      <c r="EW94" s="192"/>
      <c r="EX94" s="191"/>
      <c r="EY94" s="193"/>
      <c r="EZ94" s="192"/>
      <c r="FA94" s="192"/>
      <c r="FB94" s="192"/>
      <c r="FC94" s="191"/>
      <c r="FL94" s="273">
        <f t="shared" ca="1" si="5"/>
        <v>116</v>
      </c>
    </row>
    <row r="95" spans="1:168" ht="16.5" thickBot="1">
      <c r="A95" s="199">
        <v>92</v>
      </c>
      <c r="B95" s="306"/>
      <c r="C95" s="310"/>
      <c r="D95" s="307" t="s">
        <v>271</v>
      </c>
      <c r="E95" s="307" t="s">
        <v>271</v>
      </c>
      <c r="F95" s="308"/>
      <c r="G95" s="343" t="str">
        <f t="shared" si="3"/>
        <v xml:space="preserve"> </v>
      </c>
      <c r="H95" s="307"/>
      <c r="I95" s="309" t="e">
        <f t="shared" si="4"/>
        <v>#N/A</v>
      </c>
      <c r="J95" s="307"/>
      <c r="K95" s="307"/>
      <c r="L95" s="310"/>
      <c r="M95" s="310"/>
      <c r="N95" s="310"/>
      <c r="O95" s="310"/>
      <c r="P95" s="310"/>
      <c r="Q95" s="310"/>
      <c r="R95" s="310"/>
      <c r="S95" s="310"/>
      <c r="T95" s="310"/>
      <c r="U95" s="307"/>
      <c r="V95" s="307"/>
      <c r="W95" s="311"/>
      <c r="X95" s="307"/>
      <c r="Y95" s="307"/>
      <c r="Z95" s="307"/>
      <c r="AA95" s="307"/>
      <c r="AB95" s="311"/>
      <c r="AC95" s="307"/>
      <c r="AD95" s="307"/>
      <c r="AE95" s="307"/>
      <c r="AF95" s="307"/>
      <c r="AG95" s="310"/>
      <c r="AH95" s="307"/>
      <c r="AI95" s="310"/>
      <c r="AJ95" s="307"/>
      <c r="AK95" s="307"/>
      <c r="AL95" s="307"/>
      <c r="AM95" s="308"/>
      <c r="AN95" s="311"/>
      <c r="AO95" s="307"/>
      <c r="AP95" s="307"/>
      <c r="AQ95" s="308"/>
      <c r="AR95" s="307"/>
      <c r="AS95" s="307"/>
      <c r="AT95" s="307"/>
      <c r="AU95" s="310"/>
      <c r="AV95" s="308"/>
      <c r="AW95" s="312"/>
      <c r="AX95" s="308"/>
      <c r="AY95" s="307"/>
      <c r="AZ95" s="307"/>
      <c r="BA95" s="307"/>
      <c r="BB95" s="307"/>
      <c r="BC95" s="308"/>
      <c r="BD95" s="308"/>
      <c r="BE95" s="313"/>
      <c r="BF95" s="307"/>
      <c r="BG95" s="310"/>
      <c r="BH95" s="307"/>
      <c r="BI95" s="307"/>
      <c r="BJ95" s="310"/>
      <c r="BK95" s="307"/>
      <c r="BL95" s="307"/>
      <c r="BM95" s="310"/>
      <c r="BN95" s="307"/>
      <c r="BO95" s="310"/>
      <c r="BP95" s="307"/>
      <c r="BQ95" s="307"/>
      <c r="BR95" s="307"/>
      <c r="BS95" s="307"/>
      <c r="BT95" s="307"/>
      <c r="BU95" s="310"/>
      <c r="BV95" s="307"/>
      <c r="BW95" s="308"/>
      <c r="BX95" s="311"/>
      <c r="BY95" s="307"/>
      <c r="BZ95" s="307"/>
      <c r="CA95" s="310"/>
      <c r="CB95" s="307"/>
      <c r="CC95" s="307"/>
      <c r="CD95" s="307"/>
      <c r="CE95" s="308"/>
      <c r="CF95" s="308"/>
      <c r="CG95" s="307"/>
      <c r="CH95" s="307"/>
      <c r="CI95" s="307"/>
      <c r="CJ95" s="307"/>
      <c r="CK95" s="314"/>
      <c r="CL95" s="310"/>
      <c r="CM95" s="310"/>
      <c r="CN95" s="307"/>
      <c r="CO95" s="307"/>
      <c r="CP95" s="307"/>
      <c r="CQ95" s="315"/>
      <c r="CR95" s="315"/>
      <c r="CS95" s="315"/>
      <c r="CT95" s="315"/>
      <c r="CU95" s="307"/>
      <c r="CV95" s="217"/>
      <c r="CW95" s="192"/>
      <c r="CX95" s="192"/>
      <c r="CY95" s="192"/>
      <c r="CZ95" s="191"/>
      <c r="DA95" s="193"/>
      <c r="DB95" s="192"/>
      <c r="DC95" s="192"/>
      <c r="DD95" s="192"/>
      <c r="DE95" s="191"/>
      <c r="DF95" s="19"/>
      <c r="DG95" s="192"/>
      <c r="DH95" s="192"/>
      <c r="DI95" s="192"/>
      <c r="DJ95" s="191"/>
      <c r="DK95" s="193"/>
      <c r="DL95" s="192"/>
      <c r="DM95" s="192"/>
      <c r="DN95" s="192"/>
      <c r="DO95" s="191"/>
      <c r="DP95" s="19"/>
      <c r="DQ95" s="192"/>
      <c r="DR95" s="192"/>
      <c r="DS95" s="192"/>
      <c r="DT95" s="191"/>
      <c r="DU95" s="193"/>
      <c r="DV95" s="192"/>
      <c r="DW95" s="192"/>
      <c r="DX95" s="192"/>
      <c r="DY95" s="191"/>
      <c r="DZ95" s="19"/>
      <c r="EA95" s="192"/>
      <c r="EB95" s="192"/>
      <c r="EC95" s="192"/>
      <c r="ED95" s="191"/>
      <c r="EE95" s="193"/>
      <c r="EF95" s="192"/>
      <c r="EG95" s="192"/>
      <c r="EH95" s="192"/>
      <c r="EI95" s="191"/>
      <c r="EJ95" s="19"/>
      <c r="EK95" s="192"/>
      <c r="EL95" s="192"/>
      <c r="EM95" s="192"/>
      <c r="EN95" s="191"/>
      <c r="EO95" s="193"/>
      <c r="EP95" s="192"/>
      <c r="EQ95" s="192"/>
      <c r="ER95" s="192"/>
      <c r="ES95" s="191"/>
      <c r="ET95" s="19"/>
      <c r="EU95" s="192"/>
      <c r="EV95" s="192"/>
      <c r="EW95" s="192"/>
      <c r="EX95" s="191"/>
      <c r="EY95" s="193"/>
      <c r="EZ95" s="192"/>
      <c r="FA95" s="192"/>
      <c r="FB95" s="192"/>
      <c r="FC95" s="191"/>
      <c r="FL95" s="273">
        <f t="shared" ca="1" si="5"/>
        <v>116</v>
      </c>
    </row>
    <row r="96" spans="1:168" ht="16.5" thickBot="1">
      <c r="A96" s="196">
        <v>93</v>
      </c>
      <c r="B96" s="306"/>
      <c r="C96" s="310"/>
      <c r="D96" s="307" t="s">
        <v>271</v>
      </c>
      <c r="E96" s="307" t="s">
        <v>271</v>
      </c>
      <c r="F96" s="308"/>
      <c r="G96" s="343" t="str">
        <f t="shared" si="3"/>
        <v xml:space="preserve"> </v>
      </c>
      <c r="H96" s="307"/>
      <c r="I96" s="309" t="e">
        <f t="shared" si="4"/>
        <v>#N/A</v>
      </c>
      <c r="J96" s="307"/>
      <c r="K96" s="307"/>
      <c r="L96" s="310"/>
      <c r="M96" s="310"/>
      <c r="N96" s="310"/>
      <c r="O96" s="310"/>
      <c r="P96" s="310"/>
      <c r="Q96" s="310"/>
      <c r="R96" s="310"/>
      <c r="S96" s="310"/>
      <c r="T96" s="310"/>
      <c r="U96" s="307"/>
      <c r="V96" s="307"/>
      <c r="W96" s="311"/>
      <c r="X96" s="307"/>
      <c r="Y96" s="307"/>
      <c r="Z96" s="307"/>
      <c r="AA96" s="307"/>
      <c r="AB96" s="311"/>
      <c r="AC96" s="307"/>
      <c r="AD96" s="307"/>
      <c r="AE96" s="307"/>
      <c r="AF96" s="307"/>
      <c r="AG96" s="310"/>
      <c r="AH96" s="307"/>
      <c r="AI96" s="310"/>
      <c r="AJ96" s="307"/>
      <c r="AK96" s="307"/>
      <c r="AL96" s="307"/>
      <c r="AM96" s="308"/>
      <c r="AN96" s="311"/>
      <c r="AO96" s="307"/>
      <c r="AP96" s="307"/>
      <c r="AQ96" s="308"/>
      <c r="AR96" s="307"/>
      <c r="AS96" s="307"/>
      <c r="AT96" s="307"/>
      <c r="AU96" s="310"/>
      <c r="AV96" s="308"/>
      <c r="AW96" s="312"/>
      <c r="AX96" s="308"/>
      <c r="AY96" s="307"/>
      <c r="AZ96" s="307"/>
      <c r="BA96" s="307"/>
      <c r="BB96" s="307"/>
      <c r="BC96" s="308"/>
      <c r="BD96" s="308"/>
      <c r="BE96" s="313"/>
      <c r="BF96" s="307"/>
      <c r="BG96" s="310"/>
      <c r="BH96" s="307"/>
      <c r="BI96" s="307"/>
      <c r="BJ96" s="310"/>
      <c r="BK96" s="307"/>
      <c r="BL96" s="307"/>
      <c r="BM96" s="310"/>
      <c r="BN96" s="307"/>
      <c r="BO96" s="310"/>
      <c r="BP96" s="307"/>
      <c r="BQ96" s="307"/>
      <c r="BR96" s="307"/>
      <c r="BS96" s="307"/>
      <c r="BT96" s="307"/>
      <c r="BU96" s="310"/>
      <c r="BV96" s="307"/>
      <c r="BW96" s="308"/>
      <c r="BX96" s="311"/>
      <c r="BY96" s="307"/>
      <c r="BZ96" s="307"/>
      <c r="CA96" s="310"/>
      <c r="CB96" s="307"/>
      <c r="CC96" s="307"/>
      <c r="CD96" s="307"/>
      <c r="CE96" s="308"/>
      <c r="CF96" s="308"/>
      <c r="CG96" s="307"/>
      <c r="CH96" s="307"/>
      <c r="CI96" s="307"/>
      <c r="CJ96" s="307"/>
      <c r="CK96" s="314"/>
      <c r="CL96" s="310"/>
      <c r="CM96" s="310"/>
      <c r="CN96" s="307"/>
      <c r="CO96" s="307"/>
      <c r="CP96" s="307"/>
      <c r="CQ96" s="315"/>
      <c r="CR96" s="315"/>
      <c r="CS96" s="315"/>
      <c r="CT96" s="315"/>
      <c r="CU96" s="307"/>
      <c r="CV96" s="217"/>
      <c r="CW96" s="192"/>
      <c r="CX96" s="192"/>
      <c r="CY96" s="192"/>
      <c r="CZ96" s="191"/>
      <c r="DA96" s="193"/>
      <c r="DB96" s="192"/>
      <c r="DC96" s="192"/>
      <c r="DD96" s="192"/>
      <c r="DE96" s="191"/>
      <c r="DF96" s="19"/>
      <c r="DG96" s="192"/>
      <c r="DH96" s="192"/>
      <c r="DI96" s="192"/>
      <c r="DJ96" s="191"/>
      <c r="DK96" s="193"/>
      <c r="DL96" s="192"/>
      <c r="DM96" s="192"/>
      <c r="DN96" s="192"/>
      <c r="DO96" s="191"/>
      <c r="DP96" s="19"/>
      <c r="DQ96" s="192"/>
      <c r="DR96" s="192"/>
      <c r="DS96" s="192"/>
      <c r="DT96" s="191"/>
      <c r="DU96" s="193"/>
      <c r="DV96" s="192"/>
      <c r="DW96" s="192"/>
      <c r="DX96" s="192"/>
      <c r="DY96" s="191"/>
      <c r="DZ96" s="19"/>
      <c r="EA96" s="192"/>
      <c r="EB96" s="192"/>
      <c r="EC96" s="192"/>
      <c r="ED96" s="191"/>
      <c r="EE96" s="193"/>
      <c r="EF96" s="192"/>
      <c r="EG96" s="192"/>
      <c r="EH96" s="192"/>
      <c r="EI96" s="191"/>
      <c r="EJ96" s="19"/>
      <c r="EK96" s="192"/>
      <c r="EL96" s="192"/>
      <c r="EM96" s="192"/>
      <c r="EN96" s="191"/>
      <c r="EO96" s="193"/>
      <c r="EP96" s="192"/>
      <c r="EQ96" s="192"/>
      <c r="ER96" s="192"/>
      <c r="ES96" s="191"/>
      <c r="ET96" s="19"/>
      <c r="EU96" s="192"/>
      <c r="EV96" s="192"/>
      <c r="EW96" s="192"/>
      <c r="EX96" s="191"/>
      <c r="EY96" s="193"/>
      <c r="EZ96" s="192"/>
      <c r="FA96" s="192"/>
      <c r="FB96" s="192"/>
      <c r="FC96" s="191"/>
      <c r="FL96" s="273">
        <f t="shared" ca="1" si="5"/>
        <v>116</v>
      </c>
    </row>
    <row r="97" spans="1:168" ht="16.5" thickBot="1">
      <c r="A97" s="199">
        <v>94</v>
      </c>
      <c r="B97" s="306"/>
      <c r="C97" s="310"/>
      <c r="D97" s="307" t="s">
        <v>271</v>
      </c>
      <c r="E97" s="307" t="s">
        <v>271</v>
      </c>
      <c r="F97" s="308"/>
      <c r="G97" s="343" t="str">
        <f t="shared" si="3"/>
        <v xml:space="preserve"> </v>
      </c>
      <c r="H97" s="307"/>
      <c r="I97" s="309" t="e">
        <f t="shared" si="4"/>
        <v>#N/A</v>
      </c>
      <c r="J97" s="307"/>
      <c r="K97" s="307"/>
      <c r="L97" s="310"/>
      <c r="M97" s="310"/>
      <c r="N97" s="310"/>
      <c r="O97" s="310"/>
      <c r="P97" s="310"/>
      <c r="Q97" s="310"/>
      <c r="R97" s="310"/>
      <c r="S97" s="310"/>
      <c r="T97" s="310"/>
      <c r="U97" s="307"/>
      <c r="V97" s="307"/>
      <c r="W97" s="311"/>
      <c r="X97" s="307"/>
      <c r="Y97" s="307"/>
      <c r="Z97" s="307"/>
      <c r="AA97" s="307"/>
      <c r="AB97" s="311"/>
      <c r="AC97" s="307"/>
      <c r="AD97" s="307"/>
      <c r="AE97" s="307"/>
      <c r="AF97" s="307"/>
      <c r="AG97" s="310"/>
      <c r="AH97" s="307"/>
      <c r="AI97" s="310"/>
      <c r="AJ97" s="307"/>
      <c r="AK97" s="307"/>
      <c r="AL97" s="307"/>
      <c r="AM97" s="308"/>
      <c r="AN97" s="311"/>
      <c r="AO97" s="307"/>
      <c r="AP97" s="307"/>
      <c r="AQ97" s="308"/>
      <c r="AR97" s="307"/>
      <c r="AS97" s="307"/>
      <c r="AT97" s="307"/>
      <c r="AU97" s="310"/>
      <c r="AV97" s="308"/>
      <c r="AW97" s="312"/>
      <c r="AX97" s="308"/>
      <c r="AY97" s="307"/>
      <c r="AZ97" s="307"/>
      <c r="BA97" s="307"/>
      <c r="BB97" s="307"/>
      <c r="BC97" s="308"/>
      <c r="BD97" s="308"/>
      <c r="BE97" s="313"/>
      <c r="BF97" s="307"/>
      <c r="BG97" s="310"/>
      <c r="BH97" s="307"/>
      <c r="BI97" s="307"/>
      <c r="BJ97" s="310"/>
      <c r="BK97" s="307"/>
      <c r="BL97" s="307"/>
      <c r="BM97" s="310"/>
      <c r="BN97" s="307"/>
      <c r="BO97" s="310"/>
      <c r="BP97" s="307"/>
      <c r="BQ97" s="307"/>
      <c r="BR97" s="307"/>
      <c r="BS97" s="307"/>
      <c r="BT97" s="307"/>
      <c r="BU97" s="310"/>
      <c r="BV97" s="307"/>
      <c r="BW97" s="308"/>
      <c r="BX97" s="311"/>
      <c r="BY97" s="307"/>
      <c r="BZ97" s="307"/>
      <c r="CA97" s="310"/>
      <c r="CB97" s="307"/>
      <c r="CC97" s="307"/>
      <c r="CD97" s="307"/>
      <c r="CE97" s="308"/>
      <c r="CF97" s="308"/>
      <c r="CG97" s="307"/>
      <c r="CH97" s="307"/>
      <c r="CI97" s="307"/>
      <c r="CJ97" s="307"/>
      <c r="CK97" s="314"/>
      <c r="CL97" s="310"/>
      <c r="CM97" s="310"/>
      <c r="CN97" s="307"/>
      <c r="CO97" s="307"/>
      <c r="CP97" s="307"/>
      <c r="CQ97" s="315"/>
      <c r="CR97" s="315"/>
      <c r="CS97" s="315"/>
      <c r="CT97" s="315"/>
      <c r="CU97" s="307"/>
      <c r="CV97" s="217"/>
      <c r="CW97" s="192"/>
      <c r="CX97" s="192"/>
      <c r="CY97" s="192"/>
      <c r="CZ97" s="191"/>
      <c r="DA97" s="193"/>
      <c r="DB97" s="192"/>
      <c r="DC97" s="192"/>
      <c r="DD97" s="192"/>
      <c r="DE97" s="191"/>
      <c r="DF97" s="19"/>
      <c r="DG97" s="192"/>
      <c r="DH97" s="192"/>
      <c r="DI97" s="192"/>
      <c r="DJ97" s="191"/>
      <c r="DK97" s="193"/>
      <c r="DL97" s="192"/>
      <c r="DM97" s="192"/>
      <c r="DN97" s="192"/>
      <c r="DO97" s="191"/>
      <c r="DP97" s="19"/>
      <c r="DQ97" s="192"/>
      <c r="DR97" s="192"/>
      <c r="DS97" s="192"/>
      <c r="DT97" s="191"/>
      <c r="DU97" s="193"/>
      <c r="DV97" s="192"/>
      <c r="DW97" s="192"/>
      <c r="DX97" s="192"/>
      <c r="DY97" s="191"/>
      <c r="DZ97" s="19"/>
      <c r="EA97" s="192"/>
      <c r="EB97" s="192"/>
      <c r="EC97" s="192"/>
      <c r="ED97" s="191"/>
      <c r="EE97" s="193"/>
      <c r="EF97" s="192"/>
      <c r="EG97" s="192"/>
      <c r="EH97" s="192"/>
      <c r="EI97" s="191"/>
      <c r="EJ97" s="19"/>
      <c r="EK97" s="192"/>
      <c r="EL97" s="192"/>
      <c r="EM97" s="192"/>
      <c r="EN97" s="191"/>
      <c r="EO97" s="193"/>
      <c r="EP97" s="192"/>
      <c r="EQ97" s="192"/>
      <c r="ER97" s="192"/>
      <c r="ES97" s="191"/>
      <c r="ET97" s="19"/>
      <c r="EU97" s="192"/>
      <c r="EV97" s="192"/>
      <c r="EW97" s="192"/>
      <c r="EX97" s="191"/>
      <c r="EY97" s="193"/>
      <c r="EZ97" s="192"/>
      <c r="FA97" s="192"/>
      <c r="FB97" s="192"/>
      <c r="FC97" s="191"/>
      <c r="FL97" s="273">
        <f t="shared" ca="1" si="5"/>
        <v>116</v>
      </c>
    </row>
    <row r="98" spans="1:168" ht="16.5" thickBot="1">
      <c r="A98" s="196">
        <v>95</v>
      </c>
      <c r="B98" s="306"/>
      <c r="C98" s="310"/>
      <c r="D98" s="307" t="s">
        <v>271</v>
      </c>
      <c r="E98" s="307" t="s">
        <v>271</v>
      </c>
      <c r="F98" s="308"/>
      <c r="G98" s="343" t="str">
        <f t="shared" si="3"/>
        <v xml:space="preserve"> </v>
      </c>
      <c r="H98" s="307"/>
      <c r="I98" s="309" t="e">
        <f t="shared" si="4"/>
        <v>#N/A</v>
      </c>
      <c r="J98" s="307"/>
      <c r="K98" s="307"/>
      <c r="L98" s="310"/>
      <c r="M98" s="310"/>
      <c r="N98" s="310"/>
      <c r="O98" s="310"/>
      <c r="P98" s="310"/>
      <c r="Q98" s="310"/>
      <c r="R98" s="310"/>
      <c r="S98" s="310"/>
      <c r="T98" s="310"/>
      <c r="U98" s="307"/>
      <c r="V98" s="307"/>
      <c r="W98" s="311"/>
      <c r="X98" s="307"/>
      <c r="Y98" s="307"/>
      <c r="Z98" s="307"/>
      <c r="AA98" s="307"/>
      <c r="AB98" s="311"/>
      <c r="AC98" s="307"/>
      <c r="AD98" s="307"/>
      <c r="AE98" s="307"/>
      <c r="AF98" s="307"/>
      <c r="AG98" s="310"/>
      <c r="AH98" s="307"/>
      <c r="AI98" s="310"/>
      <c r="AJ98" s="307"/>
      <c r="AK98" s="307"/>
      <c r="AL98" s="307"/>
      <c r="AM98" s="308"/>
      <c r="AN98" s="311"/>
      <c r="AO98" s="307"/>
      <c r="AP98" s="307"/>
      <c r="AQ98" s="308"/>
      <c r="AR98" s="307"/>
      <c r="AS98" s="307"/>
      <c r="AT98" s="307"/>
      <c r="AU98" s="310"/>
      <c r="AV98" s="308"/>
      <c r="AW98" s="312"/>
      <c r="AX98" s="308"/>
      <c r="AY98" s="307"/>
      <c r="AZ98" s="307"/>
      <c r="BA98" s="307"/>
      <c r="BB98" s="307"/>
      <c r="BC98" s="308"/>
      <c r="BD98" s="308"/>
      <c r="BE98" s="313"/>
      <c r="BF98" s="307"/>
      <c r="BG98" s="310"/>
      <c r="BH98" s="307"/>
      <c r="BI98" s="307"/>
      <c r="BJ98" s="310"/>
      <c r="BK98" s="307"/>
      <c r="BL98" s="307"/>
      <c r="BM98" s="310"/>
      <c r="BN98" s="307"/>
      <c r="BO98" s="310"/>
      <c r="BP98" s="307"/>
      <c r="BQ98" s="307"/>
      <c r="BR98" s="307"/>
      <c r="BS98" s="307"/>
      <c r="BT98" s="307"/>
      <c r="BU98" s="310"/>
      <c r="BV98" s="307"/>
      <c r="BW98" s="308"/>
      <c r="BX98" s="311"/>
      <c r="BY98" s="307"/>
      <c r="BZ98" s="307"/>
      <c r="CA98" s="310"/>
      <c r="CB98" s="307"/>
      <c r="CC98" s="307"/>
      <c r="CD98" s="307"/>
      <c r="CE98" s="308"/>
      <c r="CF98" s="308"/>
      <c r="CG98" s="307"/>
      <c r="CH98" s="307"/>
      <c r="CI98" s="307"/>
      <c r="CJ98" s="307"/>
      <c r="CK98" s="314"/>
      <c r="CL98" s="310"/>
      <c r="CM98" s="310"/>
      <c r="CN98" s="307"/>
      <c r="CO98" s="307"/>
      <c r="CP98" s="307"/>
      <c r="CQ98" s="315"/>
      <c r="CR98" s="315"/>
      <c r="CS98" s="315"/>
      <c r="CT98" s="315"/>
      <c r="CU98" s="307"/>
      <c r="CV98" s="217"/>
      <c r="CW98" s="192"/>
      <c r="CX98" s="192"/>
      <c r="CY98" s="192"/>
      <c r="CZ98" s="191"/>
      <c r="DA98" s="193"/>
      <c r="DB98" s="192"/>
      <c r="DC98" s="192"/>
      <c r="DD98" s="192"/>
      <c r="DE98" s="191"/>
      <c r="DF98" s="19"/>
      <c r="DG98" s="192"/>
      <c r="DH98" s="192"/>
      <c r="DI98" s="192"/>
      <c r="DJ98" s="191"/>
      <c r="DK98" s="193"/>
      <c r="DL98" s="192"/>
      <c r="DM98" s="192"/>
      <c r="DN98" s="192"/>
      <c r="DO98" s="191"/>
      <c r="DP98" s="19"/>
      <c r="DQ98" s="192"/>
      <c r="DR98" s="192"/>
      <c r="DS98" s="192"/>
      <c r="DT98" s="191"/>
      <c r="DU98" s="193"/>
      <c r="DV98" s="192"/>
      <c r="DW98" s="192"/>
      <c r="DX98" s="192"/>
      <c r="DY98" s="191"/>
      <c r="DZ98" s="19"/>
      <c r="EA98" s="192"/>
      <c r="EB98" s="192"/>
      <c r="EC98" s="192"/>
      <c r="ED98" s="191"/>
      <c r="EE98" s="193"/>
      <c r="EF98" s="192"/>
      <c r="EG98" s="192"/>
      <c r="EH98" s="192"/>
      <c r="EI98" s="191"/>
      <c r="EJ98" s="19"/>
      <c r="EK98" s="192"/>
      <c r="EL98" s="192"/>
      <c r="EM98" s="192"/>
      <c r="EN98" s="191"/>
      <c r="EO98" s="193"/>
      <c r="EP98" s="192"/>
      <c r="EQ98" s="192"/>
      <c r="ER98" s="192"/>
      <c r="ES98" s="191"/>
      <c r="ET98" s="19"/>
      <c r="EU98" s="192"/>
      <c r="EV98" s="192"/>
      <c r="EW98" s="192"/>
      <c r="EX98" s="191"/>
      <c r="EY98" s="193"/>
      <c r="EZ98" s="192"/>
      <c r="FA98" s="192"/>
      <c r="FB98" s="192"/>
      <c r="FC98" s="191"/>
      <c r="FL98" s="273">
        <f t="shared" ca="1" si="5"/>
        <v>116</v>
      </c>
    </row>
    <row r="99" spans="1:168" ht="16.5" thickBot="1">
      <c r="A99" s="199">
        <v>96</v>
      </c>
      <c r="B99" s="306"/>
      <c r="C99" s="310"/>
      <c r="D99" s="307" t="s">
        <v>271</v>
      </c>
      <c r="E99" s="307" t="s">
        <v>271</v>
      </c>
      <c r="F99" s="308"/>
      <c r="G99" s="343" t="str">
        <f t="shared" si="3"/>
        <v xml:space="preserve"> </v>
      </c>
      <c r="H99" s="307"/>
      <c r="I99" s="309" t="e">
        <f t="shared" si="4"/>
        <v>#N/A</v>
      </c>
      <c r="J99" s="307"/>
      <c r="K99" s="307"/>
      <c r="L99" s="310"/>
      <c r="M99" s="310"/>
      <c r="N99" s="310"/>
      <c r="O99" s="310"/>
      <c r="P99" s="310"/>
      <c r="Q99" s="310"/>
      <c r="R99" s="310"/>
      <c r="S99" s="310"/>
      <c r="T99" s="310"/>
      <c r="U99" s="307"/>
      <c r="V99" s="307"/>
      <c r="W99" s="311"/>
      <c r="X99" s="307"/>
      <c r="Y99" s="307"/>
      <c r="Z99" s="307"/>
      <c r="AA99" s="307"/>
      <c r="AB99" s="311"/>
      <c r="AC99" s="307"/>
      <c r="AD99" s="307"/>
      <c r="AE99" s="307"/>
      <c r="AF99" s="307"/>
      <c r="AG99" s="310"/>
      <c r="AH99" s="307"/>
      <c r="AI99" s="310"/>
      <c r="AJ99" s="307"/>
      <c r="AK99" s="307"/>
      <c r="AL99" s="307"/>
      <c r="AM99" s="308"/>
      <c r="AN99" s="311"/>
      <c r="AO99" s="307"/>
      <c r="AP99" s="307"/>
      <c r="AQ99" s="308"/>
      <c r="AR99" s="307"/>
      <c r="AS99" s="307"/>
      <c r="AT99" s="307"/>
      <c r="AU99" s="310"/>
      <c r="AV99" s="308"/>
      <c r="AW99" s="312"/>
      <c r="AX99" s="308"/>
      <c r="AY99" s="307"/>
      <c r="AZ99" s="307"/>
      <c r="BA99" s="307"/>
      <c r="BB99" s="307"/>
      <c r="BC99" s="308"/>
      <c r="BD99" s="308"/>
      <c r="BE99" s="313"/>
      <c r="BF99" s="307"/>
      <c r="BG99" s="310"/>
      <c r="BH99" s="307"/>
      <c r="BI99" s="307"/>
      <c r="BJ99" s="310"/>
      <c r="BK99" s="307"/>
      <c r="BL99" s="307"/>
      <c r="BM99" s="310"/>
      <c r="BN99" s="307"/>
      <c r="BO99" s="310"/>
      <c r="BP99" s="307"/>
      <c r="BQ99" s="307"/>
      <c r="BR99" s="307"/>
      <c r="BS99" s="307"/>
      <c r="BT99" s="307"/>
      <c r="BU99" s="310"/>
      <c r="BV99" s="307"/>
      <c r="BW99" s="308"/>
      <c r="BX99" s="311"/>
      <c r="BY99" s="307"/>
      <c r="BZ99" s="307"/>
      <c r="CA99" s="310"/>
      <c r="CB99" s="307"/>
      <c r="CC99" s="307"/>
      <c r="CD99" s="307"/>
      <c r="CE99" s="308"/>
      <c r="CF99" s="308"/>
      <c r="CG99" s="307"/>
      <c r="CH99" s="307"/>
      <c r="CI99" s="307"/>
      <c r="CJ99" s="307"/>
      <c r="CK99" s="314"/>
      <c r="CL99" s="310"/>
      <c r="CM99" s="310"/>
      <c r="CN99" s="307"/>
      <c r="CO99" s="307"/>
      <c r="CP99" s="307"/>
      <c r="CQ99" s="315"/>
      <c r="CR99" s="315"/>
      <c r="CS99" s="315"/>
      <c r="CT99" s="315"/>
      <c r="CU99" s="307"/>
      <c r="CV99" s="217"/>
      <c r="CW99" s="192"/>
      <c r="CX99" s="192"/>
      <c r="CY99" s="192"/>
      <c r="CZ99" s="191"/>
      <c r="DA99" s="193"/>
      <c r="DB99" s="192"/>
      <c r="DC99" s="192"/>
      <c r="DD99" s="192"/>
      <c r="DE99" s="191"/>
      <c r="DF99" s="19"/>
      <c r="DG99" s="192"/>
      <c r="DH99" s="192"/>
      <c r="DI99" s="192"/>
      <c r="DJ99" s="191"/>
      <c r="DK99" s="193"/>
      <c r="DL99" s="192"/>
      <c r="DM99" s="192"/>
      <c r="DN99" s="192"/>
      <c r="DO99" s="191"/>
      <c r="DP99" s="19"/>
      <c r="DQ99" s="192"/>
      <c r="DR99" s="192"/>
      <c r="DS99" s="192"/>
      <c r="DT99" s="191"/>
      <c r="DU99" s="193"/>
      <c r="DV99" s="192"/>
      <c r="DW99" s="192"/>
      <c r="DX99" s="192"/>
      <c r="DY99" s="191"/>
      <c r="DZ99" s="19"/>
      <c r="EA99" s="192"/>
      <c r="EB99" s="192"/>
      <c r="EC99" s="192"/>
      <c r="ED99" s="191"/>
      <c r="EE99" s="193"/>
      <c r="EF99" s="192"/>
      <c r="EG99" s="192"/>
      <c r="EH99" s="192"/>
      <c r="EI99" s="191"/>
      <c r="EJ99" s="19"/>
      <c r="EK99" s="192"/>
      <c r="EL99" s="192"/>
      <c r="EM99" s="192"/>
      <c r="EN99" s="191"/>
      <c r="EO99" s="193"/>
      <c r="EP99" s="192"/>
      <c r="EQ99" s="192"/>
      <c r="ER99" s="192"/>
      <c r="ES99" s="191"/>
      <c r="ET99" s="19"/>
      <c r="EU99" s="192"/>
      <c r="EV99" s="192"/>
      <c r="EW99" s="192"/>
      <c r="EX99" s="191"/>
      <c r="EY99" s="193"/>
      <c r="EZ99" s="192"/>
      <c r="FA99" s="192"/>
      <c r="FB99" s="192"/>
      <c r="FC99" s="191"/>
      <c r="FL99" s="273">
        <f t="shared" ca="1" si="5"/>
        <v>116</v>
      </c>
    </row>
    <row r="100" spans="1:168" ht="16.5" thickBot="1">
      <c r="A100" s="196">
        <v>97</v>
      </c>
      <c r="B100" s="306"/>
      <c r="C100" s="310"/>
      <c r="D100" s="307" t="s">
        <v>271</v>
      </c>
      <c r="E100" s="307" t="s">
        <v>271</v>
      </c>
      <c r="F100" s="308"/>
      <c r="G100" s="343" t="str">
        <f t="shared" si="3"/>
        <v xml:space="preserve"> </v>
      </c>
      <c r="H100" s="307"/>
      <c r="I100" s="309" t="e">
        <f t="shared" si="4"/>
        <v>#N/A</v>
      </c>
      <c r="J100" s="307"/>
      <c r="K100" s="307"/>
      <c r="L100" s="310"/>
      <c r="M100" s="310"/>
      <c r="N100" s="310"/>
      <c r="O100" s="310"/>
      <c r="P100" s="310"/>
      <c r="Q100" s="310"/>
      <c r="R100" s="310"/>
      <c r="S100" s="310"/>
      <c r="T100" s="310"/>
      <c r="U100" s="307"/>
      <c r="V100" s="307"/>
      <c r="W100" s="311"/>
      <c r="X100" s="307"/>
      <c r="Y100" s="307"/>
      <c r="Z100" s="307"/>
      <c r="AA100" s="307"/>
      <c r="AB100" s="311"/>
      <c r="AC100" s="307"/>
      <c r="AD100" s="307"/>
      <c r="AE100" s="307"/>
      <c r="AF100" s="307"/>
      <c r="AG100" s="310"/>
      <c r="AH100" s="307"/>
      <c r="AI100" s="310"/>
      <c r="AJ100" s="307"/>
      <c r="AK100" s="307"/>
      <c r="AL100" s="307"/>
      <c r="AM100" s="308"/>
      <c r="AN100" s="311"/>
      <c r="AO100" s="307"/>
      <c r="AP100" s="307"/>
      <c r="AQ100" s="308"/>
      <c r="AR100" s="307"/>
      <c r="AS100" s="307"/>
      <c r="AT100" s="307"/>
      <c r="AU100" s="310"/>
      <c r="AV100" s="308"/>
      <c r="AW100" s="312"/>
      <c r="AX100" s="308"/>
      <c r="AY100" s="307"/>
      <c r="AZ100" s="307"/>
      <c r="BA100" s="307"/>
      <c r="BB100" s="307"/>
      <c r="BC100" s="308"/>
      <c r="BD100" s="308"/>
      <c r="BE100" s="313"/>
      <c r="BF100" s="307"/>
      <c r="BG100" s="310"/>
      <c r="BH100" s="307"/>
      <c r="BI100" s="307"/>
      <c r="BJ100" s="310"/>
      <c r="BK100" s="307"/>
      <c r="BL100" s="307"/>
      <c r="BM100" s="310"/>
      <c r="BN100" s="307"/>
      <c r="BO100" s="310"/>
      <c r="BP100" s="307"/>
      <c r="BQ100" s="307"/>
      <c r="BR100" s="307"/>
      <c r="BS100" s="307"/>
      <c r="BT100" s="307"/>
      <c r="BU100" s="310"/>
      <c r="BV100" s="307"/>
      <c r="BW100" s="308"/>
      <c r="BX100" s="311"/>
      <c r="BY100" s="307"/>
      <c r="BZ100" s="307"/>
      <c r="CA100" s="310"/>
      <c r="CB100" s="307"/>
      <c r="CC100" s="307"/>
      <c r="CD100" s="307"/>
      <c r="CE100" s="308"/>
      <c r="CF100" s="308"/>
      <c r="CG100" s="307"/>
      <c r="CH100" s="307"/>
      <c r="CI100" s="307"/>
      <c r="CJ100" s="307"/>
      <c r="CK100" s="314"/>
      <c r="CL100" s="310"/>
      <c r="CM100" s="310"/>
      <c r="CN100" s="307"/>
      <c r="CO100" s="307"/>
      <c r="CP100" s="307"/>
      <c r="CQ100" s="315"/>
      <c r="CR100" s="315"/>
      <c r="CS100" s="315"/>
      <c r="CT100" s="315"/>
      <c r="CU100" s="307"/>
      <c r="CV100" s="217"/>
      <c r="CW100" s="192"/>
      <c r="CX100" s="192"/>
      <c r="CY100" s="192"/>
      <c r="CZ100" s="191"/>
      <c r="DA100" s="193"/>
      <c r="DB100" s="192"/>
      <c r="DC100" s="192"/>
      <c r="DD100" s="192"/>
      <c r="DE100" s="191"/>
      <c r="DF100" s="19"/>
      <c r="DG100" s="192"/>
      <c r="DH100" s="192"/>
      <c r="DI100" s="192"/>
      <c r="DJ100" s="191"/>
      <c r="DK100" s="193"/>
      <c r="DL100" s="192"/>
      <c r="DM100" s="192"/>
      <c r="DN100" s="192"/>
      <c r="DO100" s="191"/>
      <c r="DP100" s="19"/>
      <c r="DQ100" s="192"/>
      <c r="DR100" s="192"/>
      <c r="DS100" s="192"/>
      <c r="DT100" s="191"/>
      <c r="DU100" s="193"/>
      <c r="DV100" s="192"/>
      <c r="DW100" s="192"/>
      <c r="DX100" s="192"/>
      <c r="DY100" s="191"/>
      <c r="DZ100" s="19"/>
      <c r="EA100" s="192"/>
      <c r="EB100" s="192"/>
      <c r="EC100" s="192"/>
      <c r="ED100" s="191"/>
      <c r="EE100" s="193"/>
      <c r="EF100" s="192"/>
      <c r="EG100" s="192"/>
      <c r="EH100" s="192"/>
      <c r="EI100" s="191"/>
      <c r="EJ100" s="19"/>
      <c r="EK100" s="192"/>
      <c r="EL100" s="192"/>
      <c r="EM100" s="192"/>
      <c r="EN100" s="191"/>
      <c r="EO100" s="193"/>
      <c r="EP100" s="192"/>
      <c r="EQ100" s="192"/>
      <c r="ER100" s="192"/>
      <c r="ES100" s="191"/>
      <c r="ET100" s="19"/>
      <c r="EU100" s="192"/>
      <c r="EV100" s="192"/>
      <c r="EW100" s="192"/>
      <c r="EX100" s="191"/>
      <c r="EY100" s="193"/>
      <c r="EZ100" s="192"/>
      <c r="FA100" s="192"/>
      <c r="FB100" s="192"/>
      <c r="FC100" s="191"/>
      <c r="FL100" s="273">
        <f t="shared" ca="1" si="5"/>
        <v>116</v>
      </c>
    </row>
    <row r="101" spans="1:168" ht="16.5" thickBot="1">
      <c r="A101" s="199">
        <v>98</v>
      </c>
      <c r="B101" s="306"/>
      <c r="C101" s="310"/>
      <c r="D101" s="307" t="s">
        <v>271</v>
      </c>
      <c r="E101" s="307" t="s">
        <v>271</v>
      </c>
      <c r="F101" s="308"/>
      <c r="G101" s="343" t="str">
        <f t="shared" si="3"/>
        <v xml:space="preserve"> </v>
      </c>
      <c r="H101" s="307"/>
      <c r="I101" s="309" t="e">
        <f t="shared" si="4"/>
        <v>#N/A</v>
      </c>
      <c r="J101" s="307"/>
      <c r="K101" s="307"/>
      <c r="L101" s="310"/>
      <c r="M101" s="310"/>
      <c r="N101" s="310"/>
      <c r="O101" s="310"/>
      <c r="P101" s="310"/>
      <c r="Q101" s="310"/>
      <c r="R101" s="310"/>
      <c r="S101" s="310"/>
      <c r="T101" s="310"/>
      <c r="U101" s="307"/>
      <c r="V101" s="307"/>
      <c r="W101" s="311"/>
      <c r="X101" s="307"/>
      <c r="Y101" s="307"/>
      <c r="Z101" s="307"/>
      <c r="AA101" s="307"/>
      <c r="AB101" s="311"/>
      <c r="AC101" s="307"/>
      <c r="AD101" s="307"/>
      <c r="AE101" s="307"/>
      <c r="AF101" s="307"/>
      <c r="AG101" s="310"/>
      <c r="AH101" s="307"/>
      <c r="AI101" s="310"/>
      <c r="AJ101" s="307"/>
      <c r="AK101" s="307"/>
      <c r="AL101" s="307"/>
      <c r="AM101" s="308"/>
      <c r="AN101" s="311"/>
      <c r="AO101" s="307"/>
      <c r="AP101" s="307"/>
      <c r="AQ101" s="308"/>
      <c r="AR101" s="307"/>
      <c r="AS101" s="307"/>
      <c r="AT101" s="307"/>
      <c r="AU101" s="310"/>
      <c r="AV101" s="308"/>
      <c r="AW101" s="312"/>
      <c r="AX101" s="308"/>
      <c r="AY101" s="307"/>
      <c r="AZ101" s="307"/>
      <c r="BA101" s="307"/>
      <c r="BB101" s="307"/>
      <c r="BC101" s="308"/>
      <c r="BD101" s="308"/>
      <c r="BE101" s="313"/>
      <c r="BF101" s="307"/>
      <c r="BG101" s="310"/>
      <c r="BH101" s="307"/>
      <c r="BI101" s="307"/>
      <c r="BJ101" s="310"/>
      <c r="BK101" s="307"/>
      <c r="BL101" s="307"/>
      <c r="BM101" s="310"/>
      <c r="BN101" s="307"/>
      <c r="BO101" s="310"/>
      <c r="BP101" s="307"/>
      <c r="BQ101" s="307"/>
      <c r="BR101" s="307"/>
      <c r="BS101" s="307"/>
      <c r="BT101" s="307"/>
      <c r="BU101" s="310"/>
      <c r="BV101" s="307"/>
      <c r="BW101" s="308"/>
      <c r="BX101" s="311"/>
      <c r="BY101" s="307"/>
      <c r="BZ101" s="307"/>
      <c r="CA101" s="310"/>
      <c r="CB101" s="307"/>
      <c r="CC101" s="307"/>
      <c r="CD101" s="307"/>
      <c r="CE101" s="308"/>
      <c r="CF101" s="308"/>
      <c r="CG101" s="307"/>
      <c r="CH101" s="307"/>
      <c r="CI101" s="307"/>
      <c r="CJ101" s="307"/>
      <c r="CK101" s="314"/>
      <c r="CL101" s="310"/>
      <c r="CM101" s="310"/>
      <c r="CN101" s="307"/>
      <c r="CO101" s="307"/>
      <c r="CP101" s="307"/>
      <c r="CQ101" s="315"/>
      <c r="CR101" s="315"/>
      <c r="CS101" s="315"/>
      <c r="CT101" s="315"/>
      <c r="CU101" s="307"/>
      <c r="CV101" s="217"/>
      <c r="CW101" s="192"/>
      <c r="CX101" s="192"/>
      <c r="CY101" s="192"/>
      <c r="CZ101" s="191"/>
      <c r="DA101" s="193"/>
      <c r="DB101" s="192"/>
      <c r="DC101" s="192"/>
      <c r="DD101" s="192"/>
      <c r="DE101" s="191"/>
      <c r="DF101" s="19"/>
      <c r="DG101" s="192"/>
      <c r="DH101" s="192"/>
      <c r="DI101" s="192"/>
      <c r="DJ101" s="191"/>
      <c r="DK101" s="193"/>
      <c r="DL101" s="192"/>
      <c r="DM101" s="192"/>
      <c r="DN101" s="192"/>
      <c r="DO101" s="191"/>
      <c r="DP101" s="19"/>
      <c r="DQ101" s="192"/>
      <c r="DR101" s="192"/>
      <c r="DS101" s="192"/>
      <c r="DT101" s="191"/>
      <c r="DU101" s="193"/>
      <c r="DV101" s="192"/>
      <c r="DW101" s="192"/>
      <c r="DX101" s="192"/>
      <c r="DY101" s="191"/>
      <c r="DZ101" s="19"/>
      <c r="EA101" s="192"/>
      <c r="EB101" s="192"/>
      <c r="EC101" s="192"/>
      <c r="ED101" s="191"/>
      <c r="EE101" s="193"/>
      <c r="EF101" s="192"/>
      <c r="EG101" s="192"/>
      <c r="EH101" s="192"/>
      <c r="EI101" s="191"/>
      <c r="EJ101" s="19"/>
      <c r="EK101" s="192"/>
      <c r="EL101" s="192"/>
      <c r="EM101" s="192"/>
      <c r="EN101" s="191"/>
      <c r="EO101" s="193"/>
      <c r="EP101" s="192"/>
      <c r="EQ101" s="192"/>
      <c r="ER101" s="192"/>
      <c r="ES101" s="191"/>
      <c r="ET101" s="19"/>
      <c r="EU101" s="192"/>
      <c r="EV101" s="192"/>
      <c r="EW101" s="192"/>
      <c r="EX101" s="191"/>
      <c r="EY101" s="193"/>
      <c r="EZ101" s="192"/>
      <c r="FA101" s="192"/>
      <c r="FB101" s="192"/>
      <c r="FC101" s="191"/>
      <c r="FL101" s="273">
        <f t="shared" ca="1" si="5"/>
        <v>116</v>
      </c>
    </row>
    <row r="102" spans="1:168" ht="16.5" thickBot="1">
      <c r="A102" s="196">
        <v>99</v>
      </c>
      <c r="B102" s="306"/>
      <c r="C102" s="310"/>
      <c r="D102" s="307" t="s">
        <v>271</v>
      </c>
      <c r="E102" s="307" t="s">
        <v>271</v>
      </c>
      <c r="F102" s="308"/>
      <c r="G102" s="343" t="str">
        <f t="shared" si="3"/>
        <v xml:space="preserve"> </v>
      </c>
      <c r="H102" s="307"/>
      <c r="I102" s="309" t="e">
        <f t="shared" si="4"/>
        <v>#N/A</v>
      </c>
      <c r="J102" s="307"/>
      <c r="K102" s="307"/>
      <c r="L102" s="310"/>
      <c r="M102" s="310"/>
      <c r="N102" s="310"/>
      <c r="O102" s="310"/>
      <c r="P102" s="310"/>
      <c r="Q102" s="310"/>
      <c r="R102" s="310"/>
      <c r="S102" s="310"/>
      <c r="T102" s="310"/>
      <c r="U102" s="307"/>
      <c r="V102" s="307"/>
      <c r="W102" s="311"/>
      <c r="X102" s="307"/>
      <c r="Y102" s="307"/>
      <c r="Z102" s="307"/>
      <c r="AA102" s="307"/>
      <c r="AB102" s="311"/>
      <c r="AC102" s="307"/>
      <c r="AD102" s="307"/>
      <c r="AE102" s="307"/>
      <c r="AF102" s="307"/>
      <c r="AG102" s="310"/>
      <c r="AH102" s="307"/>
      <c r="AI102" s="310"/>
      <c r="AJ102" s="307"/>
      <c r="AK102" s="307"/>
      <c r="AL102" s="307"/>
      <c r="AM102" s="308"/>
      <c r="AN102" s="311"/>
      <c r="AO102" s="307"/>
      <c r="AP102" s="307"/>
      <c r="AQ102" s="308"/>
      <c r="AR102" s="307"/>
      <c r="AS102" s="307"/>
      <c r="AT102" s="307"/>
      <c r="AU102" s="310"/>
      <c r="AV102" s="308"/>
      <c r="AW102" s="312"/>
      <c r="AX102" s="308"/>
      <c r="AY102" s="307"/>
      <c r="AZ102" s="307"/>
      <c r="BA102" s="307"/>
      <c r="BB102" s="307"/>
      <c r="BC102" s="308"/>
      <c r="BD102" s="308"/>
      <c r="BE102" s="313"/>
      <c r="BF102" s="307"/>
      <c r="BG102" s="310"/>
      <c r="BH102" s="307"/>
      <c r="BI102" s="307"/>
      <c r="BJ102" s="310"/>
      <c r="BK102" s="307"/>
      <c r="BL102" s="307"/>
      <c r="BM102" s="310"/>
      <c r="BN102" s="307"/>
      <c r="BO102" s="310"/>
      <c r="BP102" s="307"/>
      <c r="BQ102" s="307"/>
      <c r="BR102" s="307"/>
      <c r="BS102" s="307"/>
      <c r="BT102" s="307"/>
      <c r="BU102" s="310"/>
      <c r="BV102" s="307"/>
      <c r="BW102" s="308"/>
      <c r="BX102" s="311"/>
      <c r="BY102" s="307"/>
      <c r="BZ102" s="307"/>
      <c r="CA102" s="310"/>
      <c r="CB102" s="307"/>
      <c r="CC102" s="307"/>
      <c r="CD102" s="307"/>
      <c r="CE102" s="308"/>
      <c r="CF102" s="308"/>
      <c r="CG102" s="307"/>
      <c r="CH102" s="307"/>
      <c r="CI102" s="307"/>
      <c r="CJ102" s="307"/>
      <c r="CK102" s="314"/>
      <c r="CL102" s="310"/>
      <c r="CM102" s="310"/>
      <c r="CN102" s="307"/>
      <c r="CO102" s="307"/>
      <c r="CP102" s="307"/>
      <c r="CQ102" s="315"/>
      <c r="CR102" s="315"/>
      <c r="CS102" s="315"/>
      <c r="CT102" s="315"/>
      <c r="CU102" s="307"/>
      <c r="CV102" s="217"/>
      <c r="CW102" s="192"/>
      <c r="CX102" s="192"/>
      <c r="CY102" s="192"/>
      <c r="CZ102" s="191"/>
      <c r="DA102" s="193"/>
      <c r="DB102" s="192"/>
      <c r="DC102" s="192"/>
      <c r="DD102" s="192"/>
      <c r="DE102" s="191"/>
      <c r="DF102" s="19"/>
      <c r="DG102" s="192"/>
      <c r="DH102" s="192"/>
      <c r="DI102" s="192"/>
      <c r="DJ102" s="191"/>
      <c r="DK102" s="193"/>
      <c r="DL102" s="192"/>
      <c r="DM102" s="192"/>
      <c r="DN102" s="192"/>
      <c r="DO102" s="191"/>
      <c r="DP102" s="19"/>
      <c r="DQ102" s="192"/>
      <c r="DR102" s="192"/>
      <c r="DS102" s="192"/>
      <c r="DT102" s="191"/>
      <c r="DU102" s="193"/>
      <c r="DV102" s="192"/>
      <c r="DW102" s="192"/>
      <c r="DX102" s="192"/>
      <c r="DY102" s="191"/>
      <c r="DZ102" s="19"/>
      <c r="EA102" s="192"/>
      <c r="EB102" s="192"/>
      <c r="EC102" s="192"/>
      <c r="ED102" s="191"/>
      <c r="EE102" s="193"/>
      <c r="EF102" s="192"/>
      <c r="EG102" s="192"/>
      <c r="EH102" s="192"/>
      <c r="EI102" s="191"/>
      <c r="EJ102" s="19"/>
      <c r="EK102" s="192"/>
      <c r="EL102" s="192"/>
      <c r="EM102" s="192"/>
      <c r="EN102" s="191"/>
      <c r="EO102" s="193"/>
      <c r="EP102" s="192"/>
      <c r="EQ102" s="192"/>
      <c r="ER102" s="192"/>
      <c r="ES102" s="191"/>
      <c r="ET102" s="19"/>
      <c r="EU102" s="192"/>
      <c r="EV102" s="192"/>
      <c r="EW102" s="192"/>
      <c r="EX102" s="191"/>
      <c r="EY102" s="193"/>
      <c r="EZ102" s="192"/>
      <c r="FA102" s="192"/>
      <c r="FB102" s="192"/>
      <c r="FC102" s="191"/>
      <c r="FL102" s="273">
        <f t="shared" ca="1" si="5"/>
        <v>116</v>
      </c>
    </row>
    <row r="103" spans="1:168" ht="16.5" thickBot="1">
      <c r="A103" s="199">
        <v>100</v>
      </c>
      <c r="B103" s="306"/>
      <c r="C103" s="310"/>
      <c r="D103" s="307" t="s">
        <v>271</v>
      </c>
      <c r="E103" s="307" t="s">
        <v>271</v>
      </c>
      <c r="F103" s="308"/>
      <c r="G103" s="343" t="str">
        <f t="shared" si="3"/>
        <v xml:space="preserve"> </v>
      </c>
      <c r="H103" s="307"/>
      <c r="I103" s="309" t="e">
        <f t="shared" si="4"/>
        <v>#N/A</v>
      </c>
      <c r="J103" s="307"/>
      <c r="K103" s="307"/>
      <c r="L103" s="310"/>
      <c r="M103" s="310"/>
      <c r="N103" s="310"/>
      <c r="O103" s="310"/>
      <c r="P103" s="310"/>
      <c r="Q103" s="310"/>
      <c r="R103" s="310"/>
      <c r="S103" s="310"/>
      <c r="T103" s="310"/>
      <c r="U103" s="307"/>
      <c r="V103" s="307"/>
      <c r="W103" s="311"/>
      <c r="X103" s="307"/>
      <c r="Y103" s="307"/>
      <c r="Z103" s="307"/>
      <c r="AA103" s="307"/>
      <c r="AB103" s="311"/>
      <c r="AC103" s="307"/>
      <c r="AD103" s="307"/>
      <c r="AE103" s="307"/>
      <c r="AF103" s="307"/>
      <c r="AG103" s="310"/>
      <c r="AH103" s="307"/>
      <c r="AI103" s="310"/>
      <c r="AJ103" s="307"/>
      <c r="AK103" s="307"/>
      <c r="AL103" s="307"/>
      <c r="AM103" s="308"/>
      <c r="AN103" s="311"/>
      <c r="AO103" s="307"/>
      <c r="AP103" s="307"/>
      <c r="AQ103" s="308"/>
      <c r="AR103" s="307"/>
      <c r="AS103" s="307"/>
      <c r="AT103" s="307"/>
      <c r="AU103" s="310"/>
      <c r="AV103" s="308"/>
      <c r="AW103" s="312"/>
      <c r="AX103" s="308"/>
      <c r="AY103" s="307"/>
      <c r="AZ103" s="307"/>
      <c r="BA103" s="307"/>
      <c r="BB103" s="307"/>
      <c r="BC103" s="308"/>
      <c r="BD103" s="308"/>
      <c r="BE103" s="313"/>
      <c r="BF103" s="307"/>
      <c r="BG103" s="310"/>
      <c r="BH103" s="307"/>
      <c r="BI103" s="307"/>
      <c r="BJ103" s="310"/>
      <c r="BK103" s="307"/>
      <c r="BL103" s="307"/>
      <c r="BM103" s="310"/>
      <c r="BN103" s="307"/>
      <c r="BO103" s="310"/>
      <c r="BP103" s="307"/>
      <c r="BQ103" s="307"/>
      <c r="BR103" s="307"/>
      <c r="BS103" s="307"/>
      <c r="BT103" s="307"/>
      <c r="BU103" s="310"/>
      <c r="BV103" s="307"/>
      <c r="BW103" s="308"/>
      <c r="BX103" s="311"/>
      <c r="BY103" s="307"/>
      <c r="BZ103" s="307"/>
      <c r="CA103" s="310"/>
      <c r="CB103" s="307"/>
      <c r="CC103" s="307"/>
      <c r="CD103" s="307"/>
      <c r="CE103" s="308"/>
      <c r="CF103" s="308"/>
      <c r="CG103" s="307"/>
      <c r="CH103" s="307"/>
      <c r="CI103" s="307"/>
      <c r="CJ103" s="307"/>
      <c r="CK103" s="314"/>
      <c r="CL103" s="310"/>
      <c r="CM103" s="310"/>
      <c r="CN103" s="307"/>
      <c r="CO103" s="307"/>
      <c r="CP103" s="307"/>
      <c r="CQ103" s="315"/>
      <c r="CR103" s="315"/>
      <c r="CS103" s="315"/>
      <c r="CT103" s="315"/>
      <c r="CU103" s="307"/>
      <c r="CV103" s="217"/>
      <c r="CW103" s="192"/>
      <c r="CX103" s="192"/>
      <c r="CY103" s="192"/>
      <c r="CZ103" s="191"/>
      <c r="DA103" s="193"/>
      <c r="DB103" s="192"/>
      <c r="DC103" s="192"/>
      <c r="DD103" s="192"/>
      <c r="DE103" s="191"/>
      <c r="DF103" s="19"/>
      <c r="DG103" s="192"/>
      <c r="DH103" s="192"/>
      <c r="DI103" s="192"/>
      <c r="DJ103" s="191"/>
      <c r="DK103" s="193"/>
      <c r="DL103" s="192"/>
      <c r="DM103" s="192"/>
      <c r="DN103" s="192"/>
      <c r="DO103" s="191"/>
      <c r="DP103" s="19"/>
      <c r="DQ103" s="192"/>
      <c r="DR103" s="192"/>
      <c r="DS103" s="192"/>
      <c r="DT103" s="191"/>
      <c r="DU103" s="193"/>
      <c r="DV103" s="192"/>
      <c r="DW103" s="192"/>
      <c r="DX103" s="192"/>
      <c r="DY103" s="191"/>
      <c r="DZ103" s="19"/>
      <c r="EA103" s="192"/>
      <c r="EB103" s="192"/>
      <c r="EC103" s="192"/>
      <c r="ED103" s="191"/>
      <c r="EE103" s="193"/>
      <c r="EF103" s="192"/>
      <c r="EG103" s="192"/>
      <c r="EH103" s="192"/>
      <c r="EI103" s="191"/>
      <c r="EJ103" s="19"/>
      <c r="EK103" s="192"/>
      <c r="EL103" s="192"/>
      <c r="EM103" s="192"/>
      <c r="EN103" s="191"/>
      <c r="EO103" s="193"/>
      <c r="EP103" s="192"/>
      <c r="EQ103" s="192"/>
      <c r="ER103" s="192"/>
      <c r="ES103" s="191"/>
      <c r="ET103" s="19"/>
      <c r="EU103" s="192"/>
      <c r="EV103" s="192"/>
      <c r="EW103" s="192"/>
      <c r="EX103" s="191"/>
      <c r="EY103" s="193"/>
      <c r="EZ103" s="192"/>
      <c r="FA103" s="192"/>
      <c r="FB103" s="192"/>
      <c r="FC103" s="191"/>
      <c r="FL103" s="273">
        <f t="shared" ca="1" si="5"/>
        <v>116</v>
      </c>
    </row>
    <row r="104" spans="1:168" ht="16.5" thickBot="1">
      <c r="A104" s="196">
        <v>101</v>
      </c>
      <c r="B104" s="306"/>
      <c r="C104" s="310"/>
      <c r="D104" s="307" t="s">
        <v>271</v>
      </c>
      <c r="E104" s="307" t="s">
        <v>271</v>
      </c>
      <c r="F104" s="308"/>
      <c r="G104" s="343" t="str">
        <f t="shared" si="3"/>
        <v xml:space="preserve"> </v>
      </c>
      <c r="H104" s="307"/>
      <c r="I104" s="309" t="e">
        <f t="shared" si="4"/>
        <v>#N/A</v>
      </c>
      <c r="J104" s="307"/>
      <c r="K104" s="307"/>
      <c r="L104" s="310"/>
      <c r="M104" s="310"/>
      <c r="N104" s="310"/>
      <c r="O104" s="310"/>
      <c r="P104" s="310"/>
      <c r="Q104" s="310"/>
      <c r="R104" s="310"/>
      <c r="S104" s="310"/>
      <c r="T104" s="310"/>
      <c r="U104" s="307"/>
      <c r="V104" s="307"/>
      <c r="W104" s="311"/>
      <c r="X104" s="307"/>
      <c r="Y104" s="307"/>
      <c r="Z104" s="307"/>
      <c r="AA104" s="307"/>
      <c r="AB104" s="311"/>
      <c r="AC104" s="307"/>
      <c r="AD104" s="307"/>
      <c r="AE104" s="307"/>
      <c r="AF104" s="307"/>
      <c r="AG104" s="310"/>
      <c r="AH104" s="307"/>
      <c r="AI104" s="310"/>
      <c r="AJ104" s="307"/>
      <c r="AK104" s="307"/>
      <c r="AL104" s="307"/>
      <c r="AM104" s="308"/>
      <c r="AN104" s="311"/>
      <c r="AO104" s="307"/>
      <c r="AP104" s="307"/>
      <c r="AQ104" s="308"/>
      <c r="AR104" s="307"/>
      <c r="AS104" s="307"/>
      <c r="AT104" s="307"/>
      <c r="AU104" s="310"/>
      <c r="AV104" s="308"/>
      <c r="AW104" s="312"/>
      <c r="AX104" s="308"/>
      <c r="AY104" s="307"/>
      <c r="AZ104" s="307"/>
      <c r="BA104" s="307"/>
      <c r="BB104" s="307"/>
      <c r="BC104" s="308"/>
      <c r="BD104" s="308"/>
      <c r="BE104" s="313"/>
      <c r="BF104" s="307"/>
      <c r="BG104" s="310"/>
      <c r="BH104" s="307"/>
      <c r="BI104" s="307"/>
      <c r="BJ104" s="310"/>
      <c r="BK104" s="307"/>
      <c r="BL104" s="307"/>
      <c r="BM104" s="310"/>
      <c r="BN104" s="307"/>
      <c r="BO104" s="310"/>
      <c r="BP104" s="307"/>
      <c r="BQ104" s="307"/>
      <c r="BR104" s="307"/>
      <c r="BS104" s="307"/>
      <c r="BT104" s="307"/>
      <c r="BU104" s="310"/>
      <c r="BV104" s="307"/>
      <c r="BW104" s="308"/>
      <c r="BX104" s="311"/>
      <c r="BY104" s="307"/>
      <c r="BZ104" s="307"/>
      <c r="CA104" s="310"/>
      <c r="CB104" s="307"/>
      <c r="CC104" s="307"/>
      <c r="CD104" s="307"/>
      <c r="CE104" s="308"/>
      <c r="CF104" s="308"/>
      <c r="CG104" s="307"/>
      <c r="CH104" s="307"/>
      <c r="CI104" s="307"/>
      <c r="CJ104" s="307"/>
      <c r="CK104" s="314"/>
      <c r="CL104" s="310"/>
      <c r="CM104" s="310"/>
      <c r="CN104" s="307"/>
      <c r="CO104" s="307"/>
      <c r="CP104" s="307"/>
      <c r="CQ104" s="315"/>
      <c r="CR104" s="315"/>
      <c r="CS104" s="315"/>
      <c r="CT104" s="315"/>
      <c r="CU104" s="307"/>
      <c r="CV104" s="217"/>
      <c r="CW104" s="192"/>
      <c r="CX104" s="192"/>
      <c r="CY104" s="192"/>
      <c r="CZ104" s="191"/>
      <c r="DA104" s="193"/>
      <c r="DB104" s="192"/>
      <c r="DC104" s="192"/>
      <c r="DD104" s="192"/>
      <c r="DE104" s="191"/>
      <c r="DF104" s="19"/>
      <c r="DG104" s="192"/>
      <c r="DH104" s="192"/>
      <c r="DI104" s="192"/>
      <c r="DJ104" s="191"/>
      <c r="DK104" s="193"/>
      <c r="DL104" s="192"/>
      <c r="DM104" s="192"/>
      <c r="DN104" s="192"/>
      <c r="DO104" s="191"/>
      <c r="DP104" s="19"/>
      <c r="DQ104" s="192"/>
      <c r="DR104" s="192"/>
      <c r="DS104" s="192"/>
      <c r="DT104" s="191"/>
      <c r="DU104" s="193"/>
      <c r="DV104" s="192"/>
      <c r="DW104" s="192"/>
      <c r="DX104" s="192"/>
      <c r="DY104" s="191"/>
      <c r="DZ104" s="19"/>
      <c r="EA104" s="192"/>
      <c r="EB104" s="192"/>
      <c r="EC104" s="192"/>
      <c r="ED104" s="191"/>
      <c r="EE104" s="193"/>
      <c r="EF104" s="192"/>
      <c r="EG104" s="192"/>
      <c r="EH104" s="192"/>
      <c r="EI104" s="191"/>
      <c r="EJ104" s="19"/>
      <c r="EK104" s="192"/>
      <c r="EL104" s="192"/>
      <c r="EM104" s="192"/>
      <c r="EN104" s="191"/>
      <c r="EO104" s="193"/>
      <c r="EP104" s="192"/>
      <c r="EQ104" s="192"/>
      <c r="ER104" s="192"/>
      <c r="ES104" s="191"/>
      <c r="ET104" s="19"/>
      <c r="EU104" s="192"/>
      <c r="EV104" s="192"/>
      <c r="EW104" s="192"/>
      <c r="EX104" s="191"/>
      <c r="EY104" s="193"/>
      <c r="EZ104" s="192"/>
      <c r="FA104" s="192"/>
      <c r="FB104" s="192"/>
      <c r="FC104" s="191"/>
      <c r="FL104" s="273">
        <f t="shared" ca="1" si="5"/>
        <v>116</v>
      </c>
    </row>
    <row r="105" spans="1:168" ht="16.5" thickBot="1">
      <c r="A105" s="199">
        <v>102</v>
      </c>
      <c r="B105" s="306"/>
      <c r="C105" s="310"/>
      <c r="D105" s="307" t="s">
        <v>271</v>
      </c>
      <c r="E105" s="307" t="s">
        <v>271</v>
      </c>
      <c r="F105" s="308"/>
      <c r="G105" s="343" t="str">
        <f t="shared" si="3"/>
        <v xml:space="preserve"> </v>
      </c>
      <c r="H105" s="307"/>
      <c r="I105" s="309" t="e">
        <f t="shared" si="4"/>
        <v>#N/A</v>
      </c>
      <c r="J105" s="307"/>
      <c r="K105" s="307"/>
      <c r="L105" s="310"/>
      <c r="M105" s="310"/>
      <c r="N105" s="310"/>
      <c r="O105" s="310"/>
      <c r="P105" s="310"/>
      <c r="Q105" s="310"/>
      <c r="R105" s="310"/>
      <c r="S105" s="310"/>
      <c r="T105" s="310"/>
      <c r="U105" s="307"/>
      <c r="V105" s="307"/>
      <c r="W105" s="311"/>
      <c r="X105" s="307"/>
      <c r="Y105" s="307"/>
      <c r="Z105" s="307"/>
      <c r="AA105" s="307"/>
      <c r="AB105" s="311"/>
      <c r="AC105" s="307"/>
      <c r="AD105" s="307"/>
      <c r="AE105" s="307"/>
      <c r="AF105" s="307"/>
      <c r="AG105" s="310"/>
      <c r="AH105" s="307"/>
      <c r="AI105" s="310"/>
      <c r="AJ105" s="307"/>
      <c r="AK105" s="307"/>
      <c r="AL105" s="307"/>
      <c r="AM105" s="308"/>
      <c r="AN105" s="311"/>
      <c r="AO105" s="307"/>
      <c r="AP105" s="307"/>
      <c r="AQ105" s="308"/>
      <c r="AR105" s="307"/>
      <c r="AS105" s="307"/>
      <c r="AT105" s="307"/>
      <c r="AU105" s="310"/>
      <c r="AV105" s="308"/>
      <c r="AW105" s="312"/>
      <c r="AX105" s="308"/>
      <c r="AY105" s="307"/>
      <c r="AZ105" s="307"/>
      <c r="BA105" s="307"/>
      <c r="BB105" s="307"/>
      <c r="BC105" s="308"/>
      <c r="BD105" s="308"/>
      <c r="BE105" s="313"/>
      <c r="BF105" s="307"/>
      <c r="BG105" s="310"/>
      <c r="BH105" s="307"/>
      <c r="BI105" s="307"/>
      <c r="BJ105" s="310"/>
      <c r="BK105" s="307"/>
      <c r="BL105" s="307"/>
      <c r="BM105" s="310"/>
      <c r="BN105" s="307"/>
      <c r="BO105" s="310"/>
      <c r="BP105" s="307"/>
      <c r="BQ105" s="307"/>
      <c r="BR105" s="307"/>
      <c r="BS105" s="307"/>
      <c r="BT105" s="307"/>
      <c r="BU105" s="310"/>
      <c r="BV105" s="307"/>
      <c r="BW105" s="308"/>
      <c r="BX105" s="311"/>
      <c r="BY105" s="307"/>
      <c r="BZ105" s="307"/>
      <c r="CA105" s="310"/>
      <c r="CB105" s="307"/>
      <c r="CC105" s="307"/>
      <c r="CD105" s="307"/>
      <c r="CE105" s="308"/>
      <c r="CF105" s="308"/>
      <c r="CG105" s="307"/>
      <c r="CH105" s="307"/>
      <c r="CI105" s="307"/>
      <c r="CJ105" s="307"/>
      <c r="CK105" s="314"/>
      <c r="CL105" s="310"/>
      <c r="CM105" s="310"/>
      <c r="CN105" s="307"/>
      <c r="CO105" s="307"/>
      <c r="CP105" s="307"/>
      <c r="CQ105" s="315"/>
      <c r="CR105" s="315"/>
      <c r="CS105" s="315"/>
      <c r="CT105" s="315"/>
      <c r="CU105" s="307"/>
      <c r="CV105" s="217"/>
      <c r="CW105" s="192"/>
      <c r="CX105" s="192"/>
      <c r="CY105" s="192"/>
      <c r="CZ105" s="191"/>
      <c r="DA105" s="193"/>
      <c r="DB105" s="192"/>
      <c r="DC105" s="192"/>
      <c r="DD105" s="192"/>
      <c r="DE105" s="191"/>
      <c r="DF105" s="19"/>
      <c r="DG105" s="192"/>
      <c r="DH105" s="192"/>
      <c r="DI105" s="192"/>
      <c r="DJ105" s="191"/>
      <c r="DK105" s="193"/>
      <c r="DL105" s="192"/>
      <c r="DM105" s="192"/>
      <c r="DN105" s="192"/>
      <c r="DO105" s="191"/>
      <c r="DP105" s="19"/>
      <c r="DQ105" s="192"/>
      <c r="DR105" s="192"/>
      <c r="DS105" s="192"/>
      <c r="DT105" s="191"/>
      <c r="DU105" s="193"/>
      <c r="DV105" s="192"/>
      <c r="DW105" s="192"/>
      <c r="DX105" s="192"/>
      <c r="DY105" s="191"/>
      <c r="DZ105" s="19"/>
      <c r="EA105" s="192"/>
      <c r="EB105" s="192"/>
      <c r="EC105" s="192"/>
      <c r="ED105" s="191"/>
      <c r="EE105" s="193"/>
      <c r="EF105" s="192"/>
      <c r="EG105" s="192"/>
      <c r="EH105" s="192"/>
      <c r="EI105" s="191"/>
      <c r="EJ105" s="19"/>
      <c r="EK105" s="192"/>
      <c r="EL105" s="192"/>
      <c r="EM105" s="192"/>
      <c r="EN105" s="191"/>
      <c r="EO105" s="193"/>
      <c r="EP105" s="192"/>
      <c r="EQ105" s="192"/>
      <c r="ER105" s="192"/>
      <c r="ES105" s="191"/>
      <c r="ET105" s="19"/>
      <c r="EU105" s="192"/>
      <c r="EV105" s="192"/>
      <c r="EW105" s="192"/>
      <c r="EX105" s="191"/>
      <c r="EY105" s="193"/>
      <c r="EZ105" s="192"/>
      <c r="FA105" s="192"/>
      <c r="FB105" s="192"/>
      <c r="FC105" s="191"/>
      <c r="FL105" s="273">
        <f t="shared" ca="1" si="5"/>
        <v>116</v>
      </c>
    </row>
    <row r="106" spans="1:168" ht="16.5" thickBot="1">
      <c r="A106" s="196">
        <v>103</v>
      </c>
      <c r="B106" s="306"/>
      <c r="C106" s="310"/>
      <c r="D106" s="307" t="s">
        <v>271</v>
      </c>
      <c r="E106" s="307" t="s">
        <v>271</v>
      </c>
      <c r="F106" s="308"/>
      <c r="G106" s="343" t="str">
        <f t="shared" si="3"/>
        <v xml:space="preserve"> </v>
      </c>
      <c r="H106" s="307"/>
      <c r="I106" s="309" t="e">
        <f t="shared" si="4"/>
        <v>#N/A</v>
      </c>
      <c r="J106" s="307"/>
      <c r="K106" s="307"/>
      <c r="L106" s="310"/>
      <c r="M106" s="310"/>
      <c r="N106" s="310"/>
      <c r="O106" s="310"/>
      <c r="P106" s="310"/>
      <c r="Q106" s="310"/>
      <c r="R106" s="310"/>
      <c r="S106" s="310"/>
      <c r="T106" s="310"/>
      <c r="U106" s="307"/>
      <c r="V106" s="307"/>
      <c r="W106" s="311"/>
      <c r="X106" s="307"/>
      <c r="Y106" s="307"/>
      <c r="Z106" s="307"/>
      <c r="AA106" s="307"/>
      <c r="AB106" s="311"/>
      <c r="AC106" s="307"/>
      <c r="AD106" s="307"/>
      <c r="AE106" s="307"/>
      <c r="AF106" s="307"/>
      <c r="AG106" s="310"/>
      <c r="AH106" s="307"/>
      <c r="AI106" s="310"/>
      <c r="AJ106" s="307"/>
      <c r="AK106" s="307"/>
      <c r="AL106" s="307"/>
      <c r="AM106" s="308"/>
      <c r="AN106" s="311"/>
      <c r="AO106" s="307"/>
      <c r="AP106" s="307"/>
      <c r="AQ106" s="308"/>
      <c r="AR106" s="307"/>
      <c r="AS106" s="307"/>
      <c r="AT106" s="307"/>
      <c r="AU106" s="310"/>
      <c r="AV106" s="308"/>
      <c r="AW106" s="312"/>
      <c r="AX106" s="308"/>
      <c r="AY106" s="307"/>
      <c r="AZ106" s="307"/>
      <c r="BA106" s="307"/>
      <c r="BB106" s="307"/>
      <c r="BC106" s="308"/>
      <c r="BD106" s="308"/>
      <c r="BE106" s="313"/>
      <c r="BF106" s="307"/>
      <c r="BG106" s="310"/>
      <c r="BH106" s="307"/>
      <c r="BI106" s="307"/>
      <c r="BJ106" s="310"/>
      <c r="BK106" s="307"/>
      <c r="BL106" s="307"/>
      <c r="BM106" s="310"/>
      <c r="BN106" s="307"/>
      <c r="BO106" s="310"/>
      <c r="BP106" s="307"/>
      <c r="BQ106" s="307"/>
      <c r="BR106" s="307"/>
      <c r="BS106" s="307"/>
      <c r="BT106" s="307"/>
      <c r="BU106" s="310"/>
      <c r="BV106" s="307"/>
      <c r="BW106" s="308"/>
      <c r="BX106" s="311"/>
      <c r="BY106" s="307"/>
      <c r="BZ106" s="307"/>
      <c r="CA106" s="310"/>
      <c r="CB106" s="307"/>
      <c r="CC106" s="307"/>
      <c r="CD106" s="307"/>
      <c r="CE106" s="308"/>
      <c r="CF106" s="308"/>
      <c r="CG106" s="307"/>
      <c r="CH106" s="307"/>
      <c r="CI106" s="307"/>
      <c r="CJ106" s="307"/>
      <c r="CK106" s="314"/>
      <c r="CL106" s="310"/>
      <c r="CM106" s="310"/>
      <c r="CN106" s="307"/>
      <c r="CO106" s="307"/>
      <c r="CP106" s="307"/>
      <c r="CQ106" s="315"/>
      <c r="CR106" s="315"/>
      <c r="CS106" s="315"/>
      <c r="CT106" s="315"/>
      <c r="CU106" s="307"/>
      <c r="CV106" s="217"/>
      <c r="CW106" s="192"/>
      <c r="CX106" s="192"/>
      <c r="CY106" s="192"/>
      <c r="CZ106" s="191"/>
      <c r="DA106" s="193"/>
      <c r="DB106" s="192"/>
      <c r="DC106" s="192"/>
      <c r="DD106" s="192"/>
      <c r="DE106" s="191"/>
      <c r="DF106" s="19"/>
      <c r="DG106" s="192"/>
      <c r="DH106" s="192"/>
      <c r="DI106" s="192"/>
      <c r="DJ106" s="191"/>
      <c r="DK106" s="193"/>
      <c r="DL106" s="192"/>
      <c r="DM106" s="192"/>
      <c r="DN106" s="192"/>
      <c r="DO106" s="191"/>
      <c r="DP106" s="19"/>
      <c r="DQ106" s="192"/>
      <c r="DR106" s="192"/>
      <c r="DS106" s="192"/>
      <c r="DT106" s="191"/>
      <c r="DU106" s="193"/>
      <c r="DV106" s="192"/>
      <c r="DW106" s="192"/>
      <c r="DX106" s="192"/>
      <c r="DY106" s="191"/>
      <c r="DZ106" s="19"/>
      <c r="EA106" s="192"/>
      <c r="EB106" s="192"/>
      <c r="EC106" s="192"/>
      <c r="ED106" s="191"/>
      <c r="EE106" s="193"/>
      <c r="EF106" s="192"/>
      <c r="EG106" s="192"/>
      <c r="EH106" s="192"/>
      <c r="EI106" s="191"/>
      <c r="EJ106" s="19"/>
      <c r="EK106" s="192"/>
      <c r="EL106" s="192"/>
      <c r="EM106" s="192"/>
      <c r="EN106" s="191"/>
      <c r="EO106" s="193"/>
      <c r="EP106" s="192"/>
      <c r="EQ106" s="192"/>
      <c r="ER106" s="192"/>
      <c r="ES106" s="191"/>
      <c r="ET106" s="19"/>
      <c r="EU106" s="192"/>
      <c r="EV106" s="192"/>
      <c r="EW106" s="192"/>
      <c r="EX106" s="191"/>
      <c r="EY106" s="193"/>
      <c r="EZ106" s="192"/>
      <c r="FA106" s="192"/>
      <c r="FB106" s="192"/>
      <c r="FC106" s="191"/>
      <c r="FL106" s="273">
        <f t="shared" ca="1" si="5"/>
        <v>116</v>
      </c>
    </row>
    <row r="107" spans="1:168" ht="16.5" thickBot="1">
      <c r="A107" s="199">
        <v>104</v>
      </c>
      <c r="B107" s="306"/>
      <c r="C107" s="310"/>
      <c r="D107" s="307" t="s">
        <v>271</v>
      </c>
      <c r="E107" s="307" t="s">
        <v>271</v>
      </c>
      <c r="F107" s="308"/>
      <c r="G107" s="343" t="str">
        <f t="shared" si="3"/>
        <v xml:space="preserve"> </v>
      </c>
      <c r="H107" s="307"/>
      <c r="I107" s="309" t="e">
        <f t="shared" si="4"/>
        <v>#N/A</v>
      </c>
      <c r="J107" s="307"/>
      <c r="K107" s="307"/>
      <c r="L107" s="310"/>
      <c r="M107" s="310"/>
      <c r="N107" s="310"/>
      <c r="O107" s="310"/>
      <c r="P107" s="310"/>
      <c r="Q107" s="310"/>
      <c r="R107" s="310"/>
      <c r="S107" s="310"/>
      <c r="T107" s="310"/>
      <c r="U107" s="307"/>
      <c r="V107" s="307"/>
      <c r="W107" s="311"/>
      <c r="X107" s="307"/>
      <c r="Y107" s="307"/>
      <c r="Z107" s="307"/>
      <c r="AA107" s="307"/>
      <c r="AB107" s="311"/>
      <c r="AC107" s="307"/>
      <c r="AD107" s="307"/>
      <c r="AE107" s="307"/>
      <c r="AF107" s="307"/>
      <c r="AG107" s="310"/>
      <c r="AH107" s="307"/>
      <c r="AI107" s="310"/>
      <c r="AJ107" s="307"/>
      <c r="AK107" s="307"/>
      <c r="AL107" s="307"/>
      <c r="AM107" s="308"/>
      <c r="AN107" s="311"/>
      <c r="AO107" s="307"/>
      <c r="AP107" s="307"/>
      <c r="AQ107" s="308"/>
      <c r="AR107" s="307"/>
      <c r="AS107" s="307"/>
      <c r="AT107" s="307"/>
      <c r="AU107" s="310"/>
      <c r="AV107" s="308"/>
      <c r="AW107" s="312"/>
      <c r="AX107" s="308"/>
      <c r="AY107" s="307"/>
      <c r="AZ107" s="307"/>
      <c r="BA107" s="307"/>
      <c r="BB107" s="307"/>
      <c r="BC107" s="308"/>
      <c r="BD107" s="308"/>
      <c r="BE107" s="313"/>
      <c r="BF107" s="307"/>
      <c r="BG107" s="310"/>
      <c r="BH107" s="307"/>
      <c r="BI107" s="307"/>
      <c r="BJ107" s="310"/>
      <c r="BK107" s="307"/>
      <c r="BL107" s="307"/>
      <c r="BM107" s="310"/>
      <c r="BN107" s="307"/>
      <c r="BO107" s="310"/>
      <c r="BP107" s="307"/>
      <c r="BQ107" s="307"/>
      <c r="BR107" s="307"/>
      <c r="BS107" s="307"/>
      <c r="BT107" s="307"/>
      <c r="BU107" s="310"/>
      <c r="BV107" s="307"/>
      <c r="BW107" s="308"/>
      <c r="BX107" s="311"/>
      <c r="BY107" s="307"/>
      <c r="BZ107" s="307"/>
      <c r="CA107" s="310"/>
      <c r="CB107" s="307"/>
      <c r="CC107" s="307"/>
      <c r="CD107" s="307"/>
      <c r="CE107" s="308"/>
      <c r="CF107" s="308"/>
      <c r="CG107" s="307"/>
      <c r="CH107" s="307"/>
      <c r="CI107" s="307"/>
      <c r="CJ107" s="307"/>
      <c r="CK107" s="314"/>
      <c r="CL107" s="310"/>
      <c r="CM107" s="310"/>
      <c r="CN107" s="307"/>
      <c r="CO107" s="307"/>
      <c r="CP107" s="307"/>
      <c r="CQ107" s="315"/>
      <c r="CR107" s="315"/>
      <c r="CS107" s="315"/>
      <c r="CT107" s="315"/>
      <c r="CU107" s="307"/>
      <c r="CV107" s="217"/>
      <c r="CW107" s="192"/>
      <c r="CX107" s="192"/>
      <c r="CY107" s="192"/>
      <c r="CZ107" s="191"/>
      <c r="DA107" s="193"/>
      <c r="DB107" s="192"/>
      <c r="DC107" s="192"/>
      <c r="DD107" s="192"/>
      <c r="DE107" s="191"/>
      <c r="DF107" s="19"/>
      <c r="DG107" s="192"/>
      <c r="DH107" s="192"/>
      <c r="DI107" s="192"/>
      <c r="DJ107" s="191"/>
      <c r="DK107" s="193"/>
      <c r="DL107" s="192"/>
      <c r="DM107" s="192"/>
      <c r="DN107" s="192"/>
      <c r="DO107" s="191"/>
      <c r="DP107" s="19"/>
      <c r="DQ107" s="192"/>
      <c r="DR107" s="192"/>
      <c r="DS107" s="192"/>
      <c r="DT107" s="191"/>
      <c r="DU107" s="193"/>
      <c r="DV107" s="192"/>
      <c r="DW107" s="192"/>
      <c r="DX107" s="192"/>
      <c r="DY107" s="191"/>
      <c r="DZ107" s="19"/>
      <c r="EA107" s="192"/>
      <c r="EB107" s="192"/>
      <c r="EC107" s="192"/>
      <c r="ED107" s="191"/>
      <c r="EE107" s="193"/>
      <c r="EF107" s="192"/>
      <c r="EG107" s="192"/>
      <c r="EH107" s="192"/>
      <c r="EI107" s="191"/>
      <c r="EJ107" s="19"/>
      <c r="EK107" s="192"/>
      <c r="EL107" s="192"/>
      <c r="EM107" s="192"/>
      <c r="EN107" s="191"/>
      <c r="EO107" s="193"/>
      <c r="EP107" s="192"/>
      <c r="EQ107" s="192"/>
      <c r="ER107" s="192"/>
      <c r="ES107" s="191"/>
      <c r="ET107" s="19"/>
      <c r="EU107" s="192"/>
      <c r="EV107" s="192"/>
      <c r="EW107" s="192"/>
      <c r="EX107" s="191"/>
      <c r="EY107" s="193"/>
      <c r="EZ107" s="192"/>
      <c r="FA107" s="192"/>
      <c r="FB107" s="192"/>
      <c r="FC107" s="191"/>
      <c r="FL107" s="273">
        <f t="shared" ca="1" si="5"/>
        <v>116</v>
      </c>
    </row>
    <row r="108" spans="1:168" ht="16.5" thickBot="1">
      <c r="A108" s="196">
        <v>105</v>
      </c>
      <c r="B108" s="306"/>
      <c r="C108" s="310"/>
      <c r="D108" s="307" t="s">
        <v>271</v>
      </c>
      <c r="E108" s="307" t="s">
        <v>271</v>
      </c>
      <c r="F108" s="308"/>
      <c r="G108" s="343" t="str">
        <f t="shared" si="3"/>
        <v xml:space="preserve"> </v>
      </c>
      <c r="H108" s="307"/>
      <c r="I108" s="309" t="e">
        <f t="shared" si="4"/>
        <v>#N/A</v>
      </c>
      <c r="J108" s="307"/>
      <c r="K108" s="307"/>
      <c r="L108" s="310"/>
      <c r="M108" s="310"/>
      <c r="N108" s="310"/>
      <c r="O108" s="310"/>
      <c r="P108" s="310"/>
      <c r="Q108" s="310"/>
      <c r="R108" s="310"/>
      <c r="S108" s="310"/>
      <c r="T108" s="310"/>
      <c r="U108" s="307"/>
      <c r="V108" s="307"/>
      <c r="W108" s="311"/>
      <c r="X108" s="307"/>
      <c r="Y108" s="307"/>
      <c r="Z108" s="307"/>
      <c r="AA108" s="307"/>
      <c r="AB108" s="311"/>
      <c r="AC108" s="307"/>
      <c r="AD108" s="307"/>
      <c r="AE108" s="307"/>
      <c r="AF108" s="307"/>
      <c r="AG108" s="310"/>
      <c r="AH108" s="307"/>
      <c r="AI108" s="310"/>
      <c r="AJ108" s="307"/>
      <c r="AK108" s="307"/>
      <c r="AL108" s="307"/>
      <c r="AM108" s="308"/>
      <c r="AN108" s="311"/>
      <c r="AO108" s="307"/>
      <c r="AP108" s="307"/>
      <c r="AQ108" s="308"/>
      <c r="AR108" s="307"/>
      <c r="AS108" s="307"/>
      <c r="AT108" s="307"/>
      <c r="AU108" s="310"/>
      <c r="AV108" s="308"/>
      <c r="AW108" s="312"/>
      <c r="AX108" s="308"/>
      <c r="AY108" s="307"/>
      <c r="AZ108" s="307"/>
      <c r="BA108" s="307"/>
      <c r="BB108" s="307"/>
      <c r="BC108" s="308"/>
      <c r="BD108" s="308"/>
      <c r="BE108" s="313"/>
      <c r="BF108" s="307"/>
      <c r="BG108" s="310"/>
      <c r="BH108" s="307"/>
      <c r="BI108" s="307"/>
      <c r="BJ108" s="310"/>
      <c r="BK108" s="307"/>
      <c r="BL108" s="307"/>
      <c r="BM108" s="310"/>
      <c r="BN108" s="307"/>
      <c r="BO108" s="310"/>
      <c r="BP108" s="307"/>
      <c r="BQ108" s="307"/>
      <c r="BR108" s="307"/>
      <c r="BS108" s="307"/>
      <c r="BT108" s="307"/>
      <c r="BU108" s="310"/>
      <c r="BV108" s="307"/>
      <c r="BW108" s="308"/>
      <c r="BX108" s="311"/>
      <c r="BY108" s="307"/>
      <c r="BZ108" s="307"/>
      <c r="CA108" s="310"/>
      <c r="CB108" s="307"/>
      <c r="CC108" s="307"/>
      <c r="CD108" s="307"/>
      <c r="CE108" s="308"/>
      <c r="CF108" s="308"/>
      <c r="CG108" s="307"/>
      <c r="CH108" s="307"/>
      <c r="CI108" s="307"/>
      <c r="CJ108" s="307"/>
      <c r="CK108" s="314"/>
      <c r="CL108" s="310"/>
      <c r="CM108" s="310"/>
      <c r="CN108" s="307"/>
      <c r="CO108" s="307"/>
      <c r="CP108" s="307"/>
      <c r="CQ108" s="315"/>
      <c r="CR108" s="315"/>
      <c r="CS108" s="315"/>
      <c r="CT108" s="315"/>
      <c r="CU108" s="307"/>
      <c r="CV108" s="217"/>
      <c r="CW108" s="192"/>
      <c r="CX108" s="192"/>
      <c r="CY108" s="192"/>
      <c r="CZ108" s="191"/>
      <c r="DA108" s="193"/>
      <c r="DB108" s="192"/>
      <c r="DC108" s="192"/>
      <c r="DD108" s="192"/>
      <c r="DE108" s="191"/>
      <c r="DF108" s="19"/>
      <c r="DG108" s="192"/>
      <c r="DH108" s="192"/>
      <c r="DI108" s="192"/>
      <c r="DJ108" s="191"/>
      <c r="DK108" s="193"/>
      <c r="DL108" s="192"/>
      <c r="DM108" s="192"/>
      <c r="DN108" s="192"/>
      <c r="DO108" s="191"/>
      <c r="DP108" s="19"/>
      <c r="DQ108" s="192"/>
      <c r="DR108" s="192"/>
      <c r="DS108" s="192"/>
      <c r="DT108" s="191"/>
      <c r="DU108" s="193"/>
      <c r="DV108" s="192"/>
      <c r="DW108" s="192"/>
      <c r="DX108" s="192"/>
      <c r="DY108" s="191"/>
      <c r="DZ108" s="19"/>
      <c r="EA108" s="192"/>
      <c r="EB108" s="192"/>
      <c r="EC108" s="192"/>
      <c r="ED108" s="191"/>
      <c r="EE108" s="193"/>
      <c r="EF108" s="192"/>
      <c r="EG108" s="192"/>
      <c r="EH108" s="192"/>
      <c r="EI108" s="191"/>
      <c r="EJ108" s="19"/>
      <c r="EK108" s="192"/>
      <c r="EL108" s="192"/>
      <c r="EM108" s="192"/>
      <c r="EN108" s="191"/>
      <c r="EO108" s="193"/>
      <c r="EP108" s="192"/>
      <c r="EQ108" s="192"/>
      <c r="ER108" s="192"/>
      <c r="ES108" s="191"/>
      <c r="ET108" s="19"/>
      <c r="EU108" s="192"/>
      <c r="EV108" s="192"/>
      <c r="EW108" s="192"/>
      <c r="EX108" s="191"/>
      <c r="EY108" s="193"/>
      <c r="EZ108" s="192"/>
      <c r="FA108" s="192"/>
      <c r="FB108" s="192"/>
      <c r="FC108" s="191"/>
      <c r="FL108" s="273">
        <f t="shared" ca="1" si="5"/>
        <v>116</v>
      </c>
    </row>
    <row r="109" spans="1:168" ht="16.5" thickBot="1">
      <c r="A109" s="199">
        <v>106</v>
      </c>
      <c r="B109" s="306"/>
      <c r="C109" s="310"/>
      <c r="D109" s="307" t="s">
        <v>271</v>
      </c>
      <c r="E109" s="307" t="s">
        <v>271</v>
      </c>
      <c r="F109" s="308"/>
      <c r="G109" s="343" t="str">
        <f t="shared" si="3"/>
        <v xml:space="preserve"> </v>
      </c>
      <c r="H109" s="307"/>
      <c r="I109" s="309" t="e">
        <f t="shared" si="4"/>
        <v>#N/A</v>
      </c>
      <c r="J109" s="307"/>
      <c r="K109" s="307"/>
      <c r="L109" s="310"/>
      <c r="M109" s="310"/>
      <c r="N109" s="310"/>
      <c r="O109" s="310"/>
      <c r="P109" s="310"/>
      <c r="Q109" s="310"/>
      <c r="R109" s="310"/>
      <c r="S109" s="310"/>
      <c r="T109" s="310"/>
      <c r="U109" s="307"/>
      <c r="V109" s="307"/>
      <c r="W109" s="311"/>
      <c r="X109" s="307"/>
      <c r="Y109" s="307"/>
      <c r="Z109" s="307"/>
      <c r="AA109" s="307"/>
      <c r="AB109" s="311"/>
      <c r="AC109" s="307"/>
      <c r="AD109" s="307"/>
      <c r="AE109" s="307"/>
      <c r="AF109" s="307"/>
      <c r="AG109" s="310"/>
      <c r="AH109" s="307"/>
      <c r="AI109" s="310"/>
      <c r="AJ109" s="307"/>
      <c r="AK109" s="307"/>
      <c r="AL109" s="307"/>
      <c r="AM109" s="308"/>
      <c r="AN109" s="311"/>
      <c r="AO109" s="307"/>
      <c r="AP109" s="307"/>
      <c r="AQ109" s="308"/>
      <c r="AR109" s="307"/>
      <c r="AS109" s="307"/>
      <c r="AT109" s="307"/>
      <c r="AU109" s="310"/>
      <c r="AV109" s="308"/>
      <c r="AW109" s="312"/>
      <c r="AX109" s="308"/>
      <c r="AY109" s="307"/>
      <c r="AZ109" s="307"/>
      <c r="BA109" s="307"/>
      <c r="BB109" s="307"/>
      <c r="BC109" s="308"/>
      <c r="BD109" s="308"/>
      <c r="BE109" s="313"/>
      <c r="BF109" s="307"/>
      <c r="BG109" s="310"/>
      <c r="BH109" s="307"/>
      <c r="BI109" s="307"/>
      <c r="BJ109" s="310"/>
      <c r="BK109" s="307"/>
      <c r="BL109" s="307"/>
      <c r="BM109" s="310"/>
      <c r="BN109" s="307"/>
      <c r="BO109" s="310"/>
      <c r="BP109" s="307"/>
      <c r="BQ109" s="307"/>
      <c r="BR109" s="307"/>
      <c r="BS109" s="307"/>
      <c r="BT109" s="307"/>
      <c r="BU109" s="310"/>
      <c r="BV109" s="307"/>
      <c r="BW109" s="308"/>
      <c r="BX109" s="311"/>
      <c r="BY109" s="307"/>
      <c r="BZ109" s="307"/>
      <c r="CA109" s="310"/>
      <c r="CB109" s="307"/>
      <c r="CC109" s="307"/>
      <c r="CD109" s="307"/>
      <c r="CE109" s="308"/>
      <c r="CF109" s="308"/>
      <c r="CG109" s="307"/>
      <c r="CH109" s="307"/>
      <c r="CI109" s="307"/>
      <c r="CJ109" s="307"/>
      <c r="CK109" s="314"/>
      <c r="CL109" s="310"/>
      <c r="CM109" s="310"/>
      <c r="CN109" s="307"/>
      <c r="CO109" s="307"/>
      <c r="CP109" s="307"/>
      <c r="CQ109" s="315"/>
      <c r="CR109" s="315"/>
      <c r="CS109" s="315"/>
      <c r="CT109" s="315"/>
      <c r="CU109" s="307"/>
      <c r="CV109" s="217"/>
      <c r="CW109" s="192"/>
      <c r="CX109" s="192"/>
      <c r="CY109" s="192"/>
      <c r="CZ109" s="191"/>
      <c r="DA109" s="193"/>
      <c r="DB109" s="192"/>
      <c r="DC109" s="192"/>
      <c r="DD109" s="192"/>
      <c r="DE109" s="191"/>
      <c r="DF109" s="19"/>
      <c r="DG109" s="192"/>
      <c r="DH109" s="192"/>
      <c r="DI109" s="192"/>
      <c r="DJ109" s="191"/>
      <c r="DK109" s="193"/>
      <c r="DL109" s="192"/>
      <c r="DM109" s="192"/>
      <c r="DN109" s="192"/>
      <c r="DO109" s="191"/>
      <c r="DP109" s="19"/>
      <c r="DQ109" s="192"/>
      <c r="DR109" s="192"/>
      <c r="DS109" s="192"/>
      <c r="DT109" s="191"/>
      <c r="DU109" s="193"/>
      <c r="DV109" s="192"/>
      <c r="DW109" s="192"/>
      <c r="DX109" s="192"/>
      <c r="DY109" s="191"/>
      <c r="DZ109" s="19"/>
      <c r="EA109" s="192"/>
      <c r="EB109" s="192"/>
      <c r="EC109" s="192"/>
      <c r="ED109" s="191"/>
      <c r="EE109" s="193"/>
      <c r="EF109" s="192"/>
      <c r="EG109" s="192"/>
      <c r="EH109" s="192"/>
      <c r="EI109" s="191"/>
      <c r="EJ109" s="19"/>
      <c r="EK109" s="192"/>
      <c r="EL109" s="192"/>
      <c r="EM109" s="192"/>
      <c r="EN109" s="191"/>
      <c r="EO109" s="193"/>
      <c r="EP109" s="192"/>
      <c r="EQ109" s="192"/>
      <c r="ER109" s="192"/>
      <c r="ES109" s="191"/>
      <c r="ET109" s="19"/>
      <c r="EU109" s="192"/>
      <c r="EV109" s="192"/>
      <c r="EW109" s="192"/>
      <c r="EX109" s="191"/>
      <c r="EY109" s="193"/>
      <c r="EZ109" s="192"/>
      <c r="FA109" s="192"/>
      <c r="FB109" s="192"/>
      <c r="FC109" s="191"/>
      <c r="FL109" s="273">
        <f t="shared" ca="1" si="5"/>
        <v>116</v>
      </c>
    </row>
    <row r="110" spans="1:168" ht="16.5" thickBot="1">
      <c r="A110" s="196">
        <v>107</v>
      </c>
      <c r="B110" s="306"/>
      <c r="C110" s="310"/>
      <c r="D110" s="307" t="s">
        <v>271</v>
      </c>
      <c r="E110" s="307" t="s">
        <v>271</v>
      </c>
      <c r="F110" s="308"/>
      <c r="G110" s="343" t="str">
        <f t="shared" si="3"/>
        <v xml:space="preserve"> </v>
      </c>
      <c r="H110" s="307"/>
      <c r="I110" s="309" t="e">
        <f t="shared" si="4"/>
        <v>#N/A</v>
      </c>
      <c r="J110" s="307"/>
      <c r="K110" s="307"/>
      <c r="L110" s="310"/>
      <c r="M110" s="310"/>
      <c r="N110" s="310"/>
      <c r="O110" s="310"/>
      <c r="P110" s="310"/>
      <c r="Q110" s="310"/>
      <c r="R110" s="310"/>
      <c r="S110" s="310"/>
      <c r="T110" s="310"/>
      <c r="U110" s="307"/>
      <c r="V110" s="307"/>
      <c r="W110" s="311"/>
      <c r="X110" s="307"/>
      <c r="Y110" s="307"/>
      <c r="Z110" s="307"/>
      <c r="AA110" s="307"/>
      <c r="AB110" s="311"/>
      <c r="AC110" s="307"/>
      <c r="AD110" s="307"/>
      <c r="AE110" s="307"/>
      <c r="AF110" s="307"/>
      <c r="AG110" s="310"/>
      <c r="AH110" s="307"/>
      <c r="AI110" s="310"/>
      <c r="AJ110" s="307"/>
      <c r="AK110" s="307"/>
      <c r="AL110" s="307"/>
      <c r="AM110" s="308"/>
      <c r="AN110" s="311"/>
      <c r="AO110" s="307"/>
      <c r="AP110" s="307"/>
      <c r="AQ110" s="308"/>
      <c r="AR110" s="307"/>
      <c r="AS110" s="307"/>
      <c r="AT110" s="307"/>
      <c r="AU110" s="310"/>
      <c r="AV110" s="308"/>
      <c r="AW110" s="312"/>
      <c r="AX110" s="308"/>
      <c r="AY110" s="307"/>
      <c r="AZ110" s="307"/>
      <c r="BA110" s="307"/>
      <c r="BB110" s="307"/>
      <c r="BC110" s="308"/>
      <c r="BD110" s="308"/>
      <c r="BE110" s="313"/>
      <c r="BF110" s="307"/>
      <c r="BG110" s="310"/>
      <c r="BH110" s="307"/>
      <c r="BI110" s="307"/>
      <c r="BJ110" s="310"/>
      <c r="BK110" s="307"/>
      <c r="BL110" s="307"/>
      <c r="BM110" s="310"/>
      <c r="BN110" s="307"/>
      <c r="BO110" s="310"/>
      <c r="BP110" s="307"/>
      <c r="BQ110" s="307"/>
      <c r="BR110" s="307"/>
      <c r="BS110" s="307"/>
      <c r="BT110" s="307"/>
      <c r="BU110" s="310"/>
      <c r="BV110" s="307"/>
      <c r="BW110" s="308"/>
      <c r="BX110" s="311"/>
      <c r="BY110" s="307"/>
      <c r="BZ110" s="307"/>
      <c r="CA110" s="310"/>
      <c r="CB110" s="307"/>
      <c r="CC110" s="307"/>
      <c r="CD110" s="307"/>
      <c r="CE110" s="308"/>
      <c r="CF110" s="308"/>
      <c r="CG110" s="307"/>
      <c r="CH110" s="307"/>
      <c r="CI110" s="307"/>
      <c r="CJ110" s="307"/>
      <c r="CK110" s="314"/>
      <c r="CL110" s="310"/>
      <c r="CM110" s="310"/>
      <c r="CN110" s="307"/>
      <c r="CO110" s="307"/>
      <c r="CP110" s="307"/>
      <c r="CQ110" s="315"/>
      <c r="CR110" s="315"/>
      <c r="CS110" s="315"/>
      <c r="CT110" s="315"/>
      <c r="CU110" s="307"/>
      <c r="CV110" s="217"/>
      <c r="CW110" s="192"/>
      <c r="CX110" s="192"/>
      <c r="CY110" s="192"/>
      <c r="CZ110" s="191"/>
      <c r="DA110" s="193"/>
      <c r="DB110" s="192"/>
      <c r="DC110" s="192"/>
      <c r="DD110" s="192"/>
      <c r="DE110" s="191"/>
      <c r="DF110" s="19"/>
      <c r="DG110" s="192"/>
      <c r="DH110" s="192"/>
      <c r="DI110" s="192"/>
      <c r="DJ110" s="191"/>
      <c r="DK110" s="193"/>
      <c r="DL110" s="192"/>
      <c r="DM110" s="192"/>
      <c r="DN110" s="192"/>
      <c r="DO110" s="191"/>
      <c r="DP110" s="19"/>
      <c r="DQ110" s="192"/>
      <c r="DR110" s="192"/>
      <c r="DS110" s="192"/>
      <c r="DT110" s="191"/>
      <c r="DU110" s="193"/>
      <c r="DV110" s="192"/>
      <c r="DW110" s="192"/>
      <c r="DX110" s="192"/>
      <c r="DY110" s="191"/>
      <c r="DZ110" s="19"/>
      <c r="EA110" s="192"/>
      <c r="EB110" s="192"/>
      <c r="EC110" s="192"/>
      <c r="ED110" s="191"/>
      <c r="EE110" s="193"/>
      <c r="EF110" s="192"/>
      <c r="EG110" s="192"/>
      <c r="EH110" s="192"/>
      <c r="EI110" s="191"/>
      <c r="EJ110" s="19"/>
      <c r="EK110" s="192"/>
      <c r="EL110" s="192"/>
      <c r="EM110" s="192"/>
      <c r="EN110" s="191"/>
      <c r="EO110" s="193"/>
      <c r="EP110" s="192"/>
      <c r="EQ110" s="192"/>
      <c r="ER110" s="192"/>
      <c r="ES110" s="191"/>
      <c r="ET110" s="19"/>
      <c r="EU110" s="192"/>
      <c r="EV110" s="192"/>
      <c r="EW110" s="192"/>
      <c r="EX110" s="191"/>
      <c r="EY110" s="193"/>
      <c r="EZ110" s="192"/>
      <c r="FA110" s="192"/>
      <c r="FB110" s="192"/>
      <c r="FC110" s="191"/>
      <c r="FL110" s="273">
        <f t="shared" ca="1" si="5"/>
        <v>116</v>
      </c>
    </row>
    <row r="111" spans="1:168" ht="16.5" thickBot="1">
      <c r="A111" s="199">
        <v>108</v>
      </c>
      <c r="B111" s="306"/>
      <c r="C111" s="310"/>
      <c r="D111" s="307" t="s">
        <v>271</v>
      </c>
      <c r="E111" s="307" t="s">
        <v>271</v>
      </c>
      <c r="F111" s="308"/>
      <c r="G111" s="343" t="str">
        <f t="shared" si="3"/>
        <v xml:space="preserve"> </v>
      </c>
      <c r="H111" s="307"/>
      <c r="I111" s="309" t="e">
        <f t="shared" si="4"/>
        <v>#N/A</v>
      </c>
      <c r="J111" s="307"/>
      <c r="K111" s="307"/>
      <c r="L111" s="310"/>
      <c r="M111" s="310"/>
      <c r="N111" s="310"/>
      <c r="O111" s="310"/>
      <c r="P111" s="310"/>
      <c r="Q111" s="310"/>
      <c r="R111" s="310"/>
      <c r="S111" s="310"/>
      <c r="T111" s="310"/>
      <c r="U111" s="307"/>
      <c r="V111" s="307"/>
      <c r="W111" s="311"/>
      <c r="X111" s="307"/>
      <c r="Y111" s="307"/>
      <c r="Z111" s="307"/>
      <c r="AA111" s="307"/>
      <c r="AB111" s="311"/>
      <c r="AC111" s="307"/>
      <c r="AD111" s="307"/>
      <c r="AE111" s="307"/>
      <c r="AF111" s="307"/>
      <c r="AG111" s="310"/>
      <c r="AH111" s="307"/>
      <c r="AI111" s="310"/>
      <c r="AJ111" s="307"/>
      <c r="AK111" s="307"/>
      <c r="AL111" s="307"/>
      <c r="AM111" s="308"/>
      <c r="AN111" s="311"/>
      <c r="AO111" s="307"/>
      <c r="AP111" s="307"/>
      <c r="AQ111" s="308"/>
      <c r="AR111" s="307"/>
      <c r="AS111" s="307"/>
      <c r="AT111" s="307"/>
      <c r="AU111" s="310"/>
      <c r="AV111" s="308"/>
      <c r="AW111" s="312"/>
      <c r="AX111" s="308"/>
      <c r="AY111" s="307"/>
      <c r="AZ111" s="307"/>
      <c r="BA111" s="307"/>
      <c r="BB111" s="307"/>
      <c r="BC111" s="308"/>
      <c r="BD111" s="308"/>
      <c r="BE111" s="313"/>
      <c r="BF111" s="307"/>
      <c r="BG111" s="310"/>
      <c r="BH111" s="307"/>
      <c r="BI111" s="307"/>
      <c r="BJ111" s="310"/>
      <c r="BK111" s="307"/>
      <c r="BL111" s="307"/>
      <c r="BM111" s="310"/>
      <c r="BN111" s="307"/>
      <c r="BO111" s="310"/>
      <c r="BP111" s="307"/>
      <c r="BQ111" s="307"/>
      <c r="BR111" s="307"/>
      <c r="BS111" s="307"/>
      <c r="BT111" s="307"/>
      <c r="BU111" s="310"/>
      <c r="BV111" s="307"/>
      <c r="BW111" s="308"/>
      <c r="BX111" s="311"/>
      <c r="BY111" s="307"/>
      <c r="BZ111" s="307"/>
      <c r="CA111" s="310"/>
      <c r="CB111" s="307"/>
      <c r="CC111" s="307"/>
      <c r="CD111" s="307"/>
      <c r="CE111" s="308"/>
      <c r="CF111" s="308"/>
      <c r="CG111" s="307"/>
      <c r="CH111" s="307"/>
      <c r="CI111" s="307"/>
      <c r="CJ111" s="307"/>
      <c r="CK111" s="314"/>
      <c r="CL111" s="310"/>
      <c r="CM111" s="310"/>
      <c r="CN111" s="307"/>
      <c r="CO111" s="307"/>
      <c r="CP111" s="307"/>
      <c r="CQ111" s="315"/>
      <c r="CR111" s="315"/>
      <c r="CS111" s="315"/>
      <c r="CT111" s="315"/>
      <c r="CU111" s="307"/>
      <c r="CV111" s="217"/>
      <c r="CW111" s="192"/>
      <c r="CX111" s="192"/>
      <c r="CY111" s="192"/>
      <c r="CZ111" s="191"/>
      <c r="DA111" s="193"/>
      <c r="DB111" s="192"/>
      <c r="DC111" s="192"/>
      <c r="DD111" s="192"/>
      <c r="DE111" s="191"/>
      <c r="DF111" s="19"/>
      <c r="DG111" s="192"/>
      <c r="DH111" s="192"/>
      <c r="DI111" s="192"/>
      <c r="DJ111" s="191"/>
      <c r="DK111" s="193"/>
      <c r="DL111" s="192"/>
      <c r="DM111" s="192"/>
      <c r="DN111" s="192"/>
      <c r="DO111" s="191"/>
      <c r="DP111" s="19"/>
      <c r="DQ111" s="192"/>
      <c r="DR111" s="192"/>
      <c r="DS111" s="192"/>
      <c r="DT111" s="191"/>
      <c r="DU111" s="193"/>
      <c r="DV111" s="192"/>
      <c r="DW111" s="192"/>
      <c r="DX111" s="192"/>
      <c r="DY111" s="191"/>
      <c r="DZ111" s="19"/>
      <c r="EA111" s="192"/>
      <c r="EB111" s="192"/>
      <c r="EC111" s="192"/>
      <c r="ED111" s="191"/>
      <c r="EE111" s="193"/>
      <c r="EF111" s="192"/>
      <c r="EG111" s="192"/>
      <c r="EH111" s="192"/>
      <c r="EI111" s="191"/>
      <c r="EJ111" s="19"/>
      <c r="EK111" s="192"/>
      <c r="EL111" s="192"/>
      <c r="EM111" s="192"/>
      <c r="EN111" s="191"/>
      <c r="EO111" s="193"/>
      <c r="EP111" s="192"/>
      <c r="EQ111" s="192"/>
      <c r="ER111" s="192"/>
      <c r="ES111" s="191"/>
      <c r="ET111" s="19"/>
      <c r="EU111" s="192"/>
      <c r="EV111" s="192"/>
      <c r="EW111" s="192"/>
      <c r="EX111" s="191"/>
      <c r="EY111" s="193"/>
      <c r="EZ111" s="192"/>
      <c r="FA111" s="192"/>
      <c r="FB111" s="192"/>
      <c r="FC111" s="191"/>
      <c r="FL111" s="273">
        <f t="shared" ca="1" si="5"/>
        <v>116</v>
      </c>
    </row>
    <row r="112" spans="1:168" ht="16.5" thickBot="1">
      <c r="A112" s="196">
        <v>109</v>
      </c>
      <c r="B112" s="306"/>
      <c r="C112" s="310"/>
      <c r="D112" s="307" t="s">
        <v>271</v>
      </c>
      <c r="E112" s="307" t="s">
        <v>271</v>
      </c>
      <c r="F112" s="308"/>
      <c r="G112" s="343" t="str">
        <f t="shared" si="3"/>
        <v xml:space="preserve"> </v>
      </c>
      <c r="H112" s="307"/>
      <c r="I112" s="309" t="e">
        <f t="shared" si="4"/>
        <v>#N/A</v>
      </c>
      <c r="J112" s="307"/>
      <c r="K112" s="307"/>
      <c r="L112" s="310"/>
      <c r="M112" s="310"/>
      <c r="N112" s="310"/>
      <c r="O112" s="310"/>
      <c r="P112" s="310"/>
      <c r="Q112" s="310"/>
      <c r="R112" s="310"/>
      <c r="S112" s="310"/>
      <c r="T112" s="310"/>
      <c r="U112" s="307"/>
      <c r="V112" s="307"/>
      <c r="W112" s="311"/>
      <c r="X112" s="307"/>
      <c r="Y112" s="307"/>
      <c r="Z112" s="307"/>
      <c r="AA112" s="307"/>
      <c r="AB112" s="311"/>
      <c r="AC112" s="307"/>
      <c r="AD112" s="307"/>
      <c r="AE112" s="307"/>
      <c r="AF112" s="307"/>
      <c r="AG112" s="310"/>
      <c r="AH112" s="307"/>
      <c r="AI112" s="310"/>
      <c r="AJ112" s="307"/>
      <c r="AK112" s="307"/>
      <c r="AL112" s="307"/>
      <c r="AM112" s="308"/>
      <c r="AN112" s="311"/>
      <c r="AO112" s="307"/>
      <c r="AP112" s="307"/>
      <c r="AQ112" s="308"/>
      <c r="AR112" s="307"/>
      <c r="AS112" s="307"/>
      <c r="AT112" s="307"/>
      <c r="AU112" s="310"/>
      <c r="AV112" s="308"/>
      <c r="AW112" s="312"/>
      <c r="AX112" s="308"/>
      <c r="AY112" s="307"/>
      <c r="AZ112" s="307"/>
      <c r="BA112" s="307"/>
      <c r="BB112" s="307"/>
      <c r="BC112" s="308"/>
      <c r="BD112" s="308"/>
      <c r="BE112" s="313"/>
      <c r="BF112" s="307"/>
      <c r="BG112" s="310"/>
      <c r="BH112" s="307"/>
      <c r="BI112" s="307"/>
      <c r="BJ112" s="310"/>
      <c r="BK112" s="307"/>
      <c r="BL112" s="307"/>
      <c r="BM112" s="310"/>
      <c r="BN112" s="307"/>
      <c r="BO112" s="310"/>
      <c r="BP112" s="307"/>
      <c r="BQ112" s="307"/>
      <c r="BR112" s="307"/>
      <c r="BS112" s="307"/>
      <c r="BT112" s="307"/>
      <c r="BU112" s="310"/>
      <c r="BV112" s="307"/>
      <c r="BW112" s="308"/>
      <c r="BX112" s="311"/>
      <c r="BY112" s="307"/>
      <c r="BZ112" s="307"/>
      <c r="CA112" s="310"/>
      <c r="CB112" s="307"/>
      <c r="CC112" s="307"/>
      <c r="CD112" s="307"/>
      <c r="CE112" s="308"/>
      <c r="CF112" s="308"/>
      <c r="CG112" s="307"/>
      <c r="CH112" s="307"/>
      <c r="CI112" s="307"/>
      <c r="CJ112" s="307"/>
      <c r="CK112" s="314"/>
      <c r="CL112" s="310"/>
      <c r="CM112" s="310"/>
      <c r="CN112" s="307"/>
      <c r="CO112" s="307"/>
      <c r="CP112" s="307"/>
      <c r="CQ112" s="315"/>
      <c r="CR112" s="315"/>
      <c r="CS112" s="315"/>
      <c r="CT112" s="315"/>
      <c r="CU112" s="307"/>
      <c r="CV112" s="217"/>
      <c r="CW112" s="192"/>
      <c r="CX112" s="192"/>
      <c r="CY112" s="192"/>
      <c r="CZ112" s="191"/>
      <c r="DA112" s="193"/>
      <c r="DB112" s="192"/>
      <c r="DC112" s="192"/>
      <c r="DD112" s="192"/>
      <c r="DE112" s="191"/>
      <c r="DF112" s="19"/>
      <c r="DG112" s="192"/>
      <c r="DH112" s="192"/>
      <c r="DI112" s="192"/>
      <c r="DJ112" s="191"/>
      <c r="DK112" s="193"/>
      <c r="DL112" s="192"/>
      <c r="DM112" s="192"/>
      <c r="DN112" s="192"/>
      <c r="DO112" s="191"/>
      <c r="DP112" s="19"/>
      <c r="DQ112" s="192"/>
      <c r="DR112" s="192"/>
      <c r="DS112" s="192"/>
      <c r="DT112" s="191"/>
      <c r="DU112" s="193"/>
      <c r="DV112" s="192"/>
      <c r="DW112" s="192"/>
      <c r="DX112" s="192"/>
      <c r="DY112" s="191"/>
      <c r="DZ112" s="19"/>
      <c r="EA112" s="192"/>
      <c r="EB112" s="192"/>
      <c r="EC112" s="192"/>
      <c r="ED112" s="191"/>
      <c r="EE112" s="193"/>
      <c r="EF112" s="192"/>
      <c r="EG112" s="192"/>
      <c r="EH112" s="192"/>
      <c r="EI112" s="191"/>
      <c r="EJ112" s="19"/>
      <c r="EK112" s="192"/>
      <c r="EL112" s="192"/>
      <c r="EM112" s="192"/>
      <c r="EN112" s="191"/>
      <c r="EO112" s="193"/>
      <c r="EP112" s="192"/>
      <c r="EQ112" s="192"/>
      <c r="ER112" s="192"/>
      <c r="ES112" s="191"/>
      <c r="ET112" s="19"/>
      <c r="EU112" s="192"/>
      <c r="EV112" s="192"/>
      <c r="EW112" s="192"/>
      <c r="EX112" s="191"/>
      <c r="EY112" s="193"/>
      <c r="EZ112" s="192"/>
      <c r="FA112" s="192"/>
      <c r="FB112" s="192"/>
      <c r="FC112" s="191"/>
      <c r="FL112" s="273">
        <f t="shared" ca="1" si="5"/>
        <v>116</v>
      </c>
    </row>
    <row r="113" spans="1:168" ht="16.5" thickBot="1">
      <c r="A113" s="199">
        <v>110</v>
      </c>
      <c r="B113" s="306"/>
      <c r="C113" s="310"/>
      <c r="D113" s="307" t="s">
        <v>271</v>
      </c>
      <c r="E113" s="307" t="s">
        <v>271</v>
      </c>
      <c r="F113" s="308"/>
      <c r="G113" s="343" t="str">
        <f t="shared" si="3"/>
        <v xml:space="preserve"> </v>
      </c>
      <c r="H113" s="307"/>
      <c r="I113" s="309" t="e">
        <f t="shared" si="4"/>
        <v>#N/A</v>
      </c>
      <c r="J113" s="307"/>
      <c r="K113" s="307"/>
      <c r="L113" s="310"/>
      <c r="M113" s="310"/>
      <c r="N113" s="310"/>
      <c r="O113" s="310"/>
      <c r="P113" s="310"/>
      <c r="Q113" s="310"/>
      <c r="R113" s="310"/>
      <c r="S113" s="310"/>
      <c r="T113" s="310"/>
      <c r="U113" s="307"/>
      <c r="V113" s="307"/>
      <c r="W113" s="311"/>
      <c r="X113" s="307"/>
      <c r="Y113" s="307"/>
      <c r="Z113" s="307"/>
      <c r="AA113" s="307"/>
      <c r="AB113" s="311"/>
      <c r="AC113" s="307"/>
      <c r="AD113" s="307"/>
      <c r="AE113" s="307"/>
      <c r="AF113" s="307"/>
      <c r="AG113" s="310"/>
      <c r="AH113" s="307"/>
      <c r="AI113" s="310"/>
      <c r="AJ113" s="307"/>
      <c r="AK113" s="307"/>
      <c r="AL113" s="307"/>
      <c r="AM113" s="308"/>
      <c r="AN113" s="311"/>
      <c r="AO113" s="307"/>
      <c r="AP113" s="307"/>
      <c r="AQ113" s="308"/>
      <c r="AR113" s="307"/>
      <c r="AS113" s="307"/>
      <c r="AT113" s="307"/>
      <c r="AU113" s="310"/>
      <c r="AV113" s="308"/>
      <c r="AW113" s="312"/>
      <c r="AX113" s="308"/>
      <c r="AY113" s="307"/>
      <c r="AZ113" s="307"/>
      <c r="BA113" s="307"/>
      <c r="BB113" s="307"/>
      <c r="BC113" s="308"/>
      <c r="BD113" s="308"/>
      <c r="BE113" s="313"/>
      <c r="BF113" s="307"/>
      <c r="BG113" s="310"/>
      <c r="BH113" s="307"/>
      <c r="BI113" s="307"/>
      <c r="BJ113" s="310"/>
      <c r="BK113" s="307"/>
      <c r="BL113" s="307"/>
      <c r="BM113" s="310"/>
      <c r="BN113" s="307"/>
      <c r="BO113" s="310"/>
      <c r="BP113" s="307"/>
      <c r="BQ113" s="307"/>
      <c r="BR113" s="307"/>
      <c r="BS113" s="307"/>
      <c r="BT113" s="307"/>
      <c r="BU113" s="310"/>
      <c r="BV113" s="307"/>
      <c r="BW113" s="308"/>
      <c r="BX113" s="311"/>
      <c r="BY113" s="307"/>
      <c r="BZ113" s="307"/>
      <c r="CA113" s="310"/>
      <c r="CB113" s="307"/>
      <c r="CC113" s="307"/>
      <c r="CD113" s="307"/>
      <c r="CE113" s="308"/>
      <c r="CF113" s="308"/>
      <c r="CG113" s="307"/>
      <c r="CH113" s="307"/>
      <c r="CI113" s="307"/>
      <c r="CJ113" s="307"/>
      <c r="CK113" s="314"/>
      <c r="CL113" s="310"/>
      <c r="CM113" s="310"/>
      <c r="CN113" s="307"/>
      <c r="CO113" s="307"/>
      <c r="CP113" s="307"/>
      <c r="CQ113" s="315"/>
      <c r="CR113" s="315"/>
      <c r="CS113" s="315"/>
      <c r="CT113" s="315"/>
      <c r="CU113" s="307"/>
      <c r="CV113" s="217"/>
      <c r="CW113" s="192"/>
      <c r="CX113" s="192"/>
      <c r="CY113" s="192"/>
      <c r="CZ113" s="191"/>
      <c r="DA113" s="193"/>
      <c r="DB113" s="192"/>
      <c r="DC113" s="192"/>
      <c r="DD113" s="192"/>
      <c r="DE113" s="191"/>
      <c r="DF113" s="19"/>
      <c r="DG113" s="192"/>
      <c r="DH113" s="192"/>
      <c r="DI113" s="192"/>
      <c r="DJ113" s="191"/>
      <c r="DK113" s="193"/>
      <c r="DL113" s="192"/>
      <c r="DM113" s="192"/>
      <c r="DN113" s="192"/>
      <c r="DO113" s="191"/>
      <c r="DP113" s="19"/>
      <c r="DQ113" s="192"/>
      <c r="DR113" s="192"/>
      <c r="DS113" s="192"/>
      <c r="DT113" s="191"/>
      <c r="DU113" s="193"/>
      <c r="DV113" s="192"/>
      <c r="DW113" s="192"/>
      <c r="DX113" s="192"/>
      <c r="DY113" s="191"/>
      <c r="DZ113" s="19"/>
      <c r="EA113" s="192"/>
      <c r="EB113" s="192"/>
      <c r="EC113" s="192"/>
      <c r="ED113" s="191"/>
      <c r="EE113" s="193"/>
      <c r="EF113" s="192"/>
      <c r="EG113" s="192"/>
      <c r="EH113" s="192"/>
      <c r="EI113" s="191"/>
      <c r="EJ113" s="19"/>
      <c r="EK113" s="192"/>
      <c r="EL113" s="192"/>
      <c r="EM113" s="192"/>
      <c r="EN113" s="191"/>
      <c r="EO113" s="193"/>
      <c r="EP113" s="192"/>
      <c r="EQ113" s="192"/>
      <c r="ER113" s="192"/>
      <c r="ES113" s="191"/>
      <c r="ET113" s="19"/>
      <c r="EU113" s="192"/>
      <c r="EV113" s="192"/>
      <c r="EW113" s="192"/>
      <c r="EX113" s="191"/>
      <c r="EY113" s="193"/>
      <c r="EZ113" s="192"/>
      <c r="FA113" s="192"/>
      <c r="FB113" s="192"/>
      <c r="FC113" s="191"/>
      <c r="FL113" s="273">
        <f t="shared" ca="1" si="5"/>
        <v>116</v>
      </c>
    </row>
    <row r="114" spans="1:168" ht="16.5" thickBot="1">
      <c r="A114" s="196">
        <v>111</v>
      </c>
      <c r="B114" s="306"/>
      <c r="C114" s="310"/>
      <c r="D114" s="307" t="s">
        <v>271</v>
      </c>
      <c r="E114" s="307" t="s">
        <v>271</v>
      </c>
      <c r="F114" s="308"/>
      <c r="G114" s="343" t="str">
        <f t="shared" si="3"/>
        <v xml:space="preserve"> </v>
      </c>
      <c r="H114" s="307"/>
      <c r="I114" s="309" t="e">
        <f t="shared" si="4"/>
        <v>#N/A</v>
      </c>
      <c r="J114" s="307"/>
      <c r="K114" s="307"/>
      <c r="L114" s="310"/>
      <c r="M114" s="310"/>
      <c r="N114" s="310"/>
      <c r="O114" s="310"/>
      <c r="P114" s="310"/>
      <c r="Q114" s="310"/>
      <c r="R114" s="310"/>
      <c r="S114" s="310"/>
      <c r="T114" s="310"/>
      <c r="U114" s="307"/>
      <c r="V114" s="307"/>
      <c r="W114" s="311"/>
      <c r="X114" s="307"/>
      <c r="Y114" s="307"/>
      <c r="Z114" s="307"/>
      <c r="AA114" s="307"/>
      <c r="AB114" s="311"/>
      <c r="AC114" s="307"/>
      <c r="AD114" s="307"/>
      <c r="AE114" s="307"/>
      <c r="AF114" s="307"/>
      <c r="AG114" s="310"/>
      <c r="AH114" s="307"/>
      <c r="AI114" s="310"/>
      <c r="AJ114" s="307"/>
      <c r="AK114" s="307"/>
      <c r="AL114" s="307"/>
      <c r="AM114" s="308"/>
      <c r="AN114" s="311"/>
      <c r="AO114" s="307"/>
      <c r="AP114" s="307"/>
      <c r="AQ114" s="308"/>
      <c r="AR114" s="307"/>
      <c r="AS114" s="307"/>
      <c r="AT114" s="307"/>
      <c r="AU114" s="310"/>
      <c r="AV114" s="308"/>
      <c r="AW114" s="312"/>
      <c r="AX114" s="308"/>
      <c r="AY114" s="307"/>
      <c r="AZ114" s="307"/>
      <c r="BA114" s="307"/>
      <c r="BB114" s="307"/>
      <c r="BC114" s="308"/>
      <c r="BD114" s="308"/>
      <c r="BE114" s="313"/>
      <c r="BF114" s="307"/>
      <c r="BG114" s="310"/>
      <c r="BH114" s="307"/>
      <c r="BI114" s="307"/>
      <c r="BJ114" s="310"/>
      <c r="BK114" s="307"/>
      <c r="BL114" s="307"/>
      <c r="BM114" s="310"/>
      <c r="BN114" s="307"/>
      <c r="BO114" s="310"/>
      <c r="BP114" s="307"/>
      <c r="BQ114" s="307"/>
      <c r="BR114" s="307"/>
      <c r="BS114" s="307"/>
      <c r="BT114" s="307"/>
      <c r="BU114" s="310"/>
      <c r="BV114" s="307"/>
      <c r="BW114" s="308"/>
      <c r="BX114" s="311"/>
      <c r="BY114" s="307"/>
      <c r="BZ114" s="307"/>
      <c r="CA114" s="310"/>
      <c r="CB114" s="307"/>
      <c r="CC114" s="307"/>
      <c r="CD114" s="307"/>
      <c r="CE114" s="308"/>
      <c r="CF114" s="308"/>
      <c r="CG114" s="307"/>
      <c r="CH114" s="307"/>
      <c r="CI114" s="307"/>
      <c r="CJ114" s="307"/>
      <c r="CK114" s="314"/>
      <c r="CL114" s="310"/>
      <c r="CM114" s="310"/>
      <c r="CN114" s="307"/>
      <c r="CO114" s="307"/>
      <c r="CP114" s="307"/>
      <c r="CQ114" s="315"/>
      <c r="CR114" s="315"/>
      <c r="CS114" s="315"/>
      <c r="CT114" s="315"/>
      <c r="CU114" s="307"/>
      <c r="CV114" s="217"/>
      <c r="CW114" s="192"/>
      <c r="CX114" s="192"/>
      <c r="CY114" s="192"/>
      <c r="CZ114" s="191"/>
      <c r="DA114" s="193"/>
      <c r="DB114" s="192"/>
      <c r="DC114" s="192"/>
      <c r="DD114" s="192"/>
      <c r="DE114" s="191"/>
      <c r="DF114" s="19"/>
      <c r="DG114" s="192"/>
      <c r="DH114" s="192"/>
      <c r="DI114" s="192"/>
      <c r="DJ114" s="191"/>
      <c r="DK114" s="193"/>
      <c r="DL114" s="192"/>
      <c r="DM114" s="192"/>
      <c r="DN114" s="192"/>
      <c r="DO114" s="191"/>
      <c r="DP114" s="19"/>
      <c r="DQ114" s="192"/>
      <c r="DR114" s="192"/>
      <c r="DS114" s="192"/>
      <c r="DT114" s="191"/>
      <c r="DU114" s="193"/>
      <c r="DV114" s="192"/>
      <c r="DW114" s="192"/>
      <c r="DX114" s="192"/>
      <c r="DY114" s="191"/>
      <c r="DZ114" s="19"/>
      <c r="EA114" s="192"/>
      <c r="EB114" s="192"/>
      <c r="EC114" s="192"/>
      <c r="ED114" s="191"/>
      <c r="EE114" s="193"/>
      <c r="EF114" s="192"/>
      <c r="EG114" s="192"/>
      <c r="EH114" s="192"/>
      <c r="EI114" s="191"/>
      <c r="EJ114" s="19"/>
      <c r="EK114" s="192"/>
      <c r="EL114" s="192"/>
      <c r="EM114" s="192"/>
      <c r="EN114" s="191"/>
      <c r="EO114" s="193"/>
      <c r="EP114" s="192"/>
      <c r="EQ114" s="192"/>
      <c r="ER114" s="192"/>
      <c r="ES114" s="191"/>
      <c r="ET114" s="19"/>
      <c r="EU114" s="192"/>
      <c r="EV114" s="192"/>
      <c r="EW114" s="192"/>
      <c r="EX114" s="191"/>
      <c r="EY114" s="193"/>
      <c r="EZ114" s="192"/>
      <c r="FA114" s="192"/>
      <c r="FB114" s="192"/>
      <c r="FC114" s="191"/>
      <c r="FL114" s="273">
        <f t="shared" ca="1" si="5"/>
        <v>116</v>
      </c>
    </row>
    <row r="115" spans="1:168" ht="16.5" thickBot="1">
      <c r="A115" s="199">
        <v>112</v>
      </c>
      <c r="B115" s="306"/>
      <c r="C115" s="310"/>
      <c r="D115" s="307" t="s">
        <v>271</v>
      </c>
      <c r="E115" s="307" t="s">
        <v>271</v>
      </c>
      <c r="F115" s="308"/>
      <c r="G115" s="343" t="str">
        <f t="shared" si="3"/>
        <v xml:space="preserve"> </v>
      </c>
      <c r="H115" s="307"/>
      <c r="I115" s="309" t="e">
        <f t="shared" si="4"/>
        <v>#N/A</v>
      </c>
      <c r="J115" s="307"/>
      <c r="K115" s="307"/>
      <c r="L115" s="310"/>
      <c r="M115" s="310"/>
      <c r="N115" s="310"/>
      <c r="O115" s="310"/>
      <c r="P115" s="310"/>
      <c r="Q115" s="310"/>
      <c r="R115" s="310"/>
      <c r="S115" s="310"/>
      <c r="T115" s="310"/>
      <c r="U115" s="307"/>
      <c r="V115" s="307"/>
      <c r="W115" s="311"/>
      <c r="X115" s="307"/>
      <c r="Y115" s="307"/>
      <c r="Z115" s="307"/>
      <c r="AA115" s="307"/>
      <c r="AB115" s="311"/>
      <c r="AC115" s="307"/>
      <c r="AD115" s="307"/>
      <c r="AE115" s="307"/>
      <c r="AF115" s="307"/>
      <c r="AG115" s="310"/>
      <c r="AH115" s="307"/>
      <c r="AI115" s="310"/>
      <c r="AJ115" s="307"/>
      <c r="AK115" s="307"/>
      <c r="AL115" s="307"/>
      <c r="AM115" s="308"/>
      <c r="AN115" s="311"/>
      <c r="AO115" s="307"/>
      <c r="AP115" s="307"/>
      <c r="AQ115" s="308"/>
      <c r="AR115" s="307"/>
      <c r="AS115" s="307"/>
      <c r="AT115" s="307"/>
      <c r="AU115" s="310"/>
      <c r="AV115" s="308"/>
      <c r="AW115" s="312"/>
      <c r="AX115" s="308"/>
      <c r="AY115" s="307"/>
      <c r="AZ115" s="307"/>
      <c r="BA115" s="307"/>
      <c r="BB115" s="307"/>
      <c r="BC115" s="308"/>
      <c r="BD115" s="308"/>
      <c r="BE115" s="313"/>
      <c r="BF115" s="307"/>
      <c r="BG115" s="310"/>
      <c r="BH115" s="307"/>
      <c r="BI115" s="307"/>
      <c r="BJ115" s="310"/>
      <c r="BK115" s="307"/>
      <c r="BL115" s="307"/>
      <c r="BM115" s="310"/>
      <c r="BN115" s="307"/>
      <c r="BO115" s="310"/>
      <c r="BP115" s="307"/>
      <c r="BQ115" s="307"/>
      <c r="BR115" s="307"/>
      <c r="BS115" s="307"/>
      <c r="BT115" s="307"/>
      <c r="BU115" s="310"/>
      <c r="BV115" s="307"/>
      <c r="BW115" s="308"/>
      <c r="BX115" s="311"/>
      <c r="BY115" s="307"/>
      <c r="BZ115" s="307"/>
      <c r="CA115" s="310"/>
      <c r="CB115" s="307"/>
      <c r="CC115" s="307"/>
      <c r="CD115" s="307"/>
      <c r="CE115" s="308"/>
      <c r="CF115" s="308"/>
      <c r="CG115" s="307"/>
      <c r="CH115" s="307"/>
      <c r="CI115" s="307"/>
      <c r="CJ115" s="307"/>
      <c r="CK115" s="314"/>
      <c r="CL115" s="310"/>
      <c r="CM115" s="310"/>
      <c r="CN115" s="307"/>
      <c r="CO115" s="307"/>
      <c r="CP115" s="307"/>
      <c r="CQ115" s="315"/>
      <c r="CR115" s="315"/>
      <c r="CS115" s="315"/>
      <c r="CT115" s="315"/>
      <c r="CU115" s="307"/>
      <c r="CV115" s="217"/>
      <c r="CW115" s="192"/>
      <c r="CX115" s="192"/>
      <c r="CY115" s="192"/>
      <c r="CZ115" s="191"/>
      <c r="DA115" s="193"/>
      <c r="DB115" s="192"/>
      <c r="DC115" s="192"/>
      <c r="DD115" s="192"/>
      <c r="DE115" s="191"/>
      <c r="DF115" s="19"/>
      <c r="DG115" s="192"/>
      <c r="DH115" s="192"/>
      <c r="DI115" s="192"/>
      <c r="DJ115" s="191"/>
      <c r="DK115" s="193"/>
      <c r="DL115" s="192"/>
      <c r="DM115" s="192"/>
      <c r="DN115" s="192"/>
      <c r="DO115" s="191"/>
      <c r="DP115" s="19"/>
      <c r="DQ115" s="192"/>
      <c r="DR115" s="192"/>
      <c r="DS115" s="192"/>
      <c r="DT115" s="191"/>
      <c r="DU115" s="193"/>
      <c r="DV115" s="192"/>
      <c r="DW115" s="192"/>
      <c r="DX115" s="192"/>
      <c r="DY115" s="191"/>
      <c r="DZ115" s="19"/>
      <c r="EA115" s="192"/>
      <c r="EB115" s="192"/>
      <c r="EC115" s="192"/>
      <c r="ED115" s="191"/>
      <c r="EE115" s="193"/>
      <c r="EF115" s="192"/>
      <c r="EG115" s="192"/>
      <c r="EH115" s="192"/>
      <c r="EI115" s="191"/>
      <c r="EJ115" s="19"/>
      <c r="EK115" s="192"/>
      <c r="EL115" s="192"/>
      <c r="EM115" s="192"/>
      <c r="EN115" s="191"/>
      <c r="EO115" s="193"/>
      <c r="EP115" s="192"/>
      <c r="EQ115" s="192"/>
      <c r="ER115" s="192"/>
      <c r="ES115" s="191"/>
      <c r="ET115" s="19"/>
      <c r="EU115" s="192"/>
      <c r="EV115" s="192"/>
      <c r="EW115" s="192"/>
      <c r="EX115" s="191"/>
      <c r="EY115" s="193"/>
      <c r="EZ115" s="192"/>
      <c r="FA115" s="192"/>
      <c r="FB115" s="192"/>
      <c r="FC115" s="191"/>
      <c r="FL115" s="273">
        <f t="shared" ca="1" si="5"/>
        <v>116</v>
      </c>
    </row>
    <row r="116" spans="1:168" ht="16.5" thickBot="1">
      <c r="A116" s="196">
        <v>113</v>
      </c>
      <c r="B116" s="306"/>
      <c r="C116" s="310"/>
      <c r="D116" s="307" t="s">
        <v>271</v>
      </c>
      <c r="E116" s="307" t="s">
        <v>271</v>
      </c>
      <c r="F116" s="308"/>
      <c r="G116" s="343" t="str">
        <f t="shared" si="3"/>
        <v xml:space="preserve"> </v>
      </c>
      <c r="H116" s="307"/>
      <c r="I116" s="309" t="e">
        <f t="shared" si="4"/>
        <v>#N/A</v>
      </c>
      <c r="J116" s="307"/>
      <c r="K116" s="307"/>
      <c r="L116" s="310"/>
      <c r="M116" s="310"/>
      <c r="N116" s="310"/>
      <c r="O116" s="310"/>
      <c r="P116" s="310"/>
      <c r="Q116" s="310"/>
      <c r="R116" s="310"/>
      <c r="S116" s="310"/>
      <c r="T116" s="310"/>
      <c r="U116" s="307"/>
      <c r="V116" s="307"/>
      <c r="W116" s="311"/>
      <c r="X116" s="307"/>
      <c r="Y116" s="307"/>
      <c r="Z116" s="307"/>
      <c r="AA116" s="307"/>
      <c r="AB116" s="311"/>
      <c r="AC116" s="307"/>
      <c r="AD116" s="307"/>
      <c r="AE116" s="307"/>
      <c r="AF116" s="307"/>
      <c r="AG116" s="310"/>
      <c r="AH116" s="307"/>
      <c r="AI116" s="310"/>
      <c r="AJ116" s="307"/>
      <c r="AK116" s="307"/>
      <c r="AL116" s="307"/>
      <c r="AM116" s="308"/>
      <c r="AN116" s="311"/>
      <c r="AO116" s="307"/>
      <c r="AP116" s="307"/>
      <c r="AQ116" s="308"/>
      <c r="AR116" s="307"/>
      <c r="AS116" s="307"/>
      <c r="AT116" s="307"/>
      <c r="AU116" s="310"/>
      <c r="AV116" s="308"/>
      <c r="AW116" s="312"/>
      <c r="AX116" s="308"/>
      <c r="AY116" s="307"/>
      <c r="AZ116" s="307"/>
      <c r="BA116" s="307"/>
      <c r="BB116" s="307"/>
      <c r="BC116" s="308"/>
      <c r="BD116" s="308"/>
      <c r="BE116" s="313"/>
      <c r="BF116" s="307"/>
      <c r="BG116" s="310"/>
      <c r="BH116" s="307"/>
      <c r="BI116" s="307"/>
      <c r="BJ116" s="310"/>
      <c r="BK116" s="307"/>
      <c r="BL116" s="307"/>
      <c r="BM116" s="310"/>
      <c r="BN116" s="307"/>
      <c r="BO116" s="310"/>
      <c r="BP116" s="307"/>
      <c r="BQ116" s="307"/>
      <c r="BR116" s="307"/>
      <c r="BS116" s="307"/>
      <c r="BT116" s="307"/>
      <c r="BU116" s="310"/>
      <c r="BV116" s="307"/>
      <c r="BW116" s="308"/>
      <c r="BX116" s="311"/>
      <c r="BY116" s="307"/>
      <c r="BZ116" s="307"/>
      <c r="CA116" s="310"/>
      <c r="CB116" s="307"/>
      <c r="CC116" s="307"/>
      <c r="CD116" s="307"/>
      <c r="CE116" s="308"/>
      <c r="CF116" s="308"/>
      <c r="CG116" s="307"/>
      <c r="CH116" s="307"/>
      <c r="CI116" s="307"/>
      <c r="CJ116" s="307"/>
      <c r="CK116" s="314"/>
      <c r="CL116" s="310"/>
      <c r="CM116" s="310"/>
      <c r="CN116" s="307"/>
      <c r="CO116" s="307"/>
      <c r="CP116" s="307"/>
      <c r="CQ116" s="315"/>
      <c r="CR116" s="315"/>
      <c r="CS116" s="315"/>
      <c r="CT116" s="315"/>
      <c r="CU116" s="307"/>
      <c r="CV116" s="217"/>
      <c r="CW116" s="192"/>
      <c r="CX116" s="192"/>
      <c r="CY116" s="192"/>
      <c r="CZ116" s="191"/>
      <c r="DA116" s="193"/>
      <c r="DB116" s="192"/>
      <c r="DC116" s="192"/>
      <c r="DD116" s="192"/>
      <c r="DE116" s="191"/>
      <c r="DF116" s="19"/>
      <c r="DG116" s="192"/>
      <c r="DH116" s="192"/>
      <c r="DI116" s="192"/>
      <c r="DJ116" s="191"/>
      <c r="DK116" s="193"/>
      <c r="DL116" s="192"/>
      <c r="DM116" s="192"/>
      <c r="DN116" s="192"/>
      <c r="DO116" s="191"/>
      <c r="DP116" s="19"/>
      <c r="DQ116" s="192"/>
      <c r="DR116" s="192"/>
      <c r="DS116" s="192"/>
      <c r="DT116" s="191"/>
      <c r="DU116" s="193"/>
      <c r="DV116" s="192"/>
      <c r="DW116" s="192"/>
      <c r="DX116" s="192"/>
      <c r="DY116" s="191"/>
      <c r="DZ116" s="19"/>
      <c r="EA116" s="192"/>
      <c r="EB116" s="192"/>
      <c r="EC116" s="192"/>
      <c r="ED116" s="191"/>
      <c r="EE116" s="193"/>
      <c r="EF116" s="192"/>
      <c r="EG116" s="192"/>
      <c r="EH116" s="192"/>
      <c r="EI116" s="191"/>
      <c r="EJ116" s="19"/>
      <c r="EK116" s="192"/>
      <c r="EL116" s="192"/>
      <c r="EM116" s="192"/>
      <c r="EN116" s="191"/>
      <c r="EO116" s="193"/>
      <c r="EP116" s="192"/>
      <c r="EQ116" s="192"/>
      <c r="ER116" s="192"/>
      <c r="ES116" s="191"/>
      <c r="ET116" s="19"/>
      <c r="EU116" s="192"/>
      <c r="EV116" s="192"/>
      <c r="EW116" s="192"/>
      <c r="EX116" s="191"/>
      <c r="EY116" s="193"/>
      <c r="EZ116" s="192"/>
      <c r="FA116" s="192"/>
      <c r="FB116" s="192"/>
      <c r="FC116" s="191"/>
      <c r="FL116" s="273">
        <f t="shared" ca="1" si="5"/>
        <v>116</v>
      </c>
    </row>
    <row r="117" spans="1:168" ht="16.5" thickBot="1">
      <c r="A117" s="199">
        <v>114</v>
      </c>
      <c r="B117" s="306"/>
      <c r="C117" s="310"/>
      <c r="D117" s="307" t="s">
        <v>271</v>
      </c>
      <c r="E117" s="307" t="s">
        <v>271</v>
      </c>
      <c r="F117" s="308"/>
      <c r="G117" s="343" t="str">
        <f t="shared" si="3"/>
        <v xml:space="preserve"> </v>
      </c>
      <c r="H117" s="307"/>
      <c r="I117" s="309" t="e">
        <f t="shared" si="4"/>
        <v>#N/A</v>
      </c>
      <c r="J117" s="307"/>
      <c r="K117" s="307"/>
      <c r="L117" s="310"/>
      <c r="M117" s="310"/>
      <c r="N117" s="310"/>
      <c r="O117" s="310"/>
      <c r="P117" s="310"/>
      <c r="Q117" s="310"/>
      <c r="R117" s="310"/>
      <c r="S117" s="310"/>
      <c r="T117" s="310"/>
      <c r="U117" s="307"/>
      <c r="V117" s="307"/>
      <c r="W117" s="311"/>
      <c r="X117" s="307"/>
      <c r="Y117" s="307"/>
      <c r="Z117" s="307"/>
      <c r="AA117" s="307"/>
      <c r="AB117" s="311"/>
      <c r="AC117" s="307"/>
      <c r="AD117" s="307"/>
      <c r="AE117" s="307"/>
      <c r="AF117" s="307"/>
      <c r="AG117" s="310"/>
      <c r="AH117" s="307"/>
      <c r="AI117" s="310"/>
      <c r="AJ117" s="307"/>
      <c r="AK117" s="307"/>
      <c r="AL117" s="307"/>
      <c r="AM117" s="308"/>
      <c r="AN117" s="311"/>
      <c r="AO117" s="307"/>
      <c r="AP117" s="307"/>
      <c r="AQ117" s="308"/>
      <c r="AR117" s="307"/>
      <c r="AS117" s="307"/>
      <c r="AT117" s="307"/>
      <c r="AU117" s="310"/>
      <c r="AV117" s="308"/>
      <c r="AW117" s="312"/>
      <c r="AX117" s="308"/>
      <c r="AY117" s="307"/>
      <c r="AZ117" s="307"/>
      <c r="BA117" s="307"/>
      <c r="BB117" s="307"/>
      <c r="BC117" s="308"/>
      <c r="BD117" s="308"/>
      <c r="BE117" s="313"/>
      <c r="BF117" s="307"/>
      <c r="BG117" s="310"/>
      <c r="BH117" s="307"/>
      <c r="BI117" s="307"/>
      <c r="BJ117" s="310"/>
      <c r="BK117" s="307"/>
      <c r="BL117" s="307"/>
      <c r="BM117" s="310"/>
      <c r="BN117" s="307"/>
      <c r="BO117" s="310"/>
      <c r="BP117" s="307"/>
      <c r="BQ117" s="307"/>
      <c r="BR117" s="307"/>
      <c r="BS117" s="307"/>
      <c r="BT117" s="307"/>
      <c r="BU117" s="310"/>
      <c r="BV117" s="307"/>
      <c r="BW117" s="308"/>
      <c r="BX117" s="311"/>
      <c r="BY117" s="307"/>
      <c r="BZ117" s="307"/>
      <c r="CA117" s="310"/>
      <c r="CB117" s="307"/>
      <c r="CC117" s="307"/>
      <c r="CD117" s="307"/>
      <c r="CE117" s="308"/>
      <c r="CF117" s="308"/>
      <c r="CG117" s="307"/>
      <c r="CH117" s="307"/>
      <c r="CI117" s="307"/>
      <c r="CJ117" s="307"/>
      <c r="CK117" s="314"/>
      <c r="CL117" s="310"/>
      <c r="CM117" s="310"/>
      <c r="CN117" s="307"/>
      <c r="CO117" s="307"/>
      <c r="CP117" s="307"/>
      <c r="CQ117" s="315"/>
      <c r="CR117" s="315"/>
      <c r="CS117" s="315"/>
      <c r="CT117" s="315"/>
      <c r="CU117" s="307"/>
      <c r="CV117" s="217"/>
      <c r="CW117" s="192"/>
      <c r="CX117" s="192"/>
      <c r="CY117" s="192"/>
      <c r="CZ117" s="191"/>
      <c r="DA117" s="193"/>
      <c r="DB117" s="192"/>
      <c r="DC117" s="192"/>
      <c r="DD117" s="192"/>
      <c r="DE117" s="191"/>
      <c r="DF117" s="19"/>
      <c r="DG117" s="192"/>
      <c r="DH117" s="192"/>
      <c r="DI117" s="192"/>
      <c r="DJ117" s="191"/>
      <c r="DK117" s="193"/>
      <c r="DL117" s="192"/>
      <c r="DM117" s="192"/>
      <c r="DN117" s="192"/>
      <c r="DO117" s="191"/>
      <c r="DP117" s="19"/>
      <c r="DQ117" s="192"/>
      <c r="DR117" s="192"/>
      <c r="DS117" s="192"/>
      <c r="DT117" s="191"/>
      <c r="DU117" s="193"/>
      <c r="DV117" s="192"/>
      <c r="DW117" s="192"/>
      <c r="DX117" s="192"/>
      <c r="DY117" s="191"/>
      <c r="DZ117" s="19"/>
      <c r="EA117" s="192"/>
      <c r="EB117" s="192"/>
      <c r="EC117" s="192"/>
      <c r="ED117" s="191"/>
      <c r="EE117" s="193"/>
      <c r="EF117" s="192"/>
      <c r="EG117" s="192"/>
      <c r="EH117" s="192"/>
      <c r="EI117" s="191"/>
      <c r="EJ117" s="19"/>
      <c r="EK117" s="192"/>
      <c r="EL117" s="192"/>
      <c r="EM117" s="192"/>
      <c r="EN117" s="191"/>
      <c r="EO117" s="193"/>
      <c r="EP117" s="192"/>
      <c r="EQ117" s="192"/>
      <c r="ER117" s="192"/>
      <c r="ES117" s="191"/>
      <c r="ET117" s="19"/>
      <c r="EU117" s="192"/>
      <c r="EV117" s="192"/>
      <c r="EW117" s="192"/>
      <c r="EX117" s="191"/>
      <c r="EY117" s="193"/>
      <c r="EZ117" s="192"/>
      <c r="FA117" s="192"/>
      <c r="FB117" s="192"/>
      <c r="FC117" s="191"/>
      <c r="FL117" s="273">
        <f t="shared" ca="1" si="5"/>
        <v>116</v>
      </c>
    </row>
    <row r="118" spans="1:168" ht="16.5" thickBot="1">
      <c r="A118" s="196">
        <v>115</v>
      </c>
      <c r="B118" s="306"/>
      <c r="C118" s="310"/>
      <c r="D118" s="307" t="s">
        <v>271</v>
      </c>
      <c r="E118" s="307" t="s">
        <v>271</v>
      </c>
      <c r="F118" s="308"/>
      <c r="G118" s="343" t="str">
        <f t="shared" si="3"/>
        <v xml:space="preserve"> </v>
      </c>
      <c r="H118" s="307"/>
      <c r="I118" s="309" t="e">
        <f t="shared" si="4"/>
        <v>#N/A</v>
      </c>
      <c r="J118" s="307"/>
      <c r="K118" s="307"/>
      <c r="L118" s="310"/>
      <c r="M118" s="310"/>
      <c r="N118" s="310"/>
      <c r="O118" s="310"/>
      <c r="P118" s="310"/>
      <c r="Q118" s="310"/>
      <c r="R118" s="310"/>
      <c r="S118" s="310"/>
      <c r="T118" s="310"/>
      <c r="U118" s="307"/>
      <c r="V118" s="307"/>
      <c r="W118" s="311"/>
      <c r="X118" s="307"/>
      <c r="Y118" s="307"/>
      <c r="Z118" s="307"/>
      <c r="AA118" s="307"/>
      <c r="AB118" s="311"/>
      <c r="AC118" s="307"/>
      <c r="AD118" s="307"/>
      <c r="AE118" s="307"/>
      <c r="AF118" s="307"/>
      <c r="AG118" s="310"/>
      <c r="AH118" s="307"/>
      <c r="AI118" s="310"/>
      <c r="AJ118" s="307"/>
      <c r="AK118" s="307"/>
      <c r="AL118" s="307"/>
      <c r="AM118" s="308"/>
      <c r="AN118" s="311"/>
      <c r="AO118" s="307"/>
      <c r="AP118" s="307"/>
      <c r="AQ118" s="308"/>
      <c r="AR118" s="307"/>
      <c r="AS118" s="307"/>
      <c r="AT118" s="307"/>
      <c r="AU118" s="310"/>
      <c r="AV118" s="308"/>
      <c r="AW118" s="312"/>
      <c r="AX118" s="308"/>
      <c r="AY118" s="307"/>
      <c r="AZ118" s="307"/>
      <c r="BA118" s="307"/>
      <c r="BB118" s="307"/>
      <c r="BC118" s="308"/>
      <c r="BD118" s="308"/>
      <c r="BE118" s="313"/>
      <c r="BF118" s="307"/>
      <c r="BG118" s="310"/>
      <c r="BH118" s="307"/>
      <c r="BI118" s="307"/>
      <c r="BJ118" s="310"/>
      <c r="BK118" s="307"/>
      <c r="BL118" s="307"/>
      <c r="BM118" s="310"/>
      <c r="BN118" s="307"/>
      <c r="BO118" s="310"/>
      <c r="BP118" s="307"/>
      <c r="BQ118" s="307"/>
      <c r="BR118" s="307"/>
      <c r="BS118" s="307"/>
      <c r="BT118" s="307"/>
      <c r="BU118" s="310"/>
      <c r="BV118" s="307"/>
      <c r="BW118" s="308"/>
      <c r="BX118" s="311"/>
      <c r="BY118" s="307"/>
      <c r="BZ118" s="307"/>
      <c r="CA118" s="310"/>
      <c r="CB118" s="307"/>
      <c r="CC118" s="307"/>
      <c r="CD118" s="307"/>
      <c r="CE118" s="308"/>
      <c r="CF118" s="308"/>
      <c r="CG118" s="307"/>
      <c r="CH118" s="307"/>
      <c r="CI118" s="307"/>
      <c r="CJ118" s="307"/>
      <c r="CK118" s="314"/>
      <c r="CL118" s="310"/>
      <c r="CM118" s="310"/>
      <c r="CN118" s="307"/>
      <c r="CO118" s="307"/>
      <c r="CP118" s="307"/>
      <c r="CQ118" s="315"/>
      <c r="CR118" s="315"/>
      <c r="CS118" s="315"/>
      <c r="CT118" s="315"/>
      <c r="CU118" s="307"/>
      <c r="CV118" s="217"/>
      <c r="CW118" s="192"/>
      <c r="CX118" s="192"/>
      <c r="CY118" s="192"/>
      <c r="CZ118" s="191"/>
      <c r="DA118" s="193"/>
      <c r="DB118" s="192"/>
      <c r="DC118" s="192"/>
      <c r="DD118" s="192"/>
      <c r="DE118" s="191"/>
      <c r="DF118" s="19"/>
      <c r="DG118" s="192"/>
      <c r="DH118" s="192"/>
      <c r="DI118" s="192"/>
      <c r="DJ118" s="191"/>
      <c r="DK118" s="193"/>
      <c r="DL118" s="192"/>
      <c r="DM118" s="192"/>
      <c r="DN118" s="192"/>
      <c r="DO118" s="191"/>
      <c r="DP118" s="19"/>
      <c r="DQ118" s="192"/>
      <c r="DR118" s="192"/>
      <c r="DS118" s="192"/>
      <c r="DT118" s="191"/>
      <c r="DU118" s="193"/>
      <c r="DV118" s="192"/>
      <c r="DW118" s="192"/>
      <c r="DX118" s="192"/>
      <c r="DY118" s="191"/>
      <c r="DZ118" s="19"/>
      <c r="EA118" s="192"/>
      <c r="EB118" s="192"/>
      <c r="EC118" s="192"/>
      <c r="ED118" s="191"/>
      <c r="EE118" s="193"/>
      <c r="EF118" s="192"/>
      <c r="EG118" s="192"/>
      <c r="EH118" s="192"/>
      <c r="EI118" s="191"/>
      <c r="EJ118" s="19"/>
      <c r="EK118" s="192"/>
      <c r="EL118" s="192"/>
      <c r="EM118" s="192"/>
      <c r="EN118" s="191"/>
      <c r="EO118" s="193"/>
      <c r="EP118" s="192"/>
      <c r="EQ118" s="192"/>
      <c r="ER118" s="192"/>
      <c r="ES118" s="191"/>
      <c r="ET118" s="19"/>
      <c r="EU118" s="192"/>
      <c r="EV118" s="192"/>
      <c r="EW118" s="192"/>
      <c r="EX118" s="191"/>
      <c r="EY118" s="193"/>
      <c r="EZ118" s="192"/>
      <c r="FA118" s="192"/>
      <c r="FB118" s="192"/>
      <c r="FC118" s="191"/>
      <c r="FL118" s="273">
        <f t="shared" ca="1" si="5"/>
        <v>116</v>
      </c>
    </row>
    <row r="119" spans="1:168" ht="16.5" thickBot="1">
      <c r="A119" s="199">
        <v>116</v>
      </c>
      <c r="B119" s="306"/>
      <c r="C119" s="310"/>
      <c r="D119" s="307" t="s">
        <v>271</v>
      </c>
      <c r="E119" s="307" t="s">
        <v>271</v>
      </c>
      <c r="F119" s="308"/>
      <c r="G119" s="343" t="str">
        <f t="shared" si="3"/>
        <v xml:space="preserve"> </v>
      </c>
      <c r="H119" s="307"/>
      <c r="I119" s="309" t="e">
        <f t="shared" si="4"/>
        <v>#N/A</v>
      </c>
      <c r="J119" s="307"/>
      <c r="K119" s="307"/>
      <c r="L119" s="310"/>
      <c r="M119" s="310"/>
      <c r="N119" s="310"/>
      <c r="O119" s="310"/>
      <c r="P119" s="310"/>
      <c r="Q119" s="310"/>
      <c r="R119" s="310"/>
      <c r="S119" s="310"/>
      <c r="T119" s="310"/>
      <c r="U119" s="307"/>
      <c r="V119" s="307"/>
      <c r="W119" s="311"/>
      <c r="X119" s="307"/>
      <c r="Y119" s="307"/>
      <c r="Z119" s="307"/>
      <c r="AA119" s="307"/>
      <c r="AB119" s="311"/>
      <c r="AC119" s="307"/>
      <c r="AD119" s="307"/>
      <c r="AE119" s="307"/>
      <c r="AF119" s="307"/>
      <c r="AG119" s="310"/>
      <c r="AH119" s="307"/>
      <c r="AI119" s="310"/>
      <c r="AJ119" s="307"/>
      <c r="AK119" s="307"/>
      <c r="AL119" s="307"/>
      <c r="AM119" s="308"/>
      <c r="AN119" s="311"/>
      <c r="AO119" s="307"/>
      <c r="AP119" s="307"/>
      <c r="AQ119" s="308"/>
      <c r="AR119" s="307"/>
      <c r="AS119" s="307"/>
      <c r="AT119" s="307"/>
      <c r="AU119" s="310"/>
      <c r="AV119" s="308"/>
      <c r="AW119" s="312"/>
      <c r="AX119" s="308"/>
      <c r="AY119" s="307"/>
      <c r="AZ119" s="307"/>
      <c r="BA119" s="307"/>
      <c r="BB119" s="307"/>
      <c r="BC119" s="308"/>
      <c r="BD119" s="308"/>
      <c r="BE119" s="313"/>
      <c r="BF119" s="307"/>
      <c r="BG119" s="310"/>
      <c r="BH119" s="307"/>
      <c r="BI119" s="307"/>
      <c r="BJ119" s="310"/>
      <c r="BK119" s="307"/>
      <c r="BL119" s="307"/>
      <c r="BM119" s="310"/>
      <c r="BN119" s="307"/>
      <c r="BO119" s="310"/>
      <c r="BP119" s="307"/>
      <c r="BQ119" s="307"/>
      <c r="BR119" s="307"/>
      <c r="BS119" s="307"/>
      <c r="BT119" s="307"/>
      <c r="BU119" s="310"/>
      <c r="BV119" s="307"/>
      <c r="BW119" s="308"/>
      <c r="BX119" s="311"/>
      <c r="BY119" s="307"/>
      <c r="BZ119" s="307"/>
      <c r="CA119" s="310"/>
      <c r="CB119" s="307"/>
      <c r="CC119" s="307"/>
      <c r="CD119" s="307"/>
      <c r="CE119" s="308"/>
      <c r="CF119" s="308"/>
      <c r="CG119" s="307"/>
      <c r="CH119" s="307"/>
      <c r="CI119" s="307"/>
      <c r="CJ119" s="307"/>
      <c r="CK119" s="314"/>
      <c r="CL119" s="310"/>
      <c r="CM119" s="310"/>
      <c r="CN119" s="307"/>
      <c r="CO119" s="307"/>
      <c r="CP119" s="307"/>
      <c r="CQ119" s="315"/>
      <c r="CR119" s="315"/>
      <c r="CS119" s="315"/>
      <c r="CT119" s="315"/>
      <c r="CU119" s="307"/>
      <c r="CV119" s="217"/>
      <c r="CW119" s="192"/>
      <c r="CX119" s="192"/>
      <c r="CY119" s="192"/>
      <c r="CZ119" s="191"/>
      <c r="DA119" s="193"/>
      <c r="DB119" s="192"/>
      <c r="DC119" s="192"/>
      <c r="DD119" s="192"/>
      <c r="DE119" s="191"/>
      <c r="DF119" s="19"/>
      <c r="DG119" s="192"/>
      <c r="DH119" s="192"/>
      <c r="DI119" s="192"/>
      <c r="DJ119" s="191"/>
      <c r="DK119" s="193"/>
      <c r="DL119" s="192"/>
      <c r="DM119" s="192"/>
      <c r="DN119" s="192"/>
      <c r="DO119" s="191"/>
      <c r="DP119" s="19"/>
      <c r="DQ119" s="192"/>
      <c r="DR119" s="192"/>
      <c r="DS119" s="192"/>
      <c r="DT119" s="191"/>
      <c r="DU119" s="193"/>
      <c r="DV119" s="192"/>
      <c r="DW119" s="192"/>
      <c r="DX119" s="192"/>
      <c r="DY119" s="191"/>
      <c r="DZ119" s="19"/>
      <c r="EA119" s="192"/>
      <c r="EB119" s="192"/>
      <c r="EC119" s="192"/>
      <c r="ED119" s="191"/>
      <c r="EE119" s="193"/>
      <c r="EF119" s="192"/>
      <c r="EG119" s="192"/>
      <c r="EH119" s="192"/>
      <c r="EI119" s="191"/>
      <c r="EJ119" s="19"/>
      <c r="EK119" s="192"/>
      <c r="EL119" s="192"/>
      <c r="EM119" s="192"/>
      <c r="EN119" s="191"/>
      <c r="EO119" s="193"/>
      <c r="EP119" s="192"/>
      <c r="EQ119" s="192"/>
      <c r="ER119" s="192"/>
      <c r="ES119" s="191"/>
      <c r="ET119" s="19"/>
      <c r="EU119" s="192"/>
      <c r="EV119" s="192"/>
      <c r="EW119" s="192"/>
      <c r="EX119" s="191"/>
      <c r="EY119" s="193"/>
      <c r="EZ119" s="192"/>
      <c r="FA119" s="192"/>
      <c r="FB119" s="192"/>
      <c r="FC119" s="191"/>
      <c r="FL119" s="273">
        <f t="shared" ca="1" si="5"/>
        <v>116</v>
      </c>
    </row>
    <row r="120" spans="1:168" ht="16.5" thickBot="1">
      <c r="A120" s="196">
        <v>117</v>
      </c>
      <c r="B120" s="306"/>
      <c r="C120" s="310"/>
      <c r="D120" s="307" t="s">
        <v>271</v>
      </c>
      <c r="E120" s="307" t="s">
        <v>271</v>
      </c>
      <c r="F120" s="308"/>
      <c r="G120" s="343" t="str">
        <f t="shared" si="3"/>
        <v xml:space="preserve"> </v>
      </c>
      <c r="H120" s="307"/>
      <c r="I120" s="309" t="e">
        <f t="shared" si="4"/>
        <v>#N/A</v>
      </c>
      <c r="J120" s="307"/>
      <c r="K120" s="307"/>
      <c r="L120" s="310"/>
      <c r="M120" s="310"/>
      <c r="N120" s="310"/>
      <c r="O120" s="310"/>
      <c r="P120" s="310"/>
      <c r="Q120" s="310"/>
      <c r="R120" s="310"/>
      <c r="S120" s="310"/>
      <c r="T120" s="310"/>
      <c r="U120" s="307"/>
      <c r="V120" s="307"/>
      <c r="W120" s="311"/>
      <c r="X120" s="307"/>
      <c r="Y120" s="307"/>
      <c r="Z120" s="307"/>
      <c r="AA120" s="307"/>
      <c r="AB120" s="311"/>
      <c r="AC120" s="307"/>
      <c r="AD120" s="307"/>
      <c r="AE120" s="307"/>
      <c r="AF120" s="307"/>
      <c r="AG120" s="310"/>
      <c r="AH120" s="307"/>
      <c r="AI120" s="310"/>
      <c r="AJ120" s="307"/>
      <c r="AK120" s="307"/>
      <c r="AL120" s="307"/>
      <c r="AM120" s="308"/>
      <c r="AN120" s="311"/>
      <c r="AO120" s="307"/>
      <c r="AP120" s="307"/>
      <c r="AQ120" s="308"/>
      <c r="AR120" s="307"/>
      <c r="AS120" s="307"/>
      <c r="AT120" s="307"/>
      <c r="AU120" s="310"/>
      <c r="AV120" s="308"/>
      <c r="AW120" s="312"/>
      <c r="AX120" s="308"/>
      <c r="AY120" s="307"/>
      <c r="AZ120" s="307"/>
      <c r="BA120" s="307"/>
      <c r="BB120" s="307"/>
      <c r="BC120" s="308"/>
      <c r="BD120" s="308"/>
      <c r="BE120" s="313"/>
      <c r="BF120" s="307"/>
      <c r="BG120" s="310"/>
      <c r="BH120" s="307"/>
      <c r="BI120" s="307"/>
      <c r="BJ120" s="310"/>
      <c r="BK120" s="307"/>
      <c r="BL120" s="307"/>
      <c r="BM120" s="310"/>
      <c r="BN120" s="307"/>
      <c r="BO120" s="310"/>
      <c r="BP120" s="307"/>
      <c r="BQ120" s="307"/>
      <c r="BR120" s="307"/>
      <c r="BS120" s="307"/>
      <c r="BT120" s="307"/>
      <c r="BU120" s="310"/>
      <c r="BV120" s="307"/>
      <c r="BW120" s="308"/>
      <c r="BX120" s="311"/>
      <c r="BY120" s="307"/>
      <c r="BZ120" s="307"/>
      <c r="CA120" s="310"/>
      <c r="CB120" s="307"/>
      <c r="CC120" s="307"/>
      <c r="CD120" s="307"/>
      <c r="CE120" s="308"/>
      <c r="CF120" s="308"/>
      <c r="CG120" s="307"/>
      <c r="CH120" s="307"/>
      <c r="CI120" s="307"/>
      <c r="CJ120" s="307"/>
      <c r="CK120" s="314"/>
      <c r="CL120" s="310"/>
      <c r="CM120" s="310"/>
      <c r="CN120" s="307"/>
      <c r="CO120" s="307"/>
      <c r="CP120" s="307"/>
      <c r="CQ120" s="315"/>
      <c r="CR120" s="315"/>
      <c r="CS120" s="315"/>
      <c r="CT120" s="315"/>
      <c r="CU120" s="307"/>
      <c r="CV120" s="217"/>
      <c r="CW120" s="192"/>
      <c r="CX120" s="192"/>
      <c r="CY120" s="192"/>
      <c r="CZ120" s="191"/>
      <c r="DA120" s="193"/>
      <c r="DB120" s="192"/>
      <c r="DC120" s="192"/>
      <c r="DD120" s="192"/>
      <c r="DE120" s="191"/>
      <c r="DF120" s="19"/>
      <c r="DG120" s="192"/>
      <c r="DH120" s="192"/>
      <c r="DI120" s="192"/>
      <c r="DJ120" s="191"/>
      <c r="DK120" s="193"/>
      <c r="DL120" s="192"/>
      <c r="DM120" s="192"/>
      <c r="DN120" s="192"/>
      <c r="DO120" s="191"/>
      <c r="DP120" s="19"/>
      <c r="DQ120" s="192"/>
      <c r="DR120" s="192"/>
      <c r="DS120" s="192"/>
      <c r="DT120" s="191"/>
      <c r="DU120" s="193"/>
      <c r="DV120" s="192"/>
      <c r="DW120" s="192"/>
      <c r="DX120" s="192"/>
      <c r="DY120" s="191"/>
      <c r="DZ120" s="19"/>
      <c r="EA120" s="192"/>
      <c r="EB120" s="192"/>
      <c r="EC120" s="192"/>
      <c r="ED120" s="191"/>
      <c r="EE120" s="193"/>
      <c r="EF120" s="192"/>
      <c r="EG120" s="192"/>
      <c r="EH120" s="192"/>
      <c r="EI120" s="191"/>
      <c r="EJ120" s="19"/>
      <c r="EK120" s="192"/>
      <c r="EL120" s="192"/>
      <c r="EM120" s="192"/>
      <c r="EN120" s="191"/>
      <c r="EO120" s="193"/>
      <c r="EP120" s="192"/>
      <c r="EQ120" s="192"/>
      <c r="ER120" s="192"/>
      <c r="ES120" s="191"/>
      <c r="ET120" s="19"/>
      <c r="EU120" s="192"/>
      <c r="EV120" s="192"/>
      <c r="EW120" s="192"/>
      <c r="EX120" s="191"/>
      <c r="EY120" s="193"/>
      <c r="EZ120" s="192"/>
      <c r="FA120" s="192"/>
      <c r="FB120" s="192"/>
      <c r="FC120" s="191"/>
      <c r="FL120" s="273">
        <f t="shared" ca="1" si="5"/>
        <v>116</v>
      </c>
    </row>
    <row r="121" spans="1:168" ht="16.5" thickBot="1">
      <c r="A121" s="199">
        <v>118</v>
      </c>
      <c r="B121" s="306"/>
      <c r="C121" s="310"/>
      <c r="D121" s="307" t="s">
        <v>271</v>
      </c>
      <c r="E121" s="307" t="s">
        <v>271</v>
      </c>
      <c r="F121" s="308"/>
      <c r="G121" s="343" t="str">
        <f t="shared" si="3"/>
        <v xml:space="preserve"> </v>
      </c>
      <c r="H121" s="307"/>
      <c r="I121" s="309" t="e">
        <f t="shared" si="4"/>
        <v>#N/A</v>
      </c>
      <c r="J121" s="307"/>
      <c r="K121" s="307"/>
      <c r="L121" s="310"/>
      <c r="M121" s="310"/>
      <c r="N121" s="310"/>
      <c r="O121" s="310"/>
      <c r="P121" s="310"/>
      <c r="Q121" s="310"/>
      <c r="R121" s="310"/>
      <c r="S121" s="310"/>
      <c r="T121" s="310"/>
      <c r="U121" s="307"/>
      <c r="V121" s="307"/>
      <c r="W121" s="311"/>
      <c r="X121" s="307"/>
      <c r="Y121" s="307"/>
      <c r="Z121" s="307"/>
      <c r="AA121" s="307"/>
      <c r="AB121" s="311"/>
      <c r="AC121" s="307"/>
      <c r="AD121" s="307"/>
      <c r="AE121" s="307"/>
      <c r="AF121" s="307"/>
      <c r="AG121" s="310"/>
      <c r="AH121" s="307"/>
      <c r="AI121" s="310"/>
      <c r="AJ121" s="307"/>
      <c r="AK121" s="307"/>
      <c r="AL121" s="307"/>
      <c r="AM121" s="308"/>
      <c r="AN121" s="311"/>
      <c r="AO121" s="307"/>
      <c r="AP121" s="307"/>
      <c r="AQ121" s="308"/>
      <c r="AR121" s="307"/>
      <c r="AS121" s="307"/>
      <c r="AT121" s="307"/>
      <c r="AU121" s="310"/>
      <c r="AV121" s="308"/>
      <c r="AW121" s="312"/>
      <c r="AX121" s="308"/>
      <c r="AY121" s="307"/>
      <c r="AZ121" s="307"/>
      <c r="BA121" s="307"/>
      <c r="BB121" s="307"/>
      <c r="BC121" s="308"/>
      <c r="BD121" s="308"/>
      <c r="BE121" s="313"/>
      <c r="BF121" s="307"/>
      <c r="BG121" s="310"/>
      <c r="BH121" s="307"/>
      <c r="BI121" s="307"/>
      <c r="BJ121" s="310"/>
      <c r="BK121" s="307"/>
      <c r="BL121" s="307"/>
      <c r="BM121" s="310"/>
      <c r="BN121" s="307"/>
      <c r="BO121" s="310"/>
      <c r="BP121" s="307"/>
      <c r="BQ121" s="307"/>
      <c r="BR121" s="307"/>
      <c r="BS121" s="307"/>
      <c r="BT121" s="307"/>
      <c r="BU121" s="310"/>
      <c r="BV121" s="307"/>
      <c r="BW121" s="308"/>
      <c r="BX121" s="311"/>
      <c r="BY121" s="307"/>
      <c r="BZ121" s="307"/>
      <c r="CA121" s="310"/>
      <c r="CB121" s="307"/>
      <c r="CC121" s="307"/>
      <c r="CD121" s="307"/>
      <c r="CE121" s="308"/>
      <c r="CF121" s="308"/>
      <c r="CG121" s="307"/>
      <c r="CH121" s="307"/>
      <c r="CI121" s="307"/>
      <c r="CJ121" s="307"/>
      <c r="CK121" s="314"/>
      <c r="CL121" s="310"/>
      <c r="CM121" s="310"/>
      <c r="CN121" s="307"/>
      <c r="CO121" s="307"/>
      <c r="CP121" s="307"/>
      <c r="CQ121" s="315"/>
      <c r="CR121" s="315"/>
      <c r="CS121" s="315"/>
      <c r="CT121" s="315"/>
      <c r="CU121" s="307"/>
      <c r="CV121" s="217"/>
      <c r="CW121" s="192"/>
      <c r="CX121" s="192"/>
      <c r="CY121" s="192"/>
      <c r="CZ121" s="191"/>
      <c r="DA121" s="193"/>
      <c r="DB121" s="192"/>
      <c r="DC121" s="192"/>
      <c r="DD121" s="192"/>
      <c r="DE121" s="191"/>
      <c r="DF121" s="19"/>
      <c r="DG121" s="192"/>
      <c r="DH121" s="192"/>
      <c r="DI121" s="192"/>
      <c r="DJ121" s="191"/>
      <c r="DK121" s="193"/>
      <c r="DL121" s="192"/>
      <c r="DM121" s="192"/>
      <c r="DN121" s="192"/>
      <c r="DO121" s="191"/>
      <c r="DP121" s="19"/>
      <c r="DQ121" s="192"/>
      <c r="DR121" s="192"/>
      <c r="DS121" s="192"/>
      <c r="DT121" s="191"/>
      <c r="DU121" s="193"/>
      <c r="DV121" s="192"/>
      <c r="DW121" s="192"/>
      <c r="DX121" s="192"/>
      <c r="DY121" s="191"/>
      <c r="DZ121" s="19"/>
      <c r="EA121" s="192"/>
      <c r="EB121" s="192"/>
      <c r="EC121" s="192"/>
      <c r="ED121" s="191"/>
      <c r="EE121" s="193"/>
      <c r="EF121" s="192"/>
      <c r="EG121" s="192"/>
      <c r="EH121" s="192"/>
      <c r="EI121" s="191"/>
      <c r="EJ121" s="19"/>
      <c r="EK121" s="192"/>
      <c r="EL121" s="192"/>
      <c r="EM121" s="192"/>
      <c r="EN121" s="191"/>
      <c r="EO121" s="193"/>
      <c r="EP121" s="192"/>
      <c r="EQ121" s="192"/>
      <c r="ER121" s="192"/>
      <c r="ES121" s="191"/>
      <c r="ET121" s="19"/>
      <c r="EU121" s="192"/>
      <c r="EV121" s="192"/>
      <c r="EW121" s="192"/>
      <c r="EX121" s="191"/>
      <c r="EY121" s="193"/>
      <c r="EZ121" s="192"/>
      <c r="FA121" s="192"/>
      <c r="FB121" s="192"/>
      <c r="FC121" s="191"/>
      <c r="FL121" s="273">
        <f t="shared" ca="1" si="5"/>
        <v>116</v>
      </c>
    </row>
    <row r="122" spans="1:168" ht="16.5" thickBot="1">
      <c r="A122" s="196">
        <v>119</v>
      </c>
      <c r="B122" s="306"/>
      <c r="C122" s="310"/>
      <c r="D122" s="307" t="s">
        <v>271</v>
      </c>
      <c r="E122" s="307" t="s">
        <v>271</v>
      </c>
      <c r="F122" s="308"/>
      <c r="G122" s="343" t="str">
        <f t="shared" si="3"/>
        <v xml:space="preserve"> </v>
      </c>
      <c r="H122" s="307"/>
      <c r="I122" s="309" t="e">
        <f t="shared" si="4"/>
        <v>#N/A</v>
      </c>
      <c r="J122" s="307"/>
      <c r="K122" s="307"/>
      <c r="L122" s="310"/>
      <c r="M122" s="310"/>
      <c r="N122" s="310"/>
      <c r="O122" s="310"/>
      <c r="P122" s="310"/>
      <c r="Q122" s="310"/>
      <c r="R122" s="310"/>
      <c r="S122" s="310"/>
      <c r="T122" s="310"/>
      <c r="U122" s="307"/>
      <c r="V122" s="307"/>
      <c r="W122" s="311"/>
      <c r="X122" s="307"/>
      <c r="Y122" s="307"/>
      <c r="Z122" s="307"/>
      <c r="AA122" s="307"/>
      <c r="AB122" s="311"/>
      <c r="AC122" s="307"/>
      <c r="AD122" s="307"/>
      <c r="AE122" s="307"/>
      <c r="AF122" s="307"/>
      <c r="AG122" s="310"/>
      <c r="AH122" s="307"/>
      <c r="AI122" s="310"/>
      <c r="AJ122" s="307"/>
      <c r="AK122" s="307"/>
      <c r="AL122" s="307"/>
      <c r="AM122" s="308"/>
      <c r="AN122" s="311"/>
      <c r="AO122" s="307"/>
      <c r="AP122" s="307"/>
      <c r="AQ122" s="308"/>
      <c r="AR122" s="307"/>
      <c r="AS122" s="307"/>
      <c r="AT122" s="307"/>
      <c r="AU122" s="310"/>
      <c r="AV122" s="308"/>
      <c r="AW122" s="312"/>
      <c r="AX122" s="308"/>
      <c r="AY122" s="307"/>
      <c r="AZ122" s="307"/>
      <c r="BA122" s="307"/>
      <c r="BB122" s="307"/>
      <c r="BC122" s="308"/>
      <c r="BD122" s="308"/>
      <c r="BE122" s="313"/>
      <c r="BF122" s="307"/>
      <c r="BG122" s="310"/>
      <c r="BH122" s="307"/>
      <c r="BI122" s="307"/>
      <c r="BJ122" s="310"/>
      <c r="BK122" s="307"/>
      <c r="BL122" s="307"/>
      <c r="BM122" s="310"/>
      <c r="BN122" s="307"/>
      <c r="BO122" s="310"/>
      <c r="BP122" s="307"/>
      <c r="BQ122" s="307"/>
      <c r="BR122" s="307"/>
      <c r="BS122" s="307"/>
      <c r="BT122" s="307"/>
      <c r="BU122" s="310"/>
      <c r="BV122" s="307"/>
      <c r="BW122" s="308"/>
      <c r="BX122" s="311"/>
      <c r="BY122" s="307"/>
      <c r="BZ122" s="307"/>
      <c r="CA122" s="310"/>
      <c r="CB122" s="307"/>
      <c r="CC122" s="307"/>
      <c r="CD122" s="307"/>
      <c r="CE122" s="308"/>
      <c r="CF122" s="308"/>
      <c r="CG122" s="307"/>
      <c r="CH122" s="307"/>
      <c r="CI122" s="307"/>
      <c r="CJ122" s="307"/>
      <c r="CK122" s="314"/>
      <c r="CL122" s="310"/>
      <c r="CM122" s="310"/>
      <c r="CN122" s="307"/>
      <c r="CO122" s="307"/>
      <c r="CP122" s="307"/>
      <c r="CQ122" s="315"/>
      <c r="CR122" s="315"/>
      <c r="CS122" s="315"/>
      <c r="CT122" s="315"/>
      <c r="CU122" s="307"/>
      <c r="CV122" s="217"/>
      <c r="CW122" s="192"/>
      <c r="CX122" s="192"/>
      <c r="CY122" s="192"/>
      <c r="CZ122" s="191"/>
      <c r="DA122" s="193"/>
      <c r="DB122" s="192"/>
      <c r="DC122" s="192"/>
      <c r="DD122" s="192"/>
      <c r="DE122" s="191"/>
      <c r="DF122" s="19"/>
      <c r="DG122" s="192"/>
      <c r="DH122" s="192"/>
      <c r="DI122" s="192"/>
      <c r="DJ122" s="191"/>
      <c r="DK122" s="193"/>
      <c r="DL122" s="192"/>
      <c r="DM122" s="192"/>
      <c r="DN122" s="192"/>
      <c r="DO122" s="191"/>
      <c r="DP122" s="19"/>
      <c r="DQ122" s="192"/>
      <c r="DR122" s="192"/>
      <c r="DS122" s="192"/>
      <c r="DT122" s="191"/>
      <c r="DU122" s="193"/>
      <c r="DV122" s="192"/>
      <c r="DW122" s="192"/>
      <c r="DX122" s="192"/>
      <c r="DY122" s="191"/>
      <c r="DZ122" s="19"/>
      <c r="EA122" s="192"/>
      <c r="EB122" s="192"/>
      <c r="EC122" s="192"/>
      <c r="ED122" s="191"/>
      <c r="EE122" s="193"/>
      <c r="EF122" s="192"/>
      <c r="EG122" s="192"/>
      <c r="EH122" s="192"/>
      <c r="EI122" s="191"/>
      <c r="EJ122" s="19"/>
      <c r="EK122" s="192"/>
      <c r="EL122" s="192"/>
      <c r="EM122" s="192"/>
      <c r="EN122" s="191"/>
      <c r="EO122" s="193"/>
      <c r="EP122" s="192"/>
      <c r="EQ122" s="192"/>
      <c r="ER122" s="192"/>
      <c r="ES122" s="191"/>
      <c r="ET122" s="19"/>
      <c r="EU122" s="192"/>
      <c r="EV122" s="192"/>
      <c r="EW122" s="192"/>
      <c r="EX122" s="191"/>
      <c r="EY122" s="193"/>
      <c r="EZ122" s="192"/>
      <c r="FA122" s="192"/>
      <c r="FB122" s="192"/>
      <c r="FC122" s="191"/>
      <c r="FL122" s="273">
        <f t="shared" ca="1" si="5"/>
        <v>116</v>
      </c>
    </row>
    <row r="123" spans="1:168" ht="16.5" thickBot="1">
      <c r="A123" s="199">
        <v>120</v>
      </c>
      <c r="B123" s="306"/>
      <c r="C123" s="310"/>
      <c r="D123" s="307" t="s">
        <v>271</v>
      </c>
      <c r="E123" s="307" t="s">
        <v>271</v>
      </c>
      <c r="F123" s="308"/>
      <c r="G123" s="343" t="str">
        <f t="shared" si="3"/>
        <v xml:space="preserve"> </v>
      </c>
      <c r="H123" s="307"/>
      <c r="I123" s="309" t="e">
        <f t="shared" si="4"/>
        <v>#N/A</v>
      </c>
      <c r="J123" s="307"/>
      <c r="K123" s="307"/>
      <c r="L123" s="310"/>
      <c r="M123" s="310"/>
      <c r="N123" s="310"/>
      <c r="O123" s="310"/>
      <c r="P123" s="310"/>
      <c r="Q123" s="310"/>
      <c r="R123" s="310"/>
      <c r="S123" s="310"/>
      <c r="T123" s="310"/>
      <c r="U123" s="307"/>
      <c r="V123" s="307"/>
      <c r="W123" s="311"/>
      <c r="X123" s="307"/>
      <c r="Y123" s="307"/>
      <c r="Z123" s="307"/>
      <c r="AA123" s="307"/>
      <c r="AB123" s="311"/>
      <c r="AC123" s="307"/>
      <c r="AD123" s="307"/>
      <c r="AE123" s="307"/>
      <c r="AF123" s="307"/>
      <c r="AG123" s="310"/>
      <c r="AH123" s="307"/>
      <c r="AI123" s="310"/>
      <c r="AJ123" s="307"/>
      <c r="AK123" s="307"/>
      <c r="AL123" s="307"/>
      <c r="AM123" s="308"/>
      <c r="AN123" s="311"/>
      <c r="AO123" s="307"/>
      <c r="AP123" s="307"/>
      <c r="AQ123" s="308"/>
      <c r="AR123" s="307"/>
      <c r="AS123" s="307"/>
      <c r="AT123" s="307"/>
      <c r="AU123" s="310"/>
      <c r="AV123" s="308"/>
      <c r="AW123" s="312"/>
      <c r="AX123" s="308"/>
      <c r="AY123" s="307"/>
      <c r="AZ123" s="307"/>
      <c r="BA123" s="307"/>
      <c r="BB123" s="307"/>
      <c r="BC123" s="308"/>
      <c r="BD123" s="308"/>
      <c r="BE123" s="313"/>
      <c r="BF123" s="307"/>
      <c r="BG123" s="310"/>
      <c r="BH123" s="307"/>
      <c r="BI123" s="307"/>
      <c r="BJ123" s="310"/>
      <c r="BK123" s="307"/>
      <c r="BL123" s="307"/>
      <c r="BM123" s="310"/>
      <c r="BN123" s="307"/>
      <c r="BO123" s="310"/>
      <c r="BP123" s="307"/>
      <c r="BQ123" s="307"/>
      <c r="BR123" s="307"/>
      <c r="BS123" s="307"/>
      <c r="BT123" s="307"/>
      <c r="BU123" s="310"/>
      <c r="BV123" s="307"/>
      <c r="BW123" s="308"/>
      <c r="BX123" s="311"/>
      <c r="BY123" s="307"/>
      <c r="BZ123" s="307"/>
      <c r="CA123" s="310"/>
      <c r="CB123" s="307"/>
      <c r="CC123" s="307"/>
      <c r="CD123" s="307"/>
      <c r="CE123" s="308"/>
      <c r="CF123" s="308"/>
      <c r="CG123" s="307"/>
      <c r="CH123" s="307"/>
      <c r="CI123" s="307"/>
      <c r="CJ123" s="307"/>
      <c r="CK123" s="314"/>
      <c r="CL123" s="310"/>
      <c r="CM123" s="310"/>
      <c r="CN123" s="307"/>
      <c r="CO123" s="307"/>
      <c r="CP123" s="307"/>
      <c r="CQ123" s="315"/>
      <c r="CR123" s="315"/>
      <c r="CS123" s="315"/>
      <c r="CT123" s="315"/>
      <c r="CU123" s="307"/>
      <c r="CV123" s="217"/>
      <c r="CW123" s="192"/>
      <c r="CX123" s="192"/>
      <c r="CY123" s="192"/>
      <c r="CZ123" s="191"/>
      <c r="DA123" s="193"/>
      <c r="DB123" s="192"/>
      <c r="DC123" s="192"/>
      <c r="DD123" s="192"/>
      <c r="DE123" s="191"/>
      <c r="DF123" s="19"/>
      <c r="DG123" s="192"/>
      <c r="DH123" s="192"/>
      <c r="DI123" s="192"/>
      <c r="DJ123" s="191"/>
      <c r="DK123" s="193"/>
      <c r="DL123" s="192"/>
      <c r="DM123" s="192"/>
      <c r="DN123" s="192"/>
      <c r="DO123" s="191"/>
      <c r="DP123" s="19"/>
      <c r="DQ123" s="192"/>
      <c r="DR123" s="192"/>
      <c r="DS123" s="192"/>
      <c r="DT123" s="191"/>
      <c r="DU123" s="193"/>
      <c r="DV123" s="192"/>
      <c r="DW123" s="192"/>
      <c r="DX123" s="192"/>
      <c r="DY123" s="191"/>
      <c r="DZ123" s="19"/>
      <c r="EA123" s="192"/>
      <c r="EB123" s="192"/>
      <c r="EC123" s="192"/>
      <c r="ED123" s="191"/>
      <c r="EE123" s="193"/>
      <c r="EF123" s="192"/>
      <c r="EG123" s="192"/>
      <c r="EH123" s="192"/>
      <c r="EI123" s="191"/>
      <c r="EJ123" s="19"/>
      <c r="EK123" s="192"/>
      <c r="EL123" s="192"/>
      <c r="EM123" s="192"/>
      <c r="EN123" s="191"/>
      <c r="EO123" s="193"/>
      <c r="EP123" s="192"/>
      <c r="EQ123" s="192"/>
      <c r="ER123" s="192"/>
      <c r="ES123" s="191"/>
      <c r="ET123" s="19"/>
      <c r="EU123" s="192"/>
      <c r="EV123" s="192"/>
      <c r="EW123" s="192"/>
      <c r="EX123" s="191"/>
      <c r="EY123" s="193"/>
      <c r="EZ123" s="192"/>
      <c r="FA123" s="192"/>
      <c r="FB123" s="192"/>
      <c r="FC123" s="191"/>
      <c r="FL123" s="273">
        <f t="shared" ca="1" si="5"/>
        <v>116</v>
      </c>
    </row>
    <row r="124" spans="1:168" ht="16.5" thickBot="1">
      <c r="A124" s="196">
        <v>121</v>
      </c>
      <c r="B124" s="306"/>
      <c r="C124" s="310"/>
      <c r="D124" s="307" t="s">
        <v>271</v>
      </c>
      <c r="E124" s="307" t="s">
        <v>271</v>
      </c>
      <c r="F124" s="308"/>
      <c r="G124" s="343" t="str">
        <f t="shared" si="3"/>
        <v xml:space="preserve"> </v>
      </c>
      <c r="H124" s="307"/>
      <c r="I124" s="309" t="e">
        <f t="shared" si="4"/>
        <v>#N/A</v>
      </c>
      <c r="J124" s="307"/>
      <c r="K124" s="307"/>
      <c r="L124" s="310"/>
      <c r="M124" s="310"/>
      <c r="N124" s="310"/>
      <c r="O124" s="310"/>
      <c r="P124" s="310"/>
      <c r="Q124" s="310"/>
      <c r="R124" s="310"/>
      <c r="S124" s="310"/>
      <c r="T124" s="310"/>
      <c r="U124" s="307"/>
      <c r="V124" s="307"/>
      <c r="W124" s="311"/>
      <c r="X124" s="307"/>
      <c r="Y124" s="307"/>
      <c r="Z124" s="307"/>
      <c r="AA124" s="307"/>
      <c r="AB124" s="311"/>
      <c r="AC124" s="307"/>
      <c r="AD124" s="307"/>
      <c r="AE124" s="307"/>
      <c r="AF124" s="307"/>
      <c r="AG124" s="310"/>
      <c r="AH124" s="307"/>
      <c r="AI124" s="310"/>
      <c r="AJ124" s="307"/>
      <c r="AK124" s="307"/>
      <c r="AL124" s="307"/>
      <c r="AM124" s="308"/>
      <c r="AN124" s="311"/>
      <c r="AO124" s="307"/>
      <c r="AP124" s="307"/>
      <c r="AQ124" s="308"/>
      <c r="AR124" s="307"/>
      <c r="AS124" s="307"/>
      <c r="AT124" s="307"/>
      <c r="AU124" s="310"/>
      <c r="AV124" s="308"/>
      <c r="AW124" s="312"/>
      <c r="AX124" s="308"/>
      <c r="AY124" s="307"/>
      <c r="AZ124" s="307"/>
      <c r="BA124" s="307"/>
      <c r="BB124" s="307"/>
      <c r="BC124" s="308"/>
      <c r="BD124" s="308"/>
      <c r="BE124" s="313"/>
      <c r="BF124" s="307"/>
      <c r="BG124" s="310"/>
      <c r="BH124" s="307"/>
      <c r="BI124" s="307"/>
      <c r="BJ124" s="310"/>
      <c r="BK124" s="307"/>
      <c r="BL124" s="307"/>
      <c r="BM124" s="310"/>
      <c r="BN124" s="307"/>
      <c r="BO124" s="310"/>
      <c r="BP124" s="307"/>
      <c r="BQ124" s="307"/>
      <c r="BR124" s="307"/>
      <c r="BS124" s="307"/>
      <c r="BT124" s="307"/>
      <c r="BU124" s="310"/>
      <c r="BV124" s="307"/>
      <c r="BW124" s="308"/>
      <c r="BX124" s="311"/>
      <c r="BY124" s="307"/>
      <c r="BZ124" s="307"/>
      <c r="CA124" s="310"/>
      <c r="CB124" s="307"/>
      <c r="CC124" s="307"/>
      <c r="CD124" s="307"/>
      <c r="CE124" s="308"/>
      <c r="CF124" s="308"/>
      <c r="CG124" s="307"/>
      <c r="CH124" s="307"/>
      <c r="CI124" s="307"/>
      <c r="CJ124" s="307"/>
      <c r="CK124" s="314"/>
      <c r="CL124" s="310"/>
      <c r="CM124" s="310"/>
      <c r="CN124" s="307"/>
      <c r="CO124" s="307"/>
      <c r="CP124" s="307"/>
      <c r="CQ124" s="315"/>
      <c r="CR124" s="315"/>
      <c r="CS124" s="315"/>
      <c r="CT124" s="315"/>
      <c r="CU124" s="307"/>
      <c r="CV124" s="217"/>
      <c r="CW124" s="192"/>
      <c r="CX124" s="192"/>
      <c r="CY124" s="192"/>
      <c r="CZ124" s="191"/>
      <c r="DA124" s="193"/>
      <c r="DB124" s="192"/>
      <c r="DC124" s="192"/>
      <c r="DD124" s="192"/>
      <c r="DE124" s="191"/>
      <c r="DF124" s="19"/>
      <c r="DG124" s="192"/>
      <c r="DH124" s="192"/>
      <c r="DI124" s="192"/>
      <c r="DJ124" s="191"/>
      <c r="DK124" s="193"/>
      <c r="DL124" s="192"/>
      <c r="DM124" s="192"/>
      <c r="DN124" s="192"/>
      <c r="DO124" s="191"/>
      <c r="DP124" s="19"/>
      <c r="DQ124" s="192"/>
      <c r="DR124" s="192"/>
      <c r="DS124" s="192"/>
      <c r="DT124" s="191"/>
      <c r="DU124" s="193"/>
      <c r="DV124" s="192"/>
      <c r="DW124" s="192"/>
      <c r="DX124" s="192"/>
      <c r="DY124" s="191"/>
      <c r="DZ124" s="19"/>
      <c r="EA124" s="192"/>
      <c r="EB124" s="192"/>
      <c r="EC124" s="192"/>
      <c r="ED124" s="191"/>
      <c r="EE124" s="193"/>
      <c r="EF124" s="192"/>
      <c r="EG124" s="192"/>
      <c r="EH124" s="192"/>
      <c r="EI124" s="191"/>
      <c r="EJ124" s="19"/>
      <c r="EK124" s="192"/>
      <c r="EL124" s="192"/>
      <c r="EM124" s="192"/>
      <c r="EN124" s="191"/>
      <c r="EO124" s="193"/>
      <c r="EP124" s="192"/>
      <c r="EQ124" s="192"/>
      <c r="ER124" s="192"/>
      <c r="ES124" s="191"/>
      <c r="ET124" s="19"/>
      <c r="EU124" s="192"/>
      <c r="EV124" s="192"/>
      <c r="EW124" s="192"/>
      <c r="EX124" s="191"/>
      <c r="EY124" s="193"/>
      <c r="EZ124" s="192"/>
      <c r="FA124" s="192"/>
      <c r="FB124" s="192"/>
      <c r="FC124" s="191"/>
      <c r="FL124" s="273">
        <f t="shared" ca="1" si="5"/>
        <v>116</v>
      </c>
    </row>
    <row r="125" spans="1:168" ht="16.5" thickBot="1">
      <c r="A125" s="199">
        <v>122</v>
      </c>
      <c r="B125" s="306"/>
      <c r="C125" s="310"/>
      <c r="D125" s="307" t="s">
        <v>271</v>
      </c>
      <c r="E125" s="307" t="s">
        <v>271</v>
      </c>
      <c r="F125" s="308"/>
      <c r="G125" s="343" t="str">
        <f t="shared" si="3"/>
        <v xml:space="preserve"> </v>
      </c>
      <c r="H125" s="307"/>
      <c r="I125" s="309" t="e">
        <f t="shared" si="4"/>
        <v>#N/A</v>
      </c>
      <c r="J125" s="307"/>
      <c r="K125" s="307"/>
      <c r="L125" s="310"/>
      <c r="M125" s="310"/>
      <c r="N125" s="310"/>
      <c r="O125" s="310"/>
      <c r="P125" s="310"/>
      <c r="Q125" s="310"/>
      <c r="R125" s="310"/>
      <c r="S125" s="310"/>
      <c r="T125" s="310"/>
      <c r="U125" s="307"/>
      <c r="V125" s="307"/>
      <c r="W125" s="311"/>
      <c r="X125" s="307"/>
      <c r="Y125" s="307"/>
      <c r="Z125" s="307"/>
      <c r="AA125" s="307"/>
      <c r="AB125" s="311"/>
      <c r="AC125" s="307"/>
      <c r="AD125" s="307"/>
      <c r="AE125" s="307"/>
      <c r="AF125" s="307"/>
      <c r="AG125" s="310"/>
      <c r="AH125" s="307"/>
      <c r="AI125" s="310"/>
      <c r="AJ125" s="307"/>
      <c r="AK125" s="307"/>
      <c r="AL125" s="307"/>
      <c r="AM125" s="308"/>
      <c r="AN125" s="311"/>
      <c r="AO125" s="307"/>
      <c r="AP125" s="307"/>
      <c r="AQ125" s="308"/>
      <c r="AR125" s="307"/>
      <c r="AS125" s="307"/>
      <c r="AT125" s="307"/>
      <c r="AU125" s="310"/>
      <c r="AV125" s="308"/>
      <c r="AW125" s="312"/>
      <c r="AX125" s="308"/>
      <c r="AY125" s="307"/>
      <c r="AZ125" s="307"/>
      <c r="BA125" s="307"/>
      <c r="BB125" s="307"/>
      <c r="BC125" s="308"/>
      <c r="BD125" s="308"/>
      <c r="BE125" s="313"/>
      <c r="BF125" s="307"/>
      <c r="BG125" s="310"/>
      <c r="BH125" s="307"/>
      <c r="BI125" s="307"/>
      <c r="BJ125" s="310"/>
      <c r="BK125" s="307"/>
      <c r="BL125" s="307"/>
      <c r="BM125" s="310"/>
      <c r="BN125" s="307"/>
      <c r="BO125" s="310"/>
      <c r="BP125" s="307"/>
      <c r="BQ125" s="307"/>
      <c r="BR125" s="307"/>
      <c r="BS125" s="307"/>
      <c r="BT125" s="307"/>
      <c r="BU125" s="310"/>
      <c r="BV125" s="307"/>
      <c r="BW125" s="308"/>
      <c r="BX125" s="311"/>
      <c r="BY125" s="307"/>
      <c r="BZ125" s="307"/>
      <c r="CA125" s="310"/>
      <c r="CB125" s="307"/>
      <c r="CC125" s="307"/>
      <c r="CD125" s="307"/>
      <c r="CE125" s="308"/>
      <c r="CF125" s="308"/>
      <c r="CG125" s="307"/>
      <c r="CH125" s="307"/>
      <c r="CI125" s="307"/>
      <c r="CJ125" s="307"/>
      <c r="CK125" s="314"/>
      <c r="CL125" s="310"/>
      <c r="CM125" s="310"/>
      <c r="CN125" s="307"/>
      <c r="CO125" s="307"/>
      <c r="CP125" s="307"/>
      <c r="CQ125" s="315"/>
      <c r="CR125" s="315"/>
      <c r="CS125" s="315"/>
      <c r="CT125" s="315"/>
      <c r="CU125" s="307"/>
      <c r="CV125" s="217"/>
      <c r="CW125" s="192"/>
      <c r="CX125" s="192"/>
      <c r="CY125" s="192"/>
      <c r="CZ125" s="191"/>
      <c r="DA125" s="193"/>
      <c r="DB125" s="192"/>
      <c r="DC125" s="192"/>
      <c r="DD125" s="192"/>
      <c r="DE125" s="191"/>
      <c r="DF125" s="19"/>
      <c r="DG125" s="192"/>
      <c r="DH125" s="192"/>
      <c r="DI125" s="192"/>
      <c r="DJ125" s="191"/>
      <c r="DK125" s="193"/>
      <c r="DL125" s="192"/>
      <c r="DM125" s="192"/>
      <c r="DN125" s="192"/>
      <c r="DO125" s="191"/>
      <c r="DP125" s="19"/>
      <c r="DQ125" s="192"/>
      <c r="DR125" s="192"/>
      <c r="DS125" s="192"/>
      <c r="DT125" s="191"/>
      <c r="DU125" s="193"/>
      <c r="DV125" s="192"/>
      <c r="DW125" s="192"/>
      <c r="DX125" s="192"/>
      <c r="DY125" s="191"/>
      <c r="DZ125" s="19"/>
      <c r="EA125" s="192"/>
      <c r="EB125" s="192"/>
      <c r="EC125" s="192"/>
      <c r="ED125" s="191"/>
      <c r="EE125" s="193"/>
      <c r="EF125" s="192"/>
      <c r="EG125" s="192"/>
      <c r="EH125" s="192"/>
      <c r="EI125" s="191"/>
      <c r="EJ125" s="19"/>
      <c r="EK125" s="192"/>
      <c r="EL125" s="192"/>
      <c r="EM125" s="192"/>
      <c r="EN125" s="191"/>
      <c r="EO125" s="193"/>
      <c r="EP125" s="192"/>
      <c r="EQ125" s="192"/>
      <c r="ER125" s="192"/>
      <c r="ES125" s="191"/>
      <c r="ET125" s="19"/>
      <c r="EU125" s="192"/>
      <c r="EV125" s="192"/>
      <c r="EW125" s="192"/>
      <c r="EX125" s="191"/>
      <c r="EY125" s="193"/>
      <c r="EZ125" s="192"/>
      <c r="FA125" s="192"/>
      <c r="FB125" s="192"/>
      <c r="FC125" s="191"/>
      <c r="FL125" s="273">
        <f t="shared" ca="1" si="5"/>
        <v>116</v>
      </c>
    </row>
    <row r="126" spans="1:168" ht="16.5" thickBot="1">
      <c r="A126" s="196">
        <v>123</v>
      </c>
      <c r="B126" s="306"/>
      <c r="C126" s="310"/>
      <c r="D126" s="307" t="s">
        <v>271</v>
      </c>
      <c r="E126" s="307" t="s">
        <v>271</v>
      </c>
      <c r="F126" s="308"/>
      <c r="G126" s="343" t="str">
        <f t="shared" si="3"/>
        <v xml:space="preserve"> </v>
      </c>
      <c r="H126" s="307"/>
      <c r="I126" s="309" t="e">
        <f t="shared" si="4"/>
        <v>#N/A</v>
      </c>
      <c r="J126" s="307"/>
      <c r="K126" s="307"/>
      <c r="L126" s="310"/>
      <c r="M126" s="310"/>
      <c r="N126" s="310"/>
      <c r="O126" s="310"/>
      <c r="P126" s="310"/>
      <c r="Q126" s="310"/>
      <c r="R126" s="310"/>
      <c r="S126" s="310"/>
      <c r="T126" s="310"/>
      <c r="U126" s="307"/>
      <c r="V126" s="307"/>
      <c r="W126" s="311"/>
      <c r="X126" s="307"/>
      <c r="Y126" s="307"/>
      <c r="Z126" s="307"/>
      <c r="AA126" s="307"/>
      <c r="AB126" s="311"/>
      <c r="AC126" s="307"/>
      <c r="AD126" s="307"/>
      <c r="AE126" s="307"/>
      <c r="AF126" s="307"/>
      <c r="AG126" s="310"/>
      <c r="AH126" s="307"/>
      <c r="AI126" s="310"/>
      <c r="AJ126" s="307"/>
      <c r="AK126" s="307"/>
      <c r="AL126" s="307"/>
      <c r="AM126" s="308"/>
      <c r="AN126" s="311"/>
      <c r="AO126" s="307"/>
      <c r="AP126" s="307"/>
      <c r="AQ126" s="308"/>
      <c r="AR126" s="307"/>
      <c r="AS126" s="307"/>
      <c r="AT126" s="307"/>
      <c r="AU126" s="310"/>
      <c r="AV126" s="308"/>
      <c r="AW126" s="312"/>
      <c r="AX126" s="308"/>
      <c r="AY126" s="307"/>
      <c r="AZ126" s="307"/>
      <c r="BA126" s="307"/>
      <c r="BB126" s="307"/>
      <c r="BC126" s="308"/>
      <c r="BD126" s="308"/>
      <c r="BE126" s="313"/>
      <c r="BF126" s="307"/>
      <c r="BG126" s="310"/>
      <c r="BH126" s="307"/>
      <c r="BI126" s="307"/>
      <c r="BJ126" s="310"/>
      <c r="BK126" s="307"/>
      <c r="BL126" s="307"/>
      <c r="BM126" s="310"/>
      <c r="BN126" s="307"/>
      <c r="BO126" s="310"/>
      <c r="BP126" s="307"/>
      <c r="BQ126" s="307"/>
      <c r="BR126" s="307"/>
      <c r="BS126" s="307"/>
      <c r="BT126" s="307"/>
      <c r="BU126" s="310"/>
      <c r="BV126" s="307"/>
      <c r="BW126" s="308"/>
      <c r="BX126" s="311"/>
      <c r="BY126" s="307"/>
      <c r="BZ126" s="307"/>
      <c r="CA126" s="310"/>
      <c r="CB126" s="307"/>
      <c r="CC126" s="307"/>
      <c r="CD126" s="307"/>
      <c r="CE126" s="308"/>
      <c r="CF126" s="308"/>
      <c r="CG126" s="307"/>
      <c r="CH126" s="307"/>
      <c r="CI126" s="307"/>
      <c r="CJ126" s="307"/>
      <c r="CK126" s="314"/>
      <c r="CL126" s="310"/>
      <c r="CM126" s="310"/>
      <c r="CN126" s="307"/>
      <c r="CO126" s="307"/>
      <c r="CP126" s="307"/>
      <c r="CQ126" s="315"/>
      <c r="CR126" s="315"/>
      <c r="CS126" s="315"/>
      <c r="CT126" s="315"/>
      <c r="CU126" s="307"/>
      <c r="CV126" s="217"/>
      <c r="CW126" s="192"/>
      <c r="CX126" s="192"/>
      <c r="CY126" s="192"/>
      <c r="CZ126" s="191"/>
      <c r="DA126" s="193"/>
      <c r="DB126" s="192"/>
      <c r="DC126" s="192"/>
      <c r="DD126" s="192"/>
      <c r="DE126" s="191"/>
      <c r="DF126" s="19"/>
      <c r="DG126" s="192"/>
      <c r="DH126" s="192"/>
      <c r="DI126" s="192"/>
      <c r="DJ126" s="191"/>
      <c r="DK126" s="193"/>
      <c r="DL126" s="192"/>
      <c r="DM126" s="192"/>
      <c r="DN126" s="192"/>
      <c r="DO126" s="191"/>
      <c r="DP126" s="19"/>
      <c r="DQ126" s="192"/>
      <c r="DR126" s="192"/>
      <c r="DS126" s="192"/>
      <c r="DT126" s="191"/>
      <c r="DU126" s="193"/>
      <c r="DV126" s="192"/>
      <c r="DW126" s="192"/>
      <c r="DX126" s="192"/>
      <c r="DY126" s="191"/>
      <c r="DZ126" s="19"/>
      <c r="EA126" s="192"/>
      <c r="EB126" s="192"/>
      <c r="EC126" s="192"/>
      <c r="ED126" s="191"/>
      <c r="EE126" s="193"/>
      <c r="EF126" s="192"/>
      <c r="EG126" s="192"/>
      <c r="EH126" s="192"/>
      <c r="EI126" s="191"/>
      <c r="EJ126" s="19"/>
      <c r="EK126" s="192"/>
      <c r="EL126" s="192"/>
      <c r="EM126" s="192"/>
      <c r="EN126" s="191"/>
      <c r="EO126" s="193"/>
      <c r="EP126" s="192"/>
      <c r="EQ126" s="192"/>
      <c r="ER126" s="192"/>
      <c r="ES126" s="191"/>
      <c r="ET126" s="19"/>
      <c r="EU126" s="192"/>
      <c r="EV126" s="192"/>
      <c r="EW126" s="192"/>
      <c r="EX126" s="191"/>
      <c r="EY126" s="193"/>
      <c r="EZ126" s="192"/>
      <c r="FA126" s="192"/>
      <c r="FB126" s="192"/>
      <c r="FC126" s="191"/>
      <c r="FL126" s="273">
        <f t="shared" ca="1" si="5"/>
        <v>116</v>
      </c>
    </row>
    <row r="127" spans="1:168" ht="16.5" thickBot="1">
      <c r="A127" s="199">
        <v>124</v>
      </c>
      <c r="B127" s="306"/>
      <c r="C127" s="310"/>
      <c r="D127" s="307" t="s">
        <v>271</v>
      </c>
      <c r="E127" s="307" t="s">
        <v>271</v>
      </c>
      <c r="F127" s="308"/>
      <c r="G127" s="343" t="str">
        <f t="shared" si="3"/>
        <v xml:space="preserve"> </v>
      </c>
      <c r="H127" s="307"/>
      <c r="I127" s="309" t="e">
        <f t="shared" si="4"/>
        <v>#N/A</v>
      </c>
      <c r="J127" s="307"/>
      <c r="K127" s="307"/>
      <c r="L127" s="310"/>
      <c r="M127" s="310"/>
      <c r="N127" s="310"/>
      <c r="O127" s="310"/>
      <c r="P127" s="310"/>
      <c r="Q127" s="310"/>
      <c r="R127" s="310"/>
      <c r="S127" s="310"/>
      <c r="T127" s="310"/>
      <c r="U127" s="307"/>
      <c r="V127" s="307"/>
      <c r="W127" s="311"/>
      <c r="X127" s="307"/>
      <c r="Y127" s="307"/>
      <c r="Z127" s="307"/>
      <c r="AA127" s="307"/>
      <c r="AB127" s="311"/>
      <c r="AC127" s="307"/>
      <c r="AD127" s="307"/>
      <c r="AE127" s="307"/>
      <c r="AF127" s="307"/>
      <c r="AG127" s="310"/>
      <c r="AH127" s="307"/>
      <c r="AI127" s="310"/>
      <c r="AJ127" s="307"/>
      <c r="AK127" s="307"/>
      <c r="AL127" s="307"/>
      <c r="AM127" s="308"/>
      <c r="AN127" s="311"/>
      <c r="AO127" s="307"/>
      <c r="AP127" s="307"/>
      <c r="AQ127" s="308"/>
      <c r="AR127" s="307"/>
      <c r="AS127" s="307"/>
      <c r="AT127" s="307"/>
      <c r="AU127" s="310"/>
      <c r="AV127" s="308"/>
      <c r="AW127" s="312"/>
      <c r="AX127" s="308"/>
      <c r="AY127" s="307"/>
      <c r="AZ127" s="307"/>
      <c r="BA127" s="307"/>
      <c r="BB127" s="307"/>
      <c r="BC127" s="308"/>
      <c r="BD127" s="308"/>
      <c r="BE127" s="313"/>
      <c r="BF127" s="307"/>
      <c r="BG127" s="310"/>
      <c r="BH127" s="307"/>
      <c r="BI127" s="307"/>
      <c r="BJ127" s="310"/>
      <c r="BK127" s="307"/>
      <c r="BL127" s="307"/>
      <c r="BM127" s="310"/>
      <c r="BN127" s="307"/>
      <c r="BO127" s="310"/>
      <c r="BP127" s="307"/>
      <c r="BQ127" s="307"/>
      <c r="BR127" s="307"/>
      <c r="BS127" s="307"/>
      <c r="BT127" s="307"/>
      <c r="BU127" s="310"/>
      <c r="BV127" s="307"/>
      <c r="BW127" s="308"/>
      <c r="BX127" s="311"/>
      <c r="BY127" s="307"/>
      <c r="BZ127" s="307"/>
      <c r="CA127" s="310"/>
      <c r="CB127" s="307"/>
      <c r="CC127" s="307"/>
      <c r="CD127" s="307"/>
      <c r="CE127" s="308"/>
      <c r="CF127" s="308"/>
      <c r="CG127" s="307"/>
      <c r="CH127" s="307"/>
      <c r="CI127" s="307"/>
      <c r="CJ127" s="307"/>
      <c r="CK127" s="314"/>
      <c r="CL127" s="310"/>
      <c r="CM127" s="310"/>
      <c r="CN127" s="307"/>
      <c r="CO127" s="307"/>
      <c r="CP127" s="307"/>
      <c r="CQ127" s="315"/>
      <c r="CR127" s="315"/>
      <c r="CS127" s="315"/>
      <c r="CT127" s="315"/>
      <c r="CU127" s="307"/>
      <c r="CV127" s="217"/>
      <c r="CW127" s="192"/>
      <c r="CX127" s="192"/>
      <c r="CY127" s="192"/>
      <c r="CZ127" s="191"/>
      <c r="DA127" s="193"/>
      <c r="DB127" s="192"/>
      <c r="DC127" s="192"/>
      <c r="DD127" s="192"/>
      <c r="DE127" s="191"/>
      <c r="DF127" s="19"/>
      <c r="DG127" s="192"/>
      <c r="DH127" s="192"/>
      <c r="DI127" s="192"/>
      <c r="DJ127" s="191"/>
      <c r="DK127" s="193"/>
      <c r="DL127" s="192"/>
      <c r="DM127" s="192"/>
      <c r="DN127" s="192"/>
      <c r="DO127" s="191"/>
      <c r="DP127" s="19"/>
      <c r="DQ127" s="192"/>
      <c r="DR127" s="192"/>
      <c r="DS127" s="192"/>
      <c r="DT127" s="191"/>
      <c r="DU127" s="193"/>
      <c r="DV127" s="192"/>
      <c r="DW127" s="192"/>
      <c r="DX127" s="192"/>
      <c r="DY127" s="191"/>
      <c r="DZ127" s="19"/>
      <c r="EA127" s="192"/>
      <c r="EB127" s="192"/>
      <c r="EC127" s="192"/>
      <c r="ED127" s="191"/>
      <c r="EE127" s="193"/>
      <c r="EF127" s="192"/>
      <c r="EG127" s="192"/>
      <c r="EH127" s="192"/>
      <c r="EI127" s="191"/>
      <c r="EJ127" s="19"/>
      <c r="EK127" s="192"/>
      <c r="EL127" s="192"/>
      <c r="EM127" s="192"/>
      <c r="EN127" s="191"/>
      <c r="EO127" s="193"/>
      <c r="EP127" s="192"/>
      <c r="EQ127" s="192"/>
      <c r="ER127" s="192"/>
      <c r="ES127" s="191"/>
      <c r="ET127" s="19"/>
      <c r="EU127" s="192"/>
      <c r="EV127" s="192"/>
      <c r="EW127" s="192"/>
      <c r="EX127" s="191"/>
      <c r="EY127" s="193"/>
      <c r="EZ127" s="192"/>
      <c r="FA127" s="192"/>
      <c r="FB127" s="192"/>
      <c r="FC127" s="191"/>
      <c r="FL127" s="273">
        <f t="shared" ca="1" si="5"/>
        <v>116</v>
      </c>
    </row>
    <row r="128" spans="1:168" ht="16.5" thickBot="1">
      <c r="A128" s="196">
        <v>125</v>
      </c>
      <c r="B128" s="306"/>
      <c r="C128" s="310"/>
      <c r="D128" s="307" t="s">
        <v>271</v>
      </c>
      <c r="E128" s="307" t="s">
        <v>271</v>
      </c>
      <c r="F128" s="308"/>
      <c r="G128" s="343" t="str">
        <f t="shared" si="3"/>
        <v xml:space="preserve"> </v>
      </c>
      <c r="H128" s="307"/>
      <c r="I128" s="309" t="e">
        <f t="shared" si="4"/>
        <v>#N/A</v>
      </c>
      <c r="J128" s="307"/>
      <c r="K128" s="307"/>
      <c r="L128" s="310"/>
      <c r="M128" s="310"/>
      <c r="N128" s="310"/>
      <c r="O128" s="310"/>
      <c r="P128" s="310"/>
      <c r="Q128" s="310"/>
      <c r="R128" s="310"/>
      <c r="S128" s="310"/>
      <c r="T128" s="310"/>
      <c r="U128" s="307"/>
      <c r="V128" s="307"/>
      <c r="W128" s="311"/>
      <c r="X128" s="307"/>
      <c r="Y128" s="307"/>
      <c r="Z128" s="307"/>
      <c r="AA128" s="307"/>
      <c r="AB128" s="311"/>
      <c r="AC128" s="307"/>
      <c r="AD128" s="307"/>
      <c r="AE128" s="307"/>
      <c r="AF128" s="307"/>
      <c r="AG128" s="310"/>
      <c r="AH128" s="307"/>
      <c r="AI128" s="310"/>
      <c r="AJ128" s="307"/>
      <c r="AK128" s="307"/>
      <c r="AL128" s="307"/>
      <c r="AM128" s="308"/>
      <c r="AN128" s="311"/>
      <c r="AO128" s="307"/>
      <c r="AP128" s="307"/>
      <c r="AQ128" s="308"/>
      <c r="AR128" s="307"/>
      <c r="AS128" s="307"/>
      <c r="AT128" s="307"/>
      <c r="AU128" s="310"/>
      <c r="AV128" s="308"/>
      <c r="AW128" s="312"/>
      <c r="AX128" s="308"/>
      <c r="AY128" s="307"/>
      <c r="AZ128" s="307"/>
      <c r="BA128" s="307"/>
      <c r="BB128" s="307"/>
      <c r="BC128" s="308"/>
      <c r="BD128" s="308"/>
      <c r="BE128" s="313"/>
      <c r="BF128" s="307"/>
      <c r="BG128" s="310"/>
      <c r="BH128" s="307"/>
      <c r="BI128" s="307"/>
      <c r="BJ128" s="310"/>
      <c r="BK128" s="307"/>
      <c r="BL128" s="307"/>
      <c r="BM128" s="310"/>
      <c r="BN128" s="307"/>
      <c r="BO128" s="310"/>
      <c r="BP128" s="307"/>
      <c r="BQ128" s="307"/>
      <c r="BR128" s="307"/>
      <c r="BS128" s="307"/>
      <c r="BT128" s="307"/>
      <c r="BU128" s="310"/>
      <c r="BV128" s="307"/>
      <c r="BW128" s="308"/>
      <c r="BX128" s="311"/>
      <c r="BY128" s="307"/>
      <c r="BZ128" s="307"/>
      <c r="CA128" s="310"/>
      <c r="CB128" s="307"/>
      <c r="CC128" s="307"/>
      <c r="CD128" s="307"/>
      <c r="CE128" s="308"/>
      <c r="CF128" s="308"/>
      <c r="CG128" s="307"/>
      <c r="CH128" s="307"/>
      <c r="CI128" s="307"/>
      <c r="CJ128" s="307"/>
      <c r="CK128" s="314"/>
      <c r="CL128" s="310"/>
      <c r="CM128" s="310"/>
      <c r="CN128" s="307"/>
      <c r="CO128" s="307"/>
      <c r="CP128" s="307"/>
      <c r="CQ128" s="315"/>
      <c r="CR128" s="315"/>
      <c r="CS128" s="315"/>
      <c r="CT128" s="315"/>
      <c r="CU128" s="307"/>
      <c r="CV128" s="217"/>
      <c r="CW128" s="192"/>
      <c r="CX128" s="192"/>
      <c r="CY128" s="192"/>
      <c r="CZ128" s="191"/>
      <c r="DA128" s="193"/>
      <c r="DB128" s="192"/>
      <c r="DC128" s="192"/>
      <c r="DD128" s="192"/>
      <c r="DE128" s="191"/>
      <c r="DF128" s="19"/>
      <c r="DG128" s="192"/>
      <c r="DH128" s="192"/>
      <c r="DI128" s="192"/>
      <c r="DJ128" s="191"/>
      <c r="DK128" s="193"/>
      <c r="DL128" s="192"/>
      <c r="DM128" s="192"/>
      <c r="DN128" s="192"/>
      <c r="DO128" s="191"/>
      <c r="DP128" s="19"/>
      <c r="DQ128" s="192"/>
      <c r="DR128" s="192"/>
      <c r="DS128" s="192"/>
      <c r="DT128" s="191"/>
      <c r="DU128" s="193"/>
      <c r="DV128" s="192"/>
      <c r="DW128" s="192"/>
      <c r="DX128" s="192"/>
      <c r="DY128" s="191"/>
      <c r="DZ128" s="19"/>
      <c r="EA128" s="192"/>
      <c r="EB128" s="192"/>
      <c r="EC128" s="192"/>
      <c r="ED128" s="191"/>
      <c r="EE128" s="193"/>
      <c r="EF128" s="192"/>
      <c r="EG128" s="192"/>
      <c r="EH128" s="192"/>
      <c r="EI128" s="191"/>
      <c r="EJ128" s="19"/>
      <c r="EK128" s="192"/>
      <c r="EL128" s="192"/>
      <c r="EM128" s="192"/>
      <c r="EN128" s="191"/>
      <c r="EO128" s="193"/>
      <c r="EP128" s="192"/>
      <c r="EQ128" s="192"/>
      <c r="ER128" s="192"/>
      <c r="ES128" s="191"/>
      <c r="ET128" s="19"/>
      <c r="EU128" s="192"/>
      <c r="EV128" s="192"/>
      <c r="EW128" s="192"/>
      <c r="EX128" s="191"/>
      <c r="EY128" s="193"/>
      <c r="EZ128" s="192"/>
      <c r="FA128" s="192"/>
      <c r="FB128" s="192"/>
      <c r="FC128" s="191"/>
      <c r="FL128" s="273">
        <f t="shared" ca="1" si="5"/>
        <v>116</v>
      </c>
    </row>
    <row r="129" spans="1:168" ht="16.5" thickBot="1">
      <c r="A129" s="199">
        <v>126</v>
      </c>
      <c r="B129" s="306"/>
      <c r="C129" s="310"/>
      <c r="D129" s="307" t="s">
        <v>271</v>
      </c>
      <c r="E129" s="307" t="s">
        <v>271</v>
      </c>
      <c r="F129" s="308"/>
      <c r="G129" s="343" t="str">
        <f t="shared" si="3"/>
        <v xml:space="preserve"> </v>
      </c>
      <c r="H129" s="307"/>
      <c r="I129" s="309" t="e">
        <f t="shared" si="4"/>
        <v>#N/A</v>
      </c>
      <c r="J129" s="307"/>
      <c r="K129" s="307"/>
      <c r="L129" s="310"/>
      <c r="M129" s="310"/>
      <c r="N129" s="310"/>
      <c r="O129" s="310"/>
      <c r="P129" s="310"/>
      <c r="Q129" s="310"/>
      <c r="R129" s="310"/>
      <c r="S129" s="310"/>
      <c r="T129" s="310"/>
      <c r="U129" s="307"/>
      <c r="V129" s="307"/>
      <c r="W129" s="311"/>
      <c r="X129" s="307"/>
      <c r="Y129" s="307"/>
      <c r="Z129" s="307"/>
      <c r="AA129" s="307"/>
      <c r="AB129" s="311"/>
      <c r="AC129" s="307"/>
      <c r="AD129" s="307"/>
      <c r="AE129" s="307"/>
      <c r="AF129" s="307"/>
      <c r="AG129" s="310"/>
      <c r="AH129" s="307"/>
      <c r="AI129" s="310"/>
      <c r="AJ129" s="307"/>
      <c r="AK129" s="307"/>
      <c r="AL129" s="307"/>
      <c r="AM129" s="308"/>
      <c r="AN129" s="311"/>
      <c r="AO129" s="307"/>
      <c r="AP129" s="307"/>
      <c r="AQ129" s="308"/>
      <c r="AR129" s="307"/>
      <c r="AS129" s="307"/>
      <c r="AT129" s="307"/>
      <c r="AU129" s="310"/>
      <c r="AV129" s="308"/>
      <c r="AW129" s="312"/>
      <c r="AX129" s="308"/>
      <c r="AY129" s="307"/>
      <c r="AZ129" s="307"/>
      <c r="BA129" s="307"/>
      <c r="BB129" s="307"/>
      <c r="BC129" s="308"/>
      <c r="BD129" s="308"/>
      <c r="BE129" s="313"/>
      <c r="BF129" s="307"/>
      <c r="BG129" s="310"/>
      <c r="BH129" s="307"/>
      <c r="BI129" s="307"/>
      <c r="BJ129" s="310"/>
      <c r="BK129" s="307"/>
      <c r="BL129" s="307"/>
      <c r="BM129" s="310"/>
      <c r="BN129" s="307"/>
      <c r="BO129" s="310"/>
      <c r="BP129" s="307"/>
      <c r="BQ129" s="307"/>
      <c r="BR129" s="307"/>
      <c r="BS129" s="307"/>
      <c r="BT129" s="307"/>
      <c r="BU129" s="310"/>
      <c r="BV129" s="307"/>
      <c r="BW129" s="308"/>
      <c r="BX129" s="311"/>
      <c r="BY129" s="307"/>
      <c r="BZ129" s="307"/>
      <c r="CA129" s="310"/>
      <c r="CB129" s="307"/>
      <c r="CC129" s="307"/>
      <c r="CD129" s="307"/>
      <c r="CE129" s="308"/>
      <c r="CF129" s="308"/>
      <c r="CG129" s="307"/>
      <c r="CH129" s="307"/>
      <c r="CI129" s="307"/>
      <c r="CJ129" s="307"/>
      <c r="CK129" s="314"/>
      <c r="CL129" s="310"/>
      <c r="CM129" s="310"/>
      <c r="CN129" s="307"/>
      <c r="CO129" s="307"/>
      <c r="CP129" s="307"/>
      <c r="CQ129" s="315"/>
      <c r="CR129" s="315"/>
      <c r="CS129" s="315"/>
      <c r="CT129" s="315"/>
      <c r="CU129" s="307"/>
      <c r="CV129" s="217"/>
      <c r="CW129" s="192"/>
      <c r="CX129" s="192"/>
      <c r="CY129" s="192"/>
      <c r="CZ129" s="191"/>
      <c r="DA129" s="193"/>
      <c r="DB129" s="192"/>
      <c r="DC129" s="192"/>
      <c r="DD129" s="192"/>
      <c r="DE129" s="191"/>
      <c r="DF129" s="19"/>
      <c r="DG129" s="192"/>
      <c r="DH129" s="192"/>
      <c r="DI129" s="192"/>
      <c r="DJ129" s="191"/>
      <c r="DK129" s="193"/>
      <c r="DL129" s="192"/>
      <c r="DM129" s="192"/>
      <c r="DN129" s="192"/>
      <c r="DO129" s="191"/>
      <c r="DP129" s="19"/>
      <c r="DQ129" s="192"/>
      <c r="DR129" s="192"/>
      <c r="DS129" s="192"/>
      <c r="DT129" s="191"/>
      <c r="DU129" s="193"/>
      <c r="DV129" s="192"/>
      <c r="DW129" s="192"/>
      <c r="DX129" s="192"/>
      <c r="DY129" s="191"/>
      <c r="DZ129" s="19"/>
      <c r="EA129" s="192"/>
      <c r="EB129" s="192"/>
      <c r="EC129" s="192"/>
      <c r="ED129" s="191"/>
      <c r="EE129" s="193"/>
      <c r="EF129" s="192"/>
      <c r="EG129" s="192"/>
      <c r="EH129" s="192"/>
      <c r="EI129" s="191"/>
      <c r="EJ129" s="19"/>
      <c r="EK129" s="192"/>
      <c r="EL129" s="192"/>
      <c r="EM129" s="192"/>
      <c r="EN129" s="191"/>
      <c r="EO129" s="193"/>
      <c r="EP129" s="192"/>
      <c r="EQ129" s="192"/>
      <c r="ER129" s="192"/>
      <c r="ES129" s="191"/>
      <c r="ET129" s="19"/>
      <c r="EU129" s="192"/>
      <c r="EV129" s="192"/>
      <c r="EW129" s="192"/>
      <c r="EX129" s="191"/>
      <c r="EY129" s="193"/>
      <c r="EZ129" s="192"/>
      <c r="FA129" s="192"/>
      <c r="FB129" s="192"/>
      <c r="FC129" s="191"/>
      <c r="FL129" s="273">
        <f t="shared" ca="1" si="5"/>
        <v>116</v>
      </c>
    </row>
    <row r="130" spans="1:168" ht="16.5" thickBot="1">
      <c r="A130" s="196">
        <v>127</v>
      </c>
      <c r="B130" s="306"/>
      <c r="C130" s="310"/>
      <c r="D130" s="307" t="s">
        <v>271</v>
      </c>
      <c r="E130" s="307" t="s">
        <v>271</v>
      </c>
      <c r="F130" s="308"/>
      <c r="G130" s="343" t="str">
        <f t="shared" si="3"/>
        <v xml:space="preserve"> </v>
      </c>
      <c r="H130" s="307"/>
      <c r="I130" s="309" t="e">
        <f t="shared" si="4"/>
        <v>#N/A</v>
      </c>
      <c r="J130" s="307"/>
      <c r="K130" s="307"/>
      <c r="L130" s="310"/>
      <c r="M130" s="310"/>
      <c r="N130" s="310"/>
      <c r="O130" s="310"/>
      <c r="P130" s="310"/>
      <c r="Q130" s="310"/>
      <c r="R130" s="310"/>
      <c r="S130" s="310"/>
      <c r="T130" s="310"/>
      <c r="U130" s="307"/>
      <c r="V130" s="307"/>
      <c r="W130" s="311"/>
      <c r="X130" s="307"/>
      <c r="Y130" s="307"/>
      <c r="Z130" s="307"/>
      <c r="AA130" s="307"/>
      <c r="AB130" s="311"/>
      <c r="AC130" s="307"/>
      <c r="AD130" s="307"/>
      <c r="AE130" s="307"/>
      <c r="AF130" s="307"/>
      <c r="AG130" s="310"/>
      <c r="AH130" s="307"/>
      <c r="AI130" s="310"/>
      <c r="AJ130" s="307"/>
      <c r="AK130" s="307"/>
      <c r="AL130" s="307"/>
      <c r="AM130" s="308"/>
      <c r="AN130" s="311"/>
      <c r="AO130" s="307"/>
      <c r="AP130" s="307"/>
      <c r="AQ130" s="308"/>
      <c r="AR130" s="307"/>
      <c r="AS130" s="307"/>
      <c r="AT130" s="307"/>
      <c r="AU130" s="310"/>
      <c r="AV130" s="308"/>
      <c r="AW130" s="312"/>
      <c r="AX130" s="308"/>
      <c r="AY130" s="307"/>
      <c r="AZ130" s="307"/>
      <c r="BA130" s="307"/>
      <c r="BB130" s="307"/>
      <c r="BC130" s="308"/>
      <c r="BD130" s="308"/>
      <c r="BE130" s="313"/>
      <c r="BF130" s="307"/>
      <c r="BG130" s="310"/>
      <c r="BH130" s="307"/>
      <c r="BI130" s="307"/>
      <c r="BJ130" s="310"/>
      <c r="BK130" s="307"/>
      <c r="BL130" s="307"/>
      <c r="BM130" s="310"/>
      <c r="BN130" s="307"/>
      <c r="BO130" s="310"/>
      <c r="BP130" s="307"/>
      <c r="BQ130" s="307"/>
      <c r="BR130" s="307"/>
      <c r="BS130" s="307"/>
      <c r="BT130" s="307"/>
      <c r="BU130" s="310"/>
      <c r="BV130" s="307"/>
      <c r="BW130" s="308"/>
      <c r="BX130" s="311"/>
      <c r="BY130" s="307"/>
      <c r="BZ130" s="307"/>
      <c r="CA130" s="310"/>
      <c r="CB130" s="307"/>
      <c r="CC130" s="307"/>
      <c r="CD130" s="307"/>
      <c r="CE130" s="308"/>
      <c r="CF130" s="308"/>
      <c r="CG130" s="307"/>
      <c r="CH130" s="307"/>
      <c r="CI130" s="307"/>
      <c r="CJ130" s="307"/>
      <c r="CK130" s="314"/>
      <c r="CL130" s="310"/>
      <c r="CM130" s="310"/>
      <c r="CN130" s="307"/>
      <c r="CO130" s="307"/>
      <c r="CP130" s="307"/>
      <c r="CQ130" s="315"/>
      <c r="CR130" s="315"/>
      <c r="CS130" s="315"/>
      <c r="CT130" s="315"/>
      <c r="CU130" s="307"/>
      <c r="CV130" s="217"/>
      <c r="CW130" s="192"/>
      <c r="CX130" s="192"/>
      <c r="CY130" s="192"/>
      <c r="CZ130" s="191"/>
      <c r="DA130" s="193"/>
      <c r="DB130" s="192"/>
      <c r="DC130" s="192"/>
      <c r="DD130" s="192"/>
      <c r="DE130" s="191"/>
      <c r="DF130" s="19"/>
      <c r="DG130" s="192"/>
      <c r="DH130" s="192"/>
      <c r="DI130" s="192"/>
      <c r="DJ130" s="191"/>
      <c r="DK130" s="193"/>
      <c r="DL130" s="192"/>
      <c r="DM130" s="192"/>
      <c r="DN130" s="192"/>
      <c r="DO130" s="191"/>
      <c r="DP130" s="19"/>
      <c r="DQ130" s="192"/>
      <c r="DR130" s="192"/>
      <c r="DS130" s="192"/>
      <c r="DT130" s="191"/>
      <c r="DU130" s="193"/>
      <c r="DV130" s="192"/>
      <c r="DW130" s="192"/>
      <c r="DX130" s="192"/>
      <c r="DY130" s="191"/>
      <c r="DZ130" s="19"/>
      <c r="EA130" s="192"/>
      <c r="EB130" s="192"/>
      <c r="EC130" s="192"/>
      <c r="ED130" s="191"/>
      <c r="EE130" s="193"/>
      <c r="EF130" s="192"/>
      <c r="EG130" s="192"/>
      <c r="EH130" s="192"/>
      <c r="EI130" s="191"/>
      <c r="EJ130" s="19"/>
      <c r="EK130" s="192"/>
      <c r="EL130" s="192"/>
      <c r="EM130" s="192"/>
      <c r="EN130" s="191"/>
      <c r="EO130" s="193"/>
      <c r="EP130" s="192"/>
      <c r="EQ130" s="192"/>
      <c r="ER130" s="192"/>
      <c r="ES130" s="191"/>
      <c r="ET130" s="19"/>
      <c r="EU130" s="192"/>
      <c r="EV130" s="192"/>
      <c r="EW130" s="192"/>
      <c r="EX130" s="191"/>
      <c r="EY130" s="193"/>
      <c r="EZ130" s="192"/>
      <c r="FA130" s="192"/>
      <c r="FB130" s="192"/>
      <c r="FC130" s="191"/>
      <c r="FL130" s="273">
        <f t="shared" ca="1" si="5"/>
        <v>116</v>
      </c>
    </row>
    <row r="131" spans="1:168" ht="16.5" thickBot="1">
      <c r="A131" s="199">
        <v>128</v>
      </c>
      <c r="B131" s="306"/>
      <c r="C131" s="310"/>
      <c r="D131" s="307" t="s">
        <v>271</v>
      </c>
      <c r="E131" s="307" t="s">
        <v>271</v>
      </c>
      <c r="F131" s="308"/>
      <c r="G131" s="343" t="str">
        <f t="shared" si="3"/>
        <v xml:space="preserve"> </v>
      </c>
      <c r="H131" s="307"/>
      <c r="I131" s="309" t="e">
        <f t="shared" si="4"/>
        <v>#N/A</v>
      </c>
      <c r="J131" s="307"/>
      <c r="K131" s="307"/>
      <c r="L131" s="310"/>
      <c r="M131" s="310"/>
      <c r="N131" s="310"/>
      <c r="O131" s="310"/>
      <c r="P131" s="310"/>
      <c r="Q131" s="310"/>
      <c r="R131" s="310"/>
      <c r="S131" s="310"/>
      <c r="T131" s="310"/>
      <c r="U131" s="307"/>
      <c r="V131" s="307"/>
      <c r="W131" s="311"/>
      <c r="X131" s="307"/>
      <c r="Y131" s="307"/>
      <c r="Z131" s="307"/>
      <c r="AA131" s="307"/>
      <c r="AB131" s="311"/>
      <c r="AC131" s="307"/>
      <c r="AD131" s="307"/>
      <c r="AE131" s="307"/>
      <c r="AF131" s="307"/>
      <c r="AG131" s="310"/>
      <c r="AH131" s="307"/>
      <c r="AI131" s="310"/>
      <c r="AJ131" s="307"/>
      <c r="AK131" s="307"/>
      <c r="AL131" s="307"/>
      <c r="AM131" s="308"/>
      <c r="AN131" s="311"/>
      <c r="AO131" s="307"/>
      <c r="AP131" s="307"/>
      <c r="AQ131" s="308"/>
      <c r="AR131" s="307"/>
      <c r="AS131" s="307"/>
      <c r="AT131" s="307"/>
      <c r="AU131" s="310"/>
      <c r="AV131" s="308"/>
      <c r="AW131" s="312"/>
      <c r="AX131" s="308"/>
      <c r="AY131" s="307"/>
      <c r="AZ131" s="307"/>
      <c r="BA131" s="307"/>
      <c r="BB131" s="307"/>
      <c r="BC131" s="308"/>
      <c r="BD131" s="308"/>
      <c r="BE131" s="313"/>
      <c r="BF131" s="307"/>
      <c r="BG131" s="310"/>
      <c r="BH131" s="307"/>
      <c r="BI131" s="307"/>
      <c r="BJ131" s="310"/>
      <c r="BK131" s="307"/>
      <c r="BL131" s="307"/>
      <c r="BM131" s="310"/>
      <c r="BN131" s="307"/>
      <c r="BO131" s="310"/>
      <c r="BP131" s="307"/>
      <c r="BQ131" s="307"/>
      <c r="BR131" s="307"/>
      <c r="BS131" s="307"/>
      <c r="BT131" s="307"/>
      <c r="BU131" s="310"/>
      <c r="BV131" s="307"/>
      <c r="BW131" s="308"/>
      <c r="BX131" s="311"/>
      <c r="BY131" s="307"/>
      <c r="BZ131" s="307"/>
      <c r="CA131" s="310"/>
      <c r="CB131" s="307"/>
      <c r="CC131" s="307"/>
      <c r="CD131" s="307"/>
      <c r="CE131" s="308"/>
      <c r="CF131" s="308"/>
      <c r="CG131" s="307"/>
      <c r="CH131" s="307"/>
      <c r="CI131" s="307"/>
      <c r="CJ131" s="307"/>
      <c r="CK131" s="314"/>
      <c r="CL131" s="310"/>
      <c r="CM131" s="310"/>
      <c r="CN131" s="307"/>
      <c r="CO131" s="307"/>
      <c r="CP131" s="307"/>
      <c r="CQ131" s="315"/>
      <c r="CR131" s="315"/>
      <c r="CS131" s="315"/>
      <c r="CT131" s="315"/>
      <c r="CU131" s="307"/>
      <c r="CV131" s="217"/>
      <c r="CW131" s="192"/>
      <c r="CX131" s="192"/>
      <c r="CY131" s="192"/>
      <c r="CZ131" s="191"/>
      <c r="DA131" s="193"/>
      <c r="DB131" s="192"/>
      <c r="DC131" s="192"/>
      <c r="DD131" s="192"/>
      <c r="DE131" s="191"/>
      <c r="DF131" s="19"/>
      <c r="DG131" s="192"/>
      <c r="DH131" s="192"/>
      <c r="DI131" s="192"/>
      <c r="DJ131" s="191"/>
      <c r="DK131" s="193"/>
      <c r="DL131" s="192"/>
      <c r="DM131" s="192"/>
      <c r="DN131" s="192"/>
      <c r="DO131" s="191"/>
      <c r="DP131" s="19"/>
      <c r="DQ131" s="192"/>
      <c r="DR131" s="192"/>
      <c r="DS131" s="192"/>
      <c r="DT131" s="191"/>
      <c r="DU131" s="193"/>
      <c r="DV131" s="192"/>
      <c r="DW131" s="192"/>
      <c r="DX131" s="192"/>
      <c r="DY131" s="191"/>
      <c r="DZ131" s="19"/>
      <c r="EA131" s="192"/>
      <c r="EB131" s="192"/>
      <c r="EC131" s="192"/>
      <c r="ED131" s="191"/>
      <c r="EE131" s="193"/>
      <c r="EF131" s="192"/>
      <c r="EG131" s="192"/>
      <c r="EH131" s="192"/>
      <c r="EI131" s="191"/>
      <c r="EJ131" s="19"/>
      <c r="EK131" s="192"/>
      <c r="EL131" s="192"/>
      <c r="EM131" s="192"/>
      <c r="EN131" s="191"/>
      <c r="EO131" s="193"/>
      <c r="EP131" s="192"/>
      <c r="EQ131" s="192"/>
      <c r="ER131" s="192"/>
      <c r="ES131" s="191"/>
      <c r="ET131" s="19"/>
      <c r="EU131" s="192"/>
      <c r="EV131" s="192"/>
      <c r="EW131" s="192"/>
      <c r="EX131" s="191"/>
      <c r="EY131" s="193"/>
      <c r="EZ131" s="192"/>
      <c r="FA131" s="192"/>
      <c r="FB131" s="192"/>
      <c r="FC131" s="191"/>
      <c r="FL131" s="273">
        <f t="shared" ca="1" si="5"/>
        <v>116</v>
      </c>
    </row>
    <row r="132" spans="1:168" ht="16.5" thickBot="1">
      <c r="A132" s="196">
        <v>129</v>
      </c>
      <c r="B132" s="306"/>
      <c r="C132" s="310"/>
      <c r="D132" s="307" t="s">
        <v>271</v>
      </c>
      <c r="E132" s="307" t="s">
        <v>271</v>
      </c>
      <c r="F132" s="308"/>
      <c r="G132" s="343" t="str">
        <f t="shared" si="3"/>
        <v xml:space="preserve"> </v>
      </c>
      <c r="H132" s="307"/>
      <c r="I132" s="309" t="e">
        <f t="shared" si="4"/>
        <v>#N/A</v>
      </c>
      <c r="J132" s="307"/>
      <c r="K132" s="307"/>
      <c r="L132" s="310"/>
      <c r="M132" s="310"/>
      <c r="N132" s="310"/>
      <c r="O132" s="310"/>
      <c r="P132" s="310"/>
      <c r="Q132" s="310"/>
      <c r="R132" s="310"/>
      <c r="S132" s="310"/>
      <c r="T132" s="310"/>
      <c r="U132" s="307"/>
      <c r="V132" s="307"/>
      <c r="W132" s="311"/>
      <c r="X132" s="307"/>
      <c r="Y132" s="307"/>
      <c r="Z132" s="307"/>
      <c r="AA132" s="307"/>
      <c r="AB132" s="311"/>
      <c r="AC132" s="307"/>
      <c r="AD132" s="307"/>
      <c r="AE132" s="307"/>
      <c r="AF132" s="307"/>
      <c r="AG132" s="310"/>
      <c r="AH132" s="307"/>
      <c r="AI132" s="310"/>
      <c r="AJ132" s="307"/>
      <c r="AK132" s="307"/>
      <c r="AL132" s="307"/>
      <c r="AM132" s="308"/>
      <c r="AN132" s="311"/>
      <c r="AO132" s="307"/>
      <c r="AP132" s="307"/>
      <c r="AQ132" s="308"/>
      <c r="AR132" s="307"/>
      <c r="AS132" s="307"/>
      <c r="AT132" s="307"/>
      <c r="AU132" s="310"/>
      <c r="AV132" s="308"/>
      <c r="AW132" s="312"/>
      <c r="AX132" s="308"/>
      <c r="AY132" s="307"/>
      <c r="AZ132" s="307"/>
      <c r="BA132" s="307"/>
      <c r="BB132" s="307"/>
      <c r="BC132" s="308"/>
      <c r="BD132" s="308"/>
      <c r="BE132" s="313"/>
      <c r="BF132" s="307"/>
      <c r="BG132" s="310"/>
      <c r="BH132" s="307"/>
      <c r="BI132" s="307"/>
      <c r="BJ132" s="310"/>
      <c r="BK132" s="307"/>
      <c r="BL132" s="307"/>
      <c r="BM132" s="310"/>
      <c r="BN132" s="307"/>
      <c r="BO132" s="310"/>
      <c r="BP132" s="307"/>
      <c r="BQ132" s="307"/>
      <c r="BR132" s="307"/>
      <c r="BS132" s="307"/>
      <c r="BT132" s="307"/>
      <c r="BU132" s="310"/>
      <c r="BV132" s="307"/>
      <c r="BW132" s="308"/>
      <c r="BX132" s="311"/>
      <c r="BY132" s="307"/>
      <c r="BZ132" s="307"/>
      <c r="CA132" s="310"/>
      <c r="CB132" s="307"/>
      <c r="CC132" s="307"/>
      <c r="CD132" s="307"/>
      <c r="CE132" s="308"/>
      <c r="CF132" s="308"/>
      <c r="CG132" s="307"/>
      <c r="CH132" s="307"/>
      <c r="CI132" s="307"/>
      <c r="CJ132" s="307"/>
      <c r="CK132" s="314"/>
      <c r="CL132" s="310"/>
      <c r="CM132" s="310"/>
      <c r="CN132" s="307"/>
      <c r="CO132" s="307"/>
      <c r="CP132" s="307"/>
      <c r="CQ132" s="315"/>
      <c r="CR132" s="315"/>
      <c r="CS132" s="315"/>
      <c r="CT132" s="315"/>
      <c r="CU132" s="307"/>
      <c r="CV132" s="217"/>
      <c r="CW132" s="192"/>
      <c r="CX132" s="192"/>
      <c r="CY132" s="192"/>
      <c r="CZ132" s="191"/>
      <c r="DA132" s="193"/>
      <c r="DB132" s="192"/>
      <c r="DC132" s="192"/>
      <c r="DD132" s="192"/>
      <c r="DE132" s="191"/>
      <c r="DF132" s="19"/>
      <c r="DG132" s="192"/>
      <c r="DH132" s="192"/>
      <c r="DI132" s="192"/>
      <c r="DJ132" s="191"/>
      <c r="DK132" s="193"/>
      <c r="DL132" s="192"/>
      <c r="DM132" s="192"/>
      <c r="DN132" s="192"/>
      <c r="DO132" s="191"/>
      <c r="DP132" s="19"/>
      <c r="DQ132" s="192"/>
      <c r="DR132" s="192"/>
      <c r="DS132" s="192"/>
      <c r="DT132" s="191"/>
      <c r="DU132" s="193"/>
      <c r="DV132" s="192"/>
      <c r="DW132" s="192"/>
      <c r="DX132" s="192"/>
      <c r="DY132" s="191"/>
      <c r="DZ132" s="19"/>
      <c r="EA132" s="192"/>
      <c r="EB132" s="192"/>
      <c r="EC132" s="192"/>
      <c r="ED132" s="191"/>
      <c r="EE132" s="193"/>
      <c r="EF132" s="192"/>
      <c r="EG132" s="192"/>
      <c r="EH132" s="192"/>
      <c r="EI132" s="191"/>
      <c r="EJ132" s="19"/>
      <c r="EK132" s="192"/>
      <c r="EL132" s="192"/>
      <c r="EM132" s="192"/>
      <c r="EN132" s="191"/>
      <c r="EO132" s="193"/>
      <c r="EP132" s="192"/>
      <c r="EQ132" s="192"/>
      <c r="ER132" s="192"/>
      <c r="ES132" s="191"/>
      <c r="ET132" s="19"/>
      <c r="EU132" s="192"/>
      <c r="EV132" s="192"/>
      <c r="EW132" s="192"/>
      <c r="EX132" s="191"/>
      <c r="EY132" s="193"/>
      <c r="EZ132" s="192"/>
      <c r="FA132" s="192"/>
      <c r="FB132" s="192"/>
      <c r="FC132" s="191"/>
      <c r="FL132" s="273">
        <f t="shared" ca="1" si="5"/>
        <v>116</v>
      </c>
    </row>
    <row r="133" spans="1:168" ht="16.5" thickBot="1">
      <c r="A133" s="199">
        <v>130</v>
      </c>
      <c r="B133" s="306"/>
      <c r="C133" s="310"/>
      <c r="D133" s="307" t="s">
        <v>271</v>
      </c>
      <c r="E133" s="307" t="s">
        <v>271</v>
      </c>
      <c r="F133" s="308"/>
      <c r="G133" s="343" t="str">
        <f t="shared" ref="G133:G196" si="6">IF(F133=0," ",IF(F133&gt;0,FL133))</f>
        <v xml:space="preserve"> </v>
      </c>
      <c r="H133" s="307"/>
      <c r="I133" s="309" t="e">
        <f t="shared" ref="I133:I196" si="7">VLOOKUP(J133,$FH$5:$FI$32,2)</f>
        <v>#N/A</v>
      </c>
      <c r="J133" s="307"/>
      <c r="K133" s="307"/>
      <c r="L133" s="310"/>
      <c r="M133" s="310"/>
      <c r="N133" s="310"/>
      <c r="O133" s="310"/>
      <c r="P133" s="310"/>
      <c r="Q133" s="310"/>
      <c r="R133" s="310"/>
      <c r="S133" s="310"/>
      <c r="T133" s="310"/>
      <c r="U133" s="307"/>
      <c r="V133" s="307"/>
      <c r="W133" s="311"/>
      <c r="X133" s="307"/>
      <c r="Y133" s="307"/>
      <c r="Z133" s="307"/>
      <c r="AA133" s="307"/>
      <c r="AB133" s="311"/>
      <c r="AC133" s="307"/>
      <c r="AD133" s="307"/>
      <c r="AE133" s="307"/>
      <c r="AF133" s="307"/>
      <c r="AG133" s="310"/>
      <c r="AH133" s="307"/>
      <c r="AI133" s="310"/>
      <c r="AJ133" s="307"/>
      <c r="AK133" s="307"/>
      <c r="AL133" s="307"/>
      <c r="AM133" s="308"/>
      <c r="AN133" s="311"/>
      <c r="AO133" s="307"/>
      <c r="AP133" s="307"/>
      <c r="AQ133" s="308"/>
      <c r="AR133" s="307"/>
      <c r="AS133" s="307"/>
      <c r="AT133" s="307"/>
      <c r="AU133" s="310"/>
      <c r="AV133" s="308"/>
      <c r="AW133" s="312"/>
      <c r="AX133" s="308"/>
      <c r="AY133" s="307"/>
      <c r="AZ133" s="307"/>
      <c r="BA133" s="307"/>
      <c r="BB133" s="307"/>
      <c r="BC133" s="308"/>
      <c r="BD133" s="308"/>
      <c r="BE133" s="313"/>
      <c r="BF133" s="307"/>
      <c r="BG133" s="310"/>
      <c r="BH133" s="307"/>
      <c r="BI133" s="307"/>
      <c r="BJ133" s="310"/>
      <c r="BK133" s="307"/>
      <c r="BL133" s="307"/>
      <c r="BM133" s="310"/>
      <c r="BN133" s="307"/>
      <c r="BO133" s="310"/>
      <c r="BP133" s="307"/>
      <c r="BQ133" s="307"/>
      <c r="BR133" s="307"/>
      <c r="BS133" s="307"/>
      <c r="BT133" s="307"/>
      <c r="BU133" s="310"/>
      <c r="BV133" s="307"/>
      <c r="BW133" s="308"/>
      <c r="BX133" s="311"/>
      <c r="BY133" s="307"/>
      <c r="BZ133" s="307"/>
      <c r="CA133" s="310"/>
      <c r="CB133" s="307"/>
      <c r="CC133" s="307"/>
      <c r="CD133" s="307"/>
      <c r="CE133" s="308"/>
      <c r="CF133" s="308"/>
      <c r="CG133" s="307"/>
      <c r="CH133" s="307"/>
      <c r="CI133" s="307"/>
      <c r="CJ133" s="307"/>
      <c r="CK133" s="314"/>
      <c r="CL133" s="310"/>
      <c r="CM133" s="310"/>
      <c r="CN133" s="307"/>
      <c r="CO133" s="307"/>
      <c r="CP133" s="307"/>
      <c r="CQ133" s="315"/>
      <c r="CR133" s="315"/>
      <c r="CS133" s="315"/>
      <c r="CT133" s="315"/>
      <c r="CU133" s="307"/>
      <c r="CV133" s="217"/>
      <c r="CW133" s="192"/>
      <c r="CX133" s="192"/>
      <c r="CY133" s="192"/>
      <c r="CZ133" s="191"/>
      <c r="DA133" s="193"/>
      <c r="DB133" s="192"/>
      <c r="DC133" s="192"/>
      <c r="DD133" s="192"/>
      <c r="DE133" s="191"/>
      <c r="DF133" s="19"/>
      <c r="DG133" s="192"/>
      <c r="DH133" s="192"/>
      <c r="DI133" s="192"/>
      <c r="DJ133" s="191"/>
      <c r="DK133" s="193"/>
      <c r="DL133" s="192"/>
      <c r="DM133" s="192"/>
      <c r="DN133" s="192"/>
      <c r="DO133" s="191"/>
      <c r="DP133" s="19"/>
      <c r="DQ133" s="192"/>
      <c r="DR133" s="192"/>
      <c r="DS133" s="192"/>
      <c r="DT133" s="191"/>
      <c r="DU133" s="193"/>
      <c r="DV133" s="192"/>
      <c r="DW133" s="192"/>
      <c r="DX133" s="192"/>
      <c r="DY133" s="191"/>
      <c r="DZ133" s="19"/>
      <c r="EA133" s="192"/>
      <c r="EB133" s="192"/>
      <c r="EC133" s="192"/>
      <c r="ED133" s="191"/>
      <c r="EE133" s="193"/>
      <c r="EF133" s="192"/>
      <c r="EG133" s="192"/>
      <c r="EH133" s="192"/>
      <c r="EI133" s="191"/>
      <c r="EJ133" s="19"/>
      <c r="EK133" s="192"/>
      <c r="EL133" s="192"/>
      <c r="EM133" s="192"/>
      <c r="EN133" s="191"/>
      <c r="EO133" s="193"/>
      <c r="EP133" s="192"/>
      <c r="EQ133" s="192"/>
      <c r="ER133" s="192"/>
      <c r="ES133" s="191"/>
      <c r="ET133" s="19"/>
      <c r="EU133" s="192"/>
      <c r="EV133" s="192"/>
      <c r="EW133" s="192"/>
      <c r="EX133" s="191"/>
      <c r="EY133" s="193"/>
      <c r="EZ133" s="192"/>
      <c r="FA133" s="192"/>
      <c r="FB133" s="192"/>
      <c r="FC133" s="191"/>
      <c r="FL133" s="273">
        <f t="shared" ca="1" si="5"/>
        <v>116</v>
      </c>
    </row>
    <row r="134" spans="1:168" ht="16.5" thickBot="1">
      <c r="A134" s="196">
        <v>131</v>
      </c>
      <c r="B134" s="306"/>
      <c r="C134" s="310"/>
      <c r="D134" s="307" t="s">
        <v>271</v>
      </c>
      <c r="E134" s="307" t="s">
        <v>271</v>
      </c>
      <c r="F134" s="308"/>
      <c r="G134" s="343" t="str">
        <f t="shared" si="6"/>
        <v xml:space="preserve"> </v>
      </c>
      <c r="H134" s="307"/>
      <c r="I134" s="309" t="e">
        <f t="shared" si="7"/>
        <v>#N/A</v>
      </c>
      <c r="J134" s="307"/>
      <c r="K134" s="307"/>
      <c r="L134" s="310"/>
      <c r="M134" s="310"/>
      <c r="N134" s="310"/>
      <c r="O134" s="310"/>
      <c r="P134" s="310"/>
      <c r="Q134" s="310"/>
      <c r="R134" s="310"/>
      <c r="S134" s="310"/>
      <c r="T134" s="310"/>
      <c r="U134" s="307"/>
      <c r="V134" s="307"/>
      <c r="W134" s="311"/>
      <c r="X134" s="307"/>
      <c r="Y134" s="307"/>
      <c r="Z134" s="307"/>
      <c r="AA134" s="307"/>
      <c r="AB134" s="311"/>
      <c r="AC134" s="307"/>
      <c r="AD134" s="307"/>
      <c r="AE134" s="307"/>
      <c r="AF134" s="307"/>
      <c r="AG134" s="310"/>
      <c r="AH134" s="307"/>
      <c r="AI134" s="310"/>
      <c r="AJ134" s="307"/>
      <c r="AK134" s="307"/>
      <c r="AL134" s="307"/>
      <c r="AM134" s="308"/>
      <c r="AN134" s="311"/>
      <c r="AO134" s="307"/>
      <c r="AP134" s="307"/>
      <c r="AQ134" s="308"/>
      <c r="AR134" s="307"/>
      <c r="AS134" s="307"/>
      <c r="AT134" s="307"/>
      <c r="AU134" s="310"/>
      <c r="AV134" s="308"/>
      <c r="AW134" s="312"/>
      <c r="AX134" s="308"/>
      <c r="AY134" s="307"/>
      <c r="AZ134" s="307"/>
      <c r="BA134" s="307"/>
      <c r="BB134" s="307"/>
      <c r="BC134" s="308"/>
      <c r="BD134" s="308"/>
      <c r="BE134" s="313"/>
      <c r="BF134" s="307"/>
      <c r="BG134" s="310"/>
      <c r="BH134" s="307"/>
      <c r="BI134" s="307"/>
      <c r="BJ134" s="310"/>
      <c r="BK134" s="307"/>
      <c r="BL134" s="307"/>
      <c r="BM134" s="310"/>
      <c r="BN134" s="307"/>
      <c r="BO134" s="310"/>
      <c r="BP134" s="307"/>
      <c r="BQ134" s="307"/>
      <c r="BR134" s="307"/>
      <c r="BS134" s="307"/>
      <c r="BT134" s="307"/>
      <c r="BU134" s="310"/>
      <c r="BV134" s="307"/>
      <c r="BW134" s="308"/>
      <c r="BX134" s="311"/>
      <c r="BY134" s="307"/>
      <c r="BZ134" s="307"/>
      <c r="CA134" s="310"/>
      <c r="CB134" s="307"/>
      <c r="CC134" s="307"/>
      <c r="CD134" s="307"/>
      <c r="CE134" s="308"/>
      <c r="CF134" s="308"/>
      <c r="CG134" s="307"/>
      <c r="CH134" s="307"/>
      <c r="CI134" s="307"/>
      <c r="CJ134" s="307"/>
      <c r="CK134" s="314"/>
      <c r="CL134" s="310"/>
      <c r="CM134" s="310"/>
      <c r="CN134" s="307"/>
      <c r="CO134" s="307"/>
      <c r="CP134" s="307"/>
      <c r="CQ134" s="315"/>
      <c r="CR134" s="315"/>
      <c r="CS134" s="315"/>
      <c r="CT134" s="315"/>
      <c r="CU134" s="307"/>
      <c r="CV134" s="217"/>
      <c r="CW134" s="192"/>
      <c r="CX134" s="192"/>
      <c r="CY134" s="192"/>
      <c r="CZ134" s="191"/>
      <c r="DA134" s="193"/>
      <c r="DB134" s="192"/>
      <c r="DC134" s="192"/>
      <c r="DD134" s="192"/>
      <c r="DE134" s="191"/>
      <c r="DF134" s="19"/>
      <c r="DG134" s="192"/>
      <c r="DH134" s="192"/>
      <c r="DI134" s="192"/>
      <c r="DJ134" s="191"/>
      <c r="DK134" s="193"/>
      <c r="DL134" s="192"/>
      <c r="DM134" s="192"/>
      <c r="DN134" s="192"/>
      <c r="DO134" s="191"/>
      <c r="DP134" s="19"/>
      <c r="DQ134" s="192"/>
      <c r="DR134" s="192"/>
      <c r="DS134" s="192"/>
      <c r="DT134" s="191"/>
      <c r="DU134" s="193"/>
      <c r="DV134" s="192"/>
      <c r="DW134" s="192"/>
      <c r="DX134" s="192"/>
      <c r="DY134" s="191"/>
      <c r="DZ134" s="19"/>
      <c r="EA134" s="192"/>
      <c r="EB134" s="192"/>
      <c r="EC134" s="192"/>
      <c r="ED134" s="191"/>
      <c r="EE134" s="193"/>
      <c r="EF134" s="192"/>
      <c r="EG134" s="192"/>
      <c r="EH134" s="192"/>
      <c r="EI134" s="191"/>
      <c r="EJ134" s="19"/>
      <c r="EK134" s="192"/>
      <c r="EL134" s="192"/>
      <c r="EM134" s="192"/>
      <c r="EN134" s="191"/>
      <c r="EO134" s="193"/>
      <c r="EP134" s="192"/>
      <c r="EQ134" s="192"/>
      <c r="ER134" s="192"/>
      <c r="ES134" s="191"/>
      <c r="ET134" s="19"/>
      <c r="EU134" s="192"/>
      <c r="EV134" s="192"/>
      <c r="EW134" s="192"/>
      <c r="EX134" s="191"/>
      <c r="EY134" s="193"/>
      <c r="EZ134" s="192"/>
      <c r="FA134" s="192"/>
      <c r="FB134" s="192"/>
      <c r="FC134" s="191"/>
      <c r="FL134" s="273">
        <f t="shared" ref="FL134:FL197" ca="1" si="8">YEAR($FL$3)-YEAR(F134)-1+IF(DATE(1901,MONTH(F134),DAY(F134))-DATE(1901,MONTH($FL$3),DAY($FL$3))&lt;=0,1,0)</f>
        <v>116</v>
      </c>
    </row>
    <row r="135" spans="1:168" ht="16.5" thickBot="1">
      <c r="A135" s="199">
        <v>132</v>
      </c>
      <c r="B135" s="306"/>
      <c r="C135" s="310"/>
      <c r="D135" s="307" t="s">
        <v>271</v>
      </c>
      <c r="E135" s="307" t="s">
        <v>271</v>
      </c>
      <c r="F135" s="308"/>
      <c r="G135" s="343" t="str">
        <f t="shared" si="6"/>
        <v xml:space="preserve"> </v>
      </c>
      <c r="H135" s="307"/>
      <c r="I135" s="309" t="e">
        <f t="shared" si="7"/>
        <v>#N/A</v>
      </c>
      <c r="J135" s="307"/>
      <c r="K135" s="307"/>
      <c r="L135" s="310"/>
      <c r="M135" s="310"/>
      <c r="N135" s="310"/>
      <c r="O135" s="310"/>
      <c r="P135" s="310"/>
      <c r="Q135" s="310"/>
      <c r="R135" s="310"/>
      <c r="S135" s="310"/>
      <c r="T135" s="310"/>
      <c r="U135" s="307"/>
      <c r="V135" s="307"/>
      <c r="W135" s="311"/>
      <c r="X135" s="307"/>
      <c r="Y135" s="307"/>
      <c r="Z135" s="307"/>
      <c r="AA135" s="307"/>
      <c r="AB135" s="311"/>
      <c r="AC135" s="307"/>
      <c r="AD135" s="307"/>
      <c r="AE135" s="307"/>
      <c r="AF135" s="307"/>
      <c r="AG135" s="310"/>
      <c r="AH135" s="307"/>
      <c r="AI135" s="310"/>
      <c r="AJ135" s="307"/>
      <c r="AK135" s="307"/>
      <c r="AL135" s="307"/>
      <c r="AM135" s="308"/>
      <c r="AN135" s="311"/>
      <c r="AO135" s="307"/>
      <c r="AP135" s="307"/>
      <c r="AQ135" s="308"/>
      <c r="AR135" s="307"/>
      <c r="AS135" s="307"/>
      <c r="AT135" s="307"/>
      <c r="AU135" s="310"/>
      <c r="AV135" s="308"/>
      <c r="AW135" s="312"/>
      <c r="AX135" s="308"/>
      <c r="AY135" s="307"/>
      <c r="AZ135" s="307"/>
      <c r="BA135" s="307"/>
      <c r="BB135" s="307"/>
      <c r="BC135" s="308"/>
      <c r="BD135" s="308"/>
      <c r="BE135" s="313"/>
      <c r="BF135" s="307"/>
      <c r="BG135" s="310"/>
      <c r="BH135" s="307"/>
      <c r="BI135" s="307"/>
      <c r="BJ135" s="310"/>
      <c r="BK135" s="307"/>
      <c r="BL135" s="307"/>
      <c r="BM135" s="310"/>
      <c r="BN135" s="307"/>
      <c r="BO135" s="310"/>
      <c r="BP135" s="307"/>
      <c r="BQ135" s="307"/>
      <c r="BR135" s="307"/>
      <c r="BS135" s="307"/>
      <c r="BT135" s="307"/>
      <c r="BU135" s="310"/>
      <c r="BV135" s="307"/>
      <c r="BW135" s="308"/>
      <c r="BX135" s="311"/>
      <c r="BY135" s="307"/>
      <c r="BZ135" s="307"/>
      <c r="CA135" s="310"/>
      <c r="CB135" s="307"/>
      <c r="CC135" s="307"/>
      <c r="CD135" s="307"/>
      <c r="CE135" s="308"/>
      <c r="CF135" s="308"/>
      <c r="CG135" s="307"/>
      <c r="CH135" s="307"/>
      <c r="CI135" s="307"/>
      <c r="CJ135" s="307"/>
      <c r="CK135" s="314"/>
      <c r="CL135" s="310"/>
      <c r="CM135" s="310"/>
      <c r="CN135" s="307"/>
      <c r="CO135" s="307"/>
      <c r="CP135" s="307"/>
      <c r="CQ135" s="315"/>
      <c r="CR135" s="315"/>
      <c r="CS135" s="315"/>
      <c r="CT135" s="315"/>
      <c r="CU135" s="307"/>
      <c r="CV135" s="217"/>
      <c r="CW135" s="192"/>
      <c r="CX135" s="192"/>
      <c r="CY135" s="192"/>
      <c r="CZ135" s="191"/>
      <c r="DA135" s="193"/>
      <c r="DB135" s="192"/>
      <c r="DC135" s="192"/>
      <c r="DD135" s="192"/>
      <c r="DE135" s="191"/>
      <c r="DF135" s="19"/>
      <c r="DG135" s="192"/>
      <c r="DH135" s="192"/>
      <c r="DI135" s="192"/>
      <c r="DJ135" s="191"/>
      <c r="DK135" s="193"/>
      <c r="DL135" s="192"/>
      <c r="DM135" s="192"/>
      <c r="DN135" s="192"/>
      <c r="DO135" s="191"/>
      <c r="DP135" s="19"/>
      <c r="DQ135" s="192"/>
      <c r="DR135" s="192"/>
      <c r="DS135" s="192"/>
      <c r="DT135" s="191"/>
      <c r="DU135" s="193"/>
      <c r="DV135" s="192"/>
      <c r="DW135" s="192"/>
      <c r="DX135" s="192"/>
      <c r="DY135" s="191"/>
      <c r="DZ135" s="19"/>
      <c r="EA135" s="192"/>
      <c r="EB135" s="192"/>
      <c r="EC135" s="192"/>
      <c r="ED135" s="191"/>
      <c r="EE135" s="193"/>
      <c r="EF135" s="192"/>
      <c r="EG135" s="192"/>
      <c r="EH135" s="192"/>
      <c r="EI135" s="191"/>
      <c r="EJ135" s="19"/>
      <c r="EK135" s="192"/>
      <c r="EL135" s="192"/>
      <c r="EM135" s="192"/>
      <c r="EN135" s="191"/>
      <c r="EO135" s="193"/>
      <c r="EP135" s="192"/>
      <c r="EQ135" s="192"/>
      <c r="ER135" s="192"/>
      <c r="ES135" s="191"/>
      <c r="ET135" s="19"/>
      <c r="EU135" s="192"/>
      <c r="EV135" s="192"/>
      <c r="EW135" s="192"/>
      <c r="EX135" s="191"/>
      <c r="EY135" s="193"/>
      <c r="EZ135" s="192"/>
      <c r="FA135" s="192"/>
      <c r="FB135" s="192"/>
      <c r="FC135" s="191"/>
      <c r="FL135" s="273">
        <f t="shared" ca="1" si="8"/>
        <v>116</v>
      </c>
    </row>
    <row r="136" spans="1:168" ht="16.5" thickBot="1">
      <c r="A136" s="196">
        <v>133</v>
      </c>
      <c r="B136" s="306"/>
      <c r="C136" s="310"/>
      <c r="D136" s="307" t="s">
        <v>271</v>
      </c>
      <c r="E136" s="307" t="s">
        <v>271</v>
      </c>
      <c r="F136" s="308"/>
      <c r="G136" s="343" t="str">
        <f t="shared" si="6"/>
        <v xml:space="preserve"> </v>
      </c>
      <c r="H136" s="307"/>
      <c r="I136" s="309" t="e">
        <f t="shared" si="7"/>
        <v>#N/A</v>
      </c>
      <c r="J136" s="307"/>
      <c r="K136" s="307"/>
      <c r="L136" s="310"/>
      <c r="M136" s="310"/>
      <c r="N136" s="310"/>
      <c r="O136" s="310"/>
      <c r="P136" s="310"/>
      <c r="Q136" s="310"/>
      <c r="R136" s="310"/>
      <c r="S136" s="310"/>
      <c r="T136" s="310"/>
      <c r="U136" s="307"/>
      <c r="V136" s="307"/>
      <c r="W136" s="311"/>
      <c r="X136" s="307"/>
      <c r="Y136" s="307"/>
      <c r="Z136" s="307"/>
      <c r="AA136" s="307"/>
      <c r="AB136" s="311"/>
      <c r="AC136" s="307"/>
      <c r="AD136" s="307"/>
      <c r="AE136" s="307"/>
      <c r="AF136" s="307"/>
      <c r="AG136" s="310"/>
      <c r="AH136" s="307"/>
      <c r="AI136" s="310"/>
      <c r="AJ136" s="307"/>
      <c r="AK136" s="307"/>
      <c r="AL136" s="307"/>
      <c r="AM136" s="308"/>
      <c r="AN136" s="311"/>
      <c r="AO136" s="307"/>
      <c r="AP136" s="307"/>
      <c r="AQ136" s="308"/>
      <c r="AR136" s="307"/>
      <c r="AS136" s="307"/>
      <c r="AT136" s="307"/>
      <c r="AU136" s="310"/>
      <c r="AV136" s="308"/>
      <c r="AW136" s="312"/>
      <c r="AX136" s="308"/>
      <c r="AY136" s="307"/>
      <c r="AZ136" s="307"/>
      <c r="BA136" s="307"/>
      <c r="BB136" s="307"/>
      <c r="BC136" s="308"/>
      <c r="BD136" s="308"/>
      <c r="BE136" s="313"/>
      <c r="BF136" s="307"/>
      <c r="BG136" s="310"/>
      <c r="BH136" s="307"/>
      <c r="BI136" s="307"/>
      <c r="BJ136" s="310"/>
      <c r="BK136" s="307"/>
      <c r="BL136" s="307"/>
      <c r="BM136" s="310"/>
      <c r="BN136" s="307"/>
      <c r="BO136" s="310"/>
      <c r="BP136" s="307"/>
      <c r="BQ136" s="307"/>
      <c r="BR136" s="307"/>
      <c r="BS136" s="307"/>
      <c r="BT136" s="307"/>
      <c r="BU136" s="310"/>
      <c r="BV136" s="307"/>
      <c r="BW136" s="308"/>
      <c r="BX136" s="311"/>
      <c r="BY136" s="307"/>
      <c r="BZ136" s="307"/>
      <c r="CA136" s="310"/>
      <c r="CB136" s="307"/>
      <c r="CC136" s="307"/>
      <c r="CD136" s="307"/>
      <c r="CE136" s="308"/>
      <c r="CF136" s="308"/>
      <c r="CG136" s="307"/>
      <c r="CH136" s="307"/>
      <c r="CI136" s="307"/>
      <c r="CJ136" s="307"/>
      <c r="CK136" s="314"/>
      <c r="CL136" s="310"/>
      <c r="CM136" s="310"/>
      <c r="CN136" s="307"/>
      <c r="CO136" s="307"/>
      <c r="CP136" s="307"/>
      <c r="CQ136" s="315"/>
      <c r="CR136" s="315"/>
      <c r="CS136" s="315"/>
      <c r="CT136" s="315"/>
      <c r="CU136" s="307"/>
      <c r="CV136" s="217"/>
      <c r="CW136" s="192"/>
      <c r="CX136" s="192"/>
      <c r="CY136" s="192"/>
      <c r="CZ136" s="191"/>
      <c r="DA136" s="193"/>
      <c r="DB136" s="192"/>
      <c r="DC136" s="192"/>
      <c r="DD136" s="192"/>
      <c r="DE136" s="191"/>
      <c r="DF136" s="19"/>
      <c r="DG136" s="192"/>
      <c r="DH136" s="192"/>
      <c r="DI136" s="192"/>
      <c r="DJ136" s="191"/>
      <c r="DK136" s="193"/>
      <c r="DL136" s="192"/>
      <c r="DM136" s="192"/>
      <c r="DN136" s="192"/>
      <c r="DO136" s="191"/>
      <c r="DP136" s="19"/>
      <c r="DQ136" s="192"/>
      <c r="DR136" s="192"/>
      <c r="DS136" s="192"/>
      <c r="DT136" s="191"/>
      <c r="DU136" s="193"/>
      <c r="DV136" s="192"/>
      <c r="DW136" s="192"/>
      <c r="DX136" s="192"/>
      <c r="DY136" s="191"/>
      <c r="DZ136" s="19"/>
      <c r="EA136" s="192"/>
      <c r="EB136" s="192"/>
      <c r="EC136" s="192"/>
      <c r="ED136" s="191"/>
      <c r="EE136" s="193"/>
      <c r="EF136" s="192"/>
      <c r="EG136" s="192"/>
      <c r="EH136" s="192"/>
      <c r="EI136" s="191"/>
      <c r="EJ136" s="19"/>
      <c r="EK136" s="192"/>
      <c r="EL136" s="192"/>
      <c r="EM136" s="192"/>
      <c r="EN136" s="191"/>
      <c r="EO136" s="193"/>
      <c r="EP136" s="192"/>
      <c r="EQ136" s="192"/>
      <c r="ER136" s="192"/>
      <c r="ES136" s="191"/>
      <c r="ET136" s="19"/>
      <c r="EU136" s="192"/>
      <c r="EV136" s="192"/>
      <c r="EW136" s="192"/>
      <c r="EX136" s="191"/>
      <c r="EY136" s="193"/>
      <c r="EZ136" s="192"/>
      <c r="FA136" s="192"/>
      <c r="FB136" s="192"/>
      <c r="FC136" s="191"/>
      <c r="FL136" s="273">
        <f t="shared" ca="1" si="8"/>
        <v>116</v>
      </c>
    </row>
    <row r="137" spans="1:168" ht="16.5" thickBot="1">
      <c r="A137" s="199">
        <v>134</v>
      </c>
      <c r="B137" s="306"/>
      <c r="C137" s="310"/>
      <c r="D137" s="307" t="s">
        <v>271</v>
      </c>
      <c r="E137" s="307" t="s">
        <v>271</v>
      </c>
      <c r="F137" s="308"/>
      <c r="G137" s="343" t="str">
        <f t="shared" si="6"/>
        <v xml:space="preserve"> </v>
      </c>
      <c r="H137" s="307"/>
      <c r="I137" s="309" t="e">
        <f t="shared" si="7"/>
        <v>#N/A</v>
      </c>
      <c r="J137" s="307"/>
      <c r="K137" s="307"/>
      <c r="L137" s="310"/>
      <c r="M137" s="310"/>
      <c r="N137" s="310"/>
      <c r="O137" s="310"/>
      <c r="P137" s="310"/>
      <c r="Q137" s="310"/>
      <c r="R137" s="310"/>
      <c r="S137" s="310"/>
      <c r="T137" s="310"/>
      <c r="U137" s="307"/>
      <c r="V137" s="307"/>
      <c r="W137" s="311"/>
      <c r="X137" s="307"/>
      <c r="Y137" s="307"/>
      <c r="Z137" s="307"/>
      <c r="AA137" s="307"/>
      <c r="AB137" s="311"/>
      <c r="AC137" s="307"/>
      <c r="AD137" s="307"/>
      <c r="AE137" s="307"/>
      <c r="AF137" s="307"/>
      <c r="AG137" s="310"/>
      <c r="AH137" s="307"/>
      <c r="AI137" s="310"/>
      <c r="AJ137" s="307"/>
      <c r="AK137" s="307"/>
      <c r="AL137" s="307"/>
      <c r="AM137" s="308"/>
      <c r="AN137" s="311"/>
      <c r="AO137" s="307"/>
      <c r="AP137" s="307"/>
      <c r="AQ137" s="308"/>
      <c r="AR137" s="307"/>
      <c r="AS137" s="307"/>
      <c r="AT137" s="307"/>
      <c r="AU137" s="310"/>
      <c r="AV137" s="308"/>
      <c r="AW137" s="312"/>
      <c r="AX137" s="308"/>
      <c r="AY137" s="307"/>
      <c r="AZ137" s="307"/>
      <c r="BA137" s="307"/>
      <c r="BB137" s="307"/>
      <c r="BC137" s="308"/>
      <c r="BD137" s="308"/>
      <c r="BE137" s="313"/>
      <c r="BF137" s="307"/>
      <c r="BG137" s="310"/>
      <c r="BH137" s="307"/>
      <c r="BI137" s="307"/>
      <c r="BJ137" s="310"/>
      <c r="BK137" s="307"/>
      <c r="BL137" s="307"/>
      <c r="BM137" s="310"/>
      <c r="BN137" s="307"/>
      <c r="BO137" s="310"/>
      <c r="BP137" s="307"/>
      <c r="BQ137" s="307"/>
      <c r="BR137" s="307"/>
      <c r="BS137" s="307"/>
      <c r="BT137" s="307"/>
      <c r="BU137" s="310"/>
      <c r="BV137" s="307"/>
      <c r="BW137" s="308"/>
      <c r="BX137" s="311"/>
      <c r="BY137" s="307"/>
      <c r="BZ137" s="307"/>
      <c r="CA137" s="310"/>
      <c r="CB137" s="307"/>
      <c r="CC137" s="307"/>
      <c r="CD137" s="307"/>
      <c r="CE137" s="308"/>
      <c r="CF137" s="308"/>
      <c r="CG137" s="307"/>
      <c r="CH137" s="307"/>
      <c r="CI137" s="307"/>
      <c r="CJ137" s="307"/>
      <c r="CK137" s="314"/>
      <c r="CL137" s="310"/>
      <c r="CM137" s="310"/>
      <c r="CN137" s="307"/>
      <c r="CO137" s="307"/>
      <c r="CP137" s="307"/>
      <c r="CQ137" s="315"/>
      <c r="CR137" s="315"/>
      <c r="CS137" s="315"/>
      <c r="CT137" s="315"/>
      <c r="CU137" s="307"/>
      <c r="CV137" s="217"/>
      <c r="CW137" s="192"/>
      <c r="CX137" s="192"/>
      <c r="CY137" s="192"/>
      <c r="CZ137" s="191"/>
      <c r="DA137" s="193"/>
      <c r="DB137" s="192"/>
      <c r="DC137" s="192"/>
      <c r="DD137" s="192"/>
      <c r="DE137" s="191"/>
      <c r="DF137" s="19"/>
      <c r="DG137" s="192"/>
      <c r="DH137" s="192"/>
      <c r="DI137" s="192"/>
      <c r="DJ137" s="191"/>
      <c r="DK137" s="193"/>
      <c r="DL137" s="192"/>
      <c r="DM137" s="192"/>
      <c r="DN137" s="192"/>
      <c r="DO137" s="191"/>
      <c r="DP137" s="19"/>
      <c r="DQ137" s="192"/>
      <c r="DR137" s="192"/>
      <c r="DS137" s="192"/>
      <c r="DT137" s="191"/>
      <c r="DU137" s="193"/>
      <c r="DV137" s="192"/>
      <c r="DW137" s="192"/>
      <c r="DX137" s="192"/>
      <c r="DY137" s="191"/>
      <c r="DZ137" s="19"/>
      <c r="EA137" s="192"/>
      <c r="EB137" s="192"/>
      <c r="EC137" s="192"/>
      <c r="ED137" s="191"/>
      <c r="EE137" s="193"/>
      <c r="EF137" s="192"/>
      <c r="EG137" s="192"/>
      <c r="EH137" s="192"/>
      <c r="EI137" s="191"/>
      <c r="EJ137" s="19"/>
      <c r="EK137" s="192"/>
      <c r="EL137" s="192"/>
      <c r="EM137" s="192"/>
      <c r="EN137" s="191"/>
      <c r="EO137" s="193"/>
      <c r="EP137" s="192"/>
      <c r="EQ137" s="192"/>
      <c r="ER137" s="192"/>
      <c r="ES137" s="191"/>
      <c r="ET137" s="19"/>
      <c r="EU137" s="192"/>
      <c r="EV137" s="192"/>
      <c r="EW137" s="192"/>
      <c r="EX137" s="191"/>
      <c r="EY137" s="193"/>
      <c r="EZ137" s="192"/>
      <c r="FA137" s="192"/>
      <c r="FB137" s="192"/>
      <c r="FC137" s="191"/>
      <c r="FL137" s="273">
        <f t="shared" ca="1" si="8"/>
        <v>116</v>
      </c>
    </row>
    <row r="138" spans="1:168" ht="16.5" thickBot="1">
      <c r="A138" s="196">
        <v>135</v>
      </c>
      <c r="B138" s="306"/>
      <c r="C138" s="310"/>
      <c r="D138" s="307" t="s">
        <v>271</v>
      </c>
      <c r="E138" s="307" t="s">
        <v>271</v>
      </c>
      <c r="F138" s="308"/>
      <c r="G138" s="343" t="str">
        <f t="shared" si="6"/>
        <v xml:space="preserve"> </v>
      </c>
      <c r="H138" s="307"/>
      <c r="I138" s="309" t="e">
        <f t="shared" si="7"/>
        <v>#N/A</v>
      </c>
      <c r="J138" s="307"/>
      <c r="K138" s="307"/>
      <c r="L138" s="310"/>
      <c r="M138" s="310"/>
      <c r="N138" s="310"/>
      <c r="O138" s="310"/>
      <c r="P138" s="310"/>
      <c r="Q138" s="310"/>
      <c r="R138" s="310"/>
      <c r="S138" s="310"/>
      <c r="T138" s="310"/>
      <c r="U138" s="307"/>
      <c r="V138" s="307"/>
      <c r="W138" s="311"/>
      <c r="X138" s="307"/>
      <c r="Y138" s="307"/>
      <c r="Z138" s="307"/>
      <c r="AA138" s="307"/>
      <c r="AB138" s="311"/>
      <c r="AC138" s="307"/>
      <c r="AD138" s="307"/>
      <c r="AE138" s="307"/>
      <c r="AF138" s="307"/>
      <c r="AG138" s="310"/>
      <c r="AH138" s="307"/>
      <c r="AI138" s="310"/>
      <c r="AJ138" s="307"/>
      <c r="AK138" s="307"/>
      <c r="AL138" s="307"/>
      <c r="AM138" s="308"/>
      <c r="AN138" s="311"/>
      <c r="AO138" s="307"/>
      <c r="AP138" s="307"/>
      <c r="AQ138" s="308"/>
      <c r="AR138" s="307"/>
      <c r="AS138" s="307"/>
      <c r="AT138" s="307"/>
      <c r="AU138" s="310"/>
      <c r="AV138" s="308"/>
      <c r="AW138" s="312"/>
      <c r="AX138" s="308"/>
      <c r="AY138" s="307"/>
      <c r="AZ138" s="307"/>
      <c r="BA138" s="307"/>
      <c r="BB138" s="307"/>
      <c r="BC138" s="308"/>
      <c r="BD138" s="308"/>
      <c r="BE138" s="313"/>
      <c r="BF138" s="307"/>
      <c r="BG138" s="310"/>
      <c r="BH138" s="307"/>
      <c r="BI138" s="307"/>
      <c r="BJ138" s="310"/>
      <c r="BK138" s="307"/>
      <c r="BL138" s="307"/>
      <c r="BM138" s="310"/>
      <c r="BN138" s="307"/>
      <c r="BO138" s="310"/>
      <c r="BP138" s="307"/>
      <c r="BQ138" s="307"/>
      <c r="BR138" s="307"/>
      <c r="BS138" s="307"/>
      <c r="BT138" s="307"/>
      <c r="BU138" s="310"/>
      <c r="BV138" s="307"/>
      <c r="BW138" s="308"/>
      <c r="BX138" s="311"/>
      <c r="BY138" s="307"/>
      <c r="BZ138" s="307"/>
      <c r="CA138" s="310"/>
      <c r="CB138" s="307"/>
      <c r="CC138" s="307"/>
      <c r="CD138" s="307"/>
      <c r="CE138" s="308"/>
      <c r="CF138" s="308"/>
      <c r="CG138" s="307"/>
      <c r="CH138" s="307"/>
      <c r="CI138" s="307"/>
      <c r="CJ138" s="307"/>
      <c r="CK138" s="314"/>
      <c r="CL138" s="310"/>
      <c r="CM138" s="310"/>
      <c r="CN138" s="307"/>
      <c r="CO138" s="307"/>
      <c r="CP138" s="307"/>
      <c r="CQ138" s="315"/>
      <c r="CR138" s="315"/>
      <c r="CS138" s="315"/>
      <c r="CT138" s="315"/>
      <c r="CU138" s="307"/>
      <c r="CV138" s="217"/>
      <c r="CW138" s="192"/>
      <c r="CX138" s="192"/>
      <c r="CY138" s="192"/>
      <c r="CZ138" s="191"/>
      <c r="DA138" s="193"/>
      <c r="DB138" s="192"/>
      <c r="DC138" s="192"/>
      <c r="DD138" s="192"/>
      <c r="DE138" s="191"/>
      <c r="DF138" s="19"/>
      <c r="DG138" s="192"/>
      <c r="DH138" s="192"/>
      <c r="DI138" s="192"/>
      <c r="DJ138" s="191"/>
      <c r="DK138" s="193"/>
      <c r="DL138" s="192"/>
      <c r="DM138" s="192"/>
      <c r="DN138" s="192"/>
      <c r="DO138" s="191"/>
      <c r="DP138" s="19"/>
      <c r="DQ138" s="192"/>
      <c r="DR138" s="192"/>
      <c r="DS138" s="192"/>
      <c r="DT138" s="191"/>
      <c r="DU138" s="193"/>
      <c r="DV138" s="192"/>
      <c r="DW138" s="192"/>
      <c r="DX138" s="192"/>
      <c r="DY138" s="191"/>
      <c r="DZ138" s="19"/>
      <c r="EA138" s="192"/>
      <c r="EB138" s="192"/>
      <c r="EC138" s="192"/>
      <c r="ED138" s="191"/>
      <c r="EE138" s="193"/>
      <c r="EF138" s="192"/>
      <c r="EG138" s="192"/>
      <c r="EH138" s="192"/>
      <c r="EI138" s="191"/>
      <c r="EJ138" s="19"/>
      <c r="EK138" s="192"/>
      <c r="EL138" s="192"/>
      <c r="EM138" s="192"/>
      <c r="EN138" s="191"/>
      <c r="EO138" s="193"/>
      <c r="EP138" s="192"/>
      <c r="EQ138" s="192"/>
      <c r="ER138" s="192"/>
      <c r="ES138" s="191"/>
      <c r="ET138" s="19"/>
      <c r="EU138" s="192"/>
      <c r="EV138" s="192"/>
      <c r="EW138" s="192"/>
      <c r="EX138" s="191"/>
      <c r="EY138" s="193"/>
      <c r="EZ138" s="192"/>
      <c r="FA138" s="192"/>
      <c r="FB138" s="192"/>
      <c r="FC138" s="191"/>
      <c r="FL138" s="273">
        <f t="shared" ca="1" si="8"/>
        <v>116</v>
      </c>
    </row>
    <row r="139" spans="1:168" ht="16.5" thickBot="1">
      <c r="A139" s="199">
        <v>136</v>
      </c>
      <c r="B139" s="306"/>
      <c r="C139" s="310"/>
      <c r="D139" s="307" t="s">
        <v>271</v>
      </c>
      <c r="E139" s="307" t="s">
        <v>271</v>
      </c>
      <c r="F139" s="308"/>
      <c r="G139" s="343" t="str">
        <f t="shared" si="6"/>
        <v xml:space="preserve"> </v>
      </c>
      <c r="H139" s="307"/>
      <c r="I139" s="309" t="e">
        <f t="shared" si="7"/>
        <v>#N/A</v>
      </c>
      <c r="J139" s="307"/>
      <c r="K139" s="307"/>
      <c r="L139" s="310"/>
      <c r="M139" s="310"/>
      <c r="N139" s="310"/>
      <c r="O139" s="310"/>
      <c r="P139" s="310"/>
      <c r="Q139" s="310"/>
      <c r="R139" s="310"/>
      <c r="S139" s="310"/>
      <c r="T139" s="310"/>
      <c r="U139" s="307"/>
      <c r="V139" s="307"/>
      <c r="W139" s="311"/>
      <c r="X139" s="307"/>
      <c r="Y139" s="307"/>
      <c r="Z139" s="307"/>
      <c r="AA139" s="307"/>
      <c r="AB139" s="311"/>
      <c r="AC139" s="307"/>
      <c r="AD139" s="307"/>
      <c r="AE139" s="307"/>
      <c r="AF139" s="307"/>
      <c r="AG139" s="310"/>
      <c r="AH139" s="307"/>
      <c r="AI139" s="310"/>
      <c r="AJ139" s="307"/>
      <c r="AK139" s="307"/>
      <c r="AL139" s="307"/>
      <c r="AM139" s="308"/>
      <c r="AN139" s="311"/>
      <c r="AO139" s="307"/>
      <c r="AP139" s="307"/>
      <c r="AQ139" s="308"/>
      <c r="AR139" s="307"/>
      <c r="AS139" s="307"/>
      <c r="AT139" s="307"/>
      <c r="AU139" s="310"/>
      <c r="AV139" s="308"/>
      <c r="AW139" s="312"/>
      <c r="AX139" s="308"/>
      <c r="AY139" s="307"/>
      <c r="AZ139" s="307"/>
      <c r="BA139" s="307"/>
      <c r="BB139" s="307"/>
      <c r="BC139" s="308"/>
      <c r="BD139" s="308"/>
      <c r="BE139" s="313"/>
      <c r="BF139" s="307"/>
      <c r="BG139" s="310"/>
      <c r="BH139" s="307"/>
      <c r="BI139" s="307"/>
      <c r="BJ139" s="310"/>
      <c r="BK139" s="307"/>
      <c r="BL139" s="307"/>
      <c r="BM139" s="310"/>
      <c r="BN139" s="307"/>
      <c r="BO139" s="310"/>
      <c r="BP139" s="307"/>
      <c r="BQ139" s="307"/>
      <c r="BR139" s="307"/>
      <c r="BS139" s="307"/>
      <c r="BT139" s="307"/>
      <c r="BU139" s="310"/>
      <c r="BV139" s="307"/>
      <c r="BW139" s="308"/>
      <c r="BX139" s="311"/>
      <c r="BY139" s="307"/>
      <c r="BZ139" s="307"/>
      <c r="CA139" s="310"/>
      <c r="CB139" s="307"/>
      <c r="CC139" s="307"/>
      <c r="CD139" s="307"/>
      <c r="CE139" s="308"/>
      <c r="CF139" s="308"/>
      <c r="CG139" s="307"/>
      <c r="CH139" s="307"/>
      <c r="CI139" s="307"/>
      <c r="CJ139" s="307"/>
      <c r="CK139" s="314"/>
      <c r="CL139" s="310"/>
      <c r="CM139" s="310"/>
      <c r="CN139" s="307"/>
      <c r="CO139" s="307"/>
      <c r="CP139" s="307"/>
      <c r="CQ139" s="315"/>
      <c r="CR139" s="315"/>
      <c r="CS139" s="315"/>
      <c r="CT139" s="315"/>
      <c r="CU139" s="307"/>
      <c r="CV139" s="217"/>
      <c r="CW139" s="192"/>
      <c r="CX139" s="192"/>
      <c r="CY139" s="192"/>
      <c r="CZ139" s="191"/>
      <c r="DA139" s="193"/>
      <c r="DB139" s="192"/>
      <c r="DC139" s="192"/>
      <c r="DD139" s="192"/>
      <c r="DE139" s="191"/>
      <c r="DF139" s="19"/>
      <c r="DG139" s="192"/>
      <c r="DH139" s="192"/>
      <c r="DI139" s="192"/>
      <c r="DJ139" s="191"/>
      <c r="DK139" s="193"/>
      <c r="DL139" s="192"/>
      <c r="DM139" s="192"/>
      <c r="DN139" s="192"/>
      <c r="DO139" s="191"/>
      <c r="DP139" s="19"/>
      <c r="DQ139" s="192"/>
      <c r="DR139" s="192"/>
      <c r="DS139" s="192"/>
      <c r="DT139" s="191"/>
      <c r="DU139" s="193"/>
      <c r="DV139" s="192"/>
      <c r="DW139" s="192"/>
      <c r="DX139" s="192"/>
      <c r="DY139" s="191"/>
      <c r="DZ139" s="19"/>
      <c r="EA139" s="192"/>
      <c r="EB139" s="192"/>
      <c r="EC139" s="192"/>
      <c r="ED139" s="191"/>
      <c r="EE139" s="193"/>
      <c r="EF139" s="192"/>
      <c r="EG139" s="192"/>
      <c r="EH139" s="192"/>
      <c r="EI139" s="191"/>
      <c r="EJ139" s="19"/>
      <c r="EK139" s="192"/>
      <c r="EL139" s="192"/>
      <c r="EM139" s="192"/>
      <c r="EN139" s="191"/>
      <c r="EO139" s="193"/>
      <c r="EP139" s="192"/>
      <c r="EQ139" s="192"/>
      <c r="ER139" s="192"/>
      <c r="ES139" s="191"/>
      <c r="ET139" s="19"/>
      <c r="EU139" s="192"/>
      <c r="EV139" s="192"/>
      <c r="EW139" s="192"/>
      <c r="EX139" s="191"/>
      <c r="EY139" s="193"/>
      <c r="EZ139" s="192"/>
      <c r="FA139" s="192"/>
      <c r="FB139" s="192"/>
      <c r="FC139" s="191"/>
      <c r="FL139" s="273">
        <f t="shared" ca="1" si="8"/>
        <v>116</v>
      </c>
    </row>
    <row r="140" spans="1:168" ht="16.5" thickBot="1">
      <c r="A140" s="196">
        <v>137</v>
      </c>
      <c r="B140" s="306"/>
      <c r="C140" s="310"/>
      <c r="D140" s="307" t="s">
        <v>271</v>
      </c>
      <c r="E140" s="307" t="s">
        <v>271</v>
      </c>
      <c r="F140" s="308"/>
      <c r="G140" s="343" t="str">
        <f t="shared" si="6"/>
        <v xml:space="preserve"> </v>
      </c>
      <c r="H140" s="307"/>
      <c r="I140" s="309" t="e">
        <f t="shared" si="7"/>
        <v>#N/A</v>
      </c>
      <c r="J140" s="307"/>
      <c r="K140" s="307"/>
      <c r="L140" s="310"/>
      <c r="M140" s="310"/>
      <c r="N140" s="310"/>
      <c r="O140" s="310"/>
      <c r="P140" s="310"/>
      <c r="Q140" s="310"/>
      <c r="R140" s="310"/>
      <c r="S140" s="310"/>
      <c r="T140" s="310"/>
      <c r="U140" s="307"/>
      <c r="V140" s="307"/>
      <c r="W140" s="311"/>
      <c r="X140" s="307"/>
      <c r="Y140" s="307"/>
      <c r="Z140" s="307"/>
      <c r="AA140" s="307"/>
      <c r="AB140" s="311"/>
      <c r="AC140" s="307"/>
      <c r="AD140" s="307"/>
      <c r="AE140" s="307"/>
      <c r="AF140" s="307"/>
      <c r="AG140" s="310"/>
      <c r="AH140" s="307"/>
      <c r="AI140" s="310"/>
      <c r="AJ140" s="307"/>
      <c r="AK140" s="307"/>
      <c r="AL140" s="307"/>
      <c r="AM140" s="308"/>
      <c r="AN140" s="311"/>
      <c r="AO140" s="307"/>
      <c r="AP140" s="307"/>
      <c r="AQ140" s="308"/>
      <c r="AR140" s="307"/>
      <c r="AS140" s="307"/>
      <c r="AT140" s="307"/>
      <c r="AU140" s="310"/>
      <c r="AV140" s="308"/>
      <c r="AW140" s="312"/>
      <c r="AX140" s="308"/>
      <c r="AY140" s="307"/>
      <c r="AZ140" s="307"/>
      <c r="BA140" s="307"/>
      <c r="BB140" s="307"/>
      <c r="BC140" s="308"/>
      <c r="BD140" s="308"/>
      <c r="BE140" s="313"/>
      <c r="BF140" s="307"/>
      <c r="BG140" s="310"/>
      <c r="BH140" s="307"/>
      <c r="BI140" s="307"/>
      <c r="BJ140" s="310"/>
      <c r="BK140" s="307"/>
      <c r="BL140" s="307"/>
      <c r="BM140" s="310"/>
      <c r="BN140" s="307"/>
      <c r="BO140" s="310"/>
      <c r="BP140" s="307"/>
      <c r="BQ140" s="307"/>
      <c r="BR140" s="307"/>
      <c r="BS140" s="307"/>
      <c r="BT140" s="307"/>
      <c r="BU140" s="310"/>
      <c r="BV140" s="307"/>
      <c r="BW140" s="308"/>
      <c r="BX140" s="311"/>
      <c r="BY140" s="307"/>
      <c r="BZ140" s="307"/>
      <c r="CA140" s="310"/>
      <c r="CB140" s="307"/>
      <c r="CC140" s="307"/>
      <c r="CD140" s="307"/>
      <c r="CE140" s="308"/>
      <c r="CF140" s="308"/>
      <c r="CG140" s="307"/>
      <c r="CH140" s="307"/>
      <c r="CI140" s="307"/>
      <c r="CJ140" s="307"/>
      <c r="CK140" s="314"/>
      <c r="CL140" s="310"/>
      <c r="CM140" s="310"/>
      <c r="CN140" s="307"/>
      <c r="CO140" s="307"/>
      <c r="CP140" s="307"/>
      <c r="CQ140" s="315"/>
      <c r="CR140" s="315"/>
      <c r="CS140" s="315"/>
      <c r="CT140" s="315"/>
      <c r="CU140" s="307"/>
      <c r="CV140" s="217"/>
      <c r="CW140" s="192"/>
      <c r="CX140" s="192"/>
      <c r="CY140" s="192"/>
      <c r="CZ140" s="191"/>
      <c r="DA140" s="193"/>
      <c r="DB140" s="192"/>
      <c r="DC140" s="192"/>
      <c r="DD140" s="192"/>
      <c r="DE140" s="191"/>
      <c r="DF140" s="19"/>
      <c r="DG140" s="192"/>
      <c r="DH140" s="192"/>
      <c r="DI140" s="192"/>
      <c r="DJ140" s="191"/>
      <c r="DK140" s="193"/>
      <c r="DL140" s="192"/>
      <c r="DM140" s="192"/>
      <c r="DN140" s="192"/>
      <c r="DO140" s="191"/>
      <c r="DP140" s="19"/>
      <c r="DQ140" s="192"/>
      <c r="DR140" s="192"/>
      <c r="DS140" s="192"/>
      <c r="DT140" s="191"/>
      <c r="DU140" s="193"/>
      <c r="DV140" s="192"/>
      <c r="DW140" s="192"/>
      <c r="DX140" s="192"/>
      <c r="DY140" s="191"/>
      <c r="DZ140" s="19"/>
      <c r="EA140" s="192"/>
      <c r="EB140" s="192"/>
      <c r="EC140" s="192"/>
      <c r="ED140" s="191"/>
      <c r="EE140" s="193"/>
      <c r="EF140" s="192"/>
      <c r="EG140" s="192"/>
      <c r="EH140" s="192"/>
      <c r="EI140" s="191"/>
      <c r="EJ140" s="19"/>
      <c r="EK140" s="192"/>
      <c r="EL140" s="192"/>
      <c r="EM140" s="192"/>
      <c r="EN140" s="191"/>
      <c r="EO140" s="193"/>
      <c r="EP140" s="192"/>
      <c r="EQ140" s="192"/>
      <c r="ER140" s="192"/>
      <c r="ES140" s="191"/>
      <c r="ET140" s="19"/>
      <c r="EU140" s="192"/>
      <c r="EV140" s="192"/>
      <c r="EW140" s="192"/>
      <c r="EX140" s="191"/>
      <c r="EY140" s="193"/>
      <c r="EZ140" s="192"/>
      <c r="FA140" s="192"/>
      <c r="FB140" s="192"/>
      <c r="FC140" s="191"/>
      <c r="FL140" s="273">
        <f t="shared" ca="1" si="8"/>
        <v>116</v>
      </c>
    </row>
    <row r="141" spans="1:168" ht="16.5" thickBot="1">
      <c r="A141" s="199">
        <v>138</v>
      </c>
      <c r="B141" s="306"/>
      <c r="C141" s="310"/>
      <c r="D141" s="307" t="s">
        <v>271</v>
      </c>
      <c r="E141" s="307" t="s">
        <v>271</v>
      </c>
      <c r="F141" s="308"/>
      <c r="G141" s="343" t="str">
        <f t="shared" si="6"/>
        <v xml:space="preserve"> </v>
      </c>
      <c r="H141" s="307"/>
      <c r="I141" s="309" t="e">
        <f t="shared" si="7"/>
        <v>#N/A</v>
      </c>
      <c r="J141" s="307"/>
      <c r="K141" s="307"/>
      <c r="L141" s="310"/>
      <c r="M141" s="310"/>
      <c r="N141" s="310"/>
      <c r="O141" s="310"/>
      <c r="P141" s="310"/>
      <c r="Q141" s="310"/>
      <c r="R141" s="310"/>
      <c r="S141" s="310"/>
      <c r="T141" s="310"/>
      <c r="U141" s="307"/>
      <c r="V141" s="307"/>
      <c r="W141" s="311"/>
      <c r="X141" s="307"/>
      <c r="Y141" s="307"/>
      <c r="Z141" s="307"/>
      <c r="AA141" s="307"/>
      <c r="AB141" s="311"/>
      <c r="AC141" s="307"/>
      <c r="AD141" s="307"/>
      <c r="AE141" s="307"/>
      <c r="AF141" s="307"/>
      <c r="AG141" s="310"/>
      <c r="AH141" s="307"/>
      <c r="AI141" s="310"/>
      <c r="AJ141" s="307"/>
      <c r="AK141" s="307"/>
      <c r="AL141" s="307"/>
      <c r="AM141" s="308"/>
      <c r="AN141" s="311"/>
      <c r="AO141" s="307"/>
      <c r="AP141" s="307"/>
      <c r="AQ141" s="308"/>
      <c r="AR141" s="307"/>
      <c r="AS141" s="307"/>
      <c r="AT141" s="307"/>
      <c r="AU141" s="310"/>
      <c r="AV141" s="308"/>
      <c r="AW141" s="312"/>
      <c r="AX141" s="308"/>
      <c r="AY141" s="307"/>
      <c r="AZ141" s="307"/>
      <c r="BA141" s="307"/>
      <c r="BB141" s="307"/>
      <c r="BC141" s="308"/>
      <c r="BD141" s="308"/>
      <c r="BE141" s="313"/>
      <c r="BF141" s="307"/>
      <c r="BG141" s="310"/>
      <c r="BH141" s="307"/>
      <c r="BI141" s="307"/>
      <c r="BJ141" s="310"/>
      <c r="BK141" s="307"/>
      <c r="BL141" s="307"/>
      <c r="BM141" s="310"/>
      <c r="BN141" s="307"/>
      <c r="BO141" s="310"/>
      <c r="BP141" s="307"/>
      <c r="BQ141" s="307"/>
      <c r="BR141" s="307"/>
      <c r="BS141" s="307"/>
      <c r="BT141" s="307"/>
      <c r="BU141" s="310"/>
      <c r="BV141" s="307"/>
      <c r="BW141" s="308"/>
      <c r="BX141" s="311"/>
      <c r="BY141" s="307"/>
      <c r="BZ141" s="307"/>
      <c r="CA141" s="310"/>
      <c r="CB141" s="307"/>
      <c r="CC141" s="307"/>
      <c r="CD141" s="307"/>
      <c r="CE141" s="308"/>
      <c r="CF141" s="308"/>
      <c r="CG141" s="307"/>
      <c r="CH141" s="307"/>
      <c r="CI141" s="307"/>
      <c r="CJ141" s="307"/>
      <c r="CK141" s="314"/>
      <c r="CL141" s="310"/>
      <c r="CM141" s="310"/>
      <c r="CN141" s="307"/>
      <c r="CO141" s="307"/>
      <c r="CP141" s="307"/>
      <c r="CQ141" s="315"/>
      <c r="CR141" s="315"/>
      <c r="CS141" s="315"/>
      <c r="CT141" s="315"/>
      <c r="CU141" s="307"/>
      <c r="CV141" s="217"/>
      <c r="CW141" s="192"/>
      <c r="CX141" s="192"/>
      <c r="CY141" s="192"/>
      <c r="CZ141" s="191"/>
      <c r="DA141" s="193"/>
      <c r="DB141" s="192"/>
      <c r="DC141" s="192"/>
      <c r="DD141" s="192"/>
      <c r="DE141" s="191"/>
      <c r="DF141" s="19"/>
      <c r="DG141" s="192"/>
      <c r="DH141" s="192"/>
      <c r="DI141" s="192"/>
      <c r="DJ141" s="191"/>
      <c r="DK141" s="193"/>
      <c r="DL141" s="192"/>
      <c r="DM141" s="192"/>
      <c r="DN141" s="192"/>
      <c r="DO141" s="191"/>
      <c r="DP141" s="19"/>
      <c r="DQ141" s="192"/>
      <c r="DR141" s="192"/>
      <c r="DS141" s="192"/>
      <c r="DT141" s="191"/>
      <c r="DU141" s="193"/>
      <c r="DV141" s="192"/>
      <c r="DW141" s="192"/>
      <c r="DX141" s="192"/>
      <c r="DY141" s="191"/>
      <c r="DZ141" s="19"/>
      <c r="EA141" s="192"/>
      <c r="EB141" s="192"/>
      <c r="EC141" s="192"/>
      <c r="ED141" s="191"/>
      <c r="EE141" s="193"/>
      <c r="EF141" s="192"/>
      <c r="EG141" s="192"/>
      <c r="EH141" s="192"/>
      <c r="EI141" s="191"/>
      <c r="EJ141" s="19"/>
      <c r="EK141" s="192"/>
      <c r="EL141" s="192"/>
      <c r="EM141" s="192"/>
      <c r="EN141" s="191"/>
      <c r="EO141" s="193"/>
      <c r="EP141" s="192"/>
      <c r="EQ141" s="192"/>
      <c r="ER141" s="192"/>
      <c r="ES141" s="191"/>
      <c r="ET141" s="19"/>
      <c r="EU141" s="192"/>
      <c r="EV141" s="192"/>
      <c r="EW141" s="192"/>
      <c r="EX141" s="191"/>
      <c r="EY141" s="193"/>
      <c r="EZ141" s="192"/>
      <c r="FA141" s="192"/>
      <c r="FB141" s="192"/>
      <c r="FC141" s="191"/>
      <c r="FL141" s="273">
        <f t="shared" ca="1" si="8"/>
        <v>116</v>
      </c>
    </row>
    <row r="142" spans="1:168" ht="16.5" thickBot="1">
      <c r="A142" s="196">
        <v>139</v>
      </c>
      <c r="B142" s="306"/>
      <c r="C142" s="310"/>
      <c r="D142" s="307" t="s">
        <v>271</v>
      </c>
      <c r="E142" s="307" t="s">
        <v>271</v>
      </c>
      <c r="F142" s="308"/>
      <c r="G142" s="343" t="str">
        <f t="shared" si="6"/>
        <v xml:space="preserve"> </v>
      </c>
      <c r="H142" s="307"/>
      <c r="I142" s="309" t="e">
        <f t="shared" si="7"/>
        <v>#N/A</v>
      </c>
      <c r="J142" s="307"/>
      <c r="K142" s="307"/>
      <c r="L142" s="310"/>
      <c r="M142" s="310"/>
      <c r="N142" s="310"/>
      <c r="O142" s="310"/>
      <c r="P142" s="310"/>
      <c r="Q142" s="310"/>
      <c r="R142" s="310"/>
      <c r="S142" s="310"/>
      <c r="T142" s="310"/>
      <c r="U142" s="307"/>
      <c r="V142" s="307"/>
      <c r="W142" s="311"/>
      <c r="X142" s="307"/>
      <c r="Y142" s="307"/>
      <c r="Z142" s="307"/>
      <c r="AA142" s="307"/>
      <c r="AB142" s="311"/>
      <c r="AC142" s="307"/>
      <c r="AD142" s="307"/>
      <c r="AE142" s="307"/>
      <c r="AF142" s="307"/>
      <c r="AG142" s="310"/>
      <c r="AH142" s="307"/>
      <c r="AI142" s="310"/>
      <c r="AJ142" s="307"/>
      <c r="AK142" s="307"/>
      <c r="AL142" s="307"/>
      <c r="AM142" s="308"/>
      <c r="AN142" s="311"/>
      <c r="AO142" s="307"/>
      <c r="AP142" s="307"/>
      <c r="AQ142" s="308"/>
      <c r="AR142" s="307"/>
      <c r="AS142" s="307"/>
      <c r="AT142" s="307"/>
      <c r="AU142" s="310"/>
      <c r="AV142" s="308"/>
      <c r="AW142" s="312"/>
      <c r="AX142" s="308"/>
      <c r="AY142" s="307"/>
      <c r="AZ142" s="307"/>
      <c r="BA142" s="307"/>
      <c r="BB142" s="307"/>
      <c r="BC142" s="308"/>
      <c r="BD142" s="308"/>
      <c r="BE142" s="313"/>
      <c r="BF142" s="307"/>
      <c r="BG142" s="310"/>
      <c r="BH142" s="307"/>
      <c r="BI142" s="307"/>
      <c r="BJ142" s="310"/>
      <c r="BK142" s="307"/>
      <c r="BL142" s="307"/>
      <c r="BM142" s="310"/>
      <c r="BN142" s="307"/>
      <c r="BO142" s="310"/>
      <c r="BP142" s="307"/>
      <c r="BQ142" s="307"/>
      <c r="BR142" s="307"/>
      <c r="BS142" s="307"/>
      <c r="BT142" s="307"/>
      <c r="BU142" s="310"/>
      <c r="BV142" s="307"/>
      <c r="BW142" s="308"/>
      <c r="BX142" s="311"/>
      <c r="BY142" s="307"/>
      <c r="BZ142" s="307"/>
      <c r="CA142" s="310"/>
      <c r="CB142" s="307"/>
      <c r="CC142" s="307"/>
      <c r="CD142" s="307"/>
      <c r="CE142" s="308"/>
      <c r="CF142" s="308"/>
      <c r="CG142" s="307"/>
      <c r="CH142" s="307"/>
      <c r="CI142" s="307"/>
      <c r="CJ142" s="307"/>
      <c r="CK142" s="314"/>
      <c r="CL142" s="310"/>
      <c r="CM142" s="310"/>
      <c r="CN142" s="307"/>
      <c r="CO142" s="307"/>
      <c r="CP142" s="307"/>
      <c r="CQ142" s="315"/>
      <c r="CR142" s="315"/>
      <c r="CS142" s="315"/>
      <c r="CT142" s="315"/>
      <c r="CU142" s="307"/>
      <c r="CV142" s="217"/>
      <c r="CW142" s="192"/>
      <c r="CX142" s="192"/>
      <c r="CY142" s="192"/>
      <c r="CZ142" s="191"/>
      <c r="DA142" s="193"/>
      <c r="DB142" s="192"/>
      <c r="DC142" s="192"/>
      <c r="DD142" s="192"/>
      <c r="DE142" s="191"/>
      <c r="DF142" s="19"/>
      <c r="DG142" s="192"/>
      <c r="DH142" s="192"/>
      <c r="DI142" s="192"/>
      <c r="DJ142" s="191"/>
      <c r="DK142" s="193"/>
      <c r="DL142" s="192"/>
      <c r="DM142" s="192"/>
      <c r="DN142" s="192"/>
      <c r="DO142" s="191"/>
      <c r="DP142" s="19"/>
      <c r="DQ142" s="192"/>
      <c r="DR142" s="192"/>
      <c r="DS142" s="192"/>
      <c r="DT142" s="191"/>
      <c r="DU142" s="193"/>
      <c r="DV142" s="192"/>
      <c r="DW142" s="192"/>
      <c r="DX142" s="192"/>
      <c r="DY142" s="191"/>
      <c r="DZ142" s="19"/>
      <c r="EA142" s="192"/>
      <c r="EB142" s="192"/>
      <c r="EC142" s="192"/>
      <c r="ED142" s="191"/>
      <c r="EE142" s="193"/>
      <c r="EF142" s="192"/>
      <c r="EG142" s="192"/>
      <c r="EH142" s="192"/>
      <c r="EI142" s="191"/>
      <c r="EJ142" s="19"/>
      <c r="EK142" s="192"/>
      <c r="EL142" s="192"/>
      <c r="EM142" s="192"/>
      <c r="EN142" s="191"/>
      <c r="EO142" s="193"/>
      <c r="EP142" s="192"/>
      <c r="EQ142" s="192"/>
      <c r="ER142" s="192"/>
      <c r="ES142" s="191"/>
      <c r="ET142" s="19"/>
      <c r="EU142" s="192"/>
      <c r="EV142" s="192"/>
      <c r="EW142" s="192"/>
      <c r="EX142" s="191"/>
      <c r="EY142" s="193"/>
      <c r="EZ142" s="192"/>
      <c r="FA142" s="192"/>
      <c r="FB142" s="192"/>
      <c r="FC142" s="191"/>
      <c r="FL142" s="273">
        <f t="shared" ca="1" si="8"/>
        <v>116</v>
      </c>
    </row>
    <row r="143" spans="1:168" ht="16.5" thickBot="1">
      <c r="A143" s="199">
        <v>140</v>
      </c>
      <c r="B143" s="306"/>
      <c r="C143" s="310"/>
      <c r="D143" s="307" t="s">
        <v>271</v>
      </c>
      <c r="E143" s="307" t="s">
        <v>271</v>
      </c>
      <c r="F143" s="308"/>
      <c r="G143" s="343" t="str">
        <f t="shared" si="6"/>
        <v xml:space="preserve"> </v>
      </c>
      <c r="H143" s="307"/>
      <c r="I143" s="309" t="e">
        <f t="shared" si="7"/>
        <v>#N/A</v>
      </c>
      <c r="J143" s="307"/>
      <c r="K143" s="307"/>
      <c r="L143" s="310"/>
      <c r="M143" s="310"/>
      <c r="N143" s="310"/>
      <c r="O143" s="310"/>
      <c r="P143" s="310"/>
      <c r="Q143" s="310"/>
      <c r="R143" s="310"/>
      <c r="S143" s="310"/>
      <c r="T143" s="310"/>
      <c r="U143" s="307"/>
      <c r="V143" s="307"/>
      <c r="W143" s="311"/>
      <c r="X143" s="307"/>
      <c r="Y143" s="307"/>
      <c r="Z143" s="307"/>
      <c r="AA143" s="307"/>
      <c r="AB143" s="311"/>
      <c r="AC143" s="307"/>
      <c r="AD143" s="307"/>
      <c r="AE143" s="307"/>
      <c r="AF143" s="307"/>
      <c r="AG143" s="310"/>
      <c r="AH143" s="307"/>
      <c r="AI143" s="310"/>
      <c r="AJ143" s="307"/>
      <c r="AK143" s="307"/>
      <c r="AL143" s="307"/>
      <c r="AM143" s="308"/>
      <c r="AN143" s="311"/>
      <c r="AO143" s="307"/>
      <c r="AP143" s="307"/>
      <c r="AQ143" s="308"/>
      <c r="AR143" s="307"/>
      <c r="AS143" s="307"/>
      <c r="AT143" s="307"/>
      <c r="AU143" s="310"/>
      <c r="AV143" s="308"/>
      <c r="AW143" s="312"/>
      <c r="AX143" s="308"/>
      <c r="AY143" s="307"/>
      <c r="AZ143" s="307"/>
      <c r="BA143" s="307"/>
      <c r="BB143" s="307"/>
      <c r="BC143" s="308"/>
      <c r="BD143" s="308"/>
      <c r="BE143" s="313"/>
      <c r="BF143" s="307"/>
      <c r="BG143" s="310"/>
      <c r="BH143" s="307"/>
      <c r="BI143" s="307"/>
      <c r="BJ143" s="310"/>
      <c r="BK143" s="307"/>
      <c r="BL143" s="307"/>
      <c r="BM143" s="310"/>
      <c r="BN143" s="307"/>
      <c r="BO143" s="310"/>
      <c r="BP143" s="307"/>
      <c r="BQ143" s="307"/>
      <c r="BR143" s="307"/>
      <c r="BS143" s="307"/>
      <c r="BT143" s="307"/>
      <c r="BU143" s="310"/>
      <c r="BV143" s="307"/>
      <c r="BW143" s="308"/>
      <c r="BX143" s="311"/>
      <c r="BY143" s="307"/>
      <c r="BZ143" s="307"/>
      <c r="CA143" s="310"/>
      <c r="CB143" s="307"/>
      <c r="CC143" s="307"/>
      <c r="CD143" s="307"/>
      <c r="CE143" s="308"/>
      <c r="CF143" s="308"/>
      <c r="CG143" s="307"/>
      <c r="CH143" s="307"/>
      <c r="CI143" s="307"/>
      <c r="CJ143" s="307"/>
      <c r="CK143" s="314"/>
      <c r="CL143" s="310"/>
      <c r="CM143" s="310"/>
      <c r="CN143" s="307"/>
      <c r="CO143" s="307"/>
      <c r="CP143" s="307"/>
      <c r="CQ143" s="315"/>
      <c r="CR143" s="315"/>
      <c r="CS143" s="315"/>
      <c r="CT143" s="315"/>
      <c r="CU143" s="307"/>
      <c r="CV143" s="217"/>
      <c r="CW143" s="192"/>
      <c r="CX143" s="192"/>
      <c r="CY143" s="192"/>
      <c r="CZ143" s="191"/>
      <c r="DA143" s="193"/>
      <c r="DB143" s="192"/>
      <c r="DC143" s="192"/>
      <c r="DD143" s="192"/>
      <c r="DE143" s="191"/>
      <c r="DF143" s="19"/>
      <c r="DG143" s="192"/>
      <c r="DH143" s="192"/>
      <c r="DI143" s="192"/>
      <c r="DJ143" s="191"/>
      <c r="DK143" s="193"/>
      <c r="DL143" s="192"/>
      <c r="DM143" s="192"/>
      <c r="DN143" s="192"/>
      <c r="DO143" s="191"/>
      <c r="DP143" s="19"/>
      <c r="DQ143" s="192"/>
      <c r="DR143" s="192"/>
      <c r="DS143" s="192"/>
      <c r="DT143" s="191"/>
      <c r="DU143" s="193"/>
      <c r="DV143" s="192"/>
      <c r="DW143" s="192"/>
      <c r="DX143" s="192"/>
      <c r="DY143" s="191"/>
      <c r="DZ143" s="19"/>
      <c r="EA143" s="192"/>
      <c r="EB143" s="192"/>
      <c r="EC143" s="192"/>
      <c r="ED143" s="191"/>
      <c r="EE143" s="193"/>
      <c r="EF143" s="192"/>
      <c r="EG143" s="192"/>
      <c r="EH143" s="192"/>
      <c r="EI143" s="191"/>
      <c r="EJ143" s="19"/>
      <c r="EK143" s="192"/>
      <c r="EL143" s="192"/>
      <c r="EM143" s="192"/>
      <c r="EN143" s="191"/>
      <c r="EO143" s="193"/>
      <c r="EP143" s="192"/>
      <c r="EQ143" s="192"/>
      <c r="ER143" s="192"/>
      <c r="ES143" s="191"/>
      <c r="ET143" s="19"/>
      <c r="EU143" s="192"/>
      <c r="EV143" s="192"/>
      <c r="EW143" s="192"/>
      <c r="EX143" s="191"/>
      <c r="EY143" s="193"/>
      <c r="EZ143" s="192"/>
      <c r="FA143" s="192"/>
      <c r="FB143" s="192"/>
      <c r="FC143" s="191"/>
      <c r="FL143" s="273">
        <f t="shared" ca="1" si="8"/>
        <v>116</v>
      </c>
    </row>
    <row r="144" spans="1:168" ht="16.5" thickBot="1">
      <c r="A144" s="196">
        <v>141</v>
      </c>
      <c r="B144" s="306"/>
      <c r="C144" s="310"/>
      <c r="D144" s="307" t="s">
        <v>271</v>
      </c>
      <c r="E144" s="307" t="s">
        <v>271</v>
      </c>
      <c r="F144" s="308"/>
      <c r="G144" s="343" t="str">
        <f t="shared" si="6"/>
        <v xml:space="preserve"> </v>
      </c>
      <c r="H144" s="307"/>
      <c r="I144" s="309" t="e">
        <f t="shared" si="7"/>
        <v>#N/A</v>
      </c>
      <c r="J144" s="307"/>
      <c r="K144" s="307"/>
      <c r="L144" s="310"/>
      <c r="M144" s="310"/>
      <c r="N144" s="310"/>
      <c r="O144" s="310"/>
      <c r="P144" s="310"/>
      <c r="Q144" s="310"/>
      <c r="R144" s="310"/>
      <c r="S144" s="310"/>
      <c r="T144" s="310"/>
      <c r="U144" s="307"/>
      <c r="V144" s="307"/>
      <c r="W144" s="311"/>
      <c r="X144" s="307"/>
      <c r="Y144" s="307"/>
      <c r="Z144" s="307"/>
      <c r="AA144" s="307"/>
      <c r="AB144" s="311"/>
      <c r="AC144" s="307"/>
      <c r="AD144" s="307"/>
      <c r="AE144" s="307"/>
      <c r="AF144" s="307"/>
      <c r="AG144" s="310"/>
      <c r="AH144" s="307"/>
      <c r="AI144" s="310"/>
      <c r="AJ144" s="307"/>
      <c r="AK144" s="307"/>
      <c r="AL144" s="307"/>
      <c r="AM144" s="308"/>
      <c r="AN144" s="311"/>
      <c r="AO144" s="307"/>
      <c r="AP144" s="307"/>
      <c r="AQ144" s="308"/>
      <c r="AR144" s="307"/>
      <c r="AS144" s="307"/>
      <c r="AT144" s="307"/>
      <c r="AU144" s="310"/>
      <c r="AV144" s="308"/>
      <c r="AW144" s="312"/>
      <c r="AX144" s="308"/>
      <c r="AY144" s="307"/>
      <c r="AZ144" s="307"/>
      <c r="BA144" s="307"/>
      <c r="BB144" s="307"/>
      <c r="BC144" s="308"/>
      <c r="BD144" s="308"/>
      <c r="BE144" s="313"/>
      <c r="BF144" s="307"/>
      <c r="BG144" s="310"/>
      <c r="BH144" s="307"/>
      <c r="BI144" s="307"/>
      <c r="BJ144" s="310"/>
      <c r="BK144" s="307"/>
      <c r="BL144" s="307"/>
      <c r="BM144" s="310"/>
      <c r="BN144" s="307"/>
      <c r="BO144" s="310"/>
      <c r="BP144" s="307"/>
      <c r="BQ144" s="307"/>
      <c r="BR144" s="307"/>
      <c r="BS144" s="307"/>
      <c r="BT144" s="307"/>
      <c r="BU144" s="310"/>
      <c r="BV144" s="307"/>
      <c r="BW144" s="308"/>
      <c r="BX144" s="311"/>
      <c r="BY144" s="307"/>
      <c r="BZ144" s="307"/>
      <c r="CA144" s="310"/>
      <c r="CB144" s="307"/>
      <c r="CC144" s="307"/>
      <c r="CD144" s="307"/>
      <c r="CE144" s="308"/>
      <c r="CF144" s="308"/>
      <c r="CG144" s="307"/>
      <c r="CH144" s="307"/>
      <c r="CI144" s="307"/>
      <c r="CJ144" s="307"/>
      <c r="CK144" s="314"/>
      <c r="CL144" s="310"/>
      <c r="CM144" s="310"/>
      <c r="CN144" s="307"/>
      <c r="CO144" s="307"/>
      <c r="CP144" s="307"/>
      <c r="CQ144" s="315"/>
      <c r="CR144" s="315"/>
      <c r="CS144" s="315"/>
      <c r="CT144" s="315"/>
      <c r="CU144" s="307"/>
      <c r="CV144" s="217"/>
      <c r="CW144" s="192"/>
      <c r="CX144" s="192"/>
      <c r="CY144" s="192"/>
      <c r="CZ144" s="191"/>
      <c r="DA144" s="193"/>
      <c r="DB144" s="192"/>
      <c r="DC144" s="192"/>
      <c r="DD144" s="192"/>
      <c r="DE144" s="191"/>
      <c r="DF144" s="19"/>
      <c r="DG144" s="192"/>
      <c r="DH144" s="192"/>
      <c r="DI144" s="192"/>
      <c r="DJ144" s="191"/>
      <c r="DK144" s="193"/>
      <c r="DL144" s="192"/>
      <c r="DM144" s="192"/>
      <c r="DN144" s="192"/>
      <c r="DO144" s="191"/>
      <c r="DP144" s="19"/>
      <c r="DQ144" s="192"/>
      <c r="DR144" s="192"/>
      <c r="DS144" s="192"/>
      <c r="DT144" s="191"/>
      <c r="DU144" s="193"/>
      <c r="DV144" s="192"/>
      <c r="DW144" s="192"/>
      <c r="DX144" s="192"/>
      <c r="DY144" s="191"/>
      <c r="DZ144" s="19"/>
      <c r="EA144" s="192"/>
      <c r="EB144" s="192"/>
      <c r="EC144" s="192"/>
      <c r="ED144" s="191"/>
      <c r="EE144" s="193"/>
      <c r="EF144" s="192"/>
      <c r="EG144" s="192"/>
      <c r="EH144" s="192"/>
      <c r="EI144" s="191"/>
      <c r="EJ144" s="19"/>
      <c r="EK144" s="192"/>
      <c r="EL144" s="192"/>
      <c r="EM144" s="192"/>
      <c r="EN144" s="191"/>
      <c r="EO144" s="193"/>
      <c r="EP144" s="192"/>
      <c r="EQ144" s="192"/>
      <c r="ER144" s="192"/>
      <c r="ES144" s="191"/>
      <c r="ET144" s="19"/>
      <c r="EU144" s="192"/>
      <c r="EV144" s="192"/>
      <c r="EW144" s="192"/>
      <c r="EX144" s="191"/>
      <c r="EY144" s="193"/>
      <c r="EZ144" s="192"/>
      <c r="FA144" s="192"/>
      <c r="FB144" s="192"/>
      <c r="FC144" s="191"/>
      <c r="FL144" s="273">
        <f t="shared" ca="1" si="8"/>
        <v>116</v>
      </c>
    </row>
    <row r="145" spans="1:168" ht="16.5" thickBot="1">
      <c r="A145" s="199">
        <v>142</v>
      </c>
      <c r="B145" s="306"/>
      <c r="C145" s="310"/>
      <c r="D145" s="307" t="s">
        <v>271</v>
      </c>
      <c r="E145" s="307" t="s">
        <v>271</v>
      </c>
      <c r="F145" s="308"/>
      <c r="G145" s="343" t="str">
        <f t="shared" si="6"/>
        <v xml:space="preserve"> </v>
      </c>
      <c r="H145" s="307"/>
      <c r="I145" s="309" t="e">
        <f t="shared" si="7"/>
        <v>#N/A</v>
      </c>
      <c r="J145" s="307"/>
      <c r="K145" s="307"/>
      <c r="L145" s="310"/>
      <c r="M145" s="310"/>
      <c r="N145" s="310"/>
      <c r="O145" s="310"/>
      <c r="P145" s="310"/>
      <c r="Q145" s="310"/>
      <c r="R145" s="310"/>
      <c r="S145" s="310"/>
      <c r="T145" s="310"/>
      <c r="U145" s="307"/>
      <c r="V145" s="307"/>
      <c r="W145" s="311"/>
      <c r="X145" s="307"/>
      <c r="Y145" s="307"/>
      <c r="Z145" s="307"/>
      <c r="AA145" s="307"/>
      <c r="AB145" s="311"/>
      <c r="AC145" s="307"/>
      <c r="AD145" s="307"/>
      <c r="AE145" s="307"/>
      <c r="AF145" s="307"/>
      <c r="AG145" s="310"/>
      <c r="AH145" s="307"/>
      <c r="AI145" s="310"/>
      <c r="AJ145" s="307"/>
      <c r="AK145" s="307"/>
      <c r="AL145" s="307"/>
      <c r="AM145" s="308"/>
      <c r="AN145" s="311"/>
      <c r="AO145" s="307"/>
      <c r="AP145" s="307"/>
      <c r="AQ145" s="308"/>
      <c r="AR145" s="307"/>
      <c r="AS145" s="307"/>
      <c r="AT145" s="307"/>
      <c r="AU145" s="310"/>
      <c r="AV145" s="308"/>
      <c r="AW145" s="312"/>
      <c r="AX145" s="308"/>
      <c r="AY145" s="307"/>
      <c r="AZ145" s="307"/>
      <c r="BA145" s="307"/>
      <c r="BB145" s="307"/>
      <c r="BC145" s="308"/>
      <c r="BD145" s="308"/>
      <c r="BE145" s="313"/>
      <c r="BF145" s="307"/>
      <c r="BG145" s="310"/>
      <c r="BH145" s="307"/>
      <c r="BI145" s="307"/>
      <c r="BJ145" s="310"/>
      <c r="BK145" s="307"/>
      <c r="BL145" s="307"/>
      <c r="BM145" s="310"/>
      <c r="BN145" s="307"/>
      <c r="BO145" s="310"/>
      <c r="BP145" s="307"/>
      <c r="BQ145" s="307"/>
      <c r="BR145" s="307"/>
      <c r="BS145" s="307"/>
      <c r="BT145" s="307"/>
      <c r="BU145" s="310"/>
      <c r="BV145" s="307"/>
      <c r="BW145" s="308"/>
      <c r="BX145" s="311"/>
      <c r="BY145" s="307"/>
      <c r="BZ145" s="307"/>
      <c r="CA145" s="310"/>
      <c r="CB145" s="307"/>
      <c r="CC145" s="307"/>
      <c r="CD145" s="307"/>
      <c r="CE145" s="308"/>
      <c r="CF145" s="308"/>
      <c r="CG145" s="307"/>
      <c r="CH145" s="307"/>
      <c r="CI145" s="307"/>
      <c r="CJ145" s="307"/>
      <c r="CK145" s="314"/>
      <c r="CL145" s="310"/>
      <c r="CM145" s="310"/>
      <c r="CN145" s="307"/>
      <c r="CO145" s="307"/>
      <c r="CP145" s="307"/>
      <c r="CQ145" s="315"/>
      <c r="CR145" s="315"/>
      <c r="CS145" s="315"/>
      <c r="CT145" s="315"/>
      <c r="CU145" s="307"/>
      <c r="CV145" s="217"/>
      <c r="CW145" s="192"/>
      <c r="CX145" s="192"/>
      <c r="CY145" s="192"/>
      <c r="CZ145" s="191"/>
      <c r="DA145" s="193"/>
      <c r="DB145" s="192"/>
      <c r="DC145" s="192"/>
      <c r="DD145" s="192"/>
      <c r="DE145" s="191"/>
      <c r="DF145" s="19"/>
      <c r="DG145" s="192"/>
      <c r="DH145" s="192"/>
      <c r="DI145" s="192"/>
      <c r="DJ145" s="191"/>
      <c r="DK145" s="193"/>
      <c r="DL145" s="192"/>
      <c r="DM145" s="192"/>
      <c r="DN145" s="192"/>
      <c r="DO145" s="191"/>
      <c r="DP145" s="19"/>
      <c r="DQ145" s="192"/>
      <c r="DR145" s="192"/>
      <c r="DS145" s="192"/>
      <c r="DT145" s="191"/>
      <c r="DU145" s="193"/>
      <c r="DV145" s="192"/>
      <c r="DW145" s="192"/>
      <c r="DX145" s="192"/>
      <c r="DY145" s="191"/>
      <c r="DZ145" s="19"/>
      <c r="EA145" s="192"/>
      <c r="EB145" s="192"/>
      <c r="EC145" s="192"/>
      <c r="ED145" s="191"/>
      <c r="EE145" s="193"/>
      <c r="EF145" s="192"/>
      <c r="EG145" s="192"/>
      <c r="EH145" s="192"/>
      <c r="EI145" s="191"/>
      <c r="EJ145" s="19"/>
      <c r="EK145" s="192"/>
      <c r="EL145" s="192"/>
      <c r="EM145" s="192"/>
      <c r="EN145" s="191"/>
      <c r="EO145" s="193"/>
      <c r="EP145" s="192"/>
      <c r="EQ145" s="192"/>
      <c r="ER145" s="192"/>
      <c r="ES145" s="191"/>
      <c r="ET145" s="19"/>
      <c r="EU145" s="192"/>
      <c r="EV145" s="192"/>
      <c r="EW145" s="192"/>
      <c r="EX145" s="191"/>
      <c r="EY145" s="193"/>
      <c r="EZ145" s="192"/>
      <c r="FA145" s="192"/>
      <c r="FB145" s="192"/>
      <c r="FC145" s="191"/>
      <c r="FL145" s="273">
        <f t="shared" ca="1" si="8"/>
        <v>116</v>
      </c>
    </row>
    <row r="146" spans="1:168" ht="16.5" thickBot="1">
      <c r="A146" s="196">
        <v>143</v>
      </c>
      <c r="B146" s="306"/>
      <c r="C146" s="310"/>
      <c r="D146" s="307" t="s">
        <v>271</v>
      </c>
      <c r="E146" s="307" t="s">
        <v>271</v>
      </c>
      <c r="F146" s="308"/>
      <c r="G146" s="343" t="str">
        <f t="shared" si="6"/>
        <v xml:space="preserve"> </v>
      </c>
      <c r="H146" s="307"/>
      <c r="I146" s="309" t="e">
        <f t="shared" si="7"/>
        <v>#N/A</v>
      </c>
      <c r="J146" s="307"/>
      <c r="K146" s="307"/>
      <c r="L146" s="310"/>
      <c r="M146" s="310"/>
      <c r="N146" s="310"/>
      <c r="O146" s="310"/>
      <c r="P146" s="310"/>
      <c r="Q146" s="310"/>
      <c r="R146" s="310"/>
      <c r="S146" s="310"/>
      <c r="T146" s="310"/>
      <c r="U146" s="307"/>
      <c r="V146" s="307"/>
      <c r="W146" s="311"/>
      <c r="X146" s="307"/>
      <c r="Y146" s="307"/>
      <c r="Z146" s="307"/>
      <c r="AA146" s="307"/>
      <c r="AB146" s="311"/>
      <c r="AC146" s="307"/>
      <c r="AD146" s="307"/>
      <c r="AE146" s="307"/>
      <c r="AF146" s="307"/>
      <c r="AG146" s="310"/>
      <c r="AH146" s="307"/>
      <c r="AI146" s="310"/>
      <c r="AJ146" s="307"/>
      <c r="AK146" s="307"/>
      <c r="AL146" s="307"/>
      <c r="AM146" s="308"/>
      <c r="AN146" s="311"/>
      <c r="AO146" s="307"/>
      <c r="AP146" s="307"/>
      <c r="AQ146" s="308"/>
      <c r="AR146" s="307"/>
      <c r="AS146" s="307"/>
      <c r="AT146" s="307"/>
      <c r="AU146" s="310"/>
      <c r="AV146" s="308"/>
      <c r="AW146" s="312"/>
      <c r="AX146" s="308"/>
      <c r="AY146" s="307"/>
      <c r="AZ146" s="307"/>
      <c r="BA146" s="307"/>
      <c r="BB146" s="307"/>
      <c r="BC146" s="308"/>
      <c r="BD146" s="308"/>
      <c r="BE146" s="313"/>
      <c r="BF146" s="307"/>
      <c r="BG146" s="310"/>
      <c r="BH146" s="307"/>
      <c r="BI146" s="307"/>
      <c r="BJ146" s="310"/>
      <c r="BK146" s="307"/>
      <c r="BL146" s="307"/>
      <c r="BM146" s="310"/>
      <c r="BN146" s="307"/>
      <c r="BO146" s="310"/>
      <c r="BP146" s="307"/>
      <c r="BQ146" s="307"/>
      <c r="BR146" s="307"/>
      <c r="BS146" s="307"/>
      <c r="BT146" s="307"/>
      <c r="BU146" s="310"/>
      <c r="BV146" s="307"/>
      <c r="BW146" s="308"/>
      <c r="BX146" s="311"/>
      <c r="BY146" s="307"/>
      <c r="BZ146" s="307"/>
      <c r="CA146" s="310"/>
      <c r="CB146" s="307"/>
      <c r="CC146" s="307"/>
      <c r="CD146" s="307"/>
      <c r="CE146" s="308"/>
      <c r="CF146" s="308"/>
      <c r="CG146" s="307"/>
      <c r="CH146" s="307"/>
      <c r="CI146" s="307"/>
      <c r="CJ146" s="307"/>
      <c r="CK146" s="314"/>
      <c r="CL146" s="310"/>
      <c r="CM146" s="310"/>
      <c r="CN146" s="307"/>
      <c r="CO146" s="307"/>
      <c r="CP146" s="307"/>
      <c r="CQ146" s="315"/>
      <c r="CR146" s="315"/>
      <c r="CS146" s="315"/>
      <c r="CT146" s="315"/>
      <c r="CU146" s="307"/>
      <c r="CV146" s="217"/>
      <c r="CW146" s="192"/>
      <c r="CX146" s="192"/>
      <c r="CY146" s="192"/>
      <c r="CZ146" s="191"/>
      <c r="DA146" s="193"/>
      <c r="DB146" s="192"/>
      <c r="DC146" s="192"/>
      <c r="DD146" s="192"/>
      <c r="DE146" s="191"/>
      <c r="DF146" s="19"/>
      <c r="DG146" s="192"/>
      <c r="DH146" s="192"/>
      <c r="DI146" s="192"/>
      <c r="DJ146" s="191"/>
      <c r="DK146" s="193"/>
      <c r="DL146" s="192"/>
      <c r="DM146" s="192"/>
      <c r="DN146" s="192"/>
      <c r="DO146" s="191"/>
      <c r="DP146" s="19"/>
      <c r="DQ146" s="192"/>
      <c r="DR146" s="192"/>
      <c r="DS146" s="192"/>
      <c r="DT146" s="191"/>
      <c r="DU146" s="193"/>
      <c r="DV146" s="192"/>
      <c r="DW146" s="192"/>
      <c r="DX146" s="192"/>
      <c r="DY146" s="191"/>
      <c r="DZ146" s="19"/>
      <c r="EA146" s="192"/>
      <c r="EB146" s="192"/>
      <c r="EC146" s="192"/>
      <c r="ED146" s="191"/>
      <c r="EE146" s="193"/>
      <c r="EF146" s="192"/>
      <c r="EG146" s="192"/>
      <c r="EH146" s="192"/>
      <c r="EI146" s="191"/>
      <c r="EJ146" s="19"/>
      <c r="EK146" s="192"/>
      <c r="EL146" s="192"/>
      <c r="EM146" s="192"/>
      <c r="EN146" s="191"/>
      <c r="EO146" s="193"/>
      <c r="EP146" s="192"/>
      <c r="EQ146" s="192"/>
      <c r="ER146" s="192"/>
      <c r="ES146" s="191"/>
      <c r="ET146" s="19"/>
      <c r="EU146" s="192"/>
      <c r="EV146" s="192"/>
      <c r="EW146" s="192"/>
      <c r="EX146" s="191"/>
      <c r="EY146" s="193"/>
      <c r="EZ146" s="192"/>
      <c r="FA146" s="192"/>
      <c r="FB146" s="192"/>
      <c r="FC146" s="191"/>
      <c r="FL146" s="273">
        <f t="shared" ca="1" si="8"/>
        <v>116</v>
      </c>
    </row>
    <row r="147" spans="1:168" ht="16.5" thickBot="1">
      <c r="A147" s="199">
        <v>144</v>
      </c>
      <c r="B147" s="306"/>
      <c r="C147" s="310"/>
      <c r="D147" s="307" t="s">
        <v>271</v>
      </c>
      <c r="E147" s="307" t="s">
        <v>271</v>
      </c>
      <c r="F147" s="308"/>
      <c r="G147" s="343" t="str">
        <f t="shared" si="6"/>
        <v xml:space="preserve"> </v>
      </c>
      <c r="H147" s="307"/>
      <c r="I147" s="309" t="e">
        <f t="shared" si="7"/>
        <v>#N/A</v>
      </c>
      <c r="J147" s="307"/>
      <c r="K147" s="307"/>
      <c r="L147" s="310"/>
      <c r="M147" s="310"/>
      <c r="N147" s="310"/>
      <c r="O147" s="310"/>
      <c r="P147" s="310"/>
      <c r="Q147" s="310"/>
      <c r="R147" s="310"/>
      <c r="S147" s="310"/>
      <c r="T147" s="310"/>
      <c r="U147" s="307"/>
      <c r="V147" s="307"/>
      <c r="W147" s="311"/>
      <c r="X147" s="307"/>
      <c r="Y147" s="307"/>
      <c r="Z147" s="307"/>
      <c r="AA147" s="307"/>
      <c r="AB147" s="311"/>
      <c r="AC147" s="307"/>
      <c r="AD147" s="307"/>
      <c r="AE147" s="307"/>
      <c r="AF147" s="307"/>
      <c r="AG147" s="310"/>
      <c r="AH147" s="307"/>
      <c r="AI147" s="310"/>
      <c r="AJ147" s="307"/>
      <c r="AK147" s="307"/>
      <c r="AL147" s="307"/>
      <c r="AM147" s="308"/>
      <c r="AN147" s="311"/>
      <c r="AO147" s="307"/>
      <c r="AP147" s="307"/>
      <c r="AQ147" s="308"/>
      <c r="AR147" s="307"/>
      <c r="AS147" s="307"/>
      <c r="AT147" s="307"/>
      <c r="AU147" s="310"/>
      <c r="AV147" s="308"/>
      <c r="AW147" s="312"/>
      <c r="AX147" s="308"/>
      <c r="AY147" s="307"/>
      <c r="AZ147" s="307"/>
      <c r="BA147" s="307"/>
      <c r="BB147" s="307"/>
      <c r="BC147" s="308"/>
      <c r="BD147" s="308"/>
      <c r="BE147" s="313"/>
      <c r="BF147" s="307"/>
      <c r="BG147" s="310"/>
      <c r="BH147" s="307"/>
      <c r="BI147" s="307"/>
      <c r="BJ147" s="310"/>
      <c r="BK147" s="307"/>
      <c r="BL147" s="307"/>
      <c r="BM147" s="310"/>
      <c r="BN147" s="307"/>
      <c r="BO147" s="310"/>
      <c r="BP147" s="307"/>
      <c r="BQ147" s="307"/>
      <c r="BR147" s="307"/>
      <c r="BS147" s="307"/>
      <c r="BT147" s="307"/>
      <c r="BU147" s="310"/>
      <c r="BV147" s="307"/>
      <c r="BW147" s="308"/>
      <c r="BX147" s="311"/>
      <c r="BY147" s="307"/>
      <c r="BZ147" s="307"/>
      <c r="CA147" s="310"/>
      <c r="CB147" s="307"/>
      <c r="CC147" s="307"/>
      <c r="CD147" s="307"/>
      <c r="CE147" s="308"/>
      <c r="CF147" s="308"/>
      <c r="CG147" s="307"/>
      <c r="CH147" s="307"/>
      <c r="CI147" s="307"/>
      <c r="CJ147" s="307"/>
      <c r="CK147" s="314"/>
      <c r="CL147" s="310"/>
      <c r="CM147" s="310"/>
      <c r="CN147" s="307"/>
      <c r="CO147" s="307"/>
      <c r="CP147" s="307"/>
      <c r="CQ147" s="315"/>
      <c r="CR147" s="315"/>
      <c r="CS147" s="315"/>
      <c r="CT147" s="315"/>
      <c r="CU147" s="307"/>
      <c r="CV147" s="217"/>
      <c r="CW147" s="192"/>
      <c r="CX147" s="192"/>
      <c r="CY147" s="192"/>
      <c r="CZ147" s="191"/>
      <c r="DA147" s="193"/>
      <c r="DB147" s="192"/>
      <c r="DC147" s="192"/>
      <c r="DD147" s="192"/>
      <c r="DE147" s="191"/>
      <c r="DF147" s="19"/>
      <c r="DG147" s="192"/>
      <c r="DH147" s="192"/>
      <c r="DI147" s="192"/>
      <c r="DJ147" s="191"/>
      <c r="DK147" s="193"/>
      <c r="DL147" s="192"/>
      <c r="DM147" s="192"/>
      <c r="DN147" s="192"/>
      <c r="DO147" s="191"/>
      <c r="DP147" s="19"/>
      <c r="DQ147" s="192"/>
      <c r="DR147" s="192"/>
      <c r="DS147" s="192"/>
      <c r="DT147" s="191"/>
      <c r="DU147" s="193"/>
      <c r="DV147" s="192"/>
      <c r="DW147" s="192"/>
      <c r="DX147" s="192"/>
      <c r="DY147" s="191"/>
      <c r="DZ147" s="19"/>
      <c r="EA147" s="192"/>
      <c r="EB147" s="192"/>
      <c r="EC147" s="192"/>
      <c r="ED147" s="191"/>
      <c r="EE147" s="193"/>
      <c r="EF147" s="192"/>
      <c r="EG147" s="192"/>
      <c r="EH147" s="192"/>
      <c r="EI147" s="191"/>
      <c r="EJ147" s="19"/>
      <c r="EK147" s="192"/>
      <c r="EL147" s="192"/>
      <c r="EM147" s="192"/>
      <c r="EN147" s="191"/>
      <c r="EO147" s="193"/>
      <c r="EP147" s="192"/>
      <c r="EQ147" s="192"/>
      <c r="ER147" s="192"/>
      <c r="ES147" s="191"/>
      <c r="ET147" s="19"/>
      <c r="EU147" s="192"/>
      <c r="EV147" s="192"/>
      <c r="EW147" s="192"/>
      <c r="EX147" s="191"/>
      <c r="EY147" s="193"/>
      <c r="EZ147" s="192"/>
      <c r="FA147" s="192"/>
      <c r="FB147" s="192"/>
      <c r="FC147" s="191"/>
      <c r="FL147" s="273">
        <f t="shared" ca="1" si="8"/>
        <v>116</v>
      </c>
    </row>
    <row r="148" spans="1:168" ht="16.5" thickBot="1">
      <c r="A148" s="196">
        <v>145</v>
      </c>
      <c r="B148" s="306"/>
      <c r="C148" s="310"/>
      <c r="D148" s="307" t="s">
        <v>271</v>
      </c>
      <c r="E148" s="307" t="s">
        <v>271</v>
      </c>
      <c r="F148" s="308"/>
      <c r="G148" s="343" t="str">
        <f t="shared" si="6"/>
        <v xml:space="preserve"> </v>
      </c>
      <c r="H148" s="307"/>
      <c r="I148" s="309" t="e">
        <f t="shared" si="7"/>
        <v>#N/A</v>
      </c>
      <c r="J148" s="307"/>
      <c r="K148" s="307"/>
      <c r="L148" s="310"/>
      <c r="M148" s="310"/>
      <c r="N148" s="310"/>
      <c r="O148" s="310"/>
      <c r="P148" s="310"/>
      <c r="Q148" s="310"/>
      <c r="R148" s="310"/>
      <c r="S148" s="310"/>
      <c r="T148" s="310"/>
      <c r="U148" s="307"/>
      <c r="V148" s="307"/>
      <c r="W148" s="311"/>
      <c r="X148" s="307"/>
      <c r="Y148" s="307"/>
      <c r="Z148" s="307"/>
      <c r="AA148" s="307"/>
      <c r="AB148" s="311"/>
      <c r="AC148" s="307"/>
      <c r="AD148" s="307"/>
      <c r="AE148" s="307"/>
      <c r="AF148" s="307"/>
      <c r="AG148" s="310"/>
      <c r="AH148" s="307"/>
      <c r="AI148" s="310"/>
      <c r="AJ148" s="307"/>
      <c r="AK148" s="307"/>
      <c r="AL148" s="307"/>
      <c r="AM148" s="308"/>
      <c r="AN148" s="311"/>
      <c r="AO148" s="307"/>
      <c r="AP148" s="307"/>
      <c r="AQ148" s="308"/>
      <c r="AR148" s="307"/>
      <c r="AS148" s="307"/>
      <c r="AT148" s="307"/>
      <c r="AU148" s="310"/>
      <c r="AV148" s="308"/>
      <c r="AW148" s="312"/>
      <c r="AX148" s="308"/>
      <c r="AY148" s="307"/>
      <c r="AZ148" s="307"/>
      <c r="BA148" s="307"/>
      <c r="BB148" s="307"/>
      <c r="BC148" s="308"/>
      <c r="BD148" s="308"/>
      <c r="BE148" s="313"/>
      <c r="BF148" s="307"/>
      <c r="BG148" s="310"/>
      <c r="BH148" s="307"/>
      <c r="BI148" s="307"/>
      <c r="BJ148" s="310"/>
      <c r="BK148" s="307"/>
      <c r="BL148" s="307"/>
      <c r="BM148" s="310"/>
      <c r="BN148" s="307"/>
      <c r="BO148" s="310"/>
      <c r="BP148" s="307"/>
      <c r="BQ148" s="307"/>
      <c r="BR148" s="307"/>
      <c r="BS148" s="307"/>
      <c r="BT148" s="307"/>
      <c r="BU148" s="310"/>
      <c r="BV148" s="307"/>
      <c r="BW148" s="308"/>
      <c r="BX148" s="311"/>
      <c r="BY148" s="307"/>
      <c r="BZ148" s="307"/>
      <c r="CA148" s="310"/>
      <c r="CB148" s="307"/>
      <c r="CC148" s="307"/>
      <c r="CD148" s="307"/>
      <c r="CE148" s="308"/>
      <c r="CF148" s="308"/>
      <c r="CG148" s="307"/>
      <c r="CH148" s="307"/>
      <c r="CI148" s="307"/>
      <c r="CJ148" s="307"/>
      <c r="CK148" s="314"/>
      <c r="CL148" s="310"/>
      <c r="CM148" s="310"/>
      <c r="CN148" s="307"/>
      <c r="CO148" s="307"/>
      <c r="CP148" s="307"/>
      <c r="CQ148" s="315"/>
      <c r="CR148" s="315"/>
      <c r="CS148" s="315"/>
      <c r="CT148" s="315"/>
      <c r="CU148" s="307"/>
      <c r="CV148" s="217"/>
      <c r="CW148" s="192"/>
      <c r="CX148" s="192"/>
      <c r="CY148" s="192"/>
      <c r="CZ148" s="191"/>
      <c r="DA148" s="193"/>
      <c r="DB148" s="192"/>
      <c r="DC148" s="192"/>
      <c r="DD148" s="192"/>
      <c r="DE148" s="191"/>
      <c r="DF148" s="19"/>
      <c r="DG148" s="192"/>
      <c r="DH148" s="192"/>
      <c r="DI148" s="192"/>
      <c r="DJ148" s="191"/>
      <c r="DK148" s="193"/>
      <c r="DL148" s="192"/>
      <c r="DM148" s="192"/>
      <c r="DN148" s="192"/>
      <c r="DO148" s="191"/>
      <c r="DP148" s="19"/>
      <c r="DQ148" s="192"/>
      <c r="DR148" s="192"/>
      <c r="DS148" s="192"/>
      <c r="DT148" s="191"/>
      <c r="DU148" s="193"/>
      <c r="DV148" s="192"/>
      <c r="DW148" s="192"/>
      <c r="DX148" s="192"/>
      <c r="DY148" s="191"/>
      <c r="DZ148" s="19"/>
      <c r="EA148" s="192"/>
      <c r="EB148" s="192"/>
      <c r="EC148" s="192"/>
      <c r="ED148" s="191"/>
      <c r="EE148" s="193"/>
      <c r="EF148" s="192"/>
      <c r="EG148" s="192"/>
      <c r="EH148" s="192"/>
      <c r="EI148" s="191"/>
      <c r="EJ148" s="19"/>
      <c r="EK148" s="192"/>
      <c r="EL148" s="192"/>
      <c r="EM148" s="192"/>
      <c r="EN148" s="191"/>
      <c r="EO148" s="193"/>
      <c r="EP148" s="192"/>
      <c r="EQ148" s="192"/>
      <c r="ER148" s="192"/>
      <c r="ES148" s="191"/>
      <c r="ET148" s="19"/>
      <c r="EU148" s="192"/>
      <c r="EV148" s="192"/>
      <c r="EW148" s="192"/>
      <c r="EX148" s="191"/>
      <c r="EY148" s="193"/>
      <c r="EZ148" s="192"/>
      <c r="FA148" s="192"/>
      <c r="FB148" s="192"/>
      <c r="FC148" s="191"/>
      <c r="FL148" s="273">
        <f t="shared" ca="1" si="8"/>
        <v>116</v>
      </c>
    </row>
    <row r="149" spans="1:168" ht="16.5" thickBot="1">
      <c r="A149" s="199">
        <v>146</v>
      </c>
      <c r="B149" s="306"/>
      <c r="C149" s="310"/>
      <c r="D149" s="307" t="s">
        <v>271</v>
      </c>
      <c r="E149" s="307" t="s">
        <v>271</v>
      </c>
      <c r="F149" s="308"/>
      <c r="G149" s="343" t="str">
        <f t="shared" si="6"/>
        <v xml:space="preserve"> </v>
      </c>
      <c r="H149" s="307"/>
      <c r="I149" s="309" t="e">
        <f t="shared" si="7"/>
        <v>#N/A</v>
      </c>
      <c r="J149" s="307"/>
      <c r="K149" s="307"/>
      <c r="L149" s="310"/>
      <c r="M149" s="310"/>
      <c r="N149" s="310"/>
      <c r="O149" s="310"/>
      <c r="P149" s="310"/>
      <c r="Q149" s="310"/>
      <c r="R149" s="310"/>
      <c r="S149" s="310"/>
      <c r="T149" s="310"/>
      <c r="U149" s="307"/>
      <c r="V149" s="307"/>
      <c r="W149" s="311"/>
      <c r="X149" s="307"/>
      <c r="Y149" s="307"/>
      <c r="Z149" s="307"/>
      <c r="AA149" s="307"/>
      <c r="AB149" s="311"/>
      <c r="AC149" s="307"/>
      <c r="AD149" s="307"/>
      <c r="AE149" s="307"/>
      <c r="AF149" s="307"/>
      <c r="AG149" s="310"/>
      <c r="AH149" s="307"/>
      <c r="AI149" s="310"/>
      <c r="AJ149" s="307"/>
      <c r="AK149" s="307"/>
      <c r="AL149" s="307"/>
      <c r="AM149" s="308"/>
      <c r="AN149" s="311"/>
      <c r="AO149" s="307"/>
      <c r="AP149" s="307"/>
      <c r="AQ149" s="308"/>
      <c r="AR149" s="307"/>
      <c r="AS149" s="307"/>
      <c r="AT149" s="307"/>
      <c r="AU149" s="310"/>
      <c r="AV149" s="308"/>
      <c r="AW149" s="312"/>
      <c r="AX149" s="308"/>
      <c r="AY149" s="307"/>
      <c r="AZ149" s="307"/>
      <c r="BA149" s="307"/>
      <c r="BB149" s="307"/>
      <c r="BC149" s="308"/>
      <c r="BD149" s="308"/>
      <c r="BE149" s="313"/>
      <c r="BF149" s="307"/>
      <c r="BG149" s="310"/>
      <c r="BH149" s="307"/>
      <c r="BI149" s="307"/>
      <c r="BJ149" s="310"/>
      <c r="BK149" s="307"/>
      <c r="BL149" s="307"/>
      <c r="BM149" s="310"/>
      <c r="BN149" s="307"/>
      <c r="BO149" s="310"/>
      <c r="BP149" s="307"/>
      <c r="BQ149" s="307"/>
      <c r="BR149" s="307"/>
      <c r="BS149" s="307"/>
      <c r="BT149" s="307"/>
      <c r="BU149" s="310"/>
      <c r="BV149" s="307"/>
      <c r="BW149" s="308"/>
      <c r="BX149" s="311"/>
      <c r="BY149" s="307"/>
      <c r="BZ149" s="307"/>
      <c r="CA149" s="310"/>
      <c r="CB149" s="307"/>
      <c r="CC149" s="307"/>
      <c r="CD149" s="307"/>
      <c r="CE149" s="308"/>
      <c r="CF149" s="308"/>
      <c r="CG149" s="307"/>
      <c r="CH149" s="307"/>
      <c r="CI149" s="307"/>
      <c r="CJ149" s="307"/>
      <c r="CK149" s="314"/>
      <c r="CL149" s="310"/>
      <c r="CM149" s="310"/>
      <c r="CN149" s="307"/>
      <c r="CO149" s="307"/>
      <c r="CP149" s="307"/>
      <c r="CQ149" s="315"/>
      <c r="CR149" s="315"/>
      <c r="CS149" s="315"/>
      <c r="CT149" s="315"/>
      <c r="CU149" s="307"/>
      <c r="CV149" s="217"/>
      <c r="CW149" s="192"/>
      <c r="CX149" s="192"/>
      <c r="CY149" s="192"/>
      <c r="CZ149" s="191"/>
      <c r="DA149" s="193"/>
      <c r="DB149" s="192"/>
      <c r="DC149" s="192"/>
      <c r="DD149" s="192"/>
      <c r="DE149" s="191"/>
      <c r="DF149" s="19"/>
      <c r="DG149" s="192"/>
      <c r="DH149" s="192"/>
      <c r="DI149" s="192"/>
      <c r="DJ149" s="191"/>
      <c r="DK149" s="193"/>
      <c r="DL149" s="192"/>
      <c r="DM149" s="192"/>
      <c r="DN149" s="192"/>
      <c r="DO149" s="191"/>
      <c r="DP149" s="19"/>
      <c r="DQ149" s="192"/>
      <c r="DR149" s="192"/>
      <c r="DS149" s="192"/>
      <c r="DT149" s="191"/>
      <c r="DU149" s="193"/>
      <c r="DV149" s="192"/>
      <c r="DW149" s="192"/>
      <c r="DX149" s="192"/>
      <c r="DY149" s="191"/>
      <c r="DZ149" s="19"/>
      <c r="EA149" s="192"/>
      <c r="EB149" s="192"/>
      <c r="EC149" s="192"/>
      <c r="ED149" s="191"/>
      <c r="EE149" s="193"/>
      <c r="EF149" s="192"/>
      <c r="EG149" s="192"/>
      <c r="EH149" s="192"/>
      <c r="EI149" s="191"/>
      <c r="EJ149" s="19"/>
      <c r="EK149" s="192"/>
      <c r="EL149" s="192"/>
      <c r="EM149" s="192"/>
      <c r="EN149" s="191"/>
      <c r="EO149" s="193"/>
      <c r="EP149" s="192"/>
      <c r="EQ149" s="192"/>
      <c r="ER149" s="192"/>
      <c r="ES149" s="191"/>
      <c r="ET149" s="19"/>
      <c r="EU149" s="192"/>
      <c r="EV149" s="192"/>
      <c r="EW149" s="192"/>
      <c r="EX149" s="191"/>
      <c r="EY149" s="193"/>
      <c r="EZ149" s="192"/>
      <c r="FA149" s="192"/>
      <c r="FB149" s="192"/>
      <c r="FC149" s="191"/>
      <c r="FL149" s="273">
        <f t="shared" ca="1" si="8"/>
        <v>116</v>
      </c>
    </row>
    <row r="150" spans="1:168" ht="16.5" thickBot="1">
      <c r="A150" s="196">
        <v>147</v>
      </c>
      <c r="B150" s="306"/>
      <c r="C150" s="310"/>
      <c r="D150" s="307" t="s">
        <v>271</v>
      </c>
      <c r="E150" s="307" t="s">
        <v>271</v>
      </c>
      <c r="F150" s="308"/>
      <c r="G150" s="343" t="str">
        <f t="shared" si="6"/>
        <v xml:space="preserve"> </v>
      </c>
      <c r="H150" s="307"/>
      <c r="I150" s="309" t="e">
        <f t="shared" si="7"/>
        <v>#N/A</v>
      </c>
      <c r="J150" s="307"/>
      <c r="K150" s="307"/>
      <c r="L150" s="310"/>
      <c r="M150" s="310"/>
      <c r="N150" s="310"/>
      <c r="O150" s="310"/>
      <c r="P150" s="310"/>
      <c r="Q150" s="310"/>
      <c r="R150" s="310"/>
      <c r="S150" s="310"/>
      <c r="T150" s="310"/>
      <c r="U150" s="307"/>
      <c r="V150" s="307"/>
      <c r="W150" s="311"/>
      <c r="X150" s="307"/>
      <c r="Y150" s="307"/>
      <c r="Z150" s="307"/>
      <c r="AA150" s="307"/>
      <c r="AB150" s="311"/>
      <c r="AC150" s="307"/>
      <c r="AD150" s="307"/>
      <c r="AE150" s="307"/>
      <c r="AF150" s="307"/>
      <c r="AG150" s="310"/>
      <c r="AH150" s="307"/>
      <c r="AI150" s="310"/>
      <c r="AJ150" s="307"/>
      <c r="AK150" s="307"/>
      <c r="AL150" s="307"/>
      <c r="AM150" s="308"/>
      <c r="AN150" s="311"/>
      <c r="AO150" s="307"/>
      <c r="AP150" s="307"/>
      <c r="AQ150" s="308"/>
      <c r="AR150" s="307"/>
      <c r="AS150" s="307"/>
      <c r="AT150" s="307"/>
      <c r="AU150" s="310"/>
      <c r="AV150" s="308"/>
      <c r="AW150" s="312"/>
      <c r="AX150" s="308"/>
      <c r="AY150" s="307"/>
      <c r="AZ150" s="307"/>
      <c r="BA150" s="307"/>
      <c r="BB150" s="307"/>
      <c r="BC150" s="308"/>
      <c r="BD150" s="308"/>
      <c r="BE150" s="313"/>
      <c r="BF150" s="307"/>
      <c r="BG150" s="310"/>
      <c r="BH150" s="307"/>
      <c r="BI150" s="307"/>
      <c r="BJ150" s="310"/>
      <c r="BK150" s="307"/>
      <c r="BL150" s="307"/>
      <c r="BM150" s="310"/>
      <c r="BN150" s="307"/>
      <c r="BO150" s="310"/>
      <c r="BP150" s="307"/>
      <c r="BQ150" s="307"/>
      <c r="BR150" s="307"/>
      <c r="BS150" s="307"/>
      <c r="BT150" s="307"/>
      <c r="BU150" s="310"/>
      <c r="BV150" s="307"/>
      <c r="BW150" s="308"/>
      <c r="BX150" s="311"/>
      <c r="BY150" s="307"/>
      <c r="BZ150" s="307"/>
      <c r="CA150" s="310"/>
      <c r="CB150" s="307"/>
      <c r="CC150" s="307"/>
      <c r="CD150" s="307"/>
      <c r="CE150" s="308"/>
      <c r="CF150" s="308"/>
      <c r="CG150" s="307"/>
      <c r="CH150" s="307"/>
      <c r="CI150" s="307"/>
      <c r="CJ150" s="307"/>
      <c r="CK150" s="314"/>
      <c r="CL150" s="310"/>
      <c r="CM150" s="310"/>
      <c r="CN150" s="307"/>
      <c r="CO150" s="307"/>
      <c r="CP150" s="307"/>
      <c r="CQ150" s="315"/>
      <c r="CR150" s="315"/>
      <c r="CS150" s="315"/>
      <c r="CT150" s="315"/>
      <c r="CU150" s="307"/>
      <c r="CV150" s="217"/>
      <c r="CW150" s="192"/>
      <c r="CX150" s="192"/>
      <c r="CY150" s="192"/>
      <c r="CZ150" s="191"/>
      <c r="DA150" s="193"/>
      <c r="DB150" s="192"/>
      <c r="DC150" s="192"/>
      <c r="DD150" s="192"/>
      <c r="DE150" s="191"/>
      <c r="DF150" s="19"/>
      <c r="DG150" s="192"/>
      <c r="DH150" s="192"/>
      <c r="DI150" s="192"/>
      <c r="DJ150" s="191"/>
      <c r="DK150" s="193"/>
      <c r="DL150" s="192"/>
      <c r="DM150" s="192"/>
      <c r="DN150" s="192"/>
      <c r="DO150" s="191"/>
      <c r="DP150" s="19"/>
      <c r="DQ150" s="192"/>
      <c r="DR150" s="192"/>
      <c r="DS150" s="192"/>
      <c r="DT150" s="191"/>
      <c r="DU150" s="193"/>
      <c r="DV150" s="192"/>
      <c r="DW150" s="192"/>
      <c r="DX150" s="192"/>
      <c r="DY150" s="191"/>
      <c r="DZ150" s="19"/>
      <c r="EA150" s="192"/>
      <c r="EB150" s="192"/>
      <c r="EC150" s="192"/>
      <c r="ED150" s="191"/>
      <c r="EE150" s="193"/>
      <c r="EF150" s="192"/>
      <c r="EG150" s="192"/>
      <c r="EH150" s="192"/>
      <c r="EI150" s="191"/>
      <c r="EJ150" s="19"/>
      <c r="EK150" s="192"/>
      <c r="EL150" s="192"/>
      <c r="EM150" s="192"/>
      <c r="EN150" s="191"/>
      <c r="EO150" s="193"/>
      <c r="EP150" s="192"/>
      <c r="EQ150" s="192"/>
      <c r="ER150" s="192"/>
      <c r="ES150" s="191"/>
      <c r="ET150" s="19"/>
      <c r="EU150" s="192"/>
      <c r="EV150" s="192"/>
      <c r="EW150" s="192"/>
      <c r="EX150" s="191"/>
      <c r="EY150" s="193"/>
      <c r="EZ150" s="192"/>
      <c r="FA150" s="192"/>
      <c r="FB150" s="192"/>
      <c r="FC150" s="191"/>
      <c r="FL150" s="273">
        <f t="shared" ca="1" si="8"/>
        <v>116</v>
      </c>
    </row>
    <row r="151" spans="1:168" ht="16.5" thickBot="1">
      <c r="A151" s="199">
        <v>148</v>
      </c>
      <c r="B151" s="306"/>
      <c r="C151" s="310"/>
      <c r="D151" s="307" t="s">
        <v>271</v>
      </c>
      <c r="E151" s="307" t="s">
        <v>271</v>
      </c>
      <c r="F151" s="308"/>
      <c r="G151" s="343" t="str">
        <f t="shared" si="6"/>
        <v xml:space="preserve"> </v>
      </c>
      <c r="H151" s="307"/>
      <c r="I151" s="309" t="e">
        <f t="shared" si="7"/>
        <v>#N/A</v>
      </c>
      <c r="J151" s="307"/>
      <c r="K151" s="307"/>
      <c r="L151" s="310"/>
      <c r="M151" s="310"/>
      <c r="N151" s="310"/>
      <c r="O151" s="310"/>
      <c r="P151" s="310"/>
      <c r="Q151" s="310"/>
      <c r="R151" s="310"/>
      <c r="S151" s="310"/>
      <c r="T151" s="310"/>
      <c r="U151" s="307"/>
      <c r="V151" s="307"/>
      <c r="W151" s="311"/>
      <c r="X151" s="307"/>
      <c r="Y151" s="307"/>
      <c r="Z151" s="307"/>
      <c r="AA151" s="307"/>
      <c r="AB151" s="311"/>
      <c r="AC151" s="307"/>
      <c r="AD151" s="307"/>
      <c r="AE151" s="307"/>
      <c r="AF151" s="307"/>
      <c r="AG151" s="310"/>
      <c r="AH151" s="307"/>
      <c r="AI151" s="310"/>
      <c r="AJ151" s="307"/>
      <c r="AK151" s="307"/>
      <c r="AL151" s="307"/>
      <c r="AM151" s="308"/>
      <c r="AN151" s="311"/>
      <c r="AO151" s="307"/>
      <c r="AP151" s="307"/>
      <c r="AQ151" s="308"/>
      <c r="AR151" s="307"/>
      <c r="AS151" s="307"/>
      <c r="AT151" s="307"/>
      <c r="AU151" s="310"/>
      <c r="AV151" s="308"/>
      <c r="AW151" s="312"/>
      <c r="AX151" s="308"/>
      <c r="AY151" s="307"/>
      <c r="AZ151" s="307"/>
      <c r="BA151" s="307"/>
      <c r="BB151" s="307"/>
      <c r="BC151" s="308"/>
      <c r="BD151" s="308"/>
      <c r="BE151" s="313"/>
      <c r="BF151" s="307"/>
      <c r="BG151" s="310"/>
      <c r="BH151" s="307"/>
      <c r="BI151" s="307"/>
      <c r="BJ151" s="310"/>
      <c r="BK151" s="307"/>
      <c r="BL151" s="307"/>
      <c r="BM151" s="310"/>
      <c r="BN151" s="307"/>
      <c r="BO151" s="310"/>
      <c r="BP151" s="307"/>
      <c r="BQ151" s="307"/>
      <c r="BR151" s="307"/>
      <c r="BS151" s="307"/>
      <c r="BT151" s="307"/>
      <c r="BU151" s="310"/>
      <c r="BV151" s="307"/>
      <c r="BW151" s="308"/>
      <c r="BX151" s="311"/>
      <c r="BY151" s="307"/>
      <c r="BZ151" s="307"/>
      <c r="CA151" s="310"/>
      <c r="CB151" s="307"/>
      <c r="CC151" s="307"/>
      <c r="CD151" s="307"/>
      <c r="CE151" s="308"/>
      <c r="CF151" s="308"/>
      <c r="CG151" s="307"/>
      <c r="CH151" s="307"/>
      <c r="CI151" s="307"/>
      <c r="CJ151" s="307"/>
      <c r="CK151" s="314"/>
      <c r="CL151" s="310"/>
      <c r="CM151" s="310"/>
      <c r="CN151" s="307"/>
      <c r="CO151" s="307"/>
      <c r="CP151" s="307"/>
      <c r="CQ151" s="315"/>
      <c r="CR151" s="315"/>
      <c r="CS151" s="315"/>
      <c r="CT151" s="315"/>
      <c r="CU151" s="307"/>
      <c r="CV151" s="217"/>
      <c r="CW151" s="192"/>
      <c r="CX151" s="192"/>
      <c r="CY151" s="192"/>
      <c r="CZ151" s="191"/>
      <c r="DA151" s="193"/>
      <c r="DB151" s="192"/>
      <c r="DC151" s="192"/>
      <c r="DD151" s="192"/>
      <c r="DE151" s="191"/>
      <c r="DF151" s="19"/>
      <c r="DG151" s="192"/>
      <c r="DH151" s="192"/>
      <c r="DI151" s="192"/>
      <c r="DJ151" s="191"/>
      <c r="DK151" s="193"/>
      <c r="DL151" s="192"/>
      <c r="DM151" s="192"/>
      <c r="DN151" s="192"/>
      <c r="DO151" s="191"/>
      <c r="DP151" s="19"/>
      <c r="DQ151" s="192"/>
      <c r="DR151" s="192"/>
      <c r="DS151" s="192"/>
      <c r="DT151" s="191"/>
      <c r="DU151" s="193"/>
      <c r="DV151" s="192"/>
      <c r="DW151" s="192"/>
      <c r="DX151" s="192"/>
      <c r="DY151" s="191"/>
      <c r="DZ151" s="19"/>
      <c r="EA151" s="192"/>
      <c r="EB151" s="192"/>
      <c r="EC151" s="192"/>
      <c r="ED151" s="191"/>
      <c r="EE151" s="193"/>
      <c r="EF151" s="192"/>
      <c r="EG151" s="192"/>
      <c r="EH151" s="192"/>
      <c r="EI151" s="191"/>
      <c r="EJ151" s="19"/>
      <c r="EK151" s="192"/>
      <c r="EL151" s="192"/>
      <c r="EM151" s="192"/>
      <c r="EN151" s="191"/>
      <c r="EO151" s="193"/>
      <c r="EP151" s="192"/>
      <c r="EQ151" s="192"/>
      <c r="ER151" s="192"/>
      <c r="ES151" s="191"/>
      <c r="ET151" s="19"/>
      <c r="EU151" s="192"/>
      <c r="EV151" s="192"/>
      <c r="EW151" s="192"/>
      <c r="EX151" s="191"/>
      <c r="EY151" s="193"/>
      <c r="EZ151" s="192"/>
      <c r="FA151" s="192"/>
      <c r="FB151" s="192"/>
      <c r="FC151" s="191"/>
      <c r="FL151" s="273">
        <f t="shared" ca="1" si="8"/>
        <v>116</v>
      </c>
    </row>
    <row r="152" spans="1:168" ht="16.5" thickBot="1">
      <c r="A152" s="196">
        <v>149</v>
      </c>
      <c r="B152" s="306"/>
      <c r="C152" s="310"/>
      <c r="D152" s="307" t="s">
        <v>271</v>
      </c>
      <c r="E152" s="307" t="s">
        <v>271</v>
      </c>
      <c r="F152" s="308"/>
      <c r="G152" s="343" t="str">
        <f t="shared" si="6"/>
        <v xml:space="preserve"> </v>
      </c>
      <c r="H152" s="307"/>
      <c r="I152" s="309" t="e">
        <f t="shared" si="7"/>
        <v>#N/A</v>
      </c>
      <c r="J152" s="307"/>
      <c r="K152" s="307"/>
      <c r="L152" s="310"/>
      <c r="M152" s="310"/>
      <c r="N152" s="310"/>
      <c r="O152" s="310"/>
      <c r="P152" s="310"/>
      <c r="Q152" s="310"/>
      <c r="R152" s="310"/>
      <c r="S152" s="310"/>
      <c r="T152" s="310"/>
      <c r="U152" s="307"/>
      <c r="V152" s="307"/>
      <c r="W152" s="311"/>
      <c r="X152" s="307"/>
      <c r="Y152" s="307"/>
      <c r="Z152" s="307"/>
      <c r="AA152" s="307"/>
      <c r="AB152" s="311"/>
      <c r="AC152" s="307"/>
      <c r="AD152" s="307"/>
      <c r="AE152" s="307"/>
      <c r="AF152" s="307"/>
      <c r="AG152" s="310"/>
      <c r="AH152" s="307"/>
      <c r="AI152" s="310"/>
      <c r="AJ152" s="307"/>
      <c r="AK152" s="307"/>
      <c r="AL152" s="307"/>
      <c r="AM152" s="308"/>
      <c r="AN152" s="311"/>
      <c r="AO152" s="307"/>
      <c r="AP152" s="307"/>
      <c r="AQ152" s="308"/>
      <c r="AR152" s="307"/>
      <c r="AS152" s="307"/>
      <c r="AT152" s="307"/>
      <c r="AU152" s="310"/>
      <c r="AV152" s="308"/>
      <c r="AW152" s="312"/>
      <c r="AX152" s="308"/>
      <c r="AY152" s="307"/>
      <c r="AZ152" s="307"/>
      <c r="BA152" s="307"/>
      <c r="BB152" s="307"/>
      <c r="BC152" s="308"/>
      <c r="BD152" s="308"/>
      <c r="BE152" s="313"/>
      <c r="BF152" s="307"/>
      <c r="BG152" s="310"/>
      <c r="BH152" s="307"/>
      <c r="BI152" s="307"/>
      <c r="BJ152" s="310"/>
      <c r="BK152" s="307"/>
      <c r="BL152" s="307"/>
      <c r="BM152" s="310"/>
      <c r="BN152" s="307"/>
      <c r="BO152" s="310"/>
      <c r="BP152" s="307"/>
      <c r="BQ152" s="307"/>
      <c r="BR152" s="307"/>
      <c r="BS152" s="307"/>
      <c r="BT152" s="307"/>
      <c r="BU152" s="310"/>
      <c r="BV152" s="307"/>
      <c r="BW152" s="308"/>
      <c r="BX152" s="311"/>
      <c r="BY152" s="307"/>
      <c r="BZ152" s="307"/>
      <c r="CA152" s="310"/>
      <c r="CB152" s="307"/>
      <c r="CC152" s="307"/>
      <c r="CD152" s="307"/>
      <c r="CE152" s="308"/>
      <c r="CF152" s="308"/>
      <c r="CG152" s="307"/>
      <c r="CH152" s="307"/>
      <c r="CI152" s="307"/>
      <c r="CJ152" s="307"/>
      <c r="CK152" s="314"/>
      <c r="CL152" s="310"/>
      <c r="CM152" s="310"/>
      <c r="CN152" s="307"/>
      <c r="CO152" s="307"/>
      <c r="CP152" s="307"/>
      <c r="CQ152" s="315"/>
      <c r="CR152" s="315"/>
      <c r="CS152" s="315"/>
      <c r="CT152" s="315"/>
      <c r="CU152" s="307"/>
      <c r="CV152" s="217"/>
      <c r="CW152" s="192"/>
      <c r="CX152" s="192"/>
      <c r="CY152" s="192"/>
      <c r="CZ152" s="191"/>
      <c r="DA152" s="193"/>
      <c r="DB152" s="192"/>
      <c r="DC152" s="192"/>
      <c r="DD152" s="192"/>
      <c r="DE152" s="191"/>
      <c r="DF152" s="19"/>
      <c r="DG152" s="192"/>
      <c r="DH152" s="192"/>
      <c r="DI152" s="192"/>
      <c r="DJ152" s="191"/>
      <c r="DK152" s="193"/>
      <c r="DL152" s="192"/>
      <c r="DM152" s="192"/>
      <c r="DN152" s="192"/>
      <c r="DO152" s="191"/>
      <c r="DP152" s="19"/>
      <c r="DQ152" s="192"/>
      <c r="DR152" s="192"/>
      <c r="DS152" s="192"/>
      <c r="DT152" s="191"/>
      <c r="DU152" s="193"/>
      <c r="DV152" s="192"/>
      <c r="DW152" s="192"/>
      <c r="DX152" s="192"/>
      <c r="DY152" s="191"/>
      <c r="DZ152" s="19"/>
      <c r="EA152" s="192"/>
      <c r="EB152" s="192"/>
      <c r="EC152" s="192"/>
      <c r="ED152" s="191"/>
      <c r="EE152" s="193"/>
      <c r="EF152" s="192"/>
      <c r="EG152" s="192"/>
      <c r="EH152" s="192"/>
      <c r="EI152" s="191"/>
      <c r="EJ152" s="19"/>
      <c r="EK152" s="192"/>
      <c r="EL152" s="192"/>
      <c r="EM152" s="192"/>
      <c r="EN152" s="191"/>
      <c r="EO152" s="193"/>
      <c r="EP152" s="192"/>
      <c r="EQ152" s="192"/>
      <c r="ER152" s="192"/>
      <c r="ES152" s="191"/>
      <c r="ET152" s="19"/>
      <c r="EU152" s="192"/>
      <c r="EV152" s="192"/>
      <c r="EW152" s="192"/>
      <c r="EX152" s="191"/>
      <c r="EY152" s="193"/>
      <c r="EZ152" s="192"/>
      <c r="FA152" s="192"/>
      <c r="FB152" s="192"/>
      <c r="FC152" s="191"/>
      <c r="FL152" s="273">
        <f t="shared" ca="1" si="8"/>
        <v>116</v>
      </c>
    </row>
    <row r="153" spans="1:168" ht="16.5" thickBot="1">
      <c r="A153" s="199">
        <v>150</v>
      </c>
      <c r="B153" s="306"/>
      <c r="C153" s="310"/>
      <c r="D153" s="307" t="s">
        <v>271</v>
      </c>
      <c r="E153" s="307" t="s">
        <v>271</v>
      </c>
      <c r="F153" s="308"/>
      <c r="G153" s="343" t="str">
        <f t="shared" si="6"/>
        <v xml:space="preserve"> </v>
      </c>
      <c r="H153" s="307"/>
      <c r="I153" s="309" t="e">
        <f t="shared" si="7"/>
        <v>#N/A</v>
      </c>
      <c r="J153" s="307"/>
      <c r="K153" s="307"/>
      <c r="L153" s="310"/>
      <c r="M153" s="310"/>
      <c r="N153" s="310"/>
      <c r="O153" s="310"/>
      <c r="P153" s="310"/>
      <c r="Q153" s="310"/>
      <c r="R153" s="310"/>
      <c r="S153" s="310"/>
      <c r="T153" s="310"/>
      <c r="U153" s="307"/>
      <c r="V153" s="307"/>
      <c r="W153" s="311"/>
      <c r="X153" s="307"/>
      <c r="Y153" s="307"/>
      <c r="Z153" s="307"/>
      <c r="AA153" s="307"/>
      <c r="AB153" s="311"/>
      <c r="AC153" s="307"/>
      <c r="AD153" s="307"/>
      <c r="AE153" s="307"/>
      <c r="AF153" s="307"/>
      <c r="AG153" s="310"/>
      <c r="AH153" s="307"/>
      <c r="AI153" s="310"/>
      <c r="AJ153" s="307"/>
      <c r="AK153" s="307"/>
      <c r="AL153" s="307"/>
      <c r="AM153" s="308"/>
      <c r="AN153" s="311"/>
      <c r="AO153" s="307"/>
      <c r="AP153" s="307"/>
      <c r="AQ153" s="308"/>
      <c r="AR153" s="307"/>
      <c r="AS153" s="307"/>
      <c r="AT153" s="307"/>
      <c r="AU153" s="310"/>
      <c r="AV153" s="308"/>
      <c r="AW153" s="312"/>
      <c r="AX153" s="308"/>
      <c r="AY153" s="307"/>
      <c r="AZ153" s="307"/>
      <c r="BA153" s="307"/>
      <c r="BB153" s="307"/>
      <c r="BC153" s="308"/>
      <c r="BD153" s="308"/>
      <c r="BE153" s="313"/>
      <c r="BF153" s="307"/>
      <c r="BG153" s="310"/>
      <c r="BH153" s="307"/>
      <c r="BI153" s="307"/>
      <c r="BJ153" s="310"/>
      <c r="BK153" s="307"/>
      <c r="BL153" s="307"/>
      <c r="BM153" s="310"/>
      <c r="BN153" s="307"/>
      <c r="BO153" s="310"/>
      <c r="BP153" s="307"/>
      <c r="BQ153" s="307"/>
      <c r="BR153" s="307"/>
      <c r="BS153" s="307"/>
      <c r="BT153" s="307"/>
      <c r="BU153" s="310"/>
      <c r="BV153" s="307"/>
      <c r="BW153" s="308"/>
      <c r="BX153" s="311"/>
      <c r="BY153" s="307"/>
      <c r="BZ153" s="307"/>
      <c r="CA153" s="310"/>
      <c r="CB153" s="307"/>
      <c r="CC153" s="307"/>
      <c r="CD153" s="307"/>
      <c r="CE153" s="308"/>
      <c r="CF153" s="308"/>
      <c r="CG153" s="307"/>
      <c r="CH153" s="307"/>
      <c r="CI153" s="307"/>
      <c r="CJ153" s="307"/>
      <c r="CK153" s="314"/>
      <c r="CL153" s="310"/>
      <c r="CM153" s="310"/>
      <c r="CN153" s="307"/>
      <c r="CO153" s="307"/>
      <c r="CP153" s="307"/>
      <c r="CQ153" s="315"/>
      <c r="CR153" s="315"/>
      <c r="CS153" s="315"/>
      <c r="CT153" s="315"/>
      <c r="CU153" s="307"/>
      <c r="CV153" s="217"/>
      <c r="CW153" s="192"/>
      <c r="CX153" s="192"/>
      <c r="CY153" s="192"/>
      <c r="CZ153" s="191"/>
      <c r="DA153" s="193"/>
      <c r="DB153" s="192"/>
      <c r="DC153" s="192"/>
      <c r="DD153" s="192"/>
      <c r="DE153" s="191"/>
      <c r="DF153" s="19"/>
      <c r="DG153" s="192"/>
      <c r="DH153" s="192"/>
      <c r="DI153" s="192"/>
      <c r="DJ153" s="191"/>
      <c r="DK153" s="193"/>
      <c r="DL153" s="192"/>
      <c r="DM153" s="192"/>
      <c r="DN153" s="192"/>
      <c r="DO153" s="191"/>
      <c r="DP153" s="19"/>
      <c r="DQ153" s="192"/>
      <c r="DR153" s="192"/>
      <c r="DS153" s="192"/>
      <c r="DT153" s="191"/>
      <c r="DU153" s="193"/>
      <c r="DV153" s="192"/>
      <c r="DW153" s="192"/>
      <c r="DX153" s="192"/>
      <c r="DY153" s="191"/>
      <c r="DZ153" s="19"/>
      <c r="EA153" s="192"/>
      <c r="EB153" s="192"/>
      <c r="EC153" s="192"/>
      <c r="ED153" s="191"/>
      <c r="EE153" s="193"/>
      <c r="EF153" s="192"/>
      <c r="EG153" s="192"/>
      <c r="EH153" s="192"/>
      <c r="EI153" s="191"/>
      <c r="EJ153" s="19"/>
      <c r="EK153" s="192"/>
      <c r="EL153" s="192"/>
      <c r="EM153" s="192"/>
      <c r="EN153" s="191"/>
      <c r="EO153" s="193"/>
      <c r="EP153" s="192"/>
      <c r="EQ153" s="192"/>
      <c r="ER153" s="192"/>
      <c r="ES153" s="191"/>
      <c r="ET153" s="19"/>
      <c r="EU153" s="192"/>
      <c r="EV153" s="192"/>
      <c r="EW153" s="192"/>
      <c r="EX153" s="191"/>
      <c r="EY153" s="193"/>
      <c r="EZ153" s="192"/>
      <c r="FA153" s="192"/>
      <c r="FB153" s="192"/>
      <c r="FC153" s="191"/>
      <c r="FL153" s="273">
        <f t="shared" ca="1" si="8"/>
        <v>116</v>
      </c>
    </row>
    <row r="154" spans="1:168" ht="16.5" thickBot="1">
      <c r="A154" s="196">
        <v>151</v>
      </c>
      <c r="B154" s="306"/>
      <c r="C154" s="310"/>
      <c r="D154" s="307" t="s">
        <v>271</v>
      </c>
      <c r="E154" s="307" t="s">
        <v>271</v>
      </c>
      <c r="F154" s="308"/>
      <c r="G154" s="343" t="str">
        <f t="shared" si="6"/>
        <v xml:space="preserve"> </v>
      </c>
      <c r="H154" s="307"/>
      <c r="I154" s="309" t="e">
        <f t="shared" si="7"/>
        <v>#N/A</v>
      </c>
      <c r="J154" s="307"/>
      <c r="K154" s="307"/>
      <c r="L154" s="310"/>
      <c r="M154" s="310"/>
      <c r="N154" s="310"/>
      <c r="O154" s="310"/>
      <c r="P154" s="310"/>
      <c r="Q154" s="310"/>
      <c r="R154" s="310"/>
      <c r="S154" s="310"/>
      <c r="T154" s="310"/>
      <c r="U154" s="307"/>
      <c r="V154" s="307"/>
      <c r="W154" s="311"/>
      <c r="X154" s="307"/>
      <c r="Y154" s="307"/>
      <c r="Z154" s="307"/>
      <c r="AA154" s="307"/>
      <c r="AB154" s="311"/>
      <c r="AC154" s="307"/>
      <c r="AD154" s="307"/>
      <c r="AE154" s="307"/>
      <c r="AF154" s="307"/>
      <c r="AG154" s="310"/>
      <c r="AH154" s="307"/>
      <c r="AI154" s="310"/>
      <c r="AJ154" s="307"/>
      <c r="AK154" s="307"/>
      <c r="AL154" s="307"/>
      <c r="AM154" s="308"/>
      <c r="AN154" s="311"/>
      <c r="AO154" s="307"/>
      <c r="AP154" s="307"/>
      <c r="AQ154" s="308"/>
      <c r="AR154" s="307"/>
      <c r="AS154" s="307"/>
      <c r="AT154" s="307"/>
      <c r="AU154" s="310"/>
      <c r="AV154" s="308"/>
      <c r="AW154" s="312"/>
      <c r="AX154" s="308"/>
      <c r="AY154" s="307"/>
      <c r="AZ154" s="307"/>
      <c r="BA154" s="307"/>
      <c r="BB154" s="307"/>
      <c r="BC154" s="308"/>
      <c r="BD154" s="308"/>
      <c r="BE154" s="313"/>
      <c r="BF154" s="307"/>
      <c r="BG154" s="310"/>
      <c r="BH154" s="307"/>
      <c r="BI154" s="307"/>
      <c r="BJ154" s="310"/>
      <c r="BK154" s="307"/>
      <c r="BL154" s="307"/>
      <c r="BM154" s="310"/>
      <c r="BN154" s="307"/>
      <c r="BO154" s="310"/>
      <c r="BP154" s="307"/>
      <c r="BQ154" s="307"/>
      <c r="BR154" s="307"/>
      <c r="BS154" s="307"/>
      <c r="BT154" s="307"/>
      <c r="BU154" s="310"/>
      <c r="BV154" s="307"/>
      <c r="BW154" s="308"/>
      <c r="BX154" s="311"/>
      <c r="BY154" s="307"/>
      <c r="BZ154" s="307"/>
      <c r="CA154" s="310"/>
      <c r="CB154" s="307"/>
      <c r="CC154" s="307"/>
      <c r="CD154" s="307"/>
      <c r="CE154" s="308"/>
      <c r="CF154" s="308"/>
      <c r="CG154" s="307"/>
      <c r="CH154" s="307"/>
      <c r="CI154" s="307"/>
      <c r="CJ154" s="307"/>
      <c r="CK154" s="314"/>
      <c r="CL154" s="310"/>
      <c r="CM154" s="310"/>
      <c r="CN154" s="307"/>
      <c r="CO154" s="307"/>
      <c r="CP154" s="307"/>
      <c r="CQ154" s="315"/>
      <c r="CR154" s="315"/>
      <c r="CS154" s="315"/>
      <c r="CT154" s="315"/>
      <c r="CU154" s="307"/>
      <c r="CV154" s="217"/>
      <c r="CW154" s="192"/>
      <c r="CX154" s="192"/>
      <c r="CY154" s="192"/>
      <c r="CZ154" s="191"/>
      <c r="DA154" s="193"/>
      <c r="DB154" s="192"/>
      <c r="DC154" s="192"/>
      <c r="DD154" s="192"/>
      <c r="DE154" s="191"/>
      <c r="DF154" s="19"/>
      <c r="DG154" s="192"/>
      <c r="DH154" s="192"/>
      <c r="DI154" s="192"/>
      <c r="DJ154" s="191"/>
      <c r="DK154" s="193"/>
      <c r="DL154" s="192"/>
      <c r="DM154" s="192"/>
      <c r="DN154" s="192"/>
      <c r="DO154" s="191"/>
      <c r="DP154" s="19"/>
      <c r="DQ154" s="192"/>
      <c r="DR154" s="192"/>
      <c r="DS154" s="192"/>
      <c r="DT154" s="191"/>
      <c r="DU154" s="193"/>
      <c r="DV154" s="192"/>
      <c r="DW154" s="192"/>
      <c r="DX154" s="192"/>
      <c r="DY154" s="191"/>
      <c r="DZ154" s="19"/>
      <c r="EA154" s="192"/>
      <c r="EB154" s="192"/>
      <c r="EC154" s="192"/>
      <c r="ED154" s="191"/>
      <c r="EE154" s="193"/>
      <c r="EF154" s="192"/>
      <c r="EG154" s="192"/>
      <c r="EH154" s="192"/>
      <c r="EI154" s="191"/>
      <c r="EJ154" s="19"/>
      <c r="EK154" s="192"/>
      <c r="EL154" s="192"/>
      <c r="EM154" s="192"/>
      <c r="EN154" s="191"/>
      <c r="EO154" s="193"/>
      <c r="EP154" s="192"/>
      <c r="EQ154" s="192"/>
      <c r="ER154" s="192"/>
      <c r="ES154" s="191"/>
      <c r="ET154" s="19"/>
      <c r="EU154" s="192"/>
      <c r="EV154" s="192"/>
      <c r="EW154" s="192"/>
      <c r="EX154" s="191"/>
      <c r="EY154" s="193"/>
      <c r="EZ154" s="192"/>
      <c r="FA154" s="192"/>
      <c r="FB154" s="192"/>
      <c r="FC154" s="191"/>
      <c r="FL154" s="273">
        <f t="shared" ca="1" si="8"/>
        <v>116</v>
      </c>
    </row>
    <row r="155" spans="1:168" ht="16.5" thickBot="1">
      <c r="A155" s="199">
        <v>152</v>
      </c>
      <c r="B155" s="306"/>
      <c r="C155" s="310"/>
      <c r="D155" s="307" t="s">
        <v>271</v>
      </c>
      <c r="E155" s="307" t="s">
        <v>271</v>
      </c>
      <c r="F155" s="308"/>
      <c r="G155" s="343" t="str">
        <f t="shared" si="6"/>
        <v xml:space="preserve"> </v>
      </c>
      <c r="H155" s="307"/>
      <c r="I155" s="309" t="e">
        <f t="shared" si="7"/>
        <v>#N/A</v>
      </c>
      <c r="J155" s="307"/>
      <c r="K155" s="307"/>
      <c r="L155" s="310"/>
      <c r="M155" s="310"/>
      <c r="N155" s="310"/>
      <c r="O155" s="310"/>
      <c r="P155" s="310"/>
      <c r="Q155" s="310"/>
      <c r="R155" s="310"/>
      <c r="S155" s="310"/>
      <c r="T155" s="310"/>
      <c r="U155" s="307"/>
      <c r="V155" s="307"/>
      <c r="W155" s="311"/>
      <c r="X155" s="307"/>
      <c r="Y155" s="307"/>
      <c r="Z155" s="307"/>
      <c r="AA155" s="307"/>
      <c r="AB155" s="311"/>
      <c r="AC155" s="307"/>
      <c r="AD155" s="307"/>
      <c r="AE155" s="307"/>
      <c r="AF155" s="307"/>
      <c r="AG155" s="310"/>
      <c r="AH155" s="307"/>
      <c r="AI155" s="310"/>
      <c r="AJ155" s="307"/>
      <c r="AK155" s="307"/>
      <c r="AL155" s="307"/>
      <c r="AM155" s="308"/>
      <c r="AN155" s="311"/>
      <c r="AO155" s="307"/>
      <c r="AP155" s="307"/>
      <c r="AQ155" s="308"/>
      <c r="AR155" s="307"/>
      <c r="AS155" s="307"/>
      <c r="AT155" s="307"/>
      <c r="AU155" s="310"/>
      <c r="AV155" s="308"/>
      <c r="AW155" s="312"/>
      <c r="AX155" s="308"/>
      <c r="AY155" s="307"/>
      <c r="AZ155" s="307"/>
      <c r="BA155" s="307"/>
      <c r="BB155" s="307"/>
      <c r="BC155" s="308"/>
      <c r="BD155" s="308"/>
      <c r="BE155" s="313"/>
      <c r="BF155" s="307"/>
      <c r="BG155" s="310"/>
      <c r="BH155" s="307"/>
      <c r="BI155" s="307"/>
      <c r="BJ155" s="310"/>
      <c r="BK155" s="307"/>
      <c r="BL155" s="307"/>
      <c r="BM155" s="310"/>
      <c r="BN155" s="307"/>
      <c r="BO155" s="310"/>
      <c r="BP155" s="307"/>
      <c r="BQ155" s="307"/>
      <c r="BR155" s="307"/>
      <c r="BS155" s="307"/>
      <c r="BT155" s="307"/>
      <c r="BU155" s="310"/>
      <c r="BV155" s="307"/>
      <c r="BW155" s="308"/>
      <c r="BX155" s="311"/>
      <c r="BY155" s="307"/>
      <c r="BZ155" s="307"/>
      <c r="CA155" s="310"/>
      <c r="CB155" s="307"/>
      <c r="CC155" s="307"/>
      <c r="CD155" s="307"/>
      <c r="CE155" s="308"/>
      <c r="CF155" s="308"/>
      <c r="CG155" s="307"/>
      <c r="CH155" s="307"/>
      <c r="CI155" s="307"/>
      <c r="CJ155" s="307"/>
      <c r="CK155" s="314"/>
      <c r="CL155" s="310"/>
      <c r="CM155" s="310"/>
      <c r="CN155" s="307"/>
      <c r="CO155" s="307"/>
      <c r="CP155" s="307"/>
      <c r="CQ155" s="315"/>
      <c r="CR155" s="315"/>
      <c r="CS155" s="315"/>
      <c r="CT155" s="315"/>
      <c r="CU155" s="307"/>
      <c r="CV155" s="217"/>
      <c r="CW155" s="192"/>
      <c r="CX155" s="192"/>
      <c r="CY155" s="192"/>
      <c r="CZ155" s="191"/>
      <c r="DA155" s="193"/>
      <c r="DB155" s="192"/>
      <c r="DC155" s="192"/>
      <c r="DD155" s="192"/>
      <c r="DE155" s="191"/>
      <c r="DF155" s="19"/>
      <c r="DG155" s="192"/>
      <c r="DH155" s="192"/>
      <c r="DI155" s="192"/>
      <c r="DJ155" s="191"/>
      <c r="DK155" s="193"/>
      <c r="DL155" s="192"/>
      <c r="DM155" s="192"/>
      <c r="DN155" s="192"/>
      <c r="DO155" s="191"/>
      <c r="DP155" s="19"/>
      <c r="DQ155" s="192"/>
      <c r="DR155" s="192"/>
      <c r="DS155" s="192"/>
      <c r="DT155" s="191"/>
      <c r="DU155" s="193"/>
      <c r="DV155" s="192"/>
      <c r="DW155" s="192"/>
      <c r="DX155" s="192"/>
      <c r="DY155" s="191"/>
      <c r="DZ155" s="19"/>
      <c r="EA155" s="192"/>
      <c r="EB155" s="192"/>
      <c r="EC155" s="192"/>
      <c r="ED155" s="191"/>
      <c r="EE155" s="193"/>
      <c r="EF155" s="192"/>
      <c r="EG155" s="192"/>
      <c r="EH155" s="192"/>
      <c r="EI155" s="191"/>
      <c r="EJ155" s="19"/>
      <c r="EK155" s="192"/>
      <c r="EL155" s="192"/>
      <c r="EM155" s="192"/>
      <c r="EN155" s="191"/>
      <c r="EO155" s="193"/>
      <c r="EP155" s="192"/>
      <c r="EQ155" s="192"/>
      <c r="ER155" s="192"/>
      <c r="ES155" s="191"/>
      <c r="ET155" s="19"/>
      <c r="EU155" s="192"/>
      <c r="EV155" s="192"/>
      <c r="EW155" s="192"/>
      <c r="EX155" s="191"/>
      <c r="EY155" s="193"/>
      <c r="EZ155" s="192"/>
      <c r="FA155" s="192"/>
      <c r="FB155" s="192"/>
      <c r="FC155" s="191"/>
      <c r="FL155" s="273">
        <f t="shared" ca="1" si="8"/>
        <v>116</v>
      </c>
    </row>
    <row r="156" spans="1:168" ht="16.5" thickBot="1">
      <c r="A156" s="196">
        <v>153</v>
      </c>
      <c r="B156" s="306"/>
      <c r="C156" s="310"/>
      <c r="D156" s="307" t="s">
        <v>271</v>
      </c>
      <c r="E156" s="307" t="s">
        <v>271</v>
      </c>
      <c r="F156" s="308"/>
      <c r="G156" s="343" t="str">
        <f t="shared" si="6"/>
        <v xml:space="preserve"> </v>
      </c>
      <c r="H156" s="307"/>
      <c r="I156" s="309" t="e">
        <f t="shared" si="7"/>
        <v>#N/A</v>
      </c>
      <c r="J156" s="307"/>
      <c r="K156" s="307"/>
      <c r="L156" s="310"/>
      <c r="M156" s="310"/>
      <c r="N156" s="310"/>
      <c r="O156" s="310"/>
      <c r="P156" s="310"/>
      <c r="Q156" s="310"/>
      <c r="R156" s="310"/>
      <c r="S156" s="310"/>
      <c r="T156" s="310"/>
      <c r="U156" s="307"/>
      <c r="V156" s="307"/>
      <c r="W156" s="311"/>
      <c r="X156" s="307"/>
      <c r="Y156" s="307"/>
      <c r="Z156" s="307"/>
      <c r="AA156" s="307"/>
      <c r="AB156" s="311"/>
      <c r="AC156" s="307"/>
      <c r="AD156" s="307"/>
      <c r="AE156" s="307"/>
      <c r="AF156" s="307"/>
      <c r="AG156" s="310"/>
      <c r="AH156" s="307"/>
      <c r="AI156" s="310"/>
      <c r="AJ156" s="307"/>
      <c r="AK156" s="307"/>
      <c r="AL156" s="307"/>
      <c r="AM156" s="308"/>
      <c r="AN156" s="311"/>
      <c r="AO156" s="307"/>
      <c r="AP156" s="307"/>
      <c r="AQ156" s="308"/>
      <c r="AR156" s="307"/>
      <c r="AS156" s="307"/>
      <c r="AT156" s="307"/>
      <c r="AU156" s="310"/>
      <c r="AV156" s="308"/>
      <c r="AW156" s="312"/>
      <c r="AX156" s="308"/>
      <c r="AY156" s="307"/>
      <c r="AZ156" s="307"/>
      <c r="BA156" s="307"/>
      <c r="BB156" s="307"/>
      <c r="BC156" s="308"/>
      <c r="BD156" s="308"/>
      <c r="BE156" s="313"/>
      <c r="BF156" s="307"/>
      <c r="BG156" s="310"/>
      <c r="BH156" s="307"/>
      <c r="BI156" s="307"/>
      <c r="BJ156" s="310"/>
      <c r="BK156" s="307"/>
      <c r="BL156" s="307"/>
      <c r="BM156" s="310"/>
      <c r="BN156" s="307"/>
      <c r="BO156" s="310"/>
      <c r="BP156" s="307"/>
      <c r="BQ156" s="307"/>
      <c r="BR156" s="307"/>
      <c r="BS156" s="307"/>
      <c r="BT156" s="307"/>
      <c r="BU156" s="310"/>
      <c r="BV156" s="307"/>
      <c r="BW156" s="308"/>
      <c r="BX156" s="311"/>
      <c r="BY156" s="307"/>
      <c r="BZ156" s="307"/>
      <c r="CA156" s="310"/>
      <c r="CB156" s="307"/>
      <c r="CC156" s="307"/>
      <c r="CD156" s="307"/>
      <c r="CE156" s="308"/>
      <c r="CF156" s="308"/>
      <c r="CG156" s="307"/>
      <c r="CH156" s="307"/>
      <c r="CI156" s="307"/>
      <c r="CJ156" s="307"/>
      <c r="CK156" s="314"/>
      <c r="CL156" s="310"/>
      <c r="CM156" s="310"/>
      <c r="CN156" s="307"/>
      <c r="CO156" s="307"/>
      <c r="CP156" s="307"/>
      <c r="CQ156" s="315"/>
      <c r="CR156" s="315"/>
      <c r="CS156" s="315"/>
      <c r="CT156" s="315"/>
      <c r="CU156" s="307"/>
      <c r="CV156" s="217"/>
      <c r="CW156" s="192"/>
      <c r="CX156" s="192"/>
      <c r="CY156" s="192"/>
      <c r="CZ156" s="191"/>
      <c r="DA156" s="193"/>
      <c r="DB156" s="192"/>
      <c r="DC156" s="192"/>
      <c r="DD156" s="192"/>
      <c r="DE156" s="191"/>
      <c r="DF156" s="19"/>
      <c r="DG156" s="192"/>
      <c r="DH156" s="192"/>
      <c r="DI156" s="192"/>
      <c r="DJ156" s="191"/>
      <c r="DK156" s="193"/>
      <c r="DL156" s="192"/>
      <c r="DM156" s="192"/>
      <c r="DN156" s="192"/>
      <c r="DO156" s="191"/>
      <c r="DP156" s="19"/>
      <c r="DQ156" s="192"/>
      <c r="DR156" s="192"/>
      <c r="DS156" s="192"/>
      <c r="DT156" s="191"/>
      <c r="DU156" s="193"/>
      <c r="DV156" s="192"/>
      <c r="DW156" s="192"/>
      <c r="DX156" s="192"/>
      <c r="DY156" s="191"/>
      <c r="DZ156" s="19"/>
      <c r="EA156" s="192"/>
      <c r="EB156" s="192"/>
      <c r="EC156" s="192"/>
      <c r="ED156" s="191"/>
      <c r="EE156" s="193"/>
      <c r="EF156" s="192"/>
      <c r="EG156" s="192"/>
      <c r="EH156" s="192"/>
      <c r="EI156" s="191"/>
      <c r="EJ156" s="19"/>
      <c r="EK156" s="192"/>
      <c r="EL156" s="192"/>
      <c r="EM156" s="192"/>
      <c r="EN156" s="191"/>
      <c r="EO156" s="193"/>
      <c r="EP156" s="192"/>
      <c r="EQ156" s="192"/>
      <c r="ER156" s="192"/>
      <c r="ES156" s="191"/>
      <c r="ET156" s="19"/>
      <c r="EU156" s="192"/>
      <c r="EV156" s="192"/>
      <c r="EW156" s="192"/>
      <c r="EX156" s="191"/>
      <c r="EY156" s="193"/>
      <c r="EZ156" s="192"/>
      <c r="FA156" s="192"/>
      <c r="FB156" s="192"/>
      <c r="FC156" s="191"/>
      <c r="FL156" s="273">
        <f t="shared" ca="1" si="8"/>
        <v>116</v>
      </c>
    </row>
    <row r="157" spans="1:168" ht="16.5" thickBot="1">
      <c r="A157" s="199">
        <v>154</v>
      </c>
      <c r="B157" s="306"/>
      <c r="C157" s="310"/>
      <c r="D157" s="307" t="s">
        <v>271</v>
      </c>
      <c r="E157" s="307" t="s">
        <v>271</v>
      </c>
      <c r="F157" s="308"/>
      <c r="G157" s="343" t="str">
        <f t="shared" si="6"/>
        <v xml:space="preserve"> </v>
      </c>
      <c r="H157" s="307"/>
      <c r="I157" s="309" t="e">
        <f t="shared" si="7"/>
        <v>#N/A</v>
      </c>
      <c r="J157" s="307"/>
      <c r="K157" s="307"/>
      <c r="L157" s="310"/>
      <c r="M157" s="310"/>
      <c r="N157" s="310"/>
      <c r="O157" s="310"/>
      <c r="P157" s="310"/>
      <c r="Q157" s="310"/>
      <c r="R157" s="310"/>
      <c r="S157" s="310"/>
      <c r="T157" s="310"/>
      <c r="U157" s="307"/>
      <c r="V157" s="307"/>
      <c r="W157" s="311"/>
      <c r="X157" s="307"/>
      <c r="Y157" s="307"/>
      <c r="Z157" s="307"/>
      <c r="AA157" s="307"/>
      <c r="AB157" s="311"/>
      <c r="AC157" s="307"/>
      <c r="AD157" s="307"/>
      <c r="AE157" s="307"/>
      <c r="AF157" s="307"/>
      <c r="AG157" s="310"/>
      <c r="AH157" s="307"/>
      <c r="AI157" s="310"/>
      <c r="AJ157" s="307"/>
      <c r="AK157" s="307"/>
      <c r="AL157" s="307"/>
      <c r="AM157" s="308"/>
      <c r="AN157" s="311"/>
      <c r="AO157" s="307"/>
      <c r="AP157" s="307"/>
      <c r="AQ157" s="308"/>
      <c r="AR157" s="307"/>
      <c r="AS157" s="307"/>
      <c r="AT157" s="307"/>
      <c r="AU157" s="310"/>
      <c r="AV157" s="308"/>
      <c r="AW157" s="312"/>
      <c r="AX157" s="308"/>
      <c r="AY157" s="307"/>
      <c r="AZ157" s="307"/>
      <c r="BA157" s="307"/>
      <c r="BB157" s="307"/>
      <c r="BC157" s="308"/>
      <c r="BD157" s="308"/>
      <c r="BE157" s="313"/>
      <c r="BF157" s="307"/>
      <c r="BG157" s="310"/>
      <c r="BH157" s="307"/>
      <c r="BI157" s="307"/>
      <c r="BJ157" s="310"/>
      <c r="BK157" s="307"/>
      <c r="BL157" s="307"/>
      <c r="BM157" s="310"/>
      <c r="BN157" s="307"/>
      <c r="BO157" s="310"/>
      <c r="BP157" s="307"/>
      <c r="BQ157" s="307"/>
      <c r="BR157" s="307"/>
      <c r="BS157" s="307"/>
      <c r="BT157" s="307"/>
      <c r="BU157" s="310"/>
      <c r="BV157" s="307"/>
      <c r="BW157" s="308"/>
      <c r="BX157" s="311"/>
      <c r="BY157" s="307"/>
      <c r="BZ157" s="307"/>
      <c r="CA157" s="310"/>
      <c r="CB157" s="307"/>
      <c r="CC157" s="307"/>
      <c r="CD157" s="307"/>
      <c r="CE157" s="308"/>
      <c r="CF157" s="308"/>
      <c r="CG157" s="307"/>
      <c r="CH157" s="307"/>
      <c r="CI157" s="307"/>
      <c r="CJ157" s="307"/>
      <c r="CK157" s="314"/>
      <c r="CL157" s="310"/>
      <c r="CM157" s="310"/>
      <c r="CN157" s="307"/>
      <c r="CO157" s="307"/>
      <c r="CP157" s="307"/>
      <c r="CQ157" s="315"/>
      <c r="CR157" s="315"/>
      <c r="CS157" s="315"/>
      <c r="CT157" s="315"/>
      <c r="CU157" s="307"/>
      <c r="CV157" s="217"/>
      <c r="CW157" s="192"/>
      <c r="CX157" s="192"/>
      <c r="CY157" s="192"/>
      <c r="CZ157" s="191"/>
      <c r="DA157" s="193"/>
      <c r="DB157" s="192"/>
      <c r="DC157" s="192"/>
      <c r="DD157" s="192"/>
      <c r="DE157" s="191"/>
      <c r="DF157" s="19"/>
      <c r="DG157" s="192"/>
      <c r="DH157" s="192"/>
      <c r="DI157" s="192"/>
      <c r="DJ157" s="191"/>
      <c r="DK157" s="193"/>
      <c r="DL157" s="192"/>
      <c r="DM157" s="192"/>
      <c r="DN157" s="192"/>
      <c r="DO157" s="191"/>
      <c r="DP157" s="19"/>
      <c r="DQ157" s="192"/>
      <c r="DR157" s="192"/>
      <c r="DS157" s="192"/>
      <c r="DT157" s="191"/>
      <c r="DU157" s="193"/>
      <c r="DV157" s="192"/>
      <c r="DW157" s="192"/>
      <c r="DX157" s="192"/>
      <c r="DY157" s="191"/>
      <c r="DZ157" s="19"/>
      <c r="EA157" s="192"/>
      <c r="EB157" s="192"/>
      <c r="EC157" s="192"/>
      <c r="ED157" s="191"/>
      <c r="EE157" s="193"/>
      <c r="EF157" s="192"/>
      <c r="EG157" s="192"/>
      <c r="EH157" s="192"/>
      <c r="EI157" s="191"/>
      <c r="EJ157" s="19"/>
      <c r="EK157" s="192"/>
      <c r="EL157" s="192"/>
      <c r="EM157" s="192"/>
      <c r="EN157" s="191"/>
      <c r="EO157" s="193"/>
      <c r="EP157" s="192"/>
      <c r="EQ157" s="192"/>
      <c r="ER157" s="192"/>
      <c r="ES157" s="191"/>
      <c r="ET157" s="19"/>
      <c r="EU157" s="192"/>
      <c r="EV157" s="192"/>
      <c r="EW157" s="192"/>
      <c r="EX157" s="191"/>
      <c r="EY157" s="193"/>
      <c r="EZ157" s="192"/>
      <c r="FA157" s="192"/>
      <c r="FB157" s="192"/>
      <c r="FC157" s="191"/>
      <c r="FL157" s="273">
        <f t="shared" ca="1" si="8"/>
        <v>116</v>
      </c>
    </row>
    <row r="158" spans="1:168" ht="16.5" thickBot="1">
      <c r="A158" s="196">
        <v>155</v>
      </c>
      <c r="B158" s="306"/>
      <c r="C158" s="310"/>
      <c r="D158" s="307" t="s">
        <v>271</v>
      </c>
      <c r="E158" s="307" t="s">
        <v>271</v>
      </c>
      <c r="F158" s="308"/>
      <c r="G158" s="343" t="str">
        <f t="shared" si="6"/>
        <v xml:space="preserve"> </v>
      </c>
      <c r="H158" s="307"/>
      <c r="I158" s="309" t="e">
        <f t="shared" si="7"/>
        <v>#N/A</v>
      </c>
      <c r="J158" s="307"/>
      <c r="K158" s="307"/>
      <c r="L158" s="310"/>
      <c r="M158" s="310"/>
      <c r="N158" s="310"/>
      <c r="O158" s="310"/>
      <c r="P158" s="310"/>
      <c r="Q158" s="310"/>
      <c r="R158" s="310"/>
      <c r="S158" s="310"/>
      <c r="T158" s="310"/>
      <c r="U158" s="307"/>
      <c r="V158" s="307"/>
      <c r="W158" s="311"/>
      <c r="X158" s="307"/>
      <c r="Y158" s="307"/>
      <c r="Z158" s="307"/>
      <c r="AA158" s="307"/>
      <c r="AB158" s="311"/>
      <c r="AC158" s="307"/>
      <c r="AD158" s="307"/>
      <c r="AE158" s="307"/>
      <c r="AF158" s="307"/>
      <c r="AG158" s="310"/>
      <c r="AH158" s="307"/>
      <c r="AI158" s="310"/>
      <c r="AJ158" s="307"/>
      <c r="AK158" s="307"/>
      <c r="AL158" s="307"/>
      <c r="AM158" s="308"/>
      <c r="AN158" s="311"/>
      <c r="AO158" s="307"/>
      <c r="AP158" s="307"/>
      <c r="AQ158" s="308"/>
      <c r="AR158" s="307"/>
      <c r="AS158" s="307"/>
      <c r="AT158" s="307"/>
      <c r="AU158" s="310"/>
      <c r="AV158" s="308"/>
      <c r="AW158" s="312"/>
      <c r="AX158" s="308"/>
      <c r="AY158" s="307"/>
      <c r="AZ158" s="307"/>
      <c r="BA158" s="307"/>
      <c r="BB158" s="307"/>
      <c r="BC158" s="308"/>
      <c r="BD158" s="308"/>
      <c r="BE158" s="313"/>
      <c r="BF158" s="307"/>
      <c r="BG158" s="310"/>
      <c r="BH158" s="307"/>
      <c r="BI158" s="307"/>
      <c r="BJ158" s="310"/>
      <c r="BK158" s="307"/>
      <c r="BL158" s="307"/>
      <c r="BM158" s="310"/>
      <c r="BN158" s="307"/>
      <c r="BO158" s="310"/>
      <c r="BP158" s="307"/>
      <c r="BQ158" s="307"/>
      <c r="BR158" s="307"/>
      <c r="BS158" s="307"/>
      <c r="BT158" s="307"/>
      <c r="BU158" s="310"/>
      <c r="BV158" s="307"/>
      <c r="BW158" s="308"/>
      <c r="BX158" s="311"/>
      <c r="BY158" s="307"/>
      <c r="BZ158" s="307"/>
      <c r="CA158" s="310"/>
      <c r="CB158" s="307"/>
      <c r="CC158" s="307"/>
      <c r="CD158" s="307"/>
      <c r="CE158" s="308"/>
      <c r="CF158" s="308"/>
      <c r="CG158" s="307"/>
      <c r="CH158" s="307"/>
      <c r="CI158" s="307"/>
      <c r="CJ158" s="307"/>
      <c r="CK158" s="314"/>
      <c r="CL158" s="310"/>
      <c r="CM158" s="310"/>
      <c r="CN158" s="307"/>
      <c r="CO158" s="307"/>
      <c r="CP158" s="307"/>
      <c r="CQ158" s="315"/>
      <c r="CR158" s="315"/>
      <c r="CS158" s="315"/>
      <c r="CT158" s="315"/>
      <c r="CU158" s="307"/>
      <c r="CV158" s="217"/>
      <c r="CW158" s="192"/>
      <c r="CX158" s="192"/>
      <c r="CY158" s="192"/>
      <c r="CZ158" s="191"/>
      <c r="DA158" s="193"/>
      <c r="DB158" s="192"/>
      <c r="DC158" s="192"/>
      <c r="DD158" s="192"/>
      <c r="DE158" s="191"/>
      <c r="DF158" s="19"/>
      <c r="DG158" s="192"/>
      <c r="DH158" s="192"/>
      <c r="DI158" s="192"/>
      <c r="DJ158" s="191"/>
      <c r="DK158" s="193"/>
      <c r="DL158" s="192"/>
      <c r="DM158" s="192"/>
      <c r="DN158" s="192"/>
      <c r="DO158" s="191"/>
      <c r="DP158" s="19"/>
      <c r="DQ158" s="192"/>
      <c r="DR158" s="192"/>
      <c r="DS158" s="192"/>
      <c r="DT158" s="191"/>
      <c r="DU158" s="193"/>
      <c r="DV158" s="192"/>
      <c r="DW158" s="192"/>
      <c r="DX158" s="192"/>
      <c r="DY158" s="191"/>
      <c r="DZ158" s="19"/>
      <c r="EA158" s="192"/>
      <c r="EB158" s="192"/>
      <c r="EC158" s="192"/>
      <c r="ED158" s="191"/>
      <c r="EE158" s="193"/>
      <c r="EF158" s="192"/>
      <c r="EG158" s="192"/>
      <c r="EH158" s="192"/>
      <c r="EI158" s="191"/>
      <c r="EJ158" s="19"/>
      <c r="EK158" s="192"/>
      <c r="EL158" s="192"/>
      <c r="EM158" s="192"/>
      <c r="EN158" s="191"/>
      <c r="EO158" s="193"/>
      <c r="EP158" s="192"/>
      <c r="EQ158" s="192"/>
      <c r="ER158" s="192"/>
      <c r="ES158" s="191"/>
      <c r="ET158" s="19"/>
      <c r="EU158" s="192"/>
      <c r="EV158" s="192"/>
      <c r="EW158" s="192"/>
      <c r="EX158" s="191"/>
      <c r="EY158" s="193"/>
      <c r="EZ158" s="192"/>
      <c r="FA158" s="192"/>
      <c r="FB158" s="192"/>
      <c r="FC158" s="191"/>
      <c r="FL158" s="273">
        <f t="shared" ca="1" si="8"/>
        <v>116</v>
      </c>
    </row>
    <row r="159" spans="1:168" ht="16.5" thickBot="1">
      <c r="A159" s="199">
        <v>156</v>
      </c>
      <c r="B159" s="306"/>
      <c r="C159" s="310"/>
      <c r="D159" s="307" t="s">
        <v>271</v>
      </c>
      <c r="E159" s="307" t="s">
        <v>271</v>
      </c>
      <c r="F159" s="308"/>
      <c r="G159" s="343" t="str">
        <f t="shared" si="6"/>
        <v xml:space="preserve"> </v>
      </c>
      <c r="H159" s="307"/>
      <c r="I159" s="309" t="e">
        <f t="shared" si="7"/>
        <v>#N/A</v>
      </c>
      <c r="J159" s="307"/>
      <c r="K159" s="307"/>
      <c r="L159" s="310"/>
      <c r="M159" s="310"/>
      <c r="N159" s="310"/>
      <c r="O159" s="310"/>
      <c r="P159" s="310"/>
      <c r="Q159" s="310"/>
      <c r="R159" s="310"/>
      <c r="S159" s="310"/>
      <c r="T159" s="310"/>
      <c r="U159" s="307"/>
      <c r="V159" s="307"/>
      <c r="W159" s="311"/>
      <c r="X159" s="307"/>
      <c r="Y159" s="307"/>
      <c r="Z159" s="307"/>
      <c r="AA159" s="307"/>
      <c r="AB159" s="311"/>
      <c r="AC159" s="307"/>
      <c r="AD159" s="307"/>
      <c r="AE159" s="307"/>
      <c r="AF159" s="307"/>
      <c r="AG159" s="310"/>
      <c r="AH159" s="307"/>
      <c r="AI159" s="310"/>
      <c r="AJ159" s="307"/>
      <c r="AK159" s="307"/>
      <c r="AL159" s="307"/>
      <c r="AM159" s="308"/>
      <c r="AN159" s="311"/>
      <c r="AO159" s="307"/>
      <c r="AP159" s="307"/>
      <c r="AQ159" s="308"/>
      <c r="AR159" s="307"/>
      <c r="AS159" s="307"/>
      <c r="AT159" s="307"/>
      <c r="AU159" s="310"/>
      <c r="AV159" s="308"/>
      <c r="AW159" s="312"/>
      <c r="AX159" s="308"/>
      <c r="AY159" s="307"/>
      <c r="AZ159" s="307"/>
      <c r="BA159" s="307"/>
      <c r="BB159" s="307"/>
      <c r="BC159" s="308"/>
      <c r="BD159" s="308"/>
      <c r="BE159" s="313"/>
      <c r="BF159" s="307"/>
      <c r="BG159" s="310"/>
      <c r="BH159" s="307"/>
      <c r="BI159" s="307"/>
      <c r="BJ159" s="310"/>
      <c r="BK159" s="307"/>
      <c r="BL159" s="307"/>
      <c r="BM159" s="310"/>
      <c r="BN159" s="307"/>
      <c r="BO159" s="310"/>
      <c r="BP159" s="307"/>
      <c r="BQ159" s="307"/>
      <c r="BR159" s="307"/>
      <c r="BS159" s="307"/>
      <c r="BT159" s="307"/>
      <c r="BU159" s="310"/>
      <c r="BV159" s="307"/>
      <c r="BW159" s="308"/>
      <c r="BX159" s="311"/>
      <c r="BY159" s="307"/>
      <c r="BZ159" s="307"/>
      <c r="CA159" s="310"/>
      <c r="CB159" s="307"/>
      <c r="CC159" s="307"/>
      <c r="CD159" s="307"/>
      <c r="CE159" s="308"/>
      <c r="CF159" s="308"/>
      <c r="CG159" s="307"/>
      <c r="CH159" s="307"/>
      <c r="CI159" s="307"/>
      <c r="CJ159" s="307"/>
      <c r="CK159" s="314"/>
      <c r="CL159" s="310"/>
      <c r="CM159" s="310"/>
      <c r="CN159" s="307"/>
      <c r="CO159" s="307"/>
      <c r="CP159" s="307"/>
      <c r="CQ159" s="315"/>
      <c r="CR159" s="315"/>
      <c r="CS159" s="315"/>
      <c r="CT159" s="315"/>
      <c r="CU159" s="307"/>
      <c r="CV159" s="217"/>
      <c r="CW159" s="192"/>
      <c r="CX159" s="192"/>
      <c r="CY159" s="192"/>
      <c r="CZ159" s="191"/>
      <c r="DA159" s="193"/>
      <c r="DB159" s="192"/>
      <c r="DC159" s="192"/>
      <c r="DD159" s="192"/>
      <c r="DE159" s="191"/>
      <c r="DF159" s="19"/>
      <c r="DG159" s="192"/>
      <c r="DH159" s="192"/>
      <c r="DI159" s="192"/>
      <c r="DJ159" s="191"/>
      <c r="DK159" s="193"/>
      <c r="DL159" s="192"/>
      <c r="DM159" s="192"/>
      <c r="DN159" s="192"/>
      <c r="DO159" s="191"/>
      <c r="DP159" s="19"/>
      <c r="DQ159" s="192"/>
      <c r="DR159" s="192"/>
      <c r="DS159" s="192"/>
      <c r="DT159" s="191"/>
      <c r="DU159" s="193"/>
      <c r="DV159" s="192"/>
      <c r="DW159" s="192"/>
      <c r="DX159" s="192"/>
      <c r="DY159" s="191"/>
      <c r="DZ159" s="19"/>
      <c r="EA159" s="192"/>
      <c r="EB159" s="192"/>
      <c r="EC159" s="192"/>
      <c r="ED159" s="191"/>
      <c r="EE159" s="193"/>
      <c r="EF159" s="192"/>
      <c r="EG159" s="192"/>
      <c r="EH159" s="192"/>
      <c r="EI159" s="191"/>
      <c r="EJ159" s="19"/>
      <c r="EK159" s="192"/>
      <c r="EL159" s="192"/>
      <c r="EM159" s="192"/>
      <c r="EN159" s="191"/>
      <c r="EO159" s="193"/>
      <c r="EP159" s="192"/>
      <c r="EQ159" s="192"/>
      <c r="ER159" s="192"/>
      <c r="ES159" s="191"/>
      <c r="ET159" s="19"/>
      <c r="EU159" s="192"/>
      <c r="EV159" s="192"/>
      <c r="EW159" s="192"/>
      <c r="EX159" s="191"/>
      <c r="EY159" s="193"/>
      <c r="EZ159" s="192"/>
      <c r="FA159" s="192"/>
      <c r="FB159" s="192"/>
      <c r="FC159" s="191"/>
      <c r="FL159" s="273">
        <f t="shared" ca="1" si="8"/>
        <v>116</v>
      </c>
    </row>
    <row r="160" spans="1:168" ht="16.5" thickBot="1">
      <c r="A160" s="196">
        <v>157</v>
      </c>
      <c r="B160" s="306"/>
      <c r="C160" s="310"/>
      <c r="D160" s="307" t="s">
        <v>271</v>
      </c>
      <c r="E160" s="307" t="s">
        <v>271</v>
      </c>
      <c r="F160" s="308"/>
      <c r="G160" s="343" t="str">
        <f t="shared" si="6"/>
        <v xml:space="preserve"> </v>
      </c>
      <c r="H160" s="307"/>
      <c r="I160" s="309" t="e">
        <f t="shared" si="7"/>
        <v>#N/A</v>
      </c>
      <c r="J160" s="307"/>
      <c r="K160" s="307"/>
      <c r="L160" s="310"/>
      <c r="M160" s="310"/>
      <c r="N160" s="310"/>
      <c r="O160" s="310"/>
      <c r="P160" s="310"/>
      <c r="Q160" s="310"/>
      <c r="R160" s="310"/>
      <c r="S160" s="310"/>
      <c r="T160" s="310"/>
      <c r="U160" s="307"/>
      <c r="V160" s="307"/>
      <c r="W160" s="311"/>
      <c r="X160" s="307"/>
      <c r="Y160" s="307"/>
      <c r="Z160" s="307"/>
      <c r="AA160" s="307"/>
      <c r="AB160" s="311"/>
      <c r="AC160" s="307"/>
      <c r="AD160" s="307"/>
      <c r="AE160" s="307"/>
      <c r="AF160" s="307"/>
      <c r="AG160" s="310"/>
      <c r="AH160" s="307"/>
      <c r="AI160" s="310"/>
      <c r="AJ160" s="307"/>
      <c r="AK160" s="307"/>
      <c r="AL160" s="307"/>
      <c r="AM160" s="308"/>
      <c r="AN160" s="311"/>
      <c r="AO160" s="307"/>
      <c r="AP160" s="307"/>
      <c r="AQ160" s="308"/>
      <c r="AR160" s="307"/>
      <c r="AS160" s="307"/>
      <c r="AT160" s="307"/>
      <c r="AU160" s="310"/>
      <c r="AV160" s="308"/>
      <c r="AW160" s="312"/>
      <c r="AX160" s="308"/>
      <c r="AY160" s="307"/>
      <c r="AZ160" s="307"/>
      <c r="BA160" s="307"/>
      <c r="BB160" s="307"/>
      <c r="BC160" s="308"/>
      <c r="BD160" s="308"/>
      <c r="BE160" s="313"/>
      <c r="BF160" s="307"/>
      <c r="BG160" s="310"/>
      <c r="BH160" s="307"/>
      <c r="BI160" s="307"/>
      <c r="BJ160" s="310"/>
      <c r="BK160" s="307"/>
      <c r="BL160" s="307"/>
      <c r="BM160" s="310"/>
      <c r="BN160" s="307"/>
      <c r="BO160" s="310"/>
      <c r="BP160" s="307"/>
      <c r="BQ160" s="307"/>
      <c r="BR160" s="307"/>
      <c r="BS160" s="307"/>
      <c r="BT160" s="307"/>
      <c r="BU160" s="310"/>
      <c r="BV160" s="307"/>
      <c r="BW160" s="308"/>
      <c r="BX160" s="311"/>
      <c r="BY160" s="307"/>
      <c r="BZ160" s="307"/>
      <c r="CA160" s="310"/>
      <c r="CB160" s="307"/>
      <c r="CC160" s="307"/>
      <c r="CD160" s="307"/>
      <c r="CE160" s="308"/>
      <c r="CF160" s="308"/>
      <c r="CG160" s="307"/>
      <c r="CH160" s="307"/>
      <c r="CI160" s="307"/>
      <c r="CJ160" s="307"/>
      <c r="CK160" s="314"/>
      <c r="CL160" s="310"/>
      <c r="CM160" s="310"/>
      <c r="CN160" s="307"/>
      <c r="CO160" s="307"/>
      <c r="CP160" s="307"/>
      <c r="CQ160" s="315"/>
      <c r="CR160" s="315"/>
      <c r="CS160" s="315"/>
      <c r="CT160" s="315"/>
      <c r="CU160" s="307"/>
      <c r="CV160" s="217"/>
      <c r="CW160" s="192"/>
      <c r="CX160" s="192"/>
      <c r="CY160" s="192"/>
      <c r="CZ160" s="191"/>
      <c r="DA160" s="193"/>
      <c r="DB160" s="192"/>
      <c r="DC160" s="192"/>
      <c r="DD160" s="192"/>
      <c r="DE160" s="191"/>
      <c r="DF160" s="19"/>
      <c r="DG160" s="192"/>
      <c r="DH160" s="192"/>
      <c r="DI160" s="192"/>
      <c r="DJ160" s="191"/>
      <c r="DK160" s="193"/>
      <c r="DL160" s="192"/>
      <c r="DM160" s="192"/>
      <c r="DN160" s="192"/>
      <c r="DO160" s="191"/>
      <c r="DP160" s="19"/>
      <c r="DQ160" s="192"/>
      <c r="DR160" s="192"/>
      <c r="DS160" s="192"/>
      <c r="DT160" s="191"/>
      <c r="DU160" s="193"/>
      <c r="DV160" s="192"/>
      <c r="DW160" s="192"/>
      <c r="DX160" s="192"/>
      <c r="DY160" s="191"/>
      <c r="DZ160" s="19"/>
      <c r="EA160" s="192"/>
      <c r="EB160" s="192"/>
      <c r="EC160" s="192"/>
      <c r="ED160" s="191"/>
      <c r="EE160" s="193"/>
      <c r="EF160" s="192"/>
      <c r="EG160" s="192"/>
      <c r="EH160" s="192"/>
      <c r="EI160" s="191"/>
      <c r="EJ160" s="19"/>
      <c r="EK160" s="192"/>
      <c r="EL160" s="192"/>
      <c r="EM160" s="192"/>
      <c r="EN160" s="191"/>
      <c r="EO160" s="193"/>
      <c r="EP160" s="192"/>
      <c r="EQ160" s="192"/>
      <c r="ER160" s="192"/>
      <c r="ES160" s="191"/>
      <c r="ET160" s="19"/>
      <c r="EU160" s="192"/>
      <c r="EV160" s="192"/>
      <c r="EW160" s="192"/>
      <c r="EX160" s="191"/>
      <c r="EY160" s="193"/>
      <c r="EZ160" s="192"/>
      <c r="FA160" s="192"/>
      <c r="FB160" s="192"/>
      <c r="FC160" s="191"/>
      <c r="FL160" s="273">
        <f t="shared" ca="1" si="8"/>
        <v>116</v>
      </c>
    </row>
    <row r="161" spans="1:168" ht="16.5" thickBot="1">
      <c r="A161" s="199">
        <v>158</v>
      </c>
      <c r="B161" s="306"/>
      <c r="C161" s="310"/>
      <c r="D161" s="307" t="s">
        <v>271</v>
      </c>
      <c r="E161" s="307" t="s">
        <v>271</v>
      </c>
      <c r="F161" s="308"/>
      <c r="G161" s="343" t="str">
        <f t="shared" si="6"/>
        <v xml:space="preserve"> </v>
      </c>
      <c r="H161" s="307"/>
      <c r="I161" s="309" t="e">
        <f t="shared" si="7"/>
        <v>#N/A</v>
      </c>
      <c r="J161" s="307"/>
      <c r="K161" s="307"/>
      <c r="L161" s="310"/>
      <c r="M161" s="310"/>
      <c r="N161" s="310"/>
      <c r="O161" s="310"/>
      <c r="P161" s="310"/>
      <c r="Q161" s="310"/>
      <c r="R161" s="310"/>
      <c r="S161" s="310"/>
      <c r="T161" s="310"/>
      <c r="U161" s="307"/>
      <c r="V161" s="307"/>
      <c r="W161" s="311"/>
      <c r="X161" s="307"/>
      <c r="Y161" s="307"/>
      <c r="Z161" s="307"/>
      <c r="AA161" s="307"/>
      <c r="AB161" s="311"/>
      <c r="AC161" s="307"/>
      <c r="AD161" s="307"/>
      <c r="AE161" s="307"/>
      <c r="AF161" s="307"/>
      <c r="AG161" s="310"/>
      <c r="AH161" s="307"/>
      <c r="AI161" s="310"/>
      <c r="AJ161" s="307"/>
      <c r="AK161" s="307"/>
      <c r="AL161" s="307"/>
      <c r="AM161" s="308"/>
      <c r="AN161" s="311"/>
      <c r="AO161" s="307"/>
      <c r="AP161" s="307"/>
      <c r="AQ161" s="308"/>
      <c r="AR161" s="307"/>
      <c r="AS161" s="307"/>
      <c r="AT161" s="307"/>
      <c r="AU161" s="310"/>
      <c r="AV161" s="308"/>
      <c r="AW161" s="312"/>
      <c r="AX161" s="308"/>
      <c r="AY161" s="307"/>
      <c r="AZ161" s="307"/>
      <c r="BA161" s="307"/>
      <c r="BB161" s="307"/>
      <c r="BC161" s="308"/>
      <c r="BD161" s="308"/>
      <c r="BE161" s="313"/>
      <c r="BF161" s="307"/>
      <c r="BG161" s="310"/>
      <c r="BH161" s="307"/>
      <c r="BI161" s="307"/>
      <c r="BJ161" s="310"/>
      <c r="BK161" s="307"/>
      <c r="BL161" s="307"/>
      <c r="BM161" s="310"/>
      <c r="BN161" s="307"/>
      <c r="BO161" s="310"/>
      <c r="BP161" s="307"/>
      <c r="BQ161" s="307"/>
      <c r="BR161" s="307"/>
      <c r="BS161" s="307"/>
      <c r="BT161" s="307"/>
      <c r="BU161" s="310"/>
      <c r="BV161" s="307"/>
      <c r="BW161" s="308"/>
      <c r="BX161" s="311"/>
      <c r="BY161" s="307"/>
      <c r="BZ161" s="307"/>
      <c r="CA161" s="310"/>
      <c r="CB161" s="307"/>
      <c r="CC161" s="307"/>
      <c r="CD161" s="307"/>
      <c r="CE161" s="308"/>
      <c r="CF161" s="308"/>
      <c r="CG161" s="307"/>
      <c r="CH161" s="307"/>
      <c r="CI161" s="307"/>
      <c r="CJ161" s="307"/>
      <c r="CK161" s="314"/>
      <c r="CL161" s="310"/>
      <c r="CM161" s="310"/>
      <c r="CN161" s="307"/>
      <c r="CO161" s="307"/>
      <c r="CP161" s="307"/>
      <c r="CQ161" s="315"/>
      <c r="CR161" s="315"/>
      <c r="CS161" s="315"/>
      <c r="CT161" s="315"/>
      <c r="CU161" s="307"/>
      <c r="CV161" s="217"/>
      <c r="CW161" s="192"/>
      <c r="CX161" s="192"/>
      <c r="CY161" s="192"/>
      <c r="CZ161" s="191"/>
      <c r="DA161" s="193"/>
      <c r="DB161" s="192"/>
      <c r="DC161" s="192"/>
      <c r="DD161" s="192"/>
      <c r="DE161" s="191"/>
      <c r="DF161" s="19"/>
      <c r="DG161" s="192"/>
      <c r="DH161" s="192"/>
      <c r="DI161" s="192"/>
      <c r="DJ161" s="191"/>
      <c r="DK161" s="193"/>
      <c r="DL161" s="192"/>
      <c r="DM161" s="192"/>
      <c r="DN161" s="192"/>
      <c r="DO161" s="191"/>
      <c r="DP161" s="19"/>
      <c r="DQ161" s="192"/>
      <c r="DR161" s="192"/>
      <c r="DS161" s="192"/>
      <c r="DT161" s="191"/>
      <c r="DU161" s="193"/>
      <c r="DV161" s="192"/>
      <c r="DW161" s="192"/>
      <c r="DX161" s="192"/>
      <c r="DY161" s="191"/>
      <c r="DZ161" s="19"/>
      <c r="EA161" s="192"/>
      <c r="EB161" s="192"/>
      <c r="EC161" s="192"/>
      <c r="ED161" s="191"/>
      <c r="EE161" s="193"/>
      <c r="EF161" s="192"/>
      <c r="EG161" s="192"/>
      <c r="EH161" s="192"/>
      <c r="EI161" s="191"/>
      <c r="EJ161" s="19"/>
      <c r="EK161" s="192"/>
      <c r="EL161" s="192"/>
      <c r="EM161" s="192"/>
      <c r="EN161" s="191"/>
      <c r="EO161" s="193"/>
      <c r="EP161" s="192"/>
      <c r="EQ161" s="192"/>
      <c r="ER161" s="192"/>
      <c r="ES161" s="191"/>
      <c r="ET161" s="19"/>
      <c r="EU161" s="192"/>
      <c r="EV161" s="192"/>
      <c r="EW161" s="192"/>
      <c r="EX161" s="191"/>
      <c r="EY161" s="193"/>
      <c r="EZ161" s="192"/>
      <c r="FA161" s="192"/>
      <c r="FB161" s="192"/>
      <c r="FC161" s="191"/>
      <c r="FL161" s="273">
        <f t="shared" ca="1" si="8"/>
        <v>116</v>
      </c>
    </row>
    <row r="162" spans="1:168" ht="16.5" thickBot="1">
      <c r="A162" s="196">
        <v>159</v>
      </c>
      <c r="B162" s="306"/>
      <c r="C162" s="310"/>
      <c r="D162" s="307" t="s">
        <v>271</v>
      </c>
      <c r="E162" s="307" t="s">
        <v>271</v>
      </c>
      <c r="F162" s="308"/>
      <c r="G162" s="343" t="str">
        <f t="shared" si="6"/>
        <v xml:space="preserve"> </v>
      </c>
      <c r="H162" s="307"/>
      <c r="I162" s="309" t="e">
        <f t="shared" si="7"/>
        <v>#N/A</v>
      </c>
      <c r="J162" s="307"/>
      <c r="K162" s="307"/>
      <c r="L162" s="310"/>
      <c r="M162" s="310"/>
      <c r="N162" s="310"/>
      <c r="O162" s="310"/>
      <c r="P162" s="310"/>
      <c r="Q162" s="310"/>
      <c r="R162" s="310"/>
      <c r="S162" s="310"/>
      <c r="T162" s="310"/>
      <c r="U162" s="307"/>
      <c r="V162" s="307"/>
      <c r="W162" s="311"/>
      <c r="X162" s="307"/>
      <c r="Y162" s="307"/>
      <c r="Z162" s="307"/>
      <c r="AA162" s="307"/>
      <c r="AB162" s="311"/>
      <c r="AC162" s="307"/>
      <c r="AD162" s="307"/>
      <c r="AE162" s="307"/>
      <c r="AF162" s="307"/>
      <c r="AG162" s="310"/>
      <c r="AH162" s="307"/>
      <c r="AI162" s="310"/>
      <c r="AJ162" s="307"/>
      <c r="AK162" s="307"/>
      <c r="AL162" s="307"/>
      <c r="AM162" s="308"/>
      <c r="AN162" s="311"/>
      <c r="AO162" s="307"/>
      <c r="AP162" s="307"/>
      <c r="AQ162" s="308"/>
      <c r="AR162" s="307"/>
      <c r="AS162" s="307"/>
      <c r="AT162" s="307"/>
      <c r="AU162" s="310"/>
      <c r="AV162" s="308"/>
      <c r="AW162" s="312"/>
      <c r="AX162" s="308"/>
      <c r="AY162" s="307"/>
      <c r="AZ162" s="307"/>
      <c r="BA162" s="307"/>
      <c r="BB162" s="307"/>
      <c r="BC162" s="308"/>
      <c r="BD162" s="308"/>
      <c r="BE162" s="313"/>
      <c r="BF162" s="307"/>
      <c r="BG162" s="310"/>
      <c r="BH162" s="307"/>
      <c r="BI162" s="307"/>
      <c r="BJ162" s="310"/>
      <c r="BK162" s="307"/>
      <c r="BL162" s="307"/>
      <c r="BM162" s="310"/>
      <c r="BN162" s="307"/>
      <c r="BO162" s="310"/>
      <c r="BP162" s="307"/>
      <c r="BQ162" s="307"/>
      <c r="BR162" s="307"/>
      <c r="BS162" s="307"/>
      <c r="BT162" s="307"/>
      <c r="BU162" s="310"/>
      <c r="BV162" s="307"/>
      <c r="BW162" s="308"/>
      <c r="BX162" s="311"/>
      <c r="BY162" s="307"/>
      <c r="BZ162" s="307"/>
      <c r="CA162" s="310"/>
      <c r="CB162" s="307"/>
      <c r="CC162" s="307"/>
      <c r="CD162" s="307"/>
      <c r="CE162" s="308"/>
      <c r="CF162" s="308"/>
      <c r="CG162" s="307"/>
      <c r="CH162" s="307"/>
      <c r="CI162" s="307"/>
      <c r="CJ162" s="307"/>
      <c r="CK162" s="314"/>
      <c r="CL162" s="310"/>
      <c r="CM162" s="310"/>
      <c r="CN162" s="307"/>
      <c r="CO162" s="307"/>
      <c r="CP162" s="307"/>
      <c r="CQ162" s="315"/>
      <c r="CR162" s="315"/>
      <c r="CS162" s="315"/>
      <c r="CT162" s="315"/>
      <c r="CU162" s="307"/>
      <c r="CV162" s="217"/>
      <c r="CW162" s="192"/>
      <c r="CX162" s="192"/>
      <c r="CY162" s="192"/>
      <c r="CZ162" s="191"/>
      <c r="DA162" s="193"/>
      <c r="DB162" s="192"/>
      <c r="DC162" s="192"/>
      <c r="DD162" s="192"/>
      <c r="DE162" s="191"/>
      <c r="DF162" s="19"/>
      <c r="DG162" s="192"/>
      <c r="DH162" s="192"/>
      <c r="DI162" s="192"/>
      <c r="DJ162" s="191"/>
      <c r="DK162" s="193"/>
      <c r="DL162" s="192"/>
      <c r="DM162" s="192"/>
      <c r="DN162" s="192"/>
      <c r="DO162" s="191"/>
      <c r="DP162" s="19"/>
      <c r="DQ162" s="192"/>
      <c r="DR162" s="192"/>
      <c r="DS162" s="192"/>
      <c r="DT162" s="191"/>
      <c r="DU162" s="193"/>
      <c r="DV162" s="192"/>
      <c r="DW162" s="192"/>
      <c r="DX162" s="192"/>
      <c r="DY162" s="191"/>
      <c r="DZ162" s="19"/>
      <c r="EA162" s="192"/>
      <c r="EB162" s="192"/>
      <c r="EC162" s="192"/>
      <c r="ED162" s="191"/>
      <c r="EE162" s="193"/>
      <c r="EF162" s="192"/>
      <c r="EG162" s="192"/>
      <c r="EH162" s="192"/>
      <c r="EI162" s="191"/>
      <c r="EJ162" s="19"/>
      <c r="EK162" s="192"/>
      <c r="EL162" s="192"/>
      <c r="EM162" s="192"/>
      <c r="EN162" s="191"/>
      <c r="EO162" s="193"/>
      <c r="EP162" s="192"/>
      <c r="EQ162" s="192"/>
      <c r="ER162" s="192"/>
      <c r="ES162" s="191"/>
      <c r="ET162" s="19"/>
      <c r="EU162" s="192"/>
      <c r="EV162" s="192"/>
      <c r="EW162" s="192"/>
      <c r="EX162" s="191"/>
      <c r="EY162" s="193"/>
      <c r="EZ162" s="192"/>
      <c r="FA162" s="192"/>
      <c r="FB162" s="192"/>
      <c r="FC162" s="191"/>
      <c r="FL162" s="273">
        <f t="shared" ca="1" si="8"/>
        <v>116</v>
      </c>
    </row>
    <row r="163" spans="1:168" ht="16.5" thickBot="1">
      <c r="A163" s="199">
        <v>160</v>
      </c>
      <c r="B163" s="306"/>
      <c r="C163" s="310"/>
      <c r="D163" s="307" t="s">
        <v>271</v>
      </c>
      <c r="E163" s="307" t="s">
        <v>271</v>
      </c>
      <c r="F163" s="308"/>
      <c r="G163" s="343" t="str">
        <f t="shared" si="6"/>
        <v xml:space="preserve"> </v>
      </c>
      <c r="H163" s="307"/>
      <c r="I163" s="309" t="e">
        <f t="shared" si="7"/>
        <v>#N/A</v>
      </c>
      <c r="J163" s="307"/>
      <c r="K163" s="307"/>
      <c r="L163" s="310"/>
      <c r="M163" s="310"/>
      <c r="N163" s="310"/>
      <c r="O163" s="310"/>
      <c r="P163" s="310"/>
      <c r="Q163" s="310"/>
      <c r="R163" s="310"/>
      <c r="S163" s="310"/>
      <c r="T163" s="310"/>
      <c r="U163" s="307"/>
      <c r="V163" s="307"/>
      <c r="W163" s="311"/>
      <c r="X163" s="307"/>
      <c r="Y163" s="307"/>
      <c r="Z163" s="307"/>
      <c r="AA163" s="307"/>
      <c r="AB163" s="311"/>
      <c r="AC163" s="307"/>
      <c r="AD163" s="307"/>
      <c r="AE163" s="307"/>
      <c r="AF163" s="307"/>
      <c r="AG163" s="310"/>
      <c r="AH163" s="307"/>
      <c r="AI163" s="310"/>
      <c r="AJ163" s="307"/>
      <c r="AK163" s="307"/>
      <c r="AL163" s="307"/>
      <c r="AM163" s="308"/>
      <c r="AN163" s="311"/>
      <c r="AO163" s="307"/>
      <c r="AP163" s="307"/>
      <c r="AQ163" s="308"/>
      <c r="AR163" s="307"/>
      <c r="AS163" s="307"/>
      <c r="AT163" s="307"/>
      <c r="AU163" s="310"/>
      <c r="AV163" s="308"/>
      <c r="AW163" s="312"/>
      <c r="AX163" s="308"/>
      <c r="AY163" s="307"/>
      <c r="AZ163" s="307"/>
      <c r="BA163" s="307"/>
      <c r="BB163" s="307"/>
      <c r="BC163" s="308"/>
      <c r="BD163" s="308"/>
      <c r="BE163" s="313"/>
      <c r="BF163" s="307"/>
      <c r="BG163" s="310"/>
      <c r="BH163" s="307"/>
      <c r="BI163" s="307"/>
      <c r="BJ163" s="310"/>
      <c r="BK163" s="307"/>
      <c r="BL163" s="307"/>
      <c r="BM163" s="310"/>
      <c r="BN163" s="307"/>
      <c r="BO163" s="310"/>
      <c r="BP163" s="307"/>
      <c r="BQ163" s="307"/>
      <c r="BR163" s="307"/>
      <c r="BS163" s="307"/>
      <c r="BT163" s="307"/>
      <c r="BU163" s="310"/>
      <c r="BV163" s="307"/>
      <c r="BW163" s="308"/>
      <c r="BX163" s="311"/>
      <c r="BY163" s="307"/>
      <c r="BZ163" s="307"/>
      <c r="CA163" s="310"/>
      <c r="CB163" s="307"/>
      <c r="CC163" s="307"/>
      <c r="CD163" s="307"/>
      <c r="CE163" s="308"/>
      <c r="CF163" s="308"/>
      <c r="CG163" s="307"/>
      <c r="CH163" s="307"/>
      <c r="CI163" s="307"/>
      <c r="CJ163" s="307"/>
      <c r="CK163" s="314"/>
      <c r="CL163" s="310"/>
      <c r="CM163" s="310"/>
      <c r="CN163" s="307"/>
      <c r="CO163" s="307"/>
      <c r="CP163" s="307"/>
      <c r="CQ163" s="315"/>
      <c r="CR163" s="315"/>
      <c r="CS163" s="315"/>
      <c r="CT163" s="315"/>
      <c r="CU163" s="307"/>
      <c r="CV163" s="217"/>
      <c r="CW163" s="192"/>
      <c r="CX163" s="192"/>
      <c r="CY163" s="192"/>
      <c r="CZ163" s="191"/>
      <c r="DA163" s="193"/>
      <c r="DB163" s="192"/>
      <c r="DC163" s="192"/>
      <c r="DD163" s="192"/>
      <c r="DE163" s="191"/>
      <c r="DF163" s="19"/>
      <c r="DG163" s="192"/>
      <c r="DH163" s="192"/>
      <c r="DI163" s="192"/>
      <c r="DJ163" s="191"/>
      <c r="DK163" s="193"/>
      <c r="DL163" s="192"/>
      <c r="DM163" s="192"/>
      <c r="DN163" s="192"/>
      <c r="DO163" s="191"/>
      <c r="DP163" s="19"/>
      <c r="DQ163" s="192"/>
      <c r="DR163" s="192"/>
      <c r="DS163" s="192"/>
      <c r="DT163" s="191"/>
      <c r="DU163" s="193"/>
      <c r="DV163" s="192"/>
      <c r="DW163" s="192"/>
      <c r="DX163" s="192"/>
      <c r="DY163" s="191"/>
      <c r="DZ163" s="19"/>
      <c r="EA163" s="192"/>
      <c r="EB163" s="192"/>
      <c r="EC163" s="192"/>
      <c r="ED163" s="191"/>
      <c r="EE163" s="193"/>
      <c r="EF163" s="192"/>
      <c r="EG163" s="192"/>
      <c r="EH163" s="192"/>
      <c r="EI163" s="191"/>
      <c r="EJ163" s="19"/>
      <c r="EK163" s="192"/>
      <c r="EL163" s="192"/>
      <c r="EM163" s="192"/>
      <c r="EN163" s="191"/>
      <c r="EO163" s="193"/>
      <c r="EP163" s="192"/>
      <c r="EQ163" s="192"/>
      <c r="ER163" s="192"/>
      <c r="ES163" s="191"/>
      <c r="ET163" s="19"/>
      <c r="EU163" s="192"/>
      <c r="EV163" s="192"/>
      <c r="EW163" s="192"/>
      <c r="EX163" s="191"/>
      <c r="EY163" s="193"/>
      <c r="EZ163" s="192"/>
      <c r="FA163" s="192"/>
      <c r="FB163" s="192"/>
      <c r="FC163" s="191"/>
      <c r="FL163" s="273">
        <f t="shared" ca="1" si="8"/>
        <v>116</v>
      </c>
    </row>
    <row r="164" spans="1:168" ht="16.5" thickBot="1">
      <c r="A164" s="196">
        <v>161</v>
      </c>
      <c r="B164" s="306"/>
      <c r="C164" s="310"/>
      <c r="D164" s="307" t="s">
        <v>271</v>
      </c>
      <c r="E164" s="307" t="s">
        <v>271</v>
      </c>
      <c r="F164" s="308"/>
      <c r="G164" s="343" t="str">
        <f t="shared" si="6"/>
        <v xml:space="preserve"> </v>
      </c>
      <c r="H164" s="307"/>
      <c r="I164" s="309" t="e">
        <f t="shared" si="7"/>
        <v>#N/A</v>
      </c>
      <c r="J164" s="307"/>
      <c r="K164" s="307"/>
      <c r="L164" s="310"/>
      <c r="M164" s="310"/>
      <c r="N164" s="310"/>
      <c r="O164" s="310"/>
      <c r="P164" s="310"/>
      <c r="Q164" s="310"/>
      <c r="R164" s="310"/>
      <c r="S164" s="310"/>
      <c r="T164" s="310"/>
      <c r="U164" s="307"/>
      <c r="V164" s="307"/>
      <c r="W164" s="311"/>
      <c r="X164" s="307"/>
      <c r="Y164" s="307"/>
      <c r="Z164" s="307"/>
      <c r="AA164" s="307"/>
      <c r="AB164" s="311"/>
      <c r="AC164" s="307"/>
      <c r="AD164" s="307"/>
      <c r="AE164" s="307"/>
      <c r="AF164" s="307"/>
      <c r="AG164" s="310"/>
      <c r="AH164" s="307"/>
      <c r="AI164" s="310"/>
      <c r="AJ164" s="307"/>
      <c r="AK164" s="307"/>
      <c r="AL164" s="307"/>
      <c r="AM164" s="308"/>
      <c r="AN164" s="311"/>
      <c r="AO164" s="307"/>
      <c r="AP164" s="307"/>
      <c r="AQ164" s="308"/>
      <c r="AR164" s="307"/>
      <c r="AS164" s="307"/>
      <c r="AT164" s="307"/>
      <c r="AU164" s="310"/>
      <c r="AV164" s="308"/>
      <c r="AW164" s="312"/>
      <c r="AX164" s="308"/>
      <c r="AY164" s="307"/>
      <c r="AZ164" s="307"/>
      <c r="BA164" s="307"/>
      <c r="BB164" s="307"/>
      <c r="BC164" s="308"/>
      <c r="BD164" s="308"/>
      <c r="BE164" s="313"/>
      <c r="BF164" s="307"/>
      <c r="BG164" s="310"/>
      <c r="BH164" s="307"/>
      <c r="BI164" s="307"/>
      <c r="BJ164" s="310"/>
      <c r="BK164" s="307"/>
      <c r="BL164" s="307"/>
      <c r="BM164" s="310"/>
      <c r="BN164" s="307"/>
      <c r="BO164" s="310"/>
      <c r="BP164" s="307"/>
      <c r="BQ164" s="307"/>
      <c r="BR164" s="307"/>
      <c r="BS164" s="307"/>
      <c r="BT164" s="307"/>
      <c r="BU164" s="310"/>
      <c r="BV164" s="307"/>
      <c r="BW164" s="308"/>
      <c r="BX164" s="311"/>
      <c r="BY164" s="307"/>
      <c r="BZ164" s="307"/>
      <c r="CA164" s="310"/>
      <c r="CB164" s="307"/>
      <c r="CC164" s="307"/>
      <c r="CD164" s="307"/>
      <c r="CE164" s="308"/>
      <c r="CF164" s="308"/>
      <c r="CG164" s="307"/>
      <c r="CH164" s="307"/>
      <c r="CI164" s="307"/>
      <c r="CJ164" s="307"/>
      <c r="CK164" s="314"/>
      <c r="CL164" s="310"/>
      <c r="CM164" s="310"/>
      <c r="CN164" s="307"/>
      <c r="CO164" s="307"/>
      <c r="CP164" s="307"/>
      <c r="CQ164" s="315"/>
      <c r="CR164" s="315"/>
      <c r="CS164" s="315"/>
      <c r="CT164" s="315"/>
      <c r="CU164" s="307"/>
      <c r="CV164" s="217"/>
      <c r="CW164" s="192"/>
      <c r="CX164" s="192"/>
      <c r="CY164" s="192"/>
      <c r="CZ164" s="191"/>
      <c r="DA164" s="193"/>
      <c r="DB164" s="192"/>
      <c r="DC164" s="192"/>
      <c r="DD164" s="192"/>
      <c r="DE164" s="191"/>
      <c r="DF164" s="19"/>
      <c r="DG164" s="192"/>
      <c r="DH164" s="192"/>
      <c r="DI164" s="192"/>
      <c r="DJ164" s="191"/>
      <c r="DK164" s="193"/>
      <c r="DL164" s="192"/>
      <c r="DM164" s="192"/>
      <c r="DN164" s="192"/>
      <c r="DO164" s="191"/>
      <c r="DP164" s="19"/>
      <c r="DQ164" s="192"/>
      <c r="DR164" s="192"/>
      <c r="DS164" s="192"/>
      <c r="DT164" s="191"/>
      <c r="DU164" s="193"/>
      <c r="DV164" s="192"/>
      <c r="DW164" s="192"/>
      <c r="DX164" s="192"/>
      <c r="DY164" s="191"/>
      <c r="DZ164" s="19"/>
      <c r="EA164" s="192"/>
      <c r="EB164" s="192"/>
      <c r="EC164" s="192"/>
      <c r="ED164" s="191"/>
      <c r="EE164" s="193"/>
      <c r="EF164" s="192"/>
      <c r="EG164" s="192"/>
      <c r="EH164" s="192"/>
      <c r="EI164" s="191"/>
      <c r="EJ164" s="19"/>
      <c r="EK164" s="192"/>
      <c r="EL164" s="192"/>
      <c r="EM164" s="192"/>
      <c r="EN164" s="191"/>
      <c r="EO164" s="193"/>
      <c r="EP164" s="192"/>
      <c r="EQ164" s="192"/>
      <c r="ER164" s="192"/>
      <c r="ES164" s="191"/>
      <c r="ET164" s="19"/>
      <c r="EU164" s="192"/>
      <c r="EV164" s="192"/>
      <c r="EW164" s="192"/>
      <c r="EX164" s="191"/>
      <c r="EY164" s="193"/>
      <c r="EZ164" s="192"/>
      <c r="FA164" s="192"/>
      <c r="FB164" s="192"/>
      <c r="FC164" s="191"/>
      <c r="FL164" s="273">
        <f t="shared" ca="1" si="8"/>
        <v>116</v>
      </c>
    </row>
    <row r="165" spans="1:168" ht="16.5" thickBot="1">
      <c r="A165" s="199">
        <v>162</v>
      </c>
      <c r="B165" s="306"/>
      <c r="C165" s="310"/>
      <c r="D165" s="307" t="s">
        <v>271</v>
      </c>
      <c r="E165" s="307" t="s">
        <v>271</v>
      </c>
      <c r="F165" s="308"/>
      <c r="G165" s="343" t="str">
        <f t="shared" si="6"/>
        <v xml:space="preserve"> </v>
      </c>
      <c r="H165" s="307"/>
      <c r="I165" s="309" t="e">
        <f t="shared" si="7"/>
        <v>#N/A</v>
      </c>
      <c r="J165" s="307"/>
      <c r="K165" s="307"/>
      <c r="L165" s="310"/>
      <c r="M165" s="310"/>
      <c r="N165" s="310"/>
      <c r="O165" s="310"/>
      <c r="P165" s="310"/>
      <c r="Q165" s="310"/>
      <c r="R165" s="310"/>
      <c r="S165" s="310"/>
      <c r="T165" s="310"/>
      <c r="U165" s="307"/>
      <c r="V165" s="307"/>
      <c r="W165" s="311"/>
      <c r="X165" s="307"/>
      <c r="Y165" s="307"/>
      <c r="Z165" s="307"/>
      <c r="AA165" s="307"/>
      <c r="AB165" s="311"/>
      <c r="AC165" s="307"/>
      <c r="AD165" s="307"/>
      <c r="AE165" s="307"/>
      <c r="AF165" s="307"/>
      <c r="AG165" s="310"/>
      <c r="AH165" s="307"/>
      <c r="AI165" s="310"/>
      <c r="AJ165" s="307"/>
      <c r="AK165" s="307"/>
      <c r="AL165" s="307"/>
      <c r="AM165" s="308"/>
      <c r="AN165" s="311"/>
      <c r="AO165" s="307"/>
      <c r="AP165" s="307"/>
      <c r="AQ165" s="308"/>
      <c r="AR165" s="307"/>
      <c r="AS165" s="307"/>
      <c r="AT165" s="307"/>
      <c r="AU165" s="310"/>
      <c r="AV165" s="308"/>
      <c r="AW165" s="312"/>
      <c r="AX165" s="308"/>
      <c r="AY165" s="307"/>
      <c r="AZ165" s="307"/>
      <c r="BA165" s="307"/>
      <c r="BB165" s="307"/>
      <c r="BC165" s="308"/>
      <c r="BD165" s="308"/>
      <c r="BE165" s="313"/>
      <c r="BF165" s="307"/>
      <c r="BG165" s="310"/>
      <c r="BH165" s="307"/>
      <c r="BI165" s="307"/>
      <c r="BJ165" s="310"/>
      <c r="BK165" s="307"/>
      <c r="BL165" s="307"/>
      <c r="BM165" s="310"/>
      <c r="BN165" s="307"/>
      <c r="BO165" s="310"/>
      <c r="BP165" s="307"/>
      <c r="BQ165" s="307"/>
      <c r="BR165" s="307"/>
      <c r="BS165" s="307"/>
      <c r="BT165" s="307"/>
      <c r="BU165" s="310"/>
      <c r="BV165" s="307"/>
      <c r="BW165" s="308"/>
      <c r="BX165" s="311"/>
      <c r="BY165" s="307"/>
      <c r="BZ165" s="307"/>
      <c r="CA165" s="310"/>
      <c r="CB165" s="307"/>
      <c r="CC165" s="307"/>
      <c r="CD165" s="307"/>
      <c r="CE165" s="308"/>
      <c r="CF165" s="308"/>
      <c r="CG165" s="307"/>
      <c r="CH165" s="307"/>
      <c r="CI165" s="307"/>
      <c r="CJ165" s="307"/>
      <c r="CK165" s="314"/>
      <c r="CL165" s="310"/>
      <c r="CM165" s="310"/>
      <c r="CN165" s="307"/>
      <c r="CO165" s="307"/>
      <c r="CP165" s="307"/>
      <c r="CQ165" s="315"/>
      <c r="CR165" s="315"/>
      <c r="CS165" s="315"/>
      <c r="CT165" s="315"/>
      <c r="CU165" s="307"/>
      <c r="CV165" s="217"/>
      <c r="CW165" s="192"/>
      <c r="CX165" s="192"/>
      <c r="CY165" s="192"/>
      <c r="CZ165" s="191"/>
      <c r="DA165" s="193"/>
      <c r="DB165" s="192"/>
      <c r="DC165" s="192"/>
      <c r="DD165" s="192"/>
      <c r="DE165" s="191"/>
      <c r="DF165" s="19"/>
      <c r="DG165" s="192"/>
      <c r="DH165" s="192"/>
      <c r="DI165" s="192"/>
      <c r="DJ165" s="191"/>
      <c r="DK165" s="193"/>
      <c r="DL165" s="192"/>
      <c r="DM165" s="192"/>
      <c r="DN165" s="192"/>
      <c r="DO165" s="191"/>
      <c r="DP165" s="19"/>
      <c r="DQ165" s="192"/>
      <c r="DR165" s="192"/>
      <c r="DS165" s="192"/>
      <c r="DT165" s="191"/>
      <c r="DU165" s="193"/>
      <c r="DV165" s="192"/>
      <c r="DW165" s="192"/>
      <c r="DX165" s="192"/>
      <c r="DY165" s="191"/>
      <c r="DZ165" s="19"/>
      <c r="EA165" s="192"/>
      <c r="EB165" s="192"/>
      <c r="EC165" s="192"/>
      <c r="ED165" s="191"/>
      <c r="EE165" s="193"/>
      <c r="EF165" s="192"/>
      <c r="EG165" s="192"/>
      <c r="EH165" s="192"/>
      <c r="EI165" s="191"/>
      <c r="EJ165" s="19"/>
      <c r="EK165" s="192"/>
      <c r="EL165" s="192"/>
      <c r="EM165" s="192"/>
      <c r="EN165" s="191"/>
      <c r="EO165" s="193"/>
      <c r="EP165" s="192"/>
      <c r="EQ165" s="192"/>
      <c r="ER165" s="192"/>
      <c r="ES165" s="191"/>
      <c r="ET165" s="19"/>
      <c r="EU165" s="192"/>
      <c r="EV165" s="192"/>
      <c r="EW165" s="192"/>
      <c r="EX165" s="191"/>
      <c r="EY165" s="193"/>
      <c r="EZ165" s="192"/>
      <c r="FA165" s="192"/>
      <c r="FB165" s="192"/>
      <c r="FC165" s="191"/>
      <c r="FL165" s="273">
        <f t="shared" ca="1" si="8"/>
        <v>116</v>
      </c>
    </row>
    <row r="166" spans="1:168" ht="16.5" thickBot="1">
      <c r="A166" s="196">
        <v>163</v>
      </c>
      <c r="B166" s="306"/>
      <c r="C166" s="310"/>
      <c r="D166" s="307" t="s">
        <v>271</v>
      </c>
      <c r="E166" s="307" t="s">
        <v>271</v>
      </c>
      <c r="F166" s="308"/>
      <c r="G166" s="343" t="str">
        <f t="shared" si="6"/>
        <v xml:space="preserve"> </v>
      </c>
      <c r="H166" s="307"/>
      <c r="I166" s="309" t="e">
        <f t="shared" si="7"/>
        <v>#N/A</v>
      </c>
      <c r="J166" s="307"/>
      <c r="K166" s="307"/>
      <c r="L166" s="310"/>
      <c r="M166" s="310"/>
      <c r="N166" s="310"/>
      <c r="O166" s="310"/>
      <c r="P166" s="310"/>
      <c r="Q166" s="310"/>
      <c r="R166" s="310"/>
      <c r="S166" s="310"/>
      <c r="T166" s="310"/>
      <c r="U166" s="307"/>
      <c r="V166" s="307"/>
      <c r="W166" s="311"/>
      <c r="X166" s="307"/>
      <c r="Y166" s="307"/>
      <c r="Z166" s="307"/>
      <c r="AA166" s="307"/>
      <c r="AB166" s="311"/>
      <c r="AC166" s="307"/>
      <c r="AD166" s="307"/>
      <c r="AE166" s="307"/>
      <c r="AF166" s="307"/>
      <c r="AG166" s="310"/>
      <c r="AH166" s="307"/>
      <c r="AI166" s="310"/>
      <c r="AJ166" s="307"/>
      <c r="AK166" s="307"/>
      <c r="AL166" s="307"/>
      <c r="AM166" s="308"/>
      <c r="AN166" s="311"/>
      <c r="AO166" s="307"/>
      <c r="AP166" s="307"/>
      <c r="AQ166" s="308"/>
      <c r="AR166" s="307"/>
      <c r="AS166" s="307"/>
      <c r="AT166" s="307"/>
      <c r="AU166" s="310"/>
      <c r="AV166" s="308"/>
      <c r="AW166" s="312"/>
      <c r="AX166" s="308"/>
      <c r="AY166" s="307"/>
      <c r="AZ166" s="307"/>
      <c r="BA166" s="307"/>
      <c r="BB166" s="307"/>
      <c r="BC166" s="308"/>
      <c r="BD166" s="308"/>
      <c r="BE166" s="313"/>
      <c r="BF166" s="307"/>
      <c r="BG166" s="310"/>
      <c r="BH166" s="307"/>
      <c r="BI166" s="307"/>
      <c r="BJ166" s="310"/>
      <c r="BK166" s="307"/>
      <c r="BL166" s="307"/>
      <c r="BM166" s="310"/>
      <c r="BN166" s="307"/>
      <c r="BO166" s="310"/>
      <c r="BP166" s="307"/>
      <c r="BQ166" s="307"/>
      <c r="BR166" s="307"/>
      <c r="BS166" s="307"/>
      <c r="BT166" s="307"/>
      <c r="BU166" s="310"/>
      <c r="BV166" s="307"/>
      <c r="BW166" s="308"/>
      <c r="BX166" s="311"/>
      <c r="BY166" s="307"/>
      <c r="BZ166" s="307"/>
      <c r="CA166" s="310"/>
      <c r="CB166" s="307"/>
      <c r="CC166" s="307"/>
      <c r="CD166" s="307"/>
      <c r="CE166" s="308"/>
      <c r="CF166" s="308"/>
      <c r="CG166" s="307"/>
      <c r="CH166" s="307"/>
      <c r="CI166" s="307"/>
      <c r="CJ166" s="307"/>
      <c r="CK166" s="314"/>
      <c r="CL166" s="310"/>
      <c r="CM166" s="310"/>
      <c r="CN166" s="307"/>
      <c r="CO166" s="307"/>
      <c r="CP166" s="307"/>
      <c r="CQ166" s="315"/>
      <c r="CR166" s="315"/>
      <c r="CS166" s="315"/>
      <c r="CT166" s="315"/>
      <c r="CU166" s="307"/>
      <c r="CV166" s="217"/>
      <c r="CW166" s="192"/>
      <c r="CX166" s="192"/>
      <c r="CY166" s="192"/>
      <c r="CZ166" s="191"/>
      <c r="DA166" s="193"/>
      <c r="DB166" s="192"/>
      <c r="DC166" s="192"/>
      <c r="DD166" s="192"/>
      <c r="DE166" s="191"/>
      <c r="DF166" s="19"/>
      <c r="DG166" s="192"/>
      <c r="DH166" s="192"/>
      <c r="DI166" s="192"/>
      <c r="DJ166" s="191"/>
      <c r="DK166" s="193"/>
      <c r="DL166" s="192"/>
      <c r="DM166" s="192"/>
      <c r="DN166" s="192"/>
      <c r="DO166" s="191"/>
      <c r="DP166" s="19"/>
      <c r="DQ166" s="192"/>
      <c r="DR166" s="192"/>
      <c r="DS166" s="192"/>
      <c r="DT166" s="191"/>
      <c r="DU166" s="193"/>
      <c r="DV166" s="192"/>
      <c r="DW166" s="192"/>
      <c r="DX166" s="192"/>
      <c r="DY166" s="191"/>
      <c r="DZ166" s="19"/>
      <c r="EA166" s="192"/>
      <c r="EB166" s="192"/>
      <c r="EC166" s="192"/>
      <c r="ED166" s="191"/>
      <c r="EE166" s="193"/>
      <c r="EF166" s="192"/>
      <c r="EG166" s="192"/>
      <c r="EH166" s="192"/>
      <c r="EI166" s="191"/>
      <c r="EJ166" s="19"/>
      <c r="EK166" s="192"/>
      <c r="EL166" s="192"/>
      <c r="EM166" s="192"/>
      <c r="EN166" s="191"/>
      <c r="EO166" s="193"/>
      <c r="EP166" s="192"/>
      <c r="EQ166" s="192"/>
      <c r="ER166" s="192"/>
      <c r="ES166" s="191"/>
      <c r="ET166" s="19"/>
      <c r="EU166" s="192"/>
      <c r="EV166" s="192"/>
      <c r="EW166" s="192"/>
      <c r="EX166" s="191"/>
      <c r="EY166" s="193"/>
      <c r="EZ166" s="192"/>
      <c r="FA166" s="192"/>
      <c r="FB166" s="192"/>
      <c r="FC166" s="191"/>
      <c r="FL166" s="273">
        <f t="shared" ca="1" si="8"/>
        <v>116</v>
      </c>
    </row>
    <row r="167" spans="1:168" ht="16.5" thickBot="1">
      <c r="A167" s="199">
        <v>164</v>
      </c>
      <c r="B167" s="306"/>
      <c r="C167" s="310"/>
      <c r="D167" s="307" t="s">
        <v>271</v>
      </c>
      <c r="E167" s="307" t="s">
        <v>271</v>
      </c>
      <c r="F167" s="308"/>
      <c r="G167" s="343" t="str">
        <f t="shared" si="6"/>
        <v xml:space="preserve"> </v>
      </c>
      <c r="H167" s="307"/>
      <c r="I167" s="309" t="e">
        <f t="shared" si="7"/>
        <v>#N/A</v>
      </c>
      <c r="J167" s="307"/>
      <c r="K167" s="307"/>
      <c r="L167" s="310"/>
      <c r="M167" s="310"/>
      <c r="N167" s="310"/>
      <c r="O167" s="310"/>
      <c r="P167" s="310"/>
      <c r="Q167" s="310"/>
      <c r="R167" s="310"/>
      <c r="S167" s="310"/>
      <c r="T167" s="310"/>
      <c r="U167" s="307"/>
      <c r="V167" s="307"/>
      <c r="W167" s="311"/>
      <c r="X167" s="307"/>
      <c r="Y167" s="307"/>
      <c r="Z167" s="307"/>
      <c r="AA167" s="307"/>
      <c r="AB167" s="311"/>
      <c r="AC167" s="307"/>
      <c r="AD167" s="307"/>
      <c r="AE167" s="307"/>
      <c r="AF167" s="307"/>
      <c r="AG167" s="310"/>
      <c r="AH167" s="307"/>
      <c r="AI167" s="310"/>
      <c r="AJ167" s="307"/>
      <c r="AK167" s="307"/>
      <c r="AL167" s="307"/>
      <c r="AM167" s="308"/>
      <c r="AN167" s="311"/>
      <c r="AO167" s="307"/>
      <c r="AP167" s="307"/>
      <c r="AQ167" s="308"/>
      <c r="AR167" s="307"/>
      <c r="AS167" s="307"/>
      <c r="AT167" s="307"/>
      <c r="AU167" s="310"/>
      <c r="AV167" s="308"/>
      <c r="AW167" s="312"/>
      <c r="AX167" s="308"/>
      <c r="AY167" s="307"/>
      <c r="AZ167" s="307"/>
      <c r="BA167" s="307"/>
      <c r="BB167" s="307"/>
      <c r="BC167" s="308"/>
      <c r="BD167" s="308"/>
      <c r="BE167" s="313"/>
      <c r="BF167" s="307"/>
      <c r="BG167" s="310"/>
      <c r="BH167" s="307"/>
      <c r="BI167" s="307"/>
      <c r="BJ167" s="310"/>
      <c r="BK167" s="307"/>
      <c r="BL167" s="307"/>
      <c r="BM167" s="310"/>
      <c r="BN167" s="307"/>
      <c r="BO167" s="310"/>
      <c r="BP167" s="307"/>
      <c r="BQ167" s="307"/>
      <c r="BR167" s="307"/>
      <c r="BS167" s="307"/>
      <c r="BT167" s="307"/>
      <c r="BU167" s="310"/>
      <c r="BV167" s="307"/>
      <c r="BW167" s="308"/>
      <c r="BX167" s="311"/>
      <c r="BY167" s="307"/>
      <c r="BZ167" s="307"/>
      <c r="CA167" s="310"/>
      <c r="CB167" s="307"/>
      <c r="CC167" s="307"/>
      <c r="CD167" s="307"/>
      <c r="CE167" s="308"/>
      <c r="CF167" s="308"/>
      <c r="CG167" s="307"/>
      <c r="CH167" s="307"/>
      <c r="CI167" s="307"/>
      <c r="CJ167" s="307"/>
      <c r="CK167" s="314"/>
      <c r="CL167" s="310"/>
      <c r="CM167" s="310"/>
      <c r="CN167" s="307"/>
      <c r="CO167" s="307"/>
      <c r="CP167" s="307"/>
      <c r="CQ167" s="315"/>
      <c r="CR167" s="315"/>
      <c r="CS167" s="315"/>
      <c r="CT167" s="315"/>
      <c r="CU167" s="307"/>
      <c r="CV167" s="217"/>
      <c r="CW167" s="192"/>
      <c r="CX167" s="192"/>
      <c r="CY167" s="192"/>
      <c r="CZ167" s="191"/>
      <c r="DA167" s="193"/>
      <c r="DB167" s="192"/>
      <c r="DC167" s="192"/>
      <c r="DD167" s="192"/>
      <c r="DE167" s="191"/>
      <c r="DF167" s="19"/>
      <c r="DG167" s="192"/>
      <c r="DH167" s="192"/>
      <c r="DI167" s="192"/>
      <c r="DJ167" s="191"/>
      <c r="DK167" s="193"/>
      <c r="DL167" s="192"/>
      <c r="DM167" s="192"/>
      <c r="DN167" s="192"/>
      <c r="DO167" s="191"/>
      <c r="DP167" s="19"/>
      <c r="DQ167" s="192"/>
      <c r="DR167" s="192"/>
      <c r="DS167" s="192"/>
      <c r="DT167" s="191"/>
      <c r="DU167" s="193"/>
      <c r="DV167" s="192"/>
      <c r="DW167" s="192"/>
      <c r="DX167" s="192"/>
      <c r="DY167" s="191"/>
      <c r="DZ167" s="19"/>
      <c r="EA167" s="192"/>
      <c r="EB167" s="192"/>
      <c r="EC167" s="192"/>
      <c r="ED167" s="191"/>
      <c r="EE167" s="193"/>
      <c r="EF167" s="192"/>
      <c r="EG167" s="192"/>
      <c r="EH167" s="192"/>
      <c r="EI167" s="191"/>
      <c r="EJ167" s="19"/>
      <c r="EK167" s="192"/>
      <c r="EL167" s="192"/>
      <c r="EM167" s="192"/>
      <c r="EN167" s="191"/>
      <c r="EO167" s="193"/>
      <c r="EP167" s="192"/>
      <c r="EQ167" s="192"/>
      <c r="ER167" s="192"/>
      <c r="ES167" s="191"/>
      <c r="ET167" s="19"/>
      <c r="EU167" s="192"/>
      <c r="EV167" s="192"/>
      <c r="EW167" s="192"/>
      <c r="EX167" s="191"/>
      <c r="EY167" s="193"/>
      <c r="EZ167" s="192"/>
      <c r="FA167" s="192"/>
      <c r="FB167" s="192"/>
      <c r="FC167" s="191"/>
      <c r="FL167" s="273">
        <f t="shared" ca="1" si="8"/>
        <v>116</v>
      </c>
    </row>
    <row r="168" spans="1:168" ht="16.5" thickBot="1">
      <c r="A168" s="196">
        <v>165</v>
      </c>
      <c r="B168" s="306"/>
      <c r="C168" s="310"/>
      <c r="D168" s="307" t="s">
        <v>271</v>
      </c>
      <c r="E168" s="307" t="s">
        <v>271</v>
      </c>
      <c r="F168" s="308"/>
      <c r="G168" s="343" t="str">
        <f t="shared" si="6"/>
        <v xml:space="preserve"> </v>
      </c>
      <c r="H168" s="307"/>
      <c r="I168" s="309" t="e">
        <f t="shared" si="7"/>
        <v>#N/A</v>
      </c>
      <c r="J168" s="307"/>
      <c r="K168" s="307"/>
      <c r="L168" s="310"/>
      <c r="M168" s="310"/>
      <c r="N168" s="310"/>
      <c r="O168" s="310"/>
      <c r="P168" s="310"/>
      <c r="Q168" s="310"/>
      <c r="R168" s="310"/>
      <c r="S168" s="310"/>
      <c r="T168" s="310"/>
      <c r="U168" s="307"/>
      <c r="V168" s="307"/>
      <c r="W168" s="311"/>
      <c r="X168" s="307"/>
      <c r="Y168" s="307"/>
      <c r="Z168" s="307"/>
      <c r="AA168" s="307"/>
      <c r="AB168" s="311"/>
      <c r="AC168" s="307"/>
      <c r="AD168" s="307"/>
      <c r="AE168" s="307"/>
      <c r="AF168" s="307"/>
      <c r="AG168" s="310"/>
      <c r="AH168" s="307"/>
      <c r="AI168" s="310"/>
      <c r="AJ168" s="307"/>
      <c r="AK168" s="307"/>
      <c r="AL168" s="307"/>
      <c r="AM168" s="308"/>
      <c r="AN168" s="311"/>
      <c r="AO168" s="307"/>
      <c r="AP168" s="307"/>
      <c r="AQ168" s="308"/>
      <c r="AR168" s="307"/>
      <c r="AS168" s="307"/>
      <c r="AT168" s="307"/>
      <c r="AU168" s="310"/>
      <c r="AV168" s="308"/>
      <c r="AW168" s="312"/>
      <c r="AX168" s="308"/>
      <c r="AY168" s="307"/>
      <c r="AZ168" s="307"/>
      <c r="BA168" s="307"/>
      <c r="BB168" s="307"/>
      <c r="BC168" s="308"/>
      <c r="BD168" s="308"/>
      <c r="BE168" s="313"/>
      <c r="BF168" s="307"/>
      <c r="BG168" s="310"/>
      <c r="BH168" s="307"/>
      <c r="BI168" s="307"/>
      <c r="BJ168" s="310"/>
      <c r="BK168" s="307"/>
      <c r="BL168" s="307"/>
      <c r="BM168" s="310"/>
      <c r="BN168" s="307"/>
      <c r="BO168" s="310"/>
      <c r="BP168" s="307"/>
      <c r="BQ168" s="307"/>
      <c r="BR168" s="307"/>
      <c r="BS168" s="307"/>
      <c r="BT168" s="307"/>
      <c r="BU168" s="310"/>
      <c r="BV168" s="307"/>
      <c r="BW168" s="308"/>
      <c r="BX168" s="311"/>
      <c r="BY168" s="307"/>
      <c r="BZ168" s="307"/>
      <c r="CA168" s="310"/>
      <c r="CB168" s="307"/>
      <c r="CC168" s="307"/>
      <c r="CD168" s="307"/>
      <c r="CE168" s="308"/>
      <c r="CF168" s="308"/>
      <c r="CG168" s="307"/>
      <c r="CH168" s="307"/>
      <c r="CI168" s="307"/>
      <c r="CJ168" s="307"/>
      <c r="CK168" s="314"/>
      <c r="CL168" s="310"/>
      <c r="CM168" s="310"/>
      <c r="CN168" s="307"/>
      <c r="CO168" s="307"/>
      <c r="CP168" s="307"/>
      <c r="CQ168" s="315"/>
      <c r="CR168" s="315"/>
      <c r="CS168" s="315"/>
      <c r="CT168" s="315"/>
      <c r="CU168" s="307"/>
      <c r="CV168" s="217"/>
      <c r="CW168" s="192"/>
      <c r="CX168" s="192"/>
      <c r="CY168" s="192"/>
      <c r="CZ168" s="191"/>
      <c r="DA168" s="193"/>
      <c r="DB168" s="192"/>
      <c r="DC168" s="192"/>
      <c r="DD168" s="192"/>
      <c r="DE168" s="191"/>
      <c r="DF168" s="19"/>
      <c r="DG168" s="192"/>
      <c r="DH168" s="192"/>
      <c r="DI168" s="192"/>
      <c r="DJ168" s="191"/>
      <c r="DK168" s="193"/>
      <c r="DL168" s="192"/>
      <c r="DM168" s="192"/>
      <c r="DN168" s="192"/>
      <c r="DO168" s="191"/>
      <c r="DP168" s="19"/>
      <c r="DQ168" s="192"/>
      <c r="DR168" s="192"/>
      <c r="DS168" s="192"/>
      <c r="DT168" s="191"/>
      <c r="DU168" s="193"/>
      <c r="DV168" s="192"/>
      <c r="DW168" s="192"/>
      <c r="DX168" s="192"/>
      <c r="DY168" s="191"/>
      <c r="DZ168" s="19"/>
      <c r="EA168" s="192"/>
      <c r="EB168" s="192"/>
      <c r="EC168" s="192"/>
      <c r="ED168" s="191"/>
      <c r="EE168" s="193"/>
      <c r="EF168" s="192"/>
      <c r="EG168" s="192"/>
      <c r="EH168" s="192"/>
      <c r="EI168" s="191"/>
      <c r="EJ168" s="19"/>
      <c r="EK168" s="192"/>
      <c r="EL168" s="192"/>
      <c r="EM168" s="192"/>
      <c r="EN168" s="191"/>
      <c r="EO168" s="193"/>
      <c r="EP168" s="192"/>
      <c r="EQ168" s="192"/>
      <c r="ER168" s="192"/>
      <c r="ES168" s="191"/>
      <c r="ET168" s="19"/>
      <c r="EU168" s="192"/>
      <c r="EV168" s="192"/>
      <c r="EW168" s="192"/>
      <c r="EX168" s="191"/>
      <c r="EY168" s="193"/>
      <c r="EZ168" s="192"/>
      <c r="FA168" s="192"/>
      <c r="FB168" s="192"/>
      <c r="FC168" s="191"/>
      <c r="FL168" s="273">
        <f t="shared" ca="1" si="8"/>
        <v>116</v>
      </c>
    </row>
    <row r="169" spans="1:168" ht="16.5" thickBot="1">
      <c r="A169" s="199">
        <v>166</v>
      </c>
      <c r="B169" s="306"/>
      <c r="C169" s="310"/>
      <c r="D169" s="307" t="s">
        <v>271</v>
      </c>
      <c r="E169" s="307" t="s">
        <v>271</v>
      </c>
      <c r="F169" s="308"/>
      <c r="G169" s="343" t="str">
        <f t="shared" si="6"/>
        <v xml:space="preserve"> </v>
      </c>
      <c r="H169" s="307"/>
      <c r="I169" s="309" t="e">
        <f t="shared" si="7"/>
        <v>#N/A</v>
      </c>
      <c r="J169" s="307"/>
      <c r="K169" s="307"/>
      <c r="L169" s="310"/>
      <c r="M169" s="310"/>
      <c r="N169" s="310"/>
      <c r="O169" s="310"/>
      <c r="P169" s="310"/>
      <c r="Q169" s="310"/>
      <c r="R169" s="310"/>
      <c r="S169" s="310"/>
      <c r="T169" s="310"/>
      <c r="U169" s="307"/>
      <c r="V169" s="307"/>
      <c r="W169" s="311"/>
      <c r="X169" s="307"/>
      <c r="Y169" s="307"/>
      <c r="Z169" s="307"/>
      <c r="AA169" s="307"/>
      <c r="AB169" s="311"/>
      <c r="AC169" s="307"/>
      <c r="AD169" s="307"/>
      <c r="AE169" s="307"/>
      <c r="AF169" s="307"/>
      <c r="AG169" s="310"/>
      <c r="AH169" s="307"/>
      <c r="AI169" s="310"/>
      <c r="AJ169" s="307"/>
      <c r="AK169" s="307"/>
      <c r="AL169" s="307"/>
      <c r="AM169" s="308"/>
      <c r="AN169" s="311"/>
      <c r="AO169" s="307"/>
      <c r="AP169" s="307"/>
      <c r="AQ169" s="308"/>
      <c r="AR169" s="307"/>
      <c r="AS169" s="307"/>
      <c r="AT169" s="307"/>
      <c r="AU169" s="310"/>
      <c r="AV169" s="308"/>
      <c r="AW169" s="312"/>
      <c r="AX169" s="308"/>
      <c r="AY169" s="307"/>
      <c r="AZ169" s="307"/>
      <c r="BA169" s="307"/>
      <c r="BB169" s="307"/>
      <c r="BC169" s="308"/>
      <c r="BD169" s="308"/>
      <c r="BE169" s="313"/>
      <c r="BF169" s="307"/>
      <c r="BG169" s="310"/>
      <c r="BH169" s="307"/>
      <c r="BI169" s="307"/>
      <c r="BJ169" s="310"/>
      <c r="BK169" s="307"/>
      <c r="BL169" s="307"/>
      <c r="BM169" s="310"/>
      <c r="BN169" s="307"/>
      <c r="BO169" s="310"/>
      <c r="BP169" s="307"/>
      <c r="BQ169" s="307"/>
      <c r="BR169" s="307"/>
      <c r="BS169" s="307"/>
      <c r="BT169" s="307"/>
      <c r="BU169" s="310"/>
      <c r="BV169" s="307"/>
      <c r="BW169" s="308"/>
      <c r="BX169" s="311"/>
      <c r="BY169" s="307"/>
      <c r="BZ169" s="307"/>
      <c r="CA169" s="310"/>
      <c r="CB169" s="307"/>
      <c r="CC169" s="307"/>
      <c r="CD169" s="307"/>
      <c r="CE169" s="308"/>
      <c r="CF169" s="308"/>
      <c r="CG169" s="307"/>
      <c r="CH169" s="307"/>
      <c r="CI169" s="307"/>
      <c r="CJ169" s="307"/>
      <c r="CK169" s="314"/>
      <c r="CL169" s="310"/>
      <c r="CM169" s="310"/>
      <c r="CN169" s="307"/>
      <c r="CO169" s="307"/>
      <c r="CP169" s="307"/>
      <c r="CQ169" s="315"/>
      <c r="CR169" s="315"/>
      <c r="CS169" s="315"/>
      <c r="CT169" s="315"/>
      <c r="CU169" s="307"/>
      <c r="CV169" s="217"/>
      <c r="CW169" s="192"/>
      <c r="CX169" s="192"/>
      <c r="CY169" s="192"/>
      <c r="CZ169" s="191"/>
      <c r="DA169" s="193"/>
      <c r="DB169" s="192"/>
      <c r="DC169" s="192"/>
      <c r="DD169" s="192"/>
      <c r="DE169" s="191"/>
      <c r="DF169" s="19"/>
      <c r="DG169" s="192"/>
      <c r="DH169" s="192"/>
      <c r="DI169" s="192"/>
      <c r="DJ169" s="191"/>
      <c r="DK169" s="193"/>
      <c r="DL169" s="192"/>
      <c r="DM169" s="192"/>
      <c r="DN169" s="192"/>
      <c r="DO169" s="191"/>
      <c r="DP169" s="19"/>
      <c r="DQ169" s="192"/>
      <c r="DR169" s="192"/>
      <c r="DS169" s="192"/>
      <c r="DT169" s="191"/>
      <c r="DU169" s="193"/>
      <c r="DV169" s="192"/>
      <c r="DW169" s="192"/>
      <c r="DX169" s="192"/>
      <c r="DY169" s="191"/>
      <c r="DZ169" s="19"/>
      <c r="EA169" s="192"/>
      <c r="EB169" s="192"/>
      <c r="EC169" s="192"/>
      <c r="ED169" s="191"/>
      <c r="EE169" s="193"/>
      <c r="EF169" s="192"/>
      <c r="EG169" s="192"/>
      <c r="EH169" s="192"/>
      <c r="EI169" s="191"/>
      <c r="EJ169" s="19"/>
      <c r="EK169" s="192"/>
      <c r="EL169" s="192"/>
      <c r="EM169" s="192"/>
      <c r="EN169" s="191"/>
      <c r="EO169" s="193"/>
      <c r="EP169" s="192"/>
      <c r="EQ169" s="192"/>
      <c r="ER169" s="192"/>
      <c r="ES169" s="191"/>
      <c r="ET169" s="19"/>
      <c r="EU169" s="192"/>
      <c r="EV169" s="192"/>
      <c r="EW169" s="192"/>
      <c r="EX169" s="191"/>
      <c r="EY169" s="193"/>
      <c r="EZ169" s="192"/>
      <c r="FA169" s="192"/>
      <c r="FB169" s="192"/>
      <c r="FC169" s="191"/>
      <c r="FL169" s="273">
        <f t="shared" ca="1" si="8"/>
        <v>116</v>
      </c>
    </row>
    <row r="170" spans="1:168" ht="16.5" thickBot="1">
      <c r="A170" s="196">
        <v>167</v>
      </c>
      <c r="B170" s="306"/>
      <c r="C170" s="310"/>
      <c r="D170" s="307" t="s">
        <v>271</v>
      </c>
      <c r="E170" s="307" t="s">
        <v>271</v>
      </c>
      <c r="F170" s="308"/>
      <c r="G170" s="343" t="str">
        <f t="shared" si="6"/>
        <v xml:space="preserve"> </v>
      </c>
      <c r="H170" s="307"/>
      <c r="I170" s="309" t="e">
        <f t="shared" si="7"/>
        <v>#N/A</v>
      </c>
      <c r="J170" s="307"/>
      <c r="K170" s="307"/>
      <c r="L170" s="310"/>
      <c r="M170" s="310"/>
      <c r="N170" s="310"/>
      <c r="O170" s="310"/>
      <c r="P170" s="310"/>
      <c r="Q170" s="310"/>
      <c r="R170" s="310"/>
      <c r="S170" s="310"/>
      <c r="T170" s="310"/>
      <c r="U170" s="307"/>
      <c r="V170" s="307"/>
      <c r="W170" s="311"/>
      <c r="X170" s="307"/>
      <c r="Y170" s="307"/>
      <c r="Z170" s="307"/>
      <c r="AA170" s="307"/>
      <c r="AB170" s="311"/>
      <c r="AC170" s="307"/>
      <c r="AD170" s="307"/>
      <c r="AE170" s="307"/>
      <c r="AF170" s="307"/>
      <c r="AG170" s="310"/>
      <c r="AH170" s="307"/>
      <c r="AI170" s="310"/>
      <c r="AJ170" s="307"/>
      <c r="AK170" s="307"/>
      <c r="AL170" s="307"/>
      <c r="AM170" s="308"/>
      <c r="AN170" s="311"/>
      <c r="AO170" s="307"/>
      <c r="AP170" s="307"/>
      <c r="AQ170" s="308"/>
      <c r="AR170" s="307"/>
      <c r="AS170" s="307"/>
      <c r="AT170" s="307"/>
      <c r="AU170" s="310"/>
      <c r="AV170" s="308"/>
      <c r="AW170" s="312"/>
      <c r="AX170" s="308"/>
      <c r="AY170" s="307"/>
      <c r="AZ170" s="307"/>
      <c r="BA170" s="307"/>
      <c r="BB170" s="307"/>
      <c r="BC170" s="308"/>
      <c r="BD170" s="308"/>
      <c r="BE170" s="313"/>
      <c r="BF170" s="307"/>
      <c r="BG170" s="310"/>
      <c r="BH170" s="307"/>
      <c r="BI170" s="307"/>
      <c r="BJ170" s="310"/>
      <c r="BK170" s="307"/>
      <c r="BL170" s="307"/>
      <c r="BM170" s="310"/>
      <c r="BN170" s="307"/>
      <c r="BO170" s="310"/>
      <c r="BP170" s="307"/>
      <c r="BQ170" s="307"/>
      <c r="BR170" s="307"/>
      <c r="BS170" s="307"/>
      <c r="BT170" s="307"/>
      <c r="BU170" s="310"/>
      <c r="BV170" s="307"/>
      <c r="BW170" s="308"/>
      <c r="BX170" s="311"/>
      <c r="BY170" s="307"/>
      <c r="BZ170" s="307"/>
      <c r="CA170" s="310"/>
      <c r="CB170" s="307"/>
      <c r="CC170" s="307"/>
      <c r="CD170" s="307"/>
      <c r="CE170" s="308"/>
      <c r="CF170" s="308"/>
      <c r="CG170" s="307"/>
      <c r="CH170" s="307"/>
      <c r="CI170" s="307"/>
      <c r="CJ170" s="307"/>
      <c r="CK170" s="314"/>
      <c r="CL170" s="310"/>
      <c r="CM170" s="310"/>
      <c r="CN170" s="307"/>
      <c r="CO170" s="307"/>
      <c r="CP170" s="307"/>
      <c r="CQ170" s="315"/>
      <c r="CR170" s="315"/>
      <c r="CS170" s="315"/>
      <c r="CT170" s="315"/>
      <c r="CU170" s="307"/>
      <c r="CV170" s="217"/>
      <c r="CW170" s="192"/>
      <c r="CX170" s="192"/>
      <c r="CY170" s="192"/>
      <c r="CZ170" s="191"/>
      <c r="DA170" s="193"/>
      <c r="DB170" s="192"/>
      <c r="DC170" s="192"/>
      <c r="DD170" s="192"/>
      <c r="DE170" s="191"/>
      <c r="DF170" s="19"/>
      <c r="DG170" s="192"/>
      <c r="DH170" s="192"/>
      <c r="DI170" s="192"/>
      <c r="DJ170" s="191"/>
      <c r="DK170" s="193"/>
      <c r="DL170" s="192"/>
      <c r="DM170" s="192"/>
      <c r="DN170" s="192"/>
      <c r="DO170" s="191"/>
      <c r="DP170" s="19"/>
      <c r="DQ170" s="192"/>
      <c r="DR170" s="192"/>
      <c r="DS170" s="192"/>
      <c r="DT170" s="191"/>
      <c r="DU170" s="193"/>
      <c r="DV170" s="192"/>
      <c r="DW170" s="192"/>
      <c r="DX170" s="192"/>
      <c r="DY170" s="191"/>
      <c r="DZ170" s="19"/>
      <c r="EA170" s="192"/>
      <c r="EB170" s="192"/>
      <c r="EC170" s="192"/>
      <c r="ED170" s="191"/>
      <c r="EE170" s="193"/>
      <c r="EF170" s="192"/>
      <c r="EG170" s="192"/>
      <c r="EH170" s="192"/>
      <c r="EI170" s="191"/>
      <c r="EJ170" s="19"/>
      <c r="EK170" s="192"/>
      <c r="EL170" s="192"/>
      <c r="EM170" s="192"/>
      <c r="EN170" s="191"/>
      <c r="EO170" s="193"/>
      <c r="EP170" s="192"/>
      <c r="EQ170" s="192"/>
      <c r="ER170" s="192"/>
      <c r="ES170" s="191"/>
      <c r="ET170" s="19"/>
      <c r="EU170" s="192"/>
      <c r="EV170" s="192"/>
      <c r="EW170" s="192"/>
      <c r="EX170" s="191"/>
      <c r="EY170" s="193"/>
      <c r="EZ170" s="192"/>
      <c r="FA170" s="192"/>
      <c r="FB170" s="192"/>
      <c r="FC170" s="191"/>
      <c r="FL170" s="273">
        <f t="shared" ca="1" si="8"/>
        <v>116</v>
      </c>
    </row>
    <row r="171" spans="1:168" ht="16.5" thickBot="1">
      <c r="A171" s="199">
        <v>168</v>
      </c>
      <c r="B171" s="306"/>
      <c r="C171" s="310"/>
      <c r="D171" s="307" t="s">
        <v>271</v>
      </c>
      <c r="E171" s="307" t="s">
        <v>271</v>
      </c>
      <c r="F171" s="308"/>
      <c r="G171" s="343" t="str">
        <f t="shared" si="6"/>
        <v xml:space="preserve"> </v>
      </c>
      <c r="H171" s="307"/>
      <c r="I171" s="309" t="e">
        <f t="shared" si="7"/>
        <v>#N/A</v>
      </c>
      <c r="J171" s="307"/>
      <c r="K171" s="307"/>
      <c r="L171" s="310"/>
      <c r="M171" s="310"/>
      <c r="N171" s="310"/>
      <c r="O171" s="310"/>
      <c r="P171" s="310"/>
      <c r="Q171" s="310"/>
      <c r="R171" s="310"/>
      <c r="S171" s="310"/>
      <c r="T171" s="310"/>
      <c r="U171" s="307"/>
      <c r="V171" s="307"/>
      <c r="W171" s="311"/>
      <c r="X171" s="307"/>
      <c r="Y171" s="307"/>
      <c r="Z171" s="307"/>
      <c r="AA171" s="307"/>
      <c r="AB171" s="311"/>
      <c r="AC171" s="307"/>
      <c r="AD171" s="307"/>
      <c r="AE171" s="307"/>
      <c r="AF171" s="307"/>
      <c r="AG171" s="310"/>
      <c r="AH171" s="307"/>
      <c r="AI171" s="310"/>
      <c r="AJ171" s="307"/>
      <c r="AK171" s="307"/>
      <c r="AL171" s="307"/>
      <c r="AM171" s="308"/>
      <c r="AN171" s="311"/>
      <c r="AO171" s="307"/>
      <c r="AP171" s="307"/>
      <c r="AQ171" s="308"/>
      <c r="AR171" s="307"/>
      <c r="AS171" s="307"/>
      <c r="AT171" s="307"/>
      <c r="AU171" s="310"/>
      <c r="AV171" s="308"/>
      <c r="AW171" s="312"/>
      <c r="AX171" s="308"/>
      <c r="AY171" s="307"/>
      <c r="AZ171" s="307"/>
      <c r="BA171" s="307"/>
      <c r="BB171" s="307"/>
      <c r="BC171" s="308"/>
      <c r="BD171" s="308"/>
      <c r="BE171" s="313"/>
      <c r="BF171" s="307"/>
      <c r="BG171" s="310"/>
      <c r="BH171" s="307"/>
      <c r="BI171" s="307"/>
      <c r="BJ171" s="310"/>
      <c r="BK171" s="307"/>
      <c r="BL171" s="307"/>
      <c r="BM171" s="310"/>
      <c r="BN171" s="307"/>
      <c r="BO171" s="310"/>
      <c r="BP171" s="307"/>
      <c r="BQ171" s="307"/>
      <c r="BR171" s="307"/>
      <c r="BS171" s="307"/>
      <c r="BT171" s="307"/>
      <c r="BU171" s="310"/>
      <c r="BV171" s="307"/>
      <c r="BW171" s="308"/>
      <c r="BX171" s="311"/>
      <c r="BY171" s="307"/>
      <c r="BZ171" s="307"/>
      <c r="CA171" s="310"/>
      <c r="CB171" s="307"/>
      <c r="CC171" s="307"/>
      <c r="CD171" s="307"/>
      <c r="CE171" s="308"/>
      <c r="CF171" s="308"/>
      <c r="CG171" s="307"/>
      <c r="CH171" s="307"/>
      <c r="CI171" s="307"/>
      <c r="CJ171" s="307"/>
      <c r="CK171" s="314"/>
      <c r="CL171" s="310"/>
      <c r="CM171" s="310"/>
      <c r="CN171" s="307"/>
      <c r="CO171" s="307"/>
      <c r="CP171" s="307"/>
      <c r="CQ171" s="315"/>
      <c r="CR171" s="315"/>
      <c r="CS171" s="315"/>
      <c r="CT171" s="315"/>
      <c r="CU171" s="307"/>
      <c r="CV171" s="217"/>
      <c r="CW171" s="192"/>
      <c r="CX171" s="192"/>
      <c r="CY171" s="192"/>
      <c r="CZ171" s="191"/>
      <c r="DA171" s="193"/>
      <c r="DB171" s="192"/>
      <c r="DC171" s="192"/>
      <c r="DD171" s="192"/>
      <c r="DE171" s="191"/>
      <c r="DF171" s="19"/>
      <c r="DG171" s="192"/>
      <c r="DH171" s="192"/>
      <c r="DI171" s="192"/>
      <c r="DJ171" s="191"/>
      <c r="DK171" s="193"/>
      <c r="DL171" s="192"/>
      <c r="DM171" s="192"/>
      <c r="DN171" s="192"/>
      <c r="DO171" s="191"/>
      <c r="DP171" s="19"/>
      <c r="DQ171" s="192"/>
      <c r="DR171" s="192"/>
      <c r="DS171" s="192"/>
      <c r="DT171" s="191"/>
      <c r="DU171" s="193"/>
      <c r="DV171" s="192"/>
      <c r="DW171" s="192"/>
      <c r="DX171" s="192"/>
      <c r="DY171" s="191"/>
      <c r="DZ171" s="19"/>
      <c r="EA171" s="192"/>
      <c r="EB171" s="192"/>
      <c r="EC171" s="192"/>
      <c r="ED171" s="191"/>
      <c r="EE171" s="193"/>
      <c r="EF171" s="192"/>
      <c r="EG171" s="192"/>
      <c r="EH171" s="192"/>
      <c r="EI171" s="191"/>
      <c r="EJ171" s="19"/>
      <c r="EK171" s="192"/>
      <c r="EL171" s="192"/>
      <c r="EM171" s="192"/>
      <c r="EN171" s="191"/>
      <c r="EO171" s="193"/>
      <c r="EP171" s="192"/>
      <c r="EQ171" s="192"/>
      <c r="ER171" s="192"/>
      <c r="ES171" s="191"/>
      <c r="ET171" s="19"/>
      <c r="EU171" s="192"/>
      <c r="EV171" s="192"/>
      <c r="EW171" s="192"/>
      <c r="EX171" s="191"/>
      <c r="EY171" s="193"/>
      <c r="EZ171" s="192"/>
      <c r="FA171" s="192"/>
      <c r="FB171" s="192"/>
      <c r="FC171" s="191"/>
      <c r="FL171" s="273">
        <f t="shared" ca="1" si="8"/>
        <v>116</v>
      </c>
    </row>
    <row r="172" spans="1:168" ht="16.5" thickBot="1">
      <c r="A172" s="196">
        <v>169</v>
      </c>
      <c r="B172" s="306"/>
      <c r="C172" s="310"/>
      <c r="D172" s="307" t="s">
        <v>271</v>
      </c>
      <c r="E172" s="307" t="s">
        <v>271</v>
      </c>
      <c r="F172" s="308"/>
      <c r="G172" s="343" t="str">
        <f t="shared" si="6"/>
        <v xml:space="preserve"> </v>
      </c>
      <c r="H172" s="307"/>
      <c r="I172" s="309" t="e">
        <f t="shared" si="7"/>
        <v>#N/A</v>
      </c>
      <c r="J172" s="307"/>
      <c r="K172" s="307"/>
      <c r="L172" s="310"/>
      <c r="M172" s="310"/>
      <c r="N172" s="310"/>
      <c r="O172" s="310"/>
      <c r="P172" s="310"/>
      <c r="Q172" s="310"/>
      <c r="R172" s="310"/>
      <c r="S172" s="310"/>
      <c r="T172" s="310"/>
      <c r="U172" s="307"/>
      <c r="V172" s="307"/>
      <c r="W172" s="311"/>
      <c r="X172" s="307"/>
      <c r="Y172" s="307"/>
      <c r="Z172" s="307"/>
      <c r="AA172" s="307"/>
      <c r="AB172" s="311"/>
      <c r="AC172" s="307"/>
      <c r="AD172" s="307"/>
      <c r="AE172" s="307"/>
      <c r="AF172" s="307"/>
      <c r="AG172" s="310"/>
      <c r="AH172" s="307"/>
      <c r="AI172" s="310"/>
      <c r="AJ172" s="307"/>
      <c r="AK172" s="307"/>
      <c r="AL172" s="307"/>
      <c r="AM172" s="308"/>
      <c r="AN172" s="311"/>
      <c r="AO172" s="307"/>
      <c r="AP172" s="307"/>
      <c r="AQ172" s="308"/>
      <c r="AR172" s="307"/>
      <c r="AS172" s="307"/>
      <c r="AT172" s="307"/>
      <c r="AU172" s="310"/>
      <c r="AV172" s="308"/>
      <c r="AW172" s="312"/>
      <c r="AX172" s="308"/>
      <c r="AY172" s="307"/>
      <c r="AZ172" s="307"/>
      <c r="BA172" s="307"/>
      <c r="BB172" s="307"/>
      <c r="BC172" s="308"/>
      <c r="BD172" s="308"/>
      <c r="BE172" s="313"/>
      <c r="BF172" s="307"/>
      <c r="BG172" s="310"/>
      <c r="BH172" s="307"/>
      <c r="BI172" s="307"/>
      <c r="BJ172" s="310"/>
      <c r="BK172" s="307"/>
      <c r="BL172" s="307"/>
      <c r="BM172" s="310"/>
      <c r="BN172" s="307"/>
      <c r="BO172" s="310"/>
      <c r="BP172" s="307"/>
      <c r="BQ172" s="307"/>
      <c r="BR172" s="307"/>
      <c r="BS172" s="307"/>
      <c r="BT172" s="307"/>
      <c r="BU172" s="310"/>
      <c r="BV172" s="307"/>
      <c r="BW172" s="308"/>
      <c r="BX172" s="311"/>
      <c r="BY172" s="307"/>
      <c r="BZ172" s="307"/>
      <c r="CA172" s="310"/>
      <c r="CB172" s="307"/>
      <c r="CC172" s="307"/>
      <c r="CD172" s="307"/>
      <c r="CE172" s="308"/>
      <c r="CF172" s="308"/>
      <c r="CG172" s="307"/>
      <c r="CH172" s="307"/>
      <c r="CI172" s="307"/>
      <c r="CJ172" s="307"/>
      <c r="CK172" s="314"/>
      <c r="CL172" s="310"/>
      <c r="CM172" s="310"/>
      <c r="CN172" s="307"/>
      <c r="CO172" s="307"/>
      <c r="CP172" s="307"/>
      <c r="CQ172" s="315"/>
      <c r="CR172" s="315"/>
      <c r="CS172" s="315"/>
      <c r="CT172" s="315"/>
      <c r="CU172" s="307"/>
      <c r="CV172" s="217"/>
      <c r="CW172" s="192"/>
      <c r="CX172" s="192"/>
      <c r="CY172" s="192"/>
      <c r="CZ172" s="191"/>
      <c r="DA172" s="193"/>
      <c r="DB172" s="192"/>
      <c r="DC172" s="192"/>
      <c r="DD172" s="192"/>
      <c r="DE172" s="191"/>
      <c r="DF172" s="19"/>
      <c r="DG172" s="192"/>
      <c r="DH172" s="192"/>
      <c r="DI172" s="192"/>
      <c r="DJ172" s="191"/>
      <c r="DK172" s="193"/>
      <c r="DL172" s="192"/>
      <c r="DM172" s="192"/>
      <c r="DN172" s="192"/>
      <c r="DO172" s="191"/>
      <c r="DP172" s="19"/>
      <c r="DQ172" s="192"/>
      <c r="DR172" s="192"/>
      <c r="DS172" s="192"/>
      <c r="DT172" s="191"/>
      <c r="DU172" s="193"/>
      <c r="DV172" s="192"/>
      <c r="DW172" s="192"/>
      <c r="DX172" s="192"/>
      <c r="DY172" s="191"/>
      <c r="DZ172" s="19"/>
      <c r="EA172" s="192"/>
      <c r="EB172" s="192"/>
      <c r="EC172" s="192"/>
      <c r="ED172" s="191"/>
      <c r="EE172" s="193"/>
      <c r="EF172" s="192"/>
      <c r="EG172" s="192"/>
      <c r="EH172" s="192"/>
      <c r="EI172" s="191"/>
      <c r="EJ172" s="19"/>
      <c r="EK172" s="192"/>
      <c r="EL172" s="192"/>
      <c r="EM172" s="192"/>
      <c r="EN172" s="191"/>
      <c r="EO172" s="193"/>
      <c r="EP172" s="192"/>
      <c r="EQ172" s="192"/>
      <c r="ER172" s="192"/>
      <c r="ES172" s="191"/>
      <c r="ET172" s="19"/>
      <c r="EU172" s="192"/>
      <c r="EV172" s="192"/>
      <c r="EW172" s="192"/>
      <c r="EX172" s="191"/>
      <c r="EY172" s="193"/>
      <c r="EZ172" s="192"/>
      <c r="FA172" s="192"/>
      <c r="FB172" s="192"/>
      <c r="FC172" s="191"/>
      <c r="FL172" s="273">
        <f t="shared" ca="1" si="8"/>
        <v>116</v>
      </c>
    </row>
    <row r="173" spans="1:168" ht="16.5" thickBot="1">
      <c r="A173" s="199">
        <v>170</v>
      </c>
      <c r="B173" s="306"/>
      <c r="C173" s="310"/>
      <c r="D173" s="307" t="s">
        <v>271</v>
      </c>
      <c r="E173" s="307" t="s">
        <v>271</v>
      </c>
      <c r="F173" s="308"/>
      <c r="G173" s="343" t="str">
        <f t="shared" si="6"/>
        <v xml:space="preserve"> </v>
      </c>
      <c r="H173" s="307"/>
      <c r="I173" s="309" t="e">
        <f t="shared" si="7"/>
        <v>#N/A</v>
      </c>
      <c r="J173" s="307"/>
      <c r="K173" s="307"/>
      <c r="L173" s="310"/>
      <c r="M173" s="310"/>
      <c r="N173" s="310"/>
      <c r="O173" s="310"/>
      <c r="P173" s="310"/>
      <c r="Q173" s="310"/>
      <c r="R173" s="310"/>
      <c r="S173" s="310"/>
      <c r="T173" s="310"/>
      <c r="U173" s="307"/>
      <c r="V173" s="307"/>
      <c r="W173" s="311"/>
      <c r="X173" s="307"/>
      <c r="Y173" s="307"/>
      <c r="Z173" s="307"/>
      <c r="AA173" s="307"/>
      <c r="AB173" s="311"/>
      <c r="AC173" s="307"/>
      <c r="AD173" s="307"/>
      <c r="AE173" s="307"/>
      <c r="AF173" s="307"/>
      <c r="AG173" s="310"/>
      <c r="AH173" s="307"/>
      <c r="AI173" s="310"/>
      <c r="AJ173" s="307"/>
      <c r="AK173" s="307"/>
      <c r="AL173" s="307"/>
      <c r="AM173" s="308"/>
      <c r="AN173" s="311"/>
      <c r="AO173" s="307"/>
      <c r="AP173" s="307"/>
      <c r="AQ173" s="308"/>
      <c r="AR173" s="307"/>
      <c r="AS173" s="307"/>
      <c r="AT173" s="307"/>
      <c r="AU173" s="310"/>
      <c r="AV173" s="308"/>
      <c r="AW173" s="312"/>
      <c r="AX173" s="308"/>
      <c r="AY173" s="307"/>
      <c r="AZ173" s="307"/>
      <c r="BA173" s="307"/>
      <c r="BB173" s="307"/>
      <c r="BC173" s="308"/>
      <c r="BD173" s="308"/>
      <c r="BE173" s="313"/>
      <c r="BF173" s="307"/>
      <c r="BG173" s="310"/>
      <c r="BH173" s="307"/>
      <c r="BI173" s="307"/>
      <c r="BJ173" s="310"/>
      <c r="BK173" s="307"/>
      <c r="BL173" s="307"/>
      <c r="BM173" s="310"/>
      <c r="BN173" s="307"/>
      <c r="BO173" s="310"/>
      <c r="BP173" s="307"/>
      <c r="BQ173" s="307"/>
      <c r="BR173" s="307"/>
      <c r="BS173" s="307"/>
      <c r="BT173" s="307"/>
      <c r="BU173" s="310"/>
      <c r="BV173" s="307"/>
      <c r="BW173" s="308"/>
      <c r="BX173" s="311"/>
      <c r="BY173" s="307"/>
      <c r="BZ173" s="307"/>
      <c r="CA173" s="310"/>
      <c r="CB173" s="307"/>
      <c r="CC173" s="307"/>
      <c r="CD173" s="307"/>
      <c r="CE173" s="308"/>
      <c r="CF173" s="308"/>
      <c r="CG173" s="307"/>
      <c r="CH173" s="307"/>
      <c r="CI173" s="307"/>
      <c r="CJ173" s="307"/>
      <c r="CK173" s="314"/>
      <c r="CL173" s="310"/>
      <c r="CM173" s="310"/>
      <c r="CN173" s="307"/>
      <c r="CO173" s="307"/>
      <c r="CP173" s="307"/>
      <c r="CQ173" s="315"/>
      <c r="CR173" s="315"/>
      <c r="CS173" s="315"/>
      <c r="CT173" s="315"/>
      <c r="CU173" s="307"/>
      <c r="CV173" s="217"/>
      <c r="CW173" s="192"/>
      <c r="CX173" s="192"/>
      <c r="CY173" s="192"/>
      <c r="CZ173" s="191"/>
      <c r="DA173" s="193"/>
      <c r="DB173" s="192"/>
      <c r="DC173" s="192"/>
      <c r="DD173" s="192"/>
      <c r="DE173" s="191"/>
      <c r="DF173" s="19"/>
      <c r="DG173" s="192"/>
      <c r="DH173" s="192"/>
      <c r="DI173" s="192"/>
      <c r="DJ173" s="191"/>
      <c r="DK173" s="193"/>
      <c r="DL173" s="192"/>
      <c r="DM173" s="192"/>
      <c r="DN173" s="192"/>
      <c r="DO173" s="191"/>
      <c r="DP173" s="19"/>
      <c r="DQ173" s="192"/>
      <c r="DR173" s="192"/>
      <c r="DS173" s="192"/>
      <c r="DT173" s="191"/>
      <c r="DU173" s="193"/>
      <c r="DV173" s="192"/>
      <c r="DW173" s="192"/>
      <c r="DX173" s="192"/>
      <c r="DY173" s="191"/>
      <c r="DZ173" s="19"/>
      <c r="EA173" s="192"/>
      <c r="EB173" s="192"/>
      <c r="EC173" s="192"/>
      <c r="ED173" s="191"/>
      <c r="EE173" s="193"/>
      <c r="EF173" s="192"/>
      <c r="EG173" s="192"/>
      <c r="EH173" s="192"/>
      <c r="EI173" s="191"/>
      <c r="EJ173" s="19"/>
      <c r="EK173" s="192"/>
      <c r="EL173" s="192"/>
      <c r="EM173" s="192"/>
      <c r="EN173" s="191"/>
      <c r="EO173" s="193"/>
      <c r="EP173" s="192"/>
      <c r="EQ173" s="192"/>
      <c r="ER173" s="192"/>
      <c r="ES173" s="191"/>
      <c r="ET173" s="19"/>
      <c r="EU173" s="192"/>
      <c r="EV173" s="192"/>
      <c r="EW173" s="192"/>
      <c r="EX173" s="191"/>
      <c r="EY173" s="193"/>
      <c r="EZ173" s="192"/>
      <c r="FA173" s="192"/>
      <c r="FB173" s="192"/>
      <c r="FC173" s="191"/>
      <c r="FL173" s="273">
        <f t="shared" ca="1" si="8"/>
        <v>116</v>
      </c>
    </row>
    <row r="174" spans="1:168" ht="16.5" thickBot="1">
      <c r="A174" s="196">
        <v>171</v>
      </c>
      <c r="B174" s="306"/>
      <c r="C174" s="310"/>
      <c r="D174" s="307" t="s">
        <v>271</v>
      </c>
      <c r="E174" s="307" t="s">
        <v>271</v>
      </c>
      <c r="F174" s="308"/>
      <c r="G174" s="343" t="str">
        <f t="shared" si="6"/>
        <v xml:space="preserve"> </v>
      </c>
      <c r="H174" s="307"/>
      <c r="I174" s="309" t="e">
        <f t="shared" si="7"/>
        <v>#N/A</v>
      </c>
      <c r="J174" s="307"/>
      <c r="K174" s="307"/>
      <c r="L174" s="310"/>
      <c r="M174" s="310"/>
      <c r="N174" s="310"/>
      <c r="O174" s="310"/>
      <c r="P174" s="310"/>
      <c r="Q174" s="310"/>
      <c r="R174" s="310"/>
      <c r="S174" s="310"/>
      <c r="T174" s="310"/>
      <c r="U174" s="307"/>
      <c r="V174" s="307"/>
      <c r="W174" s="311"/>
      <c r="X174" s="307"/>
      <c r="Y174" s="307"/>
      <c r="Z174" s="307"/>
      <c r="AA174" s="307"/>
      <c r="AB174" s="311"/>
      <c r="AC174" s="307"/>
      <c r="AD174" s="307"/>
      <c r="AE174" s="307"/>
      <c r="AF174" s="307"/>
      <c r="AG174" s="310"/>
      <c r="AH174" s="307"/>
      <c r="AI174" s="310"/>
      <c r="AJ174" s="307"/>
      <c r="AK174" s="307"/>
      <c r="AL174" s="307"/>
      <c r="AM174" s="308"/>
      <c r="AN174" s="311"/>
      <c r="AO174" s="307"/>
      <c r="AP174" s="307"/>
      <c r="AQ174" s="308"/>
      <c r="AR174" s="307"/>
      <c r="AS174" s="307"/>
      <c r="AT174" s="307"/>
      <c r="AU174" s="310"/>
      <c r="AV174" s="308"/>
      <c r="AW174" s="312"/>
      <c r="AX174" s="308"/>
      <c r="AY174" s="307"/>
      <c r="AZ174" s="307"/>
      <c r="BA174" s="307"/>
      <c r="BB174" s="307"/>
      <c r="BC174" s="308"/>
      <c r="BD174" s="308"/>
      <c r="BE174" s="313"/>
      <c r="BF174" s="307"/>
      <c r="BG174" s="310"/>
      <c r="BH174" s="307"/>
      <c r="BI174" s="307"/>
      <c r="BJ174" s="310"/>
      <c r="BK174" s="307"/>
      <c r="BL174" s="307"/>
      <c r="BM174" s="310"/>
      <c r="BN174" s="307"/>
      <c r="BO174" s="310"/>
      <c r="BP174" s="307"/>
      <c r="BQ174" s="307"/>
      <c r="BR174" s="307"/>
      <c r="BS174" s="307"/>
      <c r="BT174" s="307"/>
      <c r="BU174" s="310"/>
      <c r="BV174" s="307"/>
      <c r="BW174" s="308"/>
      <c r="BX174" s="311"/>
      <c r="BY174" s="307"/>
      <c r="BZ174" s="307"/>
      <c r="CA174" s="310"/>
      <c r="CB174" s="307"/>
      <c r="CC174" s="307"/>
      <c r="CD174" s="307"/>
      <c r="CE174" s="308"/>
      <c r="CF174" s="308"/>
      <c r="CG174" s="307"/>
      <c r="CH174" s="307"/>
      <c r="CI174" s="307"/>
      <c r="CJ174" s="307"/>
      <c r="CK174" s="314"/>
      <c r="CL174" s="310"/>
      <c r="CM174" s="310"/>
      <c r="CN174" s="307"/>
      <c r="CO174" s="307"/>
      <c r="CP174" s="307"/>
      <c r="CQ174" s="315"/>
      <c r="CR174" s="315"/>
      <c r="CS174" s="315"/>
      <c r="CT174" s="315"/>
      <c r="CU174" s="307"/>
      <c r="CV174" s="217"/>
      <c r="CW174" s="192"/>
      <c r="CX174" s="192"/>
      <c r="CY174" s="192"/>
      <c r="CZ174" s="191"/>
      <c r="DA174" s="193"/>
      <c r="DB174" s="192"/>
      <c r="DC174" s="192"/>
      <c r="DD174" s="192"/>
      <c r="DE174" s="191"/>
      <c r="DF174" s="19"/>
      <c r="DG174" s="192"/>
      <c r="DH174" s="192"/>
      <c r="DI174" s="192"/>
      <c r="DJ174" s="191"/>
      <c r="DK174" s="193"/>
      <c r="DL174" s="192"/>
      <c r="DM174" s="192"/>
      <c r="DN174" s="192"/>
      <c r="DO174" s="191"/>
      <c r="DP174" s="19"/>
      <c r="DQ174" s="192"/>
      <c r="DR174" s="192"/>
      <c r="DS174" s="192"/>
      <c r="DT174" s="191"/>
      <c r="DU174" s="193"/>
      <c r="DV174" s="192"/>
      <c r="DW174" s="192"/>
      <c r="DX174" s="192"/>
      <c r="DY174" s="191"/>
      <c r="DZ174" s="19"/>
      <c r="EA174" s="192"/>
      <c r="EB174" s="192"/>
      <c r="EC174" s="192"/>
      <c r="ED174" s="191"/>
      <c r="EE174" s="193"/>
      <c r="EF174" s="192"/>
      <c r="EG174" s="192"/>
      <c r="EH174" s="192"/>
      <c r="EI174" s="191"/>
      <c r="EJ174" s="19"/>
      <c r="EK174" s="192"/>
      <c r="EL174" s="192"/>
      <c r="EM174" s="192"/>
      <c r="EN174" s="191"/>
      <c r="EO174" s="193"/>
      <c r="EP174" s="192"/>
      <c r="EQ174" s="192"/>
      <c r="ER174" s="192"/>
      <c r="ES174" s="191"/>
      <c r="ET174" s="19"/>
      <c r="EU174" s="192"/>
      <c r="EV174" s="192"/>
      <c r="EW174" s="192"/>
      <c r="EX174" s="191"/>
      <c r="EY174" s="193"/>
      <c r="EZ174" s="192"/>
      <c r="FA174" s="192"/>
      <c r="FB174" s="192"/>
      <c r="FC174" s="191"/>
      <c r="FL174" s="273">
        <f t="shared" ca="1" si="8"/>
        <v>116</v>
      </c>
    </row>
    <row r="175" spans="1:168" ht="16.5" thickBot="1">
      <c r="A175" s="199">
        <v>172</v>
      </c>
      <c r="B175" s="306"/>
      <c r="C175" s="310"/>
      <c r="D175" s="307" t="s">
        <v>271</v>
      </c>
      <c r="E175" s="307" t="s">
        <v>271</v>
      </c>
      <c r="F175" s="308"/>
      <c r="G175" s="343" t="str">
        <f t="shared" si="6"/>
        <v xml:space="preserve"> </v>
      </c>
      <c r="H175" s="307"/>
      <c r="I175" s="309" t="e">
        <f t="shared" si="7"/>
        <v>#N/A</v>
      </c>
      <c r="J175" s="307"/>
      <c r="K175" s="307"/>
      <c r="L175" s="310"/>
      <c r="M175" s="310"/>
      <c r="N175" s="310"/>
      <c r="O175" s="310"/>
      <c r="P175" s="310"/>
      <c r="Q175" s="310"/>
      <c r="R175" s="310"/>
      <c r="S175" s="310"/>
      <c r="T175" s="310"/>
      <c r="U175" s="307"/>
      <c r="V175" s="307"/>
      <c r="W175" s="311"/>
      <c r="X175" s="307"/>
      <c r="Y175" s="307"/>
      <c r="Z175" s="307"/>
      <c r="AA175" s="307"/>
      <c r="AB175" s="311"/>
      <c r="AC175" s="307"/>
      <c r="AD175" s="307"/>
      <c r="AE175" s="307"/>
      <c r="AF175" s="307"/>
      <c r="AG175" s="310"/>
      <c r="AH175" s="307"/>
      <c r="AI175" s="310"/>
      <c r="AJ175" s="307"/>
      <c r="AK175" s="307"/>
      <c r="AL175" s="307"/>
      <c r="AM175" s="308"/>
      <c r="AN175" s="311"/>
      <c r="AO175" s="307"/>
      <c r="AP175" s="307"/>
      <c r="AQ175" s="308"/>
      <c r="AR175" s="307"/>
      <c r="AS175" s="307"/>
      <c r="AT175" s="307"/>
      <c r="AU175" s="310"/>
      <c r="AV175" s="308"/>
      <c r="AW175" s="312"/>
      <c r="AX175" s="308"/>
      <c r="AY175" s="307"/>
      <c r="AZ175" s="307"/>
      <c r="BA175" s="307"/>
      <c r="BB175" s="307"/>
      <c r="BC175" s="308"/>
      <c r="BD175" s="308"/>
      <c r="BE175" s="313"/>
      <c r="BF175" s="307"/>
      <c r="BG175" s="310"/>
      <c r="BH175" s="307"/>
      <c r="BI175" s="307"/>
      <c r="BJ175" s="310"/>
      <c r="BK175" s="307"/>
      <c r="BL175" s="307"/>
      <c r="BM175" s="310"/>
      <c r="BN175" s="307"/>
      <c r="BO175" s="310"/>
      <c r="BP175" s="307"/>
      <c r="BQ175" s="307"/>
      <c r="BR175" s="307"/>
      <c r="BS175" s="307"/>
      <c r="BT175" s="307"/>
      <c r="BU175" s="310"/>
      <c r="BV175" s="307"/>
      <c r="BW175" s="308"/>
      <c r="BX175" s="311"/>
      <c r="BY175" s="307"/>
      <c r="BZ175" s="307"/>
      <c r="CA175" s="310"/>
      <c r="CB175" s="307"/>
      <c r="CC175" s="307"/>
      <c r="CD175" s="307"/>
      <c r="CE175" s="308"/>
      <c r="CF175" s="308"/>
      <c r="CG175" s="307"/>
      <c r="CH175" s="307"/>
      <c r="CI175" s="307"/>
      <c r="CJ175" s="307"/>
      <c r="CK175" s="314"/>
      <c r="CL175" s="310"/>
      <c r="CM175" s="310"/>
      <c r="CN175" s="307"/>
      <c r="CO175" s="307"/>
      <c r="CP175" s="307"/>
      <c r="CQ175" s="315"/>
      <c r="CR175" s="315"/>
      <c r="CS175" s="315"/>
      <c r="CT175" s="315"/>
      <c r="CU175" s="307"/>
      <c r="CV175" s="217"/>
      <c r="CW175" s="192"/>
      <c r="CX175" s="192"/>
      <c r="CY175" s="192"/>
      <c r="CZ175" s="191"/>
      <c r="DA175" s="193"/>
      <c r="DB175" s="192"/>
      <c r="DC175" s="192"/>
      <c r="DD175" s="192"/>
      <c r="DE175" s="191"/>
      <c r="DF175" s="19"/>
      <c r="DG175" s="192"/>
      <c r="DH175" s="192"/>
      <c r="DI175" s="192"/>
      <c r="DJ175" s="191"/>
      <c r="DK175" s="193"/>
      <c r="DL175" s="192"/>
      <c r="DM175" s="192"/>
      <c r="DN175" s="192"/>
      <c r="DO175" s="191"/>
      <c r="DP175" s="19"/>
      <c r="DQ175" s="192"/>
      <c r="DR175" s="192"/>
      <c r="DS175" s="192"/>
      <c r="DT175" s="191"/>
      <c r="DU175" s="193"/>
      <c r="DV175" s="192"/>
      <c r="DW175" s="192"/>
      <c r="DX175" s="192"/>
      <c r="DY175" s="191"/>
      <c r="DZ175" s="19"/>
      <c r="EA175" s="192"/>
      <c r="EB175" s="192"/>
      <c r="EC175" s="192"/>
      <c r="ED175" s="191"/>
      <c r="EE175" s="193"/>
      <c r="EF175" s="192"/>
      <c r="EG175" s="192"/>
      <c r="EH175" s="192"/>
      <c r="EI175" s="191"/>
      <c r="EJ175" s="19"/>
      <c r="EK175" s="192"/>
      <c r="EL175" s="192"/>
      <c r="EM175" s="192"/>
      <c r="EN175" s="191"/>
      <c r="EO175" s="193"/>
      <c r="EP175" s="192"/>
      <c r="EQ175" s="192"/>
      <c r="ER175" s="192"/>
      <c r="ES175" s="191"/>
      <c r="ET175" s="19"/>
      <c r="EU175" s="192"/>
      <c r="EV175" s="192"/>
      <c r="EW175" s="192"/>
      <c r="EX175" s="191"/>
      <c r="EY175" s="193"/>
      <c r="EZ175" s="192"/>
      <c r="FA175" s="192"/>
      <c r="FB175" s="192"/>
      <c r="FC175" s="191"/>
      <c r="FL175" s="273">
        <f t="shared" ca="1" si="8"/>
        <v>116</v>
      </c>
    </row>
    <row r="176" spans="1:168" ht="16.5" thickBot="1">
      <c r="A176" s="196">
        <v>173</v>
      </c>
      <c r="B176" s="306"/>
      <c r="C176" s="310"/>
      <c r="D176" s="307" t="s">
        <v>271</v>
      </c>
      <c r="E176" s="307" t="s">
        <v>271</v>
      </c>
      <c r="F176" s="308"/>
      <c r="G176" s="343" t="str">
        <f t="shared" si="6"/>
        <v xml:space="preserve"> </v>
      </c>
      <c r="H176" s="307"/>
      <c r="I176" s="309" t="e">
        <f t="shared" si="7"/>
        <v>#N/A</v>
      </c>
      <c r="J176" s="307"/>
      <c r="K176" s="307"/>
      <c r="L176" s="310"/>
      <c r="M176" s="310"/>
      <c r="N176" s="310"/>
      <c r="O176" s="310"/>
      <c r="P176" s="310"/>
      <c r="Q176" s="310"/>
      <c r="R176" s="310"/>
      <c r="S176" s="310"/>
      <c r="T176" s="310"/>
      <c r="U176" s="307"/>
      <c r="V176" s="307"/>
      <c r="W176" s="311"/>
      <c r="X176" s="307"/>
      <c r="Y176" s="307"/>
      <c r="Z176" s="307"/>
      <c r="AA176" s="307"/>
      <c r="AB176" s="311"/>
      <c r="AC176" s="307"/>
      <c r="AD176" s="307"/>
      <c r="AE176" s="307"/>
      <c r="AF176" s="307"/>
      <c r="AG176" s="310"/>
      <c r="AH176" s="307"/>
      <c r="AI176" s="310"/>
      <c r="AJ176" s="307"/>
      <c r="AK176" s="307"/>
      <c r="AL176" s="307"/>
      <c r="AM176" s="308"/>
      <c r="AN176" s="311"/>
      <c r="AO176" s="307"/>
      <c r="AP176" s="307"/>
      <c r="AQ176" s="308"/>
      <c r="AR176" s="307"/>
      <c r="AS176" s="307"/>
      <c r="AT176" s="307"/>
      <c r="AU176" s="310"/>
      <c r="AV176" s="308"/>
      <c r="AW176" s="312"/>
      <c r="AX176" s="308"/>
      <c r="AY176" s="307"/>
      <c r="AZ176" s="307"/>
      <c r="BA176" s="307"/>
      <c r="BB176" s="307"/>
      <c r="BC176" s="308"/>
      <c r="BD176" s="308"/>
      <c r="BE176" s="313"/>
      <c r="BF176" s="307"/>
      <c r="BG176" s="310"/>
      <c r="BH176" s="307"/>
      <c r="BI176" s="307"/>
      <c r="BJ176" s="310"/>
      <c r="BK176" s="307"/>
      <c r="BL176" s="307"/>
      <c r="BM176" s="310"/>
      <c r="BN176" s="307"/>
      <c r="BO176" s="310"/>
      <c r="BP176" s="307"/>
      <c r="BQ176" s="307"/>
      <c r="BR176" s="307"/>
      <c r="BS176" s="307"/>
      <c r="BT176" s="307"/>
      <c r="BU176" s="310"/>
      <c r="BV176" s="307"/>
      <c r="BW176" s="308"/>
      <c r="BX176" s="311"/>
      <c r="BY176" s="307"/>
      <c r="BZ176" s="307"/>
      <c r="CA176" s="310"/>
      <c r="CB176" s="307"/>
      <c r="CC176" s="307"/>
      <c r="CD176" s="307"/>
      <c r="CE176" s="308"/>
      <c r="CF176" s="308"/>
      <c r="CG176" s="307"/>
      <c r="CH176" s="307"/>
      <c r="CI176" s="307"/>
      <c r="CJ176" s="307"/>
      <c r="CK176" s="314"/>
      <c r="CL176" s="310"/>
      <c r="CM176" s="310"/>
      <c r="CN176" s="307"/>
      <c r="CO176" s="307"/>
      <c r="CP176" s="307"/>
      <c r="CQ176" s="315"/>
      <c r="CR176" s="315"/>
      <c r="CS176" s="315"/>
      <c r="CT176" s="315"/>
      <c r="CU176" s="307"/>
      <c r="CV176" s="217"/>
      <c r="CW176" s="192"/>
      <c r="CX176" s="192"/>
      <c r="CY176" s="192"/>
      <c r="CZ176" s="191"/>
      <c r="DA176" s="193"/>
      <c r="DB176" s="192"/>
      <c r="DC176" s="192"/>
      <c r="DD176" s="192"/>
      <c r="DE176" s="191"/>
      <c r="DF176" s="19"/>
      <c r="DG176" s="192"/>
      <c r="DH176" s="192"/>
      <c r="DI176" s="192"/>
      <c r="DJ176" s="191"/>
      <c r="DK176" s="193"/>
      <c r="DL176" s="192"/>
      <c r="DM176" s="192"/>
      <c r="DN176" s="192"/>
      <c r="DO176" s="191"/>
      <c r="DP176" s="19"/>
      <c r="DQ176" s="192"/>
      <c r="DR176" s="192"/>
      <c r="DS176" s="192"/>
      <c r="DT176" s="191"/>
      <c r="DU176" s="193"/>
      <c r="DV176" s="192"/>
      <c r="DW176" s="192"/>
      <c r="DX176" s="192"/>
      <c r="DY176" s="191"/>
      <c r="DZ176" s="19"/>
      <c r="EA176" s="192"/>
      <c r="EB176" s="192"/>
      <c r="EC176" s="192"/>
      <c r="ED176" s="191"/>
      <c r="EE176" s="193"/>
      <c r="EF176" s="192"/>
      <c r="EG176" s="192"/>
      <c r="EH176" s="192"/>
      <c r="EI176" s="191"/>
      <c r="EJ176" s="19"/>
      <c r="EK176" s="192"/>
      <c r="EL176" s="192"/>
      <c r="EM176" s="192"/>
      <c r="EN176" s="191"/>
      <c r="EO176" s="193"/>
      <c r="EP176" s="192"/>
      <c r="EQ176" s="192"/>
      <c r="ER176" s="192"/>
      <c r="ES176" s="191"/>
      <c r="ET176" s="19"/>
      <c r="EU176" s="192"/>
      <c r="EV176" s="192"/>
      <c r="EW176" s="192"/>
      <c r="EX176" s="191"/>
      <c r="EY176" s="193"/>
      <c r="EZ176" s="192"/>
      <c r="FA176" s="192"/>
      <c r="FB176" s="192"/>
      <c r="FC176" s="191"/>
      <c r="FL176" s="273">
        <f t="shared" ca="1" si="8"/>
        <v>116</v>
      </c>
    </row>
    <row r="177" spans="1:168" ht="16.5" thickBot="1">
      <c r="A177" s="199">
        <v>174</v>
      </c>
      <c r="B177" s="306"/>
      <c r="C177" s="310"/>
      <c r="D177" s="307" t="s">
        <v>271</v>
      </c>
      <c r="E177" s="307" t="s">
        <v>271</v>
      </c>
      <c r="F177" s="308"/>
      <c r="G177" s="343" t="str">
        <f t="shared" si="6"/>
        <v xml:space="preserve"> </v>
      </c>
      <c r="H177" s="307"/>
      <c r="I177" s="309" t="e">
        <f t="shared" si="7"/>
        <v>#N/A</v>
      </c>
      <c r="J177" s="307"/>
      <c r="K177" s="307"/>
      <c r="L177" s="310"/>
      <c r="M177" s="310"/>
      <c r="N177" s="310"/>
      <c r="O177" s="310"/>
      <c r="P177" s="310"/>
      <c r="Q177" s="310"/>
      <c r="R177" s="310"/>
      <c r="S177" s="310"/>
      <c r="T177" s="310"/>
      <c r="U177" s="307"/>
      <c r="V177" s="307"/>
      <c r="W177" s="311"/>
      <c r="X177" s="307"/>
      <c r="Y177" s="307"/>
      <c r="Z177" s="307"/>
      <c r="AA177" s="307"/>
      <c r="AB177" s="311"/>
      <c r="AC177" s="307"/>
      <c r="AD177" s="307"/>
      <c r="AE177" s="307"/>
      <c r="AF177" s="307"/>
      <c r="AG177" s="310"/>
      <c r="AH177" s="307"/>
      <c r="AI177" s="310"/>
      <c r="AJ177" s="307"/>
      <c r="AK177" s="307"/>
      <c r="AL177" s="307"/>
      <c r="AM177" s="308"/>
      <c r="AN177" s="311"/>
      <c r="AO177" s="307"/>
      <c r="AP177" s="307"/>
      <c r="AQ177" s="308"/>
      <c r="AR177" s="307"/>
      <c r="AS177" s="307"/>
      <c r="AT177" s="307"/>
      <c r="AU177" s="310"/>
      <c r="AV177" s="308"/>
      <c r="AW177" s="312"/>
      <c r="AX177" s="308"/>
      <c r="AY177" s="307"/>
      <c r="AZ177" s="307"/>
      <c r="BA177" s="307"/>
      <c r="BB177" s="307"/>
      <c r="BC177" s="308"/>
      <c r="BD177" s="308"/>
      <c r="BE177" s="313"/>
      <c r="BF177" s="307"/>
      <c r="BG177" s="310"/>
      <c r="BH177" s="307"/>
      <c r="BI177" s="307"/>
      <c r="BJ177" s="310"/>
      <c r="BK177" s="307"/>
      <c r="BL177" s="307"/>
      <c r="BM177" s="310"/>
      <c r="BN177" s="307"/>
      <c r="BO177" s="310"/>
      <c r="BP177" s="307"/>
      <c r="BQ177" s="307"/>
      <c r="BR177" s="307"/>
      <c r="BS177" s="307"/>
      <c r="BT177" s="307"/>
      <c r="BU177" s="310"/>
      <c r="BV177" s="307"/>
      <c r="BW177" s="308"/>
      <c r="BX177" s="311"/>
      <c r="BY177" s="307"/>
      <c r="BZ177" s="307"/>
      <c r="CA177" s="310"/>
      <c r="CB177" s="307"/>
      <c r="CC177" s="307"/>
      <c r="CD177" s="307"/>
      <c r="CE177" s="308"/>
      <c r="CF177" s="308"/>
      <c r="CG177" s="307"/>
      <c r="CH177" s="307"/>
      <c r="CI177" s="307"/>
      <c r="CJ177" s="307"/>
      <c r="CK177" s="314"/>
      <c r="CL177" s="310"/>
      <c r="CM177" s="310"/>
      <c r="CN177" s="307"/>
      <c r="CO177" s="307"/>
      <c r="CP177" s="307"/>
      <c r="CQ177" s="315"/>
      <c r="CR177" s="315"/>
      <c r="CS177" s="315"/>
      <c r="CT177" s="315"/>
      <c r="CU177" s="307"/>
      <c r="CV177" s="217"/>
      <c r="CW177" s="192"/>
      <c r="CX177" s="192"/>
      <c r="CY177" s="192"/>
      <c r="CZ177" s="191"/>
      <c r="DA177" s="193"/>
      <c r="DB177" s="192"/>
      <c r="DC177" s="192"/>
      <c r="DD177" s="192"/>
      <c r="DE177" s="191"/>
      <c r="DF177" s="19"/>
      <c r="DG177" s="192"/>
      <c r="DH177" s="192"/>
      <c r="DI177" s="192"/>
      <c r="DJ177" s="191"/>
      <c r="DK177" s="193"/>
      <c r="DL177" s="192"/>
      <c r="DM177" s="192"/>
      <c r="DN177" s="192"/>
      <c r="DO177" s="191"/>
      <c r="DP177" s="19"/>
      <c r="DQ177" s="192"/>
      <c r="DR177" s="192"/>
      <c r="DS177" s="192"/>
      <c r="DT177" s="191"/>
      <c r="DU177" s="193"/>
      <c r="DV177" s="192"/>
      <c r="DW177" s="192"/>
      <c r="DX177" s="192"/>
      <c r="DY177" s="191"/>
      <c r="DZ177" s="19"/>
      <c r="EA177" s="192"/>
      <c r="EB177" s="192"/>
      <c r="EC177" s="192"/>
      <c r="ED177" s="191"/>
      <c r="EE177" s="193"/>
      <c r="EF177" s="192"/>
      <c r="EG177" s="192"/>
      <c r="EH177" s="192"/>
      <c r="EI177" s="191"/>
      <c r="EJ177" s="19"/>
      <c r="EK177" s="192"/>
      <c r="EL177" s="192"/>
      <c r="EM177" s="192"/>
      <c r="EN177" s="191"/>
      <c r="EO177" s="193"/>
      <c r="EP177" s="192"/>
      <c r="EQ177" s="192"/>
      <c r="ER177" s="192"/>
      <c r="ES177" s="191"/>
      <c r="ET177" s="19"/>
      <c r="EU177" s="192"/>
      <c r="EV177" s="192"/>
      <c r="EW177" s="192"/>
      <c r="EX177" s="191"/>
      <c r="EY177" s="193"/>
      <c r="EZ177" s="192"/>
      <c r="FA177" s="192"/>
      <c r="FB177" s="192"/>
      <c r="FC177" s="191"/>
      <c r="FL177" s="273">
        <f t="shared" ca="1" si="8"/>
        <v>116</v>
      </c>
    </row>
    <row r="178" spans="1:168" ht="16.5" thickBot="1">
      <c r="A178" s="196">
        <v>175</v>
      </c>
      <c r="B178" s="306"/>
      <c r="C178" s="310"/>
      <c r="D178" s="307" t="s">
        <v>271</v>
      </c>
      <c r="E178" s="307" t="s">
        <v>271</v>
      </c>
      <c r="F178" s="308"/>
      <c r="G178" s="343" t="str">
        <f t="shared" si="6"/>
        <v xml:space="preserve"> </v>
      </c>
      <c r="H178" s="307"/>
      <c r="I178" s="309" t="e">
        <f t="shared" si="7"/>
        <v>#N/A</v>
      </c>
      <c r="J178" s="307"/>
      <c r="K178" s="307"/>
      <c r="L178" s="310"/>
      <c r="M178" s="310"/>
      <c r="N178" s="310"/>
      <c r="O178" s="310"/>
      <c r="P178" s="310"/>
      <c r="Q178" s="310"/>
      <c r="R178" s="310"/>
      <c r="S178" s="310"/>
      <c r="T178" s="310"/>
      <c r="U178" s="307"/>
      <c r="V178" s="307"/>
      <c r="W178" s="311"/>
      <c r="X178" s="307"/>
      <c r="Y178" s="307"/>
      <c r="Z178" s="307"/>
      <c r="AA178" s="307"/>
      <c r="AB178" s="311"/>
      <c r="AC178" s="307"/>
      <c r="AD178" s="307"/>
      <c r="AE178" s="307"/>
      <c r="AF178" s="307"/>
      <c r="AG178" s="310"/>
      <c r="AH178" s="307"/>
      <c r="AI178" s="310"/>
      <c r="AJ178" s="307"/>
      <c r="AK178" s="307"/>
      <c r="AL178" s="307"/>
      <c r="AM178" s="308"/>
      <c r="AN178" s="311"/>
      <c r="AO178" s="307"/>
      <c r="AP178" s="307"/>
      <c r="AQ178" s="308"/>
      <c r="AR178" s="307"/>
      <c r="AS178" s="307"/>
      <c r="AT178" s="307"/>
      <c r="AU178" s="310"/>
      <c r="AV178" s="308"/>
      <c r="AW178" s="312"/>
      <c r="AX178" s="308"/>
      <c r="AY178" s="307"/>
      <c r="AZ178" s="307"/>
      <c r="BA178" s="307"/>
      <c r="BB178" s="307"/>
      <c r="BC178" s="308"/>
      <c r="BD178" s="308"/>
      <c r="BE178" s="313"/>
      <c r="BF178" s="307"/>
      <c r="BG178" s="310"/>
      <c r="BH178" s="307"/>
      <c r="BI178" s="307"/>
      <c r="BJ178" s="310"/>
      <c r="BK178" s="307"/>
      <c r="BL178" s="307"/>
      <c r="BM178" s="310"/>
      <c r="BN178" s="307"/>
      <c r="BO178" s="310"/>
      <c r="BP178" s="307"/>
      <c r="BQ178" s="307"/>
      <c r="BR178" s="307"/>
      <c r="BS178" s="307"/>
      <c r="BT178" s="307"/>
      <c r="BU178" s="310"/>
      <c r="BV178" s="307"/>
      <c r="BW178" s="308"/>
      <c r="BX178" s="311"/>
      <c r="BY178" s="307"/>
      <c r="BZ178" s="307"/>
      <c r="CA178" s="310"/>
      <c r="CB178" s="307"/>
      <c r="CC178" s="307"/>
      <c r="CD178" s="307"/>
      <c r="CE178" s="308"/>
      <c r="CF178" s="308"/>
      <c r="CG178" s="307"/>
      <c r="CH178" s="307"/>
      <c r="CI178" s="307"/>
      <c r="CJ178" s="307"/>
      <c r="CK178" s="314"/>
      <c r="CL178" s="310"/>
      <c r="CM178" s="310"/>
      <c r="CN178" s="307"/>
      <c r="CO178" s="307"/>
      <c r="CP178" s="307"/>
      <c r="CQ178" s="315"/>
      <c r="CR178" s="315"/>
      <c r="CS178" s="315"/>
      <c r="CT178" s="315"/>
      <c r="CU178" s="307"/>
      <c r="CV178" s="217"/>
      <c r="CW178" s="192"/>
      <c r="CX178" s="192"/>
      <c r="CY178" s="192"/>
      <c r="CZ178" s="191"/>
      <c r="DA178" s="193"/>
      <c r="DB178" s="192"/>
      <c r="DC178" s="192"/>
      <c r="DD178" s="192"/>
      <c r="DE178" s="191"/>
      <c r="DF178" s="19"/>
      <c r="DG178" s="192"/>
      <c r="DH178" s="192"/>
      <c r="DI178" s="192"/>
      <c r="DJ178" s="191"/>
      <c r="DK178" s="193"/>
      <c r="DL178" s="192"/>
      <c r="DM178" s="192"/>
      <c r="DN178" s="192"/>
      <c r="DO178" s="191"/>
      <c r="DP178" s="19"/>
      <c r="DQ178" s="192"/>
      <c r="DR178" s="192"/>
      <c r="DS178" s="192"/>
      <c r="DT178" s="191"/>
      <c r="DU178" s="193"/>
      <c r="DV178" s="192"/>
      <c r="DW178" s="192"/>
      <c r="DX178" s="192"/>
      <c r="DY178" s="191"/>
      <c r="DZ178" s="19"/>
      <c r="EA178" s="192"/>
      <c r="EB178" s="192"/>
      <c r="EC178" s="192"/>
      <c r="ED178" s="191"/>
      <c r="EE178" s="193"/>
      <c r="EF178" s="192"/>
      <c r="EG178" s="192"/>
      <c r="EH178" s="192"/>
      <c r="EI178" s="191"/>
      <c r="EJ178" s="19"/>
      <c r="EK178" s="192"/>
      <c r="EL178" s="192"/>
      <c r="EM178" s="192"/>
      <c r="EN178" s="191"/>
      <c r="EO178" s="193"/>
      <c r="EP178" s="192"/>
      <c r="EQ178" s="192"/>
      <c r="ER178" s="192"/>
      <c r="ES178" s="191"/>
      <c r="ET178" s="19"/>
      <c r="EU178" s="192"/>
      <c r="EV178" s="192"/>
      <c r="EW178" s="192"/>
      <c r="EX178" s="191"/>
      <c r="EY178" s="193"/>
      <c r="EZ178" s="192"/>
      <c r="FA178" s="192"/>
      <c r="FB178" s="192"/>
      <c r="FC178" s="191"/>
      <c r="FL178" s="273">
        <f t="shared" ca="1" si="8"/>
        <v>116</v>
      </c>
    </row>
    <row r="179" spans="1:168" ht="16.5" thickBot="1">
      <c r="A179" s="199">
        <v>176</v>
      </c>
      <c r="B179" s="306"/>
      <c r="C179" s="310"/>
      <c r="D179" s="307" t="s">
        <v>271</v>
      </c>
      <c r="E179" s="307" t="s">
        <v>271</v>
      </c>
      <c r="F179" s="308"/>
      <c r="G179" s="343" t="str">
        <f t="shared" si="6"/>
        <v xml:space="preserve"> </v>
      </c>
      <c r="H179" s="307"/>
      <c r="I179" s="309" t="e">
        <f t="shared" si="7"/>
        <v>#N/A</v>
      </c>
      <c r="J179" s="307"/>
      <c r="K179" s="307"/>
      <c r="L179" s="310"/>
      <c r="M179" s="310"/>
      <c r="N179" s="310"/>
      <c r="O179" s="310"/>
      <c r="P179" s="310"/>
      <c r="Q179" s="310"/>
      <c r="R179" s="310"/>
      <c r="S179" s="310"/>
      <c r="T179" s="310"/>
      <c r="U179" s="307"/>
      <c r="V179" s="307"/>
      <c r="W179" s="311"/>
      <c r="X179" s="307"/>
      <c r="Y179" s="307"/>
      <c r="Z179" s="307"/>
      <c r="AA179" s="307"/>
      <c r="AB179" s="311"/>
      <c r="AC179" s="307"/>
      <c r="AD179" s="307"/>
      <c r="AE179" s="307"/>
      <c r="AF179" s="307"/>
      <c r="AG179" s="310"/>
      <c r="AH179" s="307"/>
      <c r="AI179" s="310"/>
      <c r="AJ179" s="307"/>
      <c r="AK179" s="307"/>
      <c r="AL179" s="307"/>
      <c r="AM179" s="308"/>
      <c r="AN179" s="311"/>
      <c r="AO179" s="307"/>
      <c r="AP179" s="307"/>
      <c r="AQ179" s="308"/>
      <c r="AR179" s="307"/>
      <c r="AS179" s="307"/>
      <c r="AT179" s="307"/>
      <c r="AU179" s="310"/>
      <c r="AV179" s="308"/>
      <c r="AW179" s="312"/>
      <c r="AX179" s="308"/>
      <c r="AY179" s="307"/>
      <c r="AZ179" s="307"/>
      <c r="BA179" s="307"/>
      <c r="BB179" s="307"/>
      <c r="BC179" s="308"/>
      <c r="BD179" s="308"/>
      <c r="BE179" s="313"/>
      <c r="BF179" s="307"/>
      <c r="BG179" s="310"/>
      <c r="BH179" s="307"/>
      <c r="BI179" s="307"/>
      <c r="BJ179" s="310"/>
      <c r="BK179" s="307"/>
      <c r="BL179" s="307"/>
      <c r="BM179" s="310"/>
      <c r="BN179" s="307"/>
      <c r="BO179" s="310"/>
      <c r="BP179" s="307"/>
      <c r="BQ179" s="307"/>
      <c r="BR179" s="307"/>
      <c r="BS179" s="307"/>
      <c r="BT179" s="307"/>
      <c r="BU179" s="310"/>
      <c r="BV179" s="307"/>
      <c r="BW179" s="308"/>
      <c r="BX179" s="311"/>
      <c r="BY179" s="307"/>
      <c r="BZ179" s="307"/>
      <c r="CA179" s="310"/>
      <c r="CB179" s="307"/>
      <c r="CC179" s="307"/>
      <c r="CD179" s="307"/>
      <c r="CE179" s="308"/>
      <c r="CF179" s="308"/>
      <c r="CG179" s="307"/>
      <c r="CH179" s="307"/>
      <c r="CI179" s="307"/>
      <c r="CJ179" s="307"/>
      <c r="CK179" s="314"/>
      <c r="CL179" s="310"/>
      <c r="CM179" s="310"/>
      <c r="CN179" s="307"/>
      <c r="CO179" s="307"/>
      <c r="CP179" s="307"/>
      <c r="CQ179" s="315"/>
      <c r="CR179" s="315"/>
      <c r="CS179" s="315"/>
      <c r="CT179" s="315"/>
      <c r="CU179" s="307"/>
      <c r="CV179" s="217"/>
      <c r="CW179" s="192"/>
      <c r="CX179" s="192"/>
      <c r="CY179" s="192"/>
      <c r="CZ179" s="191"/>
      <c r="DA179" s="193"/>
      <c r="DB179" s="192"/>
      <c r="DC179" s="192"/>
      <c r="DD179" s="192"/>
      <c r="DE179" s="191"/>
      <c r="DF179" s="19"/>
      <c r="DG179" s="192"/>
      <c r="DH179" s="192"/>
      <c r="DI179" s="192"/>
      <c r="DJ179" s="191"/>
      <c r="DK179" s="193"/>
      <c r="DL179" s="192"/>
      <c r="DM179" s="192"/>
      <c r="DN179" s="192"/>
      <c r="DO179" s="191"/>
      <c r="DP179" s="19"/>
      <c r="DQ179" s="192"/>
      <c r="DR179" s="192"/>
      <c r="DS179" s="192"/>
      <c r="DT179" s="191"/>
      <c r="DU179" s="193"/>
      <c r="DV179" s="192"/>
      <c r="DW179" s="192"/>
      <c r="DX179" s="192"/>
      <c r="DY179" s="191"/>
      <c r="DZ179" s="19"/>
      <c r="EA179" s="192"/>
      <c r="EB179" s="192"/>
      <c r="EC179" s="192"/>
      <c r="ED179" s="191"/>
      <c r="EE179" s="193"/>
      <c r="EF179" s="192"/>
      <c r="EG179" s="192"/>
      <c r="EH179" s="192"/>
      <c r="EI179" s="191"/>
      <c r="EJ179" s="19"/>
      <c r="EK179" s="192"/>
      <c r="EL179" s="192"/>
      <c r="EM179" s="192"/>
      <c r="EN179" s="191"/>
      <c r="EO179" s="193"/>
      <c r="EP179" s="192"/>
      <c r="EQ179" s="192"/>
      <c r="ER179" s="192"/>
      <c r="ES179" s="191"/>
      <c r="ET179" s="19"/>
      <c r="EU179" s="192"/>
      <c r="EV179" s="192"/>
      <c r="EW179" s="192"/>
      <c r="EX179" s="191"/>
      <c r="EY179" s="193"/>
      <c r="EZ179" s="192"/>
      <c r="FA179" s="192"/>
      <c r="FB179" s="192"/>
      <c r="FC179" s="191"/>
      <c r="FL179" s="273">
        <f t="shared" ca="1" si="8"/>
        <v>116</v>
      </c>
    </row>
    <row r="180" spans="1:168" ht="16.5" thickBot="1">
      <c r="A180" s="196">
        <v>177</v>
      </c>
      <c r="B180" s="306"/>
      <c r="C180" s="310"/>
      <c r="D180" s="307" t="s">
        <v>271</v>
      </c>
      <c r="E180" s="307" t="s">
        <v>271</v>
      </c>
      <c r="F180" s="308"/>
      <c r="G180" s="343" t="str">
        <f t="shared" si="6"/>
        <v xml:space="preserve"> </v>
      </c>
      <c r="H180" s="307"/>
      <c r="I180" s="309" t="e">
        <f t="shared" si="7"/>
        <v>#N/A</v>
      </c>
      <c r="J180" s="307"/>
      <c r="K180" s="307"/>
      <c r="L180" s="310"/>
      <c r="M180" s="310"/>
      <c r="N180" s="310"/>
      <c r="O180" s="310"/>
      <c r="P180" s="310"/>
      <c r="Q180" s="310"/>
      <c r="R180" s="310"/>
      <c r="S180" s="310"/>
      <c r="T180" s="310"/>
      <c r="U180" s="307"/>
      <c r="V180" s="307"/>
      <c r="W180" s="311"/>
      <c r="X180" s="307"/>
      <c r="Y180" s="307"/>
      <c r="Z180" s="307"/>
      <c r="AA180" s="307"/>
      <c r="AB180" s="311"/>
      <c r="AC180" s="307"/>
      <c r="AD180" s="307"/>
      <c r="AE180" s="307"/>
      <c r="AF180" s="307"/>
      <c r="AG180" s="310"/>
      <c r="AH180" s="307"/>
      <c r="AI180" s="310"/>
      <c r="AJ180" s="307"/>
      <c r="AK180" s="307"/>
      <c r="AL180" s="307"/>
      <c r="AM180" s="308"/>
      <c r="AN180" s="311"/>
      <c r="AO180" s="307"/>
      <c r="AP180" s="307"/>
      <c r="AQ180" s="308"/>
      <c r="AR180" s="307"/>
      <c r="AS180" s="307"/>
      <c r="AT180" s="307"/>
      <c r="AU180" s="310"/>
      <c r="AV180" s="308"/>
      <c r="AW180" s="312"/>
      <c r="AX180" s="308"/>
      <c r="AY180" s="307"/>
      <c r="AZ180" s="307"/>
      <c r="BA180" s="307"/>
      <c r="BB180" s="307"/>
      <c r="BC180" s="308"/>
      <c r="BD180" s="308"/>
      <c r="BE180" s="313"/>
      <c r="BF180" s="307"/>
      <c r="BG180" s="310"/>
      <c r="BH180" s="307"/>
      <c r="BI180" s="307"/>
      <c r="BJ180" s="310"/>
      <c r="BK180" s="307"/>
      <c r="BL180" s="307"/>
      <c r="BM180" s="310"/>
      <c r="BN180" s="307"/>
      <c r="BO180" s="310"/>
      <c r="BP180" s="307"/>
      <c r="BQ180" s="307"/>
      <c r="BR180" s="307"/>
      <c r="BS180" s="307"/>
      <c r="BT180" s="307"/>
      <c r="BU180" s="310"/>
      <c r="BV180" s="307"/>
      <c r="BW180" s="308"/>
      <c r="BX180" s="311"/>
      <c r="BY180" s="307"/>
      <c r="BZ180" s="307"/>
      <c r="CA180" s="310"/>
      <c r="CB180" s="307"/>
      <c r="CC180" s="307"/>
      <c r="CD180" s="307"/>
      <c r="CE180" s="308"/>
      <c r="CF180" s="308"/>
      <c r="CG180" s="307"/>
      <c r="CH180" s="307"/>
      <c r="CI180" s="307"/>
      <c r="CJ180" s="307"/>
      <c r="CK180" s="314"/>
      <c r="CL180" s="310"/>
      <c r="CM180" s="310"/>
      <c r="CN180" s="307"/>
      <c r="CO180" s="307"/>
      <c r="CP180" s="307"/>
      <c r="CQ180" s="315"/>
      <c r="CR180" s="315"/>
      <c r="CS180" s="315"/>
      <c r="CT180" s="315"/>
      <c r="CU180" s="307"/>
      <c r="CV180" s="217"/>
      <c r="CW180" s="192"/>
      <c r="CX180" s="192"/>
      <c r="CY180" s="192"/>
      <c r="CZ180" s="191"/>
      <c r="DA180" s="193"/>
      <c r="DB180" s="192"/>
      <c r="DC180" s="192"/>
      <c r="DD180" s="192"/>
      <c r="DE180" s="191"/>
      <c r="DF180" s="19"/>
      <c r="DG180" s="192"/>
      <c r="DH180" s="192"/>
      <c r="DI180" s="192"/>
      <c r="DJ180" s="191"/>
      <c r="DK180" s="193"/>
      <c r="DL180" s="192"/>
      <c r="DM180" s="192"/>
      <c r="DN180" s="192"/>
      <c r="DO180" s="191"/>
      <c r="DP180" s="19"/>
      <c r="DQ180" s="192"/>
      <c r="DR180" s="192"/>
      <c r="DS180" s="192"/>
      <c r="DT180" s="191"/>
      <c r="DU180" s="193"/>
      <c r="DV180" s="192"/>
      <c r="DW180" s="192"/>
      <c r="DX180" s="192"/>
      <c r="DY180" s="191"/>
      <c r="DZ180" s="19"/>
      <c r="EA180" s="192"/>
      <c r="EB180" s="192"/>
      <c r="EC180" s="192"/>
      <c r="ED180" s="191"/>
      <c r="EE180" s="193"/>
      <c r="EF180" s="192"/>
      <c r="EG180" s="192"/>
      <c r="EH180" s="192"/>
      <c r="EI180" s="191"/>
      <c r="EJ180" s="19"/>
      <c r="EK180" s="192"/>
      <c r="EL180" s="192"/>
      <c r="EM180" s="192"/>
      <c r="EN180" s="191"/>
      <c r="EO180" s="193"/>
      <c r="EP180" s="192"/>
      <c r="EQ180" s="192"/>
      <c r="ER180" s="192"/>
      <c r="ES180" s="191"/>
      <c r="ET180" s="19"/>
      <c r="EU180" s="192"/>
      <c r="EV180" s="192"/>
      <c r="EW180" s="192"/>
      <c r="EX180" s="191"/>
      <c r="EY180" s="193"/>
      <c r="EZ180" s="192"/>
      <c r="FA180" s="192"/>
      <c r="FB180" s="192"/>
      <c r="FC180" s="191"/>
      <c r="FL180" s="273">
        <f t="shared" ca="1" si="8"/>
        <v>116</v>
      </c>
    </row>
    <row r="181" spans="1:168" ht="16.5" thickBot="1">
      <c r="A181" s="199">
        <v>178</v>
      </c>
      <c r="B181" s="306"/>
      <c r="C181" s="310"/>
      <c r="D181" s="307" t="s">
        <v>271</v>
      </c>
      <c r="E181" s="307" t="s">
        <v>271</v>
      </c>
      <c r="F181" s="308"/>
      <c r="G181" s="343" t="str">
        <f t="shared" si="6"/>
        <v xml:space="preserve"> </v>
      </c>
      <c r="H181" s="307"/>
      <c r="I181" s="309" t="e">
        <f t="shared" si="7"/>
        <v>#N/A</v>
      </c>
      <c r="J181" s="307"/>
      <c r="K181" s="307"/>
      <c r="L181" s="310"/>
      <c r="M181" s="310"/>
      <c r="N181" s="310"/>
      <c r="O181" s="310"/>
      <c r="P181" s="310"/>
      <c r="Q181" s="310"/>
      <c r="R181" s="310"/>
      <c r="S181" s="310"/>
      <c r="T181" s="310"/>
      <c r="U181" s="307"/>
      <c r="V181" s="307"/>
      <c r="W181" s="311"/>
      <c r="X181" s="307"/>
      <c r="Y181" s="307"/>
      <c r="Z181" s="307"/>
      <c r="AA181" s="307"/>
      <c r="AB181" s="311"/>
      <c r="AC181" s="307"/>
      <c r="AD181" s="307"/>
      <c r="AE181" s="307"/>
      <c r="AF181" s="307"/>
      <c r="AG181" s="310"/>
      <c r="AH181" s="307"/>
      <c r="AI181" s="310"/>
      <c r="AJ181" s="307"/>
      <c r="AK181" s="307"/>
      <c r="AL181" s="307"/>
      <c r="AM181" s="308"/>
      <c r="AN181" s="311"/>
      <c r="AO181" s="307"/>
      <c r="AP181" s="307"/>
      <c r="AQ181" s="308"/>
      <c r="AR181" s="307"/>
      <c r="AS181" s="307"/>
      <c r="AT181" s="307"/>
      <c r="AU181" s="310"/>
      <c r="AV181" s="308"/>
      <c r="AW181" s="312"/>
      <c r="AX181" s="308"/>
      <c r="AY181" s="307"/>
      <c r="AZ181" s="307"/>
      <c r="BA181" s="307"/>
      <c r="BB181" s="307"/>
      <c r="BC181" s="308"/>
      <c r="BD181" s="308"/>
      <c r="BE181" s="313"/>
      <c r="BF181" s="307"/>
      <c r="BG181" s="310"/>
      <c r="BH181" s="307"/>
      <c r="BI181" s="307"/>
      <c r="BJ181" s="310"/>
      <c r="BK181" s="307"/>
      <c r="BL181" s="307"/>
      <c r="BM181" s="310"/>
      <c r="BN181" s="307"/>
      <c r="BO181" s="310"/>
      <c r="BP181" s="307"/>
      <c r="BQ181" s="307"/>
      <c r="BR181" s="307"/>
      <c r="BS181" s="307"/>
      <c r="BT181" s="307"/>
      <c r="BU181" s="310"/>
      <c r="BV181" s="307"/>
      <c r="BW181" s="308"/>
      <c r="BX181" s="311"/>
      <c r="BY181" s="307"/>
      <c r="BZ181" s="307"/>
      <c r="CA181" s="310"/>
      <c r="CB181" s="307"/>
      <c r="CC181" s="307"/>
      <c r="CD181" s="307"/>
      <c r="CE181" s="308"/>
      <c r="CF181" s="308"/>
      <c r="CG181" s="307"/>
      <c r="CH181" s="307"/>
      <c r="CI181" s="307"/>
      <c r="CJ181" s="307"/>
      <c r="CK181" s="314"/>
      <c r="CL181" s="310"/>
      <c r="CM181" s="310"/>
      <c r="CN181" s="307"/>
      <c r="CO181" s="307"/>
      <c r="CP181" s="307"/>
      <c r="CQ181" s="315"/>
      <c r="CR181" s="315"/>
      <c r="CS181" s="315"/>
      <c r="CT181" s="315"/>
      <c r="CU181" s="307"/>
      <c r="CV181" s="217"/>
      <c r="CW181" s="192"/>
      <c r="CX181" s="192"/>
      <c r="CY181" s="192"/>
      <c r="CZ181" s="191"/>
      <c r="DA181" s="193"/>
      <c r="DB181" s="192"/>
      <c r="DC181" s="192"/>
      <c r="DD181" s="192"/>
      <c r="DE181" s="191"/>
      <c r="DF181" s="19"/>
      <c r="DG181" s="192"/>
      <c r="DH181" s="192"/>
      <c r="DI181" s="192"/>
      <c r="DJ181" s="191"/>
      <c r="DK181" s="193"/>
      <c r="DL181" s="192"/>
      <c r="DM181" s="192"/>
      <c r="DN181" s="192"/>
      <c r="DO181" s="191"/>
      <c r="DP181" s="19"/>
      <c r="DQ181" s="192"/>
      <c r="DR181" s="192"/>
      <c r="DS181" s="192"/>
      <c r="DT181" s="191"/>
      <c r="DU181" s="193"/>
      <c r="DV181" s="192"/>
      <c r="DW181" s="192"/>
      <c r="DX181" s="192"/>
      <c r="DY181" s="191"/>
      <c r="DZ181" s="19"/>
      <c r="EA181" s="192"/>
      <c r="EB181" s="192"/>
      <c r="EC181" s="192"/>
      <c r="ED181" s="191"/>
      <c r="EE181" s="193"/>
      <c r="EF181" s="192"/>
      <c r="EG181" s="192"/>
      <c r="EH181" s="192"/>
      <c r="EI181" s="191"/>
      <c r="EJ181" s="19"/>
      <c r="EK181" s="192"/>
      <c r="EL181" s="192"/>
      <c r="EM181" s="192"/>
      <c r="EN181" s="191"/>
      <c r="EO181" s="193"/>
      <c r="EP181" s="192"/>
      <c r="EQ181" s="192"/>
      <c r="ER181" s="192"/>
      <c r="ES181" s="191"/>
      <c r="ET181" s="19"/>
      <c r="EU181" s="192"/>
      <c r="EV181" s="192"/>
      <c r="EW181" s="192"/>
      <c r="EX181" s="191"/>
      <c r="EY181" s="193"/>
      <c r="EZ181" s="192"/>
      <c r="FA181" s="192"/>
      <c r="FB181" s="192"/>
      <c r="FC181" s="191"/>
      <c r="FL181" s="273">
        <f t="shared" ca="1" si="8"/>
        <v>116</v>
      </c>
    </row>
    <row r="182" spans="1:168" ht="16.5" thickBot="1">
      <c r="A182" s="196">
        <v>179</v>
      </c>
      <c r="B182" s="306"/>
      <c r="C182" s="310"/>
      <c r="D182" s="307" t="s">
        <v>271</v>
      </c>
      <c r="E182" s="307" t="s">
        <v>271</v>
      </c>
      <c r="F182" s="308"/>
      <c r="G182" s="343" t="str">
        <f t="shared" si="6"/>
        <v xml:space="preserve"> </v>
      </c>
      <c r="H182" s="307"/>
      <c r="I182" s="309" t="e">
        <f t="shared" si="7"/>
        <v>#N/A</v>
      </c>
      <c r="J182" s="307"/>
      <c r="K182" s="307"/>
      <c r="L182" s="310"/>
      <c r="M182" s="310"/>
      <c r="N182" s="310"/>
      <c r="O182" s="310"/>
      <c r="P182" s="310"/>
      <c r="Q182" s="310"/>
      <c r="R182" s="310"/>
      <c r="S182" s="310"/>
      <c r="T182" s="310"/>
      <c r="U182" s="307"/>
      <c r="V182" s="307"/>
      <c r="W182" s="311"/>
      <c r="X182" s="307"/>
      <c r="Y182" s="307"/>
      <c r="Z182" s="307"/>
      <c r="AA182" s="307"/>
      <c r="AB182" s="311"/>
      <c r="AC182" s="307"/>
      <c r="AD182" s="307"/>
      <c r="AE182" s="307"/>
      <c r="AF182" s="307"/>
      <c r="AG182" s="310"/>
      <c r="AH182" s="307"/>
      <c r="AI182" s="310"/>
      <c r="AJ182" s="307"/>
      <c r="AK182" s="307"/>
      <c r="AL182" s="307"/>
      <c r="AM182" s="308"/>
      <c r="AN182" s="311"/>
      <c r="AO182" s="307"/>
      <c r="AP182" s="307"/>
      <c r="AQ182" s="308"/>
      <c r="AR182" s="307"/>
      <c r="AS182" s="307"/>
      <c r="AT182" s="307"/>
      <c r="AU182" s="310"/>
      <c r="AV182" s="308"/>
      <c r="AW182" s="312"/>
      <c r="AX182" s="308"/>
      <c r="AY182" s="307"/>
      <c r="AZ182" s="307"/>
      <c r="BA182" s="307"/>
      <c r="BB182" s="307"/>
      <c r="BC182" s="308"/>
      <c r="BD182" s="308"/>
      <c r="BE182" s="313"/>
      <c r="BF182" s="307"/>
      <c r="BG182" s="310"/>
      <c r="BH182" s="307"/>
      <c r="BI182" s="307"/>
      <c r="BJ182" s="310"/>
      <c r="BK182" s="307"/>
      <c r="BL182" s="307"/>
      <c r="BM182" s="310"/>
      <c r="BN182" s="307"/>
      <c r="BO182" s="310"/>
      <c r="BP182" s="307"/>
      <c r="BQ182" s="307"/>
      <c r="BR182" s="307"/>
      <c r="BS182" s="307"/>
      <c r="BT182" s="307"/>
      <c r="BU182" s="310"/>
      <c r="BV182" s="307"/>
      <c r="BW182" s="308"/>
      <c r="BX182" s="311"/>
      <c r="BY182" s="307"/>
      <c r="BZ182" s="307"/>
      <c r="CA182" s="310"/>
      <c r="CB182" s="307"/>
      <c r="CC182" s="307"/>
      <c r="CD182" s="307"/>
      <c r="CE182" s="308"/>
      <c r="CF182" s="308"/>
      <c r="CG182" s="307"/>
      <c r="CH182" s="307"/>
      <c r="CI182" s="307"/>
      <c r="CJ182" s="307"/>
      <c r="CK182" s="314"/>
      <c r="CL182" s="310"/>
      <c r="CM182" s="310"/>
      <c r="CN182" s="307"/>
      <c r="CO182" s="307"/>
      <c r="CP182" s="307"/>
      <c r="CQ182" s="315"/>
      <c r="CR182" s="315"/>
      <c r="CS182" s="315"/>
      <c r="CT182" s="315"/>
      <c r="CU182" s="307"/>
      <c r="CV182" s="217"/>
      <c r="CW182" s="192"/>
      <c r="CX182" s="192"/>
      <c r="CY182" s="192"/>
      <c r="CZ182" s="191"/>
      <c r="DA182" s="193"/>
      <c r="DB182" s="192"/>
      <c r="DC182" s="192"/>
      <c r="DD182" s="192"/>
      <c r="DE182" s="191"/>
      <c r="DF182" s="19"/>
      <c r="DG182" s="192"/>
      <c r="DH182" s="192"/>
      <c r="DI182" s="192"/>
      <c r="DJ182" s="191"/>
      <c r="DK182" s="193"/>
      <c r="DL182" s="192"/>
      <c r="DM182" s="192"/>
      <c r="DN182" s="192"/>
      <c r="DO182" s="191"/>
      <c r="DP182" s="19"/>
      <c r="DQ182" s="192"/>
      <c r="DR182" s="192"/>
      <c r="DS182" s="192"/>
      <c r="DT182" s="191"/>
      <c r="DU182" s="193"/>
      <c r="DV182" s="192"/>
      <c r="DW182" s="192"/>
      <c r="DX182" s="192"/>
      <c r="DY182" s="191"/>
      <c r="DZ182" s="19"/>
      <c r="EA182" s="192"/>
      <c r="EB182" s="192"/>
      <c r="EC182" s="192"/>
      <c r="ED182" s="191"/>
      <c r="EE182" s="193"/>
      <c r="EF182" s="192"/>
      <c r="EG182" s="192"/>
      <c r="EH182" s="192"/>
      <c r="EI182" s="191"/>
      <c r="EJ182" s="19"/>
      <c r="EK182" s="192"/>
      <c r="EL182" s="192"/>
      <c r="EM182" s="192"/>
      <c r="EN182" s="191"/>
      <c r="EO182" s="193"/>
      <c r="EP182" s="192"/>
      <c r="EQ182" s="192"/>
      <c r="ER182" s="192"/>
      <c r="ES182" s="191"/>
      <c r="ET182" s="19"/>
      <c r="EU182" s="192"/>
      <c r="EV182" s="192"/>
      <c r="EW182" s="192"/>
      <c r="EX182" s="191"/>
      <c r="EY182" s="193"/>
      <c r="EZ182" s="192"/>
      <c r="FA182" s="192"/>
      <c r="FB182" s="192"/>
      <c r="FC182" s="191"/>
      <c r="FL182" s="273">
        <f t="shared" ca="1" si="8"/>
        <v>116</v>
      </c>
    </row>
    <row r="183" spans="1:168" ht="16.5" thickBot="1">
      <c r="A183" s="199">
        <v>180</v>
      </c>
      <c r="B183" s="306"/>
      <c r="C183" s="310"/>
      <c r="D183" s="307" t="s">
        <v>271</v>
      </c>
      <c r="E183" s="307" t="s">
        <v>271</v>
      </c>
      <c r="F183" s="308"/>
      <c r="G183" s="343" t="str">
        <f t="shared" si="6"/>
        <v xml:space="preserve"> </v>
      </c>
      <c r="H183" s="307"/>
      <c r="I183" s="309" t="e">
        <f t="shared" si="7"/>
        <v>#N/A</v>
      </c>
      <c r="J183" s="307"/>
      <c r="K183" s="307"/>
      <c r="L183" s="310"/>
      <c r="M183" s="310"/>
      <c r="N183" s="310"/>
      <c r="O183" s="310"/>
      <c r="P183" s="310"/>
      <c r="Q183" s="310"/>
      <c r="R183" s="310"/>
      <c r="S183" s="310"/>
      <c r="T183" s="310"/>
      <c r="U183" s="307"/>
      <c r="V183" s="307"/>
      <c r="W183" s="311"/>
      <c r="X183" s="307"/>
      <c r="Y183" s="307"/>
      <c r="Z183" s="307"/>
      <c r="AA183" s="307"/>
      <c r="AB183" s="311"/>
      <c r="AC183" s="307"/>
      <c r="AD183" s="307"/>
      <c r="AE183" s="307"/>
      <c r="AF183" s="307"/>
      <c r="AG183" s="310"/>
      <c r="AH183" s="307"/>
      <c r="AI183" s="310"/>
      <c r="AJ183" s="307"/>
      <c r="AK183" s="307"/>
      <c r="AL183" s="307"/>
      <c r="AM183" s="308"/>
      <c r="AN183" s="311"/>
      <c r="AO183" s="307"/>
      <c r="AP183" s="307"/>
      <c r="AQ183" s="308"/>
      <c r="AR183" s="307"/>
      <c r="AS183" s="307"/>
      <c r="AT183" s="307"/>
      <c r="AU183" s="310"/>
      <c r="AV183" s="308"/>
      <c r="AW183" s="312"/>
      <c r="AX183" s="308"/>
      <c r="AY183" s="307"/>
      <c r="AZ183" s="307"/>
      <c r="BA183" s="307"/>
      <c r="BB183" s="307"/>
      <c r="BC183" s="308"/>
      <c r="BD183" s="308"/>
      <c r="BE183" s="313"/>
      <c r="BF183" s="307"/>
      <c r="BG183" s="310"/>
      <c r="BH183" s="307"/>
      <c r="BI183" s="307"/>
      <c r="BJ183" s="310"/>
      <c r="BK183" s="307"/>
      <c r="BL183" s="307"/>
      <c r="BM183" s="310"/>
      <c r="BN183" s="307"/>
      <c r="BO183" s="310"/>
      <c r="BP183" s="307"/>
      <c r="BQ183" s="307"/>
      <c r="BR183" s="307"/>
      <c r="BS183" s="307"/>
      <c r="BT183" s="307"/>
      <c r="BU183" s="310"/>
      <c r="BV183" s="307"/>
      <c r="BW183" s="308"/>
      <c r="BX183" s="311"/>
      <c r="BY183" s="307"/>
      <c r="BZ183" s="307"/>
      <c r="CA183" s="310"/>
      <c r="CB183" s="307"/>
      <c r="CC183" s="307"/>
      <c r="CD183" s="307"/>
      <c r="CE183" s="308"/>
      <c r="CF183" s="308"/>
      <c r="CG183" s="307"/>
      <c r="CH183" s="307"/>
      <c r="CI183" s="307"/>
      <c r="CJ183" s="307"/>
      <c r="CK183" s="314"/>
      <c r="CL183" s="310"/>
      <c r="CM183" s="310"/>
      <c r="CN183" s="307"/>
      <c r="CO183" s="307"/>
      <c r="CP183" s="307"/>
      <c r="CQ183" s="315"/>
      <c r="CR183" s="315"/>
      <c r="CS183" s="315"/>
      <c r="CT183" s="315"/>
      <c r="CU183" s="307"/>
      <c r="CV183" s="217"/>
      <c r="CW183" s="192"/>
      <c r="CX183" s="192"/>
      <c r="CY183" s="192"/>
      <c r="CZ183" s="191"/>
      <c r="DA183" s="193"/>
      <c r="DB183" s="192"/>
      <c r="DC183" s="192"/>
      <c r="DD183" s="192"/>
      <c r="DE183" s="191"/>
      <c r="DF183" s="19"/>
      <c r="DG183" s="192"/>
      <c r="DH183" s="192"/>
      <c r="DI183" s="192"/>
      <c r="DJ183" s="191"/>
      <c r="DK183" s="193"/>
      <c r="DL183" s="192"/>
      <c r="DM183" s="192"/>
      <c r="DN183" s="192"/>
      <c r="DO183" s="191"/>
      <c r="DP183" s="19"/>
      <c r="DQ183" s="192"/>
      <c r="DR183" s="192"/>
      <c r="DS183" s="192"/>
      <c r="DT183" s="191"/>
      <c r="DU183" s="193"/>
      <c r="DV183" s="192"/>
      <c r="DW183" s="192"/>
      <c r="DX183" s="192"/>
      <c r="DY183" s="191"/>
      <c r="DZ183" s="19"/>
      <c r="EA183" s="192"/>
      <c r="EB183" s="192"/>
      <c r="EC183" s="192"/>
      <c r="ED183" s="191"/>
      <c r="EE183" s="193"/>
      <c r="EF183" s="192"/>
      <c r="EG183" s="192"/>
      <c r="EH183" s="192"/>
      <c r="EI183" s="191"/>
      <c r="EJ183" s="19"/>
      <c r="EK183" s="192"/>
      <c r="EL183" s="192"/>
      <c r="EM183" s="192"/>
      <c r="EN183" s="191"/>
      <c r="EO183" s="193"/>
      <c r="EP183" s="192"/>
      <c r="EQ183" s="192"/>
      <c r="ER183" s="192"/>
      <c r="ES183" s="191"/>
      <c r="ET183" s="19"/>
      <c r="EU183" s="192"/>
      <c r="EV183" s="192"/>
      <c r="EW183" s="192"/>
      <c r="EX183" s="191"/>
      <c r="EY183" s="193"/>
      <c r="EZ183" s="192"/>
      <c r="FA183" s="192"/>
      <c r="FB183" s="192"/>
      <c r="FC183" s="191"/>
      <c r="FL183" s="273">
        <f t="shared" ca="1" si="8"/>
        <v>116</v>
      </c>
    </row>
    <row r="184" spans="1:168" ht="16.5" thickBot="1">
      <c r="A184" s="196">
        <v>181</v>
      </c>
      <c r="B184" s="306"/>
      <c r="C184" s="310"/>
      <c r="D184" s="307" t="s">
        <v>271</v>
      </c>
      <c r="E184" s="307" t="s">
        <v>271</v>
      </c>
      <c r="F184" s="308"/>
      <c r="G184" s="343" t="str">
        <f t="shared" si="6"/>
        <v xml:space="preserve"> </v>
      </c>
      <c r="H184" s="307"/>
      <c r="I184" s="309" t="e">
        <f t="shared" si="7"/>
        <v>#N/A</v>
      </c>
      <c r="J184" s="307"/>
      <c r="K184" s="307"/>
      <c r="L184" s="310"/>
      <c r="M184" s="310"/>
      <c r="N184" s="310"/>
      <c r="O184" s="310"/>
      <c r="P184" s="310"/>
      <c r="Q184" s="310"/>
      <c r="R184" s="310"/>
      <c r="S184" s="310"/>
      <c r="T184" s="310"/>
      <c r="U184" s="307"/>
      <c r="V184" s="307"/>
      <c r="W184" s="311"/>
      <c r="X184" s="307"/>
      <c r="Y184" s="307"/>
      <c r="Z184" s="307"/>
      <c r="AA184" s="307"/>
      <c r="AB184" s="311"/>
      <c r="AC184" s="307"/>
      <c r="AD184" s="307"/>
      <c r="AE184" s="307"/>
      <c r="AF184" s="307"/>
      <c r="AG184" s="310"/>
      <c r="AH184" s="307"/>
      <c r="AI184" s="310"/>
      <c r="AJ184" s="307"/>
      <c r="AK184" s="307"/>
      <c r="AL184" s="307"/>
      <c r="AM184" s="308"/>
      <c r="AN184" s="311"/>
      <c r="AO184" s="307"/>
      <c r="AP184" s="307"/>
      <c r="AQ184" s="308"/>
      <c r="AR184" s="307"/>
      <c r="AS184" s="307"/>
      <c r="AT184" s="307"/>
      <c r="AU184" s="310"/>
      <c r="AV184" s="308"/>
      <c r="AW184" s="312"/>
      <c r="AX184" s="308"/>
      <c r="AY184" s="307"/>
      <c r="AZ184" s="307"/>
      <c r="BA184" s="307"/>
      <c r="BB184" s="307"/>
      <c r="BC184" s="308"/>
      <c r="BD184" s="308"/>
      <c r="BE184" s="313"/>
      <c r="BF184" s="307"/>
      <c r="BG184" s="310"/>
      <c r="BH184" s="307"/>
      <c r="BI184" s="307"/>
      <c r="BJ184" s="310"/>
      <c r="BK184" s="307"/>
      <c r="BL184" s="307"/>
      <c r="BM184" s="310"/>
      <c r="BN184" s="307"/>
      <c r="BO184" s="310"/>
      <c r="BP184" s="307"/>
      <c r="BQ184" s="307"/>
      <c r="BR184" s="307"/>
      <c r="BS184" s="307"/>
      <c r="BT184" s="307"/>
      <c r="BU184" s="310"/>
      <c r="BV184" s="307"/>
      <c r="BW184" s="308"/>
      <c r="BX184" s="311"/>
      <c r="BY184" s="307"/>
      <c r="BZ184" s="307"/>
      <c r="CA184" s="310"/>
      <c r="CB184" s="307"/>
      <c r="CC184" s="307"/>
      <c r="CD184" s="307"/>
      <c r="CE184" s="308"/>
      <c r="CF184" s="308"/>
      <c r="CG184" s="307"/>
      <c r="CH184" s="307"/>
      <c r="CI184" s="307"/>
      <c r="CJ184" s="307"/>
      <c r="CK184" s="314"/>
      <c r="CL184" s="310"/>
      <c r="CM184" s="310"/>
      <c r="CN184" s="307"/>
      <c r="CO184" s="307"/>
      <c r="CP184" s="307"/>
      <c r="CQ184" s="315"/>
      <c r="CR184" s="315"/>
      <c r="CS184" s="315"/>
      <c r="CT184" s="315"/>
      <c r="CU184" s="307"/>
      <c r="CV184" s="217"/>
      <c r="CW184" s="192"/>
      <c r="CX184" s="192"/>
      <c r="CY184" s="192"/>
      <c r="CZ184" s="191"/>
      <c r="DA184" s="193"/>
      <c r="DB184" s="192"/>
      <c r="DC184" s="192"/>
      <c r="DD184" s="192"/>
      <c r="DE184" s="191"/>
      <c r="DF184" s="19"/>
      <c r="DG184" s="192"/>
      <c r="DH184" s="192"/>
      <c r="DI184" s="192"/>
      <c r="DJ184" s="191"/>
      <c r="DK184" s="193"/>
      <c r="DL184" s="192"/>
      <c r="DM184" s="192"/>
      <c r="DN184" s="192"/>
      <c r="DO184" s="191"/>
      <c r="DP184" s="19"/>
      <c r="DQ184" s="192"/>
      <c r="DR184" s="192"/>
      <c r="DS184" s="192"/>
      <c r="DT184" s="191"/>
      <c r="DU184" s="193"/>
      <c r="DV184" s="192"/>
      <c r="DW184" s="192"/>
      <c r="DX184" s="192"/>
      <c r="DY184" s="191"/>
      <c r="DZ184" s="19"/>
      <c r="EA184" s="192"/>
      <c r="EB184" s="192"/>
      <c r="EC184" s="192"/>
      <c r="ED184" s="191"/>
      <c r="EE184" s="193"/>
      <c r="EF184" s="192"/>
      <c r="EG184" s="192"/>
      <c r="EH184" s="192"/>
      <c r="EI184" s="191"/>
      <c r="EJ184" s="19"/>
      <c r="EK184" s="192"/>
      <c r="EL184" s="192"/>
      <c r="EM184" s="192"/>
      <c r="EN184" s="191"/>
      <c r="EO184" s="193"/>
      <c r="EP184" s="192"/>
      <c r="EQ184" s="192"/>
      <c r="ER184" s="192"/>
      <c r="ES184" s="191"/>
      <c r="ET184" s="19"/>
      <c r="EU184" s="192"/>
      <c r="EV184" s="192"/>
      <c r="EW184" s="192"/>
      <c r="EX184" s="191"/>
      <c r="EY184" s="193"/>
      <c r="EZ184" s="192"/>
      <c r="FA184" s="192"/>
      <c r="FB184" s="192"/>
      <c r="FC184" s="191"/>
      <c r="FL184" s="273">
        <f t="shared" ca="1" si="8"/>
        <v>116</v>
      </c>
    </row>
    <row r="185" spans="1:168" ht="16.5" thickBot="1">
      <c r="A185" s="199">
        <v>182</v>
      </c>
      <c r="B185" s="306"/>
      <c r="C185" s="310"/>
      <c r="D185" s="307" t="s">
        <v>271</v>
      </c>
      <c r="E185" s="307" t="s">
        <v>271</v>
      </c>
      <c r="F185" s="308"/>
      <c r="G185" s="343" t="str">
        <f t="shared" si="6"/>
        <v xml:space="preserve"> </v>
      </c>
      <c r="H185" s="307"/>
      <c r="I185" s="309" t="e">
        <f t="shared" si="7"/>
        <v>#N/A</v>
      </c>
      <c r="J185" s="307"/>
      <c r="K185" s="307"/>
      <c r="L185" s="310"/>
      <c r="M185" s="310"/>
      <c r="N185" s="310"/>
      <c r="O185" s="310"/>
      <c r="P185" s="310"/>
      <c r="Q185" s="310"/>
      <c r="R185" s="310"/>
      <c r="S185" s="310"/>
      <c r="T185" s="310"/>
      <c r="U185" s="307"/>
      <c r="V185" s="307"/>
      <c r="W185" s="311"/>
      <c r="X185" s="307"/>
      <c r="Y185" s="307"/>
      <c r="Z185" s="307"/>
      <c r="AA185" s="307"/>
      <c r="AB185" s="311"/>
      <c r="AC185" s="307"/>
      <c r="AD185" s="307"/>
      <c r="AE185" s="307"/>
      <c r="AF185" s="307"/>
      <c r="AG185" s="310"/>
      <c r="AH185" s="307"/>
      <c r="AI185" s="310"/>
      <c r="AJ185" s="307"/>
      <c r="AK185" s="307"/>
      <c r="AL185" s="307"/>
      <c r="AM185" s="308"/>
      <c r="AN185" s="311"/>
      <c r="AO185" s="307"/>
      <c r="AP185" s="307"/>
      <c r="AQ185" s="308"/>
      <c r="AR185" s="307"/>
      <c r="AS185" s="307"/>
      <c r="AT185" s="307"/>
      <c r="AU185" s="310"/>
      <c r="AV185" s="308"/>
      <c r="AW185" s="312"/>
      <c r="AX185" s="308"/>
      <c r="AY185" s="307"/>
      <c r="AZ185" s="307"/>
      <c r="BA185" s="307"/>
      <c r="BB185" s="307"/>
      <c r="BC185" s="308"/>
      <c r="BD185" s="308"/>
      <c r="BE185" s="313"/>
      <c r="BF185" s="307"/>
      <c r="BG185" s="310"/>
      <c r="BH185" s="307"/>
      <c r="BI185" s="307"/>
      <c r="BJ185" s="310"/>
      <c r="BK185" s="307"/>
      <c r="BL185" s="307"/>
      <c r="BM185" s="310"/>
      <c r="BN185" s="307"/>
      <c r="BO185" s="310"/>
      <c r="BP185" s="307"/>
      <c r="BQ185" s="307"/>
      <c r="BR185" s="307"/>
      <c r="BS185" s="307"/>
      <c r="BT185" s="307"/>
      <c r="BU185" s="310"/>
      <c r="BV185" s="307"/>
      <c r="BW185" s="308"/>
      <c r="BX185" s="311"/>
      <c r="BY185" s="307"/>
      <c r="BZ185" s="307"/>
      <c r="CA185" s="310"/>
      <c r="CB185" s="307"/>
      <c r="CC185" s="307"/>
      <c r="CD185" s="307"/>
      <c r="CE185" s="308"/>
      <c r="CF185" s="308"/>
      <c r="CG185" s="307"/>
      <c r="CH185" s="307"/>
      <c r="CI185" s="307"/>
      <c r="CJ185" s="307"/>
      <c r="CK185" s="314"/>
      <c r="CL185" s="310"/>
      <c r="CM185" s="310"/>
      <c r="CN185" s="307"/>
      <c r="CO185" s="307"/>
      <c r="CP185" s="307"/>
      <c r="CQ185" s="315"/>
      <c r="CR185" s="315"/>
      <c r="CS185" s="315"/>
      <c r="CT185" s="315"/>
      <c r="CU185" s="307"/>
      <c r="CV185" s="217"/>
      <c r="CW185" s="192"/>
      <c r="CX185" s="192"/>
      <c r="CY185" s="192"/>
      <c r="CZ185" s="191"/>
      <c r="DA185" s="193"/>
      <c r="DB185" s="192"/>
      <c r="DC185" s="192"/>
      <c r="DD185" s="192"/>
      <c r="DE185" s="191"/>
      <c r="DF185" s="19"/>
      <c r="DG185" s="192"/>
      <c r="DH185" s="192"/>
      <c r="DI185" s="192"/>
      <c r="DJ185" s="191"/>
      <c r="DK185" s="193"/>
      <c r="DL185" s="192"/>
      <c r="DM185" s="192"/>
      <c r="DN185" s="192"/>
      <c r="DO185" s="191"/>
      <c r="DP185" s="19"/>
      <c r="DQ185" s="192"/>
      <c r="DR185" s="192"/>
      <c r="DS185" s="192"/>
      <c r="DT185" s="191"/>
      <c r="DU185" s="193"/>
      <c r="DV185" s="192"/>
      <c r="DW185" s="192"/>
      <c r="DX185" s="192"/>
      <c r="DY185" s="191"/>
      <c r="DZ185" s="19"/>
      <c r="EA185" s="192"/>
      <c r="EB185" s="192"/>
      <c r="EC185" s="192"/>
      <c r="ED185" s="191"/>
      <c r="EE185" s="193"/>
      <c r="EF185" s="192"/>
      <c r="EG185" s="192"/>
      <c r="EH185" s="192"/>
      <c r="EI185" s="191"/>
      <c r="EJ185" s="19"/>
      <c r="EK185" s="192"/>
      <c r="EL185" s="192"/>
      <c r="EM185" s="192"/>
      <c r="EN185" s="191"/>
      <c r="EO185" s="193"/>
      <c r="EP185" s="192"/>
      <c r="EQ185" s="192"/>
      <c r="ER185" s="192"/>
      <c r="ES185" s="191"/>
      <c r="ET185" s="19"/>
      <c r="EU185" s="192"/>
      <c r="EV185" s="192"/>
      <c r="EW185" s="192"/>
      <c r="EX185" s="191"/>
      <c r="EY185" s="193"/>
      <c r="EZ185" s="192"/>
      <c r="FA185" s="192"/>
      <c r="FB185" s="192"/>
      <c r="FC185" s="191"/>
      <c r="FL185" s="273">
        <f t="shared" ca="1" si="8"/>
        <v>116</v>
      </c>
    </row>
    <row r="186" spans="1:168" ht="16.5" thickBot="1">
      <c r="A186" s="196">
        <v>183</v>
      </c>
      <c r="B186" s="306"/>
      <c r="C186" s="310"/>
      <c r="D186" s="307" t="s">
        <v>271</v>
      </c>
      <c r="E186" s="307" t="s">
        <v>271</v>
      </c>
      <c r="F186" s="308"/>
      <c r="G186" s="343" t="str">
        <f t="shared" si="6"/>
        <v xml:space="preserve"> </v>
      </c>
      <c r="H186" s="307"/>
      <c r="I186" s="309" t="e">
        <f t="shared" si="7"/>
        <v>#N/A</v>
      </c>
      <c r="J186" s="307"/>
      <c r="K186" s="307"/>
      <c r="L186" s="310"/>
      <c r="M186" s="310"/>
      <c r="N186" s="310"/>
      <c r="O186" s="310"/>
      <c r="P186" s="310"/>
      <c r="Q186" s="310"/>
      <c r="R186" s="310"/>
      <c r="S186" s="310"/>
      <c r="T186" s="310"/>
      <c r="U186" s="307"/>
      <c r="V186" s="307"/>
      <c r="W186" s="311"/>
      <c r="X186" s="307"/>
      <c r="Y186" s="307"/>
      <c r="Z186" s="307"/>
      <c r="AA186" s="307"/>
      <c r="AB186" s="311"/>
      <c r="AC186" s="307"/>
      <c r="AD186" s="307"/>
      <c r="AE186" s="307"/>
      <c r="AF186" s="307"/>
      <c r="AG186" s="310"/>
      <c r="AH186" s="307"/>
      <c r="AI186" s="310"/>
      <c r="AJ186" s="307"/>
      <c r="AK186" s="307"/>
      <c r="AL186" s="307"/>
      <c r="AM186" s="308"/>
      <c r="AN186" s="311"/>
      <c r="AO186" s="307"/>
      <c r="AP186" s="307"/>
      <c r="AQ186" s="308"/>
      <c r="AR186" s="307"/>
      <c r="AS186" s="307"/>
      <c r="AT186" s="307"/>
      <c r="AU186" s="310"/>
      <c r="AV186" s="308"/>
      <c r="AW186" s="312"/>
      <c r="AX186" s="308"/>
      <c r="AY186" s="307"/>
      <c r="AZ186" s="307"/>
      <c r="BA186" s="307"/>
      <c r="BB186" s="307"/>
      <c r="BC186" s="308"/>
      <c r="BD186" s="308"/>
      <c r="BE186" s="313"/>
      <c r="BF186" s="307"/>
      <c r="BG186" s="310"/>
      <c r="BH186" s="307"/>
      <c r="BI186" s="307"/>
      <c r="BJ186" s="310"/>
      <c r="BK186" s="307"/>
      <c r="BL186" s="307"/>
      <c r="BM186" s="310"/>
      <c r="BN186" s="307"/>
      <c r="BO186" s="310"/>
      <c r="BP186" s="307"/>
      <c r="BQ186" s="307"/>
      <c r="BR186" s="307"/>
      <c r="BS186" s="307"/>
      <c r="BT186" s="307"/>
      <c r="BU186" s="310"/>
      <c r="BV186" s="307"/>
      <c r="BW186" s="308"/>
      <c r="BX186" s="311"/>
      <c r="BY186" s="307"/>
      <c r="BZ186" s="307"/>
      <c r="CA186" s="310"/>
      <c r="CB186" s="307"/>
      <c r="CC186" s="307"/>
      <c r="CD186" s="307"/>
      <c r="CE186" s="308"/>
      <c r="CF186" s="308"/>
      <c r="CG186" s="307"/>
      <c r="CH186" s="307"/>
      <c r="CI186" s="307"/>
      <c r="CJ186" s="307"/>
      <c r="CK186" s="314"/>
      <c r="CL186" s="310"/>
      <c r="CM186" s="310"/>
      <c r="CN186" s="307"/>
      <c r="CO186" s="307"/>
      <c r="CP186" s="307"/>
      <c r="CQ186" s="315"/>
      <c r="CR186" s="315"/>
      <c r="CS186" s="315"/>
      <c r="CT186" s="315"/>
      <c r="CU186" s="307"/>
      <c r="CV186" s="217"/>
      <c r="CW186" s="192"/>
      <c r="CX186" s="192"/>
      <c r="CY186" s="192"/>
      <c r="CZ186" s="191"/>
      <c r="DA186" s="193"/>
      <c r="DB186" s="192"/>
      <c r="DC186" s="192"/>
      <c r="DD186" s="192"/>
      <c r="DE186" s="191"/>
      <c r="DF186" s="19"/>
      <c r="DG186" s="192"/>
      <c r="DH186" s="192"/>
      <c r="DI186" s="192"/>
      <c r="DJ186" s="191"/>
      <c r="DK186" s="193"/>
      <c r="DL186" s="192"/>
      <c r="DM186" s="192"/>
      <c r="DN186" s="192"/>
      <c r="DO186" s="191"/>
      <c r="DP186" s="19"/>
      <c r="DQ186" s="192"/>
      <c r="DR186" s="192"/>
      <c r="DS186" s="192"/>
      <c r="DT186" s="191"/>
      <c r="DU186" s="193"/>
      <c r="DV186" s="192"/>
      <c r="DW186" s="192"/>
      <c r="DX186" s="192"/>
      <c r="DY186" s="191"/>
      <c r="DZ186" s="19"/>
      <c r="EA186" s="192"/>
      <c r="EB186" s="192"/>
      <c r="EC186" s="192"/>
      <c r="ED186" s="191"/>
      <c r="EE186" s="193"/>
      <c r="EF186" s="192"/>
      <c r="EG186" s="192"/>
      <c r="EH186" s="192"/>
      <c r="EI186" s="191"/>
      <c r="EJ186" s="19"/>
      <c r="EK186" s="192"/>
      <c r="EL186" s="192"/>
      <c r="EM186" s="192"/>
      <c r="EN186" s="191"/>
      <c r="EO186" s="193"/>
      <c r="EP186" s="192"/>
      <c r="EQ186" s="192"/>
      <c r="ER186" s="192"/>
      <c r="ES186" s="191"/>
      <c r="ET186" s="19"/>
      <c r="EU186" s="192"/>
      <c r="EV186" s="192"/>
      <c r="EW186" s="192"/>
      <c r="EX186" s="191"/>
      <c r="EY186" s="193"/>
      <c r="EZ186" s="192"/>
      <c r="FA186" s="192"/>
      <c r="FB186" s="192"/>
      <c r="FC186" s="191"/>
      <c r="FL186" s="273">
        <f t="shared" ca="1" si="8"/>
        <v>116</v>
      </c>
    </row>
    <row r="187" spans="1:168" ht="16.5" thickBot="1">
      <c r="A187" s="199">
        <v>184</v>
      </c>
      <c r="B187" s="306"/>
      <c r="C187" s="310"/>
      <c r="D187" s="307" t="s">
        <v>271</v>
      </c>
      <c r="E187" s="307" t="s">
        <v>271</v>
      </c>
      <c r="F187" s="308"/>
      <c r="G187" s="343" t="str">
        <f t="shared" si="6"/>
        <v xml:space="preserve"> </v>
      </c>
      <c r="H187" s="307"/>
      <c r="I187" s="309" t="e">
        <f t="shared" si="7"/>
        <v>#N/A</v>
      </c>
      <c r="J187" s="307"/>
      <c r="K187" s="307"/>
      <c r="L187" s="310"/>
      <c r="M187" s="310"/>
      <c r="N187" s="310"/>
      <c r="O187" s="310"/>
      <c r="P187" s="310"/>
      <c r="Q187" s="310"/>
      <c r="R187" s="310"/>
      <c r="S187" s="310"/>
      <c r="T187" s="310"/>
      <c r="U187" s="307"/>
      <c r="V187" s="307"/>
      <c r="W187" s="311"/>
      <c r="X187" s="307"/>
      <c r="Y187" s="307"/>
      <c r="Z187" s="307"/>
      <c r="AA187" s="307"/>
      <c r="AB187" s="311"/>
      <c r="AC187" s="307"/>
      <c r="AD187" s="307"/>
      <c r="AE187" s="307"/>
      <c r="AF187" s="307"/>
      <c r="AG187" s="310"/>
      <c r="AH187" s="307"/>
      <c r="AI187" s="310"/>
      <c r="AJ187" s="307"/>
      <c r="AK187" s="307"/>
      <c r="AL187" s="307"/>
      <c r="AM187" s="308"/>
      <c r="AN187" s="311"/>
      <c r="AO187" s="307"/>
      <c r="AP187" s="307"/>
      <c r="AQ187" s="308"/>
      <c r="AR187" s="307"/>
      <c r="AS187" s="307"/>
      <c r="AT187" s="307"/>
      <c r="AU187" s="310"/>
      <c r="AV187" s="308"/>
      <c r="AW187" s="312"/>
      <c r="AX187" s="308"/>
      <c r="AY187" s="307"/>
      <c r="AZ187" s="307"/>
      <c r="BA187" s="307"/>
      <c r="BB187" s="307"/>
      <c r="BC187" s="308"/>
      <c r="BD187" s="308"/>
      <c r="BE187" s="313"/>
      <c r="BF187" s="307"/>
      <c r="BG187" s="310"/>
      <c r="BH187" s="307"/>
      <c r="BI187" s="307"/>
      <c r="BJ187" s="310"/>
      <c r="BK187" s="307"/>
      <c r="BL187" s="307"/>
      <c r="BM187" s="310"/>
      <c r="BN187" s="307"/>
      <c r="BO187" s="310"/>
      <c r="BP187" s="307"/>
      <c r="BQ187" s="307"/>
      <c r="BR187" s="307"/>
      <c r="BS187" s="307"/>
      <c r="BT187" s="307"/>
      <c r="BU187" s="310"/>
      <c r="BV187" s="307"/>
      <c r="BW187" s="308"/>
      <c r="BX187" s="311"/>
      <c r="BY187" s="307"/>
      <c r="BZ187" s="307"/>
      <c r="CA187" s="310"/>
      <c r="CB187" s="307"/>
      <c r="CC187" s="307"/>
      <c r="CD187" s="307"/>
      <c r="CE187" s="308"/>
      <c r="CF187" s="308"/>
      <c r="CG187" s="307"/>
      <c r="CH187" s="307"/>
      <c r="CI187" s="307"/>
      <c r="CJ187" s="307"/>
      <c r="CK187" s="314"/>
      <c r="CL187" s="310"/>
      <c r="CM187" s="310"/>
      <c r="CN187" s="307"/>
      <c r="CO187" s="307"/>
      <c r="CP187" s="307"/>
      <c r="CQ187" s="315"/>
      <c r="CR187" s="315"/>
      <c r="CS187" s="315"/>
      <c r="CT187" s="315"/>
      <c r="CU187" s="307"/>
      <c r="CV187" s="217"/>
      <c r="CW187" s="192"/>
      <c r="CX187" s="192"/>
      <c r="CY187" s="192"/>
      <c r="CZ187" s="191"/>
      <c r="DA187" s="193"/>
      <c r="DB187" s="192"/>
      <c r="DC187" s="192"/>
      <c r="DD187" s="192"/>
      <c r="DE187" s="191"/>
      <c r="DF187" s="19"/>
      <c r="DG187" s="192"/>
      <c r="DH187" s="192"/>
      <c r="DI187" s="192"/>
      <c r="DJ187" s="191"/>
      <c r="DK187" s="193"/>
      <c r="DL187" s="192"/>
      <c r="DM187" s="192"/>
      <c r="DN187" s="192"/>
      <c r="DO187" s="191"/>
      <c r="DP187" s="19"/>
      <c r="DQ187" s="192"/>
      <c r="DR187" s="192"/>
      <c r="DS187" s="192"/>
      <c r="DT187" s="191"/>
      <c r="DU187" s="193"/>
      <c r="DV187" s="192"/>
      <c r="DW187" s="192"/>
      <c r="DX187" s="192"/>
      <c r="DY187" s="191"/>
      <c r="DZ187" s="19"/>
      <c r="EA187" s="192"/>
      <c r="EB187" s="192"/>
      <c r="EC187" s="192"/>
      <c r="ED187" s="191"/>
      <c r="EE187" s="193"/>
      <c r="EF187" s="192"/>
      <c r="EG187" s="192"/>
      <c r="EH187" s="192"/>
      <c r="EI187" s="191"/>
      <c r="EJ187" s="19"/>
      <c r="EK187" s="192"/>
      <c r="EL187" s="192"/>
      <c r="EM187" s="192"/>
      <c r="EN187" s="191"/>
      <c r="EO187" s="193"/>
      <c r="EP187" s="192"/>
      <c r="EQ187" s="192"/>
      <c r="ER187" s="192"/>
      <c r="ES187" s="191"/>
      <c r="ET187" s="19"/>
      <c r="EU187" s="192"/>
      <c r="EV187" s="192"/>
      <c r="EW187" s="192"/>
      <c r="EX187" s="191"/>
      <c r="EY187" s="193"/>
      <c r="EZ187" s="192"/>
      <c r="FA187" s="192"/>
      <c r="FB187" s="192"/>
      <c r="FC187" s="191"/>
      <c r="FL187" s="273">
        <f t="shared" ca="1" si="8"/>
        <v>116</v>
      </c>
    </row>
    <row r="188" spans="1:168" ht="16.5" thickBot="1">
      <c r="A188" s="196">
        <v>185</v>
      </c>
      <c r="B188" s="306"/>
      <c r="C188" s="310"/>
      <c r="D188" s="307" t="s">
        <v>271</v>
      </c>
      <c r="E188" s="307" t="s">
        <v>271</v>
      </c>
      <c r="F188" s="308"/>
      <c r="G188" s="343" t="str">
        <f t="shared" si="6"/>
        <v xml:space="preserve"> </v>
      </c>
      <c r="H188" s="307"/>
      <c r="I188" s="309" t="e">
        <f t="shared" si="7"/>
        <v>#N/A</v>
      </c>
      <c r="J188" s="307"/>
      <c r="K188" s="307"/>
      <c r="L188" s="310"/>
      <c r="M188" s="310"/>
      <c r="N188" s="310"/>
      <c r="O188" s="310"/>
      <c r="P188" s="310"/>
      <c r="Q188" s="310"/>
      <c r="R188" s="310"/>
      <c r="S188" s="310"/>
      <c r="T188" s="310"/>
      <c r="U188" s="307"/>
      <c r="V188" s="307"/>
      <c r="W188" s="311"/>
      <c r="X188" s="307"/>
      <c r="Y188" s="307"/>
      <c r="Z188" s="307"/>
      <c r="AA188" s="307"/>
      <c r="AB188" s="311"/>
      <c r="AC188" s="307"/>
      <c r="AD188" s="307"/>
      <c r="AE188" s="307"/>
      <c r="AF188" s="307"/>
      <c r="AG188" s="310"/>
      <c r="AH188" s="307"/>
      <c r="AI188" s="310"/>
      <c r="AJ188" s="307"/>
      <c r="AK188" s="307"/>
      <c r="AL188" s="307"/>
      <c r="AM188" s="308"/>
      <c r="AN188" s="311"/>
      <c r="AO188" s="307"/>
      <c r="AP188" s="307"/>
      <c r="AQ188" s="308"/>
      <c r="AR188" s="307"/>
      <c r="AS188" s="307"/>
      <c r="AT188" s="307"/>
      <c r="AU188" s="310"/>
      <c r="AV188" s="308"/>
      <c r="AW188" s="312"/>
      <c r="AX188" s="308"/>
      <c r="AY188" s="307"/>
      <c r="AZ188" s="307"/>
      <c r="BA188" s="307"/>
      <c r="BB188" s="307"/>
      <c r="BC188" s="308"/>
      <c r="BD188" s="308"/>
      <c r="BE188" s="313"/>
      <c r="BF188" s="307"/>
      <c r="BG188" s="310"/>
      <c r="BH188" s="307"/>
      <c r="BI188" s="307"/>
      <c r="BJ188" s="310"/>
      <c r="BK188" s="307"/>
      <c r="BL188" s="307"/>
      <c r="BM188" s="310"/>
      <c r="BN188" s="307"/>
      <c r="BO188" s="310"/>
      <c r="BP188" s="307"/>
      <c r="BQ188" s="307"/>
      <c r="BR188" s="307"/>
      <c r="BS188" s="307"/>
      <c r="BT188" s="307"/>
      <c r="BU188" s="310"/>
      <c r="BV188" s="307"/>
      <c r="BW188" s="308"/>
      <c r="BX188" s="311"/>
      <c r="BY188" s="307"/>
      <c r="BZ188" s="307"/>
      <c r="CA188" s="310"/>
      <c r="CB188" s="307"/>
      <c r="CC188" s="307"/>
      <c r="CD188" s="307"/>
      <c r="CE188" s="308"/>
      <c r="CF188" s="308"/>
      <c r="CG188" s="307"/>
      <c r="CH188" s="307"/>
      <c r="CI188" s="307"/>
      <c r="CJ188" s="307"/>
      <c r="CK188" s="314"/>
      <c r="CL188" s="310"/>
      <c r="CM188" s="310"/>
      <c r="CN188" s="307"/>
      <c r="CO188" s="307"/>
      <c r="CP188" s="307"/>
      <c r="CQ188" s="315"/>
      <c r="CR188" s="315"/>
      <c r="CS188" s="315"/>
      <c r="CT188" s="315"/>
      <c r="CU188" s="307"/>
      <c r="CV188" s="217"/>
      <c r="CW188" s="192"/>
      <c r="CX188" s="192"/>
      <c r="CY188" s="192"/>
      <c r="CZ188" s="191"/>
      <c r="DA188" s="193"/>
      <c r="DB188" s="192"/>
      <c r="DC188" s="192"/>
      <c r="DD188" s="192"/>
      <c r="DE188" s="191"/>
      <c r="DF188" s="19"/>
      <c r="DG188" s="192"/>
      <c r="DH188" s="192"/>
      <c r="DI188" s="192"/>
      <c r="DJ188" s="191"/>
      <c r="DK188" s="193"/>
      <c r="DL188" s="192"/>
      <c r="DM188" s="192"/>
      <c r="DN188" s="192"/>
      <c r="DO188" s="191"/>
      <c r="DP188" s="19"/>
      <c r="DQ188" s="192"/>
      <c r="DR188" s="192"/>
      <c r="DS188" s="192"/>
      <c r="DT188" s="191"/>
      <c r="DU188" s="193"/>
      <c r="DV188" s="192"/>
      <c r="DW188" s="192"/>
      <c r="DX188" s="192"/>
      <c r="DY188" s="191"/>
      <c r="DZ188" s="19"/>
      <c r="EA188" s="192"/>
      <c r="EB188" s="192"/>
      <c r="EC188" s="192"/>
      <c r="ED188" s="191"/>
      <c r="EE188" s="193"/>
      <c r="EF188" s="192"/>
      <c r="EG188" s="192"/>
      <c r="EH188" s="192"/>
      <c r="EI188" s="191"/>
      <c r="EJ188" s="19"/>
      <c r="EK188" s="192"/>
      <c r="EL188" s="192"/>
      <c r="EM188" s="192"/>
      <c r="EN188" s="191"/>
      <c r="EO188" s="193"/>
      <c r="EP188" s="192"/>
      <c r="EQ188" s="192"/>
      <c r="ER188" s="192"/>
      <c r="ES188" s="191"/>
      <c r="ET188" s="19"/>
      <c r="EU188" s="192"/>
      <c r="EV188" s="192"/>
      <c r="EW188" s="192"/>
      <c r="EX188" s="191"/>
      <c r="EY188" s="193"/>
      <c r="EZ188" s="192"/>
      <c r="FA188" s="192"/>
      <c r="FB188" s="192"/>
      <c r="FC188" s="191"/>
      <c r="FL188" s="273">
        <f t="shared" ca="1" si="8"/>
        <v>116</v>
      </c>
    </row>
    <row r="189" spans="1:168" ht="16.5" thickBot="1">
      <c r="A189" s="199">
        <v>186</v>
      </c>
      <c r="B189" s="306"/>
      <c r="C189" s="310"/>
      <c r="D189" s="307" t="s">
        <v>271</v>
      </c>
      <c r="E189" s="307" t="s">
        <v>271</v>
      </c>
      <c r="F189" s="308"/>
      <c r="G189" s="343" t="str">
        <f t="shared" si="6"/>
        <v xml:space="preserve"> </v>
      </c>
      <c r="H189" s="307"/>
      <c r="I189" s="309" t="e">
        <f t="shared" si="7"/>
        <v>#N/A</v>
      </c>
      <c r="J189" s="307"/>
      <c r="K189" s="307"/>
      <c r="L189" s="310"/>
      <c r="M189" s="310"/>
      <c r="N189" s="310"/>
      <c r="O189" s="310"/>
      <c r="P189" s="310"/>
      <c r="Q189" s="310"/>
      <c r="R189" s="310"/>
      <c r="S189" s="310"/>
      <c r="T189" s="310"/>
      <c r="U189" s="307"/>
      <c r="V189" s="307"/>
      <c r="W189" s="311"/>
      <c r="X189" s="307"/>
      <c r="Y189" s="307"/>
      <c r="Z189" s="307"/>
      <c r="AA189" s="307"/>
      <c r="AB189" s="311"/>
      <c r="AC189" s="307"/>
      <c r="AD189" s="307"/>
      <c r="AE189" s="307"/>
      <c r="AF189" s="307"/>
      <c r="AG189" s="310"/>
      <c r="AH189" s="307"/>
      <c r="AI189" s="310"/>
      <c r="AJ189" s="307"/>
      <c r="AK189" s="307"/>
      <c r="AL189" s="307"/>
      <c r="AM189" s="308"/>
      <c r="AN189" s="311"/>
      <c r="AO189" s="307"/>
      <c r="AP189" s="307"/>
      <c r="AQ189" s="308"/>
      <c r="AR189" s="307"/>
      <c r="AS189" s="307"/>
      <c r="AT189" s="307"/>
      <c r="AU189" s="310"/>
      <c r="AV189" s="308"/>
      <c r="AW189" s="312"/>
      <c r="AX189" s="308"/>
      <c r="AY189" s="307"/>
      <c r="AZ189" s="307"/>
      <c r="BA189" s="307"/>
      <c r="BB189" s="307"/>
      <c r="BC189" s="308"/>
      <c r="BD189" s="308"/>
      <c r="BE189" s="313"/>
      <c r="BF189" s="307"/>
      <c r="BG189" s="310"/>
      <c r="BH189" s="307"/>
      <c r="BI189" s="307"/>
      <c r="BJ189" s="310"/>
      <c r="BK189" s="307"/>
      <c r="BL189" s="307"/>
      <c r="BM189" s="310"/>
      <c r="BN189" s="307"/>
      <c r="BO189" s="310"/>
      <c r="BP189" s="307"/>
      <c r="BQ189" s="307"/>
      <c r="BR189" s="307"/>
      <c r="BS189" s="307"/>
      <c r="BT189" s="307"/>
      <c r="BU189" s="310"/>
      <c r="BV189" s="307"/>
      <c r="BW189" s="308"/>
      <c r="BX189" s="311"/>
      <c r="BY189" s="307"/>
      <c r="BZ189" s="307"/>
      <c r="CA189" s="310"/>
      <c r="CB189" s="307"/>
      <c r="CC189" s="307"/>
      <c r="CD189" s="307"/>
      <c r="CE189" s="308"/>
      <c r="CF189" s="308"/>
      <c r="CG189" s="307"/>
      <c r="CH189" s="307"/>
      <c r="CI189" s="307"/>
      <c r="CJ189" s="307"/>
      <c r="CK189" s="314"/>
      <c r="CL189" s="310"/>
      <c r="CM189" s="310"/>
      <c r="CN189" s="307"/>
      <c r="CO189" s="307"/>
      <c r="CP189" s="307"/>
      <c r="CQ189" s="315"/>
      <c r="CR189" s="315"/>
      <c r="CS189" s="315"/>
      <c r="CT189" s="315"/>
      <c r="CU189" s="307"/>
      <c r="CV189" s="217"/>
      <c r="CW189" s="192"/>
      <c r="CX189" s="192"/>
      <c r="CY189" s="192"/>
      <c r="CZ189" s="191"/>
      <c r="DA189" s="193"/>
      <c r="DB189" s="192"/>
      <c r="DC189" s="192"/>
      <c r="DD189" s="192"/>
      <c r="DE189" s="191"/>
      <c r="DF189" s="19"/>
      <c r="DG189" s="192"/>
      <c r="DH189" s="192"/>
      <c r="DI189" s="192"/>
      <c r="DJ189" s="191"/>
      <c r="DK189" s="193"/>
      <c r="DL189" s="192"/>
      <c r="DM189" s="192"/>
      <c r="DN189" s="192"/>
      <c r="DO189" s="191"/>
      <c r="DP189" s="19"/>
      <c r="DQ189" s="192"/>
      <c r="DR189" s="192"/>
      <c r="DS189" s="192"/>
      <c r="DT189" s="191"/>
      <c r="DU189" s="193"/>
      <c r="DV189" s="192"/>
      <c r="DW189" s="192"/>
      <c r="DX189" s="192"/>
      <c r="DY189" s="191"/>
      <c r="DZ189" s="19"/>
      <c r="EA189" s="192"/>
      <c r="EB189" s="192"/>
      <c r="EC189" s="192"/>
      <c r="ED189" s="191"/>
      <c r="EE189" s="193"/>
      <c r="EF189" s="192"/>
      <c r="EG189" s="192"/>
      <c r="EH189" s="192"/>
      <c r="EI189" s="191"/>
      <c r="EJ189" s="19"/>
      <c r="EK189" s="192"/>
      <c r="EL189" s="192"/>
      <c r="EM189" s="192"/>
      <c r="EN189" s="191"/>
      <c r="EO189" s="193"/>
      <c r="EP189" s="192"/>
      <c r="EQ189" s="192"/>
      <c r="ER189" s="192"/>
      <c r="ES189" s="191"/>
      <c r="ET189" s="19"/>
      <c r="EU189" s="192"/>
      <c r="EV189" s="192"/>
      <c r="EW189" s="192"/>
      <c r="EX189" s="191"/>
      <c r="EY189" s="193"/>
      <c r="EZ189" s="192"/>
      <c r="FA189" s="192"/>
      <c r="FB189" s="192"/>
      <c r="FC189" s="191"/>
      <c r="FL189" s="273">
        <f t="shared" ca="1" si="8"/>
        <v>116</v>
      </c>
    </row>
    <row r="190" spans="1:168" ht="16.5" thickBot="1">
      <c r="A190" s="196">
        <v>187</v>
      </c>
      <c r="B190" s="306"/>
      <c r="C190" s="310"/>
      <c r="D190" s="307" t="s">
        <v>271</v>
      </c>
      <c r="E190" s="307" t="s">
        <v>271</v>
      </c>
      <c r="F190" s="308"/>
      <c r="G190" s="343" t="str">
        <f t="shared" si="6"/>
        <v xml:space="preserve"> </v>
      </c>
      <c r="H190" s="307"/>
      <c r="I190" s="309" t="e">
        <f t="shared" si="7"/>
        <v>#N/A</v>
      </c>
      <c r="J190" s="307"/>
      <c r="K190" s="307"/>
      <c r="L190" s="310"/>
      <c r="M190" s="310"/>
      <c r="N190" s="310"/>
      <c r="O190" s="310"/>
      <c r="P190" s="310"/>
      <c r="Q190" s="310"/>
      <c r="R190" s="310"/>
      <c r="S190" s="310"/>
      <c r="T190" s="310"/>
      <c r="U190" s="307"/>
      <c r="V190" s="307"/>
      <c r="W190" s="311"/>
      <c r="X190" s="307"/>
      <c r="Y190" s="307"/>
      <c r="Z190" s="307"/>
      <c r="AA190" s="307"/>
      <c r="AB190" s="311"/>
      <c r="AC190" s="307"/>
      <c r="AD190" s="307"/>
      <c r="AE190" s="307"/>
      <c r="AF190" s="307"/>
      <c r="AG190" s="310"/>
      <c r="AH190" s="307"/>
      <c r="AI190" s="310"/>
      <c r="AJ190" s="307"/>
      <c r="AK190" s="307"/>
      <c r="AL190" s="307"/>
      <c r="AM190" s="308"/>
      <c r="AN190" s="311"/>
      <c r="AO190" s="307"/>
      <c r="AP190" s="307"/>
      <c r="AQ190" s="308"/>
      <c r="AR190" s="307"/>
      <c r="AS190" s="307"/>
      <c r="AT190" s="307"/>
      <c r="AU190" s="310"/>
      <c r="AV190" s="308"/>
      <c r="AW190" s="312"/>
      <c r="AX190" s="308"/>
      <c r="AY190" s="307"/>
      <c r="AZ190" s="307"/>
      <c r="BA190" s="307"/>
      <c r="BB190" s="307"/>
      <c r="BC190" s="308"/>
      <c r="BD190" s="308"/>
      <c r="BE190" s="313"/>
      <c r="BF190" s="307"/>
      <c r="BG190" s="310"/>
      <c r="BH190" s="307"/>
      <c r="BI190" s="307"/>
      <c r="BJ190" s="310"/>
      <c r="BK190" s="307"/>
      <c r="BL190" s="307"/>
      <c r="BM190" s="310"/>
      <c r="BN190" s="307"/>
      <c r="BO190" s="310"/>
      <c r="BP190" s="307"/>
      <c r="BQ190" s="307"/>
      <c r="BR190" s="307"/>
      <c r="BS190" s="307"/>
      <c r="BT190" s="307"/>
      <c r="BU190" s="310"/>
      <c r="BV190" s="307"/>
      <c r="BW190" s="308"/>
      <c r="BX190" s="311"/>
      <c r="BY190" s="307"/>
      <c r="BZ190" s="307"/>
      <c r="CA190" s="310"/>
      <c r="CB190" s="307"/>
      <c r="CC190" s="307"/>
      <c r="CD190" s="307"/>
      <c r="CE190" s="308"/>
      <c r="CF190" s="308"/>
      <c r="CG190" s="307"/>
      <c r="CH190" s="307"/>
      <c r="CI190" s="307"/>
      <c r="CJ190" s="307"/>
      <c r="CK190" s="314"/>
      <c r="CL190" s="310"/>
      <c r="CM190" s="310"/>
      <c r="CN190" s="307"/>
      <c r="CO190" s="307"/>
      <c r="CP190" s="307"/>
      <c r="CQ190" s="315"/>
      <c r="CR190" s="315"/>
      <c r="CS190" s="315"/>
      <c r="CT190" s="315"/>
      <c r="CU190" s="307"/>
      <c r="CV190" s="217"/>
      <c r="CW190" s="192"/>
      <c r="CX190" s="192"/>
      <c r="CY190" s="192"/>
      <c r="CZ190" s="191"/>
      <c r="DA190" s="193"/>
      <c r="DB190" s="192"/>
      <c r="DC190" s="192"/>
      <c r="DD190" s="192"/>
      <c r="DE190" s="191"/>
      <c r="DF190" s="19"/>
      <c r="DG190" s="192"/>
      <c r="DH190" s="192"/>
      <c r="DI190" s="192"/>
      <c r="DJ190" s="191"/>
      <c r="DK190" s="193"/>
      <c r="DL190" s="192"/>
      <c r="DM190" s="192"/>
      <c r="DN190" s="192"/>
      <c r="DO190" s="191"/>
      <c r="DP190" s="19"/>
      <c r="DQ190" s="192"/>
      <c r="DR190" s="192"/>
      <c r="DS190" s="192"/>
      <c r="DT190" s="191"/>
      <c r="DU190" s="193"/>
      <c r="DV190" s="192"/>
      <c r="DW190" s="192"/>
      <c r="DX190" s="192"/>
      <c r="DY190" s="191"/>
      <c r="DZ190" s="19"/>
      <c r="EA190" s="192"/>
      <c r="EB190" s="192"/>
      <c r="EC190" s="192"/>
      <c r="ED190" s="191"/>
      <c r="EE190" s="193"/>
      <c r="EF190" s="192"/>
      <c r="EG190" s="192"/>
      <c r="EH190" s="192"/>
      <c r="EI190" s="191"/>
      <c r="EJ190" s="19"/>
      <c r="EK190" s="192"/>
      <c r="EL190" s="192"/>
      <c r="EM190" s="192"/>
      <c r="EN190" s="191"/>
      <c r="EO190" s="193"/>
      <c r="EP190" s="192"/>
      <c r="EQ190" s="192"/>
      <c r="ER190" s="192"/>
      <c r="ES190" s="191"/>
      <c r="ET190" s="19"/>
      <c r="EU190" s="192"/>
      <c r="EV190" s="192"/>
      <c r="EW190" s="192"/>
      <c r="EX190" s="191"/>
      <c r="EY190" s="193"/>
      <c r="EZ190" s="192"/>
      <c r="FA190" s="192"/>
      <c r="FB190" s="192"/>
      <c r="FC190" s="191"/>
      <c r="FL190" s="273">
        <f t="shared" ca="1" si="8"/>
        <v>116</v>
      </c>
    </row>
    <row r="191" spans="1:168" ht="16.5" thickBot="1">
      <c r="A191" s="199">
        <v>188</v>
      </c>
      <c r="B191" s="306"/>
      <c r="C191" s="310"/>
      <c r="D191" s="307" t="s">
        <v>271</v>
      </c>
      <c r="E191" s="307" t="s">
        <v>271</v>
      </c>
      <c r="F191" s="308"/>
      <c r="G191" s="343" t="str">
        <f t="shared" si="6"/>
        <v xml:space="preserve"> </v>
      </c>
      <c r="H191" s="307"/>
      <c r="I191" s="309" t="e">
        <f t="shared" si="7"/>
        <v>#N/A</v>
      </c>
      <c r="J191" s="307"/>
      <c r="K191" s="307"/>
      <c r="L191" s="310"/>
      <c r="M191" s="310"/>
      <c r="N191" s="310"/>
      <c r="O191" s="310"/>
      <c r="P191" s="310"/>
      <c r="Q191" s="310"/>
      <c r="R191" s="310"/>
      <c r="S191" s="310"/>
      <c r="T191" s="310"/>
      <c r="U191" s="307"/>
      <c r="V191" s="307"/>
      <c r="W191" s="311"/>
      <c r="X191" s="307"/>
      <c r="Y191" s="307"/>
      <c r="Z191" s="307"/>
      <c r="AA191" s="307"/>
      <c r="AB191" s="311"/>
      <c r="AC191" s="307"/>
      <c r="AD191" s="307"/>
      <c r="AE191" s="307"/>
      <c r="AF191" s="307"/>
      <c r="AG191" s="310"/>
      <c r="AH191" s="307"/>
      <c r="AI191" s="310"/>
      <c r="AJ191" s="307"/>
      <c r="AK191" s="307"/>
      <c r="AL191" s="307"/>
      <c r="AM191" s="308"/>
      <c r="AN191" s="311"/>
      <c r="AO191" s="307"/>
      <c r="AP191" s="307"/>
      <c r="AQ191" s="308"/>
      <c r="AR191" s="307"/>
      <c r="AS191" s="307"/>
      <c r="AT191" s="307"/>
      <c r="AU191" s="310"/>
      <c r="AV191" s="308"/>
      <c r="AW191" s="312"/>
      <c r="AX191" s="308"/>
      <c r="AY191" s="307"/>
      <c r="AZ191" s="307"/>
      <c r="BA191" s="307"/>
      <c r="BB191" s="307"/>
      <c r="BC191" s="308"/>
      <c r="BD191" s="308"/>
      <c r="BE191" s="313"/>
      <c r="BF191" s="307"/>
      <c r="BG191" s="310"/>
      <c r="BH191" s="307"/>
      <c r="BI191" s="307"/>
      <c r="BJ191" s="310"/>
      <c r="BK191" s="307"/>
      <c r="BL191" s="307"/>
      <c r="BM191" s="310"/>
      <c r="BN191" s="307"/>
      <c r="BO191" s="310"/>
      <c r="BP191" s="307"/>
      <c r="BQ191" s="307"/>
      <c r="BR191" s="307"/>
      <c r="BS191" s="307"/>
      <c r="BT191" s="307"/>
      <c r="BU191" s="310"/>
      <c r="BV191" s="307"/>
      <c r="BW191" s="308"/>
      <c r="BX191" s="311"/>
      <c r="BY191" s="307"/>
      <c r="BZ191" s="307"/>
      <c r="CA191" s="310"/>
      <c r="CB191" s="307"/>
      <c r="CC191" s="307"/>
      <c r="CD191" s="307"/>
      <c r="CE191" s="308"/>
      <c r="CF191" s="308"/>
      <c r="CG191" s="307"/>
      <c r="CH191" s="307"/>
      <c r="CI191" s="307"/>
      <c r="CJ191" s="307"/>
      <c r="CK191" s="314"/>
      <c r="CL191" s="310"/>
      <c r="CM191" s="310"/>
      <c r="CN191" s="307"/>
      <c r="CO191" s="307"/>
      <c r="CP191" s="307"/>
      <c r="CQ191" s="315"/>
      <c r="CR191" s="315"/>
      <c r="CS191" s="315"/>
      <c r="CT191" s="315"/>
      <c r="CU191" s="307"/>
      <c r="CV191" s="217"/>
      <c r="CW191" s="192"/>
      <c r="CX191" s="192"/>
      <c r="CY191" s="192"/>
      <c r="CZ191" s="191"/>
      <c r="DA191" s="193"/>
      <c r="DB191" s="192"/>
      <c r="DC191" s="192"/>
      <c r="DD191" s="192"/>
      <c r="DE191" s="191"/>
      <c r="DF191" s="19"/>
      <c r="DG191" s="192"/>
      <c r="DH191" s="192"/>
      <c r="DI191" s="192"/>
      <c r="DJ191" s="191"/>
      <c r="DK191" s="193"/>
      <c r="DL191" s="192"/>
      <c r="DM191" s="192"/>
      <c r="DN191" s="192"/>
      <c r="DO191" s="191"/>
      <c r="DP191" s="19"/>
      <c r="DQ191" s="192"/>
      <c r="DR191" s="192"/>
      <c r="DS191" s="192"/>
      <c r="DT191" s="191"/>
      <c r="DU191" s="193"/>
      <c r="DV191" s="192"/>
      <c r="DW191" s="192"/>
      <c r="DX191" s="192"/>
      <c r="DY191" s="191"/>
      <c r="DZ191" s="19"/>
      <c r="EA191" s="192"/>
      <c r="EB191" s="192"/>
      <c r="EC191" s="192"/>
      <c r="ED191" s="191"/>
      <c r="EE191" s="193"/>
      <c r="EF191" s="192"/>
      <c r="EG191" s="192"/>
      <c r="EH191" s="192"/>
      <c r="EI191" s="191"/>
      <c r="EJ191" s="19"/>
      <c r="EK191" s="192"/>
      <c r="EL191" s="192"/>
      <c r="EM191" s="192"/>
      <c r="EN191" s="191"/>
      <c r="EO191" s="193"/>
      <c r="EP191" s="192"/>
      <c r="EQ191" s="192"/>
      <c r="ER191" s="192"/>
      <c r="ES191" s="191"/>
      <c r="ET191" s="19"/>
      <c r="EU191" s="192"/>
      <c r="EV191" s="192"/>
      <c r="EW191" s="192"/>
      <c r="EX191" s="191"/>
      <c r="EY191" s="193"/>
      <c r="EZ191" s="192"/>
      <c r="FA191" s="192"/>
      <c r="FB191" s="192"/>
      <c r="FC191" s="191"/>
      <c r="FL191" s="273">
        <f t="shared" ca="1" si="8"/>
        <v>116</v>
      </c>
    </row>
    <row r="192" spans="1:168" ht="16.5" thickBot="1">
      <c r="A192" s="196">
        <v>189</v>
      </c>
      <c r="B192" s="306"/>
      <c r="C192" s="310"/>
      <c r="D192" s="307" t="s">
        <v>271</v>
      </c>
      <c r="E192" s="307" t="s">
        <v>271</v>
      </c>
      <c r="F192" s="308"/>
      <c r="G192" s="343" t="str">
        <f t="shared" si="6"/>
        <v xml:space="preserve"> </v>
      </c>
      <c r="H192" s="307"/>
      <c r="I192" s="309" t="e">
        <f t="shared" si="7"/>
        <v>#N/A</v>
      </c>
      <c r="J192" s="307"/>
      <c r="K192" s="307"/>
      <c r="L192" s="310"/>
      <c r="M192" s="310"/>
      <c r="N192" s="310"/>
      <c r="O192" s="310"/>
      <c r="P192" s="310"/>
      <c r="Q192" s="310"/>
      <c r="R192" s="310"/>
      <c r="S192" s="310"/>
      <c r="T192" s="310"/>
      <c r="U192" s="307"/>
      <c r="V192" s="307"/>
      <c r="W192" s="311"/>
      <c r="X192" s="307"/>
      <c r="Y192" s="307"/>
      <c r="Z192" s="307"/>
      <c r="AA192" s="307"/>
      <c r="AB192" s="311"/>
      <c r="AC192" s="307"/>
      <c r="AD192" s="307"/>
      <c r="AE192" s="307"/>
      <c r="AF192" s="307"/>
      <c r="AG192" s="310"/>
      <c r="AH192" s="307"/>
      <c r="AI192" s="310"/>
      <c r="AJ192" s="307"/>
      <c r="AK192" s="307"/>
      <c r="AL192" s="307"/>
      <c r="AM192" s="308"/>
      <c r="AN192" s="311"/>
      <c r="AO192" s="307"/>
      <c r="AP192" s="307"/>
      <c r="AQ192" s="308"/>
      <c r="AR192" s="307"/>
      <c r="AS192" s="307"/>
      <c r="AT192" s="307"/>
      <c r="AU192" s="310"/>
      <c r="AV192" s="308"/>
      <c r="AW192" s="312"/>
      <c r="AX192" s="308"/>
      <c r="AY192" s="307"/>
      <c r="AZ192" s="307"/>
      <c r="BA192" s="307"/>
      <c r="BB192" s="307"/>
      <c r="BC192" s="308"/>
      <c r="BD192" s="308"/>
      <c r="BE192" s="313"/>
      <c r="BF192" s="307"/>
      <c r="BG192" s="310"/>
      <c r="BH192" s="307"/>
      <c r="BI192" s="307"/>
      <c r="BJ192" s="310"/>
      <c r="BK192" s="307"/>
      <c r="BL192" s="307"/>
      <c r="BM192" s="310"/>
      <c r="BN192" s="307"/>
      <c r="BO192" s="310"/>
      <c r="BP192" s="307"/>
      <c r="BQ192" s="307"/>
      <c r="BR192" s="307"/>
      <c r="BS192" s="307"/>
      <c r="BT192" s="307"/>
      <c r="BU192" s="310"/>
      <c r="BV192" s="307"/>
      <c r="BW192" s="308"/>
      <c r="BX192" s="311"/>
      <c r="BY192" s="307"/>
      <c r="BZ192" s="307"/>
      <c r="CA192" s="310"/>
      <c r="CB192" s="307"/>
      <c r="CC192" s="307"/>
      <c r="CD192" s="307"/>
      <c r="CE192" s="308"/>
      <c r="CF192" s="308"/>
      <c r="CG192" s="307"/>
      <c r="CH192" s="307"/>
      <c r="CI192" s="307"/>
      <c r="CJ192" s="307"/>
      <c r="CK192" s="314"/>
      <c r="CL192" s="310"/>
      <c r="CM192" s="310"/>
      <c r="CN192" s="307"/>
      <c r="CO192" s="307"/>
      <c r="CP192" s="307"/>
      <c r="CQ192" s="315"/>
      <c r="CR192" s="315"/>
      <c r="CS192" s="315"/>
      <c r="CT192" s="315"/>
      <c r="CU192" s="307"/>
      <c r="CV192" s="217"/>
      <c r="CW192" s="192"/>
      <c r="CX192" s="192"/>
      <c r="CY192" s="192"/>
      <c r="CZ192" s="191"/>
      <c r="DA192" s="193"/>
      <c r="DB192" s="192"/>
      <c r="DC192" s="192"/>
      <c r="DD192" s="192"/>
      <c r="DE192" s="191"/>
      <c r="DF192" s="19"/>
      <c r="DG192" s="192"/>
      <c r="DH192" s="192"/>
      <c r="DI192" s="192"/>
      <c r="DJ192" s="191"/>
      <c r="DK192" s="193"/>
      <c r="DL192" s="192"/>
      <c r="DM192" s="192"/>
      <c r="DN192" s="192"/>
      <c r="DO192" s="191"/>
      <c r="DP192" s="19"/>
      <c r="DQ192" s="192"/>
      <c r="DR192" s="192"/>
      <c r="DS192" s="192"/>
      <c r="DT192" s="191"/>
      <c r="DU192" s="193"/>
      <c r="DV192" s="192"/>
      <c r="DW192" s="192"/>
      <c r="DX192" s="192"/>
      <c r="DY192" s="191"/>
      <c r="DZ192" s="19"/>
      <c r="EA192" s="192"/>
      <c r="EB192" s="192"/>
      <c r="EC192" s="192"/>
      <c r="ED192" s="191"/>
      <c r="EE192" s="193"/>
      <c r="EF192" s="192"/>
      <c r="EG192" s="192"/>
      <c r="EH192" s="192"/>
      <c r="EI192" s="191"/>
      <c r="EJ192" s="19"/>
      <c r="EK192" s="192"/>
      <c r="EL192" s="192"/>
      <c r="EM192" s="192"/>
      <c r="EN192" s="191"/>
      <c r="EO192" s="193"/>
      <c r="EP192" s="192"/>
      <c r="EQ192" s="192"/>
      <c r="ER192" s="192"/>
      <c r="ES192" s="191"/>
      <c r="ET192" s="19"/>
      <c r="EU192" s="192"/>
      <c r="EV192" s="192"/>
      <c r="EW192" s="192"/>
      <c r="EX192" s="191"/>
      <c r="EY192" s="193"/>
      <c r="EZ192" s="192"/>
      <c r="FA192" s="192"/>
      <c r="FB192" s="192"/>
      <c r="FC192" s="191"/>
      <c r="FL192" s="273">
        <f t="shared" ca="1" si="8"/>
        <v>116</v>
      </c>
    </row>
    <row r="193" spans="1:168" ht="16.5" thickBot="1">
      <c r="A193" s="199">
        <v>190</v>
      </c>
      <c r="B193" s="306"/>
      <c r="C193" s="310"/>
      <c r="D193" s="307" t="s">
        <v>271</v>
      </c>
      <c r="E193" s="307" t="s">
        <v>271</v>
      </c>
      <c r="F193" s="308"/>
      <c r="G193" s="343" t="str">
        <f t="shared" si="6"/>
        <v xml:space="preserve"> </v>
      </c>
      <c r="H193" s="307"/>
      <c r="I193" s="309" t="e">
        <f t="shared" si="7"/>
        <v>#N/A</v>
      </c>
      <c r="J193" s="307"/>
      <c r="K193" s="307"/>
      <c r="L193" s="310"/>
      <c r="M193" s="310"/>
      <c r="N193" s="310"/>
      <c r="O193" s="310"/>
      <c r="P193" s="310"/>
      <c r="Q193" s="310"/>
      <c r="R193" s="310"/>
      <c r="S193" s="310"/>
      <c r="T193" s="310"/>
      <c r="U193" s="307"/>
      <c r="V193" s="307"/>
      <c r="W193" s="311"/>
      <c r="X193" s="307"/>
      <c r="Y193" s="307"/>
      <c r="Z193" s="307"/>
      <c r="AA193" s="307"/>
      <c r="AB193" s="311"/>
      <c r="AC193" s="307"/>
      <c r="AD193" s="307"/>
      <c r="AE193" s="307"/>
      <c r="AF193" s="307"/>
      <c r="AG193" s="310"/>
      <c r="AH193" s="307"/>
      <c r="AI193" s="310"/>
      <c r="AJ193" s="307"/>
      <c r="AK193" s="307"/>
      <c r="AL193" s="307"/>
      <c r="AM193" s="308"/>
      <c r="AN193" s="311"/>
      <c r="AO193" s="307"/>
      <c r="AP193" s="307"/>
      <c r="AQ193" s="308"/>
      <c r="AR193" s="307"/>
      <c r="AS193" s="307"/>
      <c r="AT193" s="307"/>
      <c r="AU193" s="310"/>
      <c r="AV193" s="308"/>
      <c r="AW193" s="312"/>
      <c r="AX193" s="308"/>
      <c r="AY193" s="307"/>
      <c r="AZ193" s="307"/>
      <c r="BA193" s="307"/>
      <c r="BB193" s="307"/>
      <c r="BC193" s="308"/>
      <c r="BD193" s="308"/>
      <c r="BE193" s="313"/>
      <c r="BF193" s="307"/>
      <c r="BG193" s="310"/>
      <c r="BH193" s="307"/>
      <c r="BI193" s="307"/>
      <c r="BJ193" s="310"/>
      <c r="BK193" s="307"/>
      <c r="BL193" s="307"/>
      <c r="BM193" s="310"/>
      <c r="BN193" s="307"/>
      <c r="BO193" s="310"/>
      <c r="BP193" s="307"/>
      <c r="BQ193" s="307"/>
      <c r="BR193" s="307"/>
      <c r="BS193" s="307"/>
      <c r="BT193" s="307"/>
      <c r="BU193" s="310"/>
      <c r="BV193" s="307"/>
      <c r="BW193" s="308"/>
      <c r="BX193" s="311"/>
      <c r="BY193" s="307"/>
      <c r="BZ193" s="307"/>
      <c r="CA193" s="310"/>
      <c r="CB193" s="307"/>
      <c r="CC193" s="307"/>
      <c r="CD193" s="307"/>
      <c r="CE193" s="308"/>
      <c r="CF193" s="308"/>
      <c r="CG193" s="307"/>
      <c r="CH193" s="307"/>
      <c r="CI193" s="307"/>
      <c r="CJ193" s="307"/>
      <c r="CK193" s="314"/>
      <c r="CL193" s="310"/>
      <c r="CM193" s="310"/>
      <c r="CN193" s="307"/>
      <c r="CO193" s="307"/>
      <c r="CP193" s="307"/>
      <c r="CQ193" s="315"/>
      <c r="CR193" s="315"/>
      <c r="CS193" s="315"/>
      <c r="CT193" s="315"/>
      <c r="CU193" s="307"/>
      <c r="CV193" s="217"/>
      <c r="CW193" s="192"/>
      <c r="CX193" s="192"/>
      <c r="CY193" s="192"/>
      <c r="CZ193" s="191"/>
      <c r="DA193" s="193"/>
      <c r="DB193" s="192"/>
      <c r="DC193" s="192"/>
      <c r="DD193" s="192"/>
      <c r="DE193" s="191"/>
      <c r="DF193" s="19"/>
      <c r="DG193" s="192"/>
      <c r="DH193" s="192"/>
      <c r="DI193" s="192"/>
      <c r="DJ193" s="191"/>
      <c r="DK193" s="193"/>
      <c r="DL193" s="192"/>
      <c r="DM193" s="192"/>
      <c r="DN193" s="192"/>
      <c r="DO193" s="191"/>
      <c r="DP193" s="19"/>
      <c r="DQ193" s="192"/>
      <c r="DR193" s="192"/>
      <c r="DS193" s="192"/>
      <c r="DT193" s="191"/>
      <c r="DU193" s="193"/>
      <c r="DV193" s="192"/>
      <c r="DW193" s="192"/>
      <c r="DX193" s="192"/>
      <c r="DY193" s="191"/>
      <c r="DZ193" s="19"/>
      <c r="EA193" s="192"/>
      <c r="EB193" s="192"/>
      <c r="EC193" s="192"/>
      <c r="ED193" s="191"/>
      <c r="EE193" s="193"/>
      <c r="EF193" s="192"/>
      <c r="EG193" s="192"/>
      <c r="EH193" s="192"/>
      <c r="EI193" s="191"/>
      <c r="EJ193" s="19"/>
      <c r="EK193" s="192"/>
      <c r="EL193" s="192"/>
      <c r="EM193" s="192"/>
      <c r="EN193" s="191"/>
      <c r="EO193" s="193"/>
      <c r="EP193" s="192"/>
      <c r="EQ193" s="192"/>
      <c r="ER193" s="192"/>
      <c r="ES193" s="191"/>
      <c r="ET193" s="19"/>
      <c r="EU193" s="192"/>
      <c r="EV193" s="192"/>
      <c r="EW193" s="192"/>
      <c r="EX193" s="191"/>
      <c r="EY193" s="193"/>
      <c r="EZ193" s="192"/>
      <c r="FA193" s="192"/>
      <c r="FB193" s="192"/>
      <c r="FC193" s="191"/>
      <c r="FL193" s="273">
        <f t="shared" ca="1" si="8"/>
        <v>116</v>
      </c>
    </row>
    <row r="194" spans="1:168" ht="16.5" thickBot="1">
      <c r="A194" s="196">
        <v>191</v>
      </c>
      <c r="B194" s="306"/>
      <c r="C194" s="310"/>
      <c r="D194" s="307" t="s">
        <v>271</v>
      </c>
      <c r="E194" s="307" t="s">
        <v>271</v>
      </c>
      <c r="F194" s="308"/>
      <c r="G194" s="343" t="str">
        <f t="shared" si="6"/>
        <v xml:space="preserve"> </v>
      </c>
      <c r="H194" s="307"/>
      <c r="I194" s="309" t="e">
        <f t="shared" si="7"/>
        <v>#N/A</v>
      </c>
      <c r="J194" s="307"/>
      <c r="K194" s="307"/>
      <c r="L194" s="310"/>
      <c r="M194" s="310"/>
      <c r="N194" s="310"/>
      <c r="O194" s="310"/>
      <c r="P194" s="310"/>
      <c r="Q194" s="310"/>
      <c r="R194" s="310"/>
      <c r="S194" s="310"/>
      <c r="T194" s="310"/>
      <c r="U194" s="307"/>
      <c r="V194" s="307"/>
      <c r="W194" s="311"/>
      <c r="X194" s="307"/>
      <c r="Y194" s="307"/>
      <c r="Z194" s="307"/>
      <c r="AA194" s="307"/>
      <c r="AB194" s="311"/>
      <c r="AC194" s="307"/>
      <c r="AD194" s="307"/>
      <c r="AE194" s="307"/>
      <c r="AF194" s="307"/>
      <c r="AG194" s="310"/>
      <c r="AH194" s="307"/>
      <c r="AI194" s="310"/>
      <c r="AJ194" s="307"/>
      <c r="AK194" s="307"/>
      <c r="AL194" s="307"/>
      <c r="AM194" s="308"/>
      <c r="AN194" s="311"/>
      <c r="AO194" s="307"/>
      <c r="AP194" s="307"/>
      <c r="AQ194" s="308"/>
      <c r="AR194" s="307"/>
      <c r="AS194" s="307"/>
      <c r="AT194" s="307"/>
      <c r="AU194" s="310"/>
      <c r="AV194" s="308"/>
      <c r="AW194" s="312"/>
      <c r="AX194" s="308"/>
      <c r="AY194" s="307"/>
      <c r="AZ194" s="307"/>
      <c r="BA194" s="307"/>
      <c r="BB194" s="307"/>
      <c r="BC194" s="308"/>
      <c r="BD194" s="308"/>
      <c r="BE194" s="313"/>
      <c r="BF194" s="307"/>
      <c r="BG194" s="310"/>
      <c r="BH194" s="307"/>
      <c r="BI194" s="307"/>
      <c r="BJ194" s="310"/>
      <c r="BK194" s="307"/>
      <c r="BL194" s="307"/>
      <c r="BM194" s="310"/>
      <c r="BN194" s="307"/>
      <c r="BO194" s="310"/>
      <c r="BP194" s="307"/>
      <c r="BQ194" s="307"/>
      <c r="BR194" s="307"/>
      <c r="BS194" s="307"/>
      <c r="BT194" s="307"/>
      <c r="BU194" s="310"/>
      <c r="BV194" s="307"/>
      <c r="BW194" s="308"/>
      <c r="BX194" s="311"/>
      <c r="BY194" s="307"/>
      <c r="BZ194" s="307"/>
      <c r="CA194" s="310"/>
      <c r="CB194" s="307"/>
      <c r="CC194" s="307"/>
      <c r="CD194" s="307"/>
      <c r="CE194" s="308"/>
      <c r="CF194" s="308"/>
      <c r="CG194" s="307"/>
      <c r="CH194" s="307"/>
      <c r="CI194" s="307"/>
      <c r="CJ194" s="307"/>
      <c r="CK194" s="314"/>
      <c r="CL194" s="310"/>
      <c r="CM194" s="310"/>
      <c r="CN194" s="307"/>
      <c r="CO194" s="307"/>
      <c r="CP194" s="307"/>
      <c r="CQ194" s="315"/>
      <c r="CR194" s="315"/>
      <c r="CS194" s="315"/>
      <c r="CT194" s="315"/>
      <c r="CU194" s="307"/>
      <c r="CV194" s="217"/>
      <c r="CW194" s="192"/>
      <c r="CX194" s="192"/>
      <c r="CY194" s="192"/>
      <c r="CZ194" s="191"/>
      <c r="DA194" s="193"/>
      <c r="DB194" s="192"/>
      <c r="DC194" s="192"/>
      <c r="DD194" s="192"/>
      <c r="DE194" s="191"/>
      <c r="DF194" s="19"/>
      <c r="DG194" s="192"/>
      <c r="DH194" s="192"/>
      <c r="DI194" s="192"/>
      <c r="DJ194" s="191"/>
      <c r="DK194" s="193"/>
      <c r="DL194" s="192"/>
      <c r="DM194" s="192"/>
      <c r="DN194" s="192"/>
      <c r="DO194" s="191"/>
      <c r="DP194" s="19"/>
      <c r="DQ194" s="192"/>
      <c r="DR194" s="192"/>
      <c r="DS194" s="192"/>
      <c r="DT194" s="191"/>
      <c r="DU194" s="193"/>
      <c r="DV194" s="192"/>
      <c r="DW194" s="192"/>
      <c r="DX194" s="192"/>
      <c r="DY194" s="191"/>
      <c r="DZ194" s="19"/>
      <c r="EA194" s="192"/>
      <c r="EB194" s="192"/>
      <c r="EC194" s="192"/>
      <c r="ED194" s="191"/>
      <c r="EE194" s="193"/>
      <c r="EF194" s="192"/>
      <c r="EG194" s="192"/>
      <c r="EH194" s="192"/>
      <c r="EI194" s="191"/>
      <c r="EJ194" s="19"/>
      <c r="EK194" s="192"/>
      <c r="EL194" s="192"/>
      <c r="EM194" s="192"/>
      <c r="EN194" s="191"/>
      <c r="EO194" s="193"/>
      <c r="EP194" s="192"/>
      <c r="EQ194" s="192"/>
      <c r="ER194" s="192"/>
      <c r="ES194" s="191"/>
      <c r="ET194" s="19"/>
      <c r="EU194" s="192"/>
      <c r="EV194" s="192"/>
      <c r="EW194" s="192"/>
      <c r="EX194" s="191"/>
      <c r="EY194" s="193"/>
      <c r="EZ194" s="192"/>
      <c r="FA194" s="192"/>
      <c r="FB194" s="192"/>
      <c r="FC194" s="191"/>
      <c r="FL194" s="273">
        <f t="shared" ca="1" si="8"/>
        <v>116</v>
      </c>
    </row>
    <row r="195" spans="1:168" ht="16.5" thickBot="1">
      <c r="A195" s="199">
        <v>192</v>
      </c>
      <c r="B195" s="306"/>
      <c r="C195" s="310"/>
      <c r="D195" s="307" t="s">
        <v>271</v>
      </c>
      <c r="E195" s="307" t="s">
        <v>271</v>
      </c>
      <c r="F195" s="308"/>
      <c r="G195" s="343" t="str">
        <f t="shared" si="6"/>
        <v xml:space="preserve"> </v>
      </c>
      <c r="H195" s="307"/>
      <c r="I195" s="309" t="e">
        <f t="shared" si="7"/>
        <v>#N/A</v>
      </c>
      <c r="J195" s="307"/>
      <c r="K195" s="307"/>
      <c r="L195" s="310"/>
      <c r="M195" s="310"/>
      <c r="N195" s="310"/>
      <c r="O195" s="310"/>
      <c r="P195" s="310"/>
      <c r="Q195" s="310"/>
      <c r="R195" s="310"/>
      <c r="S195" s="310"/>
      <c r="T195" s="310"/>
      <c r="U195" s="307"/>
      <c r="V195" s="307"/>
      <c r="W195" s="311"/>
      <c r="X195" s="307"/>
      <c r="Y195" s="307"/>
      <c r="Z195" s="307"/>
      <c r="AA195" s="307"/>
      <c r="AB195" s="311"/>
      <c r="AC195" s="307"/>
      <c r="AD195" s="307"/>
      <c r="AE195" s="307"/>
      <c r="AF195" s="307"/>
      <c r="AG195" s="310"/>
      <c r="AH195" s="307"/>
      <c r="AI195" s="310"/>
      <c r="AJ195" s="307"/>
      <c r="AK195" s="307"/>
      <c r="AL195" s="307"/>
      <c r="AM195" s="308"/>
      <c r="AN195" s="311"/>
      <c r="AO195" s="307"/>
      <c r="AP195" s="307"/>
      <c r="AQ195" s="308"/>
      <c r="AR195" s="307"/>
      <c r="AS195" s="307"/>
      <c r="AT195" s="307"/>
      <c r="AU195" s="310"/>
      <c r="AV195" s="308"/>
      <c r="AW195" s="312"/>
      <c r="AX195" s="308"/>
      <c r="AY195" s="307"/>
      <c r="AZ195" s="307"/>
      <c r="BA195" s="307"/>
      <c r="BB195" s="307"/>
      <c r="BC195" s="308"/>
      <c r="BD195" s="308"/>
      <c r="BE195" s="313"/>
      <c r="BF195" s="307"/>
      <c r="BG195" s="310"/>
      <c r="BH195" s="307"/>
      <c r="BI195" s="307"/>
      <c r="BJ195" s="310"/>
      <c r="BK195" s="307"/>
      <c r="BL195" s="307"/>
      <c r="BM195" s="310"/>
      <c r="BN195" s="307"/>
      <c r="BO195" s="310"/>
      <c r="BP195" s="307"/>
      <c r="BQ195" s="307"/>
      <c r="BR195" s="307"/>
      <c r="BS195" s="307"/>
      <c r="BT195" s="307"/>
      <c r="BU195" s="310"/>
      <c r="BV195" s="307"/>
      <c r="BW195" s="308"/>
      <c r="BX195" s="311"/>
      <c r="BY195" s="307"/>
      <c r="BZ195" s="307"/>
      <c r="CA195" s="310"/>
      <c r="CB195" s="307"/>
      <c r="CC195" s="307"/>
      <c r="CD195" s="307"/>
      <c r="CE195" s="308"/>
      <c r="CF195" s="308"/>
      <c r="CG195" s="307"/>
      <c r="CH195" s="307"/>
      <c r="CI195" s="307"/>
      <c r="CJ195" s="307"/>
      <c r="CK195" s="314"/>
      <c r="CL195" s="310"/>
      <c r="CM195" s="310"/>
      <c r="CN195" s="307"/>
      <c r="CO195" s="307"/>
      <c r="CP195" s="307"/>
      <c r="CQ195" s="315"/>
      <c r="CR195" s="315"/>
      <c r="CS195" s="315"/>
      <c r="CT195" s="315"/>
      <c r="CU195" s="307"/>
      <c r="CV195" s="217"/>
      <c r="CW195" s="192"/>
      <c r="CX195" s="192"/>
      <c r="CY195" s="192"/>
      <c r="CZ195" s="191"/>
      <c r="DA195" s="193"/>
      <c r="DB195" s="192"/>
      <c r="DC195" s="192"/>
      <c r="DD195" s="192"/>
      <c r="DE195" s="191"/>
      <c r="DF195" s="19"/>
      <c r="DG195" s="192"/>
      <c r="DH195" s="192"/>
      <c r="DI195" s="192"/>
      <c r="DJ195" s="191"/>
      <c r="DK195" s="193"/>
      <c r="DL195" s="192"/>
      <c r="DM195" s="192"/>
      <c r="DN195" s="192"/>
      <c r="DO195" s="191"/>
      <c r="DP195" s="19"/>
      <c r="DQ195" s="192"/>
      <c r="DR195" s="192"/>
      <c r="DS195" s="192"/>
      <c r="DT195" s="191"/>
      <c r="DU195" s="193"/>
      <c r="DV195" s="192"/>
      <c r="DW195" s="192"/>
      <c r="DX195" s="192"/>
      <c r="DY195" s="191"/>
      <c r="DZ195" s="19"/>
      <c r="EA195" s="192"/>
      <c r="EB195" s="192"/>
      <c r="EC195" s="192"/>
      <c r="ED195" s="191"/>
      <c r="EE195" s="193"/>
      <c r="EF195" s="192"/>
      <c r="EG195" s="192"/>
      <c r="EH195" s="192"/>
      <c r="EI195" s="191"/>
      <c r="EJ195" s="19"/>
      <c r="EK195" s="192"/>
      <c r="EL195" s="192"/>
      <c r="EM195" s="192"/>
      <c r="EN195" s="191"/>
      <c r="EO195" s="193"/>
      <c r="EP195" s="192"/>
      <c r="EQ195" s="192"/>
      <c r="ER195" s="192"/>
      <c r="ES195" s="191"/>
      <c r="ET195" s="19"/>
      <c r="EU195" s="192"/>
      <c r="EV195" s="192"/>
      <c r="EW195" s="192"/>
      <c r="EX195" s="191"/>
      <c r="EY195" s="193"/>
      <c r="EZ195" s="192"/>
      <c r="FA195" s="192"/>
      <c r="FB195" s="192"/>
      <c r="FC195" s="191"/>
      <c r="FL195" s="273">
        <f t="shared" ca="1" si="8"/>
        <v>116</v>
      </c>
    </row>
    <row r="196" spans="1:168" ht="16.5" thickBot="1">
      <c r="A196" s="196">
        <v>193</v>
      </c>
      <c r="B196" s="306"/>
      <c r="C196" s="310"/>
      <c r="D196" s="307" t="s">
        <v>271</v>
      </c>
      <c r="E196" s="307" t="s">
        <v>271</v>
      </c>
      <c r="F196" s="308"/>
      <c r="G196" s="343" t="str">
        <f t="shared" si="6"/>
        <v xml:space="preserve"> </v>
      </c>
      <c r="H196" s="307"/>
      <c r="I196" s="309" t="e">
        <f t="shared" si="7"/>
        <v>#N/A</v>
      </c>
      <c r="J196" s="307"/>
      <c r="K196" s="307"/>
      <c r="L196" s="310"/>
      <c r="M196" s="310"/>
      <c r="N196" s="310"/>
      <c r="O196" s="310"/>
      <c r="P196" s="310"/>
      <c r="Q196" s="310"/>
      <c r="R196" s="310"/>
      <c r="S196" s="310"/>
      <c r="T196" s="310"/>
      <c r="U196" s="307"/>
      <c r="V196" s="307"/>
      <c r="W196" s="311"/>
      <c r="X196" s="307"/>
      <c r="Y196" s="307"/>
      <c r="Z196" s="307"/>
      <c r="AA196" s="307"/>
      <c r="AB196" s="311"/>
      <c r="AC196" s="307"/>
      <c r="AD196" s="307"/>
      <c r="AE196" s="307"/>
      <c r="AF196" s="307"/>
      <c r="AG196" s="310"/>
      <c r="AH196" s="307"/>
      <c r="AI196" s="310"/>
      <c r="AJ196" s="307"/>
      <c r="AK196" s="307"/>
      <c r="AL196" s="307"/>
      <c r="AM196" s="308"/>
      <c r="AN196" s="311"/>
      <c r="AO196" s="307"/>
      <c r="AP196" s="307"/>
      <c r="AQ196" s="308"/>
      <c r="AR196" s="307"/>
      <c r="AS196" s="307"/>
      <c r="AT196" s="307"/>
      <c r="AU196" s="310"/>
      <c r="AV196" s="308"/>
      <c r="AW196" s="312"/>
      <c r="AX196" s="308"/>
      <c r="AY196" s="307"/>
      <c r="AZ196" s="307"/>
      <c r="BA196" s="307"/>
      <c r="BB196" s="307"/>
      <c r="BC196" s="308"/>
      <c r="BD196" s="308"/>
      <c r="BE196" s="313"/>
      <c r="BF196" s="307"/>
      <c r="BG196" s="310"/>
      <c r="BH196" s="307"/>
      <c r="BI196" s="307"/>
      <c r="BJ196" s="310"/>
      <c r="BK196" s="307"/>
      <c r="BL196" s="307"/>
      <c r="BM196" s="310"/>
      <c r="BN196" s="307"/>
      <c r="BO196" s="310"/>
      <c r="BP196" s="307"/>
      <c r="BQ196" s="307"/>
      <c r="BR196" s="307"/>
      <c r="BS196" s="307"/>
      <c r="BT196" s="307"/>
      <c r="BU196" s="310"/>
      <c r="BV196" s="307"/>
      <c r="BW196" s="308"/>
      <c r="BX196" s="311"/>
      <c r="BY196" s="307"/>
      <c r="BZ196" s="307"/>
      <c r="CA196" s="310"/>
      <c r="CB196" s="307"/>
      <c r="CC196" s="307"/>
      <c r="CD196" s="307"/>
      <c r="CE196" s="308"/>
      <c r="CF196" s="308"/>
      <c r="CG196" s="307"/>
      <c r="CH196" s="307"/>
      <c r="CI196" s="307"/>
      <c r="CJ196" s="307"/>
      <c r="CK196" s="314"/>
      <c r="CL196" s="310"/>
      <c r="CM196" s="310"/>
      <c r="CN196" s="307"/>
      <c r="CO196" s="307"/>
      <c r="CP196" s="307"/>
      <c r="CQ196" s="315"/>
      <c r="CR196" s="315"/>
      <c r="CS196" s="315"/>
      <c r="CT196" s="315"/>
      <c r="CU196" s="307"/>
      <c r="CV196" s="217"/>
      <c r="CW196" s="192"/>
      <c r="CX196" s="192"/>
      <c r="CY196" s="192"/>
      <c r="CZ196" s="191"/>
      <c r="DA196" s="193"/>
      <c r="DB196" s="192"/>
      <c r="DC196" s="192"/>
      <c r="DD196" s="192"/>
      <c r="DE196" s="191"/>
      <c r="DF196" s="19"/>
      <c r="DG196" s="192"/>
      <c r="DH196" s="192"/>
      <c r="DI196" s="192"/>
      <c r="DJ196" s="191"/>
      <c r="DK196" s="193"/>
      <c r="DL196" s="192"/>
      <c r="DM196" s="192"/>
      <c r="DN196" s="192"/>
      <c r="DO196" s="191"/>
      <c r="DP196" s="19"/>
      <c r="DQ196" s="192"/>
      <c r="DR196" s="192"/>
      <c r="DS196" s="192"/>
      <c r="DT196" s="191"/>
      <c r="DU196" s="193"/>
      <c r="DV196" s="192"/>
      <c r="DW196" s="192"/>
      <c r="DX196" s="192"/>
      <c r="DY196" s="191"/>
      <c r="DZ196" s="19"/>
      <c r="EA196" s="192"/>
      <c r="EB196" s="192"/>
      <c r="EC196" s="192"/>
      <c r="ED196" s="191"/>
      <c r="EE196" s="193"/>
      <c r="EF196" s="192"/>
      <c r="EG196" s="192"/>
      <c r="EH196" s="192"/>
      <c r="EI196" s="191"/>
      <c r="EJ196" s="19"/>
      <c r="EK196" s="192"/>
      <c r="EL196" s="192"/>
      <c r="EM196" s="192"/>
      <c r="EN196" s="191"/>
      <c r="EO196" s="193"/>
      <c r="EP196" s="192"/>
      <c r="EQ196" s="192"/>
      <c r="ER196" s="192"/>
      <c r="ES196" s="191"/>
      <c r="ET196" s="19"/>
      <c r="EU196" s="192"/>
      <c r="EV196" s="192"/>
      <c r="EW196" s="192"/>
      <c r="EX196" s="191"/>
      <c r="EY196" s="193"/>
      <c r="EZ196" s="192"/>
      <c r="FA196" s="192"/>
      <c r="FB196" s="192"/>
      <c r="FC196" s="191"/>
      <c r="FL196" s="273">
        <f t="shared" ca="1" si="8"/>
        <v>116</v>
      </c>
    </row>
    <row r="197" spans="1:168" ht="16.5" thickBot="1">
      <c r="A197" s="199">
        <v>194</v>
      </c>
      <c r="B197" s="306"/>
      <c r="C197" s="310"/>
      <c r="D197" s="307" t="s">
        <v>271</v>
      </c>
      <c r="E197" s="307" t="s">
        <v>271</v>
      </c>
      <c r="F197" s="308"/>
      <c r="G197" s="343" t="str">
        <f t="shared" ref="G197:G260" si="9">IF(F197=0," ",IF(F197&gt;0,FL197))</f>
        <v xml:space="preserve"> </v>
      </c>
      <c r="H197" s="307"/>
      <c r="I197" s="309" t="e">
        <f t="shared" ref="I197:I260" si="10">VLOOKUP(J197,$FH$5:$FI$32,2)</f>
        <v>#N/A</v>
      </c>
      <c r="J197" s="307"/>
      <c r="K197" s="307"/>
      <c r="L197" s="310"/>
      <c r="M197" s="310"/>
      <c r="N197" s="310"/>
      <c r="O197" s="310"/>
      <c r="P197" s="310"/>
      <c r="Q197" s="310"/>
      <c r="R197" s="310"/>
      <c r="S197" s="310"/>
      <c r="T197" s="310"/>
      <c r="U197" s="307"/>
      <c r="V197" s="307"/>
      <c r="W197" s="311"/>
      <c r="X197" s="307"/>
      <c r="Y197" s="307"/>
      <c r="Z197" s="307"/>
      <c r="AA197" s="307"/>
      <c r="AB197" s="311"/>
      <c r="AC197" s="307"/>
      <c r="AD197" s="307"/>
      <c r="AE197" s="307"/>
      <c r="AF197" s="307"/>
      <c r="AG197" s="310"/>
      <c r="AH197" s="307"/>
      <c r="AI197" s="310"/>
      <c r="AJ197" s="307"/>
      <c r="AK197" s="307"/>
      <c r="AL197" s="307"/>
      <c r="AM197" s="308"/>
      <c r="AN197" s="311"/>
      <c r="AO197" s="307"/>
      <c r="AP197" s="307"/>
      <c r="AQ197" s="308"/>
      <c r="AR197" s="307"/>
      <c r="AS197" s="307"/>
      <c r="AT197" s="307"/>
      <c r="AU197" s="310"/>
      <c r="AV197" s="308"/>
      <c r="AW197" s="312"/>
      <c r="AX197" s="308"/>
      <c r="AY197" s="307"/>
      <c r="AZ197" s="307"/>
      <c r="BA197" s="307"/>
      <c r="BB197" s="307"/>
      <c r="BC197" s="308"/>
      <c r="BD197" s="308"/>
      <c r="BE197" s="313"/>
      <c r="BF197" s="307"/>
      <c r="BG197" s="310"/>
      <c r="BH197" s="307"/>
      <c r="BI197" s="307"/>
      <c r="BJ197" s="310"/>
      <c r="BK197" s="307"/>
      <c r="BL197" s="307"/>
      <c r="BM197" s="310"/>
      <c r="BN197" s="307"/>
      <c r="BO197" s="310"/>
      <c r="BP197" s="307"/>
      <c r="BQ197" s="307"/>
      <c r="BR197" s="307"/>
      <c r="BS197" s="307"/>
      <c r="BT197" s="307"/>
      <c r="BU197" s="310"/>
      <c r="BV197" s="307"/>
      <c r="BW197" s="308"/>
      <c r="BX197" s="311"/>
      <c r="BY197" s="307"/>
      <c r="BZ197" s="307"/>
      <c r="CA197" s="310"/>
      <c r="CB197" s="307"/>
      <c r="CC197" s="307"/>
      <c r="CD197" s="307"/>
      <c r="CE197" s="308"/>
      <c r="CF197" s="308"/>
      <c r="CG197" s="307"/>
      <c r="CH197" s="307"/>
      <c r="CI197" s="307"/>
      <c r="CJ197" s="307"/>
      <c r="CK197" s="314"/>
      <c r="CL197" s="310"/>
      <c r="CM197" s="310"/>
      <c r="CN197" s="307"/>
      <c r="CO197" s="307"/>
      <c r="CP197" s="307"/>
      <c r="CQ197" s="315"/>
      <c r="CR197" s="315"/>
      <c r="CS197" s="315"/>
      <c r="CT197" s="315"/>
      <c r="CU197" s="307"/>
      <c r="CV197" s="217"/>
      <c r="CW197" s="192"/>
      <c r="CX197" s="192"/>
      <c r="CY197" s="192"/>
      <c r="CZ197" s="191"/>
      <c r="DA197" s="193"/>
      <c r="DB197" s="192"/>
      <c r="DC197" s="192"/>
      <c r="DD197" s="192"/>
      <c r="DE197" s="191"/>
      <c r="DF197" s="19"/>
      <c r="DG197" s="192"/>
      <c r="DH197" s="192"/>
      <c r="DI197" s="192"/>
      <c r="DJ197" s="191"/>
      <c r="DK197" s="193"/>
      <c r="DL197" s="192"/>
      <c r="DM197" s="192"/>
      <c r="DN197" s="192"/>
      <c r="DO197" s="191"/>
      <c r="DP197" s="19"/>
      <c r="DQ197" s="192"/>
      <c r="DR197" s="192"/>
      <c r="DS197" s="192"/>
      <c r="DT197" s="191"/>
      <c r="DU197" s="193"/>
      <c r="DV197" s="192"/>
      <c r="DW197" s="192"/>
      <c r="DX197" s="192"/>
      <c r="DY197" s="191"/>
      <c r="DZ197" s="19"/>
      <c r="EA197" s="192"/>
      <c r="EB197" s="192"/>
      <c r="EC197" s="192"/>
      <c r="ED197" s="191"/>
      <c r="EE197" s="193"/>
      <c r="EF197" s="192"/>
      <c r="EG197" s="192"/>
      <c r="EH197" s="192"/>
      <c r="EI197" s="191"/>
      <c r="EJ197" s="19"/>
      <c r="EK197" s="192"/>
      <c r="EL197" s="192"/>
      <c r="EM197" s="192"/>
      <c r="EN197" s="191"/>
      <c r="EO197" s="193"/>
      <c r="EP197" s="192"/>
      <c r="EQ197" s="192"/>
      <c r="ER197" s="192"/>
      <c r="ES197" s="191"/>
      <c r="ET197" s="19"/>
      <c r="EU197" s="192"/>
      <c r="EV197" s="192"/>
      <c r="EW197" s="192"/>
      <c r="EX197" s="191"/>
      <c r="EY197" s="193"/>
      <c r="EZ197" s="192"/>
      <c r="FA197" s="192"/>
      <c r="FB197" s="192"/>
      <c r="FC197" s="191"/>
      <c r="FL197" s="273">
        <f t="shared" ca="1" si="8"/>
        <v>116</v>
      </c>
    </row>
    <row r="198" spans="1:168" ht="16.5" thickBot="1">
      <c r="A198" s="196">
        <v>195</v>
      </c>
      <c r="B198" s="306"/>
      <c r="C198" s="310"/>
      <c r="D198" s="307" t="s">
        <v>271</v>
      </c>
      <c r="E198" s="307" t="s">
        <v>271</v>
      </c>
      <c r="F198" s="308"/>
      <c r="G198" s="343" t="str">
        <f t="shared" si="9"/>
        <v xml:space="preserve"> </v>
      </c>
      <c r="H198" s="307"/>
      <c r="I198" s="309" t="e">
        <f t="shared" si="10"/>
        <v>#N/A</v>
      </c>
      <c r="J198" s="307"/>
      <c r="K198" s="307"/>
      <c r="L198" s="310"/>
      <c r="M198" s="310"/>
      <c r="N198" s="310"/>
      <c r="O198" s="310"/>
      <c r="P198" s="310"/>
      <c r="Q198" s="310"/>
      <c r="R198" s="310"/>
      <c r="S198" s="310"/>
      <c r="T198" s="310"/>
      <c r="U198" s="307"/>
      <c r="V198" s="307"/>
      <c r="W198" s="311"/>
      <c r="X198" s="307"/>
      <c r="Y198" s="307"/>
      <c r="Z198" s="307"/>
      <c r="AA198" s="307"/>
      <c r="AB198" s="311"/>
      <c r="AC198" s="307"/>
      <c r="AD198" s="307"/>
      <c r="AE198" s="307"/>
      <c r="AF198" s="307"/>
      <c r="AG198" s="310"/>
      <c r="AH198" s="307"/>
      <c r="AI198" s="310"/>
      <c r="AJ198" s="307"/>
      <c r="AK198" s="307"/>
      <c r="AL198" s="307"/>
      <c r="AM198" s="308"/>
      <c r="AN198" s="311"/>
      <c r="AO198" s="307"/>
      <c r="AP198" s="307"/>
      <c r="AQ198" s="308"/>
      <c r="AR198" s="307"/>
      <c r="AS198" s="307"/>
      <c r="AT198" s="307"/>
      <c r="AU198" s="310"/>
      <c r="AV198" s="308"/>
      <c r="AW198" s="312"/>
      <c r="AX198" s="308"/>
      <c r="AY198" s="307"/>
      <c r="AZ198" s="307"/>
      <c r="BA198" s="307"/>
      <c r="BB198" s="307"/>
      <c r="BC198" s="308"/>
      <c r="BD198" s="308"/>
      <c r="BE198" s="313"/>
      <c r="BF198" s="307"/>
      <c r="BG198" s="310"/>
      <c r="BH198" s="307"/>
      <c r="BI198" s="307"/>
      <c r="BJ198" s="310"/>
      <c r="BK198" s="307"/>
      <c r="BL198" s="307"/>
      <c r="BM198" s="310"/>
      <c r="BN198" s="307"/>
      <c r="BO198" s="310"/>
      <c r="BP198" s="307"/>
      <c r="BQ198" s="307"/>
      <c r="BR198" s="307"/>
      <c r="BS198" s="307"/>
      <c r="BT198" s="307"/>
      <c r="BU198" s="310"/>
      <c r="BV198" s="307"/>
      <c r="BW198" s="308"/>
      <c r="BX198" s="311"/>
      <c r="BY198" s="307"/>
      <c r="BZ198" s="307"/>
      <c r="CA198" s="310"/>
      <c r="CB198" s="307"/>
      <c r="CC198" s="307"/>
      <c r="CD198" s="307"/>
      <c r="CE198" s="308"/>
      <c r="CF198" s="308"/>
      <c r="CG198" s="307"/>
      <c r="CH198" s="307"/>
      <c r="CI198" s="307"/>
      <c r="CJ198" s="307"/>
      <c r="CK198" s="314"/>
      <c r="CL198" s="310"/>
      <c r="CM198" s="310"/>
      <c r="CN198" s="307"/>
      <c r="CO198" s="307"/>
      <c r="CP198" s="307"/>
      <c r="CQ198" s="315"/>
      <c r="CR198" s="315"/>
      <c r="CS198" s="315"/>
      <c r="CT198" s="315"/>
      <c r="CU198" s="307"/>
      <c r="CV198" s="217"/>
      <c r="CW198" s="192"/>
      <c r="CX198" s="192"/>
      <c r="CY198" s="192"/>
      <c r="CZ198" s="191"/>
      <c r="DA198" s="193"/>
      <c r="DB198" s="192"/>
      <c r="DC198" s="192"/>
      <c r="DD198" s="192"/>
      <c r="DE198" s="191"/>
      <c r="DF198" s="19"/>
      <c r="DG198" s="192"/>
      <c r="DH198" s="192"/>
      <c r="DI198" s="192"/>
      <c r="DJ198" s="191"/>
      <c r="DK198" s="193"/>
      <c r="DL198" s="192"/>
      <c r="DM198" s="192"/>
      <c r="DN198" s="192"/>
      <c r="DO198" s="191"/>
      <c r="DP198" s="19"/>
      <c r="DQ198" s="192"/>
      <c r="DR198" s="192"/>
      <c r="DS198" s="192"/>
      <c r="DT198" s="191"/>
      <c r="DU198" s="193"/>
      <c r="DV198" s="192"/>
      <c r="DW198" s="192"/>
      <c r="DX198" s="192"/>
      <c r="DY198" s="191"/>
      <c r="DZ198" s="19"/>
      <c r="EA198" s="192"/>
      <c r="EB198" s="192"/>
      <c r="EC198" s="192"/>
      <c r="ED198" s="191"/>
      <c r="EE198" s="193"/>
      <c r="EF198" s="192"/>
      <c r="EG198" s="192"/>
      <c r="EH198" s="192"/>
      <c r="EI198" s="191"/>
      <c r="EJ198" s="19"/>
      <c r="EK198" s="192"/>
      <c r="EL198" s="192"/>
      <c r="EM198" s="192"/>
      <c r="EN198" s="191"/>
      <c r="EO198" s="193"/>
      <c r="EP198" s="192"/>
      <c r="EQ198" s="192"/>
      <c r="ER198" s="192"/>
      <c r="ES198" s="191"/>
      <c r="ET198" s="19"/>
      <c r="EU198" s="192"/>
      <c r="EV198" s="192"/>
      <c r="EW198" s="192"/>
      <c r="EX198" s="191"/>
      <c r="EY198" s="193"/>
      <c r="EZ198" s="192"/>
      <c r="FA198" s="192"/>
      <c r="FB198" s="192"/>
      <c r="FC198" s="191"/>
      <c r="FL198" s="273">
        <f t="shared" ref="FL198:FL261" ca="1" si="11">YEAR($FL$3)-YEAR(F198)-1+IF(DATE(1901,MONTH(F198),DAY(F198))-DATE(1901,MONTH($FL$3),DAY($FL$3))&lt;=0,1,0)</f>
        <v>116</v>
      </c>
    </row>
    <row r="199" spans="1:168" ht="16.5" thickBot="1">
      <c r="A199" s="199">
        <v>196</v>
      </c>
      <c r="B199" s="306"/>
      <c r="C199" s="310"/>
      <c r="D199" s="307" t="s">
        <v>271</v>
      </c>
      <c r="E199" s="307" t="s">
        <v>271</v>
      </c>
      <c r="F199" s="308"/>
      <c r="G199" s="343" t="str">
        <f t="shared" si="9"/>
        <v xml:space="preserve"> </v>
      </c>
      <c r="H199" s="307"/>
      <c r="I199" s="309" t="e">
        <f t="shared" si="10"/>
        <v>#N/A</v>
      </c>
      <c r="J199" s="307"/>
      <c r="K199" s="307"/>
      <c r="L199" s="310"/>
      <c r="M199" s="310"/>
      <c r="N199" s="310"/>
      <c r="O199" s="310"/>
      <c r="P199" s="310"/>
      <c r="Q199" s="310"/>
      <c r="R199" s="310"/>
      <c r="S199" s="310"/>
      <c r="T199" s="310"/>
      <c r="U199" s="307"/>
      <c r="V199" s="307"/>
      <c r="W199" s="311"/>
      <c r="X199" s="307"/>
      <c r="Y199" s="307"/>
      <c r="Z199" s="307"/>
      <c r="AA199" s="307"/>
      <c r="AB199" s="311"/>
      <c r="AC199" s="307"/>
      <c r="AD199" s="307"/>
      <c r="AE199" s="307"/>
      <c r="AF199" s="307"/>
      <c r="AG199" s="310"/>
      <c r="AH199" s="307"/>
      <c r="AI199" s="310"/>
      <c r="AJ199" s="307"/>
      <c r="AK199" s="307"/>
      <c r="AL199" s="307"/>
      <c r="AM199" s="308"/>
      <c r="AN199" s="311"/>
      <c r="AO199" s="307"/>
      <c r="AP199" s="307"/>
      <c r="AQ199" s="308"/>
      <c r="AR199" s="307"/>
      <c r="AS199" s="307"/>
      <c r="AT199" s="307"/>
      <c r="AU199" s="310"/>
      <c r="AV199" s="308"/>
      <c r="AW199" s="312"/>
      <c r="AX199" s="308"/>
      <c r="AY199" s="307"/>
      <c r="AZ199" s="307"/>
      <c r="BA199" s="307"/>
      <c r="BB199" s="307"/>
      <c r="BC199" s="308"/>
      <c r="BD199" s="308"/>
      <c r="BE199" s="313"/>
      <c r="BF199" s="307"/>
      <c r="BG199" s="310"/>
      <c r="BH199" s="307"/>
      <c r="BI199" s="307"/>
      <c r="BJ199" s="310"/>
      <c r="BK199" s="307"/>
      <c r="BL199" s="307"/>
      <c r="BM199" s="310"/>
      <c r="BN199" s="307"/>
      <c r="BO199" s="310"/>
      <c r="BP199" s="307"/>
      <c r="BQ199" s="307"/>
      <c r="BR199" s="307"/>
      <c r="BS199" s="307"/>
      <c r="BT199" s="307"/>
      <c r="BU199" s="310"/>
      <c r="BV199" s="307"/>
      <c r="BW199" s="308"/>
      <c r="BX199" s="311"/>
      <c r="BY199" s="307"/>
      <c r="BZ199" s="307"/>
      <c r="CA199" s="310"/>
      <c r="CB199" s="307"/>
      <c r="CC199" s="307"/>
      <c r="CD199" s="307"/>
      <c r="CE199" s="308"/>
      <c r="CF199" s="308"/>
      <c r="CG199" s="307"/>
      <c r="CH199" s="307"/>
      <c r="CI199" s="307"/>
      <c r="CJ199" s="307"/>
      <c r="CK199" s="314"/>
      <c r="CL199" s="310"/>
      <c r="CM199" s="310"/>
      <c r="CN199" s="307"/>
      <c r="CO199" s="307"/>
      <c r="CP199" s="307"/>
      <c r="CQ199" s="315"/>
      <c r="CR199" s="315"/>
      <c r="CS199" s="315"/>
      <c r="CT199" s="315"/>
      <c r="CU199" s="307"/>
      <c r="CV199" s="217"/>
      <c r="CW199" s="192"/>
      <c r="CX199" s="192"/>
      <c r="CY199" s="192"/>
      <c r="CZ199" s="191"/>
      <c r="DA199" s="193"/>
      <c r="DB199" s="192"/>
      <c r="DC199" s="192"/>
      <c r="DD199" s="192"/>
      <c r="DE199" s="191"/>
      <c r="DF199" s="19"/>
      <c r="DG199" s="192"/>
      <c r="DH199" s="192"/>
      <c r="DI199" s="192"/>
      <c r="DJ199" s="191"/>
      <c r="DK199" s="193"/>
      <c r="DL199" s="192"/>
      <c r="DM199" s="192"/>
      <c r="DN199" s="192"/>
      <c r="DO199" s="191"/>
      <c r="DP199" s="19"/>
      <c r="DQ199" s="192"/>
      <c r="DR199" s="192"/>
      <c r="DS199" s="192"/>
      <c r="DT199" s="191"/>
      <c r="DU199" s="193"/>
      <c r="DV199" s="192"/>
      <c r="DW199" s="192"/>
      <c r="DX199" s="192"/>
      <c r="DY199" s="191"/>
      <c r="DZ199" s="19"/>
      <c r="EA199" s="192"/>
      <c r="EB199" s="192"/>
      <c r="EC199" s="192"/>
      <c r="ED199" s="191"/>
      <c r="EE199" s="193"/>
      <c r="EF199" s="192"/>
      <c r="EG199" s="192"/>
      <c r="EH199" s="192"/>
      <c r="EI199" s="191"/>
      <c r="EJ199" s="19"/>
      <c r="EK199" s="192"/>
      <c r="EL199" s="192"/>
      <c r="EM199" s="192"/>
      <c r="EN199" s="191"/>
      <c r="EO199" s="193"/>
      <c r="EP199" s="192"/>
      <c r="EQ199" s="192"/>
      <c r="ER199" s="192"/>
      <c r="ES199" s="191"/>
      <c r="ET199" s="19"/>
      <c r="EU199" s="192"/>
      <c r="EV199" s="192"/>
      <c r="EW199" s="192"/>
      <c r="EX199" s="191"/>
      <c r="EY199" s="193"/>
      <c r="EZ199" s="192"/>
      <c r="FA199" s="192"/>
      <c r="FB199" s="192"/>
      <c r="FC199" s="191"/>
      <c r="FL199" s="273">
        <f t="shared" ca="1" si="11"/>
        <v>116</v>
      </c>
    </row>
    <row r="200" spans="1:168" ht="16.5" thickBot="1">
      <c r="A200" s="196">
        <v>197</v>
      </c>
      <c r="B200" s="306"/>
      <c r="C200" s="310"/>
      <c r="D200" s="307" t="s">
        <v>271</v>
      </c>
      <c r="E200" s="307" t="s">
        <v>271</v>
      </c>
      <c r="F200" s="308"/>
      <c r="G200" s="343" t="str">
        <f t="shared" si="9"/>
        <v xml:space="preserve"> </v>
      </c>
      <c r="H200" s="307"/>
      <c r="I200" s="309" t="e">
        <f t="shared" si="10"/>
        <v>#N/A</v>
      </c>
      <c r="J200" s="307"/>
      <c r="K200" s="307"/>
      <c r="L200" s="310"/>
      <c r="M200" s="310"/>
      <c r="N200" s="310"/>
      <c r="O200" s="310"/>
      <c r="P200" s="310"/>
      <c r="Q200" s="310"/>
      <c r="R200" s="310"/>
      <c r="S200" s="310"/>
      <c r="T200" s="310"/>
      <c r="U200" s="307"/>
      <c r="V200" s="307"/>
      <c r="W200" s="311"/>
      <c r="X200" s="307"/>
      <c r="Y200" s="307"/>
      <c r="Z200" s="307"/>
      <c r="AA200" s="307"/>
      <c r="AB200" s="311"/>
      <c r="AC200" s="307"/>
      <c r="AD200" s="307"/>
      <c r="AE200" s="307"/>
      <c r="AF200" s="307"/>
      <c r="AG200" s="310"/>
      <c r="AH200" s="307"/>
      <c r="AI200" s="310"/>
      <c r="AJ200" s="307"/>
      <c r="AK200" s="307"/>
      <c r="AL200" s="307"/>
      <c r="AM200" s="308"/>
      <c r="AN200" s="311"/>
      <c r="AO200" s="307"/>
      <c r="AP200" s="307"/>
      <c r="AQ200" s="308"/>
      <c r="AR200" s="307"/>
      <c r="AS200" s="307"/>
      <c r="AT200" s="307"/>
      <c r="AU200" s="310"/>
      <c r="AV200" s="308"/>
      <c r="AW200" s="312"/>
      <c r="AX200" s="308"/>
      <c r="AY200" s="307"/>
      <c r="AZ200" s="307"/>
      <c r="BA200" s="307"/>
      <c r="BB200" s="307"/>
      <c r="BC200" s="308"/>
      <c r="BD200" s="308"/>
      <c r="BE200" s="313"/>
      <c r="BF200" s="307"/>
      <c r="BG200" s="310"/>
      <c r="BH200" s="307"/>
      <c r="BI200" s="307"/>
      <c r="BJ200" s="310"/>
      <c r="BK200" s="307"/>
      <c r="BL200" s="307"/>
      <c r="BM200" s="310"/>
      <c r="BN200" s="307"/>
      <c r="BO200" s="310"/>
      <c r="BP200" s="307"/>
      <c r="BQ200" s="307"/>
      <c r="BR200" s="307"/>
      <c r="BS200" s="307"/>
      <c r="BT200" s="307"/>
      <c r="BU200" s="310"/>
      <c r="BV200" s="307"/>
      <c r="BW200" s="308"/>
      <c r="BX200" s="311"/>
      <c r="BY200" s="307"/>
      <c r="BZ200" s="307"/>
      <c r="CA200" s="310"/>
      <c r="CB200" s="307"/>
      <c r="CC200" s="307"/>
      <c r="CD200" s="307"/>
      <c r="CE200" s="308"/>
      <c r="CF200" s="308"/>
      <c r="CG200" s="307"/>
      <c r="CH200" s="307"/>
      <c r="CI200" s="307"/>
      <c r="CJ200" s="307"/>
      <c r="CK200" s="314"/>
      <c r="CL200" s="310"/>
      <c r="CM200" s="310"/>
      <c r="CN200" s="307"/>
      <c r="CO200" s="307"/>
      <c r="CP200" s="307"/>
      <c r="CQ200" s="315"/>
      <c r="CR200" s="315"/>
      <c r="CS200" s="315"/>
      <c r="CT200" s="315"/>
      <c r="CU200" s="307"/>
      <c r="CV200" s="217"/>
      <c r="CW200" s="192"/>
      <c r="CX200" s="192"/>
      <c r="CY200" s="192"/>
      <c r="CZ200" s="191"/>
      <c r="DA200" s="193"/>
      <c r="DB200" s="192"/>
      <c r="DC200" s="192"/>
      <c r="DD200" s="192"/>
      <c r="DE200" s="191"/>
      <c r="DF200" s="19"/>
      <c r="DG200" s="192"/>
      <c r="DH200" s="192"/>
      <c r="DI200" s="192"/>
      <c r="DJ200" s="191"/>
      <c r="DK200" s="193"/>
      <c r="DL200" s="192"/>
      <c r="DM200" s="192"/>
      <c r="DN200" s="192"/>
      <c r="DO200" s="191"/>
      <c r="DP200" s="19"/>
      <c r="DQ200" s="192"/>
      <c r="DR200" s="192"/>
      <c r="DS200" s="192"/>
      <c r="DT200" s="191"/>
      <c r="DU200" s="193"/>
      <c r="DV200" s="192"/>
      <c r="DW200" s="192"/>
      <c r="DX200" s="192"/>
      <c r="DY200" s="191"/>
      <c r="DZ200" s="19"/>
      <c r="EA200" s="192"/>
      <c r="EB200" s="192"/>
      <c r="EC200" s="192"/>
      <c r="ED200" s="191"/>
      <c r="EE200" s="193"/>
      <c r="EF200" s="192"/>
      <c r="EG200" s="192"/>
      <c r="EH200" s="192"/>
      <c r="EI200" s="191"/>
      <c r="EJ200" s="19"/>
      <c r="EK200" s="192"/>
      <c r="EL200" s="192"/>
      <c r="EM200" s="192"/>
      <c r="EN200" s="191"/>
      <c r="EO200" s="193"/>
      <c r="EP200" s="192"/>
      <c r="EQ200" s="192"/>
      <c r="ER200" s="192"/>
      <c r="ES200" s="191"/>
      <c r="ET200" s="19"/>
      <c r="EU200" s="192"/>
      <c r="EV200" s="192"/>
      <c r="EW200" s="192"/>
      <c r="EX200" s="191"/>
      <c r="EY200" s="193"/>
      <c r="EZ200" s="192"/>
      <c r="FA200" s="192"/>
      <c r="FB200" s="192"/>
      <c r="FC200" s="191"/>
      <c r="FL200" s="273">
        <f t="shared" ca="1" si="11"/>
        <v>116</v>
      </c>
    </row>
    <row r="201" spans="1:168" ht="16.5" thickBot="1">
      <c r="A201" s="199">
        <v>198</v>
      </c>
      <c r="B201" s="306"/>
      <c r="C201" s="310"/>
      <c r="D201" s="307" t="s">
        <v>271</v>
      </c>
      <c r="E201" s="307" t="s">
        <v>271</v>
      </c>
      <c r="F201" s="308"/>
      <c r="G201" s="343" t="str">
        <f t="shared" si="9"/>
        <v xml:space="preserve"> </v>
      </c>
      <c r="H201" s="307"/>
      <c r="I201" s="309" t="e">
        <f t="shared" si="10"/>
        <v>#N/A</v>
      </c>
      <c r="J201" s="307"/>
      <c r="K201" s="307"/>
      <c r="L201" s="310"/>
      <c r="M201" s="310"/>
      <c r="N201" s="310"/>
      <c r="O201" s="310"/>
      <c r="P201" s="310"/>
      <c r="Q201" s="310"/>
      <c r="R201" s="310"/>
      <c r="S201" s="310"/>
      <c r="T201" s="310"/>
      <c r="U201" s="307"/>
      <c r="V201" s="307"/>
      <c r="W201" s="311"/>
      <c r="X201" s="307"/>
      <c r="Y201" s="307"/>
      <c r="Z201" s="307"/>
      <c r="AA201" s="307"/>
      <c r="AB201" s="311"/>
      <c r="AC201" s="307"/>
      <c r="AD201" s="307"/>
      <c r="AE201" s="307"/>
      <c r="AF201" s="307"/>
      <c r="AG201" s="310"/>
      <c r="AH201" s="307"/>
      <c r="AI201" s="310"/>
      <c r="AJ201" s="307"/>
      <c r="AK201" s="307"/>
      <c r="AL201" s="307"/>
      <c r="AM201" s="308"/>
      <c r="AN201" s="311"/>
      <c r="AO201" s="307"/>
      <c r="AP201" s="307"/>
      <c r="AQ201" s="308"/>
      <c r="AR201" s="307"/>
      <c r="AS201" s="307"/>
      <c r="AT201" s="307"/>
      <c r="AU201" s="310"/>
      <c r="AV201" s="308"/>
      <c r="AW201" s="312"/>
      <c r="AX201" s="308"/>
      <c r="AY201" s="307"/>
      <c r="AZ201" s="307"/>
      <c r="BA201" s="307"/>
      <c r="BB201" s="307"/>
      <c r="BC201" s="308"/>
      <c r="BD201" s="308"/>
      <c r="BE201" s="313"/>
      <c r="BF201" s="307"/>
      <c r="BG201" s="310"/>
      <c r="BH201" s="307"/>
      <c r="BI201" s="307"/>
      <c r="BJ201" s="310"/>
      <c r="BK201" s="307"/>
      <c r="BL201" s="307"/>
      <c r="BM201" s="310"/>
      <c r="BN201" s="307"/>
      <c r="BO201" s="310"/>
      <c r="BP201" s="307"/>
      <c r="BQ201" s="307"/>
      <c r="BR201" s="307"/>
      <c r="BS201" s="307"/>
      <c r="BT201" s="307"/>
      <c r="BU201" s="310"/>
      <c r="BV201" s="307"/>
      <c r="BW201" s="308"/>
      <c r="BX201" s="311"/>
      <c r="BY201" s="307"/>
      <c r="BZ201" s="307"/>
      <c r="CA201" s="310"/>
      <c r="CB201" s="307"/>
      <c r="CC201" s="307"/>
      <c r="CD201" s="307"/>
      <c r="CE201" s="308"/>
      <c r="CF201" s="308"/>
      <c r="CG201" s="307"/>
      <c r="CH201" s="307"/>
      <c r="CI201" s="307"/>
      <c r="CJ201" s="307"/>
      <c r="CK201" s="314"/>
      <c r="CL201" s="310"/>
      <c r="CM201" s="310"/>
      <c r="CN201" s="307"/>
      <c r="CO201" s="307"/>
      <c r="CP201" s="307"/>
      <c r="CQ201" s="315"/>
      <c r="CR201" s="315"/>
      <c r="CS201" s="315"/>
      <c r="CT201" s="315"/>
      <c r="CU201" s="307"/>
      <c r="CV201" s="217"/>
      <c r="CW201" s="192"/>
      <c r="CX201" s="192"/>
      <c r="CY201" s="192"/>
      <c r="CZ201" s="191"/>
      <c r="DA201" s="193"/>
      <c r="DB201" s="192"/>
      <c r="DC201" s="192"/>
      <c r="DD201" s="192"/>
      <c r="DE201" s="191"/>
      <c r="DF201" s="19"/>
      <c r="DG201" s="192"/>
      <c r="DH201" s="192"/>
      <c r="DI201" s="192"/>
      <c r="DJ201" s="191"/>
      <c r="DK201" s="193"/>
      <c r="DL201" s="192"/>
      <c r="DM201" s="192"/>
      <c r="DN201" s="192"/>
      <c r="DO201" s="191"/>
      <c r="DP201" s="19"/>
      <c r="DQ201" s="192"/>
      <c r="DR201" s="192"/>
      <c r="DS201" s="192"/>
      <c r="DT201" s="191"/>
      <c r="DU201" s="193"/>
      <c r="DV201" s="192"/>
      <c r="DW201" s="192"/>
      <c r="DX201" s="192"/>
      <c r="DY201" s="191"/>
      <c r="DZ201" s="19"/>
      <c r="EA201" s="192"/>
      <c r="EB201" s="192"/>
      <c r="EC201" s="192"/>
      <c r="ED201" s="191"/>
      <c r="EE201" s="193"/>
      <c r="EF201" s="192"/>
      <c r="EG201" s="192"/>
      <c r="EH201" s="192"/>
      <c r="EI201" s="191"/>
      <c r="EJ201" s="19"/>
      <c r="EK201" s="192"/>
      <c r="EL201" s="192"/>
      <c r="EM201" s="192"/>
      <c r="EN201" s="191"/>
      <c r="EO201" s="193"/>
      <c r="EP201" s="192"/>
      <c r="EQ201" s="192"/>
      <c r="ER201" s="192"/>
      <c r="ES201" s="191"/>
      <c r="ET201" s="19"/>
      <c r="EU201" s="192"/>
      <c r="EV201" s="192"/>
      <c r="EW201" s="192"/>
      <c r="EX201" s="191"/>
      <c r="EY201" s="193"/>
      <c r="EZ201" s="192"/>
      <c r="FA201" s="192"/>
      <c r="FB201" s="192"/>
      <c r="FC201" s="191"/>
      <c r="FL201" s="273">
        <f t="shared" ca="1" si="11"/>
        <v>116</v>
      </c>
    </row>
    <row r="202" spans="1:168" ht="16.5" thickBot="1">
      <c r="A202" s="196">
        <v>199</v>
      </c>
      <c r="B202" s="306"/>
      <c r="C202" s="310"/>
      <c r="D202" s="307" t="s">
        <v>271</v>
      </c>
      <c r="E202" s="307" t="s">
        <v>271</v>
      </c>
      <c r="F202" s="308"/>
      <c r="G202" s="343" t="str">
        <f t="shared" si="9"/>
        <v xml:space="preserve"> </v>
      </c>
      <c r="H202" s="307"/>
      <c r="I202" s="309" t="e">
        <f t="shared" si="10"/>
        <v>#N/A</v>
      </c>
      <c r="J202" s="307"/>
      <c r="K202" s="307"/>
      <c r="L202" s="310"/>
      <c r="M202" s="310"/>
      <c r="N202" s="310"/>
      <c r="O202" s="310"/>
      <c r="P202" s="310"/>
      <c r="Q202" s="310"/>
      <c r="R202" s="310"/>
      <c r="S202" s="310"/>
      <c r="T202" s="310"/>
      <c r="U202" s="307"/>
      <c r="V202" s="307"/>
      <c r="W202" s="311"/>
      <c r="X202" s="307"/>
      <c r="Y202" s="307"/>
      <c r="Z202" s="307"/>
      <c r="AA202" s="307"/>
      <c r="AB202" s="311"/>
      <c r="AC202" s="307"/>
      <c r="AD202" s="307"/>
      <c r="AE202" s="307"/>
      <c r="AF202" s="307"/>
      <c r="AG202" s="310"/>
      <c r="AH202" s="307"/>
      <c r="AI202" s="310"/>
      <c r="AJ202" s="307"/>
      <c r="AK202" s="307"/>
      <c r="AL202" s="307"/>
      <c r="AM202" s="308"/>
      <c r="AN202" s="311"/>
      <c r="AO202" s="307"/>
      <c r="AP202" s="307"/>
      <c r="AQ202" s="308"/>
      <c r="AR202" s="307"/>
      <c r="AS202" s="307"/>
      <c r="AT202" s="307"/>
      <c r="AU202" s="310"/>
      <c r="AV202" s="308"/>
      <c r="AW202" s="312"/>
      <c r="AX202" s="308"/>
      <c r="AY202" s="307"/>
      <c r="AZ202" s="307"/>
      <c r="BA202" s="307"/>
      <c r="BB202" s="307"/>
      <c r="BC202" s="308"/>
      <c r="BD202" s="308"/>
      <c r="BE202" s="313"/>
      <c r="BF202" s="307"/>
      <c r="BG202" s="310"/>
      <c r="BH202" s="307"/>
      <c r="BI202" s="307"/>
      <c r="BJ202" s="310"/>
      <c r="BK202" s="307"/>
      <c r="BL202" s="307"/>
      <c r="BM202" s="310"/>
      <c r="BN202" s="307"/>
      <c r="BO202" s="310"/>
      <c r="BP202" s="307"/>
      <c r="BQ202" s="307"/>
      <c r="BR202" s="307"/>
      <c r="BS202" s="307"/>
      <c r="BT202" s="307"/>
      <c r="BU202" s="310"/>
      <c r="BV202" s="307"/>
      <c r="BW202" s="308"/>
      <c r="BX202" s="311"/>
      <c r="BY202" s="307"/>
      <c r="BZ202" s="307"/>
      <c r="CA202" s="310"/>
      <c r="CB202" s="307"/>
      <c r="CC202" s="307"/>
      <c r="CD202" s="307"/>
      <c r="CE202" s="308"/>
      <c r="CF202" s="308"/>
      <c r="CG202" s="307"/>
      <c r="CH202" s="307"/>
      <c r="CI202" s="307"/>
      <c r="CJ202" s="307"/>
      <c r="CK202" s="314"/>
      <c r="CL202" s="310"/>
      <c r="CM202" s="310"/>
      <c r="CN202" s="307"/>
      <c r="CO202" s="307"/>
      <c r="CP202" s="307"/>
      <c r="CQ202" s="315"/>
      <c r="CR202" s="315"/>
      <c r="CS202" s="315"/>
      <c r="CT202" s="315"/>
      <c r="CU202" s="307"/>
      <c r="CV202" s="217"/>
      <c r="CW202" s="192"/>
      <c r="CX202" s="192"/>
      <c r="CY202" s="192"/>
      <c r="CZ202" s="191"/>
      <c r="DA202" s="193"/>
      <c r="DB202" s="192"/>
      <c r="DC202" s="192"/>
      <c r="DD202" s="192"/>
      <c r="DE202" s="191"/>
      <c r="DF202" s="19"/>
      <c r="DG202" s="192"/>
      <c r="DH202" s="192"/>
      <c r="DI202" s="192"/>
      <c r="DJ202" s="191"/>
      <c r="DK202" s="193"/>
      <c r="DL202" s="192"/>
      <c r="DM202" s="192"/>
      <c r="DN202" s="192"/>
      <c r="DO202" s="191"/>
      <c r="DP202" s="19"/>
      <c r="DQ202" s="192"/>
      <c r="DR202" s="192"/>
      <c r="DS202" s="192"/>
      <c r="DT202" s="191"/>
      <c r="DU202" s="193"/>
      <c r="DV202" s="192"/>
      <c r="DW202" s="192"/>
      <c r="DX202" s="192"/>
      <c r="DY202" s="191"/>
      <c r="DZ202" s="19"/>
      <c r="EA202" s="192"/>
      <c r="EB202" s="192"/>
      <c r="EC202" s="192"/>
      <c r="ED202" s="191"/>
      <c r="EE202" s="193"/>
      <c r="EF202" s="192"/>
      <c r="EG202" s="192"/>
      <c r="EH202" s="192"/>
      <c r="EI202" s="191"/>
      <c r="EJ202" s="19"/>
      <c r="EK202" s="192"/>
      <c r="EL202" s="192"/>
      <c r="EM202" s="192"/>
      <c r="EN202" s="191"/>
      <c r="EO202" s="193"/>
      <c r="EP202" s="192"/>
      <c r="EQ202" s="192"/>
      <c r="ER202" s="192"/>
      <c r="ES202" s="191"/>
      <c r="ET202" s="19"/>
      <c r="EU202" s="192"/>
      <c r="EV202" s="192"/>
      <c r="EW202" s="192"/>
      <c r="EX202" s="191"/>
      <c r="EY202" s="193"/>
      <c r="EZ202" s="192"/>
      <c r="FA202" s="192"/>
      <c r="FB202" s="192"/>
      <c r="FC202" s="191"/>
      <c r="FL202" s="273">
        <f t="shared" ca="1" si="11"/>
        <v>116</v>
      </c>
    </row>
    <row r="203" spans="1:168" ht="16.5" thickBot="1">
      <c r="A203" s="199">
        <v>200</v>
      </c>
      <c r="B203" s="306"/>
      <c r="C203" s="310"/>
      <c r="D203" s="307" t="s">
        <v>271</v>
      </c>
      <c r="E203" s="307" t="s">
        <v>271</v>
      </c>
      <c r="F203" s="308"/>
      <c r="G203" s="343" t="str">
        <f t="shared" si="9"/>
        <v xml:space="preserve"> </v>
      </c>
      <c r="H203" s="307"/>
      <c r="I203" s="309" t="e">
        <f t="shared" si="10"/>
        <v>#N/A</v>
      </c>
      <c r="J203" s="307"/>
      <c r="K203" s="307"/>
      <c r="L203" s="310"/>
      <c r="M203" s="310"/>
      <c r="N203" s="310"/>
      <c r="O203" s="310"/>
      <c r="P203" s="310"/>
      <c r="Q203" s="310"/>
      <c r="R203" s="310"/>
      <c r="S203" s="310"/>
      <c r="T203" s="310"/>
      <c r="U203" s="307"/>
      <c r="V203" s="307"/>
      <c r="W203" s="311"/>
      <c r="X203" s="307"/>
      <c r="Y203" s="307"/>
      <c r="Z203" s="307"/>
      <c r="AA203" s="307"/>
      <c r="AB203" s="311"/>
      <c r="AC203" s="307"/>
      <c r="AD203" s="307"/>
      <c r="AE203" s="307"/>
      <c r="AF203" s="307"/>
      <c r="AG203" s="310"/>
      <c r="AH203" s="307"/>
      <c r="AI203" s="310"/>
      <c r="AJ203" s="307"/>
      <c r="AK203" s="307"/>
      <c r="AL203" s="307"/>
      <c r="AM203" s="308"/>
      <c r="AN203" s="311"/>
      <c r="AO203" s="307"/>
      <c r="AP203" s="307"/>
      <c r="AQ203" s="308"/>
      <c r="AR203" s="307"/>
      <c r="AS203" s="307"/>
      <c r="AT203" s="307"/>
      <c r="AU203" s="310"/>
      <c r="AV203" s="308"/>
      <c r="AW203" s="312"/>
      <c r="AX203" s="308"/>
      <c r="AY203" s="307"/>
      <c r="AZ203" s="307"/>
      <c r="BA203" s="307"/>
      <c r="BB203" s="307"/>
      <c r="BC203" s="308"/>
      <c r="BD203" s="308"/>
      <c r="BE203" s="313"/>
      <c r="BF203" s="307"/>
      <c r="BG203" s="310"/>
      <c r="BH203" s="307"/>
      <c r="BI203" s="307"/>
      <c r="BJ203" s="310"/>
      <c r="BK203" s="307"/>
      <c r="BL203" s="307"/>
      <c r="BM203" s="310"/>
      <c r="BN203" s="307"/>
      <c r="BO203" s="310"/>
      <c r="BP203" s="307"/>
      <c r="BQ203" s="307"/>
      <c r="BR203" s="307"/>
      <c r="BS203" s="307"/>
      <c r="BT203" s="307"/>
      <c r="BU203" s="310"/>
      <c r="BV203" s="307"/>
      <c r="BW203" s="308"/>
      <c r="BX203" s="311"/>
      <c r="BY203" s="307"/>
      <c r="BZ203" s="307"/>
      <c r="CA203" s="310"/>
      <c r="CB203" s="307"/>
      <c r="CC203" s="307"/>
      <c r="CD203" s="307"/>
      <c r="CE203" s="308"/>
      <c r="CF203" s="308"/>
      <c r="CG203" s="307"/>
      <c r="CH203" s="307"/>
      <c r="CI203" s="307"/>
      <c r="CJ203" s="307"/>
      <c r="CK203" s="314"/>
      <c r="CL203" s="310"/>
      <c r="CM203" s="310"/>
      <c r="CN203" s="307"/>
      <c r="CO203" s="307"/>
      <c r="CP203" s="307"/>
      <c r="CQ203" s="315"/>
      <c r="CR203" s="315"/>
      <c r="CS203" s="315"/>
      <c r="CT203" s="315"/>
      <c r="CU203" s="307"/>
      <c r="CV203" s="217"/>
      <c r="CW203" s="192"/>
      <c r="CX203" s="192"/>
      <c r="CY203" s="192"/>
      <c r="CZ203" s="191"/>
      <c r="DA203" s="193"/>
      <c r="DB203" s="192"/>
      <c r="DC203" s="192"/>
      <c r="DD203" s="192"/>
      <c r="DE203" s="191"/>
      <c r="DF203" s="19"/>
      <c r="DG203" s="192"/>
      <c r="DH203" s="192"/>
      <c r="DI203" s="192"/>
      <c r="DJ203" s="191"/>
      <c r="DK203" s="193"/>
      <c r="DL203" s="192"/>
      <c r="DM203" s="192"/>
      <c r="DN203" s="192"/>
      <c r="DO203" s="191"/>
      <c r="DP203" s="19"/>
      <c r="DQ203" s="192"/>
      <c r="DR203" s="192"/>
      <c r="DS203" s="192"/>
      <c r="DT203" s="191"/>
      <c r="DU203" s="193"/>
      <c r="DV203" s="192"/>
      <c r="DW203" s="192"/>
      <c r="DX203" s="192"/>
      <c r="DY203" s="191"/>
      <c r="DZ203" s="19"/>
      <c r="EA203" s="192"/>
      <c r="EB203" s="192"/>
      <c r="EC203" s="192"/>
      <c r="ED203" s="191"/>
      <c r="EE203" s="193"/>
      <c r="EF203" s="192"/>
      <c r="EG203" s="192"/>
      <c r="EH203" s="192"/>
      <c r="EI203" s="191"/>
      <c r="EJ203" s="19"/>
      <c r="EK203" s="192"/>
      <c r="EL203" s="192"/>
      <c r="EM203" s="192"/>
      <c r="EN203" s="191"/>
      <c r="EO203" s="193"/>
      <c r="EP203" s="192"/>
      <c r="EQ203" s="192"/>
      <c r="ER203" s="192"/>
      <c r="ES203" s="191"/>
      <c r="ET203" s="19"/>
      <c r="EU203" s="192"/>
      <c r="EV203" s="192"/>
      <c r="EW203" s="192"/>
      <c r="EX203" s="191"/>
      <c r="EY203" s="193"/>
      <c r="EZ203" s="192"/>
      <c r="FA203" s="192"/>
      <c r="FB203" s="192"/>
      <c r="FC203" s="191"/>
      <c r="FL203" s="273">
        <f t="shared" ca="1" si="11"/>
        <v>116</v>
      </c>
    </row>
    <row r="204" spans="1:168" ht="16.5" thickBot="1">
      <c r="A204" s="196">
        <v>201</v>
      </c>
      <c r="B204" s="306"/>
      <c r="C204" s="310"/>
      <c r="D204" s="307" t="s">
        <v>271</v>
      </c>
      <c r="E204" s="307" t="s">
        <v>271</v>
      </c>
      <c r="F204" s="308"/>
      <c r="G204" s="343" t="str">
        <f t="shared" si="9"/>
        <v xml:space="preserve"> </v>
      </c>
      <c r="H204" s="307"/>
      <c r="I204" s="309" t="e">
        <f t="shared" si="10"/>
        <v>#N/A</v>
      </c>
      <c r="J204" s="307"/>
      <c r="K204" s="307"/>
      <c r="L204" s="310"/>
      <c r="M204" s="310"/>
      <c r="N204" s="310"/>
      <c r="O204" s="310"/>
      <c r="P204" s="310"/>
      <c r="Q204" s="310"/>
      <c r="R204" s="310"/>
      <c r="S204" s="310"/>
      <c r="T204" s="310"/>
      <c r="U204" s="307"/>
      <c r="V204" s="307"/>
      <c r="W204" s="311"/>
      <c r="X204" s="307"/>
      <c r="Y204" s="307"/>
      <c r="Z204" s="307"/>
      <c r="AA204" s="307"/>
      <c r="AB204" s="311"/>
      <c r="AC204" s="307"/>
      <c r="AD204" s="307"/>
      <c r="AE204" s="307"/>
      <c r="AF204" s="307"/>
      <c r="AG204" s="310"/>
      <c r="AH204" s="307"/>
      <c r="AI204" s="310"/>
      <c r="AJ204" s="307"/>
      <c r="AK204" s="307"/>
      <c r="AL204" s="307"/>
      <c r="AM204" s="308"/>
      <c r="AN204" s="311"/>
      <c r="AO204" s="307"/>
      <c r="AP204" s="307"/>
      <c r="AQ204" s="308"/>
      <c r="AR204" s="307"/>
      <c r="AS204" s="307"/>
      <c r="AT204" s="307"/>
      <c r="AU204" s="310"/>
      <c r="AV204" s="308"/>
      <c r="AW204" s="312"/>
      <c r="AX204" s="308"/>
      <c r="AY204" s="307"/>
      <c r="AZ204" s="307"/>
      <c r="BA204" s="307"/>
      <c r="BB204" s="307"/>
      <c r="BC204" s="308"/>
      <c r="BD204" s="308"/>
      <c r="BE204" s="313"/>
      <c r="BF204" s="307"/>
      <c r="BG204" s="310"/>
      <c r="BH204" s="307"/>
      <c r="BI204" s="307"/>
      <c r="BJ204" s="310"/>
      <c r="BK204" s="307"/>
      <c r="BL204" s="307"/>
      <c r="BM204" s="310"/>
      <c r="BN204" s="307"/>
      <c r="BO204" s="310"/>
      <c r="BP204" s="307"/>
      <c r="BQ204" s="307"/>
      <c r="BR204" s="307"/>
      <c r="BS204" s="307"/>
      <c r="BT204" s="307"/>
      <c r="BU204" s="310"/>
      <c r="BV204" s="307"/>
      <c r="BW204" s="308"/>
      <c r="BX204" s="311"/>
      <c r="BY204" s="307"/>
      <c r="BZ204" s="307"/>
      <c r="CA204" s="310"/>
      <c r="CB204" s="307"/>
      <c r="CC204" s="307"/>
      <c r="CD204" s="307"/>
      <c r="CE204" s="308"/>
      <c r="CF204" s="308"/>
      <c r="CG204" s="307"/>
      <c r="CH204" s="307"/>
      <c r="CI204" s="307"/>
      <c r="CJ204" s="307"/>
      <c r="CK204" s="314"/>
      <c r="CL204" s="310"/>
      <c r="CM204" s="310"/>
      <c r="CN204" s="307"/>
      <c r="CO204" s="307"/>
      <c r="CP204" s="307"/>
      <c r="CQ204" s="315"/>
      <c r="CR204" s="315"/>
      <c r="CS204" s="315"/>
      <c r="CT204" s="315"/>
      <c r="CU204" s="307"/>
      <c r="CV204" s="217"/>
      <c r="CW204" s="192"/>
      <c r="CX204" s="192"/>
      <c r="CY204" s="192"/>
      <c r="CZ204" s="191"/>
      <c r="DA204" s="193"/>
      <c r="DB204" s="192"/>
      <c r="DC204" s="192"/>
      <c r="DD204" s="192"/>
      <c r="DE204" s="191"/>
      <c r="DF204" s="19"/>
      <c r="DG204" s="192"/>
      <c r="DH204" s="192"/>
      <c r="DI204" s="192"/>
      <c r="DJ204" s="191"/>
      <c r="DK204" s="193"/>
      <c r="DL204" s="192"/>
      <c r="DM204" s="192"/>
      <c r="DN204" s="192"/>
      <c r="DO204" s="191"/>
      <c r="DP204" s="19"/>
      <c r="DQ204" s="192"/>
      <c r="DR204" s="192"/>
      <c r="DS204" s="192"/>
      <c r="DT204" s="191"/>
      <c r="DU204" s="193"/>
      <c r="DV204" s="192"/>
      <c r="DW204" s="192"/>
      <c r="DX204" s="192"/>
      <c r="DY204" s="191"/>
      <c r="DZ204" s="19"/>
      <c r="EA204" s="192"/>
      <c r="EB204" s="192"/>
      <c r="EC204" s="192"/>
      <c r="ED204" s="191"/>
      <c r="EE204" s="193"/>
      <c r="EF204" s="192"/>
      <c r="EG204" s="192"/>
      <c r="EH204" s="192"/>
      <c r="EI204" s="191"/>
      <c r="EJ204" s="19"/>
      <c r="EK204" s="192"/>
      <c r="EL204" s="192"/>
      <c r="EM204" s="192"/>
      <c r="EN204" s="191"/>
      <c r="EO204" s="193"/>
      <c r="EP204" s="192"/>
      <c r="EQ204" s="192"/>
      <c r="ER204" s="192"/>
      <c r="ES204" s="191"/>
      <c r="ET204" s="19"/>
      <c r="EU204" s="192"/>
      <c r="EV204" s="192"/>
      <c r="EW204" s="192"/>
      <c r="EX204" s="191"/>
      <c r="EY204" s="193"/>
      <c r="EZ204" s="192"/>
      <c r="FA204" s="192"/>
      <c r="FB204" s="192"/>
      <c r="FC204" s="191"/>
      <c r="FL204" s="273">
        <f t="shared" ca="1" si="11"/>
        <v>116</v>
      </c>
    </row>
    <row r="205" spans="1:168" ht="16.5" thickBot="1">
      <c r="A205" s="199">
        <v>202</v>
      </c>
      <c r="B205" s="306"/>
      <c r="C205" s="310"/>
      <c r="D205" s="307" t="s">
        <v>271</v>
      </c>
      <c r="E205" s="307" t="s">
        <v>271</v>
      </c>
      <c r="F205" s="308"/>
      <c r="G205" s="343" t="str">
        <f t="shared" si="9"/>
        <v xml:space="preserve"> </v>
      </c>
      <c r="H205" s="307"/>
      <c r="I205" s="309" t="e">
        <f t="shared" si="10"/>
        <v>#N/A</v>
      </c>
      <c r="J205" s="307"/>
      <c r="K205" s="307"/>
      <c r="L205" s="310"/>
      <c r="M205" s="310"/>
      <c r="N205" s="310"/>
      <c r="O205" s="310"/>
      <c r="P205" s="310"/>
      <c r="Q205" s="310"/>
      <c r="R205" s="310"/>
      <c r="S205" s="310"/>
      <c r="T205" s="310"/>
      <c r="U205" s="307"/>
      <c r="V205" s="307"/>
      <c r="W205" s="311"/>
      <c r="X205" s="307"/>
      <c r="Y205" s="307"/>
      <c r="Z205" s="307"/>
      <c r="AA205" s="307"/>
      <c r="AB205" s="311"/>
      <c r="AC205" s="307"/>
      <c r="AD205" s="307"/>
      <c r="AE205" s="307"/>
      <c r="AF205" s="307"/>
      <c r="AG205" s="310"/>
      <c r="AH205" s="307"/>
      <c r="AI205" s="310"/>
      <c r="AJ205" s="307"/>
      <c r="AK205" s="307"/>
      <c r="AL205" s="307"/>
      <c r="AM205" s="308"/>
      <c r="AN205" s="311"/>
      <c r="AO205" s="307"/>
      <c r="AP205" s="307"/>
      <c r="AQ205" s="308"/>
      <c r="AR205" s="307"/>
      <c r="AS205" s="307"/>
      <c r="AT205" s="307"/>
      <c r="AU205" s="310"/>
      <c r="AV205" s="308"/>
      <c r="AW205" s="312"/>
      <c r="AX205" s="308"/>
      <c r="AY205" s="307"/>
      <c r="AZ205" s="307"/>
      <c r="BA205" s="307"/>
      <c r="BB205" s="307"/>
      <c r="BC205" s="308"/>
      <c r="BD205" s="308"/>
      <c r="BE205" s="313"/>
      <c r="BF205" s="307"/>
      <c r="BG205" s="310"/>
      <c r="BH205" s="307"/>
      <c r="BI205" s="307"/>
      <c r="BJ205" s="310"/>
      <c r="BK205" s="307"/>
      <c r="BL205" s="307"/>
      <c r="BM205" s="310"/>
      <c r="BN205" s="307"/>
      <c r="BO205" s="310"/>
      <c r="BP205" s="307"/>
      <c r="BQ205" s="307"/>
      <c r="BR205" s="307"/>
      <c r="BS205" s="307"/>
      <c r="BT205" s="307"/>
      <c r="BU205" s="310"/>
      <c r="BV205" s="307"/>
      <c r="BW205" s="308"/>
      <c r="BX205" s="311"/>
      <c r="BY205" s="307"/>
      <c r="BZ205" s="307"/>
      <c r="CA205" s="310"/>
      <c r="CB205" s="307"/>
      <c r="CC205" s="307"/>
      <c r="CD205" s="307"/>
      <c r="CE205" s="308"/>
      <c r="CF205" s="308"/>
      <c r="CG205" s="307"/>
      <c r="CH205" s="307"/>
      <c r="CI205" s="307"/>
      <c r="CJ205" s="307"/>
      <c r="CK205" s="314"/>
      <c r="CL205" s="310"/>
      <c r="CM205" s="310"/>
      <c r="CN205" s="307"/>
      <c r="CO205" s="307"/>
      <c r="CP205" s="307"/>
      <c r="CQ205" s="315"/>
      <c r="CR205" s="315"/>
      <c r="CS205" s="315"/>
      <c r="CT205" s="315"/>
      <c r="CU205" s="307"/>
      <c r="CV205" s="217"/>
      <c r="CW205" s="192"/>
      <c r="CX205" s="192"/>
      <c r="CY205" s="192"/>
      <c r="CZ205" s="191"/>
      <c r="DA205" s="193"/>
      <c r="DB205" s="192"/>
      <c r="DC205" s="192"/>
      <c r="DD205" s="192"/>
      <c r="DE205" s="191"/>
      <c r="DF205" s="19"/>
      <c r="DG205" s="192"/>
      <c r="DH205" s="192"/>
      <c r="DI205" s="192"/>
      <c r="DJ205" s="191"/>
      <c r="DK205" s="193"/>
      <c r="DL205" s="192"/>
      <c r="DM205" s="192"/>
      <c r="DN205" s="192"/>
      <c r="DO205" s="191"/>
      <c r="DP205" s="19"/>
      <c r="DQ205" s="192"/>
      <c r="DR205" s="192"/>
      <c r="DS205" s="192"/>
      <c r="DT205" s="191"/>
      <c r="DU205" s="193"/>
      <c r="DV205" s="192"/>
      <c r="DW205" s="192"/>
      <c r="DX205" s="192"/>
      <c r="DY205" s="191"/>
      <c r="DZ205" s="19"/>
      <c r="EA205" s="192"/>
      <c r="EB205" s="192"/>
      <c r="EC205" s="192"/>
      <c r="ED205" s="191"/>
      <c r="EE205" s="193"/>
      <c r="EF205" s="192"/>
      <c r="EG205" s="192"/>
      <c r="EH205" s="192"/>
      <c r="EI205" s="191"/>
      <c r="EJ205" s="19"/>
      <c r="EK205" s="192"/>
      <c r="EL205" s="192"/>
      <c r="EM205" s="192"/>
      <c r="EN205" s="191"/>
      <c r="EO205" s="193"/>
      <c r="EP205" s="192"/>
      <c r="EQ205" s="192"/>
      <c r="ER205" s="192"/>
      <c r="ES205" s="191"/>
      <c r="ET205" s="19"/>
      <c r="EU205" s="192"/>
      <c r="EV205" s="192"/>
      <c r="EW205" s="192"/>
      <c r="EX205" s="191"/>
      <c r="EY205" s="193"/>
      <c r="EZ205" s="192"/>
      <c r="FA205" s="192"/>
      <c r="FB205" s="192"/>
      <c r="FC205" s="191"/>
      <c r="FL205" s="273">
        <f t="shared" ca="1" si="11"/>
        <v>116</v>
      </c>
    </row>
    <row r="206" spans="1:168" ht="16.5" thickBot="1">
      <c r="A206" s="196">
        <v>203</v>
      </c>
      <c r="B206" s="306"/>
      <c r="C206" s="310"/>
      <c r="D206" s="307" t="s">
        <v>271</v>
      </c>
      <c r="E206" s="307" t="s">
        <v>271</v>
      </c>
      <c r="F206" s="308"/>
      <c r="G206" s="343" t="str">
        <f t="shared" si="9"/>
        <v xml:space="preserve"> </v>
      </c>
      <c r="H206" s="307"/>
      <c r="I206" s="309" t="e">
        <f t="shared" si="10"/>
        <v>#N/A</v>
      </c>
      <c r="J206" s="307"/>
      <c r="K206" s="307"/>
      <c r="L206" s="310"/>
      <c r="M206" s="310"/>
      <c r="N206" s="310"/>
      <c r="O206" s="310"/>
      <c r="P206" s="310"/>
      <c r="Q206" s="310"/>
      <c r="R206" s="310"/>
      <c r="S206" s="310"/>
      <c r="T206" s="310"/>
      <c r="U206" s="307"/>
      <c r="V206" s="307"/>
      <c r="W206" s="311"/>
      <c r="X206" s="307"/>
      <c r="Y206" s="307"/>
      <c r="Z206" s="307"/>
      <c r="AA206" s="307"/>
      <c r="AB206" s="311"/>
      <c r="AC206" s="307"/>
      <c r="AD206" s="307"/>
      <c r="AE206" s="307"/>
      <c r="AF206" s="307"/>
      <c r="AG206" s="310"/>
      <c r="AH206" s="307"/>
      <c r="AI206" s="310"/>
      <c r="AJ206" s="307"/>
      <c r="AK206" s="307"/>
      <c r="AL206" s="307"/>
      <c r="AM206" s="308"/>
      <c r="AN206" s="311"/>
      <c r="AO206" s="307"/>
      <c r="AP206" s="307"/>
      <c r="AQ206" s="308"/>
      <c r="AR206" s="307"/>
      <c r="AS206" s="307"/>
      <c r="AT206" s="307"/>
      <c r="AU206" s="310"/>
      <c r="AV206" s="308"/>
      <c r="AW206" s="312"/>
      <c r="AX206" s="308"/>
      <c r="AY206" s="307"/>
      <c r="AZ206" s="307"/>
      <c r="BA206" s="307"/>
      <c r="BB206" s="307"/>
      <c r="BC206" s="308"/>
      <c r="BD206" s="308"/>
      <c r="BE206" s="313"/>
      <c r="BF206" s="307"/>
      <c r="BG206" s="310"/>
      <c r="BH206" s="307"/>
      <c r="BI206" s="307"/>
      <c r="BJ206" s="310"/>
      <c r="BK206" s="307"/>
      <c r="BL206" s="307"/>
      <c r="BM206" s="310"/>
      <c r="BN206" s="307"/>
      <c r="BO206" s="310"/>
      <c r="BP206" s="307"/>
      <c r="BQ206" s="307"/>
      <c r="BR206" s="307"/>
      <c r="BS206" s="307"/>
      <c r="BT206" s="307"/>
      <c r="BU206" s="310"/>
      <c r="BV206" s="307"/>
      <c r="BW206" s="308"/>
      <c r="BX206" s="311"/>
      <c r="BY206" s="307"/>
      <c r="BZ206" s="307"/>
      <c r="CA206" s="310"/>
      <c r="CB206" s="307"/>
      <c r="CC206" s="307"/>
      <c r="CD206" s="307"/>
      <c r="CE206" s="308"/>
      <c r="CF206" s="308"/>
      <c r="CG206" s="307"/>
      <c r="CH206" s="307"/>
      <c r="CI206" s="307"/>
      <c r="CJ206" s="307"/>
      <c r="CK206" s="314"/>
      <c r="CL206" s="310"/>
      <c r="CM206" s="310"/>
      <c r="CN206" s="307"/>
      <c r="CO206" s="307"/>
      <c r="CP206" s="307"/>
      <c r="CQ206" s="315"/>
      <c r="CR206" s="315"/>
      <c r="CS206" s="315"/>
      <c r="CT206" s="315"/>
      <c r="CU206" s="307"/>
      <c r="CV206" s="217"/>
      <c r="CW206" s="192"/>
      <c r="CX206" s="192"/>
      <c r="CY206" s="192"/>
      <c r="CZ206" s="191"/>
      <c r="DA206" s="193"/>
      <c r="DB206" s="192"/>
      <c r="DC206" s="192"/>
      <c r="DD206" s="192"/>
      <c r="DE206" s="191"/>
      <c r="DF206" s="19"/>
      <c r="DG206" s="192"/>
      <c r="DH206" s="192"/>
      <c r="DI206" s="192"/>
      <c r="DJ206" s="191"/>
      <c r="DK206" s="193"/>
      <c r="DL206" s="192"/>
      <c r="DM206" s="192"/>
      <c r="DN206" s="192"/>
      <c r="DO206" s="191"/>
      <c r="DP206" s="19"/>
      <c r="DQ206" s="192"/>
      <c r="DR206" s="192"/>
      <c r="DS206" s="192"/>
      <c r="DT206" s="191"/>
      <c r="DU206" s="193"/>
      <c r="DV206" s="192"/>
      <c r="DW206" s="192"/>
      <c r="DX206" s="192"/>
      <c r="DY206" s="191"/>
      <c r="DZ206" s="19"/>
      <c r="EA206" s="192"/>
      <c r="EB206" s="192"/>
      <c r="EC206" s="192"/>
      <c r="ED206" s="191"/>
      <c r="EE206" s="193"/>
      <c r="EF206" s="192"/>
      <c r="EG206" s="192"/>
      <c r="EH206" s="192"/>
      <c r="EI206" s="191"/>
      <c r="EJ206" s="19"/>
      <c r="EK206" s="192"/>
      <c r="EL206" s="192"/>
      <c r="EM206" s="192"/>
      <c r="EN206" s="191"/>
      <c r="EO206" s="193"/>
      <c r="EP206" s="192"/>
      <c r="EQ206" s="192"/>
      <c r="ER206" s="192"/>
      <c r="ES206" s="191"/>
      <c r="ET206" s="19"/>
      <c r="EU206" s="192"/>
      <c r="EV206" s="192"/>
      <c r="EW206" s="192"/>
      <c r="EX206" s="191"/>
      <c r="EY206" s="193"/>
      <c r="EZ206" s="192"/>
      <c r="FA206" s="192"/>
      <c r="FB206" s="192"/>
      <c r="FC206" s="191"/>
      <c r="FL206" s="273">
        <f t="shared" ca="1" si="11"/>
        <v>116</v>
      </c>
    </row>
    <row r="207" spans="1:168" ht="16.5" thickBot="1">
      <c r="A207" s="199">
        <v>204</v>
      </c>
      <c r="B207" s="306"/>
      <c r="C207" s="310"/>
      <c r="D207" s="307" t="s">
        <v>271</v>
      </c>
      <c r="E207" s="307" t="s">
        <v>271</v>
      </c>
      <c r="F207" s="308"/>
      <c r="G207" s="343" t="str">
        <f t="shared" si="9"/>
        <v xml:space="preserve"> </v>
      </c>
      <c r="H207" s="307"/>
      <c r="I207" s="309" t="e">
        <f t="shared" si="10"/>
        <v>#N/A</v>
      </c>
      <c r="J207" s="307"/>
      <c r="K207" s="307"/>
      <c r="L207" s="310"/>
      <c r="M207" s="310"/>
      <c r="N207" s="310"/>
      <c r="O207" s="310"/>
      <c r="P207" s="310"/>
      <c r="Q207" s="310"/>
      <c r="R207" s="310"/>
      <c r="S207" s="310"/>
      <c r="T207" s="310"/>
      <c r="U207" s="307"/>
      <c r="V207" s="307"/>
      <c r="W207" s="311"/>
      <c r="X207" s="307"/>
      <c r="Y207" s="307"/>
      <c r="Z207" s="307"/>
      <c r="AA207" s="307"/>
      <c r="AB207" s="311"/>
      <c r="AC207" s="307"/>
      <c r="AD207" s="307"/>
      <c r="AE207" s="307"/>
      <c r="AF207" s="307"/>
      <c r="AG207" s="310"/>
      <c r="AH207" s="307"/>
      <c r="AI207" s="310"/>
      <c r="AJ207" s="307"/>
      <c r="AK207" s="307"/>
      <c r="AL207" s="307"/>
      <c r="AM207" s="308"/>
      <c r="AN207" s="311"/>
      <c r="AO207" s="307"/>
      <c r="AP207" s="307"/>
      <c r="AQ207" s="308"/>
      <c r="AR207" s="307"/>
      <c r="AS207" s="307"/>
      <c r="AT207" s="307"/>
      <c r="AU207" s="310"/>
      <c r="AV207" s="308"/>
      <c r="AW207" s="312"/>
      <c r="AX207" s="308"/>
      <c r="AY207" s="307"/>
      <c r="AZ207" s="307"/>
      <c r="BA207" s="307"/>
      <c r="BB207" s="307"/>
      <c r="BC207" s="308"/>
      <c r="BD207" s="308"/>
      <c r="BE207" s="313"/>
      <c r="BF207" s="307"/>
      <c r="BG207" s="310"/>
      <c r="BH207" s="307"/>
      <c r="BI207" s="307"/>
      <c r="BJ207" s="310"/>
      <c r="BK207" s="307"/>
      <c r="BL207" s="307"/>
      <c r="BM207" s="310"/>
      <c r="BN207" s="307"/>
      <c r="BO207" s="310"/>
      <c r="BP207" s="307"/>
      <c r="BQ207" s="307"/>
      <c r="BR207" s="307"/>
      <c r="BS207" s="307"/>
      <c r="BT207" s="307"/>
      <c r="BU207" s="310"/>
      <c r="BV207" s="307"/>
      <c r="BW207" s="308"/>
      <c r="BX207" s="311"/>
      <c r="BY207" s="307"/>
      <c r="BZ207" s="307"/>
      <c r="CA207" s="310"/>
      <c r="CB207" s="307"/>
      <c r="CC207" s="307"/>
      <c r="CD207" s="307"/>
      <c r="CE207" s="308"/>
      <c r="CF207" s="308"/>
      <c r="CG207" s="307"/>
      <c r="CH207" s="307"/>
      <c r="CI207" s="307"/>
      <c r="CJ207" s="307"/>
      <c r="CK207" s="314"/>
      <c r="CL207" s="310"/>
      <c r="CM207" s="310"/>
      <c r="CN207" s="307"/>
      <c r="CO207" s="307"/>
      <c r="CP207" s="307"/>
      <c r="CQ207" s="315"/>
      <c r="CR207" s="315"/>
      <c r="CS207" s="315"/>
      <c r="CT207" s="315"/>
      <c r="CU207" s="307"/>
      <c r="CV207" s="217"/>
      <c r="CW207" s="192"/>
      <c r="CX207" s="192"/>
      <c r="CY207" s="192"/>
      <c r="CZ207" s="191"/>
      <c r="DA207" s="193"/>
      <c r="DB207" s="192"/>
      <c r="DC207" s="192"/>
      <c r="DD207" s="192"/>
      <c r="DE207" s="191"/>
      <c r="DF207" s="19"/>
      <c r="DG207" s="192"/>
      <c r="DH207" s="192"/>
      <c r="DI207" s="192"/>
      <c r="DJ207" s="191"/>
      <c r="DK207" s="193"/>
      <c r="DL207" s="192"/>
      <c r="DM207" s="192"/>
      <c r="DN207" s="192"/>
      <c r="DO207" s="191"/>
      <c r="DP207" s="19"/>
      <c r="DQ207" s="192"/>
      <c r="DR207" s="192"/>
      <c r="DS207" s="192"/>
      <c r="DT207" s="191"/>
      <c r="DU207" s="193"/>
      <c r="DV207" s="192"/>
      <c r="DW207" s="192"/>
      <c r="DX207" s="192"/>
      <c r="DY207" s="191"/>
      <c r="DZ207" s="19"/>
      <c r="EA207" s="192"/>
      <c r="EB207" s="192"/>
      <c r="EC207" s="192"/>
      <c r="ED207" s="191"/>
      <c r="EE207" s="193"/>
      <c r="EF207" s="192"/>
      <c r="EG207" s="192"/>
      <c r="EH207" s="192"/>
      <c r="EI207" s="191"/>
      <c r="EJ207" s="19"/>
      <c r="EK207" s="192"/>
      <c r="EL207" s="192"/>
      <c r="EM207" s="192"/>
      <c r="EN207" s="191"/>
      <c r="EO207" s="193"/>
      <c r="EP207" s="192"/>
      <c r="EQ207" s="192"/>
      <c r="ER207" s="192"/>
      <c r="ES207" s="191"/>
      <c r="ET207" s="19"/>
      <c r="EU207" s="192"/>
      <c r="EV207" s="192"/>
      <c r="EW207" s="192"/>
      <c r="EX207" s="191"/>
      <c r="EY207" s="193"/>
      <c r="EZ207" s="192"/>
      <c r="FA207" s="192"/>
      <c r="FB207" s="192"/>
      <c r="FC207" s="191"/>
      <c r="FL207" s="273">
        <f t="shared" ca="1" si="11"/>
        <v>116</v>
      </c>
    </row>
    <row r="208" spans="1:168" ht="16.5" thickBot="1">
      <c r="A208" s="196">
        <v>205</v>
      </c>
      <c r="B208" s="306"/>
      <c r="C208" s="310"/>
      <c r="D208" s="307" t="s">
        <v>271</v>
      </c>
      <c r="E208" s="307" t="s">
        <v>271</v>
      </c>
      <c r="F208" s="308"/>
      <c r="G208" s="343" t="str">
        <f t="shared" si="9"/>
        <v xml:space="preserve"> </v>
      </c>
      <c r="H208" s="307"/>
      <c r="I208" s="309" t="e">
        <f t="shared" si="10"/>
        <v>#N/A</v>
      </c>
      <c r="J208" s="307"/>
      <c r="K208" s="307"/>
      <c r="L208" s="310"/>
      <c r="M208" s="310"/>
      <c r="N208" s="310"/>
      <c r="O208" s="310"/>
      <c r="P208" s="310"/>
      <c r="Q208" s="310"/>
      <c r="R208" s="310"/>
      <c r="S208" s="310"/>
      <c r="T208" s="310"/>
      <c r="U208" s="307"/>
      <c r="V208" s="307"/>
      <c r="W208" s="311"/>
      <c r="X208" s="307"/>
      <c r="Y208" s="307"/>
      <c r="Z208" s="307"/>
      <c r="AA208" s="307"/>
      <c r="AB208" s="311"/>
      <c r="AC208" s="307"/>
      <c r="AD208" s="307"/>
      <c r="AE208" s="307"/>
      <c r="AF208" s="307"/>
      <c r="AG208" s="310"/>
      <c r="AH208" s="307"/>
      <c r="AI208" s="310"/>
      <c r="AJ208" s="307"/>
      <c r="AK208" s="307"/>
      <c r="AL208" s="307"/>
      <c r="AM208" s="308"/>
      <c r="AN208" s="311"/>
      <c r="AO208" s="307"/>
      <c r="AP208" s="307"/>
      <c r="AQ208" s="308"/>
      <c r="AR208" s="307"/>
      <c r="AS208" s="307"/>
      <c r="AT208" s="307"/>
      <c r="AU208" s="310"/>
      <c r="AV208" s="308"/>
      <c r="AW208" s="312"/>
      <c r="AX208" s="308"/>
      <c r="AY208" s="307"/>
      <c r="AZ208" s="307"/>
      <c r="BA208" s="307"/>
      <c r="BB208" s="307"/>
      <c r="BC208" s="308"/>
      <c r="BD208" s="308"/>
      <c r="BE208" s="313"/>
      <c r="BF208" s="307"/>
      <c r="BG208" s="310"/>
      <c r="BH208" s="307"/>
      <c r="BI208" s="307"/>
      <c r="BJ208" s="310"/>
      <c r="BK208" s="307"/>
      <c r="BL208" s="307"/>
      <c r="BM208" s="310"/>
      <c r="BN208" s="307"/>
      <c r="BO208" s="310"/>
      <c r="BP208" s="307"/>
      <c r="BQ208" s="307"/>
      <c r="BR208" s="307"/>
      <c r="BS208" s="307"/>
      <c r="BT208" s="307"/>
      <c r="BU208" s="310"/>
      <c r="BV208" s="307"/>
      <c r="BW208" s="308"/>
      <c r="BX208" s="311"/>
      <c r="BY208" s="307"/>
      <c r="BZ208" s="307"/>
      <c r="CA208" s="310"/>
      <c r="CB208" s="307"/>
      <c r="CC208" s="307"/>
      <c r="CD208" s="307"/>
      <c r="CE208" s="308"/>
      <c r="CF208" s="308"/>
      <c r="CG208" s="307"/>
      <c r="CH208" s="307"/>
      <c r="CI208" s="307"/>
      <c r="CJ208" s="307"/>
      <c r="CK208" s="314"/>
      <c r="CL208" s="310"/>
      <c r="CM208" s="310"/>
      <c r="CN208" s="307"/>
      <c r="CO208" s="307"/>
      <c r="CP208" s="307"/>
      <c r="CQ208" s="315"/>
      <c r="CR208" s="315"/>
      <c r="CS208" s="315"/>
      <c r="CT208" s="315"/>
      <c r="CU208" s="307"/>
      <c r="CV208" s="217"/>
      <c r="CW208" s="192"/>
      <c r="CX208" s="192"/>
      <c r="CY208" s="192"/>
      <c r="CZ208" s="191"/>
      <c r="DA208" s="193"/>
      <c r="DB208" s="192"/>
      <c r="DC208" s="192"/>
      <c r="DD208" s="192"/>
      <c r="DE208" s="191"/>
      <c r="DF208" s="19"/>
      <c r="DG208" s="192"/>
      <c r="DH208" s="192"/>
      <c r="DI208" s="192"/>
      <c r="DJ208" s="191"/>
      <c r="DK208" s="193"/>
      <c r="DL208" s="192"/>
      <c r="DM208" s="192"/>
      <c r="DN208" s="192"/>
      <c r="DO208" s="191"/>
      <c r="DP208" s="19"/>
      <c r="DQ208" s="192"/>
      <c r="DR208" s="192"/>
      <c r="DS208" s="192"/>
      <c r="DT208" s="191"/>
      <c r="DU208" s="193"/>
      <c r="DV208" s="192"/>
      <c r="DW208" s="192"/>
      <c r="DX208" s="192"/>
      <c r="DY208" s="191"/>
      <c r="DZ208" s="19"/>
      <c r="EA208" s="192"/>
      <c r="EB208" s="192"/>
      <c r="EC208" s="192"/>
      <c r="ED208" s="191"/>
      <c r="EE208" s="193"/>
      <c r="EF208" s="192"/>
      <c r="EG208" s="192"/>
      <c r="EH208" s="192"/>
      <c r="EI208" s="191"/>
      <c r="EJ208" s="19"/>
      <c r="EK208" s="192"/>
      <c r="EL208" s="192"/>
      <c r="EM208" s="192"/>
      <c r="EN208" s="191"/>
      <c r="EO208" s="193"/>
      <c r="EP208" s="192"/>
      <c r="EQ208" s="192"/>
      <c r="ER208" s="192"/>
      <c r="ES208" s="191"/>
      <c r="ET208" s="19"/>
      <c r="EU208" s="192"/>
      <c r="EV208" s="192"/>
      <c r="EW208" s="192"/>
      <c r="EX208" s="191"/>
      <c r="EY208" s="193"/>
      <c r="EZ208" s="192"/>
      <c r="FA208" s="192"/>
      <c r="FB208" s="192"/>
      <c r="FC208" s="191"/>
      <c r="FL208" s="273">
        <f t="shared" ca="1" si="11"/>
        <v>116</v>
      </c>
    </row>
    <row r="209" spans="1:168" ht="16.5" thickBot="1">
      <c r="A209" s="199">
        <v>206</v>
      </c>
      <c r="B209" s="306"/>
      <c r="C209" s="310"/>
      <c r="D209" s="307" t="s">
        <v>271</v>
      </c>
      <c r="E209" s="307" t="s">
        <v>271</v>
      </c>
      <c r="F209" s="308"/>
      <c r="G209" s="343" t="str">
        <f t="shared" si="9"/>
        <v xml:space="preserve"> </v>
      </c>
      <c r="H209" s="307"/>
      <c r="I209" s="309" t="e">
        <f t="shared" si="10"/>
        <v>#N/A</v>
      </c>
      <c r="J209" s="307"/>
      <c r="K209" s="307"/>
      <c r="L209" s="310"/>
      <c r="M209" s="310"/>
      <c r="N209" s="310"/>
      <c r="O209" s="310"/>
      <c r="P209" s="310"/>
      <c r="Q209" s="310"/>
      <c r="R209" s="310"/>
      <c r="S209" s="310"/>
      <c r="T209" s="310"/>
      <c r="U209" s="307"/>
      <c r="V209" s="307"/>
      <c r="W209" s="311"/>
      <c r="X209" s="307"/>
      <c r="Y209" s="307"/>
      <c r="Z209" s="307"/>
      <c r="AA209" s="307"/>
      <c r="AB209" s="311"/>
      <c r="AC209" s="307"/>
      <c r="AD209" s="307"/>
      <c r="AE209" s="307"/>
      <c r="AF209" s="307"/>
      <c r="AG209" s="310"/>
      <c r="AH209" s="307"/>
      <c r="AI209" s="310"/>
      <c r="AJ209" s="307"/>
      <c r="AK209" s="307"/>
      <c r="AL209" s="307"/>
      <c r="AM209" s="308"/>
      <c r="AN209" s="311"/>
      <c r="AO209" s="307"/>
      <c r="AP209" s="307"/>
      <c r="AQ209" s="308"/>
      <c r="AR209" s="307"/>
      <c r="AS209" s="307"/>
      <c r="AT209" s="307"/>
      <c r="AU209" s="310"/>
      <c r="AV209" s="308"/>
      <c r="AW209" s="312"/>
      <c r="AX209" s="308"/>
      <c r="AY209" s="307"/>
      <c r="AZ209" s="307"/>
      <c r="BA209" s="307"/>
      <c r="BB209" s="307"/>
      <c r="BC209" s="308"/>
      <c r="BD209" s="308"/>
      <c r="BE209" s="313"/>
      <c r="BF209" s="307"/>
      <c r="BG209" s="310"/>
      <c r="BH209" s="307"/>
      <c r="BI209" s="307"/>
      <c r="BJ209" s="310"/>
      <c r="BK209" s="307"/>
      <c r="BL209" s="307"/>
      <c r="BM209" s="310"/>
      <c r="BN209" s="307"/>
      <c r="BO209" s="310"/>
      <c r="BP209" s="307"/>
      <c r="BQ209" s="307"/>
      <c r="BR209" s="307"/>
      <c r="BS209" s="307"/>
      <c r="BT209" s="307"/>
      <c r="BU209" s="310"/>
      <c r="BV209" s="307"/>
      <c r="BW209" s="308"/>
      <c r="BX209" s="311"/>
      <c r="BY209" s="307"/>
      <c r="BZ209" s="307"/>
      <c r="CA209" s="310"/>
      <c r="CB209" s="307"/>
      <c r="CC209" s="307"/>
      <c r="CD209" s="307"/>
      <c r="CE209" s="308"/>
      <c r="CF209" s="308"/>
      <c r="CG209" s="307"/>
      <c r="CH209" s="307"/>
      <c r="CI209" s="307"/>
      <c r="CJ209" s="307"/>
      <c r="CK209" s="314"/>
      <c r="CL209" s="310"/>
      <c r="CM209" s="310"/>
      <c r="CN209" s="307"/>
      <c r="CO209" s="307"/>
      <c r="CP209" s="307"/>
      <c r="CQ209" s="315"/>
      <c r="CR209" s="315"/>
      <c r="CS209" s="315"/>
      <c r="CT209" s="315"/>
      <c r="CU209" s="307"/>
      <c r="CV209" s="217"/>
      <c r="CW209" s="192"/>
      <c r="CX209" s="192"/>
      <c r="CY209" s="192"/>
      <c r="CZ209" s="191"/>
      <c r="DA209" s="193"/>
      <c r="DB209" s="192"/>
      <c r="DC209" s="192"/>
      <c r="DD209" s="192"/>
      <c r="DE209" s="191"/>
      <c r="DF209" s="19"/>
      <c r="DG209" s="192"/>
      <c r="DH209" s="192"/>
      <c r="DI209" s="192"/>
      <c r="DJ209" s="191"/>
      <c r="DK209" s="193"/>
      <c r="DL209" s="192"/>
      <c r="DM209" s="192"/>
      <c r="DN209" s="192"/>
      <c r="DO209" s="191"/>
      <c r="DP209" s="19"/>
      <c r="DQ209" s="192"/>
      <c r="DR209" s="192"/>
      <c r="DS209" s="192"/>
      <c r="DT209" s="191"/>
      <c r="DU209" s="193"/>
      <c r="DV209" s="192"/>
      <c r="DW209" s="192"/>
      <c r="DX209" s="192"/>
      <c r="DY209" s="191"/>
      <c r="DZ209" s="19"/>
      <c r="EA209" s="192"/>
      <c r="EB209" s="192"/>
      <c r="EC209" s="192"/>
      <c r="ED209" s="191"/>
      <c r="EE209" s="193"/>
      <c r="EF209" s="192"/>
      <c r="EG209" s="192"/>
      <c r="EH209" s="192"/>
      <c r="EI209" s="191"/>
      <c r="EJ209" s="19"/>
      <c r="EK209" s="192"/>
      <c r="EL209" s="192"/>
      <c r="EM209" s="192"/>
      <c r="EN209" s="191"/>
      <c r="EO209" s="193"/>
      <c r="EP209" s="192"/>
      <c r="EQ209" s="192"/>
      <c r="ER209" s="192"/>
      <c r="ES209" s="191"/>
      <c r="ET209" s="19"/>
      <c r="EU209" s="192"/>
      <c r="EV209" s="192"/>
      <c r="EW209" s="192"/>
      <c r="EX209" s="191"/>
      <c r="EY209" s="193"/>
      <c r="EZ209" s="192"/>
      <c r="FA209" s="192"/>
      <c r="FB209" s="192"/>
      <c r="FC209" s="191"/>
      <c r="FL209" s="273">
        <f t="shared" ca="1" si="11"/>
        <v>116</v>
      </c>
    </row>
    <row r="210" spans="1:168" ht="16.5" thickBot="1">
      <c r="A210" s="196">
        <v>207</v>
      </c>
      <c r="B210" s="306"/>
      <c r="C210" s="310"/>
      <c r="D210" s="307" t="s">
        <v>271</v>
      </c>
      <c r="E210" s="307" t="s">
        <v>271</v>
      </c>
      <c r="F210" s="308"/>
      <c r="G210" s="343" t="str">
        <f t="shared" si="9"/>
        <v xml:space="preserve"> </v>
      </c>
      <c r="H210" s="307"/>
      <c r="I210" s="309" t="e">
        <f t="shared" si="10"/>
        <v>#N/A</v>
      </c>
      <c r="J210" s="307"/>
      <c r="K210" s="307"/>
      <c r="L210" s="310"/>
      <c r="M210" s="310"/>
      <c r="N210" s="310"/>
      <c r="O210" s="310"/>
      <c r="P210" s="310"/>
      <c r="Q210" s="310"/>
      <c r="R210" s="310"/>
      <c r="S210" s="310"/>
      <c r="T210" s="310"/>
      <c r="U210" s="307"/>
      <c r="V210" s="307"/>
      <c r="W210" s="311"/>
      <c r="X210" s="307"/>
      <c r="Y210" s="307"/>
      <c r="Z210" s="307"/>
      <c r="AA210" s="307"/>
      <c r="AB210" s="311"/>
      <c r="AC210" s="307"/>
      <c r="AD210" s="307"/>
      <c r="AE210" s="307"/>
      <c r="AF210" s="307"/>
      <c r="AG210" s="310"/>
      <c r="AH210" s="307"/>
      <c r="AI210" s="310"/>
      <c r="AJ210" s="307"/>
      <c r="AK210" s="307"/>
      <c r="AL210" s="307"/>
      <c r="AM210" s="308"/>
      <c r="AN210" s="311"/>
      <c r="AO210" s="307"/>
      <c r="AP210" s="307"/>
      <c r="AQ210" s="308"/>
      <c r="AR210" s="307"/>
      <c r="AS210" s="307"/>
      <c r="AT210" s="307"/>
      <c r="AU210" s="310"/>
      <c r="AV210" s="308"/>
      <c r="AW210" s="312"/>
      <c r="AX210" s="308"/>
      <c r="AY210" s="307"/>
      <c r="AZ210" s="307"/>
      <c r="BA210" s="307"/>
      <c r="BB210" s="307"/>
      <c r="BC210" s="308"/>
      <c r="BD210" s="308"/>
      <c r="BE210" s="313"/>
      <c r="BF210" s="307"/>
      <c r="BG210" s="310"/>
      <c r="BH210" s="307"/>
      <c r="BI210" s="307"/>
      <c r="BJ210" s="310"/>
      <c r="BK210" s="307"/>
      <c r="BL210" s="307"/>
      <c r="BM210" s="310"/>
      <c r="BN210" s="307"/>
      <c r="BO210" s="310"/>
      <c r="BP210" s="307"/>
      <c r="BQ210" s="307"/>
      <c r="BR210" s="307"/>
      <c r="BS210" s="307"/>
      <c r="BT210" s="307"/>
      <c r="BU210" s="310"/>
      <c r="BV210" s="307"/>
      <c r="BW210" s="308"/>
      <c r="BX210" s="311"/>
      <c r="BY210" s="307"/>
      <c r="BZ210" s="307"/>
      <c r="CA210" s="310"/>
      <c r="CB210" s="307"/>
      <c r="CC210" s="307"/>
      <c r="CD210" s="307"/>
      <c r="CE210" s="308"/>
      <c r="CF210" s="308"/>
      <c r="CG210" s="307"/>
      <c r="CH210" s="307"/>
      <c r="CI210" s="307"/>
      <c r="CJ210" s="307"/>
      <c r="CK210" s="314"/>
      <c r="CL210" s="310"/>
      <c r="CM210" s="310"/>
      <c r="CN210" s="307"/>
      <c r="CO210" s="307"/>
      <c r="CP210" s="307"/>
      <c r="CQ210" s="315"/>
      <c r="CR210" s="315"/>
      <c r="CS210" s="315"/>
      <c r="CT210" s="315"/>
      <c r="CU210" s="307"/>
      <c r="CV210" s="217"/>
      <c r="CW210" s="192"/>
      <c r="CX210" s="192"/>
      <c r="CY210" s="192"/>
      <c r="CZ210" s="191"/>
      <c r="DA210" s="193"/>
      <c r="DB210" s="192"/>
      <c r="DC210" s="192"/>
      <c r="DD210" s="192"/>
      <c r="DE210" s="191"/>
      <c r="DF210" s="19"/>
      <c r="DG210" s="192"/>
      <c r="DH210" s="192"/>
      <c r="DI210" s="192"/>
      <c r="DJ210" s="191"/>
      <c r="DK210" s="193"/>
      <c r="DL210" s="192"/>
      <c r="DM210" s="192"/>
      <c r="DN210" s="192"/>
      <c r="DO210" s="191"/>
      <c r="DP210" s="19"/>
      <c r="DQ210" s="192"/>
      <c r="DR210" s="192"/>
      <c r="DS210" s="192"/>
      <c r="DT210" s="191"/>
      <c r="DU210" s="193"/>
      <c r="DV210" s="192"/>
      <c r="DW210" s="192"/>
      <c r="DX210" s="192"/>
      <c r="DY210" s="191"/>
      <c r="DZ210" s="19"/>
      <c r="EA210" s="192"/>
      <c r="EB210" s="192"/>
      <c r="EC210" s="192"/>
      <c r="ED210" s="191"/>
      <c r="EE210" s="193"/>
      <c r="EF210" s="192"/>
      <c r="EG210" s="192"/>
      <c r="EH210" s="192"/>
      <c r="EI210" s="191"/>
      <c r="EJ210" s="19"/>
      <c r="EK210" s="192"/>
      <c r="EL210" s="192"/>
      <c r="EM210" s="192"/>
      <c r="EN210" s="191"/>
      <c r="EO210" s="193"/>
      <c r="EP210" s="192"/>
      <c r="EQ210" s="192"/>
      <c r="ER210" s="192"/>
      <c r="ES210" s="191"/>
      <c r="ET210" s="19"/>
      <c r="EU210" s="192"/>
      <c r="EV210" s="192"/>
      <c r="EW210" s="192"/>
      <c r="EX210" s="191"/>
      <c r="EY210" s="193"/>
      <c r="EZ210" s="192"/>
      <c r="FA210" s="192"/>
      <c r="FB210" s="192"/>
      <c r="FC210" s="191"/>
      <c r="FL210" s="273">
        <f t="shared" ca="1" si="11"/>
        <v>116</v>
      </c>
    </row>
    <row r="211" spans="1:168" ht="16.5" thickBot="1">
      <c r="A211" s="199">
        <v>208</v>
      </c>
      <c r="B211" s="306"/>
      <c r="C211" s="310"/>
      <c r="D211" s="307" t="s">
        <v>271</v>
      </c>
      <c r="E211" s="307" t="s">
        <v>271</v>
      </c>
      <c r="F211" s="308"/>
      <c r="G211" s="343" t="str">
        <f t="shared" si="9"/>
        <v xml:space="preserve"> </v>
      </c>
      <c r="H211" s="307"/>
      <c r="I211" s="309" t="e">
        <f t="shared" si="10"/>
        <v>#N/A</v>
      </c>
      <c r="J211" s="307"/>
      <c r="K211" s="307"/>
      <c r="L211" s="310"/>
      <c r="M211" s="310"/>
      <c r="N211" s="310"/>
      <c r="O211" s="310"/>
      <c r="P211" s="310"/>
      <c r="Q211" s="310"/>
      <c r="R211" s="310"/>
      <c r="S211" s="310"/>
      <c r="T211" s="310"/>
      <c r="U211" s="307"/>
      <c r="V211" s="307"/>
      <c r="W211" s="311"/>
      <c r="X211" s="307"/>
      <c r="Y211" s="307"/>
      <c r="Z211" s="307"/>
      <c r="AA211" s="307"/>
      <c r="AB211" s="311"/>
      <c r="AC211" s="307"/>
      <c r="AD211" s="307"/>
      <c r="AE211" s="307"/>
      <c r="AF211" s="307"/>
      <c r="AG211" s="310"/>
      <c r="AH211" s="307"/>
      <c r="AI211" s="310"/>
      <c r="AJ211" s="307"/>
      <c r="AK211" s="307"/>
      <c r="AL211" s="307"/>
      <c r="AM211" s="308"/>
      <c r="AN211" s="311"/>
      <c r="AO211" s="307"/>
      <c r="AP211" s="307"/>
      <c r="AQ211" s="308"/>
      <c r="AR211" s="307"/>
      <c r="AS211" s="307"/>
      <c r="AT211" s="307"/>
      <c r="AU211" s="310"/>
      <c r="AV211" s="308"/>
      <c r="AW211" s="312"/>
      <c r="AX211" s="308"/>
      <c r="AY211" s="307"/>
      <c r="AZ211" s="307"/>
      <c r="BA211" s="307"/>
      <c r="BB211" s="307"/>
      <c r="BC211" s="308"/>
      <c r="BD211" s="308"/>
      <c r="BE211" s="313"/>
      <c r="BF211" s="307"/>
      <c r="BG211" s="310"/>
      <c r="BH211" s="307"/>
      <c r="BI211" s="307"/>
      <c r="BJ211" s="310"/>
      <c r="BK211" s="307"/>
      <c r="BL211" s="307"/>
      <c r="BM211" s="310"/>
      <c r="BN211" s="307"/>
      <c r="BO211" s="310"/>
      <c r="BP211" s="307"/>
      <c r="BQ211" s="307"/>
      <c r="BR211" s="307"/>
      <c r="BS211" s="307"/>
      <c r="BT211" s="307"/>
      <c r="BU211" s="310"/>
      <c r="BV211" s="307"/>
      <c r="BW211" s="308"/>
      <c r="BX211" s="311"/>
      <c r="BY211" s="307"/>
      <c r="BZ211" s="307"/>
      <c r="CA211" s="310"/>
      <c r="CB211" s="307"/>
      <c r="CC211" s="307"/>
      <c r="CD211" s="307"/>
      <c r="CE211" s="308"/>
      <c r="CF211" s="308"/>
      <c r="CG211" s="307"/>
      <c r="CH211" s="307"/>
      <c r="CI211" s="307"/>
      <c r="CJ211" s="307"/>
      <c r="CK211" s="314"/>
      <c r="CL211" s="310"/>
      <c r="CM211" s="310"/>
      <c r="CN211" s="307"/>
      <c r="CO211" s="307"/>
      <c r="CP211" s="307"/>
      <c r="CQ211" s="315"/>
      <c r="CR211" s="315"/>
      <c r="CS211" s="315"/>
      <c r="CT211" s="315"/>
      <c r="CU211" s="307"/>
      <c r="CV211" s="217"/>
      <c r="CW211" s="192"/>
      <c r="CX211" s="192"/>
      <c r="CY211" s="192"/>
      <c r="CZ211" s="191"/>
      <c r="DA211" s="193"/>
      <c r="DB211" s="192"/>
      <c r="DC211" s="192"/>
      <c r="DD211" s="192"/>
      <c r="DE211" s="191"/>
      <c r="DF211" s="19"/>
      <c r="DG211" s="192"/>
      <c r="DH211" s="192"/>
      <c r="DI211" s="192"/>
      <c r="DJ211" s="191"/>
      <c r="DK211" s="193"/>
      <c r="DL211" s="192"/>
      <c r="DM211" s="192"/>
      <c r="DN211" s="192"/>
      <c r="DO211" s="191"/>
      <c r="DP211" s="19"/>
      <c r="DQ211" s="192"/>
      <c r="DR211" s="192"/>
      <c r="DS211" s="192"/>
      <c r="DT211" s="191"/>
      <c r="DU211" s="193"/>
      <c r="DV211" s="192"/>
      <c r="DW211" s="192"/>
      <c r="DX211" s="192"/>
      <c r="DY211" s="191"/>
      <c r="DZ211" s="19"/>
      <c r="EA211" s="192"/>
      <c r="EB211" s="192"/>
      <c r="EC211" s="192"/>
      <c r="ED211" s="191"/>
      <c r="EE211" s="193"/>
      <c r="EF211" s="192"/>
      <c r="EG211" s="192"/>
      <c r="EH211" s="192"/>
      <c r="EI211" s="191"/>
      <c r="EJ211" s="19"/>
      <c r="EK211" s="192"/>
      <c r="EL211" s="192"/>
      <c r="EM211" s="192"/>
      <c r="EN211" s="191"/>
      <c r="EO211" s="193"/>
      <c r="EP211" s="192"/>
      <c r="EQ211" s="192"/>
      <c r="ER211" s="192"/>
      <c r="ES211" s="191"/>
      <c r="ET211" s="19"/>
      <c r="EU211" s="192"/>
      <c r="EV211" s="192"/>
      <c r="EW211" s="192"/>
      <c r="EX211" s="191"/>
      <c r="EY211" s="193"/>
      <c r="EZ211" s="192"/>
      <c r="FA211" s="192"/>
      <c r="FB211" s="192"/>
      <c r="FC211" s="191"/>
      <c r="FL211" s="273">
        <f t="shared" ca="1" si="11"/>
        <v>116</v>
      </c>
    </row>
    <row r="212" spans="1:168" ht="16.5" thickBot="1">
      <c r="A212" s="196">
        <v>209</v>
      </c>
      <c r="B212" s="306"/>
      <c r="C212" s="310"/>
      <c r="D212" s="307" t="s">
        <v>271</v>
      </c>
      <c r="E212" s="307" t="s">
        <v>271</v>
      </c>
      <c r="F212" s="308"/>
      <c r="G212" s="343" t="str">
        <f t="shared" si="9"/>
        <v xml:space="preserve"> </v>
      </c>
      <c r="H212" s="307"/>
      <c r="I212" s="309" t="e">
        <f t="shared" si="10"/>
        <v>#N/A</v>
      </c>
      <c r="J212" s="307"/>
      <c r="K212" s="307"/>
      <c r="L212" s="310"/>
      <c r="M212" s="310"/>
      <c r="N212" s="310"/>
      <c r="O212" s="310"/>
      <c r="P212" s="310"/>
      <c r="Q212" s="310"/>
      <c r="R212" s="310"/>
      <c r="S212" s="310"/>
      <c r="T212" s="310"/>
      <c r="U212" s="307"/>
      <c r="V212" s="307"/>
      <c r="W212" s="311"/>
      <c r="X212" s="307"/>
      <c r="Y212" s="307"/>
      <c r="Z212" s="307"/>
      <c r="AA212" s="307"/>
      <c r="AB212" s="311"/>
      <c r="AC212" s="307"/>
      <c r="AD212" s="307"/>
      <c r="AE212" s="307"/>
      <c r="AF212" s="307"/>
      <c r="AG212" s="310"/>
      <c r="AH212" s="307"/>
      <c r="AI212" s="310"/>
      <c r="AJ212" s="307"/>
      <c r="AK212" s="307"/>
      <c r="AL212" s="307"/>
      <c r="AM212" s="308"/>
      <c r="AN212" s="311"/>
      <c r="AO212" s="307"/>
      <c r="AP212" s="307"/>
      <c r="AQ212" s="308"/>
      <c r="AR212" s="307"/>
      <c r="AS212" s="307"/>
      <c r="AT212" s="307"/>
      <c r="AU212" s="310"/>
      <c r="AV212" s="308"/>
      <c r="AW212" s="312"/>
      <c r="AX212" s="308"/>
      <c r="AY212" s="307"/>
      <c r="AZ212" s="307"/>
      <c r="BA212" s="307"/>
      <c r="BB212" s="307"/>
      <c r="BC212" s="308"/>
      <c r="BD212" s="308"/>
      <c r="BE212" s="313"/>
      <c r="BF212" s="307"/>
      <c r="BG212" s="310"/>
      <c r="BH212" s="307"/>
      <c r="BI212" s="307"/>
      <c r="BJ212" s="310"/>
      <c r="BK212" s="307"/>
      <c r="BL212" s="307"/>
      <c r="BM212" s="310"/>
      <c r="BN212" s="307"/>
      <c r="BO212" s="310"/>
      <c r="BP212" s="307"/>
      <c r="BQ212" s="307"/>
      <c r="BR212" s="307"/>
      <c r="BS212" s="307"/>
      <c r="BT212" s="307"/>
      <c r="BU212" s="310"/>
      <c r="BV212" s="307"/>
      <c r="BW212" s="308"/>
      <c r="BX212" s="311"/>
      <c r="BY212" s="307"/>
      <c r="BZ212" s="307"/>
      <c r="CA212" s="310"/>
      <c r="CB212" s="307"/>
      <c r="CC212" s="307"/>
      <c r="CD212" s="307"/>
      <c r="CE212" s="308"/>
      <c r="CF212" s="308"/>
      <c r="CG212" s="307"/>
      <c r="CH212" s="307"/>
      <c r="CI212" s="307"/>
      <c r="CJ212" s="307"/>
      <c r="CK212" s="314"/>
      <c r="CL212" s="310"/>
      <c r="CM212" s="310"/>
      <c r="CN212" s="307"/>
      <c r="CO212" s="307"/>
      <c r="CP212" s="307"/>
      <c r="CQ212" s="315"/>
      <c r="CR212" s="315"/>
      <c r="CS212" s="315"/>
      <c r="CT212" s="315"/>
      <c r="CU212" s="307"/>
      <c r="CV212" s="217"/>
      <c r="CW212" s="192"/>
      <c r="CX212" s="192"/>
      <c r="CY212" s="192"/>
      <c r="CZ212" s="191"/>
      <c r="DA212" s="193"/>
      <c r="DB212" s="192"/>
      <c r="DC212" s="192"/>
      <c r="DD212" s="192"/>
      <c r="DE212" s="191"/>
      <c r="DF212" s="19"/>
      <c r="DG212" s="192"/>
      <c r="DH212" s="192"/>
      <c r="DI212" s="192"/>
      <c r="DJ212" s="191"/>
      <c r="DK212" s="193"/>
      <c r="DL212" s="192"/>
      <c r="DM212" s="192"/>
      <c r="DN212" s="192"/>
      <c r="DO212" s="191"/>
      <c r="DP212" s="19"/>
      <c r="DQ212" s="192"/>
      <c r="DR212" s="192"/>
      <c r="DS212" s="192"/>
      <c r="DT212" s="191"/>
      <c r="DU212" s="193"/>
      <c r="DV212" s="192"/>
      <c r="DW212" s="192"/>
      <c r="DX212" s="192"/>
      <c r="DY212" s="191"/>
      <c r="DZ212" s="19"/>
      <c r="EA212" s="192"/>
      <c r="EB212" s="192"/>
      <c r="EC212" s="192"/>
      <c r="ED212" s="191"/>
      <c r="EE212" s="193"/>
      <c r="EF212" s="192"/>
      <c r="EG212" s="192"/>
      <c r="EH212" s="192"/>
      <c r="EI212" s="191"/>
      <c r="EJ212" s="19"/>
      <c r="EK212" s="192"/>
      <c r="EL212" s="192"/>
      <c r="EM212" s="192"/>
      <c r="EN212" s="191"/>
      <c r="EO212" s="193"/>
      <c r="EP212" s="192"/>
      <c r="EQ212" s="192"/>
      <c r="ER212" s="192"/>
      <c r="ES212" s="191"/>
      <c r="ET212" s="19"/>
      <c r="EU212" s="192"/>
      <c r="EV212" s="192"/>
      <c r="EW212" s="192"/>
      <c r="EX212" s="191"/>
      <c r="EY212" s="193"/>
      <c r="EZ212" s="192"/>
      <c r="FA212" s="192"/>
      <c r="FB212" s="192"/>
      <c r="FC212" s="191"/>
      <c r="FL212" s="273">
        <f t="shared" ca="1" si="11"/>
        <v>116</v>
      </c>
    </row>
    <row r="213" spans="1:168" ht="16.5" thickBot="1">
      <c r="A213" s="199">
        <v>210</v>
      </c>
      <c r="B213" s="306"/>
      <c r="C213" s="310"/>
      <c r="D213" s="307" t="s">
        <v>271</v>
      </c>
      <c r="E213" s="307" t="s">
        <v>271</v>
      </c>
      <c r="F213" s="308"/>
      <c r="G213" s="343" t="str">
        <f t="shared" si="9"/>
        <v xml:space="preserve"> </v>
      </c>
      <c r="H213" s="307"/>
      <c r="I213" s="309" t="e">
        <f t="shared" si="10"/>
        <v>#N/A</v>
      </c>
      <c r="J213" s="307"/>
      <c r="K213" s="307"/>
      <c r="L213" s="310"/>
      <c r="M213" s="310"/>
      <c r="N213" s="310"/>
      <c r="O213" s="310"/>
      <c r="P213" s="310"/>
      <c r="Q213" s="310"/>
      <c r="R213" s="310"/>
      <c r="S213" s="310"/>
      <c r="T213" s="310"/>
      <c r="U213" s="307"/>
      <c r="V213" s="307"/>
      <c r="W213" s="311"/>
      <c r="X213" s="307"/>
      <c r="Y213" s="307"/>
      <c r="Z213" s="307"/>
      <c r="AA213" s="307"/>
      <c r="AB213" s="311"/>
      <c r="AC213" s="307"/>
      <c r="AD213" s="307"/>
      <c r="AE213" s="307"/>
      <c r="AF213" s="307"/>
      <c r="AG213" s="310"/>
      <c r="AH213" s="307"/>
      <c r="AI213" s="310"/>
      <c r="AJ213" s="307"/>
      <c r="AK213" s="307"/>
      <c r="AL213" s="307"/>
      <c r="AM213" s="308"/>
      <c r="AN213" s="311"/>
      <c r="AO213" s="307"/>
      <c r="AP213" s="307"/>
      <c r="AQ213" s="308"/>
      <c r="AR213" s="307"/>
      <c r="AS213" s="307"/>
      <c r="AT213" s="307"/>
      <c r="AU213" s="310"/>
      <c r="AV213" s="308"/>
      <c r="AW213" s="312"/>
      <c r="AX213" s="308"/>
      <c r="AY213" s="307"/>
      <c r="AZ213" s="307"/>
      <c r="BA213" s="307"/>
      <c r="BB213" s="307"/>
      <c r="BC213" s="308"/>
      <c r="BD213" s="308"/>
      <c r="BE213" s="313"/>
      <c r="BF213" s="307"/>
      <c r="BG213" s="310"/>
      <c r="BH213" s="307"/>
      <c r="BI213" s="307"/>
      <c r="BJ213" s="310"/>
      <c r="BK213" s="307"/>
      <c r="BL213" s="307"/>
      <c r="BM213" s="310"/>
      <c r="BN213" s="307"/>
      <c r="BO213" s="310"/>
      <c r="BP213" s="307"/>
      <c r="BQ213" s="307"/>
      <c r="BR213" s="307"/>
      <c r="BS213" s="307"/>
      <c r="BT213" s="307"/>
      <c r="BU213" s="310"/>
      <c r="BV213" s="307"/>
      <c r="BW213" s="308"/>
      <c r="BX213" s="311"/>
      <c r="BY213" s="307"/>
      <c r="BZ213" s="307"/>
      <c r="CA213" s="310"/>
      <c r="CB213" s="307"/>
      <c r="CC213" s="307"/>
      <c r="CD213" s="307"/>
      <c r="CE213" s="308"/>
      <c r="CF213" s="308"/>
      <c r="CG213" s="307"/>
      <c r="CH213" s="307"/>
      <c r="CI213" s="307"/>
      <c r="CJ213" s="307"/>
      <c r="CK213" s="314"/>
      <c r="CL213" s="310"/>
      <c r="CM213" s="310"/>
      <c r="CN213" s="307"/>
      <c r="CO213" s="307"/>
      <c r="CP213" s="307"/>
      <c r="CQ213" s="315"/>
      <c r="CR213" s="315"/>
      <c r="CS213" s="315"/>
      <c r="CT213" s="315"/>
      <c r="CU213" s="307"/>
      <c r="CV213" s="217"/>
      <c r="CW213" s="192"/>
      <c r="CX213" s="192"/>
      <c r="CY213" s="192"/>
      <c r="CZ213" s="191"/>
      <c r="DA213" s="193"/>
      <c r="DB213" s="192"/>
      <c r="DC213" s="192"/>
      <c r="DD213" s="192"/>
      <c r="DE213" s="191"/>
      <c r="DF213" s="19"/>
      <c r="DG213" s="192"/>
      <c r="DH213" s="192"/>
      <c r="DI213" s="192"/>
      <c r="DJ213" s="191"/>
      <c r="DK213" s="193"/>
      <c r="DL213" s="192"/>
      <c r="DM213" s="192"/>
      <c r="DN213" s="192"/>
      <c r="DO213" s="191"/>
      <c r="DP213" s="19"/>
      <c r="DQ213" s="192"/>
      <c r="DR213" s="192"/>
      <c r="DS213" s="192"/>
      <c r="DT213" s="191"/>
      <c r="DU213" s="193"/>
      <c r="DV213" s="192"/>
      <c r="DW213" s="192"/>
      <c r="DX213" s="192"/>
      <c r="DY213" s="191"/>
      <c r="DZ213" s="19"/>
      <c r="EA213" s="192"/>
      <c r="EB213" s="192"/>
      <c r="EC213" s="192"/>
      <c r="ED213" s="191"/>
      <c r="EE213" s="193"/>
      <c r="EF213" s="192"/>
      <c r="EG213" s="192"/>
      <c r="EH213" s="192"/>
      <c r="EI213" s="191"/>
      <c r="EJ213" s="19"/>
      <c r="EK213" s="192"/>
      <c r="EL213" s="192"/>
      <c r="EM213" s="192"/>
      <c r="EN213" s="191"/>
      <c r="EO213" s="193"/>
      <c r="EP213" s="192"/>
      <c r="EQ213" s="192"/>
      <c r="ER213" s="192"/>
      <c r="ES213" s="191"/>
      <c r="ET213" s="19"/>
      <c r="EU213" s="192"/>
      <c r="EV213" s="192"/>
      <c r="EW213" s="192"/>
      <c r="EX213" s="191"/>
      <c r="EY213" s="193"/>
      <c r="EZ213" s="192"/>
      <c r="FA213" s="192"/>
      <c r="FB213" s="192"/>
      <c r="FC213" s="191"/>
      <c r="FL213" s="273">
        <f t="shared" ca="1" si="11"/>
        <v>116</v>
      </c>
    </row>
    <row r="214" spans="1:168" ht="16.5" thickBot="1">
      <c r="A214" s="196">
        <v>211</v>
      </c>
      <c r="B214" s="306"/>
      <c r="C214" s="310"/>
      <c r="D214" s="307" t="s">
        <v>271</v>
      </c>
      <c r="E214" s="307" t="s">
        <v>271</v>
      </c>
      <c r="F214" s="308"/>
      <c r="G214" s="343" t="str">
        <f t="shared" si="9"/>
        <v xml:space="preserve"> </v>
      </c>
      <c r="H214" s="307"/>
      <c r="I214" s="309" t="e">
        <f t="shared" si="10"/>
        <v>#N/A</v>
      </c>
      <c r="J214" s="307"/>
      <c r="K214" s="307"/>
      <c r="L214" s="310"/>
      <c r="M214" s="310"/>
      <c r="N214" s="310"/>
      <c r="O214" s="310"/>
      <c r="P214" s="310"/>
      <c r="Q214" s="310"/>
      <c r="R214" s="310"/>
      <c r="S214" s="310"/>
      <c r="T214" s="310"/>
      <c r="U214" s="307"/>
      <c r="V214" s="307"/>
      <c r="W214" s="311"/>
      <c r="X214" s="307"/>
      <c r="Y214" s="307"/>
      <c r="Z214" s="307"/>
      <c r="AA214" s="307"/>
      <c r="AB214" s="311"/>
      <c r="AC214" s="307"/>
      <c r="AD214" s="307"/>
      <c r="AE214" s="307"/>
      <c r="AF214" s="307"/>
      <c r="AG214" s="310"/>
      <c r="AH214" s="307"/>
      <c r="AI214" s="310"/>
      <c r="AJ214" s="307"/>
      <c r="AK214" s="307"/>
      <c r="AL214" s="307"/>
      <c r="AM214" s="308"/>
      <c r="AN214" s="311"/>
      <c r="AO214" s="307"/>
      <c r="AP214" s="307"/>
      <c r="AQ214" s="308"/>
      <c r="AR214" s="307"/>
      <c r="AS214" s="307"/>
      <c r="AT214" s="307"/>
      <c r="AU214" s="310"/>
      <c r="AV214" s="308"/>
      <c r="AW214" s="312"/>
      <c r="AX214" s="308"/>
      <c r="AY214" s="307"/>
      <c r="AZ214" s="307"/>
      <c r="BA214" s="307"/>
      <c r="BB214" s="307"/>
      <c r="BC214" s="308"/>
      <c r="BD214" s="308"/>
      <c r="BE214" s="313"/>
      <c r="BF214" s="307"/>
      <c r="BG214" s="310"/>
      <c r="BH214" s="307"/>
      <c r="BI214" s="307"/>
      <c r="BJ214" s="310"/>
      <c r="BK214" s="307"/>
      <c r="BL214" s="307"/>
      <c r="BM214" s="310"/>
      <c r="BN214" s="307"/>
      <c r="BO214" s="310"/>
      <c r="BP214" s="307"/>
      <c r="BQ214" s="307"/>
      <c r="BR214" s="307"/>
      <c r="BS214" s="307"/>
      <c r="BT214" s="307"/>
      <c r="BU214" s="310"/>
      <c r="BV214" s="307"/>
      <c r="BW214" s="308"/>
      <c r="BX214" s="311"/>
      <c r="BY214" s="307"/>
      <c r="BZ214" s="307"/>
      <c r="CA214" s="310"/>
      <c r="CB214" s="307"/>
      <c r="CC214" s="307"/>
      <c r="CD214" s="307"/>
      <c r="CE214" s="308"/>
      <c r="CF214" s="308"/>
      <c r="CG214" s="307"/>
      <c r="CH214" s="307"/>
      <c r="CI214" s="307"/>
      <c r="CJ214" s="307"/>
      <c r="CK214" s="314"/>
      <c r="CL214" s="310"/>
      <c r="CM214" s="310"/>
      <c r="CN214" s="307"/>
      <c r="CO214" s="307"/>
      <c r="CP214" s="307"/>
      <c r="CQ214" s="315"/>
      <c r="CR214" s="315"/>
      <c r="CS214" s="315"/>
      <c r="CT214" s="315"/>
      <c r="CU214" s="307"/>
      <c r="CV214" s="217"/>
      <c r="CW214" s="192"/>
      <c r="CX214" s="192"/>
      <c r="CY214" s="192"/>
      <c r="CZ214" s="191"/>
      <c r="DA214" s="193"/>
      <c r="DB214" s="192"/>
      <c r="DC214" s="192"/>
      <c r="DD214" s="192"/>
      <c r="DE214" s="191"/>
      <c r="DF214" s="19"/>
      <c r="DG214" s="192"/>
      <c r="DH214" s="192"/>
      <c r="DI214" s="192"/>
      <c r="DJ214" s="191"/>
      <c r="DK214" s="193"/>
      <c r="DL214" s="192"/>
      <c r="DM214" s="192"/>
      <c r="DN214" s="192"/>
      <c r="DO214" s="191"/>
      <c r="DP214" s="19"/>
      <c r="DQ214" s="192"/>
      <c r="DR214" s="192"/>
      <c r="DS214" s="192"/>
      <c r="DT214" s="191"/>
      <c r="DU214" s="193"/>
      <c r="DV214" s="192"/>
      <c r="DW214" s="192"/>
      <c r="DX214" s="192"/>
      <c r="DY214" s="191"/>
      <c r="DZ214" s="19"/>
      <c r="EA214" s="192"/>
      <c r="EB214" s="192"/>
      <c r="EC214" s="192"/>
      <c r="ED214" s="191"/>
      <c r="EE214" s="193"/>
      <c r="EF214" s="192"/>
      <c r="EG214" s="192"/>
      <c r="EH214" s="192"/>
      <c r="EI214" s="191"/>
      <c r="EJ214" s="19"/>
      <c r="EK214" s="192"/>
      <c r="EL214" s="192"/>
      <c r="EM214" s="192"/>
      <c r="EN214" s="191"/>
      <c r="EO214" s="193"/>
      <c r="EP214" s="192"/>
      <c r="EQ214" s="192"/>
      <c r="ER214" s="192"/>
      <c r="ES214" s="191"/>
      <c r="ET214" s="19"/>
      <c r="EU214" s="192"/>
      <c r="EV214" s="192"/>
      <c r="EW214" s="192"/>
      <c r="EX214" s="191"/>
      <c r="EY214" s="193"/>
      <c r="EZ214" s="192"/>
      <c r="FA214" s="192"/>
      <c r="FB214" s="192"/>
      <c r="FC214" s="191"/>
      <c r="FL214" s="273">
        <f t="shared" ca="1" si="11"/>
        <v>116</v>
      </c>
    </row>
    <row r="215" spans="1:168" ht="16.5" thickBot="1">
      <c r="A215" s="199">
        <v>212</v>
      </c>
      <c r="B215" s="306"/>
      <c r="C215" s="310"/>
      <c r="D215" s="307" t="s">
        <v>271</v>
      </c>
      <c r="E215" s="307" t="s">
        <v>271</v>
      </c>
      <c r="F215" s="308"/>
      <c r="G215" s="343" t="str">
        <f t="shared" si="9"/>
        <v xml:space="preserve"> </v>
      </c>
      <c r="H215" s="307"/>
      <c r="I215" s="309" t="e">
        <f t="shared" si="10"/>
        <v>#N/A</v>
      </c>
      <c r="J215" s="307"/>
      <c r="K215" s="307"/>
      <c r="L215" s="310"/>
      <c r="M215" s="310"/>
      <c r="N215" s="310"/>
      <c r="O215" s="310"/>
      <c r="P215" s="310"/>
      <c r="Q215" s="310"/>
      <c r="R215" s="310"/>
      <c r="S215" s="310"/>
      <c r="T215" s="310"/>
      <c r="U215" s="307"/>
      <c r="V215" s="307"/>
      <c r="W215" s="311"/>
      <c r="X215" s="307"/>
      <c r="Y215" s="307"/>
      <c r="Z215" s="307"/>
      <c r="AA215" s="307"/>
      <c r="AB215" s="311"/>
      <c r="AC215" s="307"/>
      <c r="AD215" s="307"/>
      <c r="AE215" s="307"/>
      <c r="AF215" s="307"/>
      <c r="AG215" s="310"/>
      <c r="AH215" s="307"/>
      <c r="AI215" s="310"/>
      <c r="AJ215" s="307"/>
      <c r="AK215" s="307"/>
      <c r="AL215" s="307"/>
      <c r="AM215" s="308"/>
      <c r="AN215" s="311"/>
      <c r="AO215" s="307"/>
      <c r="AP215" s="307"/>
      <c r="AQ215" s="308"/>
      <c r="AR215" s="307"/>
      <c r="AS215" s="307"/>
      <c r="AT215" s="307"/>
      <c r="AU215" s="310"/>
      <c r="AV215" s="308"/>
      <c r="AW215" s="312"/>
      <c r="AX215" s="308"/>
      <c r="AY215" s="307"/>
      <c r="AZ215" s="307"/>
      <c r="BA215" s="307"/>
      <c r="BB215" s="307"/>
      <c r="BC215" s="308"/>
      <c r="BD215" s="308"/>
      <c r="BE215" s="313"/>
      <c r="BF215" s="307"/>
      <c r="BG215" s="310"/>
      <c r="BH215" s="307"/>
      <c r="BI215" s="307"/>
      <c r="BJ215" s="310"/>
      <c r="BK215" s="307"/>
      <c r="BL215" s="307"/>
      <c r="BM215" s="310"/>
      <c r="BN215" s="307"/>
      <c r="BO215" s="310"/>
      <c r="BP215" s="307"/>
      <c r="BQ215" s="307"/>
      <c r="BR215" s="307"/>
      <c r="BS215" s="307"/>
      <c r="BT215" s="307"/>
      <c r="BU215" s="310"/>
      <c r="BV215" s="307"/>
      <c r="BW215" s="308"/>
      <c r="BX215" s="311"/>
      <c r="BY215" s="307"/>
      <c r="BZ215" s="307"/>
      <c r="CA215" s="310"/>
      <c r="CB215" s="307"/>
      <c r="CC215" s="307"/>
      <c r="CD215" s="307"/>
      <c r="CE215" s="308"/>
      <c r="CF215" s="308"/>
      <c r="CG215" s="307"/>
      <c r="CH215" s="307"/>
      <c r="CI215" s="307"/>
      <c r="CJ215" s="307"/>
      <c r="CK215" s="314"/>
      <c r="CL215" s="310"/>
      <c r="CM215" s="310"/>
      <c r="CN215" s="307"/>
      <c r="CO215" s="307"/>
      <c r="CP215" s="307"/>
      <c r="CQ215" s="315"/>
      <c r="CR215" s="315"/>
      <c r="CS215" s="315"/>
      <c r="CT215" s="315"/>
      <c r="CU215" s="307"/>
      <c r="CV215" s="217"/>
      <c r="CW215" s="192"/>
      <c r="CX215" s="192"/>
      <c r="CY215" s="192"/>
      <c r="CZ215" s="191"/>
      <c r="DA215" s="193"/>
      <c r="DB215" s="192"/>
      <c r="DC215" s="192"/>
      <c r="DD215" s="192"/>
      <c r="DE215" s="191"/>
      <c r="DF215" s="19"/>
      <c r="DG215" s="192"/>
      <c r="DH215" s="192"/>
      <c r="DI215" s="192"/>
      <c r="DJ215" s="191"/>
      <c r="DK215" s="193"/>
      <c r="DL215" s="192"/>
      <c r="DM215" s="192"/>
      <c r="DN215" s="192"/>
      <c r="DO215" s="191"/>
      <c r="DP215" s="19"/>
      <c r="DQ215" s="192"/>
      <c r="DR215" s="192"/>
      <c r="DS215" s="192"/>
      <c r="DT215" s="191"/>
      <c r="DU215" s="193"/>
      <c r="DV215" s="192"/>
      <c r="DW215" s="192"/>
      <c r="DX215" s="192"/>
      <c r="DY215" s="191"/>
      <c r="DZ215" s="19"/>
      <c r="EA215" s="192"/>
      <c r="EB215" s="192"/>
      <c r="EC215" s="192"/>
      <c r="ED215" s="191"/>
      <c r="EE215" s="193"/>
      <c r="EF215" s="192"/>
      <c r="EG215" s="192"/>
      <c r="EH215" s="192"/>
      <c r="EI215" s="191"/>
      <c r="EJ215" s="19"/>
      <c r="EK215" s="192"/>
      <c r="EL215" s="192"/>
      <c r="EM215" s="192"/>
      <c r="EN215" s="191"/>
      <c r="EO215" s="193"/>
      <c r="EP215" s="192"/>
      <c r="EQ215" s="192"/>
      <c r="ER215" s="192"/>
      <c r="ES215" s="191"/>
      <c r="ET215" s="19"/>
      <c r="EU215" s="192"/>
      <c r="EV215" s="192"/>
      <c r="EW215" s="192"/>
      <c r="EX215" s="191"/>
      <c r="EY215" s="193"/>
      <c r="EZ215" s="192"/>
      <c r="FA215" s="192"/>
      <c r="FB215" s="192"/>
      <c r="FC215" s="191"/>
      <c r="FL215" s="273">
        <f t="shared" ca="1" si="11"/>
        <v>116</v>
      </c>
    </row>
    <row r="216" spans="1:168" ht="16.5" thickBot="1">
      <c r="A216" s="196">
        <v>213</v>
      </c>
      <c r="B216" s="306"/>
      <c r="C216" s="310"/>
      <c r="D216" s="307" t="s">
        <v>271</v>
      </c>
      <c r="E216" s="307" t="s">
        <v>271</v>
      </c>
      <c r="F216" s="308"/>
      <c r="G216" s="343" t="str">
        <f t="shared" si="9"/>
        <v xml:space="preserve"> </v>
      </c>
      <c r="H216" s="307"/>
      <c r="I216" s="309" t="e">
        <f t="shared" si="10"/>
        <v>#N/A</v>
      </c>
      <c r="J216" s="307"/>
      <c r="K216" s="307"/>
      <c r="L216" s="310"/>
      <c r="M216" s="310"/>
      <c r="N216" s="310"/>
      <c r="O216" s="310"/>
      <c r="P216" s="310"/>
      <c r="Q216" s="310"/>
      <c r="R216" s="310"/>
      <c r="S216" s="310"/>
      <c r="T216" s="310"/>
      <c r="U216" s="307"/>
      <c r="V216" s="307"/>
      <c r="W216" s="311"/>
      <c r="X216" s="307"/>
      <c r="Y216" s="307"/>
      <c r="Z216" s="307"/>
      <c r="AA216" s="307"/>
      <c r="AB216" s="311"/>
      <c r="AC216" s="307"/>
      <c r="AD216" s="307"/>
      <c r="AE216" s="307"/>
      <c r="AF216" s="307"/>
      <c r="AG216" s="310"/>
      <c r="AH216" s="307"/>
      <c r="AI216" s="310"/>
      <c r="AJ216" s="307"/>
      <c r="AK216" s="307"/>
      <c r="AL216" s="307"/>
      <c r="AM216" s="308"/>
      <c r="AN216" s="311"/>
      <c r="AO216" s="307"/>
      <c r="AP216" s="307"/>
      <c r="AQ216" s="308"/>
      <c r="AR216" s="307"/>
      <c r="AS216" s="307"/>
      <c r="AT216" s="307"/>
      <c r="AU216" s="310"/>
      <c r="AV216" s="308"/>
      <c r="AW216" s="312"/>
      <c r="AX216" s="308"/>
      <c r="AY216" s="307"/>
      <c r="AZ216" s="307"/>
      <c r="BA216" s="307"/>
      <c r="BB216" s="307"/>
      <c r="BC216" s="308"/>
      <c r="BD216" s="308"/>
      <c r="BE216" s="313"/>
      <c r="BF216" s="307"/>
      <c r="BG216" s="310"/>
      <c r="BH216" s="307"/>
      <c r="BI216" s="307"/>
      <c r="BJ216" s="310"/>
      <c r="BK216" s="307"/>
      <c r="BL216" s="307"/>
      <c r="BM216" s="310"/>
      <c r="BN216" s="307"/>
      <c r="BO216" s="310"/>
      <c r="BP216" s="307"/>
      <c r="BQ216" s="307"/>
      <c r="BR216" s="307"/>
      <c r="BS216" s="307"/>
      <c r="BT216" s="307"/>
      <c r="BU216" s="310"/>
      <c r="BV216" s="307"/>
      <c r="BW216" s="308"/>
      <c r="BX216" s="311"/>
      <c r="BY216" s="307"/>
      <c r="BZ216" s="307"/>
      <c r="CA216" s="310"/>
      <c r="CB216" s="307"/>
      <c r="CC216" s="307"/>
      <c r="CD216" s="307"/>
      <c r="CE216" s="308"/>
      <c r="CF216" s="308"/>
      <c r="CG216" s="307"/>
      <c r="CH216" s="307"/>
      <c r="CI216" s="307"/>
      <c r="CJ216" s="307"/>
      <c r="CK216" s="314"/>
      <c r="CL216" s="310"/>
      <c r="CM216" s="310"/>
      <c r="CN216" s="307"/>
      <c r="CO216" s="307"/>
      <c r="CP216" s="307"/>
      <c r="CQ216" s="315"/>
      <c r="CR216" s="315"/>
      <c r="CS216" s="315"/>
      <c r="CT216" s="315"/>
      <c r="CU216" s="307"/>
      <c r="CV216" s="217"/>
      <c r="CW216" s="192"/>
      <c r="CX216" s="192"/>
      <c r="CY216" s="192"/>
      <c r="CZ216" s="191"/>
      <c r="DA216" s="193"/>
      <c r="DB216" s="192"/>
      <c r="DC216" s="192"/>
      <c r="DD216" s="192"/>
      <c r="DE216" s="191"/>
      <c r="DF216" s="19"/>
      <c r="DG216" s="192"/>
      <c r="DH216" s="192"/>
      <c r="DI216" s="192"/>
      <c r="DJ216" s="191"/>
      <c r="DK216" s="193"/>
      <c r="DL216" s="192"/>
      <c r="DM216" s="192"/>
      <c r="DN216" s="192"/>
      <c r="DO216" s="191"/>
      <c r="DP216" s="19"/>
      <c r="DQ216" s="192"/>
      <c r="DR216" s="192"/>
      <c r="DS216" s="192"/>
      <c r="DT216" s="191"/>
      <c r="DU216" s="193"/>
      <c r="DV216" s="192"/>
      <c r="DW216" s="192"/>
      <c r="DX216" s="192"/>
      <c r="DY216" s="191"/>
      <c r="DZ216" s="19"/>
      <c r="EA216" s="192"/>
      <c r="EB216" s="192"/>
      <c r="EC216" s="192"/>
      <c r="ED216" s="191"/>
      <c r="EE216" s="193"/>
      <c r="EF216" s="192"/>
      <c r="EG216" s="192"/>
      <c r="EH216" s="192"/>
      <c r="EI216" s="191"/>
      <c r="EJ216" s="19"/>
      <c r="EK216" s="192"/>
      <c r="EL216" s="192"/>
      <c r="EM216" s="192"/>
      <c r="EN216" s="191"/>
      <c r="EO216" s="193"/>
      <c r="EP216" s="192"/>
      <c r="EQ216" s="192"/>
      <c r="ER216" s="192"/>
      <c r="ES216" s="191"/>
      <c r="ET216" s="19"/>
      <c r="EU216" s="192"/>
      <c r="EV216" s="192"/>
      <c r="EW216" s="192"/>
      <c r="EX216" s="191"/>
      <c r="EY216" s="193"/>
      <c r="EZ216" s="192"/>
      <c r="FA216" s="192"/>
      <c r="FB216" s="192"/>
      <c r="FC216" s="191"/>
      <c r="FL216" s="273">
        <f t="shared" ca="1" si="11"/>
        <v>116</v>
      </c>
    </row>
    <row r="217" spans="1:168" ht="16.5" thickBot="1">
      <c r="A217" s="199">
        <v>214</v>
      </c>
      <c r="B217" s="306"/>
      <c r="C217" s="310"/>
      <c r="D217" s="307" t="s">
        <v>271</v>
      </c>
      <c r="E217" s="307" t="s">
        <v>271</v>
      </c>
      <c r="F217" s="308"/>
      <c r="G217" s="343" t="str">
        <f t="shared" si="9"/>
        <v xml:space="preserve"> </v>
      </c>
      <c r="H217" s="307"/>
      <c r="I217" s="309" t="e">
        <f t="shared" si="10"/>
        <v>#N/A</v>
      </c>
      <c r="J217" s="307"/>
      <c r="K217" s="307"/>
      <c r="L217" s="310"/>
      <c r="M217" s="310"/>
      <c r="N217" s="310"/>
      <c r="O217" s="310"/>
      <c r="P217" s="310"/>
      <c r="Q217" s="310"/>
      <c r="R217" s="310"/>
      <c r="S217" s="310"/>
      <c r="T217" s="310"/>
      <c r="U217" s="307"/>
      <c r="V217" s="307"/>
      <c r="W217" s="311"/>
      <c r="X217" s="307"/>
      <c r="Y217" s="307"/>
      <c r="Z217" s="307"/>
      <c r="AA217" s="307"/>
      <c r="AB217" s="311"/>
      <c r="AC217" s="307"/>
      <c r="AD217" s="307"/>
      <c r="AE217" s="307"/>
      <c r="AF217" s="307"/>
      <c r="AG217" s="310"/>
      <c r="AH217" s="307"/>
      <c r="AI217" s="310"/>
      <c r="AJ217" s="307"/>
      <c r="AK217" s="307"/>
      <c r="AL217" s="307"/>
      <c r="AM217" s="308"/>
      <c r="AN217" s="311"/>
      <c r="AO217" s="307"/>
      <c r="AP217" s="307"/>
      <c r="AQ217" s="308"/>
      <c r="AR217" s="307"/>
      <c r="AS217" s="307"/>
      <c r="AT217" s="307"/>
      <c r="AU217" s="310"/>
      <c r="AV217" s="308"/>
      <c r="AW217" s="312"/>
      <c r="AX217" s="308"/>
      <c r="AY217" s="307"/>
      <c r="AZ217" s="307"/>
      <c r="BA217" s="307"/>
      <c r="BB217" s="307"/>
      <c r="BC217" s="308"/>
      <c r="BD217" s="308"/>
      <c r="BE217" s="313"/>
      <c r="BF217" s="307"/>
      <c r="BG217" s="310"/>
      <c r="BH217" s="307"/>
      <c r="BI217" s="307"/>
      <c r="BJ217" s="310"/>
      <c r="BK217" s="307"/>
      <c r="BL217" s="307"/>
      <c r="BM217" s="310"/>
      <c r="BN217" s="307"/>
      <c r="BO217" s="310"/>
      <c r="BP217" s="307"/>
      <c r="BQ217" s="307"/>
      <c r="BR217" s="307"/>
      <c r="BS217" s="307"/>
      <c r="BT217" s="307"/>
      <c r="BU217" s="310"/>
      <c r="BV217" s="307"/>
      <c r="BW217" s="308"/>
      <c r="BX217" s="311"/>
      <c r="BY217" s="307"/>
      <c r="BZ217" s="307"/>
      <c r="CA217" s="310"/>
      <c r="CB217" s="307"/>
      <c r="CC217" s="307"/>
      <c r="CD217" s="307"/>
      <c r="CE217" s="308"/>
      <c r="CF217" s="308"/>
      <c r="CG217" s="307"/>
      <c r="CH217" s="307"/>
      <c r="CI217" s="307"/>
      <c r="CJ217" s="307"/>
      <c r="CK217" s="314"/>
      <c r="CL217" s="310"/>
      <c r="CM217" s="310"/>
      <c r="CN217" s="307"/>
      <c r="CO217" s="307"/>
      <c r="CP217" s="307"/>
      <c r="CQ217" s="315"/>
      <c r="CR217" s="315"/>
      <c r="CS217" s="315"/>
      <c r="CT217" s="315"/>
      <c r="CU217" s="307"/>
      <c r="CV217" s="217"/>
      <c r="CW217" s="192"/>
      <c r="CX217" s="192"/>
      <c r="CY217" s="192"/>
      <c r="CZ217" s="191"/>
      <c r="DA217" s="193"/>
      <c r="DB217" s="192"/>
      <c r="DC217" s="192"/>
      <c r="DD217" s="192"/>
      <c r="DE217" s="191"/>
      <c r="DF217" s="19"/>
      <c r="DG217" s="192"/>
      <c r="DH217" s="192"/>
      <c r="DI217" s="192"/>
      <c r="DJ217" s="191"/>
      <c r="DK217" s="193"/>
      <c r="DL217" s="192"/>
      <c r="DM217" s="192"/>
      <c r="DN217" s="192"/>
      <c r="DO217" s="191"/>
      <c r="DP217" s="19"/>
      <c r="DQ217" s="192"/>
      <c r="DR217" s="192"/>
      <c r="DS217" s="192"/>
      <c r="DT217" s="191"/>
      <c r="DU217" s="193"/>
      <c r="DV217" s="192"/>
      <c r="DW217" s="192"/>
      <c r="DX217" s="192"/>
      <c r="DY217" s="191"/>
      <c r="DZ217" s="19"/>
      <c r="EA217" s="192"/>
      <c r="EB217" s="192"/>
      <c r="EC217" s="192"/>
      <c r="ED217" s="191"/>
      <c r="EE217" s="193"/>
      <c r="EF217" s="192"/>
      <c r="EG217" s="192"/>
      <c r="EH217" s="192"/>
      <c r="EI217" s="191"/>
      <c r="EJ217" s="19"/>
      <c r="EK217" s="192"/>
      <c r="EL217" s="192"/>
      <c r="EM217" s="192"/>
      <c r="EN217" s="191"/>
      <c r="EO217" s="193"/>
      <c r="EP217" s="192"/>
      <c r="EQ217" s="192"/>
      <c r="ER217" s="192"/>
      <c r="ES217" s="191"/>
      <c r="ET217" s="19"/>
      <c r="EU217" s="192"/>
      <c r="EV217" s="192"/>
      <c r="EW217" s="192"/>
      <c r="EX217" s="191"/>
      <c r="EY217" s="193"/>
      <c r="EZ217" s="192"/>
      <c r="FA217" s="192"/>
      <c r="FB217" s="192"/>
      <c r="FC217" s="191"/>
      <c r="FL217" s="273">
        <f t="shared" ca="1" si="11"/>
        <v>116</v>
      </c>
    </row>
    <row r="218" spans="1:168" ht="16.5" thickBot="1">
      <c r="A218" s="196">
        <v>215</v>
      </c>
      <c r="B218" s="306"/>
      <c r="C218" s="310"/>
      <c r="D218" s="307" t="s">
        <v>271</v>
      </c>
      <c r="E218" s="307" t="s">
        <v>271</v>
      </c>
      <c r="F218" s="308"/>
      <c r="G218" s="343" t="str">
        <f t="shared" si="9"/>
        <v xml:space="preserve"> </v>
      </c>
      <c r="H218" s="307"/>
      <c r="I218" s="309" t="e">
        <f t="shared" si="10"/>
        <v>#N/A</v>
      </c>
      <c r="J218" s="307"/>
      <c r="K218" s="307"/>
      <c r="L218" s="310"/>
      <c r="M218" s="310"/>
      <c r="N218" s="310"/>
      <c r="O218" s="310"/>
      <c r="P218" s="310"/>
      <c r="Q218" s="310"/>
      <c r="R218" s="310"/>
      <c r="S218" s="310"/>
      <c r="T218" s="310"/>
      <c r="U218" s="307"/>
      <c r="V218" s="307"/>
      <c r="W218" s="311"/>
      <c r="X218" s="307"/>
      <c r="Y218" s="307"/>
      <c r="Z218" s="307"/>
      <c r="AA218" s="307"/>
      <c r="AB218" s="311"/>
      <c r="AC218" s="307"/>
      <c r="AD218" s="307"/>
      <c r="AE218" s="307"/>
      <c r="AF218" s="307"/>
      <c r="AG218" s="310"/>
      <c r="AH218" s="307"/>
      <c r="AI218" s="310"/>
      <c r="AJ218" s="307"/>
      <c r="AK218" s="307"/>
      <c r="AL218" s="307"/>
      <c r="AM218" s="308"/>
      <c r="AN218" s="311"/>
      <c r="AO218" s="307"/>
      <c r="AP218" s="307"/>
      <c r="AQ218" s="308"/>
      <c r="AR218" s="307"/>
      <c r="AS218" s="307"/>
      <c r="AT218" s="307"/>
      <c r="AU218" s="310"/>
      <c r="AV218" s="308"/>
      <c r="AW218" s="312"/>
      <c r="AX218" s="308"/>
      <c r="AY218" s="307"/>
      <c r="AZ218" s="307"/>
      <c r="BA218" s="307"/>
      <c r="BB218" s="307"/>
      <c r="BC218" s="308"/>
      <c r="BD218" s="308"/>
      <c r="BE218" s="313"/>
      <c r="BF218" s="307"/>
      <c r="BG218" s="310"/>
      <c r="BH218" s="307"/>
      <c r="BI218" s="307"/>
      <c r="BJ218" s="310"/>
      <c r="BK218" s="307"/>
      <c r="BL218" s="307"/>
      <c r="BM218" s="310"/>
      <c r="BN218" s="307"/>
      <c r="BO218" s="310"/>
      <c r="BP218" s="307"/>
      <c r="BQ218" s="307"/>
      <c r="BR218" s="307"/>
      <c r="BS218" s="307"/>
      <c r="BT218" s="307"/>
      <c r="BU218" s="310"/>
      <c r="BV218" s="307"/>
      <c r="BW218" s="308"/>
      <c r="BX218" s="311"/>
      <c r="BY218" s="307"/>
      <c r="BZ218" s="307"/>
      <c r="CA218" s="310"/>
      <c r="CB218" s="307"/>
      <c r="CC218" s="307"/>
      <c r="CD218" s="307"/>
      <c r="CE218" s="308"/>
      <c r="CF218" s="308"/>
      <c r="CG218" s="307"/>
      <c r="CH218" s="307"/>
      <c r="CI218" s="307"/>
      <c r="CJ218" s="307"/>
      <c r="CK218" s="314"/>
      <c r="CL218" s="310"/>
      <c r="CM218" s="310"/>
      <c r="CN218" s="307"/>
      <c r="CO218" s="307"/>
      <c r="CP218" s="307"/>
      <c r="CQ218" s="315"/>
      <c r="CR218" s="315"/>
      <c r="CS218" s="315"/>
      <c r="CT218" s="315"/>
      <c r="CU218" s="307"/>
      <c r="CV218" s="217"/>
      <c r="CW218" s="192"/>
      <c r="CX218" s="192"/>
      <c r="CY218" s="192"/>
      <c r="CZ218" s="191"/>
      <c r="DA218" s="193"/>
      <c r="DB218" s="192"/>
      <c r="DC218" s="192"/>
      <c r="DD218" s="192"/>
      <c r="DE218" s="191"/>
      <c r="DF218" s="19"/>
      <c r="DG218" s="192"/>
      <c r="DH218" s="192"/>
      <c r="DI218" s="192"/>
      <c r="DJ218" s="191"/>
      <c r="DK218" s="193"/>
      <c r="DL218" s="192"/>
      <c r="DM218" s="192"/>
      <c r="DN218" s="192"/>
      <c r="DO218" s="191"/>
      <c r="DP218" s="19"/>
      <c r="DQ218" s="192"/>
      <c r="DR218" s="192"/>
      <c r="DS218" s="192"/>
      <c r="DT218" s="191"/>
      <c r="DU218" s="193"/>
      <c r="DV218" s="192"/>
      <c r="DW218" s="192"/>
      <c r="DX218" s="192"/>
      <c r="DY218" s="191"/>
      <c r="DZ218" s="19"/>
      <c r="EA218" s="192"/>
      <c r="EB218" s="192"/>
      <c r="EC218" s="192"/>
      <c r="ED218" s="191"/>
      <c r="EE218" s="193"/>
      <c r="EF218" s="192"/>
      <c r="EG218" s="192"/>
      <c r="EH218" s="192"/>
      <c r="EI218" s="191"/>
      <c r="EJ218" s="19"/>
      <c r="EK218" s="192"/>
      <c r="EL218" s="192"/>
      <c r="EM218" s="192"/>
      <c r="EN218" s="191"/>
      <c r="EO218" s="193"/>
      <c r="EP218" s="192"/>
      <c r="EQ218" s="192"/>
      <c r="ER218" s="192"/>
      <c r="ES218" s="191"/>
      <c r="ET218" s="19"/>
      <c r="EU218" s="192"/>
      <c r="EV218" s="192"/>
      <c r="EW218" s="192"/>
      <c r="EX218" s="191"/>
      <c r="EY218" s="193"/>
      <c r="EZ218" s="192"/>
      <c r="FA218" s="192"/>
      <c r="FB218" s="192"/>
      <c r="FC218" s="191"/>
      <c r="FL218" s="273">
        <f t="shared" ca="1" si="11"/>
        <v>116</v>
      </c>
    </row>
    <row r="219" spans="1:168" ht="16.5" thickBot="1">
      <c r="A219" s="199">
        <v>216</v>
      </c>
      <c r="B219" s="306"/>
      <c r="C219" s="310"/>
      <c r="D219" s="307" t="s">
        <v>271</v>
      </c>
      <c r="E219" s="307" t="s">
        <v>271</v>
      </c>
      <c r="F219" s="308"/>
      <c r="G219" s="343" t="str">
        <f t="shared" si="9"/>
        <v xml:space="preserve"> </v>
      </c>
      <c r="H219" s="307"/>
      <c r="I219" s="309" t="e">
        <f t="shared" si="10"/>
        <v>#N/A</v>
      </c>
      <c r="J219" s="307"/>
      <c r="K219" s="307"/>
      <c r="L219" s="310"/>
      <c r="M219" s="310"/>
      <c r="N219" s="310"/>
      <c r="O219" s="310"/>
      <c r="P219" s="310"/>
      <c r="Q219" s="310"/>
      <c r="R219" s="310"/>
      <c r="S219" s="310"/>
      <c r="T219" s="310"/>
      <c r="U219" s="307"/>
      <c r="V219" s="307"/>
      <c r="W219" s="311"/>
      <c r="X219" s="307"/>
      <c r="Y219" s="307"/>
      <c r="Z219" s="307"/>
      <c r="AA219" s="307"/>
      <c r="AB219" s="311"/>
      <c r="AC219" s="307"/>
      <c r="AD219" s="307"/>
      <c r="AE219" s="307"/>
      <c r="AF219" s="307"/>
      <c r="AG219" s="310"/>
      <c r="AH219" s="307"/>
      <c r="AI219" s="310"/>
      <c r="AJ219" s="307"/>
      <c r="AK219" s="307"/>
      <c r="AL219" s="307"/>
      <c r="AM219" s="308"/>
      <c r="AN219" s="311"/>
      <c r="AO219" s="307"/>
      <c r="AP219" s="307"/>
      <c r="AQ219" s="308"/>
      <c r="AR219" s="307"/>
      <c r="AS219" s="307"/>
      <c r="AT219" s="307"/>
      <c r="AU219" s="310"/>
      <c r="AV219" s="308"/>
      <c r="AW219" s="312"/>
      <c r="AX219" s="308"/>
      <c r="AY219" s="307"/>
      <c r="AZ219" s="307"/>
      <c r="BA219" s="307"/>
      <c r="BB219" s="307"/>
      <c r="BC219" s="308"/>
      <c r="BD219" s="308"/>
      <c r="BE219" s="313"/>
      <c r="BF219" s="307"/>
      <c r="BG219" s="310"/>
      <c r="BH219" s="307"/>
      <c r="BI219" s="307"/>
      <c r="BJ219" s="310"/>
      <c r="BK219" s="307"/>
      <c r="BL219" s="307"/>
      <c r="BM219" s="310"/>
      <c r="BN219" s="307"/>
      <c r="BO219" s="310"/>
      <c r="BP219" s="307"/>
      <c r="BQ219" s="307"/>
      <c r="BR219" s="307"/>
      <c r="BS219" s="307"/>
      <c r="BT219" s="307"/>
      <c r="BU219" s="310"/>
      <c r="BV219" s="307"/>
      <c r="BW219" s="308"/>
      <c r="BX219" s="311"/>
      <c r="BY219" s="307"/>
      <c r="BZ219" s="307"/>
      <c r="CA219" s="310"/>
      <c r="CB219" s="307"/>
      <c r="CC219" s="307"/>
      <c r="CD219" s="307"/>
      <c r="CE219" s="308"/>
      <c r="CF219" s="308"/>
      <c r="CG219" s="307"/>
      <c r="CH219" s="307"/>
      <c r="CI219" s="307"/>
      <c r="CJ219" s="307"/>
      <c r="CK219" s="314"/>
      <c r="CL219" s="310"/>
      <c r="CM219" s="310"/>
      <c r="CN219" s="307"/>
      <c r="CO219" s="307"/>
      <c r="CP219" s="307"/>
      <c r="CQ219" s="315"/>
      <c r="CR219" s="315"/>
      <c r="CS219" s="315"/>
      <c r="CT219" s="315"/>
      <c r="CU219" s="307"/>
      <c r="CV219" s="217"/>
      <c r="CW219" s="192"/>
      <c r="CX219" s="192"/>
      <c r="CY219" s="192"/>
      <c r="CZ219" s="191"/>
      <c r="DA219" s="193"/>
      <c r="DB219" s="192"/>
      <c r="DC219" s="192"/>
      <c r="DD219" s="192"/>
      <c r="DE219" s="191"/>
      <c r="DF219" s="19"/>
      <c r="DG219" s="192"/>
      <c r="DH219" s="192"/>
      <c r="DI219" s="192"/>
      <c r="DJ219" s="191"/>
      <c r="DK219" s="193"/>
      <c r="DL219" s="192"/>
      <c r="DM219" s="192"/>
      <c r="DN219" s="192"/>
      <c r="DO219" s="191"/>
      <c r="DP219" s="19"/>
      <c r="DQ219" s="192"/>
      <c r="DR219" s="192"/>
      <c r="DS219" s="192"/>
      <c r="DT219" s="191"/>
      <c r="DU219" s="193"/>
      <c r="DV219" s="192"/>
      <c r="DW219" s="192"/>
      <c r="DX219" s="192"/>
      <c r="DY219" s="191"/>
      <c r="DZ219" s="19"/>
      <c r="EA219" s="192"/>
      <c r="EB219" s="192"/>
      <c r="EC219" s="192"/>
      <c r="ED219" s="191"/>
      <c r="EE219" s="193"/>
      <c r="EF219" s="192"/>
      <c r="EG219" s="192"/>
      <c r="EH219" s="192"/>
      <c r="EI219" s="191"/>
      <c r="EJ219" s="19"/>
      <c r="EK219" s="192"/>
      <c r="EL219" s="192"/>
      <c r="EM219" s="192"/>
      <c r="EN219" s="191"/>
      <c r="EO219" s="193"/>
      <c r="EP219" s="192"/>
      <c r="EQ219" s="192"/>
      <c r="ER219" s="192"/>
      <c r="ES219" s="191"/>
      <c r="ET219" s="19"/>
      <c r="EU219" s="192"/>
      <c r="EV219" s="192"/>
      <c r="EW219" s="192"/>
      <c r="EX219" s="191"/>
      <c r="EY219" s="193"/>
      <c r="EZ219" s="192"/>
      <c r="FA219" s="192"/>
      <c r="FB219" s="192"/>
      <c r="FC219" s="191"/>
      <c r="FL219" s="273">
        <f t="shared" ca="1" si="11"/>
        <v>116</v>
      </c>
    </row>
    <row r="220" spans="1:168" ht="16.5" thickBot="1">
      <c r="A220" s="196">
        <v>217</v>
      </c>
      <c r="B220" s="306"/>
      <c r="C220" s="310"/>
      <c r="D220" s="307" t="s">
        <v>271</v>
      </c>
      <c r="E220" s="307" t="s">
        <v>271</v>
      </c>
      <c r="F220" s="308"/>
      <c r="G220" s="343" t="str">
        <f t="shared" si="9"/>
        <v xml:space="preserve"> </v>
      </c>
      <c r="H220" s="307"/>
      <c r="I220" s="309" t="e">
        <f t="shared" si="10"/>
        <v>#N/A</v>
      </c>
      <c r="J220" s="307"/>
      <c r="K220" s="307"/>
      <c r="L220" s="310"/>
      <c r="M220" s="310"/>
      <c r="N220" s="310"/>
      <c r="O220" s="310"/>
      <c r="P220" s="310"/>
      <c r="Q220" s="310"/>
      <c r="R220" s="310"/>
      <c r="S220" s="310"/>
      <c r="T220" s="310"/>
      <c r="U220" s="307"/>
      <c r="V220" s="307"/>
      <c r="W220" s="311"/>
      <c r="X220" s="307"/>
      <c r="Y220" s="307"/>
      <c r="Z220" s="307"/>
      <c r="AA220" s="307"/>
      <c r="AB220" s="311"/>
      <c r="AC220" s="307"/>
      <c r="AD220" s="307"/>
      <c r="AE220" s="307"/>
      <c r="AF220" s="307"/>
      <c r="AG220" s="310"/>
      <c r="AH220" s="307"/>
      <c r="AI220" s="310"/>
      <c r="AJ220" s="307"/>
      <c r="AK220" s="307"/>
      <c r="AL220" s="307"/>
      <c r="AM220" s="308"/>
      <c r="AN220" s="311"/>
      <c r="AO220" s="307"/>
      <c r="AP220" s="307"/>
      <c r="AQ220" s="308"/>
      <c r="AR220" s="307"/>
      <c r="AS220" s="307"/>
      <c r="AT220" s="307"/>
      <c r="AU220" s="310"/>
      <c r="AV220" s="308"/>
      <c r="AW220" s="312"/>
      <c r="AX220" s="308"/>
      <c r="AY220" s="307"/>
      <c r="AZ220" s="307"/>
      <c r="BA220" s="307"/>
      <c r="BB220" s="307"/>
      <c r="BC220" s="308"/>
      <c r="BD220" s="308"/>
      <c r="BE220" s="313"/>
      <c r="BF220" s="307"/>
      <c r="BG220" s="310"/>
      <c r="BH220" s="307"/>
      <c r="BI220" s="307"/>
      <c r="BJ220" s="310"/>
      <c r="BK220" s="307"/>
      <c r="BL220" s="307"/>
      <c r="BM220" s="310"/>
      <c r="BN220" s="307"/>
      <c r="BO220" s="310"/>
      <c r="BP220" s="307"/>
      <c r="BQ220" s="307"/>
      <c r="BR220" s="307"/>
      <c r="BS220" s="307"/>
      <c r="BT220" s="307"/>
      <c r="BU220" s="310"/>
      <c r="BV220" s="307"/>
      <c r="BW220" s="308"/>
      <c r="BX220" s="311"/>
      <c r="BY220" s="307"/>
      <c r="BZ220" s="307"/>
      <c r="CA220" s="310"/>
      <c r="CB220" s="307"/>
      <c r="CC220" s="307"/>
      <c r="CD220" s="307"/>
      <c r="CE220" s="308"/>
      <c r="CF220" s="308"/>
      <c r="CG220" s="307"/>
      <c r="CH220" s="307"/>
      <c r="CI220" s="307"/>
      <c r="CJ220" s="307"/>
      <c r="CK220" s="314"/>
      <c r="CL220" s="310"/>
      <c r="CM220" s="310"/>
      <c r="CN220" s="307"/>
      <c r="CO220" s="307"/>
      <c r="CP220" s="307"/>
      <c r="CQ220" s="315"/>
      <c r="CR220" s="315"/>
      <c r="CS220" s="315"/>
      <c r="CT220" s="315"/>
      <c r="CU220" s="307"/>
      <c r="CV220" s="217"/>
      <c r="CW220" s="192"/>
      <c r="CX220" s="192"/>
      <c r="CY220" s="192"/>
      <c r="CZ220" s="191"/>
      <c r="DA220" s="193"/>
      <c r="DB220" s="192"/>
      <c r="DC220" s="192"/>
      <c r="DD220" s="192"/>
      <c r="DE220" s="191"/>
      <c r="DF220" s="19"/>
      <c r="DG220" s="192"/>
      <c r="DH220" s="192"/>
      <c r="DI220" s="192"/>
      <c r="DJ220" s="191"/>
      <c r="DK220" s="193"/>
      <c r="DL220" s="192"/>
      <c r="DM220" s="192"/>
      <c r="DN220" s="192"/>
      <c r="DO220" s="191"/>
      <c r="DP220" s="19"/>
      <c r="DQ220" s="192"/>
      <c r="DR220" s="192"/>
      <c r="DS220" s="192"/>
      <c r="DT220" s="191"/>
      <c r="DU220" s="193"/>
      <c r="DV220" s="192"/>
      <c r="DW220" s="192"/>
      <c r="DX220" s="192"/>
      <c r="DY220" s="191"/>
      <c r="DZ220" s="19"/>
      <c r="EA220" s="192"/>
      <c r="EB220" s="192"/>
      <c r="EC220" s="192"/>
      <c r="ED220" s="191"/>
      <c r="EE220" s="193"/>
      <c r="EF220" s="192"/>
      <c r="EG220" s="192"/>
      <c r="EH220" s="192"/>
      <c r="EI220" s="191"/>
      <c r="EJ220" s="19"/>
      <c r="EK220" s="192"/>
      <c r="EL220" s="192"/>
      <c r="EM220" s="192"/>
      <c r="EN220" s="191"/>
      <c r="EO220" s="193"/>
      <c r="EP220" s="192"/>
      <c r="EQ220" s="192"/>
      <c r="ER220" s="192"/>
      <c r="ES220" s="191"/>
      <c r="ET220" s="19"/>
      <c r="EU220" s="192"/>
      <c r="EV220" s="192"/>
      <c r="EW220" s="192"/>
      <c r="EX220" s="191"/>
      <c r="EY220" s="193"/>
      <c r="EZ220" s="192"/>
      <c r="FA220" s="192"/>
      <c r="FB220" s="192"/>
      <c r="FC220" s="191"/>
      <c r="FL220" s="273">
        <f t="shared" ca="1" si="11"/>
        <v>116</v>
      </c>
    </row>
    <row r="221" spans="1:168" ht="16.5" thickBot="1">
      <c r="A221" s="199">
        <v>218</v>
      </c>
      <c r="B221" s="306"/>
      <c r="C221" s="310"/>
      <c r="D221" s="307" t="s">
        <v>271</v>
      </c>
      <c r="E221" s="307" t="s">
        <v>271</v>
      </c>
      <c r="F221" s="308"/>
      <c r="G221" s="343" t="str">
        <f t="shared" si="9"/>
        <v xml:space="preserve"> </v>
      </c>
      <c r="H221" s="307"/>
      <c r="I221" s="309" t="e">
        <f t="shared" si="10"/>
        <v>#N/A</v>
      </c>
      <c r="J221" s="307"/>
      <c r="K221" s="307"/>
      <c r="L221" s="310"/>
      <c r="M221" s="310"/>
      <c r="N221" s="310"/>
      <c r="O221" s="310"/>
      <c r="P221" s="310"/>
      <c r="Q221" s="310"/>
      <c r="R221" s="310"/>
      <c r="S221" s="310"/>
      <c r="T221" s="310"/>
      <c r="U221" s="307"/>
      <c r="V221" s="307"/>
      <c r="W221" s="311"/>
      <c r="X221" s="307"/>
      <c r="Y221" s="307"/>
      <c r="Z221" s="307"/>
      <c r="AA221" s="307"/>
      <c r="AB221" s="311"/>
      <c r="AC221" s="307"/>
      <c r="AD221" s="307"/>
      <c r="AE221" s="307"/>
      <c r="AF221" s="307"/>
      <c r="AG221" s="310"/>
      <c r="AH221" s="307"/>
      <c r="AI221" s="310"/>
      <c r="AJ221" s="307"/>
      <c r="AK221" s="307"/>
      <c r="AL221" s="307"/>
      <c r="AM221" s="308"/>
      <c r="AN221" s="311"/>
      <c r="AO221" s="307"/>
      <c r="AP221" s="307"/>
      <c r="AQ221" s="308"/>
      <c r="AR221" s="307"/>
      <c r="AS221" s="307"/>
      <c r="AT221" s="307"/>
      <c r="AU221" s="310"/>
      <c r="AV221" s="308"/>
      <c r="AW221" s="312"/>
      <c r="AX221" s="308"/>
      <c r="AY221" s="307"/>
      <c r="AZ221" s="307"/>
      <c r="BA221" s="307"/>
      <c r="BB221" s="307"/>
      <c r="BC221" s="308"/>
      <c r="BD221" s="308"/>
      <c r="BE221" s="313"/>
      <c r="BF221" s="307"/>
      <c r="BG221" s="310"/>
      <c r="BH221" s="307"/>
      <c r="BI221" s="307"/>
      <c r="BJ221" s="310"/>
      <c r="BK221" s="307"/>
      <c r="BL221" s="307"/>
      <c r="BM221" s="310"/>
      <c r="BN221" s="307"/>
      <c r="BO221" s="310"/>
      <c r="BP221" s="307"/>
      <c r="BQ221" s="307"/>
      <c r="BR221" s="307"/>
      <c r="BS221" s="307"/>
      <c r="BT221" s="307"/>
      <c r="BU221" s="310"/>
      <c r="BV221" s="307"/>
      <c r="BW221" s="308"/>
      <c r="BX221" s="311"/>
      <c r="BY221" s="307"/>
      <c r="BZ221" s="307"/>
      <c r="CA221" s="310"/>
      <c r="CB221" s="307"/>
      <c r="CC221" s="307"/>
      <c r="CD221" s="307"/>
      <c r="CE221" s="308"/>
      <c r="CF221" s="308"/>
      <c r="CG221" s="307"/>
      <c r="CH221" s="307"/>
      <c r="CI221" s="307"/>
      <c r="CJ221" s="307"/>
      <c r="CK221" s="314"/>
      <c r="CL221" s="310"/>
      <c r="CM221" s="310"/>
      <c r="CN221" s="307"/>
      <c r="CO221" s="307"/>
      <c r="CP221" s="307"/>
      <c r="CQ221" s="315"/>
      <c r="CR221" s="315"/>
      <c r="CS221" s="315"/>
      <c r="CT221" s="315"/>
      <c r="CU221" s="307"/>
      <c r="CV221" s="217"/>
      <c r="CW221" s="192"/>
      <c r="CX221" s="192"/>
      <c r="CY221" s="192"/>
      <c r="CZ221" s="191"/>
      <c r="DA221" s="193"/>
      <c r="DB221" s="192"/>
      <c r="DC221" s="192"/>
      <c r="DD221" s="192"/>
      <c r="DE221" s="191"/>
      <c r="DF221" s="19"/>
      <c r="DG221" s="192"/>
      <c r="DH221" s="192"/>
      <c r="DI221" s="192"/>
      <c r="DJ221" s="191"/>
      <c r="DK221" s="193"/>
      <c r="DL221" s="192"/>
      <c r="DM221" s="192"/>
      <c r="DN221" s="192"/>
      <c r="DO221" s="191"/>
      <c r="DP221" s="19"/>
      <c r="DQ221" s="192"/>
      <c r="DR221" s="192"/>
      <c r="DS221" s="192"/>
      <c r="DT221" s="191"/>
      <c r="DU221" s="193"/>
      <c r="DV221" s="192"/>
      <c r="DW221" s="192"/>
      <c r="DX221" s="192"/>
      <c r="DY221" s="191"/>
      <c r="DZ221" s="19"/>
      <c r="EA221" s="192"/>
      <c r="EB221" s="192"/>
      <c r="EC221" s="192"/>
      <c r="ED221" s="191"/>
      <c r="EE221" s="193"/>
      <c r="EF221" s="192"/>
      <c r="EG221" s="192"/>
      <c r="EH221" s="192"/>
      <c r="EI221" s="191"/>
      <c r="EJ221" s="19"/>
      <c r="EK221" s="192"/>
      <c r="EL221" s="192"/>
      <c r="EM221" s="192"/>
      <c r="EN221" s="191"/>
      <c r="EO221" s="193"/>
      <c r="EP221" s="192"/>
      <c r="EQ221" s="192"/>
      <c r="ER221" s="192"/>
      <c r="ES221" s="191"/>
      <c r="ET221" s="19"/>
      <c r="EU221" s="192"/>
      <c r="EV221" s="192"/>
      <c r="EW221" s="192"/>
      <c r="EX221" s="191"/>
      <c r="EY221" s="193"/>
      <c r="EZ221" s="192"/>
      <c r="FA221" s="192"/>
      <c r="FB221" s="192"/>
      <c r="FC221" s="191"/>
      <c r="FL221" s="273">
        <f t="shared" ca="1" si="11"/>
        <v>116</v>
      </c>
    </row>
    <row r="222" spans="1:168" ht="16.5" thickBot="1">
      <c r="A222" s="196">
        <v>219</v>
      </c>
      <c r="B222" s="306"/>
      <c r="C222" s="310"/>
      <c r="D222" s="307" t="s">
        <v>271</v>
      </c>
      <c r="E222" s="307" t="s">
        <v>271</v>
      </c>
      <c r="F222" s="308"/>
      <c r="G222" s="343" t="str">
        <f t="shared" si="9"/>
        <v xml:space="preserve"> </v>
      </c>
      <c r="H222" s="307"/>
      <c r="I222" s="309" t="e">
        <f t="shared" si="10"/>
        <v>#N/A</v>
      </c>
      <c r="J222" s="307"/>
      <c r="K222" s="307"/>
      <c r="L222" s="310"/>
      <c r="M222" s="310"/>
      <c r="N222" s="310"/>
      <c r="O222" s="310"/>
      <c r="P222" s="310"/>
      <c r="Q222" s="310"/>
      <c r="R222" s="310"/>
      <c r="S222" s="310"/>
      <c r="T222" s="310"/>
      <c r="U222" s="307"/>
      <c r="V222" s="307"/>
      <c r="W222" s="311"/>
      <c r="X222" s="307"/>
      <c r="Y222" s="307"/>
      <c r="Z222" s="307"/>
      <c r="AA222" s="307"/>
      <c r="AB222" s="311"/>
      <c r="AC222" s="307"/>
      <c r="AD222" s="307"/>
      <c r="AE222" s="307"/>
      <c r="AF222" s="307"/>
      <c r="AG222" s="310"/>
      <c r="AH222" s="307"/>
      <c r="AI222" s="310"/>
      <c r="AJ222" s="307"/>
      <c r="AK222" s="307"/>
      <c r="AL222" s="307"/>
      <c r="AM222" s="308"/>
      <c r="AN222" s="311"/>
      <c r="AO222" s="307"/>
      <c r="AP222" s="307"/>
      <c r="AQ222" s="308"/>
      <c r="AR222" s="307"/>
      <c r="AS222" s="307"/>
      <c r="AT222" s="307"/>
      <c r="AU222" s="310"/>
      <c r="AV222" s="308"/>
      <c r="AW222" s="312"/>
      <c r="AX222" s="308"/>
      <c r="AY222" s="307"/>
      <c r="AZ222" s="307"/>
      <c r="BA222" s="307"/>
      <c r="BB222" s="307"/>
      <c r="BC222" s="308"/>
      <c r="BD222" s="308"/>
      <c r="BE222" s="313"/>
      <c r="BF222" s="307"/>
      <c r="BG222" s="310"/>
      <c r="BH222" s="307"/>
      <c r="BI222" s="307"/>
      <c r="BJ222" s="310"/>
      <c r="BK222" s="307"/>
      <c r="BL222" s="307"/>
      <c r="BM222" s="310"/>
      <c r="BN222" s="307"/>
      <c r="BO222" s="310"/>
      <c r="BP222" s="307"/>
      <c r="BQ222" s="307"/>
      <c r="BR222" s="307"/>
      <c r="BS222" s="307"/>
      <c r="BT222" s="307"/>
      <c r="BU222" s="310"/>
      <c r="BV222" s="307"/>
      <c r="BW222" s="308"/>
      <c r="BX222" s="311"/>
      <c r="BY222" s="307"/>
      <c r="BZ222" s="307"/>
      <c r="CA222" s="310"/>
      <c r="CB222" s="307"/>
      <c r="CC222" s="307"/>
      <c r="CD222" s="307"/>
      <c r="CE222" s="308"/>
      <c r="CF222" s="308"/>
      <c r="CG222" s="307"/>
      <c r="CH222" s="307"/>
      <c r="CI222" s="307"/>
      <c r="CJ222" s="307"/>
      <c r="CK222" s="314"/>
      <c r="CL222" s="310"/>
      <c r="CM222" s="310"/>
      <c r="CN222" s="307"/>
      <c r="CO222" s="307"/>
      <c r="CP222" s="307"/>
      <c r="CQ222" s="315"/>
      <c r="CR222" s="315"/>
      <c r="CS222" s="315"/>
      <c r="CT222" s="315"/>
      <c r="CU222" s="307"/>
      <c r="CV222" s="217"/>
      <c r="CW222" s="192"/>
      <c r="CX222" s="192"/>
      <c r="CY222" s="192"/>
      <c r="CZ222" s="191"/>
      <c r="DA222" s="193"/>
      <c r="DB222" s="192"/>
      <c r="DC222" s="192"/>
      <c r="DD222" s="192"/>
      <c r="DE222" s="191"/>
      <c r="DF222" s="19"/>
      <c r="DG222" s="192"/>
      <c r="DH222" s="192"/>
      <c r="DI222" s="192"/>
      <c r="DJ222" s="191"/>
      <c r="DK222" s="193"/>
      <c r="DL222" s="192"/>
      <c r="DM222" s="192"/>
      <c r="DN222" s="192"/>
      <c r="DO222" s="191"/>
      <c r="DP222" s="19"/>
      <c r="DQ222" s="192"/>
      <c r="DR222" s="192"/>
      <c r="DS222" s="192"/>
      <c r="DT222" s="191"/>
      <c r="DU222" s="193"/>
      <c r="DV222" s="192"/>
      <c r="DW222" s="192"/>
      <c r="DX222" s="192"/>
      <c r="DY222" s="191"/>
      <c r="DZ222" s="19"/>
      <c r="EA222" s="192"/>
      <c r="EB222" s="192"/>
      <c r="EC222" s="192"/>
      <c r="ED222" s="191"/>
      <c r="EE222" s="193"/>
      <c r="EF222" s="192"/>
      <c r="EG222" s="192"/>
      <c r="EH222" s="192"/>
      <c r="EI222" s="191"/>
      <c r="EJ222" s="19"/>
      <c r="EK222" s="192"/>
      <c r="EL222" s="192"/>
      <c r="EM222" s="192"/>
      <c r="EN222" s="191"/>
      <c r="EO222" s="193"/>
      <c r="EP222" s="192"/>
      <c r="EQ222" s="192"/>
      <c r="ER222" s="192"/>
      <c r="ES222" s="191"/>
      <c r="ET222" s="19"/>
      <c r="EU222" s="192"/>
      <c r="EV222" s="192"/>
      <c r="EW222" s="192"/>
      <c r="EX222" s="191"/>
      <c r="EY222" s="193"/>
      <c r="EZ222" s="192"/>
      <c r="FA222" s="192"/>
      <c r="FB222" s="192"/>
      <c r="FC222" s="191"/>
      <c r="FL222" s="273">
        <f t="shared" ca="1" si="11"/>
        <v>116</v>
      </c>
    </row>
    <row r="223" spans="1:168" ht="16.5" thickBot="1">
      <c r="A223" s="199">
        <v>220</v>
      </c>
      <c r="B223" s="306"/>
      <c r="C223" s="310"/>
      <c r="D223" s="307" t="s">
        <v>271</v>
      </c>
      <c r="E223" s="307" t="s">
        <v>271</v>
      </c>
      <c r="F223" s="308"/>
      <c r="G223" s="343" t="str">
        <f t="shared" si="9"/>
        <v xml:space="preserve"> </v>
      </c>
      <c r="H223" s="307"/>
      <c r="I223" s="309" t="e">
        <f t="shared" si="10"/>
        <v>#N/A</v>
      </c>
      <c r="J223" s="307"/>
      <c r="K223" s="307"/>
      <c r="L223" s="310"/>
      <c r="M223" s="310"/>
      <c r="N223" s="310"/>
      <c r="O223" s="310"/>
      <c r="P223" s="310"/>
      <c r="Q223" s="310"/>
      <c r="R223" s="310"/>
      <c r="S223" s="310"/>
      <c r="T223" s="310"/>
      <c r="U223" s="307"/>
      <c r="V223" s="307"/>
      <c r="W223" s="311"/>
      <c r="X223" s="307"/>
      <c r="Y223" s="307"/>
      <c r="Z223" s="307"/>
      <c r="AA223" s="307"/>
      <c r="AB223" s="311"/>
      <c r="AC223" s="307"/>
      <c r="AD223" s="307"/>
      <c r="AE223" s="307"/>
      <c r="AF223" s="307"/>
      <c r="AG223" s="310"/>
      <c r="AH223" s="307"/>
      <c r="AI223" s="310"/>
      <c r="AJ223" s="307"/>
      <c r="AK223" s="307"/>
      <c r="AL223" s="307"/>
      <c r="AM223" s="308"/>
      <c r="AN223" s="311"/>
      <c r="AO223" s="307"/>
      <c r="AP223" s="307"/>
      <c r="AQ223" s="308"/>
      <c r="AR223" s="307"/>
      <c r="AS223" s="307"/>
      <c r="AT223" s="307"/>
      <c r="AU223" s="310"/>
      <c r="AV223" s="308"/>
      <c r="AW223" s="312"/>
      <c r="AX223" s="308"/>
      <c r="AY223" s="307"/>
      <c r="AZ223" s="307"/>
      <c r="BA223" s="307"/>
      <c r="BB223" s="307"/>
      <c r="BC223" s="308"/>
      <c r="BD223" s="308"/>
      <c r="BE223" s="313"/>
      <c r="BF223" s="307"/>
      <c r="BG223" s="310"/>
      <c r="BH223" s="307"/>
      <c r="BI223" s="307"/>
      <c r="BJ223" s="310"/>
      <c r="BK223" s="307"/>
      <c r="BL223" s="307"/>
      <c r="BM223" s="310"/>
      <c r="BN223" s="307"/>
      <c r="BO223" s="310"/>
      <c r="BP223" s="307"/>
      <c r="BQ223" s="307"/>
      <c r="BR223" s="307"/>
      <c r="BS223" s="307"/>
      <c r="BT223" s="307"/>
      <c r="BU223" s="310"/>
      <c r="BV223" s="307"/>
      <c r="BW223" s="308"/>
      <c r="BX223" s="311"/>
      <c r="BY223" s="307"/>
      <c r="BZ223" s="307"/>
      <c r="CA223" s="310"/>
      <c r="CB223" s="307"/>
      <c r="CC223" s="307"/>
      <c r="CD223" s="307"/>
      <c r="CE223" s="308"/>
      <c r="CF223" s="308"/>
      <c r="CG223" s="307"/>
      <c r="CH223" s="307"/>
      <c r="CI223" s="307"/>
      <c r="CJ223" s="307"/>
      <c r="CK223" s="314"/>
      <c r="CL223" s="310"/>
      <c r="CM223" s="310"/>
      <c r="CN223" s="307"/>
      <c r="CO223" s="307"/>
      <c r="CP223" s="307"/>
      <c r="CQ223" s="315"/>
      <c r="CR223" s="315"/>
      <c r="CS223" s="315"/>
      <c r="CT223" s="315"/>
      <c r="CU223" s="307"/>
      <c r="CV223" s="217"/>
      <c r="CW223" s="192"/>
      <c r="CX223" s="192"/>
      <c r="CY223" s="192"/>
      <c r="CZ223" s="191"/>
      <c r="DA223" s="193"/>
      <c r="DB223" s="192"/>
      <c r="DC223" s="192"/>
      <c r="DD223" s="192"/>
      <c r="DE223" s="191"/>
      <c r="DF223" s="19"/>
      <c r="DG223" s="192"/>
      <c r="DH223" s="192"/>
      <c r="DI223" s="192"/>
      <c r="DJ223" s="191"/>
      <c r="DK223" s="193"/>
      <c r="DL223" s="192"/>
      <c r="DM223" s="192"/>
      <c r="DN223" s="192"/>
      <c r="DO223" s="191"/>
      <c r="DP223" s="19"/>
      <c r="DQ223" s="192"/>
      <c r="DR223" s="192"/>
      <c r="DS223" s="192"/>
      <c r="DT223" s="191"/>
      <c r="DU223" s="193"/>
      <c r="DV223" s="192"/>
      <c r="DW223" s="192"/>
      <c r="DX223" s="192"/>
      <c r="DY223" s="191"/>
      <c r="DZ223" s="19"/>
      <c r="EA223" s="192"/>
      <c r="EB223" s="192"/>
      <c r="EC223" s="192"/>
      <c r="ED223" s="191"/>
      <c r="EE223" s="193"/>
      <c r="EF223" s="192"/>
      <c r="EG223" s="192"/>
      <c r="EH223" s="192"/>
      <c r="EI223" s="191"/>
      <c r="EJ223" s="19"/>
      <c r="EK223" s="192"/>
      <c r="EL223" s="192"/>
      <c r="EM223" s="192"/>
      <c r="EN223" s="191"/>
      <c r="EO223" s="193"/>
      <c r="EP223" s="192"/>
      <c r="EQ223" s="192"/>
      <c r="ER223" s="192"/>
      <c r="ES223" s="191"/>
      <c r="ET223" s="19"/>
      <c r="EU223" s="192"/>
      <c r="EV223" s="192"/>
      <c r="EW223" s="192"/>
      <c r="EX223" s="191"/>
      <c r="EY223" s="193"/>
      <c r="EZ223" s="192"/>
      <c r="FA223" s="192"/>
      <c r="FB223" s="192"/>
      <c r="FC223" s="191"/>
      <c r="FL223" s="273">
        <f t="shared" ca="1" si="11"/>
        <v>116</v>
      </c>
    </row>
    <row r="224" spans="1:168" ht="16.5" thickBot="1">
      <c r="A224" s="196">
        <v>221</v>
      </c>
      <c r="B224" s="306"/>
      <c r="C224" s="310"/>
      <c r="D224" s="307" t="s">
        <v>271</v>
      </c>
      <c r="E224" s="307" t="s">
        <v>271</v>
      </c>
      <c r="F224" s="308"/>
      <c r="G224" s="343" t="str">
        <f t="shared" si="9"/>
        <v xml:space="preserve"> </v>
      </c>
      <c r="H224" s="307"/>
      <c r="I224" s="309" t="e">
        <f t="shared" si="10"/>
        <v>#N/A</v>
      </c>
      <c r="J224" s="307"/>
      <c r="K224" s="307"/>
      <c r="L224" s="310"/>
      <c r="M224" s="310"/>
      <c r="N224" s="310"/>
      <c r="O224" s="310"/>
      <c r="P224" s="310"/>
      <c r="Q224" s="310"/>
      <c r="R224" s="310"/>
      <c r="S224" s="310"/>
      <c r="T224" s="310"/>
      <c r="U224" s="307"/>
      <c r="V224" s="307"/>
      <c r="W224" s="311"/>
      <c r="X224" s="307"/>
      <c r="Y224" s="307"/>
      <c r="Z224" s="307"/>
      <c r="AA224" s="307"/>
      <c r="AB224" s="311"/>
      <c r="AC224" s="307"/>
      <c r="AD224" s="307"/>
      <c r="AE224" s="307"/>
      <c r="AF224" s="307"/>
      <c r="AG224" s="310"/>
      <c r="AH224" s="307"/>
      <c r="AI224" s="310"/>
      <c r="AJ224" s="307"/>
      <c r="AK224" s="307"/>
      <c r="AL224" s="307"/>
      <c r="AM224" s="308"/>
      <c r="AN224" s="311"/>
      <c r="AO224" s="307"/>
      <c r="AP224" s="307"/>
      <c r="AQ224" s="308"/>
      <c r="AR224" s="307"/>
      <c r="AS224" s="307"/>
      <c r="AT224" s="307"/>
      <c r="AU224" s="310"/>
      <c r="AV224" s="308"/>
      <c r="AW224" s="312"/>
      <c r="AX224" s="308"/>
      <c r="AY224" s="307"/>
      <c r="AZ224" s="307"/>
      <c r="BA224" s="307"/>
      <c r="BB224" s="307"/>
      <c r="BC224" s="308"/>
      <c r="BD224" s="308"/>
      <c r="BE224" s="313"/>
      <c r="BF224" s="307"/>
      <c r="BG224" s="310"/>
      <c r="BH224" s="307"/>
      <c r="BI224" s="307"/>
      <c r="BJ224" s="310"/>
      <c r="BK224" s="307"/>
      <c r="BL224" s="307"/>
      <c r="BM224" s="310"/>
      <c r="BN224" s="307"/>
      <c r="BO224" s="310"/>
      <c r="BP224" s="307"/>
      <c r="BQ224" s="307"/>
      <c r="BR224" s="307"/>
      <c r="BS224" s="307"/>
      <c r="BT224" s="307"/>
      <c r="BU224" s="310"/>
      <c r="BV224" s="307"/>
      <c r="BW224" s="308"/>
      <c r="BX224" s="311"/>
      <c r="BY224" s="307"/>
      <c r="BZ224" s="307"/>
      <c r="CA224" s="310"/>
      <c r="CB224" s="307"/>
      <c r="CC224" s="307"/>
      <c r="CD224" s="307"/>
      <c r="CE224" s="308"/>
      <c r="CF224" s="308"/>
      <c r="CG224" s="307"/>
      <c r="CH224" s="307"/>
      <c r="CI224" s="307"/>
      <c r="CJ224" s="307"/>
      <c r="CK224" s="314"/>
      <c r="CL224" s="310"/>
      <c r="CM224" s="310"/>
      <c r="CN224" s="307"/>
      <c r="CO224" s="307"/>
      <c r="CP224" s="307"/>
      <c r="CQ224" s="315"/>
      <c r="CR224" s="315"/>
      <c r="CS224" s="315"/>
      <c r="CT224" s="315"/>
      <c r="CU224" s="307"/>
      <c r="CV224" s="217"/>
      <c r="CW224" s="192"/>
      <c r="CX224" s="192"/>
      <c r="CY224" s="192"/>
      <c r="CZ224" s="191"/>
      <c r="DA224" s="193"/>
      <c r="DB224" s="192"/>
      <c r="DC224" s="192"/>
      <c r="DD224" s="192"/>
      <c r="DE224" s="191"/>
      <c r="DF224" s="19"/>
      <c r="DG224" s="192"/>
      <c r="DH224" s="192"/>
      <c r="DI224" s="192"/>
      <c r="DJ224" s="191"/>
      <c r="DK224" s="193"/>
      <c r="DL224" s="192"/>
      <c r="DM224" s="192"/>
      <c r="DN224" s="192"/>
      <c r="DO224" s="191"/>
      <c r="DP224" s="19"/>
      <c r="DQ224" s="192"/>
      <c r="DR224" s="192"/>
      <c r="DS224" s="192"/>
      <c r="DT224" s="191"/>
      <c r="DU224" s="193"/>
      <c r="DV224" s="192"/>
      <c r="DW224" s="192"/>
      <c r="DX224" s="192"/>
      <c r="DY224" s="191"/>
      <c r="DZ224" s="19"/>
      <c r="EA224" s="192"/>
      <c r="EB224" s="192"/>
      <c r="EC224" s="192"/>
      <c r="ED224" s="191"/>
      <c r="EE224" s="193"/>
      <c r="EF224" s="192"/>
      <c r="EG224" s="192"/>
      <c r="EH224" s="192"/>
      <c r="EI224" s="191"/>
      <c r="EJ224" s="19"/>
      <c r="EK224" s="192"/>
      <c r="EL224" s="192"/>
      <c r="EM224" s="192"/>
      <c r="EN224" s="191"/>
      <c r="EO224" s="193"/>
      <c r="EP224" s="192"/>
      <c r="EQ224" s="192"/>
      <c r="ER224" s="192"/>
      <c r="ES224" s="191"/>
      <c r="ET224" s="19"/>
      <c r="EU224" s="192"/>
      <c r="EV224" s="192"/>
      <c r="EW224" s="192"/>
      <c r="EX224" s="191"/>
      <c r="EY224" s="193"/>
      <c r="EZ224" s="192"/>
      <c r="FA224" s="192"/>
      <c r="FB224" s="192"/>
      <c r="FC224" s="191"/>
      <c r="FL224" s="273">
        <f t="shared" ca="1" si="11"/>
        <v>116</v>
      </c>
    </row>
    <row r="225" spans="1:168" ht="16.5" thickBot="1">
      <c r="A225" s="199">
        <v>222</v>
      </c>
      <c r="B225" s="306"/>
      <c r="C225" s="310"/>
      <c r="D225" s="307" t="s">
        <v>271</v>
      </c>
      <c r="E225" s="307" t="s">
        <v>271</v>
      </c>
      <c r="F225" s="308"/>
      <c r="G225" s="343" t="str">
        <f t="shared" si="9"/>
        <v xml:space="preserve"> </v>
      </c>
      <c r="H225" s="307"/>
      <c r="I225" s="309" t="e">
        <f t="shared" si="10"/>
        <v>#N/A</v>
      </c>
      <c r="J225" s="307"/>
      <c r="K225" s="307"/>
      <c r="L225" s="310"/>
      <c r="M225" s="310"/>
      <c r="N225" s="310"/>
      <c r="O225" s="310"/>
      <c r="P225" s="310"/>
      <c r="Q225" s="310"/>
      <c r="R225" s="310"/>
      <c r="S225" s="310"/>
      <c r="T225" s="310"/>
      <c r="U225" s="307"/>
      <c r="V225" s="307"/>
      <c r="W225" s="311"/>
      <c r="X225" s="307"/>
      <c r="Y225" s="307"/>
      <c r="Z225" s="307"/>
      <c r="AA225" s="307"/>
      <c r="AB225" s="311"/>
      <c r="AC225" s="307"/>
      <c r="AD225" s="307"/>
      <c r="AE225" s="307"/>
      <c r="AF225" s="307"/>
      <c r="AG225" s="310"/>
      <c r="AH225" s="307"/>
      <c r="AI225" s="310"/>
      <c r="AJ225" s="307"/>
      <c r="AK225" s="307"/>
      <c r="AL225" s="307"/>
      <c r="AM225" s="308"/>
      <c r="AN225" s="311"/>
      <c r="AO225" s="307"/>
      <c r="AP225" s="307"/>
      <c r="AQ225" s="308"/>
      <c r="AR225" s="307"/>
      <c r="AS225" s="307"/>
      <c r="AT225" s="307"/>
      <c r="AU225" s="310"/>
      <c r="AV225" s="308"/>
      <c r="AW225" s="312"/>
      <c r="AX225" s="308"/>
      <c r="AY225" s="307"/>
      <c r="AZ225" s="307"/>
      <c r="BA225" s="307"/>
      <c r="BB225" s="307"/>
      <c r="BC225" s="308"/>
      <c r="BD225" s="308"/>
      <c r="BE225" s="313"/>
      <c r="BF225" s="307"/>
      <c r="BG225" s="310"/>
      <c r="BH225" s="307"/>
      <c r="BI225" s="307"/>
      <c r="BJ225" s="310"/>
      <c r="BK225" s="307"/>
      <c r="BL225" s="307"/>
      <c r="BM225" s="310"/>
      <c r="BN225" s="307"/>
      <c r="BO225" s="310"/>
      <c r="BP225" s="307"/>
      <c r="BQ225" s="307"/>
      <c r="BR225" s="307"/>
      <c r="BS225" s="307"/>
      <c r="BT225" s="307"/>
      <c r="BU225" s="310"/>
      <c r="BV225" s="307"/>
      <c r="BW225" s="308"/>
      <c r="BX225" s="311"/>
      <c r="BY225" s="307"/>
      <c r="BZ225" s="307"/>
      <c r="CA225" s="310"/>
      <c r="CB225" s="307"/>
      <c r="CC225" s="307"/>
      <c r="CD225" s="307"/>
      <c r="CE225" s="308"/>
      <c r="CF225" s="308"/>
      <c r="CG225" s="307"/>
      <c r="CH225" s="307"/>
      <c r="CI225" s="307"/>
      <c r="CJ225" s="307"/>
      <c r="CK225" s="314"/>
      <c r="CL225" s="310"/>
      <c r="CM225" s="310"/>
      <c r="CN225" s="307"/>
      <c r="CO225" s="307"/>
      <c r="CP225" s="307"/>
      <c r="CQ225" s="315"/>
      <c r="CR225" s="315"/>
      <c r="CS225" s="315"/>
      <c r="CT225" s="315"/>
      <c r="CU225" s="307"/>
      <c r="CV225" s="217"/>
      <c r="CW225" s="192"/>
      <c r="CX225" s="192"/>
      <c r="CY225" s="192"/>
      <c r="CZ225" s="191"/>
      <c r="DA225" s="193"/>
      <c r="DB225" s="192"/>
      <c r="DC225" s="192"/>
      <c r="DD225" s="192"/>
      <c r="DE225" s="191"/>
      <c r="DF225" s="19"/>
      <c r="DG225" s="192"/>
      <c r="DH225" s="192"/>
      <c r="DI225" s="192"/>
      <c r="DJ225" s="191"/>
      <c r="DK225" s="193"/>
      <c r="DL225" s="192"/>
      <c r="DM225" s="192"/>
      <c r="DN225" s="192"/>
      <c r="DO225" s="191"/>
      <c r="DP225" s="19"/>
      <c r="DQ225" s="192"/>
      <c r="DR225" s="192"/>
      <c r="DS225" s="192"/>
      <c r="DT225" s="191"/>
      <c r="DU225" s="193"/>
      <c r="DV225" s="192"/>
      <c r="DW225" s="192"/>
      <c r="DX225" s="192"/>
      <c r="DY225" s="191"/>
      <c r="DZ225" s="19"/>
      <c r="EA225" s="192"/>
      <c r="EB225" s="192"/>
      <c r="EC225" s="192"/>
      <c r="ED225" s="191"/>
      <c r="EE225" s="193"/>
      <c r="EF225" s="192"/>
      <c r="EG225" s="192"/>
      <c r="EH225" s="192"/>
      <c r="EI225" s="191"/>
      <c r="EJ225" s="19"/>
      <c r="EK225" s="192"/>
      <c r="EL225" s="192"/>
      <c r="EM225" s="192"/>
      <c r="EN225" s="191"/>
      <c r="EO225" s="193"/>
      <c r="EP225" s="192"/>
      <c r="EQ225" s="192"/>
      <c r="ER225" s="192"/>
      <c r="ES225" s="191"/>
      <c r="ET225" s="19"/>
      <c r="EU225" s="192"/>
      <c r="EV225" s="192"/>
      <c r="EW225" s="192"/>
      <c r="EX225" s="191"/>
      <c r="EY225" s="193"/>
      <c r="EZ225" s="192"/>
      <c r="FA225" s="192"/>
      <c r="FB225" s="192"/>
      <c r="FC225" s="191"/>
      <c r="FL225" s="273">
        <f t="shared" ca="1" si="11"/>
        <v>116</v>
      </c>
    </row>
    <row r="226" spans="1:168" ht="16.5" thickBot="1">
      <c r="A226" s="196">
        <v>223</v>
      </c>
      <c r="B226" s="306"/>
      <c r="C226" s="310"/>
      <c r="D226" s="307" t="s">
        <v>271</v>
      </c>
      <c r="E226" s="307" t="s">
        <v>271</v>
      </c>
      <c r="F226" s="308"/>
      <c r="G226" s="343" t="str">
        <f t="shared" si="9"/>
        <v xml:space="preserve"> </v>
      </c>
      <c r="H226" s="307"/>
      <c r="I226" s="309" t="e">
        <f t="shared" si="10"/>
        <v>#N/A</v>
      </c>
      <c r="J226" s="307"/>
      <c r="K226" s="307"/>
      <c r="L226" s="310"/>
      <c r="M226" s="310"/>
      <c r="N226" s="310"/>
      <c r="O226" s="310"/>
      <c r="P226" s="310"/>
      <c r="Q226" s="310"/>
      <c r="R226" s="310"/>
      <c r="S226" s="310"/>
      <c r="T226" s="310"/>
      <c r="U226" s="307"/>
      <c r="V226" s="307"/>
      <c r="W226" s="311"/>
      <c r="X226" s="307"/>
      <c r="Y226" s="307"/>
      <c r="Z226" s="307"/>
      <c r="AA226" s="307"/>
      <c r="AB226" s="311"/>
      <c r="AC226" s="307"/>
      <c r="AD226" s="307"/>
      <c r="AE226" s="307"/>
      <c r="AF226" s="307"/>
      <c r="AG226" s="310"/>
      <c r="AH226" s="307"/>
      <c r="AI226" s="310"/>
      <c r="AJ226" s="307"/>
      <c r="AK226" s="307"/>
      <c r="AL226" s="307"/>
      <c r="AM226" s="308"/>
      <c r="AN226" s="311"/>
      <c r="AO226" s="307"/>
      <c r="AP226" s="307"/>
      <c r="AQ226" s="308"/>
      <c r="AR226" s="307"/>
      <c r="AS226" s="307"/>
      <c r="AT226" s="307"/>
      <c r="AU226" s="310"/>
      <c r="AV226" s="308"/>
      <c r="AW226" s="312"/>
      <c r="AX226" s="308"/>
      <c r="AY226" s="307"/>
      <c r="AZ226" s="307"/>
      <c r="BA226" s="307"/>
      <c r="BB226" s="307"/>
      <c r="BC226" s="308"/>
      <c r="BD226" s="308"/>
      <c r="BE226" s="313"/>
      <c r="BF226" s="307"/>
      <c r="BG226" s="310"/>
      <c r="BH226" s="307"/>
      <c r="BI226" s="307"/>
      <c r="BJ226" s="310"/>
      <c r="BK226" s="307"/>
      <c r="BL226" s="307"/>
      <c r="BM226" s="310"/>
      <c r="BN226" s="307"/>
      <c r="BO226" s="310"/>
      <c r="BP226" s="307"/>
      <c r="BQ226" s="307"/>
      <c r="BR226" s="307"/>
      <c r="BS226" s="307"/>
      <c r="BT226" s="307"/>
      <c r="BU226" s="310"/>
      <c r="BV226" s="307"/>
      <c r="BW226" s="308"/>
      <c r="BX226" s="311"/>
      <c r="BY226" s="307"/>
      <c r="BZ226" s="307"/>
      <c r="CA226" s="310"/>
      <c r="CB226" s="307"/>
      <c r="CC226" s="307"/>
      <c r="CD226" s="307"/>
      <c r="CE226" s="308"/>
      <c r="CF226" s="308"/>
      <c r="CG226" s="307"/>
      <c r="CH226" s="307"/>
      <c r="CI226" s="307"/>
      <c r="CJ226" s="307"/>
      <c r="CK226" s="314"/>
      <c r="CL226" s="310"/>
      <c r="CM226" s="310"/>
      <c r="CN226" s="307"/>
      <c r="CO226" s="307"/>
      <c r="CP226" s="307"/>
      <c r="CQ226" s="315"/>
      <c r="CR226" s="315"/>
      <c r="CS226" s="315"/>
      <c r="CT226" s="315"/>
      <c r="CU226" s="307"/>
      <c r="CV226" s="217"/>
      <c r="CW226" s="192"/>
      <c r="CX226" s="192"/>
      <c r="CY226" s="192"/>
      <c r="CZ226" s="191"/>
      <c r="DA226" s="193"/>
      <c r="DB226" s="192"/>
      <c r="DC226" s="192"/>
      <c r="DD226" s="192"/>
      <c r="DE226" s="191"/>
      <c r="DF226" s="19"/>
      <c r="DG226" s="192"/>
      <c r="DH226" s="192"/>
      <c r="DI226" s="192"/>
      <c r="DJ226" s="191"/>
      <c r="DK226" s="193"/>
      <c r="DL226" s="192"/>
      <c r="DM226" s="192"/>
      <c r="DN226" s="192"/>
      <c r="DO226" s="191"/>
      <c r="DP226" s="19"/>
      <c r="DQ226" s="192"/>
      <c r="DR226" s="192"/>
      <c r="DS226" s="192"/>
      <c r="DT226" s="191"/>
      <c r="DU226" s="193"/>
      <c r="DV226" s="192"/>
      <c r="DW226" s="192"/>
      <c r="DX226" s="192"/>
      <c r="DY226" s="191"/>
      <c r="DZ226" s="19"/>
      <c r="EA226" s="192"/>
      <c r="EB226" s="192"/>
      <c r="EC226" s="192"/>
      <c r="ED226" s="191"/>
      <c r="EE226" s="193"/>
      <c r="EF226" s="192"/>
      <c r="EG226" s="192"/>
      <c r="EH226" s="192"/>
      <c r="EI226" s="191"/>
      <c r="EJ226" s="19"/>
      <c r="EK226" s="192"/>
      <c r="EL226" s="192"/>
      <c r="EM226" s="192"/>
      <c r="EN226" s="191"/>
      <c r="EO226" s="193"/>
      <c r="EP226" s="192"/>
      <c r="EQ226" s="192"/>
      <c r="ER226" s="192"/>
      <c r="ES226" s="191"/>
      <c r="ET226" s="19"/>
      <c r="EU226" s="192"/>
      <c r="EV226" s="192"/>
      <c r="EW226" s="192"/>
      <c r="EX226" s="191"/>
      <c r="EY226" s="193"/>
      <c r="EZ226" s="192"/>
      <c r="FA226" s="192"/>
      <c r="FB226" s="192"/>
      <c r="FC226" s="191"/>
      <c r="FL226" s="273">
        <f t="shared" ca="1" si="11"/>
        <v>116</v>
      </c>
    </row>
    <row r="227" spans="1:168" ht="16.5" thickBot="1">
      <c r="A227" s="199">
        <v>224</v>
      </c>
      <c r="B227" s="306"/>
      <c r="C227" s="310"/>
      <c r="D227" s="307" t="s">
        <v>271</v>
      </c>
      <c r="E227" s="307" t="s">
        <v>271</v>
      </c>
      <c r="F227" s="308"/>
      <c r="G227" s="343" t="str">
        <f t="shared" si="9"/>
        <v xml:space="preserve"> </v>
      </c>
      <c r="H227" s="307"/>
      <c r="I227" s="309" t="e">
        <f t="shared" si="10"/>
        <v>#N/A</v>
      </c>
      <c r="J227" s="307"/>
      <c r="K227" s="307"/>
      <c r="L227" s="310"/>
      <c r="M227" s="310"/>
      <c r="N227" s="310"/>
      <c r="O227" s="310"/>
      <c r="P227" s="310"/>
      <c r="Q227" s="310"/>
      <c r="R227" s="310"/>
      <c r="S227" s="310"/>
      <c r="T227" s="310"/>
      <c r="U227" s="307"/>
      <c r="V227" s="307"/>
      <c r="W227" s="311"/>
      <c r="X227" s="307"/>
      <c r="Y227" s="307"/>
      <c r="Z227" s="307"/>
      <c r="AA227" s="307"/>
      <c r="AB227" s="311"/>
      <c r="AC227" s="307"/>
      <c r="AD227" s="307"/>
      <c r="AE227" s="307"/>
      <c r="AF227" s="307"/>
      <c r="AG227" s="310"/>
      <c r="AH227" s="307"/>
      <c r="AI227" s="310"/>
      <c r="AJ227" s="307"/>
      <c r="AK227" s="307"/>
      <c r="AL227" s="307"/>
      <c r="AM227" s="308"/>
      <c r="AN227" s="311"/>
      <c r="AO227" s="307"/>
      <c r="AP227" s="307"/>
      <c r="AQ227" s="308"/>
      <c r="AR227" s="307"/>
      <c r="AS227" s="307"/>
      <c r="AT227" s="307"/>
      <c r="AU227" s="310"/>
      <c r="AV227" s="308"/>
      <c r="AW227" s="312"/>
      <c r="AX227" s="308"/>
      <c r="AY227" s="307"/>
      <c r="AZ227" s="307"/>
      <c r="BA227" s="307"/>
      <c r="BB227" s="307"/>
      <c r="BC227" s="308"/>
      <c r="BD227" s="308"/>
      <c r="BE227" s="313"/>
      <c r="BF227" s="307"/>
      <c r="BG227" s="310"/>
      <c r="BH227" s="307"/>
      <c r="BI227" s="307"/>
      <c r="BJ227" s="310"/>
      <c r="BK227" s="307"/>
      <c r="BL227" s="307"/>
      <c r="BM227" s="310"/>
      <c r="BN227" s="307"/>
      <c r="BO227" s="310"/>
      <c r="BP227" s="307"/>
      <c r="BQ227" s="307"/>
      <c r="BR227" s="307"/>
      <c r="BS227" s="307"/>
      <c r="BT227" s="307"/>
      <c r="BU227" s="310"/>
      <c r="BV227" s="307"/>
      <c r="BW227" s="308"/>
      <c r="BX227" s="311"/>
      <c r="BY227" s="307"/>
      <c r="BZ227" s="307"/>
      <c r="CA227" s="310"/>
      <c r="CB227" s="307"/>
      <c r="CC227" s="307"/>
      <c r="CD227" s="307"/>
      <c r="CE227" s="308"/>
      <c r="CF227" s="308"/>
      <c r="CG227" s="307"/>
      <c r="CH227" s="307"/>
      <c r="CI227" s="307"/>
      <c r="CJ227" s="307"/>
      <c r="CK227" s="314"/>
      <c r="CL227" s="310"/>
      <c r="CM227" s="310"/>
      <c r="CN227" s="307"/>
      <c r="CO227" s="307"/>
      <c r="CP227" s="307"/>
      <c r="CQ227" s="315"/>
      <c r="CR227" s="315"/>
      <c r="CS227" s="315"/>
      <c r="CT227" s="315"/>
      <c r="CU227" s="307"/>
      <c r="CV227" s="217"/>
      <c r="CW227" s="192"/>
      <c r="CX227" s="192"/>
      <c r="CY227" s="192"/>
      <c r="CZ227" s="191"/>
      <c r="DA227" s="193"/>
      <c r="DB227" s="192"/>
      <c r="DC227" s="192"/>
      <c r="DD227" s="192"/>
      <c r="DE227" s="191"/>
      <c r="DF227" s="19"/>
      <c r="DG227" s="192"/>
      <c r="DH227" s="192"/>
      <c r="DI227" s="192"/>
      <c r="DJ227" s="191"/>
      <c r="DK227" s="193"/>
      <c r="DL227" s="192"/>
      <c r="DM227" s="192"/>
      <c r="DN227" s="192"/>
      <c r="DO227" s="191"/>
      <c r="DP227" s="19"/>
      <c r="DQ227" s="192"/>
      <c r="DR227" s="192"/>
      <c r="DS227" s="192"/>
      <c r="DT227" s="191"/>
      <c r="DU227" s="193"/>
      <c r="DV227" s="192"/>
      <c r="DW227" s="192"/>
      <c r="DX227" s="192"/>
      <c r="DY227" s="191"/>
      <c r="DZ227" s="19"/>
      <c r="EA227" s="192"/>
      <c r="EB227" s="192"/>
      <c r="EC227" s="192"/>
      <c r="ED227" s="191"/>
      <c r="EE227" s="193"/>
      <c r="EF227" s="192"/>
      <c r="EG227" s="192"/>
      <c r="EH227" s="192"/>
      <c r="EI227" s="191"/>
      <c r="EJ227" s="19"/>
      <c r="EK227" s="192"/>
      <c r="EL227" s="192"/>
      <c r="EM227" s="192"/>
      <c r="EN227" s="191"/>
      <c r="EO227" s="193"/>
      <c r="EP227" s="192"/>
      <c r="EQ227" s="192"/>
      <c r="ER227" s="192"/>
      <c r="ES227" s="191"/>
      <c r="ET227" s="19"/>
      <c r="EU227" s="192"/>
      <c r="EV227" s="192"/>
      <c r="EW227" s="192"/>
      <c r="EX227" s="191"/>
      <c r="EY227" s="193"/>
      <c r="EZ227" s="192"/>
      <c r="FA227" s="192"/>
      <c r="FB227" s="192"/>
      <c r="FC227" s="191"/>
      <c r="FL227" s="273">
        <f t="shared" ca="1" si="11"/>
        <v>116</v>
      </c>
    </row>
    <row r="228" spans="1:168" ht="16.5" thickBot="1">
      <c r="A228" s="196">
        <v>225</v>
      </c>
      <c r="B228" s="306"/>
      <c r="C228" s="310"/>
      <c r="D228" s="307" t="s">
        <v>271</v>
      </c>
      <c r="E228" s="307" t="s">
        <v>271</v>
      </c>
      <c r="F228" s="308"/>
      <c r="G228" s="343" t="str">
        <f t="shared" si="9"/>
        <v xml:space="preserve"> </v>
      </c>
      <c r="H228" s="307"/>
      <c r="I228" s="309" t="e">
        <f t="shared" si="10"/>
        <v>#N/A</v>
      </c>
      <c r="J228" s="307"/>
      <c r="K228" s="307"/>
      <c r="L228" s="310"/>
      <c r="M228" s="310"/>
      <c r="N228" s="310"/>
      <c r="O228" s="310"/>
      <c r="P228" s="310"/>
      <c r="Q228" s="310"/>
      <c r="R228" s="310"/>
      <c r="S228" s="310"/>
      <c r="T228" s="310"/>
      <c r="U228" s="307"/>
      <c r="V228" s="307"/>
      <c r="W228" s="311"/>
      <c r="X228" s="307"/>
      <c r="Y228" s="307"/>
      <c r="Z228" s="307"/>
      <c r="AA228" s="307"/>
      <c r="AB228" s="311"/>
      <c r="AC228" s="307"/>
      <c r="AD228" s="307"/>
      <c r="AE228" s="307"/>
      <c r="AF228" s="307"/>
      <c r="AG228" s="310"/>
      <c r="AH228" s="307"/>
      <c r="AI228" s="310"/>
      <c r="AJ228" s="307"/>
      <c r="AK228" s="307"/>
      <c r="AL228" s="307"/>
      <c r="AM228" s="308"/>
      <c r="AN228" s="311"/>
      <c r="AO228" s="307"/>
      <c r="AP228" s="307"/>
      <c r="AQ228" s="308"/>
      <c r="AR228" s="307"/>
      <c r="AS228" s="307"/>
      <c r="AT228" s="307"/>
      <c r="AU228" s="310"/>
      <c r="AV228" s="308"/>
      <c r="AW228" s="312"/>
      <c r="AX228" s="308"/>
      <c r="AY228" s="307"/>
      <c r="AZ228" s="307"/>
      <c r="BA228" s="307"/>
      <c r="BB228" s="307"/>
      <c r="BC228" s="308"/>
      <c r="BD228" s="308"/>
      <c r="BE228" s="313"/>
      <c r="BF228" s="307"/>
      <c r="BG228" s="310"/>
      <c r="BH228" s="307"/>
      <c r="BI228" s="307"/>
      <c r="BJ228" s="310"/>
      <c r="BK228" s="307"/>
      <c r="BL228" s="307"/>
      <c r="BM228" s="310"/>
      <c r="BN228" s="307"/>
      <c r="BO228" s="310"/>
      <c r="BP228" s="307"/>
      <c r="BQ228" s="307"/>
      <c r="BR228" s="307"/>
      <c r="BS228" s="307"/>
      <c r="BT228" s="307"/>
      <c r="BU228" s="310"/>
      <c r="BV228" s="307"/>
      <c r="BW228" s="308"/>
      <c r="BX228" s="311"/>
      <c r="BY228" s="307"/>
      <c r="BZ228" s="307"/>
      <c r="CA228" s="310"/>
      <c r="CB228" s="307"/>
      <c r="CC228" s="307"/>
      <c r="CD228" s="307"/>
      <c r="CE228" s="308"/>
      <c r="CF228" s="308"/>
      <c r="CG228" s="307"/>
      <c r="CH228" s="307"/>
      <c r="CI228" s="307"/>
      <c r="CJ228" s="307"/>
      <c r="CK228" s="314"/>
      <c r="CL228" s="310"/>
      <c r="CM228" s="310"/>
      <c r="CN228" s="307"/>
      <c r="CO228" s="307"/>
      <c r="CP228" s="307"/>
      <c r="CQ228" s="315"/>
      <c r="CR228" s="315"/>
      <c r="CS228" s="315"/>
      <c r="CT228" s="315"/>
      <c r="CU228" s="307"/>
      <c r="CV228" s="217"/>
      <c r="CW228" s="192"/>
      <c r="CX228" s="192"/>
      <c r="CY228" s="192"/>
      <c r="CZ228" s="191"/>
      <c r="DA228" s="193"/>
      <c r="DB228" s="192"/>
      <c r="DC228" s="192"/>
      <c r="DD228" s="192"/>
      <c r="DE228" s="191"/>
      <c r="DF228" s="19"/>
      <c r="DG228" s="192"/>
      <c r="DH228" s="192"/>
      <c r="DI228" s="192"/>
      <c r="DJ228" s="191"/>
      <c r="DK228" s="193"/>
      <c r="DL228" s="192"/>
      <c r="DM228" s="192"/>
      <c r="DN228" s="192"/>
      <c r="DO228" s="191"/>
      <c r="DP228" s="19"/>
      <c r="DQ228" s="192"/>
      <c r="DR228" s="192"/>
      <c r="DS228" s="192"/>
      <c r="DT228" s="191"/>
      <c r="DU228" s="193"/>
      <c r="DV228" s="192"/>
      <c r="DW228" s="192"/>
      <c r="DX228" s="192"/>
      <c r="DY228" s="191"/>
      <c r="DZ228" s="19"/>
      <c r="EA228" s="192"/>
      <c r="EB228" s="192"/>
      <c r="EC228" s="192"/>
      <c r="ED228" s="191"/>
      <c r="EE228" s="193"/>
      <c r="EF228" s="192"/>
      <c r="EG228" s="192"/>
      <c r="EH228" s="192"/>
      <c r="EI228" s="191"/>
      <c r="EJ228" s="19"/>
      <c r="EK228" s="192"/>
      <c r="EL228" s="192"/>
      <c r="EM228" s="192"/>
      <c r="EN228" s="191"/>
      <c r="EO228" s="193"/>
      <c r="EP228" s="192"/>
      <c r="EQ228" s="192"/>
      <c r="ER228" s="192"/>
      <c r="ES228" s="191"/>
      <c r="ET228" s="19"/>
      <c r="EU228" s="192"/>
      <c r="EV228" s="192"/>
      <c r="EW228" s="192"/>
      <c r="EX228" s="191"/>
      <c r="EY228" s="193"/>
      <c r="EZ228" s="192"/>
      <c r="FA228" s="192"/>
      <c r="FB228" s="192"/>
      <c r="FC228" s="191"/>
      <c r="FL228" s="273">
        <f t="shared" ca="1" si="11"/>
        <v>116</v>
      </c>
    </row>
    <row r="229" spans="1:168" ht="16.5" thickBot="1">
      <c r="A229" s="199">
        <v>226</v>
      </c>
      <c r="B229" s="306"/>
      <c r="C229" s="310"/>
      <c r="D229" s="307" t="s">
        <v>271</v>
      </c>
      <c r="E229" s="307" t="s">
        <v>271</v>
      </c>
      <c r="F229" s="308"/>
      <c r="G229" s="343" t="str">
        <f t="shared" si="9"/>
        <v xml:space="preserve"> </v>
      </c>
      <c r="H229" s="307"/>
      <c r="I229" s="309" t="e">
        <f t="shared" si="10"/>
        <v>#N/A</v>
      </c>
      <c r="J229" s="307"/>
      <c r="K229" s="307"/>
      <c r="L229" s="310"/>
      <c r="M229" s="310"/>
      <c r="N229" s="310"/>
      <c r="O229" s="310"/>
      <c r="P229" s="310"/>
      <c r="Q229" s="310"/>
      <c r="R229" s="310"/>
      <c r="S229" s="310"/>
      <c r="T229" s="310"/>
      <c r="U229" s="307"/>
      <c r="V229" s="307"/>
      <c r="W229" s="311"/>
      <c r="X229" s="307"/>
      <c r="Y229" s="307"/>
      <c r="Z229" s="307"/>
      <c r="AA229" s="307"/>
      <c r="AB229" s="311"/>
      <c r="AC229" s="307"/>
      <c r="AD229" s="307"/>
      <c r="AE229" s="307"/>
      <c r="AF229" s="307"/>
      <c r="AG229" s="310"/>
      <c r="AH229" s="307"/>
      <c r="AI229" s="310"/>
      <c r="AJ229" s="307"/>
      <c r="AK229" s="307"/>
      <c r="AL229" s="307"/>
      <c r="AM229" s="308"/>
      <c r="AN229" s="311"/>
      <c r="AO229" s="307"/>
      <c r="AP229" s="307"/>
      <c r="AQ229" s="308"/>
      <c r="AR229" s="307"/>
      <c r="AS229" s="307"/>
      <c r="AT229" s="307"/>
      <c r="AU229" s="310"/>
      <c r="AV229" s="308"/>
      <c r="AW229" s="312"/>
      <c r="AX229" s="308"/>
      <c r="AY229" s="307"/>
      <c r="AZ229" s="307"/>
      <c r="BA229" s="307"/>
      <c r="BB229" s="307"/>
      <c r="BC229" s="308"/>
      <c r="BD229" s="308"/>
      <c r="BE229" s="313"/>
      <c r="BF229" s="307"/>
      <c r="BG229" s="310"/>
      <c r="BH229" s="307"/>
      <c r="BI229" s="307"/>
      <c r="BJ229" s="310"/>
      <c r="BK229" s="307"/>
      <c r="BL229" s="307"/>
      <c r="BM229" s="310"/>
      <c r="BN229" s="307"/>
      <c r="BO229" s="310"/>
      <c r="BP229" s="307"/>
      <c r="BQ229" s="307"/>
      <c r="BR229" s="307"/>
      <c r="BS229" s="307"/>
      <c r="BT229" s="307"/>
      <c r="BU229" s="310"/>
      <c r="BV229" s="307"/>
      <c r="BW229" s="308"/>
      <c r="BX229" s="311"/>
      <c r="BY229" s="307"/>
      <c r="BZ229" s="307"/>
      <c r="CA229" s="310"/>
      <c r="CB229" s="307"/>
      <c r="CC229" s="307"/>
      <c r="CD229" s="307"/>
      <c r="CE229" s="308"/>
      <c r="CF229" s="308"/>
      <c r="CG229" s="307"/>
      <c r="CH229" s="307"/>
      <c r="CI229" s="307"/>
      <c r="CJ229" s="307"/>
      <c r="CK229" s="314"/>
      <c r="CL229" s="310"/>
      <c r="CM229" s="310"/>
      <c r="CN229" s="307"/>
      <c r="CO229" s="307"/>
      <c r="CP229" s="307"/>
      <c r="CQ229" s="315"/>
      <c r="CR229" s="315"/>
      <c r="CS229" s="315"/>
      <c r="CT229" s="315"/>
      <c r="CU229" s="307"/>
      <c r="CV229" s="217"/>
      <c r="CW229" s="192"/>
      <c r="CX229" s="192"/>
      <c r="CY229" s="192"/>
      <c r="CZ229" s="191"/>
      <c r="DA229" s="193"/>
      <c r="DB229" s="192"/>
      <c r="DC229" s="192"/>
      <c r="DD229" s="192"/>
      <c r="DE229" s="191"/>
      <c r="DF229" s="19"/>
      <c r="DG229" s="192"/>
      <c r="DH229" s="192"/>
      <c r="DI229" s="192"/>
      <c r="DJ229" s="191"/>
      <c r="DK229" s="193"/>
      <c r="DL229" s="192"/>
      <c r="DM229" s="192"/>
      <c r="DN229" s="192"/>
      <c r="DO229" s="191"/>
      <c r="DP229" s="19"/>
      <c r="DQ229" s="192"/>
      <c r="DR229" s="192"/>
      <c r="DS229" s="192"/>
      <c r="DT229" s="191"/>
      <c r="DU229" s="193"/>
      <c r="DV229" s="192"/>
      <c r="DW229" s="192"/>
      <c r="DX229" s="192"/>
      <c r="DY229" s="191"/>
      <c r="DZ229" s="19"/>
      <c r="EA229" s="192"/>
      <c r="EB229" s="192"/>
      <c r="EC229" s="192"/>
      <c r="ED229" s="191"/>
      <c r="EE229" s="193"/>
      <c r="EF229" s="192"/>
      <c r="EG229" s="192"/>
      <c r="EH229" s="192"/>
      <c r="EI229" s="191"/>
      <c r="EJ229" s="19"/>
      <c r="EK229" s="192"/>
      <c r="EL229" s="192"/>
      <c r="EM229" s="192"/>
      <c r="EN229" s="191"/>
      <c r="EO229" s="193"/>
      <c r="EP229" s="192"/>
      <c r="EQ229" s="192"/>
      <c r="ER229" s="192"/>
      <c r="ES229" s="191"/>
      <c r="ET229" s="19"/>
      <c r="EU229" s="192"/>
      <c r="EV229" s="192"/>
      <c r="EW229" s="192"/>
      <c r="EX229" s="191"/>
      <c r="EY229" s="193"/>
      <c r="EZ229" s="192"/>
      <c r="FA229" s="192"/>
      <c r="FB229" s="192"/>
      <c r="FC229" s="191"/>
      <c r="FL229" s="273">
        <f t="shared" ca="1" si="11"/>
        <v>116</v>
      </c>
    </row>
    <row r="230" spans="1:168" ht="16.5" thickBot="1">
      <c r="A230" s="196">
        <v>227</v>
      </c>
      <c r="B230" s="306"/>
      <c r="C230" s="310"/>
      <c r="D230" s="307" t="s">
        <v>271</v>
      </c>
      <c r="E230" s="307" t="s">
        <v>271</v>
      </c>
      <c r="F230" s="308"/>
      <c r="G230" s="343" t="str">
        <f t="shared" si="9"/>
        <v xml:space="preserve"> </v>
      </c>
      <c r="H230" s="307"/>
      <c r="I230" s="309" t="e">
        <f t="shared" si="10"/>
        <v>#N/A</v>
      </c>
      <c r="J230" s="307"/>
      <c r="K230" s="307"/>
      <c r="L230" s="310"/>
      <c r="M230" s="310"/>
      <c r="N230" s="310"/>
      <c r="O230" s="310"/>
      <c r="P230" s="310"/>
      <c r="Q230" s="310"/>
      <c r="R230" s="310"/>
      <c r="S230" s="310"/>
      <c r="T230" s="310"/>
      <c r="U230" s="307"/>
      <c r="V230" s="307"/>
      <c r="W230" s="311"/>
      <c r="X230" s="307"/>
      <c r="Y230" s="307"/>
      <c r="Z230" s="307"/>
      <c r="AA230" s="307"/>
      <c r="AB230" s="311"/>
      <c r="AC230" s="307"/>
      <c r="AD230" s="307"/>
      <c r="AE230" s="307"/>
      <c r="AF230" s="307"/>
      <c r="AG230" s="310"/>
      <c r="AH230" s="307"/>
      <c r="AI230" s="310"/>
      <c r="AJ230" s="307"/>
      <c r="AK230" s="307"/>
      <c r="AL230" s="307"/>
      <c r="AM230" s="308"/>
      <c r="AN230" s="311"/>
      <c r="AO230" s="307"/>
      <c r="AP230" s="307"/>
      <c r="AQ230" s="308"/>
      <c r="AR230" s="307"/>
      <c r="AS230" s="307"/>
      <c r="AT230" s="307"/>
      <c r="AU230" s="310"/>
      <c r="AV230" s="308"/>
      <c r="AW230" s="312"/>
      <c r="AX230" s="308"/>
      <c r="AY230" s="307"/>
      <c r="AZ230" s="307"/>
      <c r="BA230" s="307"/>
      <c r="BB230" s="307"/>
      <c r="BC230" s="308"/>
      <c r="BD230" s="308"/>
      <c r="BE230" s="313"/>
      <c r="BF230" s="307"/>
      <c r="BG230" s="310"/>
      <c r="BH230" s="307"/>
      <c r="BI230" s="307"/>
      <c r="BJ230" s="310"/>
      <c r="BK230" s="307"/>
      <c r="BL230" s="307"/>
      <c r="BM230" s="310"/>
      <c r="BN230" s="307"/>
      <c r="BO230" s="310"/>
      <c r="BP230" s="307"/>
      <c r="BQ230" s="307"/>
      <c r="BR230" s="307"/>
      <c r="BS230" s="307"/>
      <c r="BT230" s="307"/>
      <c r="BU230" s="310"/>
      <c r="BV230" s="307"/>
      <c r="BW230" s="308"/>
      <c r="BX230" s="311"/>
      <c r="BY230" s="307"/>
      <c r="BZ230" s="307"/>
      <c r="CA230" s="310"/>
      <c r="CB230" s="307"/>
      <c r="CC230" s="307"/>
      <c r="CD230" s="307"/>
      <c r="CE230" s="308"/>
      <c r="CF230" s="308"/>
      <c r="CG230" s="307"/>
      <c r="CH230" s="307"/>
      <c r="CI230" s="307"/>
      <c r="CJ230" s="307"/>
      <c r="CK230" s="314"/>
      <c r="CL230" s="310"/>
      <c r="CM230" s="310"/>
      <c r="CN230" s="307"/>
      <c r="CO230" s="307"/>
      <c r="CP230" s="307"/>
      <c r="CQ230" s="315"/>
      <c r="CR230" s="315"/>
      <c r="CS230" s="315"/>
      <c r="CT230" s="315"/>
      <c r="CU230" s="307"/>
      <c r="CV230" s="217"/>
      <c r="CW230" s="192"/>
      <c r="CX230" s="192"/>
      <c r="CY230" s="192"/>
      <c r="CZ230" s="191"/>
      <c r="DA230" s="193"/>
      <c r="DB230" s="192"/>
      <c r="DC230" s="192"/>
      <c r="DD230" s="192"/>
      <c r="DE230" s="191"/>
      <c r="DF230" s="19"/>
      <c r="DG230" s="192"/>
      <c r="DH230" s="192"/>
      <c r="DI230" s="192"/>
      <c r="DJ230" s="191"/>
      <c r="DK230" s="193"/>
      <c r="DL230" s="192"/>
      <c r="DM230" s="192"/>
      <c r="DN230" s="192"/>
      <c r="DO230" s="191"/>
      <c r="DP230" s="19"/>
      <c r="DQ230" s="192"/>
      <c r="DR230" s="192"/>
      <c r="DS230" s="192"/>
      <c r="DT230" s="191"/>
      <c r="DU230" s="193"/>
      <c r="DV230" s="192"/>
      <c r="DW230" s="192"/>
      <c r="DX230" s="192"/>
      <c r="DY230" s="191"/>
      <c r="DZ230" s="19"/>
      <c r="EA230" s="192"/>
      <c r="EB230" s="192"/>
      <c r="EC230" s="192"/>
      <c r="ED230" s="191"/>
      <c r="EE230" s="193"/>
      <c r="EF230" s="192"/>
      <c r="EG230" s="192"/>
      <c r="EH230" s="192"/>
      <c r="EI230" s="191"/>
      <c r="EJ230" s="19"/>
      <c r="EK230" s="192"/>
      <c r="EL230" s="192"/>
      <c r="EM230" s="192"/>
      <c r="EN230" s="191"/>
      <c r="EO230" s="193"/>
      <c r="EP230" s="192"/>
      <c r="EQ230" s="192"/>
      <c r="ER230" s="192"/>
      <c r="ES230" s="191"/>
      <c r="ET230" s="19"/>
      <c r="EU230" s="192"/>
      <c r="EV230" s="192"/>
      <c r="EW230" s="192"/>
      <c r="EX230" s="191"/>
      <c r="EY230" s="193"/>
      <c r="EZ230" s="192"/>
      <c r="FA230" s="192"/>
      <c r="FB230" s="192"/>
      <c r="FC230" s="191"/>
      <c r="FL230" s="273">
        <f t="shared" ca="1" si="11"/>
        <v>116</v>
      </c>
    </row>
    <row r="231" spans="1:168" ht="16.5" thickBot="1">
      <c r="A231" s="199">
        <v>228</v>
      </c>
      <c r="B231" s="306"/>
      <c r="C231" s="310"/>
      <c r="D231" s="307" t="s">
        <v>271</v>
      </c>
      <c r="E231" s="307" t="s">
        <v>271</v>
      </c>
      <c r="F231" s="308"/>
      <c r="G231" s="343" t="str">
        <f t="shared" si="9"/>
        <v xml:space="preserve"> </v>
      </c>
      <c r="H231" s="307"/>
      <c r="I231" s="309" t="e">
        <f t="shared" si="10"/>
        <v>#N/A</v>
      </c>
      <c r="J231" s="307"/>
      <c r="K231" s="307"/>
      <c r="L231" s="310"/>
      <c r="M231" s="310"/>
      <c r="N231" s="310"/>
      <c r="O231" s="310"/>
      <c r="P231" s="310"/>
      <c r="Q231" s="310"/>
      <c r="R231" s="310"/>
      <c r="S231" s="310"/>
      <c r="T231" s="310"/>
      <c r="U231" s="307"/>
      <c r="V231" s="307"/>
      <c r="W231" s="311"/>
      <c r="X231" s="307"/>
      <c r="Y231" s="307"/>
      <c r="Z231" s="307"/>
      <c r="AA231" s="307"/>
      <c r="AB231" s="311"/>
      <c r="AC231" s="307"/>
      <c r="AD231" s="307"/>
      <c r="AE231" s="307"/>
      <c r="AF231" s="307"/>
      <c r="AG231" s="310"/>
      <c r="AH231" s="307"/>
      <c r="AI231" s="310"/>
      <c r="AJ231" s="307"/>
      <c r="AK231" s="307"/>
      <c r="AL231" s="307"/>
      <c r="AM231" s="308"/>
      <c r="AN231" s="311"/>
      <c r="AO231" s="307"/>
      <c r="AP231" s="307"/>
      <c r="AQ231" s="308"/>
      <c r="AR231" s="307"/>
      <c r="AS231" s="307"/>
      <c r="AT231" s="307"/>
      <c r="AU231" s="310"/>
      <c r="AV231" s="308"/>
      <c r="AW231" s="312"/>
      <c r="AX231" s="308"/>
      <c r="AY231" s="307"/>
      <c r="AZ231" s="307"/>
      <c r="BA231" s="307"/>
      <c r="BB231" s="307"/>
      <c r="BC231" s="308"/>
      <c r="BD231" s="308"/>
      <c r="BE231" s="313"/>
      <c r="BF231" s="307"/>
      <c r="BG231" s="310"/>
      <c r="BH231" s="307"/>
      <c r="BI231" s="307"/>
      <c r="BJ231" s="310"/>
      <c r="BK231" s="307"/>
      <c r="BL231" s="307"/>
      <c r="BM231" s="310"/>
      <c r="BN231" s="307"/>
      <c r="BO231" s="310"/>
      <c r="BP231" s="307"/>
      <c r="BQ231" s="307"/>
      <c r="BR231" s="307"/>
      <c r="BS231" s="307"/>
      <c r="BT231" s="307"/>
      <c r="BU231" s="310"/>
      <c r="BV231" s="307"/>
      <c r="BW231" s="308"/>
      <c r="BX231" s="311"/>
      <c r="BY231" s="307"/>
      <c r="BZ231" s="307"/>
      <c r="CA231" s="310"/>
      <c r="CB231" s="307"/>
      <c r="CC231" s="307"/>
      <c r="CD231" s="307"/>
      <c r="CE231" s="308"/>
      <c r="CF231" s="308"/>
      <c r="CG231" s="307"/>
      <c r="CH231" s="307"/>
      <c r="CI231" s="307"/>
      <c r="CJ231" s="307"/>
      <c r="CK231" s="314"/>
      <c r="CL231" s="310"/>
      <c r="CM231" s="310"/>
      <c r="CN231" s="307"/>
      <c r="CO231" s="307"/>
      <c r="CP231" s="307"/>
      <c r="CQ231" s="315"/>
      <c r="CR231" s="315"/>
      <c r="CS231" s="315"/>
      <c r="CT231" s="315"/>
      <c r="CU231" s="307"/>
      <c r="CV231" s="217"/>
      <c r="CW231" s="192"/>
      <c r="CX231" s="192"/>
      <c r="CY231" s="192"/>
      <c r="CZ231" s="191"/>
      <c r="DA231" s="193"/>
      <c r="DB231" s="192"/>
      <c r="DC231" s="192"/>
      <c r="DD231" s="192"/>
      <c r="DE231" s="191"/>
      <c r="DF231" s="19"/>
      <c r="DG231" s="192"/>
      <c r="DH231" s="192"/>
      <c r="DI231" s="192"/>
      <c r="DJ231" s="191"/>
      <c r="DK231" s="193"/>
      <c r="DL231" s="192"/>
      <c r="DM231" s="192"/>
      <c r="DN231" s="192"/>
      <c r="DO231" s="191"/>
      <c r="DP231" s="19"/>
      <c r="DQ231" s="192"/>
      <c r="DR231" s="192"/>
      <c r="DS231" s="192"/>
      <c r="DT231" s="191"/>
      <c r="DU231" s="193"/>
      <c r="DV231" s="192"/>
      <c r="DW231" s="192"/>
      <c r="DX231" s="192"/>
      <c r="DY231" s="191"/>
      <c r="DZ231" s="19"/>
      <c r="EA231" s="192"/>
      <c r="EB231" s="192"/>
      <c r="EC231" s="192"/>
      <c r="ED231" s="191"/>
      <c r="EE231" s="193"/>
      <c r="EF231" s="192"/>
      <c r="EG231" s="192"/>
      <c r="EH231" s="192"/>
      <c r="EI231" s="191"/>
      <c r="EJ231" s="19"/>
      <c r="EK231" s="192"/>
      <c r="EL231" s="192"/>
      <c r="EM231" s="192"/>
      <c r="EN231" s="191"/>
      <c r="EO231" s="193"/>
      <c r="EP231" s="192"/>
      <c r="EQ231" s="192"/>
      <c r="ER231" s="192"/>
      <c r="ES231" s="191"/>
      <c r="ET231" s="19"/>
      <c r="EU231" s="192"/>
      <c r="EV231" s="192"/>
      <c r="EW231" s="192"/>
      <c r="EX231" s="191"/>
      <c r="EY231" s="193"/>
      <c r="EZ231" s="192"/>
      <c r="FA231" s="192"/>
      <c r="FB231" s="192"/>
      <c r="FC231" s="191"/>
      <c r="FL231" s="273">
        <f t="shared" ca="1" si="11"/>
        <v>116</v>
      </c>
    </row>
    <row r="232" spans="1:168" ht="16.5" thickBot="1">
      <c r="A232" s="196">
        <v>229</v>
      </c>
      <c r="B232" s="306"/>
      <c r="C232" s="310"/>
      <c r="D232" s="307" t="s">
        <v>271</v>
      </c>
      <c r="E232" s="307" t="s">
        <v>271</v>
      </c>
      <c r="F232" s="308"/>
      <c r="G232" s="343" t="str">
        <f t="shared" si="9"/>
        <v xml:space="preserve"> </v>
      </c>
      <c r="H232" s="307"/>
      <c r="I232" s="309" t="e">
        <f t="shared" si="10"/>
        <v>#N/A</v>
      </c>
      <c r="J232" s="307"/>
      <c r="K232" s="307"/>
      <c r="L232" s="310"/>
      <c r="M232" s="310"/>
      <c r="N232" s="310"/>
      <c r="O232" s="310"/>
      <c r="P232" s="310"/>
      <c r="Q232" s="310"/>
      <c r="R232" s="310"/>
      <c r="S232" s="310"/>
      <c r="T232" s="310"/>
      <c r="U232" s="307"/>
      <c r="V232" s="307"/>
      <c r="W232" s="311"/>
      <c r="X232" s="307"/>
      <c r="Y232" s="307"/>
      <c r="Z232" s="307"/>
      <c r="AA232" s="307"/>
      <c r="AB232" s="311"/>
      <c r="AC232" s="307"/>
      <c r="AD232" s="307"/>
      <c r="AE232" s="307"/>
      <c r="AF232" s="307"/>
      <c r="AG232" s="310"/>
      <c r="AH232" s="307"/>
      <c r="AI232" s="310"/>
      <c r="AJ232" s="307"/>
      <c r="AK232" s="307"/>
      <c r="AL232" s="307"/>
      <c r="AM232" s="308"/>
      <c r="AN232" s="311"/>
      <c r="AO232" s="307"/>
      <c r="AP232" s="307"/>
      <c r="AQ232" s="308"/>
      <c r="AR232" s="307"/>
      <c r="AS232" s="307"/>
      <c r="AT232" s="307"/>
      <c r="AU232" s="310"/>
      <c r="AV232" s="308"/>
      <c r="AW232" s="312"/>
      <c r="AX232" s="308"/>
      <c r="AY232" s="307"/>
      <c r="AZ232" s="307"/>
      <c r="BA232" s="307"/>
      <c r="BB232" s="307"/>
      <c r="BC232" s="308"/>
      <c r="BD232" s="308"/>
      <c r="BE232" s="313"/>
      <c r="BF232" s="307"/>
      <c r="BG232" s="310"/>
      <c r="BH232" s="307"/>
      <c r="BI232" s="307"/>
      <c r="BJ232" s="310"/>
      <c r="BK232" s="307"/>
      <c r="BL232" s="307"/>
      <c r="BM232" s="310"/>
      <c r="BN232" s="307"/>
      <c r="BO232" s="310"/>
      <c r="BP232" s="307"/>
      <c r="BQ232" s="307"/>
      <c r="BR232" s="307"/>
      <c r="BS232" s="307"/>
      <c r="BT232" s="307"/>
      <c r="BU232" s="310"/>
      <c r="BV232" s="307"/>
      <c r="BW232" s="308"/>
      <c r="BX232" s="311"/>
      <c r="BY232" s="307"/>
      <c r="BZ232" s="307"/>
      <c r="CA232" s="310"/>
      <c r="CB232" s="307"/>
      <c r="CC232" s="307"/>
      <c r="CD232" s="307"/>
      <c r="CE232" s="308"/>
      <c r="CF232" s="308"/>
      <c r="CG232" s="307"/>
      <c r="CH232" s="307"/>
      <c r="CI232" s="307"/>
      <c r="CJ232" s="307"/>
      <c r="CK232" s="314"/>
      <c r="CL232" s="310"/>
      <c r="CM232" s="310"/>
      <c r="CN232" s="307"/>
      <c r="CO232" s="307"/>
      <c r="CP232" s="307"/>
      <c r="CQ232" s="315"/>
      <c r="CR232" s="315"/>
      <c r="CS232" s="315"/>
      <c r="CT232" s="315"/>
      <c r="CU232" s="307"/>
      <c r="CV232" s="217"/>
      <c r="CW232" s="192"/>
      <c r="CX232" s="192"/>
      <c r="CY232" s="192"/>
      <c r="CZ232" s="191"/>
      <c r="DA232" s="193"/>
      <c r="DB232" s="192"/>
      <c r="DC232" s="192"/>
      <c r="DD232" s="192"/>
      <c r="DE232" s="191"/>
      <c r="DF232" s="19"/>
      <c r="DG232" s="192"/>
      <c r="DH232" s="192"/>
      <c r="DI232" s="192"/>
      <c r="DJ232" s="191"/>
      <c r="DK232" s="193"/>
      <c r="DL232" s="192"/>
      <c r="DM232" s="192"/>
      <c r="DN232" s="192"/>
      <c r="DO232" s="191"/>
      <c r="DP232" s="19"/>
      <c r="DQ232" s="192"/>
      <c r="DR232" s="192"/>
      <c r="DS232" s="192"/>
      <c r="DT232" s="191"/>
      <c r="DU232" s="193"/>
      <c r="DV232" s="192"/>
      <c r="DW232" s="192"/>
      <c r="DX232" s="192"/>
      <c r="DY232" s="191"/>
      <c r="DZ232" s="19"/>
      <c r="EA232" s="192"/>
      <c r="EB232" s="192"/>
      <c r="EC232" s="192"/>
      <c r="ED232" s="191"/>
      <c r="EE232" s="193"/>
      <c r="EF232" s="192"/>
      <c r="EG232" s="192"/>
      <c r="EH232" s="192"/>
      <c r="EI232" s="191"/>
      <c r="EJ232" s="19"/>
      <c r="EK232" s="192"/>
      <c r="EL232" s="192"/>
      <c r="EM232" s="192"/>
      <c r="EN232" s="191"/>
      <c r="EO232" s="193"/>
      <c r="EP232" s="192"/>
      <c r="EQ232" s="192"/>
      <c r="ER232" s="192"/>
      <c r="ES232" s="191"/>
      <c r="ET232" s="19"/>
      <c r="EU232" s="192"/>
      <c r="EV232" s="192"/>
      <c r="EW232" s="192"/>
      <c r="EX232" s="191"/>
      <c r="EY232" s="193"/>
      <c r="EZ232" s="192"/>
      <c r="FA232" s="192"/>
      <c r="FB232" s="192"/>
      <c r="FC232" s="191"/>
      <c r="FL232" s="273">
        <f t="shared" ca="1" si="11"/>
        <v>116</v>
      </c>
    </row>
    <row r="233" spans="1:168" ht="16.5" thickBot="1">
      <c r="A233" s="199">
        <v>230</v>
      </c>
      <c r="B233" s="306"/>
      <c r="C233" s="310"/>
      <c r="D233" s="307" t="s">
        <v>271</v>
      </c>
      <c r="E233" s="307" t="s">
        <v>271</v>
      </c>
      <c r="F233" s="308"/>
      <c r="G233" s="343" t="str">
        <f t="shared" si="9"/>
        <v xml:space="preserve"> </v>
      </c>
      <c r="H233" s="307"/>
      <c r="I233" s="309" t="e">
        <f t="shared" si="10"/>
        <v>#N/A</v>
      </c>
      <c r="J233" s="307"/>
      <c r="K233" s="307"/>
      <c r="L233" s="310"/>
      <c r="M233" s="310"/>
      <c r="N233" s="310"/>
      <c r="O233" s="310"/>
      <c r="P233" s="310"/>
      <c r="Q233" s="310"/>
      <c r="R233" s="310"/>
      <c r="S233" s="310"/>
      <c r="T233" s="310"/>
      <c r="U233" s="307"/>
      <c r="V233" s="307"/>
      <c r="W233" s="311"/>
      <c r="X233" s="307"/>
      <c r="Y233" s="307"/>
      <c r="Z233" s="307"/>
      <c r="AA233" s="307"/>
      <c r="AB233" s="311"/>
      <c r="AC233" s="307"/>
      <c r="AD233" s="307"/>
      <c r="AE233" s="307"/>
      <c r="AF233" s="307"/>
      <c r="AG233" s="310"/>
      <c r="AH233" s="307"/>
      <c r="AI233" s="310"/>
      <c r="AJ233" s="307"/>
      <c r="AK233" s="307"/>
      <c r="AL233" s="307"/>
      <c r="AM233" s="308"/>
      <c r="AN233" s="311"/>
      <c r="AO233" s="307"/>
      <c r="AP233" s="307"/>
      <c r="AQ233" s="308"/>
      <c r="AR233" s="307"/>
      <c r="AS233" s="307"/>
      <c r="AT233" s="307"/>
      <c r="AU233" s="310"/>
      <c r="AV233" s="308"/>
      <c r="AW233" s="312"/>
      <c r="AX233" s="308"/>
      <c r="AY233" s="307"/>
      <c r="AZ233" s="307"/>
      <c r="BA233" s="307"/>
      <c r="BB233" s="307"/>
      <c r="BC233" s="308"/>
      <c r="BD233" s="308"/>
      <c r="BE233" s="313"/>
      <c r="BF233" s="307"/>
      <c r="BG233" s="310"/>
      <c r="BH233" s="307"/>
      <c r="BI233" s="307"/>
      <c r="BJ233" s="310"/>
      <c r="BK233" s="307"/>
      <c r="BL233" s="307"/>
      <c r="BM233" s="310"/>
      <c r="BN233" s="307"/>
      <c r="BO233" s="310"/>
      <c r="BP233" s="307"/>
      <c r="BQ233" s="307"/>
      <c r="BR233" s="307"/>
      <c r="BS233" s="307"/>
      <c r="BT233" s="307"/>
      <c r="BU233" s="310"/>
      <c r="BV233" s="307"/>
      <c r="BW233" s="308"/>
      <c r="BX233" s="311"/>
      <c r="BY233" s="307"/>
      <c r="BZ233" s="307"/>
      <c r="CA233" s="310"/>
      <c r="CB233" s="307"/>
      <c r="CC233" s="307"/>
      <c r="CD233" s="307"/>
      <c r="CE233" s="308"/>
      <c r="CF233" s="308"/>
      <c r="CG233" s="307"/>
      <c r="CH233" s="307"/>
      <c r="CI233" s="307"/>
      <c r="CJ233" s="307"/>
      <c r="CK233" s="314"/>
      <c r="CL233" s="310"/>
      <c r="CM233" s="310"/>
      <c r="CN233" s="307"/>
      <c r="CO233" s="307"/>
      <c r="CP233" s="307"/>
      <c r="CQ233" s="315"/>
      <c r="CR233" s="315"/>
      <c r="CS233" s="315"/>
      <c r="CT233" s="315"/>
      <c r="CU233" s="307"/>
      <c r="CV233" s="217"/>
      <c r="CW233" s="192"/>
      <c r="CX233" s="192"/>
      <c r="CY233" s="192"/>
      <c r="CZ233" s="191"/>
      <c r="DA233" s="193"/>
      <c r="DB233" s="192"/>
      <c r="DC233" s="192"/>
      <c r="DD233" s="192"/>
      <c r="DE233" s="191"/>
      <c r="DF233" s="19"/>
      <c r="DG233" s="192"/>
      <c r="DH233" s="192"/>
      <c r="DI233" s="192"/>
      <c r="DJ233" s="191"/>
      <c r="DK233" s="193"/>
      <c r="DL233" s="192"/>
      <c r="DM233" s="192"/>
      <c r="DN233" s="192"/>
      <c r="DO233" s="191"/>
      <c r="DP233" s="19"/>
      <c r="DQ233" s="192"/>
      <c r="DR233" s="192"/>
      <c r="DS233" s="192"/>
      <c r="DT233" s="191"/>
      <c r="DU233" s="193"/>
      <c r="DV233" s="192"/>
      <c r="DW233" s="192"/>
      <c r="DX233" s="192"/>
      <c r="DY233" s="191"/>
      <c r="DZ233" s="19"/>
      <c r="EA233" s="192"/>
      <c r="EB233" s="192"/>
      <c r="EC233" s="192"/>
      <c r="ED233" s="191"/>
      <c r="EE233" s="193"/>
      <c r="EF233" s="192"/>
      <c r="EG233" s="192"/>
      <c r="EH233" s="192"/>
      <c r="EI233" s="191"/>
      <c r="EJ233" s="19"/>
      <c r="EK233" s="192"/>
      <c r="EL233" s="192"/>
      <c r="EM233" s="192"/>
      <c r="EN233" s="191"/>
      <c r="EO233" s="193"/>
      <c r="EP233" s="192"/>
      <c r="EQ233" s="192"/>
      <c r="ER233" s="192"/>
      <c r="ES233" s="191"/>
      <c r="ET233" s="19"/>
      <c r="EU233" s="192"/>
      <c r="EV233" s="192"/>
      <c r="EW233" s="192"/>
      <c r="EX233" s="191"/>
      <c r="EY233" s="193"/>
      <c r="EZ233" s="192"/>
      <c r="FA233" s="192"/>
      <c r="FB233" s="192"/>
      <c r="FC233" s="191"/>
      <c r="FL233" s="273">
        <f t="shared" ca="1" si="11"/>
        <v>116</v>
      </c>
    </row>
    <row r="234" spans="1:168" ht="16.5" thickBot="1">
      <c r="A234" s="196">
        <v>231</v>
      </c>
      <c r="B234" s="306"/>
      <c r="C234" s="310"/>
      <c r="D234" s="307" t="s">
        <v>271</v>
      </c>
      <c r="E234" s="307" t="s">
        <v>271</v>
      </c>
      <c r="F234" s="308"/>
      <c r="G234" s="343" t="str">
        <f t="shared" si="9"/>
        <v xml:space="preserve"> </v>
      </c>
      <c r="H234" s="307"/>
      <c r="I234" s="309" t="e">
        <f t="shared" si="10"/>
        <v>#N/A</v>
      </c>
      <c r="J234" s="307"/>
      <c r="K234" s="307"/>
      <c r="L234" s="310"/>
      <c r="M234" s="310"/>
      <c r="N234" s="310"/>
      <c r="O234" s="310"/>
      <c r="P234" s="310"/>
      <c r="Q234" s="310"/>
      <c r="R234" s="310"/>
      <c r="S234" s="310"/>
      <c r="T234" s="310"/>
      <c r="U234" s="307"/>
      <c r="V234" s="307"/>
      <c r="W234" s="311"/>
      <c r="X234" s="307"/>
      <c r="Y234" s="307"/>
      <c r="Z234" s="307"/>
      <c r="AA234" s="307"/>
      <c r="AB234" s="311"/>
      <c r="AC234" s="307"/>
      <c r="AD234" s="307"/>
      <c r="AE234" s="307"/>
      <c r="AF234" s="307"/>
      <c r="AG234" s="310"/>
      <c r="AH234" s="307"/>
      <c r="AI234" s="310"/>
      <c r="AJ234" s="307"/>
      <c r="AK234" s="307"/>
      <c r="AL234" s="307"/>
      <c r="AM234" s="308"/>
      <c r="AN234" s="311"/>
      <c r="AO234" s="307"/>
      <c r="AP234" s="307"/>
      <c r="AQ234" s="308"/>
      <c r="AR234" s="307"/>
      <c r="AS234" s="307"/>
      <c r="AT234" s="307"/>
      <c r="AU234" s="310"/>
      <c r="AV234" s="308"/>
      <c r="AW234" s="312"/>
      <c r="AX234" s="308"/>
      <c r="AY234" s="307"/>
      <c r="AZ234" s="307"/>
      <c r="BA234" s="307"/>
      <c r="BB234" s="307"/>
      <c r="BC234" s="308"/>
      <c r="BD234" s="308"/>
      <c r="BE234" s="313"/>
      <c r="BF234" s="307"/>
      <c r="BG234" s="310"/>
      <c r="BH234" s="307"/>
      <c r="BI234" s="307"/>
      <c r="BJ234" s="310"/>
      <c r="BK234" s="307"/>
      <c r="BL234" s="307"/>
      <c r="BM234" s="310"/>
      <c r="BN234" s="307"/>
      <c r="BO234" s="310"/>
      <c r="BP234" s="307"/>
      <c r="BQ234" s="307"/>
      <c r="BR234" s="307"/>
      <c r="BS234" s="307"/>
      <c r="BT234" s="307"/>
      <c r="BU234" s="310"/>
      <c r="BV234" s="307"/>
      <c r="BW234" s="308"/>
      <c r="BX234" s="311"/>
      <c r="BY234" s="307"/>
      <c r="BZ234" s="307"/>
      <c r="CA234" s="310"/>
      <c r="CB234" s="307"/>
      <c r="CC234" s="307"/>
      <c r="CD234" s="307"/>
      <c r="CE234" s="308"/>
      <c r="CF234" s="308"/>
      <c r="CG234" s="307"/>
      <c r="CH234" s="307"/>
      <c r="CI234" s="307"/>
      <c r="CJ234" s="307"/>
      <c r="CK234" s="314"/>
      <c r="CL234" s="310"/>
      <c r="CM234" s="310"/>
      <c r="CN234" s="307"/>
      <c r="CO234" s="307"/>
      <c r="CP234" s="307"/>
      <c r="CQ234" s="315"/>
      <c r="CR234" s="315"/>
      <c r="CS234" s="315"/>
      <c r="CT234" s="315"/>
      <c r="CU234" s="307"/>
      <c r="CV234" s="217"/>
      <c r="CW234" s="192"/>
      <c r="CX234" s="192"/>
      <c r="CY234" s="192"/>
      <c r="CZ234" s="191"/>
      <c r="DA234" s="193"/>
      <c r="DB234" s="192"/>
      <c r="DC234" s="192"/>
      <c r="DD234" s="192"/>
      <c r="DE234" s="191"/>
      <c r="DF234" s="19"/>
      <c r="DG234" s="192"/>
      <c r="DH234" s="192"/>
      <c r="DI234" s="192"/>
      <c r="DJ234" s="191"/>
      <c r="DK234" s="193"/>
      <c r="DL234" s="192"/>
      <c r="DM234" s="192"/>
      <c r="DN234" s="192"/>
      <c r="DO234" s="191"/>
      <c r="DP234" s="19"/>
      <c r="DQ234" s="192"/>
      <c r="DR234" s="192"/>
      <c r="DS234" s="192"/>
      <c r="DT234" s="191"/>
      <c r="DU234" s="193"/>
      <c r="DV234" s="192"/>
      <c r="DW234" s="192"/>
      <c r="DX234" s="192"/>
      <c r="DY234" s="191"/>
      <c r="DZ234" s="19"/>
      <c r="EA234" s="192"/>
      <c r="EB234" s="192"/>
      <c r="EC234" s="192"/>
      <c r="ED234" s="191"/>
      <c r="EE234" s="193"/>
      <c r="EF234" s="192"/>
      <c r="EG234" s="192"/>
      <c r="EH234" s="192"/>
      <c r="EI234" s="191"/>
      <c r="EJ234" s="19"/>
      <c r="EK234" s="192"/>
      <c r="EL234" s="192"/>
      <c r="EM234" s="192"/>
      <c r="EN234" s="191"/>
      <c r="EO234" s="193"/>
      <c r="EP234" s="192"/>
      <c r="EQ234" s="192"/>
      <c r="ER234" s="192"/>
      <c r="ES234" s="191"/>
      <c r="ET234" s="19"/>
      <c r="EU234" s="192"/>
      <c r="EV234" s="192"/>
      <c r="EW234" s="192"/>
      <c r="EX234" s="191"/>
      <c r="EY234" s="193"/>
      <c r="EZ234" s="192"/>
      <c r="FA234" s="192"/>
      <c r="FB234" s="192"/>
      <c r="FC234" s="191"/>
      <c r="FL234" s="273">
        <f t="shared" ca="1" si="11"/>
        <v>116</v>
      </c>
    </row>
    <row r="235" spans="1:168" ht="16.5" thickBot="1">
      <c r="A235" s="199">
        <v>232</v>
      </c>
      <c r="B235" s="306"/>
      <c r="C235" s="310"/>
      <c r="D235" s="307" t="s">
        <v>271</v>
      </c>
      <c r="E235" s="307" t="s">
        <v>271</v>
      </c>
      <c r="F235" s="308"/>
      <c r="G235" s="343" t="str">
        <f t="shared" si="9"/>
        <v xml:space="preserve"> </v>
      </c>
      <c r="H235" s="307"/>
      <c r="I235" s="309" t="e">
        <f t="shared" si="10"/>
        <v>#N/A</v>
      </c>
      <c r="J235" s="307"/>
      <c r="K235" s="307"/>
      <c r="L235" s="310"/>
      <c r="M235" s="310"/>
      <c r="N235" s="310"/>
      <c r="O235" s="310"/>
      <c r="P235" s="310"/>
      <c r="Q235" s="310"/>
      <c r="R235" s="310"/>
      <c r="S235" s="310"/>
      <c r="T235" s="310"/>
      <c r="U235" s="307"/>
      <c r="V235" s="307"/>
      <c r="W235" s="311"/>
      <c r="X235" s="307"/>
      <c r="Y235" s="307"/>
      <c r="Z235" s="307"/>
      <c r="AA235" s="307"/>
      <c r="AB235" s="311"/>
      <c r="AC235" s="307"/>
      <c r="AD235" s="307"/>
      <c r="AE235" s="307"/>
      <c r="AF235" s="307"/>
      <c r="AG235" s="310"/>
      <c r="AH235" s="307"/>
      <c r="AI235" s="310"/>
      <c r="AJ235" s="307"/>
      <c r="AK235" s="307"/>
      <c r="AL235" s="307"/>
      <c r="AM235" s="308"/>
      <c r="AN235" s="311"/>
      <c r="AO235" s="307"/>
      <c r="AP235" s="307"/>
      <c r="AQ235" s="308"/>
      <c r="AR235" s="307"/>
      <c r="AS235" s="307"/>
      <c r="AT235" s="307"/>
      <c r="AU235" s="310"/>
      <c r="AV235" s="308"/>
      <c r="AW235" s="312"/>
      <c r="AX235" s="308"/>
      <c r="AY235" s="307"/>
      <c r="AZ235" s="307"/>
      <c r="BA235" s="307"/>
      <c r="BB235" s="307"/>
      <c r="BC235" s="308"/>
      <c r="BD235" s="308"/>
      <c r="BE235" s="313"/>
      <c r="BF235" s="307"/>
      <c r="BG235" s="310"/>
      <c r="BH235" s="307"/>
      <c r="BI235" s="307"/>
      <c r="BJ235" s="310"/>
      <c r="BK235" s="307"/>
      <c r="BL235" s="307"/>
      <c r="BM235" s="310"/>
      <c r="BN235" s="307"/>
      <c r="BO235" s="310"/>
      <c r="BP235" s="307"/>
      <c r="BQ235" s="307"/>
      <c r="BR235" s="307"/>
      <c r="BS235" s="307"/>
      <c r="BT235" s="307"/>
      <c r="BU235" s="310"/>
      <c r="BV235" s="307"/>
      <c r="BW235" s="308"/>
      <c r="BX235" s="311"/>
      <c r="BY235" s="307"/>
      <c r="BZ235" s="307"/>
      <c r="CA235" s="310"/>
      <c r="CB235" s="307"/>
      <c r="CC235" s="307"/>
      <c r="CD235" s="307"/>
      <c r="CE235" s="308"/>
      <c r="CF235" s="308"/>
      <c r="CG235" s="307"/>
      <c r="CH235" s="307"/>
      <c r="CI235" s="307"/>
      <c r="CJ235" s="307"/>
      <c r="CK235" s="314"/>
      <c r="CL235" s="310"/>
      <c r="CM235" s="310"/>
      <c r="CN235" s="307"/>
      <c r="CO235" s="307"/>
      <c r="CP235" s="307"/>
      <c r="CQ235" s="315"/>
      <c r="CR235" s="315"/>
      <c r="CS235" s="315"/>
      <c r="CT235" s="315"/>
      <c r="CU235" s="307"/>
      <c r="CV235" s="217"/>
      <c r="CW235" s="192"/>
      <c r="CX235" s="192"/>
      <c r="CY235" s="192"/>
      <c r="CZ235" s="191"/>
      <c r="DA235" s="193"/>
      <c r="DB235" s="192"/>
      <c r="DC235" s="192"/>
      <c r="DD235" s="192"/>
      <c r="DE235" s="191"/>
      <c r="DF235" s="19"/>
      <c r="DG235" s="192"/>
      <c r="DH235" s="192"/>
      <c r="DI235" s="192"/>
      <c r="DJ235" s="191"/>
      <c r="DK235" s="193"/>
      <c r="DL235" s="192"/>
      <c r="DM235" s="192"/>
      <c r="DN235" s="192"/>
      <c r="DO235" s="191"/>
      <c r="DP235" s="19"/>
      <c r="DQ235" s="192"/>
      <c r="DR235" s="192"/>
      <c r="DS235" s="192"/>
      <c r="DT235" s="191"/>
      <c r="DU235" s="193"/>
      <c r="DV235" s="192"/>
      <c r="DW235" s="192"/>
      <c r="DX235" s="192"/>
      <c r="DY235" s="191"/>
      <c r="DZ235" s="19"/>
      <c r="EA235" s="192"/>
      <c r="EB235" s="192"/>
      <c r="EC235" s="192"/>
      <c r="ED235" s="191"/>
      <c r="EE235" s="193"/>
      <c r="EF235" s="192"/>
      <c r="EG235" s="192"/>
      <c r="EH235" s="192"/>
      <c r="EI235" s="191"/>
      <c r="EJ235" s="19"/>
      <c r="EK235" s="192"/>
      <c r="EL235" s="192"/>
      <c r="EM235" s="192"/>
      <c r="EN235" s="191"/>
      <c r="EO235" s="193"/>
      <c r="EP235" s="192"/>
      <c r="EQ235" s="192"/>
      <c r="ER235" s="192"/>
      <c r="ES235" s="191"/>
      <c r="ET235" s="19"/>
      <c r="EU235" s="192"/>
      <c r="EV235" s="192"/>
      <c r="EW235" s="192"/>
      <c r="EX235" s="191"/>
      <c r="EY235" s="193"/>
      <c r="EZ235" s="192"/>
      <c r="FA235" s="192"/>
      <c r="FB235" s="192"/>
      <c r="FC235" s="191"/>
      <c r="FL235" s="273">
        <f t="shared" ca="1" si="11"/>
        <v>116</v>
      </c>
    </row>
    <row r="236" spans="1:168" ht="16.5" thickBot="1">
      <c r="A236" s="196">
        <v>233</v>
      </c>
      <c r="B236" s="306"/>
      <c r="C236" s="310"/>
      <c r="D236" s="307" t="s">
        <v>271</v>
      </c>
      <c r="E236" s="307" t="s">
        <v>271</v>
      </c>
      <c r="F236" s="308"/>
      <c r="G236" s="343" t="str">
        <f t="shared" si="9"/>
        <v xml:space="preserve"> </v>
      </c>
      <c r="H236" s="307"/>
      <c r="I236" s="309" t="e">
        <f t="shared" si="10"/>
        <v>#N/A</v>
      </c>
      <c r="J236" s="307"/>
      <c r="K236" s="307"/>
      <c r="L236" s="310"/>
      <c r="M236" s="310"/>
      <c r="N236" s="310"/>
      <c r="O236" s="310"/>
      <c r="P236" s="310"/>
      <c r="Q236" s="310"/>
      <c r="R236" s="310"/>
      <c r="S236" s="310"/>
      <c r="T236" s="310"/>
      <c r="U236" s="307"/>
      <c r="V236" s="307"/>
      <c r="W236" s="311"/>
      <c r="X236" s="307"/>
      <c r="Y236" s="307"/>
      <c r="Z236" s="307"/>
      <c r="AA236" s="307"/>
      <c r="AB236" s="311"/>
      <c r="AC236" s="307"/>
      <c r="AD236" s="307"/>
      <c r="AE236" s="307"/>
      <c r="AF236" s="307"/>
      <c r="AG236" s="310"/>
      <c r="AH236" s="307"/>
      <c r="AI236" s="310"/>
      <c r="AJ236" s="307"/>
      <c r="AK236" s="307"/>
      <c r="AL236" s="307"/>
      <c r="AM236" s="308"/>
      <c r="AN236" s="311"/>
      <c r="AO236" s="307"/>
      <c r="AP236" s="307"/>
      <c r="AQ236" s="308"/>
      <c r="AR236" s="307"/>
      <c r="AS236" s="307"/>
      <c r="AT236" s="307"/>
      <c r="AU236" s="310"/>
      <c r="AV236" s="308"/>
      <c r="AW236" s="312"/>
      <c r="AX236" s="308"/>
      <c r="AY236" s="307"/>
      <c r="AZ236" s="307"/>
      <c r="BA236" s="307"/>
      <c r="BB236" s="307"/>
      <c r="BC236" s="308"/>
      <c r="BD236" s="308"/>
      <c r="BE236" s="313"/>
      <c r="BF236" s="307"/>
      <c r="BG236" s="310"/>
      <c r="BH236" s="307"/>
      <c r="BI236" s="307"/>
      <c r="BJ236" s="310"/>
      <c r="BK236" s="307"/>
      <c r="BL236" s="307"/>
      <c r="BM236" s="310"/>
      <c r="BN236" s="307"/>
      <c r="BO236" s="310"/>
      <c r="BP236" s="307"/>
      <c r="BQ236" s="307"/>
      <c r="BR236" s="307"/>
      <c r="BS236" s="307"/>
      <c r="BT236" s="307"/>
      <c r="BU236" s="310"/>
      <c r="BV236" s="307"/>
      <c r="BW236" s="308"/>
      <c r="BX236" s="311"/>
      <c r="BY236" s="307"/>
      <c r="BZ236" s="307"/>
      <c r="CA236" s="310"/>
      <c r="CB236" s="307"/>
      <c r="CC236" s="307"/>
      <c r="CD236" s="307"/>
      <c r="CE236" s="308"/>
      <c r="CF236" s="308"/>
      <c r="CG236" s="307"/>
      <c r="CH236" s="307"/>
      <c r="CI236" s="307"/>
      <c r="CJ236" s="307"/>
      <c r="CK236" s="314"/>
      <c r="CL236" s="310"/>
      <c r="CM236" s="310"/>
      <c r="CN236" s="307"/>
      <c r="CO236" s="307"/>
      <c r="CP236" s="307"/>
      <c r="CQ236" s="315"/>
      <c r="CR236" s="315"/>
      <c r="CS236" s="315"/>
      <c r="CT236" s="315"/>
      <c r="CU236" s="307"/>
      <c r="CV236" s="217"/>
      <c r="CW236" s="192"/>
      <c r="CX236" s="192"/>
      <c r="CY236" s="192"/>
      <c r="CZ236" s="191"/>
      <c r="DA236" s="193"/>
      <c r="DB236" s="192"/>
      <c r="DC236" s="192"/>
      <c r="DD236" s="192"/>
      <c r="DE236" s="191"/>
      <c r="DF236" s="19"/>
      <c r="DG236" s="192"/>
      <c r="DH236" s="192"/>
      <c r="DI236" s="192"/>
      <c r="DJ236" s="191"/>
      <c r="DK236" s="193"/>
      <c r="DL236" s="192"/>
      <c r="DM236" s="192"/>
      <c r="DN236" s="192"/>
      <c r="DO236" s="191"/>
      <c r="DP236" s="19"/>
      <c r="DQ236" s="192"/>
      <c r="DR236" s="192"/>
      <c r="DS236" s="192"/>
      <c r="DT236" s="191"/>
      <c r="DU236" s="193"/>
      <c r="DV236" s="192"/>
      <c r="DW236" s="192"/>
      <c r="DX236" s="192"/>
      <c r="DY236" s="191"/>
      <c r="DZ236" s="19"/>
      <c r="EA236" s="192"/>
      <c r="EB236" s="192"/>
      <c r="EC236" s="192"/>
      <c r="ED236" s="191"/>
      <c r="EE236" s="193"/>
      <c r="EF236" s="192"/>
      <c r="EG236" s="192"/>
      <c r="EH236" s="192"/>
      <c r="EI236" s="191"/>
      <c r="EJ236" s="19"/>
      <c r="EK236" s="192"/>
      <c r="EL236" s="192"/>
      <c r="EM236" s="192"/>
      <c r="EN236" s="191"/>
      <c r="EO236" s="193"/>
      <c r="EP236" s="192"/>
      <c r="EQ236" s="192"/>
      <c r="ER236" s="192"/>
      <c r="ES236" s="191"/>
      <c r="ET236" s="19"/>
      <c r="EU236" s="192"/>
      <c r="EV236" s="192"/>
      <c r="EW236" s="192"/>
      <c r="EX236" s="191"/>
      <c r="EY236" s="193"/>
      <c r="EZ236" s="192"/>
      <c r="FA236" s="192"/>
      <c r="FB236" s="192"/>
      <c r="FC236" s="191"/>
      <c r="FL236" s="273">
        <f t="shared" ca="1" si="11"/>
        <v>116</v>
      </c>
    </row>
    <row r="237" spans="1:168" ht="16.5" thickBot="1">
      <c r="A237" s="199">
        <v>234</v>
      </c>
      <c r="B237" s="306"/>
      <c r="C237" s="310"/>
      <c r="D237" s="307" t="s">
        <v>271</v>
      </c>
      <c r="E237" s="307" t="s">
        <v>271</v>
      </c>
      <c r="F237" s="308"/>
      <c r="G237" s="343" t="str">
        <f t="shared" si="9"/>
        <v xml:space="preserve"> </v>
      </c>
      <c r="H237" s="307"/>
      <c r="I237" s="309" t="e">
        <f t="shared" si="10"/>
        <v>#N/A</v>
      </c>
      <c r="J237" s="307"/>
      <c r="K237" s="307"/>
      <c r="L237" s="310"/>
      <c r="M237" s="310"/>
      <c r="N237" s="310"/>
      <c r="O237" s="310"/>
      <c r="P237" s="310"/>
      <c r="Q237" s="310"/>
      <c r="R237" s="310"/>
      <c r="S237" s="310"/>
      <c r="T237" s="310"/>
      <c r="U237" s="307"/>
      <c r="V237" s="307"/>
      <c r="W237" s="311"/>
      <c r="X237" s="307"/>
      <c r="Y237" s="307"/>
      <c r="Z237" s="307"/>
      <c r="AA237" s="307"/>
      <c r="AB237" s="311"/>
      <c r="AC237" s="307"/>
      <c r="AD237" s="307"/>
      <c r="AE237" s="307"/>
      <c r="AF237" s="307"/>
      <c r="AG237" s="310"/>
      <c r="AH237" s="307"/>
      <c r="AI237" s="310"/>
      <c r="AJ237" s="307"/>
      <c r="AK237" s="307"/>
      <c r="AL237" s="307"/>
      <c r="AM237" s="308"/>
      <c r="AN237" s="311"/>
      <c r="AO237" s="307"/>
      <c r="AP237" s="307"/>
      <c r="AQ237" s="308"/>
      <c r="AR237" s="307"/>
      <c r="AS237" s="307"/>
      <c r="AT237" s="307"/>
      <c r="AU237" s="310"/>
      <c r="AV237" s="308"/>
      <c r="AW237" s="312"/>
      <c r="AX237" s="308"/>
      <c r="AY237" s="307"/>
      <c r="AZ237" s="307"/>
      <c r="BA237" s="307"/>
      <c r="BB237" s="307"/>
      <c r="BC237" s="308"/>
      <c r="BD237" s="308"/>
      <c r="BE237" s="313"/>
      <c r="BF237" s="307"/>
      <c r="BG237" s="310"/>
      <c r="BH237" s="307"/>
      <c r="BI237" s="307"/>
      <c r="BJ237" s="310"/>
      <c r="BK237" s="307"/>
      <c r="BL237" s="307"/>
      <c r="BM237" s="310"/>
      <c r="BN237" s="307"/>
      <c r="BO237" s="310"/>
      <c r="BP237" s="307"/>
      <c r="BQ237" s="307"/>
      <c r="BR237" s="307"/>
      <c r="BS237" s="307"/>
      <c r="BT237" s="307"/>
      <c r="BU237" s="310"/>
      <c r="BV237" s="307"/>
      <c r="BW237" s="308"/>
      <c r="BX237" s="311"/>
      <c r="BY237" s="307"/>
      <c r="BZ237" s="307"/>
      <c r="CA237" s="310"/>
      <c r="CB237" s="307"/>
      <c r="CC237" s="307"/>
      <c r="CD237" s="307"/>
      <c r="CE237" s="308"/>
      <c r="CF237" s="308"/>
      <c r="CG237" s="307"/>
      <c r="CH237" s="307"/>
      <c r="CI237" s="307"/>
      <c r="CJ237" s="307"/>
      <c r="CK237" s="314"/>
      <c r="CL237" s="310"/>
      <c r="CM237" s="310"/>
      <c r="CN237" s="307"/>
      <c r="CO237" s="307"/>
      <c r="CP237" s="307"/>
      <c r="CQ237" s="315"/>
      <c r="CR237" s="315"/>
      <c r="CS237" s="315"/>
      <c r="CT237" s="315"/>
      <c r="CU237" s="307"/>
      <c r="CV237" s="217"/>
      <c r="CW237" s="192"/>
      <c r="CX237" s="192"/>
      <c r="CY237" s="192"/>
      <c r="CZ237" s="191"/>
      <c r="DA237" s="193"/>
      <c r="DB237" s="192"/>
      <c r="DC237" s="192"/>
      <c r="DD237" s="192"/>
      <c r="DE237" s="191"/>
      <c r="DF237" s="19"/>
      <c r="DG237" s="192"/>
      <c r="DH237" s="192"/>
      <c r="DI237" s="192"/>
      <c r="DJ237" s="191"/>
      <c r="DK237" s="193"/>
      <c r="DL237" s="192"/>
      <c r="DM237" s="192"/>
      <c r="DN237" s="192"/>
      <c r="DO237" s="191"/>
      <c r="DP237" s="19"/>
      <c r="DQ237" s="192"/>
      <c r="DR237" s="192"/>
      <c r="DS237" s="192"/>
      <c r="DT237" s="191"/>
      <c r="DU237" s="193"/>
      <c r="DV237" s="192"/>
      <c r="DW237" s="192"/>
      <c r="DX237" s="192"/>
      <c r="DY237" s="191"/>
      <c r="DZ237" s="19"/>
      <c r="EA237" s="192"/>
      <c r="EB237" s="192"/>
      <c r="EC237" s="192"/>
      <c r="ED237" s="191"/>
      <c r="EE237" s="193"/>
      <c r="EF237" s="192"/>
      <c r="EG237" s="192"/>
      <c r="EH237" s="192"/>
      <c r="EI237" s="191"/>
      <c r="EJ237" s="19"/>
      <c r="EK237" s="192"/>
      <c r="EL237" s="192"/>
      <c r="EM237" s="192"/>
      <c r="EN237" s="191"/>
      <c r="EO237" s="193"/>
      <c r="EP237" s="192"/>
      <c r="EQ237" s="192"/>
      <c r="ER237" s="192"/>
      <c r="ES237" s="191"/>
      <c r="ET237" s="19"/>
      <c r="EU237" s="192"/>
      <c r="EV237" s="192"/>
      <c r="EW237" s="192"/>
      <c r="EX237" s="191"/>
      <c r="EY237" s="193"/>
      <c r="EZ237" s="192"/>
      <c r="FA237" s="192"/>
      <c r="FB237" s="192"/>
      <c r="FC237" s="191"/>
      <c r="FL237" s="273">
        <f t="shared" ca="1" si="11"/>
        <v>116</v>
      </c>
    </row>
    <row r="238" spans="1:168" ht="16.5" thickBot="1">
      <c r="A238" s="196">
        <v>235</v>
      </c>
      <c r="B238" s="306"/>
      <c r="C238" s="310"/>
      <c r="D238" s="307" t="s">
        <v>271</v>
      </c>
      <c r="E238" s="307" t="s">
        <v>271</v>
      </c>
      <c r="F238" s="308"/>
      <c r="G238" s="343" t="str">
        <f t="shared" si="9"/>
        <v xml:space="preserve"> </v>
      </c>
      <c r="H238" s="307"/>
      <c r="I238" s="309" t="e">
        <f t="shared" si="10"/>
        <v>#N/A</v>
      </c>
      <c r="J238" s="307"/>
      <c r="K238" s="307"/>
      <c r="L238" s="310"/>
      <c r="M238" s="310"/>
      <c r="N238" s="310"/>
      <c r="O238" s="310"/>
      <c r="P238" s="310"/>
      <c r="Q238" s="310"/>
      <c r="R238" s="310"/>
      <c r="S238" s="310"/>
      <c r="T238" s="310"/>
      <c r="U238" s="307"/>
      <c r="V238" s="307"/>
      <c r="W238" s="311"/>
      <c r="X238" s="307"/>
      <c r="Y238" s="307"/>
      <c r="Z238" s="307"/>
      <c r="AA238" s="307"/>
      <c r="AB238" s="311"/>
      <c r="AC238" s="307"/>
      <c r="AD238" s="307"/>
      <c r="AE238" s="307"/>
      <c r="AF238" s="307"/>
      <c r="AG238" s="310"/>
      <c r="AH238" s="307"/>
      <c r="AI238" s="310"/>
      <c r="AJ238" s="307"/>
      <c r="AK238" s="307"/>
      <c r="AL238" s="307"/>
      <c r="AM238" s="308"/>
      <c r="AN238" s="311"/>
      <c r="AO238" s="307"/>
      <c r="AP238" s="307"/>
      <c r="AQ238" s="308"/>
      <c r="AR238" s="307"/>
      <c r="AS238" s="307"/>
      <c r="AT238" s="307"/>
      <c r="AU238" s="310"/>
      <c r="AV238" s="308"/>
      <c r="AW238" s="312"/>
      <c r="AX238" s="308"/>
      <c r="AY238" s="307"/>
      <c r="AZ238" s="307"/>
      <c r="BA238" s="307"/>
      <c r="BB238" s="307"/>
      <c r="BC238" s="308"/>
      <c r="BD238" s="308"/>
      <c r="BE238" s="313"/>
      <c r="BF238" s="307"/>
      <c r="BG238" s="310"/>
      <c r="BH238" s="307"/>
      <c r="BI238" s="307"/>
      <c r="BJ238" s="310"/>
      <c r="BK238" s="307"/>
      <c r="BL238" s="307"/>
      <c r="BM238" s="310"/>
      <c r="BN238" s="307"/>
      <c r="BO238" s="310"/>
      <c r="BP238" s="307"/>
      <c r="BQ238" s="307"/>
      <c r="BR238" s="307"/>
      <c r="BS238" s="307"/>
      <c r="BT238" s="307"/>
      <c r="BU238" s="310"/>
      <c r="BV238" s="307"/>
      <c r="BW238" s="308"/>
      <c r="BX238" s="311"/>
      <c r="BY238" s="307"/>
      <c r="BZ238" s="307"/>
      <c r="CA238" s="310"/>
      <c r="CB238" s="307"/>
      <c r="CC238" s="307"/>
      <c r="CD238" s="307"/>
      <c r="CE238" s="308"/>
      <c r="CF238" s="308"/>
      <c r="CG238" s="307"/>
      <c r="CH238" s="307"/>
      <c r="CI238" s="307"/>
      <c r="CJ238" s="307"/>
      <c r="CK238" s="314"/>
      <c r="CL238" s="310"/>
      <c r="CM238" s="310"/>
      <c r="CN238" s="307"/>
      <c r="CO238" s="307"/>
      <c r="CP238" s="307"/>
      <c r="CQ238" s="315"/>
      <c r="CR238" s="315"/>
      <c r="CS238" s="315"/>
      <c r="CT238" s="315"/>
      <c r="CU238" s="307"/>
      <c r="CV238" s="217"/>
      <c r="CW238" s="192"/>
      <c r="CX238" s="192"/>
      <c r="CY238" s="192"/>
      <c r="CZ238" s="191"/>
      <c r="DA238" s="193"/>
      <c r="DB238" s="192"/>
      <c r="DC238" s="192"/>
      <c r="DD238" s="192"/>
      <c r="DE238" s="191"/>
      <c r="DF238" s="19"/>
      <c r="DG238" s="192"/>
      <c r="DH238" s="192"/>
      <c r="DI238" s="192"/>
      <c r="DJ238" s="191"/>
      <c r="DK238" s="193"/>
      <c r="DL238" s="192"/>
      <c r="DM238" s="192"/>
      <c r="DN238" s="192"/>
      <c r="DO238" s="191"/>
      <c r="DP238" s="19"/>
      <c r="DQ238" s="192"/>
      <c r="DR238" s="192"/>
      <c r="DS238" s="192"/>
      <c r="DT238" s="191"/>
      <c r="DU238" s="193"/>
      <c r="DV238" s="192"/>
      <c r="DW238" s="192"/>
      <c r="DX238" s="192"/>
      <c r="DY238" s="191"/>
      <c r="DZ238" s="19"/>
      <c r="EA238" s="192"/>
      <c r="EB238" s="192"/>
      <c r="EC238" s="192"/>
      <c r="ED238" s="191"/>
      <c r="EE238" s="193"/>
      <c r="EF238" s="192"/>
      <c r="EG238" s="192"/>
      <c r="EH238" s="192"/>
      <c r="EI238" s="191"/>
      <c r="EJ238" s="19"/>
      <c r="EK238" s="192"/>
      <c r="EL238" s="192"/>
      <c r="EM238" s="192"/>
      <c r="EN238" s="191"/>
      <c r="EO238" s="193"/>
      <c r="EP238" s="192"/>
      <c r="EQ238" s="192"/>
      <c r="ER238" s="192"/>
      <c r="ES238" s="191"/>
      <c r="ET238" s="19"/>
      <c r="EU238" s="192"/>
      <c r="EV238" s="192"/>
      <c r="EW238" s="192"/>
      <c r="EX238" s="191"/>
      <c r="EY238" s="193"/>
      <c r="EZ238" s="192"/>
      <c r="FA238" s="192"/>
      <c r="FB238" s="192"/>
      <c r="FC238" s="191"/>
      <c r="FL238" s="273">
        <f t="shared" ca="1" si="11"/>
        <v>116</v>
      </c>
    </row>
    <row r="239" spans="1:168" ht="16.5" thickBot="1">
      <c r="A239" s="199">
        <v>236</v>
      </c>
      <c r="B239" s="306"/>
      <c r="C239" s="310"/>
      <c r="D239" s="307" t="s">
        <v>271</v>
      </c>
      <c r="E239" s="307" t="s">
        <v>271</v>
      </c>
      <c r="F239" s="308"/>
      <c r="G239" s="343" t="str">
        <f t="shared" si="9"/>
        <v xml:space="preserve"> </v>
      </c>
      <c r="H239" s="307"/>
      <c r="I239" s="309" t="e">
        <f t="shared" si="10"/>
        <v>#N/A</v>
      </c>
      <c r="J239" s="307"/>
      <c r="K239" s="307"/>
      <c r="L239" s="310"/>
      <c r="M239" s="310"/>
      <c r="N239" s="310"/>
      <c r="O239" s="310"/>
      <c r="P239" s="310"/>
      <c r="Q239" s="310"/>
      <c r="R239" s="310"/>
      <c r="S239" s="310"/>
      <c r="T239" s="310"/>
      <c r="U239" s="307"/>
      <c r="V239" s="307"/>
      <c r="W239" s="311"/>
      <c r="X239" s="307"/>
      <c r="Y239" s="307"/>
      <c r="Z239" s="307"/>
      <c r="AA239" s="307"/>
      <c r="AB239" s="311"/>
      <c r="AC239" s="307"/>
      <c r="AD239" s="307"/>
      <c r="AE239" s="307"/>
      <c r="AF239" s="307"/>
      <c r="AG239" s="310"/>
      <c r="AH239" s="307"/>
      <c r="AI239" s="310"/>
      <c r="AJ239" s="307"/>
      <c r="AK239" s="307"/>
      <c r="AL239" s="307"/>
      <c r="AM239" s="308"/>
      <c r="AN239" s="311"/>
      <c r="AO239" s="307"/>
      <c r="AP239" s="307"/>
      <c r="AQ239" s="308"/>
      <c r="AR239" s="307"/>
      <c r="AS239" s="307"/>
      <c r="AT239" s="307"/>
      <c r="AU239" s="310"/>
      <c r="AV239" s="308"/>
      <c r="AW239" s="312"/>
      <c r="AX239" s="308"/>
      <c r="AY239" s="307"/>
      <c r="AZ239" s="307"/>
      <c r="BA239" s="307"/>
      <c r="BB239" s="307"/>
      <c r="BC239" s="308"/>
      <c r="BD239" s="308"/>
      <c r="BE239" s="313"/>
      <c r="BF239" s="307"/>
      <c r="BG239" s="310"/>
      <c r="BH239" s="307"/>
      <c r="BI239" s="307"/>
      <c r="BJ239" s="310"/>
      <c r="BK239" s="307"/>
      <c r="BL239" s="307"/>
      <c r="BM239" s="310"/>
      <c r="BN239" s="307"/>
      <c r="BO239" s="310"/>
      <c r="BP239" s="307"/>
      <c r="BQ239" s="307"/>
      <c r="BR239" s="307"/>
      <c r="BS239" s="307"/>
      <c r="BT239" s="307"/>
      <c r="BU239" s="310"/>
      <c r="BV239" s="307"/>
      <c r="BW239" s="308"/>
      <c r="BX239" s="311"/>
      <c r="BY239" s="307"/>
      <c r="BZ239" s="307"/>
      <c r="CA239" s="310"/>
      <c r="CB239" s="307"/>
      <c r="CC239" s="307"/>
      <c r="CD239" s="307"/>
      <c r="CE239" s="308"/>
      <c r="CF239" s="308"/>
      <c r="CG239" s="307"/>
      <c r="CH239" s="307"/>
      <c r="CI239" s="307"/>
      <c r="CJ239" s="307"/>
      <c r="CK239" s="314"/>
      <c r="CL239" s="310"/>
      <c r="CM239" s="310"/>
      <c r="CN239" s="307"/>
      <c r="CO239" s="307"/>
      <c r="CP239" s="307"/>
      <c r="CQ239" s="315"/>
      <c r="CR239" s="315"/>
      <c r="CS239" s="315"/>
      <c r="CT239" s="315"/>
      <c r="CU239" s="307"/>
      <c r="CV239" s="217"/>
      <c r="CW239" s="192"/>
      <c r="CX239" s="192"/>
      <c r="CY239" s="192"/>
      <c r="CZ239" s="191"/>
      <c r="DA239" s="193"/>
      <c r="DB239" s="192"/>
      <c r="DC239" s="192"/>
      <c r="DD239" s="192"/>
      <c r="DE239" s="191"/>
      <c r="DF239" s="19"/>
      <c r="DG239" s="192"/>
      <c r="DH239" s="192"/>
      <c r="DI239" s="192"/>
      <c r="DJ239" s="191"/>
      <c r="DK239" s="193"/>
      <c r="DL239" s="192"/>
      <c r="DM239" s="192"/>
      <c r="DN239" s="192"/>
      <c r="DO239" s="191"/>
      <c r="DP239" s="19"/>
      <c r="DQ239" s="192"/>
      <c r="DR239" s="192"/>
      <c r="DS239" s="192"/>
      <c r="DT239" s="191"/>
      <c r="DU239" s="193"/>
      <c r="DV239" s="192"/>
      <c r="DW239" s="192"/>
      <c r="DX239" s="192"/>
      <c r="DY239" s="191"/>
      <c r="DZ239" s="19"/>
      <c r="EA239" s="192"/>
      <c r="EB239" s="192"/>
      <c r="EC239" s="192"/>
      <c r="ED239" s="191"/>
      <c r="EE239" s="193"/>
      <c r="EF239" s="192"/>
      <c r="EG239" s="192"/>
      <c r="EH239" s="192"/>
      <c r="EI239" s="191"/>
      <c r="EJ239" s="19"/>
      <c r="EK239" s="192"/>
      <c r="EL239" s="192"/>
      <c r="EM239" s="192"/>
      <c r="EN239" s="191"/>
      <c r="EO239" s="193"/>
      <c r="EP239" s="192"/>
      <c r="EQ239" s="192"/>
      <c r="ER239" s="192"/>
      <c r="ES239" s="191"/>
      <c r="ET239" s="19"/>
      <c r="EU239" s="192"/>
      <c r="EV239" s="192"/>
      <c r="EW239" s="192"/>
      <c r="EX239" s="191"/>
      <c r="EY239" s="193"/>
      <c r="EZ239" s="192"/>
      <c r="FA239" s="192"/>
      <c r="FB239" s="192"/>
      <c r="FC239" s="191"/>
      <c r="FL239" s="273">
        <f t="shared" ca="1" si="11"/>
        <v>116</v>
      </c>
    </row>
    <row r="240" spans="1:168" ht="16.5" thickBot="1">
      <c r="A240" s="196">
        <v>237</v>
      </c>
      <c r="B240" s="306"/>
      <c r="C240" s="310"/>
      <c r="D240" s="307" t="s">
        <v>271</v>
      </c>
      <c r="E240" s="307" t="s">
        <v>271</v>
      </c>
      <c r="F240" s="308"/>
      <c r="G240" s="343" t="str">
        <f t="shared" si="9"/>
        <v xml:space="preserve"> </v>
      </c>
      <c r="H240" s="307"/>
      <c r="I240" s="309" t="e">
        <f t="shared" si="10"/>
        <v>#N/A</v>
      </c>
      <c r="J240" s="307"/>
      <c r="K240" s="307"/>
      <c r="L240" s="310"/>
      <c r="M240" s="310"/>
      <c r="N240" s="310"/>
      <c r="O240" s="310"/>
      <c r="P240" s="310"/>
      <c r="Q240" s="310"/>
      <c r="R240" s="310"/>
      <c r="S240" s="310"/>
      <c r="T240" s="310"/>
      <c r="U240" s="307"/>
      <c r="V240" s="307"/>
      <c r="W240" s="311"/>
      <c r="X240" s="307"/>
      <c r="Y240" s="307"/>
      <c r="Z240" s="307"/>
      <c r="AA240" s="307"/>
      <c r="AB240" s="311"/>
      <c r="AC240" s="307"/>
      <c r="AD240" s="307"/>
      <c r="AE240" s="307"/>
      <c r="AF240" s="307"/>
      <c r="AG240" s="310"/>
      <c r="AH240" s="307"/>
      <c r="AI240" s="310"/>
      <c r="AJ240" s="307"/>
      <c r="AK240" s="307"/>
      <c r="AL240" s="307"/>
      <c r="AM240" s="308"/>
      <c r="AN240" s="311"/>
      <c r="AO240" s="307"/>
      <c r="AP240" s="307"/>
      <c r="AQ240" s="308"/>
      <c r="AR240" s="307"/>
      <c r="AS240" s="307"/>
      <c r="AT240" s="307"/>
      <c r="AU240" s="310"/>
      <c r="AV240" s="308"/>
      <c r="AW240" s="312"/>
      <c r="AX240" s="308"/>
      <c r="AY240" s="307"/>
      <c r="AZ240" s="307"/>
      <c r="BA240" s="307"/>
      <c r="BB240" s="307"/>
      <c r="BC240" s="308"/>
      <c r="BD240" s="308"/>
      <c r="BE240" s="313"/>
      <c r="BF240" s="307"/>
      <c r="BG240" s="310"/>
      <c r="BH240" s="307"/>
      <c r="BI240" s="307"/>
      <c r="BJ240" s="310"/>
      <c r="BK240" s="307"/>
      <c r="BL240" s="307"/>
      <c r="BM240" s="310"/>
      <c r="BN240" s="307"/>
      <c r="BO240" s="310"/>
      <c r="BP240" s="307"/>
      <c r="BQ240" s="307"/>
      <c r="BR240" s="307"/>
      <c r="BS240" s="307"/>
      <c r="BT240" s="307"/>
      <c r="BU240" s="310"/>
      <c r="BV240" s="307"/>
      <c r="BW240" s="308"/>
      <c r="BX240" s="311"/>
      <c r="BY240" s="307"/>
      <c r="BZ240" s="307"/>
      <c r="CA240" s="310"/>
      <c r="CB240" s="307"/>
      <c r="CC240" s="307"/>
      <c r="CD240" s="307"/>
      <c r="CE240" s="308"/>
      <c r="CF240" s="308"/>
      <c r="CG240" s="307"/>
      <c r="CH240" s="307"/>
      <c r="CI240" s="307"/>
      <c r="CJ240" s="307"/>
      <c r="CK240" s="314"/>
      <c r="CL240" s="310"/>
      <c r="CM240" s="310"/>
      <c r="CN240" s="307"/>
      <c r="CO240" s="307"/>
      <c r="CP240" s="307"/>
      <c r="CQ240" s="315"/>
      <c r="CR240" s="315"/>
      <c r="CS240" s="315"/>
      <c r="CT240" s="315"/>
      <c r="CU240" s="307"/>
      <c r="CV240" s="217"/>
      <c r="CW240" s="192"/>
      <c r="CX240" s="192"/>
      <c r="CY240" s="192"/>
      <c r="CZ240" s="191"/>
      <c r="DA240" s="193"/>
      <c r="DB240" s="192"/>
      <c r="DC240" s="192"/>
      <c r="DD240" s="192"/>
      <c r="DE240" s="191"/>
      <c r="DF240" s="19"/>
      <c r="DG240" s="192"/>
      <c r="DH240" s="192"/>
      <c r="DI240" s="192"/>
      <c r="DJ240" s="191"/>
      <c r="DK240" s="193"/>
      <c r="DL240" s="192"/>
      <c r="DM240" s="192"/>
      <c r="DN240" s="192"/>
      <c r="DO240" s="191"/>
      <c r="DP240" s="19"/>
      <c r="DQ240" s="192"/>
      <c r="DR240" s="192"/>
      <c r="DS240" s="192"/>
      <c r="DT240" s="191"/>
      <c r="DU240" s="193"/>
      <c r="DV240" s="192"/>
      <c r="DW240" s="192"/>
      <c r="DX240" s="192"/>
      <c r="DY240" s="191"/>
      <c r="DZ240" s="19"/>
      <c r="EA240" s="192"/>
      <c r="EB240" s="192"/>
      <c r="EC240" s="192"/>
      <c r="ED240" s="191"/>
      <c r="EE240" s="193"/>
      <c r="EF240" s="192"/>
      <c r="EG240" s="192"/>
      <c r="EH240" s="192"/>
      <c r="EI240" s="191"/>
      <c r="EJ240" s="19"/>
      <c r="EK240" s="192"/>
      <c r="EL240" s="192"/>
      <c r="EM240" s="192"/>
      <c r="EN240" s="191"/>
      <c r="EO240" s="193"/>
      <c r="EP240" s="192"/>
      <c r="EQ240" s="192"/>
      <c r="ER240" s="192"/>
      <c r="ES240" s="191"/>
      <c r="ET240" s="19"/>
      <c r="EU240" s="192"/>
      <c r="EV240" s="192"/>
      <c r="EW240" s="192"/>
      <c r="EX240" s="191"/>
      <c r="EY240" s="193"/>
      <c r="EZ240" s="192"/>
      <c r="FA240" s="192"/>
      <c r="FB240" s="192"/>
      <c r="FC240" s="191"/>
      <c r="FL240" s="273">
        <f t="shared" ca="1" si="11"/>
        <v>116</v>
      </c>
    </row>
    <row r="241" spans="1:168" ht="16.5" thickBot="1">
      <c r="A241" s="199">
        <v>238</v>
      </c>
      <c r="B241" s="306"/>
      <c r="C241" s="310"/>
      <c r="D241" s="307" t="s">
        <v>271</v>
      </c>
      <c r="E241" s="307" t="s">
        <v>271</v>
      </c>
      <c r="F241" s="308"/>
      <c r="G241" s="343" t="str">
        <f t="shared" si="9"/>
        <v xml:space="preserve"> </v>
      </c>
      <c r="H241" s="307"/>
      <c r="I241" s="309" t="e">
        <f t="shared" si="10"/>
        <v>#N/A</v>
      </c>
      <c r="J241" s="307"/>
      <c r="K241" s="307"/>
      <c r="L241" s="310"/>
      <c r="M241" s="310"/>
      <c r="N241" s="310"/>
      <c r="O241" s="310"/>
      <c r="P241" s="310"/>
      <c r="Q241" s="310"/>
      <c r="R241" s="310"/>
      <c r="S241" s="310"/>
      <c r="T241" s="310"/>
      <c r="U241" s="307"/>
      <c r="V241" s="307"/>
      <c r="W241" s="311"/>
      <c r="X241" s="307"/>
      <c r="Y241" s="307"/>
      <c r="Z241" s="307"/>
      <c r="AA241" s="307"/>
      <c r="AB241" s="311"/>
      <c r="AC241" s="307"/>
      <c r="AD241" s="307"/>
      <c r="AE241" s="307"/>
      <c r="AF241" s="307"/>
      <c r="AG241" s="310"/>
      <c r="AH241" s="307"/>
      <c r="AI241" s="310"/>
      <c r="AJ241" s="307"/>
      <c r="AK241" s="307"/>
      <c r="AL241" s="307"/>
      <c r="AM241" s="308"/>
      <c r="AN241" s="311"/>
      <c r="AO241" s="307"/>
      <c r="AP241" s="307"/>
      <c r="AQ241" s="308"/>
      <c r="AR241" s="307"/>
      <c r="AS241" s="307"/>
      <c r="AT241" s="307"/>
      <c r="AU241" s="310"/>
      <c r="AV241" s="308"/>
      <c r="AW241" s="312"/>
      <c r="AX241" s="308"/>
      <c r="AY241" s="307"/>
      <c r="AZ241" s="307"/>
      <c r="BA241" s="307"/>
      <c r="BB241" s="307"/>
      <c r="BC241" s="308"/>
      <c r="BD241" s="308"/>
      <c r="BE241" s="313"/>
      <c r="BF241" s="307"/>
      <c r="BG241" s="310"/>
      <c r="BH241" s="307"/>
      <c r="BI241" s="307"/>
      <c r="BJ241" s="310"/>
      <c r="BK241" s="307"/>
      <c r="BL241" s="307"/>
      <c r="BM241" s="310"/>
      <c r="BN241" s="307"/>
      <c r="BO241" s="310"/>
      <c r="BP241" s="307"/>
      <c r="BQ241" s="307"/>
      <c r="BR241" s="307"/>
      <c r="BS241" s="307"/>
      <c r="BT241" s="307"/>
      <c r="BU241" s="310"/>
      <c r="BV241" s="307"/>
      <c r="BW241" s="308"/>
      <c r="BX241" s="311"/>
      <c r="BY241" s="307"/>
      <c r="BZ241" s="307"/>
      <c r="CA241" s="310"/>
      <c r="CB241" s="307"/>
      <c r="CC241" s="307"/>
      <c r="CD241" s="307"/>
      <c r="CE241" s="308"/>
      <c r="CF241" s="308"/>
      <c r="CG241" s="307"/>
      <c r="CH241" s="307"/>
      <c r="CI241" s="307"/>
      <c r="CJ241" s="307"/>
      <c r="CK241" s="314"/>
      <c r="CL241" s="310"/>
      <c r="CM241" s="310"/>
      <c r="CN241" s="307"/>
      <c r="CO241" s="307"/>
      <c r="CP241" s="307"/>
      <c r="CQ241" s="315"/>
      <c r="CR241" s="315"/>
      <c r="CS241" s="315"/>
      <c r="CT241" s="315"/>
      <c r="CU241" s="307"/>
      <c r="CV241" s="217"/>
      <c r="CW241" s="192"/>
      <c r="CX241" s="192"/>
      <c r="CY241" s="192"/>
      <c r="CZ241" s="191"/>
      <c r="DA241" s="193"/>
      <c r="DB241" s="192"/>
      <c r="DC241" s="192"/>
      <c r="DD241" s="192"/>
      <c r="DE241" s="191"/>
      <c r="DF241" s="19"/>
      <c r="DG241" s="192"/>
      <c r="DH241" s="192"/>
      <c r="DI241" s="192"/>
      <c r="DJ241" s="191"/>
      <c r="DK241" s="193"/>
      <c r="DL241" s="192"/>
      <c r="DM241" s="192"/>
      <c r="DN241" s="192"/>
      <c r="DO241" s="191"/>
      <c r="DP241" s="19"/>
      <c r="DQ241" s="192"/>
      <c r="DR241" s="192"/>
      <c r="DS241" s="192"/>
      <c r="DT241" s="191"/>
      <c r="DU241" s="193"/>
      <c r="DV241" s="192"/>
      <c r="DW241" s="192"/>
      <c r="DX241" s="192"/>
      <c r="DY241" s="191"/>
      <c r="DZ241" s="19"/>
      <c r="EA241" s="192"/>
      <c r="EB241" s="192"/>
      <c r="EC241" s="192"/>
      <c r="ED241" s="191"/>
      <c r="EE241" s="193"/>
      <c r="EF241" s="192"/>
      <c r="EG241" s="192"/>
      <c r="EH241" s="192"/>
      <c r="EI241" s="191"/>
      <c r="EJ241" s="19"/>
      <c r="EK241" s="192"/>
      <c r="EL241" s="192"/>
      <c r="EM241" s="192"/>
      <c r="EN241" s="191"/>
      <c r="EO241" s="193"/>
      <c r="EP241" s="192"/>
      <c r="EQ241" s="192"/>
      <c r="ER241" s="192"/>
      <c r="ES241" s="191"/>
      <c r="ET241" s="19"/>
      <c r="EU241" s="192"/>
      <c r="EV241" s="192"/>
      <c r="EW241" s="192"/>
      <c r="EX241" s="191"/>
      <c r="EY241" s="193"/>
      <c r="EZ241" s="192"/>
      <c r="FA241" s="192"/>
      <c r="FB241" s="192"/>
      <c r="FC241" s="191"/>
      <c r="FL241" s="273">
        <f t="shared" ca="1" si="11"/>
        <v>116</v>
      </c>
    </row>
    <row r="242" spans="1:168" ht="16.5" thickBot="1">
      <c r="A242" s="196">
        <v>239</v>
      </c>
      <c r="B242" s="306"/>
      <c r="C242" s="310"/>
      <c r="D242" s="307" t="s">
        <v>271</v>
      </c>
      <c r="E242" s="307" t="s">
        <v>271</v>
      </c>
      <c r="F242" s="308"/>
      <c r="G242" s="343" t="str">
        <f t="shared" si="9"/>
        <v xml:space="preserve"> </v>
      </c>
      <c r="H242" s="307"/>
      <c r="I242" s="309" t="e">
        <f t="shared" si="10"/>
        <v>#N/A</v>
      </c>
      <c r="J242" s="307"/>
      <c r="K242" s="307"/>
      <c r="L242" s="310"/>
      <c r="M242" s="310"/>
      <c r="N242" s="310"/>
      <c r="O242" s="310"/>
      <c r="P242" s="310"/>
      <c r="Q242" s="310"/>
      <c r="R242" s="310"/>
      <c r="S242" s="310"/>
      <c r="T242" s="310"/>
      <c r="U242" s="307"/>
      <c r="V242" s="307"/>
      <c r="W242" s="311"/>
      <c r="X242" s="307"/>
      <c r="Y242" s="307"/>
      <c r="Z242" s="307"/>
      <c r="AA242" s="307"/>
      <c r="AB242" s="311"/>
      <c r="AC242" s="307"/>
      <c r="AD242" s="307"/>
      <c r="AE242" s="307"/>
      <c r="AF242" s="307"/>
      <c r="AG242" s="310"/>
      <c r="AH242" s="307"/>
      <c r="AI242" s="310"/>
      <c r="AJ242" s="307"/>
      <c r="AK242" s="307"/>
      <c r="AL242" s="307"/>
      <c r="AM242" s="308"/>
      <c r="AN242" s="311"/>
      <c r="AO242" s="307"/>
      <c r="AP242" s="307"/>
      <c r="AQ242" s="308"/>
      <c r="AR242" s="307"/>
      <c r="AS242" s="307"/>
      <c r="AT242" s="307"/>
      <c r="AU242" s="310"/>
      <c r="AV242" s="308"/>
      <c r="AW242" s="312"/>
      <c r="AX242" s="308"/>
      <c r="AY242" s="307"/>
      <c r="AZ242" s="307"/>
      <c r="BA242" s="307"/>
      <c r="BB242" s="307"/>
      <c r="BC242" s="308"/>
      <c r="BD242" s="308"/>
      <c r="BE242" s="313"/>
      <c r="BF242" s="307"/>
      <c r="BG242" s="310"/>
      <c r="BH242" s="307"/>
      <c r="BI242" s="307"/>
      <c r="BJ242" s="310"/>
      <c r="BK242" s="307"/>
      <c r="BL242" s="307"/>
      <c r="BM242" s="310"/>
      <c r="BN242" s="307"/>
      <c r="BO242" s="310"/>
      <c r="BP242" s="307"/>
      <c r="BQ242" s="307"/>
      <c r="BR242" s="307"/>
      <c r="BS242" s="307"/>
      <c r="BT242" s="307"/>
      <c r="BU242" s="310"/>
      <c r="BV242" s="307"/>
      <c r="BW242" s="308"/>
      <c r="BX242" s="311"/>
      <c r="BY242" s="307"/>
      <c r="BZ242" s="307"/>
      <c r="CA242" s="310"/>
      <c r="CB242" s="307"/>
      <c r="CC242" s="307"/>
      <c r="CD242" s="307"/>
      <c r="CE242" s="308"/>
      <c r="CF242" s="308"/>
      <c r="CG242" s="307"/>
      <c r="CH242" s="307"/>
      <c r="CI242" s="307"/>
      <c r="CJ242" s="307"/>
      <c r="CK242" s="314"/>
      <c r="CL242" s="310"/>
      <c r="CM242" s="310"/>
      <c r="CN242" s="307"/>
      <c r="CO242" s="307"/>
      <c r="CP242" s="307"/>
      <c r="CQ242" s="315"/>
      <c r="CR242" s="315"/>
      <c r="CS242" s="315"/>
      <c r="CT242" s="315"/>
      <c r="CU242" s="307"/>
      <c r="CV242" s="217"/>
      <c r="CW242" s="192"/>
      <c r="CX242" s="192"/>
      <c r="CY242" s="192"/>
      <c r="CZ242" s="191"/>
      <c r="DA242" s="193"/>
      <c r="DB242" s="192"/>
      <c r="DC242" s="192"/>
      <c r="DD242" s="192"/>
      <c r="DE242" s="191"/>
      <c r="DF242" s="19"/>
      <c r="DG242" s="192"/>
      <c r="DH242" s="192"/>
      <c r="DI242" s="192"/>
      <c r="DJ242" s="191"/>
      <c r="DK242" s="193"/>
      <c r="DL242" s="192"/>
      <c r="DM242" s="192"/>
      <c r="DN242" s="192"/>
      <c r="DO242" s="191"/>
      <c r="DP242" s="19"/>
      <c r="DQ242" s="192"/>
      <c r="DR242" s="192"/>
      <c r="DS242" s="192"/>
      <c r="DT242" s="191"/>
      <c r="DU242" s="193"/>
      <c r="DV242" s="192"/>
      <c r="DW242" s="192"/>
      <c r="DX242" s="192"/>
      <c r="DY242" s="191"/>
      <c r="DZ242" s="19"/>
      <c r="EA242" s="192"/>
      <c r="EB242" s="192"/>
      <c r="EC242" s="192"/>
      <c r="ED242" s="191"/>
      <c r="EE242" s="193"/>
      <c r="EF242" s="192"/>
      <c r="EG242" s="192"/>
      <c r="EH242" s="192"/>
      <c r="EI242" s="191"/>
      <c r="EJ242" s="19"/>
      <c r="EK242" s="192"/>
      <c r="EL242" s="192"/>
      <c r="EM242" s="192"/>
      <c r="EN242" s="191"/>
      <c r="EO242" s="193"/>
      <c r="EP242" s="192"/>
      <c r="EQ242" s="192"/>
      <c r="ER242" s="192"/>
      <c r="ES242" s="191"/>
      <c r="ET242" s="19"/>
      <c r="EU242" s="192"/>
      <c r="EV242" s="192"/>
      <c r="EW242" s="192"/>
      <c r="EX242" s="191"/>
      <c r="EY242" s="193"/>
      <c r="EZ242" s="192"/>
      <c r="FA242" s="192"/>
      <c r="FB242" s="192"/>
      <c r="FC242" s="191"/>
      <c r="FL242" s="273">
        <f t="shared" ca="1" si="11"/>
        <v>116</v>
      </c>
    </row>
    <row r="243" spans="1:168" ht="16.5" thickBot="1">
      <c r="A243" s="199">
        <v>240</v>
      </c>
      <c r="B243" s="306"/>
      <c r="C243" s="310"/>
      <c r="D243" s="307" t="s">
        <v>271</v>
      </c>
      <c r="E243" s="307" t="s">
        <v>271</v>
      </c>
      <c r="F243" s="308"/>
      <c r="G243" s="343" t="str">
        <f t="shared" si="9"/>
        <v xml:space="preserve"> </v>
      </c>
      <c r="H243" s="307"/>
      <c r="I243" s="309" t="e">
        <f t="shared" si="10"/>
        <v>#N/A</v>
      </c>
      <c r="J243" s="307"/>
      <c r="K243" s="307"/>
      <c r="L243" s="310"/>
      <c r="M243" s="310"/>
      <c r="N243" s="310"/>
      <c r="O243" s="310"/>
      <c r="P243" s="310"/>
      <c r="Q243" s="310"/>
      <c r="R243" s="310"/>
      <c r="S243" s="310"/>
      <c r="T243" s="310"/>
      <c r="U243" s="307"/>
      <c r="V243" s="307"/>
      <c r="W243" s="311"/>
      <c r="X243" s="307"/>
      <c r="Y243" s="307"/>
      <c r="Z243" s="307"/>
      <c r="AA243" s="307"/>
      <c r="AB243" s="311"/>
      <c r="AC243" s="307"/>
      <c r="AD243" s="307"/>
      <c r="AE243" s="307"/>
      <c r="AF243" s="307"/>
      <c r="AG243" s="310"/>
      <c r="AH243" s="307"/>
      <c r="AI243" s="310"/>
      <c r="AJ243" s="307"/>
      <c r="AK243" s="307"/>
      <c r="AL243" s="307"/>
      <c r="AM243" s="308"/>
      <c r="AN243" s="311"/>
      <c r="AO243" s="307"/>
      <c r="AP243" s="307"/>
      <c r="AQ243" s="308"/>
      <c r="AR243" s="307"/>
      <c r="AS243" s="307"/>
      <c r="AT243" s="307"/>
      <c r="AU243" s="310"/>
      <c r="AV243" s="308"/>
      <c r="AW243" s="312"/>
      <c r="AX243" s="308"/>
      <c r="AY243" s="307"/>
      <c r="AZ243" s="307"/>
      <c r="BA243" s="307"/>
      <c r="BB243" s="307"/>
      <c r="BC243" s="308"/>
      <c r="BD243" s="308"/>
      <c r="BE243" s="313"/>
      <c r="BF243" s="307"/>
      <c r="BG243" s="310"/>
      <c r="BH243" s="307"/>
      <c r="BI243" s="307"/>
      <c r="BJ243" s="310"/>
      <c r="BK243" s="307"/>
      <c r="BL243" s="307"/>
      <c r="BM243" s="310"/>
      <c r="BN243" s="307"/>
      <c r="BO243" s="310"/>
      <c r="BP243" s="307"/>
      <c r="BQ243" s="307"/>
      <c r="BR243" s="307"/>
      <c r="BS243" s="307"/>
      <c r="BT243" s="307"/>
      <c r="BU243" s="310"/>
      <c r="BV243" s="307"/>
      <c r="BW243" s="308"/>
      <c r="BX243" s="311"/>
      <c r="BY243" s="307"/>
      <c r="BZ243" s="307"/>
      <c r="CA243" s="310"/>
      <c r="CB243" s="307"/>
      <c r="CC243" s="307"/>
      <c r="CD243" s="307"/>
      <c r="CE243" s="308"/>
      <c r="CF243" s="308"/>
      <c r="CG243" s="307"/>
      <c r="CH243" s="307"/>
      <c r="CI243" s="307"/>
      <c r="CJ243" s="307"/>
      <c r="CK243" s="314"/>
      <c r="CL243" s="310"/>
      <c r="CM243" s="310"/>
      <c r="CN243" s="307"/>
      <c r="CO243" s="307"/>
      <c r="CP243" s="307"/>
      <c r="CQ243" s="315"/>
      <c r="CR243" s="315"/>
      <c r="CS243" s="315"/>
      <c r="CT243" s="315"/>
      <c r="CU243" s="307"/>
      <c r="CV243" s="217"/>
      <c r="CW243" s="192"/>
      <c r="CX243" s="192"/>
      <c r="CY243" s="192"/>
      <c r="CZ243" s="191"/>
      <c r="DA243" s="193"/>
      <c r="DB243" s="192"/>
      <c r="DC243" s="192"/>
      <c r="DD243" s="192"/>
      <c r="DE243" s="191"/>
      <c r="DF243" s="19"/>
      <c r="DG243" s="192"/>
      <c r="DH243" s="192"/>
      <c r="DI243" s="192"/>
      <c r="DJ243" s="191"/>
      <c r="DK243" s="193"/>
      <c r="DL243" s="192"/>
      <c r="DM243" s="192"/>
      <c r="DN243" s="192"/>
      <c r="DO243" s="191"/>
      <c r="DP243" s="19"/>
      <c r="DQ243" s="192"/>
      <c r="DR243" s="192"/>
      <c r="DS243" s="192"/>
      <c r="DT243" s="191"/>
      <c r="DU243" s="193"/>
      <c r="DV243" s="192"/>
      <c r="DW243" s="192"/>
      <c r="DX243" s="192"/>
      <c r="DY243" s="191"/>
      <c r="DZ243" s="19"/>
      <c r="EA243" s="192"/>
      <c r="EB243" s="192"/>
      <c r="EC243" s="192"/>
      <c r="ED243" s="191"/>
      <c r="EE243" s="193"/>
      <c r="EF243" s="192"/>
      <c r="EG243" s="192"/>
      <c r="EH243" s="192"/>
      <c r="EI243" s="191"/>
      <c r="EJ243" s="19"/>
      <c r="EK243" s="192"/>
      <c r="EL243" s="192"/>
      <c r="EM243" s="192"/>
      <c r="EN243" s="191"/>
      <c r="EO243" s="193"/>
      <c r="EP243" s="192"/>
      <c r="EQ243" s="192"/>
      <c r="ER243" s="192"/>
      <c r="ES243" s="191"/>
      <c r="ET243" s="19"/>
      <c r="EU243" s="192"/>
      <c r="EV243" s="192"/>
      <c r="EW243" s="192"/>
      <c r="EX243" s="191"/>
      <c r="EY243" s="193"/>
      <c r="EZ243" s="192"/>
      <c r="FA243" s="192"/>
      <c r="FB243" s="192"/>
      <c r="FC243" s="191"/>
      <c r="FL243" s="273">
        <f t="shared" ca="1" si="11"/>
        <v>116</v>
      </c>
    </row>
    <row r="244" spans="1:168" ht="16.5" thickBot="1">
      <c r="A244" s="196">
        <v>241</v>
      </c>
      <c r="B244" s="306"/>
      <c r="C244" s="310"/>
      <c r="D244" s="307" t="s">
        <v>271</v>
      </c>
      <c r="E244" s="307" t="s">
        <v>271</v>
      </c>
      <c r="F244" s="308"/>
      <c r="G244" s="343" t="str">
        <f t="shared" si="9"/>
        <v xml:space="preserve"> </v>
      </c>
      <c r="H244" s="307"/>
      <c r="I244" s="309" t="e">
        <f t="shared" si="10"/>
        <v>#N/A</v>
      </c>
      <c r="J244" s="307"/>
      <c r="K244" s="307"/>
      <c r="L244" s="310"/>
      <c r="M244" s="310"/>
      <c r="N244" s="310"/>
      <c r="O244" s="310"/>
      <c r="P244" s="310"/>
      <c r="Q244" s="310"/>
      <c r="R244" s="310"/>
      <c r="S244" s="310"/>
      <c r="T244" s="310"/>
      <c r="U244" s="307"/>
      <c r="V244" s="307"/>
      <c r="W244" s="311"/>
      <c r="X244" s="307"/>
      <c r="Y244" s="307"/>
      <c r="Z244" s="307"/>
      <c r="AA244" s="307"/>
      <c r="AB244" s="311"/>
      <c r="AC244" s="307"/>
      <c r="AD244" s="307"/>
      <c r="AE244" s="307"/>
      <c r="AF244" s="307"/>
      <c r="AG244" s="310"/>
      <c r="AH244" s="307"/>
      <c r="AI244" s="310"/>
      <c r="AJ244" s="307"/>
      <c r="AK244" s="307"/>
      <c r="AL244" s="307"/>
      <c r="AM244" s="308"/>
      <c r="AN244" s="311"/>
      <c r="AO244" s="307"/>
      <c r="AP244" s="307"/>
      <c r="AQ244" s="308"/>
      <c r="AR244" s="307"/>
      <c r="AS244" s="307"/>
      <c r="AT244" s="307"/>
      <c r="AU244" s="310"/>
      <c r="AV244" s="308"/>
      <c r="AW244" s="312"/>
      <c r="AX244" s="308"/>
      <c r="AY244" s="307"/>
      <c r="AZ244" s="307"/>
      <c r="BA244" s="307"/>
      <c r="BB244" s="307"/>
      <c r="BC244" s="308"/>
      <c r="BD244" s="308"/>
      <c r="BE244" s="313"/>
      <c r="BF244" s="307"/>
      <c r="BG244" s="310"/>
      <c r="BH244" s="307"/>
      <c r="BI244" s="307"/>
      <c r="BJ244" s="310"/>
      <c r="BK244" s="307"/>
      <c r="BL244" s="307"/>
      <c r="BM244" s="310"/>
      <c r="BN244" s="307"/>
      <c r="BO244" s="310"/>
      <c r="BP244" s="307"/>
      <c r="BQ244" s="307"/>
      <c r="BR244" s="307"/>
      <c r="BS244" s="307"/>
      <c r="BT244" s="307"/>
      <c r="BU244" s="310"/>
      <c r="BV244" s="307"/>
      <c r="BW244" s="308"/>
      <c r="BX244" s="311"/>
      <c r="BY244" s="307"/>
      <c r="BZ244" s="307"/>
      <c r="CA244" s="310"/>
      <c r="CB244" s="307"/>
      <c r="CC244" s="307"/>
      <c r="CD244" s="307"/>
      <c r="CE244" s="308"/>
      <c r="CF244" s="308"/>
      <c r="CG244" s="307"/>
      <c r="CH244" s="307"/>
      <c r="CI244" s="307"/>
      <c r="CJ244" s="307"/>
      <c r="CK244" s="314"/>
      <c r="CL244" s="310"/>
      <c r="CM244" s="310"/>
      <c r="CN244" s="307"/>
      <c r="CO244" s="307"/>
      <c r="CP244" s="307"/>
      <c r="CQ244" s="315"/>
      <c r="CR244" s="315"/>
      <c r="CS244" s="315"/>
      <c r="CT244" s="315"/>
      <c r="CU244" s="307"/>
      <c r="CV244" s="217"/>
      <c r="CW244" s="192"/>
      <c r="CX244" s="192"/>
      <c r="CY244" s="192"/>
      <c r="CZ244" s="191"/>
      <c r="DA244" s="193"/>
      <c r="DB244" s="192"/>
      <c r="DC244" s="192"/>
      <c r="DD244" s="192"/>
      <c r="DE244" s="191"/>
      <c r="DF244" s="19"/>
      <c r="DG244" s="192"/>
      <c r="DH244" s="192"/>
      <c r="DI244" s="192"/>
      <c r="DJ244" s="191"/>
      <c r="DK244" s="193"/>
      <c r="DL244" s="192"/>
      <c r="DM244" s="192"/>
      <c r="DN244" s="192"/>
      <c r="DO244" s="191"/>
      <c r="DP244" s="19"/>
      <c r="DQ244" s="192"/>
      <c r="DR244" s="192"/>
      <c r="DS244" s="192"/>
      <c r="DT244" s="191"/>
      <c r="DU244" s="193"/>
      <c r="DV244" s="192"/>
      <c r="DW244" s="192"/>
      <c r="DX244" s="192"/>
      <c r="DY244" s="191"/>
      <c r="DZ244" s="19"/>
      <c r="EA244" s="192"/>
      <c r="EB244" s="192"/>
      <c r="EC244" s="192"/>
      <c r="ED244" s="191"/>
      <c r="EE244" s="193"/>
      <c r="EF244" s="192"/>
      <c r="EG244" s="192"/>
      <c r="EH244" s="192"/>
      <c r="EI244" s="191"/>
      <c r="EJ244" s="19"/>
      <c r="EK244" s="192"/>
      <c r="EL244" s="192"/>
      <c r="EM244" s="192"/>
      <c r="EN244" s="191"/>
      <c r="EO244" s="193"/>
      <c r="EP244" s="192"/>
      <c r="EQ244" s="192"/>
      <c r="ER244" s="192"/>
      <c r="ES244" s="191"/>
      <c r="ET244" s="19"/>
      <c r="EU244" s="192"/>
      <c r="EV244" s="192"/>
      <c r="EW244" s="192"/>
      <c r="EX244" s="191"/>
      <c r="EY244" s="193"/>
      <c r="EZ244" s="192"/>
      <c r="FA244" s="192"/>
      <c r="FB244" s="192"/>
      <c r="FC244" s="191"/>
      <c r="FL244" s="273">
        <f t="shared" ca="1" si="11"/>
        <v>116</v>
      </c>
    </row>
    <row r="245" spans="1:168" ht="16.5" thickBot="1">
      <c r="A245" s="199">
        <v>242</v>
      </c>
      <c r="B245" s="306"/>
      <c r="C245" s="310"/>
      <c r="D245" s="307" t="s">
        <v>271</v>
      </c>
      <c r="E245" s="307" t="s">
        <v>271</v>
      </c>
      <c r="F245" s="308"/>
      <c r="G245" s="343" t="str">
        <f t="shared" si="9"/>
        <v xml:space="preserve"> </v>
      </c>
      <c r="H245" s="307"/>
      <c r="I245" s="309" t="e">
        <f t="shared" si="10"/>
        <v>#N/A</v>
      </c>
      <c r="J245" s="307"/>
      <c r="K245" s="307"/>
      <c r="L245" s="310"/>
      <c r="M245" s="310"/>
      <c r="N245" s="310"/>
      <c r="O245" s="310"/>
      <c r="P245" s="310"/>
      <c r="Q245" s="310"/>
      <c r="R245" s="310"/>
      <c r="S245" s="310"/>
      <c r="T245" s="310"/>
      <c r="U245" s="307"/>
      <c r="V245" s="307"/>
      <c r="W245" s="311"/>
      <c r="X245" s="307"/>
      <c r="Y245" s="307"/>
      <c r="Z245" s="307"/>
      <c r="AA245" s="307"/>
      <c r="AB245" s="311"/>
      <c r="AC245" s="307"/>
      <c r="AD245" s="307"/>
      <c r="AE245" s="307"/>
      <c r="AF245" s="307"/>
      <c r="AG245" s="310"/>
      <c r="AH245" s="307"/>
      <c r="AI245" s="310"/>
      <c r="AJ245" s="307"/>
      <c r="AK245" s="307"/>
      <c r="AL245" s="307"/>
      <c r="AM245" s="308"/>
      <c r="AN245" s="311"/>
      <c r="AO245" s="307"/>
      <c r="AP245" s="307"/>
      <c r="AQ245" s="308"/>
      <c r="AR245" s="307"/>
      <c r="AS245" s="307"/>
      <c r="AT245" s="307"/>
      <c r="AU245" s="310"/>
      <c r="AV245" s="308"/>
      <c r="AW245" s="312"/>
      <c r="AX245" s="308"/>
      <c r="AY245" s="307"/>
      <c r="AZ245" s="307"/>
      <c r="BA245" s="307"/>
      <c r="BB245" s="307"/>
      <c r="BC245" s="308"/>
      <c r="BD245" s="308"/>
      <c r="BE245" s="313"/>
      <c r="BF245" s="307"/>
      <c r="BG245" s="310"/>
      <c r="BH245" s="307"/>
      <c r="BI245" s="307"/>
      <c r="BJ245" s="310"/>
      <c r="BK245" s="307"/>
      <c r="BL245" s="307"/>
      <c r="BM245" s="310"/>
      <c r="BN245" s="307"/>
      <c r="BO245" s="310"/>
      <c r="BP245" s="307"/>
      <c r="BQ245" s="307"/>
      <c r="BR245" s="307"/>
      <c r="BS245" s="307"/>
      <c r="BT245" s="307"/>
      <c r="BU245" s="310"/>
      <c r="BV245" s="307"/>
      <c r="BW245" s="308"/>
      <c r="BX245" s="311"/>
      <c r="BY245" s="307"/>
      <c r="BZ245" s="307"/>
      <c r="CA245" s="310"/>
      <c r="CB245" s="307"/>
      <c r="CC245" s="307"/>
      <c r="CD245" s="307"/>
      <c r="CE245" s="308"/>
      <c r="CF245" s="308"/>
      <c r="CG245" s="307"/>
      <c r="CH245" s="307"/>
      <c r="CI245" s="307"/>
      <c r="CJ245" s="307"/>
      <c r="CK245" s="314"/>
      <c r="CL245" s="310"/>
      <c r="CM245" s="310"/>
      <c r="CN245" s="307"/>
      <c r="CO245" s="307"/>
      <c r="CP245" s="307"/>
      <c r="CQ245" s="315"/>
      <c r="CR245" s="315"/>
      <c r="CS245" s="315"/>
      <c r="CT245" s="315"/>
      <c r="CU245" s="307"/>
      <c r="CV245" s="217"/>
      <c r="CW245" s="192"/>
      <c r="CX245" s="192"/>
      <c r="CY245" s="192"/>
      <c r="CZ245" s="191"/>
      <c r="DA245" s="193"/>
      <c r="DB245" s="192"/>
      <c r="DC245" s="192"/>
      <c r="DD245" s="192"/>
      <c r="DE245" s="191"/>
      <c r="DF245" s="19"/>
      <c r="DG245" s="192"/>
      <c r="DH245" s="192"/>
      <c r="DI245" s="192"/>
      <c r="DJ245" s="191"/>
      <c r="DK245" s="193"/>
      <c r="DL245" s="192"/>
      <c r="DM245" s="192"/>
      <c r="DN245" s="192"/>
      <c r="DO245" s="191"/>
      <c r="DP245" s="19"/>
      <c r="DQ245" s="192"/>
      <c r="DR245" s="192"/>
      <c r="DS245" s="192"/>
      <c r="DT245" s="191"/>
      <c r="DU245" s="193"/>
      <c r="DV245" s="192"/>
      <c r="DW245" s="192"/>
      <c r="DX245" s="192"/>
      <c r="DY245" s="191"/>
      <c r="DZ245" s="19"/>
      <c r="EA245" s="192"/>
      <c r="EB245" s="192"/>
      <c r="EC245" s="192"/>
      <c r="ED245" s="191"/>
      <c r="EE245" s="193"/>
      <c r="EF245" s="192"/>
      <c r="EG245" s="192"/>
      <c r="EH245" s="192"/>
      <c r="EI245" s="191"/>
      <c r="EJ245" s="19"/>
      <c r="EK245" s="192"/>
      <c r="EL245" s="192"/>
      <c r="EM245" s="192"/>
      <c r="EN245" s="191"/>
      <c r="EO245" s="193"/>
      <c r="EP245" s="192"/>
      <c r="EQ245" s="192"/>
      <c r="ER245" s="192"/>
      <c r="ES245" s="191"/>
      <c r="ET245" s="19"/>
      <c r="EU245" s="192"/>
      <c r="EV245" s="192"/>
      <c r="EW245" s="192"/>
      <c r="EX245" s="191"/>
      <c r="EY245" s="193"/>
      <c r="EZ245" s="192"/>
      <c r="FA245" s="192"/>
      <c r="FB245" s="192"/>
      <c r="FC245" s="191"/>
      <c r="FL245" s="273">
        <f t="shared" ca="1" si="11"/>
        <v>116</v>
      </c>
    </row>
    <row r="246" spans="1:168" ht="16.5" thickBot="1">
      <c r="A246" s="196">
        <v>243</v>
      </c>
      <c r="B246" s="306"/>
      <c r="C246" s="310"/>
      <c r="D246" s="307" t="s">
        <v>271</v>
      </c>
      <c r="E246" s="307" t="s">
        <v>271</v>
      </c>
      <c r="F246" s="308"/>
      <c r="G246" s="343" t="str">
        <f t="shared" si="9"/>
        <v xml:space="preserve"> </v>
      </c>
      <c r="H246" s="307"/>
      <c r="I246" s="309" t="e">
        <f t="shared" si="10"/>
        <v>#N/A</v>
      </c>
      <c r="J246" s="307"/>
      <c r="K246" s="307"/>
      <c r="L246" s="310"/>
      <c r="M246" s="310"/>
      <c r="N246" s="310"/>
      <c r="O246" s="310"/>
      <c r="P246" s="310"/>
      <c r="Q246" s="310"/>
      <c r="R246" s="310"/>
      <c r="S246" s="310"/>
      <c r="T246" s="310"/>
      <c r="U246" s="307"/>
      <c r="V246" s="307"/>
      <c r="W246" s="311"/>
      <c r="X246" s="307"/>
      <c r="Y246" s="307"/>
      <c r="Z246" s="307"/>
      <c r="AA246" s="307"/>
      <c r="AB246" s="311"/>
      <c r="AC246" s="307"/>
      <c r="AD246" s="307"/>
      <c r="AE246" s="307"/>
      <c r="AF246" s="307"/>
      <c r="AG246" s="310"/>
      <c r="AH246" s="307"/>
      <c r="AI246" s="310"/>
      <c r="AJ246" s="307"/>
      <c r="AK246" s="307"/>
      <c r="AL246" s="307"/>
      <c r="AM246" s="308"/>
      <c r="AN246" s="311"/>
      <c r="AO246" s="307"/>
      <c r="AP246" s="307"/>
      <c r="AQ246" s="308"/>
      <c r="AR246" s="307"/>
      <c r="AS246" s="307"/>
      <c r="AT246" s="307"/>
      <c r="AU246" s="310"/>
      <c r="AV246" s="308"/>
      <c r="AW246" s="312"/>
      <c r="AX246" s="308"/>
      <c r="AY246" s="307"/>
      <c r="AZ246" s="307"/>
      <c r="BA246" s="307"/>
      <c r="BB246" s="307"/>
      <c r="BC246" s="308"/>
      <c r="BD246" s="308"/>
      <c r="BE246" s="313"/>
      <c r="BF246" s="307"/>
      <c r="BG246" s="310"/>
      <c r="BH246" s="307"/>
      <c r="BI246" s="307"/>
      <c r="BJ246" s="310"/>
      <c r="BK246" s="307"/>
      <c r="BL246" s="307"/>
      <c r="BM246" s="310"/>
      <c r="BN246" s="307"/>
      <c r="BO246" s="310"/>
      <c r="BP246" s="307"/>
      <c r="BQ246" s="307"/>
      <c r="BR246" s="307"/>
      <c r="BS246" s="307"/>
      <c r="BT246" s="307"/>
      <c r="BU246" s="310"/>
      <c r="BV246" s="307"/>
      <c r="BW246" s="308"/>
      <c r="BX246" s="311"/>
      <c r="BY246" s="307"/>
      <c r="BZ246" s="307"/>
      <c r="CA246" s="310"/>
      <c r="CB246" s="307"/>
      <c r="CC246" s="307"/>
      <c r="CD246" s="307"/>
      <c r="CE246" s="308"/>
      <c r="CF246" s="308"/>
      <c r="CG246" s="307"/>
      <c r="CH246" s="307"/>
      <c r="CI246" s="307"/>
      <c r="CJ246" s="307"/>
      <c r="CK246" s="314"/>
      <c r="CL246" s="310"/>
      <c r="CM246" s="310"/>
      <c r="CN246" s="307"/>
      <c r="CO246" s="307"/>
      <c r="CP246" s="307"/>
      <c r="CQ246" s="315"/>
      <c r="CR246" s="315"/>
      <c r="CS246" s="315"/>
      <c r="CT246" s="315"/>
      <c r="CU246" s="307"/>
      <c r="CV246" s="217"/>
      <c r="CW246" s="192"/>
      <c r="CX246" s="192"/>
      <c r="CY246" s="192"/>
      <c r="CZ246" s="191"/>
      <c r="DA246" s="193"/>
      <c r="DB246" s="192"/>
      <c r="DC246" s="192"/>
      <c r="DD246" s="192"/>
      <c r="DE246" s="191"/>
      <c r="DF246" s="19"/>
      <c r="DG246" s="192"/>
      <c r="DH246" s="192"/>
      <c r="DI246" s="192"/>
      <c r="DJ246" s="191"/>
      <c r="DK246" s="193"/>
      <c r="DL246" s="192"/>
      <c r="DM246" s="192"/>
      <c r="DN246" s="192"/>
      <c r="DO246" s="191"/>
      <c r="DP246" s="19"/>
      <c r="DQ246" s="192"/>
      <c r="DR246" s="192"/>
      <c r="DS246" s="192"/>
      <c r="DT246" s="191"/>
      <c r="DU246" s="193"/>
      <c r="DV246" s="192"/>
      <c r="DW246" s="192"/>
      <c r="DX246" s="192"/>
      <c r="DY246" s="191"/>
      <c r="DZ246" s="19"/>
      <c r="EA246" s="192"/>
      <c r="EB246" s="192"/>
      <c r="EC246" s="192"/>
      <c r="ED246" s="191"/>
      <c r="EE246" s="193"/>
      <c r="EF246" s="192"/>
      <c r="EG246" s="192"/>
      <c r="EH246" s="192"/>
      <c r="EI246" s="191"/>
      <c r="EJ246" s="19"/>
      <c r="EK246" s="192"/>
      <c r="EL246" s="192"/>
      <c r="EM246" s="192"/>
      <c r="EN246" s="191"/>
      <c r="EO246" s="193"/>
      <c r="EP246" s="192"/>
      <c r="EQ246" s="192"/>
      <c r="ER246" s="192"/>
      <c r="ES246" s="191"/>
      <c r="ET246" s="19"/>
      <c r="EU246" s="192"/>
      <c r="EV246" s="192"/>
      <c r="EW246" s="192"/>
      <c r="EX246" s="191"/>
      <c r="EY246" s="193"/>
      <c r="EZ246" s="192"/>
      <c r="FA246" s="192"/>
      <c r="FB246" s="192"/>
      <c r="FC246" s="191"/>
      <c r="FL246" s="273">
        <f t="shared" ca="1" si="11"/>
        <v>116</v>
      </c>
    </row>
    <row r="247" spans="1:168" ht="16.5" thickBot="1">
      <c r="A247" s="199">
        <v>244</v>
      </c>
      <c r="B247" s="306"/>
      <c r="C247" s="310"/>
      <c r="D247" s="307" t="s">
        <v>271</v>
      </c>
      <c r="E247" s="307" t="s">
        <v>271</v>
      </c>
      <c r="F247" s="308"/>
      <c r="G247" s="343" t="str">
        <f t="shared" si="9"/>
        <v xml:space="preserve"> </v>
      </c>
      <c r="H247" s="307"/>
      <c r="I247" s="309" t="e">
        <f t="shared" si="10"/>
        <v>#N/A</v>
      </c>
      <c r="J247" s="307"/>
      <c r="K247" s="307"/>
      <c r="L247" s="310"/>
      <c r="M247" s="310"/>
      <c r="N247" s="310"/>
      <c r="O247" s="310"/>
      <c r="P247" s="310"/>
      <c r="Q247" s="310"/>
      <c r="R247" s="310"/>
      <c r="S247" s="310"/>
      <c r="T247" s="310"/>
      <c r="U247" s="307"/>
      <c r="V247" s="307"/>
      <c r="W247" s="311"/>
      <c r="X247" s="307"/>
      <c r="Y247" s="307"/>
      <c r="Z247" s="307"/>
      <c r="AA247" s="307"/>
      <c r="AB247" s="311"/>
      <c r="AC247" s="307"/>
      <c r="AD247" s="307"/>
      <c r="AE247" s="307"/>
      <c r="AF247" s="307"/>
      <c r="AG247" s="310"/>
      <c r="AH247" s="307"/>
      <c r="AI247" s="310"/>
      <c r="AJ247" s="307"/>
      <c r="AK247" s="307"/>
      <c r="AL247" s="307"/>
      <c r="AM247" s="308"/>
      <c r="AN247" s="311"/>
      <c r="AO247" s="307"/>
      <c r="AP247" s="307"/>
      <c r="AQ247" s="308"/>
      <c r="AR247" s="307"/>
      <c r="AS247" s="307"/>
      <c r="AT247" s="307"/>
      <c r="AU247" s="310"/>
      <c r="AV247" s="308"/>
      <c r="AW247" s="312"/>
      <c r="AX247" s="308"/>
      <c r="AY247" s="307"/>
      <c r="AZ247" s="307"/>
      <c r="BA247" s="307"/>
      <c r="BB247" s="307"/>
      <c r="BC247" s="308"/>
      <c r="BD247" s="308"/>
      <c r="BE247" s="313"/>
      <c r="BF247" s="307"/>
      <c r="BG247" s="310"/>
      <c r="BH247" s="307"/>
      <c r="BI247" s="307"/>
      <c r="BJ247" s="310"/>
      <c r="BK247" s="307"/>
      <c r="BL247" s="307"/>
      <c r="BM247" s="310"/>
      <c r="BN247" s="307"/>
      <c r="BO247" s="310"/>
      <c r="BP247" s="307"/>
      <c r="BQ247" s="307"/>
      <c r="BR247" s="307"/>
      <c r="BS247" s="307"/>
      <c r="BT247" s="307"/>
      <c r="BU247" s="310"/>
      <c r="BV247" s="307"/>
      <c r="BW247" s="308"/>
      <c r="BX247" s="311"/>
      <c r="BY247" s="307"/>
      <c r="BZ247" s="307"/>
      <c r="CA247" s="310"/>
      <c r="CB247" s="307"/>
      <c r="CC247" s="307"/>
      <c r="CD247" s="307"/>
      <c r="CE247" s="308"/>
      <c r="CF247" s="308"/>
      <c r="CG247" s="307"/>
      <c r="CH247" s="307"/>
      <c r="CI247" s="307"/>
      <c r="CJ247" s="307"/>
      <c r="CK247" s="314"/>
      <c r="CL247" s="310"/>
      <c r="CM247" s="310"/>
      <c r="CN247" s="307"/>
      <c r="CO247" s="307"/>
      <c r="CP247" s="307"/>
      <c r="CQ247" s="315"/>
      <c r="CR247" s="315"/>
      <c r="CS247" s="315"/>
      <c r="CT247" s="315"/>
      <c r="CU247" s="307"/>
      <c r="CV247" s="217"/>
      <c r="CW247" s="192"/>
      <c r="CX247" s="192"/>
      <c r="CY247" s="192"/>
      <c r="CZ247" s="191"/>
      <c r="DA247" s="193"/>
      <c r="DB247" s="192"/>
      <c r="DC247" s="192"/>
      <c r="DD247" s="192"/>
      <c r="DE247" s="191"/>
      <c r="DF247" s="19"/>
      <c r="DG247" s="192"/>
      <c r="DH247" s="192"/>
      <c r="DI247" s="192"/>
      <c r="DJ247" s="191"/>
      <c r="DK247" s="193"/>
      <c r="DL247" s="192"/>
      <c r="DM247" s="192"/>
      <c r="DN247" s="192"/>
      <c r="DO247" s="191"/>
      <c r="DP247" s="19"/>
      <c r="DQ247" s="192"/>
      <c r="DR247" s="192"/>
      <c r="DS247" s="192"/>
      <c r="DT247" s="191"/>
      <c r="DU247" s="193"/>
      <c r="DV247" s="192"/>
      <c r="DW247" s="192"/>
      <c r="DX247" s="192"/>
      <c r="DY247" s="191"/>
      <c r="DZ247" s="19"/>
      <c r="EA247" s="192"/>
      <c r="EB247" s="192"/>
      <c r="EC247" s="192"/>
      <c r="ED247" s="191"/>
      <c r="EE247" s="193"/>
      <c r="EF247" s="192"/>
      <c r="EG247" s="192"/>
      <c r="EH247" s="192"/>
      <c r="EI247" s="191"/>
      <c r="EJ247" s="19"/>
      <c r="EK247" s="192"/>
      <c r="EL247" s="192"/>
      <c r="EM247" s="192"/>
      <c r="EN247" s="191"/>
      <c r="EO247" s="193"/>
      <c r="EP247" s="192"/>
      <c r="EQ247" s="192"/>
      <c r="ER247" s="192"/>
      <c r="ES247" s="191"/>
      <c r="ET247" s="19"/>
      <c r="EU247" s="192"/>
      <c r="EV247" s="192"/>
      <c r="EW247" s="192"/>
      <c r="EX247" s="191"/>
      <c r="EY247" s="193"/>
      <c r="EZ247" s="192"/>
      <c r="FA247" s="192"/>
      <c r="FB247" s="192"/>
      <c r="FC247" s="191"/>
      <c r="FL247" s="273">
        <f t="shared" ca="1" si="11"/>
        <v>116</v>
      </c>
    </row>
    <row r="248" spans="1:168" ht="16.5" thickBot="1">
      <c r="A248" s="196">
        <v>245</v>
      </c>
      <c r="B248" s="306"/>
      <c r="C248" s="310"/>
      <c r="D248" s="307" t="s">
        <v>271</v>
      </c>
      <c r="E248" s="307" t="s">
        <v>271</v>
      </c>
      <c r="F248" s="308"/>
      <c r="G248" s="343" t="str">
        <f t="shared" si="9"/>
        <v xml:space="preserve"> </v>
      </c>
      <c r="H248" s="307"/>
      <c r="I248" s="309" t="e">
        <f t="shared" si="10"/>
        <v>#N/A</v>
      </c>
      <c r="J248" s="307"/>
      <c r="K248" s="307"/>
      <c r="L248" s="310"/>
      <c r="M248" s="310"/>
      <c r="N248" s="310"/>
      <c r="O248" s="310"/>
      <c r="P248" s="310"/>
      <c r="Q248" s="310"/>
      <c r="R248" s="310"/>
      <c r="S248" s="310"/>
      <c r="T248" s="310"/>
      <c r="U248" s="307"/>
      <c r="V248" s="307"/>
      <c r="W248" s="311"/>
      <c r="X248" s="307"/>
      <c r="Y248" s="307"/>
      <c r="Z248" s="307"/>
      <c r="AA248" s="307"/>
      <c r="AB248" s="311"/>
      <c r="AC248" s="307"/>
      <c r="AD248" s="307"/>
      <c r="AE248" s="307"/>
      <c r="AF248" s="307"/>
      <c r="AG248" s="310"/>
      <c r="AH248" s="307"/>
      <c r="AI248" s="310"/>
      <c r="AJ248" s="307"/>
      <c r="AK248" s="307"/>
      <c r="AL248" s="307"/>
      <c r="AM248" s="308"/>
      <c r="AN248" s="311"/>
      <c r="AO248" s="307"/>
      <c r="AP248" s="307"/>
      <c r="AQ248" s="308"/>
      <c r="AR248" s="307"/>
      <c r="AS248" s="307"/>
      <c r="AT248" s="307"/>
      <c r="AU248" s="310"/>
      <c r="AV248" s="308"/>
      <c r="AW248" s="312"/>
      <c r="AX248" s="308"/>
      <c r="AY248" s="307"/>
      <c r="AZ248" s="307"/>
      <c r="BA248" s="307"/>
      <c r="BB248" s="307"/>
      <c r="BC248" s="308"/>
      <c r="BD248" s="308"/>
      <c r="BE248" s="313"/>
      <c r="BF248" s="307"/>
      <c r="BG248" s="310"/>
      <c r="BH248" s="307"/>
      <c r="BI248" s="307"/>
      <c r="BJ248" s="310"/>
      <c r="BK248" s="307"/>
      <c r="BL248" s="307"/>
      <c r="BM248" s="310"/>
      <c r="BN248" s="307"/>
      <c r="BO248" s="310"/>
      <c r="BP248" s="307"/>
      <c r="BQ248" s="307"/>
      <c r="BR248" s="307"/>
      <c r="BS248" s="307"/>
      <c r="BT248" s="307"/>
      <c r="BU248" s="310"/>
      <c r="BV248" s="307"/>
      <c r="BW248" s="308"/>
      <c r="BX248" s="311"/>
      <c r="BY248" s="307"/>
      <c r="BZ248" s="307"/>
      <c r="CA248" s="310"/>
      <c r="CB248" s="307"/>
      <c r="CC248" s="307"/>
      <c r="CD248" s="307"/>
      <c r="CE248" s="308"/>
      <c r="CF248" s="308"/>
      <c r="CG248" s="307"/>
      <c r="CH248" s="307"/>
      <c r="CI248" s="307"/>
      <c r="CJ248" s="307"/>
      <c r="CK248" s="314"/>
      <c r="CL248" s="310"/>
      <c r="CM248" s="310"/>
      <c r="CN248" s="307"/>
      <c r="CO248" s="307"/>
      <c r="CP248" s="307"/>
      <c r="CQ248" s="315"/>
      <c r="CR248" s="315"/>
      <c r="CS248" s="315"/>
      <c r="CT248" s="315"/>
      <c r="CU248" s="307"/>
      <c r="CV248" s="217"/>
      <c r="CW248" s="192"/>
      <c r="CX248" s="192"/>
      <c r="CY248" s="192"/>
      <c r="CZ248" s="191"/>
      <c r="DA248" s="193"/>
      <c r="DB248" s="192"/>
      <c r="DC248" s="192"/>
      <c r="DD248" s="192"/>
      <c r="DE248" s="191"/>
      <c r="DF248" s="19"/>
      <c r="DG248" s="192"/>
      <c r="DH248" s="192"/>
      <c r="DI248" s="192"/>
      <c r="DJ248" s="191"/>
      <c r="DK248" s="193"/>
      <c r="DL248" s="192"/>
      <c r="DM248" s="192"/>
      <c r="DN248" s="192"/>
      <c r="DO248" s="191"/>
      <c r="DP248" s="19"/>
      <c r="DQ248" s="192"/>
      <c r="DR248" s="192"/>
      <c r="DS248" s="192"/>
      <c r="DT248" s="191"/>
      <c r="DU248" s="193"/>
      <c r="DV248" s="192"/>
      <c r="DW248" s="192"/>
      <c r="DX248" s="192"/>
      <c r="DY248" s="191"/>
      <c r="DZ248" s="19"/>
      <c r="EA248" s="192"/>
      <c r="EB248" s="192"/>
      <c r="EC248" s="192"/>
      <c r="ED248" s="191"/>
      <c r="EE248" s="193"/>
      <c r="EF248" s="192"/>
      <c r="EG248" s="192"/>
      <c r="EH248" s="192"/>
      <c r="EI248" s="191"/>
      <c r="EJ248" s="19"/>
      <c r="EK248" s="192"/>
      <c r="EL248" s="192"/>
      <c r="EM248" s="192"/>
      <c r="EN248" s="191"/>
      <c r="EO248" s="193"/>
      <c r="EP248" s="192"/>
      <c r="EQ248" s="192"/>
      <c r="ER248" s="192"/>
      <c r="ES248" s="191"/>
      <c r="ET248" s="19"/>
      <c r="EU248" s="192"/>
      <c r="EV248" s="192"/>
      <c r="EW248" s="192"/>
      <c r="EX248" s="191"/>
      <c r="EY248" s="193"/>
      <c r="EZ248" s="192"/>
      <c r="FA248" s="192"/>
      <c r="FB248" s="192"/>
      <c r="FC248" s="191"/>
      <c r="FL248" s="273">
        <f t="shared" ca="1" si="11"/>
        <v>116</v>
      </c>
    </row>
    <row r="249" spans="1:168" ht="16.5" thickBot="1">
      <c r="A249" s="199">
        <v>246</v>
      </c>
      <c r="B249" s="306"/>
      <c r="C249" s="310"/>
      <c r="D249" s="307" t="s">
        <v>271</v>
      </c>
      <c r="E249" s="307" t="s">
        <v>271</v>
      </c>
      <c r="F249" s="308"/>
      <c r="G249" s="343" t="str">
        <f t="shared" si="9"/>
        <v xml:space="preserve"> </v>
      </c>
      <c r="H249" s="307"/>
      <c r="I249" s="309" t="e">
        <f t="shared" si="10"/>
        <v>#N/A</v>
      </c>
      <c r="J249" s="307"/>
      <c r="K249" s="307"/>
      <c r="L249" s="310"/>
      <c r="M249" s="310"/>
      <c r="N249" s="310"/>
      <c r="O249" s="310"/>
      <c r="P249" s="310"/>
      <c r="Q249" s="310"/>
      <c r="R249" s="310"/>
      <c r="S249" s="310"/>
      <c r="T249" s="310"/>
      <c r="U249" s="307"/>
      <c r="V249" s="307"/>
      <c r="W249" s="311"/>
      <c r="X249" s="307"/>
      <c r="Y249" s="307"/>
      <c r="Z249" s="307"/>
      <c r="AA249" s="307"/>
      <c r="AB249" s="311"/>
      <c r="AC249" s="307"/>
      <c r="AD249" s="307"/>
      <c r="AE249" s="307"/>
      <c r="AF249" s="307"/>
      <c r="AG249" s="310"/>
      <c r="AH249" s="307"/>
      <c r="AI249" s="310"/>
      <c r="AJ249" s="307"/>
      <c r="AK249" s="307"/>
      <c r="AL249" s="307"/>
      <c r="AM249" s="308"/>
      <c r="AN249" s="311"/>
      <c r="AO249" s="307"/>
      <c r="AP249" s="307"/>
      <c r="AQ249" s="308"/>
      <c r="AR249" s="307"/>
      <c r="AS249" s="307"/>
      <c r="AT249" s="307"/>
      <c r="AU249" s="310"/>
      <c r="AV249" s="308"/>
      <c r="AW249" s="312"/>
      <c r="AX249" s="308"/>
      <c r="AY249" s="307"/>
      <c r="AZ249" s="307"/>
      <c r="BA249" s="307"/>
      <c r="BB249" s="307"/>
      <c r="BC249" s="308"/>
      <c r="BD249" s="308"/>
      <c r="BE249" s="313"/>
      <c r="BF249" s="307"/>
      <c r="BG249" s="310"/>
      <c r="BH249" s="307"/>
      <c r="BI249" s="307"/>
      <c r="BJ249" s="310"/>
      <c r="BK249" s="307"/>
      <c r="BL249" s="307"/>
      <c r="BM249" s="310"/>
      <c r="BN249" s="307"/>
      <c r="BO249" s="310"/>
      <c r="BP249" s="307"/>
      <c r="BQ249" s="307"/>
      <c r="BR249" s="307"/>
      <c r="BS249" s="307"/>
      <c r="BT249" s="307"/>
      <c r="BU249" s="310"/>
      <c r="BV249" s="307"/>
      <c r="BW249" s="308"/>
      <c r="BX249" s="311"/>
      <c r="BY249" s="307"/>
      <c r="BZ249" s="307"/>
      <c r="CA249" s="310"/>
      <c r="CB249" s="307"/>
      <c r="CC249" s="307"/>
      <c r="CD249" s="307"/>
      <c r="CE249" s="308"/>
      <c r="CF249" s="308"/>
      <c r="CG249" s="307"/>
      <c r="CH249" s="307"/>
      <c r="CI249" s="307"/>
      <c r="CJ249" s="307"/>
      <c r="CK249" s="314"/>
      <c r="CL249" s="310"/>
      <c r="CM249" s="310"/>
      <c r="CN249" s="307"/>
      <c r="CO249" s="307"/>
      <c r="CP249" s="307"/>
      <c r="CQ249" s="315"/>
      <c r="CR249" s="315"/>
      <c r="CS249" s="315"/>
      <c r="CT249" s="315"/>
      <c r="CU249" s="307"/>
      <c r="CV249" s="217"/>
      <c r="CW249" s="192"/>
      <c r="CX249" s="192"/>
      <c r="CY249" s="192"/>
      <c r="CZ249" s="191"/>
      <c r="DA249" s="193"/>
      <c r="DB249" s="192"/>
      <c r="DC249" s="192"/>
      <c r="DD249" s="192"/>
      <c r="DE249" s="191"/>
      <c r="DF249" s="19"/>
      <c r="DG249" s="192"/>
      <c r="DH249" s="192"/>
      <c r="DI249" s="192"/>
      <c r="DJ249" s="191"/>
      <c r="DK249" s="193"/>
      <c r="DL249" s="192"/>
      <c r="DM249" s="192"/>
      <c r="DN249" s="192"/>
      <c r="DO249" s="191"/>
      <c r="DP249" s="19"/>
      <c r="DQ249" s="192"/>
      <c r="DR249" s="192"/>
      <c r="DS249" s="192"/>
      <c r="DT249" s="191"/>
      <c r="DU249" s="193"/>
      <c r="DV249" s="192"/>
      <c r="DW249" s="192"/>
      <c r="DX249" s="192"/>
      <c r="DY249" s="191"/>
      <c r="DZ249" s="19"/>
      <c r="EA249" s="192"/>
      <c r="EB249" s="192"/>
      <c r="EC249" s="192"/>
      <c r="ED249" s="191"/>
      <c r="EE249" s="193"/>
      <c r="EF249" s="192"/>
      <c r="EG249" s="192"/>
      <c r="EH249" s="192"/>
      <c r="EI249" s="191"/>
      <c r="EJ249" s="19"/>
      <c r="EK249" s="192"/>
      <c r="EL249" s="192"/>
      <c r="EM249" s="192"/>
      <c r="EN249" s="191"/>
      <c r="EO249" s="193"/>
      <c r="EP249" s="192"/>
      <c r="EQ249" s="192"/>
      <c r="ER249" s="192"/>
      <c r="ES249" s="191"/>
      <c r="ET249" s="19"/>
      <c r="EU249" s="192"/>
      <c r="EV249" s="192"/>
      <c r="EW249" s="192"/>
      <c r="EX249" s="191"/>
      <c r="EY249" s="193"/>
      <c r="EZ249" s="192"/>
      <c r="FA249" s="192"/>
      <c r="FB249" s="192"/>
      <c r="FC249" s="191"/>
      <c r="FL249" s="273">
        <f t="shared" ca="1" si="11"/>
        <v>116</v>
      </c>
    </row>
    <row r="250" spans="1:168" ht="16.5" thickBot="1">
      <c r="A250" s="196">
        <v>247</v>
      </c>
      <c r="B250" s="306"/>
      <c r="C250" s="310"/>
      <c r="D250" s="307" t="s">
        <v>271</v>
      </c>
      <c r="E250" s="307" t="s">
        <v>271</v>
      </c>
      <c r="F250" s="308"/>
      <c r="G250" s="343" t="str">
        <f t="shared" si="9"/>
        <v xml:space="preserve"> </v>
      </c>
      <c r="H250" s="307"/>
      <c r="I250" s="309" t="e">
        <f t="shared" si="10"/>
        <v>#N/A</v>
      </c>
      <c r="J250" s="307"/>
      <c r="K250" s="307"/>
      <c r="L250" s="310"/>
      <c r="M250" s="310"/>
      <c r="N250" s="310"/>
      <c r="O250" s="310"/>
      <c r="P250" s="310"/>
      <c r="Q250" s="310"/>
      <c r="R250" s="310"/>
      <c r="S250" s="310"/>
      <c r="T250" s="310"/>
      <c r="U250" s="307"/>
      <c r="V250" s="307"/>
      <c r="W250" s="311"/>
      <c r="X250" s="307"/>
      <c r="Y250" s="307"/>
      <c r="Z250" s="307"/>
      <c r="AA250" s="307"/>
      <c r="AB250" s="311"/>
      <c r="AC250" s="307"/>
      <c r="AD250" s="307"/>
      <c r="AE250" s="307"/>
      <c r="AF250" s="307"/>
      <c r="AG250" s="310"/>
      <c r="AH250" s="307"/>
      <c r="AI250" s="310"/>
      <c r="AJ250" s="307"/>
      <c r="AK250" s="307"/>
      <c r="AL250" s="307"/>
      <c r="AM250" s="308"/>
      <c r="AN250" s="311"/>
      <c r="AO250" s="307"/>
      <c r="AP250" s="307"/>
      <c r="AQ250" s="308"/>
      <c r="AR250" s="307"/>
      <c r="AS250" s="307"/>
      <c r="AT250" s="307"/>
      <c r="AU250" s="310"/>
      <c r="AV250" s="308"/>
      <c r="AW250" s="312"/>
      <c r="AX250" s="308"/>
      <c r="AY250" s="307"/>
      <c r="AZ250" s="307"/>
      <c r="BA250" s="307"/>
      <c r="BB250" s="307"/>
      <c r="BC250" s="308"/>
      <c r="BD250" s="308"/>
      <c r="BE250" s="313"/>
      <c r="BF250" s="307"/>
      <c r="BG250" s="310"/>
      <c r="BH250" s="307"/>
      <c r="BI250" s="307"/>
      <c r="BJ250" s="310"/>
      <c r="BK250" s="307"/>
      <c r="BL250" s="307"/>
      <c r="BM250" s="310"/>
      <c r="BN250" s="307"/>
      <c r="BO250" s="310"/>
      <c r="BP250" s="307"/>
      <c r="BQ250" s="307"/>
      <c r="BR250" s="307"/>
      <c r="BS250" s="307"/>
      <c r="BT250" s="307"/>
      <c r="BU250" s="310"/>
      <c r="BV250" s="307"/>
      <c r="BW250" s="308"/>
      <c r="BX250" s="311"/>
      <c r="BY250" s="307"/>
      <c r="BZ250" s="307"/>
      <c r="CA250" s="310"/>
      <c r="CB250" s="307"/>
      <c r="CC250" s="307"/>
      <c r="CD250" s="307"/>
      <c r="CE250" s="308"/>
      <c r="CF250" s="308"/>
      <c r="CG250" s="307"/>
      <c r="CH250" s="307"/>
      <c r="CI250" s="307"/>
      <c r="CJ250" s="307"/>
      <c r="CK250" s="314"/>
      <c r="CL250" s="310"/>
      <c r="CM250" s="310"/>
      <c r="CN250" s="307"/>
      <c r="CO250" s="307"/>
      <c r="CP250" s="307"/>
      <c r="CQ250" s="315"/>
      <c r="CR250" s="315"/>
      <c r="CS250" s="315"/>
      <c r="CT250" s="315"/>
      <c r="CU250" s="307"/>
      <c r="CV250" s="217"/>
      <c r="CW250" s="192"/>
      <c r="CX250" s="192"/>
      <c r="CY250" s="192"/>
      <c r="CZ250" s="191"/>
      <c r="DA250" s="193"/>
      <c r="DB250" s="192"/>
      <c r="DC250" s="192"/>
      <c r="DD250" s="192"/>
      <c r="DE250" s="191"/>
      <c r="DF250" s="19"/>
      <c r="DG250" s="192"/>
      <c r="DH250" s="192"/>
      <c r="DI250" s="192"/>
      <c r="DJ250" s="191"/>
      <c r="DK250" s="193"/>
      <c r="DL250" s="192"/>
      <c r="DM250" s="192"/>
      <c r="DN250" s="192"/>
      <c r="DO250" s="191"/>
      <c r="DP250" s="19"/>
      <c r="DQ250" s="192"/>
      <c r="DR250" s="192"/>
      <c r="DS250" s="192"/>
      <c r="DT250" s="191"/>
      <c r="DU250" s="193"/>
      <c r="DV250" s="192"/>
      <c r="DW250" s="192"/>
      <c r="DX250" s="192"/>
      <c r="DY250" s="191"/>
      <c r="DZ250" s="19"/>
      <c r="EA250" s="192"/>
      <c r="EB250" s="192"/>
      <c r="EC250" s="192"/>
      <c r="ED250" s="191"/>
      <c r="EE250" s="193"/>
      <c r="EF250" s="192"/>
      <c r="EG250" s="192"/>
      <c r="EH250" s="192"/>
      <c r="EI250" s="191"/>
      <c r="EJ250" s="19"/>
      <c r="EK250" s="192"/>
      <c r="EL250" s="192"/>
      <c r="EM250" s="192"/>
      <c r="EN250" s="191"/>
      <c r="EO250" s="193"/>
      <c r="EP250" s="192"/>
      <c r="EQ250" s="192"/>
      <c r="ER250" s="192"/>
      <c r="ES250" s="191"/>
      <c r="ET250" s="19"/>
      <c r="EU250" s="192"/>
      <c r="EV250" s="192"/>
      <c r="EW250" s="192"/>
      <c r="EX250" s="191"/>
      <c r="EY250" s="193"/>
      <c r="EZ250" s="192"/>
      <c r="FA250" s="192"/>
      <c r="FB250" s="192"/>
      <c r="FC250" s="191"/>
      <c r="FL250" s="273">
        <f t="shared" ca="1" si="11"/>
        <v>116</v>
      </c>
    </row>
    <row r="251" spans="1:168" ht="16.5" thickBot="1">
      <c r="A251" s="199">
        <v>248</v>
      </c>
      <c r="B251" s="306"/>
      <c r="C251" s="310"/>
      <c r="D251" s="307" t="s">
        <v>271</v>
      </c>
      <c r="E251" s="307" t="s">
        <v>271</v>
      </c>
      <c r="F251" s="308"/>
      <c r="G251" s="343" t="str">
        <f t="shared" si="9"/>
        <v xml:space="preserve"> </v>
      </c>
      <c r="H251" s="307"/>
      <c r="I251" s="309" t="e">
        <f t="shared" si="10"/>
        <v>#N/A</v>
      </c>
      <c r="J251" s="307"/>
      <c r="K251" s="307"/>
      <c r="L251" s="310"/>
      <c r="M251" s="310"/>
      <c r="N251" s="310"/>
      <c r="O251" s="310"/>
      <c r="P251" s="310"/>
      <c r="Q251" s="310"/>
      <c r="R251" s="310"/>
      <c r="S251" s="310"/>
      <c r="T251" s="310"/>
      <c r="U251" s="307"/>
      <c r="V251" s="307"/>
      <c r="W251" s="311"/>
      <c r="X251" s="307"/>
      <c r="Y251" s="307"/>
      <c r="Z251" s="307"/>
      <c r="AA251" s="307"/>
      <c r="AB251" s="311"/>
      <c r="AC251" s="307"/>
      <c r="AD251" s="307"/>
      <c r="AE251" s="307"/>
      <c r="AF251" s="307"/>
      <c r="AG251" s="310"/>
      <c r="AH251" s="307"/>
      <c r="AI251" s="310"/>
      <c r="AJ251" s="307"/>
      <c r="AK251" s="307"/>
      <c r="AL251" s="307"/>
      <c r="AM251" s="308"/>
      <c r="AN251" s="311"/>
      <c r="AO251" s="307"/>
      <c r="AP251" s="307"/>
      <c r="AQ251" s="308"/>
      <c r="AR251" s="307"/>
      <c r="AS251" s="307"/>
      <c r="AT251" s="307"/>
      <c r="AU251" s="310"/>
      <c r="AV251" s="308"/>
      <c r="AW251" s="312"/>
      <c r="AX251" s="308"/>
      <c r="AY251" s="307"/>
      <c r="AZ251" s="307"/>
      <c r="BA251" s="307"/>
      <c r="BB251" s="307"/>
      <c r="BC251" s="308"/>
      <c r="BD251" s="308"/>
      <c r="BE251" s="313"/>
      <c r="BF251" s="307"/>
      <c r="BG251" s="310"/>
      <c r="BH251" s="307"/>
      <c r="BI251" s="307"/>
      <c r="BJ251" s="310"/>
      <c r="BK251" s="307"/>
      <c r="BL251" s="307"/>
      <c r="BM251" s="310"/>
      <c r="BN251" s="307"/>
      <c r="BO251" s="310"/>
      <c r="BP251" s="307"/>
      <c r="BQ251" s="307"/>
      <c r="BR251" s="307"/>
      <c r="BS251" s="307"/>
      <c r="BT251" s="307"/>
      <c r="BU251" s="310"/>
      <c r="BV251" s="307"/>
      <c r="BW251" s="308"/>
      <c r="BX251" s="311"/>
      <c r="BY251" s="307"/>
      <c r="BZ251" s="307"/>
      <c r="CA251" s="310"/>
      <c r="CB251" s="307"/>
      <c r="CC251" s="307"/>
      <c r="CD251" s="307"/>
      <c r="CE251" s="308"/>
      <c r="CF251" s="308"/>
      <c r="CG251" s="307"/>
      <c r="CH251" s="307"/>
      <c r="CI251" s="307"/>
      <c r="CJ251" s="307"/>
      <c r="CK251" s="314"/>
      <c r="CL251" s="310"/>
      <c r="CM251" s="310"/>
      <c r="CN251" s="307"/>
      <c r="CO251" s="307"/>
      <c r="CP251" s="307"/>
      <c r="CQ251" s="315"/>
      <c r="CR251" s="315"/>
      <c r="CS251" s="315"/>
      <c r="CT251" s="315"/>
      <c r="CU251" s="307"/>
      <c r="CV251" s="217"/>
      <c r="CW251" s="192"/>
      <c r="CX251" s="192"/>
      <c r="CY251" s="192"/>
      <c r="CZ251" s="191"/>
      <c r="DA251" s="193"/>
      <c r="DB251" s="192"/>
      <c r="DC251" s="192"/>
      <c r="DD251" s="192"/>
      <c r="DE251" s="191"/>
      <c r="DF251" s="19"/>
      <c r="DG251" s="192"/>
      <c r="DH251" s="192"/>
      <c r="DI251" s="192"/>
      <c r="DJ251" s="191"/>
      <c r="DK251" s="193"/>
      <c r="DL251" s="192"/>
      <c r="DM251" s="192"/>
      <c r="DN251" s="192"/>
      <c r="DO251" s="191"/>
      <c r="DP251" s="19"/>
      <c r="DQ251" s="192"/>
      <c r="DR251" s="192"/>
      <c r="DS251" s="192"/>
      <c r="DT251" s="191"/>
      <c r="DU251" s="193"/>
      <c r="DV251" s="192"/>
      <c r="DW251" s="192"/>
      <c r="DX251" s="192"/>
      <c r="DY251" s="191"/>
      <c r="DZ251" s="19"/>
      <c r="EA251" s="192"/>
      <c r="EB251" s="192"/>
      <c r="EC251" s="192"/>
      <c r="ED251" s="191"/>
      <c r="EE251" s="193"/>
      <c r="EF251" s="192"/>
      <c r="EG251" s="192"/>
      <c r="EH251" s="192"/>
      <c r="EI251" s="191"/>
      <c r="EJ251" s="19"/>
      <c r="EK251" s="192"/>
      <c r="EL251" s="192"/>
      <c r="EM251" s="192"/>
      <c r="EN251" s="191"/>
      <c r="EO251" s="193"/>
      <c r="EP251" s="192"/>
      <c r="EQ251" s="192"/>
      <c r="ER251" s="192"/>
      <c r="ES251" s="191"/>
      <c r="ET251" s="19"/>
      <c r="EU251" s="192"/>
      <c r="EV251" s="192"/>
      <c r="EW251" s="192"/>
      <c r="EX251" s="191"/>
      <c r="EY251" s="193"/>
      <c r="EZ251" s="192"/>
      <c r="FA251" s="192"/>
      <c r="FB251" s="192"/>
      <c r="FC251" s="191"/>
      <c r="FL251" s="273">
        <f t="shared" ca="1" si="11"/>
        <v>116</v>
      </c>
    </row>
    <row r="252" spans="1:168" ht="16.5" thickBot="1">
      <c r="A252" s="196">
        <v>249</v>
      </c>
      <c r="B252" s="306"/>
      <c r="C252" s="310"/>
      <c r="D252" s="307" t="s">
        <v>271</v>
      </c>
      <c r="E252" s="307" t="s">
        <v>271</v>
      </c>
      <c r="F252" s="308"/>
      <c r="G252" s="343" t="str">
        <f t="shared" si="9"/>
        <v xml:space="preserve"> </v>
      </c>
      <c r="H252" s="307"/>
      <c r="I252" s="309" t="e">
        <f t="shared" si="10"/>
        <v>#N/A</v>
      </c>
      <c r="J252" s="307"/>
      <c r="K252" s="307"/>
      <c r="L252" s="310"/>
      <c r="M252" s="310"/>
      <c r="N252" s="310"/>
      <c r="O252" s="310"/>
      <c r="P252" s="310"/>
      <c r="Q252" s="310"/>
      <c r="R252" s="310"/>
      <c r="S252" s="310"/>
      <c r="T252" s="310"/>
      <c r="U252" s="307"/>
      <c r="V252" s="307"/>
      <c r="W252" s="311"/>
      <c r="X252" s="307"/>
      <c r="Y252" s="307"/>
      <c r="Z252" s="307"/>
      <c r="AA252" s="307"/>
      <c r="AB252" s="311"/>
      <c r="AC252" s="307"/>
      <c r="AD252" s="307"/>
      <c r="AE252" s="307"/>
      <c r="AF252" s="307"/>
      <c r="AG252" s="310"/>
      <c r="AH252" s="307"/>
      <c r="AI252" s="310"/>
      <c r="AJ252" s="307"/>
      <c r="AK252" s="307"/>
      <c r="AL252" s="307"/>
      <c r="AM252" s="308"/>
      <c r="AN252" s="311"/>
      <c r="AO252" s="307"/>
      <c r="AP252" s="307"/>
      <c r="AQ252" s="308"/>
      <c r="AR252" s="307"/>
      <c r="AS252" s="307"/>
      <c r="AT252" s="307"/>
      <c r="AU252" s="310"/>
      <c r="AV252" s="308"/>
      <c r="AW252" s="312"/>
      <c r="AX252" s="308"/>
      <c r="AY252" s="307"/>
      <c r="AZ252" s="307"/>
      <c r="BA252" s="307"/>
      <c r="BB252" s="307"/>
      <c r="BC252" s="308"/>
      <c r="BD252" s="308"/>
      <c r="BE252" s="313"/>
      <c r="BF252" s="307"/>
      <c r="BG252" s="310"/>
      <c r="BH252" s="307"/>
      <c r="BI252" s="307"/>
      <c r="BJ252" s="310"/>
      <c r="BK252" s="307"/>
      <c r="BL252" s="307"/>
      <c r="BM252" s="310"/>
      <c r="BN252" s="307"/>
      <c r="BO252" s="310"/>
      <c r="BP252" s="307"/>
      <c r="BQ252" s="307"/>
      <c r="BR252" s="307"/>
      <c r="BS252" s="307"/>
      <c r="BT252" s="307"/>
      <c r="BU252" s="310"/>
      <c r="BV252" s="307"/>
      <c r="BW252" s="308"/>
      <c r="BX252" s="311"/>
      <c r="BY252" s="307"/>
      <c r="BZ252" s="307"/>
      <c r="CA252" s="310"/>
      <c r="CB252" s="307"/>
      <c r="CC252" s="307"/>
      <c r="CD252" s="307"/>
      <c r="CE252" s="308"/>
      <c r="CF252" s="308"/>
      <c r="CG252" s="307"/>
      <c r="CH252" s="307"/>
      <c r="CI252" s="307"/>
      <c r="CJ252" s="307"/>
      <c r="CK252" s="314"/>
      <c r="CL252" s="310"/>
      <c r="CM252" s="310"/>
      <c r="CN252" s="307"/>
      <c r="CO252" s="307"/>
      <c r="CP252" s="307"/>
      <c r="CQ252" s="315"/>
      <c r="CR252" s="315"/>
      <c r="CS252" s="315"/>
      <c r="CT252" s="315"/>
      <c r="CU252" s="307"/>
      <c r="CV252" s="217"/>
      <c r="CW252" s="192"/>
      <c r="CX252" s="192"/>
      <c r="CY252" s="192"/>
      <c r="CZ252" s="191"/>
      <c r="DA252" s="193"/>
      <c r="DB252" s="192"/>
      <c r="DC252" s="192"/>
      <c r="DD252" s="192"/>
      <c r="DE252" s="191"/>
      <c r="DF252" s="19"/>
      <c r="DG252" s="192"/>
      <c r="DH252" s="192"/>
      <c r="DI252" s="192"/>
      <c r="DJ252" s="191"/>
      <c r="DK252" s="193"/>
      <c r="DL252" s="192"/>
      <c r="DM252" s="192"/>
      <c r="DN252" s="192"/>
      <c r="DO252" s="191"/>
      <c r="DP252" s="19"/>
      <c r="DQ252" s="192"/>
      <c r="DR252" s="192"/>
      <c r="DS252" s="192"/>
      <c r="DT252" s="191"/>
      <c r="DU252" s="193"/>
      <c r="DV252" s="192"/>
      <c r="DW252" s="192"/>
      <c r="DX252" s="192"/>
      <c r="DY252" s="191"/>
      <c r="DZ252" s="19"/>
      <c r="EA252" s="192"/>
      <c r="EB252" s="192"/>
      <c r="EC252" s="192"/>
      <c r="ED252" s="191"/>
      <c r="EE252" s="193"/>
      <c r="EF252" s="192"/>
      <c r="EG252" s="192"/>
      <c r="EH252" s="192"/>
      <c r="EI252" s="191"/>
      <c r="EJ252" s="19"/>
      <c r="EK252" s="192"/>
      <c r="EL252" s="192"/>
      <c r="EM252" s="192"/>
      <c r="EN252" s="191"/>
      <c r="EO252" s="193"/>
      <c r="EP252" s="192"/>
      <c r="EQ252" s="192"/>
      <c r="ER252" s="192"/>
      <c r="ES252" s="191"/>
      <c r="ET252" s="19"/>
      <c r="EU252" s="192"/>
      <c r="EV252" s="192"/>
      <c r="EW252" s="192"/>
      <c r="EX252" s="191"/>
      <c r="EY252" s="193"/>
      <c r="EZ252" s="192"/>
      <c r="FA252" s="192"/>
      <c r="FB252" s="192"/>
      <c r="FC252" s="191"/>
      <c r="FL252" s="273">
        <f t="shared" ca="1" si="11"/>
        <v>116</v>
      </c>
    </row>
    <row r="253" spans="1:168" ht="16.5" thickBot="1">
      <c r="A253" s="199">
        <v>250</v>
      </c>
      <c r="B253" s="306"/>
      <c r="C253" s="310"/>
      <c r="D253" s="307" t="s">
        <v>271</v>
      </c>
      <c r="E253" s="307" t="s">
        <v>271</v>
      </c>
      <c r="F253" s="308"/>
      <c r="G253" s="343" t="str">
        <f t="shared" si="9"/>
        <v xml:space="preserve"> </v>
      </c>
      <c r="H253" s="307"/>
      <c r="I253" s="309" t="e">
        <f t="shared" si="10"/>
        <v>#N/A</v>
      </c>
      <c r="J253" s="307"/>
      <c r="K253" s="307"/>
      <c r="L253" s="310"/>
      <c r="M253" s="310"/>
      <c r="N253" s="310"/>
      <c r="O253" s="310"/>
      <c r="P253" s="310"/>
      <c r="Q253" s="310"/>
      <c r="R253" s="310"/>
      <c r="S253" s="310"/>
      <c r="T253" s="310"/>
      <c r="U253" s="307"/>
      <c r="V253" s="307"/>
      <c r="W253" s="311"/>
      <c r="X253" s="307"/>
      <c r="Y253" s="307"/>
      <c r="Z253" s="307"/>
      <c r="AA253" s="307"/>
      <c r="AB253" s="311"/>
      <c r="AC253" s="307"/>
      <c r="AD253" s="307"/>
      <c r="AE253" s="307"/>
      <c r="AF253" s="307"/>
      <c r="AG253" s="310"/>
      <c r="AH253" s="307"/>
      <c r="AI253" s="310"/>
      <c r="AJ253" s="307"/>
      <c r="AK253" s="307"/>
      <c r="AL253" s="307"/>
      <c r="AM253" s="308"/>
      <c r="AN253" s="311"/>
      <c r="AO253" s="307"/>
      <c r="AP253" s="307"/>
      <c r="AQ253" s="308"/>
      <c r="AR253" s="307"/>
      <c r="AS253" s="307"/>
      <c r="AT253" s="307"/>
      <c r="AU253" s="310"/>
      <c r="AV253" s="308"/>
      <c r="AW253" s="312"/>
      <c r="AX253" s="308"/>
      <c r="AY253" s="307"/>
      <c r="AZ253" s="307"/>
      <c r="BA253" s="307"/>
      <c r="BB253" s="307"/>
      <c r="BC253" s="308"/>
      <c r="BD253" s="308"/>
      <c r="BE253" s="313"/>
      <c r="BF253" s="307"/>
      <c r="BG253" s="310"/>
      <c r="BH253" s="307"/>
      <c r="BI253" s="307"/>
      <c r="BJ253" s="310"/>
      <c r="BK253" s="307"/>
      <c r="BL253" s="307"/>
      <c r="BM253" s="310"/>
      <c r="BN253" s="307"/>
      <c r="BO253" s="310"/>
      <c r="BP253" s="307"/>
      <c r="BQ253" s="307"/>
      <c r="BR253" s="307"/>
      <c r="BS253" s="307"/>
      <c r="BT253" s="307"/>
      <c r="BU253" s="310"/>
      <c r="BV253" s="307"/>
      <c r="BW253" s="308"/>
      <c r="BX253" s="311"/>
      <c r="BY253" s="307"/>
      <c r="BZ253" s="307"/>
      <c r="CA253" s="310"/>
      <c r="CB253" s="307"/>
      <c r="CC253" s="307"/>
      <c r="CD253" s="307"/>
      <c r="CE253" s="308"/>
      <c r="CF253" s="308"/>
      <c r="CG253" s="307"/>
      <c r="CH253" s="307"/>
      <c r="CI253" s="307"/>
      <c r="CJ253" s="307"/>
      <c r="CK253" s="314"/>
      <c r="CL253" s="310"/>
      <c r="CM253" s="310"/>
      <c r="CN253" s="307"/>
      <c r="CO253" s="307"/>
      <c r="CP253" s="307"/>
      <c r="CQ253" s="315"/>
      <c r="CR253" s="315"/>
      <c r="CS253" s="315"/>
      <c r="CT253" s="315"/>
      <c r="CU253" s="307"/>
      <c r="CV253" s="217"/>
      <c r="CW253" s="192"/>
      <c r="CX253" s="192"/>
      <c r="CY253" s="192"/>
      <c r="CZ253" s="191"/>
      <c r="DA253" s="193"/>
      <c r="DB253" s="192"/>
      <c r="DC253" s="192"/>
      <c r="DD253" s="192"/>
      <c r="DE253" s="191"/>
      <c r="DF253" s="19"/>
      <c r="DG253" s="192"/>
      <c r="DH253" s="192"/>
      <c r="DI253" s="192"/>
      <c r="DJ253" s="191"/>
      <c r="DK253" s="193"/>
      <c r="DL253" s="192"/>
      <c r="DM253" s="192"/>
      <c r="DN253" s="192"/>
      <c r="DO253" s="191"/>
      <c r="DP253" s="19"/>
      <c r="DQ253" s="192"/>
      <c r="DR253" s="192"/>
      <c r="DS253" s="192"/>
      <c r="DT253" s="191"/>
      <c r="DU253" s="193"/>
      <c r="DV253" s="192"/>
      <c r="DW253" s="192"/>
      <c r="DX253" s="192"/>
      <c r="DY253" s="191"/>
      <c r="DZ253" s="19"/>
      <c r="EA253" s="192"/>
      <c r="EB253" s="192"/>
      <c r="EC253" s="192"/>
      <c r="ED253" s="191"/>
      <c r="EE253" s="193"/>
      <c r="EF253" s="192"/>
      <c r="EG253" s="192"/>
      <c r="EH253" s="192"/>
      <c r="EI253" s="191"/>
      <c r="EJ253" s="19"/>
      <c r="EK253" s="192"/>
      <c r="EL253" s="192"/>
      <c r="EM253" s="192"/>
      <c r="EN253" s="191"/>
      <c r="EO253" s="193"/>
      <c r="EP253" s="192"/>
      <c r="EQ253" s="192"/>
      <c r="ER253" s="192"/>
      <c r="ES253" s="191"/>
      <c r="ET253" s="19"/>
      <c r="EU253" s="192"/>
      <c r="EV253" s="192"/>
      <c r="EW253" s="192"/>
      <c r="EX253" s="191"/>
      <c r="EY253" s="193"/>
      <c r="EZ253" s="192"/>
      <c r="FA253" s="192"/>
      <c r="FB253" s="192"/>
      <c r="FC253" s="191"/>
      <c r="FL253" s="273">
        <f t="shared" ca="1" si="11"/>
        <v>116</v>
      </c>
    </row>
    <row r="254" spans="1:168" ht="16.5" thickBot="1">
      <c r="A254" s="196">
        <v>251</v>
      </c>
      <c r="B254" s="306"/>
      <c r="C254" s="310"/>
      <c r="D254" s="307" t="s">
        <v>271</v>
      </c>
      <c r="E254" s="307" t="s">
        <v>271</v>
      </c>
      <c r="F254" s="308"/>
      <c r="G254" s="343" t="str">
        <f t="shared" si="9"/>
        <v xml:space="preserve"> </v>
      </c>
      <c r="H254" s="307"/>
      <c r="I254" s="309" t="e">
        <f t="shared" si="10"/>
        <v>#N/A</v>
      </c>
      <c r="J254" s="307"/>
      <c r="K254" s="307"/>
      <c r="L254" s="310"/>
      <c r="M254" s="310"/>
      <c r="N254" s="310"/>
      <c r="O254" s="310"/>
      <c r="P254" s="310"/>
      <c r="Q254" s="310"/>
      <c r="R254" s="310"/>
      <c r="S254" s="310"/>
      <c r="T254" s="310"/>
      <c r="U254" s="307"/>
      <c r="V254" s="307"/>
      <c r="W254" s="311"/>
      <c r="X254" s="307"/>
      <c r="Y254" s="307"/>
      <c r="Z254" s="307"/>
      <c r="AA254" s="307"/>
      <c r="AB254" s="311"/>
      <c r="AC254" s="307"/>
      <c r="AD254" s="307"/>
      <c r="AE254" s="307"/>
      <c r="AF254" s="307"/>
      <c r="AG254" s="310"/>
      <c r="AH254" s="307"/>
      <c r="AI254" s="310"/>
      <c r="AJ254" s="307"/>
      <c r="AK254" s="307"/>
      <c r="AL254" s="307"/>
      <c r="AM254" s="308"/>
      <c r="AN254" s="311"/>
      <c r="AO254" s="307"/>
      <c r="AP254" s="307"/>
      <c r="AQ254" s="308"/>
      <c r="AR254" s="307"/>
      <c r="AS254" s="307"/>
      <c r="AT254" s="307"/>
      <c r="AU254" s="310"/>
      <c r="AV254" s="308"/>
      <c r="AW254" s="312"/>
      <c r="AX254" s="308"/>
      <c r="AY254" s="307"/>
      <c r="AZ254" s="307"/>
      <c r="BA254" s="307"/>
      <c r="BB254" s="307"/>
      <c r="BC254" s="308"/>
      <c r="BD254" s="308"/>
      <c r="BE254" s="313"/>
      <c r="BF254" s="307"/>
      <c r="BG254" s="310"/>
      <c r="BH254" s="307"/>
      <c r="BI254" s="307"/>
      <c r="BJ254" s="310"/>
      <c r="BK254" s="307"/>
      <c r="BL254" s="307"/>
      <c r="BM254" s="310"/>
      <c r="BN254" s="307"/>
      <c r="BO254" s="310"/>
      <c r="BP254" s="307"/>
      <c r="BQ254" s="307"/>
      <c r="BR254" s="307"/>
      <c r="BS254" s="307"/>
      <c r="BT254" s="307"/>
      <c r="BU254" s="310"/>
      <c r="BV254" s="307"/>
      <c r="BW254" s="308"/>
      <c r="BX254" s="311"/>
      <c r="BY254" s="307"/>
      <c r="BZ254" s="307"/>
      <c r="CA254" s="310"/>
      <c r="CB254" s="307"/>
      <c r="CC254" s="307"/>
      <c r="CD254" s="307"/>
      <c r="CE254" s="308"/>
      <c r="CF254" s="308"/>
      <c r="CG254" s="307"/>
      <c r="CH254" s="307"/>
      <c r="CI254" s="307"/>
      <c r="CJ254" s="307"/>
      <c r="CK254" s="314"/>
      <c r="CL254" s="310"/>
      <c r="CM254" s="310"/>
      <c r="CN254" s="307"/>
      <c r="CO254" s="307"/>
      <c r="CP254" s="307"/>
      <c r="CQ254" s="315"/>
      <c r="CR254" s="315"/>
      <c r="CS254" s="315"/>
      <c r="CT254" s="315"/>
      <c r="CU254" s="307"/>
      <c r="CV254" s="217"/>
      <c r="CW254" s="192"/>
      <c r="CX254" s="192"/>
      <c r="CY254" s="192"/>
      <c r="CZ254" s="191"/>
      <c r="DA254" s="193"/>
      <c r="DB254" s="192"/>
      <c r="DC254" s="192"/>
      <c r="DD254" s="192"/>
      <c r="DE254" s="191"/>
      <c r="DF254" s="19"/>
      <c r="DG254" s="192"/>
      <c r="DH254" s="192"/>
      <c r="DI254" s="192"/>
      <c r="DJ254" s="191"/>
      <c r="DK254" s="193"/>
      <c r="DL254" s="192"/>
      <c r="DM254" s="192"/>
      <c r="DN254" s="192"/>
      <c r="DO254" s="191"/>
      <c r="DP254" s="19"/>
      <c r="DQ254" s="192"/>
      <c r="DR254" s="192"/>
      <c r="DS254" s="192"/>
      <c r="DT254" s="191"/>
      <c r="DU254" s="193"/>
      <c r="DV254" s="192"/>
      <c r="DW254" s="192"/>
      <c r="DX254" s="192"/>
      <c r="DY254" s="191"/>
      <c r="DZ254" s="19"/>
      <c r="EA254" s="192"/>
      <c r="EB254" s="192"/>
      <c r="EC254" s="192"/>
      <c r="ED254" s="191"/>
      <c r="EE254" s="193"/>
      <c r="EF254" s="192"/>
      <c r="EG254" s="192"/>
      <c r="EH254" s="192"/>
      <c r="EI254" s="191"/>
      <c r="EJ254" s="19"/>
      <c r="EK254" s="192"/>
      <c r="EL254" s="192"/>
      <c r="EM254" s="192"/>
      <c r="EN254" s="191"/>
      <c r="EO254" s="193"/>
      <c r="EP254" s="192"/>
      <c r="EQ254" s="192"/>
      <c r="ER254" s="192"/>
      <c r="ES254" s="191"/>
      <c r="ET254" s="19"/>
      <c r="EU254" s="192"/>
      <c r="EV254" s="192"/>
      <c r="EW254" s="192"/>
      <c r="EX254" s="191"/>
      <c r="EY254" s="193"/>
      <c r="EZ254" s="192"/>
      <c r="FA254" s="192"/>
      <c r="FB254" s="192"/>
      <c r="FC254" s="191"/>
      <c r="FL254" s="273">
        <f t="shared" ca="1" si="11"/>
        <v>116</v>
      </c>
    </row>
    <row r="255" spans="1:168" ht="16.5" thickBot="1">
      <c r="A255" s="199">
        <v>252</v>
      </c>
      <c r="B255" s="306"/>
      <c r="C255" s="310"/>
      <c r="D255" s="307" t="s">
        <v>271</v>
      </c>
      <c r="E255" s="307" t="s">
        <v>271</v>
      </c>
      <c r="F255" s="308"/>
      <c r="G255" s="343" t="str">
        <f t="shared" si="9"/>
        <v xml:space="preserve"> </v>
      </c>
      <c r="H255" s="307"/>
      <c r="I255" s="309" t="e">
        <f t="shared" si="10"/>
        <v>#N/A</v>
      </c>
      <c r="J255" s="307"/>
      <c r="K255" s="307"/>
      <c r="L255" s="310"/>
      <c r="M255" s="310"/>
      <c r="N255" s="310"/>
      <c r="O255" s="310"/>
      <c r="P255" s="310"/>
      <c r="Q255" s="310"/>
      <c r="R255" s="310"/>
      <c r="S255" s="310"/>
      <c r="T255" s="310"/>
      <c r="U255" s="307"/>
      <c r="V255" s="307"/>
      <c r="W255" s="311"/>
      <c r="X255" s="307"/>
      <c r="Y255" s="307"/>
      <c r="Z255" s="307"/>
      <c r="AA255" s="307"/>
      <c r="AB255" s="311"/>
      <c r="AC255" s="307"/>
      <c r="AD255" s="307"/>
      <c r="AE255" s="307"/>
      <c r="AF255" s="307"/>
      <c r="AG255" s="310"/>
      <c r="AH255" s="307"/>
      <c r="AI255" s="310"/>
      <c r="AJ255" s="307"/>
      <c r="AK255" s="307"/>
      <c r="AL255" s="307"/>
      <c r="AM255" s="308"/>
      <c r="AN255" s="311"/>
      <c r="AO255" s="307"/>
      <c r="AP255" s="307"/>
      <c r="AQ255" s="308"/>
      <c r="AR255" s="307"/>
      <c r="AS255" s="307"/>
      <c r="AT255" s="307"/>
      <c r="AU255" s="310"/>
      <c r="AV255" s="308"/>
      <c r="AW255" s="312"/>
      <c r="AX255" s="308"/>
      <c r="AY255" s="307"/>
      <c r="AZ255" s="307"/>
      <c r="BA255" s="307"/>
      <c r="BB255" s="307"/>
      <c r="BC255" s="308"/>
      <c r="BD255" s="308"/>
      <c r="BE255" s="313"/>
      <c r="BF255" s="307"/>
      <c r="BG255" s="310"/>
      <c r="BH255" s="307"/>
      <c r="BI255" s="307"/>
      <c r="BJ255" s="310"/>
      <c r="BK255" s="307"/>
      <c r="BL255" s="307"/>
      <c r="BM255" s="310"/>
      <c r="BN255" s="307"/>
      <c r="BO255" s="310"/>
      <c r="BP255" s="307"/>
      <c r="BQ255" s="307"/>
      <c r="BR255" s="307"/>
      <c r="BS255" s="307"/>
      <c r="BT255" s="307"/>
      <c r="BU255" s="310"/>
      <c r="BV255" s="307"/>
      <c r="BW255" s="308"/>
      <c r="BX255" s="311"/>
      <c r="BY255" s="307"/>
      <c r="BZ255" s="307"/>
      <c r="CA255" s="310"/>
      <c r="CB255" s="307"/>
      <c r="CC255" s="307"/>
      <c r="CD255" s="307"/>
      <c r="CE255" s="308"/>
      <c r="CF255" s="308"/>
      <c r="CG255" s="307"/>
      <c r="CH255" s="307"/>
      <c r="CI255" s="307"/>
      <c r="CJ255" s="307"/>
      <c r="CK255" s="314"/>
      <c r="CL255" s="310"/>
      <c r="CM255" s="310"/>
      <c r="CN255" s="307"/>
      <c r="CO255" s="307"/>
      <c r="CP255" s="307"/>
      <c r="CQ255" s="315"/>
      <c r="CR255" s="315"/>
      <c r="CS255" s="315"/>
      <c r="CT255" s="315"/>
      <c r="CU255" s="307"/>
      <c r="CV255" s="217"/>
      <c r="CW255" s="192"/>
      <c r="CX255" s="192"/>
      <c r="CY255" s="192"/>
      <c r="CZ255" s="191"/>
      <c r="DA255" s="193"/>
      <c r="DB255" s="192"/>
      <c r="DC255" s="192"/>
      <c r="DD255" s="192"/>
      <c r="DE255" s="191"/>
      <c r="DF255" s="19"/>
      <c r="DG255" s="192"/>
      <c r="DH255" s="192"/>
      <c r="DI255" s="192"/>
      <c r="DJ255" s="191"/>
      <c r="DK255" s="193"/>
      <c r="DL255" s="192"/>
      <c r="DM255" s="192"/>
      <c r="DN255" s="192"/>
      <c r="DO255" s="191"/>
      <c r="DP255" s="19"/>
      <c r="DQ255" s="192"/>
      <c r="DR255" s="192"/>
      <c r="DS255" s="192"/>
      <c r="DT255" s="191"/>
      <c r="DU255" s="193"/>
      <c r="DV255" s="192"/>
      <c r="DW255" s="192"/>
      <c r="DX255" s="192"/>
      <c r="DY255" s="191"/>
      <c r="DZ255" s="19"/>
      <c r="EA255" s="192"/>
      <c r="EB255" s="192"/>
      <c r="EC255" s="192"/>
      <c r="ED255" s="191"/>
      <c r="EE255" s="193"/>
      <c r="EF255" s="192"/>
      <c r="EG255" s="192"/>
      <c r="EH255" s="192"/>
      <c r="EI255" s="191"/>
      <c r="EJ255" s="19"/>
      <c r="EK255" s="192"/>
      <c r="EL255" s="192"/>
      <c r="EM255" s="192"/>
      <c r="EN255" s="191"/>
      <c r="EO255" s="193"/>
      <c r="EP255" s="192"/>
      <c r="EQ255" s="192"/>
      <c r="ER255" s="192"/>
      <c r="ES255" s="191"/>
      <c r="ET255" s="19"/>
      <c r="EU255" s="192"/>
      <c r="EV255" s="192"/>
      <c r="EW255" s="192"/>
      <c r="EX255" s="191"/>
      <c r="EY255" s="193"/>
      <c r="EZ255" s="192"/>
      <c r="FA255" s="192"/>
      <c r="FB255" s="192"/>
      <c r="FC255" s="191"/>
      <c r="FL255" s="273">
        <f t="shared" ca="1" si="11"/>
        <v>116</v>
      </c>
    </row>
    <row r="256" spans="1:168" ht="16.5" thickBot="1">
      <c r="A256" s="196">
        <v>253</v>
      </c>
      <c r="B256" s="306"/>
      <c r="C256" s="310"/>
      <c r="D256" s="307" t="s">
        <v>271</v>
      </c>
      <c r="E256" s="307" t="s">
        <v>271</v>
      </c>
      <c r="F256" s="308"/>
      <c r="G256" s="343" t="str">
        <f t="shared" si="9"/>
        <v xml:space="preserve"> </v>
      </c>
      <c r="H256" s="307"/>
      <c r="I256" s="309" t="e">
        <f t="shared" si="10"/>
        <v>#N/A</v>
      </c>
      <c r="J256" s="307"/>
      <c r="K256" s="307"/>
      <c r="L256" s="310"/>
      <c r="M256" s="310"/>
      <c r="N256" s="310"/>
      <c r="O256" s="310"/>
      <c r="P256" s="310"/>
      <c r="Q256" s="310"/>
      <c r="R256" s="310"/>
      <c r="S256" s="310"/>
      <c r="T256" s="310"/>
      <c r="U256" s="307"/>
      <c r="V256" s="307"/>
      <c r="W256" s="311"/>
      <c r="X256" s="307"/>
      <c r="Y256" s="307"/>
      <c r="Z256" s="307"/>
      <c r="AA256" s="307"/>
      <c r="AB256" s="311"/>
      <c r="AC256" s="307"/>
      <c r="AD256" s="307"/>
      <c r="AE256" s="307"/>
      <c r="AF256" s="307"/>
      <c r="AG256" s="310"/>
      <c r="AH256" s="307"/>
      <c r="AI256" s="310"/>
      <c r="AJ256" s="307"/>
      <c r="AK256" s="307"/>
      <c r="AL256" s="307"/>
      <c r="AM256" s="308"/>
      <c r="AN256" s="311"/>
      <c r="AO256" s="307"/>
      <c r="AP256" s="307"/>
      <c r="AQ256" s="308"/>
      <c r="AR256" s="307"/>
      <c r="AS256" s="307"/>
      <c r="AT256" s="307"/>
      <c r="AU256" s="310"/>
      <c r="AV256" s="308"/>
      <c r="AW256" s="312"/>
      <c r="AX256" s="308"/>
      <c r="AY256" s="307"/>
      <c r="AZ256" s="307"/>
      <c r="BA256" s="307"/>
      <c r="BB256" s="307"/>
      <c r="BC256" s="308"/>
      <c r="BD256" s="308"/>
      <c r="BE256" s="313"/>
      <c r="BF256" s="307"/>
      <c r="BG256" s="310"/>
      <c r="BH256" s="307"/>
      <c r="BI256" s="307"/>
      <c r="BJ256" s="310"/>
      <c r="BK256" s="307"/>
      <c r="BL256" s="307"/>
      <c r="BM256" s="310"/>
      <c r="BN256" s="307"/>
      <c r="BO256" s="310"/>
      <c r="BP256" s="307"/>
      <c r="BQ256" s="307"/>
      <c r="BR256" s="307"/>
      <c r="BS256" s="307"/>
      <c r="BT256" s="307"/>
      <c r="BU256" s="310"/>
      <c r="BV256" s="307"/>
      <c r="BW256" s="308"/>
      <c r="BX256" s="311"/>
      <c r="BY256" s="307"/>
      <c r="BZ256" s="307"/>
      <c r="CA256" s="310"/>
      <c r="CB256" s="307"/>
      <c r="CC256" s="307"/>
      <c r="CD256" s="307"/>
      <c r="CE256" s="308"/>
      <c r="CF256" s="308"/>
      <c r="CG256" s="307"/>
      <c r="CH256" s="307"/>
      <c r="CI256" s="307"/>
      <c r="CJ256" s="307"/>
      <c r="CK256" s="314"/>
      <c r="CL256" s="310"/>
      <c r="CM256" s="310"/>
      <c r="CN256" s="307"/>
      <c r="CO256" s="307"/>
      <c r="CP256" s="307"/>
      <c r="CQ256" s="315"/>
      <c r="CR256" s="315"/>
      <c r="CS256" s="315"/>
      <c r="CT256" s="315"/>
      <c r="CU256" s="307"/>
      <c r="CV256" s="217"/>
      <c r="CW256" s="192"/>
      <c r="CX256" s="192"/>
      <c r="CY256" s="192"/>
      <c r="CZ256" s="191"/>
      <c r="DA256" s="193"/>
      <c r="DB256" s="192"/>
      <c r="DC256" s="192"/>
      <c r="DD256" s="192"/>
      <c r="DE256" s="191"/>
      <c r="DF256" s="19"/>
      <c r="DG256" s="192"/>
      <c r="DH256" s="192"/>
      <c r="DI256" s="192"/>
      <c r="DJ256" s="191"/>
      <c r="DK256" s="193"/>
      <c r="DL256" s="192"/>
      <c r="DM256" s="192"/>
      <c r="DN256" s="192"/>
      <c r="DO256" s="191"/>
      <c r="DP256" s="19"/>
      <c r="DQ256" s="192"/>
      <c r="DR256" s="192"/>
      <c r="DS256" s="192"/>
      <c r="DT256" s="191"/>
      <c r="DU256" s="193"/>
      <c r="DV256" s="192"/>
      <c r="DW256" s="192"/>
      <c r="DX256" s="192"/>
      <c r="DY256" s="191"/>
      <c r="DZ256" s="19"/>
      <c r="EA256" s="192"/>
      <c r="EB256" s="192"/>
      <c r="EC256" s="192"/>
      <c r="ED256" s="191"/>
      <c r="EE256" s="193"/>
      <c r="EF256" s="192"/>
      <c r="EG256" s="192"/>
      <c r="EH256" s="192"/>
      <c r="EI256" s="191"/>
      <c r="EJ256" s="19"/>
      <c r="EK256" s="192"/>
      <c r="EL256" s="192"/>
      <c r="EM256" s="192"/>
      <c r="EN256" s="191"/>
      <c r="EO256" s="193"/>
      <c r="EP256" s="192"/>
      <c r="EQ256" s="192"/>
      <c r="ER256" s="192"/>
      <c r="ES256" s="191"/>
      <c r="ET256" s="19"/>
      <c r="EU256" s="192"/>
      <c r="EV256" s="192"/>
      <c r="EW256" s="192"/>
      <c r="EX256" s="191"/>
      <c r="EY256" s="193"/>
      <c r="EZ256" s="192"/>
      <c r="FA256" s="192"/>
      <c r="FB256" s="192"/>
      <c r="FC256" s="191"/>
      <c r="FL256" s="273">
        <f t="shared" ca="1" si="11"/>
        <v>116</v>
      </c>
    </row>
    <row r="257" spans="1:168" ht="16.5" thickBot="1">
      <c r="A257" s="199">
        <v>254</v>
      </c>
      <c r="B257" s="306"/>
      <c r="C257" s="310"/>
      <c r="D257" s="307" t="s">
        <v>271</v>
      </c>
      <c r="E257" s="307" t="s">
        <v>271</v>
      </c>
      <c r="F257" s="308"/>
      <c r="G257" s="343" t="str">
        <f t="shared" si="9"/>
        <v xml:space="preserve"> </v>
      </c>
      <c r="H257" s="307"/>
      <c r="I257" s="309" t="e">
        <f t="shared" si="10"/>
        <v>#N/A</v>
      </c>
      <c r="J257" s="307"/>
      <c r="K257" s="307"/>
      <c r="L257" s="310"/>
      <c r="M257" s="310"/>
      <c r="N257" s="310"/>
      <c r="O257" s="310"/>
      <c r="P257" s="310"/>
      <c r="Q257" s="310"/>
      <c r="R257" s="310"/>
      <c r="S257" s="310"/>
      <c r="T257" s="310"/>
      <c r="U257" s="307"/>
      <c r="V257" s="307"/>
      <c r="W257" s="311"/>
      <c r="X257" s="307"/>
      <c r="Y257" s="307"/>
      <c r="Z257" s="307"/>
      <c r="AA257" s="307"/>
      <c r="AB257" s="311"/>
      <c r="AC257" s="307"/>
      <c r="AD257" s="307"/>
      <c r="AE257" s="307"/>
      <c r="AF257" s="307"/>
      <c r="AG257" s="310"/>
      <c r="AH257" s="307"/>
      <c r="AI257" s="310"/>
      <c r="AJ257" s="307"/>
      <c r="AK257" s="307"/>
      <c r="AL257" s="307"/>
      <c r="AM257" s="308"/>
      <c r="AN257" s="311"/>
      <c r="AO257" s="307"/>
      <c r="AP257" s="307"/>
      <c r="AQ257" s="308"/>
      <c r="AR257" s="307"/>
      <c r="AS257" s="307"/>
      <c r="AT257" s="307"/>
      <c r="AU257" s="310"/>
      <c r="AV257" s="308"/>
      <c r="AW257" s="312"/>
      <c r="AX257" s="308"/>
      <c r="AY257" s="307"/>
      <c r="AZ257" s="307"/>
      <c r="BA257" s="307"/>
      <c r="BB257" s="307"/>
      <c r="BC257" s="308"/>
      <c r="BD257" s="308"/>
      <c r="BE257" s="313"/>
      <c r="BF257" s="307"/>
      <c r="BG257" s="310"/>
      <c r="BH257" s="307"/>
      <c r="BI257" s="307"/>
      <c r="BJ257" s="310"/>
      <c r="BK257" s="307"/>
      <c r="BL257" s="307"/>
      <c r="BM257" s="310"/>
      <c r="BN257" s="307"/>
      <c r="BO257" s="310"/>
      <c r="BP257" s="307"/>
      <c r="BQ257" s="307"/>
      <c r="BR257" s="307"/>
      <c r="BS257" s="307"/>
      <c r="BT257" s="307"/>
      <c r="BU257" s="310"/>
      <c r="BV257" s="307"/>
      <c r="BW257" s="308"/>
      <c r="BX257" s="311"/>
      <c r="BY257" s="307"/>
      <c r="BZ257" s="307"/>
      <c r="CA257" s="310"/>
      <c r="CB257" s="307"/>
      <c r="CC257" s="307"/>
      <c r="CD257" s="307"/>
      <c r="CE257" s="308"/>
      <c r="CF257" s="308"/>
      <c r="CG257" s="307"/>
      <c r="CH257" s="307"/>
      <c r="CI257" s="307"/>
      <c r="CJ257" s="307"/>
      <c r="CK257" s="314"/>
      <c r="CL257" s="310"/>
      <c r="CM257" s="310"/>
      <c r="CN257" s="307"/>
      <c r="CO257" s="307"/>
      <c r="CP257" s="307"/>
      <c r="CQ257" s="315"/>
      <c r="CR257" s="315"/>
      <c r="CS257" s="315"/>
      <c r="CT257" s="315"/>
      <c r="CU257" s="307"/>
      <c r="CV257" s="217"/>
      <c r="CW257" s="192"/>
      <c r="CX257" s="192"/>
      <c r="CY257" s="192"/>
      <c r="CZ257" s="191"/>
      <c r="DA257" s="193"/>
      <c r="DB257" s="192"/>
      <c r="DC257" s="192"/>
      <c r="DD257" s="192"/>
      <c r="DE257" s="191"/>
      <c r="DF257" s="19"/>
      <c r="DG257" s="192"/>
      <c r="DH257" s="192"/>
      <c r="DI257" s="192"/>
      <c r="DJ257" s="191"/>
      <c r="DK257" s="193"/>
      <c r="DL257" s="192"/>
      <c r="DM257" s="192"/>
      <c r="DN257" s="192"/>
      <c r="DO257" s="191"/>
      <c r="DP257" s="19"/>
      <c r="DQ257" s="192"/>
      <c r="DR257" s="192"/>
      <c r="DS257" s="192"/>
      <c r="DT257" s="191"/>
      <c r="DU257" s="193"/>
      <c r="DV257" s="192"/>
      <c r="DW257" s="192"/>
      <c r="DX257" s="192"/>
      <c r="DY257" s="191"/>
      <c r="DZ257" s="19"/>
      <c r="EA257" s="192"/>
      <c r="EB257" s="192"/>
      <c r="EC257" s="192"/>
      <c r="ED257" s="191"/>
      <c r="EE257" s="193"/>
      <c r="EF257" s="192"/>
      <c r="EG257" s="192"/>
      <c r="EH257" s="192"/>
      <c r="EI257" s="191"/>
      <c r="EJ257" s="19"/>
      <c r="EK257" s="192"/>
      <c r="EL257" s="192"/>
      <c r="EM257" s="192"/>
      <c r="EN257" s="191"/>
      <c r="EO257" s="193"/>
      <c r="EP257" s="192"/>
      <c r="EQ257" s="192"/>
      <c r="ER257" s="192"/>
      <c r="ES257" s="191"/>
      <c r="ET257" s="19"/>
      <c r="EU257" s="192"/>
      <c r="EV257" s="192"/>
      <c r="EW257" s="192"/>
      <c r="EX257" s="191"/>
      <c r="EY257" s="193"/>
      <c r="EZ257" s="192"/>
      <c r="FA257" s="192"/>
      <c r="FB257" s="192"/>
      <c r="FC257" s="191"/>
      <c r="FL257" s="273">
        <f t="shared" ca="1" si="11"/>
        <v>116</v>
      </c>
    </row>
    <row r="258" spans="1:168" ht="16.5" thickBot="1">
      <c r="A258" s="196">
        <v>255</v>
      </c>
      <c r="B258" s="306"/>
      <c r="C258" s="310"/>
      <c r="D258" s="307" t="s">
        <v>271</v>
      </c>
      <c r="E258" s="307" t="s">
        <v>271</v>
      </c>
      <c r="F258" s="308"/>
      <c r="G258" s="343" t="str">
        <f t="shared" si="9"/>
        <v xml:space="preserve"> </v>
      </c>
      <c r="H258" s="307"/>
      <c r="I258" s="309" t="e">
        <f t="shared" si="10"/>
        <v>#N/A</v>
      </c>
      <c r="J258" s="307"/>
      <c r="K258" s="307"/>
      <c r="L258" s="310"/>
      <c r="M258" s="310"/>
      <c r="N258" s="310"/>
      <c r="O258" s="310"/>
      <c r="P258" s="310"/>
      <c r="Q258" s="310"/>
      <c r="R258" s="310"/>
      <c r="S258" s="310"/>
      <c r="T258" s="310"/>
      <c r="U258" s="307"/>
      <c r="V258" s="307"/>
      <c r="W258" s="311"/>
      <c r="X258" s="307"/>
      <c r="Y258" s="307"/>
      <c r="Z258" s="307"/>
      <c r="AA258" s="307"/>
      <c r="AB258" s="311"/>
      <c r="AC258" s="307"/>
      <c r="AD258" s="307"/>
      <c r="AE258" s="307"/>
      <c r="AF258" s="307"/>
      <c r="AG258" s="310"/>
      <c r="AH258" s="307"/>
      <c r="AI258" s="310"/>
      <c r="AJ258" s="307"/>
      <c r="AK258" s="307"/>
      <c r="AL258" s="307"/>
      <c r="AM258" s="308"/>
      <c r="AN258" s="311"/>
      <c r="AO258" s="307"/>
      <c r="AP258" s="307"/>
      <c r="AQ258" s="308"/>
      <c r="AR258" s="307"/>
      <c r="AS258" s="307"/>
      <c r="AT258" s="307"/>
      <c r="AU258" s="310"/>
      <c r="AV258" s="308"/>
      <c r="AW258" s="312"/>
      <c r="AX258" s="308"/>
      <c r="AY258" s="307"/>
      <c r="AZ258" s="307"/>
      <c r="BA258" s="307"/>
      <c r="BB258" s="307"/>
      <c r="BC258" s="308"/>
      <c r="BD258" s="308"/>
      <c r="BE258" s="313"/>
      <c r="BF258" s="307"/>
      <c r="BG258" s="310"/>
      <c r="BH258" s="307"/>
      <c r="BI258" s="307"/>
      <c r="BJ258" s="310"/>
      <c r="BK258" s="307"/>
      <c r="BL258" s="307"/>
      <c r="BM258" s="310"/>
      <c r="BN258" s="307"/>
      <c r="BO258" s="310"/>
      <c r="BP258" s="307"/>
      <c r="BQ258" s="307"/>
      <c r="BR258" s="307"/>
      <c r="BS258" s="307"/>
      <c r="BT258" s="307"/>
      <c r="BU258" s="310"/>
      <c r="BV258" s="307"/>
      <c r="BW258" s="308"/>
      <c r="BX258" s="311"/>
      <c r="BY258" s="307"/>
      <c r="BZ258" s="307"/>
      <c r="CA258" s="310"/>
      <c r="CB258" s="307"/>
      <c r="CC258" s="307"/>
      <c r="CD258" s="307"/>
      <c r="CE258" s="308"/>
      <c r="CF258" s="308"/>
      <c r="CG258" s="307"/>
      <c r="CH258" s="307"/>
      <c r="CI258" s="307"/>
      <c r="CJ258" s="307"/>
      <c r="CK258" s="314"/>
      <c r="CL258" s="310"/>
      <c r="CM258" s="310"/>
      <c r="CN258" s="307"/>
      <c r="CO258" s="307"/>
      <c r="CP258" s="307"/>
      <c r="CQ258" s="315"/>
      <c r="CR258" s="315"/>
      <c r="CS258" s="315"/>
      <c r="CT258" s="315"/>
      <c r="CU258" s="307"/>
      <c r="CV258" s="217"/>
      <c r="CW258" s="192"/>
      <c r="CX258" s="192"/>
      <c r="CY258" s="192"/>
      <c r="CZ258" s="191"/>
      <c r="DA258" s="193"/>
      <c r="DB258" s="192"/>
      <c r="DC258" s="192"/>
      <c r="DD258" s="192"/>
      <c r="DE258" s="191"/>
      <c r="DF258" s="19"/>
      <c r="DG258" s="192"/>
      <c r="DH258" s="192"/>
      <c r="DI258" s="192"/>
      <c r="DJ258" s="191"/>
      <c r="DK258" s="193"/>
      <c r="DL258" s="192"/>
      <c r="DM258" s="192"/>
      <c r="DN258" s="192"/>
      <c r="DO258" s="191"/>
      <c r="DP258" s="19"/>
      <c r="DQ258" s="192"/>
      <c r="DR258" s="192"/>
      <c r="DS258" s="192"/>
      <c r="DT258" s="191"/>
      <c r="DU258" s="193"/>
      <c r="DV258" s="192"/>
      <c r="DW258" s="192"/>
      <c r="DX258" s="192"/>
      <c r="DY258" s="191"/>
      <c r="DZ258" s="19"/>
      <c r="EA258" s="192"/>
      <c r="EB258" s="192"/>
      <c r="EC258" s="192"/>
      <c r="ED258" s="191"/>
      <c r="EE258" s="193"/>
      <c r="EF258" s="192"/>
      <c r="EG258" s="192"/>
      <c r="EH258" s="192"/>
      <c r="EI258" s="191"/>
      <c r="EJ258" s="19"/>
      <c r="EK258" s="192"/>
      <c r="EL258" s="192"/>
      <c r="EM258" s="192"/>
      <c r="EN258" s="191"/>
      <c r="EO258" s="193"/>
      <c r="EP258" s="192"/>
      <c r="EQ258" s="192"/>
      <c r="ER258" s="192"/>
      <c r="ES258" s="191"/>
      <c r="ET258" s="19"/>
      <c r="EU258" s="192"/>
      <c r="EV258" s="192"/>
      <c r="EW258" s="192"/>
      <c r="EX258" s="191"/>
      <c r="EY258" s="193"/>
      <c r="EZ258" s="192"/>
      <c r="FA258" s="192"/>
      <c r="FB258" s="192"/>
      <c r="FC258" s="191"/>
      <c r="FL258" s="273">
        <f t="shared" ca="1" si="11"/>
        <v>116</v>
      </c>
    </row>
    <row r="259" spans="1:168" ht="16.5" thickBot="1">
      <c r="A259" s="199">
        <v>256</v>
      </c>
      <c r="B259" s="306"/>
      <c r="C259" s="310"/>
      <c r="D259" s="307" t="s">
        <v>271</v>
      </c>
      <c r="E259" s="307" t="s">
        <v>271</v>
      </c>
      <c r="F259" s="308"/>
      <c r="G259" s="343" t="str">
        <f t="shared" si="9"/>
        <v xml:space="preserve"> </v>
      </c>
      <c r="H259" s="307"/>
      <c r="I259" s="309" t="e">
        <f t="shared" si="10"/>
        <v>#N/A</v>
      </c>
      <c r="J259" s="307"/>
      <c r="K259" s="307"/>
      <c r="L259" s="310"/>
      <c r="M259" s="310"/>
      <c r="N259" s="310"/>
      <c r="O259" s="310"/>
      <c r="P259" s="310"/>
      <c r="Q259" s="310"/>
      <c r="R259" s="310"/>
      <c r="S259" s="310"/>
      <c r="T259" s="310"/>
      <c r="U259" s="307"/>
      <c r="V259" s="307"/>
      <c r="W259" s="311"/>
      <c r="X259" s="307"/>
      <c r="Y259" s="307"/>
      <c r="Z259" s="307"/>
      <c r="AA259" s="307"/>
      <c r="AB259" s="311"/>
      <c r="AC259" s="307"/>
      <c r="AD259" s="307"/>
      <c r="AE259" s="307"/>
      <c r="AF259" s="307"/>
      <c r="AG259" s="310"/>
      <c r="AH259" s="307"/>
      <c r="AI259" s="310"/>
      <c r="AJ259" s="307"/>
      <c r="AK259" s="307"/>
      <c r="AL259" s="307"/>
      <c r="AM259" s="308"/>
      <c r="AN259" s="311"/>
      <c r="AO259" s="307"/>
      <c r="AP259" s="307"/>
      <c r="AQ259" s="308"/>
      <c r="AR259" s="307"/>
      <c r="AS259" s="307"/>
      <c r="AT259" s="307"/>
      <c r="AU259" s="310"/>
      <c r="AV259" s="308"/>
      <c r="AW259" s="312"/>
      <c r="AX259" s="308"/>
      <c r="AY259" s="307"/>
      <c r="AZ259" s="307"/>
      <c r="BA259" s="307"/>
      <c r="BB259" s="307"/>
      <c r="BC259" s="308"/>
      <c r="BD259" s="308"/>
      <c r="BE259" s="313"/>
      <c r="BF259" s="307"/>
      <c r="BG259" s="310"/>
      <c r="BH259" s="307"/>
      <c r="BI259" s="307"/>
      <c r="BJ259" s="310"/>
      <c r="BK259" s="307"/>
      <c r="BL259" s="307"/>
      <c r="BM259" s="310"/>
      <c r="BN259" s="307"/>
      <c r="BO259" s="310"/>
      <c r="BP259" s="307"/>
      <c r="BQ259" s="307"/>
      <c r="BR259" s="307"/>
      <c r="BS259" s="307"/>
      <c r="BT259" s="307"/>
      <c r="BU259" s="310"/>
      <c r="BV259" s="307"/>
      <c r="BW259" s="308"/>
      <c r="BX259" s="311"/>
      <c r="BY259" s="307"/>
      <c r="BZ259" s="307"/>
      <c r="CA259" s="310"/>
      <c r="CB259" s="307"/>
      <c r="CC259" s="307"/>
      <c r="CD259" s="307"/>
      <c r="CE259" s="308"/>
      <c r="CF259" s="308"/>
      <c r="CG259" s="307"/>
      <c r="CH259" s="307"/>
      <c r="CI259" s="307"/>
      <c r="CJ259" s="307"/>
      <c r="CK259" s="314"/>
      <c r="CL259" s="310"/>
      <c r="CM259" s="310"/>
      <c r="CN259" s="307"/>
      <c r="CO259" s="307"/>
      <c r="CP259" s="307"/>
      <c r="CQ259" s="315"/>
      <c r="CR259" s="315"/>
      <c r="CS259" s="315"/>
      <c r="CT259" s="315"/>
      <c r="CU259" s="307"/>
      <c r="CV259" s="217"/>
      <c r="CW259" s="192"/>
      <c r="CX259" s="192"/>
      <c r="CY259" s="192"/>
      <c r="CZ259" s="191"/>
      <c r="DA259" s="193"/>
      <c r="DB259" s="192"/>
      <c r="DC259" s="192"/>
      <c r="DD259" s="192"/>
      <c r="DE259" s="191"/>
      <c r="DF259" s="19"/>
      <c r="DG259" s="192"/>
      <c r="DH259" s="192"/>
      <c r="DI259" s="192"/>
      <c r="DJ259" s="191"/>
      <c r="DK259" s="193"/>
      <c r="DL259" s="192"/>
      <c r="DM259" s="192"/>
      <c r="DN259" s="192"/>
      <c r="DO259" s="191"/>
      <c r="DP259" s="19"/>
      <c r="DQ259" s="192"/>
      <c r="DR259" s="192"/>
      <c r="DS259" s="192"/>
      <c r="DT259" s="191"/>
      <c r="DU259" s="193"/>
      <c r="DV259" s="192"/>
      <c r="DW259" s="192"/>
      <c r="DX259" s="192"/>
      <c r="DY259" s="191"/>
      <c r="DZ259" s="19"/>
      <c r="EA259" s="192"/>
      <c r="EB259" s="192"/>
      <c r="EC259" s="192"/>
      <c r="ED259" s="191"/>
      <c r="EE259" s="193"/>
      <c r="EF259" s="192"/>
      <c r="EG259" s="192"/>
      <c r="EH259" s="192"/>
      <c r="EI259" s="191"/>
      <c r="EJ259" s="19"/>
      <c r="EK259" s="192"/>
      <c r="EL259" s="192"/>
      <c r="EM259" s="192"/>
      <c r="EN259" s="191"/>
      <c r="EO259" s="193"/>
      <c r="EP259" s="192"/>
      <c r="EQ259" s="192"/>
      <c r="ER259" s="192"/>
      <c r="ES259" s="191"/>
      <c r="ET259" s="19"/>
      <c r="EU259" s="192"/>
      <c r="EV259" s="192"/>
      <c r="EW259" s="192"/>
      <c r="EX259" s="191"/>
      <c r="EY259" s="193"/>
      <c r="EZ259" s="192"/>
      <c r="FA259" s="192"/>
      <c r="FB259" s="192"/>
      <c r="FC259" s="191"/>
      <c r="FL259" s="273">
        <f t="shared" ca="1" si="11"/>
        <v>116</v>
      </c>
    </row>
    <row r="260" spans="1:168" ht="16.5" thickBot="1">
      <c r="A260" s="196">
        <v>257</v>
      </c>
      <c r="B260" s="306"/>
      <c r="C260" s="310"/>
      <c r="D260" s="307" t="s">
        <v>271</v>
      </c>
      <c r="E260" s="307" t="s">
        <v>271</v>
      </c>
      <c r="F260" s="308"/>
      <c r="G260" s="343" t="str">
        <f t="shared" si="9"/>
        <v xml:space="preserve"> </v>
      </c>
      <c r="H260" s="307"/>
      <c r="I260" s="309" t="e">
        <f t="shared" si="10"/>
        <v>#N/A</v>
      </c>
      <c r="J260" s="307"/>
      <c r="K260" s="307"/>
      <c r="L260" s="310"/>
      <c r="M260" s="310"/>
      <c r="N260" s="310"/>
      <c r="O260" s="310"/>
      <c r="P260" s="310"/>
      <c r="Q260" s="310"/>
      <c r="R260" s="310"/>
      <c r="S260" s="310"/>
      <c r="T260" s="310"/>
      <c r="U260" s="307"/>
      <c r="V260" s="307"/>
      <c r="W260" s="311"/>
      <c r="X260" s="307"/>
      <c r="Y260" s="307"/>
      <c r="Z260" s="307"/>
      <c r="AA260" s="307"/>
      <c r="AB260" s="311"/>
      <c r="AC260" s="307"/>
      <c r="AD260" s="307"/>
      <c r="AE260" s="307"/>
      <c r="AF260" s="307"/>
      <c r="AG260" s="310"/>
      <c r="AH260" s="307"/>
      <c r="AI260" s="310"/>
      <c r="AJ260" s="307"/>
      <c r="AK260" s="307"/>
      <c r="AL260" s="307"/>
      <c r="AM260" s="308"/>
      <c r="AN260" s="311"/>
      <c r="AO260" s="307"/>
      <c r="AP260" s="307"/>
      <c r="AQ260" s="308"/>
      <c r="AR260" s="307"/>
      <c r="AS260" s="307"/>
      <c r="AT260" s="307"/>
      <c r="AU260" s="310"/>
      <c r="AV260" s="308"/>
      <c r="AW260" s="312"/>
      <c r="AX260" s="308"/>
      <c r="AY260" s="307"/>
      <c r="AZ260" s="307"/>
      <c r="BA260" s="307"/>
      <c r="BB260" s="307"/>
      <c r="BC260" s="308"/>
      <c r="BD260" s="308"/>
      <c r="BE260" s="313"/>
      <c r="BF260" s="307"/>
      <c r="BG260" s="310"/>
      <c r="BH260" s="307"/>
      <c r="BI260" s="307"/>
      <c r="BJ260" s="310"/>
      <c r="BK260" s="307"/>
      <c r="BL260" s="307"/>
      <c r="BM260" s="310"/>
      <c r="BN260" s="307"/>
      <c r="BO260" s="310"/>
      <c r="BP260" s="307"/>
      <c r="BQ260" s="307"/>
      <c r="BR260" s="307"/>
      <c r="BS260" s="307"/>
      <c r="BT260" s="307"/>
      <c r="BU260" s="310"/>
      <c r="BV260" s="307"/>
      <c r="BW260" s="308"/>
      <c r="BX260" s="311"/>
      <c r="BY260" s="307"/>
      <c r="BZ260" s="307"/>
      <c r="CA260" s="310"/>
      <c r="CB260" s="307"/>
      <c r="CC260" s="307"/>
      <c r="CD260" s="307"/>
      <c r="CE260" s="308"/>
      <c r="CF260" s="308"/>
      <c r="CG260" s="307"/>
      <c r="CH260" s="307"/>
      <c r="CI260" s="307"/>
      <c r="CJ260" s="307"/>
      <c r="CK260" s="314"/>
      <c r="CL260" s="310"/>
      <c r="CM260" s="310"/>
      <c r="CN260" s="307"/>
      <c r="CO260" s="307"/>
      <c r="CP260" s="307"/>
      <c r="CQ260" s="315"/>
      <c r="CR260" s="315"/>
      <c r="CS260" s="315"/>
      <c r="CT260" s="315"/>
      <c r="CU260" s="307"/>
      <c r="CV260" s="217"/>
      <c r="CW260" s="192"/>
      <c r="CX260" s="192"/>
      <c r="CY260" s="192"/>
      <c r="CZ260" s="191"/>
      <c r="DA260" s="193"/>
      <c r="DB260" s="192"/>
      <c r="DC260" s="192"/>
      <c r="DD260" s="192"/>
      <c r="DE260" s="191"/>
      <c r="DF260" s="19"/>
      <c r="DG260" s="192"/>
      <c r="DH260" s="192"/>
      <c r="DI260" s="192"/>
      <c r="DJ260" s="191"/>
      <c r="DK260" s="193"/>
      <c r="DL260" s="192"/>
      <c r="DM260" s="192"/>
      <c r="DN260" s="192"/>
      <c r="DO260" s="191"/>
      <c r="DP260" s="19"/>
      <c r="DQ260" s="192"/>
      <c r="DR260" s="192"/>
      <c r="DS260" s="192"/>
      <c r="DT260" s="191"/>
      <c r="DU260" s="193"/>
      <c r="DV260" s="192"/>
      <c r="DW260" s="192"/>
      <c r="DX260" s="192"/>
      <c r="DY260" s="191"/>
      <c r="DZ260" s="19"/>
      <c r="EA260" s="192"/>
      <c r="EB260" s="192"/>
      <c r="EC260" s="192"/>
      <c r="ED260" s="191"/>
      <c r="EE260" s="193"/>
      <c r="EF260" s="192"/>
      <c r="EG260" s="192"/>
      <c r="EH260" s="192"/>
      <c r="EI260" s="191"/>
      <c r="EJ260" s="19"/>
      <c r="EK260" s="192"/>
      <c r="EL260" s="192"/>
      <c r="EM260" s="192"/>
      <c r="EN260" s="191"/>
      <c r="EO260" s="193"/>
      <c r="EP260" s="192"/>
      <c r="EQ260" s="192"/>
      <c r="ER260" s="192"/>
      <c r="ES260" s="191"/>
      <c r="ET260" s="19"/>
      <c r="EU260" s="192"/>
      <c r="EV260" s="192"/>
      <c r="EW260" s="192"/>
      <c r="EX260" s="191"/>
      <c r="EY260" s="193"/>
      <c r="EZ260" s="192"/>
      <c r="FA260" s="192"/>
      <c r="FB260" s="192"/>
      <c r="FC260" s="191"/>
      <c r="FL260" s="273">
        <f t="shared" ca="1" si="11"/>
        <v>116</v>
      </c>
    </row>
    <row r="261" spans="1:168" ht="16.5" thickBot="1">
      <c r="A261" s="199">
        <v>258</v>
      </c>
      <c r="B261" s="306"/>
      <c r="C261" s="310"/>
      <c r="D261" s="307" t="s">
        <v>271</v>
      </c>
      <c r="E261" s="307" t="s">
        <v>271</v>
      </c>
      <c r="F261" s="308"/>
      <c r="G261" s="343" t="str">
        <f t="shared" ref="G261:G324" si="12">IF(F261=0," ",IF(F261&gt;0,FL261))</f>
        <v xml:space="preserve"> </v>
      </c>
      <c r="H261" s="307"/>
      <c r="I261" s="309" t="e">
        <f t="shared" ref="I261:I324" si="13">VLOOKUP(J261,$FH$5:$FI$32,2)</f>
        <v>#N/A</v>
      </c>
      <c r="J261" s="307"/>
      <c r="K261" s="307"/>
      <c r="L261" s="310"/>
      <c r="M261" s="310"/>
      <c r="N261" s="310"/>
      <c r="O261" s="310"/>
      <c r="P261" s="310"/>
      <c r="Q261" s="310"/>
      <c r="R261" s="310"/>
      <c r="S261" s="310"/>
      <c r="T261" s="310"/>
      <c r="U261" s="307"/>
      <c r="V261" s="307"/>
      <c r="W261" s="311"/>
      <c r="X261" s="307"/>
      <c r="Y261" s="307"/>
      <c r="Z261" s="307"/>
      <c r="AA261" s="307"/>
      <c r="AB261" s="311"/>
      <c r="AC261" s="307"/>
      <c r="AD261" s="307"/>
      <c r="AE261" s="307"/>
      <c r="AF261" s="307"/>
      <c r="AG261" s="310"/>
      <c r="AH261" s="307"/>
      <c r="AI261" s="310"/>
      <c r="AJ261" s="307"/>
      <c r="AK261" s="307"/>
      <c r="AL261" s="307"/>
      <c r="AM261" s="308"/>
      <c r="AN261" s="311"/>
      <c r="AO261" s="307"/>
      <c r="AP261" s="307"/>
      <c r="AQ261" s="308"/>
      <c r="AR261" s="307"/>
      <c r="AS261" s="307"/>
      <c r="AT261" s="307"/>
      <c r="AU261" s="310"/>
      <c r="AV261" s="308"/>
      <c r="AW261" s="312"/>
      <c r="AX261" s="308"/>
      <c r="AY261" s="307"/>
      <c r="AZ261" s="307"/>
      <c r="BA261" s="307"/>
      <c r="BB261" s="307"/>
      <c r="BC261" s="308"/>
      <c r="BD261" s="308"/>
      <c r="BE261" s="313"/>
      <c r="BF261" s="307"/>
      <c r="BG261" s="310"/>
      <c r="BH261" s="307"/>
      <c r="BI261" s="307"/>
      <c r="BJ261" s="310"/>
      <c r="BK261" s="307"/>
      <c r="BL261" s="307"/>
      <c r="BM261" s="310"/>
      <c r="BN261" s="307"/>
      <c r="BO261" s="310"/>
      <c r="BP261" s="307"/>
      <c r="BQ261" s="307"/>
      <c r="BR261" s="307"/>
      <c r="BS261" s="307"/>
      <c r="BT261" s="307"/>
      <c r="BU261" s="310"/>
      <c r="BV261" s="307"/>
      <c r="BW261" s="308"/>
      <c r="BX261" s="311"/>
      <c r="BY261" s="307"/>
      <c r="BZ261" s="307"/>
      <c r="CA261" s="310"/>
      <c r="CB261" s="307"/>
      <c r="CC261" s="307"/>
      <c r="CD261" s="307"/>
      <c r="CE261" s="308"/>
      <c r="CF261" s="308"/>
      <c r="CG261" s="307"/>
      <c r="CH261" s="307"/>
      <c r="CI261" s="307"/>
      <c r="CJ261" s="307"/>
      <c r="CK261" s="314"/>
      <c r="CL261" s="310"/>
      <c r="CM261" s="310"/>
      <c r="CN261" s="307"/>
      <c r="CO261" s="307"/>
      <c r="CP261" s="307"/>
      <c r="CQ261" s="315"/>
      <c r="CR261" s="315"/>
      <c r="CS261" s="315"/>
      <c r="CT261" s="315"/>
      <c r="CU261" s="307"/>
      <c r="CV261" s="217"/>
      <c r="CW261" s="192"/>
      <c r="CX261" s="192"/>
      <c r="CY261" s="192"/>
      <c r="CZ261" s="191"/>
      <c r="DA261" s="193"/>
      <c r="DB261" s="192"/>
      <c r="DC261" s="192"/>
      <c r="DD261" s="192"/>
      <c r="DE261" s="191"/>
      <c r="DF261" s="19"/>
      <c r="DG261" s="192"/>
      <c r="DH261" s="192"/>
      <c r="DI261" s="192"/>
      <c r="DJ261" s="191"/>
      <c r="DK261" s="193"/>
      <c r="DL261" s="192"/>
      <c r="DM261" s="192"/>
      <c r="DN261" s="192"/>
      <c r="DO261" s="191"/>
      <c r="DP261" s="19"/>
      <c r="DQ261" s="192"/>
      <c r="DR261" s="192"/>
      <c r="DS261" s="192"/>
      <c r="DT261" s="191"/>
      <c r="DU261" s="193"/>
      <c r="DV261" s="192"/>
      <c r="DW261" s="192"/>
      <c r="DX261" s="192"/>
      <c r="DY261" s="191"/>
      <c r="DZ261" s="19"/>
      <c r="EA261" s="192"/>
      <c r="EB261" s="192"/>
      <c r="EC261" s="192"/>
      <c r="ED261" s="191"/>
      <c r="EE261" s="193"/>
      <c r="EF261" s="192"/>
      <c r="EG261" s="192"/>
      <c r="EH261" s="192"/>
      <c r="EI261" s="191"/>
      <c r="EJ261" s="19"/>
      <c r="EK261" s="192"/>
      <c r="EL261" s="192"/>
      <c r="EM261" s="192"/>
      <c r="EN261" s="191"/>
      <c r="EO261" s="193"/>
      <c r="EP261" s="192"/>
      <c r="EQ261" s="192"/>
      <c r="ER261" s="192"/>
      <c r="ES261" s="191"/>
      <c r="ET261" s="19"/>
      <c r="EU261" s="192"/>
      <c r="EV261" s="192"/>
      <c r="EW261" s="192"/>
      <c r="EX261" s="191"/>
      <c r="EY261" s="193"/>
      <c r="EZ261" s="192"/>
      <c r="FA261" s="192"/>
      <c r="FB261" s="192"/>
      <c r="FC261" s="191"/>
      <c r="FL261" s="273">
        <f t="shared" ca="1" si="11"/>
        <v>116</v>
      </c>
    </row>
    <row r="262" spans="1:168" ht="16.5" thickBot="1">
      <c r="A262" s="196">
        <v>259</v>
      </c>
      <c r="B262" s="306"/>
      <c r="C262" s="310"/>
      <c r="D262" s="307" t="s">
        <v>271</v>
      </c>
      <c r="E262" s="307" t="s">
        <v>271</v>
      </c>
      <c r="F262" s="308"/>
      <c r="G262" s="343" t="str">
        <f t="shared" si="12"/>
        <v xml:space="preserve"> </v>
      </c>
      <c r="H262" s="307"/>
      <c r="I262" s="309" t="e">
        <f t="shared" si="13"/>
        <v>#N/A</v>
      </c>
      <c r="J262" s="307"/>
      <c r="K262" s="307"/>
      <c r="L262" s="310"/>
      <c r="M262" s="310"/>
      <c r="N262" s="310"/>
      <c r="O262" s="310"/>
      <c r="P262" s="310"/>
      <c r="Q262" s="310"/>
      <c r="R262" s="310"/>
      <c r="S262" s="310"/>
      <c r="T262" s="310"/>
      <c r="U262" s="307"/>
      <c r="V262" s="307"/>
      <c r="W262" s="311"/>
      <c r="X262" s="307"/>
      <c r="Y262" s="307"/>
      <c r="Z262" s="307"/>
      <c r="AA262" s="307"/>
      <c r="AB262" s="311"/>
      <c r="AC262" s="307"/>
      <c r="AD262" s="307"/>
      <c r="AE262" s="307"/>
      <c r="AF262" s="307"/>
      <c r="AG262" s="310"/>
      <c r="AH262" s="307"/>
      <c r="AI262" s="310"/>
      <c r="AJ262" s="307"/>
      <c r="AK262" s="307"/>
      <c r="AL262" s="307"/>
      <c r="AM262" s="308"/>
      <c r="AN262" s="311"/>
      <c r="AO262" s="307"/>
      <c r="AP262" s="307"/>
      <c r="AQ262" s="308"/>
      <c r="AR262" s="307"/>
      <c r="AS262" s="307"/>
      <c r="AT262" s="307"/>
      <c r="AU262" s="310"/>
      <c r="AV262" s="308"/>
      <c r="AW262" s="312"/>
      <c r="AX262" s="308"/>
      <c r="AY262" s="307"/>
      <c r="AZ262" s="307"/>
      <c r="BA262" s="307"/>
      <c r="BB262" s="307"/>
      <c r="BC262" s="308"/>
      <c r="BD262" s="308"/>
      <c r="BE262" s="313"/>
      <c r="BF262" s="307"/>
      <c r="BG262" s="310"/>
      <c r="BH262" s="307"/>
      <c r="BI262" s="307"/>
      <c r="BJ262" s="310"/>
      <c r="BK262" s="307"/>
      <c r="BL262" s="307"/>
      <c r="BM262" s="310"/>
      <c r="BN262" s="307"/>
      <c r="BO262" s="310"/>
      <c r="BP262" s="307"/>
      <c r="BQ262" s="307"/>
      <c r="BR262" s="307"/>
      <c r="BS262" s="307"/>
      <c r="BT262" s="307"/>
      <c r="BU262" s="310"/>
      <c r="BV262" s="307"/>
      <c r="BW262" s="308"/>
      <c r="BX262" s="311"/>
      <c r="BY262" s="307"/>
      <c r="BZ262" s="307"/>
      <c r="CA262" s="310"/>
      <c r="CB262" s="307"/>
      <c r="CC262" s="307"/>
      <c r="CD262" s="307"/>
      <c r="CE262" s="308"/>
      <c r="CF262" s="308"/>
      <c r="CG262" s="307"/>
      <c r="CH262" s="307"/>
      <c r="CI262" s="307"/>
      <c r="CJ262" s="307"/>
      <c r="CK262" s="314"/>
      <c r="CL262" s="310"/>
      <c r="CM262" s="310"/>
      <c r="CN262" s="307"/>
      <c r="CO262" s="307"/>
      <c r="CP262" s="307"/>
      <c r="CQ262" s="315"/>
      <c r="CR262" s="315"/>
      <c r="CS262" s="315"/>
      <c r="CT262" s="315"/>
      <c r="CU262" s="307"/>
      <c r="CV262" s="217"/>
      <c r="CW262" s="192"/>
      <c r="CX262" s="192"/>
      <c r="CY262" s="192"/>
      <c r="CZ262" s="191"/>
      <c r="DA262" s="193"/>
      <c r="DB262" s="192"/>
      <c r="DC262" s="192"/>
      <c r="DD262" s="192"/>
      <c r="DE262" s="191"/>
      <c r="DF262" s="19"/>
      <c r="DG262" s="192"/>
      <c r="DH262" s="192"/>
      <c r="DI262" s="192"/>
      <c r="DJ262" s="191"/>
      <c r="DK262" s="193"/>
      <c r="DL262" s="192"/>
      <c r="DM262" s="192"/>
      <c r="DN262" s="192"/>
      <c r="DO262" s="191"/>
      <c r="DP262" s="19"/>
      <c r="DQ262" s="192"/>
      <c r="DR262" s="192"/>
      <c r="DS262" s="192"/>
      <c r="DT262" s="191"/>
      <c r="DU262" s="193"/>
      <c r="DV262" s="192"/>
      <c r="DW262" s="192"/>
      <c r="DX262" s="192"/>
      <c r="DY262" s="191"/>
      <c r="DZ262" s="19"/>
      <c r="EA262" s="192"/>
      <c r="EB262" s="192"/>
      <c r="EC262" s="192"/>
      <c r="ED262" s="191"/>
      <c r="EE262" s="193"/>
      <c r="EF262" s="192"/>
      <c r="EG262" s="192"/>
      <c r="EH262" s="192"/>
      <c r="EI262" s="191"/>
      <c r="EJ262" s="19"/>
      <c r="EK262" s="192"/>
      <c r="EL262" s="192"/>
      <c r="EM262" s="192"/>
      <c r="EN262" s="191"/>
      <c r="EO262" s="193"/>
      <c r="EP262" s="192"/>
      <c r="EQ262" s="192"/>
      <c r="ER262" s="192"/>
      <c r="ES262" s="191"/>
      <c r="ET262" s="19"/>
      <c r="EU262" s="192"/>
      <c r="EV262" s="192"/>
      <c r="EW262" s="192"/>
      <c r="EX262" s="191"/>
      <c r="EY262" s="193"/>
      <c r="EZ262" s="192"/>
      <c r="FA262" s="192"/>
      <c r="FB262" s="192"/>
      <c r="FC262" s="191"/>
      <c r="FL262" s="273">
        <f t="shared" ref="FL262:FL325" ca="1" si="14">YEAR($FL$3)-YEAR(F262)-1+IF(DATE(1901,MONTH(F262),DAY(F262))-DATE(1901,MONTH($FL$3),DAY($FL$3))&lt;=0,1,0)</f>
        <v>116</v>
      </c>
    </row>
    <row r="263" spans="1:168" ht="16.5" thickBot="1">
      <c r="A263" s="199">
        <v>260</v>
      </c>
      <c r="B263" s="306"/>
      <c r="C263" s="310"/>
      <c r="D263" s="307" t="s">
        <v>271</v>
      </c>
      <c r="E263" s="307" t="s">
        <v>271</v>
      </c>
      <c r="F263" s="308"/>
      <c r="G263" s="343" t="str">
        <f t="shared" si="12"/>
        <v xml:space="preserve"> </v>
      </c>
      <c r="H263" s="307"/>
      <c r="I263" s="309" t="e">
        <f t="shared" si="13"/>
        <v>#N/A</v>
      </c>
      <c r="J263" s="307"/>
      <c r="K263" s="307"/>
      <c r="L263" s="310"/>
      <c r="M263" s="310"/>
      <c r="N263" s="310"/>
      <c r="O263" s="310"/>
      <c r="P263" s="310"/>
      <c r="Q263" s="310"/>
      <c r="R263" s="310"/>
      <c r="S263" s="310"/>
      <c r="T263" s="310"/>
      <c r="U263" s="307"/>
      <c r="V263" s="307"/>
      <c r="W263" s="311"/>
      <c r="X263" s="307"/>
      <c r="Y263" s="307"/>
      <c r="Z263" s="307"/>
      <c r="AA263" s="307"/>
      <c r="AB263" s="311"/>
      <c r="AC263" s="307"/>
      <c r="AD263" s="307"/>
      <c r="AE263" s="307"/>
      <c r="AF263" s="307"/>
      <c r="AG263" s="310"/>
      <c r="AH263" s="307"/>
      <c r="AI263" s="310"/>
      <c r="AJ263" s="307"/>
      <c r="AK263" s="307"/>
      <c r="AL263" s="307"/>
      <c r="AM263" s="308"/>
      <c r="AN263" s="311"/>
      <c r="AO263" s="307"/>
      <c r="AP263" s="307"/>
      <c r="AQ263" s="308"/>
      <c r="AR263" s="307"/>
      <c r="AS263" s="307"/>
      <c r="AT263" s="307"/>
      <c r="AU263" s="310"/>
      <c r="AV263" s="308"/>
      <c r="AW263" s="312"/>
      <c r="AX263" s="308"/>
      <c r="AY263" s="307"/>
      <c r="AZ263" s="307"/>
      <c r="BA263" s="307"/>
      <c r="BB263" s="307"/>
      <c r="BC263" s="308"/>
      <c r="BD263" s="308"/>
      <c r="BE263" s="313"/>
      <c r="BF263" s="307"/>
      <c r="BG263" s="310"/>
      <c r="BH263" s="307"/>
      <c r="BI263" s="307"/>
      <c r="BJ263" s="310"/>
      <c r="BK263" s="307"/>
      <c r="BL263" s="307"/>
      <c r="BM263" s="310"/>
      <c r="BN263" s="307"/>
      <c r="BO263" s="310"/>
      <c r="BP263" s="307"/>
      <c r="BQ263" s="307"/>
      <c r="BR263" s="307"/>
      <c r="BS263" s="307"/>
      <c r="BT263" s="307"/>
      <c r="BU263" s="310"/>
      <c r="BV263" s="307"/>
      <c r="BW263" s="308"/>
      <c r="BX263" s="311"/>
      <c r="BY263" s="307"/>
      <c r="BZ263" s="307"/>
      <c r="CA263" s="310"/>
      <c r="CB263" s="307"/>
      <c r="CC263" s="307"/>
      <c r="CD263" s="307"/>
      <c r="CE263" s="308"/>
      <c r="CF263" s="308"/>
      <c r="CG263" s="307"/>
      <c r="CH263" s="307"/>
      <c r="CI263" s="307"/>
      <c r="CJ263" s="307"/>
      <c r="CK263" s="314"/>
      <c r="CL263" s="310"/>
      <c r="CM263" s="310"/>
      <c r="CN263" s="307"/>
      <c r="CO263" s="307"/>
      <c r="CP263" s="307"/>
      <c r="CQ263" s="315"/>
      <c r="CR263" s="315"/>
      <c r="CS263" s="315"/>
      <c r="CT263" s="315"/>
      <c r="CU263" s="307"/>
      <c r="CV263" s="217"/>
      <c r="CW263" s="192"/>
      <c r="CX263" s="192"/>
      <c r="CY263" s="192"/>
      <c r="CZ263" s="191"/>
      <c r="DA263" s="193"/>
      <c r="DB263" s="192"/>
      <c r="DC263" s="192"/>
      <c r="DD263" s="192"/>
      <c r="DE263" s="191"/>
      <c r="DF263" s="19"/>
      <c r="DG263" s="192"/>
      <c r="DH263" s="192"/>
      <c r="DI263" s="192"/>
      <c r="DJ263" s="191"/>
      <c r="DK263" s="193"/>
      <c r="DL263" s="192"/>
      <c r="DM263" s="192"/>
      <c r="DN263" s="192"/>
      <c r="DO263" s="191"/>
      <c r="DP263" s="19"/>
      <c r="DQ263" s="192"/>
      <c r="DR263" s="192"/>
      <c r="DS263" s="192"/>
      <c r="DT263" s="191"/>
      <c r="DU263" s="193"/>
      <c r="DV263" s="192"/>
      <c r="DW263" s="192"/>
      <c r="DX263" s="192"/>
      <c r="DY263" s="191"/>
      <c r="DZ263" s="19"/>
      <c r="EA263" s="192"/>
      <c r="EB263" s="192"/>
      <c r="EC263" s="192"/>
      <c r="ED263" s="191"/>
      <c r="EE263" s="193"/>
      <c r="EF263" s="192"/>
      <c r="EG263" s="192"/>
      <c r="EH263" s="192"/>
      <c r="EI263" s="191"/>
      <c r="EJ263" s="19"/>
      <c r="EK263" s="192"/>
      <c r="EL263" s="192"/>
      <c r="EM263" s="192"/>
      <c r="EN263" s="191"/>
      <c r="EO263" s="193"/>
      <c r="EP263" s="192"/>
      <c r="EQ263" s="192"/>
      <c r="ER263" s="192"/>
      <c r="ES263" s="191"/>
      <c r="ET263" s="19"/>
      <c r="EU263" s="192"/>
      <c r="EV263" s="192"/>
      <c r="EW263" s="192"/>
      <c r="EX263" s="191"/>
      <c r="EY263" s="193"/>
      <c r="EZ263" s="192"/>
      <c r="FA263" s="192"/>
      <c r="FB263" s="192"/>
      <c r="FC263" s="191"/>
      <c r="FL263" s="273">
        <f t="shared" ca="1" si="14"/>
        <v>116</v>
      </c>
    </row>
    <row r="264" spans="1:168" ht="16.5" thickBot="1">
      <c r="A264" s="196">
        <v>261</v>
      </c>
      <c r="B264" s="306"/>
      <c r="C264" s="310"/>
      <c r="D264" s="307" t="s">
        <v>271</v>
      </c>
      <c r="E264" s="307" t="s">
        <v>271</v>
      </c>
      <c r="F264" s="308"/>
      <c r="G264" s="343" t="str">
        <f t="shared" si="12"/>
        <v xml:space="preserve"> </v>
      </c>
      <c r="H264" s="307"/>
      <c r="I264" s="309" t="e">
        <f t="shared" si="13"/>
        <v>#N/A</v>
      </c>
      <c r="J264" s="307"/>
      <c r="K264" s="307"/>
      <c r="L264" s="310"/>
      <c r="M264" s="310"/>
      <c r="N264" s="310"/>
      <c r="O264" s="310"/>
      <c r="P264" s="310"/>
      <c r="Q264" s="310"/>
      <c r="R264" s="310"/>
      <c r="S264" s="310"/>
      <c r="T264" s="310"/>
      <c r="U264" s="307"/>
      <c r="V264" s="307"/>
      <c r="W264" s="311"/>
      <c r="X264" s="307"/>
      <c r="Y264" s="307"/>
      <c r="Z264" s="307"/>
      <c r="AA264" s="307"/>
      <c r="AB264" s="311"/>
      <c r="AC264" s="307"/>
      <c r="AD264" s="307"/>
      <c r="AE264" s="307"/>
      <c r="AF264" s="307"/>
      <c r="AG264" s="310"/>
      <c r="AH264" s="307"/>
      <c r="AI264" s="310"/>
      <c r="AJ264" s="307"/>
      <c r="AK264" s="307"/>
      <c r="AL264" s="307"/>
      <c r="AM264" s="308"/>
      <c r="AN264" s="311"/>
      <c r="AO264" s="307"/>
      <c r="AP264" s="307"/>
      <c r="AQ264" s="308"/>
      <c r="AR264" s="307"/>
      <c r="AS264" s="307"/>
      <c r="AT264" s="307"/>
      <c r="AU264" s="310"/>
      <c r="AV264" s="308"/>
      <c r="AW264" s="312"/>
      <c r="AX264" s="308"/>
      <c r="AY264" s="307"/>
      <c r="AZ264" s="307"/>
      <c r="BA264" s="307"/>
      <c r="BB264" s="307"/>
      <c r="BC264" s="308"/>
      <c r="BD264" s="308"/>
      <c r="BE264" s="313"/>
      <c r="BF264" s="307"/>
      <c r="BG264" s="310"/>
      <c r="BH264" s="307"/>
      <c r="BI264" s="307"/>
      <c r="BJ264" s="310"/>
      <c r="BK264" s="307"/>
      <c r="BL264" s="307"/>
      <c r="BM264" s="310"/>
      <c r="BN264" s="307"/>
      <c r="BO264" s="310"/>
      <c r="BP264" s="307"/>
      <c r="BQ264" s="307"/>
      <c r="BR264" s="307"/>
      <c r="BS264" s="307"/>
      <c r="BT264" s="307"/>
      <c r="BU264" s="310"/>
      <c r="BV264" s="307"/>
      <c r="BW264" s="308"/>
      <c r="BX264" s="311"/>
      <c r="BY264" s="307"/>
      <c r="BZ264" s="307"/>
      <c r="CA264" s="310"/>
      <c r="CB264" s="307"/>
      <c r="CC264" s="307"/>
      <c r="CD264" s="307"/>
      <c r="CE264" s="308"/>
      <c r="CF264" s="308"/>
      <c r="CG264" s="307"/>
      <c r="CH264" s="307"/>
      <c r="CI264" s="307"/>
      <c r="CJ264" s="307"/>
      <c r="CK264" s="314"/>
      <c r="CL264" s="310"/>
      <c r="CM264" s="310"/>
      <c r="CN264" s="307"/>
      <c r="CO264" s="307"/>
      <c r="CP264" s="307"/>
      <c r="CQ264" s="315"/>
      <c r="CR264" s="315"/>
      <c r="CS264" s="315"/>
      <c r="CT264" s="315"/>
      <c r="CU264" s="307"/>
      <c r="CV264" s="217"/>
      <c r="CW264" s="192"/>
      <c r="CX264" s="192"/>
      <c r="CY264" s="192"/>
      <c r="CZ264" s="191"/>
      <c r="DA264" s="193"/>
      <c r="DB264" s="192"/>
      <c r="DC264" s="192"/>
      <c r="DD264" s="192"/>
      <c r="DE264" s="191"/>
      <c r="DF264" s="19"/>
      <c r="DG264" s="192"/>
      <c r="DH264" s="192"/>
      <c r="DI264" s="192"/>
      <c r="DJ264" s="191"/>
      <c r="DK264" s="193"/>
      <c r="DL264" s="192"/>
      <c r="DM264" s="192"/>
      <c r="DN264" s="192"/>
      <c r="DO264" s="191"/>
      <c r="DP264" s="19"/>
      <c r="DQ264" s="192"/>
      <c r="DR264" s="192"/>
      <c r="DS264" s="192"/>
      <c r="DT264" s="191"/>
      <c r="DU264" s="193"/>
      <c r="DV264" s="192"/>
      <c r="DW264" s="192"/>
      <c r="DX264" s="192"/>
      <c r="DY264" s="191"/>
      <c r="DZ264" s="19"/>
      <c r="EA264" s="192"/>
      <c r="EB264" s="192"/>
      <c r="EC264" s="192"/>
      <c r="ED264" s="191"/>
      <c r="EE264" s="193"/>
      <c r="EF264" s="192"/>
      <c r="EG264" s="192"/>
      <c r="EH264" s="192"/>
      <c r="EI264" s="191"/>
      <c r="EJ264" s="19"/>
      <c r="EK264" s="192"/>
      <c r="EL264" s="192"/>
      <c r="EM264" s="192"/>
      <c r="EN264" s="191"/>
      <c r="EO264" s="193"/>
      <c r="EP264" s="192"/>
      <c r="EQ264" s="192"/>
      <c r="ER264" s="192"/>
      <c r="ES264" s="191"/>
      <c r="ET264" s="19"/>
      <c r="EU264" s="192"/>
      <c r="EV264" s="192"/>
      <c r="EW264" s="192"/>
      <c r="EX264" s="191"/>
      <c r="EY264" s="193"/>
      <c r="EZ264" s="192"/>
      <c r="FA264" s="192"/>
      <c r="FB264" s="192"/>
      <c r="FC264" s="191"/>
      <c r="FL264" s="273">
        <f t="shared" ca="1" si="14"/>
        <v>116</v>
      </c>
    </row>
    <row r="265" spans="1:168" ht="16.5" thickBot="1">
      <c r="A265" s="199">
        <v>262</v>
      </c>
      <c r="B265" s="306"/>
      <c r="C265" s="310"/>
      <c r="D265" s="307" t="s">
        <v>271</v>
      </c>
      <c r="E265" s="307" t="s">
        <v>271</v>
      </c>
      <c r="F265" s="308"/>
      <c r="G265" s="343" t="str">
        <f t="shared" si="12"/>
        <v xml:space="preserve"> </v>
      </c>
      <c r="H265" s="307"/>
      <c r="I265" s="309" t="e">
        <f t="shared" si="13"/>
        <v>#N/A</v>
      </c>
      <c r="J265" s="307"/>
      <c r="K265" s="307"/>
      <c r="L265" s="310"/>
      <c r="M265" s="310"/>
      <c r="N265" s="310"/>
      <c r="O265" s="310"/>
      <c r="P265" s="310"/>
      <c r="Q265" s="310"/>
      <c r="R265" s="310"/>
      <c r="S265" s="310"/>
      <c r="T265" s="310"/>
      <c r="U265" s="307"/>
      <c r="V265" s="307"/>
      <c r="W265" s="311"/>
      <c r="X265" s="307"/>
      <c r="Y265" s="307"/>
      <c r="Z265" s="307"/>
      <c r="AA265" s="307"/>
      <c r="AB265" s="311"/>
      <c r="AC265" s="307"/>
      <c r="AD265" s="307"/>
      <c r="AE265" s="307"/>
      <c r="AF265" s="307"/>
      <c r="AG265" s="310"/>
      <c r="AH265" s="307"/>
      <c r="AI265" s="310"/>
      <c r="AJ265" s="307"/>
      <c r="AK265" s="307"/>
      <c r="AL265" s="307"/>
      <c r="AM265" s="308"/>
      <c r="AN265" s="311"/>
      <c r="AO265" s="307"/>
      <c r="AP265" s="307"/>
      <c r="AQ265" s="308"/>
      <c r="AR265" s="307"/>
      <c r="AS265" s="307"/>
      <c r="AT265" s="307"/>
      <c r="AU265" s="310"/>
      <c r="AV265" s="308"/>
      <c r="AW265" s="312"/>
      <c r="AX265" s="308"/>
      <c r="AY265" s="307"/>
      <c r="AZ265" s="307"/>
      <c r="BA265" s="307"/>
      <c r="BB265" s="307"/>
      <c r="BC265" s="308"/>
      <c r="BD265" s="308"/>
      <c r="BE265" s="313"/>
      <c r="BF265" s="307"/>
      <c r="BG265" s="310"/>
      <c r="BH265" s="307"/>
      <c r="BI265" s="307"/>
      <c r="BJ265" s="310"/>
      <c r="BK265" s="307"/>
      <c r="BL265" s="307"/>
      <c r="BM265" s="310"/>
      <c r="BN265" s="307"/>
      <c r="BO265" s="310"/>
      <c r="BP265" s="307"/>
      <c r="BQ265" s="307"/>
      <c r="BR265" s="307"/>
      <c r="BS265" s="307"/>
      <c r="BT265" s="307"/>
      <c r="BU265" s="310"/>
      <c r="BV265" s="307"/>
      <c r="BW265" s="308"/>
      <c r="BX265" s="311"/>
      <c r="BY265" s="307"/>
      <c r="BZ265" s="307"/>
      <c r="CA265" s="310"/>
      <c r="CB265" s="307"/>
      <c r="CC265" s="307"/>
      <c r="CD265" s="307"/>
      <c r="CE265" s="308"/>
      <c r="CF265" s="308"/>
      <c r="CG265" s="307"/>
      <c r="CH265" s="307"/>
      <c r="CI265" s="307"/>
      <c r="CJ265" s="307"/>
      <c r="CK265" s="314"/>
      <c r="CL265" s="310"/>
      <c r="CM265" s="310"/>
      <c r="CN265" s="307"/>
      <c r="CO265" s="307"/>
      <c r="CP265" s="307"/>
      <c r="CQ265" s="315"/>
      <c r="CR265" s="315"/>
      <c r="CS265" s="315"/>
      <c r="CT265" s="315"/>
      <c r="CU265" s="307"/>
      <c r="CV265" s="217"/>
      <c r="CW265" s="192"/>
      <c r="CX265" s="192"/>
      <c r="CY265" s="192"/>
      <c r="CZ265" s="191"/>
      <c r="DA265" s="193"/>
      <c r="DB265" s="192"/>
      <c r="DC265" s="192"/>
      <c r="DD265" s="192"/>
      <c r="DE265" s="191"/>
      <c r="DF265" s="19"/>
      <c r="DG265" s="192"/>
      <c r="DH265" s="192"/>
      <c r="DI265" s="192"/>
      <c r="DJ265" s="191"/>
      <c r="DK265" s="193"/>
      <c r="DL265" s="192"/>
      <c r="DM265" s="192"/>
      <c r="DN265" s="192"/>
      <c r="DO265" s="191"/>
      <c r="DP265" s="19"/>
      <c r="DQ265" s="192"/>
      <c r="DR265" s="192"/>
      <c r="DS265" s="192"/>
      <c r="DT265" s="191"/>
      <c r="DU265" s="193"/>
      <c r="DV265" s="192"/>
      <c r="DW265" s="192"/>
      <c r="DX265" s="192"/>
      <c r="DY265" s="191"/>
      <c r="DZ265" s="19"/>
      <c r="EA265" s="192"/>
      <c r="EB265" s="192"/>
      <c r="EC265" s="192"/>
      <c r="ED265" s="191"/>
      <c r="EE265" s="193"/>
      <c r="EF265" s="192"/>
      <c r="EG265" s="192"/>
      <c r="EH265" s="192"/>
      <c r="EI265" s="191"/>
      <c r="EJ265" s="19"/>
      <c r="EK265" s="192"/>
      <c r="EL265" s="192"/>
      <c r="EM265" s="192"/>
      <c r="EN265" s="191"/>
      <c r="EO265" s="193"/>
      <c r="EP265" s="192"/>
      <c r="EQ265" s="192"/>
      <c r="ER265" s="192"/>
      <c r="ES265" s="191"/>
      <c r="ET265" s="19"/>
      <c r="EU265" s="192"/>
      <c r="EV265" s="192"/>
      <c r="EW265" s="192"/>
      <c r="EX265" s="191"/>
      <c r="EY265" s="193"/>
      <c r="EZ265" s="192"/>
      <c r="FA265" s="192"/>
      <c r="FB265" s="192"/>
      <c r="FC265" s="191"/>
      <c r="FL265" s="273">
        <f t="shared" ca="1" si="14"/>
        <v>116</v>
      </c>
    </row>
    <row r="266" spans="1:168" ht="16.5" thickBot="1">
      <c r="A266" s="196">
        <v>263</v>
      </c>
      <c r="B266" s="306"/>
      <c r="C266" s="310"/>
      <c r="D266" s="307" t="s">
        <v>271</v>
      </c>
      <c r="E266" s="307" t="s">
        <v>271</v>
      </c>
      <c r="F266" s="308"/>
      <c r="G266" s="343" t="str">
        <f t="shared" si="12"/>
        <v xml:space="preserve"> </v>
      </c>
      <c r="H266" s="307"/>
      <c r="I266" s="309" t="e">
        <f t="shared" si="13"/>
        <v>#N/A</v>
      </c>
      <c r="J266" s="307"/>
      <c r="K266" s="307"/>
      <c r="L266" s="310"/>
      <c r="M266" s="310"/>
      <c r="N266" s="310"/>
      <c r="O266" s="310"/>
      <c r="P266" s="310"/>
      <c r="Q266" s="310"/>
      <c r="R266" s="310"/>
      <c r="S266" s="310"/>
      <c r="T266" s="310"/>
      <c r="U266" s="307"/>
      <c r="V266" s="307"/>
      <c r="W266" s="311"/>
      <c r="X266" s="307"/>
      <c r="Y266" s="307"/>
      <c r="Z266" s="307"/>
      <c r="AA266" s="307"/>
      <c r="AB266" s="311"/>
      <c r="AC266" s="307"/>
      <c r="AD266" s="307"/>
      <c r="AE266" s="307"/>
      <c r="AF266" s="307"/>
      <c r="AG266" s="310"/>
      <c r="AH266" s="307"/>
      <c r="AI266" s="310"/>
      <c r="AJ266" s="307"/>
      <c r="AK266" s="307"/>
      <c r="AL266" s="307"/>
      <c r="AM266" s="308"/>
      <c r="AN266" s="311"/>
      <c r="AO266" s="307"/>
      <c r="AP266" s="307"/>
      <c r="AQ266" s="308"/>
      <c r="AR266" s="307"/>
      <c r="AS266" s="307"/>
      <c r="AT266" s="307"/>
      <c r="AU266" s="310"/>
      <c r="AV266" s="308"/>
      <c r="AW266" s="312"/>
      <c r="AX266" s="308"/>
      <c r="AY266" s="307"/>
      <c r="AZ266" s="307"/>
      <c r="BA266" s="307"/>
      <c r="BB266" s="307"/>
      <c r="BC266" s="308"/>
      <c r="BD266" s="308"/>
      <c r="BE266" s="313"/>
      <c r="BF266" s="307"/>
      <c r="BG266" s="310"/>
      <c r="BH266" s="307"/>
      <c r="BI266" s="307"/>
      <c r="BJ266" s="310"/>
      <c r="BK266" s="307"/>
      <c r="BL266" s="307"/>
      <c r="BM266" s="310"/>
      <c r="BN266" s="307"/>
      <c r="BO266" s="310"/>
      <c r="BP266" s="307"/>
      <c r="BQ266" s="307"/>
      <c r="BR266" s="307"/>
      <c r="BS266" s="307"/>
      <c r="BT266" s="307"/>
      <c r="BU266" s="310"/>
      <c r="BV266" s="307"/>
      <c r="BW266" s="308"/>
      <c r="BX266" s="311"/>
      <c r="BY266" s="307"/>
      <c r="BZ266" s="307"/>
      <c r="CA266" s="310"/>
      <c r="CB266" s="307"/>
      <c r="CC266" s="307"/>
      <c r="CD266" s="307"/>
      <c r="CE266" s="308"/>
      <c r="CF266" s="308"/>
      <c r="CG266" s="307"/>
      <c r="CH266" s="307"/>
      <c r="CI266" s="307"/>
      <c r="CJ266" s="307"/>
      <c r="CK266" s="314"/>
      <c r="CL266" s="310"/>
      <c r="CM266" s="310"/>
      <c r="CN266" s="307"/>
      <c r="CO266" s="307"/>
      <c r="CP266" s="307"/>
      <c r="CQ266" s="315"/>
      <c r="CR266" s="315"/>
      <c r="CS266" s="315"/>
      <c r="CT266" s="315"/>
      <c r="CU266" s="307"/>
      <c r="CV266" s="217"/>
      <c r="CW266" s="192"/>
      <c r="CX266" s="192"/>
      <c r="CY266" s="192"/>
      <c r="CZ266" s="191"/>
      <c r="DA266" s="193"/>
      <c r="DB266" s="192"/>
      <c r="DC266" s="192"/>
      <c r="DD266" s="192"/>
      <c r="DE266" s="191"/>
      <c r="DF266" s="19"/>
      <c r="DG266" s="192"/>
      <c r="DH266" s="192"/>
      <c r="DI266" s="192"/>
      <c r="DJ266" s="191"/>
      <c r="DK266" s="193"/>
      <c r="DL266" s="192"/>
      <c r="DM266" s="192"/>
      <c r="DN266" s="192"/>
      <c r="DO266" s="191"/>
      <c r="DP266" s="19"/>
      <c r="DQ266" s="192"/>
      <c r="DR266" s="192"/>
      <c r="DS266" s="192"/>
      <c r="DT266" s="191"/>
      <c r="DU266" s="193"/>
      <c r="DV266" s="192"/>
      <c r="DW266" s="192"/>
      <c r="DX266" s="192"/>
      <c r="DY266" s="191"/>
      <c r="DZ266" s="19"/>
      <c r="EA266" s="192"/>
      <c r="EB266" s="192"/>
      <c r="EC266" s="192"/>
      <c r="ED266" s="191"/>
      <c r="EE266" s="193"/>
      <c r="EF266" s="192"/>
      <c r="EG266" s="192"/>
      <c r="EH266" s="192"/>
      <c r="EI266" s="191"/>
      <c r="EJ266" s="19"/>
      <c r="EK266" s="192"/>
      <c r="EL266" s="192"/>
      <c r="EM266" s="192"/>
      <c r="EN266" s="191"/>
      <c r="EO266" s="193"/>
      <c r="EP266" s="192"/>
      <c r="EQ266" s="192"/>
      <c r="ER266" s="192"/>
      <c r="ES266" s="191"/>
      <c r="ET266" s="19"/>
      <c r="EU266" s="192"/>
      <c r="EV266" s="192"/>
      <c r="EW266" s="192"/>
      <c r="EX266" s="191"/>
      <c r="EY266" s="193"/>
      <c r="EZ266" s="192"/>
      <c r="FA266" s="192"/>
      <c r="FB266" s="192"/>
      <c r="FC266" s="191"/>
      <c r="FL266" s="273">
        <f t="shared" ca="1" si="14"/>
        <v>116</v>
      </c>
    </row>
    <row r="267" spans="1:168" ht="16.5" thickBot="1">
      <c r="A267" s="199">
        <v>264</v>
      </c>
      <c r="B267" s="306"/>
      <c r="C267" s="310"/>
      <c r="D267" s="307" t="s">
        <v>271</v>
      </c>
      <c r="E267" s="307" t="s">
        <v>271</v>
      </c>
      <c r="F267" s="308"/>
      <c r="G267" s="343" t="str">
        <f t="shared" si="12"/>
        <v xml:space="preserve"> </v>
      </c>
      <c r="H267" s="307"/>
      <c r="I267" s="309" t="e">
        <f t="shared" si="13"/>
        <v>#N/A</v>
      </c>
      <c r="J267" s="307"/>
      <c r="K267" s="307"/>
      <c r="L267" s="310"/>
      <c r="M267" s="310"/>
      <c r="N267" s="310"/>
      <c r="O267" s="310"/>
      <c r="P267" s="310"/>
      <c r="Q267" s="310"/>
      <c r="R267" s="310"/>
      <c r="S267" s="310"/>
      <c r="T267" s="310"/>
      <c r="U267" s="307"/>
      <c r="V267" s="307"/>
      <c r="W267" s="311"/>
      <c r="X267" s="307"/>
      <c r="Y267" s="307"/>
      <c r="Z267" s="307"/>
      <c r="AA267" s="307"/>
      <c r="AB267" s="311"/>
      <c r="AC267" s="307"/>
      <c r="AD267" s="307"/>
      <c r="AE267" s="307"/>
      <c r="AF267" s="307"/>
      <c r="AG267" s="310"/>
      <c r="AH267" s="307"/>
      <c r="AI267" s="310"/>
      <c r="AJ267" s="307"/>
      <c r="AK267" s="307"/>
      <c r="AL267" s="307"/>
      <c r="AM267" s="308"/>
      <c r="AN267" s="311"/>
      <c r="AO267" s="307"/>
      <c r="AP267" s="307"/>
      <c r="AQ267" s="308"/>
      <c r="AR267" s="307"/>
      <c r="AS267" s="307"/>
      <c r="AT267" s="307"/>
      <c r="AU267" s="310"/>
      <c r="AV267" s="308"/>
      <c r="AW267" s="312"/>
      <c r="AX267" s="308"/>
      <c r="AY267" s="307"/>
      <c r="AZ267" s="307"/>
      <c r="BA267" s="307"/>
      <c r="BB267" s="307"/>
      <c r="BC267" s="308"/>
      <c r="BD267" s="308"/>
      <c r="BE267" s="313"/>
      <c r="BF267" s="307"/>
      <c r="BG267" s="310"/>
      <c r="BH267" s="307"/>
      <c r="BI267" s="307"/>
      <c r="BJ267" s="310"/>
      <c r="BK267" s="307"/>
      <c r="BL267" s="307"/>
      <c r="BM267" s="310"/>
      <c r="BN267" s="307"/>
      <c r="BO267" s="310"/>
      <c r="BP267" s="307"/>
      <c r="BQ267" s="307"/>
      <c r="BR267" s="307"/>
      <c r="BS267" s="307"/>
      <c r="BT267" s="307"/>
      <c r="BU267" s="310"/>
      <c r="BV267" s="307"/>
      <c r="BW267" s="308"/>
      <c r="BX267" s="311"/>
      <c r="BY267" s="307"/>
      <c r="BZ267" s="307"/>
      <c r="CA267" s="310"/>
      <c r="CB267" s="307"/>
      <c r="CC267" s="307"/>
      <c r="CD267" s="307"/>
      <c r="CE267" s="308"/>
      <c r="CF267" s="308"/>
      <c r="CG267" s="307"/>
      <c r="CH267" s="307"/>
      <c r="CI267" s="307"/>
      <c r="CJ267" s="307"/>
      <c r="CK267" s="314"/>
      <c r="CL267" s="310"/>
      <c r="CM267" s="310"/>
      <c r="CN267" s="307"/>
      <c r="CO267" s="307"/>
      <c r="CP267" s="307"/>
      <c r="CQ267" s="315"/>
      <c r="CR267" s="315"/>
      <c r="CS267" s="315"/>
      <c r="CT267" s="315"/>
      <c r="CU267" s="307"/>
      <c r="CV267" s="217"/>
      <c r="CW267" s="192"/>
      <c r="CX267" s="192"/>
      <c r="CY267" s="192"/>
      <c r="CZ267" s="191"/>
      <c r="DA267" s="193"/>
      <c r="DB267" s="192"/>
      <c r="DC267" s="192"/>
      <c r="DD267" s="192"/>
      <c r="DE267" s="191"/>
      <c r="DF267" s="19"/>
      <c r="DG267" s="192"/>
      <c r="DH267" s="192"/>
      <c r="DI267" s="192"/>
      <c r="DJ267" s="191"/>
      <c r="DK267" s="193"/>
      <c r="DL267" s="192"/>
      <c r="DM267" s="192"/>
      <c r="DN267" s="192"/>
      <c r="DO267" s="191"/>
      <c r="DP267" s="19"/>
      <c r="DQ267" s="192"/>
      <c r="DR267" s="192"/>
      <c r="DS267" s="192"/>
      <c r="DT267" s="191"/>
      <c r="DU267" s="193"/>
      <c r="DV267" s="192"/>
      <c r="DW267" s="192"/>
      <c r="DX267" s="192"/>
      <c r="DY267" s="191"/>
      <c r="DZ267" s="19"/>
      <c r="EA267" s="192"/>
      <c r="EB267" s="192"/>
      <c r="EC267" s="192"/>
      <c r="ED267" s="191"/>
      <c r="EE267" s="193"/>
      <c r="EF267" s="192"/>
      <c r="EG267" s="192"/>
      <c r="EH267" s="192"/>
      <c r="EI267" s="191"/>
      <c r="EJ267" s="19"/>
      <c r="EK267" s="192"/>
      <c r="EL267" s="192"/>
      <c r="EM267" s="192"/>
      <c r="EN267" s="191"/>
      <c r="EO267" s="193"/>
      <c r="EP267" s="192"/>
      <c r="EQ267" s="192"/>
      <c r="ER267" s="192"/>
      <c r="ES267" s="191"/>
      <c r="ET267" s="19"/>
      <c r="EU267" s="192"/>
      <c r="EV267" s="192"/>
      <c r="EW267" s="192"/>
      <c r="EX267" s="191"/>
      <c r="EY267" s="193"/>
      <c r="EZ267" s="192"/>
      <c r="FA267" s="192"/>
      <c r="FB267" s="192"/>
      <c r="FC267" s="191"/>
      <c r="FL267" s="273">
        <f t="shared" ca="1" si="14"/>
        <v>116</v>
      </c>
    </row>
    <row r="268" spans="1:168" ht="16.5" thickBot="1">
      <c r="A268" s="196">
        <v>265</v>
      </c>
      <c r="B268" s="306"/>
      <c r="C268" s="310"/>
      <c r="D268" s="307" t="s">
        <v>271</v>
      </c>
      <c r="E268" s="307" t="s">
        <v>271</v>
      </c>
      <c r="F268" s="308"/>
      <c r="G268" s="343" t="str">
        <f t="shared" si="12"/>
        <v xml:space="preserve"> </v>
      </c>
      <c r="H268" s="307"/>
      <c r="I268" s="309" t="e">
        <f t="shared" si="13"/>
        <v>#N/A</v>
      </c>
      <c r="J268" s="307"/>
      <c r="K268" s="307"/>
      <c r="L268" s="310"/>
      <c r="M268" s="310"/>
      <c r="N268" s="310"/>
      <c r="O268" s="310"/>
      <c r="P268" s="310"/>
      <c r="Q268" s="310"/>
      <c r="R268" s="310"/>
      <c r="S268" s="310"/>
      <c r="T268" s="310"/>
      <c r="U268" s="307"/>
      <c r="V268" s="307"/>
      <c r="W268" s="311"/>
      <c r="X268" s="307"/>
      <c r="Y268" s="307"/>
      <c r="Z268" s="307"/>
      <c r="AA268" s="307"/>
      <c r="AB268" s="311"/>
      <c r="AC268" s="307"/>
      <c r="AD268" s="307"/>
      <c r="AE268" s="307"/>
      <c r="AF268" s="307"/>
      <c r="AG268" s="310"/>
      <c r="AH268" s="307"/>
      <c r="AI268" s="310"/>
      <c r="AJ268" s="307"/>
      <c r="AK268" s="307"/>
      <c r="AL268" s="307"/>
      <c r="AM268" s="308"/>
      <c r="AN268" s="311"/>
      <c r="AO268" s="307"/>
      <c r="AP268" s="307"/>
      <c r="AQ268" s="308"/>
      <c r="AR268" s="307"/>
      <c r="AS268" s="307"/>
      <c r="AT268" s="307"/>
      <c r="AU268" s="310"/>
      <c r="AV268" s="308"/>
      <c r="AW268" s="312"/>
      <c r="AX268" s="308"/>
      <c r="AY268" s="307"/>
      <c r="AZ268" s="307"/>
      <c r="BA268" s="307"/>
      <c r="BB268" s="307"/>
      <c r="BC268" s="308"/>
      <c r="BD268" s="308"/>
      <c r="BE268" s="313"/>
      <c r="BF268" s="307"/>
      <c r="BG268" s="310"/>
      <c r="BH268" s="307"/>
      <c r="BI268" s="307"/>
      <c r="BJ268" s="310"/>
      <c r="BK268" s="307"/>
      <c r="BL268" s="307"/>
      <c r="BM268" s="310"/>
      <c r="BN268" s="307"/>
      <c r="BO268" s="310"/>
      <c r="BP268" s="307"/>
      <c r="BQ268" s="307"/>
      <c r="BR268" s="307"/>
      <c r="BS268" s="307"/>
      <c r="BT268" s="307"/>
      <c r="BU268" s="310"/>
      <c r="BV268" s="307"/>
      <c r="BW268" s="308"/>
      <c r="BX268" s="311"/>
      <c r="BY268" s="307"/>
      <c r="BZ268" s="307"/>
      <c r="CA268" s="310"/>
      <c r="CB268" s="307"/>
      <c r="CC268" s="307"/>
      <c r="CD268" s="307"/>
      <c r="CE268" s="308"/>
      <c r="CF268" s="308"/>
      <c r="CG268" s="307"/>
      <c r="CH268" s="307"/>
      <c r="CI268" s="307"/>
      <c r="CJ268" s="307"/>
      <c r="CK268" s="314"/>
      <c r="CL268" s="310"/>
      <c r="CM268" s="310"/>
      <c r="CN268" s="307"/>
      <c r="CO268" s="307"/>
      <c r="CP268" s="307"/>
      <c r="CQ268" s="315"/>
      <c r="CR268" s="315"/>
      <c r="CS268" s="315"/>
      <c r="CT268" s="315"/>
      <c r="CU268" s="307"/>
      <c r="CV268" s="217"/>
      <c r="CW268" s="192"/>
      <c r="CX268" s="192"/>
      <c r="CY268" s="192"/>
      <c r="CZ268" s="191"/>
      <c r="DA268" s="193"/>
      <c r="DB268" s="192"/>
      <c r="DC268" s="192"/>
      <c r="DD268" s="192"/>
      <c r="DE268" s="191"/>
      <c r="DF268" s="19"/>
      <c r="DG268" s="192"/>
      <c r="DH268" s="192"/>
      <c r="DI268" s="192"/>
      <c r="DJ268" s="191"/>
      <c r="DK268" s="193"/>
      <c r="DL268" s="192"/>
      <c r="DM268" s="192"/>
      <c r="DN268" s="192"/>
      <c r="DO268" s="191"/>
      <c r="DP268" s="19"/>
      <c r="DQ268" s="192"/>
      <c r="DR268" s="192"/>
      <c r="DS268" s="192"/>
      <c r="DT268" s="191"/>
      <c r="DU268" s="193"/>
      <c r="DV268" s="192"/>
      <c r="DW268" s="192"/>
      <c r="DX268" s="192"/>
      <c r="DY268" s="191"/>
      <c r="DZ268" s="19"/>
      <c r="EA268" s="192"/>
      <c r="EB268" s="192"/>
      <c r="EC268" s="192"/>
      <c r="ED268" s="191"/>
      <c r="EE268" s="193"/>
      <c r="EF268" s="192"/>
      <c r="EG268" s="192"/>
      <c r="EH268" s="192"/>
      <c r="EI268" s="191"/>
      <c r="EJ268" s="19"/>
      <c r="EK268" s="192"/>
      <c r="EL268" s="192"/>
      <c r="EM268" s="192"/>
      <c r="EN268" s="191"/>
      <c r="EO268" s="193"/>
      <c r="EP268" s="192"/>
      <c r="EQ268" s="192"/>
      <c r="ER268" s="192"/>
      <c r="ES268" s="191"/>
      <c r="ET268" s="19"/>
      <c r="EU268" s="192"/>
      <c r="EV268" s="192"/>
      <c r="EW268" s="192"/>
      <c r="EX268" s="191"/>
      <c r="EY268" s="193"/>
      <c r="EZ268" s="192"/>
      <c r="FA268" s="192"/>
      <c r="FB268" s="192"/>
      <c r="FC268" s="191"/>
      <c r="FL268" s="273">
        <f t="shared" ca="1" si="14"/>
        <v>116</v>
      </c>
    </row>
    <row r="269" spans="1:168" ht="16.5" thickBot="1">
      <c r="A269" s="199">
        <v>266</v>
      </c>
      <c r="B269" s="306"/>
      <c r="C269" s="310"/>
      <c r="D269" s="307" t="s">
        <v>271</v>
      </c>
      <c r="E269" s="307" t="s">
        <v>271</v>
      </c>
      <c r="F269" s="308"/>
      <c r="G269" s="343" t="str">
        <f t="shared" si="12"/>
        <v xml:space="preserve"> </v>
      </c>
      <c r="H269" s="307"/>
      <c r="I269" s="309" t="e">
        <f t="shared" si="13"/>
        <v>#N/A</v>
      </c>
      <c r="J269" s="307"/>
      <c r="K269" s="307"/>
      <c r="L269" s="310"/>
      <c r="M269" s="310"/>
      <c r="N269" s="310"/>
      <c r="O269" s="310"/>
      <c r="P269" s="310"/>
      <c r="Q269" s="310"/>
      <c r="R269" s="310"/>
      <c r="S269" s="310"/>
      <c r="T269" s="310"/>
      <c r="U269" s="307"/>
      <c r="V269" s="307"/>
      <c r="W269" s="311"/>
      <c r="X269" s="307"/>
      <c r="Y269" s="307"/>
      <c r="Z269" s="307"/>
      <c r="AA269" s="307"/>
      <c r="AB269" s="311"/>
      <c r="AC269" s="307"/>
      <c r="AD269" s="307"/>
      <c r="AE269" s="307"/>
      <c r="AF269" s="307"/>
      <c r="AG269" s="310"/>
      <c r="AH269" s="307"/>
      <c r="AI269" s="310"/>
      <c r="AJ269" s="307"/>
      <c r="AK269" s="307"/>
      <c r="AL269" s="307"/>
      <c r="AM269" s="308"/>
      <c r="AN269" s="311"/>
      <c r="AO269" s="307"/>
      <c r="AP269" s="307"/>
      <c r="AQ269" s="308"/>
      <c r="AR269" s="307"/>
      <c r="AS269" s="307"/>
      <c r="AT269" s="307"/>
      <c r="AU269" s="310"/>
      <c r="AV269" s="308"/>
      <c r="AW269" s="312"/>
      <c r="AX269" s="308"/>
      <c r="AY269" s="307"/>
      <c r="AZ269" s="307"/>
      <c r="BA269" s="307"/>
      <c r="BB269" s="307"/>
      <c r="BC269" s="308"/>
      <c r="BD269" s="308"/>
      <c r="BE269" s="313"/>
      <c r="BF269" s="307"/>
      <c r="BG269" s="310"/>
      <c r="BH269" s="307"/>
      <c r="BI269" s="307"/>
      <c r="BJ269" s="310"/>
      <c r="BK269" s="307"/>
      <c r="BL269" s="307"/>
      <c r="BM269" s="310"/>
      <c r="BN269" s="307"/>
      <c r="BO269" s="310"/>
      <c r="BP269" s="307"/>
      <c r="BQ269" s="307"/>
      <c r="BR269" s="307"/>
      <c r="BS269" s="307"/>
      <c r="BT269" s="307"/>
      <c r="BU269" s="310"/>
      <c r="BV269" s="307"/>
      <c r="BW269" s="308"/>
      <c r="BX269" s="311"/>
      <c r="BY269" s="307"/>
      <c r="BZ269" s="307"/>
      <c r="CA269" s="310"/>
      <c r="CB269" s="307"/>
      <c r="CC269" s="307"/>
      <c r="CD269" s="307"/>
      <c r="CE269" s="308"/>
      <c r="CF269" s="308"/>
      <c r="CG269" s="307"/>
      <c r="CH269" s="307"/>
      <c r="CI269" s="307"/>
      <c r="CJ269" s="307"/>
      <c r="CK269" s="314"/>
      <c r="CL269" s="310"/>
      <c r="CM269" s="310"/>
      <c r="CN269" s="307"/>
      <c r="CO269" s="307"/>
      <c r="CP269" s="307"/>
      <c r="CQ269" s="315"/>
      <c r="CR269" s="315"/>
      <c r="CS269" s="315"/>
      <c r="CT269" s="315"/>
      <c r="CU269" s="307"/>
      <c r="CV269" s="217"/>
      <c r="CW269" s="192"/>
      <c r="CX269" s="192"/>
      <c r="CY269" s="192"/>
      <c r="CZ269" s="191"/>
      <c r="DA269" s="193"/>
      <c r="DB269" s="192"/>
      <c r="DC269" s="192"/>
      <c r="DD269" s="192"/>
      <c r="DE269" s="191"/>
      <c r="DF269" s="19"/>
      <c r="DG269" s="192"/>
      <c r="DH269" s="192"/>
      <c r="DI269" s="192"/>
      <c r="DJ269" s="191"/>
      <c r="DK269" s="193"/>
      <c r="DL269" s="192"/>
      <c r="DM269" s="192"/>
      <c r="DN269" s="192"/>
      <c r="DO269" s="191"/>
      <c r="DP269" s="19"/>
      <c r="DQ269" s="192"/>
      <c r="DR269" s="192"/>
      <c r="DS269" s="192"/>
      <c r="DT269" s="191"/>
      <c r="DU269" s="193"/>
      <c r="DV269" s="192"/>
      <c r="DW269" s="192"/>
      <c r="DX269" s="192"/>
      <c r="DY269" s="191"/>
      <c r="DZ269" s="19"/>
      <c r="EA269" s="192"/>
      <c r="EB269" s="192"/>
      <c r="EC269" s="192"/>
      <c r="ED269" s="191"/>
      <c r="EE269" s="193"/>
      <c r="EF269" s="192"/>
      <c r="EG269" s="192"/>
      <c r="EH269" s="192"/>
      <c r="EI269" s="191"/>
      <c r="EJ269" s="19"/>
      <c r="EK269" s="192"/>
      <c r="EL269" s="192"/>
      <c r="EM269" s="192"/>
      <c r="EN269" s="191"/>
      <c r="EO269" s="193"/>
      <c r="EP269" s="192"/>
      <c r="EQ269" s="192"/>
      <c r="ER269" s="192"/>
      <c r="ES269" s="191"/>
      <c r="ET269" s="19"/>
      <c r="EU269" s="192"/>
      <c r="EV269" s="192"/>
      <c r="EW269" s="192"/>
      <c r="EX269" s="191"/>
      <c r="EY269" s="193"/>
      <c r="EZ269" s="192"/>
      <c r="FA269" s="192"/>
      <c r="FB269" s="192"/>
      <c r="FC269" s="191"/>
      <c r="FL269" s="273">
        <f t="shared" ca="1" si="14"/>
        <v>116</v>
      </c>
    </row>
    <row r="270" spans="1:168" ht="16.5" thickBot="1">
      <c r="A270" s="196">
        <v>267</v>
      </c>
      <c r="B270" s="306"/>
      <c r="C270" s="310"/>
      <c r="D270" s="307" t="s">
        <v>271</v>
      </c>
      <c r="E270" s="307" t="s">
        <v>271</v>
      </c>
      <c r="F270" s="308"/>
      <c r="G270" s="343" t="str">
        <f t="shared" si="12"/>
        <v xml:space="preserve"> </v>
      </c>
      <c r="H270" s="307"/>
      <c r="I270" s="309" t="e">
        <f t="shared" si="13"/>
        <v>#N/A</v>
      </c>
      <c r="J270" s="307"/>
      <c r="K270" s="307"/>
      <c r="L270" s="310"/>
      <c r="M270" s="310"/>
      <c r="N270" s="310"/>
      <c r="O270" s="310"/>
      <c r="P270" s="310"/>
      <c r="Q270" s="310"/>
      <c r="R270" s="310"/>
      <c r="S270" s="310"/>
      <c r="T270" s="310"/>
      <c r="U270" s="307"/>
      <c r="V270" s="307"/>
      <c r="W270" s="311"/>
      <c r="X270" s="307"/>
      <c r="Y270" s="307"/>
      <c r="Z270" s="307"/>
      <c r="AA270" s="307"/>
      <c r="AB270" s="311"/>
      <c r="AC270" s="307"/>
      <c r="AD270" s="307"/>
      <c r="AE270" s="307"/>
      <c r="AF270" s="307"/>
      <c r="AG270" s="310"/>
      <c r="AH270" s="307"/>
      <c r="AI270" s="310"/>
      <c r="AJ270" s="307"/>
      <c r="AK270" s="307"/>
      <c r="AL270" s="307"/>
      <c r="AM270" s="308"/>
      <c r="AN270" s="311"/>
      <c r="AO270" s="307"/>
      <c r="AP270" s="307"/>
      <c r="AQ270" s="308"/>
      <c r="AR270" s="307"/>
      <c r="AS270" s="307"/>
      <c r="AT270" s="307"/>
      <c r="AU270" s="310"/>
      <c r="AV270" s="308"/>
      <c r="AW270" s="312"/>
      <c r="AX270" s="308"/>
      <c r="AY270" s="307"/>
      <c r="AZ270" s="307"/>
      <c r="BA270" s="307"/>
      <c r="BB270" s="307"/>
      <c r="BC270" s="308"/>
      <c r="BD270" s="308"/>
      <c r="BE270" s="313"/>
      <c r="BF270" s="307"/>
      <c r="BG270" s="310"/>
      <c r="BH270" s="307"/>
      <c r="BI270" s="307"/>
      <c r="BJ270" s="310"/>
      <c r="BK270" s="307"/>
      <c r="BL270" s="307"/>
      <c r="BM270" s="310"/>
      <c r="BN270" s="307"/>
      <c r="BO270" s="310"/>
      <c r="BP270" s="307"/>
      <c r="BQ270" s="307"/>
      <c r="BR270" s="307"/>
      <c r="BS270" s="307"/>
      <c r="BT270" s="307"/>
      <c r="BU270" s="310"/>
      <c r="BV270" s="307"/>
      <c r="BW270" s="308"/>
      <c r="BX270" s="311"/>
      <c r="BY270" s="307"/>
      <c r="BZ270" s="307"/>
      <c r="CA270" s="310"/>
      <c r="CB270" s="307"/>
      <c r="CC270" s="307"/>
      <c r="CD270" s="307"/>
      <c r="CE270" s="308"/>
      <c r="CF270" s="308"/>
      <c r="CG270" s="307"/>
      <c r="CH270" s="307"/>
      <c r="CI270" s="307"/>
      <c r="CJ270" s="307"/>
      <c r="CK270" s="314"/>
      <c r="CL270" s="310"/>
      <c r="CM270" s="310"/>
      <c r="CN270" s="307"/>
      <c r="CO270" s="307"/>
      <c r="CP270" s="307"/>
      <c r="CQ270" s="315"/>
      <c r="CR270" s="315"/>
      <c r="CS270" s="315"/>
      <c r="CT270" s="315"/>
      <c r="CU270" s="307"/>
      <c r="CV270" s="217"/>
      <c r="CW270" s="192"/>
      <c r="CX270" s="192"/>
      <c r="CY270" s="192"/>
      <c r="CZ270" s="191"/>
      <c r="DA270" s="193"/>
      <c r="DB270" s="192"/>
      <c r="DC270" s="192"/>
      <c r="DD270" s="192"/>
      <c r="DE270" s="191"/>
      <c r="DF270" s="19"/>
      <c r="DG270" s="192"/>
      <c r="DH270" s="192"/>
      <c r="DI270" s="192"/>
      <c r="DJ270" s="191"/>
      <c r="DK270" s="193"/>
      <c r="DL270" s="192"/>
      <c r="DM270" s="192"/>
      <c r="DN270" s="192"/>
      <c r="DO270" s="191"/>
      <c r="DP270" s="19"/>
      <c r="DQ270" s="192"/>
      <c r="DR270" s="192"/>
      <c r="DS270" s="192"/>
      <c r="DT270" s="191"/>
      <c r="DU270" s="193"/>
      <c r="DV270" s="192"/>
      <c r="DW270" s="192"/>
      <c r="DX270" s="192"/>
      <c r="DY270" s="191"/>
      <c r="DZ270" s="19"/>
      <c r="EA270" s="192"/>
      <c r="EB270" s="192"/>
      <c r="EC270" s="192"/>
      <c r="ED270" s="191"/>
      <c r="EE270" s="193"/>
      <c r="EF270" s="192"/>
      <c r="EG270" s="192"/>
      <c r="EH270" s="192"/>
      <c r="EI270" s="191"/>
      <c r="EJ270" s="19"/>
      <c r="EK270" s="192"/>
      <c r="EL270" s="192"/>
      <c r="EM270" s="192"/>
      <c r="EN270" s="191"/>
      <c r="EO270" s="193"/>
      <c r="EP270" s="192"/>
      <c r="EQ270" s="192"/>
      <c r="ER270" s="192"/>
      <c r="ES270" s="191"/>
      <c r="ET270" s="19"/>
      <c r="EU270" s="192"/>
      <c r="EV270" s="192"/>
      <c r="EW270" s="192"/>
      <c r="EX270" s="191"/>
      <c r="EY270" s="193"/>
      <c r="EZ270" s="192"/>
      <c r="FA270" s="192"/>
      <c r="FB270" s="192"/>
      <c r="FC270" s="191"/>
      <c r="FL270" s="273">
        <f t="shared" ca="1" si="14"/>
        <v>116</v>
      </c>
    </row>
    <row r="271" spans="1:168" ht="16.5" thickBot="1">
      <c r="A271" s="199">
        <v>268</v>
      </c>
      <c r="B271" s="306"/>
      <c r="C271" s="310"/>
      <c r="D271" s="307" t="s">
        <v>271</v>
      </c>
      <c r="E271" s="307" t="s">
        <v>271</v>
      </c>
      <c r="F271" s="308"/>
      <c r="G271" s="343" t="str">
        <f t="shared" si="12"/>
        <v xml:space="preserve"> </v>
      </c>
      <c r="H271" s="307"/>
      <c r="I271" s="309" t="e">
        <f t="shared" si="13"/>
        <v>#N/A</v>
      </c>
      <c r="J271" s="307"/>
      <c r="K271" s="307"/>
      <c r="L271" s="310"/>
      <c r="M271" s="310"/>
      <c r="N271" s="310"/>
      <c r="O271" s="310"/>
      <c r="P271" s="310"/>
      <c r="Q271" s="310"/>
      <c r="R271" s="310"/>
      <c r="S271" s="310"/>
      <c r="T271" s="310"/>
      <c r="U271" s="307"/>
      <c r="V271" s="307"/>
      <c r="W271" s="311"/>
      <c r="X271" s="307"/>
      <c r="Y271" s="307"/>
      <c r="Z271" s="307"/>
      <c r="AA271" s="307"/>
      <c r="AB271" s="311"/>
      <c r="AC271" s="307"/>
      <c r="AD271" s="307"/>
      <c r="AE271" s="307"/>
      <c r="AF271" s="307"/>
      <c r="AG271" s="310"/>
      <c r="AH271" s="307"/>
      <c r="AI271" s="310"/>
      <c r="AJ271" s="307"/>
      <c r="AK271" s="307"/>
      <c r="AL271" s="307"/>
      <c r="AM271" s="308"/>
      <c r="AN271" s="311"/>
      <c r="AO271" s="307"/>
      <c r="AP271" s="307"/>
      <c r="AQ271" s="308"/>
      <c r="AR271" s="307"/>
      <c r="AS271" s="307"/>
      <c r="AT271" s="307"/>
      <c r="AU271" s="310"/>
      <c r="AV271" s="308"/>
      <c r="AW271" s="312"/>
      <c r="AX271" s="308"/>
      <c r="AY271" s="307"/>
      <c r="AZ271" s="307"/>
      <c r="BA271" s="307"/>
      <c r="BB271" s="307"/>
      <c r="BC271" s="308"/>
      <c r="BD271" s="308"/>
      <c r="BE271" s="313"/>
      <c r="BF271" s="307"/>
      <c r="BG271" s="310"/>
      <c r="BH271" s="307"/>
      <c r="BI271" s="307"/>
      <c r="BJ271" s="310"/>
      <c r="BK271" s="307"/>
      <c r="BL271" s="307"/>
      <c r="BM271" s="310"/>
      <c r="BN271" s="307"/>
      <c r="BO271" s="310"/>
      <c r="BP271" s="307"/>
      <c r="BQ271" s="307"/>
      <c r="BR271" s="307"/>
      <c r="BS271" s="307"/>
      <c r="BT271" s="307"/>
      <c r="BU271" s="310"/>
      <c r="BV271" s="307"/>
      <c r="BW271" s="308"/>
      <c r="BX271" s="311"/>
      <c r="BY271" s="307"/>
      <c r="BZ271" s="307"/>
      <c r="CA271" s="310"/>
      <c r="CB271" s="307"/>
      <c r="CC271" s="307"/>
      <c r="CD271" s="307"/>
      <c r="CE271" s="308"/>
      <c r="CF271" s="308"/>
      <c r="CG271" s="307"/>
      <c r="CH271" s="307"/>
      <c r="CI271" s="307"/>
      <c r="CJ271" s="307"/>
      <c r="CK271" s="314"/>
      <c r="CL271" s="310"/>
      <c r="CM271" s="310"/>
      <c r="CN271" s="307"/>
      <c r="CO271" s="307"/>
      <c r="CP271" s="307"/>
      <c r="CQ271" s="315"/>
      <c r="CR271" s="315"/>
      <c r="CS271" s="315"/>
      <c r="CT271" s="315"/>
      <c r="CU271" s="307"/>
      <c r="CV271" s="217"/>
      <c r="CW271" s="192"/>
      <c r="CX271" s="192"/>
      <c r="CY271" s="192"/>
      <c r="CZ271" s="191"/>
      <c r="DA271" s="193"/>
      <c r="DB271" s="192"/>
      <c r="DC271" s="192"/>
      <c r="DD271" s="192"/>
      <c r="DE271" s="191"/>
      <c r="DF271" s="19"/>
      <c r="DG271" s="192"/>
      <c r="DH271" s="192"/>
      <c r="DI271" s="192"/>
      <c r="DJ271" s="191"/>
      <c r="DK271" s="193"/>
      <c r="DL271" s="192"/>
      <c r="DM271" s="192"/>
      <c r="DN271" s="192"/>
      <c r="DO271" s="191"/>
      <c r="DP271" s="19"/>
      <c r="DQ271" s="192"/>
      <c r="DR271" s="192"/>
      <c r="DS271" s="192"/>
      <c r="DT271" s="191"/>
      <c r="DU271" s="193"/>
      <c r="DV271" s="192"/>
      <c r="DW271" s="192"/>
      <c r="DX271" s="192"/>
      <c r="DY271" s="191"/>
      <c r="DZ271" s="19"/>
      <c r="EA271" s="192"/>
      <c r="EB271" s="192"/>
      <c r="EC271" s="192"/>
      <c r="ED271" s="191"/>
      <c r="EE271" s="193"/>
      <c r="EF271" s="192"/>
      <c r="EG271" s="192"/>
      <c r="EH271" s="192"/>
      <c r="EI271" s="191"/>
      <c r="EJ271" s="19"/>
      <c r="EK271" s="192"/>
      <c r="EL271" s="192"/>
      <c r="EM271" s="192"/>
      <c r="EN271" s="191"/>
      <c r="EO271" s="193"/>
      <c r="EP271" s="192"/>
      <c r="EQ271" s="192"/>
      <c r="ER271" s="192"/>
      <c r="ES271" s="191"/>
      <c r="ET271" s="19"/>
      <c r="EU271" s="192"/>
      <c r="EV271" s="192"/>
      <c r="EW271" s="192"/>
      <c r="EX271" s="191"/>
      <c r="EY271" s="193"/>
      <c r="EZ271" s="192"/>
      <c r="FA271" s="192"/>
      <c r="FB271" s="192"/>
      <c r="FC271" s="191"/>
      <c r="FL271" s="273">
        <f t="shared" ca="1" si="14"/>
        <v>116</v>
      </c>
    </row>
    <row r="272" spans="1:168" ht="16.5" thickBot="1">
      <c r="A272" s="196">
        <v>269</v>
      </c>
      <c r="B272" s="306"/>
      <c r="C272" s="310"/>
      <c r="D272" s="307" t="s">
        <v>271</v>
      </c>
      <c r="E272" s="307" t="s">
        <v>271</v>
      </c>
      <c r="F272" s="308"/>
      <c r="G272" s="343" t="str">
        <f t="shared" si="12"/>
        <v xml:space="preserve"> </v>
      </c>
      <c r="H272" s="307"/>
      <c r="I272" s="309" t="e">
        <f t="shared" si="13"/>
        <v>#N/A</v>
      </c>
      <c r="J272" s="307"/>
      <c r="K272" s="307"/>
      <c r="L272" s="310"/>
      <c r="M272" s="310"/>
      <c r="N272" s="310"/>
      <c r="O272" s="310"/>
      <c r="P272" s="310"/>
      <c r="Q272" s="310"/>
      <c r="R272" s="310"/>
      <c r="S272" s="310"/>
      <c r="T272" s="310"/>
      <c r="U272" s="307"/>
      <c r="V272" s="307"/>
      <c r="W272" s="311"/>
      <c r="X272" s="307"/>
      <c r="Y272" s="307"/>
      <c r="Z272" s="307"/>
      <c r="AA272" s="307"/>
      <c r="AB272" s="311"/>
      <c r="AC272" s="307"/>
      <c r="AD272" s="307"/>
      <c r="AE272" s="307"/>
      <c r="AF272" s="307"/>
      <c r="AG272" s="310"/>
      <c r="AH272" s="307"/>
      <c r="AI272" s="310"/>
      <c r="AJ272" s="307"/>
      <c r="AK272" s="307"/>
      <c r="AL272" s="307"/>
      <c r="AM272" s="308"/>
      <c r="AN272" s="311"/>
      <c r="AO272" s="307"/>
      <c r="AP272" s="307"/>
      <c r="AQ272" s="308"/>
      <c r="AR272" s="307"/>
      <c r="AS272" s="307"/>
      <c r="AT272" s="307"/>
      <c r="AU272" s="310"/>
      <c r="AV272" s="308"/>
      <c r="AW272" s="312"/>
      <c r="AX272" s="308"/>
      <c r="AY272" s="307"/>
      <c r="AZ272" s="307"/>
      <c r="BA272" s="307"/>
      <c r="BB272" s="307"/>
      <c r="BC272" s="308"/>
      <c r="BD272" s="308"/>
      <c r="BE272" s="313"/>
      <c r="BF272" s="307"/>
      <c r="BG272" s="310"/>
      <c r="BH272" s="307"/>
      <c r="BI272" s="307"/>
      <c r="BJ272" s="310"/>
      <c r="BK272" s="307"/>
      <c r="BL272" s="307"/>
      <c r="BM272" s="310"/>
      <c r="BN272" s="307"/>
      <c r="BO272" s="310"/>
      <c r="BP272" s="307"/>
      <c r="BQ272" s="307"/>
      <c r="BR272" s="307"/>
      <c r="BS272" s="307"/>
      <c r="BT272" s="307"/>
      <c r="BU272" s="310"/>
      <c r="BV272" s="307"/>
      <c r="BW272" s="308"/>
      <c r="BX272" s="311"/>
      <c r="BY272" s="307"/>
      <c r="BZ272" s="307"/>
      <c r="CA272" s="310"/>
      <c r="CB272" s="307"/>
      <c r="CC272" s="307"/>
      <c r="CD272" s="307"/>
      <c r="CE272" s="308"/>
      <c r="CF272" s="308"/>
      <c r="CG272" s="307"/>
      <c r="CH272" s="307"/>
      <c r="CI272" s="307"/>
      <c r="CJ272" s="307"/>
      <c r="CK272" s="314"/>
      <c r="CL272" s="310"/>
      <c r="CM272" s="310"/>
      <c r="CN272" s="307"/>
      <c r="CO272" s="307"/>
      <c r="CP272" s="307"/>
      <c r="CQ272" s="315"/>
      <c r="CR272" s="315"/>
      <c r="CS272" s="315"/>
      <c r="CT272" s="315"/>
      <c r="CU272" s="307"/>
      <c r="CV272" s="217"/>
      <c r="CW272" s="192"/>
      <c r="CX272" s="192"/>
      <c r="CY272" s="192"/>
      <c r="CZ272" s="191"/>
      <c r="DA272" s="193"/>
      <c r="DB272" s="192"/>
      <c r="DC272" s="192"/>
      <c r="DD272" s="192"/>
      <c r="DE272" s="191"/>
      <c r="DF272" s="19"/>
      <c r="DG272" s="192"/>
      <c r="DH272" s="192"/>
      <c r="DI272" s="192"/>
      <c r="DJ272" s="191"/>
      <c r="DK272" s="193"/>
      <c r="DL272" s="192"/>
      <c r="DM272" s="192"/>
      <c r="DN272" s="192"/>
      <c r="DO272" s="191"/>
      <c r="DP272" s="19"/>
      <c r="DQ272" s="192"/>
      <c r="DR272" s="192"/>
      <c r="DS272" s="192"/>
      <c r="DT272" s="191"/>
      <c r="DU272" s="193"/>
      <c r="DV272" s="192"/>
      <c r="DW272" s="192"/>
      <c r="DX272" s="192"/>
      <c r="DY272" s="191"/>
      <c r="DZ272" s="19"/>
      <c r="EA272" s="192"/>
      <c r="EB272" s="192"/>
      <c r="EC272" s="192"/>
      <c r="ED272" s="191"/>
      <c r="EE272" s="193"/>
      <c r="EF272" s="192"/>
      <c r="EG272" s="192"/>
      <c r="EH272" s="192"/>
      <c r="EI272" s="191"/>
      <c r="EJ272" s="19"/>
      <c r="EK272" s="192"/>
      <c r="EL272" s="192"/>
      <c r="EM272" s="192"/>
      <c r="EN272" s="191"/>
      <c r="EO272" s="193"/>
      <c r="EP272" s="192"/>
      <c r="EQ272" s="192"/>
      <c r="ER272" s="192"/>
      <c r="ES272" s="191"/>
      <c r="ET272" s="19"/>
      <c r="EU272" s="192"/>
      <c r="EV272" s="192"/>
      <c r="EW272" s="192"/>
      <c r="EX272" s="191"/>
      <c r="EY272" s="193"/>
      <c r="EZ272" s="192"/>
      <c r="FA272" s="192"/>
      <c r="FB272" s="192"/>
      <c r="FC272" s="191"/>
      <c r="FL272" s="273">
        <f t="shared" ca="1" si="14"/>
        <v>116</v>
      </c>
    </row>
    <row r="273" spans="1:168" ht="16.5" thickBot="1">
      <c r="A273" s="199">
        <v>270</v>
      </c>
      <c r="B273" s="306"/>
      <c r="C273" s="310"/>
      <c r="D273" s="307" t="s">
        <v>271</v>
      </c>
      <c r="E273" s="307" t="s">
        <v>271</v>
      </c>
      <c r="F273" s="308"/>
      <c r="G273" s="343" t="str">
        <f t="shared" si="12"/>
        <v xml:space="preserve"> </v>
      </c>
      <c r="H273" s="307"/>
      <c r="I273" s="309" t="e">
        <f t="shared" si="13"/>
        <v>#N/A</v>
      </c>
      <c r="J273" s="307"/>
      <c r="K273" s="307"/>
      <c r="L273" s="310"/>
      <c r="M273" s="310"/>
      <c r="N273" s="310"/>
      <c r="O273" s="310"/>
      <c r="P273" s="310"/>
      <c r="Q273" s="310"/>
      <c r="R273" s="310"/>
      <c r="S273" s="310"/>
      <c r="T273" s="310"/>
      <c r="U273" s="307"/>
      <c r="V273" s="307"/>
      <c r="W273" s="311"/>
      <c r="X273" s="307"/>
      <c r="Y273" s="307"/>
      <c r="Z273" s="307"/>
      <c r="AA273" s="307"/>
      <c r="AB273" s="311"/>
      <c r="AC273" s="307"/>
      <c r="AD273" s="307"/>
      <c r="AE273" s="307"/>
      <c r="AF273" s="307"/>
      <c r="AG273" s="310"/>
      <c r="AH273" s="307"/>
      <c r="AI273" s="310"/>
      <c r="AJ273" s="307"/>
      <c r="AK273" s="307"/>
      <c r="AL273" s="307"/>
      <c r="AM273" s="308"/>
      <c r="AN273" s="311"/>
      <c r="AO273" s="307"/>
      <c r="AP273" s="307"/>
      <c r="AQ273" s="308"/>
      <c r="AR273" s="307"/>
      <c r="AS273" s="307"/>
      <c r="AT273" s="307"/>
      <c r="AU273" s="310"/>
      <c r="AV273" s="308"/>
      <c r="AW273" s="312"/>
      <c r="AX273" s="308"/>
      <c r="AY273" s="307"/>
      <c r="AZ273" s="307"/>
      <c r="BA273" s="307"/>
      <c r="BB273" s="307"/>
      <c r="BC273" s="308"/>
      <c r="BD273" s="308"/>
      <c r="BE273" s="313"/>
      <c r="BF273" s="307"/>
      <c r="BG273" s="310"/>
      <c r="BH273" s="307"/>
      <c r="BI273" s="307"/>
      <c r="BJ273" s="310"/>
      <c r="BK273" s="307"/>
      <c r="BL273" s="307"/>
      <c r="BM273" s="310"/>
      <c r="BN273" s="307"/>
      <c r="BO273" s="310"/>
      <c r="BP273" s="307"/>
      <c r="BQ273" s="307"/>
      <c r="BR273" s="307"/>
      <c r="BS273" s="307"/>
      <c r="BT273" s="307"/>
      <c r="BU273" s="310"/>
      <c r="BV273" s="307"/>
      <c r="BW273" s="308"/>
      <c r="BX273" s="311"/>
      <c r="BY273" s="307"/>
      <c r="BZ273" s="307"/>
      <c r="CA273" s="310"/>
      <c r="CB273" s="307"/>
      <c r="CC273" s="307"/>
      <c r="CD273" s="307"/>
      <c r="CE273" s="308"/>
      <c r="CF273" s="308"/>
      <c r="CG273" s="307"/>
      <c r="CH273" s="307"/>
      <c r="CI273" s="307"/>
      <c r="CJ273" s="307"/>
      <c r="CK273" s="314"/>
      <c r="CL273" s="310"/>
      <c r="CM273" s="310"/>
      <c r="CN273" s="307"/>
      <c r="CO273" s="307"/>
      <c r="CP273" s="307"/>
      <c r="CQ273" s="315"/>
      <c r="CR273" s="315"/>
      <c r="CS273" s="315"/>
      <c r="CT273" s="315"/>
      <c r="CU273" s="307"/>
      <c r="CV273" s="217"/>
      <c r="CW273" s="192"/>
      <c r="CX273" s="192"/>
      <c r="CY273" s="192"/>
      <c r="CZ273" s="191"/>
      <c r="DA273" s="193"/>
      <c r="DB273" s="192"/>
      <c r="DC273" s="192"/>
      <c r="DD273" s="192"/>
      <c r="DE273" s="191"/>
      <c r="DF273" s="19"/>
      <c r="DG273" s="192"/>
      <c r="DH273" s="192"/>
      <c r="DI273" s="192"/>
      <c r="DJ273" s="191"/>
      <c r="DK273" s="193"/>
      <c r="DL273" s="192"/>
      <c r="DM273" s="192"/>
      <c r="DN273" s="192"/>
      <c r="DO273" s="191"/>
      <c r="DP273" s="19"/>
      <c r="DQ273" s="192"/>
      <c r="DR273" s="192"/>
      <c r="DS273" s="192"/>
      <c r="DT273" s="191"/>
      <c r="DU273" s="193"/>
      <c r="DV273" s="192"/>
      <c r="DW273" s="192"/>
      <c r="DX273" s="192"/>
      <c r="DY273" s="191"/>
      <c r="DZ273" s="19"/>
      <c r="EA273" s="192"/>
      <c r="EB273" s="192"/>
      <c r="EC273" s="192"/>
      <c r="ED273" s="191"/>
      <c r="EE273" s="193"/>
      <c r="EF273" s="192"/>
      <c r="EG273" s="192"/>
      <c r="EH273" s="192"/>
      <c r="EI273" s="191"/>
      <c r="EJ273" s="19"/>
      <c r="EK273" s="192"/>
      <c r="EL273" s="192"/>
      <c r="EM273" s="192"/>
      <c r="EN273" s="191"/>
      <c r="EO273" s="193"/>
      <c r="EP273" s="192"/>
      <c r="EQ273" s="192"/>
      <c r="ER273" s="192"/>
      <c r="ES273" s="191"/>
      <c r="ET273" s="19"/>
      <c r="EU273" s="192"/>
      <c r="EV273" s="192"/>
      <c r="EW273" s="192"/>
      <c r="EX273" s="191"/>
      <c r="EY273" s="193"/>
      <c r="EZ273" s="192"/>
      <c r="FA273" s="192"/>
      <c r="FB273" s="192"/>
      <c r="FC273" s="191"/>
      <c r="FL273" s="273">
        <f t="shared" ca="1" si="14"/>
        <v>116</v>
      </c>
    </row>
    <row r="274" spans="1:168" ht="16.5" thickBot="1">
      <c r="A274" s="196">
        <v>271</v>
      </c>
      <c r="B274" s="306"/>
      <c r="C274" s="310"/>
      <c r="D274" s="307" t="s">
        <v>271</v>
      </c>
      <c r="E274" s="307" t="s">
        <v>271</v>
      </c>
      <c r="F274" s="308"/>
      <c r="G274" s="343" t="str">
        <f t="shared" si="12"/>
        <v xml:space="preserve"> </v>
      </c>
      <c r="H274" s="307"/>
      <c r="I274" s="309" t="e">
        <f t="shared" si="13"/>
        <v>#N/A</v>
      </c>
      <c r="J274" s="307"/>
      <c r="K274" s="307"/>
      <c r="L274" s="310"/>
      <c r="M274" s="310"/>
      <c r="N274" s="310"/>
      <c r="O274" s="310"/>
      <c r="P274" s="310"/>
      <c r="Q274" s="310"/>
      <c r="R274" s="310"/>
      <c r="S274" s="310"/>
      <c r="T274" s="310"/>
      <c r="U274" s="307"/>
      <c r="V274" s="307"/>
      <c r="W274" s="311"/>
      <c r="X274" s="307"/>
      <c r="Y274" s="307"/>
      <c r="Z274" s="307"/>
      <c r="AA274" s="307"/>
      <c r="AB274" s="311"/>
      <c r="AC274" s="307"/>
      <c r="AD274" s="307"/>
      <c r="AE274" s="307"/>
      <c r="AF274" s="307"/>
      <c r="AG274" s="310"/>
      <c r="AH274" s="307"/>
      <c r="AI274" s="310"/>
      <c r="AJ274" s="307"/>
      <c r="AK274" s="307"/>
      <c r="AL274" s="307"/>
      <c r="AM274" s="308"/>
      <c r="AN274" s="311"/>
      <c r="AO274" s="307"/>
      <c r="AP274" s="307"/>
      <c r="AQ274" s="308"/>
      <c r="AR274" s="307"/>
      <c r="AS274" s="307"/>
      <c r="AT274" s="307"/>
      <c r="AU274" s="310"/>
      <c r="AV274" s="308"/>
      <c r="AW274" s="312"/>
      <c r="AX274" s="308"/>
      <c r="AY274" s="307"/>
      <c r="AZ274" s="307"/>
      <c r="BA274" s="307"/>
      <c r="BB274" s="307"/>
      <c r="BC274" s="308"/>
      <c r="BD274" s="308"/>
      <c r="BE274" s="313"/>
      <c r="BF274" s="307"/>
      <c r="BG274" s="310"/>
      <c r="BH274" s="307"/>
      <c r="BI274" s="307"/>
      <c r="BJ274" s="310"/>
      <c r="BK274" s="307"/>
      <c r="BL274" s="307"/>
      <c r="BM274" s="310"/>
      <c r="BN274" s="307"/>
      <c r="BO274" s="310"/>
      <c r="BP274" s="307"/>
      <c r="BQ274" s="307"/>
      <c r="BR274" s="307"/>
      <c r="BS274" s="307"/>
      <c r="BT274" s="307"/>
      <c r="BU274" s="310"/>
      <c r="BV274" s="307"/>
      <c r="BW274" s="308"/>
      <c r="BX274" s="311"/>
      <c r="BY274" s="307"/>
      <c r="BZ274" s="307"/>
      <c r="CA274" s="310"/>
      <c r="CB274" s="307"/>
      <c r="CC274" s="307"/>
      <c r="CD274" s="307"/>
      <c r="CE274" s="308"/>
      <c r="CF274" s="308"/>
      <c r="CG274" s="307"/>
      <c r="CH274" s="307"/>
      <c r="CI274" s="307"/>
      <c r="CJ274" s="307"/>
      <c r="CK274" s="314"/>
      <c r="CL274" s="310"/>
      <c r="CM274" s="310"/>
      <c r="CN274" s="307"/>
      <c r="CO274" s="307"/>
      <c r="CP274" s="307"/>
      <c r="CQ274" s="315"/>
      <c r="CR274" s="315"/>
      <c r="CS274" s="315"/>
      <c r="CT274" s="315"/>
      <c r="CU274" s="307"/>
      <c r="CV274" s="217"/>
      <c r="CW274" s="192"/>
      <c r="CX274" s="192"/>
      <c r="CY274" s="192"/>
      <c r="CZ274" s="191"/>
      <c r="DA274" s="193"/>
      <c r="DB274" s="192"/>
      <c r="DC274" s="192"/>
      <c r="DD274" s="192"/>
      <c r="DE274" s="191"/>
      <c r="DF274" s="19"/>
      <c r="DG274" s="192"/>
      <c r="DH274" s="192"/>
      <c r="DI274" s="192"/>
      <c r="DJ274" s="191"/>
      <c r="DK274" s="193"/>
      <c r="DL274" s="192"/>
      <c r="DM274" s="192"/>
      <c r="DN274" s="192"/>
      <c r="DO274" s="191"/>
      <c r="DP274" s="19"/>
      <c r="DQ274" s="192"/>
      <c r="DR274" s="192"/>
      <c r="DS274" s="192"/>
      <c r="DT274" s="191"/>
      <c r="DU274" s="193"/>
      <c r="DV274" s="192"/>
      <c r="DW274" s="192"/>
      <c r="DX274" s="192"/>
      <c r="DY274" s="191"/>
      <c r="DZ274" s="19"/>
      <c r="EA274" s="192"/>
      <c r="EB274" s="192"/>
      <c r="EC274" s="192"/>
      <c r="ED274" s="191"/>
      <c r="EE274" s="193"/>
      <c r="EF274" s="192"/>
      <c r="EG274" s="192"/>
      <c r="EH274" s="192"/>
      <c r="EI274" s="191"/>
      <c r="EJ274" s="19"/>
      <c r="EK274" s="192"/>
      <c r="EL274" s="192"/>
      <c r="EM274" s="192"/>
      <c r="EN274" s="191"/>
      <c r="EO274" s="193"/>
      <c r="EP274" s="192"/>
      <c r="EQ274" s="192"/>
      <c r="ER274" s="192"/>
      <c r="ES274" s="191"/>
      <c r="ET274" s="19"/>
      <c r="EU274" s="192"/>
      <c r="EV274" s="192"/>
      <c r="EW274" s="192"/>
      <c r="EX274" s="191"/>
      <c r="EY274" s="193"/>
      <c r="EZ274" s="192"/>
      <c r="FA274" s="192"/>
      <c r="FB274" s="192"/>
      <c r="FC274" s="191"/>
      <c r="FL274" s="273">
        <f t="shared" ca="1" si="14"/>
        <v>116</v>
      </c>
    </row>
    <row r="275" spans="1:168" ht="16.5" thickBot="1">
      <c r="A275" s="199">
        <v>272</v>
      </c>
      <c r="B275" s="306"/>
      <c r="C275" s="310"/>
      <c r="D275" s="307" t="s">
        <v>271</v>
      </c>
      <c r="E275" s="307" t="s">
        <v>271</v>
      </c>
      <c r="F275" s="308"/>
      <c r="G275" s="343" t="str">
        <f t="shared" si="12"/>
        <v xml:space="preserve"> </v>
      </c>
      <c r="H275" s="307"/>
      <c r="I275" s="309" t="e">
        <f t="shared" si="13"/>
        <v>#N/A</v>
      </c>
      <c r="J275" s="307"/>
      <c r="K275" s="307"/>
      <c r="L275" s="310"/>
      <c r="M275" s="310"/>
      <c r="N275" s="310"/>
      <c r="O275" s="310"/>
      <c r="P275" s="310"/>
      <c r="Q275" s="310"/>
      <c r="R275" s="310"/>
      <c r="S275" s="310"/>
      <c r="T275" s="310"/>
      <c r="U275" s="307"/>
      <c r="V275" s="307"/>
      <c r="W275" s="311"/>
      <c r="X275" s="307"/>
      <c r="Y275" s="307"/>
      <c r="Z275" s="307"/>
      <c r="AA275" s="307"/>
      <c r="AB275" s="311"/>
      <c r="AC275" s="307"/>
      <c r="AD275" s="307"/>
      <c r="AE275" s="307"/>
      <c r="AF275" s="307"/>
      <c r="AG275" s="310"/>
      <c r="AH275" s="307"/>
      <c r="AI275" s="310"/>
      <c r="AJ275" s="307"/>
      <c r="AK275" s="307"/>
      <c r="AL275" s="307"/>
      <c r="AM275" s="308"/>
      <c r="AN275" s="311"/>
      <c r="AO275" s="307"/>
      <c r="AP275" s="307"/>
      <c r="AQ275" s="308"/>
      <c r="AR275" s="307"/>
      <c r="AS275" s="307"/>
      <c r="AT275" s="307"/>
      <c r="AU275" s="310"/>
      <c r="AV275" s="308"/>
      <c r="AW275" s="312"/>
      <c r="AX275" s="308"/>
      <c r="AY275" s="307"/>
      <c r="AZ275" s="307"/>
      <c r="BA275" s="307"/>
      <c r="BB275" s="307"/>
      <c r="BC275" s="308"/>
      <c r="BD275" s="308"/>
      <c r="BE275" s="313"/>
      <c r="BF275" s="307"/>
      <c r="BG275" s="310"/>
      <c r="BH275" s="307"/>
      <c r="BI275" s="307"/>
      <c r="BJ275" s="310"/>
      <c r="BK275" s="307"/>
      <c r="BL275" s="307"/>
      <c r="BM275" s="310"/>
      <c r="BN275" s="307"/>
      <c r="BO275" s="310"/>
      <c r="BP275" s="307"/>
      <c r="BQ275" s="307"/>
      <c r="BR275" s="307"/>
      <c r="BS275" s="307"/>
      <c r="BT275" s="307"/>
      <c r="BU275" s="310"/>
      <c r="BV275" s="307"/>
      <c r="BW275" s="308"/>
      <c r="BX275" s="311"/>
      <c r="BY275" s="307"/>
      <c r="BZ275" s="307"/>
      <c r="CA275" s="310"/>
      <c r="CB275" s="307"/>
      <c r="CC275" s="307"/>
      <c r="CD275" s="307"/>
      <c r="CE275" s="308"/>
      <c r="CF275" s="308"/>
      <c r="CG275" s="307"/>
      <c r="CH275" s="307"/>
      <c r="CI275" s="307"/>
      <c r="CJ275" s="307"/>
      <c r="CK275" s="314"/>
      <c r="CL275" s="310"/>
      <c r="CM275" s="310"/>
      <c r="CN275" s="307"/>
      <c r="CO275" s="307"/>
      <c r="CP275" s="307"/>
      <c r="CQ275" s="315"/>
      <c r="CR275" s="315"/>
      <c r="CS275" s="315"/>
      <c r="CT275" s="315"/>
      <c r="CU275" s="307"/>
      <c r="CV275" s="217"/>
      <c r="CW275" s="192"/>
      <c r="CX275" s="192"/>
      <c r="CY275" s="192"/>
      <c r="CZ275" s="191"/>
      <c r="DA275" s="193"/>
      <c r="DB275" s="192"/>
      <c r="DC275" s="192"/>
      <c r="DD275" s="192"/>
      <c r="DE275" s="191"/>
      <c r="DF275" s="19"/>
      <c r="DG275" s="192"/>
      <c r="DH275" s="192"/>
      <c r="DI275" s="192"/>
      <c r="DJ275" s="191"/>
      <c r="DK275" s="193"/>
      <c r="DL275" s="192"/>
      <c r="DM275" s="192"/>
      <c r="DN275" s="192"/>
      <c r="DO275" s="191"/>
      <c r="DP275" s="19"/>
      <c r="DQ275" s="192"/>
      <c r="DR275" s="192"/>
      <c r="DS275" s="192"/>
      <c r="DT275" s="191"/>
      <c r="DU275" s="193"/>
      <c r="DV275" s="192"/>
      <c r="DW275" s="192"/>
      <c r="DX275" s="192"/>
      <c r="DY275" s="191"/>
      <c r="DZ275" s="19"/>
      <c r="EA275" s="192"/>
      <c r="EB275" s="192"/>
      <c r="EC275" s="192"/>
      <c r="ED275" s="191"/>
      <c r="EE275" s="193"/>
      <c r="EF275" s="192"/>
      <c r="EG275" s="192"/>
      <c r="EH275" s="192"/>
      <c r="EI275" s="191"/>
      <c r="EJ275" s="19"/>
      <c r="EK275" s="192"/>
      <c r="EL275" s="192"/>
      <c r="EM275" s="192"/>
      <c r="EN275" s="191"/>
      <c r="EO275" s="193"/>
      <c r="EP275" s="192"/>
      <c r="EQ275" s="192"/>
      <c r="ER275" s="192"/>
      <c r="ES275" s="191"/>
      <c r="ET275" s="19"/>
      <c r="EU275" s="192"/>
      <c r="EV275" s="192"/>
      <c r="EW275" s="192"/>
      <c r="EX275" s="191"/>
      <c r="EY275" s="193"/>
      <c r="EZ275" s="192"/>
      <c r="FA275" s="192"/>
      <c r="FB275" s="192"/>
      <c r="FC275" s="191"/>
      <c r="FL275" s="273">
        <f t="shared" ca="1" si="14"/>
        <v>116</v>
      </c>
    </row>
    <row r="276" spans="1:168" ht="16.5" thickBot="1">
      <c r="A276" s="196">
        <v>273</v>
      </c>
      <c r="B276" s="306"/>
      <c r="C276" s="310"/>
      <c r="D276" s="307" t="s">
        <v>271</v>
      </c>
      <c r="E276" s="307" t="s">
        <v>271</v>
      </c>
      <c r="F276" s="308"/>
      <c r="G276" s="343" t="str">
        <f t="shared" si="12"/>
        <v xml:space="preserve"> </v>
      </c>
      <c r="H276" s="307"/>
      <c r="I276" s="309" t="e">
        <f t="shared" si="13"/>
        <v>#N/A</v>
      </c>
      <c r="J276" s="307"/>
      <c r="K276" s="307"/>
      <c r="L276" s="310"/>
      <c r="M276" s="310"/>
      <c r="N276" s="310"/>
      <c r="O276" s="310"/>
      <c r="P276" s="310"/>
      <c r="Q276" s="310"/>
      <c r="R276" s="310"/>
      <c r="S276" s="310"/>
      <c r="T276" s="310"/>
      <c r="U276" s="307"/>
      <c r="V276" s="307"/>
      <c r="W276" s="311"/>
      <c r="X276" s="307"/>
      <c r="Y276" s="307"/>
      <c r="Z276" s="307"/>
      <c r="AA276" s="307"/>
      <c r="AB276" s="311"/>
      <c r="AC276" s="307"/>
      <c r="AD276" s="307"/>
      <c r="AE276" s="307"/>
      <c r="AF276" s="307"/>
      <c r="AG276" s="310"/>
      <c r="AH276" s="307"/>
      <c r="AI276" s="310"/>
      <c r="AJ276" s="307"/>
      <c r="AK276" s="307"/>
      <c r="AL276" s="307"/>
      <c r="AM276" s="308"/>
      <c r="AN276" s="311"/>
      <c r="AO276" s="307"/>
      <c r="AP276" s="307"/>
      <c r="AQ276" s="308"/>
      <c r="AR276" s="307"/>
      <c r="AS276" s="307"/>
      <c r="AT276" s="307"/>
      <c r="AU276" s="310"/>
      <c r="AV276" s="308"/>
      <c r="AW276" s="312"/>
      <c r="AX276" s="308"/>
      <c r="AY276" s="307"/>
      <c r="AZ276" s="307"/>
      <c r="BA276" s="307"/>
      <c r="BB276" s="307"/>
      <c r="BC276" s="308"/>
      <c r="BD276" s="308"/>
      <c r="BE276" s="313"/>
      <c r="BF276" s="307"/>
      <c r="BG276" s="310"/>
      <c r="BH276" s="307"/>
      <c r="BI276" s="307"/>
      <c r="BJ276" s="310"/>
      <c r="BK276" s="307"/>
      <c r="BL276" s="307"/>
      <c r="BM276" s="310"/>
      <c r="BN276" s="307"/>
      <c r="BO276" s="310"/>
      <c r="BP276" s="307"/>
      <c r="BQ276" s="307"/>
      <c r="BR276" s="307"/>
      <c r="BS276" s="307"/>
      <c r="BT276" s="307"/>
      <c r="BU276" s="310"/>
      <c r="BV276" s="307"/>
      <c r="BW276" s="308"/>
      <c r="BX276" s="311"/>
      <c r="BY276" s="307"/>
      <c r="BZ276" s="307"/>
      <c r="CA276" s="310"/>
      <c r="CB276" s="307"/>
      <c r="CC276" s="307"/>
      <c r="CD276" s="307"/>
      <c r="CE276" s="308"/>
      <c r="CF276" s="308"/>
      <c r="CG276" s="307"/>
      <c r="CH276" s="307"/>
      <c r="CI276" s="307"/>
      <c r="CJ276" s="307"/>
      <c r="CK276" s="314"/>
      <c r="CL276" s="310"/>
      <c r="CM276" s="310"/>
      <c r="CN276" s="307"/>
      <c r="CO276" s="307"/>
      <c r="CP276" s="307"/>
      <c r="CQ276" s="315"/>
      <c r="CR276" s="315"/>
      <c r="CS276" s="315"/>
      <c r="CT276" s="315"/>
      <c r="CU276" s="307"/>
      <c r="CV276" s="217"/>
      <c r="CW276" s="192"/>
      <c r="CX276" s="192"/>
      <c r="CY276" s="192"/>
      <c r="CZ276" s="191"/>
      <c r="DA276" s="193"/>
      <c r="DB276" s="192"/>
      <c r="DC276" s="192"/>
      <c r="DD276" s="192"/>
      <c r="DE276" s="191"/>
      <c r="DF276" s="19"/>
      <c r="DG276" s="192"/>
      <c r="DH276" s="192"/>
      <c r="DI276" s="192"/>
      <c r="DJ276" s="191"/>
      <c r="DK276" s="193"/>
      <c r="DL276" s="192"/>
      <c r="DM276" s="192"/>
      <c r="DN276" s="192"/>
      <c r="DO276" s="191"/>
      <c r="DP276" s="19"/>
      <c r="DQ276" s="192"/>
      <c r="DR276" s="192"/>
      <c r="DS276" s="192"/>
      <c r="DT276" s="191"/>
      <c r="DU276" s="193"/>
      <c r="DV276" s="192"/>
      <c r="DW276" s="192"/>
      <c r="DX276" s="192"/>
      <c r="DY276" s="191"/>
      <c r="DZ276" s="19"/>
      <c r="EA276" s="192"/>
      <c r="EB276" s="192"/>
      <c r="EC276" s="192"/>
      <c r="ED276" s="191"/>
      <c r="EE276" s="193"/>
      <c r="EF276" s="192"/>
      <c r="EG276" s="192"/>
      <c r="EH276" s="192"/>
      <c r="EI276" s="191"/>
      <c r="EJ276" s="19"/>
      <c r="EK276" s="192"/>
      <c r="EL276" s="192"/>
      <c r="EM276" s="192"/>
      <c r="EN276" s="191"/>
      <c r="EO276" s="193"/>
      <c r="EP276" s="192"/>
      <c r="EQ276" s="192"/>
      <c r="ER276" s="192"/>
      <c r="ES276" s="191"/>
      <c r="ET276" s="19"/>
      <c r="EU276" s="192"/>
      <c r="EV276" s="192"/>
      <c r="EW276" s="192"/>
      <c r="EX276" s="191"/>
      <c r="EY276" s="193"/>
      <c r="EZ276" s="192"/>
      <c r="FA276" s="192"/>
      <c r="FB276" s="192"/>
      <c r="FC276" s="191"/>
      <c r="FL276" s="273">
        <f t="shared" ca="1" si="14"/>
        <v>116</v>
      </c>
    </row>
    <row r="277" spans="1:168" ht="16.5" thickBot="1">
      <c r="A277" s="199">
        <v>274</v>
      </c>
      <c r="B277" s="306"/>
      <c r="C277" s="310"/>
      <c r="D277" s="307" t="s">
        <v>271</v>
      </c>
      <c r="E277" s="307" t="s">
        <v>271</v>
      </c>
      <c r="F277" s="308"/>
      <c r="G277" s="343" t="str">
        <f t="shared" si="12"/>
        <v xml:space="preserve"> </v>
      </c>
      <c r="H277" s="307"/>
      <c r="I277" s="309" t="e">
        <f t="shared" si="13"/>
        <v>#N/A</v>
      </c>
      <c r="J277" s="307"/>
      <c r="K277" s="307"/>
      <c r="L277" s="310"/>
      <c r="M277" s="310"/>
      <c r="N277" s="310"/>
      <c r="O277" s="310"/>
      <c r="P277" s="310"/>
      <c r="Q277" s="310"/>
      <c r="R277" s="310"/>
      <c r="S277" s="310"/>
      <c r="T277" s="310"/>
      <c r="U277" s="307"/>
      <c r="V277" s="307"/>
      <c r="W277" s="311"/>
      <c r="X277" s="307"/>
      <c r="Y277" s="307"/>
      <c r="Z277" s="307"/>
      <c r="AA277" s="307"/>
      <c r="AB277" s="311"/>
      <c r="AC277" s="307"/>
      <c r="AD277" s="307"/>
      <c r="AE277" s="307"/>
      <c r="AF277" s="307"/>
      <c r="AG277" s="310"/>
      <c r="AH277" s="307"/>
      <c r="AI277" s="310"/>
      <c r="AJ277" s="307"/>
      <c r="AK277" s="307"/>
      <c r="AL277" s="307"/>
      <c r="AM277" s="308"/>
      <c r="AN277" s="311"/>
      <c r="AO277" s="307"/>
      <c r="AP277" s="307"/>
      <c r="AQ277" s="308"/>
      <c r="AR277" s="307"/>
      <c r="AS277" s="307"/>
      <c r="AT277" s="307"/>
      <c r="AU277" s="310"/>
      <c r="AV277" s="308"/>
      <c r="AW277" s="312"/>
      <c r="AX277" s="308"/>
      <c r="AY277" s="307"/>
      <c r="AZ277" s="307"/>
      <c r="BA277" s="307"/>
      <c r="BB277" s="307"/>
      <c r="BC277" s="308"/>
      <c r="BD277" s="308"/>
      <c r="BE277" s="313"/>
      <c r="BF277" s="307"/>
      <c r="BG277" s="310"/>
      <c r="BH277" s="307"/>
      <c r="BI277" s="307"/>
      <c r="BJ277" s="310"/>
      <c r="BK277" s="307"/>
      <c r="BL277" s="307"/>
      <c r="BM277" s="310"/>
      <c r="BN277" s="307"/>
      <c r="BO277" s="310"/>
      <c r="BP277" s="307"/>
      <c r="BQ277" s="307"/>
      <c r="BR277" s="307"/>
      <c r="BS277" s="307"/>
      <c r="BT277" s="307"/>
      <c r="BU277" s="310"/>
      <c r="BV277" s="307"/>
      <c r="BW277" s="308"/>
      <c r="BX277" s="311"/>
      <c r="BY277" s="307"/>
      <c r="BZ277" s="307"/>
      <c r="CA277" s="310"/>
      <c r="CB277" s="307"/>
      <c r="CC277" s="307"/>
      <c r="CD277" s="307"/>
      <c r="CE277" s="308"/>
      <c r="CF277" s="308"/>
      <c r="CG277" s="307"/>
      <c r="CH277" s="307"/>
      <c r="CI277" s="307"/>
      <c r="CJ277" s="307"/>
      <c r="CK277" s="314"/>
      <c r="CL277" s="310"/>
      <c r="CM277" s="310"/>
      <c r="CN277" s="307"/>
      <c r="CO277" s="307"/>
      <c r="CP277" s="307"/>
      <c r="CQ277" s="315"/>
      <c r="CR277" s="315"/>
      <c r="CS277" s="315"/>
      <c r="CT277" s="315"/>
      <c r="CU277" s="307"/>
      <c r="CV277" s="217"/>
      <c r="CW277" s="192"/>
      <c r="CX277" s="192"/>
      <c r="CY277" s="192"/>
      <c r="CZ277" s="191"/>
      <c r="DA277" s="193"/>
      <c r="DB277" s="192"/>
      <c r="DC277" s="192"/>
      <c r="DD277" s="192"/>
      <c r="DE277" s="191"/>
      <c r="DF277" s="19"/>
      <c r="DG277" s="192"/>
      <c r="DH277" s="192"/>
      <c r="DI277" s="192"/>
      <c r="DJ277" s="191"/>
      <c r="DK277" s="193"/>
      <c r="DL277" s="192"/>
      <c r="DM277" s="192"/>
      <c r="DN277" s="192"/>
      <c r="DO277" s="191"/>
      <c r="DP277" s="19"/>
      <c r="DQ277" s="192"/>
      <c r="DR277" s="192"/>
      <c r="DS277" s="192"/>
      <c r="DT277" s="191"/>
      <c r="DU277" s="193"/>
      <c r="DV277" s="192"/>
      <c r="DW277" s="192"/>
      <c r="DX277" s="192"/>
      <c r="DY277" s="191"/>
      <c r="DZ277" s="19"/>
      <c r="EA277" s="192"/>
      <c r="EB277" s="192"/>
      <c r="EC277" s="192"/>
      <c r="ED277" s="191"/>
      <c r="EE277" s="193"/>
      <c r="EF277" s="192"/>
      <c r="EG277" s="192"/>
      <c r="EH277" s="192"/>
      <c r="EI277" s="191"/>
      <c r="EJ277" s="19"/>
      <c r="EK277" s="192"/>
      <c r="EL277" s="192"/>
      <c r="EM277" s="192"/>
      <c r="EN277" s="191"/>
      <c r="EO277" s="193"/>
      <c r="EP277" s="192"/>
      <c r="EQ277" s="192"/>
      <c r="ER277" s="192"/>
      <c r="ES277" s="191"/>
      <c r="ET277" s="19"/>
      <c r="EU277" s="192"/>
      <c r="EV277" s="192"/>
      <c r="EW277" s="192"/>
      <c r="EX277" s="191"/>
      <c r="EY277" s="193"/>
      <c r="EZ277" s="192"/>
      <c r="FA277" s="192"/>
      <c r="FB277" s="192"/>
      <c r="FC277" s="191"/>
      <c r="FL277" s="273">
        <f t="shared" ca="1" si="14"/>
        <v>116</v>
      </c>
    </row>
    <row r="278" spans="1:168" ht="16.5" thickBot="1">
      <c r="A278" s="196">
        <v>275</v>
      </c>
      <c r="B278" s="306"/>
      <c r="C278" s="310"/>
      <c r="D278" s="307" t="s">
        <v>271</v>
      </c>
      <c r="E278" s="307" t="s">
        <v>271</v>
      </c>
      <c r="F278" s="308"/>
      <c r="G278" s="343" t="str">
        <f t="shared" si="12"/>
        <v xml:space="preserve"> </v>
      </c>
      <c r="H278" s="307"/>
      <c r="I278" s="309" t="e">
        <f t="shared" si="13"/>
        <v>#N/A</v>
      </c>
      <c r="J278" s="307"/>
      <c r="K278" s="307"/>
      <c r="L278" s="310"/>
      <c r="M278" s="310"/>
      <c r="N278" s="310"/>
      <c r="O278" s="310"/>
      <c r="P278" s="310"/>
      <c r="Q278" s="310"/>
      <c r="R278" s="310"/>
      <c r="S278" s="310"/>
      <c r="T278" s="310"/>
      <c r="U278" s="307"/>
      <c r="V278" s="307"/>
      <c r="W278" s="311"/>
      <c r="X278" s="307"/>
      <c r="Y278" s="307"/>
      <c r="Z278" s="307"/>
      <c r="AA278" s="307"/>
      <c r="AB278" s="311"/>
      <c r="AC278" s="307"/>
      <c r="AD278" s="307"/>
      <c r="AE278" s="307"/>
      <c r="AF278" s="307"/>
      <c r="AG278" s="310"/>
      <c r="AH278" s="307"/>
      <c r="AI278" s="310"/>
      <c r="AJ278" s="307"/>
      <c r="AK278" s="307"/>
      <c r="AL278" s="307"/>
      <c r="AM278" s="308"/>
      <c r="AN278" s="311"/>
      <c r="AO278" s="307"/>
      <c r="AP278" s="307"/>
      <c r="AQ278" s="308"/>
      <c r="AR278" s="307"/>
      <c r="AS278" s="307"/>
      <c r="AT278" s="307"/>
      <c r="AU278" s="310"/>
      <c r="AV278" s="308"/>
      <c r="AW278" s="312"/>
      <c r="AX278" s="308"/>
      <c r="AY278" s="307"/>
      <c r="AZ278" s="307"/>
      <c r="BA278" s="307"/>
      <c r="BB278" s="307"/>
      <c r="BC278" s="308"/>
      <c r="BD278" s="308"/>
      <c r="BE278" s="313"/>
      <c r="BF278" s="307"/>
      <c r="BG278" s="310"/>
      <c r="BH278" s="307"/>
      <c r="BI278" s="307"/>
      <c r="BJ278" s="310"/>
      <c r="BK278" s="307"/>
      <c r="BL278" s="307"/>
      <c r="BM278" s="310"/>
      <c r="BN278" s="307"/>
      <c r="BO278" s="310"/>
      <c r="BP278" s="307"/>
      <c r="BQ278" s="307"/>
      <c r="BR278" s="307"/>
      <c r="BS278" s="307"/>
      <c r="BT278" s="307"/>
      <c r="BU278" s="310"/>
      <c r="BV278" s="307"/>
      <c r="BW278" s="308"/>
      <c r="BX278" s="311"/>
      <c r="BY278" s="307"/>
      <c r="BZ278" s="307"/>
      <c r="CA278" s="310"/>
      <c r="CB278" s="307"/>
      <c r="CC278" s="307"/>
      <c r="CD278" s="307"/>
      <c r="CE278" s="308"/>
      <c r="CF278" s="308"/>
      <c r="CG278" s="307"/>
      <c r="CH278" s="307"/>
      <c r="CI278" s="307"/>
      <c r="CJ278" s="307"/>
      <c r="CK278" s="314"/>
      <c r="CL278" s="310"/>
      <c r="CM278" s="310"/>
      <c r="CN278" s="307"/>
      <c r="CO278" s="307"/>
      <c r="CP278" s="307"/>
      <c r="CQ278" s="315"/>
      <c r="CR278" s="315"/>
      <c r="CS278" s="315"/>
      <c r="CT278" s="315"/>
      <c r="CU278" s="307"/>
      <c r="CV278" s="217"/>
      <c r="CW278" s="192"/>
      <c r="CX278" s="192"/>
      <c r="CY278" s="192"/>
      <c r="CZ278" s="191"/>
      <c r="DA278" s="193"/>
      <c r="DB278" s="192"/>
      <c r="DC278" s="192"/>
      <c r="DD278" s="192"/>
      <c r="DE278" s="191"/>
      <c r="DF278" s="19"/>
      <c r="DG278" s="192"/>
      <c r="DH278" s="192"/>
      <c r="DI278" s="192"/>
      <c r="DJ278" s="191"/>
      <c r="DK278" s="193"/>
      <c r="DL278" s="192"/>
      <c r="DM278" s="192"/>
      <c r="DN278" s="192"/>
      <c r="DO278" s="191"/>
      <c r="DP278" s="19"/>
      <c r="DQ278" s="192"/>
      <c r="DR278" s="192"/>
      <c r="DS278" s="192"/>
      <c r="DT278" s="191"/>
      <c r="DU278" s="193"/>
      <c r="DV278" s="192"/>
      <c r="DW278" s="192"/>
      <c r="DX278" s="192"/>
      <c r="DY278" s="191"/>
      <c r="DZ278" s="19"/>
      <c r="EA278" s="192"/>
      <c r="EB278" s="192"/>
      <c r="EC278" s="192"/>
      <c r="ED278" s="191"/>
      <c r="EE278" s="193"/>
      <c r="EF278" s="192"/>
      <c r="EG278" s="192"/>
      <c r="EH278" s="192"/>
      <c r="EI278" s="191"/>
      <c r="EJ278" s="19"/>
      <c r="EK278" s="192"/>
      <c r="EL278" s="192"/>
      <c r="EM278" s="192"/>
      <c r="EN278" s="191"/>
      <c r="EO278" s="193"/>
      <c r="EP278" s="192"/>
      <c r="EQ278" s="192"/>
      <c r="ER278" s="192"/>
      <c r="ES278" s="191"/>
      <c r="ET278" s="19"/>
      <c r="EU278" s="192"/>
      <c r="EV278" s="192"/>
      <c r="EW278" s="192"/>
      <c r="EX278" s="191"/>
      <c r="EY278" s="193"/>
      <c r="EZ278" s="192"/>
      <c r="FA278" s="192"/>
      <c r="FB278" s="192"/>
      <c r="FC278" s="191"/>
      <c r="FL278" s="273">
        <f t="shared" ca="1" si="14"/>
        <v>116</v>
      </c>
    </row>
    <row r="279" spans="1:168" ht="16.5" thickBot="1">
      <c r="A279" s="199">
        <v>276</v>
      </c>
      <c r="B279" s="306"/>
      <c r="C279" s="310"/>
      <c r="D279" s="307" t="s">
        <v>271</v>
      </c>
      <c r="E279" s="307" t="s">
        <v>271</v>
      </c>
      <c r="F279" s="308"/>
      <c r="G279" s="343" t="str">
        <f t="shared" si="12"/>
        <v xml:space="preserve"> </v>
      </c>
      <c r="H279" s="307"/>
      <c r="I279" s="309" t="e">
        <f t="shared" si="13"/>
        <v>#N/A</v>
      </c>
      <c r="J279" s="307"/>
      <c r="K279" s="307"/>
      <c r="L279" s="310"/>
      <c r="M279" s="310"/>
      <c r="N279" s="310"/>
      <c r="O279" s="310"/>
      <c r="P279" s="310"/>
      <c r="Q279" s="310"/>
      <c r="R279" s="310"/>
      <c r="S279" s="310"/>
      <c r="T279" s="310"/>
      <c r="U279" s="307"/>
      <c r="V279" s="307"/>
      <c r="W279" s="311"/>
      <c r="X279" s="307"/>
      <c r="Y279" s="307"/>
      <c r="Z279" s="307"/>
      <c r="AA279" s="307"/>
      <c r="AB279" s="311"/>
      <c r="AC279" s="307"/>
      <c r="AD279" s="307"/>
      <c r="AE279" s="307"/>
      <c r="AF279" s="307"/>
      <c r="AG279" s="310"/>
      <c r="AH279" s="307"/>
      <c r="AI279" s="310"/>
      <c r="AJ279" s="307"/>
      <c r="AK279" s="307"/>
      <c r="AL279" s="307"/>
      <c r="AM279" s="308"/>
      <c r="AN279" s="311"/>
      <c r="AO279" s="307"/>
      <c r="AP279" s="307"/>
      <c r="AQ279" s="308"/>
      <c r="AR279" s="307"/>
      <c r="AS279" s="307"/>
      <c r="AT279" s="307"/>
      <c r="AU279" s="310"/>
      <c r="AV279" s="308"/>
      <c r="AW279" s="312"/>
      <c r="AX279" s="308"/>
      <c r="AY279" s="307"/>
      <c r="AZ279" s="307"/>
      <c r="BA279" s="307"/>
      <c r="BB279" s="307"/>
      <c r="BC279" s="308"/>
      <c r="BD279" s="308"/>
      <c r="BE279" s="313"/>
      <c r="BF279" s="307"/>
      <c r="BG279" s="310"/>
      <c r="BH279" s="307"/>
      <c r="BI279" s="307"/>
      <c r="BJ279" s="310"/>
      <c r="BK279" s="307"/>
      <c r="BL279" s="307"/>
      <c r="BM279" s="310"/>
      <c r="BN279" s="307"/>
      <c r="BO279" s="310"/>
      <c r="BP279" s="307"/>
      <c r="BQ279" s="307"/>
      <c r="BR279" s="307"/>
      <c r="BS279" s="307"/>
      <c r="BT279" s="307"/>
      <c r="BU279" s="310"/>
      <c r="BV279" s="307"/>
      <c r="BW279" s="308"/>
      <c r="BX279" s="311"/>
      <c r="BY279" s="307"/>
      <c r="BZ279" s="307"/>
      <c r="CA279" s="310"/>
      <c r="CB279" s="307"/>
      <c r="CC279" s="307"/>
      <c r="CD279" s="307"/>
      <c r="CE279" s="308"/>
      <c r="CF279" s="308"/>
      <c r="CG279" s="307"/>
      <c r="CH279" s="307"/>
      <c r="CI279" s="307"/>
      <c r="CJ279" s="307"/>
      <c r="CK279" s="314"/>
      <c r="CL279" s="310"/>
      <c r="CM279" s="310"/>
      <c r="CN279" s="307"/>
      <c r="CO279" s="307"/>
      <c r="CP279" s="307"/>
      <c r="CQ279" s="315"/>
      <c r="CR279" s="315"/>
      <c r="CS279" s="315"/>
      <c r="CT279" s="315"/>
      <c r="CU279" s="307"/>
      <c r="CV279" s="217"/>
      <c r="CW279" s="192"/>
      <c r="CX279" s="192"/>
      <c r="CY279" s="192"/>
      <c r="CZ279" s="191"/>
      <c r="DA279" s="193"/>
      <c r="DB279" s="192"/>
      <c r="DC279" s="192"/>
      <c r="DD279" s="192"/>
      <c r="DE279" s="191"/>
      <c r="DF279" s="19"/>
      <c r="DG279" s="192"/>
      <c r="DH279" s="192"/>
      <c r="DI279" s="192"/>
      <c r="DJ279" s="191"/>
      <c r="DK279" s="193"/>
      <c r="DL279" s="192"/>
      <c r="DM279" s="192"/>
      <c r="DN279" s="192"/>
      <c r="DO279" s="191"/>
      <c r="DP279" s="19"/>
      <c r="DQ279" s="192"/>
      <c r="DR279" s="192"/>
      <c r="DS279" s="192"/>
      <c r="DT279" s="191"/>
      <c r="DU279" s="193"/>
      <c r="DV279" s="192"/>
      <c r="DW279" s="192"/>
      <c r="DX279" s="192"/>
      <c r="DY279" s="191"/>
      <c r="DZ279" s="19"/>
      <c r="EA279" s="192"/>
      <c r="EB279" s="192"/>
      <c r="EC279" s="192"/>
      <c r="ED279" s="191"/>
      <c r="EE279" s="193"/>
      <c r="EF279" s="192"/>
      <c r="EG279" s="192"/>
      <c r="EH279" s="192"/>
      <c r="EI279" s="191"/>
      <c r="EJ279" s="19"/>
      <c r="EK279" s="192"/>
      <c r="EL279" s="192"/>
      <c r="EM279" s="192"/>
      <c r="EN279" s="191"/>
      <c r="EO279" s="193"/>
      <c r="EP279" s="192"/>
      <c r="EQ279" s="192"/>
      <c r="ER279" s="192"/>
      <c r="ES279" s="191"/>
      <c r="ET279" s="19"/>
      <c r="EU279" s="192"/>
      <c r="EV279" s="192"/>
      <c r="EW279" s="192"/>
      <c r="EX279" s="191"/>
      <c r="EY279" s="193"/>
      <c r="EZ279" s="192"/>
      <c r="FA279" s="192"/>
      <c r="FB279" s="192"/>
      <c r="FC279" s="191"/>
      <c r="FL279" s="273">
        <f t="shared" ca="1" si="14"/>
        <v>116</v>
      </c>
    </row>
    <row r="280" spans="1:168" ht="16.5" thickBot="1">
      <c r="A280" s="196">
        <v>277</v>
      </c>
      <c r="B280" s="306"/>
      <c r="C280" s="310"/>
      <c r="D280" s="307" t="s">
        <v>271</v>
      </c>
      <c r="E280" s="307" t="s">
        <v>271</v>
      </c>
      <c r="F280" s="308"/>
      <c r="G280" s="343" t="str">
        <f t="shared" si="12"/>
        <v xml:space="preserve"> </v>
      </c>
      <c r="H280" s="307"/>
      <c r="I280" s="309" t="e">
        <f t="shared" si="13"/>
        <v>#N/A</v>
      </c>
      <c r="J280" s="307"/>
      <c r="K280" s="307"/>
      <c r="L280" s="310"/>
      <c r="M280" s="310"/>
      <c r="N280" s="310"/>
      <c r="O280" s="310"/>
      <c r="P280" s="310"/>
      <c r="Q280" s="310"/>
      <c r="R280" s="310"/>
      <c r="S280" s="310"/>
      <c r="T280" s="310"/>
      <c r="U280" s="307"/>
      <c r="V280" s="307"/>
      <c r="W280" s="311"/>
      <c r="X280" s="307"/>
      <c r="Y280" s="307"/>
      <c r="Z280" s="307"/>
      <c r="AA280" s="307"/>
      <c r="AB280" s="311"/>
      <c r="AC280" s="307"/>
      <c r="AD280" s="307"/>
      <c r="AE280" s="307"/>
      <c r="AF280" s="307"/>
      <c r="AG280" s="310"/>
      <c r="AH280" s="307"/>
      <c r="AI280" s="310"/>
      <c r="AJ280" s="307"/>
      <c r="AK280" s="307"/>
      <c r="AL280" s="307"/>
      <c r="AM280" s="308"/>
      <c r="AN280" s="311"/>
      <c r="AO280" s="307"/>
      <c r="AP280" s="307"/>
      <c r="AQ280" s="308"/>
      <c r="AR280" s="307"/>
      <c r="AS280" s="307"/>
      <c r="AT280" s="307"/>
      <c r="AU280" s="310"/>
      <c r="AV280" s="308"/>
      <c r="AW280" s="312"/>
      <c r="AX280" s="308"/>
      <c r="AY280" s="307"/>
      <c r="AZ280" s="307"/>
      <c r="BA280" s="307"/>
      <c r="BB280" s="307"/>
      <c r="BC280" s="308"/>
      <c r="BD280" s="308"/>
      <c r="BE280" s="313"/>
      <c r="BF280" s="307"/>
      <c r="BG280" s="310"/>
      <c r="BH280" s="307"/>
      <c r="BI280" s="307"/>
      <c r="BJ280" s="310"/>
      <c r="BK280" s="307"/>
      <c r="BL280" s="307"/>
      <c r="BM280" s="310"/>
      <c r="BN280" s="307"/>
      <c r="BO280" s="310"/>
      <c r="BP280" s="307"/>
      <c r="BQ280" s="307"/>
      <c r="BR280" s="307"/>
      <c r="BS280" s="307"/>
      <c r="BT280" s="307"/>
      <c r="BU280" s="310"/>
      <c r="BV280" s="307"/>
      <c r="BW280" s="308"/>
      <c r="BX280" s="311"/>
      <c r="BY280" s="307"/>
      <c r="BZ280" s="307"/>
      <c r="CA280" s="310"/>
      <c r="CB280" s="307"/>
      <c r="CC280" s="307"/>
      <c r="CD280" s="307"/>
      <c r="CE280" s="308"/>
      <c r="CF280" s="308"/>
      <c r="CG280" s="307"/>
      <c r="CH280" s="307"/>
      <c r="CI280" s="307"/>
      <c r="CJ280" s="307"/>
      <c r="CK280" s="314"/>
      <c r="CL280" s="310"/>
      <c r="CM280" s="310"/>
      <c r="CN280" s="307"/>
      <c r="CO280" s="307"/>
      <c r="CP280" s="307"/>
      <c r="CQ280" s="315"/>
      <c r="CR280" s="315"/>
      <c r="CS280" s="315"/>
      <c r="CT280" s="315"/>
      <c r="CU280" s="307"/>
      <c r="CV280" s="217"/>
      <c r="CW280" s="192"/>
      <c r="CX280" s="192"/>
      <c r="CY280" s="192"/>
      <c r="CZ280" s="191"/>
      <c r="DA280" s="193"/>
      <c r="DB280" s="192"/>
      <c r="DC280" s="192"/>
      <c r="DD280" s="192"/>
      <c r="DE280" s="191"/>
      <c r="DF280" s="19"/>
      <c r="DG280" s="192"/>
      <c r="DH280" s="192"/>
      <c r="DI280" s="192"/>
      <c r="DJ280" s="191"/>
      <c r="DK280" s="193"/>
      <c r="DL280" s="192"/>
      <c r="DM280" s="192"/>
      <c r="DN280" s="192"/>
      <c r="DO280" s="191"/>
      <c r="DP280" s="19"/>
      <c r="DQ280" s="192"/>
      <c r="DR280" s="192"/>
      <c r="DS280" s="192"/>
      <c r="DT280" s="191"/>
      <c r="DU280" s="193"/>
      <c r="DV280" s="192"/>
      <c r="DW280" s="192"/>
      <c r="DX280" s="192"/>
      <c r="DY280" s="191"/>
      <c r="DZ280" s="19"/>
      <c r="EA280" s="192"/>
      <c r="EB280" s="192"/>
      <c r="EC280" s="192"/>
      <c r="ED280" s="191"/>
      <c r="EE280" s="193"/>
      <c r="EF280" s="192"/>
      <c r="EG280" s="192"/>
      <c r="EH280" s="192"/>
      <c r="EI280" s="191"/>
      <c r="EJ280" s="19"/>
      <c r="EK280" s="192"/>
      <c r="EL280" s="192"/>
      <c r="EM280" s="192"/>
      <c r="EN280" s="191"/>
      <c r="EO280" s="193"/>
      <c r="EP280" s="192"/>
      <c r="EQ280" s="192"/>
      <c r="ER280" s="192"/>
      <c r="ES280" s="191"/>
      <c r="ET280" s="19"/>
      <c r="EU280" s="192"/>
      <c r="EV280" s="192"/>
      <c r="EW280" s="192"/>
      <c r="EX280" s="191"/>
      <c r="EY280" s="193"/>
      <c r="EZ280" s="192"/>
      <c r="FA280" s="192"/>
      <c r="FB280" s="192"/>
      <c r="FC280" s="191"/>
      <c r="FL280" s="273">
        <f t="shared" ca="1" si="14"/>
        <v>116</v>
      </c>
    </row>
    <row r="281" spans="1:168" ht="16.5" thickBot="1">
      <c r="A281" s="199">
        <v>278</v>
      </c>
      <c r="B281" s="306"/>
      <c r="C281" s="310"/>
      <c r="D281" s="307" t="s">
        <v>271</v>
      </c>
      <c r="E281" s="307" t="s">
        <v>271</v>
      </c>
      <c r="F281" s="308"/>
      <c r="G281" s="343" t="str">
        <f t="shared" si="12"/>
        <v xml:space="preserve"> </v>
      </c>
      <c r="H281" s="307"/>
      <c r="I281" s="309" t="e">
        <f t="shared" si="13"/>
        <v>#N/A</v>
      </c>
      <c r="J281" s="307"/>
      <c r="K281" s="307"/>
      <c r="L281" s="310"/>
      <c r="M281" s="310"/>
      <c r="N281" s="310"/>
      <c r="O281" s="310"/>
      <c r="P281" s="310"/>
      <c r="Q281" s="310"/>
      <c r="R281" s="310"/>
      <c r="S281" s="310"/>
      <c r="T281" s="310"/>
      <c r="U281" s="307"/>
      <c r="V281" s="307"/>
      <c r="W281" s="311"/>
      <c r="X281" s="307"/>
      <c r="Y281" s="307"/>
      <c r="Z281" s="307"/>
      <c r="AA281" s="307"/>
      <c r="AB281" s="311"/>
      <c r="AC281" s="307"/>
      <c r="AD281" s="307"/>
      <c r="AE281" s="307"/>
      <c r="AF281" s="307"/>
      <c r="AG281" s="310"/>
      <c r="AH281" s="307"/>
      <c r="AI281" s="310"/>
      <c r="AJ281" s="307"/>
      <c r="AK281" s="307"/>
      <c r="AL281" s="307"/>
      <c r="AM281" s="308"/>
      <c r="AN281" s="311"/>
      <c r="AO281" s="307"/>
      <c r="AP281" s="307"/>
      <c r="AQ281" s="308"/>
      <c r="AR281" s="307"/>
      <c r="AS281" s="307"/>
      <c r="AT281" s="307"/>
      <c r="AU281" s="310"/>
      <c r="AV281" s="308"/>
      <c r="AW281" s="312"/>
      <c r="AX281" s="308"/>
      <c r="AY281" s="307"/>
      <c r="AZ281" s="307"/>
      <c r="BA281" s="307"/>
      <c r="BB281" s="307"/>
      <c r="BC281" s="308"/>
      <c r="BD281" s="308"/>
      <c r="BE281" s="313"/>
      <c r="BF281" s="307"/>
      <c r="BG281" s="310"/>
      <c r="BH281" s="307"/>
      <c r="BI281" s="307"/>
      <c r="BJ281" s="310"/>
      <c r="BK281" s="307"/>
      <c r="BL281" s="307"/>
      <c r="BM281" s="310"/>
      <c r="BN281" s="307"/>
      <c r="BO281" s="310"/>
      <c r="BP281" s="307"/>
      <c r="BQ281" s="307"/>
      <c r="BR281" s="307"/>
      <c r="BS281" s="307"/>
      <c r="BT281" s="307"/>
      <c r="BU281" s="310"/>
      <c r="BV281" s="307"/>
      <c r="BW281" s="308"/>
      <c r="BX281" s="311"/>
      <c r="BY281" s="307"/>
      <c r="BZ281" s="307"/>
      <c r="CA281" s="310"/>
      <c r="CB281" s="307"/>
      <c r="CC281" s="307"/>
      <c r="CD281" s="307"/>
      <c r="CE281" s="308"/>
      <c r="CF281" s="308"/>
      <c r="CG281" s="307"/>
      <c r="CH281" s="307"/>
      <c r="CI281" s="307"/>
      <c r="CJ281" s="307"/>
      <c r="CK281" s="314"/>
      <c r="CL281" s="310"/>
      <c r="CM281" s="310"/>
      <c r="CN281" s="307"/>
      <c r="CO281" s="307"/>
      <c r="CP281" s="307"/>
      <c r="CQ281" s="315"/>
      <c r="CR281" s="315"/>
      <c r="CS281" s="315"/>
      <c r="CT281" s="315"/>
      <c r="CU281" s="307"/>
      <c r="CV281" s="217"/>
      <c r="CW281" s="192"/>
      <c r="CX281" s="192"/>
      <c r="CY281" s="192"/>
      <c r="CZ281" s="191"/>
      <c r="DA281" s="193"/>
      <c r="DB281" s="192"/>
      <c r="DC281" s="192"/>
      <c r="DD281" s="192"/>
      <c r="DE281" s="191"/>
      <c r="DF281" s="19"/>
      <c r="DG281" s="192"/>
      <c r="DH281" s="192"/>
      <c r="DI281" s="192"/>
      <c r="DJ281" s="191"/>
      <c r="DK281" s="193"/>
      <c r="DL281" s="192"/>
      <c r="DM281" s="192"/>
      <c r="DN281" s="192"/>
      <c r="DO281" s="191"/>
      <c r="DP281" s="19"/>
      <c r="DQ281" s="192"/>
      <c r="DR281" s="192"/>
      <c r="DS281" s="192"/>
      <c r="DT281" s="191"/>
      <c r="DU281" s="193"/>
      <c r="DV281" s="192"/>
      <c r="DW281" s="192"/>
      <c r="DX281" s="192"/>
      <c r="DY281" s="191"/>
      <c r="DZ281" s="19"/>
      <c r="EA281" s="192"/>
      <c r="EB281" s="192"/>
      <c r="EC281" s="192"/>
      <c r="ED281" s="191"/>
      <c r="EE281" s="193"/>
      <c r="EF281" s="192"/>
      <c r="EG281" s="192"/>
      <c r="EH281" s="192"/>
      <c r="EI281" s="191"/>
      <c r="EJ281" s="19"/>
      <c r="EK281" s="192"/>
      <c r="EL281" s="192"/>
      <c r="EM281" s="192"/>
      <c r="EN281" s="191"/>
      <c r="EO281" s="193"/>
      <c r="EP281" s="192"/>
      <c r="EQ281" s="192"/>
      <c r="ER281" s="192"/>
      <c r="ES281" s="191"/>
      <c r="ET281" s="19"/>
      <c r="EU281" s="192"/>
      <c r="EV281" s="192"/>
      <c r="EW281" s="192"/>
      <c r="EX281" s="191"/>
      <c r="EY281" s="193"/>
      <c r="EZ281" s="192"/>
      <c r="FA281" s="192"/>
      <c r="FB281" s="192"/>
      <c r="FC281" s="191"/>
      <c r="FL281" s="273">
        <f t="shared" ca="1" si="14"/>
        <v>116</v>
      </c>
    </row>
    <row r="282" spans="1:168" ht="16.5" thickBot="1">
      <c r="A282" s="196">
        <v>279</v>
      </c>
      <c r="B282" s="306"/>
      <c r="C282" s="310"/>
      <c r="D282" s="307" t="s">
        <v>271</v>
      </c>
      <c r="E282" s="307" t="s">
        <v>271</v>
      </c>
      <c r="F282" s="308"/>
      <c r="G282" s="343" t="str">
        <f t="shared" si="12"/>
        <v xml:space="preserve"> </v>
      </c>
      <c r="H282" s="307"/>
      <c r="I282" s="309" t="e">
        <f t="shared" si="13"/>
        <v>#N/A</v>
      </c>
      <c r="J282" s="307"/>
      <c r="K282" s="307"/>
      <c r="L282" s="310"/>
      <c r="M282" s="310"/>
      <c r="N282" s="310"/>
      <c r="O282" s="310"/>
      <c r="P282" s="310"/>
      <c r="Q282" s="310"/>
      <c r="R282" s="310"/>
      <c r="S282" s="310"/>
      <c r="T282" s="310"/>
      <c r="U282" s="307"/>
      <c r="V282" s="307"/>
      <c r="W282" s="311"/>
      <c r="X282" s="307"/>
      <c r="Y282" s="307"/>
      <c r="Z282" s="307"/>
      <c r="AA282" s="307"/>
      <c r="AB282" s="311"/>
      <c r="AC282" s="307"/>
      <c r="AD282" s="307"/>
      <c r="AE282" s="307"/>
      <c r="AF282" s="307"/>
      <c r="AG282" s="310"/>
      <c r="AH282" s="307"/>
      <c r="AI282" s="310"/>
      <c r="AJ282" s="307"/>
      <c r="AK282" s="307"/>
      <c r="AL282" s="307"/>
      <c r="AM282" s="308"/>
      <c r="AN282" s="311"/>
      <c r="AO282" s="307"/>
      <c r="AP282" s="307"/>
      <c r="AQ282" s="308"/>
      <c r="AR282" s="307"/>
      <c r="AS282" s="307"/>
      <c r="AT282" s="307"/>
      <c r="AU282" s="310"/>
      <c r="AV282" s="308"/>
      <c r="AW282" s="312"/>
      <c r="AX282" s="308"/>
      <c r="AY282" s="307"/>
      <c r="AZ282" s="307"/>
      <c r="BA282" s="307"/>
      <c r="BB282" s="307"/>
      <c r="BC282" s="308"/>
      <c r="BD282" s="308"/>
      <c r="BE282" s="313"/>
      <c r="BF282" s="307"/>
      <c r="BG282" s="310"/>
      <c r="BH282" s="307"/>
      <c r="BI282" s="307"/>
      <c r="BJ282" s="310"/>
      <c r="BK282" s="307"/>
      <c r="BL282" s="307"/>
      <c r="BM282" s="310"/>
      <c r="BN282" s="307"/>
      <c r="BO282" s="310"/>
      <c r="BP282" s="307"/>
      <c r="BQ282" s="307"/>
      <c r="BR282" s="307"/>
      <c r="BS282" s="307"/>
      <c r="BT282" s="307"/>
      <c r="BU282" s="310"/>
      <c r="BV282" s="307"/>
      <c r="BW282" s="308"/>
      <c r="BX282" s="311"/>
      <c r="BY282" s="307"/>
      <c r="BZ282" s="307"/>
      <c r="CA282" s="310"/>
      <c r="CB282" s="307"/>
      <c r="CC282" s="307"/>
      <c r="CD282" s="307"/>
      <c r="CE282" s="308"/>
      <c r="CF282" s="308"/>
      <c r="CG282" s="307"/>
      <c r="CH282" s="307"/>
      <c r="CI282" s="307"/>
      <c r="CJ282" s="307"/>
      <c r="CK282" s="314"/>
      <c r="CL282" s="310"/>
      <c r="CM282" s="310"/>
      <c r="CN282" s="307"/>
      <c r="CO282" s="307"/>
      <c r="CP282" s="307"/>
      <c r="CQ282" s="315"/>
      <c r="CR282" s="315"/>
      <c r="CS282" s="315"/>
      <c r="CT282" s="315"/>
      <c r="CU282" s="307"/>
      <c r="CV282" s="217"/>
      <c r="CW282" s="192"/>
      <c r="CX282" s="192"/>
      <c r="CY282" s="192"/>
      <c r="CZ282" s="191"/>
      <c r="DA282" s="193"/>
      <c r="DB282" s="192"/>
      <c r="DC282" s="192"/>
      <c r="DD282" s="192"/>
      <c r="DE282" s="191"/>
      <c r="DF282" s="19"/>
      <c r="DG282" s="192"/>
      <c r="DH282" s="192"/>
      <c r="DI282" s="192"/>
      <c r="DJ282" s="191"/>
      <c r="DK282" s="193"/>
      <c r="DL282" s="192"/>
      <c r="DM282" s="192"/>
      <c r="DN282" s="192"/>
      <c r="DO282" s="191"/>
      <c r="DP282" s="19"/>
      <c r="DQ282" s="192"/>
      <c r="DR282" s="192"/>
      <c r="DS282" s="192"/>
      <c r="DT282" s="191"/>
      <c r="DU282" s="193"/>
      <c r="DV282" s="192"/>
      <c r="DW282" s="192"/>
      <c r="DX282" s="192"/>
      <c r="DY282" s="191"/>
      <c r="DZ282" s="19"/>
      <c r="EA282" s="192"/>
      <c r="EB282" s="192"/>
      <c r="EC282" s="192"/>
      <c r="ED282" s="191"/>
      <c r="EE282" s="193"/>
      <c r="EF282" s="192"/>
      <c r="EG282" s="192"/>
      <c r="EH282" s="192"/>
      <c r="EI282" s="191"/>
      <c r="EJ282" s="19"/>
      <c r="EK282" s="192"/>
      <c r="EL282" s="192"/>
      <c r="EM282" s="192"/>
      <c r="EN282" s="191"/>
      <c r="EO282" s="193"/>
      <c r="EP282" s="192"/>
      <c r="EQ282" s="192"/>
      <c r="ER282" s="192"/>
      <c r="ES282" s="191"/>
      <c r="ET282" s="19"/>
      <c r="EU282" s="192"/>
      <c r="EV282" s="192"/>
      <c r="EW282" s="192"/>
      <c r="EX282" s="191"/>
      <c r="EY282" s="193"/>
      <c r="EZ282" s="192"/>
      <c r="FA282" s="192"/>
      <c r="FB282" s="192"/>
      <c r="FC282" s="191"/>
      <c r="FL282" s="273">
        <f t="shared" ca="1" si="14"/>
        <v>116</v>
      </c>
    </row>
    <row r="283" spans="1:168" ht="16.5" thickBot="1">
      <c r="A283" s="199">
        <v>280</v>
      </c>
      <c r="B283" s="306"/>
      <c r="C283" s="310"/>
      <c r="D283" s="307" t="s">
        <v>271</v>
      </c>
      <c r="E283" s="307" t="s">
        <v>271</v>
      </c>
      <c r="F283" s="308"/>
      <c r="G283" s="343" t="str">
        <f t="shared" si="12"/>
        <v xml:space="preserve"> </v>
      </c>
      <c r="H283" s="307"/>
      <c r="I283" s="309" t="e">
        <f t="shared" si="13"/>
        <v>#N/A</v>
      </c>
      <c r="J283" s="307"/>
      <c r="K283" s="307"/>
      <c r="L283" s="310"/>
      <c r="M283" s="310"/>
      <c r="N283" s="310"/>
      <c r="O283" s="310"/>
      <c r="P283" s="310"/>
      <c r="Q283" s="310"/>
      <c r="R283" s="310"/>
      <c r="S283" s="310"/>
      <c r="T283" s="310"/>
      <c r="U283" s="307"/>
      <c r="V283" s="307"/>
      <c r="W283" s="311"/>
      <c r="X283" s="307"/>
      <c r="Y283" s="307"/>
      <c r="Z283" s="307"/>
      <c r="AA283" s="307"/>
      <c r="AB283" s="311"/>
      <c r="AC283" s="307"/>
      <c r="AD283" s="307"/>
      <c r="AE283" s="307"/>
      <c r="AF283" s="307"/>
      <c r="AG283" s="310"/>
      <c r="AH283" s="307"/>
      <c r="AI283" s="310"/>
      <c r="AJ283" s="307"/>
      <c r="AK283" s="307"/>
      <c r="AL283" s="307"/>
      <c r="AM283" s="308"/>
      <c r="AN283" s="311"/>
      <c r="AO283" s="307"/>
      <c r="AP283" s="307"/>
      <c r="AQ283" s="308"/>
      <c r="AR283" s="307"/>
      <c r="AS283" s="307"/>
      <c r="AT283" s="307"/>
      <c r="AU283" s="310"/>
      <c r="AV283" s="308"/>
      <c r="AW283" s="312"/>
      <c r="AX283" s="308"/>
      <c r="AY283" s="307"/>
      <c r="AZ283" s="307"/>
      <c r="BA283" s="307"/>
      <c r="BB283" s="307"/>
      <c r="BC283" s="308"/>
      <c r="BD283" s="308"/>
      <c r="BE283" s="313"/>
      <c r="BF283" s="307"/>
      <c r="BG283" s="310"/>
      <c r="BH283" s="307"/>
      <c r="BI283" s="307"/>
      <c r="BJ283" s="310"/>
      <c r="BK283" s="307"/>
      <c r="BL283" s="307"/>
      <c r="BM283" s="310"/>
      <c r="BN283" s="307"/>
      <c r="BO283" s="310"/>
      <c r="BP283" s="307"/>
      <c r="BQ283" s="307"/>
      <c r="BR283" s="307"/>
      <c r="BS283" s="307"/>
      <c r="BT283" s="307"/>
      <c r="BU283" s="310"/>
      <c r="BV283" s="307"/>
      <c r="BW283" s="308"/>
      <c r="BX283" s="311"/>
      <c r="BY283" s="307"/>
      <c r="BZ283" s="307"/>
      <c r="CA283" s="310"/>
      <c r="CB283" s="307"/>
      <c r="CC283" s="307"/>
      <c r="CD283" s="307"/>
      <c r="CE283" s="308"/>
      <c r="CF283" s="308"/>
      <c r="CG283" s="307"/>
      <c r="CH283" s="307"/>
      <c r="CI283" s="307"/>
      <c r="CJ283" s="307"/>
      <c r="CK283" s="314"/>
      <c r="CL283" s="310"/>
      <c r="CM283" s="310"/>
      <c r="CN283" s="307"/>
      <c r="CO283" s="307"/>
      <c r="CP283" s="307"/>
      <c r="CQ283" s="315"/>
      <c r="CR283" s="315"/>
      <c r="CS283" s="315"/>
      <c r="CT283" s="315"/>
      <c r="CU283" s="307"/>
      <c r="CV283" s="217"/>
      <c r="CW283" s="192"/>
      <c r="CX283" s="192"/>
      <c r="CY283" s="192"/>
      <c r="CZ283" s="191"/>
      <c r="DA283" s="193"/>
      <c r="DB283" s="192"/>
      <c r="DC283" s="192"/>
      <c r="DD283" s="192"/>
      <c r="DE283" s="191"/>
      <c r="DF283" s="19"/>
      <c r="DG283" s="192"/>
      <c r="DH283" s="192"/>
      <c r="DI283" s="192"/>
      <c r="DJ283" s="191"/>
      <c r="DK283" s="193"/>
      <c r="DL283" s="192"/>
      <c r="DM283" s="192"/>
      <c r="DN283" s="192"/>
      <c r="DO283" s="191"/>
      <c r="DP283" s="19"/>
      <c r="DQ283" s="192"/>
      <c r="DR283" s="192"/>
      <c r="DS283" s="192"/>
      <c r="DT283" s="191"/>
      <c r="DU283" s="193"/>
      <c r="DV283" s="192"/>
      <c r="DW283" s="192"/>
      <c r="DX283" s="192"/>
      <c r="DY283" s="191"/>
      <c r="DZ283" s="19"/>
      <c r="EA283" s="192"/>
      <c r="EB283" s="192"/>
      <c r="EC283" s="192"/>
      <c r="ED283" s="191"/>
      <c r="EE283" s="193"/>
      <c r="EF283" s="192"/>
      <c r="EG283" s="192"/>
      <c r="EH283" s="192"/>
      <c r="EI283" s="191"/>
      <c r="EJ283" s="19"/>
      <c r="EK283" s="192"/>
      <c r="EL283" s="192"/>
      <c r="EM283" s="192"/>
      <c r="EN283" s="191"/>
      <c r="EO283" s="193"/>
      <c r="EP283" s="192"/>
      <c r="EQ283" s="192"/>
      <c r="ER283" s="192"/>
      <c r="ES283" s="191"/>
      <c r="ET283" s="19"/>
      <c r="EU283" s="192"/>
      <c r="EV283" s="192"/>
      <c r="EW283" s="192"/>
      <c r="EX283" s="191"/>
      <c r="EY283" s="193"/>
      <c r="EZ283" s="192"/>
      <c r="FA283" s="192"/>
      <c r="FB283" s="192"/>
      <c r="FC283" s="191"/>
      <c r="FL283" s="273">
        <f t="shared" ca="1" si="14"/>
        <v>116</v>
      </c>
    </row>
    <row r="284" spans="1:168" ht="16.5" thickBot="1">
      <c r="A284" s="196">
        <v>281</v>
      </c>
      <c r="B284" s="306"/>
      <c r="C284" s="310"/>
      <c r="D284" s="307" t="s">
        <v>271</v>
      </c>
      <c r="E284" s="307" t="s">
        <v>271</v>
      </c>
      <c r="F284" s="308"/>
      <c r="G284" s="343" t="str">
        <f t="shared" si="12"/>
        <v xml:space="preserve"> </v>
      </c>
      <c r="H284" s="307"/>
      <c r="I284" s="309" t="e">
        <f t="shared" si="13"/>
        <v>#N/A</v>
      </c>
      <c r="J284" s="307"/>
      <c r="K284" s="307"/>
      <c r="L284" s="310"/>
      <c r="M284" s="310"/>
      <c r="N284" s="310"/>
      <c r="O284" s="310"/>
      <c r="P284" s="310"/>
      <c r="Q284" s="310"/>
      <c r="R284" s="310"/>
      <c r="S284" s="310"/>
      <c r="T284" s="310"/>
      <c r="U284" s="307"/>
      <c r="V284" s="307"/>
      <c r="W284" s="311"/>
      <c r="X284" s="307"/>
      <c r="Y284" s="307"/>
      <c r="Z284" s="307"/>
      <c r="AA284" s="307"/>
      <c r="AB284" s="311"/>
      <c r="AC284" s="307"/>
      <c r="AD284" s="307"/>
      <c r="AE284" s="307"/>
      <c r="AF284" s="307"/>
      <c r="AG284" s="310"/>
      <c r="AH284" s="307"/>
      <c r="AI284" s="310"/>
      <c r="AJ284" s="307"/>
      <c r="AK284" s="307"/>
      <c r="AL284" s="307"/>
      <c r="AM284" s="308"/>
      <c r="AN284" s="311"/>
      <c r="AO284" s="307"/>
      <c r="AP284" s="307"/>
      <c r="AQ284" s="308"/>
      <c r="AR284" s="307"/>
      <c r="AS284" s="307"/>
      <c r="AT284" s="307"/>
      <c r="AU284" s="310"/>
      <c r="AV284" s="308"/>
      <c r="AW284" s="312"/>
      <c r="AX284" s="308"/>
      <c r="AY284" s="307"/>
      <c r="AZ284" s="307"/>
      <c r="BA284" s="307"/>
      <c r="BB284" s="307"/>
      <c r="BC284" s="308"/>
      <c r="BD284" s="308"/>
      <c r="BE284" s="313"/>
      <c r="BF284" s="307"/>
      <c r="BG284" s="310"/>
      <c r="BH284" s="307"/>
      <c r="BI284" s="307"/>
      <c r="BJ284" s="310"/>
      <c r="BK284" s="307"/>
      <c r="BL284" s="307"/>
      <c r="BM284" s="310"/>
      <c r="BN284" s="307"/>
      <c r="BO284" s="310"/>
      <c r="BP284" s="307"/>
      <c r="BQ284" s="307"/>
      <c r="BR284" s="307"/>
      <c r="BS284" s="307"/>
      <c r="BT284" s="307"/>
      <c r="BU284" s="310"/>
      <c r="BV284" s="307"/>
      <c r="BW284" s="308"/>
      <c r="BX284" s="311"/>
      <c r="BY284" s="307"/>
      <c r="BZ284" s="307"/>
      <c r="CA284" s="310"/>
      <c r="CB284" s="307"/>
      <c r="CC284" s="307"/>
      <c r="CD284" s="307"/>
      <c r="CE284" s="308"/>
      <c r="CF284" s="308"/>
      <c r="CG284" s="307"/>
      <c r="CH284" s="307"/>
      <c r="CI284" s="307"/>
      <c r="CJ284" s="307"/>
      <c r="CK284" s="314"/>
      <c r="CL284" s="310"/>
      <c r="CM284" s="310"/>
      <c r="CN284" s="307"/>
      <c r="CO284" s="307"/>
      <c r="CP284" s="307"/>
      <c r="CQ284" s="315"/>
      <c r="CR284" s="315"/>
      <c r="CS284" s="315"/>
      <c r="CT284" s="315"/>
      <c r="CU284" s="307"/>
      <c r="CV284" s="217"/>
      <c r="CW284" s="192"/>
      <c r="CX284" s="192"/>
      <c r="CY284" s="192"/>
      <c r="CZ284" s="191"/>
      <c r="DA284" s="193"/>
      <c r="DB284" s="192"/>
      <c r="DC284" s="192"/>
      <c r="DD284" s="192"/>
      <c r="DE284" s="191"/>
      <c r="DF284" s="19"/>
      <c r="DG284" s="192"/>
      <c r="DH284" s="192"/>
      <c r="DI284" s="192"/>
      <c r="DJ284" s="191"/>
      <c r="DK284" s="193"/>
      <c r="DL284" s="192"/>
      <c r="DM284" s="192"/>
      <c r="DN284" s="192"/>
      <c r="DO284" s="191"/>
      <c r="DP284" s="19"/>
      <c r="DQ284" s="192"/>
      <c r="DR284" s="192"/>
      <c r="DS284" s="192"/>
      <c r="DT284" s="191"/>
      <c r="DU284" s="193"/>
      <c r="DV284" s="192"/>
      <c r="DW284" s="192"/>
      <c r="DX284" s="192"/>
      <c r="DY284" s="191"/>
      <c r="DZ284" s="19"/>
      <c r="EA284" s="192"/>
      <c r="EB284" s="192"/>
      <c r="EC284" s="192"/>
      <c r="ED284" s="191"/>
      <c r="EE284" s="193"/>
      <c r="EF284" s="192"/>
      <c r="EG284" s="192"/>
      <c r="EH284" s="192"/>
      <c r="EI284" s="191"/>
      <c r="EJ284" s="19"/>
      <c r="EK284" s="192"/>
      <c r="EL284" s="192"/>
      <c r="EM284" s="192"/>
      <c r="EN284" s="191"/>
      <c r="EO284" s="193"/>
      <c r="EP284" s="192"/>
      <c r="EQ284" s="192"/>
      <c r="ER284" s="192"/>
      <c r="ES284" s="191"/>
      <c r="ET284" s="19"/>
      <c r="EU284" s="192"/>
      <c r="EV284" s="192"/>
      <c r="EW284" s="192"/>
      <c r="EX284" s="191"/>
      <c r="EY284" s="193"/>
      <c r="EZ284" s="192"/>
      <c r="FA284" s="192"/>
      <c r="FB284" s="192"/>
      <c r="FC284" s="191"/>
      <c r="FL284" s="273">
        <f t="shared" ca="1" si="14"/>
        <v>116</v>
      </c>
    </row>
    <row r="285" spans="1:168" ht="16.5" thickBot="1">
      <c r="A285" s="199">
        <v>282</v>
      </c>
      <c r="B285" s="306"/>
      <c r="C285" s="310"/>
      <c r="D285" s="307" t="s">
        <v>271</v>
      </c>
      <c r="E285" s="307" t="s">
        <v>271</v>
      </c>
      <c r="F285" s="308"/>
      <c r="G285" s="343" t="str">
        <f t="shared" si="12"/>
        <v xml:space="preserve"> </v>
      </c>
      <c r="H285" s="307"/>
      <c r="I285" s="309" t="e">
        <f t="shared" si="13"/>
        <v>#N/A</v>
      </c>
      <c r="J285" s="307"/>
      <c r="K285" s="307"/>
      <c r="L285" s="310"/>
      <c r="M285" s="310"/>
      <c r="N285" s="310"/>
      <c r="O285" s="310"/>
      <c r="P285" s="310"/>
      <c r="Q285" s="310"/>
      <c r="R285" s="310"/>
      <c r="S285" s="310"/>
      <c r="T285" s="310"/>
      <c r="U285" s="307"/>
      <c r="V285" s="307"/>
      <c r="W285" s="311"/>
      <c r="X285" s="307"/>
      <c r="Y285" s="307"/>
      <c r="Z285" s="307"/>
      <c r="AA285" s="307"/>
      <c r="AB285" s="311"/>
      <c r="AC285" s="307"/>
      <c r="AD285" s="307"/>
      <c r="AE285" s="307"/>
      <c r="AF285" s="307"/>
      <c r="AG285" s="310"/>
      <c r="AH285" s="307"/>
      <c r="AI285" s="310"/>
      <c r="AJ285" s="307"/>
      <c r="AK285" s="307"/>
      <c r="AL285" s="307"/>
      <c r="AM285" s="308"/>
      <c r="AN285" s="311"/>
      <c r="AO285" s="307"/>
      <c r="AP285" s="307"/>
      <c r="AQ285" s="308"/>
      <c r="AR285" s="307"/>
      <c r="AS285" s="307"/>
      <c r="AT285" s="307"/>
      <c r="AU285" s="310"/>
      <c r="AV285" s="308"/>
      <c r="AW285" s="312"/>
      <c r="AX285" s="308"/>
      <c r="AY285" s="307"/>
      <c r="AZ285" s="307"/>
      <c r="BA285" s="307"/>
      <c r="BB285" s="307"/>
      <c r="BC285" s="308"/>
      <c r="BD285" s="308"/>
      <c r="BE285" s="313"/>
      <c r="BF285" s="307"/>
      <c r="BG285" s="310"/>
      <c r="BH285" s="307"/>
      <c r="BI285" s="307"/>
      <c r="BJ285" s="310"/>
      <c r="BK285" s="307"/>
      <c r="BL285" s="307"/>
      <c r="BM285" s="310"/>
      <c r="BN285" s="307"/>
      <c r="BO285" s="310"/>
      <c r="BP285" s="307"/>
      <c r="BQ285" s="307"/>
      <c r="BR285" s="307"/>
      <c r="BS285" s="307"/>
      <c r="BT285" s="307"/>
      <c r="BU285" s="310"/>
      <c r="BV285" s="307"/>
      <c r="BW285" s="308"/>
      <c r="BX285" s="311"/>
      <c r="BY285" s="307"/>
      <c r="BZ285" s="307"/>
      <c r="CA285" s="310"/>
      <c r="CB285" s="307"/>
      <c r="CC285" s="307"/>
      <c r="CD285" s="307"/>
      <c r="CE285" s="308"/>
      <c r="CF285" s="308"/>
      <c r="CG285" s="307"/>
      <c r="CH285" s="307"/>
      <c r="CI285" s="307"/>
      <c r="CJ285" s="307"/>
      <c r="CK285" s="314"/>
      <c r="CL285" s="310"/>
      <c r="CM285" s="310"/>
      <c r="CN285" s="307"/>
      <c r="CO285" s="307"/>
      <c r="CP285" s="307"/>
      <c r="CQ285" s="315"/>
      <c r="CR285" s="315"/>
      <c r="CS285" s="315"/>
      <c r="CT285" s="315"/>
      <c r="CU285" s="307"/>
      <c r="CV285" s="217"/>
      <c r="CW285" s="192"/>
      <c r="CX285" s="192"/>
      <c r="CY285" s="192"/>
      <c r="CZ285" s="191"/>
      <c r="DA285" s="193"/>
      <c r="DB285" s="192"/>
      <c r="DC285" s="192"/>
      <c r="DD285" s="192"/>
      <c r="DE285" s="191"/>
      <c r="DF285" s="19"/>
      <c r="DG285" s="192"/>
      <c r="DH285" s="192"/>
      <c r="DI285" s="192"/>
      <c r="DJ285" s="191"/>
      <c r="DK285" s="193"/>
      <c r="DL285" s="192"/>
      <c r="DM285" s="192"/>
      <c r="DN285" s="192"/>
      <c r="DO285" s="191"/>
      <c r="DP285" s="19"/>
      <c r="DQ285" s="192"/>
      <c r="DR285" s="192"/>
      <c r="DS285" s="192"/>
      <c r="DT285" s="191"/>
      <c r="DU285" s="193"/>
      <c r="DV285" s="192"/>
      <c r="DW285" s="192"/>
      <c r="DX285" s="192"/>
      <c r="DY285" s="191"/>
      <c r="DZ285" s="19"/>
      <c r="EA285" s="192"/>
      <c r="EB285" s="192"/>
      <c r="EC285" s="192"/>
      <c r="ED285" s="191"/>
      <c r="EE285" s="193"/>
      <c r="EF285" s="192"/>
      <c r="EG285" s="192"/>
      <c r="EH285" s="192"/>
      <c r="EI285" s="191"/>
      <c r="EJ285" s="19"/>
      <c r="EK285" s="192"/>
      <c r="EL285" s="192"/>
      <c r="EM285" s="192"/>
      <c r="EN285" s="191"/>
      <c r="EO285" s="193"/>
      <c r="EP285" s="192"/>
      <c r="EQ285" s="192"/>
      <c r="ER285" s="192"/>
      <c r="ES285" s="191"/>
      <c r="ET285" s="19"/>
      <c r="EU285" s="192"/>
      <c r="EV285" s="192"/>
      <c r="EW285" s="192"/>
      <c r="EX285" s="191"/>
      <c r="EY285" s="193"/>
      <c r="EZ285" s="192"/>
      <c r="FA285" s="192"/>
      <c r="FB285" s="192"/>
      <c r="FC285" s="191"/>
      <c r="FL285" s="273">
        <f t="shared" ca="1" si="14"/>
        <v>116</v>
      </c>
    </row>
    <row r="286" spans="1:168" ht="16.5" thickBot="1">
      <c r="A286" s="196">
        <v>283</v>
      </c>
      <c r="B286" s="306"/>
      <c r="C286" s="310"/>
      <c r="D286" s="307" t="s">
        <v>271</v>
      </c>
      <c r="E286" s="307" t="s">
        <v>271</v>
      </c>
      <c r="F286" s="308"/>
      <c r="G286" s="343" t="str">
        <f t="shared" si="12"/>
        <v xml:space="preserve"> </v>
      </c>
      <c r="H286" s="307"/>
      <c r="I286" s="309" t="e">
        <f t="shared" si="13"/>
        <v>#N/A</v>
      </c>
      <c r="J286" s="307"/>
      <c r="K286" s="307"/>
      <c r="L286" s="310"/>
      <c r="M286" s="310"/>
      <c r="N286" s="310"/>
      <c r="O286" s="310"/>
      <c r="P286" s="310"/>
      <c r="Q286" s="310"/>
      <c r="R286" s="310"/>
      <c r="S286" s="310"/>
      <c r="T286" s="310"/>
      <c r="U286" s="307"/>
      <c r="V286" s="307"/>
      <c r="W286" s="311"/>
      <c r="X286" s="307"/>
      <c r="Y286" s="307"/>
      <c r="Z286" s="307"/>
      <c r="AA286" s="307"/>
      <c r="AB286" s="311"/>
      <c r="AC286" s="307"/>
      <c r="AD286" s="307"/>
      <c r="AE286" s="307"/>
      <c r="AF286" s="307"/>
      <c r="AG286" s="310"/>
      <c r="AH286" s="307"/>
      <c r="AI286" s="310"/>
      <c r="AJ286" s="307"/>
      <c r="AK286" s="307"/>
      <c r="AL286" s="307"/>
      <c r="AM286" s="308"/>
      <c r="AN286" s="311"/>
      <c r="AO286" s="307"/>
      <c r="AP286" s="307"/>
      <c r="AQ286" s="308"/>
      <c r="AR286" s="307"/>
      <c r="AS286" s="307"/>
      <c r="AT286" s="307"/>
      <c r="AU286" s="310"/>
      <c r="AV286" s="308"/>
      <c r="AW286" s="312"/>
      <c r="AX286" s="308"/>
      <c r="AY286" s="307"/>
      <c r="AZ286" s="307"/>
      <c r="BA286" s="307"/>
      <c r="BB286" s="307"/>
      <c r="BC286" s="308"/>
      <c r="BD286" s="308"/>
      <c r="BE286" s="313"/>
      <c r="BF286" s="307"/>
      <c r="BG286" s="310"/>
      <c r="BH286" s="307"/>
      <c r="BI286" s="307"/>
      <c r="BJ286" s="310"/>
      <c r="BK286" s="307"/>
      <c r="BL286" s="307"/>
      <c r="BM286" s="310"/>
      <c r="BN286" s="307"/>
      <c r="BO286" s="310"/>
      <c r="BP286" s="307"/>
      <c r="BQ286" s="307"/>
      <c r="BR286" s="307"/>
      <c r="BS286" s="307"/>
      <c r="BT286" s="307"/>
      <c r="BU286" s="310"/>
      <c r="BV286" s="307"/>
      <c r="BW286" s="308"/>
      <c r="BX286" s="311"/>
      <c r="BY286" s="307"/>
      <c r="BZ286" s="307"/>
      <c r="CA286" s="310"/>
      <c r="CB286" s="307"/>
      <c r="CC286" s="307"/>
      <c r="CD286" s="307"/>
      <c r="CE286" s="308"/>
      <c r="CF286" s="308"/>
      <c r="CG286" s="307"/>
      <c r="CH286" s="307"/>
      <c r="CI286" s="307"/>
      <c r="CJ286" s="307"/>
      <c r="CK286" s="314"/>
      <c r="CL286" s="310"/>
      <c r="CM286" s="310"/>
      <c r="CN286" s="307"/>
      <c r="CO286" s="307"/>
      <c r="CP286" s="307"/>
      <c r="CQ286" s="315"/>
      <c r="CR286" s="315"/>
      <c r="CS286" s="315"/>
      <c r="CT286" s="315"/>
      <c r="CU286" s="307"/>
      <c r="CV286" s="217"/>
      <c r="CW286" s="192"/>
      <c r="CX286" s="192"/>
      <c r="CY286" s="192"/>
      <c r="CZ286" s="191"/>
      <c r="DA286" s="193"/>
      <c r="DB286" s="192"/>
      <c r="DC286" s="192"/>
      <c r="DD286" s="192"/>
      <c r="DE286" s="191"/>
      <c r="DF286" s="19"/>
      <c r="DG286" s="192"/>
      <c r="DH286" s="192"/>
      <c r="DI286" s="192"/>
      <c r="DJ286" s="191"/>
      <c r="DK286" s="193"/>
      <c r="DL286" s="192"/>
      <c r="DM286" s="192"/>
      <c r="DN286" s="192"/>
      <c r="DO286" s="191"/>
      <c r="DP286" s="19"/>
      <c r="DQ286" s="192"/>
      <c r="DR286" s="192"/>
      <c r="DS286" s="192"/>
      <c r="DT286" s="191"/>
      <c r="DU286" s="193"/>
      <c r="DV286" s="192"/>
      <c r="DW286" s="192"/>
      <c r="DX286" s="192"/>
      <c r="DY286" s="191"/>
      <c r="DZ286" s="19"/>
      <c r="EA286" s="192"/>
      <c r="EB286" s="192"/>
      <c r="EC286" s="192"/>
      <c r="ED286" s="191"/>
      <c r="EE286" s="193"/>
      <c r="EF286" s="192"/>
      <c r="EG286" s="192"/>
      <c r="EH286" s="192"/>
      <c r="EI286" s="191"/>
      <c r="EJ286" s="19"/>
      <c r="EK286" s="192"/>
      <c r="EL286" s="192"/>
      <c r="EM286" s="192"/>
      <c r="EN286" s="191"/>
      <c r="EO286" s="193"/>
      <c r="EP286" s="192"/>
      <c r="EQ286" s="192"/>
      <c r="ER286" s="192"/>
      <c r="ES286" s="191"/>
      <c r="ET286" s="19"/>
      <c r="EU286" s="192"/>
      <c r="EV286" s="192"/>
      <c r="EW286" s="192"/>
      <c r="EX286" s="191"/>
      <c r="EY286" s="193"/>
      <c r="EZ286" s="192"/>
      <c r="FA286" s="192"/>
      <c r="FB286" s="192"/>
      <c r="FC286" s="191"/>
      <c r="FL286" s="273">
        <f t="shared" ca="1" si="14"/>
        <v>116</v>
      </c>
    </row>
    <row r="287" spans="1:168" ht="16.5" thickBot="1">
      <c r="A287" s="199">
        <v>284</v>
      </c>
      <c r="B287" s="306"/>
      <c r="C287" s="310"/>
      <c r="D287" s="307" t="s">
        <v>271</v>
      </c>
      <c r="E287" s="307" t="s">
        <v>271</v>
      </c>
      <c r="F287" s="308"/>
      <c r="G287" s="343" t="str">
        <f t="shared" si="12"/>
        <v xml:space="preserve"> </v>
      </c>
      <c r="H287" s="307"/>
      <c r="I287" s="309" t="e">
        <f t="shared" si="13"/>
        <v>#N/A</v>
      </c>
      <c r="J287" s="307"/>
      <c r="K287" s="307"/>
      <c r="L287" s="310"/>
      <c r="M287" s="310"/>
      <c r="N287" s="310"/>
      <c r="O287" s="310"/>
      <c r="P287" s="310"/>
      <c r="Q287" s="310"/>
      <c r="R287" s="310"/>
      <c r="S287" s="310"/>
      <c r="T287" s="310"/>
      <c r="U287" s="307"/>
      <c r="V287" s="307"/>
      <c r="W287" s="311"/>
      <c r="X287" s="307"/>
      <c r="Y287" s="307"/>
      <c r="Z287" s="307"/>
      <c r="AA287" s="307"/>
      <c r="AB287" s="311"/>
      <c r="AC287" s="307"/>
      <c r="AD287" s="307"/>
      <c r="AE287" s="307"/>
      <c r="AF287" s="307"/>
      <c r="AG287" s="310"/>
      <c r="AH287" s="307"/>
      <c r="AI287" s="310"/>
      <c r="AJ287" s="307"/>
      <c r="AK287" s="307"/>
      <c r="AL287" s="307"/>
      <c r="AM287" s="308"/>
      <c r="AN287" s="311"/>
      <c r="AO287" s="307"/>
      <c r="AP287" s="307"/>
      <c r="AQ287" s="308"/>
      <c r="AR287" s="307"/>
      <c r="AS287" s="307"/>
      <c r="AT287" s="307"/>
      <c r="AU287" s="310"/>
      <c r="AV287" s="308"/>
      <c r="AW287" s="312"/>
      <c r="AX287" s="308"/>
      <c r="AY287" s="307"/>
      <c r="AZ287" s="307"/>
      <c r="BA287" s="307"/>
      <c r="BB287" s="307"/>
      <c r="BC287" s="308"/>
      <c r="BD287" s="308"/>
      <c r="BE287" s="313"/>
      <c r="BF287" s="307"/>
      <c r="BG287" s="310"/>
      <c r="BH287" s="307"/>
      <c r="BI287" s="307"/>
      <c r="BJ287" s="310"/>
      <c r="BK287" s="307"/>
      <c r="BL287" s="307"/>
      <c r="BM287" s="310"/>
      <c r="BN287" s="307"/>
      <c r="BO287" s="310"/>
      <c r="BP287" s="307"/>
      <c r="BQ287" s="307"/>
      <c r="BR287" s="307"/>
      <c r="BS287" s="307"/>
      <c r="BT287" s="307"/>
      <c r="BU287" s="310"/>
      <c r="BV287" s="307"/>
      <c r="BW287" s="308"/>
      <c r="BX287" s="311"/>
      <c r="BY287" s="307"/>
      <c r="BZ287" s="307"/>
      <c r="CA287" s="310"/>
      <c r="CB287" s="307"/>
      <c r="CC287" s="307"/>
      <c r="CD287" s="307"/>
      <c r="CE287" s="308"/>
      <c r="CF287" s="308"/>
      <c r="CG287" s="307"/>
      <c r="CH287" s="307"/>
      <c r="CI287" s="307"/>
      <c r="CJ287" s="307"/>
      <c r="CK287" s="314"/>
      <c r="CL287" s="310"/>
      <c r="CM287" s="310"/>
      <c r="CN287" s="307"/>
      <c r="CO287" s="307"/>
      <c r="CP287" s="307"/>
      <c r="CQ287" s="315"/>
      <c r="CR287" s="315"/>
      <c r="CS287" s="315"/>
      <c r="CT287" s="315"/>
      <c r="CU287" s="307"/>
      <c r="CV287" s="217"/>
      <c r="CW287" s="192"/>
      <c r="CX287" s="192"/>
      <c r="CY287" s="192"/>
      <c r="CZ287" s="191"/>
      <c r="DA287" s="193"/>
      <c r="DB287" s="192"/>
      <c r="DC287" s="192"/>
      <c r="DD287" s="192"/>
      <c r="DE287" s="191"/>
      <c r="DF287" s="19"/>
      <c r="DG287" s="192"/>
      <c r="DH287" s="192"/>
      <c r="DI287" s="192"/>
      <c r="DJ287" s="191"/>
      <c r="DK287" s="193"/>
      <c r="DL287" s="192"/>
      <c r="DM287" s="192"/>
      <c r="DN287" s="192"/>
      <c r="DO287" s="191"/>
      <c r="DP287" s="19"/>
      <c r="DQ287" s="192"/>
      <c r="DR287" s="192"/>
      <c r="DS287" s="192"/>
      <c r="DT287" s="191"/>
      <c r="DU287" s="193"/>
      <c r="DV287" s="192"/>
      <c r="DW287" s="192"/>
      <c r="DX287" s="192"/>
      <c r="DY287" s="191"/>
      <c r="DZ287" s="19"/>
      <c r="EA287" s="192"/>
      <c r="EB287" s="192"/>
      <c r="EC287" s="192"/>
      <c r="ED287" s="191"/>
      <c r="EE287" s="193"/>
      <c r="EF287" s="192"/>
      <c r="EG287" s="192"/>
      <c r="EH287" s="192"/>
      <c r="EI287" s="191"/>
      <c r="EJ287" s="19"/>
      <c r="EK287" s="192"/>
      <c r="EL287" s="192"/>
      <c r="EM287" s="192"/>
      <c r="EN287" s="191"/>
      <c r="EO287" s="193"/>
      <c r="EP287" s="192"/>
      <c r="EQ287" s="192"/>
      <c r="ER287" s="192"/>
      <c r="ES287" s="191"/>
      <c r="ET287" s="19"/>
      <c r="EU287" s="192"/>
      <c r="EV287" s="192"/>
      <c r="EW287" s="192"/>
      <c r="EX287" s="191"/>
      <c r="EY287" s="193"/>
      <c r="EZ287" s="192"/>
      <c r="FA287" s="192"/>
      <c r="FB287" s="192"/>
      <c r="FC287" s="191"/>
      <c r="FL287" s="273">
        <f t="shared" ca="1" si="14"/>
        <v>116</v>
      </c>
    </row>
    <row r="288" spans="1:168" ht="16.5" thickBot="1">
      <c r="A288" s="196">
        <v>285</v>
      </c>
      <c r="B288" s="306"/>
      <c r="C288" s="310"/>
      <c r="D288" s="307" t="s">
        <v>271</v>
      </c>
      <c r="E288" s="307" t="s">
        <v>271</v>
      </c>
      <c r="F288" s="308"/>
      <c r="G288" s="343" t="str">
        <f t="shared" si="12"/>
        <v xml:space="preserve"> </v>
      </c>
      <c r="H288" s="307"/>
      <c r="I288" s="309" t="e">
        <f t="shared" si="13"/>
        <v>#N/A</v>
      </c>
      <c r="J288" s="307"/>
      <c r="K288" s="307"/>
      <c r="L288" s="310"/>
      <c r="M288" s="310"/>
      <c r="N288" s="310"/>
      <c r="O288" s="310"/>
      <c r="P288" s="310"/>
      <c r="Q288" s="310"/>
      <c r="R288" s="310"/>
      <c r="S288" s="310"/>
      <c r="T288" s="310"/>
      <c r="U288" s="307"/>
      <c r="V288" s="307"/>
      <c r="W288" s="311"/>
      <c r="X288" s="307"/>
      <c r="Y288" s="307"/>
      <c r="Z288" s="307"/>
      <c r="AA288" s="307"/>
      <c r="AB288" s="311"/>
      <c r="AC288" s="307"/>
      <c r="AD288" s="307"/>
      <c r="AE288" s="307"/>
      <c r="AF288" s="307"/>
      <c r="AG288" s="310"/>
      <c r="AH288" s="307"/>
      <c r="AI288" s="310"/>
      <c r="AJ288" s="307"/>
      <c r="AK288" s="307"/>
      <c r="AL288" s="307"/>
      <c r="AM288" s="308"/>
      <c r="AN288" s="311"/>
      <c r="AO288" s="307"/>
      <c r="AP288" s="307"/>
      <c r="AQ288" s="308"/>
      <c r="AR288" s="307"/>
      <c r="AS288" s="307"/>
      <c r="AT288" s="307"/>
      <c r="AU288" s="310"/>
      <c r="AV288" s="308"/>
      <c r="AW288" s="312"/>
      <c r="AX288" s="308"/>
      <c r="AY288" s="307"/>
      <c r="AZ288" s="307"/>
      <c r="BA288" s="307"/>
      <c r="BB288" s="307"/>
      <c r="BC288" s="308"/>
      <c r="BD288" s="308"/>
      <c r="BE288" s="313"/>
      <c r="BF288" s="307"/>
      <c r="BG288" s="310"/>
      <c r="BH288" s="307"/>
      <c r="BI288" s="307"/>
      <c r="BJ288" s="310"/>
      <c r="BK288" s="307"/>
      <c r="BL288" s="307"/>
      <c r="BM288" s="310"/>
      <c r="BN288" s="307"/>
      <c r="BO288" s="310"/>
      <c r="BP288" s="307"/>
      <c r="BQ288" s="307"/>
      <c r="BR288" s="307"/>
      <c r="BS288" s="307"/>
      <c r="BT288" s="307"/>
      <c r="BU288" s="310"/>
      <c r="BV288" s="307"/>
      <c r="BW288" s="308"/>
      <c r="BX288" s="311"/>
      <c r="BY288" s="307"/>
      <c r="BZ288" s="307"/>
      <c r="CA288" s="310"/>
      <c r="CB288" s="307"/>
      <c r="CC288" s="307"/>
      <c r="CD288" s="307"/>
      <c r="CE288" s="308"/>
      <c r="CF288" s="308"/>
      <c r="CG288" s="307"/>
      <c r="CH288" s="307"/>
      <c r="CI288" s="307"/>
      <c r="CJ288" s="307"/>
      <c r="CK288" s="314"/>
      <c r="CL288" s="310"/>
      <c r="CM288" s="310"/>
      <c r="CN288" s="307"/>
      <c r="CO288" s="307"/>
      <c r="CP288" s="307"/>
      <c r="CQ288" s="315"/>
      <c r="CR288" s="315"/>
      <c r="CS288" s="315"/>
      <c r="CT288" s="315"/>
      <c r="CU288" s="307"/>
      <c r="CV288" s="217"/>
      <c r="CW288" s="192"/>
      <c r="CX288" s="192"/>
      <c r="CY288" s="192"/>
      <c r="CZ288" s="191"/>
      <c r="DA288" s="193"/>
      <c r="DB288" s="192"/>
      <c r="DC288" s="192"/>
      <c r="DD288" s="192"/>
      <c r="DE288" s="191"/>
      <c r="DF288" s="19"/>
      <c r="DG288" s="192"/>
      <c r="DH288" s="192"/>
      <c r="DI288" s="192"/>
      <c r="DJ288" s="191"/>
      <c r="DK288" s="193"/>
      <c r="DL288" s="192"/>
      <c r="DM288" s="192"/>
      <c r="DN288" s="192"/>
      <c r="DO288" s="191"/>
      <c r="DP288" s="19"/>
      <c r="DQ288" s="192"/>
      <c r="DR288" s="192"/>
      <c r="DS288" s="192"/>
      <c r="DT288" s="191"/>
      <c r="DU288" s="193"/>
      <c r="DV288" s="192"/>
      <c r="DW288" s="192"/>
      <c r="DX288" s="192"/>
      <c r="DY288" s="191"/>
      <c r="DZ288" s="19"/>
      <c r="EA288" s="192"/>
      <c r="EB288" s="192"/>
      <c r="EC288" s="192"/>
      <c r="ED288" s="191"/>
      <c r="EE288" s="193"/>
      <c r="EF288" s="192"/>
      <c r="EG288" s="192"/>
      <c r="EH288" s="192"/>
      <c r="EI288" s="191"/>
      <c r="EJ288" s="19"/>
      <c r="EK288" s="192"/>
      <c r="EL288" s="192"/>
      <c r="EM288" s="192"/>
      <c r="EN288" s="191"/>
      <c r="EO288" s="193"/>
      <c r="EP288" s="192"/>
      <c r="EQ288" s="192"/>
      <c r="ER288" s="192"/>
      <c r="ES288" s="191"/>
      <c r="ET288" s="19"/>
      <c r="EU288" s="192"/>
      <c r="EV288" s="192"/>
      <c r="EW288" s="192"/>
      <c r="EX288" s="191"/>
      <c r="EY288" s="193"/>
      <c r="EZ288" s="192"/>
      <c r="FA288" s="192"/>
      <c r="FB288" s="192"/>
      <c r="FC288" s="191"/>
      <c r="FL288" s="273">
        <f t="shared" ca="1" si="14"/>
        <v>116</v>
      </c>
    </row>
    <row r="289" spans="1:168" ht="16.5" thickBot="1">
      <c r="A289" s="199">
        <v>286</v>
      </c>
      <c r="B289" s="306"/>
      <c r="C289" s="310"/>
      <c r="D289" s="307" t="s">
        <v>271</v>
      </c>
      <c r="E289" s="307" t="s">
        <v>271</v>
      </c>
      <c r="F289" s="308"/>
      <c r="G289" s="343" t="str">
        <f t="shared" si="12"/>
        <v xml:space="preserve"> </v>
      </c>
      <c r="H289" s="307"/>
      <c r="I289" s="309" t="e">
        <f t="shared" si="13"/>
        <v>#N/A</v>
      </c>
      <c r="J289" s="307"/>
      <c r="K289" s="307"/>
      <c r="L289" s="310"/>
      <c r="M289" s="310"/>
      <c r="N289" s="310"/>
      <c r="O289" s="310"/>
      <c r="P289" s="310"/>
      <c r="Q289" s="310"/>
      <c r="R289" s="310"/>
      <c r="S289" s="310"/>
      <c r="T289" s="310"/>
      <c r="U289" s="307"/>
      <c r="V289" s="307"/>
      <c r="W289" s="311"/>
      <c r="X289" s="307"/>
      <c r="Y289" s="307"/>
      <c r="Z289" s="307"/>
      <c r="AA289" s="307"/>
      <c r="AB289" s="311"/>
      <c r="AC289" s="307"/>
      <c r="AD289" s="307"/>
      <c r="AE289" s="307"/>
      <c r="AF289" s="307"/>
      <c r="AG289" s="310"/>
      <c r="AH289" s="307"/>
      <c r="AI289" s="310"/>
      <c r="AJ289" s="307"/>
      <c r="AK289" s="307"/>
      <c r="AL289" s="307"/>
      <c r="AM289" s="308"/>
      <c r="AN289" s="311"/>
      <c r="AO289" s="307"/>
      <c r="AP289" s="307"/>
      <c r="AQ289" s="308"/>
      <c r="AR289" s="307"/>
      <c r="AS289" s="307"/>
      <c r="AT289" s="307"/>
      <c r="AU289" s="310"/>
      <c r="AV289" s="308"/>
      <c r="AW289" s="312"/>
      <c r="AX289" s="308"/>
      <c r="AY289" s="307"/>
      <c r="AZ289" s="307"/>
      <c r="BA289" s="307"/>
      <c r="BB289" s="307"/>
      <c r="BC289" s="308"/>
      <c r="BD289" s="308"/>
      <c r="BE289" s="313"/>
      <c r="BF289" s="307"/>
      <c r="BG289" s="310"/>
      <c r="BH289" s="307"/>
      <c r="BI289" s="307"/>
      <c r="BJ289" s="310"/>
      <c r="BK289" s="307"/>
      <c r="BL289" s="307"/>
      <c r="BM289" s="310"/>
      <c r="BN289" s="307"/>
      <c r="BO289" s="310"/>
      <c r="BP289" s="307"/>
      <c r="BQ289" s="307"/>
      <c r="BR289" s="307"/>
      <c r="BS289" s="307"/>
      <c r="BT289" s="307"/>
      <c r="BU289" s="310"/>
      <c r="BV289" s="307"/>
      <c r="BW289" s="308"/>
      <c r="BX289" s="311"/>
      <c r="BY289" s="307"/>
      <c r="BZ289" s="307"/>
      <c r="CA289" s="310"/>
      <c r="CB289" s="307"/>
      <c r="CC289" s="307"/>
      <c r="CD289" s="307"/>
      <c r="CE289" s="308"/>
      <c r="CF289" s="308"/>
      <c r="CG289" s="307"/>
      <c r="CH289" s="307"/>
      <c r="CI289" s="307"/>
      <c r="CJ289" s="307"/>
      <c r="CK289" s="314"/>
      <c r="CL289" s="310"/>
      <c r="CM289" s="310"/>
      <c r="CN289" s="307"/>
      <c r="CO289" s="307"/>
      <c r="CP289" s="307"/>
      <c r="CQ289" s="315"/>
      <c r="CR289" s="315"/>
      <c r="CS289" s="315"/>
      <c r="CT289" s="315"/>
      <c r="CU289" s="307"/>
      <c r="CV289" s="217"/>
      <c r="CW289" s="192"/>
      <c r="CX289" s="192"/>
      <c r="CY289" s="192"/>
      <c r="CZ289" s="191"/>
      <c r="DA289" s="193"/>
      <c r="DB289" s="192"/>
      <c r="DC289" s="192"/>
      <c r="DD289" s="192"/>
      <c r="DE289" s="191"/>
      <c r="DF289" s="19"/>
      <c r="DG289" s="192"/>
      <c r="DH289" s="192"/>
      <c r="DI289" s="192"/>
      <c r="DJ289" s="191"/>
      <c r="DK289" s="193"/>
      <c r="DL289" s="192"/>
      <c r="DM289" s="192"/>
      <c r="DN289" s="192"/>
      <c r="DO289" s="191"/>
      <c r="DP289" s="19"/>
      <c r="DQ289" s="192"/>
      <c r="DR289" s="192"/>
      <c r="DS289" s="192"/>
      <c r="DT289" s="191"/>
      <c r="DU289" s="193"/>
      <c r="DV289" s="192"/>
      <c r="DW289" s="192"/>
      <c r="DX289" s="192"/>
      <c r="DY289" s="191"/>
      <c r="DZ289" s="19"/>
      <c r="EA289" s="192"/>
      <c r="EB289" s="192"/>
      <c r="EC289" s="192"/>
      <c r="ED289" s="191"/>
      <c r="EE289" s="193"/>
      <c r="EF289" s="192"/>
      <c r="EG289" s="192"/>
      <c r="EH289" s="192"/>
      <c r="EI289" s="191"/>
      <c r="EJ289" s="19"/>
      <c r="EK289" s="192"/>
      <c r="EL289" s="192"/>
      <c r="EM289" s="192"/>
      <c r="EN289" s="191"/>
      <c r="EO289" s="193"/>
      <c r="EP289" s="192"/>
      <c r="EQ289" s="192"/>
      <c r="ER289" s="192"/>
      <c r="ES289" s="191"/>
      <c r="ET289" s="19"/>
      <c r="EU289" s="192"/>
      <c r="EV289" s="192"/>
      <c r="EW289" s="192"/>
      <c r="EX289" s="191"/>
      <c r="EY289" s="193"/>
      <c r="EZ289" s="192"/>
      <c r="FA289" s="192"/>
      <c r="FB289" s="192"/>
      <c r="FC289" s="191"/>
      <c r="FL289" s="273">
        <f t="shared" ca="1" si="14"/>
        <v>116</v>
      </c>
    </row>
    <row r="290" spans="1:168" ht="16.5" thickBot="1">
      <c r="A290" s="196">
        <v>287</v>
      </c>
      <c r="B290" s="306"/>
      <c r="C290" s="310"/>
      <c r="D290" s="307" t="s">
        <v>271</v>
      </c>
      <c r="E290" s="307" t="s">
        <v>271</v>
      </c>
      <c r="F290" s="308"/>
      <c r="G290" s="343" t="str">
        <f t="shared" si="12"/>
        <v xml:space="preserve"> </v>
      </c>
      <c r="H290" s="307"/>
      <c r="I290" s="309" t="e">
        <f t="shared" si="13"/>
        <v>#N/A</v>
      </c>
      <c r="J290" s="307"/>
      <c r="K290" s="307"/>
      <c r="L290" s="310"/>
      <c r="M290" s="310"/>
      <c r="N290" s="310"/>
      <c r="O290" s="310"/>
      <c r="P290" s="310"/>
      <c r="Q290" s="310"/>
      <c r="R290" s="310"/>
      <c r="S290" s="310"/>
      <c r="T290" s="310"/>
      <c r="U290" s="307"/>
      <c r="V290" s="307"/>
      <c r="W290" s="311"/>
      <c r="X290" s="307"/>
      <c r="Y290" s="307"/>
      <c r="Z290" s="307"/>
      <c r="AA290" s="307"/>
      <c r="AB290" s="311"/>
      <c r="AC290" s="307"/>
      <c r="AD290" s="307"/>
      <c r="AE290" s="307"/>
      <c r="AF290" s="307"/>
      <c r="AG290" s="310"/>
      <c r="AH290" s="307"/>
      <c r="AI290" s="310"/>
      <c r="AJ290" s="307"/>
      <c r="AK290" s="307"/>
      <c r="AL290" s="307"/>
      <c r="AM290" s="308"/>
      <c r="AN290" s="311"/>
      <c r="AO290" s="307"/>
      <c r="AP290" s="307"/>
      <c r="AQ290" s="308"/>
      <c r="AR290" s="307"/>
      <c r="AS290" s="307"/>
      <c r="AT290" s="307"/>
      <c r="AU290" s="310"/>
      <c r="AV290" s="308"/>
      <c r="AW290" s="312"/>
      <c r="AX290" s="308"/>
      <c r="AY290" s="307"/>
      <c r="AZ290" s="307"/>
      <c r="BA290" s="307"/>
      <c r="BB290" s="307"/>
      <c r="BC290" s="308"/>
      <c r="BD290" s="308"/>
      <c r="BE290" s="313"/>
      <c r="BF290" s="307"/>
      <c r="BG290" s="310"/>
      <c r="BH290" s="307"/>
      <c r="BI290" s="307"/>
      <c r="BJ290" s="310"/>
      <c r="BK290" s="307"/>
      <c r="BL290" s="307"/>
      <c r="BM290" s="310"/>
      <c r="BN290" s="307"/>
      <c r="BO290" s="310"/>
      <c r="BP290" s="307"/>
      <c r="BQ290" s="307"/>
      <c r="BR290" s="307"/>
      <c r="BS290" s="307"/>
      <c r="BT290" s="307"/>
      <c r="BU290" s="310"/>
      <c r="BV290" s="307"/>
      <c r="BW290" s="308"/>
      <c r="BX290" s="311"/>
      <c r="BY290" s="307"/>
      <c r="BZ290" s="307"/>
      <c r="CA290" s="310"/>
      <c r="CB290" s="307"/>
      <c r="CC290" s="307"/>
      <c r="CD290" s="307"/>
      <c r="CE290" s="308"/>
      <c r="CF290" s="308"/>
      <c r="CG290" s="307"/>
      <c r="CH290" s="307"/>
      <c r="CI290" s="307"/>
      <c r="CJ290" s="307"/>
      <c r="CK290" s="314"/>
      <c r="CL290" s="310"/>
      <c r="CM290" s="310"/>
      <c r="CN290" s="307"/>
      <c r="CO290" s="307"/>
      <c r="CP290" s="307"/>
      <c r="CQ290" s="315"/>
      <c r="CR290" s="315"/>
      <c r="CS290" s="315"/>
      <c r="CT290" s="315"/>
      <c r="CU290" s="307"/>
      <c r="CV290" s="217"/>
      <c r="CW290" s="192"/>
      <c r="CX290" s="192"/>
      <c r="CY290" s="192"/>
      <c r="CZ290" s="191"/>
      <c r="DA290" s="193"/>
      <c r="DB290" s="192"/>
      <c r="DC290" s="192"/>
      <c r="DD290" s="192"/>
      <c r="DE290" s="191"/>
      <c r="DF290" s="19"/>
      <c r="DG290" s="192"/>
      <c r="DH290" s="192"/>
      <c r="DI290" s="192"/>
      <c r="DJ290" s="191"/>
      <c r="DK290" s="193"/>
      <c r="DL290" s="192"/>
      <c r="DM290" s="192"/>
      <c r="DN290" s="192"/>
      <c r="DO290" s="191"/>
      <c r="DP290" s="19"/>
      <c r="DQ290" s="192"/>
      <c r="DR290" s="192"/>
      <c r="DS290" s="192"/>
      <c r="DT290" s="191"/>
      <c r="DU290" s="193"/>
      <c r="DV290" s="192"/>
      <c r="DW290" s="192"/>
      <c r="DX290" s="192"/>
      <c r="DY290" s="191"/>
      <c r="DZ290" s="19"/>
      <c r="EA290" s="192"/>
      <c r="EB290" s="192"/>
      <c r="EC290" s="192"/>
      <c r="ED290" s="191"/>
      <c r="EE290" s="193"/>
      <c r="EF290" s="192"/>
      <c r="EG290" s="192"/>
      <c r="EH290" s="192"/>
      <c r="EI290" s="191"/>
      <c r="EJ290" s="19"/>
      <c r="EK290" s="192"/>
      <c r="EL290" s="192"/>
      <c r="EM290" s="192"/>
      <c r="EN290" s="191"/>
      <c r="EO290" s="193"/>
      <c r="EP290" s="192"/>
      <c r="EQ290" s="192"/>
      <c r="ER290" s="192"/>
      <c r="ES290" s="191"/>
      <c r="ET290" s="19"/>
      <c r="EU290" s="192"/>
      <c r="EV290" s="192"/>
      <c r="EW290" s="192"/>
      <c r="EX290" s="191"/>
      <c r="EY290" s="193"/>
      <c r="EZ290" s="192"/>
      <c r="FA290" s="192"/>
      <c r="FB290" s="192"/>
      <c r="FC290" s="191"/>
      <c r="FL290" s="273">
        <f t="shared" ca="1" si="14"/>
        <v>116</v>
      </c>
    </row>
    <row r="291" spans="1:168" ht="16.5" thickBot="1">
      <c r="A291" s="199">
        <v>288</v>
      </c>
      <c r="B291" s="306"/>
      <c r="C291" s="310"/>
      <c r="D291" s="307" t="s">
        <v>271</v>
      </c>
      <c r="E291" s="307" t="s">
        <v>271</v>
      </c>
      <c r="F291" s="308"/>
      <c r="G291" s="343" t="str">
        <f t="shared" si="12"/>
        <v xml:space="preserve"> </v>
      </c>
      <c r="H291" s="307"/>
      <c r="I291" s="309" t="e">
        <f t="shared" si="13"/>
        <v>#N/A</v>
      </c>
      <c r="J291" s="307"/>
      <c r="K291" s="307"/>
      <c r="L291" s="310"/>
      <c r="M291" s="310"/>
      <c r="N291" s="310"/>
      <c r="O291" s="310"/>
      <c r="P291" s="310"/>
      <c r="Q291" s="310"/>
      <c r="R291" s="310"/>
      <c r="S291" s="310"/>
      <c r="T291" s="310"/>
      <c r="U291" s="307"/>
      <c r="V291" s="307"/>
      <c r="W291" s="311"/>
      <c r="X291" s="307"/>
      <c r="Y291" s="307"/>
      <c r="Z291" s="307"/>
      <c r="AA291" s="307"/>
      <c r="AB291" s="311"/>
      <c r="AC291" s="307"/>
      <c r="AD291" s="307"/>
      <c r="AE291" s="307"/>
      <c r="AF291" s="307"/>
      <c r="AG291" s="310"/>
      <c r="AH291" s="307"/>
      <c r="AI291" s="310"/>
      <c r="AJ291" s="307"/>
      <c r="AK291" s="307"/>
      <c r="AL291" s="307"/>
      <c r="AM291" s="308"/>
      <c r="AN291" s="311"/>
      <c r="AO291" s="307"/>
      <c r="AP291" s="307"/>
      <c r="AQ291" s="308"/>
      <c r="AR291" s="307"/>
      <c r="AS291" s="307"/>
      <c r="AT291" s="307"/>
      <c r="AU291" s="310"/>
      <c r="AV291" s="308"/>
      <c r="AW291" s="312"/>
      <c r="AX291" s="308"/>
      <c r="AY291" s="307"/>
      <c r="AZ291" s="307"/>
      <c r="BA291" s="307"/>
      <c r="BB291" s="307"/>
      <c r="BC291" s="308"/>
      <c r="BD291" s="308"/>
      <c r="BE291" s="313"/>
      <c r="BF291" s="307"/>
      <c r="BG291" s="310"/>
      <c r="BH291" s="307"/>
      <c r="BI291" s="307"/>
      <c r="BJ291" s="310"/>
      <c r="BK291" s="307"/>
      <c r="BL291" s="307"/>
      <c r="BM291" s="310"/>
      <c r="BN291" s="307"/>
      <c r="BO291" s="310"/>
      <c r="BP291" s="307"/>
      <c r="BQ291" s="307"/>
      <c r="BR291" s="307"/>
      <c r="BS291" s="307"/>
      <c r="BT291" s="307"/>
      <c r="BU291" s="310"/>
      <c r="BV291" s="307"/>
      <c r="BW291" s="308"/>
      <c r="BX291" s="311"/>
      <c r="BY291" s="307"/>
      <c r="BZ291" s="307"/>
      <c r="CA291" s="310"/>
      <c r="CB291" s="307"/>
      <c r="CC291" s="307"/>
      <c r="CD291" s="307"/>
      <c r="CE291" s="308"/>
      <c r="CF291" s="308"/>
      <c r="CG291" s="307"/>
      <c r="CH291" s="307"/>
      <c r="CI291" s="307"/>
      <c r="CJ291" s="307"/>
      <c r="CK291" s="314"/>
      <c r="CL291" s="310"/>
      <c r="CM291" s="310"/>
      <c r="CN291" s="307"/>
      <c r="CO291" s="307"/>
      <c r="CP291" s="307"/>
      <c r="CQ291" s="315"/>
      <c r="CR291" s="315"/>
      <c r="CS291" s="315"/>
      <c r="CT291" s="315"/>
      <c r="CU291" s="307"/>
      <c r="CV291" s="217"/>
      <c r="CW291" s="192"/>
      <c r="CX291" s="192"/>
      <c r="CY291" s="192"/>
      <c r="CZ291" s="191"/>
      <c r="DA291" s="193"/>
      <c r="DB291" s="192"/>
      <c r="DC291" s="192"/>
      <c r="DD291" s="192"/>
      <c r="DE291" s="191"/>
      <c r="DF291" s="19"/>
      <c r="DG291" s="192"/>
      <c r="DH291" s="192"/>
      <c r="DI291" s="192"/>
      <c r="DJ291" s="191"/>
      <c r="DK291" s="193"/>
      <c r="DL291" s="192"/>
      <c r="DM291" s="192"/>
      <c r="DN291" s="192"/>
      <c r="DO291" s="191"/>
      <c r="DP291" s="19"/>
      <c r="DQ291" s="192"/>
      <c r="DR291" s="192"/>
      <c r="DS291" s="192"/>
      <c r="DT291" s="191"/>
      <c r="DU291" s="193"/>
      <c r="DV291" s="192"/>
      <c r="DW291" s="192"/>
      <c r="DX291" s="192"/>
      <c r="DY291" s="191"/>
      <c r="DZ291" s="19"/>
      <c r="EA291" s="192"/>
      <c r="EB291" s="192"/>
      <c r="EC291" s="192"/>
      <c r="ED291" s="191"/>
      <c r="EE291" s="193"/>
      <c r="EF291" s="192"/>
      <c r="EG291" s="192"/>
      <c r="EH291" s="192"/>
      <c r="EI291" s="191"/>
      <c r="EJ291" s="19"/>
      <c r="EK291" s="192"/>
      <c r="EL291" s="192"/>
      <c r="EM291" s="192"/>
      <c r="EN291" s="191"/>
      <c r="EO291" s="193"/>
      <c r="EP291" s="192"/>
      <c r="EQ291" s="192"/>
      <c r="ER291" s="192"/>
      <c r="ES291" s="191"/>
      <c r="ET291" s="19"/>
      <c r="EU291" s="192"/>
      <c r="EV291" s="192"/>
      <c r="EW291" s="192"/>
      <c r="EX291" s="191"/>
      <c r="EY291" s="193"/>
      <c r="EZ291" s="192"/>
      <c r="FA291" s="192"/>
      <c r="FB291" s="192"/>
      <c r="FC291" s="191"/>
      <c r="FL291" s="273">
        <f t="shared" ca="1" si="14"/>
        <v>116</v>
      </c>
    </row>
    <row r="292" spans="1:168" ht="16.5" thickBot="1">
      <c r="A292" s="196">
        <v>289</v>
      </c>
      <c r="B292" s="306"/>
      <c r="C292" s="310"/>
      <c r="D292" s="307" t="s">
        <v>271</v>
      </c>
      <c r="E292" s="307" t="s">
        <v>271</v>
      </c>
      <c r="F292" s="308"/>
      <c r="G292" s="343" t="str">
        <f t="shared" si="12"/>
        <v xml:space="preserve"> </v>
      </c>
      <c r="H292" s="307"/>
      <c r="I292" s="309" t="e">
        <f t="shared" si="13"/>
        <v>#N/A</v>
      </c>
      <c r="J292" s="307"/>
      <c r="K292" s="307"/>
      <c r="L292" s="310"/>
      <c r="M292" s="310"/>
      <c r="N292" s="310"/>
      <c r="O292" s="310"/>
      <c r="P292" s="310"/>
      <c r="Q292" s="310"/>
      <c r="R292" s="310"/>
      <c r="S292" s="310"/>
      <c r="T292" s="310"/>
      <c r="U292" s="307"/>
      <c r="V292" s="307"/>
      <c r="W292" s="311"/>
      <c r="X292" s="307"/>
      <c r="Y292" s="307"/>
      <c r="Z292" s="307"/>
      <c r="AA292" s="307"/>
      <c r="AB292" s="311"/>
      <c r="AC292" s="307"/>
      <c r="AD292" s="307"/>
      <c r="AE292" s="307"/>
      <c r="AF292" s="307"/>
      <c r="AG292" s="310"/>
      <c r="AH292" s="307"/>
      <c r="AI292" s="310"/>
      <c r="AJ292" s="307"/>
      <c r="AK292" s="307"/>
      <c r="AL292" s="307"/>
      <c r="AM292" s="308"/>
      <c r="AN292" s="311"/>
      <c r="AO292" s="307"/>
      <c r="AP292" s="307"/>
      <c r="AQ292" s="308"/>
      <c r="AR292" s="307"/>
      <c r="AS292" s="307"/>
      <c r="AT292" s="307"/>
      <c r="AU292" s="310"/>
      <c r="AV292" s="308"/>
      <c r="AW292" s="312"/>
      <c r="AX292" s="308"/>
      <c r="AY292" s="307"/>
      <c r="AZ292" s="307"/>
      <c r="BA292" s="307"/>
      <c r="BB292" s="307"/>
      <c r="BC292" s="308"/>
      <c r="BD292" s="308"/>
      <c r="BE292" s="313"/>
      <c r="BF292" s="307"/>
      <c r="BG292" s="310"/>
      <c r="BH292" s="307"/>
      <c r="BI292" s="307"/>
      <c r="BJ292" s="310"/>
      <c r="BK292" s="307"/>
      <c r="BL292" s="307"/>
      <c r="BM292" s="310"/>
      <c r="BN292" s="307"/>
      <c r="BO292" s="310"/>
      <c r="BP292" s="307"/>
      <c r="BQ292" s="307"/>
      <c r="BR292" s="307"/>
      <c r="BS292" s="307"/>
      <c r="BT292" s="307"/>
      <c r="BU292" s="310"/>
      <c r="BV292" s="307"/>
      <c r="BW292" s="308"/>
      <c r="BX292" s="311"/>
      <c r="BY292" s="307"/>
      <c r="BZ292" s="307"/>
      <c r="CA292" s="310"/>
      <c r="CB292" s="307"/>
      <c r="CC292" s="307"/>
      <c r="CD292" s="307"/>
      <c r="CE292" s="308"/>
      <c r="CF292" s="308"/>
      <c r="CG292" s="307"/>
      <c r="CH292" s="307"/>
      <c r="CI292" s="307"/>
      <c r="CJ292" s="307"/>
      <c r="CK292" s="314"/>
      <c r="CL292" s="310"/>
      <c r="CM292" s="310"/>
      <c r="CN292" s="307"/>
      <c r="CO292" s="307"/>
      <c r="CP292" s="307"/>
      <c r="CQ292" s="315"/>
      <c r="CR292" s="315"/>
      <c r="CS292" s="315"/>
      <c r="CT292" s="315"/>
      <c r="CU292" s="307"/>
      <c r="CV292" s="217"/>
      <c r="CW292" s="192"/>
      <c r="CX292" s="192"/>
      <c r="CY292" s="192"/>
      <c r="CZ292" s="191"/>
      <c r="DA292" s="193"/>
      <c r="DB292" s="192"/>
      <c r="DC292" s="192"/>
      <c r="DD292" s="192"/>
      <c r="DE292" s="191"/>
      <c r="DF292" s="19"/>
      <c r="DG292" s="192"/>
      <c r="DH292" s="192"/>
      <c r="DI292" s="192"/>
      <c r="DJ292" s="191"/>
      <c r="DK292" s="193"/>
      <c r="DL292" s="192"/>
      <c r="DM292" s="192"/>
      <c r="DN292" s="192"/>
      <c r="DO292" s="191"/>
      <c r="DP292" s="19"/>
      <c r="DQ292" s="192"/>
      <c r="DR292" s="192"/>
      <c r="DS292" s="192"/>
      <c r="DT292" s="191"/>
      <c r="DU292" s="193"/>
      <c r="DV292" s="192"/>
      <c r="DW292" s="192"/>
      <c r="DX292" s="192"/>
      <c r="DY292" s="191"/>
      <c r="DZ292" s="19"/>
      <c r="EA292" s="192"/>
      <c r="EB292" s="192"/>
      <c r="EC292" s="192"/>
      <c r="ED292" s="191"/>
      <c r="EE292" s="193"/>
      <c r="EF292" s="192"/>
      <c r="EG292" s="192"/>
      <c r="EH292" s="192"/>
      <c r="EI292" s="191"/>
      <c r="EJ292" s="19"/>
      <c r="EK292" s="192"/>
      <c r="EL292" s="192"/>
      <c r="EM292" s="192"/>
      <c r="EN292" s="191"/>
      <c r="EO292" s="193"/>
      <c r="EP292" s="192"/>
      <c r="EQ292" s="192"/>
      <c r="ER292" s="192"/>
      <c r="ES292" s="191"/>
      <c r="ET292" s="19"/>
      <c r="EU292" s="192"/>
      <c r="EV292" s="192"/>
      <c r="EW292" s="192"/>
      <c r="EX292" s="191"/>
      <c r="EY292" s="193"/>
      <c r="EZ292" s="192"/>
      <c r="FA292" s="192"/>
      <c r="FB292" s="192"/>
      <c r="FC292" s="191"/>
      <c r="FL292" s="273">
        <f t="shared" ca="1" si="14"/>
        <v>116</v>
      </c>
    </row>
    <row r="293" spans="1:168" ht="16.5" thickBot="1">
      <c r="A293" s="199">
        <v>290</v>
      </c>
      <c r="B293" s="306"/>
      <c r="C293" s="310"/>
      <c r="D293" s="307" t="s">
        <v>271</v>
      </c>
      <c r="E293" s="307" t="s">
        <v>271</v>
      </c>
      <c r="F293" s="308"/>
      <c r="G293" s="343" t="str">
        <f t="shared" si="12"/>
        <v xml:space="preserve"> </v>
      </c>
      <c r="H293" s="307"/>
      <c r="I293" s="309" t="e">
        <f t="shared" si="13"/>
        <v>#N/A</v>
      </c>
      <c r="J293" s="307"/>
      <c r="K293" s="307"/>
      <c r="L293" s="310"/>
      <c r="M293" s="310"/>
      <c r="N293" s="310"/>
      <c r="O293" s="310"/>
      <c r="P293" s="310"/>
      <c r="Q293" s="310"/>
      <c r="R293" s="310"/>
      <c r="S293" s="310"/>
      <c r="T293" s="310"/>
      <c r="U293" s="307"/>
      <c r="V293" s="307"/>
      <c r="W293" s="311"/>
      <c r="X293" s="307"/>
      <c r="Y293" s="307"/>
      <c r="Z293" s="307"/>
      <c r="AA293" s="307"/>
      <c r="AB293" s="311"/>
      <c r="AC293" s="307"/>
      <c r="AD293" s="307"/>
      <c r="AE293" s="307"/>
      <c r="AF293" s="307"/>
      <c r="AG293" s="310"/>
      <c r="AH293" s="307"/>
      <c r="AI293" s="310"/>
      <c r="AJ293" s="307"/>
      <c r="AK293" s="307"/>
      <c r="AL293" s="307"/>
      <c r="AM293" s="308"/>
      <c r="AN293" s="311"/>
      <c r="AO293" s="307"/>
      <c r="AP293" s="307"/>
      <c r="AQ293" s="308"/>
      <c r="AR293" s="307"/>
      <c r="AS293" s="307"/>
      <c r="AT293" s="307"/>
      <c r="AU293" s="310"/>
      <c r="AV293" s="308"/>
      <c r="AW293" s="312"/>
      <c r="AX293" s="308"/>
      <c r="AY293" s="307"/>
      <c r="AZ293" s="307"/>
      <c r="BA293" s="307"/>
      <c r="BB293" s="307"/>
      <c r="BC293" s="308"/>
      <c r="BD293" s="308"/>
      <c r="BE293" s="313"/>
      <c r="BF293" s="307"/>
      <c r="BG293" s="310"/>
      <c r="BH293" s="307"/>
      <c r="BI293" s="307"/>
      <c r="BJ293" s="310"/>
      <c r="BK293" s="307"/>
      <c r="BL293" s="307"/>
      <c r="BM293" s="310"/>
      <c r="BN293" s="307"/>
      <c r="BO293" s="310"/>
      <c r="BP293" s="307"/>
      <c r="BQ293" s="307"/>
      <c r="BR293" s="307"/>
      <c r="BS293" s="307"/>
      <c r="BT293" s="307"/>
      <c r="BU293" s="310"/>
      <c r="BV293" s="307"/>
      <c r="BW293" s="308"/>
      <c r="BX293" s="311"/>
      <c r="BY293" s="307"/>
      <c r="BZ293" s="307"/>
      <c r="CA293" s="310"/>
      <c r="CB293" s="307"/>
      <c r="CC293" s="307"/>
      <c r="CD293" s="307"/>
      <c r="CE293" s="308"/>
      <c r="CF293" s="308"/>
      <c r="CG293" s="307"/>
      <c r="CH293" s="307"/>
      <c r="CI293" s="307"/>
      <c r="CJ293" s="307"/>
      <c r="CK293" s="314"/>
      <c r="CL293" s="310"/>
      <c r="CM293" s="310"/>
      <c r="CN293" s="307"/>
      <c r="CO293" s="307"/>
      <c r="CP293" s="307"/>
      <c r="CQ293" s="315"/>
      <c r="CR293" s="315"/>
      <c r="CS293" s="315"/>
      <c r="CT293" s="315"/>
      <c r="CU293" s="307"/>
      <c r="CV293" s="217"/>
      <c r="CW293" s="192"/>
      <c r="CX293" s="192"/>
      <c r="CY293" s="192"/>
      <c r="CZ293" s="191"/>
      <c r="DA293" s="193"/>
      <c r="DB293" s="192"/>
      <c r="DC293" s="192"/>
      <c r="DD293" s="192"/>
      <c r="DE293" s="191"/>
      <c r="DF293" s="19"/>
      <c r="DG293" s="192"/>
      <c r="DH293" s="192"/>
      <c r="DI293" s="192"/>
      <c r="DJ293" s="191"/>
      <c r="DK293" s="193"/>
      <c r="DL293" s="192"/>
      <c r="DM293" s="192"/>
      <c r="DN293" s="192"/>
      <c r="DO293" s="191"/>
      <c r="DP293" s="19"/>
      <c r="DQ293" s="192"/>
      <c r="DR293" s="192"/>
      <c r="DS293" s="192"/>
      <c r="DT293" s="191"/>
      <c r="DU293" s="193"/>
      <c r="DV293" s="192"/>
      <c r="DW293" s="192"/>
      <c r="DX293" s="192"/>
      <c r="DY293" s="191"/>
      <c r="DZ293" s="19"/>
      <c r="EA293" s="192"/>
      <c r="EB293" s="192"/>
      <c r="EC293" s="192"/>
      <c r="ED293" s="191"/>
      <c r="EE293" s="193"/>
      <c r="EF293" s="192"/>
      <c r="EG293" s="192"/>
      <c r="EH293" s="192"/>
      <c r="EI293" s="191"/>
      <c r="EJ293" s="19"/>
      <c r="EK293" s="192"/>
      <c r="EL293" s="192"/>
      <c r="EM293" s="192"/>
      <c r="EN293" s="191"/>
      <c r="EO293" s="193"/>
      <c r="EP293" s="192"/>
      <c r="EQ293" s="192"/>
      <c r="ER293" s="192"/>
      <c r="ES293" s="191"/>
      <c r="ET293" s="19"/>
      <c r="EU293" s="192"/>
      <c r="EV293" s="192"/>
      <c r="EW293" s="192"/>
      <c r="EX293" s="191"/>
      <c r="EY293" s="193"/>
      <c r="EZ293" s="192"/>
      <c r="FA293" s="192"/>
      <c r="FB293" s="192"/>
      <c r="FC293" s="191"/>
      <c r="FL293" s="273">
        <f t="shared" ca="1" si="14"/>
        <v>116</v>
      </c>
    </row>
    <row r="294" spans="1:168" ht="16.5" thickBot="1">
      <c r="A294" s="196">
        <v>291</v>
      </c>
      <c r="B294" s="306"/>
      <c r="C294" s="310"/>
      <c r="D294" s="307" t="s">
        <v>271</v>
      </c>
      <c r="E294" s="307" t="s">
        <v>271</v>
      </c>
      <c r="F294" s="308"/>
      <c r="G294" s="343" t="str">
        <f t="shared" si="12"/>
        <v xml:space="preserve"> </v>
      </c>
      <c r="H294" s="307"/>
      <c r="I294" s="309" t="e">
        <f t="shared" si="13"/>
        <v>#N/A</v>
      </c>
      <c r="J294" s="307"/>
      <c r="K294" s="307"/>
      <c r="L294" s="310"/>
      <c r="M294" s="310"/>
      <c r="N294" s="310"/>
      <c r="O294" s="310"/>
      <c r="P294" s="310"/>
      <c r="Q294" s="310"/>
      <c r="R294" s="310"/>
      <c r="S294" s="310"/>
      <c r="T294" s="310"/>
      <c r="U294" s="307"/>
      <c r="V294" s="307"/>
      <c r="W294" s="311"/>
      <c r="X294" s="307"/>
      <c r="Y294" s="307"/>
      <c r="Z294" s="307"/>
      <c r="AA294" s="307"/>
      <c r="AB294" s="311"/>
      <c r="AC294" s="307"/>
      <c r="AD294" s="307"/>
      <c r="AE294" s="307"/>
      <c r="AF294" s="307"/>
      <c r="AG294" s="310"/>
      <c r="AH294" s="307"/>
      <c r="AI294" s="310"/>
      <c r="AJ294" s="307"/>
      <c r="AK294" s="307"/>
      <c r="AL294" s="307"/>
      <c r="AM294" s="308"/>
      <c r="AN294" s="311"/>
      <c r="AO294" s="307"/>
      <c r="AP294" s="307"/>
      <c r="AQ294" s="308"/>
      <c r="AR294" s="307"/>
      <c r="AS294" s="307"/>
      <c r="AT294" s="307"/>
      <c r="AU294" s="310"/>
      <c r="AV294" s="308"/>
      <c r="AW294" s="312"/>
      <c r="AX294" s="308"/>
      <c r="AY294" s="307"/>
      <c r="AZ294" s="307"/>
      <c r="BA294" s="307"/>
      <c r="BB294" s="307"/>
      <c r="BC294" s="308"/>
      <c r="BD294" s="308"/>
      <c r="BE294" s="313"/>
      <c r="BF294" s="307"/>
      <c r="BG294" s="310"/>
      <c r="BH294" s="307"/>
      <c r="BI294" s="307"/>
      <c r="BJ294" s="310"/>
      <c r="BK294" s="307"/>
      <c r="BL294" s="307"/>
      <c r="BM294" s="310"/>
      <c r="BN294" s="307"/>
      <c r="BO294" s="310"/>
      <c r="BP294" s="307"/>
      <c r="BQ294" s="307"/>
      <c r="BR294" s="307"/>
      <c r="BS294" s="307"/>
      <c r="BT294" s="307"/>
      <c r="BU294" s="310"/>
      <c r="BV294" s="307"/>
      <c r="BW294" s="308"/>
      <c r="BX294" s="311"/>
      <c r="BY294" s="307"/>
      <c r="BZ294" s="307"/>
      <c r="CA294" s="310"/>
      <c r="CB294" s="307"/>
      <c r="CC294" s="307"/>
      <c r="CD294" s="307"/>
      <c r="CE294" s="308"/>
      <c r="CF294" s="308"/>
      <c r="CG294" s="307"/>
      <c r="CH294" s="307"/>
      <c r="CI294" s="307"/>
      <c r="CJ294" s="307"/>
      <c r="CK294" s="314"/>
      <c r="CL294" s="310"/>
      <c r="CM294" s="310"/>
      <c r="CN294" s="307"/>
      <c r="CO294" s="307"/>
      <c r="CP294" s="307"/>
      <c r="CQ294" s="315"/>
      <c r="CR294" s="315"/>
      <c r="CS294" s="315"/>
      <c r="CT294" s="315"/>
      <c r="CU294" s="307"/>
      <c r="CV294" s="217"/>
      <c r="CW294" s="192"/>
      <c r="CX294" s="192"/>
      <c r="CY294" s="192"/>
      <c r="CZ294" s="191"/>
      <c r="DA294" s="193"/>
      <c r="DB294" s="192"/>
      <c r="DC294" s="192"/>
      <c r="DD294" s="192"/>
      <c r="DE294" s="191"/>
      <c r="DF294" s="19"/>
      <c r="DG294" s="192"/>
      <c r="DH294" s="192"/>
      <c r="DI294" s="192"/>
      <c r="DJ294" s="191"/>
      <c r="DK294" s="193"/>
      <c r="DL294" s="192"/>
      <c r="DM294" s="192"/>
      <c r="DN294" s="192"/>
      <c r="DO294" s="191"/>
      <c r="DP294" s="19"/>
      <c r="DQ294" s="192"/>
      <c r="DR294" s="192"/>
      <c r="DS294" s="192"/>
      <c r="DT294" s="191"/>
      <c r="DU294" s="193"/>
      <c r="DV294" s="192"/>
      <c r="DW294" s="192"/>
      <c r="DX294" s="192"/>
      <c r="DY294" s="191"/>
      <c r="DZ294" s="19"/>
      <c r="EA294" s="192"/>
      <c r="EB294" s="192"/>
      <c r="EC294" s="192"/>
      <c r="ED294" s="191"/>
      <c r="EE294" s="193"/>
      <c r="EF294" s="192"/>
      <c r="EG294" s="192"/>
      <c r="EH294" s="192"/>
      <c r="EI294" s="191"/>
      <c r="EJ294" s="19"/>
      <c r="EK294" s="192"/>
      <c r="EL294" s="192"/>
      <c r="EM294" s="192"/>
      <c r="EN294" s="191"/>
      <c r="EO294" s="193"/>
      <c r="EP294" s="192"/>
      <c r="EQ294" s="192"/>
      <c r="ER294" s="192"/>
      <c r="ES294" s="191"/>
      <c r="ET294" s="19"/>
      <c r="EU294" s="192"/>
      <c r="EV294" s="192"/>
      <c r="EW294" s="192"/>
      <c r="EX294" s="191"/>
      <c r="EY294" s="193"/>
      <c r="EZ294" s="192"/>
      <c r="FA294" s="192"/>
      <c r="FB294" s="192"/>
      <c r="FC294" s="191"/>
      <c r="FL294" s="273">
        <f t="shared" ca="1" si="14"/>
        <v>116</v>
      </c>
    </row>
    <row r="295" spans="1:168" ht="16.5" thickBot="1">
      <c r="A295" s="199">
        <v>292</v>
      </c>
      <c r="B295" s="306"/>
      <c r="C295" s="310"/>
      <c r="D295" s="307" t="s">
        <v>271</v>
      </c>
      <c r="E295" s="307" t="s">
        <v>271</v>
      </c>
      <c r="F295" s="308"/>
      <c r="G295" s="343" t="str">
        <f t="shared" si="12"/>
        <v xml:space="preserve"> </v>
      </c>
      <c r="H295" s="307"/>
      <c r="I295" s="309" t="e">
        <f t="shared" si="13"/>
        <v>#N/A</v>
      </c>
      <c r="J295" s="307"/>
      <c r="K295" s="307"/>
      <c r="L295" s="310"/>
      <c r="M295" s="310"/>
      <c r="N295" s="310"/>
      <c r="O295" s="310"/>
      <c r="P295" s="310"/>
      <c r="Q295" s="310"/>
      <c r="R295" s="310"/>
      <c r="S295" s="310"/>
      <c r="T295" s="310"/>
      <c r="U295" s="307"/>
      <c r="V295" s="307"/>
      <c r="W295" s="311"/>
      <c r="X295" s="307"/>
      <c r="Y295" s="307"/>
      <c r="Z295" s="307"/>
      <c r="AA295" s="307"/>
      <c r="AB295" s="311"/>
      <c r="AC295" s="307"/>
      <c r="AD295" s="307"/>
      <c r="AE295" s="307"/>
      <c r="AF295" s="307"/>
      <c r="AG295" s="310"/>
      <c r="AH295" s="307"/>
      <c r="AI295" s="310"/>
      <c r="AJ295" s="307"/>
      <c r="AK295" s="307"/>
      <c r="AL295" s="307"/>
      <c r="AM295" s="308"/>
      <c r="AN295" s="311"/>
      <c r="AO295" s="307"/>
      <c r="AP295" s="307"/>
      <c r="AQ295" s="308"/>
      <c r="AR295" s="307"/>
      <c r="AS295" s="307"/>
      <c r="AT295" s="307"/>
      <c r="AU295" s="310"/>
      <c r="AV295" s="308"/>
      <c r="AW295" s="312"/>
      <c r="AX295" s="308"/>
      <c r="AY295" s="307"/>
      <c r="AZ295" s="307"/>
      <c r="BA295" s="307"/>
      <c r="BB295" s="307"/>
      <c r="BC295" s="308"/>
      <c r="BD295" s="308"/>
      <c r="BE295" s="313"/>
      <c r="BF295" s="307"/>
      <c r="BG295" s="310"/>
      <c r="BH295" s="307"/>
      <c r="BI295" s="307"/>
      <c r="BJ295" s="310"/>
      <c r="BK295" s="307"/>
      <c r="BL295" s="307"/>
      <c r="BM295" s="310"/>
      <c r="BN295" s="307"/>
      <c r="BO295" s="310"/>
      <c r="BP295" s="307"/>
      <c r="BQ295" s="307"/>
      <c r="BR295" s="307"/>
      <c r="BS295" s="307"/>
      <c r="BT295" s="307"/>
      <c r="BU295" s="310"/>
      <c r="BV295" s="307"/>
      <c r="BW295" s="308"/>
      <c r="BX295" s="311"/>
      <c r="BY295" s="307"/>
      <c r="BZ295" s="307"/>
      <c r="CA295" s="310"/>
      <c r="CB295" s="307"/>
      <c r="CC295" s="307"/>
      <c r="CD295" s="307"/>
      <c r="CE295" s="308"/>
      <c r="CF295" s="308"/>
      <c r="CG295" s="307"/>
      <c r="CH295" s="307"/>
      <c r="CI295" s="307"/>
      <c r="CJ295" s="307"/>
      <c r="CK295" s="314"/>
      <c r="CL295" s="310"/>
      <c r="CM295" s="310"/>
      <c r="CN295" s="307"/>
      <c r="CO295" s="307"/>
      <c r="CP295" s="307"/>
      <c r="CQ295" s="315"/>
      <c r="CR295" s="315"/>
      <c r="CS295" s="315"/>
      <c r="CT295" s="315"/>
      <c r="CU295" s="307"/>
      <c r="CV295" s="217"/>
      <c r="CW295" s="192"/>
      <c r="CX295" s="192"/>
      <c r="CY295" s="192"/>
      <c r="CZ295" s="191"/>
      <c r="DA295" s="193"/>
      <c r="DB295" s="192"/>
      <c r="DC295" s="192"/>
      <c r="DD295" s="192"/>
      <c r="DE295" s="191"/>
      <c r="DF295" s="19"/>
      <c r="DG295" s="192"/>
      <c r="DH295" s="192"/>
      <c r="DI295" s="192"/>
      <c r="DJ295" s="191"/>
      <c r="DK295" s="193"/>
      <c r="DL295" s="192"/>
      <c r="DM295" s="192"/>
      <c r="DN295" s="192"/>
      <c r="DO295" s="191"/>
      <c r="DP295" s="19"/>
      <c r="DQ295" s="192"/>
      <c r="DR295" s="192"/>
      <c r="DS295" s="192"/>
      <c r="DT295" s="191"/>
      <c r="DU295" s="193"/>
      <c r="DV295" s="192"/>
      <c r="DW295" s="192"/>
      <c r="DX295" s="192"/>
      <c r="DY295" s="191"/>
      <c r="DZ295" s="19"/>
      <c r="EA295" s="192"/>
      <c r="EB295" s="192"/>
      <c r="EC295" s="192"/>
      <c r="ED295" s="191"/>
      <c r="EE295" s="193"/>
      <c r="EF295" s="192"/>
      <c r="EG295" s="192"/>
      <c r="EH295" s="192"/>
      <c r="EI295" s="191"/>
      <c r="EJ295" s="19"/>
      <c r="EK295" s="192"/>
      <c r="EL295" s="192"/>
      <c r="EM295" s="192"/>
      <c r="EN295" s="191"/>
      <c r="EO295" s="193"/>
      <c r="EP295" s="192"/>
      <c r="EQ295" s="192"/>
      <c r="ER295" s="192"/>
      <c r="ES295" s="191"/>
      <c r="ET295" s="19"/>
      <c r="EU295" s="192"/>
      <c r="EV295" s="192"/>
      <c r="EW295" s="192"/>
      <c r="EX295" s="191"/>
      <c r="EY295" s="193"/>
      <c r="EZ295" s="192"/>
      <c r="FA295" s="192"/>
      <c r="FB295" s="192"/>
      <c r="FC295" s="191"/>
      <c r="FL295" s="273">
        <f t="shared" ca="1" si="14"/>
        <v>116</v>
      </c>
    </row>
    <row r="296" spans="1:168" ht="16.5" thickBot="1">
      <c r="A296" s="196">
        <v>293</v>
      </c>
      <c r="B296" s="306"/>
      <c r="C296" s="310"/>
      <c r="D296" s="307" t="s">
        <v>271</v>
      </c>
      <c r="E296" s="307" t="s">
        <v>271</v>
      </c>
      <c r="F296" s="308"/>
      <c r="G296" s="343" t="str">
        <f t="shared" si="12"/>
        <v xml:space="preserve"> </v>
      </c>
      <c r="H296" s="307"/>
      <c r="I296" s="309" t="e">
        <f t="shared" si="13"/>
        <v>#N/A</v>
      </c>
      <c r="J296" s="307"/>
      <c r="K296" s="307"/>
      <c r="L296" s="310"/>
      <c r="M296" s="310"/>
      <c r="N296" s="310"/>
      <c r="O296" s="310"/>
      <c r="P296" s="310"/>
      <c r="Q296" s="310"/>
      <c r="R296" s="310"/>
      <c r="S296" s="310"/>
      <c r="T296" s="310"/>
      <c r="U296" s="307"/>
      <c r="V296" s="307"/>
      <c r="W296" s="311"/>
      <c r="X296" s="307"/>
      <c r="Y296" s="307"/>
      <c r="Z296" s="307"/>
      <c r="AA296" s="307"/>
      <c r="AB296" s="311"/>
      <c r="AC296" s="307"/>
      <c r="AD296" s="307"/>
      <c r="AE296" s="307"/>
      <c r="AF296" s="307"/>
      <c r="AG296" s="310"/>
      <c r="AH296" s="307"/>
      <c r="AI296" s="310"/>
      <c r="AJ296" s="307"/>
      <c r="AK296" s="307"/>
      <c r="AL296" s="307"/>
      <c r="AM296" s="308"/>
      <c r="AN296" s="311"/>
      <c r="AO296" s="307"/>
      <c r="AP296" s="307"/>
      <c r="AQ296" s="308"/>
      <c r="AR296" s="307"/>
      <c r="AS296" s="307"/>
      <c r="AT296" s="307"/>
      <c r="AU296" s="310"/>
      <c r="AV296" s="308"/>
      <c r="AW296" s="312"/>
      <c r="AX296" s="308"/>
      <c r="AY296" s="307"/>
      <c r="AZ296" s="307"/>
      <c r="BA296" s="307"/>
      <c r="BB296" s="307"/>
      <c r="BC296" s="308"/>
      <c r="BD296" s="308"/>
      <c r="BE296" s="313"/>
      <c r="BF296" s="307"/>
      <c r="BG296" s="310"/>
      <c r="BH296" s="307"/>
      <c r="BI296" s="307"/>
      <c r="BJ296" s="310"/>
      <c r="BK296" s="307"/>
      <c r="BL296" s="307"/>
      <c r="BM296" s="310"/>
      <c r="BN296" s="307"/>
      <c r="BO296" s="310"/>
      <c r="BP296" s="307"/>
      <c r="BQ296" s="307"/>
      <c r="BR296" s="307"/>
      <c r="BS296" s="307"/>
      <c r="BT296" s="307"/>
      <c r="BU296" s="310"/>
      <c r="BV296" s="307"/>
      <c r="BW296" s="308"/>
      <c r="BX296" s="311"/>
      <c r="BY296" s="307"/>
      <c r="BZ296" s="307"/>
      <c r="CA296" s="310"/>
      <c r="CB296" s="307"/>
      <c r="CC296" s="307"/>
      <c r="CD296" s="307"/>
      <c r="CE296" s="308"/>
      <c r="CF296" s="308"/>
      <c r="CG296" s="307"/>
      <c r="CH296" s="307"/>
      <c r="CI296" s="307"/>
      <c r="CJ296" s="307"/>
      <c r="CK296" s="314"/>
      <c r="CL296" s="310"/>
      <c r="CM296" s="310"/>
      <c r="CN296" s="307"/>
      <c r="CO296" s="307"/>
      <c r="CP296" s="307"/>
      <c r="CQ296" s="315"/>
      <c r="CR296" s="315"/>
      <c r="CS296" s="315"/>
      <c r="CT296" s="315"/>
      <c r="CU296" s="307"/>
      <c r="CV296" s="217"/>
      <c r="CW296" s="192"/>
      <c r="CX296" s="192"/>
      <c r="CY296" s="192"/>
      <c r="CZ296" s="191"/>
      <c r="DA296" s="193"/>
      <c r="DB296" s="192"/>
      <c r="DC296" s="192"/>
      <c r="DD296" s="192"/>
      <c r="DE296" s="191"/>
      <c r="DF296" s="19"/>
      <c r="DG296" s="192"/>
      <c r="DH296" s="192"/>
      <c r="DI296" s="192"/>
      <c r="DJ296" s="191"/>
      <c r="DK296" s="193"/>
      <c r="DL296" s="192"/>
      <c r="DM296" s="192"/>
      <c r="DN296" s="192"/>
      <c r="DO296" s="191"/>
      <c r="DP296" s="19"/>
      <c r="DQ296" s="192"/>
      <c r="DR296" s="192"/>
      <c r="DS296" s="192"/>
      <c r="DT296" s="191"/>
      <c r="DU296" s="193"/>
      <c r="DV296" s="192"/>
      <c r="DW296" s="192"/>
      <c r="DX296" s="192"/>
      <c r="DY296" s="191"/>
      <c r="DZ296" s="19"/>
      <c r="EA296" s="192"/>
      <c r="EB296" s="192"/>
      <c r="EC296" s="192"/>
      <c r="ED296" s="191"/>
      <c r="EE296" s="193"/>
      <c r="EF296" s="192"/>
      <c r="EG296" s="192"/>
      <c r="EH296" s="192"/>
      <c r="EI296" s="191"/>
      <c r="EJ296" s="19"/>
      <c r="EK296" s="192"/>
      <c r="EL296" s="192"/>
      <c r="EM296" s="192"/>
      <c r="EN296" s="191"/>
      <c r="EO296" s="193"/>
      <c r="EP296" s="192"/>
      <c r="EQ296" s="192"/>
      <c r="ER296" s="192"/>
      <c r="ES296" s="191"/>
      <c r="ET296" s="19"/>
      <c r="EU296" s="192"/>
      <c r="EV296" s="192"/>
      <c r="EW296" s="192"/>
      <c r="EX296" s="191"/>
      <c r="EY296" s="193"/>
      <c r="EZ296" s="192"/>
      <c r="FA296" s="192"/>
      <c r="FB296" s="192"/>
      <c r="FC296" s="191"/>
      <c r="FL296" s="273">
        <f t="shared" ca="1" si="14"/>
        <v>116</v>
      </c>
    </row>
    <row r="297" spans="1:168" ht="16.5" thickBot="1">
      <c r="A297" s="199">
        <v>294</v>
      </c>
      <c r="B297" s="306"/>
      <c r="C297" s="310"/>
      <c r="D297" s="307" t="s">
        <v>271</v>
      </c>
      <c r="E297" s="307" t="s">
        <v>271</v>
      </c>
      <c r="F297" s="308"/>
      <c r="G297" s="343" t="str">
        <f t="shared" si="12"/>
        <v xml:space="preserve"> </v>
      </c>
      <c r="H297" s="307"/>
      <c r="I297" s="309" t="e">
        <f t="shared" si="13"/>
        <v>#N/A</v>
      </c>
      <c r="J297" s="307"/>
      <c r="K297" s="307"/>
      <c r="L297" s="310"/>
      <c r="M297" s="310"/>
      <c r="N297" s="310"/>
      <c r="O297" s="310"/>
      <c r="P297" s="310"/>
      <c r="Q297" s="310"/>
      <c r="R297" s="310"/>
      <c r="S297" s="310"/>
      <c r="T297" s="310"/>
      <c r="U297" s="307"/>
      <c r="V297" s="307"/>
      <c r="W297" s="311"/>
      <c r="X297" s="307"/>
      <c r="Y297" s="307"/>
      <c r="Z297" s="307"/>
      <c r="AA297" s="307"/>
      <c r="AB297" s="311"/>
      <c r="AC297" s="307"/>
      <c r="AD297" s="307"/>
      <c r="AE297" s="307"/>
      <c r="AF297" s="307"/>
      <c r="AG297" s="310"/>
      <c r="AH297" s="307"/>
      <c r="AI297" s="310"/>
      <c r="AJ297" s="307"/>
      <c r="AK297" s="307"/>
      <c r="AL297" s="307"/>
      <c r="AM297" s="308"/>
      <c r="AN297" s="311"/>
      <c r="AO297" s="307"/>
      <c r="AP297" s="307"/>
      <c r="AQ297" s="308"/>
      <c r="AR297" s="307"/>
      <c r="AS297" s="307"/>
      <c r="AT297" s="307"/>
      <c r="AU297" s="310"/>
      <c r="AV297" s="308"/>
      <c r="AW297" s="312"/>
      <c r="AX297" s="308"/>
      <c r="AY297" s="307"/>
      <c r="AZ297" s="307"/>
      <c r="BA297" s="307"/>
      <c r="BB297" s="307"/>
      <c r="BC297" s="308"/>
      <c r="BD297" s="308"/>
      <c r="BE297" s="313"/>
      <c r="BF297" s="307"/>
      <c r="BG297" s="310"/>
      <c r="BH297" s="307"/>
      <c r="BI297" s="307"/>
      <c r="BJ297" s="310"/>
      <c r="BK297" s="307"/>
      <c r="BL297" s="307"/>
      <c r="BM297" s="310"/>
      <c r="BN297" s="307"/>
      <c r="BO297" s="310"/>
      <c r="BP297" s="307"/>
      <c r="BQ297" s="307"/>
      <c r="BR297" s="307"/>
      <c r="BS297" s="307"/>
      <c r="BT297" s="307"/>
      <c r="BU297" s="310"/>
      <c r="BV297" s="307"/>
      <c r="BW297" s="308"/>
      <c r="BX297" s="311"/>
      <c r="BY297" s="307"/>
      <c r="BZ297" s="307"/>
      <c r="CA297" s="310"/>
      <c r="CB297" s="307"/>
      <c r="CC297" s="307"/>
      <c r="CD297" s="307"/>
      <c r="CE297" s="308"/>
      <c r="CF297" s="308"/>
      <c r="CG297" s="307"/>
      <c r="CH297" s="307"/>
      <c r="CI297" s="307"/>
      <c r="CJ297" s="307"/>
      <c r="CK297" s="314"/>
      <c r="CL297" s="310"/>
      <c r="CM297" s="310"/>
      <c r="CN297" s="307"/>
      <c r="CO297" s="307"/>
      <c r="CP297" s="307"/>
      <c r="CQ297" s="315"/>
      <c r="CR297" s="315"/>
      <c r="CS297" s="315"/>
      <c r="CT297" s="315"/>
      <c r="CU297" s="307"/>
      <c r="CV297" s="217"/>
      <c r="CW297" s="192"/>
      <c r="CX297" s="192"/>
      <c r="CY297" s="192"/>
      <c r="CZ297" s="191"/>
      <c r="DA297" s="193"/>
      <c r="DB297" s="192"/>
      <c r="DC297" s="192"/>
      <c r="DD297" s="192"/>
      <c r="DE297" s="191"/>
      <c r="DF297" s="19"/>
      <c r="DG297" s="192"/>
      <c r="DH297" s="192"/>
      <c r="DI297" s="192"/>
      <c r="DJ297" s="191"/>
      <c r="DK297" s="193"/>
      <c r="DL297" s="192"/>
      <c r="DM297" s="192"/>
      <c r="DN297" s="192"/>
      <c r="DO297" s="191"/>
      <c r="DP297" s="19"/>
      <c r="DQ297" s="192"/>
      <c r="DR297" s="192"/>
      <c r="DS297" s="192"/>
      <c r="DT297" s="191"/>
      <c r="DU297" s="193"/>
      <c r="DV297" s="192"/>
      <c r="DW297" s="192"/>
      <c r="DX297" s="192"/>
      <c r="DY297" s="191"/>
      <c r="DZ297" s="19"/>
      <c r="EA297" s="192"/>
      <c r="EB297" s="192"/>
      <c r="EC297" s="192"/>
      <c r="ED297" s="191"/>
      <c r="EE297" s="193"/>
      <c r="EF297" s="192"/>
      <c r="EG297" s="192"/>
      <c r="EH297" s="192"/>
      <c r="EI297" s="191"/>
      <c r="EJ297" s="19"/>
      <c r="EK297" s="192"/>
      <c r="EL297" s="192"/>
      <c r="EM297" s="192"/>
      <c r="EN297" s="191"/>
      <c r="EO297" s="193"/>
      <c r="EP297" s="192"/>
      <c r="EQ297" s="192"/>
      <c r="ER297" s="192"/>
      <c r="ES297" s="191"/>
      <c r="ET297" s="19"/>
      <c r="EU297" s="192"/>
      <c r="EV297" s="192"/>
      <c r="EW297" s="192"/>
      <c r="EX297" s="191"/>
      <c r="EY297" s="193"/>
      <c r="EZ297" s="192"/>
      <c r="FA297" s="192"/>
      <c r="FB297" s="192"/>
      <c r="FC297" s="191"/>
      <c r="FL297" s="273">
        <f t="shared" ca="1" si="14"/>
        <v>116</v>
      </c>
    </row>
    <row r="298" spans="1:168" ht="16.5" thickBot="1">
      <c r="A298" s="196">
        <v>295</v>
      </c>
      <c r="B298" s="306"/>
      <c r="C298" s="310"/>
      <c r="D298" s="307" t="s">
        <v>271</v>
      </c>
      <c r="E298" s="307" t="s">
        <v>271</v>
      </c>
      <c r="F298" s="308"/>
      <c r="G298" s="343" t="str">
        <f t="shared" si="12"/>
        <v xml:space="preserve"> </v>
      </c>
      <c r="H298" s="307"/>
      <c r="I298" s="309" t="e">
        <f t="shared" si="13"/>
        <v>#N/A</v>
      </c>
      <c r="J298" s="307"/>
      <c r="K298" s="307"/>
      <c r="L298" s="310"/>
      <c r="M298" s="310"/>
      <c r="N298" s="310"/>
      <c r="O298" s="310"/>
      <c r="P298" s="310"/>
      <c r="Q298" s="310"/>
      <c r="R298" s="310"/>
      <c r="S298" s="310"/>
      <c r="T298" s="310"/>
      <c r="U298" s="307"/>
      <c r="V298" s="307"/>
      <c r="W298" s="311"/>
      <c r="X298" s="307"/>
      <c r="Y298" s="307"/>
      <c r="Z298" s="307"/>
      <c r="AA298" s="307"/>
      <c r="AB298" s="311"/>
      <c r="AC298" s="307"/>
      <c r="AD298" s="307"/>
      <c r="AE298" s="307"/>
      <c r="AF298" s="307"/>
      <c r="AG298" s="310"/>
      <c r="AH298" s="307"/>
      <c r="AI298" s="310"/>
      <c r="AJ298" s="307"/>
      <c r="AK298" s="307"/>
      <c r="AL298" s="307"/>
      <c r="AM298" s="308"/>
      <c r="AN298" s="311"/>
      <c r="AO298" s="307"/>
      <c r="AP298" s="307"/>
      <c r="AQ298" s="308"/>
      <c r="AR298" s="307"/>
      <c r="AS298" s="307"/>
      <c r="AT298" s="307"/>
      <c r="AU298" s="310"/>
      <c r="AV298" s="308"/>
      <c r="AW298" s="312"/>
      <c r="AX298" s="308"/>
      <c r="AY298" s="307"/>
      <c r="AZ298" s="307"/>
      <c r="BA298" s="307"/>
      <c r="BB298" s="307"/>
      <c r="BC298" s="308"/>
      <c r="BD298" s="308"/>
      <c r="BE298" s="313"/>
      <c r="BF298" s="307"/>
      <c r="BG298" s="310"/>
      <c r="BH298" s="307"/>
      <c r="BI298" s="307"/>
      <c r="BJ298" s="310"/>
      <c r="BK298" s="307"/>
      <c r="BL298" s="307"/>
      <c r="BM298" s="310"/>
      <c r="BN298" s="307"/>
      <c r="BO298" s="310"/>
      <c r="BP298" s="307"/>
      <c r="BQ298" s="307"/>
      <c r="BR298" s="307"/>
      <c r="BS298" s="307"/>
      <c r="BT298" s="307"/>
      <c r="BU298" s="310"/>
      <c r="BV298" s="307"/>
      <c r="BW298" s="308"/>
      <c r="BX298" s="311"/>
      <c r="BY298" s="307"/>
      <c r="BZ298" s="307"/>
      <c r="CA298" s="310"/>
      <c r="CB298" s="307"/>
      <c r="CC298" s="307"/>
      <c r="CD298" s="307"/>
      <c r="CE298" s="308"/>
      <c r="CF298" s="308"/>
      <c r="CG298" s="307"/>
      <c r="CH298" s="307"/>
      <c r="CI298" s="307"/>
      <c r="CJ298" s="307"/>
      <c r="CK298" s="314"/>
      <c r="CL298" s="310"/>
      <c r="CM298" s="310"/>
      <c r="CN298" s="307"/>
      <c r="CO298" s="307"/>
      <c r="CP298" s="307"/>
      <c r="CQ298" s="315"/>
      <c r="CR298" s="315"/>
      <c r="CS298" s="315"/>
      <c r="CT298" s="315"/>
      <c r="CU298" s="307"/>
      <c r="CV298" s="217"/>
      <c r="CW298" s="192"/>
      <c r="CX298" s="192"/>
      <c r="CY298" s="192"/>
      <c r="CZ298" s="191"/>
      <c r="DA298" s="193"/>
      <c r="DB298" s="192"/>
      <c r="DC298" s="192"/>
      <c r="DD298" s="192"/>
      <c r="DE298" s="191"/>
      <c r="DF298" s="19"/>
      <c r="DG298" s="192"/>
      <c r="DH298" s="192"/>
      <c r="DI298" s="192"/>
      <c r="DJ298" s="191"/>
      <c r="DK298" s="193"/>
      <c r="DL298" s="192"/>
      <c r="DM298" s="192"/>
      <c r="DN298" s="192"/>
      <c r="DO298" s="191"/>
      <c r="DP298" s="19"/>
      <c r="DQ298" s="192"/>
      <c r="DR298" s="192"/>
      <c r="DS298" s="192"/>
      <c r="DT298" s="191"/>
      <c r="DU298" s="193"/>
      <c r="DV298" s="192"/>
      <c r="DW298" s="192"/>
      <c r="DX298" s="192"/>
      <c r="DY298" s="191"/>
      <c r="DZ298" s="19"/>
      <c r="EA298" s="192"/>
      <c r="EB298" s="192"/>
      <c r="EC298" s="192"/>
      <c r="ED298" s="191"/>
      <c r="EE298" s="193"/>
      <c r="EF298" s="192"/>
      <c r="EG298" s="192"/>
      <c r="EH298" s="192"/>
      <c r="EI298" s="191"/>
      <c r="EJ298" s="19"/>
      <c r="EK298" s="192"/>
      <c r="EL298" s="192"/>
      <c r="EM298" s="192"/>
      <c r="EN298" s="191"/>
      <c r="EO298" s="193"/>
      <c r="EP298" s="192"/>
      <c r="EQ298" s="192"/>
      <c r="ER298" s="192"/>
      <c r="ES298" s="191"/>
      <c r="ET298" s="19"/>
      <c r="EU298" s="192"/>
      <c r="EV298" s="192"/>
      <c r="EW298" s="192"/>
      <c r="EX298" s="191"/>
      <c r="EY298" s="193"/>
      <c r="EZ298" s="192"/>
      <c r="FA298" s="192"/>
      <c r="FB298" s="192"/>
      <c r="FC298" s="191"/>
      <c r="FL298" s="273">
        <f t="shared" ca="1" si="14"/>
        <v>116</v>
      </c>
    </row>
    <row r="299" spans="1:168" ht="16.5" thickBot="1">
      <c r="A299" s="199">
        <v>296</v>
      </c>
      <c r="B299" s="306"/>
      <c r="C299" s="310"/>
      <c r="D299" s="307" t="s">
        <v>271</v>
      </c>
      <c r="E299" s="307" t="s">
        <v>271</v>
      </c>
      <c r="F299" s="308"/>
      <c r="G299" s="343" t="str">
        <f t="shared" si="12"/>
        <v xml:space="preserve"> </v>
      </c>
      <c r="H299" s="307"/>
      <c r="I299" s="309" t="e">
        <f t="shared" si="13"/>
        <v>#N/A</v>
      </c>
      <c r="J299" s="307"/>
      <c r="K299" s="307"/>
      <c r="L299" s="310"/>
      <c r="M299" s="310"/>
      <c r="N299" s="310"/>
      <c r="O299" s="310"/>
      <c r="P299" s="310"/>
      <c r="Q299" s="310"/>
      <c r="R299" s="310"/>
      <c r="S299" s="310"/>
      <c r="T299" s="310"/>
      <c r="U299" s="307"/>
      <c r="V299" s="307"/>
      <c r="W299" s="311"/>
      <c r="X299" s="307"/>
      <c r="Y299" s="307"/>
      <c r="Z299" s="307"/>
      <c r="AA299" s="307"/>
      <c r="AB299" s="311"/>
      <c r="AC299" s="307"/>
      <c r="AD299" s="307"/>
      <c r="AE299" s="307"/>
      <c r="AF299" s="307"/>
      <c r="AG299" s="310"/>
      <c r="AH299" s="307"/>
      <c r="AI299" s="310"/>
      <c r="AJ299" s="307"/>
      <c r="AK299" s="307"/>
      <c r="AL299" s="307"/>
      <c r="AM299" s="308"/>
      <c r="AN299" s="311"/>
      <c r="AO299" s="307"/>
      <c r="AP299" s="307"/>
      <c r="AQ299" s="308"/>
      <c r="AR299" s="307"/>
      <c r="AS299" s="307"/>
      <c r="AT299" s="307"/>
      <c r="AU299" s="310"/>
      <c r="AV299" s="308"/>
      <c r="AW299" s="312"/>
      <c r="AX299" s="308"/>
      <c r="AY299" s="307"/>
      <c r="AZ299" s="307"/>
      <c r="BA299" s="307"/>
      <c r="BB299" s="307"/>
      <c r="BC299" s="308"/>
      <c r="BD299" s="308"/>
      <c r="BE299" s="313"/>
      <c r="BF299" s="307"/>
      <c r="BG299" s="310"/>
      <c r="BH299" s="307"/>
      <c r="BI299" s="307"/>
      <c r="BJ299" s="310"/>
      <c r="BK299" s="307"/>
      <c r="BL299" s="307"/>
      <c r="BM299" s="310"/>
      <c r="BN299" s="307"/>
      <c r="BO299" s="310"/>
      <c r="BP299" s="307"/>
      <c r="BQ299" s="307"/>
      <c r="BR299" s="307"/>
      <c r="BS299" s="307"/>
      <c r="BT299" s="307"/>
      <c r="BU299" s="310"/>
      <c r="BV299" s="307"/>
      <c r="BW299" s="308"/>
      <c r="BX299" s="311"/>
      <c r="BY299" s="307"/>
      <c r="BZ299" s="307"/>
      <c r="CA299" s="310"/>
      <c r="CB299" s="307"/>
      <c r="CC299" s="307"/>
      <c r="CD299" s="307"/>
      <c r="CE299" s="308"/>
      <c r="CF299" s="308"/>
      <c r="CG299" s="307"/>
      <c r="CH299" s="307"/>
      <c r="CI299" s="307"/>
      <c r="CJ299" s="307"/>
      <c r="CK299" s="314"/>
      <c r="CL299" s="310"/>
      <c r="CM299" s="310"/>
      <c r="CN299" s="307"/>
      <c r="CO299" s="307"/>
      <c r="CP299" s="307"/>
      <c r="CQ299" s="315"/>
      <c r="CR299" s="315"/>
      <c r="CS299" s="315"/>
      <c r="CT299" s="315"/>
      <c r="CU299" s="307"/>
      <c r="CV299" s="217"/>
      <c r="CW299" s="192"/>
      <c r="CX299" s="192"/>
      <c r="CY299" s="192"/>
      <c r="CZ299" s="191"/>
      <c r="DA299" s="193"/>
      <c r="DB299" s="192"/>
      <c r="DC299" s="192"/>
      <c r="DD299" s="192"/>
      <c r="DE299" s="191"/>
      <c r="DF299" s="19"/>
      <c r="DG299" s="192"/>
      <c r="DH299" s="192"/>
      <c r="DI299" s="192"/>
      <c r="DJ299" s="191"/>
      <c r="DK299" s="193"/>
      <c r="DL299" s="192"/>
      <c r="DM299" s="192"/>
      <c r="DN299" s="192"/>
      <c r="DO299" s="191"/>
      <c r="DP299" s="19"/>
      <c r="DQ299" s="192"/>
      <c r="DR299" s="192"/>
      <c r="DS299" s="192"/>
      <c r="DT299" s="191"/>
      <c r="DU299" s="193"/>
      <c r="DV299" s="192"/>
      <c r="DW299" s="192"/>
      <c r="DX299" s="192"/>
      <c r="DY299" s="191"/>
      <c r="DZ299" s="19"/>
      <c r="EA299" s="192"/>
      <c r="EB299" s="192"/>
      <c r="EC299" s="192"/>
      <c r="ED299" s="191"/>
      <c r="EE299" s="193"/>
      <c r="EF299" s="192"/>
      <c r="EG299" s="192"/>
      <c r="EH299" s="192"/>
      <c r="EI299" s="191"/>
      <c r="EJ299" s="19"/>
      <c r="EK299" s="192"/>
      <c r="EL299" s="192"/>
      <c r="EM299" s="192"/>
      <c r="EN299" s="191"/>
      <c r="EO299" s="193"/>
      <c r="EP299" s="192"/>
      <c r="EQ299" s="192"/>
      <c r="ER299" s="192"/>
      <c r="ES299" s="191"/>
      <c r="ET299" s="19"/>
      <c r="EU299" s="192"/>
      <c r="EV299" s="192"/>
      <c r="EW299" s="192"/>
      <c r="EX299" s="191"/>
      <c r="EY299" s="193"/>
      <c r="EZ299" s="192"/>
      <c r="FA299" s="192"/>
      <c r="FB299" s="192"/>
      <c r="FC299" s="191"/>
      <c r="FL299" s="273">
        <f t="shared" ca="1" si="14"/>
        <v>116</v>
      </c>
    </row>
    <row r="300" spans="1:168" ht="16.5" thickBot="1">
      <c r="A300" s="196">
        <v>297</v>
      </c>
      <c r="B300" s="306"/>
      <c r="C300" s="310"/>
      <c r="D300" s="307" t="s">
        <v>271</v>
      </c>
      <c r="E300" s="307" t="s">
        <v>271</v>
      </c>
      <c r="F300" s="308"/>
      <c r="G300" s="343" t="str">
        <f t="shared" si="12"/>
        <v xml:space="preserve"> </v>
      </c>
      <c r="H300" s="307"/>
      <c r="I300" s="309" t="e">
        <f t="shared" si="13"/>
        <v>#N/A</v>
      </c>
      <c r="J300" s="307"/>
      <c r="K300" s="307"/>
      <c r="L300" s="310"/>
      <c r="M300" s="310"/>
      <c r="N300" s="310"/>
      <c r="O300" s="310"/>
      <c r="P300" s="310"/>
      <c r="Q300" s="310"/>
      <c r="R300" s="310"/>
      <c r="S300" s="310"/>
      <c r="T300" s="310"/>
      <c r="U300" s="307"/>
      <c r="V300" s="307"/>
      <c r="W300" s="311"/>
      <c r="X300" s="307"/>
      <c r="Y300" s="307"/>
      <c r="Z300" s="307"/>
      <c r="AA300" s="307"/>
      <c r="AB300" s="311"/>
      <c r="AC300" s="307"/>
      <c r="AD300" s="307"/>
      <c r="AE300" s="307"/>
      <c r="AF300" s="307"/>
      <c r="AG300" s="310"/>
      <c r="AH300" s="307"/>
      <c r="AI300" s="310"/>
      <c r="AJ300" s="307"/>
      <c r="AK300" s="307"/>
      <c r="AL300" s="307"/>
      <c r="AM300" s="308"/>
      <c r="AN300" s="311"/>
      <c r="AO300" s="307"/>
      <c r="AP300" s="307"/>
      <c r="AQ300" s="308"/>
      <c r="AR300" s="307"/>
      <c r="AS300" s="307"/>
      <c r="AT300" s="307"/>
      <c r="AU300" s="310"/>
      <c r="AV300" s="308"/>
      <c r="AW300" s="312"/>
      <c r="AX300" s="308"/>
      <c r="AY300" s="307"/>
      <c r="AZ300" s="307"/>
      <c r="BA300" s="307"/>
      <c r="BB300" s="307"/>
      <c r="BC300" s="308"/>
      <c r="BD300" s="308"/>
      <c r="BE300" s="313"/>
      <c r="BF300" s="307"/>
      <c r="BG300" s="310"/>
      <c r="BH300" s="307"/>
      <c r="BI300" s="307"/>
      <c r="BJ300" s="310"/>
      <c r="BK300" s="307"/>
      <c r="BL300" s="307"/>
      <c r="BM300" s="310"/>
      <c r="BN300" s="307"/>
      <c r="BO300" s="310"/>
      <c r="BP300" s="307"/>
      <c r="BQ300" s="307"/>
      <c r="BR300" s="307"/>
      <c r="BS300" s="307"/>
      <c r="BT300" s="307"/>
      <c r="BU300" s="310"/>
      <c r="BV300" s="307"/>
      <c r="BW300" s="308"/>
      <c r="BX300" s="311"/>
      <c r="BY300" s="307"/>
      <c r="BZ300" s="307"/>
      <c r="CA300" s="310"/>
      <c r="CB300" s="307"/>
      <c r="CC300" s="307"/>
      <c r="CD300" s="307"/>
      <c r="CE300" s="308"/>
      <c r="CF300" s="308"/>
      <c r="CG300" s="307"/>
      <c r="CH300" s="307"/>
      <c r="CI300" s="307"/>
      <c r="CJ300" s="307"/>
      <c r="CK300" s="314"/>
      <c r="CL300" s="310"/>
      <c r="CM300" s="310"/>
      <c r="CN300" s="307"/>
      <c r="CO300" s="307"/>
      <c r="CP300" s="307"/>
      <c r="CQ300" s="315"/>
      <c r="CR300" s="315"/>
      <c r="CS300" s="315"/>
      <c r="CT300" s="315"/>
      <c r="CU300" s="307"/>
      <c r="CV300" s="217"/>
      <c r="CW300" s="192"/>
      <c r="CX300" s="192"/>
      <c r="CY300" s="192"/>
      <c r="CZ300" s="191"/>
      <c r="DA300" s="193"/>
      <c r="DB300" s="192"/>
      <c r="DC300" s="192"/>
      <c r="DD300" s="192"/>
      <c r="DE300" s="191"/>
      <c r="DF300" s="19"/>
      <c r="DG300" s="192"/>
      <c r="DH300" s="192"/>
      <c r="DI300" s="192"/>
      <c r="DJ300" s="191"/>
      <c r="DK300" s="193"/>
      <c r="DL300" s="192"/>
      <c r="DM300" s="192"/>
      <c r="DN300" s="192"/>
      <c r="DO300" s="191"/>
      <c r="DP300" s="19"/>
      <c r="DQ300" s="192"/>
      <c r="DR300" s="192"/>
      <c r="DS300" s="192"/>
      <c r="DT300" s="191"/>
      <c r="DU300" s="193"/>
      <c r="DV300" s="192"/>
      <c r="DW300" s="192"/>
      <c r="DX300" s="192"/>
      <c r="DY300" s="191"/>
      <c r="DZ300" s="19"/>
      <c r="EA300" s="192"/>
      <c r="EB300" s="192"/>
      <c r="EC300" s="192"/>
      <c r="ED300" s="191"/>
      <c r="EE300" s="193"/>
      <c r="EF300" s="192"/>
      <c r="EG300" s="192"/>
      <c r="EH300" s="192"/>
      <c r="EI300" s="191"/>
      <c r="EJ300" s="19"/>
      <c r="EK300" s="192"/>
      <c r="EL300" s="192"/>
      <c r="EM300" s="192"/>
      <c r="EN300" s="191"/>
      <c r="EO300" s="193"/>
      <c r="EP300" s="192"/>
      <c r="EQ300" s="192"/>
      <c r="ER300" s="192"/>
      <c r="ES300" s="191"/>
      <c r="ET300" s="19"/>
      <c r="EU300" s="192"/>
      <c r="EV300" s="192"/>
      <c r="EW300" s="192"/>
      <c r="EX300" s="191"/>
      <c r="EY300" s="193"/>
      <c r="EZ300" s="192"/>
      <c r="FA300" s="192"/>
      <c r="FB300" s="192"/>
      <c r="FC300" s="191"/>
      <c r="FL300" s="273">
        <f t="shared" ca="1" si="14"/>
        <v>116</v>
      </c>
    </row>
    <row r="301" spans="1:168" ht="16.5" thickBot="1">
      <c r="A301" s="199">
        <v>298</v>
      </c>
      <c r="B301" s="306"/>
      <c r="C301" s="310"/>
      <c r="D301" s="307" t="s">
        <v>271</v>
      </c>
      <c r="E301" s="307" t="s">
        <v>271</v>
      </c>
      <c r="F301" s="308"/>
      <c r="G301" s="343" t="str">
        <f t="shared" si="12"/>
        <v xml:space="preserve"> </v>
      </c>
      <c r="H301" s="307"/>
      <c r="I301" s="309" t="e">
        <f t="shared" si="13"/>
        <v>#N/A</v>
      </c>
      <c r="J301" s="307"/>
      <c r="K301" s="307"/>
      <c r="L301" s="310"/>
      <c r="M301" s="310"/>
      <c r="N301" s="310"/>
      <c r="O301" s="310"/>
      <c r="P301" s="310"/>
      <c r="Q301" s="310"/>
      <c r="R301" s="310"/>
      <c r="S301" s="310"/>
      <c r="T301" s="310"/>
      <c r="U301" s="307"/>
      <c r="V301" s="307"/>
      <c r="W301" s="311"/>
      <c r="X301" s="307"/>
      <c r="Y301" s="307"/>
      <c r="Z301" s="307"/>
      <c r="AA301" s="307"/>
      <c r="AB301" s="311"/>
      <c r="AC301" s="307"/>
      <c r="AD301" s="307"/>
      <c r="AE301" s="307"/>
      <c r="AF301" s="307"/>
      <c r="AG301" s="310"/>
      <c r="AH301" s="307"/>
      <c r="AI301" s="310"/>
      <c r="AJ301" s="307"/>
      <c r="AK301" s="307"/>
      <c r="AL301" s="307"/>
      <c r="AM301" s="308"/>
      <c r="AN301" s="311"/>
      <c r="AO301" s="307"/>
      <c r="AP301" s="307"/>
      <c r="AQ301" s="308"/>
      <c r="AR301" s="307"/>
      <c r="AS301" s="307"/>
      <c r="AT301" s="307"/>
      <c r="AU301" s="310"/>
      <c r="AV301" s="308"/>
      <c r="AW301" s="312"/>
      <c r="AX301" s="308"/>
      <c r="AY301" s="307"/>
      <c r="AZ301" s="307"/>
      <c r="BA301" s="307"/>
      <c r="BB301" s="307"/>
      <c r="BC301" s="308"/>
      <c r="BD301" s="308"/>
      <c r="BE301" s="313"/>
      <c r="BF301" s="307"/>
      <c r="BG301" s="310"/>
      <c r="BH301" s="307"/>
      <c r="BI301" s="307"/>
      <c r="BJ301" s="310"/>
      <c r="BK301" s="307"/>
      <c r="BL301" s="307"/>
      <c r="BM301" s="310"/>
      <c r="BN301" s="307"/>
      <c r="BO301" s="310"/>
      <c r="BP301" s="307"/>
      <c r="BQ301" s="307"/>
      <c r="BR301" s="307"/>
      <c r="BS301" s="307"/>
      <c r="BT301" s="307"/>
      <c r="BU301" s="310"/>
      <c r="BV301" s="307"/>
      <c r="BW301" s="308"/>
      <c r="BX301" s="311"/>
      <c r="BY301" s="307"/>
      <c r="BZ301" s="307"/>
      <c r="CA301" s="310"/>
      <c r="CB301" s="307"/>
      <c r="CC301" s="307"/>
      <c r="CD301" s="307"/>
      <c r="CE301" s="308"/>
      <c r="CF301" s="308"/>
      <c r="CG301" s="307"/>
      <c r="CH301" s="307"/>
      <c r="CI301" s="307"/>
      <c r="CJ301" s="307"/>
      <c r="CK301" s="314"/>
      <c r="CL301" s="310"/>
      <c r="CM301" s="310"/>
      <c r="CN301" s="307"/>
      <c r="CO301" s="307"/>
      <c r="CP301" s="307"/>
      <c r="CQ301" s="315"/>
      <c r="CR301" s="315"/>
      <c r="CS301" s="315"/>
      <c r="CT301" s="315"/>
      <c r="CU301" s="307"/>
      <c r="CV301" s="217"/>
      <c r="CW301" s="192"/>
      <c r="CX301" s="192"/>
      <c r="CY301" s="192"/>
      <c r="CZ301" s="191"/>
      <c r="DA301" s="193"/>
      <c r="DB301" s="192"/>
      <c r="DC301" s="192"/>
      <c r="DD301" s="192"/>
      <c r="DE301" s="191"/>
      <c r="DF301" s="19"/>
      <c r="DG301" s="192"/>
      <c r="DH301" s="192"/>
      <c r="DI301" s="192"/>
      <c r="DJ301" s="191"/>
      <c r="DK301" s="193"/>
      <c r="DL301" s="192"/>
      <c r="DM301" s="192"/>
      <c r="DN301" s="192"/>
      <c r="DO301" s="191"/>
      <c r="DP301" s="19"/>
      <c r="DQ301" s="192"/>
      <c r="DR301" s="192"/>
      <c r="DS301" s="192"/>
      <c r="DT301" s="191"/>
      <c r="DU301" s="193"/>
      <c r="DV301" s="192"/>
      <c r="DW301" s="192"/>
      <c r="DX301" s="192"/>
      <c r="DY301" s="191"/>
      <c r="DZ301" s="19"/>
      <c r="EA301" s="192"/>
      <c r="EB301" s="192"/>
      <c r="EC301" s="192"/>
      <c r="ED301" s="191"/>
      <c r="EE301" s="193"/>
      <c r="EF301" s="192"/>
      <c r="EG301" s="192"/>
      <c r="EH301" s="192"/>
      <c r="EI301" s="191"/>
      <c r="EJ301" s="19"/>
      <c r="EK301" s="192"/>
      <c r="EL301" s="192"/>
      <c r="EM301" s="192"/>
      <c r="EN301" s="191"/>
      <c r="EO301" s="193"/>
      <c r="EP301" s="192"/>
      <c r="EQ301" s="192"/>
      <c r="ER301" s="192"/>
      <c r="ES301" s="191"/>
      <c r="ET301" s="19"/>
      <c r="EU301" s="192"/>
      <c r="EV301" s="192"/>
      <c r="EW301" s="192"/>
      <c r="EX301" s="191"/>
      <c r="EY301" s="193"/>
      <c r="EZ301" s="192"/>
      <c r="FA301" s="192"/>
      <c r="FB301" s="192"/>
      <c r="FC301" s="191"/>
      <c r="FL301" s="273">
        <f t="shared" ca="1" si="14"/>
        <v>116</v>
      </c>
    </row>
    <row r="302" spans="1:168" ht="16.5" thickBot="1">
      <c r="A302" s="196">
        <v>299</v>
      </c>
      <c r="B302" s="306"/>
      <c r="C302" s="310"/>
      <c r="D302" s="307" t="s">
        <v>271</v>
      </c>
      <c r="E302" s="307" t="s">
        <v>271</v>
      </c>
      <c r="F302" s="308"/>
      <c r="G302" s="343" t="str">
        <f t="shared" si="12"/>
        <v xml:space="preserve"> </v>
      </c>
      <c r="H302" s="307"/>
      <c r="I302" s="309" t="e">
        <f t="shared" si="13"/>
        <v>#N/A</v>
      </c>
      <c r="J302" s="307"/>
      <c r="K302" s="307"/>
      <c r="L302" s="310"/>
      <c r="M302" s="310"/>
      <c r="N302" s="310"/>
      <c r="O302" s="310"/>
      <c r="P302" s="310"/>
      <c r="Q302" s="310"/>
      <c r="R302" s="310"/>
      <c r="S302" s="310"/>
      <c r="T302" s="310"/>
      <c r="U302" s="307"/>
      <c r="V302" s="307"/>
      <c r="W302" s="311"/>
      <c r="X302" s="307"/>
      <c r="Y302" s="307"/>
      <c r="Z302" s="307"/>
      <c r="AA302" s="307"/>
      <c r="AB302" s="311"/>
      <c r="AC302" s="307"/>
      <c r="AD302" s="307"/>
      <c r="AE302" s="307"/>
      <c r="AF302" s="307"/>
      <c r="AG302" s="310"/>
      <c r="AH302" s="307"/>
      <c r="AI302" s="310"/>
      <c r="AJ302" s="307"/>
      <c r="AK302" s="307"/>
      <c r="AL302" s="307"/>
      <c r="AM302" s="308"/>
      <c r="AN302" s="311"/>
      <c r="AO302" s="307"/>
      <c r="AP302" s="307"/>
      <c r="AQ302" s="308"/>
      <c r="AR302" s="307"/>
      <c r="AS302" s="307"/>
      <c r="AT302" s="307"/>
      <c r="AU302" s="310"/>
      <c r="AV302" s="308"/>
      <c r="AW302" s="312"/>
      <c r="AX302" s="308"/>
      <c r="AY302" s="307"/>
      <c r="AZ302" s="307"/>
      <c r="BA302" s="307"/>
      <c r="BB302" s="307"/>
      <c r="BC302" s="308"/>
      <c r="BD302" s="308"/>
      <c r="BE302" s="313"/>
      <c r="BF302" s="307"/>
      <c r="BG302" s="310"/>
      <c r="BH302" s="307"/>
      <c r="BI302" s="307"/>
      <c r="BJ302" s="310"/>
      <c r="BK302" s="307"/>
      <c r="BL302" s="307"/>
      <c r="BM302" s="310"/>
      <c r="BN302" s="307"/>
      <c r="BO302" s="310"/>
      <c r="BP302" s="307"/>
      <c r="BQ302" s="307"/>
      <c r="BR302" s="307"/>
      <c r="BS302" s="307"/>
      <c r="BT302" s="307"/>
      <c r="BU302" s="310"/>
      <c r="BV302" s="307"/>
      <c r="BW302" s="308"/>
      <c r="BX302" s="311"/>
      <c r="BY302" s="307"/>
      <c r="BZ302" s="307"/>
      <c r="CA302" s="310"/>
      <c r="CB302" s="307"/>
      <c r="CC302" s="307"/>
      <c r="CD302" s="307"/>
      <c r="CE302" s="308"/>
      <c r="CF302" s="308"/>
      <c r="CG302" s="307"/>
      <c r="CH302" s="307"/>
      <c r="CI302" s="307"/>
      <c r="CJ302" s="307"/>
      <c r="CK302" s="314"/>
      <c r="CL302" s="310"/>
      <c r="CM302" s="310"/>
      <c r="CN302" s="307"/>
      <c r="CO302" s="307"/>
      <c r="CP302" s="307"/>
      <c r="CQ302" s="315"/>
      <c r="CR302" s="315"/>
      <c r="CS302" s="315"/>
      <c r="CT302" s="315"/>
      <c r="CU302" s="307"/>
      <c r="CV302" s="217"/>
      <c r="CW302" s="192"/>
      <c r="CX302" s="192"/>
      <c r="CY302" s="192"/>
      <c r="CZ302" s="191"/>
      <c r="DA302" s="193"/>
      <c r="DB302" s="192"/>
      <c r="DC302" s="192"/>
      <c r="DD302" s="192"/>
      <c r="DE302" s="191"/>
      <c r="DF302" s="19"/>
      <c r="DG302" s="192"/>
      <c r="DH302" s="192"/>
      <c r="DI302" s="192"/>
      <c r="DJ302" s="191"/>
      <c r="DK302" s="193"/>
      <c r="DL302" s="192"/>
      <c r="DM302" s="192"/>
      <c r="DN302" s="192"/>
      <c r="DO302" s="191"/>
      <c r="DP302" s="19"/>
      <c r="DQ302" s="192"/>
      <c r="DR302" s="192"/>
      <c r="DS302" s="192"/>
      <c r="DT302" s="191"/>
      <c r="DU302" s="193"/>
      <c r="DV302" s="192"/>
      <c r="DW302" s="192"/>
      <c r="DX302" s="192"/>
      <c r="DY302" s="191"/>
      <c r="DZ302" s="19"/>
      <c r="EA302" s="192"/>
      <c r="EB302" s="192"/>
      <c r="EC302" s="192"/>
      <c r="ED302" s="191"/>
      <c r="EE302" s="193"/>
      <c r="EF302" s="192"/>
      <c r="EG302" s="192"/>
      <c r="EH302" s="192"/>
      <c r="EI302" s="191"/>
      <c r="EJ302" s="19"/>
      <c r="EK302" s="192"/>
      <c r="EL302" s="192"/>
      <c r="EM302" s="192"/>
      <c r="EN302" s="191"/>
      <c r="EO302" s="193"/>
      <c r="EP302" s="192"/>
      <c r="EQ302" s="192"/>
      <c r="ER302" s="192"/>
      <c r="ES302" s="191"/>
      <c r="ET302" s="19"/>
      <c r="EU302" s="192"/>
      <c r="EV302" s="192"/>
      <c r="EW302" s="192"/>
      <c r="EX302" s="191"/>
      <c r="EY302" s="193"/>
      <c r="EZ302" s="192"/>
      <c r="FA302" s="192"/>
      <c r="FB302" s="192"/>
      <c r="FC302" s="191"/>
      <c r="FL302" s="273">
        <f t="shared" ca="1" si="14"/>
        <v>116</v>
      </c>
    </row>
    <row r="303" spans="1:168" ht="16.5" thickBot="1">
      <c r="A303" s="199">
        <v>300</v>
      </c>
      <c r="B303" s="306"/>
      <c r="C303" s="310"/>
      <c r="D303" s="307" t="s">
        <v>271</v>
      </c>
      <c r="E303" s="307" t="s">
        <v>271</v>
      </c>
      <c r="F303" s="308"/>
      <c r="G303" s="343" t="str">
        <f t="shared" si="12"/>
        <v xml:space="preserve"> </v>
      </c>
      <c r="H303" s="307"/>
      <c r="I303" s="309" t="e">
        <f t="shared" si="13"/>
        <v>#N/A</v>
      </c>
      <c r="J303" s="307"/>
      <c r="K303" s="307"/>
      <c r="L303" s="310"/>
      <c r="M303" s="310"/>
      <c r="N303" s="310"/>
      <c r="O303" s="310"/>
      <c r="P303" s="310"/>
      <c r="Q303" s="310"/>
      <c r="R303" s="310"/>
      <c r="S303" s="310"/>
      <c r="T303" s="310"/>
      <c r="U303" s="307"/>
      <c r="V303" s="307"/>
      <c r="W303" s="311"/>
      <c r="X303" s="307"/>
      <c r="Y303" s="307"/>
      <c r="Z303" s="307"/>
      <c r="AA303" s="307"/>
      <c r="AB303" s="311"/>
      <c r="AC303" s="307"/>
      <c r="AD303" s="307"/>
      <c r="AE303" s="307"/>
      <c r="AF303" s="307"/>
      <c r="AG303" s="310"/>
      <c r="AH303" s="307"/>
      <c r="AI303" s="310"/>
      <c r="AJ303" s="307"/>
      <c r="AK303" s="307"/>
      <c r="AL303" s="307"/>
      <c r="AM303" s="308"/>
      <c r="AN303" s="311"/>
      <c r="AO303" s="307"/>
      <c r="AP303" s="307"/>
      <c r="AQ303" s="308"/>
      <c r="AR303" s="307"/>
      <c r="AS303" s="307"/>
      <c r="AT303" s="307"/>
      <c r="AU303" s="310"/>
      <c r="AV303" s="308"/>
      <c r="AW303" s="312"/>
      <c r="AX303" s="308"/>
      <c r="AY303" s="307"/>
      <c r="AZ303" s="307"/>
      <c r="BA303" s="307"/>
      <c r="BB303" s="307"/>
      <c r="BC303" s="308"/>
      <c r="BD303" s="308"/>
      <c r="BE303" s="313"/>
      <c r="BF303" s="307"/>
      <c r="BG303" s="310"/>
      <c r="BH303" s="307"/>
      <c r="BI303" s="307"/>
      <c r="BJ303" s="310"/>
      <c r="BK303" s="307"/>
      <c r="BL303" s="307"/>
      <c r="BM303" s="310"/>
      <c r="BN303" s="307"/>
      <c r="BO303" s="310"/>
      <c r="BP303" s="307"/>
      <c r="BQ303" s="307"/>
      <c r="BR303" s="307"/>
      <c r="BS303" s="307"/>
      <c r="BT303" s="307"/>
      <c r="BU303" s="310"/>
      <c r="BV303" s="307"/>
      <c r="BW303" s="308"/>
      <c r="BX303" s="311"/>
      <c r="BY303" s="307"/>
      <c r="BZ303" s="307"/>
      <c r="CA303" s="310"/>
      <c r="CB303" s="307"/>
      <c r="CC303" s="307"/>
      <c r="CD303" s="307"/>
      <c r="CE303" s="308"/>
      <c r="CF303" s="308"/>
      <c r="CG303" s="307"/>
      <c r="CH303" s="307"/>
      <c r="CI303" s="307"/>
      <c r="CJ303" s="307"/>
      <c r="CK303" s="314"/>
      <c r="CL303" s="310"/>
      <c r="CM303" s="310"/>
      <c r="CN303" s="307"/>
      <c r="CO303" s="307"/>
      <c r="CP303" s="307"/>
      <c r="CQ303" s="315"/>
      <c r="CR303" s="315"/>
      <c r="CS303" s="315"/>
      <c r="CT303" s="315"/>
      <c r="CU303" s="307"/>
      <c r="CV303" s="217"/>
      <c r="CW303" s="192"/>
      <c r="CX303" s="192"/>
      <c r="CY303" s="192"/>
      <c r="CZ303" s="191"/>
      <c r="DA303" s="193"/>
      <c r="DB303" s="192"/>
      <c r="DC303" s="192"/>
      <c r="DD303" s="192"/>
      <c r="DE303" s="191"/>
      <c r="DF303" s="19"/>
      <c r="DG303" s="192"/>
      <c r="DH303" s="192"/>
      <c r="DI303" s="192"/>
      <c r="DJ303" s="191"/>
      <c r="DK303" s="193"/>
      <c r="DL303" s="192"/>
      <c r="DM303" s="192"/>
      <c r="DN303" s="192"/>
      <c r="DO303" s="191"/>
      <c r="DP303" s="19"/>
      <c r="DQ303" s="192"/>
      <c r="DR303" s="192"/>
      <c r="DS303" s="192"/>
      <c r="DT303" s="191"/>
      <c r="DU303" s="193"/>
      <c r="DV303" s="192"/>
      <c r="DW303" s="192"/>
      <c r="DX303" s="192"/>
      <c r="DY303" s="191"/>
      <c r="DZ303" s="19"/>
      <c r="EA303" s="192"/>
      <c r="EB303" s="192"/>
      <c r="EC303" s="192"/>
      <c r="ED303" s="191"/>
      <c r="EE303" s="193"/>
      <c r="EF303" s="192"/>
      <c r="EG303" s="192"/>
      <c r="EH303" s="192"/>
      <c r="EI303" s="191"/>
      <c r="EJ303" s="19"/>
      <c r="EK303" s="192"/>
      <c r="EL303" s="192"/>
      <c r="EM303" s="192"/>
      <c r="EN303" s="191"/>
      <c r="EO303" s="193"/>
      <c r="EP303" s="192"/>
      <c r="EQ303" s="192"/>
      <c r="ER303" s="192"/>
      <c r="ES303" s="191"/>
      <c r="ET303" s="19"/>
      <c r="EU303" s="192"/>
      <c r="EV303" s="192"/>
      <c r="EW303" s="192"/>
      <c r="EX303" s="191"/>
      <c r="EY303" s="193"/>
      <c r="EZ303" s="192"/>
      <c r="FA303" s="192"/>
      <c r="FB303" s="192"/>
      <c r="FC303" s="191"/>
      <c r="FL303" s="273">
        <f t="shared" ca="1" si="14"/>
        <v>116</v>
      </c>
    </row>
    <row r="304" spans="1:168" ht="16.5" thickBot="1">
      <c r="A304" s="196">
        <v>301</v>
      </c>
      <c r="B304" s="306"/>
      <c r="C304" s="310"/>
      <c r="D304" s="307" t="s">
        <v>271</v>
      </c>
      <c r="E304" s="307" t="s">
        <v>271</v>
      </c>
      <c r="F304" s="308"/>
      <c r="G304" s="343" t="str">
        <f t="shared" si="12"/>
        <v xml:space="preserve"> </v>
      </c>
      <c r="H304" s="307"/>
      <c r="I304" s="309" t="e">
        <f t="shared" si="13"/>
        <v>#N/A</v>
      </c>
      <c r="J304" s="307"/>
      <c r="K304" s="307"/>
      <c r="L304" s="310"/>
      <c r="M304" s="310"/>
      <c r="N304" s="310"/>
      <c r="O304" s="310"/>
      <c r="P304" s="310"/>
      <c r="Q304" s="310"/>
      <c r="R304" s="310"/>
      <c r="S304" s="310"/>
      <c r="T304" s="310"/>
      <c r="U304" s="307"/>
      <c r="V304" s="307"/>
      <c r="W304" s="311"/>
      <c r="X304" s="307"/>
      <c r="Y304" s="307"/>
      <c r="Z304" s="307"/>
      <c r="AA304" s="307"/>
      <c r="AB304" s="311"/>
      <c r="AC304" s="307"/>
      <c r="AD304" s="307"/>
      <c r="AE304" s="307"/>
      <c r="AF304" s="307"/>
      <c r="AG304" s="310"/>
      <c r="AH304" s="307"/>
      <c r="AI304" s="310"/>
      <c r="AJ304" s="307"/>
      <c r="AK304" s="307"/>
      <c r="AL304" s="307"/>
      <c r="AM304" s="308"/>
      <c r="AN304" s="311"/>
      <c r="AO304" s="307"/>
      <c r="AP304" s="307"/>
      <c r="AQ304" s="308"/>
      <c r="AR304" s="307"/>
      <c r="AS304" s="307"/>
      <c r="AT304" s="307"/>
      <c r="AU304" s="310"/>
      <c r="AV304" s="308"/>
      <c r="AW304" s="312"/>
      <c r="AX304" s="308"/>
      <c r="AY304" s="307"/>
      <c r="AZ304" s="307"/>
      <c r="BA304" s="307"/>
      <c r="BB304" s="307"/>
      <c r="BC304" s="308"/>
      <c r="BD304" s="308"/>
      <c r="BE304" s="313"/>
      <c r="BF304" s="307"/>
      <c r="BG304" s="310"/>
      <c r="BH304" s="307"/>
      <c r="BI304" s="307"/>
      <c r="BJ304" s="310"/>
      <c r="BK304" s="307"/>
      <c r="BL304" s="307"/>
      <c r="BM304" s="310"/>
      <c r="BN304" s="307"/>
      <c r="BO304" s="310"/>
      <c r="BP304" s="307"/>
      <c r="BQ304" s="307"/>
      <c r="BR304" s="307"/>
      <c r="BS304" s="307"/>
      <c r="BT304" s="307"/>
      <c r="BU304" s="310"/>
      <c r="BV304" s="307"/>
      <c r="BW304" s="308"/>
      <c r="BX304" s="311"/>
      <c r="BY304" s="307"/>
      <c r="BZ304" s="307"/>
      <c r="CA304" s="310"/>
      <c r="CB304" s="307"/>
      <c r="CC304" s="307"/>
      <c r="CD304" s="307"/>
      <c r="CE304" s="308"/>
      <c r="CF304" s="308"/>
      <c r="CG304" s="307"/>
      <c r="CH304" s="307"/>
      <c r="CI304" s="307"/>
      <c r="CJ304" s="307"/>
      <c r="CK304" s="314"/>
      <c r="CL304" s="310"/>
      <c r="CM304" s="310"/>
      <c r="CN304" s="307"/>
      <c r="CO304" s="307"/>
      <c r="CP304" s="307"/>
      <c r="CQ304" s="315"/>
      <c r="CR304" s="315"/>
      <c r="CS304" s="315"/>
      <c r="CT304" s="315"/>
      <c r="CU304" s="307"/>
      <c r="CV304" s="217"/>
      <c r="CW304" s="192"/>
      <c r="CX304" s="192"/>
      <c r="CY304" s="192"/>
      <c r="CZ304" s="191"/>
      <c r="DA304" s="193"/>
      <c r="DB304" s="192"/>
      <c r="DC304" s="192"/>
      <c r="DD304" s="192"/>
      <c r="DE304" s="191"/>
      <c r="DF304" s="19"/>
      <c r="DG304" s="192"/>
      <c r="DH304" s="192"/>
      <c r="DI304" s="192"/>
      <c r="DJ304" s="191"/>
      <c r="DK304" s="193"/>
      <c r="DL304" s="192"/>
      <c r="DM304" s="192"/>
      <c r="DN304" s="192"/>
      <c r="DO304" s="191"/>
      <c r="DP304" s="19"/>
      <c r="DQ304" s="192"/>
      <c r="DR304" s="192"/>
      <c r="DS304" s="192"/>
      <c r="DT304" s="191"/>
      <c r="DU304" s="193"/>
      <c r="DV304" s="192"/>
      <c r="DW304" s="192"/>
      <c r="DX304" s="192"/>
      <c r="DY304" s="191"/>
      <c r="DZ304" s="19"/>
      <c r="EA304" s="192"/>
      <c r="EB304" s="192"/>
      <c r="EC304" s="192"/>
      <c r="ED304" s="191"/>
      <c r="EE304" s="193"/>
      <c r="EF304" s="192"/>
      <c r="EG304" s="192"/>
      <c r="EH304" s="192"/>
      <c r="EI304" s="191"/>
      <c r="EJ304" s="19"/>
      <c r="EK304" s="192"/>
      <c r="EL304" s="192"/>
      <c r="EM304" s="192"/>
      <c r="EN304" s="191"/>
      <c r="EO304" s="193"/>
      <c r="EP304" s="192"/>
      <c r="EQ304" s="192"/>
      <c r="ER304" s="192"/>
      <c r="ES304" s="191"/>
      <c r="ET304" s="19"/>
      <c r="EU304" s="192"/>
      <c r="EV304" s="192"/>
      <c r="EW304" s="192"/>
      <c r="EX304" s="191"/>
      <c r="EY304" s="193"/>
      <c r="EZ304" s="192"/>
      <c r="FA304" s="192"/>
      <c r="FB304" s="192"/>
      <c r="FC304" s="191"/>
      <c r="FL304" s="273">
        <f t="shared" ca="1" si="14"/>
        <v>116</v>
      </c>
    </row>
    <row r="305" spans="1:168" ht="16.5" thickBot="1">
      <c r="A305" s="199">
        <v>302</v>
      </c>
      <c r="B305" s="306"/>
      <c r="C305" s="310"/>
      <c r="D305" s="307" t="s">
        <v>271</v>
      </c>
      <c r="E305" s="307" t="s">
        <v>271</v>
      </c>
      <c r="F305" s="308"/>
      <c r="G305" s="343" t="str">
        <f t="shared" si="12"/>
        <v xml:space="preserve"> </v>
      </c>
      <c r="H305" s="307"/>
      <c r="I305" s="309" t="e">
        <f t="shared" si="13"/>
        <v>#N/A</v>
      </c>
      <c r="J305" s="307"/>
      <c r="K305" s="307"/>
      <c r="L305" s="310"/>
      <c r="M305" s="310"/>
      <c r="N305" s="310"/>
      <c r="O305" s="310"/>
      <c r="P305" s="310"/>
      <c r="Q305" s="310"/>
      <c r="R305" s="310"/>
      <c r="S305" s="310"/>
      <c r="T305" s="310"/>
      <c r="U305" s="307"/>
      <c r="V305" s="307"/>
      <c r="W305" s="311"/>
      <c r="X305" s="307"/>
      <c r="Y305" s="307"/>
      <c r="Z305" s="307"/>
      <c r="AA305" s="307"/>
      <c r="AB305" s="311"/>
      <c r="AC305" s="307"/>
      <c r="AD305" s="307"/>
      <c r="AE305" s="307"/>
      <c r="AF305" s="307"/>
      <c r="AG305" s="310"/>
      <c r="AH305" s="307"/>
      <c r="AI305" s="310"/>
      <c r="AJ305" s="307"/>
      <c r="AK305" s="307"/>
      <c r="AL305" s="307"/>
      <c r="AM305" s="308"/>
      <c r="AN305" s="311"/>
      <c r="AO305" s="307"/>
      <c r="AP305" s="307"/>
      <c r="AQ305" s="308"/>
      <c r="AR305" s="307"/>
      <c r="AS305" s="307"/>
      <c r="AT305" s="307"/>
      <c r="AU305" s="310"/>
      <c r="AV305" s="308"/>
      <c r="AW305" s="312"/>
      <c r="AX305" s="308"/>
      <c r="AY305" s="307"/>
      <c r="AZ305" s="307"/>
      <c r="BA305" s="307"/>
      <c r="BB305" s="307"/>
      <c r="BC305" s="308"/>
      <c r="BD305" s="308"/>
      <c r="BE305" s="313"/>
      <c r="BF305" s="307"/>
      <c r="BG305" s="310"/>
      <c r="BH305" s="307"/>
      <c r="BI305" s="307"/>
      <c r="BJ305" s="310"/>
      <c r="BK305" s="307"/>
      <c r="BL305" s="307"/>
      <c r="BM305" s="310"/>
      <c r="BN305" s="307"/>
      <c r="BO305" s="310"/>
      <c r="BP305" s="307"/>
      <c r="BQ305" s="307"/>
      <c r="BR305" s="307"/>
      <c r="BS305" s="307"/>
      <c r="BT305" s="307"/>
      <c r="BU305" s="310"/>
      <c r="BV305" s="307"/>
      <c r="BW305" s="308"/>
      <c r="BX305" s="311"/>
      <c r="BY305" s="307"/>
      <c r="BZ305" s="307"/>
      <c r="CA305" s="310"/>
      <c r="CB305" s="307"/>
      <c r="CC305" s="307"/>
      <c r="CD305" s="307"/>
      <c r="CE305" s="308"/>
      <c r="CF305" s="308"/>
      <c r="CG305" s="307"/>
      <c r="CH305" s="307"/>
      <c r="CI305" s="307"/>
      <c r="CJ305" s="307"/>
      <c r="CK305" s="314"/>
      <c r="CL305" s="310"/>
      <c r="CM305" s="310"/>
      <c r="CN305" s="307"/>
      <c r="CO305" s="307"/>
      <c r="CP305" s="307"/>
      <c r="CQ305" s="315"/>
      <c r="CR305" s="315"/>
      <c r="CS305" s="315"/>
      <c r="CT305" s="315"/>
      <c r="CU305" s="307"/>
      <c r="CV305" s="217"/>
      <c r="CW305" s="192"/>
      <c r="CX305" s="192"/>
      <c r="CY305" s="192"/>
      <c r="CZ305" s="191"/>
      <c r="DA305" s="193"/>
      <c r="DB305" s="192"/>
      <c r="DC305" s="192"/>
      <c r="DD305" s="192"/>
      <c r="DE305" s="191"/>
      <c r="DF305" s="19"/>
      <c r="DG305" s="192"/>
      <c r="DH305" s="192"/>
      <c r="DI305" s="192"/>
      <c r="DJ305" s="191"/>
      <c r="DK305" s="193"/>
      <c r="DL305" s="192"/>
      <c r="DM305" s="192"/>
      <c r="DN305" s="192"/>
      <c r="DO305" s="191"/>
      <c r="DP305" s="19"/>
      <c r="DQ305" s="192"/>
      <c r="DR305" s="192"/>
      <c r="DS305" s="192"/>
      <c r="DT305" s="191"/>
      <c r="DU305" s="193"/>
      <c r="DV305" s="192"/>
      <c r="DW305" s="192"/>
      <c r="DX305" s="192"/>
      <c r="DY305" s="191"/>
      <c r="DZ305" s="19"/>
      <c r="EA305" s="192"/>
      <c r="EB305" s="192"/>
      <c r="EC305" s="192"/>
      <c r="ED305" s="191"/>
      <c r="EE305" s="193"/>
      <c r="EF305" s="192"/>
      <c r="EG305" s="192"/>
      <c r="EH305" s="192"/>
      <c r="EI305" s="191"/>
      <c r="EJ305" s="19"/>
      <c r="EK305" s="192"/>
      <c r="EL305" s="192"/>
      <c r="EM305" s="192"/>
      <c r="EN305" s="191"/>
      <c r="EO305" s="193"/>
      <c r="EP305" s="192"/>
      <c r="EQ305" s="192"/>
      <c r="ER305" s="192"/>
      <c r="ES305" s="191"/>
      <c r="ET305" s="19"/>
      <c r="EU305" s="192"/>
      <c r="EV305" s="192"/>
      <c r="EW305" s="192"/>
      <c r="EX305" s="191"/>
      <c r="EY305" s="193"/>
      <c r="EZ305" s="192"/>
      <c r="FA305" s="192"/>
      <c r="FB305" s="192"/>
      <c r="FC305" s="191"/>
      <c r="FL305" s="273">
        <f t="shared" ca="1" si="14"/>
        <v>116</v>
      </c>
    </row>
    <row r="306" spans="1:168" ht="16.5" thickBot="1">
      <c r="A306" s="196">
        <v>303</v>
      </c>
      <c r="B306" s="306"/>
      <c r="C306" s="310"/>
      <c r="D306" s="307" t="s">
        <v>271</v>
      </c>
      <c r="E306" s="307" t="s">
        <v>271</v>
      </c>
      <c r="F306" s="308"/>
      <c r="G306" s="343" t="str">
        <f t="shared" si="12"/>
        <v xml:space="preserve"> </v>
      </c>
      <c r="H306" s="307"/>
      <c r="I306" s="309" t="e">
        <f t="shared" si="13"/>
        <v>#N/A</v>
      </c>
      <c r="J306" s="307"/>
      <c r="K306" s="307"/>
      <c r="L306" s="310"/>
      <c r="M306" s="310"/>
      <c r="N306" s="310"/>
      <c r="O306" s="310"/>
      <c r="P306" s="310"/>
      <c r="Q306" s="310"/>
      <c r="R306" s="310"/>
      <c r="S306" s="310"/>
      <c r="T306" s="310"/>
      <c r="U306" s="307"/>
      <c r="V306" s="307"/>
      <c r="W306" s="311"/>
      <c r="X306" s="307"/>
      <c r="Y306" s="307"/>
      <c r="Z306" s="307"/>
      <c r="AA306" s="307"/>
      <c r="AB306" s="311"/>
      <c r="AC306" s="307"/>
      <c r="AD306" s="307"/>
      <c r="AE306" s="307"/>
      <c r="AF306" s="307"/>
      <c r="AG306" s="310"/>
      <c r="AH306" s="307"/>
      <c r="AI306" s="310"/>
      <c r="AJ306" s="307"/>
      <c r="AK306" s="307"/>
      <c r="AL306" s="307"/>
      <c r="AM306" s="308"/>
      <c r="AN306" s="311"/>
      <c r="AO306" s="307"/>
      <c r="AP306" s="307"/>
      <c r="AQ306" s="308"/>
      <c r="AR306" s="307"/>
      <c r="AS306" s="307"/>
      <c r="AT306" s="307"/>
      <c r="AU306" s="310"/>
      <c r="AV306" s="308"/>
      <c r="AW306" s="312"/>
      <c r="AX306" s="308"/>
      <c r="AY306" s="307"/>
      <c r="AZ306" s="307"/>
      <c r="BA306" s="307"/>
      <c r="BB306" s="307"/>
      <c r="BC306" s="308"/>
      <c r="BD306" s="308"/>
      <c r="BE306" s="313"/>
      <c r="BF306" s="307"/>
      <c r="BG306" s="310"/>
      <c r="BH306" s="307"/>
      <c r="BI306" s="307"/>
      <c r="BJ306" s="310"/>
      <c r="BK306" s="307"/>
      <c r="BL306" s="307"/>
      <c r="BM306" s="310"/>
      <c r="BN306" s="307"/>
      <c r="BO306" s="310"/>
      <c r="BP306" s="307"/>
      <c r="BQ306" s="307"/>
      <c r="BR306" s="307"/>
      <c r="BS306" s="307"/>
      <c r="BT306" s="307"/>
      <c r="BU306" s="310"/>
      <c r="BV306" s="307"/>
      <c r="BW306" s="308"/>
      <c r="BX306" s="311"/>
      <c r="BY306" s="307"/>
      <c r="BZ306" s="307"/>
      <c r="CA306" s="310"/>
      <c r="CB306" s="307"/>
      <c r="CC306" s="307"/>
      <c r="CD306" s="307"/>
      <c r="CE306" s="308"/>
      <c r="CF306" s="308"/>
      <c r="CG306" s="307"/>
      <c r="CH306" s="307"/>
      <c r="CI306" s="307"/>
      <c r="CJ306" s="307"/>
      <c r="CK306" s="314"/>
      <c r="CL306" s="310"/>
      <c r="CM306" s="310"/>
      <c r="CN306" s="307"/>
      <c r="CO306" s="307"/>
      <c r="CP306" s="307"/>
      <c r="CQ306" s="315"/>
      <c r="CR306" s="315"/>
      <c r="CS306" s="315"/>
      <c r="CT306" s="315"/>
      <c r="CU306" s="307"/>
      <c r="CV306" s="217"/>
      <c r="CW306" s="192"/>
      <c r="CX306" s="192"/>
      <c r="CY306" s="192"/>
      <c r="CZ306" s="191"/>
      <c r="DA306" s="193"/>
      <c r="DB306" s="192"/>
      <c r="DC306" s="192"/>
      <c r="DD306" s="192"/>
      <c r="DE306" s="191"/>
      <c r="DF306" s="19"/>
      <c r="DG306" s="192"/>
      <c r="DH306" s="192"/>
      <c r="DI306" s="192"/>
      <c r="DJ306" s="191"/>
      <c r="DK306" s="193"/>
      <c r="DL306" s="192"/>
      <c r="DM306" s="192"/>
      <c r="DN306" s="192"/>
      <c r="DO306" s="191"/>
      <c r="DP306" s="19"/>
      <c r="DQ306" s="192"/>
      <c r="DR306" s="192"/>
      <c r="DS306" s="192"/>
      <c r="DT306" s="191"/>
      <c r="DU306" s="193"/>
      <c r="DV306" s="192"/>
      <c r="DW306" s="192"/>
      <c r="DX306" s="192"/>
      <c r="DY306" s="191"/>
      <c r="DZ306" s="19"/>
      <c r="EA306" s="192"/>
      <c r="EB306" s="192"/>
      <c r="EC306" s="192"/>
      <c r="ED306" s="191"/>
      <c r="EE306" s="193"/>
      <c r="EF306" s="192"/>
      <c r="EG306" s="192"/>
      <c r="EH306" s="192"/>
      <c r="EI306" s="191"/>
      <c r="EJ306" s="19"/>
      <c r="EK306" s="192"/>
      <c r="EL306" s="192"/>
      <c r="EM306" s="192"/>
      <c r="EN306" s="191"/>
      <c r="EO306" s="193"/>
      <c r="EP306" s="192"/>
      <c r="EQ306" s="192"/>
      <c r="ER306" s="192"/>
      <c r="ES306" s="191"/>
      <c r="ET306" s="19"/>
      <c r="EU306" s="192"/>
      <c r="EV306" s="192"/>
      <c r="EW306" s="192"/>
      <c r="EX306" s="191"/>
      <c r="EY306" s="193"/>
      <c r="EZ306" s="192"/>
      <c r="FA306" s="192"/>
      <c r="FB306" s="192"/>
      <c r="FC306" s="191"/>
      <c r="FL306" s="273">
        <f t="shared" ca="1" si="14"/>
        <v>116</v>
      </c>
    </row>
    <row r="307" spans="1:168" ht="16.5" thickBot="1">
      <c r="A307" s="199">
        <v>304</v>
      </c>
      <c r="B307" s="306"/>
      <c r="C307" s="310"/>
      <c r="D307" s="307" t="s">
        <v>271</v>
      </c>
      <c r="E307" s="307" t="s">
        <v>271</v>
      </c>
      <c r="F307" s="308"/>
      <c r="G307" s="343" t="str">
        <f t="shared" si="12"/>
        <v xml:space="preserve"> </v>
      </c>
      <c r="H307" s="307"/>
      <c r="I307" s="309" t="e">
        <f t="shared" si="13"/>
        <v>#N/A</v>
      </c>
      <c r="J307" s="307"/>
      <c r="K307" s="307"/>
      <c r="L307" s="310"/>
      <c r="M307" s="310"/>
      <c r="N307" s="310"/>
      <c r="O307" s="310"/>
      <c r="P307" s="310"/>
      <c r="Q307" s="310"/>
      <c r="R307" s="310"/>
      <c r="S307" s="310"/>
      <c r="T307" s="310"/>
      <c r="U307" s="307"/>
      <c r="V307" s="307"/>
      <c r="W307" s="311"/>
      <c r="X307" s="307"/>
      <c r="Y307" s="307"/>
      <c r="Z307" s="307"/>
      <c r="AA307" s="307"/>
      <c r="AB307" s="311"/>
      <c r="AC307" s="307"/>
      <c r="AD307" s="307"/>
      <c r="AE307" s="307"/>
      <c r="AF307" s="307"/>
      <c r="AG307" s="310"/>
      <c r="AH307" s="307"/>
      <c r="AI307" s="310"/>
      <c r="AJ307" s="307"/>
      <c r="AK307" s="307"/>
      <c r="AL307" s="307"/>
      <c r="AM307" s="308"/>
      <c r="AN307" s="311"/>
      <c r="AO307" s="307"/>
      <c r="AP307" s="307"/>
      <c r="AQ307" s="308"/>
      <c r="AR307" s="307"/>
      <c r="AS307" s="307"/>
      <c r="AT307" s="307"/>
      <c r="AU307" s="310"/>
      <c r="AV307" s="308"/>
      <c r="AW307" s="312"/>
      <c r="AX307" s="308"/>
      <c r="AY307" s="307"/>
      <c r="AZ307" s="307"/>
      <c r="BA307" s="307"/>
      <c r="BB307" s="307"/>
      <c r="BC307" s="308"/>
      <c r="BD307" s="308"/>
      <c r="BE307" s="313"/>
      <c r="BF307" s="307"/>
      <c r="BG307" s="310"/>
      <c r="BH307" s="307"/>
      <c r="BI307" s="307"/>
      <c r="BJ307" s="310"/>
      <c r="BK307" s="307"/>
      <c r="BL307" s="307"/>
      <c r="BM307" s="310"/>
      <c r="BN307" s="307"/>
      <c r="BO307" s="310"/>
      <c r="BP307" s="307"/>
      <c r="BQ307" s="307"/>
      <c r="BR307" s="307"/>
      <c r="BS307" s="307"/>
      <c r="BT307" s="307"/>
      <c r="BU307" s="310"/>
      <c r="BV307" s="307"/>
      <c r="BW307" s="308"/>
      <c r="BX307" s="311"/>
      <c r="BY307" s="307"/>
      <c r="BZ307" s="307"/>
      <c r="CA307" s="310"/>
      <c r="CB307" s="307"/>
      <c r="CC307" s="307"/>
      <c r="CD307" s="307"/>
      <c r="CE307" s="308"/>
      <c r="CF307" s="308"/>
      <c r="CG307" s="307"/>
      <c r="CH307" s="307"/>
      <c r="CI307" s="307"/>
      <c r="CJ307" s="307"/>
      <c r="CK307" s="314"/>
      <c r="CL307" s="310"/>
      <c r="CM307" s="310"/>
      <c r="CN307" s="307"/>
      <c r="CO307" s="307"/>
      <c r="CP307" s="307"/>
      <c r="CQ307" s="315"/>
      <c r="CR307" s="315"/>
      <c r="CS307" s="315"/>
      <c r="CT307" s="315"/>
      <c r="CU307" s="307"/>
      <c r="CV307" s="217"/>
      <c r="CW307" s="192"/>
      <c r="CX307" s="192"/>
      <c r="CY307" s="192"/>
      <c r="CZ307" s="191"/>
      <c r="DA307" s="193"/>
      <c r="DB307" s="192"/>
      <c r="DC307" s="192"/>
      <c r="DD307" s="192"/>
      <c r="DE307" s="191"/>
      <c r="DF307" s="19"/>
      <c r="DG307" s="192"/>
      <c r="DH307" s="192"/>
      <c r="DI307" s="192"/>
      <c r="DJ307" s="191"/>
      <c r="DK307" s="193"/>
      <c r="DL307" s="192"/>
      <c r="DM307" s="192"/>
      <c r="DN307" s="192"/>
      <c r="DO307" s="191"/>
      <c r="DP307" s="19"/>
      <c r="DQ307" s="192"/>
      <c r="DR307" s="192"/>
      <c r="DS307" s="192"/>
      <c r="DT307" s="191"/>
      <c r="DU307" s="193"/>
      <c r="DV307" s="192"/>
      <c r="DW307" s="192"/>
      <c r="DX307" s="192"/>
      <c r="DY307" s="191"/>
      <c r="DZ307" s="19"/>
      <c r="EA307" s="192"/>
      <c r="EB307" s="192"/>
      <c r="EC307" s="192"/>
      <c r="ED307" s="191"/>
      <c r="EE307" s="193"/>
      <c r="EF307" s="192"/>
      <c r="EG307" s="192"/>
      <c r="EH307" s="192"/>
      <c r="EI307" s="191"/>
      <c r="EJ307" s="19"/>
      <c r="EK307" s="192"/>
      <c r="EL307" s="192"/>
      <c r="EM307" s="192"/>
      <c r="EN307" s="191"/>
      <c r="EO307" s="193"/>
      <c r="EP307" s="192"/>
      <c r="EQ307" s="192"/>
      <c r="ER307" s="192"/>
      <c r="ES307" s="191"/>
      <c r="ET307" s="19"/>
      <c r="EU307" s="192"/>
      <c r="EV307" s="192"/>
      <c r="EW307" s="192"/>
      <c r="EX307" s="191"/>
      <c r="EY307" s="193"/>
      <c r="EZ307" s="192"/>
      <c r="FA307" s="192"/>
      <c r="FB307" s="192"/>
      <c r="FC307" s="191"/>
      <c r="FL307" s="273">
        <f t="shared" ca="1" si="14"/>
        <v>116</v>
      </c>
    </row>
    <row r="308" spans="1:168" ht="16.5" thickBot="1">
      <c r="A308" s="196">
        <v>305</v>
      </c>
      <c r="B308" s="306"/>
      <c r="C308" s="310"/>
      <c r="D308" s="307" t="s">
        <v>271</v>
      </c>
      <c r="E308" s="307" t="s">
        <v>271</v>
      </c>
      <c r="F308" s="308"/>
      <c r="G308" s="343" t="str">
        <f t="shared" si="12"/>
        <v xml:space="preserve"> </v>
      </c>
      <c r="H308" s="307"/>
      <c r="I308" s="309" t="e">
        <f t="shared" si="13"/>
        <v>#N/A</v>
      </c>
      <c r="J308" s="307"/>
      <c r="K308" s="307"/>
      <c r="L308" s="310"/>
      <c r="M308" s="310"/>
      <c r="N308" s="310"/>
      <c r="O308" s="310"/>
      <c r="P308" s="310"/>
      <c r="Q308" s="310"/>
      <c r="R308" s="310"/>
      <c r="S308" s="310"/>
      <c r="T308" s="310"/>
      <c r="U308" s="307"/>
      <c r="V308" s="307"/>
      <c r="W308" s="311"/>
      <c r="X308" s="307"/>
      <c r="Y308" s="307"/>
      <c r="Z308" s="307"/>
      <c r="AA308" s="307"/>
      <c r="AB308" s="311"/>
      <c r="AC308" s="307"/>
      <c r="AD308" s="307"/>
      <c r="AE308" s="307"/>
      <c r="AF308" s="307"/>
      <c r="AG308" s="310"/>
      <c r="AH308" s="307"/>
      <c r="AI308" s="310"/>
      <c r="AJ308" s="307"/>
      <c r="AK308" s="307"/>
      <c r="AL308" s="307"/>
      <c r="AM308" s="308"/>
      <c r="AN308" s="311"/>
      <c r="AO308" s="307"/>
      <c r="AP308" s="307"/>
      <c r="AQ308" s="308"/>
      <c r="AR308" s="307"/>
      <c r="AS308" s="307"/>
      <c r="AT308" s="307"/>
      <c r="AU308" s="310"/>
      <c r="AV308" s="308"/>
      <c r="AW308" s="312"/>
      <c r="AX308" s="308"/>
      <c r="AY308" s="307"/>
      <c r="AZ308" s="307"/>
      <c r="BA308" s="307"/>
      <c r="BB308" s="307"/>
      <c r="BC308" s="308"/>
      <c r="BD308" s="308"/>
      <c r="BE308" s="313"/>
      <c r="BF308" s="307"/>
      <c r="BG308" s="310"/>
      <c r="BH308" s="307"/>
      <c r="BI308" s="307"/>
      <c r="BJ308" s="310"/>
      <c r="BK308" s="307"/>
      <c r="BL308" s="307"/>
      <c r="BM308" s="310"/>
      <c r="BN308" s="307"/>
      <c r="BO308" s="310"/>
      <c r="BP308" s="307"/>
      <c r="BQ308" s="307"/>
      <c r="BR308" s="307"/>
      <c r="BS308" s="307"/>
      <c r="BT308" s="307"/>
      <c r="BU308" s="310"/>
      <c r="BV308" s="307"/>
      <c r="BW308" s="308"/>
      <c r="BX308" s="311"/>
      <c r="BY308" s="307"/>
      <c r="BZ308" s="307"/>
      <c r="CA308" s="310"/>
      <c r="CB308" s="307"/>
      <c r="CC308" s="307"/>
      <c r="CD308" s="307"/>
      <c r="CE308" s="308"/>
      <c r="CF308" s="308"/>
      <c r="CG308" s="307"/>
      <c r="CH308" s="307"/>
      <c r="CI308" s="307"/>
      <c r="CJ308" s="307"/>
      <c r="CK308" s="314"/>
      <c r="CL308" s="310"/>
      <c r="CM308" s="310"/>
      <c r="CN308" s="307"/>
      <c r="CO308" s="307"/>
      <c r="CP308" s="307"/>
      <c r="CQ308" s="315"/>
      <c r="CR308" s="315"/>
      <c r="CS308" s="315"/>
      <c r="CT308" s="315"/>
      <c r="CU308" s="307"/>
      <c r="CV308" s="217"/>
      <c r="CW308" s="192"/>
      <c r="CX308" s="192"/>
      <c r="CY308" s="192"/>
      <c r="CZ308" s="191"/>
      <c r="DA308" s="193"/>
      <c r="DB308" s="192"/>
      <c r="DC308" s="192"/>
      <c r="DD308" s="192"/>
      <c r="DE308" s="191"/>
      <c r="DF308" s="19"/>
      <c r="DG308" s="192"/>
      <c r="DH308" s="192"/>
      <c r="DI308" s="192"/>
      <c r="DJ308" s="191"/>
      <c r="DK308" s="193"/>
      <c r="DL308" s="192"/>
      <c r="DM308" s="192"/>
      <c r="DN308" s="192"/>
      <c r="DO308" s="191"/>
      <c r="DP308" s="19"/>
      <c r="DQ308" s="192"/>
      <c r="DR308" s="192"/>
      <c r="DS308" s="192"/>
      <c r="DT308" s="191"/>
      <c r="DU308" s="193"/>
      <c r="DV308" s="192"/>
      <c r="DW308" s="192"/>
      <c r="DX308" s="192"/>
      <c r="DY308" s="191"/>
      <c r="DZ308" s="19"/>
      <c r="EA308" s="192"/>
      <c r="EB308" s="192"/>
      <c r="EC308" s="192"/>
      <c r="ED308" s="191"/>
      <c r="EE308" s="193"/>
      <c r="EF308" s="192"/>
      <c r="EG308" s="192"/>
      <c r="EH308" s="192"/>
      <c r="EI308" s="191"/>
      <c r="EJ308" s="19"/>
      <c r="EK308" s="192"/>
      <c r="EL308" s="192"/>
      <c r="EM308" s="192"/>
      <c r="EN308" s="191"/>
      <c r="EO308" s="193"/>
      <c r="EP308" s="192"/>
      <c r="EQ308" s="192"/>
      <c r="ER308" s="192"/>
      <c r="ES308" s="191"/>
      <c r="ET308" s="19"/>
      <c r="EU308" s="192"/>
      <c r="EV308" s="192"/>
      <c r="EW308" s="192"/>
      <c r="EX308" s="191"/>
      <c r="EY308" s="193"/>
      <c r="EZ308" s="192"/>
      <c r="FA308" s="192"/>
      <c r="FB308" s="192"/>
      <c r="FC308" s="191"/>
      <c r="FL308" s="273">
        <f t="shared" ca="1" si="14"/>
        <v>116</v>
      </c>
    </row>
    <row r="309" spans="1:168" ht="16.5" thickBot="1">
      <c r="A309" s="199">
        <v>306</v>
      </c>
      <c r="B309" s="306"/>
      <c r="C309" s="310"/>
      <c r="D309" s="307" t="s">
        <v>271</v>
      </c>
      <c r="E309" s="307" t="s">
        <v>271</v>
      </c>
      <c r="F309" s="308"/>
      <c r="G309" s="343" t="str">
        <f t="shared" si="12"/>
        <v xml:space="preserve"> </v>
      </c>
      <c r="H309" s="307"/>
      <c r="I309" s="309" t="e">
        <f t="shared" si="13"/>
        <v>#N/A</v>
      </c>
      <c r="J309" s="307"/>
      <c r="K309" s="307"/>
      <c r="L309" s="310"/>
      <c r="M309" s="310"/>
      <c r="N309" s="310"/>
      <c r="O309" s="310"/>
      <c r="P309" s="310"/>
      <c r="Q309" s="310"/>
      <c r="R309" s="310"/>
      <c r="S309" s="310"/>
      <c r="T309" s="310"/>
      <c r="U309" s="307"/>
      <c r="V309" s="307"/>
      <c r="W309" s="311"/>
      <c r="X309" s="307"/>
      <c r="Y309" s="307"/>
      <c r="Z309" s="307"/>
      <c r="AA309" s="307"/>
      <c r="AB309" s="311"/>
      <c r="AC309" s="307"/>
      <c r="AD309" s="307"/>
      <c r="AE309" s="307"/>
      <c r="AF309" s="307"/>
      <c r="AG309" s="310"/>
      <c r="AH309" s="307"/>
      <c r="AI309" s="310"/>
      <c r="AJ309" s="307"/>
      <c r="AK309" s="307"/>
      <c r="AL309" s="307"/>
      <c r="AM309" s="308"/>
      <c r="AN309" s="311"/>
      <c r="AO309" s="307"/>
      <c r="AP309" s="307"/>
      <c r="AQ309" s="308"/>
      <c r="AR309" s="307"/>
      <c r="AS309" s="307"/>
      <c r="AT309" s="307"/>
      <c r="AU309" s="310"/>
      <c r="AV309" s="308"/>
      <c r="AW309" s="312"/>
      <c r="AX309" s="308"/>
      <c r="AY309" s="307"/>
      <c r="AZ309" s="307"/>
      <c r="BA309" s="307"/>
      <c r="BB309" s="307"/>
      <c r="BC309" s="308"/>
      <c r="BD309" s="308"/>
      <c r="BE309" s="313"/>
      <c r="BF309" s="307"/>
      <c r="BG309" s="310"/>
      <c r="BH309" s="307"/>
      <c r="BI309" s="307"/>
      <c r="BJ309" s="310"/>
      <c r="BK309" s="307"/>
      <c r="BL309" s="307"/>
      <c r="BM309" s="310"/>
      <c r="BN309" s="307"/>
      <c r="BO309" s="310"/>
      <c r="BP309" s="307"/>
      <c r="BQ309" s="307"/>
      <c r="BR309" s="307"/>
      <c r="BS309" s="307"/>
      <c r="BT309" s="307"/>
      <c r="BU309" s="310"/>
      <c r="BV309" s="307"/>
      <c r="BW309" s="308"/>
      <c r="BX309" s="311"/>
      <c r="BY309" s="307"/>
      <c r="BZ309" s="307"/>
      <c r="CA309" s="310"/>
      <c r="CB309" s="307"/>
      <c r="CC309" s="307"/>
      <c r="CD309" s="307"/>
      <c r="CE309" s="308"/>
      <c r="CF309" s="308"/>
      <c r="CG309" s="307"/>
      <c r="CH309" s="307"/>
      <c r="CI309" s="307"/>
      <c r="CJ309" s="307"/>
      <c r="CK309" s="314"/>
      <c r="CL309" s="310"/>
      <c r="CM309" s="310"/>
      <c r="CN309" s="307"/>
      <c r="CO309" s="307"/>
      <c r="CP309" s="307"/>
      <c r="CQ309" s="315"/>
      <c r="CR309" s="315"/>
      <c r="CS309" s="315"/>
      <c r="CT309" s="315"/>
      <c r="CU309" s="307"/>
      <c r="CV309" s="217"/>
      <c r="CW309" s="192"/>
      <c r="CX309" s="192"/>
      <c r="CY309" s="192"/>
      <c r="CZ309" s="191"/>
      <c r="DA309" s="193"/>
      <c r="DB309" s="192"/>
      <c r="DC309" s="192"/>
      <c r="DD309" s="192"/>
      <c r="DE309" s="191"/>
      <c r="DF309" s="19"/>
      <c r="DG309" s="192"/>
      <c r="DH309" s="192"/>
      <c r="DI309" s="192"/>
      <c r="DJ309" s="191"/>
      <c r="DK309" s="193"/>
      <c r="DL309" s="192"/>
      <c r="DM309" s="192"/>
      <c r="DN309" s="192"/>
      <c r="DO309" s="191"/>
      <c r="DP309" s="19"/>
      <c r="DQ309" s="192"/>
      <c r="DR309" s="192"/>
      <c r="DS309" s="192"/>
      <c r="DT309" s="191"/>
      <c r="DU309" s="193"/>
      <c r="DV309" s="192"/>
      <c r="DW309" s="192"/>
      <c r="DX309" s="192"/>
      <c r="DY309" s="191"/>
      <c r="DZ309" s="19"/>
      <c r="EA309" s="192"/>
      <c r="EB309" s="192"/>
      <c r="EC309" s="192"/>
      <c r="ED309" s="191"/>
      <c r="EE309" s="193"/>
      <c r="EF309" s="192"/>
      <c r="EG309" s="192"/>
      <c r="EH309" s="192"/>
      <c r="EI309" s="191"/>
      <c r="EJ309" s="19"/>
      <c r="EK309" s="192"/>
      <c r="EL309" s="192"/>
      <c r="EM309" s="192"/>
      <c r="EN309" s="191"/>
      <c r="EO309" s="193"/>
      <c r="EP309" s="192"/>
      <c r="EQ309" s="192"/>
      <c r="ER309" s="192"/>
      <c r="ES309" s="191"/>
      <c r="ET309" s="19"/>
      <c r="EU309" s="192"/>
      <c r="EV309" s="192"/>
      <c r="EW309" s="192"/>
      <c r="EX309" s="191"/>
      <c r="EY309" s="193"/>
      <c r="EZ309" s="192"/>
      <c r="FA309" s="192"/>
      <c r="FB309" s="192"/>
      <c r="FC309" s="191"/>
      <c r="FL309" s="273">
        <f t="shared" ca="1" si="14"/>
        <v>116</v>
      </c>
    </row>
    <row r="310" spans="1:168" ht="16.5" thickBot="1">
      <c r="A310" s="196">
        <v>307</v>
      </c>
      <c r="B310" s="306"/>
      <c r="C310" s="310"/>
      <c r="D310" s="307" t="s">
        <v>271</v>
      </c>
      <c r="E310" s="307" t="s">
        <v>271</v>
      </c>
      <c r="F310" s="308"/>
      <c r="G310" s="343" t="str">
        <f t="shared" si="12"/>
        <v xml:space="preserve"> </v>
      </c>
      <c r="H310" s="307"/>
      <c r="I310" s="309" t="e">
        <f t="shared" si="13"/>
        <v>#N/A</v>
      </c>
      <c r="J310" s="307"/>
      <c r="K310" s="307"/>
      <c r="L310" s="310"/>
      <c r="M310" s="310"/>
      <c r="N310" s="310"/>
      <c r="O310" s="310"/>
      <c r="P310" s="310"/>
      <c r="Q310" s="310"/>
      <c r="R310" s="310"/>
      <c r="S310" s="310"/>
      <c r="T310" s="310"/>
      <c r="U310" s="307"/>
      <c r="V310" s="307"/>
      <c r="W310" s="311"/>
      <c r="X310" s="307"/>
      <c r="Y310" s="307"/>
      <c r="Z310" s="307"/>
      <c r="AA310" s="307"/>
      <c r="AB310" s="311"/>
      <c r="AC310" s="307"/>
      <c r="AD310" s="307"/>
      <c r="AE310" s="307"/>
      <c r="AF310" s="307"/>
      <c r="AG310" s="310"/>
      <c r="AH310" s="307"/>
      <c r="AI310" s="310"/>
      <c r="AJ310" s="307"/>
      <c r="AK310" s="307"/>
      <c r="AL310" s="307"/>
      <c r="AM310" s="308"/>
      <c r="AN310" s="311"/>
      <c r="AO310" s="307"/>
      <c r="AP310" s="307"/>
      <c r="AQ310" s="308"/>
      <c r="AR310" s="307"/>
      <c r="AS310" s="307"/>
      <c r="AT310" s="307"/>
      <c r="AU310" s="310"/>
      <c r="AV310" s="308"/>
      <c r="AW310" s="312"/>
      <c r="AX310" s="308"/>
      <c r="AY310" s="307"/>
      <c r="AZ310" s="307"/>
      <c r="BA310" s="307"/>
      <c r="BB310" s="307"/>
      <c r="BC310" s="308"/>
      <c r="BD310" s="308"/>
      <c r="BE310" s="313"/>
      <c r="BF310" s="307"/>
      <c r="BG310" s="310"/>
      <c r="BH310" s="307"/>
      <c r="BI310" s="307"/>
      <c r="BJ310" s="310"/>
      <c r="BK310" s="307"/>
      <c r="BL310" s="307"/>
      <c r="BM310" s="310"/>
      <c r="BN310" s="307"/>
      <c r="BO310" s="310"/>
      <c r="BP310" s="307"/>
      <c r="BQ310" s="307"/>
      <c r="BR310" s="307"/>
      <c r="BS310" s="307"/>
      <c r="BT310" s="307"/>
      <c r="BU310" s="310"/>
      <c r="BV310" s="307"/>
      <c r="BW310" s="308"/>
      <c r="BX310" s="311"/>
      <c r="BY310" s="307"/>
      <c r="BZ310" s="307"/>
      <c r="CA310" s="310"/>
      <c r="CB310" s="307"/>
      <c r="CC310" s="307"/>
      <c r="CD310" s="307"/>
      <c r="CE310" s="308"/>
      <c r="CF310" s="308"/>
      <c r="CG310" s="307"/>
      <c r="CH310" s="307"/>
      <c r="CI310" s="307"/>
      <c r="CJ310" s="307"/>
      <c r="CK310" s="314"/>
      <c r="CL310" s="310"/>
      <c r="CM310" s="310"/>
      <c r="CN310" s="307"/>
      <c r="CO310" s="307"/>
      <c r="CP310" s="307"/>
      <c r="CQ310" s="315"/>
      <c r="CR310" s="315"/>
      <c r="CS310" s="315"/>
      <c r="CT310" s="315"/>
      <c r="CU310" s="307"/>
      <c r="CV310" s="217"/>
      <c r="CW310" s="192"/>
      <c r="CX310" s="192"/>
      <c r="CY310" s="192"/>
      <c r="CZ310" s="191"/>
      <c r="DA310" s="193"/>
      <c r="DB310" s="192"/>
      <c r="DC310" s="192"/>
      <c r="DD310" s="192"/>
      <c r="DE310" s="191"/>
      <c r="DF310" s="19"/>
      <c r="DG310" s="192"/>
      <c r="DH310" s="192"/>
      <c r="DI310" s="192"/>
      <c r="DJ310" s="191"/>
      <c r="DK310" s="193"/>
      <c r="DL310" s="192"/>
      <c r="DM310" s="192"/>
      <c r="DN310" s="192"/>
      <c r="DO310" s="191"/>
      <c r="DP310" s="19"/>
      <c r="DQ310" s="192"/>
      <c r="DR310" s="192"/>
      <c r="DS310" s="192"/>
      <c r="DT310" s="191"/>
      <c r="DU310" s="193"/>
      <c r="DV310" s="192"/>
      <c r="DW310" s="192"/>
      <c r="DX310" s="192"/>
      <c r="DY310" s="191"/>
      <c r="DZ310" s="19"/>
      <c r="EA310" s="192"/>
      <c r="EB310" s="192"/>
      <c r="EC310" s="192"/>
      <c r="ED310" s="191"/>
      <c r="EE310" s="193"/>
      <c r="EF310" s="192"/>
      <c r="EG310" s="192"/>
      <c r="EH310" s="192"/>
      <c r="EI310" s="191"/>
      <c r="EJ310" s="19"/>
      <c r="EK310" s="192"/>
      <c r="EL310" s="192"/>
      <c r="EM310" s="192"/>
      <c r="EN310" s="191"/>
      <c r="EO310" s="193"/>
      <c r="EP310" s="192"/>
      <c r="EQ310" s="192"/>
      <c r="ER310" s="192"/>
      <c r="ES310" s="191"/>
      <c r="ET310" s="19"/>
      <c r="EU310" s="192"/>
      <c r="EV310" s="192"/>
      <c r="EW310" s="192"/>
      <c r="EX310" s="191"/>
      <c r="EY310" s="193"/>
      <c r="EZ310" s="192"/>
      <c r="FA310" s="192"/>
      <c r="FB310" s="192"/>
      <c r="FC310" s="191"/>
      <c r="FL310" s="273">
        <f t="shared" ca="1" si="14"/>
        <v>116</v>
      </c>
    </row>
    <row r="311" spans="1:168" ht="16.5" thickBot="1">
      <c r="A311" s="199">
        <v>308</v>
      </c>
      <c r="B311" s="306"/>
      <c r="C311" s="310"/>
      <c r="D311" s="307" t="s">
        <v>271</v>
      </c>
      <c r="E311" s="307" t="s">
        <v>271</v>
      </c>
      <c r="F311" s="308"/>
      <c r="G311" s="343" t="str">
        <f t="shared" si="12"/>
        <v xml:space="preserve"> </v>
      </c>
      <c r="H311" s="307"/>
      <c r="I311" s="309" t="e">
        <f t="shared" si="13"/>
        <v>#N/A</v>
      </c>
      <c r="J311" s="307"/>
      <c r="K311" s="307"/>
      <c r="L311" s="310"/>
      <c r="M311" s="310"/>
      <c r="N311" s="310"/>
      <c r="O311" s="310"/>
      <c r="P311" s="310"/>
      <c r="Q311" s="310"/>
      <c r="R311" s="310"/>
      <c r="S311" s="310"/>
      <c r="T311" s="310"/>
      <c r="U311" s="307"/>
      <c r="V311" s="307"/>
      <c r="W311" s="311"/>
      <c r="X311" s="307"/>
      <c r="Y311" s="307"/>
      <c r="Z311" s="307"/>
      <c r="AA311" s="307"/>
      <c r="AB311" s="311"/>
      <c r="AC311" s="307"/>
      <c r="AD311" s="307"/>
      <c r="AE311" s="307"/>
      <c r="AF311" s="307"/>
      <c r="AG311" s="310"/>
      <c r="AH311" s="307"/>
      <c r="AI311" s="310"/>
      <c r="AJ311" s="307"/>
      <c r="AK311" s="307"/>
      <c r="AL311" s="307"/>
      <c r="AM311" s="308"/>
      <c r="AN311" s="311"/>
      <c r="AO311" s="307"/>
      <c r="AP311" s="307"/>
      <c r="AQ311" s="308"/>
      <c r="AR311" s="307"/>
      <c r="AS311" s="307"/>
      <c r="AT311" s="307"/>
      <c r="AU311" s="310"/>
      <c r="AV311" s="308"/>
      <c r="AW311" s="312"/>
      <c r="AX311" s="308"/>
      <c r="AY311" s="307"/>
      <c r="AZ311" s="307"/>
      <c r="BA311" s="307"/>
      <c r="BB311" s="307"/>
      <c r="BC311" s="308"/>
      <c r="BD311" s="308"/>
      <c r="BE311" s="313"/>
      <c r="BF311" s="307"/>
      <c r="BG311" s="310"/>
      <c r="BH311" s="307"/>
      <c r="BI311" s="307"/>
      <c r="BJ311" s="310"/>
      <c r="BK311" s="307"/>
      <c r="BL311" s="307"/>
      <c r="BM311" s="310"/>
      <c r="BN311" s="307"/>
      <c r="BO311" s="310"/>
      <c r="BP311" s="307"/>
      <c r="BQ311" s="307"/>
      <c r="BR311" s="307"/>
      <c r="BS311" s="307"/>
      <c r="BT311" s="307"/>
      <c r="BU311" s="310"/>
      <c r="BV311" s="307"/>
      <c r="BW311" s="308"/>
      <c r="BX311" s="311"/>
      <c r="BY311" s="307"/>
      <c r="BZ311" s="307"/>
      <c r="CA311" s="310"/>
      <c r="CB311" s="307"/>
      <c r="CC311" s="307"/>
      <c r="CD311" s="307"/>
      <c r="CE311" s="308"/>
      <c r="CF311" s="308"/>
      <c r="CG311" s="307"/>
      <c r="CH311" s="307"/>
      <c r="CI311" s="307"/>
      <c r="CJ311" s="307"/>
      <c r="CK311" s="314"/>
      <c r="CL311" s="310"/>
      <c r="CM311" s="310"/>
      <c r="CN311" s="307"/>
      <c r="CO311" s="307"/>
      <c r="CP311" s="307"/>
      <c r="CQ311" s="315"/>
      <c r="CR311" s="315"/>
      <c r="CS311" s="315"/>
      <c r="CT311" s="315"/>
      <c r="CU311" s="307"/>
      <c r="CV311" s="217"/>
      <c r="CW311" s="192"/>
      <c r="CX311" s="192"/>
      <c r="CY311" s="192"/>
      <c r="CZ311" s="191"/>
      <c r="DA311" s="193"/>
      <c r="DB311" s="192"/>
      <c r="DC311" s="192"/>
      <c r="DD311" s="192"/>
      <c r="DE311" s="191"/>
      <c r="DF311" s="19"/>
      <c r="DG311" s="192"/>
      <c r="DH311" s="192"/>
      <c r="DI311" s="192"/>
      <c r="DJ311" s="191"/>
      <c r="DK311" s="193"/>
      <c r="DL311" s="192"/>
      <c r="DM311" s="192"/>
      <c r="DN311" s="192"/>
      <c r="DO311" s="191"/>
      <c r="DP311" s="19"/>
      <c r="DQ311" s="192"/>
      <c r="DR311" s="192"/>
      <c r="DS311" s="192"/>
      <c r="DT311" s="191"/>
      <c r="DU311" s="193"/>
      <c r="DV311" s="192"/>
      <c r="DW311" s="192"/>
      <c r="DX311" s="192"/>
      <c r="DY311" s="191"/>
      <c r="DZ311" s="19"/>
      <c r="EA311" s="192"/>
      <c r="EB311" s="192"/>
      <c r="EC311" s="192"/>
      <c r="ED311" s="191"/>
      <c r="EE311" s="193"/>
      <c r="EF311" s="192"/>
      <c r="EG311" s="192"/>
      <c r="EH311" s="192"/>
      <c r="EI311" s="191"/>
      <c r="EJ311" s="19"/>
      <c r="EK311" s="192"/>
      <c r="EL311" s="192"/>
      <c r="EM311" s="192"/>
      <c r="EN311" s="191"/>
      <c r="EO311" s="193"/>
      <c r="EP311" s="192"/>
      <c r="EQ311" s="192"/>
      <c r="ER311" s="192"/>
      <c r="ES311" s="191"/>
      <c r="ET311" s="19"/>
      <c r="EU311" s="192"/>
      <c r="EV311" s="192"/>
      <c r="EW311" s="192"/>
      <c r="EX311" s="191"/>
      <c r="EY311" s="193"/>
      <c r="EZ311" s="192"/>
      <c r="FA311" s="192"/>
      <c r="FB311" s="192"/>
      <c r="FC311" s="191"/>
      <c r="FL311" s="273">
        <f t="shared" ca="1" si="14"/>
        <v>116</v>
      </c>
    </row>
    <row r="312" spans="1:168" ht="16.5" thickBot="1">
      <c r="A312" s="196">
        <v>309</v>
      </c>
      <c r="B312" s="306"/>
      <c r="C312" s="310"/>
      <c r="D312" s="307" t="s">
        <v>271</v>
      </c>
      <c r="E312" s="307" t="s">
        <v>271</v>
      </c>
      <c r="F312" s="308"/>
      <c r="G312" s="343" t="str">
        <f t="shared" si="12"/>
        <v xml:space="preserve"> </v>
      </c>
      <c r="H312" s="307"/>
      <c r="I312" s="309" t="e">
        <f t="shared" si="13"/>
        <v>#N/A</v>
      </c>
      <c r="J312" s="307"/>
      <c r="K312" s="307"/>
      <c r="L312" s="310"/>
      <c r="M312" s="310"/>
      <c r="N312" s="310"/>
      <c r="O312" s="310"/>
      <c r="P312" s="310"/>
      <c r="Q312" s="310"/>
      <c r="R312" s="310"/>
      <c r="S312" s="310"/>
      <c r="T312" s="310"/>
      <c r="U312" s="307"/>
      <c r="V312" s="307"/>
      <c r="W312" s="311"/>
      <c r="X312" s="307"/>
      <c r="Y312" s="307"/>
      <c r="Z312" s="307"/>
      <c r="AA312" s="307"/>
      <c r="AB312" s="311"/>
      <c r="AC312" s="307"/>
      <c r="AD312" s="307"/>
      <c r="AE312" s="307"/>
      <c r="AF312" s="307"/>
      <c r="AG312" s="310"/>
      <c r="AH312" s="307"/>
      <c r="AI312" s="310"/>
      <c r="AJ312" s="307"/>
      <c r="AK312" s="307"/>
      <c r="AL312" s="307"/>
      <c r="AM312" s="308"/>
      <c r="AN312" s="311"/>
      <c r="AO312" s="307"/>
      <c r="AP312" s="307"/>
      <c r="AQ312" s="308"/>
      <c r="AR312" s="307"/>
      <c r="AS312" s="307"/>
      <c r="AT312" s="307"/>
      <c r="AU312" s="310"/>
      <c r="AV312" s="308"/>
      <c r="AW312" s="312"/>
      <c r="AX312" s="308"/>
      <c r="AY312" s="307"/>
      <c r="AZ312" s="307"/>
      <c r="BA312" s="307"/>
      <c r="BB312" s="307"/>
      <c r="BC312" s="308"/>
      <c r="BD312" s="308"/>
      <c r="BE312" s="313"/>
      <c r="BF312" s="307"/>
      <c r="BG312" s="310"/>
      <c r="BH312" s="307"/>
      <c r="BI312" s="307"/>
      <c r="BJ312" s="310"/>
      <c r="BK312" s="307"/>
      <c r="BL312" s="307"/>
      <c r="BM312" s="310"/>
      <c r="BN312" s="307"/>
      <c r="BO312" s="310"/>
      <c r="BP312" s="307"/>
      <c r="BQ312" s="307"/>
      <c r="BR312" s="307"/>
      <c r="BS312" s="307"/>
      <c r="BT312" s="307"/>
      <c r="BU312" s="310"/>
      <c r="BV312" s="307"/>
      <c r="BW312" s="308"/>
      <c r="BX312" s="311"/>
      <c r="BY312" s="307"/>
      <c r="BZ312" s="307"/>
      <c r="CA312" s="310"/>
      <c r="CB312" s="307"/>
      <c r="CC312" s="307"/>
      <c r="CD312" s="307"/>
      <c r="CE312" s="308"/>
      <c r="CF312" s="308"/>
      <c r="CG312" s="307"/>
      <c r="CH312" s="307"/>
      <c r="CI312" s="307"/>
      <c r="CJ312" s="307"/>
      <c r="CK312" s="314"/>
      <c r="CL312" s="310"/>
      <c r="CM312" s="310"/>
      <c r="CN312" s="307"/>
      <c r="CO312" s="307"/>
      <c r="CP312" s="307"/>
      <c r="CQ312" s="315"/>
      <c r="CR312" s="315"/>
      <c r="CS312" s="315"/>
      <c r="CT312" s="315"/>
      <c r="CU312" s="307"/>
      <c r="CV312" s="217"/>
      <c r="CW312" s="192"/>
      <c r="CX312" s="192"/>
      <c r="CY312" s="192"/>
      <c r="CZ312" s="191"/>
      <c r="DA312" s="193"/>
      <c r="DB312" s="192"/>
      <c r="DC312" s="192"/>
      <c r="DD312" s="192"/>
      <c r="DE312" s="191"/>
      <c r="DF312" s="19"/>
      <c r="DG312" s="192"/>
      <c r="DH312" s="192"/>
      <c r="DI312" s="192"/>
      <c r="DJ312" s="191"/>
      <c r="DK312" s="193"/>
      <c r="DL312" s="192"/>
      <c r="DM312" s="192"/>
      <c r="DN312" s="192"/>
      <c r="DO312" s="191"/>
      <c r="DP312" s="19"/>
      <c r="DQ312" s="192"/>
      <c r="DR312" s="192"/>
      <c r="DS312" s="192"/>
      <c r="DT312" s="191"/>
      <c r="DU312" s="193"/>
      <c r="DV312" s="192"/>
      <c r="DW312" s="192"/>
      <c r="DX312" s="192"/>
      <c r="DY312" s="191"/>
      <c r="DZ312" s="19"/>
      <c r="EA312" s="192"/>
      <c r="EB312" s="192"/>
      <c r="EC312" s="192"/>
      <c r="ED312" s="191"/>
      <c r="EE312" s="193"/>
      <c r="EF312" s="192"/>
      <c r="EG312" s="192"/>
      <c r="EH312" s="192"/>
      <c r="EI312" s="191"/>
      <c r="EJ312" s="19"/>
      <c r="EK312" s="192"/>
      <c r="EL312" s="192"/>
      <c r="EM312" s="192"/>
      <c r="EN312" s="191"/>
      <c r="EO312" s="193"/>
      <c r="EP312" s="192"/>
      <c r="EQ312" s="192"/>
      <c r="ER312" s="192"/>
      <c r="ES312" s="191"/>
      <c r="ET312" s="19"/>
      <c r="EU312" s="192"/>
      <c r="EV312" s="192"/>
      <c r="EW312" s="192"/>
      <c r="EX312" s="191"/>
      <c r="EY312" s="193"/>
      <c r="EZ312" s="192"/>
      <c r="FA312" s="192"/>
      <c r="FB312" s="192"/>
      <c r="FC312" s="191"/>
      <c r="FL312" s="273">
        <f t="shared" ca="1" si="14"/>
        <v>116</v>
      </c>
    </row>
    <row r="313" spans="1:168" ht="16.5" thickBot="1">
      <c r="A313" s="199">
        <v>310</v>
      </c>
      <c r="B313" s="306"/>
      <c r="C313" s="310"/>
      <c r="D313" s="307" t="s">
        <v>271</v>
      </c>
      <c r="E313" s="307" t="s">
        <v>271</v>
      </c>
      <c r="F313" s="308"/>
      <c r="G313" s="343" t="str">
        <f t="shared" si="12"/>
        <v xml:space="preserve"> </v>
      </c>
      <c r="H313" s="307"/>
      <c r="I313" s="309" t="e">
        <f t="shared" si="13"/>
        <v>#N/A</v>
      </c>
      <c r="J313" s="307"/>
      <c r="K313" s="307"/>
      <c r="L313" s="310"/>
      <c r="M313" s="310"/>
      <c r="N313" s="310"/>
      <c r="O313" s="310"/>
      <c r="P313" s="310"/>
      <c r="Q313" s="310"/>
      <c r="R313" s="310"/>
      <c r="S313" s="310"/>
      <c r="T313" s="310"/>
      <c r="U313" s="307"/>
      <c r="V313" s="307"/>
      <c r="W313" s="311"/>
      <c r="X313" s="307"/>
      <c r="Y313" s="307"/>
      <c r="Z313" s="307"/>
      <c r="AA313" s="307"/>
      <c r="AB313" s="311"/>
      <c r="AC313" s="307"/>
      <c r="AD313" s="307"/>
      <c r="AE313" s="307"/>
      <c r="AF313" s="307"/>
      <c r="AG313" s="310"/>
      <c r="AH313" s="307"/>
      <c r="AI313" s="310"/>
      <c r="AJ313" s="307"/>
      <c r="AK313" s="307"/>
      <c r="AL313" s="307"/>
      <c r="AM313" s="308"/>
      <c r="AN313" s="311"/>
      <c r="AO313" s="307"/>
      <c r="AP313" s="307"/>
      <c r="AQ313" s="308"/>
      <c r="AR313" s="307"/>
      <c r="AS313" s="307"/>
      <c r="AT313" s="307"/>
      <c r="AU313" s="310"/>
      <c r="AV313" s="308"/>
      <c r="AW313" s="312"/>
      <c r="AX313" s="308"/>
      <c r="AY313" s="307"/>
      <c r="AZ313" s="307"/>
      <c r="BA313" s="307"/>
      <c r="BB313" s="307"/>
      <c r="BC313" s="308"/>
      <c r="BD313" s="308"/>
      <c r="BE313" s="313"/>
      <c r="BF313" s="307"/>
      <c r="BG313" s="310"/>
      <c r="BH313" s="307"/>
      <c r="BI313" s="307"/>
      <c r="BJ313" s="310"/>
      <c r="BK313" s="307"/>
      <c r="BL313" s="307"/>
      <c r="BM313" s="310"/>
      <c r="BN313" s="307"/>
      <c r="BO313" s="310"/>
      <c r="BP313" s="307"/>
      <c r="BQ313" s="307"/>
      <c r="BR313" s="307"/>
      <c r="BS313" s="307"/>
      <c r="BT313" s="307"/>
      <c r="BU313" s="310"/>
      <c r="BV313" s="307"/>
      <c r="BW313" s="308"/>
      <c r="BX313" s="311"/>
      <c r="BY313" s="307"/>
      <c r="BZ313" s="307"/>
      <c r="CA313" s="310"/>
      <c r="CB313" s="307"/>
      <c r="CC313" s="307"/>
      <c r="CD313" s="307"/>
      <c r="CE313" s="308"/>
      <c r="CF313" s="308"/>
      <c r="CG313" s="307"/>
      <c r="CH313" s="307"/>
      <c r="CI313" s="307"/>
      <c r="CJ313" s="307"/>
      <c r="CK313" s="314"/>
      <c r="CL313" s="310"/>
      <c r="CM313" s="310"/>
      <c r="CN313" s="307"/>
      <c r="CO313" s="307"/>
      <c r="CP313" s="307"/>
      <c r="CQ313" s="315"/>
      <c r="CR313" s="315"/>
      <c r="CS313" s="315"/>
      <c r="CT313" s="315"/>
      <c r="CU313" s="307"/>
      <c r="CV313" s="217"/>
      <c r="CW313" s="192"/>
      <c r="CX313" s="192"/>
      <c r="CY313" s="192"/>
      <c r="CZ313" s="191"/>
      <c r="DA313" s="193"/>
      <c r="DB313" s="192"/>
      <c r="DC313" s="192"/>
      <c r="DD313" s="192"/>
      <c r="DE313" s="191"/>
      <c r="DF313" s="19"/>
      <c r="DG313" s="192"/>
      <c r="DH313" s="192"/>
      <c r="DI313" s="192"/>
      <c r="DJ313" s="191"/>
      <c r="DK313" s="193"/>
      <c r="DL313" s="192"/>
      <c r="DM313" s="192"/>
      <c r="DN313" s="192"/>
      <c r="DO313" s="191"/>
      <c r="DP313" s="19"/>
      <c r="DQ313" s="192"/>
      <c r="DR313" s="192"/>
      <c r="DS313" s="192"/>
      <c r="DT313" s="191"/>
      <c r="DU313" s="193"/>
      <c r="DV313" s="192"/>
      <c r="DW313" s="192"/>
      <c r="DX313" s="192"/>
      <c r="DY313" s="191"/>
      <c r="DZ313" s="19"/>
      <c r="EA313" s="192"/>
      <c r="EB313" s="192"/>
      <c r="EC313" s="192"/>
      <c r="ED313" s="191"/>
      <c r="EE313" s="193"/>
      <c r="EF313" s="192"/>
      <c r="EG313" s="192"/>
      <c r="EH313" s="192"/>
      <c r="EI313" s="191"/>
      <c r="EJ313" s="19"/>
      <c r="EK313" s="192"/>
      <c r="EL313" s="192"/>
      <c r="EM313" s="192"/>
      <c r="EN313" s="191"/>
      <c r="EO313" s="193"/>
      <c r="EP313" s="192"/>
      <c r="EQ313" s="192"/>
      <c r="ER313" s="192"/>
      <c r="ES313" s="191"/>
      <c r="ET313" s="19"/>
      <c r="EU313" s="192"/>
      <c r="EV313" s="192"/>
      <c r="EW313" s="192"/>
      <c r="EX313" s="191"/>
      <c r="EY313" s="193"/>
      <c r="EZ313" s="192"/>
      <c r="FA313" s="192"/>
      <c r="FB313" s="192"/>
      <c r="FC313" s="191"/>
      <c r="FL313" s="273">
        <f t="shared" ca="1" si="14"/>
        <v>116</v>
      </c>
    </row>
    <row r="314" spans="1:168" ht="16.5" thickBot="1">
      <c r="A314" s="196">
        <v>311</v>
      </c>
      <c r="B314" s="306"/>
      <c r="C314" s="310"/>
      <c r="D314" s="307" t="s">
        <v>271</v>
      </c>
      <c r="E314" s="307" t="s">
        <v>271</v>
      </c>
      <c r="F314" s="308"/>
      <c r="G314" s="343" t="str">
        <f t="shared" si="12"/>
        <v xml:space="preserve"> </v>
      </c>
      <c r="H314" s="307"/>
      <c r="I314" s="309" t="e">
        <f t="shared" si="13"/>
        <v>#N/A</v>
      </c>
      <c r="J314" s="307"/>
      <c r="K314" s="307"/>
      <c r="L314" s="310"/>
      <c r="M314" s="310"/>
      <c r="N314" s="310"/>
      <c r="O314" s="310"/>
      <c r="P314" s="310"/>
      <c r="Q314" s="310"/>
      <c r="R314" s="310"/>
      <c r="S314" s="310"/>
      <c r="T314" s="310"/>
      <c r="U314" s="307"/>
      <c r="V314" s="307"/>
      <c r="W314" s="311"/>
      <c r="X314" s="307"/>
      <c r="Y314" s="307"/>
      <c r="Z314" s="307"/>
      <c r="AA314" s="307"/>
      <c r="AB314" s="311"/>
      <c r="AC314" s="307"/>
      <c r="AD314" s="307"/>
      <c r="AE314" s="307"/>
      <c r="AF314" s="307"/>
      <c r="AG314" s="310"/>
      <c r="AH314" s="307"/>
      <c r="AI314" s="310"/>
      <c r="AJ314" s="307"/>
      <c r="AK314" s="307"/>
      <c r="AL314" s="307"/>
      <c r="AM314" s="308"/>
      <c r="AN314" s="311"/>
      <c r="AO314" s="307"/>
      <c r="AP314" s="307"/>
      <c r="AQ314" s="308"/>
      <c r="AR314" s="307"/>
      <c r="AS314" s="307"/>
      <c r="AT314" s="307"/>
      <c r="AU314" s="310"/>
      <c r="AV314" s="308"/>
      <c r="AW314" s="312"/>
      <c r="AX314" s="308"/>
      <c r="AY314" s="307"/>
      <c r="AZ314" s="307"/>
      <c r="BA314" s="307"/>
      <c r="BB314" s="307"/>
      <c r="BC314" s="308"/>
      <c r="BD314" s="308"/>
      <c r="BE314" s="313"/>
      <c r="BF314" s="307"/>
      <c r="BG314" s="310"/>
      <c r="BH314" s="307"/>
      <c r="BI314" s="307"/>
      <c r="BJ314" s="310"/>
      <c r="BK314" s="307"/>
      <c r="BL314" s="307"/>
      <c r="BM314" s="310"/>
      <c r="BN314" s="307"/>
      <c r="BO314" s="310"/>
      <c r="BP314" s="307"/>
      <c r="BQ314" s="307"/>
      <c r="BR314" s="307"/>
      <c r="BS314" s="307"/>
      <c r="BT314" s="307"/>
      <c r="BU314" s="310"/>
      <c r="BV314" s="307"/>
      <c r="BW314" s="308"/>
      <c r="BX314" s="311"/>
      <c r="BY314" s="307"/>
      <c r="BZ314" s="307"/>
      <c r="CA314" s="310"/>
      <c r="CB314" s="307"/>
      <c r="CC314" s="307"/>
      <c r="CD314" s="307"/>
      <c r="CE314" s="308"/>
      <c r="CF314" s="308"/>
      <c r="CG314" s="307"/>
      <c r="CH314" s="307"/>
      <c r="CI314" s="307"/>
      <c r="CJ314" s="307"/>
      <c r="CK314" s="314"/>
      <c r="CL314" s="310"/>
      <c r="CM314" s="310"/>
      <c r="CN314" s="307"/>
      <c r="CO314" s="307"/>
      <c r="CP314" s="307"/>
      <c r="CQ314" s="315"/>
      <c r="CR314" s="315"/>
      <c r="CS314" s="315"/>
      <c r="CT314" s="315"/>
      <c r="CU314" s="307"/>
      <c r="CV314" s="217"/>
      <c r="CW314" s="192"/>
      <c r="CX314" s="192"/>
      <c r="CY314" s="192"/>
      <c r="CZ314" s="191"/>
      <c r="DA314" s="193"/>
      <c r="DB314" s="192"/>
      <c r="DC314" s="192"/>
      <c r="DD314" s="192"/>
      <c r="DE314" s="191"/>
      <c r="DF314" s="19"/>
      <c r="DG314" s="192"/>
      <c r="DH314" s="192"/>
      <c r="DI314" s="192"/>
      <c r="DJ314" s="191"/>
      <c r="DK314" s="193"/>
      <c r="DL314" s="192"/>
      <c r="DM314" s="192"/>
      <c r="DN314" s="192"/>
      <c r="DO314" s="191"/>
      <c r="DP314" s="19"/>
      <c r="DQ314" s="192"/>
      <c r="DR314" s="192"/>
      <c r="DS314" s="192"/>
      <c r="DT314" s="191"/>
      <c r="DU314" s="193"/>
      <c r="DV314" s="192"/>
      <c r="DW314" s="192"/>
      <c r="DX314" s="192"/>
      <c r="DY314" s="191"/>
      <c r="DZ314" s="19"/>
      <c r="EA314" s="192"/>
      <c r="EB314" s="192"/>
      <c r="EC314" s="192"/>
      <c r="ED314" s="191"/>
      <c r="EE314" s="193"/>
      <c r="EF314" s="192"/>
      <c r="EG314" s="192"/>
      <c r="EH314" s="192"/>
      <c r="EI314" s="191"/>
      <c r="EJ314" s="19"/>
      <c r="EK314" s="192"/>
      <c r="EL314" s="192"/>
      <c r="EM314" s="192"/>
      <c r="EN314" s="191"/>
      <c r="EO314" s="193"/>
      <c r="EP314" s="192"/>
      <c r="EQ314" s="192"/>
      <c r="ER314" s="192"/>
      <c r="ES314" s="191"/>
      <c r="ET314" s="19"/>
      <c r="EU314" s="192"/>
      <c r="EV314" s="192"/>
      <c r="EW314" s="192"/>
      <c r="EX314" s="191"/>
      <c r="EY314" s="193"/>
      <c r="EZ314" s="192"/>
      <c r="FA314" s="192"/>
      <c r="FB314" s="192"/>
      <c r="FC314" s="191"/>
      <c r="FL314" s="273">
        <f t="shared" ca="1" si="14"/>
        <v>116</v>
      </c>
    </row>
    <row r="315" spans="1:168" ht="16.5" thickBot="1">
      <c r="A315" s="199">
        <v>312</v>
      </c>
      <c r="B315" s="306"/>
      <c r="C315" s="310"/>
      <c r="D315" s="307" t="s">
        <v>271</v>
      </c>
      <c r="E315" s="307" t="s">
        <v>271</v>
      </c>
      <c r="F315" s="308"/>
      <c r="G315" s="343" t="str">
        <f t="shared" si="12"/>
        <v xml:space="preserve"> </v>
      </c>
      <c r="H315" s="307"/>
      <c r="I315" s="309" t="e">
        <f t="shared" si="13"/>
        <v>#N/A</v>
      </c>
      <c r="J315" s="307"/>
      <c r="K315" s="307"/>
      <c r="L315" s="310"/>
      <c r="M315" s="310"/>
      <c r="N315" s="310"/>
      <c r="O315" s="310"/>
      <c r="P315" s="310"/>
      <c r="Q315" s="310"/>
      <c r="R315" s="310"/>
      <c r="S315" s="310"/>
      <c r="T315" s="310"/>
      <c r="U315" s="307"/>
      <c r="V315" s="307"/>
      <c r="W315" s="311"/>
      <c r="X315" s="307"/>
      <c r="Y315" s="307"/>
      <c r="Z315" s="307"/>
      <c r="AA315" s="307"/>
      <c r="AB315" s="311"/>
      <c r="AC315" s="307"/>
      <c r="AD315" s="307"/>
      <c r="AE315" s="307"/>
      <c r="AF315" s="307"/>
      <c r="AG315" s="310"/>
      <c r="AH315" s="307"/>
      <c r="AI315" s="310"/>
      <c r="AJ315" s="307"/>
      <c r="AK315" s="307"/>
      <c r="AL315" s="307"/>
      <c r="AM315" s="308"/>
      <c r="AN315" s="311"/>
      <c r="AO315" s="307"/>
      <c r="AP315" s="307"/>
      <c r="AQ315" s="308"/>
      <c r="AR315" s="307"/>
      <c r="AS315" s="307"/>
      <c r="AT315" s="307"/>
      <c r="AU315" s="310"/>
      <c r="AV315" s="308"/>
      <c r="AW315" s="312"/>
      <c r="AX315" s="308"/>
      <c r="AY315" s="307"/>
      <c r="AZ315" s="307"/>
      <c r="BA315" s="307"/>
      <c r="BB315" s="307"/>
      <c r="BC315" s="308"/>
      <c r="BD315" s="308"/>
      <c r="BE315" s="313"/>
      <c r="BF315" s="307"/>
      <c r="BG315" s="310"/>
      <c r="BH315" s="307"/>
      <c r="BI315" s="307"/>
      <c r="BJ315" s="310"/>
      <c r="BK315" s="307"/>
      <c r="BL315" s="307"/>
      <c r="BM315" s="310"/>
      <c r="BN315" s="307"/>
      <c r="BO315" s="310"/>
      <c r="BP315" s="307"/>
      <c r="BQ315" s="307"/>
      <c r="BR315" s="307"/>
      <c r="BS315" s="307"/>
      <c r="BT315" s="307"/>
      <c r="BU315" s="310"/>
      <c r="BV315" s="307"/>
      <c r="BW315" s="308"/>
      <c r="BX315" s="311"/>
      <c r="BY315" s="307"/>
      <c r="BZ315" s="307"/>
      <c r="CA315" s="310"/>
      <c r="CB315" s="307"/>
      <c r="CC315" s="307"/>
      <c r="CD315" s="307"/>
      <c r="CE315" s="308"/>
      <c r="CF315" s="308"/>
      <c r="CG315" s="307"/>
      <c r="CH315" s="307"/>
      <c r="CI315" s="307"/>
      <c r="CJ315" s="307"/>
      <c r="CK315" s="314"/>
      <c r="CL315" s="310"/>
      <c r="CM315" s="310"/>
      <c r="CN315" s="307"/>
      <c r="CO315" s="307"/>
      <c r="CP315" s="307"/>
      <c r="CQ315" s="315"/>
      <c r="CR315" s="315"/>
      <c r="CS315" s="315"/>
      <c r="CT315" s="315"/>
      <c r="CU315" s="307"/>
      <c r="CV315" s="217"/>
      <c r="CW315" s="192"/>
      <c r="CX315" s="192"/>
      <c r="CY315" s="192"/>
      <c r="CZ315" s="191"/>
      <c r="DA315" s="193"/>
      <c r="DB315" s="192"/>
      <c r="DC315" s="192"/>
      <c r="DD315" s="192"/>
      <c r="DE315" s="191"/>
      <c r="DF315" s="19"/>
      <c r="DG315" s="192"/>
      <c r="DH315" s="192"/>
      <c r="DI315" s="192"/>
      <c r="DJ315" s="191"/>
      <c r="DK315" s="193"/>
      <c r="DL315" s="192"/>
      <c r="DM315" s="192"/>
      <c r="DN315" s="192"/>
      <c r="DO315" s="191"/>
      <c r="DP315" s="19"/>
      <c r="DQ315" s="192"/>
      <c r="DR315" s="192"/>
      <c r="DS315" s="192"/>
      <c r="DT315" s="191"/>
      <c r="DU315" s="193"/>
      <c r="DV315" s="192"/>
      <c r="DW315" s="192"/>
      <c r="DX315" s="192"/>
      <c r="DY315" s="191"/>
      <c r="DZ315" s="19"/>
      <c r="EA315" s="192"/>
      <c r="EB315" s="192"/>
      <c r="EC315" s="192"/>
      <c r="ED315" s="191"/>
      <c r="EE315" s="193"/>
      <c r="EF315" s="192"/>
      <c r="EG315" s="192"/>
      <c r="EH315" s="192"/>
      <c r="EI315" s="191"/>
      <c r="EJ315" s="19"/>
      <c r="EK315" s="192"/>
      <c r="EL315" s="192"/>
      <c r="EM315" s="192"/>
      <c r="EN315" s="191"/>
      <c r="EO315" s="193"/>
      <c r="EP315" s="192"/>
      <c r="EQ315" s="192"/>
      <c r="ER315" s="192"/>
      <c r="ES315" s="191"/>
      <c r="ET315" s="19"/>
      <c r="EU315" s="192"/>
      <c r="EV315" s="192"/>
      <c r="EW315" s="192"/>
      <c r="EX315" s="191"/>
      <c r="EY315" s="193"/>
      <c r="EZ315" s="192"/>
      <c r="FA315" s="192"/>
      <c r="FB315" s="192"/>
      <c r="FC315" s="191"/>
      <c r="FL315" s="273">
        <f t="shared" ca="1" si="14"/>
        <v>116</v>
      </c>
    </row>
    <row r="316" spans="1:168" ht="16.5" thickBot="1">
      <c r="A316" s="196">
        <v>313</v>
      </c>
      <c r="B316" s="306"/>
      <c r="C316" s="310"/>
      <c r="D316" s="307" t="s">
        <v>271</v>
      </c>
      <c r="E316" s="307" t="s">
        <v>271</v>
      </c>
      <c r="F316" s="308"/>
      <c r="G316" s="343" t="str">
        <f t="shared" si="12"/>
        <v xml:space="preserve"> </v>
      </c>
      <c r="H316" s="307"/>
      <c r="I316" s="309" t="e">
        <f t="shared" si="13"/>
        <v>#N/A</v>
      </c>
      <c r="J316" s="307"/>
      <c r="K316" s="307"/>
      <c r="L316" s="310"/>
      <c r="M316" s="310"/>
      <c r="N316" s="310"/>
      <c r="O316" s="310"/>
      <c r="P316" s="310"/>
      <c r="Q316" s="310"/>
      <c r="R316" s="310"/>
      <c r="S316" s="310"/>
      <c r="T316" s="310"/>
      <c r="U316" s="307"/>
      <c r="V316" s="307"/>
      <c r="W316" s="311"/>
      <c r="X316" s="307"/>
      <c r="Y316" s="307"/>
      <c r="Z316" s="307"/>
      <c r="AA316" s="307"/>
      <c r="AB316" s="311"/>
      <c r="AC316" s="307"/>
      <c r="AD316" s="307"/>
      <c r="AE316" s="307"/>
      <c r="AF316" s="307"/>
      <c r="AG316" s="310"/>
      <c r="AH316" s="307"/>
      <c r="AI316" s="310"/>
      <c r="AJ316" s="307"/>
      <c r="AK316" s="307"/>
      <c r="AL316" s="307"/>
      <c r="AM316" s="308"/>
      <c r="AN316" s="311"/>
      <c r="AO316" s="307"/>
      <c r="AP316" s="307"/>
      <c r="AQ316" s="308"/>
      <c r="AR316" s="307"/>
      <c r="AS316" s="307"/>
      <c r="AT316" s="307"/>
      <c r="AU316" s="310"/>
      <c r="AV316" s="308"/>
      <c r="AW316" s="312"/>
      <c r="AX316" s="308"/>
      <c r="AY316" s="307"/>
      <c r="AZ316" s="307"/>
      <c r="BA316" s="307"/>
      <c r="BB316" s="307"/>
      <c r="BC316" s="308"/>
      <c r="BD316" s="308"/>
      <c r="BE316" s="313"/>
      <c r="BF316" s="307"/>
      <c r="BG316" s="310"/>
      <c r="BH316" s="307"/>
      <c r="BI316" s="307"/>
      <c r="BJ316" s="310"/>
      <c r="BK316" s="307"/>
      <c r="BL316" s="307"/>
      <c r="BM316" s="310"/>
      <c r="BN316" s="307"/>
      <c r="BO316" s="310"/>
      <c r="BP316" s="307"/>
      <c r="BQ316" s="307"/>
      <c r="BR316" s="307"/>
      <c r="BS316" s="307"/>
      <c r="BT316" s="307"/>
      <c r="BU316" s="310"/>
      <c r="BV316" s="307"/>
      <c r="BW316" s="308"/>
      <c r="BX316" s="311"/>
      <c r="BY316" s="307"/>
      <c r="BZ316" s="307"/>
      <c r="CA316" s="310"/>
      <c r="CB316" s="307"/>
      <c r="CC316" s="307"/>
      <c r="CD316" s="307"/>
      <c r="CE316" s="308"/>
      <c r="CF316" s="308"/>
      <c r="CG316" s="307"/>
      <c r="CH316" s="307"/>
      <c r="CI316" s="307"/>
      <c r="CJ316" s="307"/>
      <c r="CK316" s="314"/>
      <c r="CL316" s="310"/>
      <c r="CM316" s="310"/>
      <c r="CN316" s="307"/>
      <c r="CO316" s="307"/>
      <c r="CP316" s="307"/>
      <c r="CQ316" s="315"/>
      <c r="CR316" s="315"/>
      <c r="CS316" s="315"/>
      <c r="CT316" s="315"/>
      <c r="CU316" s="307"/>
      <c r="CV316" s="217"/>
      <c r="CW316" s="192"/>
      <c r="CX316" s="192"/>
      <c r="CY316" s="192"/>
      <c r="CZ316" s="191"/>
      <c r="DA316" s="193"/>
      <c r="DB316" s="192"/>
      <c r="DC316" s="192"/>
      <c r="DD316" s="192"/>
      <c r="DE316" s="191"/>
      <c r="DF316" s="19"/>
      <c r="DG316" s="192"/>
      <c r="DH316" s="192"/>
      <c r="DI316" s="192"/>
      <c r="DJ316" s="191"/>
      <c r="DK316" s="193"/>
      <c r="DL316" s="192"/>
      <c r="DM316" s="192"/>
      <c r="DN316" s="192"/>
      <c r="DO316" s="191"/>
      <c r="DP316" s="19"/>
      <c r="DQ316" s="192"/>
      <c r="DR316" s="192"/>
      <c r="DS316" s="192"/>
      <c r="DT316" s="191"/>
      <c r="DU316" s="193"/>
      <c r="DV316" s="192"/>
      <c r="DW316" s="192"/>
      <c r="DX316" s="192"/>
      <c r="DY316" s="191"/>
      <c r="DZ316" s="19"/>
      <c r="EA316" s="192"/>
      <c r="EB316" s="192"/>
      <c r="EC316" s="192"/>
      <c r="ED316" s="191"/>
      <c r="EE316" s="193"/>
      <c r="EF316" s="192"/>
      <c r="EG316" s="192"/>
      <c r="EH316" s="192"/>
      <c r="EI316" s="191"/>
      <c r="EJ316" s="19"/>
      <c r="EK316" s="192"/>
      <c r="EL316" s="192"/>
      <c r="EM316" s="192"/>
      <c r="EN316" s="191"/>
      <c r="EO316" s="193"/>
      <c r="EP316" s="192"/>
      <c r="EQ316" s="192"/>
      <c r="ER316" s="192"/>
      <c r="ES316" s="191"/>
      <c r="ET316" s="19"/>
      <c r="EU316" s="192"/>
      <c r="EV316" s="192"/>
      <c r="EW316" s="192"/>
      <c r="EX316" s="191"/>
      <c r="EY316" s="193"/>
      <c r="EZ316" s="192"/>
      <c r="FA316" s="192"/>
      <c r="FB316" s="192"/>
      <c r="FC316" s="191"/>
      <c r="FL316" s="273">
        <f t="shared" ca="1" si="14"/>
        <v>116</v>
      </c>
    </row>
    <row r="317" spans="1:168" ht="16.5" thickBot="1">
      <c r="A317" s="199">
        <v>314</v>
      </c>
      <c r="B317" s="306"/>
      <c r="C317" s="310"/>
      <c r="D317" s="307" t="s">
        <v>271</v>
      </c>
      <c r="E317" s="307" t="s">
        <v>271</v>
      </c>
      <c r="F317" s="308"/>
      <c r="G317" s="343" t="str">
        <f t="shared" si="12"/>
        <v xml:space="preserve"> </v>
      </c>
      <c r="H317" s="307"/>
      <c r="I317" s="309" t="e">
        <f t="shared" si="13"/>
        <v>#N/A</v>
      </c>
      <c r="J317" s="307"/>
      <c r="K317" s="307"/>
      <c r="L317" s="310"/>
      <c r="M317" s="310"/>
      <c r="N317" s="310"/>
      <c r="O317" s="310"/>
      <c r="P317" s="310"/>
      <c r="Q317" s="310"/>
      <c r="R317" s="310"/>
      <c r="S317" s="310"/>
      <c r="T317" s="310"/>
      <c r="U317" s="307"/>
      <c r="V317" s="307"/>
      <c r="W317" s="311"/>
      <c r="X317" s="307"/>
      <c r="Y317" s="307"/>
      <c r="Z317" s="307"/>
      <c r="AA317" s="307"/>
      <c r="AB317" s="311"/>
      <c r="AC317" s="307"/>
      <c r="AD317" s="307"/>
      <c r="AE317" s="307"/>
      <c r="AF317" s="307"/>
      <c r="AG317" s="310"/>
      <c r="AH317" s="307"/>
      <c r="AI317" s="310"/>
      <c r="AJ317" s="307"/>
      <c r="AK317" s="307"/>
      <c r="AL317" s="307"/>
      <c r="AM317" s="308"/>
      <c r="AN317" s="311"/>
      <c r="AO317" s="307"/>
      <c r="AP317" s="307"/>
      <c r="AQ317" s="308"/>
      <c r="AR317" s="307"/>
      <c r="AS317" s="307"/>
      <c r="AT317" s="307"/>
      <c r="AU317" s="310"/>
      <c r="AV317" s="308"/>
      <c r="AW317" s="312"/>
      <c r="AX317" s="308"/>
      <c r="AY317" s="307"/>
      <c r="AZ317" s="307"/>
      <c r="BA317" s="307"/>
      <c r="BB317" s="307"/>
      <c r="BC317" s="308"/>
      <c r="BD317" s="308"/>
      <c r="BE317" s="313"/>
      <c r="BF317" s="307"/>
      <c r="BG317" s="310"/>
      <c r="BH317" s="307"/>
      <c r="BI317" s="307"/>
      <c r="BJ317" s="310"/>
      <c r="BK317" s="307"/>
      <c r="BL317" s="307"/>
      <c r="BM317" s="310"/>
      <c r="BN317" s="307"/>
      <c r="BO317" s="310"/>
      <c r="BP317" s="307"/>
      <c r="BQ317" s="307"/>
      <c r="BR317" s="307"/>
      <c r="BS317" s="307"/>
      <c r="BT317" s="307"/>
      <c r="BU317" s="310"/>
      <c r="BV317" s="307"/>
      <c r="BW317" s="308"/>
      <c r="BX317" s="311"/>
      <c r="BY317" s="307"/>
      <c r="BZ317" s="307"/>
      <c r="CA317" s="310"/>
      <c r="CB317" s="307"/>
      <c r="CC317" s="307"/>
      <c r="CD317" s="307"/>
      <c r="CE317" s="308"/>
      <c r="CF317" s="308"/>
      <c r="CG317" s="307"/>
      <c r="CH317" s="307"/>
      <c r="CI317" s="307"/>
      <c r="CJ317" s="307"/>
      <c r="CK317" s="314"/>
      <c r="CL317" s="310"/>
      <c r="CM317" s="310"/>
      <c r="CN317" s="307"/>
      <c r="CO317" s="307"/>
      <c r="CP317" s="307"/>
      <c r="CQ317" s="315"/>
      <c r="CR317" s="315"/>
      <c r="CS317" s="315"/>
      <c r="CT317" s="315"/>
      <c r="CU317" s="307"/>
      <c r="CV317" s="217"/>
      <c r="CW317" s="192"/>
      <c r="CX317" s="192"/>
      <c r="CY317" s="192"/>
      <c r="CZ317" s="191"/>
      <c r="DA317" s="193"/>
      <c r="DB317" s="192"/>
      <c r="DC317" s="192"/>
      <c r="DD317" s="192"/>
      <c r="DE317" s="191"/>
      <c r="DF317" s="19"/>
      <c r="DG317" s="192"/>
      <c r="DH317" s="192"/>
      <c r="DI317" s="192"/>
      <c r="DJ317" s="191"/>
      <c r="DK317" s="193"/>
      <c r="DL317" s="192"/>
      <c r="DM317" s="192"/>
      <c r="DN317" s="192"/>
      <c r="DO317" s="191"/>
      <c r="DP317" s="19"/>
      <c r="DQ317" s="192"/>
      <c r="DR317" s="192"/>
      <c r="DS317" s="192"/>
      <c r="DT317" s="191"/>
      <c r="DU317" s="193"/>
      <c r="DV317" s="192"/>
      <c r="DW317" s="192"/>
      <c r="DX317" s="192"/>
      <c r="DY317" s="191"/>
      <c r="DZ317" s="19"/>
      <c r="EA317" s="192"/>
      <c r="EB317" s="192"/>
      <c r="EC317" s="192"/>
      <c r="ED317" s="191"/>
      <c r="EE317" s="193"/>
      <c r="EF317" s="192"/>
      <c r="EG317" s="192"/>
      <c r="EH317" s="192"/>
      <c r="EI317" s="191"/>
      <c r="EJ317" s="19"/>
      <c r="EK317" s="192"/>
      <c r="EL317" s="192"/>
      <c r="EM317" s="192"/>
      <c r="EN317" s="191"/>
      <c r="EO317" s="193"/>
      <c r="EP317" s="192"/>
      <c r="EQ317" s="192"/>
      <c r="ER317" s="192"/>
      <c r="ES317" s="191"/>
      <c r="ET317" s="19"/>
      <c r="EU317" s="192"/>
      <c r="EV317" s="192"/>
      <c r="EW317" s="192"/>
      <c r="EX317" s="191"/>
      <c r="EY317" s="193"/>
      <c r="EZ317" s="192"/>
      <c r="FA317" s="192"/>
      <c r="FB317" s="192"/>
      <c r="FC317" s="191"/>
      <c r="FL317" s="273">
        <f t="shared" ca="1" si="14"/>
        <v>116</v>
      </c>
    </row>
    <row r="318" spans="1:168" ht="16.5" thickBot="1">
      <c r="A318" s="196">
        <v>315</v>
      </c>
      <c r="B318" s="306"/>
      <c r="C318" s="310"/>
      <c r="D318" s="307" t="s">
        <v>271</v>
      </c>
      <c r="E318" s="307" t="s">
        <v>271</v>
      </c>
      <c r="F318" s="308"/>
      <c r="G318" s="343" t="str">
        <f t="shared" si="12"/>
        <v xml:space="preserve"> </v>
      </c>
      <c r="H318" s="307"/>
      <c r="I318" s="309" t="e">
        <f t="shared" si="13"/>
        <v>#N/A</v>
      </c>
      <c r="J318" s="307"/>
      <c r="K318" s="307"/>
      <c r="L318" s="310"/>
      <c r="M318" s="310"/>
      <c r="N318" s="310"/>
      <c r="O318" s="310"/>
      <c r="P318" s="310"/>
      <c r="Q318" s="310"/>
      <c r="R318" s="310"/>
      <c r="S318" s="310"/>
      <c r="T318" s="310"/>
      <c r="U318" s="307"/>
      <c r="V318" s="307"/>
      <c r="W318" s="311"/>
      <c r="X318" s="307"/>
      <c r="Y318" s="307"/>
      <c r="Z318" s="307"/>
      <c r="AA318" s="307"/>
      <c r="AB318" s="311"/>
      <c r="AC318" s="307"/>
      <c r="AD318" s="307"/>
      <c r="AE318" s="307"/>
      <c r="AF318" s="307"/>
      <c r="AG318" s="310"/>
      <c r="AH318" s="307"/>
      <c r="AI318" s="310"/>
      <c r="AJ318" s="307"/>
      <c r="AK318" s="307"/>
      <c r="AL318" s="307"/>
      <c r="AM318" s="308"/>
      <c r="AN318" s="311"/>
      <c r="AO318" s="307"/>
      <c r="AP318" s="307"/>
      <c r="AQ318" s="308"/>
      <c r="AR318" s="307"/>
      <c r="AS318" s="307"/>
      <c r="AT318" s="307"/>
      <c r="AU318" s="310"/>
      <c r="AV318" s="308"/>
      <c r="AW318" s="312"/>
      <c r="AX318" s="308"/>
      <c r="AY318" s="307"/>
      <c r="AZ318" s="307"/>
      <c r="BA318" s="307"/>
      <c r="BB318" s="307"/>
      <c r="BC318" s="308"/>
      <c r="BD318" s="308"/>
      <c r="BE318" s="313"/>
      <c r="BF318" s="307"/>
      <c r="BG318" s="310"/>
      <c r="BH318" s="307"/>
      <c r="BI318" s="307"/>
      <c r="BJ318" s="310"/>
      <c r="BK318" s="307"/>
      <c r="BL318" s="307"/>
      <c r="BM318" s="310"/>
      <c r="BN318" s="307"/>
      <c r="BO318" s="310"/>
      <c r="BP318" s="307"/>
      <c r="BQ318" s="307"/>
      <c r="BR318" s="307"/>
      <c r="BS318" s="307"/>
      <c r="BT318" s="307"/>
      <c r="BU318" s="310"/>
      <c r="BV318" s="307"/>
      <c r="BW318" s="308"/>
      <c r="BX318" s="311"/>
      <c r="BY318" s="307"/>
      <c r="BZ318" s="307"/>
      <c r="CA318" s="310"/>
      <c r="CB318" s="307"/>
      <c r="CC318" s="307"/>
      <c r="CD318" s="307"/>
      <c r="CE318" s="308"/>
      <c r="CF318" s="308"/>
      <c r="CG318" s="307"/>
      <c r="CH318" s="307"/>
      <c r="CI318" s="307"/>
      <c r="CJ318" s="307"/>
      <c r="CK318" s="314"/>
      <c r="CL318" s="310"/>
      <c r="CM318" s="310"/>
      <c r="CN318" s="307"/>
      <c r="CO318" s="307"/>
      <c r="CP318" s="307"/>
      <c r="CQ318" s="315"/>
      <c r="CR318" s="315"/>
      <c r="CS318" s="315"/>
      <c r="CT318" s="315"/>
      <c r="CU318" s="307"/>
      <c r="CV318" s="217"/>
      <c r="CW318" s="192"/>
      <c r="CX318" s="192"/>
      <c r="CY318" s="192"/>
      <c r="CZ318" s="191"/>
      <c r="DA318" s="193"/>
      <c r="DB318" s="192"/>
      <c r="DC318" s="192"/>
      <c r="DD318" s="192"/>
      <c r="DE318" s="191"/>
      <c r="DF318" s="19"/>
      <c r="DG318" s="192"/>
      <c r="DH318" s="192"/>
      <c r="DI318" s="192"/>
      <c r="DJ318" s="191"/>
      <c r="DK318" s="193"/>
      <c r="DL318" s="192"/>
      <c r="DM318" s="192"/>
      <c r="DN318" s="192"/>
      <c r="DO318" s="191"/>
      <c r="DP318" s="19"/>
      <c r="DQ318" s="192"/>
      <c r="DR318" s="192"/>
      <c r="DS318" s="192"/>
      <c r="DT318" s="191"/>
      <c r="DU318" s="193"/>
      <c r="DV318" s="192"/>
      <c r="DW318" s="192"/>
      <c r="DX318" s="192"/>
      <c r="DY318" s="191"/>
      <c r="DZ318" s="19"/>
      <c r="EA318" s="192"/>
      <c r="EB318" s="192"/>
      <c r="EC318" s="192"/>
      <c r="ED318" s="191"/>
      <c r="EE318" s="193"/>
      <c r="EF318" s="192"/>
      <c r="EG318" s="192"/>
      <c r="EH318" s="192"/>
      <c r="EI318" s="191"/>
      <c r="EJ318" s="19"/>
      <c r="EK318" s="192"/>
      <c r="EL318" s="192"/>
      <c r="EM318" s="192"/>
      <c r="EN318" s="191"/>
      <c r="EO318" s="193"/>
      <c r="EP318" s="192"/>
      <c r="EQ318" s="192"/>
      <c r="ER318" s="192"/>
      <c r="ES318" s="191"/>
      <c r="ET318" s="19"/>
      <c r="EU318" s="192"/>
      <c r="EV318" s="192"/>
      <c r="EW318" s="192"/>
      <c r="EX318" s="191"/>
      <c r="EY318" s="193"/>
      <c r="EZ318" s="192"/>
      <c r="FA318" s="192"/>
      <c r="FB318" s="192"/>
      <c r="FC318" s="191"/>
      <c r="FL318" s="273">
        <f t="shared" ca="1" si="14"/>
        <v>116</v>
      </c>
    </row>
    <row r="319" spans="1:168" ht="16.5" thickBot="1">
      <c r="A319" s="199">
        <v>316</v>
      </c>
      <c r="B319" s="306"/>
      <c r="C319" s="310"/>
      <c r="D319" s="307" t="s">
        <v>271</v>
      </c>
      <c r="E319" s="307" t="s">
        <v>271</v>
      </c>
      <c r="F319" s="308"/>
      <c r="G319" s="343" t="str">
        <f t="shared" si="12"/>
        <v xml:space="preserve"> </v>
      </c>
      <c r="H319" s="307"/>
      <c r="I319" s="309" t="e">
        <f t="shared" si="13"/>
        <v>#N/A</v>
      </c>
      <c r="J319" s="307"/>
      <c r="K319" s="307"/>
      <c r="L319" s="310"/>
      <c r="M319" s="310"/>
      <c r="N319" s="310"/>
      <c r="O319" s="310"/>
      <c r="P319" s="310"/>
      <c r="Q319" s="310"/>
      <c r="R319" s="310"/>
      <c r="S319" s="310"/>
      <c r="T319" s="310"/>
      <c r="U319" s="307"/>
      <c r="V319" s="307"/>
      <c r="W319" s="311"/>
      <c r="X319" s="307"/>
      <c r="Y319" s="307"/>
      <c r="Z319" s="307"/>
      <c r="AA319" s="307"/>
      <c r="AB319" s="311"/>
      <c r="AC319" s="307"/>
      <c r="AD319" s="307"/>
      <c r="AE319" s="307"/>
      <c r="AF319" s="307"/>
      <c r="AG319" s="310"/>
      <c r="AH319" s="307"/>
      <c r="AI319" s="310"/>
      <c r="AJ319" s="307"/>
      <c r="AK319" s="307"/>
      <c r="AL319" s="307"/>
      <c r="AM319" s="308"/>
      <c r="AN319" s="311"/>
      <c r="AO319" s="307"/>
      <c r="AP319" s="307"/>
      <c r="AQ319" s="308"/>
      <c r="AR319" s="307"/>
      <c r="AS319" s="307"/>
      <c r="AT319" s="307"/>
      <c r="AU319" s="310"/>
      <c r="AV319" s="308"/>
      <c r="AW319" s="312"/>
      <c r="AX319" s="308"/>
      <c r="AY319" s="307"/>
      <c r="AZ319" s="307"/>
      <c r="BA319" s="307"/>
      <c r="BB319" s="307"/>
      <c r="BC319" s="308"/>
      <c r="BD319" s="308"/>
      <c r="BE319" s="313"/>
      <c r="BF319" s="307"/>
      <c r="BG319" s="310"/>
      <c r="BH319" s="307"/>
      <c r="BI319" s="307"/>
      <c r="BJ319" s="310"/>
      <c r="BK319" s="307"/>
      <c r="BL319" s="307"/>
      <c r="BM319" s="310"/>
      <c r="BN319" s="307"/>
      <c r="BO319" s="310"/>
      <c r="BP319" s="307"/>
      <c r="BQ319" s="307"/>
      <c r="BR319" s="307"/>
      <c r="BS319" s="307"/>
      <c r="BT319" s="307"/>
      <c r="BU319" s="310"/>
      <c r="BV319" s="307"/>
      <c r="BW319" s="308"/>
      <c r="BX319" s="311"/>
      <c r="BY319" s="307"/>
      <c r="BZ319" s="307"/>
      <c r="CA319" s="310"/>
      <c r="CB319" s="307"/>
      <c r="CC319" s="307"/>
      <c r="CD319" s="307"/>
      <c r="CE319" s="308"/>
      <c r="CF319" s="308"/>
      <c r="CG319" s="307"/>
      <c r="CH319" s="307"/>
      <c r="CI319" s="307"/>
      <c r="CJ319" s="307"/>
      <c r="CK319" s="314"/>
      <c r="CL319" s="310"/>
      <c r="CM319" s="310"/>
      <c r="CN319" s="307"/>
      <c r="CO319" s="307"/>
      <c r="CP319" s="307"/>
      <c r="CQ319" s="315"/>
      <c r="CR319" s="315"/>
      <c r="CS319" s="315"/>
      <c r="CT319" s="315"/>
      <c r="CU319" s="307"/>
      <c r="CV319" s="217"/>
      <c r="CW319" s="192"/>
      <c r="CX319" s="192"/>
      <c r="CY319" s="192"/>
      <c r="CZ319" s="191"/>
      <c r="DA319" s="193"/>
      <c r="DB319" s="192"/>
      <c r="DC319" s="192"/>
      <c r="DD319" s="192"/>
      <c r="DE319" s="191"/>
      <c r="DF319" s="19"/>
      <c r="DG319" s="192"/>
      <c r="DH319" s="192"/>
      <c r="DI319" s="192"/>
      <c r="DJ319" s="191"/>
      <c r="DK319" s="193"/>
      <c r="DL319" s="192"/>
      <c r="DM319" s="192"/>
      <c r="DN319" s="192"/>
      <c r="DO319" s="191"/>
      <c r="DP319" s="19"/>
      <c r="DQ319" s="192"/>
      <c r="DR319" s="192"/>
      <c r="DS319" s="192"/>
      <c r="DT319" s="191"/>
      <c r="DU319" s="193"/>
      <c r="DV319" s="192"/>
      <c r="DW319" s="192"/>
      <c r="DX319" s="192"/>
      <c r="DY319" s="191"/>
      <c r="DZ319" s="19"/>
      <c r="EA319" s="192"/>
      <c r="EB319" s="192"/>
      <c r="EC319" s="192"/>
      <c r="ED319" s="191"/>
      <c r="EE319" s="193"/>
      <c r="EF319" s="192"/>
      <c r="EG319" s="192"/>
      <c r="EH319" s="192"/>
      <c r="EI319" s="191"/>
      <c r="EJ319" s="19"/>
      <c r="EK319" s="192"/>
      <c r="EL319" s="192"/>
      <c r="EM319" s="192"/>
      <c r="EN319" s="191"/>
      <c r="EO319" s="193"/>
      <c r="EP319" s="192"/>
      <c r="EQ319" s="192"/>
      <c r="ER319" s="192"/>
      <c r="ES319" s="191"/>
      <c r="ET319" s="19"/>
      <c r="EU319" s="192"/>
      <c r="EV319" s="192"/>
      <c r="EW319" s="192"/>
      <c r="EX319" s="191"/>
      <c r="EY319" s="193"/>
      <c r="EZ319" s="192"/>
      <c r="FA319" s="192"/>
      <c r="FB319" s="192"/>
      <c r="FC319" s="191"/>
      <c r="FL319" s="273">
        <f t="shared" ca="1" si="14"/>
        <v>116</v>
      </c>
    </row>
    <row r="320" spans="1:168" ht="16.5" thickBot="1">
      <c r="A320" s="196">
        <v>317</v>
      </c>
      <c r="B320" s="306"/>
      <c r="C320" s="310"/>
      <c r="D320" s="307" t="s">
        <v>271</v>
      </c>
      <c r="E320" s="307" t="s">
        <v>271</v>
      </c>
      <c r="F320" s="308"/>
      <c r="G320" s="343" t="str">
        <f t="shared" si="12"/>
        <v xml:space="preserve"> </v>
      </c>
      <c r="H320" s="307"/>
      <c r="I320" s="309" t="e">
        <f t="shared" si="13"/>
        <v>#N/A</v>
      </c>
      <c r="J320" s="307"/>
      <c r="K320" s="307"/>
      <c r="L320" s="310"/>
      <c r="M320" s="310"/>
      <c r="N320" s="310"/>
      <c r="O320" s="310"/>
      <c r="P320" s="310"/>
      <c r="Q320" s="310"/>
      <c r="R320" s="310"/>
      <c r="S320" s="310"/>
      <c r="T320" s="310"/>
      <c r="U320" s="307"/>
      <c r="V320" s="307"/>
      <c r="W320" s="311"/>
      <c r="X320" s="307"/>
      <c r="Y320" s="307"/>
      <c r="Z320" s="307"/>
      <c r="AA320" s="307"/>
      <c r="AB320" s="311"/>
      <c r="AC320" s="307"/>
      <c r="AD320" s="307"/>
      <c r="AE320" s="307"/>
      <c r="AF320" s="307"/>
      <c r="AG320" s="310"/>
      <c r="AH320" s="307"/>
      <c r="AI320" s="310"/>
      <c r="AJ320" s="307"/>
      <c r="AK320" s="307"/>
      <c r="AL320" s="307"/>
      <c r="AM320" s="308"/>
      <c r="AN320" s="311"/>
      <c r="AO320" s="307"/>
      <c r="AP320" s="307"/>
      <c r="AQ320" s="308"/>
      <c r="AR320" s="307"/>
      <c r="AS320" s="307"/>
      <c r="AT320" s="307"/>
      <c r="AU320" s="310"/>
      <c r="AV320" s="308"/>
      <c r="AW320" s="312"/>
      <c r="AX320" s="308"/>
      <c r="AY320" s="307"/>
      <c r="AZ320" s="307"/>
      <c r="BA320" s="307"/>
      <c r="BB320" s="307"/>
      <c r="BC320" s="308"/>
      <c r="BD320" s="308"/>
      <c r="BE320" s="313"/>
      <c r="BF320" s="307"/>
      <c r="BG320" s="310"/>
      <c r="BH320" s="307"/>
      <c r="BI320" s="307"/>
      <c r="BJ320" s="310"/>
      <c r="BK320" s="307"/>
      <c r="BL320" s="307"/>
      <c r="BM320" s="310"/>
      <c r="BN320" s="307"/>
      <c r="BO320" s="310"/>
      <c r="BP320" s="307"/>
      <c r="BQ320" s="307"/>
      <c r="BR320" s="307"/>
      <c r="BS320" s="307"/>
      <c r="BT320" s="307"/>
      <c r="BU320" s="310"/>
      <c r="BV320" s="307"/>
      <c r="BW320" s="308"/>
      <c r="BX320" s="311"/>
      <c r="BY320" s="307"/>
      <c r="BZ320" s="307"/>
      <c r="CA320" s="310"/>
      <c r="CB320" s="307"/>
      <c r="CC320" s="307"/>
      <c r="CD320" s="307"/>
      <c r="CE320" s="308"/>
      <c r="CF320" s="308"/>
      <c r="CG320" s="307"/>
      <c r="CH320" s="307"/>
      <c r="CI320" s="307"/>
      <c r="CJ320" s="307"/>
      <c r="CK320" s="314"/>
      <c r="CL320" s="310"/>
      <c r="CM320" s="310"/>
      <c r="CN320" s="307"/>
      <c r="CO320" s="307"/>
      <c r="CP320" s="307"/>
      <c r="CQ320" s="315"/>
      <c r="CR320" s="315"/>
      <c r="CS320" s="315"/>
      <c r="CT320" s="315"/>
      <c r="CU320" s="307"/>
      <c r="CV320" s="217"/>
      <c r="CW320" s="192"/>
      <c r="CX320" s="192"/>
      <c r="CY320" s="192"/>
      <c r="CZ320" s="191"/>
      <c r="DA320" s="193"/>
      <c r="DB320" s="192"/>
      <c r="DC320" s="192"/>
      <c r="DD320" s="192"/>
      <c r="DE320" s="191"/>
      <c r="DF320" s="19"/>
      <c r="DG320" s="192"/>
      <c r="DH320" s="192"/>
      <c r="DI320" s="192"/>
      <c r="DJ320" s="191"/>
      <c r="DK320" s="193"/>
      <c r="DL320" s="192"/>
      <c r="DM320" s="192"/>
      <c r="DN320" s="192"/>
      <c r="DO320" s="191"/>
      <c r="DP320" s="19"/>
      <c r="DQ320" s="192"/>
      <c r="DR320" s="192"/>
      <c r="DS320" s="192"/>
      <c r="DT320" s="191"/>
      <c r="DU320" s="193"/>
      <c r="DV320" s="192"/>
      <c r="DW320" s="192"/>
      <c r="DX320" s="192"/>
      <c r="DY320" s="191"/>
      <c r="DZ320" s="19"/>
      <c r="EA320" s="192"/>
      <c r="EB320" s="192"/>
      <c r="EC320" s="192"/>
      <c r="ED320" s="191"/>
      <c r="EE320" s="193"/>
      <c r="EF320" s="192"/>
      <c r="EG320" s="192"/>
      <c r="EH320" s="192"/>
      <c r="EI320" s="191"/>
      <c r="EJ320" s="19"/>
      <c r="EK320" s="192"/>
      <c r="EL320" s="192"/>
      <c r="EM320" s="192"/>
      <c r="EN320" s="191"/>
      <c r="EO320" s="193"/>
      <c r="EP320" s="192"/>
      <c r="EQ320" s="192"/>
      <c r="ER320" s="192"/>
      <c r="ES320" s="191"/>
      <c r="ET320" s="19"/>
      <c r="EU320" s="192"/>
      <c r="EV320" s="192"/>
      <c r="EW320" s="192"/>
      <c r="EX320" s="191"/>
      <c r="EY320" s="193"/>
      <c r="EZ320" s="192"/>
      <c r="FA320" s="192"/>
      <c r="FB320" s="192"/>
      <c r="FC320" s="191"/>
      <c r="FL320" s="273">
        <f t="shared" ca="1" si="14"/>
        <v>116</v>
      </c>
    </row>
    <row r="321" spans="1:168" ht="16.5" thickBot="1">
      <c r="A321" s="199">
        <v>318</v>
      </c>
      <c r="B321" s="306"/>
      <c r="C321" s="310"/>
      <c r="D321" s="307" t="s">
        <v>271</v>
      </c>
      <c r="E321" s="307" t="s">
        <v>271</v>
      </c>
      <c r="F321" s="308"/>
      <c r="G321" s="343" t="str">
        <f t="shared" si="12"/>
        <v xml:space="preserve"> </v>
      </c>
      <c r="H321" s="307"/>
      <c r="I321" s="309" t="e">
        <f t="shared" si="13"/>
        <v>#N/A</v>
      </c>
      <c r="J321" s="307"/>
      <c r="K321" s="307"/>
      <c r="L321" s="310"/>
      <c r="M321" s="310"/>
      <c r="N321" s="310"/>
      <c r="O321" s="310"/>
      <c r="P321" s="310"/>
      <c r="Q321" s="310"/>
      <c r="R321" s="310"/>
      <c r="S321" s="310"/>
      <c r="T321" s="310"/>
      <c r="U321" s="307"/>
      <c r="V321" s="307"/>
      <c r="W321" s="311"/>
      <c r="X321" s="307"/>
      <c r="Y321" s="307"/>
      <c r="Z321" s="307"/>
      <c r="AA321" s="307"/>
      <c r="AB321" s="311"/>
      <c r="AC321" s="307"/>
      <c r="AD321" s="307"/>
      <c r="AE321" s="307"/>
      <c r="AF321" s="307"/>
      <c r="AG321" s="310"/>
      <c r="AH321" s="307"/>
      <c r="AI321" s="310"/>
      <c r="AJ321" s="307"/>
      <c r="AK321" s="307"/>
      <c r="AL321" s="307"/>
      <c r="AM321" s="308"/>
      <c r="AN321" s="311"/>
      <c r="AO321" s="307"/>
      <c r="AP321" s="307"/>
      <c r="AQ321" s="308"/>
      <c r="AR321" s="307"/>
      <c r="AS321" s="307"/>
      <c r="AT321" s="307"/>
      <c r="AU321" s="310"/>
      <c r="AV321" s="308"/>
      <c r="AW321" s="312"/>
      <c r="AX321" s="308"/>
      <c r="AY321" s="307"/>
      <c r="AZ321" s="307"/>
      <c r="BA321" s="307"/>
      <c r="BB321" s="307"/>
      <c r="BC321" s="308"/>
      <c r="BD321" s="308"/>
      <c r="BE321" s="313"/>
      <c r="BF321" s="307"/>
      <c r="BG321" s="310"/>
      <c r="BH321" s="307"/>
      <c r="BI321" s="307"/>
      <c r="BJ321" s="310"/>
      <c r="BK321" s="307"/>
      <c r="BL321" s="307"/>
      <c r="BM321" s="310"/>
      <c r="BN321" s="307"/>
      <c r="BO321" s="310"/>
      <c r="BP321" s="307"/>
      <c r="BQ321" s="307"/>
      <c r="BR321" s="307"/>
      <c r="BS321" s="307"/>
      <c r="BT321" s="307"/>
      <c r="BU321" s="310"/>
      <c r="BV321" s="307"/>
      <c r="BW321" s="308"/>
      <c r="BX321" s="311"/>
      <c r="BY321" s="307"/>
      <c r="BZ321" s="307"/>
      <c r="CA321" s="310"/>
      <c r="CB321" s="307"/>
      <c r="CC321" s="307"/>
      <c r="CD321" s="307"/>
      <c r="CE321" s="308"/>
      <c r="CF321" s="308"/>
      <c r="CG321" s="307"/>
      <c r="CH321" s="307"/>
      <c r="CI321" s="307"/>
      <c r="CJ321" s="307"/>
      <c r="CK321" s="314"/>
      <c r="CL321" s="310"/>
      <c r="CM321" s="310"/>
      <c r="CN321" s="307"/>
      <c r="CO321" s="307"/>
      <c r="CP321" s="307"/>
      <c r="CQ321" s="315"/>
      <c r="CR321" s="315"/>
      <c r="CS321" s="315"/>
      <c r="CT321" s="315"/>
      <c r="CU321" s="307"/>
      <c r="CV321" s="217"/>
      <c r="CW321" s="192"/>
      <c r="CX321" s="192"/>
      <c r="CY321" s="192"/>
      <c r="CZ321" s="191"/>
      <c r="DA321" s="193"/>
      <c r="DB321" s="192"/>
      <c r="DC321" s="192"/>
      <c r="DD321" s="192"/>
      <c r="DE321" s="191"/>
      <c r="DF321" s="19"/>
      <c r="DG321" s="192"/>
      <c r="DH321" s="192"/>
      <c r="DI321" s="192"/>
      <c r="DJ321" s="191"/>
      <c r="DK321" s="193"/>
      <c r="DL321" s="192"/>
      <c r="DM321" s="192"/>
      <c r="DN321" s="192"/>
      <c r="DO321" s="191"/>
      <c r="DP321" s="19"/>
      <c r="DQ321" s="192"/>
      <c r="DR321" s="192"/>
      <c r="DS321" s="192"/>
      <c r="DT321" s="191"/>
      <c r="DU321" s="193"/>
      <c r="DV321" s="192"/>
      <c r="DW321" s="192"/>
      <c r="DX321" s="192"/>
      <c r="DY321" s="191"/>
      <c r="DZ321" s="19"/>
      <c r="EA321" s="192"/>
      <c r="EB321" s="192"/>
      <c r="EC321" s="192"/>
      <c r="ED321" s="191"/>
      <c r="EE321" s="193"/>
      <c r="EF321" s="192"/>
      <c r="EG321" s="192"/>
      <c r="EH321" s="192"/>
      <c r="EI321" s="191"/>
      <c r="EJ321" s="19"/>
      <c r="EK321" s="192"/>
      <c r="EL321" s="192"/>
      <c r="EM321" s="192"/>
      <c r="EN321" s="191"/>
      <c r="EO321" s="193"/>
      <c r="EP321" s="192"/>
      <c r="EQ321" s="192"/>
      <c r="ER321" s="192"/>
      <c r="ES321" s="191"/>
      <c r="ET321" s="19"/>
      <c r="EU321" s="192"/>
      <c r="EV321" s="192"/>
      <c r="EW321" s="192"/>
      <c r="EX321" s="191"/>
      <c r="EY321" s="193"/>
      <c r="EZ321" s="192"/>
      <c r="FA321" s="192"/>
      <c r="FB321" s="192"/>
      <c r="FC321" s="191"/>
      <c r="FL321" s="273">
        <f t="shared" ca="1" si="14"/>
        <v>116</v>
      </c>
    </row>
    <row r="322" spans="1:168" ht="16.5" thickBot="1">
      <c r="A322" s="196">
        <v>319</v>
      </c>
      <c r="B322" s="306"/>
      <c r="C322" s="310"/>
      <c r="D322" s="307" t="s">
        <v>271</v>
      </c>
      <c r="E322" s="307" t="s">
        <v>271</v>
      </c>
      <c r="F322" s="308"/>
      <c r="G322" s="343" t="str">
        <f t="shared" si="12"/>
        <v xml:space="preserve"> </v>
      </c>
      <c r="H322" s="307"/>
      <c r="I322" s="309" t="e">
        <f t="shared" si="13"/>
        <v>#N/A</v>
      </c>
      <c r="J322" s="307"/>
      <c r="K322" s="307"/>
      <c r="L322" s="310"/>
      <c r="M322" s="310"/>
      <c r="N322" s="310"/>
      <c r="O322" s="310"/>
      <c r="P322" s="310"/>
      <c r="Q322" s="310"/>
      <c r="R322" s="310"/>
      <c r="S322" s="310"/>
      <c r="T322" s="310"/>
      <c r="U322" s="307"/>
      <c r="V322" s="307"/>
      <c r="W322" s="311"/>
      <c r="X322" s="307"/>
      <c r="Y322" s="307"/>
      <c r="Z322" s="307"/>
      <c r="AA322" s="307"/>
      <c r="AB322" s="311"/>
      <c r="AC322" s="307"/>
      <c r="AD322" s="307"/>
      <c r="AE322" s="307"/>
      <c r="AF322" s="307"/>
      <c r="AG322" s="310"/>
      <c r="AH322" s="307"/>
      <c r="AI322" s="310"/>
      <c r="AJ322" s="307"/>
      <c r="AK322" s="307"/>
      <c r="AL322" s="307"/>
      <c r="AM322" s="308"/>
      <c r="AN322" s="311"/>
      <c r="AO322" s="307"/>
      <c r="AP322" s="307"/>
      <c r="AQ322" s="308"/>
      <c r="AR322" s="307"/>
      <c r="AS322" s="307"/>
      <c r="AT322" s="307"/>
      <c r="AU322" s="310"/>
      <c r="AV322" s="308"/>
      <c r="AW322" s="312"/>
      <c r="AX322" s="308"/>
      <c r="AY322" s="307"/>
      <c r="AZ322" s="307"/>
      <c r="BA322" s="307"/>
      <c r="BB322" s="307"/>
      <c r="BC322" s="308"/>
      <c r="BD322" s="308"/>
      <c r="BE322" s="313"/>
      <c r="BF322" s="307"/>
      <c r="BG322" s="310"/>
      <c r="BH322" s="307"/>
      <c r="BI322" s="307"/>
      <c r="BJ322" s="310"/>
      <c r="BK322" s="307"/>
      <c r="BL322" s="307"/>
      <c r="BM322" s="310"/>
      <c r="BN322" s="307"/>
      <c r="BO322" s="310"/>
      <c r="BP322" s="307"/>
      <c r="BQ322" s="307"/>
      <c r="BR322" s="307"/>
      <c r="BS322" s="307"/>
      <c r="BT322" s="307"/>
      <c r="BU322" s="310"/>
      <c r="BV322" s="307"/>
      <c r="BW322" s="308"/>
      <c r="BX322" s="311"/>
      <c r="BY322" s="307"/>
      <c r="BZ322" s="307"/>
      <c r="CA322" s="310"/>
      <c r="CB322" s="307"/>
      <c r="CC322" s="307"/>
      <c r="CD322" s="307"/>
      <c r="CE322" s="308"/>
      <c r="CF322" s="308"/>
      <c r="CG322" s="307"/>
      <c r="CH322" s="307"/>
      <c r="CI322" s="307"/>
      <c r="CJ322" s="307"/>
      <c r="CK322" s="314"/>
      <c r="CL322" s="310"/>
      <c r="CM322" s="310"/>
      <c r="CN322" s="307"/>
      <c r="CO322" s="307"/>
      <c r="CP322" s="307"/>
      <c r="CQ322" s="315"/>
      <c r="CR322" s="315"/>
      <c r="CS322" s="315"/>
      <c r="CT322" s="315"/>
      <c r="CU322" s="307"/>
      <c r="CV322" s="217"/>
      <c r="CW322" s="192"/>
      <c r="CX322" s="192"/>
      <c r="CY322" s="192"/>
      <c r="CZ322" s="191"/>
      <c r="DA322" s="193"/>
      <c r="DB322" s="192"/>
      <c r="DC322" s="192"/>
      <c r="DD322" s="192"/>
      <c r="DE322" s="191"/>
      <c r="DF322" s="19"/>
      <c r="DG322" s="192"/>
      <c r="DH322" s="192"/>
      <c r="DI322" s="192"/>
      <c r="DJ322" s="191"/>
      <c r="DK322" s="193"/>
      <c r="DL322" s="192"/>
      <c r="DM322" s="192"/>
      <c r="DN322" s="192"/>
      <c r="DO322" s="191"/>
      <c r="DP322" s="19"/>
      <c r="DQ322" s="192"/>
      <c r="DR322" s="192"/>
      <c r="DS322" s="192"/>
      <c r="DT322" s="191"/>
      <c r="DU322" s="193"/>
      <c r="DV322" s="192"/>
      <c r="DW322" s="192"/>
      <c r="DX322" s="192"/>
      <c r="DY322" s="191"/>
      <c r="DZ322" s="19"/>
      <c r="EA322" s="192"/>
      <c r="EB322" s="192"/>
      <c r="EC322" s="192"/>
      <c r="ED322" s="191"/>
      <c r="EE322" s="193"/>
      <c r="EF322" s="192"/>
      <c r="EG322" s="192"/>
      <c r="EH322" s="192"/>
      <c r="EI322" s="191"/>
      <c r="EJ322" s="19"/>
      <c r="EK322" s="192"/>
      <c r="EL322" s="192"/>
      <c r="EM322" s="192"/>
      <c r="EN322" s="191"/>
      <c r="EO322" s="193"/>
      <c r="EP322" s="192"/>
      <c r="EQ322" s="192"/>
      <c r="ER322" s="192"/>
      <c r="ES322" s="191"/>
      <c r="ET322" s="19"/>
      <c r="EU322" s="192"/>
      <c r="EV322" s="192"/>
      <c r="EW322" s="192"/>
      <c r="EX322" s="191"/>
      <c r="EY322" s="193"/>
      <c r="EZ322" s="192"/>
      <c r="FA322" s="192"/>
      <c r="FB322" s="192"/>
      <c r="FC322" s="191"/>
      <c r="FL322" s="273">
        <f t="shared" ca="1" si="14"/>
        <v>116</v>
      </c>
    </row>
    <row r="323" spans="1:168" ht="16.5" thickBot="1">
      <c r="A323" s="199">
        <v>320</v>
      </c>
      <c r="B323" s="306"/>
      <c r="C323" s="310"/>
      <c r="D323" s="307" t="s">
        <v>271</v>
      </c>
      <c r="E323" s="307" t="s">
        <v>271</v>
      </c>
      <c r="F323" s="308"/>
      <c r="G323" s="343" t="str">
        <f t="shared" si="12"/>
        <v xml:space="preserve"> </v>
      </c>
      <c r="H323" s="307"/>
      <c r="I323" s="309" t="e">
        <f t="shared" si="13"/>
        <v>#N/A</v>
      </c>
      <c r="J323" s="307"/>
      <c r="K323" s="307"/>
      <c r="L323" s="310"/>
      <c r="M323" s="310"/>
      <c r="N323" s="310"/>
      <c r="O323" s="310"/>
      <c r="P323" s="310"/>
      <c r="Q323" s="310"/>
      <c r="R323" s="310"/>
      <c r="S323" s="310"/>
      <c r="T323" s="310"/>
      <c r="U323" s="307"/>
      <c r="V323" s="307"/>
      <c r="W323" s="311"/>
      <c r="X323" s="307"/>
      <c r="Y323" s="307"/>
      <c r="Z323" s="307"/>
      <c r="AA323" s="307"/>
      <c r="AB323" s="311"/>
      <c r="AC323" s="307"/>
      <c r="AD323" s="307"/>
      <c r="AE323" s="307"/>
      <c r="AF323" s="307"/>
      <c r="AG323" s="310"/>
      <c r="AH323" s="307"/>
      <c r="AI323" s="310"/>
      <c r="AJ323" s="307"/>
      <c r="AK323" s="307"/>
      <c r="AL323" s="307"/>
      <c r="AM323" s="308"/>
      <c r="AN323" s="311"/>
      <c r="AO323" s="307"/>
      <c r="AP323" s="307"/>
      <c r="AQ323" s="308"/>
      <c r="AR323" s="307"/>
      <c r="AS323" s="307"/>
      <c r="AT323" s="307"/>
      <c r="AU323" s="310"/>
      <c r="AV323" s="308"/>
      <c r="AW323" s="312"/>
      <c r="AX323" s="308"/>
      <c r="AY323" s="307"/>
      <c r="AZ323" s="307"/>
      <c r="BA323" s="307"/>
      <c r="BB323" s="307"/>
      <c r="BC323" s="308"/>
      <c r="BD323" s="308"/>
      <c r="BE323" s="313"/>
      <c r="BF323" s="307"/>
      <c r="BG323" s="310"/>
      <c r="BH323" s="307"/>
      <c r="BI323" s="307"/>
      <c r="BJ323" s="310"/>
      <c r="BK323" s="307"/>
      <c r="BL323" s="307"/>
      <c r="BM323" s="310"/>
      <c r="BN323" s="307"/>
      <c r="BO323" s="310"/>
      <c r="BP323" s="307"/>
      <c r="BQ323" s="307"/>
      <c r="BR323" s="307"/>
      <c r="BS323" s="307"/>
      <c r="BT323" s="307"/>
      <c r="BU323" s="310"/>
      <c r="BV323" s="307"/>
      <c r="BW323" s="308"/>
      <c r="BX323" s="311"/>
      <c r="BY323" s="307"/>
      <c r="BZ323" s="307"/>
      <c r="CA323" s="310"/>
      <c r="CB323" s="307"/>
      <c r="CC323" s="307"/>
      <c r="CD323" s="307"/>
      <c r="CE323" s="308"/>
      <c r="CF323" s="308"/>
      <c r="CG323" s="307"/>
      <c r="CH323" s="307"/>
      <c r="CI323" s="307"/>
      <c r="CJ323" s="307"/>
      <c r="CK323" s="314"/>
      <c r="CL323" s="310"/>
      <c r="CM323" s="310"/>
      <c r="CN323" s="307"/>
      <c r="CO323" s="307"/>
      <c r="CP323" s="307"/>
      <c r="CQ323" s="315"/>
      <c r="CR323" s="315"/>
      <c r="CS323" s="315"/>
      <c r="CT323" s="315"/>
      <c r="CU323" s="307"/>
      <c r="CV323" s="217"/>
      <c r="CW323" s="192"/>
      <c r="CX323" s="192"/>
      <c r="CY323" s="192"/>
      <c r="CZ323" s="191"/>
      <c r="DA323" s="193"/>
      <c r="DB323" s="192"/>
      <c r="DC323" s="192"/>
      <c r="DD323" s="192"/>
      <c r="DE323" s="191"/>
      <c r="DF323" s="19"/>
      <c r="DG323" s="192"/>
      <c r="DH323" s="192"/>
      <c r="DI323" s="192"/>
      <c r="DJ323" s="191"/>
      <c r="DK323" s="193"/>
      <c r="DL323" s="192"/>
      <c r="DM323" s="192"/>
      <c r="DN323" s="192"/>
      <c r="DO323" s="191"/>
      <c r="DP323" s="19"/>
      <c r="DQ323" s="192"/>
      <c r="DR323" s="192"/>
      <c r="DS323" s="192"/>
      <c r="DT323" s="191"/>
      <c r="DU323" s="193"/>
      <c r="DV323" s="192"/>
      <c r="DW323" s="192"/>
      <c r="DX323" s="192"/>
      <c r="DY323" s="191"/>
      <c r="DZ323" s="19"/>
      <c r="EA323" s="192"/>
      <c r="EB323" s="192"/>
      <c r="EC323" s="192"/>
      <c r="ED323" s="191"/>
      <c r="EE323" s="193"/>
      <c r="EF323" s="192"/>
      <c r="EG323" s="192"/>
      <c r="EH323" s="192"/>
      <c r="EI323" s="191"/>
      <c r="EJ323" s="19"/>
      <c r="EK323" s="192"/>
      <c r="EL323" s="192"/>
      <c r="EM323" s="192"/>
      <c r="EN323" s="191"/>
      <c r="EO323" s="193"/>
      <c r="EP323" s="192"/>
      <c r="EQ323" s="192"/>
      <c r="ER323" s="192"/>
      <c r="ES323" s="191"/>
      <c r="ET323" s="19"/>
      <c r="EU323" s="192"/>
      <c r="EV323" s="192"/>
      <c r="EW323" s="192"/>
      <c r="EX323" s="191"/>
      <c r="EY323" s="193"/>
      <c r="EZ323" s="192"/>
      <c r="FA323" s="192"/>
      <c r="FB323" s="192"/>
      <c r="FC323" s="191"/>
      <c r="FL323" s="273">
        <f t="shared" ca="1" si="14"/>
        <v>116</v>
      </c>
    </row>
    <row r="324" spans="1:168" ht="16.5" thickBot="1">
      <c r="A324" s="196">
        <v>321</v>
      </c>
      <c r="B324" s="306"/>
      <c r="C324" s="310"/>
      <c r="D324" s="307" t="s">
        <v>271</v>
      </c>
      <c r="E324" s="307" t="s">
        <v>271</v>
      </c>
      <c r="F324" s="308"/>
      <c r="G324" s="343" t="str">
        <f t="shared" si="12"/>
        <v xml:space="preserve"> </v>
      </c>
      <c r="H324" s="307"/>
      <c r="I324" s="309" t="e">
        <f t="shared" si="13"/>
        <v>#N/A</v>
      </c>
      <c r="J324" s="307"/>
      <c r="K324" s="307"/>
      <c r="L324" s="310"/>
      <c r="M324" s="310"/>
      <c r="N324" s="310"/>
      <c r="O324" s="310"/>
      <c r="P324" s="310"/>
      <c r="Q324" s="310"/>
      <c r="R324" s="310"/>
      <c r="S324" s="310"/>
      <c r="T324" s="310"/>
      <c r="U324" s="307"/>
      <c r="V324" s="307"/>
      <c r="W324" s="311"/>
      <c r="X324" s="307"/>
      <c r="Y324" s="307"/>
      <c r="Z324" s="307"/>
      <c r="AA324" s="307"/>
      <c r="AB324" s="311"/>
      <c r="AC324" s="307"/>
      <c r="AD324" s="307"/>
      <c r="AE324" s="307"/>
      <c r="AF324" s="307"/>
      <c r="AG324" s="310"/>
      <c r="AH324" s="307"/>
      <c r="AI324" s="310"/>
      <c r="AJ324" s="307"/>
      <c r="AK324" s="307"/>
      <c r="AL324" s="307"/>
      <c r="AM324" s="308"/>
      <c r="AN324" s="311"/>
      <c r="AO324" s="307"/>
      <c r="AP324" s="307"/>
      <c r="AQ324" s="308"/>
      <c r="AR324" s="307"/>
      <c r="AS324" s="307"/>
      <c r="AT324" s="307"/>
      <c r="AU324" s="310"/>
      <c r="AV324" s="308"/>
      <c r="AW324" s="312"/>
      <c r="AX324" s="308"/>
      <c r="AY324" s="307"/>
      <c r="AZ324" s="307"/>
      <c r="BA324" s="307"/>
      <c r="BB324" s="307"/>
      <c r="BC324" s="308"/>
      <c r="BD324" s="308"/>
      <c r="BE324" s="313"/>
      <c r="BF324" s="307"/>
      <c r="BG324" s="310"/>
      <c r="BH324" s="307"/>
      <c r="BI324" s="307"/>
      <c r="BJ324" s="310"/>
      <c r="BK324" s="307"/>
      <c r="BL324" s="307"/>
      <c r="BM324" s="310"/>
      <c r="BN324" s="307"/>
      <c r="BO324" s="310"/>
      <c r="BP324" s="307"/>
      <c r="BQ324" s="307"/>
      <c r="BR324" s="307"/>
      <c r="BS324" s="307"/>
      <c r="BT324" s="307"/>
      <c r="BU324" s="310"/>
      <c r="BV324" s="307"/>
      <c r="BW324" s="308"/>
      <c r="BX324" s="311"/>
      <c r="BY324" s="307"/>
      <c r="BZ324" s="307"/>
      <c r="CA324" s="310"/>
      <c r="CB324" s="307"/>
      <c r="CC324" s="307"/>
      <c r="CD324" s="307"/>
      <c r="CE324" s="308"/>
      <c r="CF324" s="308"/>
      <c r="CG324" s="307"/>
      <c r="CH324" s="307"/>
      <c r="CI324" s="307"/>
      <c r="CJ324" s="307"/>
      <c r="CK324" s="314"/>
      <c r="CL324" s="310"/>
      <c r="CM324" s="310"/>
      <c r="CN324" s="307"/>
      <c r="CO324" s="307"/>
      <c r="CP324" s="307"/>
      <c r="CQ324" s="315"/>
      <c r="CR324" s="315"/>
      <c r="CS324" s="315"/>
      <c r="CT324" s="315"/>
      <c r="CU324" s="307"/>
      <c r="CV324" s="217"/>
      <c r="CW324" s="192"/>
      <c r="CX324" s="192"/>
      <c r="CY324" s="192"/>
      <c r="CZ324" s="191"/>
      <c r="DA324" s="193"/>
      <c r="DB324" s="192"/>
      <c r="DC324" s="192"/>
      <c r="DD324" s="192"/>
      <c r="DE324" s="191"/>
      <c r="DF324" s="19"/>
      <c r="DG324" s="192"/>
      <c r="DH324" s="192"/>
      <c r="DI324" s="192"/>
      <c r="DJ324" s="191"/>
      <c r="DK324" s="193"/>
      <c r="DL324" s="192"/>
      <c r="DM324" s="192"/>
      <c r="DN324" s="192"/>
      <c r="DO324" s="191"/>
      <c r="DP324" s="19"/>
      <c r="DQ324" s="192"/>
      <c r="DR324" s="192"/>
      <c r="DS324" s="192"/>
      <c r="DT324" s="191"/>
      <c r="DU324" s="193"/>
      <c r="DV324" s="192"/>
      <c r="DW324" s="192"/>
      <c r="DX324" s="192"/>
      <c r="DY324" s="191"/>
      <c r="DZ324" s="19"/>
      <c r="EA324" s="192"/>
      <c r="EB324" s="192"/>
      <c r="EC324" s="192"/>
      <c r="ED324" s="191"/>
      <c r="EE324" s="193"/>
      <c r="EF324" s="192"/>
      <c r="EG324" s="192"/>
      <c r="EH324" s="192"/>
      <c r="EI324" s="191"/>
      <c r="EJ324" s="19"/>
      <c r="EK324" s="192"/>
      <c r="EL324" s="192"/>
      <c r="EM324" s="192"/>
      <c r="EN324" s="191"/>
      <c r="EO324" s="193"/>
      <c r="EP324" s="192"/>
      <c r="EQ324" s="192"/>
      <c r="ER324" s="192"/>
      <c r="ES324" s="191"/>
      <c r="ET324" s="19"/>
      <c r="EU324" s="192"/>
      <c r="EV324" s="192"/>
      <c r="EW324" s="192"/>
      <c r="EX324" s="191"/>
      <c r="EY324" s="193"/>
      <c r="EZ324" s="192"/>
      <c r="FA324" s="192"/>
      <c r="FB324" s="192"/>
      <c r="FC324" s="191"/>
      <c r="FL324" s="273">
        <f t="shared" ca="1" si="14"/>
        <v>116</v>
      </c>
    </row>
    <row r="325" spans="1:168" ht="16.5" thickBot="1">
      <c r="A325" s="199">
        <v>322</v>
      </c>
      <c r="B325" s="306"/>
      <c r="C325" s="310"/>
      <c r="D325" s="307" t="s">
        <v>271</v>
      </c>
      <c r="E325" s="307" t="s">
        <v>271</v>
      </c>
      <c r="F325" s="308"/>
      <c r="G325" s="343" t="str">
        <f t="shared" ref="G325:G388" si="15">IF(F325=0," ",IF(F325&gt;0,FL325))</f>
        <v xml:space="preserve"> </v>
      </c>
      <c r="H325" s="307"/>
      <c r="I325" s="309" t="e">
        <f t="shared" ref="I325:I388" si="16">VLOOKUP(J325,$FH$5:$FI$32,2)</f>
        <v>#N/A</v>
      </c>
      <c r="J325" s="307"/>
      <c r="K325" s="307"/>
      <c r="L325" s="310"/>
      <c r="M325" s="310"/>
      <c r="N325" s="310"/>
      <c r="O325" s="310"/>
      <c r="P325" s="310"/>
      <c r="Q325" s="310"/>
      <c r="R325" s="310"/>
      <c r="S325" s="310"/>
      <c r="T325" s="310"/>
      <c r="U325" s="307"/>
      <c r="V325" s="307"/>
      <c r="W325" s="311"/>
      <c r="X325" s="307"/>
      <c r="Y325" s="307"/>
      <c r="Z325" s="307"/>
      <c r="AA325" s="307"/>
      <c r="AB325" s="311"/>
      <c r="AC325" s="307"/>
      <c r="AD325" s="307"/>
      <c r="AE325" s="307"/>
      <c r="AF325" s="307"/>
      <c r="AG325" s="310"/>
      <c r="AH325" s="307"/>
      <c r="AI325" s="310"/>
      <c r="AJ325" s="307"/>
      <c r="AK325" s="307"/>
      <c r="AL325" s="307"/>
      <c r="AM325" s="308"/>
      <c r="AN325" s="311"/>
      <c r="AO325" s="307"/>
      <c r="AP325" s="307"/>
      <c r="AQ325" s="308"/>
      <c r="AR325" s="307"/>
      <c r="AS325" s="307"/>
      <c r="AT325" s="307"/>
      <c r="AU325" s="310"/>
      <c r="AV325" s="308"/>
      <c r="AW325" s="312"/>
      <c r="AX325" s="308"/>
      <c r="AY325" s="307"/>
      <c r="AZ325" s="307"/>
      <c r="BA325" s="307"/>
      <c r="BB325" s="307"/>
      <c r="BC325" s="308"/>
      <c r="BD325" s="308"/>
      <c r="BE325" s="313"/>
      <c r="BF325" s="307"/>
      <c r="BG325" s="310"/>
      <c r="BH325" s="307"/>
      <c r="BI325" s="307"/>
      <c r="BJ325" s="310"/>
      <c r="BK325" s="307"/>
      <c r="BL325" s="307"/>
      <c r="BM325" s="310"/>
      <c r="BN325" s="307"/>
      <c r="BO325" s="310"/>
      <c r="BP325" s="307"/>
      <c r="BQ325" s="307"/>
      <c r="BR325" s="307"/>
      <c r="BS325" s="307"/>
      <c r="BT325" s="307"/>
      <c r="BU325" s="310"/>
      <c r="BV325" s="307"/>
      <c r="BW325" s="308"/>
      <c r="BX325" s="311"/>
      <c r="BY325" s="307"/>
      <c r="BZ325" s="307"/>
      <c r="CA325" s="310"/>
      <c r="CB325" s="307"/>
      <c r="CC325" s="307"/>
      <c r="CD325" s="307"/>
      <c r="CE325" s="308"/>
      <c r="CF325" s="308"/>
      <c r="CG325" s="307"/>
      <c r="CH325" s="307"/>
      <c r="CI325" s="307"/>
      <c r="CJ325" s="307"/>
      <c r="CK325" s="314"/>
      <c r="CL325" s="310"/>
      <c r="CM325" s="310"/>
      <c r="CN325" s="307"/>
      <c r="CO325" s="307"/>
      <c r="CP325" s="307"/>
      <c r="CQ325" s="315"/>
      <c r="CR325" s="315"/>
      <c r="CS325" s="315"/>
      <c r="CT325" s="315"/>
      <c r="CU325" s="307"/>
      <c r="CV325" s="217"/>
      <c r="CW325" s="192"/>
      <c r="CX325" s="192"/>
      <c r="CY325" s="192"/>
      <c r="CZ325" s="191"/>
      <c r="DA325" s="193"/>
      <c r="DB325" s="192"/>
      <c r="DC325" s="192"/>
      <c r="DD325" s="192"/>
      <c r="DE325" s="191"/>
      <c r="DF325" s="19"/>
      <c r="DG325" s="192"/>
      <c r="DH325" s="192"/>
      <c r="DI325" s="192"/>
      <c r="DJ325" s="191"/>
      <c r="DK325" s="193"/>
      <c r="DL325" s="192"/>
      <c r="DM325" s="192"/>
      <c r="DN325" s="192"/>
      <c r="DO325" s="191"/>
      <c r="DP325" s="19"/>
      <c r="DQ325" s="192"/>
      <c r="DR325" s="192"/>
      <c r="DS325" s="192"/>
      <c r="DT325" s="191"/>
      <c r="DU325" s="193"/>
      <c r="DV325" s="192"/>
      <c r="DW325" s="192"/>
      <c r="DX325" s="192"/>
      <c r="DY325" s="191"/>
      <c r="DZ325" s="19"/>
      <c r="EA325" s="192"/>
      <c r="EB325" s="192"/>
      <c r="EC325" s="192"/>
      <c r="ED325" s="191"/>
      <c r="EE325" s="193"/>
      <c r="EF325" s="192"/>
      <c r="EG325" s="192"/>
      <c r="EH325" s="192"/>
      <c r="EI325" s="191"/>
      <c r="EJ325" s="19"/>
      <c r="EK325" s="192"/>
      <c r="EL325" s="192"/>
      <c r="EM325" s="192"/>
      <c r="EN325" s="191"/>
      <c r="EO325" s="193"/>
      <c r="EP325" s="192"/>
      <c r="EQ325" s="192"/>
      <c r="ER325" s="192"/>
      <c r="ES325" s="191"/>
      <c r="ET325" s="19"/>
      <c r="EU325" s="192"/>
      <c r="EV325" s="192"/>
      <c r="EW325" s="192"/>
      <c r="EX325" s="191"/>
      <c r="EY325" s="193"/>
      <c r="EZ325" s="192"/>
      <c r="FA325" s="192"/>
      <c r="FB325" s="192"/>
      <c r="FC325" s="191"/>
      <c r="FL325" s="273">
        <f t="shared" ca="1" si="14"/>
        <v>116</v>
      </c>
    </row>
    <row r="326" spans="1:168" ht="16.5" thickBot="1">
      <c r="A326" s="196">
        <v>323</v>
      </c>
      <c r="B326" s="306"/>
      <c r="C326" s="310"/>
      <c r="D326" s="307" t="s">
        <v>271</v>
      </c>
      <c r="E326" s="307" t="s">
        <v>271</v>
      </c>
      <c r="F326" s="308"/>
      <c r="G326" s="343" t="str">
        <f t="shared" si="15"/>
        <v xml:space="preserve"> </v>
      </c>
      <c r="H326" s="307"/>
      <c r="I326" s="309" t="e">
        <f t="shared" si="16"/>
        <v>#N/A</v>
      </c>
      <c r="J326" s="307"/>
      <c r="K326" s="307"/>
      <c r="L326" s="310"/>
      <c r="M326" s="310"/>
      <c r="N326" s="310"/>
      <c r="O326" s="310"/>
      <c r="P326" s="310"/>
      <c r="Q326" s="310"/>
      <c r="R326" s="310"/>
      <c r="S326" s="310"/>
      <c r="T326" s="310"/>
      <c r="U326" s="307"/>
      <c r="V326" s="307"/>
      <c r="W326" s="311"/>
      <c r="X326" s="307"/>
      <c r="Y326" s="307"/>
      <c r="Z326" s="307"/>
      <c r="AA326" s="307"/>
      <c r="AB326" s="311"/>
      <c r="AC326" s="307"/>
      <c r="AD326" s="307"/>
      <c r="AE326" s="307"/>
      <c r="AF326" s="307"/>
      <c r="AG326" s="310"/>
      <c r="AH326" s="307"/>
      <c r="AI326" s="310"/>
      <c r="AJ326" s="307"/>
      <c r="AK326" s="307"/>
      <c r="AL326" s="307"/>
      <c r="AM326" s="308"/>
      <c r="AN326" s="311"/>
      <c r="AO326" s="307"/>
      <c r="AP326" s="307"/>
      <c r="AQ326" s="308"/>
      <c r="AR326" s="307"/>
      <c r="AS326" s="307"/>
      <c r="AT326" s="307"/>
      <c r="AU326" s="310"/>
      <c r="AV326" s="308"/>
      <c r="AW326" s="312"/>
      <c r="AX326" s="308"/>
      <c r="AY326" s="307"/>
      <c r="AZ326" s="307"/>
      <c r="BA326" s="307"/>
      <c r="BB326" s="307"/>
      <c r="BC326" s="308"/>
      <c r="BD326" s="308"/>
      <c r="BE326" s="313"/>
      <c r="BF326" s="307"/>
      <c r="BG326" s="310"/>
      <c r="BH326" s="307"/>
      <c r="BI326" s="307"/>
      <c r="BJ326" s="310"/>
      <c r="BK326" s="307"/>
      <c r="BL326" s="307"/>
      <c r="BM326" s="310"/>
      <c r="BN326" s="307"/>
      <c r="BO326" s="310"/>
      <c r="BP326" s="307"/>
      <c r="BQ326" s="307"/>
      <c r="BR326" s="307"/>
      <c r="BS326" s="307"/>
      <c r="BT326" s="307"/>
      <c r="BU326" s="310"/>
      <c r="BV326" s="307"/>
      <c r="BW326" s="308"/>
      <c r="BX326" s="311"/>
      <c r="BY326" s="307"/>
      <c r="BZ326" s="307"/>
      <c r="CA326" s="310"/>
      <c r="CB326" s="307"/>
      <c r="CC326" s="307"/>
      <c r="CD326" s="307"/>
      <c r="CE326" s="308"/>
      <c r="CF326" s="308"/>
      <c r="CG326" s="307"/>
      <c r="CH326" s="307"/>
      <c r="CI326" s="307"/>
      <c r="CJ326" s="307"/>
      <c r="CK326" s="314"/>
      <c r="CL326" s="310"/>
      <c r="CM326" s="310"/>
      <c r="CN326" s="307"/>
      <c r="CO326" s="307"/>
      <c r="CP326" s="307"/>
      <c r="CQ326" s="315"/>
      <c r="CR326" s="315"/>
      <c r="CS326" s="315"/>
      <c r="CT326" s="315"/>
      <c r="CU326" s="307"/>
      <c r="CV326" s="217"/>
      <c r="CW326" s="192"/>
      <c r="CX326" s="192"/>
      <c r="CY326" s="192"/>
      <c r="CZ326" s="191"/>
      <c r="DA326" s="193"/>
      <c r="DB326" s="192"/>
      <c r="DC326" s="192"/>
      <c r="DD326" s="192"/>
      <c r="DE326" s="191"/>
      <c r="DF326" s="19"/>
      <c r="DG326" s="192"/>
      <c r="DH326" s="192"/>
      <c r="DI326" s="192"/>
      <c r="DJ326" s="191"/>
      <c r="DK326" s="193"/>
      <c r="DL326" s="192"/>
      <c r="DM326" s="192"/>
      <c r="DN326" s="192"/>
      <c r="DO326" s="191"/>
      <c r="DP326" s="19"/>
      <c r="DQ326" s="192"/>
      <c r="DR326" s="192"/>
      <c r="DS326" s="192"/>
      <c r="DT326" s="191"/>
      <c r="DU326" s="193"/>
      <c r="DV326" s="192"/>
      <c r="DW326" s="192"/>
      <c r="DX326" s="192"/>
      <c r="DY326" s="191"/>
      <c r="DZ326" s="19"/>
      <c r="EA326" s="192"/>
      <c r="EB326" s="192"/>
      <c r="EC326" s="192"/>
      <c r="ED326" s="191"/>
      <c r="EE326" s="193"/>
      <c r="EF326" s="192"/>
      <c r="EG326" s="192"/>
      <c r="EH326" s="192"/>
      <c r="EI326" s="191"/>
      <c r="EJ326" s="19"/>
      <c r="EK326" s="192"/>
      <c r="EL326" s="192"/>
      <c r="EM326" s="192"/>
      <c r="EN326" s="191"/>
      <c r="EO326" s="193"/>
      <c r="EP326" s="192"/>
      <c r="EQ326" s="192"/>
      <c r="ER326" s="192"/>
      <c r="ES326" s="191"/>
      <c r="ET326" s="19"/>
      <c r="EU326" s="192"/>
      <c r="EV326" s="192"/>
      <c r="EW326" s="192"/>
      <c r="EX326" s="191"/>
      <c r="EY326" s="193"/>
      <c r="EZ326" s="192"/>
      <c r="FA326" s="192"/>
      <c r="FB326" s="192"/>
      <c r="FC326" s="191"/>
      <c r="FL326" s="273">
        <f t="shared" ref="FL326:FL389" ca="1" si="17">YEAR($FL$3)-YEAR(F326)-1+IF(DATE(1901,MONTH(F326),DAY(F326))-DATE(1901,MONTH($FL$3),DAY($FL$3))&lt;=0,1,0)</f>
        <v>116</v>
      </c>
    </row>
    <row r="327" spans="1:168" ht="16.5" thickBot="1">
      <c r="A327" s="199">
        <v>324</v>
      </c>
      <c r="B327" s="306"/>
      <c r="C327" s="310"/>
      <c r="D327" s="307" t="s">
        <v>271</v>
      </c>
      <c r="E327" s="307" t="s">
        <v>271</v>
      </c>
      <c r="F327" s="308"/>
      <c r="G327" s="343" t="str">
        <f t="shared" si="15"/>
        <v xml:space="preserve"> </v>
      </c>
      <c r="H327" s="307"/>
      <c r="I327" s="309" t="e">
        <f t="shared" si="16"/>
        <v>#N/A</v>
      </c>
      <c r="J327" s="307"/>
      <c r="K327" s="307"/>
      <c r="L327" s="310"/>
      <c r="M327" s="310"/>
      <c r="N327" s="310"/>
      <c r="O327" s="310"/>
      <c r="P327" s="310"/>
      <c r="Q327" s="310"/>
      <c r="R327" s="310"/>
      <c r="S327" s="310"/>
      <c r="T327" s="310"/>
      <c r="U327" s="307"/>
      <c r="V327" s="307"/>
      <c r="W327" s="311"/>
      <c r="X327" s="307"/>
      <c r="Y327" s="307"/>
      <c r="Z327" s="307"/>
      <c r="AA327" s="307"/>
      <c r="AB327" s="311"/>
      <c r="AC327" s="307"/>
      <c r="AD327" s="307"/>
      <c r="AE327" s="307"/>
      <c r="AF327" s="307"/>
      <c r="AG327" s="310"/>
      <c r="AH327" s="307"/>
      <c r="AI327" s="310"/>
      <c r="AJ327" s="307"/>
      <c r="AK327" s="307"/>
      <c r="AL327" s="307"/>
      <c r="AM327" s="308"/>
      <c r="AN327" s="311"/>
      <c r="AO327" s="307"/>
      <c r="AP327" s="307"/>
      <c r="AQ327" s="308"/>
      <c r="AR327" s="307"/>
      <c r="AS327" s="307"/>
      <c r="AT327" s="307"/>
      <c r="AU327" s="310"/>
      <c r="AV327" s="308"/>
      <c r="AW327" s="312"/>
      <c r="AX327" s="308"/>
      <c r="AY327" s="307"/>
      <c r="AZ327" s="307"/>
      <c r="BA327" s="307"/>
      <c r="BB327" s="307"/>
      <c r="BC327" s="308"/>
      <c r="BD327" s="308"/>
      <c r="BE327" s="313"/>
      <c r="BF327" s="307"/>
      <c r="BG327" s="310"/>
      <c r="BH327" s="307"/>
      <c r="BI327" s="307"/>
      <c r="BJ327" s="310"/>
      <c r="BK327" s="307"/>
      <c r="BL327" s="307"/>
      <c r="BM327" s="310"/>
      <c r="BN327" s="307"/>
      <c r="BO327" s="310"/>
      <c r="BP327" s="307"/>
      <c r="BQ327" s="307"/>
      <c r="BR327" s="307"/>
      <c r="BS327" s="307"/>
      <c r="BT327" s="307"/>
      <c r="BU327" s="310"/>
      <c r="BV327" s="307"/>
      <c r="BW327" s="308"/>
      <c r="BX327" s="311"/>
      <c r="BY327" s="307"/>
      <c r="BZ327" s="307"/>
      <c r="CA327" s="310"/>
      <c r="CB327" s="307"/>
      <c r="CC327" s="307"/>
      <c r="CD327" s="307"/>
      <c r="CE327" s="308"/>
      <c r="CF327" s="308"/>
      <c r="CG327" s="307"/>
      <c r="CH327" s="307"/>
      <c r="CI327" s="307"/>
      <c r="CJ327" s="307"/>
      <c r="CK327" s="314"/>
      <c r="CL327" s="310"/>
      <c r="CM327" s="310"/>
      <c r="CN327" s="307"/>
      <c r="CO327" s="307"/>
      <c r="CP327" s="307"/>
      <c r="CQ327" s="315"/>
      <c r="CR327" s="315"/>
      <c r="CS327" s="315"/>
      <c r="CT327" s="315"/>
      <c r="CU327" s="307"/>
      <c r="CV327" s="217"/>
      <c r="CW327" s="192"/>
      <c r="CX327" s="192"/>
      <c r="CY327" s="192"/>
      <c r="CZ327" s="191"/>
      <c r="DA327" s="193"/>
      <c r="DB327" s="192"/>
      <c r="DC327" s="192"/>
      <c r="DD327" s="192"/>
      <c r="DE327" s="191"/>
      <c r="DF327" s="19"/>
      <c r="DG327" s="192"/>
      <c r="DH327" s="192"/>
      <c r="DI327" s="192"/>
      <c r="DJ327" s="191"/>
      <c r="DK327" s="193"/>
      <c r="DL327" s="192"/>
      <c r="DM327" s="192"/>
      <c r="DN327" s="192"/>
      <c r="DO327" s="191"/>
      <c r="DP327" s="19"/>
      <c r="DQ327" s="192"/>
      <c r="DR327" s="192"/>
      <c r="DS327" s="192"/>
      <c r="DT327" s="191"/>
      <c r="DU327" s="193"/>
      <c r="DV327" s="192"/>
      <c r="DW327" s="192"/>
      <c r="DX327" s="192"/>
      <c r="DY327" s="191"/>
      <c r="DZ327" s="19"/>
      <c r="EA327" s="192"/>
      <c r="EB327" s="192"/>
      <c r="EC327" s="192"/>
      <c r="ED327" s="191"/>
      <c r="EE327" s="193"/>
      <c r="EF327" s="192"/>
      <c r="EG327" s="192"/>
      <c r="EH327" s="192"/>
      <c r="EI327" s="191"/>
      <c r="EJ327" s="19"/>
      <c r="EK327" s="192"/>
      <c r="EL327" s="192"/>
      <c r="EM327" s="192"/>
      <c r="EN327" s="191"/>
      <c r="EO327" s="193"/>
      <c r="EP327" s="192"/>
      <c r="EQ327" s="192"/>
      <c r="ER327" s="192"/>
      <c r="ES327" s="191"/>
      <c r="ET327" s="19"/>
      <c r="EU327" s="192"/>
      <c r="EV327" s="192"/>
      <c r="EW327" s="192"/>
      <c r="EX327" s="191"/>
      <c r="EY327" s="193"/>
      <c r="EZ327" s="192"/>
      <c r="FA327" s="192"/>
      <c r="FB327" s="192"/>
      <c r="FC327" s="191"/>
      <c r="FL327" s="273">
        <f t="shared" ca="1" si="17"/>
        <v>116</v>
      </c>
    </row>
    <row r="328" spans="1:168" ht="16.5" thickBot="1">
      <c r="A328" s="196">
        <v>325</v>
      </c>
      <c r="B328" s="306"/>
      <c r="C328" s="310"/>
      <c r="D328" s="307" t="s">
        <v>271</v>
      </c>
      <c r="E328" s="307" t="s">
        <v>271</v>
      </c>
      <c r="F328" s="308"/>
      <c r="G328" s="343" t="str">
        <f t="shared" si="15"/>
        <v xml:space="preserve"> </v>
      </c>
      <c r="H328" s="307"/>
      <c r="I328" s="309" t="e">
        <f t="shared" si="16"/>
        <v>#N/A</v>
      </c>
      <c r="J328" s="307"/>
      <c r="K328" s="307"/>
      <c r="L328" s="310"/>
      <c r="M328" s="310"/>
      <c r="N328" s="310"/>
      <c r="O328" s="310"/>
      <c r="P328" s="310"/>
      <c r="Q328" s="310"/>
      <c r="R328" s="310"/>
      <c r="S328" s="310"/>
      <c r="T328" s="310"/>
      <c r="U328" s="307"/>
      <c r="V328" s="307"/>
      <c r="W328" s="311"/>
      <c r="X328" s="307"/>
      <c r="Y328" s="307"/>
      <c r="Z328" s="307"/>
      <c r="AA328" s="307"/>
      <c r="AB328" s="311"/>
      <c r="AC328" s="307"/>
      <c r="AD328" s="307"/>
      <c r="AE328" s="307"/>
      <c r="AF328" s="307"/>
      <c r="AG328" s="310"/>
      <c r="AH328" s="307"/>
      <c r="AI328" s="310"/>
      <c r="AJ328" s="307"/>
      <c r="AK328" s="307"/>
      <c r="AL328" s="307"/>
      <c r="AM328" s="308"/>
      <c r="AN328" s="311"/>
      <c r="AO328" s="307"/>
      <c r="AP328" s="307"/>
      <c r="AQ328" s="308"/>
      <c r="AR328" s="307"/>
      <c r="AS328" s="307"/>
      <c r="AT328" s="307"/>
      <c r="AU328" s="310"/>
      <c r="AV328" s="308"/>
      <c r="AW328" s="312"/>
      <c r="AX328" s="308"/>
      <c r="AY328" s="307"/>
      <c r="AZ328" s="307"/>
      <c r="BA328" s="307"/>
      <c r="BB328" s="307"/>
      <c r="BC328" s="308"/>
      <c r="BD328" s="308"/>
      <c r="BE328" s="313"/>
      <c r="BF328" s="307"/>
      <c r="BG328" s="310"/>
      <c r="BH328" s="307"/>
      <c r="BI328" s="307"/>
      <c r="BJ328" s="310"/>
      <c r="BK328" s="307"/>
      <c r="BL328" s="307"/>
      <c r="BM328" s="310"/>
      <c r="BN328" s="307"/>
      <c r="BO328" s="310"/>
      <c r="BP328" s="307"/>
      <c r="BQ328" s="307"/>
      <c r="BR328" s="307"/>
      <c r="BS328" s="307"/>
      <c r="BT328" s="307"/>
      <c r="BU328" s="310"/>
      <c r="BV328" s="307"/>
      <c r="BW328" s="308"/>
      <c r="BX328" s="311"/>
      <c r="BY328" s="307"/>
      <c r="BZ328" s="307"/>
      <c r="CA328" s="310"/>
      <c r="CB328" s="307"/>
      <c r="CC328" s="307"/>
      <c r="CD328" s="307"/>
      <c r="CE328" s="308"/>
      <c r="CF328" s="308"/>
      <c r="CG328" s="307"/>
      <c r="CH328" s="307"/>
      <c r="CI328" s="307"/>
      <c r="CJ328" s="307"/>
      <c r="CK328" s="314"/>
      <c r="CL328" s="310"/>
      <c r="CM328" s="310"/>
      <c r="CN328" s="307"/>
      <c r="CO328" s="307"/>
      <c r="CP328" s="307"/>
      <c r="CQ328" s="315"/>
      <c r="CR328" s="315"/>
      <c r="CS328" s="315"/>
      <c r="CT328" s="315"/>
      <c r="CU328" s="307"/>
      <c r="CV328" s="217"/>
      <c r="CW328" s="192"/>
      <c r="CX328" s="192"/>
      <c r="CY328" s="192"/>
      <c r="CZ328" s="191"/>
      <c r="DA328" s="193"/>
      <c r="DB328" s="192"/>
      <c r="DC328" s="192"/>
      <c r="DD328" s="192"/>
      <c r="DE328" s="191"/>
      <c r="DF328" s="19"/>
      <c r="DG328" s="192"/>
      <c r="DH328" s="192"/>
      <c r="DI328" s="192"/>
      <c r="DJ328" s="191"/>
      <c r="DK328" s="193"/>
      <c r="DL328" s="192"/>
      <c r="DM328" s="192"/>
      <c r="DN328" s="192"/>
      <c r="DO328" s="191"/>
      <c r="DP328" s="19"/>
      <c r="DQ328" s="192"/>
      <c r="DR328" s="192"/>
      <c r="DS328" s="192"/>
      <c r="DT328" s="191"/>
      <c r="DU328" s="193"/>
      <c r="DV328" s="192"/>
      <c r="DW328" s="192"/>
      <c r="DX328" s="192"/>
      <c r="DY328" s="191"/>
      <c r="DZ328" s="19"/>
      <c r="EA328" s="192"/>
      <c r="EB328" s="192"/>
      <c r="EC328" s="192"/>
      <c r="ED328" s="191"/>
      <c r="EE328" s="193"/>
      <c r="EF328" s="192"/>
      <c r="EG328" s="192"/>
      <c r="EH328" s="192"/>
      <c r="EI328" s="191"/>
      <c r="EJ328" s="19"/>
      <c r="EK328" s="192"/>
      <c r="EL328" s="192"/>
      <c r="EM328" s="192"/>
      <c r="EN328" s="191"/>
      <c r="EO328" s="193"/>
      <c r="EP328" s="192"/>
      <c r="EQ328" s="192"/>
      <c r="ER328" s="192"/>
      <c r="ES328" s="191"/>
      <c r="ET328" s="19"/>
      <c r="EU328" s="192"/>
      <c r="EV328" s="192"/>
      <c r="EW328" s="192"/>
      <c r="EX328" s="191"/>
      <c r="EY328" s="193"/>
      <c r="EZ328" s="192"/>
      <c r="FA328" s="192"/>
      <c r="FB328" s="192"/>
      <c r="FC328" s="191"/>
      <c r="FL328" s="273">
        <f t="shared" ca="1" si="17"/>
        <v>116</v>
      </c>
    </row>
    <row r="329" spans="1:168" ht="16.5" thickBot="1">
      <c r="A329" s="199">
        <v>326</v>
      </c>
      <c r="B329" s="306"/>
      <c r="C329" s="310"/>
      <c r="D329" s="307" t="s">
        <v>271</v>
      </c>
      <c r="E329" s="307" t="s">
        <v>271</v>
      </c>
      <c r="F329" s="308"/>
      <c r="G329" s="343" t="str">
        <f t="shared" si="15"/>
        <v xml:space="preserve"> </v>
      </c>
      <c r="H329" s="307"/>
      <c r="I329" s="309" t="e">
        <f t="shared" si="16"/>
        <v>#N/A</v>
      </c>
      <c r="J329" s="307"/>
      <c r="K329" s="307"/>
      <c r="L329" s="310"/>
      <c r="M329" s="310"/>
      <c r="N329" s="310"/>
      <c r="O329" s="310"/>
      <c r="P329" s="310"/>
      <c r="Q329" s="310"/>
      <c r="R329" s="310"/>
      <c r="S329" s="310"/>
      <c r="T329" s="310"/>
      <c r="U329" s="307"/>
      <c r="V329" s="307"/>
      <c r="W329" s="311"/>
      <c r="X329" s="307"/>
      <c r="Y329" s="307"/>
      <c r="Z329" s="307"/>
      <c r="AA329" s="307"/>
      <c r="AB329" s="311"/>
      <c r="AC329" s="307"/>
      <c r="AD329" s="307"/>
      <c r="AE329" s="307"/>
      <c r="AF329" s="307"/>
      <c r="AG329" s="310"/>
      <c r="AH329" s="307"/>
      <c r="AI329" s="310"/>
      <c r="AJ329" s="307"/>
      <c r="AK329" s="307"/>
      <c r="AL329" s="307"/>
      <c r="AM329" s="308"/>
      <c r="AN329" s="311"/>
      <c r="AO329" s="307"/>
      <c r="AP329" s="307"/>
      <c r="AQ329" s="308"/>
      <c r="AR329" s="307"/>
      <c r="AS329" s="307"/>
      <c r="AT329" s="307"/>
      <c r="AU329" s="310"/>
      <c r="AV329" s="308"/>
      <c r="AW329" s="312"/>
      <c r="AX329" s="308"/>
      <c r="AY329" s="307"/>
      <c r="AZ329" s="307"/>
      <c r="BA329" s="307"/>
      <c r="BB329" s="307"/>
      <c r="BC329" s="308"/>
      <c r="BD329" s="308"/>
      <c r="BE329" s="313"/>
      <c r="BF329" s="307"/>
      <c r="BG329" s="310"/>
      <c r="BH329" s="307"/>
      <c r="BI329" s="307"/>
      <c r="BJ329" s="310"/>
      <c r="BK329" s="307"/>
      <c r="BL329" s="307"/>
      <c r="BM329" s="310"/>
      <c r="BN329" s="307"/>
      <c r="BO329" s="310"/>
      <c r="BP329" s="307"/>
      <c r="BQ329" s="307"/>
      <c r="BR329" s="307"/>
      <c r="BS329" s="307"/>
      <c r="BT329" s="307"/>
      <c r="BU329" s="310"/>
      <c r="BV329" s="307"/>
      <c r="BW329" s="308"/>
      <c r="BX329" s="311"/>
      <c r="BY329" s="307"/>
      <c r="BZ329" s="307"/>
      <c r="CA329" s="310"/>
      <c r="CB329" s="307"/>
      <c r="CC329" s="307"/>
      <c r="CD329" s="307"/>
      <c r="CE329" s="308"/>
      <c r="CF329" s="308"/>
      <c r="CG329" s="307"/>
      <c r="CH329" s="307"/>
      <c r="CI329" s="307"/>
      <c r="CJ329" s="307"/>
      <c r="CK329" s="314"/>
      <c r="CL329" s="310"/>
      <c r="CM329" s="310"/>
      <c r="CN329" s="307"/>
      <c r="CO329" s="307"/>
      <c r="CP329" s="307"/>
      <c r="CQ329" s="315"/>
      <c r="CR329" s="315"/>
      <c r="CS329" s="315"/>
      <c r="CT329" s="315"/>
      <c r="CU329" s="307"/>
      <c r="CV329" s="217"/>
      <c r="CW329" s="192"/>
      <c r="CX329" s="192"/>
      <c r="CY329" s="192"/>
      <c r="CZ329" s="191"/>
      <c r="DA329" s="193"/>
      <c r="DB329" s="192"/>
      <c r="DC329" s="192"/>
      <c r="DD329" s="192"/>
      <c r="DE329" s="191"/>
      <c r="DF329" s="19"/>
      <c r="DG329" s="192"/>
      <c r="DH329" s="192"/>
      <c r="DI329" s="192"/>
      <c r="DJ329" s="191"/>
      <c r="DK329" s="193"/>
      <c r="DL329" s="192"/>
      <c r="DM329" s="192"/>
      <c r="DN329" s="192"/>
      <c r="DO329" s="191"/>
      <c r="DP329" s="19"/>
      <c r="DQ329" s="192"/>
      <c r="DR329" s="192"/>
      <c r="DS329" s="192"/>
      <c r="DT329" s="191"/>
      <c r="DU329" s="193"/>
      <c r="DV329" s="192"/>
      <c r="DW329" s="192"/>
      <c r="DX329" s="192"/>
      <c r="DY329" s="191"/>
      <c r="DZ329" s="19"/>
      <c r="EA329" s="192"/>
      <c r="EB329" s="192"/>
      <c r="EC329" s="192"/>
      <c r="ED329" s="191"/>
      <c r="EE329" s="193"/>
      <c r="EF329" s="192"/>
      <c r="EG329" s="192"/>
      <c r="EH329" s="192"/>
      <c r="EI329" s="191"/>
      <c r="EJ329" s="19"/>
      <c r="EK329" s="192"/>
      <c r="EL329" s="192"/>
      <c r="EM329" s="192"/>
      <c r="EN329" s="191"/>
      <c r="EO329" s="193"/>
      <c r="EP329" s="192"/>
      <c r="EQ329" s="192"/>
      <c r="ER329" s="192"/>
      <c r="ES329" s="191"/>
      <c r="ET329" s="19"/>
      <c r="EU329" s="192"/>
      <c r="EV329" s="192"/>
      <c r="EW329" s="192"/>
      <c r="EX329" s="191"/>
      <c r="EY329" s="193"/>
      <c r="EZ329" s="192"/>
      <c r="FA329" s="192"/>
      <c r="FB329" s="192"/>
      <c r="FC329" s="191"/>
      <c r="FL329" s="273">
        <f t="shared" ca="1" si="17"/>
        <v>116</v>
      </c>
    </row>
    <row r="330" spans="1:168" ht="16.5" thickBot="1">
      <c r="A330" s="196">
        <v>327</v>
      </c>
      <c r="B330" s="306"/>
      <c r="C330" s="310"/>
      <c r="D330" s="307" t="s">
        <v>271</v>
      </c>
      <c r="E330" s="307" t="s">
        <v>271</v>
      </c>
      <c r="F330" s="308"/>
      <c r="G330" s="343" t="str">
        <f t="shared" si="15"/>
        <v xml:space="preserve"> </v>
      </c>
      <c r="H330" s="307"/>
      <c r="I330" s="309" t="e">
        <f t="shared" si="16"/>
        <v>#N/A</v>
      </c>
      <c r="J330" s="307"/>
      <c r="K330" s="307"/>
      <c r="L330" s="310"/>
      <c r="M330" s="310"/>
      <c r="N330" s="310"/>
      <c r="O330" s="310"/>
      <c r="P330" s="310"/>
      <c r="Q330" s="310"/>
      <c r="R330" s="310"/>
      <c r="S330" s="310"/>
      <c r="T330" s="310"/>
      <c r="U330" s="307"/>
      <c r="V330" s="307"/>
      <c r="W330" s="311"/>
      <c r="X330" s="307"/>
      <c r="Y330" s="307"/>
      <c r="Z330" s="307"/>
      <c r="AA330" s="307"/>
      <c r="AB330" s="311"/>
      <c r="AC330" s="307"/>
      <c r="AD330" s="307"/>
      <c r="AE330" s="307"/>
      <c r="AF330" s="307"/>
      <c r="AG330" s="310"/>
      <c r="AH330" s="307"/>
      <c r="AI330" s="310"/>
      <c r="AJ330" s="307"/>
      <c r="AK330" s="307"/>
      <c r="AL330" s="307"/>
      <c r="AM330" s="308"/>
      <c r="AN330" s="311"/>
      <c r="AO330" s="307"/>
      <c r="AP330" s="307"/>
      <c r="AQ330" s="308"/>
      <c r="AR330" s="307"/>
      <c r="AS330" s="307"/>
      <c r="AT330" s="307"/>
      <c r="AU330" s="310"/>
      <c r="AV330" s="308"/>
      <c r="AW330" s="312"/>
      <c r="AX330" s="308"/>
      <c r="AY330" s="307"/>
      <c r="AZ330" s="307"/>
      <c r="BA330" s="307"/>
      <c r="BB330" s="307"/>
      <c r="BC330" s="308"/>
      <c r="BD330" s="308"/>
      <c r="BE330" s="313"/>
      <c r="BF330" s="307"/>
      <c r="BG330" s="310"/>
      <c r="BH330" s="307"/>
      <c r="BI330" s="307"/>
      <c r="BJ330" s="310"/>
      <c r="BK330" s="307"/>
      <c r="BL330" s="307"/>
      <c r="BM330" s="310"/>
      <c r="BN330" s="307"/>
      <c r="BO330" s="310"/>
      <c r="BP330" s="307"/>
      <c r="BQ330" s="307"/>
      <c r="BR330" s="307"/>
      <c r="BS330" s="307"/>
      <c r="BT330" s="307"/>
      <c r="BU330" s="310"/>
      <c r="BV330" s="307"/>
      <c r="BW330" s="308"/>
      <c r="BX330" s="311"/>
      <c r="BY330" s="307"/>
      <c r="BZ330" s="307"/>
      <c r="CA330" s="310"/>
      <c r="CB330" s="307"/>
      <c r="CC330" s="307"/>
      <c r="CD330" s="307"/>
      <c r="CE330" s="308"/>
      <c r="CF330" s="308"/>
      <c r="CG330" s="307"/>
      <c r="CH330" s="307"/>
      <c r="CI330" s="307"/>
      <c r="CJ330" s="307"/>
      <c r="CK330" s="314"/>
      <c r="CL330" s="310"/>
      <c r="CM330" s="310"/>
      <c r="CN330" s="307"/>
      <c r="CO330" s="307"/>
      <c r="CP330" s="307"/>
      <c r="CQ330" s="315"/>
      <c r="CR330" s="315"/>
      <c r="CS330" s="315"/>
      <c r="CT330" s="315"/>
      <c r="CU330" s="307"/>
      <c r="CV330" s="217"/>
      <c r="CW330" s="192"/>
      <c r="CX330" s="192"/>
      <c r="CY330" s="192"/>
      <c r="CZ330" s="191"/>
      <c r="DA330" s="193"/>
      <c r="DB330" s="192"/>
      <c r="DC330" s="192"/>
      <c r="DD330" s="192"/>
      <c r="DE330" s="191"/>
      <c r="DF330" s="19"/>
      <c r="DG330" s="192"/>
      <c r="DH330" s="192"/>
      <c r="DI330" s="192"/>
      <c r="DJ330" s="191"/>
      <c r="DK330" s="193"/>
      <c r="DL330" s="192"/>
      <c r="DM330" s="192"/>
      <c r="DN330" s="192"/>
      <c r="DO330" s="191"/>
      <c r="DP330" s="19"/>
      <c r="DQ330" s="192"/>
      <c r="DR330" s="192"/>
      <c r="DS330" s="192"/>
      <c r="DT330" s="191"/>
      <c r="DU330" s="193"/>
      <c r="DV330" s="192"/>
      <c r="DW330" s="192"/>
      <c r="DX330" s="192"/>
      <c r="DY330" s="191"/>
      <c r="DZ330" s="19"/>
      <c r="EA330" s="192"/>
      <c r="EB330" s="192"/>
      <c r="EC330" s="192"/>
      <c r="ED330" s="191"/>
      <c r="EE330" s="193"/>
      <c r="EF330" s="192"/>
      <c r="EG330" s="192"/>
      <c r="EH330" s="192"/>
      <c r="EI330" s="191"/>
      <c r="EJ330" s="19"/>
      <c r="EK330" s="192"/>
      <c r="EL330" s="192"/>
      <c r="EM330" s="192"/>
      <c r="EN330" s="191"/>
      <c r="EO330" s="193"/>
      <c r="EP330" s="192"/>
      <c r="EQ330" s="192"/>
      <c r="ER330" s="192"/>
      <c r="ES330" s="191"/>
      <c r="ET330" s="19"/>
      <c r="EU330" s="192"/>
      <c r="EV330" s="192"/>
      <c r="EW330" s="192"/>
      <c r="EX330" s="191"/>
      <c r="EY330" s="193"/>
      <c r="EZ330" s="192"/>
      <c r="FA330" s="192"/>
      <c r="FB330" s="192"/>
      <c r="FC330" s="191"/>
      <c r="FL330" s="273">
        <f t="shared" ca="1" si="17"/>
        <v>116</v>
      </c>
    </row>
    <row r="331" spans="1:168" ht="16.5" thickBot="1">
      <c r="A331" s="199">
        <v>328</v>
      </c>
      <c r="B331" s="306"/>
      <c r="C331" s="310"/>
      <c r="D331" s="307" t="s">
        <v>271</v>
      </c>
      <c r="E331" s="307" t="s">
        <v>271</v>
      </c>
      <c r="F331" s="308"/>
      <c r="G331" s="343" t="str">
        <f t="shared" si="15"/>
        <v xml:space="preserve"> </v>
      </c>
      <c r="H331" s="307"/>
      <c r="I331" s="309" t="e">
        <f t="shared" si="16"/>
        <v>#N/A</v>
      </c>
      <c r="J331" s="307"/>
      <c r="K331" s="307"/>
      <c r="L331" s="310"/>
      <c r="M331" s="310"/>
      <c r="N331" s="310"/>
      <c r="O331" s="310"/>
      <c r="P331" s="310"/>
      <c r="Q331" s="310"/>
      <c r="R331" s="310"/>
      <c r="S331" s="310"/>
      <c r="T331" s="310"/>
      <c r="U331" s="307"/>
      <c r="V331" s="307"/>
      <c r="W331" s="311"/>
      <c r="X331" s="307"/>
      <c r="Y331" s="307"/>
      <c r="Z331" s="307"/>
      <c r="AA331" s="307"/>
      <c r="AB331" s="311"/>
      <c r="AC331" s="307"/>
      <c r="AD331" s="307"/>
      <c r="AE331" s="307"/>
      <c r="AF331" s="307"/>
      <c r="AG331" s="310"/>
      <c r="AH331" s="307"/>
      <c r="AI331" s="310"/>
      <c r="AJ331" s="307"/>
      <c r="AK331" s="307"/>
      <c r="AL331" s="307"/>
      <c r="AM331" s="308"/>
      <c r="AN331" s="311"/>
      <c r="AO331" s="307"/>
      <c r="AP331" s="307"/>
      <c r="AQ331" s="308"/>
      <c r="AR331" s="307"/>
      <c r="AS331" s="307"/>
      <c r="AT331" s="307"/>
      <c r="AU331" s="310"/>
      <c r="AV331" s="308"/>
      <c r="AW331" s="312"/>
      <c r="AX331" s="308"/>
      <c r="AY331" s="307"/>
      <c r="AZ331" s="307"/>
      <c r="BA331" s="307"/>
      <c r="BB331" s="307"/>
      <c r="BC331" s="308"/>
      <c r="BD331" s="308"/>
      <c r="BE331" s="313"/>
      <c r="BF331" s="307"/>
      <c r="BG331" s="310"/>
      <c r="BH331" s="307"/>
      <c r="BI331" s="307"/>
      <c r="BJ331" s="310"/>
      <c r="BK331" s="307"/>
      <c r="BL331" s="307"/>
      <c r="BM331" s="310"/>
      <c r="BN331" s="307"/>
      <c r="BO331" s="310"/>
      <c r="BP331" s="307"/>
      <c r="BQ331" s="307"/>
      <c r="BR331" s="307"/>
      <c r="BS331" s="307"/>
      <c r="BT331" s="307"/>
      <c r="BU331" s="310"/>
      <c r="BV331" s="307"/>
      <c r="BW331" s="308"/>
      <c r="BX331" s="311"/>
      <c r="BY331" s="307"/>
      <c r="BZ331" s="307"/>
      <c r="CA331" s="310"/>
      <c r="CB331" s="307"/>
      <c r="CC331" s="307"/>
      <c r="CD331" s="307"/>
      <c r="CE331" s="308"/>
      <c r="CF331" s="308"/>
      <c r="CG331" s="307"/>
      <c r="CH331" s="307"/>
      <c r="CI331" s="307"/>
      <c r="CJ331" s="307"/>
      <c r="CK331" s="314"/>
      <c r="CL331" s="310"/>
      <c r="CM331" s="310"/>
      <c r="CN331" s="307"/>
      <c r="CO331" s="307"/>
      <c r="CP331" s="307"/>
      <c r="CQ331" s="315"/>
      <c r="CR331" s="315"/>
      <c r="CS331" s="315"/>
      <c r="CT331" s="315"/>
      <c r="CU331" s="307"/>
      <c r="CV331" s="217"/>
      <c r="CW331" s="192"/>
      <c r="CX331" s="192"/>
      <c r="CY331" s="192"/>
      <c r="CZ331" s="191"/>
      <c r="DA331" s="193"/>
      <c r="DB331" s="192"/>
      <c r="DC331" s="192"/>
      <c r="DD331" s="192"/>
      <c r="DE331" s="191"/>
      <c r="DF331" s="19"/>
      <c r="DG331" s="192"/>
      <c r="DH331" s="192"/>
      <c r="DI331" s="192"/>
      <c r="DJ331" s="191"/>
      <c r="DK331" s="193"/>
      <c r="DL331" s="192"/>
      <c r="DM331" s="192"/>
      <c r="DN331" s="192"/>
      <c r="DO331" s="191"/>
      <c r="DP331" s="19"/>
      <c r="DQ331" s="192"/>
      <c r="DR331" s="192"/>
      <c r="DS331" s="192"/>
      <c r="DT331" s="191"/>
      <c r="DU331" s="193"/>
      <c r="DV331" s="192"/>
      <c r="DW331" s="192"/>
      <c r="DX331" s="192"/>
      <c r="DY331" s="191"/>
      <c r="DZ331" s="19"/>
      <c r="EA331" s="192"/>
      <c r="EB331" s="192"/>
      <c r="EC331" s="192"/>
      <c r="ED331" s="191"/>
      <c r="EE331" s="193"/>
      <c r="EF331" s="192"/>
      <c r="EG331" s="192"/>
      <c r="EH331" s="192"/>
      <c r="EI331" s="191"/>
      <c r="EJ331" s="19"/>
      <c r="EK331" s="192"/>
      <c r="EL331" s="192"/>
      <c r="EM331" s="192"/>
      <c r="EN331" s="191"/>
      <c r="EO331" s="193"/>
      <c r="EP331" s="192"/>
      <c r="EQ331" s="192"/>
      <c r="ER331" s="192"/>
      <c r="ES331" s="191"/>
      <c r="ET331" s="19"/>
      <c r="EU331" s="192"/>
      <c r="EV331" s="192"/>
      <c r="EW331" s="192"/>
      <c r="EX331" s="191"/>
      <c r="EY331" s="193"/>
      <c r="EZ331" s="192"/>
      <c r="FA331" s="192"/>
      <c r="FB331" s="192"/>
      <c r="FC331" s="191"/>
      <c r="FL331" s="273">
        <f t="shared" ca="1" si="17"/>
        <v>116</v>
      </c>
    </row>
    <row r="332" spans="1:168" ht="16.5" thickBot="1">
      <c r="A332" s="196">
        <v>329</v>
      </c>
      <c r="B332" s="306"/>
      <c r="C332" s="310"/>
      <c r="D332" s="307" t="s">
        <v>271</v>
      </c>
      <c r="E332" s="307" t="s">
        <v>271</v>
      </c>
      <c r="F332" s="308"/>
      <c r="G332" s="343" t="str">
        <f t="shared" si="15"/>
        <v xml:space="preserve"> </v>
      </c>
      <c r="H332" s="307"/>
      <c r="I332" s="309" t="e">
        <f t="shared" si="16"/>
        <v>#N/A</v>
      </c>
      <c r="J332" s="307"/>
      <c r="K332" s="307"/>
      <c r="L332" s="310"/>
      <c r="M332" s="310"/>
      <c r="N332" s="310"/>
      <c r="O332" s="310"/>
      <c r="P332" s="310"/>
      <c r="Q332" s="310"/>
      <c r="R332" s="310"/>
      <c r="S332" s="310"/>
      <c r="T332" s="310"/>
      <c r="U332" s="307"/>
      <c r="V332" s="307"/>
      <c r="W332" s="311"/>
      <c r="X332" s="307"/>
      <c r="Y332" s="307"/>
      <c r="Z332" s="307"/>
      <c r="AA332" s="307"/>
      <c r="AB332" s="311"/>
      <c r="AC332" s="307"/>
      <c r="AD332" s="307"/>
      <c r="AE332" s="307"/>
      <c r="AF332" s="307"/>
      <c r="AG332" s="310"/>
      <c r="AH332" s="307"/>
      <c r="AI332" s="310"/>
      <c r="AJ332" s="307"/>
      <c r="AK332" s="307"/>
      <c r="AL332" s="307"/>
      <c r="AM332" s="308"/>
      <c r="AN332" s="311"/>
      <c r="AO332" s="307"/>
      <c r="AP332" s="307"/>
      <c r="AQ332" s="308"/>
      <c r="AR332" s="307"/>
      <c r="AS332" s="307"/>
      <c r="AT332" s="307"/>
      <c r="AU332" s="310"/>
      <c r="AV332" s="308"/>
      <c r="AW332" s="312"/>
      <c r="AX332" s="308"/>
      <c r="AY332" s="307"/>
      <c r="AZ332" s="307"/>
      <c r="BA332" s="307"/>
      <c r="BB332" s="307"/>
      <c r="BC332" s="308"/>
      <c r="BD332" s="308"/>
      <c r="BE332" s="313"/>
      <c r="BF332" s="307"/>
      <c r="BG332" s="310"/>
      <c r="BH332" s="307"/>
      <c r="BI332" s="307"/>
      <c r="BJ332" s="310"/>
      <c r="BK332" s="307"/>
      <c r="BL332" s="307"/>
      <c r="BM332" s="310"/>
      <c r="BN332" s="307"/>
      <c r="BO332" s="310"/>
      <c r="BP332" s="307"/>
      <c r="BQ332" s="307"/>
      <c r="BR332" s="307"/>
      <c r="BS332" s="307"/>
      <c r="BT332" s="307"/>
      <c r="BU332" s="310"/>
      <c r="BV332" s="307"/>
      <c r="BW332" s="308"/>
      <c r="BX332" s="311"/>
      <c r="BY332" s="307"/>
      <c r="BZ332" s="307"/>
      <c r="CA332" s="310"/>
      <c r="CB332" s="307"/>
      <c r="CC332" s="307"/>
      <c r="CD332" s="307"/>
      <c r="CE332" s="308"/>
      <c r="CF332" s="308"/>
      <c r="CG332" s="307"/>
      <c r="CH332" s="307"/>
      <c r="CI332" s="307"/>
      <c r="CJ332" s="307"/>
      <c r="CK332" s="314"/>
      <c r="CL332" s="310"/>
      <c r="CM332" s="310"/>
      <c r="CN332" s="307"/>
      <c r="CO332" s="307"/>
      <c r="CP332" s="307"/>
      <c r="CQ332" s="315"/>
      <c r="CR332" s="315"/>
      <c r="CS332" s="315"/>
      <c r="CT332" s="315"/>
      <c r="CU332" s="307"/>
      <c r="CV332" s="217"/>
      <c r="CW332" s="192"/>
      <c r="CX332" s="192"/>
      <c r="CY332" s="192"/>
      <c r="CZ332" s="191"/>
      <c r="DA332" s="193"/>
      <c r="DB332" s="192"/>
      <c r="DC332" s="192"/>
      <c r="DD332" s="192"/>
      <c r="DE332" s="191"/>
      <c r="DF332" s="19"/>
      <c r="DG332" s="192"/>
      <c r="DH332" s="192"/>
      <c r="DI332" s="192"/>
      <c r="DJ332" s="191"/>
      <c r="DK332" s="193"/>
      <c r="DL332" s="192"/>
      <c r="DM332" s="192"/>
      <c r="DN332" s="192"/>
      <c r="DO332" s="191"/>
      <c r="DP332" s="19"/>
      <c r="DQ332" s="192"/>
      <c r="DR332" s="192"/>
      <c r="DS332" s="192"/>
      <c r="DT332" s="191"/>
      <c r="DU332" s="193"/>
      <c r="DV332" s="192"/>
      <c r="DW332" s="192"/>
      <c r="DX332" s="192"/>
      <c r="DY332" s="191"/>
      <c r="DZ332" s="19"/>
      <c r="EA332" s="192"/>
      <c r="EB332" s="192"/>
      <c r="EC332" s="192"/>
      <c r="ED332" s="191"/>
      <c r="EE332" s="193"/>
      <c r="EF332" s="192"/>
      <c r="EG332" s="192"/>
      <c r="EH332" s="192"/>
      <c r="EI332" s="191"/>
      <c r="EJ332" s="19"/>
      <c r="EK332" s="192"/>
      <c r="EL332" s="192"/>
      <c r="EM332" s="192"/>
      <c r="EN332" s="191"/>
      <c r="EO332" s="193"/>
      <c r="EP332" s="192"/>
      <c r="EQ332" s="192"/>
      <c r="ER332" s="192"/>
      <c r="ES332" s="191"/>
      <c r="ET332" s="19"/>
      <c r="EU332" s="192"/>
      <c r="EV332" s="192"/>
      <c r="EW332" s="192"/>
      <c r="EX332" s="191"/>
      <c r="EY332" s="193"/>
      <c r="EZ332" s="192"/>
      <c r="FA332" s="192"/>
      <c r="FB332" s="192"/>
      <c r="FC332" s="191"/>
      <c r="FL332" s="273">
        <f t="shared" ca="1" si="17"/>
        <v>116</v>
      </c>
    </row>
    <row r="333" spans="1:168" ht="16.5" thickBot="1">
      <c r="A333" s="199">
        <v>330</v>
      </c>
      <c r="B333" s="306"/>
      <c r="C333" s="310"/>
      <c r="D333" s="307" t="s">
        <v>271</v>
      </c>
      <c r="E333" s="307" t="s">
        <v>271</v>
      </c>
      <c r="F333" s="308"/>
      <c r="G333" s="343" t="str">
        <f t="shared" si="15"/>
        <v xml:space="preserve"> </v>
      </c>
      <c r="H333" s="307"/>
      <c r="I333" s="309" t="e">
        <f t="shared" si="16"/>
        <v>#N/A</v>
      </c>
      <c r="J333" s="307"/>
      <c r="K333" s="307"/>
      <c r="L333" s="310"/>
      <c r="M333" s="310"/>
      <c r="N333" s="310"/>
      <c r="O333" s="310"/>
      <c r="P333" s="310"/>
      <c r="Q333" s="310"/>
      <c r="R333" s="310"/>
      <c r="S333" s="310"/>
      <c r="T333" s="310"/>
      <c r="U333" s="307"/>
      <c r="V333" s="307"/>
      <c r="W333" s="311"/>
      <c r="X333" s="307"/>
      <c r="Y333" s="307"/>
      <c r="Z333" s="307"/>
      <c r="AA333" s="307"/>
      <c r="AB333" s="311"/>
      <c r="AC333" s="307"/>
      <c r="AD333" s="307"/>
      <c r="AE333" s="307"/>
      <c r="AF333" s="307"/>
      <c r="AG333" s="310"/>
      <c r="AH333" s="307"/>
      <c r="AI333" s="310"/>
      <c r="AJ333" s="307"/>
      <c r="AK333" s="307"/>
      <c r="AL333" s="307"/>
      <c r="AM333" s="308"/>
      <c r="AN333" s="311"/>
      <c r="AO333" s="307"/>
      <c r="AP333" s="307"/>
      <c r="AQ333" s="308"/>
      <c r="AR333" s="307"/>
      <c r="AS333" s="307"/>
      <c r="AT333" s="307"/>
      <c r="AU333" s="310"/>
      <c r="AV333" s="308"/>
      <c r="AW333" s="312"/>
      <c r="AX333" s="308"/>
      <c r="AY333" s="307"/>
      <c r="AZ333" s="307"/>
      <c r="BA333" s="307"/>
      <c r="BB333" s="307"/>
      <c r="BC333" s="308"/>
      <c r="BD333" s="308"/>
      <c r="BE333" s="313"/>
      <c r="BF333" s="307"/>
      <c r="BG333" s="310"/>
      <c r="BH333" s="307"/>
      <c r="BI333" s="307"/>
      <c r="BJ333" s="310"/>
      <c r="BK333" s="307"/>
      <c r="BL333" s="307"/>
      <c r="BM333" s="310"/>
      <c r="BN333" s="307"/>
      <c r="BO333" s="310"/>
      <c r="BP333" s="307"/>
      <c r="BQ333" s="307"/>
      <c r="BR333" s="307"/>
      <c r="BS333" s="307"/>
      <c r="BT333" s="307"/>
      <c r="BU333" s="310"/>
      <c r="BV333" s="307"/>
      <c r="BW333" s="308"/>
      <c r="BX333" s="311"/>
      <c r="BY333" s="307"/>
      <c r="BZ333" s="307"/>
      <c r="CA333" s="310"/>
      <c r="CB333" s="307"/>
      <c r="CC333" s="307"/>
      <c r="CD333" s="307"/>
      <c r="CE333" s="308"/>
      <c r="CF333" s="308"/>
      <c r="CG333" s="307"/>
      <c r="CH333" s="307"/>
      <c r="CI333" s="307"/>
      <c r="CJ333" s="307"/>
      <c r="CK333" s="314"/>
      <c r="CL333" s="310"/>
      <c r="CM333" s="310"/>
      <c r="CN333" s="307"/>
      <c r="CO333" s="307"/>
      <c r="CP333" s="307"/>
      <c r="CQ333" s="315"/>
      <c r="CR333" s="315"/>
      <c r="CS333" s="315"/>
      <c r="CT333" s="315"/>
      <c r="CU333" s="307"/>
      <c r="CV333" s="217"/>
      <c r="CW333" s="192"/>
      <c r="CX333" s="192"/>
      <c r="CY333" s="192"/>
      <c r="CZ333" s="191"/>
      <c r="DA333" s="193"/>
      <c r="DB333" s="192"/>
      <c r="DC333" s="192"/>
      <c r="DD333" s="192"/>
      <c r="DE333" s="191"/>
      <c r="DF333" s="19"/>
      <c r="DG333" s="192"/>
      <c r="DH333" s="192"/>
      <c r="DI333" s="192"/>
      <c r="DJ333" s="191"/>
      <c r="DK333" s="193"/>
      <c r="DL333" s="192"/>
      <c r="DM333" s="192"/>
      <c r="DN333" s="192"/>
      <c r="DO333" s="191"/>
      <c r="DP333" s="19"/>
      <c r="DQ333" s="192"/>
      <c r="DR333" s="192"/>
      <c r="DS333" s="192"/>
      <c r="DT333" s="191"/>
      <c r="DU333" s="193"/>
      <c r="DV333" s="192"/>
      <c r="DW333" s="192"/>
      <c r="DX333" s="192"/>
      <c r="DY333" s="191"/>
      <c r="DZ333" s="19"/>
      <c r="EA333" s="192"/>
      <c r="EB333" s="192"/>
      <c r="EC333" s="192"/>
      <c r="ED333" s="191"/>
      <c r="EE333" s="193"/>
      <c r="EF333" s="192"/>
      <c r="EG333" s="192"/>
      <c r="EH333" s="192"/>
      <c r="EI333" s="191"/>
      <c r="EJ333" s="19"/>
      <c r="EK333" s="192"/>
      <c r="EL333" s="192"/>
      <c r="EM333" s="192"/>
      <c r="EN333" s="191"/>
      <c r="EO333" s="193"/>
      <c r="EP333" s="192"/>
      <c r="EQ333" s="192"/>
      <c r="ER333" s="192"/>
      <c r="ES333" s="191"/>
      <c r="ET333" s="19"/>
      <c r="EU333" s="192"/>
      <c r="EV333" s="192"/>
      <c r="EW333" s="192"/>
      <c r="EX333" s="191"/>
      <c r="EY333" s="193"/>
      <c r="EZ333" s="192"/>
      <c r="FA333" s="192"/>
      <c r="FB333" s="192"/>
      <c r="FC333" s="191"/>
      <c r="FL333" s="273">
        <f t="shared" ca="1" si="17"/>
        <v>116</v>
      </c>
    </row>
    <row r="334" spans="1:168" ht="16.5" thickBot="1">
      <c r="A334" s="196">
        <v>331</v>
      </c>
      <c r="B334" s="306"/>
      <c r="C334" s="310"/>
      <c r="D334" s="307" t="s">
        <v>271</v>
      </c>
      <c r="E334" s="307" t="s">
        <v>271</v>
      </c>
      <c r="F334" s="308"/>
      <c r="G334" s="343" t="str">
        <f t="shared" si="15"/>
        <v xml:space="preserve"> </v>
      </c>
      <c r="H334" s="307"/>
      <c r="I334" s="309" t="e">
        <f t="shared" si="16"/>
        <v>#N/A</v>
      </c>
      <c r="J334" s="307"/>
      <c r="K334" s="307"/>
      <c r="L334" s="310"/>
      <c r="M334" s="310"/>
      <c r="N334" s="310"/>
      <c r="O334" s="310"/>
      <c r="P334" s="310"/>
      <c r="Q334" s="310"/>
      <c r="R334" s="310"/>
      <c r="S334" s="310"/>
      <c r="T334" s="310"/>
      <c r="U334" s="307"/>
      <c r="V334" s="307"/>
      <c r="W334" s="311"/>
      <c r="X334" s="307"/>
      <c r="Y334" s="307"/>
      <c r="Z334" s="307"/>
      <c r="AA334" s="307"/>
      <c r="AB334" s="311"/>
      <c r="AC334" s="307"/>
      <c r="AD334" s="307"/>
      <c r="AE334" s="307"/>
      <c r="AF334" s="307"/>
      <c r="AG334" s="310"/>
      <c r="AH334" s="307"/>
      <c r="AI334" s="310"/>
      <c r="AJ334" s="307"/>
      <c r="AK334" s="307"/>
      <c r="AL334" s="307"/>
      <c r="AM334" s="308"/>
      <c r="AN334" s="311"/>
      <c r="AO334" s="307"/>
      <c r="AP334" s="307"/>
      <c r="AQ334" s="308"/>
      <c r="AR334" s="307"/>
      <c r="AS334" s="307"/>
      <c r="AT334" s="307"/>
      <c r="AU334" s="310"/>
      <c r="AV334" s="308"/>
      <c r="AW334" s="312"/>
      <c r="AX334" s="308"/>
      <c r="AY334" s="307"/>
      <c r="AZ334" s="307"/>
      <c r="BA334" s="307"/>
      <c r="BB334" s="307"/>
      <c r="BC334" s="308"/>
      <c r="BD334" s="308"/>
      <c r="BE334" s="313"/>
      <c r="BF334" s="307"/>
      <c r="BG334" s="310"/>
      <c r="BH334" s="307"/>
      <c r="BI334" s="307"/>
      <c r="BJ334" s="310"/>
      <c r="BK334" s="307"/>
      <c r="BL334" s="307"/>
      <c r="BM334" s="310"/>
      <c r="BN334" s="307"/>
      <c r="BO334" s="310"/>
      <c r="BP334" s="307"/>
      <c r="BQ334" s="307"/>
      <c r="BR334" s="307"/>
      <c r="BS334" s="307"/>
      <c r="BT334" s="307"/>
      <c r="BU334" s="310"/>
      <c r="BV334" s="307"/>
      <c r="BW334" s="308"/>
      <c r="BX334" s="311"/>
      <c r="BY334" s="307"/>
      <c r="BZ334" s="307"/>
      <c r="CA334" s="310"/>
      <c r="CB334" s="307"/>
      <c r="CC334" s="307"/>
      <c r="CD334" s="307"/>
      <c r="CE334" s="308"/>
      <c r="CF334" s="308"/>
      <c r="CG334" s="307"/>
      <c r="CH334" s="307"/>
      <c r="CI334" s="307"/>
      <c r="CJ334" s="307"/>
      <c r="CK334" s="314"/>
      <c r="CL334" s="310"/>
      <c r="CM334" s="310"/>
      <c r="CN334" s="307"/>
      <c r="CO334" s="307"/>
      <c r="CP334" s="307"/>
      <c r="CQ334" s="315"/>
      <c r="CR334" s="315"/>
      <c r="CS334" s="315"/>
      <c r="CT334" s="315"/>
      <c r="CU334" s="307"/>
      <c r="CV334" s="217"/>
      <c r="CW334" s="192"/>
      <c r="CX334" s="192"/>
      <c r="CY334" s="192"/>
      <c r="CZ334" s="191"/>
      <c r="DA334" s="193"/>
      <c r="DB334" s="192"/>
      <c r="DC334" s="192"/>
      <c r="DD334" s="192"/>
      <c r="DE334" s="191"/>
      <c r="DF334" s="19"/>
      <c r="DG334" s="192"/>
      <c r="DH334" s="192"/>
      <c r="DI334" s="192"/>
      <c r="DJ334" s="191"/>
      <c r="DK334" s="193"/>
      <c r="DL334" s="192"/>
      <c r="DM334" s="192"/>
      <c r="DN334" s="192"/>
      <c r="DO334" s="191"/>
      <c r="DP334" s="19"/>
      <c r="DQ334" s="192"/>
      <c r="DR334" s="192"/>
      <c r="DS334" s="192"/>
      <c r="DT334" s="191"/>
      <c r="DU334" s="193"/>
      <c r="DV334" s="192"/>
      <c r="DW334" s="192"/>
      <c r="DX334" s="192"/>
      <c r="DY334" s="191"/>
      <c r="DZ334" s="19"/>
      <c r="EA334" s="192"/>
      <c r="EB334" s="192"/>
      <c r="EC334" s="192"/>
      <c r="ED334" s="191"/>
      <c r="EE334" s="193"/>
      <c r="EF334" s="192"/>
      <c r="EG334" s="192"/>
      <c r="EH334" s="192"/>
      <c r="EI334" s="191"/>
      <c r="EJ334" s="19"/>
      <c r="EK334" s="192"/>
      <c r="EL334" s="192"/>
      <c r="EM334" s="192"/>
      <c r="EN334" s="191"/>
      <c r="EO334" s="193"/>
      <c r="EP334" s="192"/>
      <c r="EQ334" s="192"/>
      <c r="ER334" s="192"/>
      <c r="ES334" s="191"/>
      <c r="ET334" s="19"/>
      <c r="EU334" s="192"/>
      <c r="EV334" s="192"/>
      <c r="EW334" s="192"/>
      <c r="EX334" s="191"/>
      <c r="EY334" s="193"/>
      <c r="EZ334" s="192"/>
      <c r="FA334" s="192"/>
      <c r="FB334" s="192"/>
      <c r="FC334" s="191"/>
      <c r="FL334" s="273">
        <f t="shared" ca="1" si="17"/>
        <v>116</v>
      </c>
    </row>
    <row r="335" spans="1:168" ht="16.5" thickBot="1">
      <c r="A335" s="199">
        <v>332</v>
      </c>
      <c r="B335" s="306"/>
      <c r="C335" s="310"/>
      <c r="D335" s="307" t="s">
        <v>271</v>
      </c>
      <c r="E335" s="307" t="s">
        <v>271</v>
      </c>
      <c r="F335" s="308"/>
      <c r="G335" s="343" t="str">
        <f t="shared" si="15"/>
        <v xml:space="preserve"> </v>
      </c>
      <c r="H335" s="307"/>
      <c r="I335" s="309" t="e">
        <f t="shared" si="16"/>
        <v>#N/A</v>
      </c>
      <c r="J335" s="307"/>
      <c r="K335" s="307"/>
      <c r="L335" s="310"/>
      <c r="M335" s="310"/>
      <c r="N335" s="310"/>
      <c r="O335" s="310"/>
      <c r="P335" s="310"/>
      <c r="Q335" s="310"/>
      <c r="R335" s="310"/>
      <c r="S335" s="310"/>
      <c r="T335" s="310"/>
      <c r="U335" s="307"/>
      <c r="V335" s="307"/>
      <c r="W335" s="311"/>
      <c r="X335" s="307"/>
      <c r="Y335" s="307"/>
      <c r="Z335" s="307"/>
      <c r="AA335" s="307"/>
      <c r="AB335" s="311"/>
      <c r="AC335" s="307"/>
      <c r="AD335" s="307"/>
      <c r="AE335" s="307"/>
      <c r="AF335" s="307"/>
      <c r="AG335" s="310"/>
      <c r="AH335" s="307"/>
      <c r="AI335" s="310"/>
      <c r="AJ335" s="307"/>
      <c r="AK335" s="307"/>
      <c r="AL335" s="307"/>
      <c r="AM335" s="308"/>
      <c r="AN335" s="311"/>
      <c r="AO335" s="307"/>
      <c r="AP335" s="307"/>
      <c r="AQ335" s="308"/>
      <c r="AR335" s="307"/>
      <c r="AS335" s="307"/>
      <c r="AT335" s="307"/>
      <c r="AU335" s="310"/>
      <c r="AV335" s="308"/>
      <c r="AW335" s="312"/>
      <c r="AX335" s="308"/>
      <c r="AY335" s="307"/>
      <c r="AZ335" s="307"/>
      <c r="BA335" s="307"/>
      <c r="BB335" s="307"/>
      <c r="BC335" s="308"/>
      <c r="BD335" s="308"/>
      <c r="BE335" s="313"/>
      <c r="BF335" s="307"/>
      <c r="BG335" s="310"/>
      <c r="BH335" s="307"/>
      <c r="BI335" s="307"/>
      <c r="BJ335" s="310"/>
      <c r="BK335" s="307"/>
      <c r="BL335" s="307"/>
      <c r="BM335" s="310"/>
      <c r="BN335" s="307"/>
      <c r="BO335" s="310"/>
      <c r="BP335" s="307"/>
      <c r="BQ335" s="307"/>
      <c r="BR335" s="307"/>
      <c r="BS335" s="307"/>
      <c r="BT335" s="307"/>
      <c r="BU335" s="310"/>
      <c r="BV335" s="307"/>
      <c r="BW335" s="308"/>
      <c r="BX335" s="311"/>
      <c r="BY335" s="307"/>
      <c r="BZ335" s="307"/>
      <c r="CA335" s="310"/>
      <c r="CB335" s="307"/>
      <c r="CC335" s="307"/>
      <c r="CD335" s="307"/>
      <c r="CE335" s="308"/>
      <c r="CF335" s="308"/>
      <c r="CG335" s="307"/>
      <c r="CH335" s="307"/>
      <c r="CI335" s="307"/>
      <c r="CJ335" s="307"/>
      <c r="CK335" s="314"/>
      <c r="CL335" s="310"/>
      <c r="CM335" s="310"/>
      <c r="CN335" s="307"/>
      <c r="CO335" s="307"/>
      <c r="CP335" s="307"/>
      <c r="CQ335" s="315"/>
      <c r="CR335" s="315"/>
      <c r="CS335" s="315"/>
      <c r="CT335" s="315"/>
      <c r="CU335" s="307"/>
      <c r="CV335" s="217"/>
      <c r="CW335" s="192"/>
      <c r="CX335" s="192"/>
      <c r="CY335" s="192"/>
      <c r="CZ335" s="191"/>
      <c r="DA335" s="193"/>
      <c r="DB335" s="192"/>
      <c r="DC335" s="192"/>
      <c r="DD335" s="192"/>
      <c r="DE335" s="191"/>
      <c r="DF335" s="19"/>
      <c r="DG335" s="192"/>
      <c r="DH335" s="192"/>
      <c r="DI335" s="192"/>
      <c r="DJ335" s="191"/>
      <c r="DK335" s="193"/>
      <c r="DL335" s="192"/>
      <c r="DM335" s="192"/>
      <c r="DN335" s="192"/>
      <c r="DO335" s="191"/>
      <c r="DP335" s="19"/>
      <c r="DQ335" s="192"/>
      <c r="DR335" s="192"/>
      <c r="DS335" s="192"/>
      <c r="DT335" s="191"/>
      <c r="DU335" s="193"/>
      <c r="DV335" s="192"/>
      <c r="DW335" s="192"/>
      <c r="DX335" s="192"/>
      <c r="DY335" s="191"/>
      <c r="DZ335" s="19"/>
      <c r="EA335" s="192"/>
      <c r="EB335" s="192"/>
      <c r="EC335" s="192"/>
      <c r="ED335" s="191"/>
      <c r="EE335" s="193"/>
      <c r="EF335" s="192"/>
      <c r="EG335" s="192"/>
      <c r="EH335" s="192"/>
      <c r="EI335" s="191"/>
      <c r="EJ335" s="19"/>
      <c r="EK335" s="192"/>
      <c r="EL335" s="192"/>
      <c r="EM335" s="192"/>
      <c r="EN335" s="191"/>
      <c r="EO335" s="193"/>
      <c r="EP335" s="192"/>
      <c r="EQ335" s="192"/>
      <c r="ER335" s="192"/>
      <c r="ES335" s="191"/>
      <c r="ET335" s="19"/>
      <c r="EU335" s="192"/>
      <c r="EV335" s="192"/>
      <c r="EW335" s="192"/>
      <c r="EX335" s="191"/>
      <c r="EY335" s="193"/>
      <c r="EZ335" s="192"/>
      <c r="FA335" s="192"/>
      <c r="FB335" s="192"/>
      <c r="FC335" s="191"/>
      <c r="FL335" s="273">
        <f t="shared" ca="1" si="17"/>
        <v>116</v>
      </c>
    </row>
    <row r="336" spans="1:168" ht="16.5" thickBot="1">
      <c r="A336" s="196">
        <v>333</v>
      </c>
      <c r="B336" s="306"/>
      <c r="C336" s="310"/>
      <c r="D336" s="307" t="s">
        <v>271</v>
      </c>
      <c r="E336" s="307" t="s">
        <v>271</v>
      </c>
      <c r="F336" s="308"/>
      <c r="G336" s="343" t="str">
        <f t="shared" si="15"/>
        <v xml:space="preserve"> </v>
      </c>
      <c r="H336" s="307"/>
      <c r="I336" s="309" t="e">
        <f t="shared" si="16"/>
        <v>#N/A</v>
      </c>
      <c r="J336" s="307"/>
      <c r="K336" s="307"/>
      <c r="L336" s="310"/>
      <c r="M336" s="310"/>
      <c r="N336" s="310"/>
      <c r="O336" s="310"/>
      <c r="P336" s="310"/>
      <c r="Q336" s="310"/>
      <c r="R336" s="310"/>
      <c r="S336" s="310"/>
      <c r="T336" s="310"/>
      <c r="U336" s="307"/>
      <c r="V336" s="307"/>
      <c r="W336" s="311"/>
      <c r="X336" s="307"/>
      <c r="Y336" s="307"/>
      <c r="Z336" s="307"/>
      <c r="AA336" s="307"/>
      <c r="AB336" s="311"/>
      <c r="AC336" s="307"/>
      <c r="AD336" s="307"/>
      <c r="AE336" s="307"/>
      <c r="AF336" s="307"/>
      <c r="AG336" s="310"/>
      <c r="AH336" s="307"/>
      <c r="AI336" s="310"/>
      <c r="AJ336" s="307"/>
      <c r="AK336" s="307"/>
      <c r="AL336" s="307"/>
      <c r="AM336" s="308"/>
      <c r="AN336" s="311"/>
      <c r="AO336" s="307"/>
      <c r="AP336" s="307"/>
      <c r="AQ336" s="308"/>
      <c r="AR336" s="307"/>
      <c r="AS336" s="307"/>
      <c r="AT336" s="307"/>
      <c r="AU336" s="310"/>
      <c r="AV336" s="308"/>
      <c r="AW336" s="312"/>
      <c r="AX336" s="308"/>
      <c r="AY336" s="307"/>
      <c r="AZ336" s="307"/>
      <c r="BA336" s="307"/>
      <c r="BB336" s="307"/>
      <c r="BC336" s="308"/>
      <c r="BD336" s="308"/>
      <c r="BE336" s="313"/>
      <c r="BF336" s="307"/>
      <c r="BG336" s="310"/>
      <c r="BH336" s="307"/>
      <c r="BI336" s="307"/>
      <c r="BJ336" s="310"/>
      <c r="BK336" s="307"/>
      <c r="BL336" s="307"/>
      <c r="BM336" s="310"/>
      <c r="BN336" s="307"/>
      <c r="BO336" s="310"/>
      <c r="BP336" s="307"/>
      <c r="BQ336" s="307"/>
      <c r="BR336" s="307"/>
      <c r="BS336" s="307"/>
      <c r="BT336" s="307"/>
      <c r="BU336" s="310"/>
      <c r="BV336" s="307"/>
      <c r="BW336" s="308"/>
      <c r="BX336" s="311"/>
      <c r="BY336" s="307"/>
      <c r="BZ336" s="307"/>
      <c r="CA336" s="310"/>
      <c r="CB336" s="307"/>
      <c r="CC336" s="307"/>
      <c r="CD336" s="307"/>
      <c r="CE336" s="308"/>
      <c r="CF336" s="308"/>
      <c r="CG336" s="307"/>
      <c r="CH336" s="307"/>
      <c r="CI336" s="307"/>
      <c r="CJ336" s="307"/>
      <c r="CK336" s="314"/>
      <c r="CL336" s="310"/>
      <c r="CM336" s="310"/>
      <c r="CN336" s="307"/>
      <c r="CO336" s="307"/>
      <c r="CP336" s="307"/>
      <c r="CQ336" s="315"/>
      <c r="CR336" s="315"/>
      <c r="CS336" s="315"/>
      <c r="CT336" s="315"/>
      <c r="CU336" s="307"/>
      <c r="CV336" s="217"/>
      <c r="CW336" s="192"/>
      <c r="CX336" s="192"/>
      <c r="CY336" s="192"/>
      <c r="CZ336" s="191"/>
      <c r="DA336" s="193"/>
      <c r="DB336" s="192"/>
      <c r="DC336" s="192"/>
      <c r="DD336" s="192"/>
      <c r="DE336" s="191"/>
      <c r="DF336" s="19"/>
      <c r="DG336" s="192"/>
      <c r="DH336" s="192"/>
      <c r="DI336" s="192"/>
      <c r="DJ336" s="191"/>
      <c r="DK336" s="193"/>
      <c r="DL336" s="192"/>
      <c r="DM336" s="192"/>
      <c r="DN336" s="192"/>
      <c r="DO336" s="191"/>
      <c r="DP336" s="19"/>
      <c r="DQ336" s="192"/>
      <c r="DR336" s="192"/>
      <c r="DS336" s="192"/>
      <c r="DT336" s="191"/>
      <c r="DU336" s="193"/>
      <c r="DV336" s="192"/>
      <c r="DW336" s="192"/>
      <c r="DX336" s="192"/>
      <c r="DY336" s="191"/>
      <c r="DZ336" s="19"/>
      <c r="EA336" s="192"/>
      <c r="EB336" s="192"/>
      <c r="EC336" s="192"/>
      <c r="ED336" s="191"/>
      <c r="EE336" s="193"/>
      <c r="EF336" s="192"/>
      <c r="EG336" s="192"/>
      <c r="EH336" s="192"/>
      <c r="EI336" s="191"/>
      <c r="EJ336" s="19"/>
      <c r="EK336" s="192"/>
      <c r="EL336" s="192"/>
      <c r="EM336" s="192"/>
      <c r="EN336" s="191"/>
      <c r="EO336" s="193"/>
      <c r="EP336" s="192"/>
      <c r="EQ336" s="192"/>
      <c r="ER336" s="192"/>
      <c r="ES336" s="191"/>
      <c r="ET336" s="19"/>
      <c r="EU336" s="192"/>
      <c r="EV336" s="192"/>
      <c r="EW336" s="192"/>
      <c r="EX336" s="191"/>
      <c r="EY336" s="193"/>
      <c r="EZ336" s="192"/>
      <c r="FA336" s="192"/>
      <c r="FB336" s="192"/>
      <c r="FC336" s="191"/>
      <c r="FL336" s="273">
        <f t="shared" ca="1" si="17"/>
        <v>116</v>
      </c>
    </row>
    <row r="337" spans="1:168" ht="16.5" thickBot="1">
      <c r="A337" s="199">
        <v>334</v>
      </c>
      <c r="B337" s="306"/>
      <c r="C337" s="310"/>
      <c r="D337" s="307" t="s">
        <v>271</v>
      </c>
      <c r="E337" s="307" t="s">
        <v>271</v>
      </c>
      <c r="F337" s="308"/>
      <c r="G337" s="343" t="str">
        <f t="shared" si="15"/>
        <v xml:space="preserve"> </v>
      </c>
      <c r="H337" s="307"/>
      <c r="I337" s="309" t="e">
        <f t="shared" si="16"/>
        <v>#N/A</v>
      </c>
      <c r="J337" s="307"/>
      <c r="K337" s="307"/>
      <c r="L337" s="310"/>
      <c r="M337" s="310"/>
      <c r="N337" s="310"/>
      <c r="O337" s="310"/>
      <c r="P337" s="310"/>
      <c r="Q337" s="310"/>
      <c r="R337" s="310"/>
      <c r="S337" s="310"/>
      <c r="T337" s="310"/>
      <c r="U337" s="307"/>
      <c r="V337" s="307"/>
      <c r="W337" s="311"/>
      <c r="X337" s="307"/>
      <c r="Y337" s="307"/>
      <c r="Z337" s="307"/>
      <c r="AA337" s="307"/>
      <c r="AB337" s="311"/>
      <c r="AC337" s="307"/>
      <c r="AD337" s="307"/>
      <c r="AE337" s="307"/>
      <c r="AF337" s="307"/>
      <c r="AG337" s="310"/>
      <c r="AH337" s="307"/>
      <c r="AI337" s="310"/>
      <c r="AJ337" s="307"/>
      <c r="AK337" s="307"/>
      <c r="AL337" s="307"/>
      <c r="AM337" s="308"/>
      <c r="AN337" s="311"/>
      <c r="AO337" s="307"/>
      <c r="AP337" s="307"/>
      <c r="AQ337" s="308"/>
      <c r="AR337" s="307"/>
      <c r="AS337" s="307"/>
      <c r="AT337" s="307"/>
      <c r="AU337" s="310"/>
      <c r="AV337" s="308"/>
      <c r="AW337" s="312"/>
      <c r="AX337" s="308"/>
      <c r="AY337" s="307"/>
      <c r="AZ337" s="307"/>
      <c r="BA337" s="307"/>
      <c r="BB337" s="307"/>
      <c r="BC337" s="308"/>
      <c r="BD337" s="308"/>
      <c r="BE337" s="313"/>
      <c r="BF337" s="307"/>
      <c r="BG337" s="310"/>
      <c r="BH337" s="307"/>
      <c r="BI337" s="307"/>
      <c r="BJ337" s="310"/>
      <c r="BK337" s="307"/>
      <c r="BL337" s="307"/>
      <c r="BM337" s="310"/>
      <c r="BN337" s="307"/>
      <c r="BO337" s="310"/>
      <c r="BP337" s="307"/>
      <c r="BQ337" s="307"/>
      <c r="BR337" s="307"/>
      <c r="BS337" s="307"/>
      <c r="BT337" s="307"/>
      <c r="BU337" s="310"/>
      <c r="BV337" s="307"/>
      <c r="BW337" s="308"/>
      <c r="BX337" s="311"/>
      <c r="BY337" s="307"/>
      <c r="BZ337" s="307"/>
      <c r="CA337" s="310"/>
      <c r="CB337" s="307"/>
      <c r="CC337" s="307"/>
      <c r="CD337" s="307"/>
      <c r="CE337" s="308"/>
      <c r="CF337" s="308"/>
      <c r="CG337" s="307"/>
      <c r="CH337" s="307"/>
      <c r="CI337" s="307"/>
      <c r="CJ337" s="307"/>
      <c r="CK337" s="314"/>
      <c r="CL337" s="310"/>
      <c r="CM337" s="310"/>
      <c r="CN337" s="307"/>
      <c r="CO337" s="307"/>
      <c r="CP337" s="307"/>
      <c r="CQ337" s="315"/>
      <c r="CR337" s="315"/>
      <c r="CS337" s="315"/>
      <c r="CT337" s="315"/>
      <c r="CU337" s="307"/>
      <c r="CV337" s="217"/>
      <c r="CW337" s="192"/>
      <c r="CX337" s="192"/>
      <c r="CY337" s="192"/>
      <c r="CZ337" s="191"/>
      <c r="DA337" s="193"/>
      <c r="DB337" s="192"/>
      <c r="DC337" s="192"/>
      <c r="DD337" s="192"/>
      <c r="DE337" s="191"/>
      <c r="DF337" s="19"/>
      <c r="DG337" s="192"/>
      <c r="DH337" s="192"/>
      <c r="DI337" s="192"/>
      <c r="DJ337" s="191"/>
      <c r="DK337" s="193"/>
      <c r="DL337" s="192"/>
      <c r="DM337" s="192"/>
      <c r="DN337" s="192"/>
      <c r="DO337" s="191"/>
      <c r="DP337" s="19"/>
      <c r="DQ337" s="192"/>
      <c r="DR337" s="192"/>
      <c r="DS337" s="192"/>
      <c r="DT337" s="191"/>
      <c r="DU337" s="193"/>
      <c r="DV337" s="192"/>
      <c r="DW337" s="192"/>
      <c r="DX337" s="192"/>
      <c r="DY337" s="191"/>
      <c r="DZ337" s="19"/>
      <c r="EA337" s="192"/>
      <c r="EB337" s="192"/>
      <c r="EC337" s="192"/>
      <c r="ED337" s="191"/>
      <c r="EE337" s="193"/>
      <c r="EF337" s="192"/>
      <c r="EG337" s="192"/>
      <c r="EH337" s="192"/>
      <c r="EI337" s="191"/>
      <c r="EJ337" s="19"/>
      <c r="EK337" s="192"/>
      <c r="EL337" s="192"/>
      <c r="EM337" s="192"/>
      <c r="EN337" s="191"/>
      <c r="EO337" s="193"/>
      <c r="EP337" s="192"/>
      <c r="EQ337" s="192"/>
      <c r="ER337" s="192"/>
      <c r="ES337" s="191"/>
      <c r="ET337" s="19"/>
      <c r="EU337" s="192"/>
      <c r="EV337" s="192"/>
      <c r="EW337" s="192"/>
      <c r="EX337" s="191"/>
      <c r="EY337" s="193"/>
      <c r="EZ337" s="192"/>
      <c r="FA337" s="192"/>
      <c r="FB337" s="192"/>
      <c r="FC337" s="191"/>
      <c r="FL337" s="273">
        <f t="shared" ca="1" si="17"/>
        <v>116</v>
      </c>
    </row>
    <row r="338" spans="1:168" ht="16.5" thickBot="1">
      <c r="A338" s="196">
        <v>335</v>
      </c>
      <c r="B338" s="306"/>
      <c r="C338" s="310"/>
      <c r="D338" s="307" t="s">
        <v>271</v>
      </c>
      <c r="E338" s="307" t="s">
        <v>271</v>
      </c>
      <c r="F338" s="308"/>
      <c r="G338" s="343" t="str">
        <f t="shared" si="15"/>
        <v xml:space="preserve"> </v>
      </c>
      <c r="H338" s="307"/>
      <c r="I338" s="309" t="e">
        <f t="shared" si="16"/>
        <v>#N/A</v>
      </c>
      <c r="J338" s="307"/>
      <c r="K338" s="307"/>
      <c r="L338" s="310"/>
      <c r="M338" s="310"/>
      <c r="N338" s="310"/>
      <c r="O338" s="310"/>
      <c r="P338" s="310"/>
      <c r="Q338" s="310"/>
      <c r="R338" s="310"/>
      <c r="S338" s="310"/>
      <c r="T338" s="310"/>
      <c r="U338" s="307"/>
      <c r="V338" s="307"/>
      <c r="W338" s="311"/>
      <c r="X338" s="307"/>
      <c r="Y338" s="307"/>
      <c r="Z338" s="307"/>
      <c r="AA338" s="307"/>
      <c r="AB338" s="311"/>
      <c r="AC338" s="307"/>
      <c r="AD338" s="307"/>
      <c r="AE338" s="307"/>
      <c r="AF338" s="307"/>
      <c r="AG338" s="310"/>
      <c r="AH338" s="307"/>
      <c r="AI338" s="310"/>
      <c r="AJ338" s="307"/>
      <c r="AK338" s="307"/>
      <c r="AL338" s="307"/>
      <c r="AM338" s="308"/>
      <c r="AN338" s="311"/>
      <c r="AO338" s="307"/>
      <c r="AP338" s="307"/>
      <c r="AQ338" s="308"/>
      <c r="AR338" s="307"/>
      <c r="AS338" s="307"/>
      <c r="AT338" s="307"/>
      <c r="AU338" s="310"/>
      <c r="AV338" s="308"/>
      <c r="AW338" s="312"/>
      <c r="AX338" s="308"/>
      <c r="AY338" s="307"/>
      <c r="AZ338" s="307"/>
      <c r="BA338" s="307"/>
      <c r="BB338" s="307"/>
      <c r="BC338" s="308"/>
      <c r="BD338" s="308"/>
      <c r="BE338" s="313"/>
      <c r="BF338" s="307"/>
      <c r="BG338" s="310"/>
      <c r="BH338" s="307"/>
      <c r="BI338" s="307"/>
      <c r="BJ338" s="310"/>
      <c r="BK338" s="307"/>
      <c r="BL338" s="307"/>
      <c r="BM338" s="310"/>
      <c r="BN338" s="307"/>
      <c r="BO338" s="310"/>
      <c r="BP338" s="307"/>
      <c r="BQ338" s="307"/>
      <c r="BR338" s="307"/>
      <c r="BS338" s="307"/>
      <c r="BT338" s="307"/>
      <c r="BU338" s="310"/>
      <c r="BV338" s="307"/>
      <c r="BW338" s="308"/>
      <c r="BX338" s="311"/>
      <c r="BY338" s="307"/>
      <c r="BZ338" s="307"/>
      <c r="CA338" s="310"/>
      <c r="CB338" s="307"/>
      <c r="CC338" s="307"/>
      <c r="CD338" s="307"/>
      <c r="CE338" s="308"/>
      <c r="CF338" s="308"/>
      <c r="CG338" s="307"/>
      <c r="CH338" s="307"/>
      <c r="CI338" s="307"/>
      <c r="CJ338" s="307"/>
      <c r="CK338" s="314"/>
      <c r="CL338" s="310"/>
      <c r="CM338" s="310"/>
      <c r="CN338" s="307"/>
      <c r="CO338" s="307"/>
      <c r="CP338" s="307"/>
      <c r="CQ338" s="315"/>
      <c r="CR338" s="315"/>
      <c r="CS338" s="315"/>
      <c r="CT338" s="315"/>
      <c r="CU338" s="307"/>
      <c r="CV338" s="217"/>
      <c r="CW338" s="192"/>
      <c r="CX338" s="192"/>
      <c r="CY338" s="192"/>
      <c r="CZ338" s="191"/>
      <c r="DA338" s="193"/>
      <c r="DB338" s="192"/>
      <c r="DC338" s="192"/>
      <c r="DD338" s="192"/>
      <c r="DE338" s="191"/>
      <c r="DF338" s="19"/>
      <c r="DG338" s="192"/>
      <c r="DH338" s="192"/>
      <c r="DI338" s="192"/>
      <c r="DJ338" s="191"/>
      <c r="DK338" s="193"/>
      <c r="DL338" s="192"/>
      <c r="DM338" s="192"/>
      <c r="DN338" s="192"/>
      <c r="DO338" s="191"/>
      <c r="DP338" s="19"/>
      <c r="DQ338" s="192"/>
      <c r="DR338" s="192"/>
      <c r="DS338" s="192"/>
      <c r="DT338" s="191"/>
      <c r="DU338" s="193"/>
      <c r="DV338" s="192"/>
      <c r="DW338" s="192"/>
      <c r="DX338" s="192"/>
      <c r="DY338" s="191"/>
      <c r="DZ338" s="19"/>
      <c r="EA338" s="192"/>
      <c r="EB338" s="192"/>
      <c r="EC338" s="192"/>
      <c r="ED338" s="191"/>
      <c r="EE338" s="193"/>
      <c r="EF338" s="192"/>
      <c r="EG338" s="192"/>
      <c r="EH338" s="192"/>
      <c r="EI338" s="191"/>
      <c r="EJ338" s="19"/>
      <c r="EK338" s="192"/>
      <c r="EL338" s="192"/>
      <c r="EM338" s="192"/>
      <c r="EN338" s="191"/>
      <c r="EO338" s="193"/>
      <c r="EP338" s="192"/>
      <c r="EQ338" s="192"/>
      <c r="ER338" s="192"/>
      <c r="ES338" s="191"/>
      <c r="ET338" s="19"/>
      <c r="EU338" s="192"/>
      <c r="EV338" s="192"/>
      <c r="EW338" s="192"/>
      <c r="EX338" s="191"/>
      <c r="EY338" s="193"/>
      <c r="EZ338" s="192"/>
      <c r="FA338" s="192"/>
      <c r="FB338" s="192"/>
      <c r="FC338" s="191"/>
      <c r="FL338" s="273">
        <f t="shared" ca="1" si="17"/>
        <v>116</v>
      </c>
    </row>
    <row r="339" spans="1:168" ht="16.5" thickBot="1">
      <c r="A339" s="199">
        <v>336</v>
      </c>
      <c r="B339" s="306"/>
      <c r="C339" s="310"/>
      <c r="D339" s="307" t="s">
        <v>271</v>
      </c>
      <c r="E339" s="307" t="s">
        <v>271</v>
      </c>
      <c r="F339" s="308"/>
      <c r="G339" s="343" t="str">
        <f t="shared" si="15"/>
        <v xml:space="preserve"> </v>
      </c>
      <c r="H339" s="307"/>
      <c r="I339" s="309" t="e">
        <f t="shared" si="16"/>
        <v>#N/A</v>
      </c>
      <c r="J339" s="307"/>
      <c r="K339" s="307"/>
      <c r="L339" s="310"/>
      <c r="M339" s="310"/>
      <c r="N339" s="310"/>
      <c r="O339" s="310"/>
      <c r="P339" s="310"/>
      <c r="Q339" s="310"/>
      <c r="R339" s="310"/>
      <c r="S339" s="310"/>
      <c r="T339" s="310"/>
      <c r="U339" s="307"/>
      <c r="V339" s="307"/>
      <c r="W339" s="311"/>
      <c r="X339" s="307"/>
      <c r="Y339" s="307"/>
      <c r="Z339" s="307"/>
      <c r="AA339" s="307"/>
      <c r="AB339" s="311"/>
      <c r="AC339" s="307"/>
      <c r="AD339" s="307"/>
      <c r="AE339" s="307"/>
      <c r="AF339" s="307"/>
      <c r="AG339" s="310"/>
      <c r="AH339" s="307"/>
      <c r="AI339" s="310"/>
      <c r="AJ339" s="307"/>
      <c r="AK339" s="307"/>
      <c r="AL339" s="307"/>
      <c r="AM339" s="308"/>
      <c r="AN339" s="311"/>
      <c r="AO339" s="307"/>
      <c r="AP339" s="307"/>
      <c r="AQ339" s="308"/>
      <c r="AR339" s="307"/>
      <c r="AS339" s="307"/>
      <c r="AT339" s="307"/>
      <c r="AU339" s="310"/>
      <c r="AV339" s="308"/>
      <c r="AW339" s="312"/>
      <c r="AX339" s="308"/>
      <c r="AY339" s="307"/>
      <c r="AZ339" s="307"/>
      <c r="BA339" s="307"/>
      <c r="BB339" s="307"/>
      <c r="BC339" s="308"/>
      <c r="BD339" s="308"/>
      <c r="BE339" s="313"/>
      <c r="BF339" s="307"/>
      <c r="BG339" s="310"/>
      <c r="BH339" s="307"/>
      <c r="BI339" s="307"/>
      <c r="BJ339" s="310"/>
      <c r="BK339" s="307"/>
      <c r="BL339" s="307"/>
      <c r="BM339" s="310"/>
      <c r="BN339" s="307"/>
      <c r="BO339" s="310"/>
      <c r="BP339" s="307"/>
      <c r="BQ339" s="307"/>
      <c r="BR339" s="307"/>
      <c r="BS339" s="307"/>
      <c r="BT339" s="307"/>
      <c r="BU339" s="310"/>
      <c r="BV339" s="307"/>
      <c r="BW339" s="308"/>
      <c r="BX339" s="311"/>
      <c r="BY339" s="307"/>
      <c r="BZ339" s="307"/>
      <c r="CA339" s="310"/>
      <c r="CB339" s="307"/>
      <c r="CC339" s="307"/>
      <c r="CD339" s="307"/>
      <c r="CE339" s="308"/>
      <c r="CF339" s="308"/>
      <c r="CG339" s="307"/>
      <c r="CH339" s="307"/>
      <c r="CI339" s="307"/>
      <c r="CJ339" s="307"/>
      <c r="CK339" s="314"/>
      <c r="CL339" s="310"/>
      <c r="CM339" s="310"/>
      <c r="CN339" s="307"/>
      <c r="CO339" s="307"/>
      <c r="CP339" s="307"/>
      <c r="CQ339" s="315"/>
      <c r="CR339" s="315"/>
      <c r="CS339" s="315"/>
      <c r="CT339" s="315"/>
      <c r="CU339" s="307"/>
      <c r="CV339" s="217"/>
      <c r="CW339" s="192"/>
      <c r="CX339" s="192"/>
      <c r="CY339" s="192"/>
      <c r="CZ339" s="191"/>
      <c r="DA339" s="193"/>
      <c r="DB339" s="192"/>
      <c r="DC339" s="192"/>
      <c r="DD339" s="192"/>
      <c r="DE339" s="191"/>
      <c r="DF339" s="19"/>
      <c r="DG339" s="192"/>
      <c r="DH339" s="192"/>
      <c r="DI339" s="192"/>
      <c r="DJ339" s="191"/>
      <c r="DK339" s="193"/>
      <c r="DL339" s="192"/>
      <c r="DM339" s="192"/>
      <c r="DN339" s="192"/>
      <c r="DO339" s="191"/>
      <c r="DP339" s="19"/>
      <c r="DQ339" s="192"/>
      <c r="DR339" s="192"/>
      <c r="DS339" s="192"/>
      <c r="DT339" s="191"/>
      <c r="DU339" s="193"/>
      <c r="DV339" s="192"/>
      <c r="DW339" s="192"/>
      <c r="DX339" s="192"/>
      <c r="DY339" s="191"/>
      <c r="DZ339" s="19"/>
      <c r="EA339" s="192"/>
      <c r="EB339" s="192"/>
      <c r="EC339" s="192"/>
      <c r="ED339" s="191"/>
      <c r="EE339" s="193"/>
      <c r="EF339" s="192"/>
      <c r="EG339" s="192"/>
      <c r="EH339" s="192"/>
      <c r="EI339" s="191"/>
      <c r="EJ339" s="19"/>
      <c r="EK339" s="192"/>
      <c r="EL339" s="192"/>
      <c r="EM339" s="192"/>
      <c r="EN339" s="191"/>
      <c r="EO339" s="193"/>
      <c r="EP339" s="192"/>
      <c r="EQ339" s="192"/>
      <c r="ER339" s="192"/>
      <c r="ES339" s="191"/>
      <c r="ET339" s="19"/>
      <c r="EU339" s="192"/>
      <c r="EV339" s="192"/>
      <c r="EW339" s="192"/>
      <c r="EX339" s="191"/>
      <c r="EY339" s="193"/>
      <c r="EZ339" s="192"/>
      <c r="FA339" s="192"/>
      <c r="FB339" s="192"/>
      <c r="FC339" s="191"/>
      <c r="FL339" s="273">
        <f t="shared" ca="1" si="17"/>
        <v>116</v>
      </c>
    </row>
    <row r="340" spans="1:168" ht="16.5" thickBot="1">
      <c r="A340" s="196">
        <v>337</v>
      </c>
      <c r="B340" s="306"/>
      <c r="C340" s="310"/>
      <c r="D340" s="307" t="s">
        <v>271</v>
      </c>
      <c r="E340" s="307" t="s">
        <v>271</v>
      </c>
      <c r="F340" s="308"/>
      <c r="G340" s="343" t="str">
        <f t="shared" si="15"/>
        <v xml:space="preserve"> </v>
      </c>
      <c r="H340" s="307"/>
      <c r="I340" s="309" t="e">
        <f t="shared" si="16"/>
        <v>#N/A</v>
      </c>
      <c r="J340" s="307"/>
      <c r="K340" s="307"/>
      <c r="L340" s="310"/>
      <c r="M340" s="310"/>
      <c r="N340" s="310"/>
      <c r="O340" s="310"/>
      <c r="P340" s="310"/>
      <c r="Q340" s="310"/>
      <c r="R340" s="310"/>
      <c r="S340" s="310"/>
      <c r="T340" s="310"/>
      <c r="U340" s="307"/>
      <c r="V340" s="307"/>
      <c r="W340" s="311"/>
      <c r="X340" s="307"/>
      <c r="Y340" s="307"/>
      <c r="Z340" s="307"/>
      <c r="AA340" s="307"/>
      <c r="AB340" s="311"/>
      <c r="AC340" s="307"/>
      <c r="AD340" s="307"/>
      <c r="AE340" s="307"/>
      <c r="AF340" s="307"/>
      <c r="AG340" s="310"/>
      <c r="AH340" s="307"/>
      <c r="AI340" s="310"/>
      <c r="AJ340" s="307"/>
      <c r="AK340" s="307"/>
      <c r="AL340" s="307"/>
      <c r="AM340" s="308"/>
      <c r="AN340" s="311"/>
      <c r="AO340" s="307"/>
      <c r="AP340" s="307"/>
      <c r="AQ340" s="308"/>
      <c r="AR340" s="307"/>
      <c r="AS340" s="307"/>
      <c r="AT340" s="307"/>
      <c r="AU340" s="310"/>
      <c r="AV340" s="308"/>
      <c r="AW340" s="312"/>
      <c r="AX340" s="308"/>
      <c r="AY340" s="307"/>
      <c r="AZ340" s="307"/>
      <c r="BA340" s="307"/>
      <c r="BB340" s="307"/>
      <c r="BC340" s="308"/>
      <c r="BD340" s="308"/>
      <c r="BE340" s="313"/>
      <c r="BF340" s="307"/>
      <c r="BG340" s="310"/>
      <c r="BH340" s="307"/>
      <c r="BI340" s="307"/>
      <c r="BJ340" s="310"/>
      <c r="BK340" s="307"/>
      <c r="BL340" s="307"/>
      <c r="BM340" s="310"/>
      <c r="BN340" s="307"/>
      <c r="BO340" s="310"/>
      <c r="BP340" s="307"/>
      <c r="BQ340" s="307"/>
      <c r="BR340" s="307"/>
      <c r="BS340" s="307"/>
      <c r="BT340" s="307"/>
      <c r="BU340" s="310"/>
      <c r="BV340" s="307"/>
      <c r="BW340" s="308"/>
      <c r="BX340" s="311"/>
      <c r="BY340" s="307"/>
      <c r="BZ340" s="307"/>
      <c r="CA340" s="310"/>
      <c r="CB340" s="307"/>
      <c r="CC340" s="307"/>
      <c r="CD340" s="307"/>
      <c r="CE340" s="308"/>
      <c r="CF340" s="308"/>
      <c r="CG340" s="307"/>
      <c r="CH340" s="307"/>
      <c r="CI340" s="307"/>
      <c r="CJ340" s="307"/>
      <c r="CK340" s="314"/>
      <c r="CL340" s="310"/>
      <c r="CM340" s="310"/>
      <c r="CN340" s="307"/>
      <c r="CO340" s="307"/>
      <c r="CP340" s="307"/>
      <c r="CQ340" s="315"/>
      <c r="CR340" s="315"/>
      <c r="CS340" s="315"/>
      <c r="CT340" s="315"/>
      <c r="CU340" s="307"/>
      <c r="CV340" s="217"/>
      <c r="CW340" s="192"/>
      <c r="CX340" s="192"/>
      <c r="CY340" s="192"/>
      <c r="CZ340" s="191"/>
      <c r="DA340" s="193"/>
      <c r="DB340" s="192"/>
      <c r="DC340" s="192"/>
      <c r="DD340" s="192"/>
      <c r="DE340" s="191"/>
      <c r="DF340" s="19"/>
      <c r="DG340" s="192"/>
      <c r="DH340" s="192"/>
      <c r="DI340" s="192"/>
      <c r="DJ340" s="191"/>
      <c r="DK340" s="193"/>
      <c r="DL340" s="192"/>
      <c r="DM340" s="192"/>
      <c r="DN340" s="192"/>
      <c r="DO340" s="191"/>
      <c r="DP340" s="19"/>
      <c r="DQ340" s="192"/>
      <c r="DR340" s="192"/>
      <c r="DS340" s="192"/>
      <c r="DT340" s="191"/>
      <c r="DU340" s="193"/>
      <c r="DV340" s="192"/>
      <c r="DW340" s="192"/>
      <c r="DX340" s="192"/>
      <c r="DY340" s="191"/>
      <c r="DZ340" s="19"/>
      <c r="EA340" s="192"/>
      <c r="EB340" s="192"/>
      <c r="EC340" s="192"/>
      <c r="ED340" s="191"/>
      <c r="EE340" s="193"/>
      <c r="EF340" s="192"/>
      <c r="EG340" s="192"/>
      <c r="EH340" s="192"/>
      <c r="EI340" s="191"/>
      <c r="EJ340" s="19"/>
      <c r="EK340" s="192"/>
      <c r="EL340" s="192"/>
      <c r="EM340" s="192"/>
      <c r="EN340" s="191"/>
      <c r="EO340" s="193"/>
      <c r="EP340" s="192"/>
      <c r="EQ340" s="192"/>
      <c r="ER340" s="192"/>
      <c r="ES340" s="191"/>
      <c r="ET340" s="19"/>
      <c r="EU340" s="192"/>
      <c r="EV340" s="192"/>
      <c r="EW340" s="192"/>
      <c r="EX340" s="191"/>
      <c r="EY340" s="193"/>
      <c r="EZ340" s="192"/>
      <c r="FA340" s="192"/>
      <c r="FB340" s="192"/>
      <c r="FC340" s="191"/>
      <c r="FL340" s="273">
        <f t="shared" ca="1" si="17"/>
        <v>116</v>
      </c>
    </row>
    <row r="341" spans="1:168" ht="16.5" thickBot="1">
      <c r="A341" s="199">
        <v>338</v>
      </c>
      <c r="B341" s="306"/>
      <c r="C341" s="310"/>
      <c r="D341" s="307" t="s">
        <v>271</v>
      </c>
      <c r="E341" s="307" t="s">
        <v>271</v>
      </c>
      <c r="F341" s="308"/>
      <c r="G341" s="343" t="str">
        <f t="shared" si="15"/>
        <v xml:space="preserve"> </v>
      </c>
      <c r="H341" s="307"/>
      <c r="I341" s="309" t="e">
        <f t="shared" si="16"/>
        <v>#N/A</v>
      </c>
      <c r="J341" s="307"/>
      <c r="K341" s="307"/>
      <c r="L341" s="310"/>
      <c r="M341" s="310"/>
      <c r="N341" s="310"/>
      <c r="O341" s="310"/>
      <c r="P341" s="310"/>
      <c r="Q341" s="310"/>
      <c r="R341" s="310"/>
      <c r="S341" s="310"/>
      <c r="T341" s="310"/>
      <c r="U341" s="307"/>
      <c r="V341" s="307"/>
      <c r="W341" s="311"/>
      <c r="X341" s="307"/>
      <c r="Y341" s="307"/>
      <c r="Z341" s="307"/>
      <c r="AA341" s="307"/>
      <c r="AB341" s="311"/>
      <c r="AC341" s="307"/>
      <c r="AD341" s="307"/>
      <c r="AE341" s="307"/>
      <c r="AF341" s="307"/>
      <c r="AG341" s="310"/>
      <c r="AH341" s="307"/>
      <c r="AI341" s="310"/>
      <c r="AJ341" s="307"/>
      <c r="AK341" s="307"/>
      <c r="AL341" s="307"/>
      <c r="AM341" s="308"/>
      <c r="AN341" s="311"/>
      <c r="AO341" s="307"/>
      <c r="AP341" s="307"/>
      <c r="AQ341" s="308"/>
      <c r="AR341" s="307"/>
      <c r="AS341" s="307"/>
      <c r="AT341" s="307"/>
      <c r="AU341" s="310"/>
      <c r="AV341" s="308"/>
      <c r="AW341" s="312"/>
      <c r="AX341" s="308"/>
      <c r="AY341" s="307"/>
      <c r="AZ341" s="307"/>
      <c r="BA341" s="307"/>
      <c r="BB341" s="307"/>
      <c r="BC341" s="308"/>
      <c r="BD341" s="308"/>
      <c r="BE341" s="313"/>
      <c r="BF341" s="307"/>
      <c r="BG341" s="310"/>
      <c r="BH341" s="307"/>
      <c r="BI341" s="307"/>
      <c r="BJ341" s="310"/>
      <c r="BK341" s="307"/>
      <c r="BL341" s="307"/>
      <c r="BM341" s="310"/>
      <c r="BN341" s="307"/>
      <c r="BO341" s="310"/>
      <c r="BP341" s="307"/>
      <c r="BQ341" s="307"/>
      <c r="BR341" s="307"/>
      <c r="BS341" s="307"/>
      <c r="BT341" s="307"/>
      <c r="BU341" s="310"/>
      <c r="BV341" s="307"/>
      <c r="BW341" s="308"/>
      <c r="BX341" s="311"/>
      <c r="BY341" s="307"/>
      <c r="BZ341" s="307"/>
      <c r="CA341" s="310"/>
      <c r="CB341" s="307"/>
      <c r="CC341" s="307"/>
      <c r="CD341" s="307"/>
      <c r="CE341" s="308"/>
      <c r="CF341" s="308"/>
      <c r="CG341" s="307"/>
      <c r="CH341" s="307"/>
      <c r="CI341" s="307"/>
      <c r="CJ341" s="307"/>
      <c r="CK341" s="314"/>
      <c r="CL341" s="310"/>
      <c r="CM341" s="310"/>
      <c r="CN341" s="307"/>
      <c r="CO341" s="307"/>
      <c r="CP341" s="307"/>
      <c r="CQ341" s="315"/>
      <c r="CR341" s="315"/>
      <c r="CS341" s="315"/>
      <c r="CT341" s="315"/>
      <c r="CU341" s="307"/>
      <c r="CV341" s="217"/>
      <c r="CW341" s="192"/>
      <c r="CX341" s="192"/>
      <c r="CY341" s="192"/>
      <c r="CZ341" s="191"/>
      <c r="DA341" s="193"/>
      <c r="DB341" s="192"/>
      <c r="DC341" s="192"/>
      <c r="DD341" s="192"/>
      <c r="DE341" s="191"/>
      <c r="DF341" s="19"/>
      <c r="DG341" s="192"/>
      <c r="DH341" s="192"/>
      <c r="DI341" s="192"/>
      <c r="DJ341" s="191"/>
      <c r="DK341" s="193"/>
      <c r="DL341" s="192"/>
      <c r="DM341" s="192"/>
      <c r="DN341" s="192"/>
      <c r="DO341" s="191"/>
      <c r="DP341" s="19"/>
      <c r="DQ341" s="192"/>
      <c r="DR341" s="192"/>
      <c r="DS341" s="192"/>
      <c r="DT341" s="191"/>
      <c r="DU341" s="193"/>
      <c r="DV341" s="192"/>
      <c r="DW341" s="192"/>
      <c r="DX341" s="192"/>
      <c r="DY341" s="191"/>
      <c r="DZ341" s="19"/>
      <c r="EA341" s="192"/>
      <c r="EB341" s="192"/>
      <c r="EC341" s="192"/>
      <c r="ED341" s="191"/>
      <c r="EE341" s="193"/>
      <c r="EF341" s="192"/>
      <c r="EG341" s="192"/>
      <c r="EH341" s="192"/>
      <c r="EI341" s="191"/>
      <c r="EJ341" s="19"/>
      <c r="EK341" s="192"/>
      <c r="EL341" s="192"/>
      <c r="EM341" s="192"/>
      <c r="EN341" s="191"/>
      <c r="EO341" s="193"/>
      <c r="EP341" s="192"/>
      <c r="EQ341" s="192"/>
      <c r="ER341" s="192"/>
      <c r="ES341" s="191"/>
      <c r="ET341" s="19"/>
      <c r="EU341" s="192"/>
      <c r="EV341" s="192"/>
      <c r="EW341" s="192"/>
      <c r="EX341" s="191"/>
      <c r="EY341" s="193"/>
      <c r="EZ341" s="192"/>
      <c r="FA341" s="192"/>
      <c r="FB341" s="192"/>
      <c r="FC341" s="191"/>
      <c r="FL341" s="273">
        <f t="shared" ca="1" si="17"/>
        <v>116</v>
      </c>
    </row>
    <row r="342" spans="1:168" ht="16.5" thickBot="1">
      <c r="A342" s="196">
        <v>339</v>
      </c>
      <c r="B342" s="306"/>
      <c r="C342" s="310"/>
      <c r="D342" s="307" t="s">
        <v>271</v>
      </c>
      <c r="E342" s="307" t="s">
        <v>271</v>
      </c>
      <c r="F342" s="308"/>
      <c r="G342" s="343" t="str">
        <f t="shared" si="15"/>
        <v xml:space="preserve"> </v>
      </c>
      <c r="H342" s="307"/>
      <c r="I342" s="309" t="e">
        <f t="shared" si="16"/>
        <v>#N/A</v>
      </c>
      <c r="J342" s="307"/>
      <c r="K342" s="307"/>
      <c r="L342" s="310"/>
      <c r="M342" s="310"/>
      <c r="N342" s="310"/>
      <c r="O342" s="310"/>
      <c r="P342" s="310"/>
      <c r="Q342" s="310"/>
      <c r="R342" s="310"/>
      <c r="S342" s="310"/>
      <c r="T342" s="310"/>
      <c r="U342" s="307"/>
      <c r="V342" s="307"/>
      <c r="W342" s="311"/>
      <c r="X342" s="307"/>
      <c r="Y342" s="307"/>
      <c r="Z342" s="307"/>
      <c r="AA342" s="307"/>
      <c r="AB342" s="311"/>
      <c r="AC342" s="307"/>
      <c r="AD342" s="307"/>
      <c r="AE342" s="307"/>
      <c r="AF342" s="307"/>
      <c r="AG342" s="310"/>
      <c r="AH342" s="307"/>
      <c r="AI342" s="310"/>
      <c r="AJ342" s="307"/>
      <c r="AK342" s="307"/>
      <c r="AL342" s="307"/>
      <c r="AM342" s="308"/>
      <c r="AN342" s="311"/>
      <c r="AO342" s="307"/>
      <c r="AP342" s="307"/>
      <c r="AQ342" s="308"/>
      <c r="AR342" s="307"/>
      <c r="AS342" s="307"/>
      <c r="AT342" s="307"/>
      <c r="AU342" s="310"/>
      <c r="AV342" s="308"/>
      <c r="AW342" s="312"/>
      <c r="AX342" s="308"/>
      <c r="AY342" s="307"/>
      <c r="AZ342" s="307"/>
      <c r="BA342" s="307"/>
      <c r="BB342" s="307"/>
      <c r="BC342" s="308"/>
      <c r="BD342" s="308"/>
      <c r="BE342" s="313"/>
      <c r="BF342" s="307"/>
      <c r="BG342" s="310"/>
      <c r="BH342" s="307"/>
      <c r="BI342" s="307"/>
      <c r="BJ342" s="310"/>
      <c r="BK342" s="307"/>
      <c r="BL342" s="307"/>
      <c r="BM342" s="310"/>
      <c r="BN342" s="307"/>
      <c r="BO342" s="310"/>
      <c r="BP342" s="307"/>
      <c r="BQ342" s="307"/>
      <c r="BR342" s="307"/>
      <c r="BS342" s="307"/>
      <c r="BT342" s="307"/>
      <c r="BU342" s="310"/>
      <c r="BV342" s="307"/>
      <c r="BW342" s="308"/>
      <c r="BX342" s="311"/>
      <c r="BY342" s="307"/>
      <c r="BZ342" s="307"/>
      <c r="CA342" s="310"/>
      <c r="CB342" s="307"/>
      <c r="CC342" s="307"/>
      <c r="CD342" s="307"/>
      <c r="CE342" s="308"/>
      <c r="CF342" s="308"/>
      <c r="CG342" s="307"/>
      <c r="CH342" s="307"/>
      <c r="CI342" s="307"/>
      <c r="CJ342" s="307"/>
      <c r="CK342" s="314"/>
      <c r="CL342" s="310"/>
      <c r="CM342" s="310"/>
      <c r="CN342" s="307"/>
      <c r="CO342" s="307"/>
      <c r="CP342" s="307"/>
      <c r="CQ342" s="315"/>
      <c r="CR342" s="315"/>
      <c r="CS342" s="315"/>
      <c r="CT342" s="315"/>
      <c r="CU342" s="307"/>
      <c r="CV342" s="217"/>
      <c r="CW342" s="192"/>
      <c r="CX342" s="192"/>
      <c r="CY342" s="192"/>
      <c r="CZ342" s="191"/>
      <c r="DA342" s="193"/>
      <c r="DB342" s="192"/>
      <c r="DC342" s="192"/>
      <c r="DD342" s="192"/>
      <c r="DE342" s="191"/>
      <c r="DF342" s="19"/>
      <c r="DG342" s="192"/>
      <c r="DH342" s="192"/>
      <c r="DI342" s="192"/>
      <c r="DJ342" s="191"/>
      <c r="DK342" s="193"/>
      <c r="DL342" s="192"/>
      <c r="DM342" s="192"/>
      <c r="DN342" s="192"/>
      <c r="DO342" s="191"/>
      <c r="DP342" s="19"/>
      <c r="DQ342" s="192"/>
      <c r="DR342" s="192"/>
      <c r="DS342" s="192"/>
      <c r="DT342" s="191"/>
      <c r="DU342" s="193"/>
      <c r="DV342" s="192"/>
      <c r="DW342" s="192"/>
      <c r="DX342" s="192"/>
      <c r="DY342" s="191"/>
      <c r="DZ342" s="19"/>
      <c r="EA342" s="192"/>
      <c r="EB342" s="192"/>
      <c r="EC342" s="192"/>
      <c r="ED342" s="191"/>
      <c r="EE342" s="193"/>
      <c r="EF342" s="192"/>
      <c r="EG342" s="192"/>
      <c r="EH342" s="192"/>
      <c r="EI342" s="191"/>
      <c r="EJ342" s="19"/>
      <c r="EK342" s="192"/>
      <c r="EL342" s="192"/>
      <c r="EM342" s="192"/>
      <c r="EN342" s="191"/>
      <c r="EO342" s="193"/>
      <c r="EP342" s="192"/>
      <c r="EQ342" s="192"/>
      <c r="ER342" s="192"/>
      <c r="ES342" s="191"/>
      <c r="ET342" s="19"/>
      <c r="EU342" s="192"/>
      <c r="EV342" s="192"/>
      <c r="EW342" s="192"/>
      <c r="EX342" s="191"/>
      <c r="EY342" s="193"/>
      <c r="EZ342" s="192"/>
      <c r="FA342" s="192"/>
      <c r="FB342" s="192"/>
      <c r="FC342" s="191"/>
      <c r="FL342" s="273">
        <f t="shared" ca="1" si="17"/>
        <v>116</v>
      </c>
    </row>
    <row r="343" spans="1:168" ht="16.5" thickBot="1">
      <c r="A343" s="199">
        <v>340</v>
      </c>
      <c r="B343" s="306"/>
      <c r="C343" s="310"/>
      <c r="D343" s="307" t="s">
        <v>271</v>
      </c>
      <c r="E343" s="307" t="s">
        <v>271</v>
      </c>
      <c r="F343" s="308"/>
      <c r="G343" s="343" t="str">
        <f t="shared" si="15"/>
        <v xml:space="preserve"> </v>
      </c>
      <c r="H343" s="307"/>
      <c r="I343" s="309" t="e">
        <f t="shared" si="16"/>
        <v>#N/A</v>
      </c>
      <c r="J343" s="307"/>
      <c r="K343" s="307"/>
      <c r="L343" s="310"/>
      <c r="M343" s="310"/>
      <c r="N343" s="310"/>
      <c r="O343" s="310"/>
      <c r="P343" s="310"/>
      <c r="Q343" s="310"/>
      <c r="R343" s="310"/>
      <c r="S343" s="310"/>
      <c r="T343" s="310"/>
      <c r="U343" s="307"/>
      <c r="V343" s="307"/>
      <c r="W343" s="311"/>
      <c r="X343" s="307"/>
      <c r="Y343" s="307"/>
      <c r="Z343" s="307"/>
      <c r="AA343" s="307"/>
      <c r="AB343" s="311"/>
      <c r="AC343" s="307"/>
      <c r="AD343" s="307"/>
      <c r="AE343" s="307"/>
      <c r="AF343" s="307"/>
      <c r="AG343" s="310"/>
      <c r="AH343" s="307"/>
      <c r="AI343" s="310"/>
      <c r="AJ343" s="307"/>
      <c r="AK343" s="307"/>
      <c r="AL343" s="307"/>
      <c r="AM343" s="308"/>
      <c r="AN343" s="311"/>
      <c r="AO343" s="307"/>
      <c r="AP343" s="307"/>
      <c r="AQ343" s="308"/>
      <c r="AR343" s="307"/>
      <c r="AS343" s="307"/>
      <c r="AT343" s="307"/>
      <c r="AU343" s="310"/>
      <c r="AV343" s="308"/>
      <c r="AW343" s="312"/>
      <c r="AX343" s="308"/>
      <c r="AY343" s="307"/>
      <c r="AZ343" s="307"/>
      <c r="BA343" s="307"/>
      <c r="BB343" s="307"/>
      <c r="BC343" s="308"/>
      <c r="BD343" s="308"/>
      <c r="BE343" s="313"/>
      <c r="BF343" s="307"/>
      <c r="BG343" s="310"/>
      <c r="BH343" s="307"/>
      <c r="BI343" s="307"/>
      <c r="BJ343" s="310"/>
      <c r="BK343" s="307"/>
      <c r="BL343" s="307"/>
      <c r="BM343" s="310"/>
      <c r="BN343" s="307"/>
      <c r="BO343" s="310"/>
      <c r="BP343" s="307"/>
      <c r="BQ343" s="307"/>
      <c r="BR343" s="307"/>
      <c r="BS343" s="307"/>
      <c r="BT343" s="307"/>
      <c r="BU343" s="310"/>
      <c r="BV343" s="307"/>
      <c r="BW343" s="308"/>
      <c r="BX343" s="311"/>
      <c r="BY343" s="307"/>
      <c r="BZ343" s="307"/>
      <c r="CA343" s="310"/>
      <c r="CB343" s="307"/>
      <c r="CC343" s="307"/>
      <c r="CD343" s="307"/>
      <c r="CE343" s="308"/>
      <c r="CF343" s="308"/>
      <c r="CG343" s="307"/>
      <c r="CH343" s="307"/>
      <c r="CI343" s="307"/>
      <c r="CJ343" s="307"/>
      <c r="CK343" s="314"/>
      <c r="CL343" s="310"/>
      <c r="CM343" s="310"/>
      <c r="CN343" s="307"/>
      <c r="CO343" s="307"/>
      <c r="CP343" s="307"/>
      <c r="CQ343" s="315"/>
      <c r="CR343" s="315"/>
      <c r="CS343" s="315"/>
      <c r="CT343" s="315"/>
      <c r="CU343" s="307"/>
      <c r="CV343" s="217"/>
      <c r="CW343" s="192"/>
      <c r="CX343" s="192"/>
      <c r="CY343" s="192"/>
      <c r="CZ343" s="191"/>
      <c r="DA343" s="193"/>
      <c r="DB343" s="192"/>
      <c r="DC343" s="192"/>
      <c r="DD343" s="192"/>
      <c r="DE343" s="191"/>
      <c r="DF343" s="19"/>
      <c r="DG343" s="192"/>
      <c r="DH343" s="192"/>
      <c r="DI343" s="192"/>
      <c r="DJ343" s="191"/>
      <c r="DK343" s="193"/>
      <c r="DL343" s="192"/>
      <c r="DM343" s="192"/>
      <c r="DN343" s="192"/>
      <c r="DO343" s="191"/>
      <c r="DP343" s="19"/>
      <c r="DQ343" s="192"/>
      <c r="DR343" s="192"/>
      <c r="DS343" s="192"/>
      <c r="DT343" s="191"/>
      <c r="DU343" s="193"/>
      <c r="DV343" s="192"/>
      <c r="DW343" s="192"/>
      <c r="DX343" s="192"/>
      <c r="DY343" s="191"/>
      <c r="DZ343" s="19"/>
      <c r="EA343" s="192"/>
      <c r="EB343" s="192"/>
      <c r="EC343" s="192"/>
      <c r="ED343" s="191"/>
      <c r="EE343" s="193"/>
      <c r="EF343" s="192"/>
      <c r="EG343" s="192"/>
      <c r="EH343" s="192"/>
      <c r="EI343" s="191"/>
      <c r="EJ343" s="19"/>
      <c r="EK343" s="192"/>
      <c r="EL343" s="192"/>
      <c r="EM343" s="192"/>
      <c r="EN343" s="191"/>
      <c r="EO343" s="193"/>
      <c r="EP343" s="192"/>
      <c r="EQ343" s="192"/>
      <c r="ER343" s="192"/>
      <c r="ES343" s="191"/>
      <c r="ET343" s="19"/>
      <c r="EU343" s="192"/>
      <c r="EV343" s="192"/>
      <c r="EW343" s="192"/>
      <c r="EX343" s="191"/>
      <c r="EY343" s="193"/>
      <c r="EZ343" s="192"/>
      <c r="FA343" s="192"/>
      <c r="FB343" s="192"/>
      <c r="FC343" s="191"/>
      <c r="FL343" s="273">
        <f t="shared" ca="1" si="17"/>
        <v>116</v>
      </c>
    </row>
    <row r="344" spans="1:168" ht="16.5" thickBot="1">
      <c r="A344" s="196">
        <v>341</v>
      </c>
      <c r="B344" s="306"/>
      <c r="C344" s="310"/>
      <c r="D344" s="307" t="s">
        <v>271</v>
      </c>
      <c r="E344" s="307" t="s">
        <v>271</v>
      </c>
      <c r="F344" s="308"/>
      <c r="G344" s="343" t="str">
        <f t="shared" si="15"/>
        <v xml:space="preserve"> </v>
      </c>
      <c r="H344" s="307"/>
      <c r="I344" s="309" t="e">
        <f t="shared" si="16"/>
        <v>#N/A</v>
      </c>
      <c r="J344" s="307"/>
      <c r="K344" s="307"/>
      <c r="L344" s="310"/>
      <c r="M344" s="310"/>
      <c r="N344" s="310"/>
      <c r="O344" s="310"/>
      <c r="P344" s="310"/>
      <c r="Q344" s="310"/>
      <c r="R344" s="310"/>
      <c r="S344" s="310"/>
      <c r="T344" s="310"/>
      <c r="U344" s="307"/>
      <c r="V344" s="307"/>
      <c r="W344" s="311"/>
      <c r="X344" s="307"/>
      <c r="Y344" s="307"/>
      <c r="Z344" s="307"/>
      <c r="AA344" s="307"/>
      <c r="AB344" s="311"/>
      <c r="AC344" s="307"/>
      <c r="AD344" s="307"/>
      <c r="AE344" s="307"/>
      <c r="AF344" s="307"/>
      <c r="AG344" s="310"/>
      <c r="AH344" s="307"/>
      <c r="AI344" s="310"/>
      <c r="AJ344" s="307"/>
      <c r="AK344" s="307"/>
      <c r="AL344" s="307"/>
      <c r="AM344" s="308"/>
      <c r="AN344" s="311"/>
      <c r="AO344" s="307"/>
      <c r="AP344" s="307"/>
      <c r="AQ344" s="308"/>
      <c r="AR344" s="307"/>
      <c r="AS344" s="307"/>
      <c r="AT344" s="307"/>
      <c r="AU344" s="310"/>
      <c r="AV344" s="308"/>
      <c r="AW344" s="312"/>
      <c r="AX344" s="308"/>
      <c r="AY344" s="307"/>
      <c r="AZ344" s="307"/>
      <c r="BA344" s="307"/>
      <c r="BB344" s="307"/>
      <c r="BC344" s="308"/>
      <c r="BD344" s="308"/>
      <c r="BE344" s="313"/>
      <c r="BF344" s="307"/>
      <c r="BG344" s="310"/>
      <c r="BH344" s="307"/>
      <c r="BI344" s="307"/>
      <c r="BJ344" s="310"/>
      <c r="BK344" s="307"/>
      <c r="BL344" s="307"/>
      <c r="BM344" s="310"/>
      <c r="BN344" s="307"/>
      <c r="BO344" s="310"/>
      <c r="BP344" s="307"/>
      <c r="BQ344" s="307"/>
      <c r="BR344" s="307"/>
      <c r="BS344" s="307"/>
      <c r="BT344" s="307"/>
      <c r="BU344" s="310"/>
      <c r="BV344" s="307"/>
      <c r="BW344" s="308"/>
      <c r="BX344" s="311"/>
      <c r="BY344" s="307"/>
      <c r="BZ344" s="307"/>
      <c r="CA344" s="310"/>
      <c r="CB344" s="307"/>
      <c r="CC344" s="307"/>
      <c r="CD344" s="307"/>
      <c r="CE344" s="308"/>
      <c r="CF344" s="308"/>
      <c r="CG344" s="307"/>
      <c r="CH344" s="307"/>
      <c r="CI344" s="307"/>
      <c r="CJ344" s="307"/>
      <c r="CK344" s="314"/>
      <c r="CL344" s="310"/>
      <c r="CM344" s="310"/>
      <c r="CN344" s="307"/>
      <c r="CO344" s="307"/>
      <c r="CP344" s="307"/>
      <c r="CQ344" s="315"/>
      <c r="CR344" s="315"/>
      <c r="CS344" s="315"/>
      <c r="CT344" s="315"/>
      <c r="CU344" s="307"/>
      <c r="CV344" s="217"/>
      <c r="CW344" s="192"/>
      <c r="CX344" s="192"/>
      <c r="CY344" s="192"/>
      <c r="CZ344" s="191"/>
      <c r="DA344" s="193"/>
      <c r="DB344" s="192"/>
      <c r="DC344" s="192"/>
      <c r="DD344" s="192"/>
      <c r="DE344" s="191"/>
      <c r="DF344" s="19"/>
      <c r="DG344" s="192"/>
      <c r="DH344" s="192"/>
      <c r="DI344" s="192"/>
      <c r="DJ344" s="191"/>
      <c r="DK344" s="193"/>
      <c r="DL344" s="192"/>
      <c r="DM344" s="192"/>
      <c r="DN344" s="192"/>
      <c r="DO344" s="191"/>
      <c r="DP344" s="19"/>
      <c r="DQ344" s="192"/>
      <c r="DR344" s="192"/>
      <c r="DS344" s="192"/>
      <c r="DT344" s="191"/>
      <c r="DU344" s="193"/>
      <c r="DV344" s="192"/>
      <c r="DW344" s="192"/>
      <c r="DX344" s="192"/>
      <c r="DY344" s="191"/>
      <c r="DZ344" s="19"/>
      <c r="EA344" s="192"/>
      <c r="EB344" s="192"/>
      <c r="EC344" s="192"/>
      <c r="ED344" s="191"/>
      <c r="EE344" s="193"/>
      <c r="EF344" s="192"/>
      <c r="EG344" s="192"/>
      <c r="EH344" s="192"/>
      <c r="EI344" s="191"/>
      <c r="EJ344" s="19"/>
      <c r="EK344" s="192"/>
      <c r="EL344" s="192"/>
      <c r="EM344" s="192"/>
      <c r="EN344" s="191"/>
      <c r="EO344" s="193"/>
      <c r="EP344" s="192"/>
      <c r="EQ344" s="192"/>
      <c r="ER344" s="192"/>
      <c r="ES344" s="191"/>
      <c r="ET344" s="19"/>
      <c r="EU344" s="192"/>
      <c r="EV344" s="192"/>
      <c r="EW344" s="192"/>
      <c r="EX344" s="191"/>
      <c r="EY344" s="193"/>
      <c r="EZ344" s="192"/>
      <c r="FA344" s="192"/>
      <c r="FB344" s="192"/>
      <c r="FC344" s="191"/>
      <c r="FL344" s="273">
        <f t="shared" ca="1" si="17"/>
        <v>116</v>
      </c>
    </row>
    <row r="345" spans="1:168" ht="16.5" thickBot="1">
      <c r="A345" s="199">
        <v>342</v>
      </c>
      <c r="B345" s="306"/>
      <c r="C345" s="310"/>
      <c r="D345" s="307" t="s">
        <v>271</v>
      </c>
      <c r="E345" s="307" t="s">
        <v>271</v>
      </c>
      <c r="F345" s="308"/>
      <c r="G345" s="343" t="str">
        <f t="shared" si="15"/>
        <v xml:space="preserve"> </v>
      </c>
      <c r="H345" s="307"/>
      <c r="I345" s="309" t="e">
        <f t="shared" si="16"/>
        <v>#N/A</v>
      </c>
      <c r="J345" s="307"/>
      <c r="K345" s="307"/>
      <c r="L345" s="310"/>
      <c r="M345" s="310"/>
      <c r="N345" s="310"/>
      <c r="O345" s="310"/>
      <c r="P345" s="310"/>
      <c r="Q345" s="310"/>
      <c r="R345" s="310"/>
      <c r="S345" s="310"/>
      <c r="T345" s="310"/>
      <c r="U345" s="307"/>
      <c r="V345" s="307"/>
      <c r="W345" s="311"/>
      <c r="X345" s="307"/>
      <c r="Y345" s="307"/>
      <c r="Z345" s="307"/>
      <c r="AA345" s="307"/>
      <c r="AB345" s="311"/>
      <c r="AC345" s="307"/>
      <c r="AD345" s="307"/>
      <c r="AE345" s="307"/>
      <c r="AF345" s="307"/>
      <c r="AG345" s="310"/>
      <c r="AH345" s="307"/>
      <c r="AI345" s="310"/>
      <c r="AJ345" s="307"/>
      <c r="AK345" s="307"/>
      <c r="AL345" s="307"/>
      <c r="AM345" s="308"/>
      <c r="AN345" s="311"/>
      <c r="AO345" s="307"/>
      <c r="AP345" s="307"/>
      <c r="AQ345" s="308"/>
      <c r="AR345" s="307"/>
      <c r="AS345" s="307"/>
      <c r="AT345" s="307"/>
      <c r="AU345" s="310"/>
      <c r="AV345" s="308"/>
      <c r="AW345" s="312"/>
      <c r="AX345" s="308"/>
      <c r="AY345" s="307"/>
      <c r="AZ345" s="307"/>
      <c r="BA345" s="307"/>
      <c r="BB345" s="307"/>
      <c r="BC345" s="308"/>
      <c r="BD345" s="308"/>
      <c r="BE345" s="313"/>
      <c r="BF345" s="307"/>
      <c r="BG345" s="310"/>
      <c r="BH345" s="307"/>
      <c r="BI345" s="307"/>
      <c r="BJ345" s="310"/>
      <c r="BK345" s="307"/>
      <c r="BL345" s="307"/>
      <c r="BM345" s="310"/>
      <c r="BN345" s="307"/>
      <c r="BO345" s="310"/>
      <c r="BP345" s="307"/>
      <c r="BQ345" s="307"/>
      <c r="BR345" s="307"/>
      <c r="BS345" s="307"/>
      <c r="BT345" s="307"/>
      <c r="BU345" s="310"/>
      <c r="BV345" s="307"/>
      <c r="BW345" s="308"/>
      <c r="BX345" s="311"/>
      <c r="BY345" s="307"/>
      <c r="BZ345" s="307"/>
      <c r="CA345" s="310"/>
      <c r="CB345" s="307"/>
      <c r="CC345" s="307"/>
      <c r="CD345" s="307"/>
      <c r="CE345" s="308"/>
      <c r="CF345" s="308"/>
      <c r="CG345" s="307"/>
      <c r="CH345" s="307"/>
      <c r="CI345" s="307"/>
      <c r="CJ345" s="307"/>
      <c r="CK345" s="314"/>
      <c r="CL345" s="310"/>
      <c r="CM345" s="310"/>
      <c r="CN345" s="307"/>
      <c r="CO345" s="307"/>
      <c r="CP345" s="307"/>
      <c r="CQ345" s="315"/>
      <c r="CR345" s="315"/>
      <c r="CS345" s="315"/>
      <c r="CT345" s="315"/>
      <c r="CU345" s="307"/>
      <c r="CV345" s="217"/>
      <c r="CW345" s="192"/>
      <c r="CX345" s="192"/>
      <c r="CY345" s="192"/>
      <c r="CZ345" s="191"/>
      <c r="DA345" s="193"/>
      <c r="DB345" s="192"/>
      <c r="DC345" s="192"/>
      <c r="DD345" s="192"/>
      <c r="DE345" s="191"/>
      <c r="DF345" s="19"/>
      <c r="DG345" s="192"/>
      <c r="DH345" s="192"/>
      <c r="DI345" s="192"/>
      <c r="DJ345" s="191"/>
      <c r="DK345" s="193"/>
      <c r="DL345" s="192"/>
      <c r="DM345" s="192"/>
      <c r="DN345" s="192"/>
      <c r="DO345" s="191"/>
      <c r="DP345" s="19"/>
      <c r="DQ345" s="192"/>
      <c r="DR345" s="192"/>
      <c r="DS345" s="192"/>
      <c r="DT345" s="191"/>
      <c r="DU345" s="193"/>
      <c r="DV345" s="192"/>
      <c r="DW345" s="192"/>
      <c r="DX345" s="192"/>
      <c r="DY345" s="191"/>
      <c r="DZ345" s="19"/>
      <c r="EA345" s="192"/>
      <c r="EB345" s="192"/>
      <c r="EC345" s="192"/>
      <c r="ED345" s="191"/>
      <c r="EE345" s="193"/>
      <c r="EF345" s="192"/>
      <c r="EG345" s="192"/>
      <c r="EH345" s="192"/>
      <c r="EI345" s="191"/>
      <c r="EJ345" s="19"/>
      <c r="EK345" s="192"/>
      <c r="EL345" s="192"/>
      <c r="EM345" s="192"/>
      <c r="EN345" s="191"/>
      <c r="EO345" s="193"/>
      <c r="EP345" s="192"/>
      <c r="EQ345" s="192"/>
      <c r="ER345" s="192"/>
      <c r="ES345" s="191"/>
      <c r="ET345" s="19"/>
      <c r="EU345" s="192"/>
      <c r="EV345" s="192"/>
      <c r="EW345" s="192"/>
      <c r="EX345" s="191"/>
      <c r="EY345" s="193"/>
      <c r="EZ345" s="192"/>
      <c r="FA345" s="192"/>
      <c r="FB345" s="192"/>
      <c r="FC345" s="191"/>
      <c r="FL345" s="273">
        <f t="shared" ca="1" si="17"/>
        <v>116</v>
      </c>
    </row>
    <row r="346" spans="1:168" ht="16.5" thickBot="1">
      <c r="A346" s="196">
        <v>343</v>
      </c>
      <c r="B346" s="306"/>
      <c r="C346" s="310"/>
      <c r="D346" s="307" t="s">
        <v>271</v>
      </c>
      <c r="E346" s="307" t="s">
        <v>271</v>
      </c>
      <c r="F346" s="308"/>
      <c r="G346" s="343" t="str">
        <f t="shared" si="15"/>
        <v xml:space="preserve"> </v>
      </c>
      <c r="H346" s="307"/>
      <c r="I346" s="309" t="e">
        <f t="shared" si="16"/>
        <v>#N/A</v>
      </c>
      <c r="J346" s="307"/>
      <c r="K346" s="307"/>
      <c r="L346" s="310"/>
      <c r="M346" s="310"/>
      <c r="N346" s="310"/>
      <c r="O346" s="310"/>
      <c r="P346" s="310"/>
      <c r="Q346" s="310"/>
      <c r="R346" s="310"/>
      <c r="S346" s="310"/>
      <c r="T346" s="310"/>
      <c r="U346" s="307"/>
      <c r="V346" s="307"/>
      <c r="W346" s="311"/>
      <c r="X346" s="307"/>
      <c r="Y346" s="307"/>
      <c r="Z346" s="307"/>
      <c r="AA346" s="307"/>
      <c r="AB346" s="311"/>
      <c r="AC346" s="307"/>
      <c r="AD346" s="307"/>
      <c r="AE346" s="307"/>
      <c r="AF346" s="307"/>
      <c r="AG346" s="310"/>
      <c r="AH346" s="307"/>
      <c r="AI346" s="310"/>
      <c r="AJ346" s="307"/>
      <c r="AK346" s="307"/>
      <c r="AL346" s="307"/>
      <c r="AM346" s="308"/>
      <c r="AN346" s="311"/>
      <c r="AO346" s="307"/>
      <c r="AP346" s="307"/>
      <c r="AQ346" s="308"/>
      <c r="AR346" s="307"/>
      <c r="AS346" s="307"/>
      <c r="AT346" s="307"/>
      <c r="AU346" s="310"/>
      <c r="AV346" s="308"/>
      <c r="AW346" s="312"/>
      <c r="AX346" s="308"/>
      <c r="AY346" s="307"/>
      <c r="AZ346" s="307"/>
      <c r="BA346" s="307"/>
      <c r="BB346" s="307"/>
      <c r="BC346" s="308"/>
      <c r="BD346" s="308"/>
      <c r="BE346" s="313"/>
      <c r="BF346" s="307"/>
      <c r="BG346" s="310"/>
      <c r="BH346" s="307"/>
      <c r="BI346" s="307"/>
      <c r="BJ346" s="310"/>
      <c r="BK346" s="307"/>
      <c r="BL346" s="307"/>
      <c r="BM346" s="310"/>
      <c r="BN346" s="307"/>
      <c r="BO346" s="310"/>
      <c r="BP346" s="307"/>
      <c r="BQ346" s="307"/>
      <c r="BR346" s="307"/>
      <c r="BS346" s="307"/>
      <c r="BT346" s="307"/>
      <c r="BU346" s="310"/>
      <c r="BV346" s="307"/>
      <c r="BW346" s="308"/>
      <c r="BX346" s="311"/>
      <c r="BY346" s="307"/>
      <c r="BZ346" s="307"/>
      <c r="CA346" s="310"/>
      <c r="CB346" s="307"/>
      <c r="CC346" s="307"/>
      <c r="CD346" s="307"/>
      <c r="CE346" s="308"/>
      <c r="CF346" s="308"/>
      <c r="CG346" s="307"/>
      <c r="CH346" s="307"/>
      <c r="CI346" s="307"/>
      <c r="CJ346" s="307"/>
      <c r="CK346" s="314"/>
      <c r="CL346" s="310"/>
      <c r="CM346" s="310"/>
      <c r="CN346" s="307"/>
      <c r="CO346" s="307"/>
      <c r="CP346" s="307"/>
      <c r="CQ346" s="315"/>
      <c r="CR346" s="315"/>
      <c r="CS346" s="315"/>
      <c r="CT346" s="315"/>
      <c r="CU346" s="307"/>
      <c r="CV346" s="217"/>
      <c r="CW346" s="192"/>
      <c r="CX346" s="192"/>
      <c r="CY346" s="192"/>
      <c r="CZ346" s="191"/>
      <c r="DA346" s="193"/>
      <c r="DB346" s="192"/>
      <c r="DC346" s="192"/>
      <c r="DD346" s="192"/>
      <c r="DE346" s="191"/>
      <c r="DF346" s="19"/>
      <c r="DG346" s="192"/>
      <c r="DH346" s="192"/>
      <c r="DI346" s="192"/>
      <c r="DJ346" s="191"/>
      <c r="DK346" s="193"/>
      <c r="DL346" s="192"/>
      <c r="DM346" s="192"/>
      <c r="DN346" s="192"/>
      <c r="DO346" s="191"/>
      <c r="DP346" s="19"/>
      <c r="DQ346" s="192"/>
      <c r="DR346" s="192"/>
      <c r="DS346" s="192"/>
      <c r="DT346" s="191"/>
      <c r="DU346" s="193"/>
      <c r="DV346" s="192"/>
      <c r="DW346" s="192"/>
      <c r="DX346" s="192"/>
      <c r="DY346" s="191"/>
      <c r="DZ346" s="19"/>
      <c r="EA346" s="192"/>
      <c r="EB346" s="192"/>
      <c r="EC346" s="192"/>
      <c r="ED346" s="191"/>
      <c r="EE346" s="193"/>
      <c r="EF346" s="192"/>
      <c r="EG346" s="192"/>
      <c r="EH346" s="192"/>
      <c r="EI346" s="191"/>
      <c r="EJ346" s="19"/>
      <c r="EK346" s="192"/>
      <c r="EL346" s="192"/>
      <c r="EM346" s="192"/>
      <c r="EN346" s="191"/>
      <c r="EO346" s="193"/>
      <c r="EP346" s="192"/>
      <c r="EQ346" s="192"/>
      <c r="ER346" s="192"/>
      <c r="ES346" s="191"/>
      <c r="ET346" s="19"/>
      <c r="EU346" s="192"/>
      <c r="EV346" s="192"/>
      <c r="EW346" s="192"/>
      <c r="EX346" s="191"/>
      <c r="EY346" s="193"/>
      <c r="EZ346" s="192"/>
      <c r="FA346" s="192"/>
      <c r="FB346" s="192"/>
      <c r="FC346" s="191"/>
      <c r="FL346" s="273">
        <f t="shared" ca="1" si="17"/>
        <v>116</v>
      </c>
    </row>
    <row r="347" spans="1:168" ht="16.5" thickBot="1">
      <c r="A347" s="199">
        <v>344</v>
      </c>
      <c r="B347" s="306"/>
      <c r="C347" s="310"/>
      <c r="D347" s="307" t="s">
        <v>271</v>
      </c>
      <c r="E347" s="307" t="s">
        <v>271</v>
      </c>
      <c r="F347" s="308"/>
      <c r="G347" s="343" t="str">
        <f t="shared" si="15"/>
        <v xml:space="preserve"> </v>
      </c>
      <c r="H347" s="307"/>
      <c r="I347" s="309" t="e">
        <f t="shared" si="16"/>
        <v>#N/A</v>
      </c>
      <c r="J347" s="307"/>
      <c r="K347" s="307"/>
      <c r="L347" s="310"/>
      <c r="M347" s="310"/>
      <c r="N347" s="310"/>
      <c r="O347" s="310"/>
      <c r="P347" s="310"/>
      <c r="Q347" s="310"/>
      <c r="R347" s="310"/>
      <c r="S347" s="310"/>
      <c r="T347" s="310"/>
      <c r="U347" s="307"/>
      <c r="V347" s="307"/>
      <c r="W347" s="311"/>
      <c r="X347" s="307"/>
      <c r="Y347" s="307"/>
      <c r="Z347" s="307"/>
      <c r="AA347" s="307"/>
      <c r="AB347" s="311"/>
      <c r="AC347" s="307"/>
      <c r="AD347" s="307"/>
      <c r="AE347" s="307"/>
      <c r="AF347" s="307"/>
      <c r="AG347" s="310"/>
      <c r="AH347" s="307"/>
      <c r="AI347" s="310"/>
      <c r="AJ347" s="307"/>
      <c r="AK347" s="307"/>
      <c r="AL347" s="307"/>
      <c r="AM347" s="308"/>
      <c r="AN347" s="311"/>
      <c r="AO347" s="307"/>
      <c r="AP347" s="307"/>
      <c r="AQ347" s="308"/>
      <c r="AR347" s="307"/>
      <c r="AS347" s="307"/>
      <c r="AT347" s="307"/>
      <c r="AU347" s="310"/>
      <c r="AV347" s="308"/>
      <c r="AW347" s="312"/>
      <c r="AX347" s="308"/>
      <c r="AY347" s="307"/>
      <c r="AZ347" s="307"/>
      <c r="BA347" s="307"/>
      <c r="BB347" s="307"/>
      <c r="BC347" s="308"/>
      <c r="BD347" s="308"/>
      <c r="BE347" s="313"/>
      <c r="BF347" s="307"/>
      <c r="BG347" s="310"/>
      <c r="BH347" s="307"/>
      <c r="BI347" s="307"/>
      <c r="BJ347" s="310"/>
      <c r="BK347" s="307"/>
      <c r="BL347" s="307"/>
      <c r="BM347" s="310"/>
      <c r="BN347" s="307"/>
      <c r="BO347" s="310"/>
      <c r="BP347" s="307"/>
      <c r="BQ347" s="307"/>
      <c r="BR347" s="307"/>
      <c r="BS347" s="307"/>
      <c r="BT347" s="307"/>
      <c r="BU347" s="310"/>
      <c r="BV347" s="307"/>
      <c r="BW347" s="308"/>
      <c r="BX347" s="311"/>
      <c r="BY347" s="307"/>
      <c r="BZ347" s="307"/>
      <c r="CA347" s="310"/>
      <c r="CB347" s="307"/>
      <c r="CC347" s="307"/>
      <c r="CD347" s="307"/>
      <c r="CE347" s="308"/>
      <c r="CF347" s="308"/>
      <c r="CG347" s="307"/>
      <c r="CH347" s="307"/>
      <c r="CI347" s="307"/>
      <c r="CJ347" s="307"/>
      <c r="CK347" s="314"/>
      <c r="CL347" s="310"/>
      <c r="CM347" s="310"/>
      <c r="CN347" s="307"/>
      <c r="CO347" s="307"/>
      <c r="CP347" s="307"/>
      <c r="CQ347" s="315"/>
      <c r="CR347" s="315"/>
      <c r="CS347" s="315"/>
      <c r="CT347" s="315"/>
      <c r="CU347" s="307"/>
      <c r="CV347" s="217"/>
      <c r="CW347" s="192"/>
      <c r="CX347" s="192"/>
      <c r="CY347" s="192"/>
      <c r="CZ347" s="191"/>
      <c r="DA347" s="193"/>
      <c r="DB347" s="192"/>
      <c r="DC347" s="192"/>
      <c r="DD347" s="192"/>
      <c r="DE347" s="191"/>
      <c r="DF347" s="19"/>
      <c r="DG347" s="192"/>
      <c r="DH347" s="192"/>
      <c r="DI347" s="192"/>
      <c r="DJ347" s="191"/>
      <c r="DK347" s="193"/>
      <c r="DL347" s="192"/>
      <c r="DM347" s="192"/>
      <c r="DN347" s="192"/>
      <c r="DO347" s="191"/>
      <c r="DP347" s="19"/>
      <c r="DQ347" s="192"/>
      <c r="DR347" s="192"/>
      <c r="DS347" s="192"/>
      <c r="DT347" s="191"/>
      <c r="DU347" s="193"/>
      <c r="DV347" s="192"/>
      <c r="DW347" s="192"/>
      <c r="DX347" s="192"/>
      <c r="DY347" s="191"/>
      <c r="DZ347" s="19"/>
      <c r="EA347" s="192"/>
      <c r="EB347" s="192"/>
      <c r="EC347" s="192"/>
      <c r="ED347" s="191"/>
      <c r="EE347" s="193"/>
      <c r="EF347" s="192"/>
      <c r="EG347" s="192"/>
      <c r="EH347" s="192"/>
      <c r="EI347" s="191"/>
      <c r="EJ347" s="19"/>
      <c r="EK347" s="192"/>
      <c r="EL347" s="192"/>
      <c r="EM347" s="192"/>
      <c r="EN347" s="191"/>
      <c r="EO347" s="193"/>
      <c r="EP347" s="192"/>
      <c r="EQ347" s="192"/>
      <c r="ER347" s="192"/>
      <c r="ES347" s="191"/>
      <c r="ET347" s="19"/>
      <c r="EU347" s="192"/>
      <c r="EV347" s="192"/>
      <c r="EW347" s="192"/>
      <c r="EX347" s="191"/>
      <c r="EY347" s="193"/>
      <c r="EZ347" s="192"/>
      <c r="FA347" s="192"/>
      <c r="FB347" s="192"/>
      <c r="FC347" s="191"/>
      <c r="FL347" s="273">
        <f t="shared" ca="1" si="17"/>
        <v>116</v>
      </c>
    </row>
    <row r="348" spans="1:168" ht="16.5" thickBot="1">
      <c r="A348" s="196">
        <v>345</v>
      </c>
      <c r="B348" s="306"/>
      <c r="C348" s="310"/>
      <c r="D348" s="307" t="s">
        <v>271</v>
      </c>
      <c r="E348" s="307" t="s">
        <v>271</v>
      </c>
      <c r="F348" s="308"/>
      <c r="G348" s="343" t="str">
        <f t="shared" si="15"/>
        <v xml:space="preserve"> </v>
      </c>
      <c r="H348" s="307"/>
      <c r="I348" s="309" t="e">
        <f t="shared" si="16"/>
        <v>#N/A</v>
      </c>
      <c r="J348" s="307"/>
      <c r="K348" s="307"/>
      <c r="L348" s="310"/>
      <c r="M348" s="310"/>
      <c r="N348" s="310"/>
      <c r="O348" s="310"/>
      <c r="P348" s="310"/>
      <c r="Q348" s="310"/>
      <c r="R348" s="310"/>
      <c r="S348" s="310"/>
      <c r="T348" s="310"/>
      <c r="U348" s="307"/>
      <c r="V348" s="307"/>
      <c r="W348" s="311"/>
      <c r="X348" s="307"/>
      <c r="Y348" s="307"/>
      <c r="Z348" s="307"/>
      <c r="AA348" s="307"/>
      <c r="AB348" s="311"/>
      <c r="AC348" s="307"/>
      <c r="AD348" s="307"/>
      <c r="AE348" s="307"/>
      <c r="AF348" s="307"/>
      <c r="AG348" s="310"/>
      <c r="AH348" s="307"/>
      <c r="AI348" s="310"/>
      <c r="AJ348" s="307"/>
      <c r="AK348" s="307"/>
      <c r="AL348" s="307"/>
      <c r="AM348" s="308"/>
      <c r="AN348" s="311"/>
      <c r="AO348" s="307"/>
      <c r="AP348" s="307"/>
      <c r="AQ348" s="308"/>
      <c r="AR348" s="307"/>
      <c r="AS348" s="307"/>
      <c r="AT348" s="307"/>
      <c r="AU348" s="310"/>
      <c r="AV348" s="308"/>
      <c r="AW348" s="312"/>
      <c r="AX348" s="308"/>
      <c r="AY348" s="307"/>
      <c r="AZ348" s="307"/>
      <c r="BA348" s="307"/>
      <c r="BB348" s="307"/>
      <c r="BC348" s="308"/>
      <c r="BD348" s="308"/>
      <c r="BE348" s="313"/>
      <c r="BF348" s="307"/>
      <c r="BG348" s="310"/>
      <c r="BH348" s="307"/>
      <c r="BI348" s="307"/>
      <c r="BJ348" s="310"/>
      <c r="BK348" s="307"/>
      <c r="BL348" s="307"/>
      <c r="BM348" s="310"/>
      <c r="BN348" s="307"/>
      <c r="BO348" s="310"/>
      <c r="BP348" s="307"/>
      <c r="BQ348" s="307"/>
      <c r="BR348" s="307"/>
      <c r="BS348" s="307"/>
      <c r="BT348" s="307"/>
      <c r="BU348" s="310"/>
      <c r="BV348" s="307"/>
      <c r="BW348" s="308"/>
      <c r="BX348" s="311"/>
      <c r="BY348" s="307"/>
      <c r="BZ348" s="307"/>
      <c r="CA348" s="310"/>
      <c r="CB348" s="307"/>
      <c r="CC348" s="307"/>
      <c r="CD348" s="307"/>
      <c r="CE348" s="308"/>
      <c r="CF348" s="308"/>
      <c r="CG348" s="307"/>
      <c r="CH348" s="307"/>
      <c r="CI348" s="307"/>
      <c r="CJ348" s="307"/>
      <c r="CK348" s="314"/>
      <c r="CL348" s="310"/>
      <c r="CM348" s="310"/>
      <c r="CN348" s="307"/>
      <c r="CO348" s="307"/>
      <c r="CP348" s="307"/>
      <c r="CQ348" s="315"/>
      <c r="CR348" s="315"/>
      <c r="CS348" s="315"/>
      <c r="CT348" s="315"/>
      <c r="CU348" s="307"/>
      <c r="CV348" s="217"/>
      <c r="CW348" s="192"/>
      <c r="CX348" s="192"/>
      <c r="CY348" s="192"/>
      <c r="CZ348" s="191"/>
      <c r="DA348" s="193"/>
      <c r="DB348" s="192"/>
      <c r="DC348" s="192"/>
      <c r="DD348" s="192"/>
      <c r="DE348" s="191"/>
      <c r="DF348" s="19"/>
      <c r="DG348" s="192"/>
      <c r="DH348" s="192"/>
      <c r="DI348" s="192"/>
      <c r="DJ348" s="191"/>
      <c r="DK348" s="193"/>
      <c r="DL348" s="192"/>
      <c r="DM348" s="192"/>
      <c r="DN348" s="192"/>
      <c r="DO348" s="191"/>
      <c r="DP348" s="19"/>
      <c r="DQ348" s="192"/>
      <c r="DR348" s="192"/>
      <c r="DS348" s="192"/>
      <c r="DT348" s="191"/>
      <c r="DU348" s="193"/>
      <c r="DV348" s="192"/>
      <c r="DW348" s="192"/>
      <c r="DX348" s="192"/>
      <c r="DY348" s="191"/>
      <c r="DZ348" s="19"/>
      <c r="EA348" s="192"/>
      <c r="EB348" s="192"/>
      <c r="EC348" s="192"/>
      <c r="ED348" s="191"/>
      <c r="EE348" s="193"/>
      <c r="EF348" s="192"/>
      <c r="EG348" s="192"/>
      <c r="EH348" s="192"/>
      <c r="EI348" s="191"/>
      <c r="EJ348" s="19"/>
      <c r="EK348" s="192"/>
      <c r="EL348" s="192"/>
      <c r="EM348" s="192"/>
      <c r="EN348" s="191"/>
      <c r="EO348" s="193"/>
      <c r="EP348" s="192"/>
      <c r="EQ348" s="192"/>
      <c r="ER348" s="192"/>
      <c r="ES348" s="191"/>
      <c r="ET348" s="19"/>
      <c r="EU348" s="192"/>
      <c r="EV348" s="192"/>
      <c r="EW348" s="192"/>
      <c r="EX348" s="191"/>
      <c r="EY348" s="193"/>
      <c r="EZ348" s="192"/>
      <c r="FA348" s="192"/>
      <c r="FB348" s="192"/>
      <c r="FC348" s="191"/>
      <c r="FL348" s="273">
        <f t="shared" ca="1" si="17"/>
        <v>116</v>
      </c>
    </row>
    <row r="349" spans="1:168" ht="16.5" thickBot="1">
      <c r="A349" s="199">
        <v>346</v>
      </c>
      <c r="B349" s="306"/>
      <c r="C349" s="310"/>
      <c r="D349" s="307" t="s">
        <v>271</v>
      </c>
      <c r="E349" s="307" t="s">
        <v>271</v>
      </c>
      <c r="F349" s="308"/>
      <c r="G349" s="343" t="str">
        <f t="shared" si="15"/>
        <v xml:space="preserve"> </v>
      </c>
      <c r="H349" s="307"/>
      <c r="I349" s="309" t="e">
        <f t="shared" si="16"/>
        <v>#N/A</v>
      </c>
      <c r="J349" s="307"/>
      <c r="K349" s="307"/>
      <c r="L349" s="310"/>
      <c r="M349" s="310"/>
      <c r="N349" s="310"/>
      <c r="O349" s="310"/>
      <c r="P349" s="310"/>
      <c r="Q349" s="310"/>
      <c r="R349" s="310"/>
      <c r="S349" s="310"/>
      <c r="T349" s="310"/>
      <c r="U349" s="307"/>
      <c r="V349" s="307"/>
      <c r="W349" s="311"/>
      <c r="X349" s="307"/>
      <c r="Y349" s="307"/>
      <c r="Z349" s="307"/>
      <c r="AA349" s="307"/>
      <c r="AB349" s="311"/>
      <c r="AC349" s="307"/>
      <c r="AD349" s="307"/>
      <c r="AE349" s="307"/>
      <c r="AF349" s="307"/>
      <c r="AG349" s="310"/>
      <c r="AH349" s="307"/>
      <c r="AI349" s="310"/>
      <c r="AJ349" s="307"/>
      <c r="AK349" s="307"/>
      <c r="AL349" s="307"/>
      <c r="AM349" s="308"/>
      <c r="AN349" s="311"/>
      <c r="AO349" s="307"/>
      <c r="AP349" s="307"/>
      <c r="AQ349" s="308"/>
      <c r="AR349" s="307"/>
      <c r="AS349" s="307"/>
      <c r="AT349" s="307"/>
      <c r="AU349" s="310"/>
      <c r="AV349" s="308"/>
      <c r="AW349" s="312"/>
      <c r="AX349" s="308"/>
      <c r="AY349" s="307"/>
      <c r="AZ349" s="307"/>
      <c r="BA349" s="307"/>
      <c r="BB349" s="307"/>
      <c r="BC349" s="308"/>
      <c r="BD349" s="308"/>
      <c r="BE349" s="313"/>
      <c r="BF349" s="307"/>
      <c r="BG349" s="310"/>
      <c r="BH349" s="307"/>
      <c r="BI349" s="307"/>
      <c r="BJ349" s="310"/>
      <c r="BK349" s="307"/>
      <c r="BL349" s="307"/>
      <c r="BM349" s="310"/>
      <c r="BN349" s="307"/>
      <c r="BO349" s="310"/>
      <c r="BP349" s="307"/>
      <c r="BQ349" s="307"/>
      <c r="BR349" s="307"/>
      <c r="BS349" s="307"/>
      <c r="BT349" s="307"/>
      <c r="BU349" s="310"/>
      <c r="BV349" s="307"/>
      <c r="BW349" s="308"/>
      <c r="BX349" s="311"/>
      <c r="BY349" s="307"/>
      <c r="BZ349" s="307"/>
      <c r="CA349" s="310"/>
      <c r="CB349" s="307"/>
      <c r="CC349" s="307"/>
      <c r="CD349" s="307"/>
      <c r="CE349" s="308"/>
      <c r="CF349" s="308"/>
      <c r="CG349" s="307"/>
      <c r="CH349" s="307"/>
      <c r="CI349" s="307"/>
      <c r="CJ349" s="307"/>
      <c r="CK349" s="314"/>
      <c r="CL349" s="310"/>
      <c r="CM349" s="310"/>
      <c r="CN349" s="307"/>
      <c r="CO349" s="307"/>
      <c r="CP349" s="307"/>
      <c r="CQ349" s="315"/>
      <c r="CR349" s="315"/>
      <c r="CS349" s="315"/>
      <c r="CT349" s="315"/>
      <c r="CU349" s="307"/>
      <c r="CV349" s="217"/>
      <c r="CW349" s="192"/>
      <c r="CX349" s="192"/>
      <c r="CY349" s="192"/>
      <c r="CZ349" s="191"/>
      <c r="DA349" s="193"/>
      <c r="DB349" s="192"/>
      <c r="DC349" s="192"/>
      <c r="DD349" s="192"/>
      <c r="DE349" s="191"/>
      <c r="DF349" s="19"/>
      <c r="DG349" s="192"/>
      <c r="DH349" s="192"/>
      <c r="DI349" s="192"/>
      <c r="DJ349" s="191"/>
      <c r="DK349" s="193"/>
      <c r="DL349" s="192"/>
      <c r="DM349" s="192"/>
      <c r="DN349" s="192"/>
      <c r="DO349" s="191"/>
      <c r="DP349" s="19"/>
      <c r="DQ349" s="192"/>
      <c r="DR349" s="192"/>
      <c r="DS349" s="192"/>
      <c r="DT349" s="191"/>
      <c r="DU349" s="193"/>
      <c r="DV349" s="192"/>
      <c r="DW349" s="192"/>
      <c r="DX349" s="192"/>
      <c r="DY349" s="191"/>
      <c r="DZ349" s="19"/>
      <c r="EA349" s="192"/>
      <c r="EB349" s="192"/>
      <c r="EC349" s="192"/>
      <c r="ED349" s="191"/>
      <c r="EE349" s="193"/>
      <c r="EF349" s="192"/>
      <c r="EG349" s="192"/>
      <c r="EH349" s="192"/>
      <c r="EI349" s="191"/>
      <c r="EJ349" s="19"/>
      <c r="EK349" s="192"/>
      <c r="EL349" s="192"/>
      <c r="EM349" s="192"/>
      <c r="EN349" s="191"/>
      <c r="EO349" s="193"/>
      <c r="EP349" s="192"/>
      <c r="EQ349" s="192"/>
      <c r="ER349" s="192"/>
      <c r="ES349" s="191"/>
      <c r="ET349" s="19"/>
      <c r="EU349" s="192"/>
      <c r="EV349" s="192"/>
      <c r="EW349" s="192"/>
      <c r="EX349" s="191"/>
      <c r="EY349" s="193"/>
      <c r="EZ349" s="192"/>
      <c r="FA349" s="192"/>
      <c r="FB349" s="192"/>
      <c r="FC349" s="191"/>
      <c r="FL349" s="273">
        <f t="shared" ca="1" si="17"/>
        <v>116</v>
      </c>
    </row>
    <row r="350" spans="1:168" ht="16.5" thickBot="1">
      <c r="A350" s="196">
        <v>347</v>
      </c>
      <c r="B350" s="306"/>
      <c r="C350" s="310"/>
      <c r="D350" s="307" t="s">
        <v>271</v>
      </c>
      <c r="E350" s="307" t="s">
        <v>271</v>
      </c>
      <c r="F350" s="308"/>
      <c r="G350" s="343" t="str">
        <f t="shared" si="15"/>
        <v xml:space="preserve"> </v>
      </c>
      <c r="H350" s="307"/>
      <c r="I350" s="309" t="e">
        <f t="shared" si="16"/>
        <v>#N/A</v>
      </c>
      <c r="J350" s="307"/>
      <c r="K350" s="307"/>
      <c r="L350" s="310"/>
      <c r="M350" s="310"/>
      <c r="N350" s="310"/>
      <c r="O350" s="310"/>
      <c r="P350" s="310"/>
      <c r="Q350" s="310"/>
      <c r="R350" s="310"/>
      <c r="S350" s="310"/>
      <c r="T350" s="310"/>
      <c r="U350" s="307"/>
      <c r="V350" s="307"/>
      <c r="W350" s="311"/>
      <c r="X350" s="307"/>
      <c r="Y350" s="307"/>
      <c r="Z350" s="307"/>
      <c r="AA350" s="307"/>
      <c r="AB350" s="311"/>
      <c r="AC350" s="307"/>
      <c r="AD350" s="307"/>
      <c r="AE350" s="307"/>
      <c r="AF350" s="307"/>
      <c r="AG350" s="310"/>
      <c r="AH350" s="307"/>
      <c r="AI350" s="310"/>
      <c r="AJ350" s="307"/>
      <c r="AK350" s="307"/>
      <c r="AL350" s="307"/>
      <c r="AM350" s="308"/>
      <c r="AN350" s="311"/>
      <c r="AO350" s="307"/>
      <c r="AP350" s="307"/>
      <c r="AQ350" s="308"/>
      <c r="AR350" s="307"/>
      <c r="AS350" s="307"/>
      <c r="AT350" s="307"/>
      <c r="AU350" s="310"/>
      <c r="AV350" s="308"/>
      <c r="AW350" s="312"/>
      <c r="AX350" s="308"/>
      <c r="AY350" s="307"/>
      <c r="AZ350" s="307"/>
      <c r="BA350" s="307"/>
      <c r="BB350" s="307"/>
      <c r="BC350" s="308"/>
      <c r="BD350" s="308"/>
      <c r="BE350" s="313"/>
      <c r="BF350" s="307"/>
      <c r="BG350" s="310"/>
      <c r="BH350" s="307"/>
      <c r="BI350" s="307"/>
      <c r="BJ350" s="310"/>
      <c r="BK350" s="307"/>
      <c r="BL350" s="307"/>
      <c r="BM350" s="310"/>
      <c r="BN350" s="307"/>
      <c r="BO350" s="310"/>
      <c r="BP350" s="307"/>
      <c r="BQ350" s="307"/>
      <c r="BR350" s="307"/>
      <c r="BS350" s="307"/>
      <c r="BT350" s="307"/>
      <c r="BU350" s="310"/>
      <c r="BV350" s="307"/>
      <c r="BW350" s="308"/>
      <c r="BX350" s="311"/>
      <c r="BY350" s="307"/>
      <c r="BZ350" s="307"/>
      <c r="CA350" s="310"/>
      <c r="CB350" s="307"/>
      <c r="CC350" s="307"/>
      <c r="CD350" s="307"/>
      <c r="CE350" s="308"/>
      <c r="CF350" s="308"/>
      <c r="CG350" s="307"/>
      <c r="CH350" s="307"/>
      <c r="CI350" s="307"/>
      <c r="CJ350" s="307"/>
      <c r="CK350" s="314"/>
      <c r="CL350" s="310"/>
      <c r="CM350" s="310"/>
      <c r="CN350" s="307"/>
      <c r="CO350" s="307"/>
      <c r="CP350" s="307"/>
      <c r="CQ350" s="315"/>
      <c r="CR350" s="315"/>
      <c r="CS350" s="315"/>
      <c r="CT350" s="315"/>
      <c r="CU350" s="307"/>
      <c r="CV350" s="217"/>
      <c r="CW350" s="192"/>
      <c r="CX350" s="192"/>
      <c r="CY350" s="192"/>
      <c r="CZ350" s="191"/>
      <c r="DA350" s="193"/>
      <c r="DB350" s="192"/>
      <c r="DC350" s="192"/>
      <c r="DD350" s="192"/>
      <c r="DE350" s="191"/>
      <c r="DF350" s="19"/>
      <c r="DG350" s="192"/>
      <c r="DH350" s="192"/>
      <c r="DI350" s="192"/>
      <c r="DJ350" s="191"/>
      <c r="DK350" s="193"/>
      <c r="DL350" s="192"/>
      <c r="DM350" s="192"/>
      <c r="DN350" s="192"/>
      <c r="DO350" s="191"/>
      <c r="DP350" s="19"/>
      <c r="DQ350" s="192"/>
      <c r="DR350" s="192"/>
      <c r="DS350" s="192"/>
      <c r="DT350" s="191"/>
      <c r="DU350" s="193"/>
      <c r="DV350" s="192"/>
      <c r="DW350" s="192"/>
      <c r="DX350" s="192"/>
      <c r="DY350" s="191"/>
      <c r="DZ350" s="19"/>
      <c r="EA350" s="192"/>
      <c r="EB350" s="192"/>
      <c r="EC350" s="192"/>
      <c r="ED350" s="191"/>
      <c r="EE350" s="193"/>
      <c r="EF350" s="192"/>
      <c r="EG350" s="192"/>
      <c r="EH350" s="192"/>
      <c r="EI350" s="191"/>
      <c r="EJ350" s="19"/>
      <c r="EK350" s="192"/>
      <c r="EL350" s="192"/>
      <c r="EM350" s="192"/>
      <c r="EN350" s="191"/>
      <c r="EO350" s="193"/>
      <c r="EP350" s="192"/>
      <c r="EQ350" s="192"/>
      <c r="ER350" s="192"/>
      <c r="ES350" s="191"/>
      <c r="ET350" s="19"/>
      <c r="EU350" s="192"/>
      <c r="EV350" s="192"/>
      <c r="EW350" s="192"/>
      <c r="EX350" s="191"/>
      <c r="EY350" s="193"/>
      <c r="EZ350" s="192"/>
      <c r="FA350" s="192"/>
      <c r="FB350" s="192"/>
      <c r="FC350" s="191"/>
      <c r="FL350" s="273">
        <f t="shared" ca="1" si="17"/>
        <v>116</v>
      </c>
    </row>
    <row r="351" spans="1:168" ht="16.5" thickBot="1">
      <c r="A351" s="199">
        <v>348</v>
      </c>
      <c r="B351" s="306"/>
      <c r="C351" s="310"/>
      <c r="D351" s="307" t="s">
        <v>271</v>
      </c>
      <c r="E351" s="307" t="s">
        <v>271</v>
      </c>
      <c r="F351" s="308"/>
      <c r="G351" s="343" t="str">
        <f t="shared" si="15"/>
        <v xml:space="preserve"> </v>
      </c>
      <c r="H351" s="307"/>
      <c r="I351" s="309" t="e">
        <f t="shared" si="16"/>
        <v>#N/A</v>
      </c>
      <c r="J351" s="307"/>
      <c r="K351" s="307"/>
      <c r="L351" s="310"/>
      <c r="M351" s="310"/>
      <c r="N351" s="310"/>
      <c r="O351" s="310"/>
      <c r="P351" s="310"/>
      <c r="Q351" s="310"/>
      <c r="R351" s="310"/>
      <c r="S351" s="310"/>
      <c r="T351" s="310"/>
      <c r="U351" s="307"/>
      <c r="V351" s="307"/>
      <c r="W351" s="311"/>
      <c r="X351" s="307"/>
      <c r="Y351" s="307"/>
      <c r="Z351" s="307"/>
      <c r="AA351" s="307"/>
      <c r="AB351" s="311"/>
      <c r="AC351" s="307"/>
      <c r="AD351" s="307"/>
      <c r="AE351" s="307"/>
      <c r="AF351" s="307"/>
      <c r="AG351" s="310"/>
      <c r="AH351" s="307"/>
      <c r="AI351" s="310"/>
      <c r="AJ351" s="307"/>
      <c r="AK351" s="307"/>
      <c r="AL351" s="307"/>
      <c r="AM351" s="308"/>
      <c r="AN351" s="311"/>
      <c r="AO351" s="307"/>
      <c r="AP351" s="307"/>
      <c r="AQ351" s="308"/>
      <c r="AR351" s="307"/>
      <c r="AS351" s="307"/>
      <c r="AT351" s="307"/>
      <c r="AU351" s="310"/>
      <c r="AV351" s="308"/>
      <c r="AW351" s="312"/>
      <c r="AX351" s="308"/>
      <c r="AY351" s="307"/>
      <c r="AZ351" s="307"/>
      <c r="BA351" s="307"/>
      <c r="BB351" s="307"/>
      <c r="BC351" s="308"/>
      <c r="BD351" s="308"/>
      <c r="BE351" s="313"/>
      <c r="BF351" s="307"/>
      <c r="BG351" s="310"/>
      <c r="BH351" s="307"/>
      <c r="BI351" s="307"/>
      <c r="BJ351" s="310"/>
      <c r="BK351" s="307"/>
      <c r="BL351" s="307"/>
      <c r="BM351" s="310"/>
      <c r="BN351" s="307"/>
      <c r="BO351" s="310"/>
      <c r="BP351" s="307"/>
      <c r="BQ351" s="307"/>
      <c r="BR351" s="307"/>
      <c r="BS351" s="307"/>
      <c r="BT351" s="307"/>
      <c r="BU351" s="310"/>
      <c r="BV351" s="307"/>
      <c r="BW351" s="308"/>
      <c r="BX351" s="311"/>
      <c r="BY351" s="307"/>
      <c r="BZ351" s="307"/>
      <c r="CA351" s="310"/>
      <c r="CB351" s="307"/>
      <c r="CC351" s="307"/>
      <c r="CD351" s="307"/>
      <c r="CE351" s="308"/>
      <c r="CF351" s="308"/>
      <c r="CG351" s="307"/>
      <c r="CH351" s="307"/>
      <c r="CI351" s="307"/>
      <c r="CJ351" s="307"/>
      <c r="CK351" s="314"/>
      <c r="CL351" s="310"/>
      <c r="CM351" s="310"/>
      <c r="CN351" s="307"/>
      <c r="CO351" s="307"/>
      <c r="CP351" s="307"/>
      <c r="CQ351" s="315"/>
      <c r="CR351" s="315"/>
      <c r="CS351" s="315"/>
      <c r="CT351" s="315"/>
      <c r="CU351" s="307"/>
      <c r="CV351" s="217"/>
      <c r="CW351" s="192"/>
      <c r="CX351" s="192"/>
      <c r="CY351" s="192"/>
      <c r="CZ351" s="191"/>
      <c r="DA351" s="193"/>
      <c r="DB351" s="192"/>
      <c r="DC351" s="192"/>
      <c r="DD351" s="192"/>
      <c r="DE351" s="191"/>
      <c r="DF351" s="19"/>
      <c r="DG351" s="192"/>
      <c r="DH351" s="192"/>
      <c r="DI351" s="192"/>
      <c r="DJ351" s="191"/>
      <c r="DK351" s="193"/>
      <c r="DL351" s="192"/>
      <c r="DM351" s="192"/>
      <c r="DN351" s="192"/>
      <c r="DO351" s="191"/>
      <c r="DP351" s="19"/>
      <c r="DQ351" s="192"/>
      <c r="DR351" s="192"/>
      <c r="DS351" s="192"/>
      <c r="DT351" s="191"/>
      <c r="DU351" s="193"/>
      <c r="DV351" s="192"/>
      <c r="DW351" s="192"/>
      <c r="DX351" s="192"/>
      <c r="DY351" s="191"/>
      <c r="DZ351" s="19"/>
      <c r="EA351" s="192"/>
      <c r="EB351" s="192"/>
      <c r="EC351" s="192"/>
      <c r="ED351" s="191"/>
      <c r="EE351" s="193"/>
      <c r="EF351" s="192"/>
      <c r="EG351" s="192"/>
      <c r="EH351" s="192"/>
      <c r="EI351" s="191"/>
      <c r="EJ351" s="19"/>
      <c r="EK351" s="192"/>
      <c r="EL351" s="192"/>
      <c r="EM351" s="192"/>
      <c r="EN351" s="191"/>
      <c r="EO351" s="193"/>
      <c r="EP351" s="192"/>
      <c r="EQ351" s="192"/>
      <c r="ER351" s="192"/>
      <c r="ES351" s="191"/>
      <c r="ET351" s="19"/>
      <c r="EU351" s="192"/>
      <c r="EV351" s="192"/>
      <c r="EW351" s="192"/>
      <c r="EX351" s="191"/>
      <c r="EY351" s="193"/>
      <c r="EZ351" s="192"/>
      <c r="FA351" s="192"/>
      <c r="FB351" s="192"/>
      <c r="FC351" s="191"/>
      <c r="FL351" s="273">
        <f t="shared" ca="1" si="17"/>
        <v>116</v>
      </c>
    </row>
    <row r="352" spans="1:168" ht="16.5" thickBot="1">
      <c r="A352" s="196">
        <v>349</v>
      </c>
      <c r="B352" s="306"/>
      <c r="C352" s="310"/>
      <c r="D352" s="307" t="s">
        <v>271</v>
      </c>
      <c r="E352" s="307" t="s">
        <v>271</v>
      </c>
      <c r="F352" s="308"/>
      <c r="G352" s="343" t="str">
        <f t="shared" si="15"/>
        <v xml:space="preserve"> </v>
      </c>
      <c r="H352" s="307"/>
      <c r="I352" s="309" t="e">
        <f t="shared" si="16"/>
        <v>#N/A</v>
      </c>
      <c r="J352" s="307"/>
      <c r="K352" s="307"/>
      <c r="L352" s="310"/>
      <c r="M352" s="310"/>
      <c r="N352" s="310"/>
      <c r="O352" s="310"/>
      <c r="P352" s="310"/>
      <c r="Q352" s="310"/>
      <c r="R352" s="310"/>
      <c r="S352" s="310"/>
      <c r="T352" s="310"/>
      <c r="U352" s="307"/>
      <c r="V352" s="307"/>
      <c r="W352" s="311"/>
      <c r="X352" s="307"/>
      <c r="Y352" s="307"/>
      <c r="Z352" s="307"/>
      <c r="AA352" s="307"/>
      <c r="AB352" s="311"/>
      <c r="AC352" s="307"/>
      <c r="AD352" s="307"/>
      <c r="AE352" s="307"/>
      <c r="AF352" s="307"/>
      <c r="AG352" s="310"/>
      <c r="AH352" s="307"/>
      <c r="AI352" s="310"/>
      <c r="AJ352" s="307"/>
      <c r="AK352" s="307"/>
      <c r="AL352" s="307"/>
      <c r="AM352" s="308"/>
      <c r="AN352" s="311"/>
      <c r="AO352" s="307"/>
      <c r="AP352" s="307"/>
      <c r="AQ352" s="308"/>
      <c r="AR352" s="307"/>
      <c r="AS352" s="307"/>
      <c r="AT352" s="307"/>
      <c r="AU352" s="310"/>
      <c r="AV352" s="308"/>
      <c r="AW352" s="312"/>
      <c r="AX352" s="308"/>
      <c r="AY352" s="307"/>
      <c r="AZ352" s="307"/>
      <c r="BA352" s="307"/>
      <c r="BB352" s="307"/>
      <c r="BC352" s="308"/>
      <c r="BD352" s="308"/>
      <c r="BE352" s="313"/>
      <c r="BF352" s="307"/>
      <c r="BG352" s="310"/>
      <c r="BH352" s="307"/>
      <c r="BI352" s="307"/>
      <c r="BJ352" s="310"/>
      <c r="BK352" s="307"/>
      <c r="BL352" s="307"/>
      <c r="BM352" s="310"/>
      <c r="BN352" s="307"/>
      <c r="BO352" s="310"/>
      <c r="BP352" s="307"/>
      <c r="BQ352" s="307"/>
      <c r="BR352" s="307"/>
      <c r="BS352" s="307"/>
      <c r="BT352" s="307"/>
      <c r="BU352" s="310"/>
      <c r="BV352" s="307"/>
      <c r="BW352" s="308"/>
      <c r="BX352" s="311"/>
      <c r="BY352" s="307"/>
      <c r="BZ352" s="307"/>
      <c r="CA352" s="310"/>
      <c r="CB352" s="307"/>
      <c r="CC352" s="307"/>
      <c r="CD352" s="307"/>
      <c r="CE352" s="308"/>
      <c r="CF352" s="308"/>
      <c r="CG352" s="307"/>
      <c r="CH352" s="307"/>
      <c r="CI352" s="307"/>
      <c r="CJ352" s="307"/>
      <c r="CK352" s="314"/>
      <c r="CL352" s="310"/>
      <c r="CM352" s="310"/>
      <c r="CN352" s="307"/>
      <c r="CO352" s="307"/>
      <c r="CP352" s="307"/>
      <c r="CQ352" s="315"/>
      <c r="CR352" s="315"/>
      <c r="CS352" s="315"/>
      <c r="CT352" s="315"/>
      <c r="CU352" s="307"/>
      <c r="CV352" s="217"/>
      <c r="CW352" s="192"/>
      <c r="CX352" s="192"/>
      <c r="CY352" s="192"/>
      <c r="CZ352" s="191"/>
      <c r="DA352" s="193"/>
      <c r="DB352" s="192"/>
      <c r="DC352" s="192"/>
      <c r="DD352" s="192"/>
      <c r="DE352" s="191"/>
      <c r="DF352" s="19"/>
      <c r="DG352" s="192"/>
      <c r="DH352" s="192"/>
      <c r="DI352" s="192"/>
      <c r="DJ352" s="191"/>
      <c r="DK352" s="193"/>
      <c r="DL352" s="192"/>
      <c r="DM352" s="192"/>
      <c r="DN352" s="192"/>
      <c r="DO352" s="191"/>
      <c r="DP352" s="19"/>
      <c r="DQ352" s="192"/>
      <c r="DR352" s="192"/>
      <c r="DS352" s="192"/>
      <c r="DT352" s="191"/>
      <c r="DU352" s="193"/>
      <c r="DV352" s="192"/>
      <c r="DW352" s="192"/>
      <c r="DX352" s="192"/>
      <c r="DY352" s="191"/>
      <c r="DZ352" s="19"/>
      <c r="EA352" s="192"/>
      <c r="EB352" s="192"/>
      <c r="EC352" s="192"/>
      <c r="ED352" s="191"/>
      <c r="EE352" s="193"/>
      <c r="EF352" s="192"/>
      <c r="EG352" s="192"/>
      <c r="EH352" s="192"/>
      <c r="EI352" s="191"/>
      <c r="EJ352" s="19"/>
      <c r="EK352" s="192"/>
      <c r="EL352" s="192"/>
      <c r="EM352" s="192"/>
      <c r="EN352" s="191"/>
      <c r="EO352" s="193"/>
      <c r="EP352" s="192"/>
      <c r="EQ352" s="192"/>
      <c r="ER352" s="192"/>
      <c r="ES352" s="191"/>
      <c r="ET352" s="19"/>
      <c r="EU352" s="192"/>
      <c r="EV352" s="192"/>
      <c r="EW352" s="192"/>
      <c r="EX352" s="191"/>
      <c r="EY352" s="193"/>
      <c r="EZ352" s="192"/>
      <c r="FA352" s="192"/>
      <c r="FB352" s="192"/>
      <c r="FC352" s="191"/>
      <c r="FL352" s="273">
        <f t="shared" ca="1" si="17"/>
        <v>116</v>
      </c>
    </row>
    <row r="353" spans="1:168" ht="16.5" thickBot="1">
      <c r="A353" s="199">
        <v>350</v>
      </c>
      <c r="B353" s="306"/>
      <c r="C353" s="310"/>
      <c r="D353" s="307" t="s">
        <v>271</v>
      </c>
      <c r="E353" s="307" t="s">
        <v>271</v>
      </c>
      <c r="F353" s="308"/>
      <c r="G353" s="343" t="str">
        <f t="shared" si="15"/>
        <v xml:space="preserve"> </v>
      </c>
      <c r="H353" s="307"/>
      <c r="I353" s="309" t="e">
        <f t="shared" si="16"/>
        <v>#N/A</v>
      </c>
      <c r="J353" s="307"/>
      <c r="K353" s="307"/>
      <c r="L353" s="310"/>
      <c r="M353" s="310"/>
      <c r="N353" s="310"/>
      <c r="O353" s="310"/>
      <c r="P353" s="310"/>
      <c r="Q353" s="310"/>
      <c r="R353" s="310"/>
      <c r="S353" s="310"/>
      <c r="T353" s="310"/>
      <c r="U353" s="307"/>
      <c r="V353" s="307"/>
      <c r="W353" s="311"/>
      <c r="X353" s="307"/>
      <c r="Y353" s="307"/>
      <c r="Z353" s="307"/>
      <c r="AA353" s="307"/>
      <c r="AB353" s="311"/>
      <c r="AC353" s="307"/>
      <c r="AD353" s="307"/>
      <c r="AE353" s="307"/>
      <c r="AF353" s="307"/>
      <c r="AG353" s="310"/>
      <c r="AH353" s="307"/>
      <c r="AI353" s="310"/>
      <c r="AJ353" s="307"/>
      <c r="AK353" s="307"/>
      <c r="AL353" s="307"/>
      <c r="AM353" s="308"/>
      <c r="AN353" s="311"/>
      <c r="AO353" s="307"/>
      <c r="AP353" s="307"/>
      <c r="AQ353" s="308"/>
      <c r="AR353" s="307"/>
      <c r="AS353" s="307"/>
      <c r="AT353" s="307"/>
      <c r="AU353" s="310"/>
      <c r="AV353" s="308"/>
      <c r="AW353" s="312"/>
      <c r="AX353" s="308"/>
      <c r="AY353" s="307"/>
      <c r="AZ353" s="307"/>
      <c r="BA353" s="307"/>
      <c r="BB353" s="307"/>
      <c r="BC353" s="308"/>
      <c r="BD353" s="308"/>
      <c r="BE353" s="313"/>
      <c r="BF353" s="307"/>
      <c r="BG353" s="310"/>
      <c r="BH353" s="307"/>
      <c r="BI353" s="307"/>
      <c r="BJ353" s="310"/>
      <c r="BK353" s="307"/>
      <c r="BL353" s="307"/>
      <c r="BM353" s="310"/>
      <c r="BN353" s="307"/>
      <c r="BO353" s="310"/>
      <c r="BP353" s="307"/>
      <c r="BQ353" s="307"/>
      <c r="BR353" s="307"/>
      <c r="BS353" s="307"/>
      <c r="BT353" s="307"/>
      <c r="BU353" s="310"/>
      <c r="BV353" s="307"/>
      <c r="BW353" s="308"/>
      <c r="BX353" s="311"/>
      <c r="BY353" s="307"/>
      <c r="BZ353" s="307"/>
      <c r="CA353" s="310"/>
      <c r="CB353" s="307"/>
      <c r="CC353" s="307"/>
      <c r="CD353" s="307"/>
      <c r="CE353" s="308"/>
      <c r="CF353" s="308"/>
      <c r="CG353" s="307"/>
      <c r="CH353" s="307"/>
      <c r="CI353" s="307"/>
      <c r="CJ353" s="307"/>
      <c r="CK353" s="314"/>
      <c r="CL353" s="310"/>
      <c r="CM353" s="310"/>
      <c r="CN353" s="307"/>
      <c r="CO353" s="307"/>
      <c r="CP353" s="307"/>
      <c r="CQ353" s="315"/>
      <c r="CR353" s="315"/>
      <c r="CS353" s="315"/>
      <c r="CT353" s="315"/>
      <c r="CU353" s="307"/>
      <c r="CV353" s="217"/>
      <c r="CW353" s="192"/>
      <c r="CX353" s="192"/>
      <c r="CY353" s="192"/>
      <c r="CZ353" s="191"/>
      <c r="DA353" s="193"/>
      <c r="DB353" s="192"/>
      <c r="DC353" s="192"/>
      <c r="DD353" s="192"/>
      <c r="DE353" s="191"/>
      <c r="DF353" s="19"/>
      <c r="DG353" s="192"/>
      <c r="DH353" s="192"/>
      <c r="DI353" s="192"/>
      <c r="DJ353" s="191"/>
      <c r="DK353" s="193"/>
      <c r="DL353" s="192"/>
      <c r="DM353" s="192"/>
      <c r="DN353" s="192"/>
      <c r="DO353" s="191"/>
      <c r="DP353" s="19"/>
      <c r="DQ353" s="192"/>
      <c r="DR353" s="192"/>
      <c r="DS353" s="192"/>
      <c r="DT353" s="191"/>
      <c r="DU353" s="193"/>
      <c r="DV353" s="192"/>
      <c r="DW353" s="192"/>
      <c r="DX353" s="192"/>
      <c r="DY353" s="191"/>
      <c r="DZ353" s="19"/>
      <c r="EA353" s="192"/>
      <c r="EB353" s="192"/>
      <c r="EC353" s="192"/>
      <c r="ED353" s="191"/>
      <c r="EE353" s="193"/>
      <c r="EF353" s="192"/>
      <c r="EG353" s="192"/>
      <c r="EH353" s="192"/>
      <c r="EI353" s="191"/>
      <c r="EJ353" s="19"/>
      <c r="EK353" s="192"/>
      <c r="EL353" s="192"/>
      <c r="EM353" s="192"/>
      <c r="EN353" s="191"/>
      <c r="EO353" s="193"/>
      <c r="EP353" s="192"/>
      <c r="EQ353" s="192"/>
      <c r="ER353" s="192"/>
      <c r="ES353" s="191"/>
      <c r="ET353" s="19"/>
      <c r="EU353" s="192"/>
      <c r="EV353" s="192"/>
      <c r="EW353" s="192"/>
      <c r="EX353" s="191"/>
      <c r="EY353" s="193"/>
      <c r="EZ353" s="192"/>
      <c r="FA353" s="192"/>
      <c r="FB353" s="192"/>
      <c r="FC353" s="191"/>
      <c r="FL353" s="273">
        <f t="shared" ca="1" si="17"/>
        <v>116</v>
      </c>
    </row>
    <row r="354" spans="1:168" ht="16.5" thickBot="1">
      <c r="A354" s="196">
        <v>351</v>
      </c>
      <c r="B354" s="306"/>
      <c r="C354" s="310"/>
      <c r="D354" s="307" t="s">
        <v>271</v>
      </c>
      <c r="E354" s="307" t="s">
        <v>271</v>
      </c>
      <c r="F354" s="308"/>
      <c r="G354" s="343" t="str">
        <f t="shared" si="15"/>
        <v xml:space="preserve"> </v>
      </c>
      <c r="H354" s="307"/>
      <c r="I354" s="309" t="e">
        <f t="shared" si="16"/>
        <v>#N/A</v>
      </c>
      <c r="J354" s="307"/>
      <c r="K354" s="307"/>
      <c r="L354" s="310"/>
      <c r="M354" s="310"/>
      <c r="N354" s="310"/>
      <c r="O354" s="310"/>
      <c r="P354" s="310"/>
      <c r="Q354" s="310"/>
      <c r="R354" s="310"/>
      <c r="S354" s="310"/>
      <c r="T354" s="310"/>
      <c r="U354" s="307"/>
      <c r="V354" s="307"/>
      <c r="W354" s="311"/>
      <c r="X354" s="307"/>
      <c r="Y354" s="307"/>
      <c r="Z354" s="307"/>
      <c r="AA354" s="307"/>
      <c r="AB354" s="311"/>
      <c r="AC354" s="307"/>
      <c r="AD354" s="307"/>
      <c r="AE354" s="307"/>
      <c r="AF354" s="307"/>
      <c r="AG354" s="310"/>
      <c r="AH354" s="307"/>
      <c r="AI354" s="310"/>
      <c r="AJ354" s="307"/>
      <c r="AK354" s="307"/>
      <c r="AL354" s="307"/>
      <c r="AM354" s="308"/>
      <c r="AN354" s="311"/>
      <c r="AO354" s="307"/>
      <c r="AP354" s="307"/>
      <c r="AQ354" s="308"/>
      <c r="AR354" s="307"/>
      <c r="AS354" s="307"/>
      <c r="AT354" s="307"/>
      <c r="AU354" s="310"/>
      <c r="AV354" s="308"/>
      <c r="AW354" s="312"/>
      <c r="AX354" s="308"/>
      <c r="AY354" s="307"/>
      <c r="AZ354" s="307"/>
      <c r="BA354" s="307"/>
      <c r="BB354" s="307"/>
      <c r="BC354" s="308"/>
      <c r="BD354" s="308"/>
      <c r="BE354" s="313"/>
      <c r="BF354" s="307"/>
      <c r="BG354" s="310"/>
      <c r="BH354" s="307"/>
      <c r="BI354" s="307"/>
      <c r="BJ354" s="310"/>
      <c r="BK354" s="307"/>
      <c r="BL354" s="307"/>
      <c r="BM354" s="310"/>
      <c r="BN354" s="307"/>
      <c r="BO354" s="310"/>
      <c r="BP354" s="307"/>
      <c r="BQ354" s="307"/>
      <c r="BR354" s="307"/>
      <c r="BS354" s="307"/>
      <c r="BT354" s="307"/>
      <c r="BU354" s="310"/>
      <c r="BV354" s="307"/>
      <c r="BW354" s="308"/>
      <c r="BX354" s="311"/>
      <c r="BY354" s="307"/>
      <c r="BZ354" s="307"/>
      <c r="CA354" s="310"/>
      <c r="CB354" s="307"/>
      <c r="CC354" s="307"/>
      <c r="CD354" s="307"/>
      <c r="CE354" s="308"/>
      <c r="CF354" s="308"/>
      <c r="CG354" s="307"/>
      <c r="CH354" s="307"/>
      <c r="CI354" s="307"/>
      <c r="CJ354" s="307"/>
      <c r="CK354" s="314"/>
      <c r="CL354" s="310"/>
      <c r="CM354" s="310"/>
      <c r="CN354" s="307"/>
      <c r="CO354" s="307"/>
      <c r="CP354" s="307"/>
      <c r="CQ354" s="315"/>
      <c r="CR354" s="315"/>
      <c r="CS354" s="315"/>
      <c r="CT354" s="315"/>
      <c r="CU354" s="307"/>
      <c r="CV354" s="217"/>
      <c r="CW354" s="192"/>
      <c r="CX354" s="192"/>
      <c r="CY354" s="192"/>
      <c r="CZ354" s="191"/>
      <c r="DA354" s="193"/>
      <c r="DB354" s="192"/>
      <c r="DC354" s="192"/>
      <c r="DD354" s="192"/>
      <c r="DE354" s="191"/>
      <c r="DF354" s="19"/>
      <c r="DG354" s="192"/>
      <c r="DH354" s="192"/>
      <c r="DI354" s="192"/>
      <c r="DJ354" s="191"/>
      <c r="DK354" s="193"/>
      <c r="DL354" s="192"/>
      <c r="DM354" s="192"/>
      <c r="DN354" s="192"/>
      <c r="DO354" s="191"/>
      <c r="DP354" s="19"/>
      <c r="DQ354" s="192"/>
      <c r="DR354" s="192"/>
      <c r="DS354" s="192"/>
      <c r="DT354" s="191"/>
      <c r="DU354" s="193"/>
      <c r="DV354" s="192"/>
      <c r="DW354" s="192"/>
      <c r="DX354" s="192"/>
      <c r="DY354" s="191"/>
      <c r="DZ354" s="19"/>
      <c r="EA354" s="192"/>
      <c r="EB354" s="192"/>
      <c r="EC354" s="192"/>
      <c r="ED354" s="191"/>
      <c r="EE354" s="193"/>
      <c r="EF354" s="192"/>
      <c r="EG354" s="192"/>
      <c r="EH354" s="192"/>
      <c r="EI354" s="191"/>
      <c r="EJ354" s="19"/>
      <c r="EK354" s="192"/>
      <c r="EL354" s="192"/>
      <c r="EM354" s="192"/>
      <c r="EN354" s="191"/>
      <c r="EO354" s="193"/>
      <c r="EP354" s="192"/>
      <c r="EQ354" s="192"/>
      <c r="ER354" s="192"/>
      <c r="ES354" s="191"/>
      <c r="ET354" s="19"/>
      <c r="EU354" s="192"/>
      <c r="EV354" s="192"/>
      <c r="EW354" s="192"/>
      <c r="EX354" s="191"/>
      <c r="EY354" s="193"/>
      <c r="EZ354" s="192"/>
      <c r="FA354" s="192"/>
      <c r="FB354" s="192"/>
      <c r="FC354" s="191"/>
      <c r="FL354" s="273">
        <f t="shared" ca="1" si="17"/>
        <v>116</v>
      </c>
    </row>
    <row r="355" spans="1:168" ht="16.5" thickBot="1">
      <c r="A355" s="199">
        <v>352</v>
      </c>
      <c r="B355" s="306"/>
      <c r="C355" s="310"/>
      <c r="D355" s="307" t="s">
        <v>271</v>
      </c>
      <c r="E355" s="307" t="s">
        <v>271</v>
      </c>
      <c r="F355" s="308"/>
      <c r="G355" s="343" t="str">
        <f t="shared" si="15"/>
        <v xml:space="preserve"> </v>
      </c>
      <c r="H355" s="307"/>
      <c r="I355" s="309" t="e">
        <f t="shared" si="16"/>
        <v>#N/A</v>
      </c>
      <c r="J355" s="307"/>
      <c r="K355" s="307"/>
      <c r="L355" s="310"/>
      <c r="M355" s="310"/>
      <c r="N355" s="310"/>
      <c r="O355" s="310"/>
      <c r="P355" s="310"/>
      <c r="Q355" s="310"/>
      <c r="R355" s="310"/>
      <c r="S355" s="310"/>
      <c r="T355" s="310"/>
      <c r="U355" s="307"/>
      <c r="V355" s="307"/>
      <c r="W355" s="311"/>
      <c r="X355" s="307"/>
      <c r="Y355" s="307"/>
      <c r="Z355" s="307"/>
      <c r="AA355" s="307"/>
      <c r="AB355" s="311"/>
      <c r="AC355" s="307"/>
      <c r="AD355" s="307"/>
      <c r="AE355" s="307"/>
      <c r="AF355" s="307"/>
      <c r="AG355" s="310"/>
      <c r="AH355" s="307"/>
      <c r="AI355" s="310"/>
      <c r="AJ355" s="307"/>
      <c r="AK355" s="307"/>
      <c r="AL355" s="307"/>
      <c r="AM355" s="308"/>
      <c r="AN355" s="311"/>
      <c r="AO355" s="307"/>
      <c r="AP355" s="307"/>
      <c r="AQ355" s="308"/>
      <c r="AR355" s="307"/>
      <c r="AS355" s="307"/>
      <c r="AT355" s="307"/>
      <c r="AU355" s="310"/>
      <c r="AV355" s="308"/>
      <c r="AW355" s="312"/>
      <c r="AX355" s="308"/>
      <c r="AY355" s="307"/>
      <c r="AZ355" s="307"/>
      <c r="BA355" s="307"/>
      <c r="BB355" s="307"/>
      <c r="BC355" s="308"/>
      <c r="BD355" s="308"/>
      <c r="BE355" s="313"/>
      <c r="BF355" s="307"/>
      <c r="BG355" s="310"/>
      <c r="BH355" s="307"/>
      <c r="BI355" s="307"/>
      <c r="BJ355" s="310"/>
      <c r="BK355" s="307"/>
      <c r="BL355" s="307"/>
      <c r="BM355" s="310"/>
      <c r="BN355" s="307"/>
      <c r="BO355" s="310"/>
      <c r="BP355" s="307"/>
      <c r="BQ355" s="307"/>
      <c r="BR355" s="307"/>
      <c r="BS355" s="307"/>
      <c r="BT355" s="307"/>
      <c r="BU355" s="310"/>
      <c r="BV355" s="307"/>
      <c r="BW355" s="308"/>
      <c r="BX355" s="311"/>
      <c r="BY355" s="307"/>
      <c r="BZ355" s="307"/>
      <c r="CA355" s="310"/>
      <c r="CB355" s="307"/>
      <c r="CC355" s="307"/>
      <c r="CD355" s="307"/>
      <c r="CE355" s="308"/>
      <c r="CF355" s="308"/>
      <c r="CG355" s="307"/>
      <c r="CH355" s="307"/>
      <c r="CI355" s="307"/>
      <c r="CJ355" s="307"/>
      <c r="CK355" s="314"/>
      <c r="CL355" s="310"/>
      <c r="CM355" s="310"/>
      <c r="CN355" s="307"/>
      <c r="CO355" s="307"/>
      <c r="CP355" s="307"/>
      <c r="CQ355" s="315"/>
      <c r="CR355" s="315"/>
      <c r="CS355" s="315"/>
      <c r="CT355" s="315"/>
      <c r="CU355" s="307"/>
      <c r="CV355" s="217"/>
      <c r="CW355" s="192"/>
      <c r="CX355" s="192"/>
      <c r="CY355" s="192"/>
      <c r="CZ355" s="191"/>
      <c r="DA355" s="193"/>
      <c r="DB355" s="192"/>
      <c r="DC355" s="192"/>
      <c r="DD355" s="192"/>
      <c r="DE355" s="191"/>
      <c r="DF355" s="19"/>
      <c r="DG355" s="192"/>
      <c r="DH355" s="192"/>
      <c r="DI355" s="192"/>
      <c r="DJ355" s="191"/>
      <c r="DK355" s="193"/>
      <c r="DL355" s="192"/>
      <c r="DM355" s="192"/>
      <c r="DN355" s="192"/>
      <c r="DO355" s="191"/>
      <c r="DP355" s="19"/>
      <c r="DQ355" s="192"/>
      <c r="DR355" s="192"/>
      <c r="DS355" s="192"/>
      <c r="DT355" s="191"/>
      <c r="DU355" s="193"/>
      <c r="DV355" s="192"/>
      <c r="DW355" s="192"/>
      <c r="DX355" s="192"/>
      <c r="DY355" s="191"/>
      <c r="DZ355" s="19"/>
      <c r="EA355" s="192"/>
      <c r="EB355" s="192"/>
      <c r="EC355" s="192"/>
      <c r="ED355" s="191"/>
      <c r="EE355" s="193"/>
      <c r="EF355" s="192"/>
      <c r="EG355" s="192"/>
      <c r="EH355" s="192"/>
      <c r="EI355" s="191"/>
      <c r="EJ355" s="19"/>
      <c r="EK355" s="192"/>
      <c r="EL355" s="192"/>
      <c r="EM355" s="192"/>
      <c r="EN355" s="191"/>
      <c r="EO355" s="193"/>
      <c r="EP355" s="192"/>
      <c r="EQ355" s="192"/>
      <c r="ER355" s="192"/>
      <c r="ES355" s="191"/>
      <c r="ET355" s="19"/>
      <c r="EU355" s="192"/>
      <c r="EV355" s="192"/>
      <c r="EW355" s="192"/>
      <c r="EX355" s="191"/>
      <c r="EY355" s="193"/>
      <c r="EZ355" s="192"/>
      <c r="FA355" s="192"/>
      <c r="FB355" s="192"/>
      <c r="FC355" s="191"/>
      <c r="FL355" s="273">
        <f t="shared" ca="1" si="17"/>
        <v>116</v>
      </c>
    </row>
    <row r="356" spans="1:168" ht="16.5" thickBot="1">
      <c r="A356" s="196">
        <v>353</v>
      </c>
      <c r="B356" s="306"/>
      <c r="C356" s="310"/>
      <c r="D356" s="307" t="s">
        <v>271</v>
      </c>
      <c r="E356" s="307" t="s">
        <v>271</v>
      </c>
      <c r="F356" s="308"/>
      <c r="G356" s="343" t="str">
        <f t="shared" si="15"/>
        <v xml:space="preserve"> </v>
      </c>
      <c r="H356" s="307"/>
      <c r="I356" s="309" t="e">
        <f t="shared" si="16"/>
        <v>#N/A</v>
      </c>
      <c r="J356" s="307"/>
      <c r="K356" s="307"/>
      <c r="L356" s="310"/>
      <c r="M356" s="310"/>
      <c r="N356" s="310"/>
      <c r="O356" s="310"/>
      <c r="P356" s="310"/>
      <c r="Q356" s="310"/>
      <c r="R356" s="310"/>
      <c r="S356" s="310"/>
      <c r="T356" s="310"/>
      <c r="U356" s="307"/>
      <c r="V356" s="307"/>
      <c r="W356" s="311"/>
      <c r="X356" s="307"/>
      <c r="Y356" s="307"/>
      <c r="Z356" s="307"/>
      <c r="AA356" s="307"/>
      <c r="AB356" s="311"/>
      <c r="AC356" s="307"/>
      <c r="AD356" s="307"/>
      <c r="AE356" s="307"/>
      <c r="AF356" s="307"/>
      <c r="AG356" s="310"/>
      <c r="AH356" s="307"/>
      <c r="AI356" s="310"/>
      <c r="AJ356" s="307"/>
      <c r="AK356" s="307"/>
      <c r="AL356" s="307"/>
      <c r="AM356" s="308"/>
      <c r="AN356" s="311"/>
      <c r="AO356" s="307"/>
      <c r="AP356" s="307"/>
      <c r="AQ356" s="308"/>
      <c r="AR356" s="307"/>
      <c r="AS356" s="307"/>
      <c r="AT356" s="307"/>
      <c r="AU356" s="310"/>
      <c r="AV356" s="308"/>
      <c r="AW356" s="312"/>
      <c r="AX356" s="308"/>
      <c r="AY356" s="307"/>
      <c r="AZ356" s="307"/>
      <c r="BA356" s="307"/>
      <c r="BB356" s="307"/>
      <c r="BC356" s="308"/>
      <c r="BD356" s="308"/>
      <c r="BE356" s="313"/>
      <c r="BF356" s="307"/>
      <c r="BG356" s="310"/>
      <c r="BH356" s="307"/>
      <c r="BI356" s="307"/>
      <c r="BJ356" s="310"/>
      <c r="BK356" s="307"/>
      <c r="BL356" s="307"/>
      <c r="BM356" s="310"/>
      <c r="BN356" s="307"/>
      <c r="BO356" s="310"/>
      <c r="BP356" s="307"/>
      <c r="BQ356" s="307"/>
      <c r="BR356" s="307"/>
      <c r="BS356" s="307"/>
      <c r="BT356" s="307"/>
      <c r="BU356" s="310"/>
      <c r="BV356" s="307"/>
      <c r="BW356" s="308"/>
      <c r="BX356" s="311"/>
      <c r="BY356" s="307"/>
      <c r="BZ356" s="307"/>
      <c r="CA356" s="310"/>
      <c r="CB356" s="307"/>
      <c r="CC356" s="307"/>
      <c r="CD356" s="307"/>
      <c r="CE356" s="308"/>
      <c r="CF356" s="308"/>
      <c r="CG356" s="307"/>
      <c r="CH356" s="307"/>
      <c r="CI356" s="307"/>
      <c r="CJ356" s="307"/>
      <c r="CK356" s="314"/>
      <c r="CL356" s="310"/>
      <c r="CM356" s="310"/>
      <c r="CN356" s="307"/>
      <c r="CO356" s="307"/>
      <c r="CP356" s="307"/>
      <c r="CQ356" s="315"/>
      <c r="CR356" s="315"/>
      <c r="CS356" s="315"/>
      <c r="CT356" s="315"/>
      <c r="CU356" s="307"/>
      <c r="CV356" s="217"/>
      <c r="CW356" s="192"/>
      <c r="CX356" s="192"/>
      <c r="CY356" s="192"/>
      <c r="CZ356" s="191"/>
      <c r="DA356" s="193"/>
      <c r="DB356" s="192"/>
      <c r="DC356" s="192"/>
      <c r="DD356" s="192"/>
      <c r="DE356" s="191"/>
      <c r="DF356" s="19"/>
      <c r="DG356" s="192"/>
      <c r="DH356" s="192"/>
      <c r="DI356" s="192"/>
      <c r="DJ356" s="191"/>
      <c r="DK356" s="193"/>
      <c r="DL356" s="192"/>
      <c r="DM356" s="192"/>
      <c r="DN356" s="192"/>
      <c r="DO356" s="191"/>
      <c r="DP356" s="19"/>
      <c r="DQ356" s="192"/>
      <c r="DR356" s="192"/>
      <c r="DS356" s="192"/>
      <c r="DT356" s="191"/>
      <c r="DU356" s="193"/>
      <c r="DV356" s="192"/>
      <c r="DW356" s="192"/>
      <c r="DX356" s="192"/>
      <c r="DY356" s="191"/>
      <c r="DZ356" s="19"/>
      <c r="EA356" s="192"/>
      <c r="EB356" s="192"/>
      <c r="EC356" s="192"/>
      <c r="ED356" s="191"/>
      <c r="EE356" s="193"/>
      <c r="EF356" s="192"/>
      <c r="EG356" s="192"/>
      <c r="EH356" s="192"/>
      <c r="EI356" s="191"/>
      <c r="EJ356" s="19"/>
      <c r="EK356" s="192"/>
      <c r="EL356" s="192"/>
      <c r="EM356" s="192"/>
      <c r="EN356" s="191"/>
      <c r="EO356" s="193"/>
      <c r="EP356" s="192"/>
      <c r="EQ356" s="192"/>
      <c r="ER356" s="192"/>
      <c r="ES356" s="191"/>
      <c r="ET356" s="19"/>
      <c r="EU356" s="192"/>
      <c r="EV356" s="192"/>
      <c r="EW356" s="192"/>
      <c r="EX356" s="191"/>
      <c r="EY356" s="193"/>
      <c r="EZ356" s="192"/>
      <c r="FA356" s="192"/>
      <c r="FB356" s="192"/>
      <c r="FC356" s="191"/>
      <c r="FL356" s="273">
        <f t="shared" ca="1" si="17"/>
        <v>116</v>
      </c>
    </row>
    <row r="357" spans="1:168" ht="16.5" thickBot="1">
      <c r="A357" s="199">
        <v>354</v>
      </c>
      <c r="B357" s="306"/>
      <c r="C357" s="310"/>
      <c r="D357" s="307" t="s">
        <v>271</v>
      </c>
      <c r="E357" s="307" t="s">
        <v>271</v>
      </c>
      <c r="F357" s="308"/>
      <c r="G357" s="343" t="str">
        <f t="shared" si="15"/>
        <v xml:space="preserve"> </v>
      </c>
      <c r="H357" s="307"/>
      <c r="I357" s="309" t="e">
        <f t="shared" si="16"/>
        <v>#N/A</v>
      </c>
      <c r="J357" s="307"/>
      <c r="K357" s="307"/>
      <c r="L357" s="310"/>
      <c r="M357" s="310"/>
      <c r="N357" s="310"/>
      <c r="O357" s="310"/>
      <c r="P357" s="310"/>
      <c r="Q357" s="310"/>
      <c r="R357" s="310"/>
      <c r="S357" s="310"/>
      <c r="T357" s="310"/>
      <c r="U357" s="307"/>
      <c r="V357" s="307"/>
      <c r="W357" s="311"/>
      <c r="X357" s="307"/>
      <c r="Y357" s="307"/>
      <c r="Z357" s="307"/>
      <c r="AA357" s="307"/>
      <c r="AB357" s="311"/>
      <c r="AC357" s="307"/>
      <c r="AD357" s="307"/>
      <c r="AE357" s="307"/>
      <c r="AF357" s="307"/>
      <c r="AG357" s="310"/>
      <c r="AH357" s="307"/>
      <c r="AI357" s="310"/>
      <c r="AJ357" s="307"/>
      <c r="AK357" s="307"/>
      <c r="AL357" s="307"/>
      <c r="AM357" s="308"/>
      <c r="AN357" s="311"/>
      <c r="AO357" s="307"/>
      <c r="AP357" s="307"/>
      <c r="AQ357" s="308"/>
      <c r="AR357" s="307"/>
      <c r="AS357" s="307"/>
      <c r="AT357" s="307"/>
      <c r="AU357" s="310"/>
      <c r="AV357" s="308"/>
      <c r="AW357" s="312"/>
      <c r="AX357" s="308"/>
      <c r="AY357" s="307"/>
      <c r="AZ357" s="307"/>
      <c r="BA357" s="307"/>
      <c r="BB357" s="307"/>
      <c r="BC357" s="308"/>
      <c r="BD357" s="308"/>
      <c r="BE357" s="313"/>
      <c r="BF357" s="307"/>
      <c r="BG357" s="310"/>
      <c r="BH357" s="307"/>
      <c r="BI357" s="307"/>
      <c r="BJ357" s="310"/>
      <c r="BK357" s="307"/>
      <c r="BL357" s="307"/>
      <c r="BM357" s="310"/>
      <c r="BN357" s="307"/>
      <c r="BO357" s="310"/>
      <c r="BP357" s="307"/>
      <c r="BQ357" s="307"/>
      <c r="BR357" s="307"/>
      <c r="BS357" s="307"/>
      <c r="BT357" s="307"/>
      <c r="BU357" s="310"/>
      <c r="BV357" s="307"/>
      <c r="BW357" s="308"/>
      <c r="BX357" s="311"/>
      <c r="BY357" s="307"/>
      <c r="BZ357" s="307"/>
      <c r="CA357" s="310"/>
      <c r="CB357" s="307"/>
      <c r="CC357" s="307"/>
      <c r="CD357" s="307"/>
      <c r="CE357" s="308"/>
      <c r="CF357" s="308"/>
      <c r="CG357" s="307"/>
      <c r="CH357" s="307"/>
      <c r="CI357" s="307"/>
      <c r="CJ357" s="307"/>
      <c r="CK357" s="314"/>
      <c r="CL357" s="310"/>
      <c r="CM357" s="310"/>
      <c r="CN357" s="307"/>
      <c r="CO357" s="307"/>
      <c r="CP357" s="307"/>
      <c r="CQ357" s="315"/>
      <c r="CR357" s="315"/>
      <c r="CS357" s="315"/>
      <c r="CT357" s="315"/>
      <c r="CU357" s="307"/>
      <c r="CV357" s="217"/>
      <c r="CW357" s="192"/>
      <c r="CX357" s="192"/>
      <c r="CY357" s="192"/>
      <c r="CZ357" s="191"/>
      <c r="DA357" s="193"/>
      <c r="DB357" s="192"/>
      <c r="DC357" s="192"/>
      <c r="DD357" s="192"/>
      <c r="DE357" s="191"/>
      <c r="DF357" s="19"/>
      <c r="DG357" s="192"/>
      <c r="DH357" s="192"/>
      <c r="DI357" s="192"/>
      <c r="DJ357" s="191"/>
      <c r="DK357" s="193"/>
      <c r="DL357" s="192"/>
      <c r="DM357" s="192"/>
      <c r="DN357" s="192"/>
      <c r="DO357" s="191"/>
      <c r="DP357" s="19"/>
      <c r="DQ357" s="192"/>
      <c r="DR357" s="192"/>
      <c r="DS357" s="192"/>
      <c r="DT357" s="191"/>
      <c r="DU357" s="193"/>
      <c r="DV357" s="192"/>
      <c r="DW357" s="192"/>
      <c r="DX357" s="192"/>
      <c r="DY357" s="191"/>
      <c r="DZ357" s="19"/>
      <c r="EA357" s="192"/>
      <c r="EB357" s="192"/>
      <c r="EC357" s="192"/>
      <c r="ED357" s="191"/>
      <c r="EE357" s="193"/>
      <c r="EF357" s="192"/>
      <c r="EG357" s="192"/>
      <c r="EH357" s="192"/>
      <c r="EI357" s="191"/>
      <c r="EJ357" s="19"/>
      <c r="EK357" s="192"/>
      <c r="EL357" s="192"/>
      <c r="EM357" s="192"/>
      <c r="EN357" s="191"/>
      <c r="EO357" s="193"/>
      <c r="EP357" s="192"/>
      <c r="EQ357" s="192"/>
      <c r="ER357" s="192"/>
      <c r="ES357" s="191"/>
      <c r="ET357" s="19"/>
      <c r="EU357" s="192"/>
      <c r="EV357" s="192"/>
      <c r="EW357" s="192"/>
      <c r="EX357" s="191"/>
      <c r="EY357" s="193"/>
      <c r="EZ357" s="192"/>
      <c r="FA357" s="192"/>
      <c r="FB357" s="192"/>
      <c r="FC357" s="191"/>
      <c r="FL357" s="273">
        <f t="shared" ca="1" si="17"/>
        <v>116</v>
      </c>
    </row>
    <row r="358" spans="1:168" ht="16.5" thickBot="1">
      <c r="A358" s="196">
        <v>355</v>
      </c>
      <c r="B358" s="306"/>
      <c r="C358" s="310"/>
      <c r="D358" s="307" t="s">
        <v>271</v>
      </c>
      <c r="E358" s="307" t="s">
        <v>271</v>
      </c>
      <c r="F358" s="308"/>
      <c r="G358" s="343" t="str">
        <f t="shared" si="15"/>
        <v xml:space="preserve"> </v>
      </c>
      <c r="H358" s="307"/>
      <c r="I358" s="309" t="e">
        <f t="shared" si="16"/>
        <v>#N/A</v>
      </c>
      <c r="J358" s="307"/>
      <c r="K358" s="307"/>
      <c r="L358" s="310"/>
      <c r="M358" s="310"/>
      <c r="N358" s="310"/>
      <c r="O358" s="310"/>
      <c r="P358" s="310"/>
      <c r="Q358" s="310"/>
      <c r="R358" s="310"/>
      <c r="S358" s="310"/>
      <c r="T358" s="310"/>
      <c r="U358" s="307"/>
      <c r="V358" s="307"/>
      <c r="W358" s="311"/>
      <c r="X358" s="307"/>
      <c r="Y358" s="307"/>
      <c r="Z358" s="307"/>
      <c r="AA358" s="307"/>
      <c r="AB358" s="311"/>
      <c r="AC358" s="307"/>
      <c r="AD358" s="307"/>
      <c r="AE358" s="307"/>
      <c r="AF358" s="307"/>
      <c r="AG358" s="310"/>
      <c r="AH358" s="307"/>
      <c r="AI358" s="310"/>
      <c r="AJ358" s="307"/>
      <c r="AK358" s="307"/>
      <c r="AL358" s="307"/>
      <c r="AM358" s="308"/>
      <c r="AN358" s="311"/>
      <c r="AO358" s="307"/>
      <c r="AP358" s="307"/>
      <c r="AQ358" s="308"/>
      <c r="AR358" s="307"/>
      <c r="AS358" s="307"/>
      <c r="AT358" s="307"/>
      <c r="AU358" s="310"/>
      <c r="AV358" s="308"/>
      <c r="AW358" s="312"/>
      <c r="AX358" s="308"/>
      <c r="AY358" s="307"/>
      <c r="AZ358" s="307"/>
      <c r="BA358" s="307"/>
      <c r="BB358" s="307"/>
      <c r="BC358" s="308"/>
      <c r="BD358" s="308"/>
      <c r="BE358" s="313"/>
      <c r="BF358" s="307"/>
      <c r="BG358" s="310"/>
      <c r="BH358" s="307"/>
      <c r="BI358" s="307"/>
      <c r="BJ358" s="310"/>
      <c r="BK358" s="307"/>
      <c r="BL358" s="307"/>
      <c r="BM358" s="310"/>
      <c r="BN358" s="307"/>
      <c r="BO358" s="310"/>
      <c r="BP358" s="307"/>
      <c r="BQ358" s="307"/>
      <c r="BR358" s="307"/>
      <c r="BS358" s="307"/>
      <c r="BT358" s="307"/>
      <c r="BU358" s="310"/>
      <c r="BV358" s="307"/>
      <c r="BW358" s="308"/>
      <c r="BX358" s="311"/>
      <c r="BY358" s="307"/>
      <c r="BZ358" s="307"/>
      <c r="CA358" s="310"/>
      <c r="CB358" s="307"/>
      <c r="CC358" s="307"/>
      <c r="CD358" s="307"/>
      <c r="CE358" s="308"/>
      <c r="CF358" s="308"/>
      <c r="CG358" s="307"/>
      <c r="CH358" s="307"/>
      <c r="CI358" s="307"/>
      <c r="CJ358" s="307"/>
      <c r="CK358" s="314"/>
      <c r="CL358" s="310"/>
      <c r="CM358" s="310"/>
      <c r="CN358" s="307"/>
      <c r="CO358" s="307"/>
      <c r="CP358" s="307"/>
      <c r="CQ358" s="315"/>
      <c r="CR358" s="315"/>
      <c r="CS358" s="315"/>
      <c r="CT358" s="315"/>
      <c r="CU358" s="307"/>
      <c r="CV358" s="217"/>
      <c r="CW358" s="192"/>
      <c r="CX358" s="192"/>
      <c r="CY358" s="192"/>
      <c r="CZ358" s="191"/>
      <c r="DA358" s="193"/>
      <c r="DB358" s="192"/>
      <c r="DC358" s="192"/>
      <c r="DD358" s="192"/>
      <c r="DE358" s="191"/>
      <c r="DF358" s="19"/>
      <c r="DG358" s="192"/>
      <c r="DH358" s="192"/>
      <c r="DI358" s="192"/>
      <c r="DJ358" s="191"/>
      <c r="DK358" s="193"/>
      <c r="DL358" s="192"/>
      <c r="DM358" s="192"/>
      <c r="DN358" s="192"/>
      <c r="DO358" s="191"/>
      <c r="DP358" s="19"/>
      <c r="DQ358" s="192"/>
      <c r="DR358" s="192"/>
      <c r="DS358" s="192"/>
      <c r="DT358" s="191"/>
      <c r="DU358" s="193"/>
      <c r="DV358" s="192"/>
      <c r="DW358" s="192"/>
      <c r="DX358" s="192"/>
      <c r="DY358" s="191"/>
      <c r="DZ358" s="19"/>
      <c r="EA358" s="192"/>
      <c r="EB358" s="192"/>
      <c r="EC358" s="192"/>
      <c r="ED358" s="191"/>
      <c r="EE358" s="193"/>
      <c r="EF358" s="192"/>
      <c r="EG358" s="192"/>
      <c r="EH358" s="192"/>
      <c r="EI358" s="191"/>
      <c r="EJ358" s="19"/>
      <c r="EK358" s="192"/>
      <c r="EL358" s="192"/>
      <c r="EM358" s="192"/>
      <c r="EN358" s="191"/>
      <c r="EO358" s="193"/>
      <c r="EP358" s="192"/>
      <c r="EQ358" s="192"/>
      <c r="ER358" s="192"/>
      <c r="ES358" s="191"/>
      <c r="ET358" s="19"/>
      <c r="EU358" s="192"/>
      <c r="EV358" s="192"/>
      <c r="EW358" s="192"/>
      <c r="EX358" s="191"/>
      <c r="EY358" s="193"/>
      <c r="EZ358" s="192"/>
      <c r="FA358" s="192"/>
      <c r="FB358" s="192"/>
      <c r="FC358" s="191"/>
      <c r="FL358" s="273">
        <f t="shared" ca="1" si="17"/>
        <v>116</v>
      </c>
    </row>
    <row r="359" spans="1:168" ht="16.5" thickBot="1">
      <c r="A359" s="199">
        <v>356</v>
      </c>
      <c r="B359" s="306"/>
      <c r="C359" s="310"/>
      <c r="D359" s="307" t="s">
        <v>271</v>
      </c>
      <c r="E359" s="307" t="s">
        <v>271</v>
      </c>
      <c r="F359" s="308"/>
      <c r="G359" s="343" t="str">
        <f t="shared" si="15"/>
        <v xml:space="preserve"> </v>
      </c>
      <c r="H359" s="307"/>
      <c r="I359" s="309" t="e">
        <f t="shared" si="16"/>
        <v>#N/A</v>
      </c>
      <c r="J359" s="307"/>
      <c r="K359" s="307"/>
      <c r="L359" s="310"/>
      <c r="M359" s="310"/>
      <c r="N359" s="310"/>
      <c r="O359" s="310"/>
      <c r="P359" s="310"/>
      <c r="Q359" s="310"/>
      <c r="R359" s="310"/>
      <c r="S359" s="310"/>
      <c r="T359" s="310"/>
      <c r="U359" s="307"/>
      <c r="V359" s="307"/>
      <c r="W359" s="311"/>
      <c r="X359" s="307"/>
      <c r="Y359" s="307"/>
      <c r="Z359" s="307"/>
      <c r="AA359" s="307"/>
      <c r="AB359" s="311"/>
      <c r="AC359" s="307"/>
      <c r="AD359" s="307"/>
      <c r="AE359" s="307"/>
      <c r="AF359" s="307"/>
      <c r="AG359" s="310"/>
      <c r="AH359" s="307"/>
      <c r="AI359" s="310"/>
      <c r="AJ359" s="307"/>
      <c r="AK359" s="307"/>
      <c r="AL359" s="307"/>
      <c r="AM359" s="308"/>
      <c r="AN359" s="311"/>
      <c r="AO359" s="307"/>
      <c r="AP359" s="307"/>
      <c r="AQ359" s="308"/>
      <c r="AR359" s="307"/>
      <c r="AS359" s="307"/>
      <c r="AT359" s="307"/>
      <c r="AU359" s="310"/>
      <c r="AV359" s="308"/>
      <c r="AW359" s="312"/>
      <c r="AX359" s="308"/>
      <c r="AY359" s="307"/>
      <c r="AZ359" s="307"/>
      <c r="BA359" s="307"/>
      <c r="BB359" s="307"/>
      <c r="BC359" s="308"/>
      <c r="BD359" s="308"/>
      <c r="BE359" s="313"/>
      <c r="BF359" s="307"/>
      <c r="BG359" s="310"/>
      <c r="BH359" s="307"/>
      <c r="BI359" s="307"/>
      <c r="BJ359" s="310"/>
      <c r="BK359" s="307"/>
      <c r="BL359" s="307"/>
      <c r="BM359" s="310"/>
      <c r="BN359" s="307"/>
      <c r="BO359" s="310"/>
      <c r="BP359" s="307"/>
      <c r="BQ359" s="307"/>
      <c r="BR359" s="307"/>
      <c r="BS359" s="307"/>
      <c r="BT359" s="307"/>
      <c r="BU359" s="310"/>
      <c r="BV359" s="307"/>
      <c r="BW359" s="308"/>
      <c r="BX359" s="311"/>
      <c r="BY359" s="307"/>
      <c r="BZ359" s="307"/>
      <c r="CA359" s="310"/>
      <c r="CB359" s="307"/>
      <c r="CC359" s="307"/>
      <c r="CD359" s="307"/>
      <c r="CE359" s="308"/>
      <c r="CF359" s="308"/>
      <c r="CG359" s="307"/>
      <c r="CH359" s="307"/>
      <c r="CI359" s="307"/>
      <c r="CJ359" s="307"/>
      <c r="CK359" s="314"/>
      <c r="CL359" s="310"/>
      <c r="CM359" s="310"/>
      <c r="CN359" s="307"/>
      <c r="CO359" s="307"/>
      <c r="CP359" s="307"/>
      <c r="CQ359" s="315"/>
      <c r="CR359" s="315"/>
      <c r="CS359" s="315"/>
      <c r="CT359" s="315"/>
      <c r="CU359" s="307"/>
      <c r="CV359" s="217"/>
      <c r="CW359" s="192"/>
      <c r="CX359" s="192"/>
      <c r="CY359" s="192"/>
      <c r="CZ359" s="191"/>
      <c r="DA359" s="193"/>
      <c r="DB359" s="192"/>
      <c r="DC359" s="192"/>
      <c r="DD359" s="192"/>
      <c r="DE359" s="191"/>
      <c r="DF359" s="19"/>
      <c r="DG359" s="192"/>
      <c r="DH359" s="192"/>
      <c r="DI359" s="192"/>
      <c r="DJ359" s="191"/>
      <c r="DK359" s="193"/>
      <c r="DL359" s="192"/>
      <c r="DM359" s="192"/>
      <c r="DN359" s="192"/>
      <c r="DO359" s="191"/>
      <c r="DP359" s="19"/>
      <c r="DQ359" s="192"/>
      <c r="DR359" s="192"/>
      <c r="DS359" s="192"/>
      <c r="DT359" s="191"/>
      <c r="DU359" s="193"/>
      <c r="DV359" s="192"/>
      <c r="DW359" s="192"/>
      <c r="DX359" s="192"/>
      <c r="DY359" s="191"/>
      <c r="DZ359" s="19"/>
      <c r="EA359" s="192"/>
      <c r="EB359" s="192"/>
      <c r="EC359" s="192"/>
      <c r="ED359" s="191"/>
      <c r="EE359" s="193"/>
      <c r="EF359" s="192"/>
      <c r="EG359" s="192"/>
      <c r="EH359" s="192"/>
      <c r="EI359" s="191"/>
      <c r="EJ359" s="19"/>
      <c r="EK359" s="192"/>
      <c r="EL359" s="192"/>
      <c r="EM359" s="192"/>
      <c r="EN359" s="191"/>
      <c r="EO359" s="193"/>
      <c r="EP359" s="192"/>
      <c r="EQ359" s="192"/>
      <c r="ER359" s="192"/>
      <c r="ES359" s="191"/>
      <c r="ET359" s="19"/>
      <c r="EU359" s="192"/>
      <c r="EV359" s="192"/>
      <c r="EW359" s="192"/>
      <c r="EX359" s="191"/>
      <c r="EY359" s="193"/>
      <c r="EZ359" s="192"/>
      <c r="FA359" s="192"/>
      <c r="FB359" s="192"/>
      <c r="FC359" s="191"/>
      <c r="FL359" s="273">
        <f t="shared" ca="1" si="17"/>
        <v>116</v>
      </c>
    </row>
    <row r="360" spans="1:168" ht="16.5" thickBot="1">
      <c r="A360" s="196">
        <v>357</v>
      </c>
      <c r="B360" s="306"/>
      <c r="C360" s="310"/>
      <c r="D360" s="307" t="s">
        <v>271</v>
      </c>
      <c r="E360" s="307" t="s">
        <v>271</v>
      </c>
      <c r="F360" s="308"/>
      <c r="G360" s="343" t="str">
        <f t="shared" si="15"/>
        <v xml:space="preserve"> </v>
      </c>
      <c r="H360" s="307"/>
      <c r="I360" s="309" t="e">
        <f t="shared" si="16"/>
        <v>#N/A</v>
      </c>
      <c r="J360" s="307"/>
      <c r="K360" s="307"/>
      <c r="L360" s="310"/>
      <c r="M360" s="310"/>
      <c r="N360" s="310"/>
      <c r="O360" s="310"/>
      <c r="P360" s="310"/>
      <c r="Q360" s="310"/>
      <c r="R360" s="310"/>
      <c r="S360" s="310"/>
      <c r="T360" s="310"/>
      <c r="U360" s="307"/>
      <c r="V360" s="307"/>
      <c r="W360" s="311"/>
      <c r="X360" s="307"/>
      <c r="Y360" s="307"/>
      <c r="Z360" s="307"/>
      <c r="AA360" s="307"/>
      <c r="AB360" s="311"/>
      <c r="AC360" s="307"/>
      <c r="AD360" s="307"/>
      <c r="AE360" s="307"/>
      <c r="AF360" s="307"/>
      <c r="AG360" s="310"/>
      <c r="AH360" s="307"/>
      <c r="AI360" s="310"/>
      <c r="AJ360" s="307"/>
      <c r="AK360" s="307"/>
      <c r="AL360" s="307"/>
      <c r="AM360" s="308"/>
      <c r="AN360" s="311"/>
      <c r="AO360" s="307"/>
      <c r="AP360" s="307"/>
      <c r="AQ360" s="308"/>
      <c r="AR360" s="307"/>
      <c r="AS360" s="307"/>
      <c r="AT360" s="307"/>
      <c r="AU360" s="310"/>
      <c r="AV360" s="308"/>
      <c r="AW360" s="312"/>
      <c r="AX360" s="308"/>
      <c r="AY360" s="307"/>
      <c r="AZ360" s="307"/>
      <c r="BA360" s="307"/>
      <c r="BB360" s="307"/>
      <c r="BC360" s="308"/>
      <c r="BD360" s="308"/>
      <c r="BE360" s="313"/>
      <c r="BF360" s="307"/>
      <c r="BG360" s="310"/>
      <c r="BH360" s="307"/>
      <c r="BI360" s="307"/>
      <c r="BJ360" s="310"/>
      <c r="BK360" s="307"/>
      <c r="BL360" s="307"/>
      <c r="BM360" s="310"/>
      <c r="BN360" s="307"/>
      <c r="BO360" s="310"/>
      <c r="BP360" s="307"/>
      <c r="BQ360" s="307"/>
      <c r="BR360" s="307"/>
      <c r="BS360" s="307"/>
      <c r="BT360" s="307"/>
      <c r="BU360" s="310"/>
      <c r="BV360" s="307"/>
      <c r="BW360" s="308"/>
      <c r="BX360" s="311"/>
      <c r="BY360" s="307"/>
      <c r="BZ360" s="307"/>
      <c r="CA360" s="310"/>
      <c r="CB360" s="307"/>
      <c r="CC360" s="307"/>
      <c r="CD360" s="307"/>
      <c r="CE360" s="308"/>
      <c r="CF360" s="308"/>
      <c r="CG360" s="307"/>
      <c r="CH360" s="307"/>
      <c r="CI360" s="307"/>
      <c r="CJ360" s="307"/>
      <c r="CK360" s="314"/>
      <c r="CL360" s="310"/>
      <c r="CM360" s="310"/>
      <c r="CN360" s="307"/>
      <c r="CO360" s="307"/>
      <c r="CP360" s="307"/>
      <c r="CQ360" s="315"/>
      <c r="CR360" s="315"/>
      <c r="CS360" s="315"/>
      <c r="CT360" s="315"/>
      <c r="CU360" s="307"/>
      <c r="CV360" s="217"/>
      <c r="CW360" s="192"/>
      <c r="CX360" s="192"/>
      <c r="CY360" s="192"/>
      <c r="CZ360" s="191"/>
      <c r="DA360" s="193"/>
      <c r="DB360" s="192"/>
      <c r="DC360" s="192"/>
      <c r="DD360" s="192"/>
      <c r="DE360" s="191"/>
      <c r="DF360" s="19"/>
      <c r="DG360" s="192"/>
      <c r="DH360" s="192"/>
      <c r="DI360" s="192"/>
      <c r="DJ360" s="191"/>
      <c r="DK360" s="193"/>
      <c r="DL360" s="192"/>
      <c r="DM360" s="192"/>
      <c r="DN360" s="192"/>
      <c r="DO360" s="191"/>
      <c r="DP360" s="19"/>
      <c r="DQ360" s="192"/>
      <c r="DR360" s="192"/>
      <c r="DS360" s="192"/>
      <c r="DT360" s="191"/>
      <c r="DU360" s="193"/>
      <c r="DV360" s="192"/>
      <c r="DW360" s="192"/>
      <c r="DX360" s="192"/>
      <c r="DY360" s="191"/>
      <c r="DZ360" s="19"/>
      <c r="EA360" s="192"/>
      <c r="EB360" s="192"/>
      <c r="EC360" s="192"/>
      <c r="ED360" s="191"/>
      <c r="EE360" s="193"/>
      <c r="EF360" s="192"/>
      <c r="EG360" s="192"/>
      <c r="EH360" s="192"/>
      <c r="EI360" s="191"/>
      <c r="EJ360" s="19"/>
      <c r="EK360" s="192"/>
      <c r="EL360" s="192"/>
      <c r="EM360" s="192"/>
      <c r="EN360" s="191"/>
      <c r="EO360" s="193"/>
      <c r="EP360" s="192"/>
      <c r="EQ360" s="192"/>
      <c r="ER360" s="192"/>
      <c r="ES360" s="191"/>
      <c r="ET360" s="19"/>
      <c r="EU360" s="192"/>
      <c r="EV360" s="192"/>
      <c r="EW360" s="192"/>
      <c r="EX360" s="191"/>
      <c r="EY360" s="193"/>
      <c r="EZ360" s="192"/>
      <c r="FA360" s="192"/>
      <c r="FB360" s="192"/>
      <c r="FC360" s="191"/>
      <c r="FL360" s="273">
        <f t="shared" ca="1" si="17"/>
        <v>116</v>
      </c>
    </row>
    <row r="361" spans="1:168" ht="16.5" thickBot="1">
      <c r="A361" s="199">
        <v>358</v>
      </c>
      <c r="B361" s="306"/>
      <c r="C361" s="310"/>
      <c r="D361" s="307" t="s">
        <v>271</v>
      </c>
      <c r="E361" s="307" t="s">
        <v>271</v>
      </c>
      <c r="F361" s="308"/>
      <c r="G361" s="343" t="str">
        <f t="shared" si="15"/>
        <v xml:space="preserve"> </v>
      </c>
      <c r="H361" s="307"/>
      <c r="I361" s="309" t="e">
        <f t="shared" si="16"/>
        <v>#N/A</v>
      </c>
      <c r="J361" s="307"/>
      <c r="K361" s="307"/>
      <c r="L361" s="310"/>
      <c r="M361" s="310"/>
      <c r="N361" s="310"/>
      <c r="O361" s="310"/>
      <c r="P361" s="310"/>
      <c r="Q361" s="310"/>
      <c r="R361" s="310"/>
      <c r="S361" s="310"/>
      <c r="T361" s="310"/>
      <c r="U361" s="307"/>
      <c r="V361" s="307"/>
      <c r="W361" s="311"/>
      <c r="X361" s="307"/>
      <c r="Y361" s="307"/>
      <c r="Z361" s="307"/>
      <c r="AA361" s="307"/>
      <c r="AB361" s="311"/>
      <c r="AC361" s="307"/>
      <c r="AD361" s="307"/>
      <c r="AE361" s="307"/>
      <c r="AF361" s="307"/>
      <c r="AG361" s="310"/>
      <c r="AH361" s="307"/>
      <c r="AI361" s="310"/>
      <c r="AJ361" s="307"/>
      <c r="AK361" s="307"/>
      <c r="AL361" s="307"/>
      <c r="AM361" s="308"/>
      <c r="AN361" s="311"/>
      <c r="AO361" s="307"/>
      <c r="AP361" s="307"/>
      <c r="AQ361" s="308"/>
      <c r="AR361" s="307"/>
      <c r="AS361" s="307"/>
      <c r="AT361" s="307"/>
      <c r="AU361" s="310"/>
      <c r="AV361" s="308"/>
      <c r="AW361" s="312"/>
      <c r="AX361" s="308"/>
      <c r="AY361" s="307"/>
      <c r="AZ361" s="307"/>
      <c r="BA361" s="307"/>
      <c r="BB361" s="307"/>
      <c r="BC361" s="308"/>
      <c r="BD361" s="308"/>
      <c r="BE361" s="313"/>
      <c r="BF361" s="307"/>
      <c r="BG361" s="310"/>
      <c r="BH361" s="307"/>
      <c r="BI361" s="307"/>
      <c r="BJ361" s="310"/>
      <c r="BK361" s="307"/>
      <c r="BL361" s="307"/>
      <c r="BM361" s="310"/>
      <c r="BN361" s="307"/>
      <c r="BO361" s="310"/>
      <c r="BP361" s="307"/>
      <c r="BQ361" s="307"/>
      <c r="BR361" s="307"/>
      <c r="BS361" s="307"/>
      <c r="BT361" s="307"/>
      <c r="BU361" s="310"/>
      <c r="BV361" s="307"/>
      <c r="BW361" s="308"/>
      <c r="BX361" s="311"/>
      <c r="BY361" s="307"/>
      <c r="BZ361" s="307"/>
      <c r="CA361" s="310"/>
      <c r="CB361" s="307"/>
      <c r="CC361" s="307"/>
      <c r="CD361" s="307"/>
      <c r="CE361" s="308"/>
      <c r="CF361" s="308"/>
      <c r="CG361" s="307"/>
      <c r="CH361" s="307"/>
      <c r="CI361" s="307"/>
      <c r="CJ361" s="307"/>
      <c r="CK361" s="314"/>
      <c r="CL361" s="310"/>
      <c r="CM361" s="310"/>
      <c r="CN361" s="307"/>
      <c r="CO361" s="307"/>
      <c r="CP361" s="307"/>
      <c r="CQ361" s="315"/>
      <c r="CR361" s="315"/>
      <c r="CS361" s="315"/>
      <c r="CT361" s="315"/>
      <c r="CU361" s="307"/>
      <c r="CV361" s="217"/>
      <c r="CW361" s="192"/>
      <c r="CX361" s="192"/>
      <c r="CY361" s="192"/>
      <c r="CZ361" s="191"/>
      <c r="DA361" s="193"/>
      <c r="DB361" s="192"/>
      <c r="DC361" s="192"/>
      <c r="DD361" s="192"/>
      <c r="DE361" s="191"/>
      <c r="DF361" s="19"/>
      <c r="DG361" s="192"/>
      <c r="DH361" s="192"/>
      <c r="DI361" s="192"/>
      <c r="DJ361" s="191"/>
      <c r="DK361" s="193"/>
      <c r="DL361" s="192"/>
      <c r="DM361" s="192"/>
      <c r="DN361" s="192"/>
      <c r="DO361" s="191"/>
      <c r="DP361" s="19"/>
      <c r="DQ361" s="192"/>
      <c r="DR361" s="192"/>
      <c r="DS361" s="192"/>
      <c r="DT361" s="191"/>
      <c r="DU361" s="193"/>
      <c r="DV361" s="192"/>
      <c r="DW361" s="192"/>
      <c r="DX361" s="192"/>
      <c r="DY361" s="191"/>
      <c r="DZ361" s="19"/>
      <c r="EA361" s="192"/>
      <c r="EB361" s="192"/>
      <c r="EC361" s="192"/>
      <c r="ED361" s="191"/>
      <c r="EE361" s="193"/>
      <c r="EF361" s="192"/>
      <c r="EG361" s="192"/>
      <c r="EH361" s="192"/>
      <c r="EI361" s="191"/>
      <c r="EJ361" s="19"/>
      <c r="EK361" s="192"/>
      <c r="EL361" s="192"/>
      <c r="EM361" s="192"/>
      <c r="EN361" s="191"/>
      <c r="EO361" s="193"/>
      <c r="EP361" s="192"/>
      <c r="EQ361" s="192"/>
      <c r="ER361" s="192"/>
      <c r="ES361" s="191"/>
      <c r="ET361" s="19"/>
      <c r="EU361" s="192"/>
      <c r="EV361" s="192"/>
      <c r="EW361" s="192"/>
      <c r="EX361" s="191"/>
      <c r="EY361" s="193"/>
      <c r="EZ361" s="192"/>
      <c r="FA361" s="192"/>
      <c r="FB361" s="192"/>
      <c r="FC361" s="191"/>
      <c r="FL361" s="273">
        <f t="shared" ca="1" si="17"/>
        <v>116</v>
      </c>
    </row>
    <row r="362" spans="1:168" ht="16.5" thickBot="1">
      <c r="A362" s="196">
        <v>359</v>
      </c>
      <c r="B362" s="306"/>
      <c r="C362" s="310"/>
      <c r="D362" s="307" t="s">
        <v>271</v>
      </c>
      <c r="E362" s="307" t="s">
        <v>271</v>
      </c>
      <c r="F362" s="308"/>
      <c r="G362" s="343" t="str">
        <f t="shared" si="15"/>
        <v xml:space="preserve"> </v>
      </c>
      <c r="H362" s="307"/>
      <c r="I362" s="309" t="e">
        <f t="shared" si="16"/>
        <v>#N/A</v>
      </c>
      <c r="J362" s="307"/>
      <c r="K362" s="307"/>
      <c r="L362" s="310"/>
      <c r="M362" s="310"/>
      <c r="N362" s="310"/>
      <c r="O362" s="310"/>
      <c r="P362" s="310"/>
      <c r="Q362" s="310"/>
      <c r="R362" s="310"/>
      <c r="S362" s="310"/>
      <c r="T362" s="310"/>
      <c r="U362" s="307"/>
      <c r="V362" s="307"/>
      <c r="W362" s="311"/>
      <c r="X362" s="307"/>
      <c r="Y362" s="307"/>
      <c r="Z362" s="307"/>
      <c r="AA362" s="307"/>
      <c r="AB362" s="311"/>
      <c r="AC362" s="307"/>
      <c r="AD362" s="307"/>
      <c r="AE362" s="307"/>
      <c r="AF362" s="307"/>
      <c r="AG362" s="310"/>
      <c r="AH362" s="307"/>
      <c r="AI362" s="310"/>
      <c r="AJ362" s="307"/>
      <c r="AK362" s="307"/>
      <c r="AL362" s="307"/>
      <c r="AM362" s="308"/>
      <c r="AN362" s="311"/>
      <c r="AO362" s="307"/>
      <c r="AP362" s="307"/>
      <c r="AQ362" s="308"/>
      <c r="AR362" s="307"/>
      <c r="AS362" s="307"/>
      <c r="AT362" s="307"/>
      <c r="AU362" s="310"/>
      <c r="AV362" s="308"/>
      <c r="AW362" s="312"/>
      <c r="AX362" s="308"/>
      <c r="AY362" s="307"/>
      <c r="AZ362" s="307"/>
      <c r="BA362" s="307"/>
      <c r="BB362" s="307"/>
      <c r="BC362" s="308"/>
      <c r="BD362" s="308"/>
      <c r="BE362" s="313"/>
      <c r="BF362" s="307"/>
      <c r="BG362" s="310"/>
      <c r="BH362" s="307"/>
      <c r="BI362" s="307"/>
      <c r="BJ362" s="310"/>
      <c r="BK362" s="307"/>
      <c r="BL362" s="307"/>
      <c r="BM362" s="310"/>
      <c r="BN362" s="307"/>
      <c r="BO362" s="310"/>
      <c r="BP362" s="307"/>
      <c r="BQ362" s="307"/>
      <c r="BR362" s="307"/>
      <c r="BS362" s="307"/>
      <c r="BT362" s="307"/>
      <c r="BU362" s="310"/>
      <c r="BV362" s="307"/>
      <c r="BW362" s="308"/>
      <c r="BX362" s="311"/>
      <c r="BY362" s="307"/>
      <c r="BZ362" s="307"/>
      <c r="CA362" s="310"/>
      <c r="CB362" s="307"/>
      <c r="CC362" s="307"/>
      <c r="CD362" s="307"/>
      <c r="CE362" s="308"/>
      <c r="CF362" s="308"/>
      <c r="CG362" s="307"/>
      <c r="CH362" s="307"/>
      <c r="CI362" s="307"/>
      <c r="CJ362" s="307"/>
      <c r="CK362" s="314"/>
      <c r="CL362" s="310"/>
      <c r="CM362" s="310"/>
      <c r="CN362" s="307"/>
      <c r="CO362" s="307"/>
      <c r="CP362" s="307"/>
      <c r="CQ362" s="315"/>
      <c r="CR362" s="315"/>
      <c r="CS362" s="315"/>
      <c r="CT362" s="315"/>
      <c r="CU362" s="307"/>
      <c r="CV362" s="217"/>
      <c r="CW362" s="192"/>
      <c r="CX362" s="192"/>
      <c r="CY362" s="192"/>
      <c r="CZ362" s="191"/>
      <c r="DA362" s="193"/>
      <c r="DB362" s="192"/>
      <c r="DC362" s="192"/>
      <c r="DD362" s="192"/>
      <c r="DE362" s="191"/>
      <c r="DF362" s="19"/>
      <c r="DG362" s="192"/>
      <c r="DH362" s="192"/>
      <c r="DI362" s="192"/>
      <c r="DJ362" s="191"/>
      <c r="DK362" s="193"/>
      <c r="DL362" s="192"/>
      <c r="DM362" s="192"/>
      <c r="DN362" s="192"/>
      <c r="DO362" s="191"/>
      <c r="DP362" s="19"/>
      <c r="DQ362" s="192"/>
      <c r="DR362" s="192"/>
      <c r="DS362" s="192"/>
      <c r="DT362" s="191"/>
      <c r="DU362" s="193"/>
      <c r="DV362" s="192"/>
      <c r="DW362" s="192"/>
      <c r="DX362" s="192"/>
      <c r="DY362" s="191"/>
      <c r="DZ362" s="19"/>
      <c r="EA362" s="192"/>
      <c r="EB362" s="192"/>
      <c r="EC362" s="192"/>
      <c r="ED362" s="191"/>
      <c r="EE362" s="193"/>
      <c r="EF362" s="192"/>
      <c r="EG362" s="192"/>
      <c r="EH362" s="192"/>
      <c r="EI362" s="191"/>
      <c r="EJ362" s="19"/>
      <c r="EK362" s="192"/>
      <c r="EL362" s="192"/>
      <c r="EM362" s="192"/>
      <c r="EN362" s="191"/>
      <c r="EO362" s="193"/>
      <c r="EP362" s="192"/>
      <c r="EQ362" s="192"/>
      <c r="ER362" s="192"/>
      <c r="ES362" s="191"/>
      <c r="ET362" s="19"/>
      <c r="EU362" s="192"/>
      <c r="EV362" s="192"/>
      <c r="EW362" s="192"/>
      <c r="EX362" s="191"/>
      <c r="EY362" s="193"/>
      <c r="EZ362" s="192"/>
      <c r="FA362" s="192"/>
      <c r="FB362" s="192"/>
      <c r="FC362" s="191"/>
      <c r="FL362" s="273">
        <f t="shared" ca="1" si="17"/>
        <v>116</v>
      </c>
    </row>
    <row r="363" spans="1:168" ht="16.5" thickBot="1">
      <c r="A363" s="199">
        <v>360</v>
      </c>
      <c r="B363" s="306"/>
      <c r="C363" s="310"/>
      <c r="D363" s="307" t="s">
        <v>271</v>
      </c>
      <c r="E363" s="307" t="s">
        <v>271</v>
      </c>
      <c r="F363" s="308"/>
      <c r="G363" s="343" t="str">
        <f t="shared" si="15"/>
        <v xml:space="preserve"> </v>
      </c>
      <c r="H363" s="307"/>
      <c r="I363" s="309" t="e">
        <f t="shared" si="16"/>
        <v>#N/A</v>
      </c>
      <c r="J363" s="307"/>
      <c r="K363" s="307"/>
      <c r="L363" s="310"/>
      <c r="M363" s="310"/>
      <c r="N363" s="310"/>
      <c r="O363" s="310"/>
      <c r="P363" s="310"/>
      <c r="Q363" s="310"/>
      <c r="R363" s="310"/>
      <c r="S363" s="310"/>
      <c r="T363" s="310"/>
      <c r="U363" s="307"/>
      <c r="V363" s="307"/>
      <c r="W363" s="311"/>
      <c r="X363" s="307"/>
      <c r="Y363" s="307"/>
      <c r="Z363" s="307"/>
      <c r="AA363" s="307"/>
      <c r="AB363" s="311"/>
      <c r="AC363" s="307"/>
      <c r="AD363" s="307"/>
      <c r="AE363" s="307"/>
      <c r="AF363" s="307"/>
      <c r="AG363" s="310"/>
      <c r="AH363" s="307"/>
      <c r="AI363" s="310"/>
      <c r="AJ363" s="307"/>
      <c r="AK363" s="307"/>
      <c r="AL363" s="307"/>
      <c r="AM363" s="308"/>
      <c r="AN363" s="311"/>
      <c r="AO363" s="307"/>
      <c r="AP363" s="307"/>
      <c r="AQ363" s="308"/>
      <c r="AR363" s="307"/>
      <c r="AS363" s="307"/>
      <c r="AT363" s="307"/>
      <c r="AU363" s="310"/>
      <c r="AV363" s="308"/>
      <c r="AW363" s="312"/>
      <c r="AX363" s="308"/>
      <c r="AY363" s="307"/>
      <c r="AZ363" s="307"/>
      <c r="BA363" s="307"/>
      <c r="BB363" s="307"/>
      <c r="BC363" s="308"/>
      <c r="BD363" s="308"/>
      <c r="BE363" s="313"/>
      <c r="BF363" s="307"/>
      <c r="BG363" s="310"/>
      <c r="BH363" s="307"/>
      <c r="BI363" s="307"/>
      <c r="BJ363" s="310"/>
      <c r="BK363" s="307"/>
      <c r="BL363" s="307"/>
      <c r="BM363" s="310"/>
      <c r="BN363" s="307"/>
      <c r="BO363" s="310"/>
      <c r="BP363" s="307"/>
      <c r="BQ363" s="307"/>
      <c r="BR363" s="307"/>
      <c r="BS363" s="307"/>
      <c r="BT363" s="307"/>
      <c r="BU363" s="310"/>
      <c r="BV363" s="307"/>
      <c r="BW363" s="308"/>
      <c r="BX363" s="311"/>
      <c r="BY363" s="307"/>
      <c r="BZ363" s="307"/>
      <c r="CA363" s="310"/>
      <c r="CB363" s="307"/>
      <c r="CC363" s="307"/>
      <c r="CD363" s="307"/>
      <c r="CE363" s="308"/>
      <c r="CF363" s="308"/>
      <c r="CG363" s="307"/>
      <c r="CH363" s="307"/>
      <c r="CI363" s="307"/>
      <c r="CJ363" s="307"/>
      <c r="CK363" s="314"/>
      <c r="CL363" s="310"/>
      <c r="CM363" s="310"/>
      <c r="CN363" s="307"/>
      <c r="CO363" s="307"/>
      <c r="CP363" s="307"/>
      <c r="CQ363" s="315"/>
      <c r="CR363" s="315"/>
      <c r="CS363" s="315"/>
      <c r="CT363" s="315"/>
      <c r="CU363" s="307"/>
      <c r="CV363" s="217"/>
      <c r="CW363" s="192"/>
      <c r="CX363" s="192"/>
      <c r="CY363" s="192"/>
      <c r="CZ363" s="191"/>
      <c r="DA363" s="193"/>
      <c r="DB363" s="192"/>
      <c r="DC363" s="192"/>
      <c r="DD363" s="192"/>
      <c r="DE363" s="191"/>
      <c r="DF363" s="19"/>
      <c r="DG363" s="192"/>
      <c r="DH363" s="192"/>
      <c r="DI363" s="192"/>
      <c r="DJ363" s="191"/>
      <c r="DK363" s="193"/>
      <c r="DL363" s="192"/>
      <c r="DM363" s="192"/>
      <c r="DN363" s="192"/>
      <c r="DO363" s="191"/>
      <c r="DP363" s="19"/>
      <c r="DQ363" s="192"/>
      <c r="DR363" s="192"/>
      <c r="DS363" s="192"/>
      <c r="DT363" s="191"/>
      <c r="DU363" s="193"/>
      <c r="DV363" s="192"/>
      <c r="DW363" s="192"/>
      <c r="DX363" s="192"/>
      <c r="DY363" s="191"/>
      <c r="DZ363" s="19"/>
      <c r="EA363" s="192"/>
      <c r="EB363" s="192"/>
      <c r="EC363" s="192"/>
      <c r="ED363" s="191"/>
      <c r="EE363" s="193"/>
      <c r="EF363" s="192"/>
      <c r="EG363" s="192"/>
      <c r="EH363" s="192"/>
      <c r="EI363" s="191"/>
      <c r="EJ363" s="19"/>
      <c r="EK363" s="192"/>
      <c r="EL363" s="192"/>
      <c r="EM363" s="192"/>
      <c r="EN363" s="191"/>
      <c r="EO363" s="193"/>
      <c r="EP363" s="192"/>
      <c r="EQ363" s="192"/>
      <c r="ER363" s="192"/>
      <c r="ES363" s="191"/>
      <c r="ET363" s="19"/>
      <c r="EU363" s="192"/>
      <c r="EV363" s="192"/>
      <c r="EW363" s="192"/>
      <c r="EX363" s="191"/>
      <c r="EY363" s="193"/>
      <c r="EZ363" s="192"/>
      <c r="FA363" s="192"/>
      <c r="FB363" s="192"/>
      <c r="FC363" s="191"/>
      <c r="FL363" s="273">
        <f t="shared" ca="1" si="17"/>
        <v>116</v>
      </c>
    </row>
    <row r="364" spans="1:168" ht="16.5" thickBot="1">
      <c r="A364" s="196">
        <v>361</v>
      </c>
      <c r="B364" s="306"/>
      <c r="C364" s="310"/>
      <c r="D364" s="307" t="s">
        <v>271</v>
      </c>
      <c r="E364" s="307" t="s">
        <v>271</v>
      </c>
      <c r="F364" s="308"/>
      <c r="G364" s="343" t="str">
        <f t="shared" si="15"/>
        <v xml:space="preserve"> </v>
      </c>
      <c r="H364" s="307"/>
      <c r="I364" s="309" t="e">
        <f t="shared" si="16"/>
        <v>#N/A</v>
      </c>
      <c r="J364" s="307"/>
      <c r="K364" s="307"/>
      <c r="L364" s="310"/>
      <c r="M364" s="310"/>
      <c r="N364" s="310"/>
      <c r="O364" s="310"/>
      <c r="P364" s="310"/>
      <c r="Q364" s="310"/>
      <c r="R364" s="310"/>
      <c r="S364" s="310"/>
      <c r="T364" s="310"/>
      <c r="U364" s="307"/>
      <c r="V364" s="307"/>
      <c r="W364" s="311"/>
      <c r="X364" s="307"/>
      <c r="Y364" s="307"/>
      <c r="Z364" s="307"/>
      <c r="AA364" s="307"/>
      <c r="AB364" s="311"/>
      <c r="AC364" s="307"/>
      <c r="AD364" s="307"/>
      <c r="AE364" s="307"/>
      <c r="AF364" s="307"/>
      <c r="AG364" s="310"/>
      <c r="AH364" s="307"/>
      <c r="AI364" s="310"/>
      <c r="AJ364" s="307"/>
      <c r="AK364" s="307"/>
      <c r="AL364" s="307"/>
      <c r="AM364" s="308"/>
      <c r="AN364" s="311"/>
      <c r="AO364" s="307"/>
      <c r="AP364" s="307"/>
      <c r="AQ364" s="308"/>
      <c r="AR364" s="307"/>
      <c r="AS364" s="307"/>
      <c r="AT364" s="307"/>
      <c r="AU364" s="310"/>
      <c r="AV364" s="308"/>
      <c r="AW364" s="312"/>
      <c r="AX364" s="308"/>
      <c r="AY364" s="307"/>
      <c r="AZ364" s="307"/>
      <c r="BA364" s="307"/>
      <c r="BB364" s="307"/>
      <c r="BC364" s="308"/>
      <c r="BD364" s="308"/>
      <c r="BE364" s="313"/>
      <c r="BF364" s="307"/>
      <c r="BG364" s="310"/>
      <c r="BH364" s="307"/>
      <c r="BI364" s="307"/>
      <c r="BJ364" s="310"/>
      <c r="BK364" s="307"/>
      <c r="BL364" s="307"/>
      <c r="BM364" s="310"/>
      <c r="BN364" s="307"/>
      <c r="BO364" s="310"/>
      <c r="BP364" s="307"/>
      <c r="BQ364" s="307"/>
      <c r="BR364" s="307"/>
      <c r="BS364" s="307"/>
      <c r="BT364" s="307"/>
      <c r="BU364" s="310"/>
      <c r="BV364" s="307"/>
      <c r="BW364" s="308"/>
      <c r="BX364" s="311"/>
      <c r="BY364" s="307"/>
      <c r="BZ364" s="307"/>
      <c r="CA364" s="310"/>
      <c r="CB364" s="307"/>
      <c r="CC364" s="307"/>
      <c r="CD364" s="307"/>
      <c r="CE364" s="308"/>
      <c r="CF364" s="308"/>
      <c r="CG364" s="307"/>
      <c r="CH364" s="307"/>
      <c r="CI364" s="307"/>
      <c r="CJ364" s="307"/>
      <c r="CK364" s="314"/>
      <c r="CL364" s="310"/>
      <c r="CM364" s="310"/>
      <c r="CN364" s="307"/>
      <c r="CO364" s="307"/>
      <c r="CP364" s="307"/>
      <c r="CQ364" s="315"/>
      <c r="CR364" s="315"/>
      <c r="CS364" s="315"/>
      <c r="CT364" s="315"/>
      <c r="CU364" s="307"/>
      <c r="CV364" s="217"/>
      <c r="CW364" s="192"/>
      <c r="CX364" s="192"/>
      <c r="CY364" s="192"/>
      <c r="CZ364" s="191"/>
      <c r="DA364" s="193"/>
      <c r="DB364" s="192"/>
      <c r="DC364" s="192"/>
      <c r="DD364" s="192"/>
      <c r="DE364" s="191"/>
      <c r="DF364" s="19"/>
      <c r="DG364" s="192"/>
      <c r="DH364" s="192"/>
      <c r="DI364" s="192"/>
      <c r="DJ364" s="191"/>
      <c r="DK364" s="193"/>
      <c r="DL364" s="192"/>
      <c r="DM364" s="192"/>
      <c r="DN364" s="192"/>
      <c r="DO364" s="191"/>
      <c r="DP364" s="19"/>
      <c r="DQ364" s="192"/>
      <c r="DR364" s="192"/>
      <c r="DS364" s="192"/>
      <c r="DT364" s="191"/>
      <c r="DU364" s="193"/>
      <c r="DV364" s="192"/>
      <c r="DW364" s="192"/>
      <c r="DX364" s="192"/>
      <c r="DY364" s="191"/>
      <c r="DZ364" s="19"/>
      <c r="EA364" s="192"/>
      <c r="EB364" s="192"/>
      <c r="EC364" s="192"/>
      <c r="ED364" s="191"/>
      <c r="EE364" s="193"/>
      <c r="EF364" s="192"/>
      <c r="EG364" s="192"/>
      <c r="EH364" s="192"/>
      <c r="EI364" s="191"/>
      <c r="EJ364" s="19"/>
      <c r="EK364" s="192"/>
      <c r="EL364" s="192"/>
      <c r="EM364" s="192"/>
      <c r="EN364" s="191"/>
      <c r="EO364" s="193"/>
      <c r="EP364" s="192"/>
      <c r="EQ364" s="192"/>
      <c r="ER364" s="192"/>
      <c r="ES364" s="191"/>
      <c r="ET364" s="19"/>
      <c r="EU364" s="192"/>
      <c r="EV364" s="192"/>
      <c r="EW364" s="192"/>
      <c r="EX364" s="191"/>
      <c r="EY364" s="193"/>
      <c r="EZ364" s="192"/>
      <c r="FA364" s="192"/>
      <c r="FB364" s="192"/>
      <c r="FC364" s="191"/>
      <c r="FL364" s="273">
        <f t="shared" ca="1" si="17"/>
        <v>116</v>
      </c>
    </row>
    <row r="365" spans="1:168" ht="16.5" thickBot="1">
      <c r="A365" s="199">
        <v>362</v>
      </c>
      <c r="B365" s="306"/>
      <c r="C365" s="310"/>
      <c r="D365" s="307" t="s">
        <v>271</v>
      </c>
      <c r="E365" s="307" t="s">
        <v>271</v>
      </c>
      <c r="F365" s="308"/>
      <c r="G365" s="343" t="str">
        <f t="shared" si="15"/>
        <v xml:space="preserve"> </v>
      </c>
      <c r="H365" s="307"/>
      <c r="I365" s="309" t="e">
        <f t="shared" si="16"/>
        <v>#N/A</v>
      </c>
      <c r="J365" s="307"/>
      <c r="K365" s="307"/>
      <c r="L365" s="310"/>
      <c r="M365" s="310"/>
      <c r="N365" s="310"/>
      <c r="O365" s="310"/>
      <c r="P365" s="310"/>
      <c r="Q365" s="310"/>
      <c r="R365" s="310"/>
      <c r="S365" s="310"/>
      <c r="T365" s="310"/>
      <c r="U365" s="307"/>
      <c r="V365" s="307"/>
      <c r="W365" s="311"/>
      <c r="X365" s="307"/>
      <c r="Y365" s="307"/>
      <c r="Z365" s="307"/>
      <c r="AA365" s="307"/>
      <c r="AB365" s="311"/>
      <c r="AC365" s="307"/>
      <c r="AD365" s="307"/>
      <c r="AE365" s="307"/>
      <c r="AF365" s="307"/>
      <c r="AG365" s="310"/>
      <c r="AH365" s="307"/>
      <c r="AI365" s="310"/>
      <c r="AJ365" s="307"/>
      <c r="AK365" s="307"/>
      <c r="AL365" s="307"/>
      <c r="AM365" s="308"/>
      <c r="AN365" s="311"/>
      <c r="AO365" s="307"/>
      <c r="AP365" s="307"/>
      <c r="AQ365" s="308"/>
      <c r="AR365" s="307"/>
      <c r="AS365" s="307"/>
      <c r="AT365" s="307"/>
      <c r="AU365" s="310"/>
      <c r="AV365" s="308"/>
      <c r="AW365" s="312"/>
      <c r="AX365" s="308"/>
      <c r="AY365" s="307"/>
      <c r="AZ365" s="307"/>
      <c r="BA365" s="307"/>
      <c r="BB365" s="307"/>
      <c r="BC365" s="308"/>
      <c r="BD365" s="308"/>
      <c r="BE365" s="313"/>
      <c r="BF365" s="307"/>
      <c r="BG365" s="310"/>
      <c r="BH365" s="307"/>
      <c r="BI365" s="307"/>
      <c r="BJ365" s="310"/>
      <c r="BK365" s="307"/>
      <c r="BL365" s="307"/>
      <c r="BM365" s="310"/>
      <c r="BN365" s="307"/>
      <c r="BO365" s="310"/>
      <c r="BP365" s="307"/>
      <c r="BQ365" s="307"/>
      <c r="BR365" s="307"/>
      <c r="BS365" s="307"/>
      <c r="BT365" s="307"/>
      <c r="BU365" s="310"/>
      <c r="BV365" s="307"/>
      <c r="BW365" s="308"/>
      <c r="BX365" s="311"/>
      <c r="BY365" s="307"/>
      <c r="BZ365" s="307"/>
      <c r="CA365" s="310"/>
      <c r="CB365" s="307"/>
      <c r="CC365" s="307"/>
      <c r="CD365" s="307"/>
      <c r="CE365" s="308"/>
      <c r="CF365" s="308"/>
      <c r="CG365" s="307"/>
      <c r="CH365" s="307"/>
      <c r="CI365" s="307"/>
      <c r="CJ365" s="307"/>
      <c r="CK365" s="314"/>
      <c r="CL365" s="310"/>
      <c r="CM365" s="310"/>
      <c r="CN365" s="307"/>
      <c r="CO365" s="307"/>
      <c r="CP365" s="307"/>
      <c r="CQ365" s="315"/>
      <c r="CR365" s="315"/>
      <c r="CS365" s="315"/>
      <c r="CT365" s="315"/>
      <c r="CU365" s="307"/>
      <c r="CV365" s="217"/>
      <c r="CW365" s="192"/>
      <c r="CX365" s="192"/>
      <c r="CY365" s="192"/>
      <c r="CZ365" s="191"/>
      <c r="DA365" s="193"/>
      <c r="DB365" s="192"/>
      <c r="DC365" s="192"/>
      <c r="DD365" s="192"/>
      <c r="DE365" s="191"/>
      <c r="DF365" s="19"/>
      <c r="DG365" s="192"/>
      <c r="DH365" s="192"/>
      <c r="DI365" s="192"/>
      <c r="DJ365" s="191"/>
      <c r="DK365" s="193"/>
      <c r="DL365" s="192"/>
      <c r="DM365" s="192"/>
      <c r="DN365" s="192"/>
      <c r="DO365" s="191"/>
      <c r="DP365" s="19"/>
      <c r="DQ365" s="192"/>
      <c r="DR365" s="192"/>
      <c r="DS365" s="192"/>
      <c r="DT365" s="191"/>
      <c r="DU365" s="193"/>
      <c r="DV365" s="192"/>
      <c r="DW365" s="192"/>
      <c r="DX365" s="192"/>
      <c r="DY365" s="191"/>
      <c r="DZ365" s="19"/>
      <c r="EA365" s="192"/>
      <c r="EB365" s="192"/>
      <c r="EC365" s="192"/>
      <c r="ED365" s="191"/>
      <c r="EE365" s="193"/>
      <c r="EF365" s="192"/>
      <c r="EG365" s="192"/>
      <c r="EH365" s="192"/>
      <c r="EI365" s="191"/>
      <c r="EJ365" s="19"/>
      <c r="EK365" s="192"/>
      <c r="EL365" s="192"/>
      <c r="EM365" s="192"/>
      <c r="EN365" s="191"/>
      <c r="EO365" s="193"/>
      <c r="EP365" s="192"/>
      <c r="EQ365" s="192"/>
      <c r="ER365" s="192"/>
      <c r="ES365" s="191"/>
      <c r="ET365" s="19"/>
      <c r="EU365" s="192"/>
      <c r="EV365" s="192"/>
      <c r="EW365" s="192"/>
      <c r="EX365" s="191"/>
      <c r="EY365" s="193"/>
      <c r="EZ365" s="192"/>
      <c r="FA365" s="192"/>
      <c r="FB365" s="192"/>
      <c r="FC365" s="191"/>
      <c r="FL365" s="273">
        <f t="shared" ca="1" si="17"/>
        <v>116</v>
      </c>
    </row>
    <row r="366" spans="1:168" ht="16.5" thickBot="1">
      <c r="A366" s="196">
        <v>363</v>
      </c>
      <c r="B366" s="306"/>
      <c r="C366" s="310"/>
      <c r="D366" s="307" t="s">
        <v>271</v>
      </c>
      <c r="E366" s="307" t="s">
        <v>271</v>
      </c>
      <c r="F366" s="308"/>
      <c r="G366" s="343" t="str">
        <f t="shared" si="15"/>
        <v xml:space="preserve"> </v>
      </c>
      <c r="H366" s="307"/>
      <c r="I366" s="309" t="e">
        <f t="shared" si="16"/>
        <v>#N/A</v>
      </c>
      <c r="J366" s="307"/>
      <c r="K366" s="307"/>
      <c r="L366" s="310"/>
      <c r="M366" s="310"/>
      <c r="N366" s="310"/>
      <c r="O366" s="310"/>
      <c r="P366" s="310"/>
      <c r="Q366" s="310"/>
      <c r="R366" s="310"/>
      <c r="S366" s="310"/>
      <c r="T366" s="310"/>
      <c r="U366" s="307"/>
      <c r="V366" s="307"/>
      <c r="W366" s="311"/>
      <c r="X366" s="307"/>
      <c r="Y366" s="307"/>
      <c r="Z366" s="307"/>
      <c r="AA366" s="307"/>
      <c r="AB366" s="311"/>
      <c r="AC366" s="307"/>
      <c r="AD366" s="307"/>
      <c r="AE366" s="307"/>
      <c r="AF366" s="307"/>
      <c r="AG366" s="310"/>
      <c r="AH366" s="307"/>
      <c r="AI366" s="310"/>
      <c r="AJ366" s="307"/>
      <c r="AK366" s="307"/>
      <c r="AL366" s="307"/>
      <c r="AM366" s="308"/>
      <c r="AN366" s="311"/>
      <c r="AO366" s="307"/>
      <c r="AP366" s="307"/>
      <c r="AQ366" s="308"/>
      <c r="AR366" s="307"/>
      <c r="AS366" s="307"/>
      <c r="AT366" s="307"/>
      <c r="AU366" s="310"/>
      <c r="AV366" s="308"/>
      <c r="AW366" s="312"/>
      <c r="AX366" s="308"/>
      <c r="AY366" s="307"/>
      <c r="AZ366" s="307"/>
      <c r="BA366" s="307"/>
      <c r="BB366" s="307"/>
      <c r="BC366" s="308"/>
      <c r="BD366" s="308"/>
      <c r="BE366" s="313"/>
      <c r="BF366" s="307"/>
      <c r="BG366" s="310"/>
      <c r="BH366" s="307"/>
      <c r="BI366" s="307"/>
      <c r="BJ366" s="310"/>
      <c r="BK366" s="307"/>
      <c r="BL366" s="307"/>
      <c r="BM366" s="310"/>
      <c r="BN366" s="307"/>
      <c r="BO366" s="310"/>
      <c r="BP366" s="307"/>
      <c r="BQ366" s="307"/>
      <c r="BR366" s="307"/>
      <c r="BS366" s="307"/>
      <c r="BT366" s="307"/>
      <c r="BU366" s="310"/>
      <c r="BV366" s="307"/>
      <c r="BW366" s="308"/>
      <c r="BX366" s="311"/>
      <c r="BY366" s="307"/>
      <c r="BZ366" s="307"/>
      <c r="CA366" s="310"/>
      <c r="CB366" s="307"/>
      <c r="CC366" s="307"/>
      <c r="CD366" s="307"/>
      <c r="CE366" s="308"/>
      <c r="CF366" s="308"/>
      <c r="CG366" s="307"/>
      <c r="CH366" s="307"/>
      <c r="CI366" s="307"/>
      <c r="CJ366" s="307"/>
      <c r="CK366" s="314"/>
      <c r="CL366" s="310"/>
      <c r="CM366" s="310"/>
      <c r="CN366" s="307"/>
      <c r="CO366" s="307"/>
      <c r="CP366" s="307"/>
      <c r="CQ366" s="315"/>
      <c r="CR366" s="315"/>
      <c r="CS366" s="315"/>
      <c r="CT366" s="315"/>
      <c r="CU366" s="307"/>
      <c r="CV366" s="217"/>
      <c r="CW366" s="192"/>
      <c r="CX366" s="192"/>
      <c r="CY366" s="192"/>
      <c r="CZ366" s="191"/>
      <c r="DA366" s="193"/>
      <c r="DB366" s="192"/>
      <c r="DC366" s="192"/>
      <c r="DD366" s="192"/>
      <c r="DE366" s="191"/>
      <c r="DF366" s="19"/>
      <c r="DG366" s="192"/>
      <c r="DH366" s="192"/>
      <c r="DI366" s="192"/>
      <c r="DJ366" s="191"/>
      <c r="DK366" s="193"/>
      <c r="DL366" s="192"/>
      <c r="DM366" s="192"/>
      <c r="DN366" s="192"/>
      <c r="DO366" s="191"/>
      <c r="DP366" s="19"/>
      <c r="DQ366" s="192"/>
      <c r="DR366" s="192"/>
      <c r="DS366" s="192"/>
      <c r="DT366" s="191"/>
      <c r="DU366" s="193"/>
      <c r="DV366" s="192"/>
      <c r="DW366" s="192"/>
      <c r="DX366" s="192"/>
      <c r="DY366" s="191"/>
      <c r="DZ366" s="19"/>
      <c r="EA366" s="192"/>
      <c r="EB366" s="192"/>
      <c r="EC366" s="192"/>
      <c r="ED366" s="191"/>
      <c r="EE366" s="193"/>
      <c r="EF366" s="192"/>
      <c r="EG366" s="192"/>
      <c r="EH366" s="192"/>
      <c r="EI366" s="191"/>
      <c r="EJ366" s="19"/>
      <c r="EK366" s="192"/>
      <c r="EL366" s="192"/>
      <c r="EM366" s="192"/>
      <c r="EN366" s="191"/>
      <c r="EO366" s="193"/>
      <c r="EP366" s="192"/>
      <c r="EQ366" s="192"/>
      <c r="ER366" s="192"/>
      <c r="ES366" s="191"/>
      <c r="ET366" s="19"/>
      <c r="EU366" s="192"/>
      <c r="EV366" s="192"/>
      <c r="EW366" s="192"/>
      <c r="EX366" s="191"/>
      <c r="EY366" s="193"/>
      <c r="EZ366" s="192"/>
      <c r="FA366" s="192"/>
      <c r="FB366" s="192"/>
      <c r="FC366" s="191"/>
      <c r="FL366" s="273">
        <f t="shared" ca="1" si="17"/>
        <v>116</v>
      </c>
    </row>
    <row r="367" spans="1:168" ht="16.5" thickBot="1">
      <c r="A367" s="199">
        <v>364</v>
      </c>
      <c r="B367" s="306"/>
      <c r="C367" s="310"/>
      <c r="D367" s="307" t="s">
        <v>271</v>
      </c>
      <c r="E367" s="307" t="s">
        <v>271</v>
      </c>
      <c r="F367" s="308"/>
      <c r="G367" s="343" t="str">
        <f t="shared" si="15"/>
        <v xml:space="preserve"> </v>
      </c>
      <c r="H367" s="307"/>
      <c r="I367" s="309" t="e">
        <f t="shared" si="16"/>
        <v>#N/A</v>
      </c>
      <c r="J367" s="307"/>
      <c r="K367" s="307"/>
      <c r="L367" s="310"/>
      <c r="M367" s="310"/>
      <c r="N367" s="310"/>
      <c r="O367" s="310"/>
      <c r="P367" s="310"/>
      <c r="Q367" s="310"/>
      <c r="R367" s="310"/>
      <c r="S367" s="310"/>
      <c r="T367" s="310"/>
      <c r="U367" s="307"/>
      <c r="V367" s="307"/>
      <c r="W367" s="311"/>
      <c r="X367" s="307"/>
      <c r="Y367" s="307"/>
      <c r="Z367" s="307"/>
      <c r="AA367" s="307"/>
      <c r="AB367" s="311"/>
      <c r="AC367" s="307"/>
      <c r="AD367" s="307"/>
      <c r="AE367" s="307"/>
      <c r="AF367" s="307"/>
      <c r="AG367" s="310"/>
      <c r="AH367" s="307"/>
      <c r="AI367" s="310"/>
      <c r="AJ367" s="307"/>
      <c r="AK367" s="307"/>
      <c r="AL367" s="307"/>
      <c r="AM367" s="308"/>
      <c r="AN367" s="311"/>
      <c r="AO367" s="307"/>
      <c r="AP367" s="307"/>
      <c r="AQ367" s="308"/>
      <c r="AR367" s="307"/>
      <c r="AS367" s="307"/>
      <c r="AT367" s="307"/>
      <c r="AU367" s="310"/>
      <c r="AV367" s="308"/>
      <c r="AW367" s="312"/>
      <c r="AX367" s="308"/>
      <c r="AY367" s="307"/>
      <c r="AZ367" s="307"/>
      <c r="BA367" s="307"/>
      <c r="BB367" s="307"/>
      <c r="BC367" s="308"/>
      <c r="BD367" s="308"/>
      <c r="BE367" s="313"/>
      <c r="BF367" s="307"/>
      <c r="BG367" s="310"/>
      <c r="BH367" s="307"/>
      <c r="BI367" s="307"/>
      <c r="BJ367" s="310"/>
      <c r="BK367" s="307"/>
      <c r="BL367" s="307"/>
      <c r="BM367" s="310"/>
      <c r="BN367" s="307"/>
      <c r="BO367" s="310"/>
      <c r="BP367" s="307"/>
      <c r="BQ367" s="307"/>
      <c r="BR367" s="307"/>
      <c r="BS367" s="307"/>
      <c r="BT367" s="307"/>
      <c r="BU367" s="310"/>
      <c r="BV367" s="307"/>
      <c r="BW367" s="308"/>
      <c r="BX367" s="311"/>
      <c r="BY367" s="307"/>
      <c r="BZ367" s="307"/>
      <c r="CA367" s="310"/>
      <c r="CB367" s="307"/>
      <c r="CC367" s="307"/>
      <c r="CD367" s="307"/>
      <c r="CE367" s="308"/>
      <c r="CF367" s="308"/>
      <c r="CG367" s="307"/>
      <c r="CH367" s="307"/>
      <c r="CI367" s="307"/>
      <c r="CJ367" s="307"/>
      <c r="CK367" s="314"/>
      <c r="CL367" s="310"/>
      <c r="CM367" s="310"/>
      <c r="CN367" s="307"/>
      <c r="CO367" s="307"/>
      <c r="CP367" s="307"/>
      <c r="CQ367" s="315"/>
      <c r="CR367" s="315"/>
      <c r="CS367" s="315"/>
      <c r="CT367" s="315"/>
      <c r="CU367" s="307"/>
      <c r="CV367" s="217"/>
      <c r="CW367" s="192"/>
      <c r="CX367" s="192"/>
      <c r="CY367" s="192"/>
      <c r="CZ367" s="191"/>
      <c r="DA367" s="193"/>
      <c r="DB367" s="192"/>
      <c r="DC367" s="192"/>
      <c r="DD367" s="192"/>
      <c r="DE367" s="191"/>
      <c r="DF367" s="19"/>
      <c r="DG367" s="192"/>
      <c r="DH367" s="192"/>
      <c r="DI367" s="192"/>
      <c r="DJ367" s="191"/>
      <c r="DK367" s="193"/>
      <c r="DL367" s="192"/>
      <c r="DM367" s="192"/>
      <c r="DN367" s="192"/>
      <c r="DO367" s="191"/>
      <c r="DP367" s="19"/>
      <c r="DQ367" s="192"/>
      <c r="DR367" s="192"/>
      <c r="DS367" s="192"/>
      <c r="DT367" s="191"/>
      <c r="DU367" s="193"/>
      <c r="DV367" s="192"/>
      <c r="DW367" s="192"/>
      <c r="DX367" s="192"/>
      <c r="DY367" s="191"/>
      <c r="DZ367" s="19"/>
      <c r="EA367" s="192"/>
      <c r="EB367" s="192"/>
      <c r="EC367" s="192"/>
      <c r="ED367" s="191"/>
      <c r="EE367" s="193"/>
      <c r="EF367" s="192"/>
      <c r="EG367" s="192"/>
      <c r="EH367" s="192"/>
      <c r="EI367" s="191"/>
      <c r="EJ367" s="19"/>
      <c r="EK367" s="192"/>
      <c r="EL367" s="192"/>
      <c r="EM367" s="192"/>
      <c r="EN367" s="191"/>
      <c r="EO367" s="193"/>
      <c r="EP367" s="192"/>
      <c r="EQ367" s="192"/>
      <c r="ER367" s="192"/>
      <c r="ES367" s="191"/>
      <c r="ET367" s="19"/>
      <c r="EU367" s="192"/>
      <c r="EV367" s="192"/>
      <c r="EW367" s="192"/>
      <c r="EX367" s="191"/>
      <c r="EY367" s="193"/>
      <c r="EZ367" s="192"/>
      <c r="FA367" s="192"/>
      <c r="FB367" s="192"/>
      <c r="FC367" s="191"/>
      <c r="FL367" s="273">
        <f t="shared" ca="1" si="17"/>
        <v>116</v>
      </c>
    </row>
    <row r="368" spans="1:168" ht="16.5" thickBot="1">
      <c r="A368" s="196">
        <v>365</v>
      </c>
      <c r="B368" s="306"/>
      <c r="C368" s="310"/>
      <c r="D368" s="307" t="s">
        <v>271</v>
      </c>
      <c r="E368" s="307" t="s">
        <v>271</v>
      </c>
      <c r="F368" s="308"/>
      <c r="G368" s="343" t="str">
        <f t="shared" si="15"/>
        <v xml:space="preserve"> </v>
      </c>
      <c r="H368" s="307"/>
      <c r="I368" s="309" t="e">
        <f t="shared" si="16"/>
        <v>#N/A</v>
      </c>
      <c r="J368" s="307"/>
      <c r="K368" s="307"/>
      <c r="L368" s="310"/>
      <c r="M368" s="310"/>
      <c r="N368" s="310"/>
      <c r="O368" s="310"/>
      <c r="P368" s="310"/>
      <c r="Q368" s="310"/>
      <c r="R368" s="310"/>
      <c r="S368" s="310"/>
      <c r="T368" s="310"/>
      <c r="U368" s="307"/>
      <c r="V368" s="307"/>
      <c r="W368" s="311"/>
      <c r="X368" s="307"/>
      <c r="Y368" s="307"/>
      <c r="Z368" s="307"/>
      <c r="AA368" s="307"/>
      <c r="AB368" s="311"/>
      <c r="AC368" s="307"/>
      <c r="AD368" s="307"/>
      <c r="AE368" s="307"/>
      <c r="AF368" s="307"/>
      <c r="AG368" s="310"/>
      <c r="AH368" s="307"/>
      <c r="AI368" s="310"/>
      <c r="AJ368" s="307"/>
      <c r="AK368" s="307"/>
      <c r="AL368" s="307"/>
      <c r="AM368" s="308"/>
      <c r="AN368" s="311"/>
      <c r="AO368" s="307"/>
      <c r="AP368" s="307"/>
      <c r="AQ368" s="308"/>
      <c r="AR368" s="307"/>
      <c r="AS368" s="307"/>
      <c r="AT368" s="307"/>
      <c r="AU368" s="310"/>
      <c r="AV368" s="308"/>
      <c r="AW368" s="312"/>
      <c r="AX368" s="308"/>
      <c r="AY368" s="307"/>
      <c r="AZ368" s="307"/>
      <c r="BA368" s="307"/>
      <c r="BB368" s="307"/>
      <c r="BC368" s="308"/>
      <c r="BD368" s="308"/>
      <c r="BE368" s="313"/>
      <c r="BF368" s="307"/>
      <c r="BG368" s="310"/>
      <c r="BH368" s="307"/>
      <c r="BI368" s="307"/>
      <c r="BJ368" s="310"/>
      <c r="BK368" s="307"/>
      <c r="BL368" s="307"/>
      <c r="BM368" s="310"/>
      <c r="BN368" s="307"/>
      <c r="BO368" s="310"/>
      <c r="BP368" s="307"/>
      <c r="BQ368" s="307"/>
      <c r="BR368" s="307"/>
      <c r="BS368" s="307"/>
      <c r="BT368" s="307"/>
      <c r="BU368" s="310"/>
      <c r="BV368" s="307"/>
      <c r="BW368" s="308"/>
      <c r="BX368" s="311"/>
      <c r="BY368" s="307"/>
      <c r="BZ368" s="307"/>
      <c r="CA368" s="310"/>
      <c r="CB368" s="307"/>
      <c r="CC368" s="307"/>
      <c r="CD368" s="307"/>
      <c r="CE368" s="308"/>
      <c r="CF368" s="308"/>
      <c r="CG368" s="307"/>
      <c r="CH368" s="307"/>
      <c r="CI368" s="307"/>
      <c r="CJ368" s="307"/>
      <c r="CK368" s="314"/>
      <c r="CL368" s="310"/>
      <c r="CM368" s="310"/>
      <c r="CN368" s="307"/>
      <c r="CO368" s="307"/>
      <c r="CP368" s="307"/>
      <c r="CQ368" s="315"/>
      <c r="CR368" s="315"/>
      <c r="CS368" s="315"/>
      <c r="CT368" s="315"/>
      <c r="CU368" s="307"/>
      <c r="CV368" s="217"/>
      <c r="CW368" s="192"/>
      <c r="CX368" s="192"/>
      <c r="CY368" s="192"/>
      <c r="CZ368" s="191"/>
      <c r="DA368" s="193"/>
      <c r="DB368" s="192"/>
      <c r="DC368" s="192"/>
      <c r="DD368" s="192"/>
      <c r="DE368" s="191"/>
      <c r="DF368" s="19"/>
      <c r="DG368" s="192"/>
      <c r="DH368" s="192"/>
      <c r="DI368" s="192"/>
      <c r="DJ368" s="191"/>
      <c r="DK368" s="193"/>
      <c r="DL368" s="192"/>
      <c r="DM368" s="192"/>
      <c r="DN368" s="192"/>
      <c r="DO368" s="191"/>
      <c r="DP368" s="19"/>
      <c r="DQ368" s="192"/>
      <c r="DR368" s="192"/>
      <c r="DS368" s="192"/>
      <c r="DT368" s="191"/>
      <c r="DU368" s="193"/>
      <c r="DV368" s="192"/>
      <c r="DW368" s="192"/>
      <c r="DX368" s="192"/>
      <c r="DY368" s="191"/>
      <c r="DZ368" s="19"/>
      <c r="EA368" s="192"/>
      <c r="EB368" s="192"/>
      <c r="EC368" s="192"/>
      <c r="ED368" s="191"/>
      <c r="EE368" s="193"/>
      <c r="EF368" s="192"/>
      <c r="EG368" s="192"/>
      <c r="EH368" s="192"/>
      <c r="EI368" s="191"/>
      <c r="EJ368" s="19"/>
      <c r="EK368" s="192"/>
      <c r="EL368" s="192"/>
      <c r="EM368" s="192"/>
      <c r="EN368" s="191"/>
      <c r="EO368" s="193"/>
      <c r="EP368" s="192"/>
      <c r="EQ368" s="192"/>
      <c r="ER368" s="192"/>
      <c r="ES368" s="191"/>
      <c r="ET368" s="19"/>
      <c r="EU368" s="192"/>
      <c r="EV368" s="192"/>
      <c r="EW368" s="192"/>
      <c r="EX368" s="191"/>
      <c r="EY368" s="193"/>
      <c r="EZ368" s="192"/>
      <c r="FA368" s="192"/>
      <c r="FB368" s="192"/>
      <c r="FC368" s="191"/>
      <c r="FL368" s="273">
        <f t="shared" ca="1" si="17"/>
        <v>116</v>
      </c>
    </row>
    <row r="369" spans="1:168" ht="16.5" thickBot="1">
      <c r="A369" s="199">
        <v>366</v>
      </c>
      <c r="B369" s="306"/>
      <c r="C369" s="310"/>
      <c r="D369" s="307" t="s">
        <v>271</v>
      </c>
      <c r="E369" s="307" t="s">
        <v>271</v>
      </c>
      <c r="F369" s="308"/>
      <c r="G369" s="343" t="str">
        <f t="shared" si="15"/>
        <v xml:space="preserve"> </v>
      </c>
      <c r="H369" s="307"/>
      <c r="I369" s="309" t="e">
        <f t="shared" si="16"/>
        <v>#N/A</v>
      </c>
      <c r="J369" s="307"/>
      <c r="K369" s="307"/>
      <c r="L369" s="310"/>
      <c r="M369" s="310"/>
      <c r="N369" s="310"/>
      <c r="O369" s="310"/>
      <c r="P369" s="310"/>
      <c r="Q369" s="310"/>
      <c r="R369" s="310"/>
      <c r="S369" s="310"/>
      <c r="T369" s="310"/>
      <c r="U369" s="307"/>
      <c r="V369" s="307"/>
      <c r="W369" s="311"/>
      <c r="X369" s="307"/>
      <c r="Y369" s="307"/>
      <c r="Z369" s="307"/>
      <c r="AA369" s="307"/>
      <c r="AB369" s="311"/>
      <c r="AC369" s="307"/>
      <c r="AD369" s="307"/>
      <c r="AE369" s="307"/>
      <c r="AF369" s="307"/>
      <c r="AG369" s="310"/>
      <c r="AH369" s="307"/>
      <c r="AI369" s="310"/>
      <c r="AJ369" s="307"/>
      <c r="AK369" s="307"/>
      <c r="AL369" s="307"/>
      <c r="AM369" s="308"/>
      <c r="AN369" s="311"/>
      <c r="AO369" s="307"/>
      <c r="AP369" s="307"/>
      <c r="AQ369" s="308"/>
      <c r="AR369" s="307"/>
      <c r="AS369" s="307"/>
      <c r="AT369" s="307"/>
      <c r="AU369" s="310"/>
      <c r="AV369" s="308"/>
      <c r="AW369" s="312"/>
      <c r="AX369" s="308"/>
      <c r="AY369" s="307"/>
      <c r="AZ369" s="307"/>
      <c r="BA369" s="307"/>
      <c r="BB369" s="307"/>
      <c r="BC369" s="308"/>
      <c r="BD369" s="308"/>
      <c r="BE369" s="313"/>
      <c r="BF369" s="307"/>
      <c r="BG369" s="310"/>
      <c r="BH369" s="307"/>
      <c r="BI369" s="307"/>
      <c r="BJ369" s="310"/>
      <c r="BK369" s="307"/>
      <c r="BL369" s="307"/>
      <c r="BM369" s="310"/>
      <c r="BN369" s="307"/>
      <c r="BO369" s="310"/>
      <c r="BP369" s="307"/>
      <c r="BQ369" s="307"/>
      <c r="BR369" s="307"/>
      <c r="BS369" s="307"/>
      <c r="BT369" s="307"/>
      <c r="BU369" s="310"/>
      <c r="BV369" s="307"/>
      <c r="BW369" s="308"/>
      <c r="BX369" s="311"/>
      <c r="BY369" s="307"/>
      <c r="BZ369" s="307"/>
      <c r="CA369" s="310"/>
      <c r="CB369" s="307"/>
      <c r="CC369" s="307"/>
      <c r="CD369" s="307"/>
      <c r="CE369" s="308"/>
      <c r="CF369" s="308"/>
      <c r="CG369" s="307"/>
      <c r="CH369" s="307"/>
      <c r="CI369" s="307"/>
      <c r="CJ369" s="307"/>
      <c r="CK369" s="314"/>
      <c r="CL369" s="310"/>
      <c r="CM369" s="310"/>
      <c r="CN369" s="307"/>
      <c r="CO369" s="307"/>
      <c r="CP369" s="307"/>
      <c r="CQ369" s="315"/>
      <c r="CR369" s="315"/>
      <c r="CS369" s="315"/>
      <c r="CT369" s="315"/>
      <c r="CU369" s="307"/>
      <c r="CV369" s="217"/>
      <c r="CW369" s="192"/>
      <c r="CX369" s="192"/>
      <c r="CY369" s="192"/>
      <c r="CZ369" s="191"/>
      <c r="DA369" s="193"/>
      <c r="DB369" s="192"/>
      <c r="DC369" s="192"/>
      <c r="DD369" s="192"/>
      <c r="DE369" s="191"/>
      <c r="DF369" s="19"/>
      <c r="DG369" s="192"/>
      <c r="DH369" s="192"/>
      <c r="DI369" s="192"/>
      <c r="DJ369" s="191"/>
      <c r="DK369" s="193"/>
      <c r="DL369" s="192"/>
      <c r="DM369" s="192"/>
      <c r="DN369" s="192"/>
      <c r="DO369" s="191"/>
      <c r="DP369" s="19"/>
      <c r="DQ369" s="192"/>
      <c r="DR369" s="192"/>
      <c r="DS369" s="192"/>
      <c r="DT369" s="191"/>
      <c r="DU369" s="193"/>
      <c r="DV369" s="192"/>
      <c r="DW369" s="192"/>
      <c r="DX369" s="192"/>
      <c r="DY369" s="191"/>
      <c r="DZ369" s="19"/>
      <c r="EA369" s="192"/>
      <c r="EB369" s="192"/>
      <c r="EC369" s="192"/>
      <c r="ED369" s="191"/>
      <c r="EE369" s="193"/>
      <c r="EF369" s="192"/>
      <c r="EG369" s="192"/>
      <c r="EH369" s="192"/>
      <c r="EI369" s="191"/>
      <c r="EJ369" s="19"/>
      <c r="EK369" s="192"/>
      <c r="EL369" s="192"/>
      <c r="EM369" s="192"/>
      <c r="EN369" s="191"/>
      <c r="EO369" s="193"/>
      <c r="EP369" s="192"/>
      <c r="EQ369" s="192"/>
      <c r="ER369" s="192"/>
      <c r="ES369" s="191"/>
      <c r="ET369" s="19"/>
      <c r="EU369" s="192"/>
      <c r="EV369" s="192"/>
      <c r="EW369" s="192"/>
      <c r="EX369" s="191"/>
      <c r="EY369" s="193"/>
      <c r="EZ369" s="192"/>
      <c r="FA369" s="192"/>
      <c r="FB369" s="192"/>
      <c r="FC369" s="191"/>
      <c r="FL369" s="273">
        <f t="shared" ca="1" si="17"/>
        <v>116</v>
      </c>
    </row>
    <row r="370" spans="1:168" ht="16.5" thickBot="1">
      <c r="A370" s="196">
        <v>367</v>
      </c>
      <c r="B370" s="306"/>
      <c r="C370" s="310"/>
      <c r="D370" s="307" t="s">
        <v>271</v>
      </c>
      <c r="E370" s="307" t="s">
        <v>271</v>
      </c>
      <c r="F370" s="308"/>
      <c r="G370" s="343" t="str">
        <f t="shared" si="15"/>
        <v xml:space="preserve"> </v>
      </c>
      <c r="H370" s="307"/>
      <c r="I370" s="309" t="e">
        <f t="shared" si="16"/>
        <v>#N/A</v>
      </c>
      <c r="J370" s="307"/>
      <c r="K370" s="307"/>
      <c r="L370" s="310"/>
      <c r="M370" s="310"/>
      <c r="N370" s="310"/>
      <c r="O370" s="310"/>
      <c r="P370" s="310"/>
      <c r="Q370" s="310"/>
      <c r="R370" s="310"/>
      <c r="S370" s="310"/>
      <c r="T370" s="310"/>
      <c r="U370" s="307"/>
      <c r="V370" s="307"/>
      <c r="W370" s="311"/>
      <c r="X370" s="307"/>
      <c r="Y370" s="307"/>
      <c r="Z370" s="307"/>
      <c r="AA370" s="307"/>
      <c r="AB370" s="311"/>
      <c r="AC370" s="307"/>
      <c r="AD370" s="307"/>
      <c r="AE370" s="307"/>
      <c r="AF370" s="307"/>
      <c r="AG370" s="310"/>
      <c r="AH370" s="307"/>
      <c r="AI370" s="310"/>
      <c r="AJ370" s="307"/>
      <c r="AK370" s="307"/>
      <c r="AL370" s="307"/>
      <c r="AM370" s="308"/>
      <c r="AN370" s="311"/>
      <c r="AO370" s="307"/>
      <c r="AP370" s="307"/>
      <c r="AQ370" s="308"/>
      <c r="AR370" s="307"/>
      <c r="AS370" s="307"/>
      <c r="AT370" s="307"/>
      <c r="AU370" s="310"/>
      <c r="AV370" s="308"/>
      <c r="AW370" s="312"/>
      <c r="AX370" s="308"/>
      <c r="AY370" s="307"/>
      <c r="AZ370" s="307"/>
      <c r="BA370" s="307"/>
      <c r="BB370" s="307"/>
      <c r="BC370" s="308"/>
      <c r="BD370" s="308"/>
      <c r="BE370" s="313"/>
      <c r="BF370" s="307"/>
      <c r="BG370" s="310"/>
      <c r="BH370" s="307"/>
      <c r="BI370" s="307"/>
      <c r="BJ370" s="310"/>
      <c r="BK370" s="307"/>
      <c r="BL370" s="307"/>
      <c r="BM370" s="310"/>
      <c r="BN370" s="307"/>
      <c r="BO370" s="310"/>
      <c r="BP370" s="307"/>
      <c r="BQ370" s="307"/>
      <c r="BR370" s="307"/>
      <c r="BS370" s="307"/>
      <c r="BT370" s="307"/>
      <c r="BU370" s="310"/>
      <c r="BV370" s="307"/>
      <c r="BW370" s="308"/>
      <c r="BX370" s="311"/>
      <c r="BY370" s="307"/>
      <c r="BZ370" s="307"/>
      <c r="CA370" s="310"/>
      <c r="CB370" s="307"/>
      <c r="CC370" s="307"/>
      <c r="CD370" s="307"/>
      <c r="CE370" s="308"/>
      <c r="CF370" s="308"/>
      <c r="CG370" s="307"/>
      <c r="CH370" s="307"/>
      <c r="CI370" s="307"/>
      <c r="CJ370" s="307"/>
      <c r="CK370" s="314"/>
      <c r="CL370" s="310"/>
      <c r="CM370" s="310"/>
      <c r="CN370" s="307"/>
      <c r="CO370" s="307"/>
      <c r="CP370" s="307"/>
      <c r="CQ370" s="315"/>
      <c r="CR370" s="315"/>
      <c r="CS370" s="315"/>
      <c r="CT370" s="315"/>
      <c r="CU370" s="307"/>
      <c r="CV370" s="217"/>
      <c r="CW370" s="192"/>
      <c r="CX370" s="192"/>
      <c r="CY370" s="192"/>
      <c r="CZ370" s="191"/>
      <c r="DA370" s="193"/>
      <c r="DB370" s="192"/>
      <c r="DC370" s="192"/>
      <c r="DD370" s="192"/>
      <c r="DE370" s="191"/>
      <c r="DF370" s="19"/>
      <c r="DG370" s="192"/>
      <c r="DH370" s="192"/>
      <c r="DI370" s="192"/>
      <c r="DJ370" s="191"/>
      <c r="DK370" s="193"/>
      <c r="DL370" s="192"/>
      <c r="DM370" s="192"/>
      <c r="DN370" s="192"/>
      <c r="DO370" s="191"/>
      <c r="DP370" s="19"/>
      <c r="DQ370" s="192"/>
      <c r="DR370" s="192"/>
      <c r="DS370" s="192"/>
      <c r="DT370" s="191"/>
      <c r="DU370" s="193"/>
      <c r="DV370" s="192"/>
      <c r="DW370" s="192"/>
      <c r="DX370" s="192"/>
      <c r="DY370" s="191"/>
      <c r="DZ370" s="19"/>
      <c r="EA370" s="192"/>
      <c r="EB370" s="192"/>
      <c r="EC370" s="192"/>
      <c r="ED370" s="191"/>
      <c r="EE370" s="193"/>
      <c r="EF370" s="192"/>
      <c r="EG370" s="192"/>
      <c r="EH370" s="192"/>
      <c r="EI370" s="191"/>
      <c r="EJ370" s="19"/>
      <c r="EK370" s="192"/>
      <c r="EL370" s="192"/>
      <c r="EM370" s="192"/>
      <c r="EN370" s="191"/>
      <c r="EO370" s="193"/>
      <c r="EP370" s="192"/>
      <c r="EQ370" s="192"/>
      <c r="ER370" s="192"/>
      <c r="ES370" s="191"/>
      <c r="ET370" s="19"/>
      <c r="EU370" s="192"/>
      <c r="EV370" s="192"/>
      <c r="EW370" s="192"/>
      <c r="EX370" s="191"/>
      <c r="EY370" s="193"/>
      <c r="EZ370" s="192"/>
      <c r="FA370" s="192"/>
      <c r="FB370" s="192"/>
      <c r="FC370" s="191"/>
      <c r="FL370" s="273">
        <f t="shared" ca="1" si="17"/>
        <v>116</v>
      </c>
    </row>
    <row r="371" spans="1:168" ht="16.5" thickBot="1">
      <c r="A371" s="199">
        <v>368</v>
      </c>
      <c r="B371" s="306"/>
      <c r="C371" s="310"/>
      <c r="D371" s="307" t="s">
        <v>271</v>
      </c>
      <c r="E371" s="307" t="s">
        <v>271</v>
      </c>
      <c r="F371" s="308"/>
      <c r="G371" s="343" t="str">
        <f t="shared" si="15"/>
        <v xml:space="preserve"> </v>
      </c>
      <c r="H371" s="307"/>
      <c r="I371" s="309" t="e">
        <f t="shared" si="16"/>
        <v>#N/A</v>
      </c>
      <c r="J371" s="307"/>
      <c r="K371" s="307"/>
      <c r="L371" s="310"/>
      <c r="M371" s="310"/>
      <c r="N371" s="310"/>
      <c r="O371" s="310"/>
      <c r="P371" s="310"/>
      <c r="Q371" s="310"/>
      <c r="R371" s="310"/>
      <c r="S371" s="310"/>
      <c r="T371" s="310"/>
      <c r="U371" s="307"/>
      <c r="V371" s="307"/>
      <c r="W371" s="311"/>
      <c r="X371" s="307"/>
      <c r="Y371" s="307"/>
      <c r="Z371" s="307"/>
      <c r="AA371" s="307"/>
      <c r="AB371" s="311"/>
      <c r="AC371" s="307"/>
      <c r="AD371" s="307"/>
      <c r="AE371" s="307"/>
      <c r="AF371" s="307"/>
      <c r="AG371" s="310"/>
      <c r="AH371" s="307"/>
      <c r="AI371" s="310"/>
      <c r="AJ371" s="307"/>
      <c r="AK371" s="307"/>
      <c r="AL371" s="307"/>
      <c r="AM371" s="308"/>
      <c r="AN371" s="311"/>
      <c r="AO371" s="307"/>
      <c r="AP371" s="307"/>
      <c r="AQ371" s="308"/>
      <c r="AR371" s="307"/>
      <c r="AS371" s="307"/>
      <c r="AT371" s="307"/>
      <c r="AU371" s="310"/>
      <c r="AV371" s="308"/>
      <c r="AW371" s="312"/>
      <c r="AX371" s="308"/>
      <c r="AY371" s="307"/>
      <c r="AZ371" s="307"/>
      <c r="BA371" s="307"/>
      <c r="BB371" s="307"/>
      <c r="BC371" s="308"/>
      <c r="BD371" s="308"/>
      <c r="BE371" s="313"/>
      <c r="BF371" s="307"/>
      <c r="BG371" s="310"/>
      <c r="BH371" s="307"/>
      <c r="BI371" s="307"/>
      <c r="BJ371" s="310"/>
      <c r="BK371" s="307"/>
      <c r="BL371" s="307"/>
      <c r="BM371" s="310"/>
      <c r="BN371" s="307"/>
      <c r="BO371" s="310"/>
      <c r="BP371" s="307"/>
      <c r="BQ371" s="307"/>
      <c r="BR371" s="307"/>
      <c r="BS371" s="307"/>
      <c r="BT371" s="307"/>
      <c r="BU371" s="310"/>
      <c r="BV371" s="307"/>
      <c r="BW371" s="308"/>
      <c r="BX371" s="311"/>
      <c r="BY371" s="307"/>
      <c r="BZ371" s="307"/>
      <c r="CA371" s="310"/>
      <c r="CB371" s="307"/>
      <c r="CC371" s="307"/>
      <c r="CD371" s="307"/>
      <c r="CE371" s="308"/>
      <c r="CF371" s="308"/>
      <c r="CG371" s="307"/>
      <c r="CH371" s="307"/>
      <c r="CI371" s="307"/>
      <c r="CJ371" s="307"/>
      <c r="CK371" s="314"/>
      <c r="CL371" s="310"/>
      <c r="CM371" s="310"/>
      <c r="CN371" s="307"/>
      <c r="CO371" s="307"/>
      <c r="CP371" s="307"/>
      <c r="CQ371" s="315"/>
      <c r="CR371" s="315"/>
      <c r="CS371" s="315"/>
      <c r="CT371" s="315"/>
      <c r="CU371" s="307"/>
      <c r="CV371" s="217"/>
      <c r="CW371" s="192"/>
      <c r="CX371" s="192"/>
      <c r="CY371" s="192"/>
      <c r="CZ371" s="191"/>
      <c r="DA371" s="193"/>
      <c r="DB371" s="192"/>
      <c r="DC371" s="192"/>
      <c r="DD371" s="192"/>
      <c r="DE371" s="191"/>
      <c r="DF371" s="19"/>
      <c r="DG371" s="192"/>
      <c r="DH371" s="192"/>
      <c r="DI371" s="192"/>
      <c r="DJ371" s="191"/>
      <c r="DK371" s="193"/>
      <c r="DL371" s="192"/>
      <c r="DM371" s="192"/>
      <c r="DN371" s="192"/>
      <c r="DO371" s="191"/>
      <c r="DP371" s="19"/>
      <c r="DQ371" s="192"/>
      <c r="DR371" s="192"/>
      <c r="DS371" s="192"/>
      <c r="DT371" s="191"/>
      <c r="DU371" s="193"/>
      <c r="DV371" s="192"/>
      <c r="DW371" s="192"/>
      <c r="DX371" s="192"/>
      <c r="DY371" s="191"/>
      <c r="DZ371" s="19"/>
      <c r="EA371" s="192"/>
      <c r="EB371" s="192"/>
      <c r="EC371" s="192"/>
      <c r="ED371" s="191"/>
      <c r="EE371" s="193"/>
      <c r="EF371" s="192"/>
      <c r="EG371" s="192"/>
      <c r="EH371" s="192"/>
      <c r="EI371" s="191"/>
      <c r="EJ371" s="19"/>
      <c r="EK371" s="192"/>
      <c r="EL371" s="192"/>
      <c r="EM371" s="192"/>
      <c r="EN371" s="191"/>
      <c r="EO371" s="193"/>
      <c r="EP371" s="192"/>
      <c r="EQ371" s="192"/>
      <c r="ER371" s="192"/>
      <c r="ES371" s="191"/>
      <c r="ET371" s="19"/>
      <c r="EU371" s="192"/>
      <c r="EV371" s="192"/>
      <c r="EW371" s="192"/>
      <c r="EX371" s="191"/>
      <c r="EY371" s="193"/>
      <c r="EZ371" s="192"/>
      <c r="FA371" s="192"/>
      <c r="FB371" s="192"/>
      <c r="FC371" s="191"/>
      <c r="FL371" s="273">
        <f t="shared" ca="1" si="17"/>
        <v>116</v>
      </c>
    </row>
    <row r="372" spans="1:168" ht="16.5" thickBot="1">
      <c r="A372" s="196">
        <v>369</v>
      </c>
      <c r="B372" s="306"/>
      <c r="C372" s="310"/>
      <c r="D372" s="307" t="s">
        <v>271</v>
      </c>
      <c r="E372" s="307" t="s">
        <v>271</v>
      </c>
      <c r="F372" s="308"/>
      <c r="G372" s="343" t="str">
        <f t="shared" si="15"/>
        <v xml:space="preserve"> </v>
      </c>
      <c r="H372" s="307"/>
      <c r="I372" s="309" t="e">
        <f t="shared" si="16"/>
        <v>#N/A</v>
      </c>
      <c r="J372" s="307"/>
      <c r="K372" s="307"/>
      <c r="L372" s="310"/>
      <c r="M372" s="310"/>
      <c r="N372" s="310"/>
      <c r="O372" s="310"/>
      <c r="P372" s="310"/>
      <c r="Q372" s="310"/>
      <c r="R372" s="310"/>
      <c r="S372" s="310"/>
      <c r="T372" s="310"/>
      <c r="U372" s="307"/>
      <c r="V372" s="307"/>
      <c r="W372" s="311"/>
      <c r="X372" s="307"/>
      <c r="Y372" s="307"/>
      <c r="Z372" s="307"/>
      <c r="AA372" s="307"/>
      <c r="AB372" s="311"/>
      <c r="AC372" s="307"/>
      <c r="AD372" s="307"/>
      <c r="AE372" s="307"/>
      <c r="AF372" s="307"/>
      <c r="AG372" s="310"/>
      <c r="AH372" s="307"/>
      <c r="AI372" s="310"/>
      <c r="AJ372" s="307"/>
      <c r="AK372" s="307"/>
      <c r="AL372" s="307"/>
      <c r="AM372" s="308"/>
      <c r="AN372" s="311"/>
      <c r="AO372" s="307"/>
      <c r="AP372" s="307"/>
      <c r="AQ372" s="308"/>
      <c r="AR372" s="307"/>
      <c r="AS372" s="307"/>
      <c r="AT372" s="307"/>
      <c r="AU372" s="310"/>
      <c r="AV372" s="308"/>
      <c r="AW372" s="312"/>
      <c r="AX372" s="308"/>
      <c r="AY372" s="307"/>
      <c r="AZ372" s="307"/>
      <c r="BA372" s="307"/>
      <c r="BB372" s="307"/>
      <c r="BC372" s="308"/>
      <c r="BD372" s="308"/>
      <c r="BE372" s="313"/>
      <c r="BF372" s="307"/>
      <c r="BG372" s="310"/>
      <c r="BH372" s="307"/>
      <c r="BI372" s="307"/>
      <c r="BJ372" s="310"/>
      <c r="BK372" s="307"/>
      <c r="BL372" s="307"/>
      <c r="BM372" s="310"/>
      <c r="BN372" s="307"/>
      <c r="BO372" s="310"/>
      <c r="BP372" s="307"/>
      <c r="BQ372" s="307"/>
      <c r="BR372" s="307"/>
      <c r="BS372" s="307"/>
      <c r="BT372" s="307"/>
      <c r="BU372" s="310"/>
      <c r="BV372" s="307"/>
      <c r="BW372" s="308"/>
      <c r="BX372" s="311"/>
      <c r="BY372" s="307"/>
      <c r="BZ372" s="307"/>
      <c r="CA372" s="310"/>
      <c r="CB372" s="307"/>
      <c r="CC372" s="307"/>
      <c r="CD372" s="307"/>
      <c r="CE372" s="308"/>
      <c r="CF372" s="308"/>
      <c r="CG372" s="307"/>
      <c r="CH372" s="307"/>
      <c r="CI372" s="307"/>
      <c r="CJ372" s="307"/>
      <c r="CK372" s="314"/>
      <c r="CL372" s="310"/>
      <c r="CM372" s="310"/>
      <c r="CN372" s="307"/>
      <c r="CO372" s="307"/>
      <c r="CP372" s="307"/>
      <c r="CQ372" s="315"/>
      <c r="CR372" s="315"/>
      <c r="CS372" s="315"/>
      <c r="CT372" s="315"/>
      <c r="CU372" s="307"/>
      <c r="CV372" s="217"/>
      <c r="CW372" s="192"/>
      <c r="CX372" s="192"/>
      <c r="CY372" s="192"/>
      <c r="CZ372" s="191"/>
      <c r="DA372" s="193"/>
      <c r="DB372" s="192"/>
      <c r="DC372" s="192"/>
      <c r="DD372" s="192"/>
      <c r="DE372" s="191"/>
      <c r="DF372" s="19"/>
      <c r="DG372" s="192"/>
      <c r="DH372" s="192"/>
      <c r="DI372" s="192"/>
      <c r="DJ372" s="191"/>
      <c r="DK372" s="193"/>
      <c r="DL372" s="192"/>
      <c r="DM372" s="192"/>
      <c r="DN372" s="192"/>
      <c r="DO372" s="191"/>
      <c r="DP372" s="19"/>
      <c r="DQ372" s="192"/>
      <c r="DR372" s="192"/>
      <c r="DS372" s="192"/>
      <c r="DT372" s="191"/>
      <c r="DU372" s="193"/>
      <c r="DV372" s="192"/>
      <c r="DW372" s="192"/>
      <c r="DX372" s="192"/>
      <c r="DY372" s="191"/>
      <c r="DZ372" s="19"/>
      <c r="EA372" s="192"/>
      <c r="EB372" s="192"/>
      <c r="EC372" s="192"/>
      <c r="ED372" s="191"/>
      <c r="EE372" s="193"/>
      <c r="EF372" s="192"/>
      <c r="EG372" s="192"/>
      <c r="EH372" s="192"/>
      <c r="EI372" s="191"/>
      <c r="EJ372" s="19"/>
      <c r="EK372" s="192"/>
      <c r="EL372" s="192"/>
      <c r="EM372" s="192"/>
      <c r="EN372" s="191"/>
      <c r="EO372" s="193"/>
      <c r="EP372" s="192"/>
      <c r="EQ372" s="192"/>
      <c r="ER372" s="192"/>
      <c r="ES372" s="191"/>
      <c r="ET372" s="19"/>
      <c r="EU372" s="192"/>
      <c r="EV372" s="192"/>
      <c r="EW372" s="192"/>
      <c r="EX372" s="191"/>
      <c r="EY372" s="193"/>
      <c r="EZ372" s="192"/>
      <c r="FA372" s="192"/>
      <c r="FB372" s="192"/>
      <c r="FC372" s="191"/>
      <c r="FL372" s="273">
        <f t="shared" ca="1" si="17"/>
        <v>116</v>
      </c>
    </row>
    <row r="373" spans="1:168" ht="16.5" thickBot="1">
      <c r="A373" s="199">
        <v>370</v>
      </c>
      <c r="B373" s="306"/>
      <c r="C373" s="310"/>
      <c r="D373" s="307" t="s">
        <v>271</v>
      </c>
      <c r="E373" s="307" t="s">
        <v>271</v>
      </c>
      <c r="F373" s="308"/>
      <c r="G373" s="343" t="str">
        <f t="shared" si="15"/>
        <v xml:space="preserve"> </v>
      </c>
      <c r="H373" s="307"/>
      <c r="I373" s="309" t="e">
        <f t="shared" si="16"/>
        <v>#N/A</v>
      </c>
      <c r="J373" s="307"/>
      <c r="K373" s="307"/>
      <c r="L373" s="310"/>
      <c r="M373" s="310"/>
      <c r="N373" s="310"/>
      <c r="O373" s="310"/>
      <c r="P373" s="310"/>
      <c r="Q373" s="310"/>
      <c r="R373" s="310"/>
      <c r="S373" s="310"/>
      <c r="T373" s="310"/>
      <c r="U373" s="307"/>
      <c r="V373" s="307"/>
      <c r="W373" s="311"/>
      <c r="X373" s="307"/>
      <c r="Y373" s="307"/>
      <c r="Z373" s="307"/>
      <c r="AA373" s="307"/>
      <c r="AB373" s="311"/>
      <c r="AC373" s="307"/>
      <c r="AD373" s="307"/>
      <c r="AE373" s="307"/>
      <c r="AF373" s="307"/>
      <c r="AG373" s="310"/>
      <c r="AH373" s="307"/>
      <c r="AI373" s="310"/>
      <c r="AJ373" s="307"/>
      <c r="AK373" s="307"/>
      <c r="AL373" s="307"/>
      <c r="AM373" s="308"/>
      <c r="AN373" s="311"/>
      <c r="AO373" s="307"/>
      <c r="AP373" s="307"/>
      <c r="AQ373" s="308"/>
      <c r="AR373" s="307"/>
      <c r="AS373" s="307"/>
      <c r="AT373" s="307"/>
      <c r="AU373" s="310"/>
      <c r="AV373" s="308"/>
      <c r="AW373" s="312"/>
      <c r="AX373" s="308"/>
      <c r="AY373" s="307"/>
      <c r="AZ373" s="307"/>
      <c r="BA373" s="307"/>
      <c r="BB373" s="307"/>
      <c r="BC373" s="308"/>
      <c r="BD373" s="308"/>
      <c r="BE373" s="313"/>
      <c r="BF373" s="307"/>
      <c r="BG373" s="310"/>
      <c r="BH373" s="307"/>
      <c r="BI373" s="307"/>
      <c r="BJ373" s="310"/>
      <c r="BK373" s="307"/>
      <c r="BL373" s="307"/>
      <c r="BM373" s="310"/>
      <c r="BN373" s="307"/>
      <c r="BO373" s="310"/>
      <c r="BP373" s="307"/>
      <c r="BQ373" s="307"/>
      <c r="BR373" s="307"/>
      <c r="BS373" s="307"/>
      <c r="BT373" s="307"/>
      <c r="BU373" s="310"/>
      <c r="BV373" s="307"/>
      <c r="BW373" s="308"/>
      <c r="BX373" s="311"/>
      <c r="BY373" s="307"/>
      <c r="BZ373" s="307"/>
      <c r="CA373" s="310"/>
      <c r="CB373" s="307"/>
      <c r="CC373" s="307"/>
      <c r="CD373" s="307"/>
      <c r="CE373" s="308"/>
      <c r="CF373" s="308"/>
      <c r="CG373" s="307"/>
      <c r="CH373" s="307"/>
      <c r="CI373" s="307"/>
      <c r="CJ373" s="307"/>
      <c r="CK373" s="314"/>
      <c r="CL373" s="310"/>
      <c r="CM373" s="310"/>
      <c r="CN373" s="307"/>
      <c r="CO373" s="307"/>
      <c r="CP373" s="307"/>
      <c r="CQ373" s="315"/>
      <c r="CR373" s="315"/>
      <c r="CS373" s="315"/>
      <c r="CT373" s="315"/>
      <c r="CU373" s="307"/>
      <c r="CV373" s="217"/>
      <c r="CW373" s="192"/>
      <c r="CX373" s="192"/>
      <c r="CY373" s="192"/>
      <c r="CZ373" s="191"/>
      <c r="DA373" s="193"/>
      <c r="DB373" s="192"/>
      <c r="DC373" s="192"/>
      <c r="DD373" s="192"/>
      <c r="DE373" s="191"/>
      <c r="DF373" s="19"/>
      <c r="DG373" s="192"/>
      <c r="DH373" s="192"/>
      <c r="DI373" s="192"/>
      <c r="DJ373" s="191"/>
      <c r="DK373" s="193"/>
      <c r="DL373" s="192"/>
      <c r="DM373" s="192"/>
      <c r="DN373" s="192"/>
      <c r="DO373" s="191"/>
      <c r="DP373" s="19"/>
      <c r="DQ373" s="192"/>
      <c r="DR373" s="192"/>
      <c r="DS373" s="192"/>
      <c r="DT373" s="191"/>
      <c r="DU373" s="193"/>
      <c r="DV373" s="192"/>
      <c r="DW373" s="192"/>
      <c r="DX373" s="192"/>
      <c r="DY373" s="191"/>
      <c r="DZ373" s="19"/>
      <c r="EA373" s="192"/>
      <c r="EB373" s="192"/>
      <c r="EC373" s="192"/>
      <c r="ED373" s="191"/>
      <c r="EE373" s="193"/>
      <c r="EF373" s="192"/>
      <c r="EG373" s="192"/>
      <c r="EH373" s="192"/>
      <c r="EI373" s="191"/>
      <c r="EJ373" s="19"/>
      <c r="EK373" s="192"/>
      <c r="EL373" s="192"/>
      <c r="EM373" s="192"/>
      <c r="EN373" s="191"/>
      <c r="EO373" s="193"/>
      <c r="EP373" s="192"/>
      <c r="EQ373" s="192"/>
      <c r="ER373" s="192"/>
      <c r="ES373" s="191"/>
      <c r="ET373" s="19"/>
      <c r="EU373" s="192"/>
      <c r="EV373" s="192"/>
      <c r="EW373" s="192"/>
      <c r="EX373" s="191"/>
      <c r="EY373" s="193"/>
      <c r="EZ373" s="192"/>
      <c r="FA373" s="192"/>
      <c r="FB373" s="192"/>
      <c r="FC373" s="191"/>
      <c r="FL373" s="273">
        <f t="shared" ca="1" si="17"/>
        <v>116</v>
      </c>
    </row>
    <row r="374" spans="1:168" ht="16.5" thickBot="1">
      <c r="A374" s="196">
        <v>371</v>
      </c>
      <c r="B374" s="306"/>
      <c r="C374" s="310"/>
      <c r="D374" s="307" t="s">
        <v>271</v>
      </c>
      <c r="E374" s="307" t="s">
        <v>271</v>
      </c>
      <c r="F374" s="308"/>
      <c r="G374" s="343" t="str">
        <f t="shared" si="15"/>
        <v xml:space="preserve"> </v>
      </c>
      <c r="H374" s="307"/>
      <c r="I374" s="309" t="e">
        <f t="shared" si="16"/>
        <v>#N/A</v>
      </c>
      <c r="J374" s="307"/>
      <c r="K374" s="307"/>
      <c r="L374" s="310"/>
      <c r="M374" s="310"/>
      <c r="N374" s="310"/>
      <c r="O374" s="310"/>
      <c r="P374" s="310"/>
      <c r="Q374" s="310"/>
      <c r="R374" s="310"/>
      <c r="S374" s="310"/>
      <c r="T374" s="310"/>
      <c r="U374" s="307"/>
      <c r="V374" s="307"/>
      <c r="W374" s="311"/>
      <c r="X374" s="307"/>
      <c r="Y374" s="307"/>
      <c r="Z374" s="307"/>
      <c r="AA374" s="307"/>
      <c r="AB374" s="311"/>
      <c r="AC374" s="307"/>
      <c r="AD374" s="307"/>
      <c r="AE374" s="307"/>
      <c r="AF374" s="307"/>
      <c r="AG374" s="310"/>
      <c r="AH374" s="307"/>
      <c r="AI374" s="310"/>
      <c r="AJ374" s="307"/>
      <c r="AK374" s="307"/>
      <c r="AL374" s="307"/>
      <c r="AM374" s="308"/>
      <c r="AN374" s="311"/>
      <c r="AO374" s="307"/>
      <c r="AP374" s="307"/>
      <c r="AQ374" s="308"/>
      <c r="AR374" s="307"/>
      <c r="AS374" s="307"/>
      <c r="AT374" s="307"/>
      <c r="AU374" s="310"/>
      <c r="AV374" s="308"/>
      <c r="AW374" s="312"/>
      <c r="AX374" s="308"/>
      <c r="AY374" s="307"/>
      <c r="AZ374" s="307"/>
      <c r="BA374" s="307"/>
      <c r="BB374" s="307"/>
      <c r="BC374" s="308"/>
      <c r="BD374" s="308"/>
      <c r="BE374" s="313"/>
      <c r="BF374" s="307"/>
      <c r="BG374" s="310"/>
      <c r="BH374" s="307"/>
      <c r="BI374" s="307"/>
      <c r="BJ374" s="310"/>
      <c r="BK374" s="307"/>
      <c r="BL374" s="307"/>
      <c r="BM374" s="310"/>
      <c r="BN374" s="307"/>
      <c r="BO374" s="310"/>
      <c r="BP374" s="307"/>
      <c r="BQ374" s="307"/>
      <c r="BR374" s="307"/>
      <c r="BS374" s="307"/>
      <c r="BT374" s="307"/>
      <c r="BU374" s="310"/>
      <c r="BV374" s="307"/>
      <c r="BW374" s="308"/>
      <c r="BX374" s="311"/>
      <c r="BY374" s="307"/>
      <c r="BZ374" s="307"/>
      <c r="CA374" s="310"/>
      <c r="CB374" s="307"/>
      <c r="CC374" s="307"/>
      <c r="CD374" s="307"/>
      <c r="CE374" s="308"/>
      <c r="CF374" s="308"/>
      <c r="CG374" s="307"/>
      <c r="CH374" s="307"/>
      <c r="CI374" s="307"/>
      <c r="CJ374" s="307"/>
      <c r="CK374" s="314"/>
      <c r="CL374" s="310"/>
      <c r="CM374" s="310"/>
      <c r="CN374" s="307"/>
      <c r="CO374" s="307"/>
      <c r="CP374" s="307"/>
      <c r="CQ374" s="315"/>
      <c r="CR374" s="315"/>
      <c r="CS374" s="315"/>
      <c r="CT374" s="315"/>
      <c r="CU374" s="307"/>
      <c r="CV374" s="217"/>
      <c r="CW374" s="192"/>
      <c r="CX374" s="192"/>
      <c r="CY374" s="192"/>
      <c r="CZ374" s="191"/>
      <c r="DA374" s="193"/>
      <c r="DB374" s="192"/>
      <c r="DC374" s="192"/>
      <c r="DD374" s="192"/>
      <c r="DE374" s="191"/>
      <c r="DF374" s="19"/>
      <c r="DG374" s="192"/>
      <c r="DH374" s="192"/>
      <c r="DI374" s="192"/>
      <c r="DJ374" s="191"/>
      <c r="DK374" s="193"/>
      <c r="DL374" s="192"/>
      <c r="DM374" s="192"/>
      <c r="DN374" s="192"/>
      <c r="DO374" s="191"/>
      <c r="DP374" s="19"/>
      <c r="DQ374" s="192"/>
      <c r="DR374" s="192"/>
      <c r="DS374" s="192"/>
      <c r="DT374" s="191"/>
      <c r="DU374" s="193"/>
      <c r="DV374" s="192"/>
      <c r="DW374" s="192"/>
      <c r="DX374" s="192"/>
      <c r="DY374" s="191"/>
      <c r="DZ374" s="19"/>
      <c r="EA374" s="192"/>
      <c r="EB374" s="192"/>
      <c r="EC374" s="192"/>
      <c r="ED374" s="191"/>
      <c r="EE374" s="193"/>
      <c r="EF374" s="192"/>
      <c r="EG374" s="192"/>
      <c r="EH374" s="192"/>
      <c r="EI374" s="191"/>
      <c r="EJ374" s="19"/>
      <c r="EK374" s="192"/>
      <c r="EL374" s="192"/>
      <c r="EM374" s="192"/>
      <c r="EN374" s="191"/>
      <c r="EO374" s="193"/>
      <c r="EP374" s="192"/>
      <c r="EQ374" s="192"/>
      <c r="ER374" s="192"/>
      <c r="ES374" s="191"/>
      <c r="ET374" s="19"/>
      <c r="EU374" s="192"/>
      <c r="EV374" s="192"/>
      <c r="EW374" s="192"/>
      <c r="EX374" s="191"/>
      <c r="EY374" s="193"/>
      <c r="EZ374" s="192"/>
      <c r="FA374" s="192"/>
      <c r="FB374" s="192"/>
      <c r="FC374" s="191"/>
      <c r="FL374" s="273">
        <f t="shared" ca="1" si="17"/>
        <v>116</v>
      </c>
    </row>
    <row r="375" spans="1:168" ht="16.5" thickBot="1">
      <c r="A375" s="199">
        <v>372</v>
      </c>
      <c r="B375" s="306"/>
      <c r="C375" s="310"/>
      <c r="D375" s="307" t="s">
        <v>271</v>
      </c>
      <c r="E375" s="307" t="s">
        <v>271</v>
      </c>
      <c r="F375" s="308"/>
      <c r="G375" s="343" t="str">
        <f t="shared" si="15"/>
        <v xml:space="preserve"> </v>
      </c>
      <c r="H375" s="307"/>
      <c r="I375" s="309" t="e">
        <f t="shared" si="16"/>
        <v>#N/A</v>
      </c>
      <c r="J375" s="307"/>
      <c r="K375" s="307"/>
      <c r="L375" s="310"/>
      <c r="M375" s="310"/>
      <c r="N375" s="310"/>
      <c r="O375" s="310"/>
      <c r="P375" s="310"/>
      <c r="Q375" s="310"/>
      <c r="R375" s="310"/>
      <c r="S375" s="310"/>
      <c r="T375" s="310"/>
      <c r="U375" s="307"/>
      <c r="V375" s="307"/>
      <c r="W375" s="311"/>
      <c r="X375" s="307"/>
      <c r="Y375" s="307"/>
      <c r="Z375" s="307"/>
      <c r="AA375" s="307"/>
      <c r="AB375" s="311"/>
      <c r="AC375" s="307"/>
      <c r="AD375" s="307"/>
      <c r="AE375" s="307"/>
      <c r="AF375" s="307"/>
      <c r="AG375" s="310"/>
      <c r="AH375" s="307"/>
      <c r="AI375" s="310"/>
      <c r="AJ375" s="307"/>
      <c r="AK375" s="307"/>
      <c r="AL375" s="307"/>
      <c r="AM375" s="308"/>
      <c r="AN375" s="311"/>
      <c r="AO375" s="307"/>
      <c r="AP375" s="307"/>
      <c r="AQ375" s="308"/>
      <c r="AR375" s="307"/>
      <c r="AS375" s="307"/>
      <c r="AT375" s="307"/>
      <c r="AU375" s="310"/>
      <c r="AV375" s="308"/>
      <c r="AW375" s="312"/>
      <c r="AX375" s="308"/>
      <c r="AY375" s="307"/>
      <c r="AZ375" s="307"/>
      <c r="BA375" s="307"/>
      <c r="BB375" s="307"/>
      <c r="BC375" s="308"/>
      <c r="BD375" s="308"/>
      <c r="BE375" s="313"/>
      <c r="BF375" s="307"/>
      <c r="BG375" s="310"/>
      <c r="BH375" s="307"/>
      <c r="BI375" s="307"/>
      <c r="BJ375" s="310"/>
      <c r="BK375" s="307"/>
      <c r="BL375" s="307"/>
      <c r="BM375" s="310"/>
      <c r="BN375" s="307"/>
      <c r="BO375" s="310"/>
      <c r="BP375" s="307"/>
      <c r="BQ375" s="307"/>
      <c r="BR375" s="307"/>
      <c r="BS375" s="307"/>
      <c r="BT375" s="307"/>
      <c r="BU375" s="310"/>
      <c r="BV375" s="307"/>
      <c r="BW375" s="308"/>
      <c r="BX375" s="311"/>
      <c r="BY375" s="307"/>
      <c r="BZ375" s="307"/>
      <c r="CA375" s="310"/>
      <c r="CB375" s="307"/>
      <c r="CC375" s="307"/>
      <c r="CD375" s="307"/>
      <c r="CE375" s="308"/>
      <c r="CF375" s="308"/>
      <c r="CG375" s="307"/>
      <c r="CH375" s="307"/>
      <c r="CI375" s="307"/>
      <c r="CJ375" s="307"/>
      <c r="CK375" s="314"/>
      <c r="CL375" s="310"/>
      <c r="CM375" s="310"/>
      <c r="CN375" s="307"/>
      <c r="CO375" s="307"/>
      <c r="CP375" s="307"/>
      <c r="CQ375" s="315"/>
      <c r="CR375" s="315"/>
      <c r="CS375" s="315"/>
      <c r="CT375" s="315"/>
      <c r="CU375" s="307"/>
      <c r="CV375" s="217"/>
      <c r="CW375" s="192"/>
      <c r="CX375" s="192"/>
      <c r="CY375" s="192"/>
      <c r="CZ375" s="191"/>
      <c r="DA375" s="193"/>
      <c r="DB375" s="192"/>
      <c r="DC375" s="192"/>
      <c r="DD375" s="192"/>
      <c r="DE375" s="191"/>
      <c r="DF375" s="19"/>
      <c r="DG375" s="192"/>
      <c r="DH375" s="192"/>
      <c r="DI375" s="192"/>
      <c r="DJ375" s="191"/>
      <c r="DK375" s="193"/>
      <c r="DL375" s="192"/>
      <c r="DM375" s="192"/>
      <c r="DN375" s="192"/>
      <c r="DO375" s="191"/>
      <c r="DP375" s="19"/>
      <c r="DQ375" s="192"/>
      <c r="DR375" s="192"/>
      <c r="DS375" s="192"/>
      <c r="DT375" s="191"/>
      <c r="DU375" s="193"/>
      <c r="DV375" s="192"/>
      <c r="DW375" s="192"/>
      <c r="DX375" s="192"/>
      <c r="DY375" s="191"/>
      <c r="DZ375" s="19"/>
      <c r="EA375" s="192"/>
      <c r="EB375" s="192"/>
      <c r="EC375" s="192"/>
      <c r="ED375" s="191"/>
      <c r="EE375" s="193"/>
      <c r="EF375" s="192"/>
      <c r="EG375" s="192"/>
      <c r="EH375" s="192"/>
      <c r="EI375" s="191"/>
      <c r="EJ375" s="19"/>
      <c r="EK375" s="192"/>
      <c r="EL375" s="192"/>
      <c r="EM375" s="192"/>
      <c r="EN375" s="191"/>
      <c r="EO375" s="193"/>
      <c r="EP375" s="192"/>
      <c r="EQ375" s="192"/>
      <c r="ER375" s="192"/>
      <c r="ES375" s="191"/>
      <c r="ET375" s="19"/>
      <c r="EU375" s="192"/>
      <c r="EV375" s="192"/>
      <c r="EW375" s="192"/>
      <c r="EX375" s="191"/>
      <c r="EY375" s="193"/>
      <c r="EZ375" s="192"/>
      <c r="FA375" s="192"/>
      <c r="FB375" s="192"/>
      <c r="FC375" s="191"/>
      <c r="FL375" s="273">
        <f t="shared" ca="1" si="17"/>
        <v>116</v>
      </c>
    </row>
    <row r="376" spans="1:168" ht="16.5" thickBot="1">
      <c r="A376" s="196">
        <v>373</v>
      </c>
      <c r="B376" s="306"/>
      <c r="C376" s="310"/>
      <c r="D376" s="307" t="s">
        <v>271</v>
      </c>
      <c r="E376" s="307" t="s">
        <v>271</v>
      </c>
      <c r="F376" s="308"/>
      <c r="G376" s="343" t="str">
        <f t="shared" si="15"/>
        <v xml:space="preserve"> </v>
      </c>
      <c r="H376" s="307"/>
      <c r="I376" s="309" t="e">
        <f t="shared" si="16"/>
        <v>#N/A</v>
      </c>
      <c r="J376" s="307"/>
      <c r="K376" s="307"/>
      <c r="L376" s="310"/>
      <c r="M376" s="310"/>
      <c r="N376" s="310"/>
      <c r="O376" s="310"/>
      <c r="P376" s="310"/>
      <c r="Q376" s="310"/>
      <c r="R376" s="310"/>
      <c r="S376" s="310"/>
      <c r="T376" s="310"/>
      <c r="U376" s="307"/>
      <c r="V376" s="307"/>
      <c r="W376" s="311"/>
      <c r="X376" s="307"/>
      <c r="Y376" s="307"/>
      <c r="Z376" s="307"/>
      <c r="AA376" s="307"/>
      <c r="AB376" s="311"/>
      <c r="AC376" s="307"/>
      <c r="AD376" s="307"/>
      <c r="AE376" s="307"/>
      <c r="AF376" s="307"/>
      <c r="AG376" s="310"/>
      <c r="AH376" s="307"/>
      <c r="AI376" s="310"/>
      <c r="AJ376" s="307"/>
      <c r="AK376" s="307"/>
      <c r="AL376" s="307"/>
      <c r="AM376" s="308"/>
      <c r="AN376" s="311"/>
      <c r="AO376" s="307"/>
      <c r="AP376" s="307"/>
      <c r="AQ376" s="308"/>
      <c r="AR376" s="307"/>
      <c r="AS376" s="307"/>
      <c r="AT376" s="307"/>
      <c r="AU376" s="310"/>
      <c r="AV376" s="308"/>
      <c r="AW376" s="312"/>
      <c r="AX376" s="308"/>
      <c r="AY376" s="307"/>
      <c r="AZ376" s="307"/>
      <c r="BA376" s="307"/>
      <c r="BB376" s="307"/>
      <c r="BC376" s="308"/>
      <c r="BD376" s="308"/>
      <c r="BE376" s="313"/>
      <c r="BF376" s="307"/>
      <c r="BG376" s="310"/>
      <c r="BH376" s="307"/>
      <c r="BI376" s="307"/>
      <c r="BJ376" s="310"/>
      <c r="BK376" s="307"/>
      <c r="BL376" s="307"/>
      <c r="BM376" s="310"/>
      <c r="BN376" s="307"/>
      <c r="BO376" s="310"/>
      <c r="BP376" s="307"/>
      <c r="BQ376" s="307"/>
      <c r="BR376" s="307"/>
      <c r="BS376" s="307"/>
      <c r="BT376" s="307"/>
      <c r="BU376" s="310"/>
      <c r="BV376" s="307"/>
      <c r="BW376" s="308"/>
      <c r="BX376" s="311"/>
      <c r="BY376" s="307"/>
      <c r="BZ376" s="307"/>
      <c r="CA376" s="310"/>
      <c r="CB376" s="307"/>
      <c r="CC376" s="307"/>
      <c r="CD376" s="307"/>
      <c r="CE376" s="308"/>
      <c r="CF376" s="308"/>
      <c r="CG376" s="307"/>
      <c r="CH376" s="307"/>
      <c r="CI376" s="307"/>
      <c r="CJ376" s="307"/>
      <c r="CK376" s="314"/>
      <c r="CL376" s="310"/>
      <c r="CM376" s="310"/>
      <c r="CN376" s="307"/>
      <c r="CO376" s="307"/>
      <c r="CP376" s="307"/>
      <c r="CQ376" s="315"/>
      <c r="CR376" s="315"/>
      <c r="CS376" s="315"/>
      <c r="CT376" s="315"/>
      <c r="CU376" s="307"/>
      <c r="CV376" s="217"/>
      <c r="CW376" s="192"/>
      <c r="CX376" s="192"/>
      <c r="CY376" s="192"/>
      <c r="CZ376" s="191"/>
      <c r="DA376" s="193"/>
      <c r="DB376" s="192"/>
      <c r="DC376" s="192"/>
      <c r="DD376" s="192"/>
      <c r="DE376" s="191"/>
      <c r="DF376" s="19"/>
      <c r="DG376" s="192"/>
      <c r="DH376" s="192"/>
      <c r="DI376" s="192"/>
      <c r="DJ376" s="191"/>
      <c r="DK376" s="193"/>
      <c r="DL376" s="192"/>
      <c r="DM376" s="192"/>
      <c r="DN376" s="192"/>
      <c r="DO376" s="191"/>
      <c r="DP376" s="19"/>
      <c r="DQ376" s="192"/>
      <c r="DR376" s="192"/>
      <c r="DS376" s="192"/>
      <c r="DT376" s="191"/>
      <c r="DU376" s="193"/>
      <c r="DV376" s="192"/>
      <c r="DW376" s="192"/>
      <c r="DX376" s="192"/>
      <c r="DY376" s="191"/>
      <c r="DZ376" s="19"/>
      <c r="EA376" s="192"/>
      <c r="EB376" s="192"/>
      <c r="EC376" s="192"/>
      <c r="ED376" s="191"/>
      <c r="EE376" s="193"/>
      <c r="EF376" s="192"/>
      <c r="EG376" s="192"/>
      <c r="EH376" s="192"/>
      <c r="EI376" s="191"/>
      <c r="EJ376" s="19"/>
      <c r="EK376" s="192"/>
      <c r="EL376" s="192"/>
      <c r="EM376" s="192"/>
      <c r="EN376" s="191"/>
      <c r="EO376" s="193"/>
      <c r="EP376" s="192"/>
      <c r="EQ376" s="192"/>
      <c r="ER376" s="192"/>
      <c r="ES376" s="191"/>
      <c r="ET376" s="19"/>
      <c r="EU376" s="192"/>
      <c r="EV376" s="192"/>
      <c r="EW376" s="192"/>
      <c r="EX376" s="191"/>
      <c r="EY376" s="193"/>
      <c r="EZ376" s="192"/>
      <c r="FA376" s="192"/>
      <c r="FB376" s="192"/>
      <c r="FC376" s="191"/>
      <c r="FL376" s="273">
        <f t="shared" ca="1" si="17"/>
        <v>116</v>
      </c>
    </row>
    <row r="377" spans="1:168" ht="16.5" thickBot="1">
      <c r="A377" s="199">
        <v>374</v>
      </c>
      <c r="B377" s="306"/>
      <c r="C377" s="310"/>
      <c r="D377" s="307" t="s">
        <v>271</v>
      </c>
      <c r="E377" s="307" t="s">
        <v>271</v>
      </c>
      <c r="F377" s="308"/>
      <c r="G377" s="343" t="str">
        <f t="shared" si="15"/>
        <v xml:space="preserve"> </v>
      </c>
      <c r="H377" s="307"/>
      <c r="I377" s="309" t="e">
        <f t="shared" si="16"/>
        <v>#N/A</v>
      </c>
      <c r="J377" s="307"/>
      <c r="K377" s="307"/>
      <c r="L377" s="310"/>
      <c r="M377" s="310"/>
      <c r="N377" s="310"/>
      <c r="O377" s="310"/>
      <c r="P377" s="310"/>
      <c r="Q377" s="310"/>
      <c r="R377" s="310"/>
      <c r="S377" s="310"/>
      <c r="T377" s="310"/>
      <c r="U377" s="307"/>
      <c r="V377" s="307"/>
      <c r="W377" s="311"/>
      <c r="X377" s="307"/>
      <c r="Y377" s="307"/>
      <c r="Z377" s="307"/>
      <c r="AA377" s="307"/>
      <c r="AB377" s="311"/>
      <c r="AC377" s="307"/>
      <c r="AD377" s="307"/>
      <c r="AE377" s="307"/>
      <c r="AF377" s="307"/>
      <c r="AG377" s="310"/>
      <c r="AH377" s="307"/>
      <c r="AI377" s="310"/>
      <c r="AJ377" s="307"/>
      <c r="AK377" s="307"/>
      <c r="AL377" s="307"/>
      <c r="AM377" s="308"/>
      <c r="AN377" s="311"/>
      <c r="AO377" s="307"/>
      <c r="AP377" s="307"/>
      <c r="AQ377" s="308"/>
      <c r="AR377" s="307"/>
      <c r="AS377" s="307"/>
      <c r="AT377" s="307"/>
      <c r="AU377" s="310"/>
      <c r="AV377" s="308"/>
      <c r="AW377" s="312"/>
      <c r="AX377" s="308"/>
      <c r="AY377" s="307"/>
      <c r="AZ377" s="307"/>
      <c r="BA377" s="307"/>
      <c r="BB377" s="307"/>
      <c r="BC377" s="308"/>
      <c r="BD377" s="308"/>
      <c r="BE377" s="313"/>
      <c r="BF377" s="307"/>
      <c r="BG377" s="310"/>
      <c r="BH377" s="307"/>
      <c r="BI377" s="307"/>
      <c r="BJ377" s="310"/>
      <c r="BK377" s="307"/>
      <c r="BL377" s="307"/>
      <c r="BM377" s="310"/>
      <c r="BN377" s="307"/>
      <c r="BO377" s="310"/>
      <c r="BP377" s="307"/>
      <c r="BQ377" s="307"/>
      <c r="BR377" s="307"/>
      <c r="BS377" s="307"/>
      <c r="BT377" s="307"/>
      <c r="BU377" s="310"/>
      <c r="BV377" s="307"/>
      <c r="BW377" s="308"/>
      <c r="BX377" s="311"/>
      <c r="BY377" s="307"/>
      <c r="BZ377" s="307"/>
      <c r="CA377" s="310"/>
      <c r="CB377" s="307"/>
      <c r="CC377" s="307"/>
      <c r="CD377" s="307"/>
      <c r="CE377" s="308"/>
      <c r="CF377" s="308"/>
      <c r="CG377" s="307"/>
      <c r="CH377" s="307"/>
      <c r="CI377" s="307"/>
      <c r="CJ377" s="307"/>
      <c r="CK377" s="314"/>
      <c r="CL377" s="310"/>
      <c r="CM377" s="310"/>
      <c r="CN377" s="307"/>
      <c r="CO377" s="307"/>
      <c r="CP377" s="307"/>
      <c r="CQ377" s="315"/>
      <c r="CR377" s="315"/>
      <c r="CS377" s="315"/>
      <c r="CT377" s="315"/>
      <c r="CU377" s="307"/>
      <c r="CV377" s="217"/>
      <c r="CW377" s="192"/>
      <c r="CX377" s="192"/>
      <c r="CY377" s="192"/>
      <c r="CZ377" s="191"/>
      <c r="DA377" s="193"/>
      <c r="DB377" s="192"/>
      <c r="DC377" s="192"/>
      <c r="DD377" s="192"/>
      <c r="DE377" s="191"/>
      <c r="DF377" s="19"/>
      <c r="DG377" s="192"/>
      <c r="DH377" s="192"/>
      <c r="DI377" s="192"/>
      <c r="DJ377" s="191"/>
      <c r="DK377" s="193"/>
      <c r="DL377" s="192"/>
      <c r="DM377" s="192"/>
      <c r="DN377" s="192"/>
      <c r="DO377" s="191"/>
      <c r="DP377" s="19"/>
      <c r="DQ377" s="192"/>
      <c r="DR377" s="192"/>
      <c r="DS377" s="192"/>
      <c r="DT377" s="191"/>
      <c r="DU377" s="193"/>
      <c r="DV377" s="192"/>
      <c r="DW377" s="192"/>
      <c r="DX377" s="192"/>
      <c r="DY377" s="191"/>
      <c r="DZ377" s="19"/>
      <c r="EA377" s="192"/>
      <c r="EB377" s="192"/>
      <c r="EC377" s="192"/>
      <c r="ED377" s="191"/>
      <c r="EE377" s="193"/>
      <c r="EF377" s="192"/>
      <c r="EG377" s="192"/>
      <c r="EH377" s="192"/>
      <c r="EI377" s="191"/>
      <c r="EJ377" s="19"/>
      <c r="EK377" s="192"/>
      <c r="EL377" s="192"/>
      <c r="EM377" s="192"/>
      <c r="EN377" s="191"/>
      <c r="EO377" s="193"/>
      <c r="EP377" s="192"/>
      <c r="EQ377" s="192"/>
      <c r="ER377" s="192"/>
      <c r="ES377" s="191"/>
      <c r="ET377" s="19"/>
      <c r="EU377" s="192"/>
      <c r="EV377" s="192"/>
      <c r="EW377" s="192"/>
      <c r="EX377" s="191"/>
      <c r="EY377" s="193"/>
      <c r="EZ377" s="192"/>
      <c r="FA377" s="192"/>
      <c r="FB377" s="192"/>
      <c r="FC377" s="191"/>
      <c r="FL377" s="273">
        <f t="shared" ca="1" si="17"/>
        <v>116</v>
      </c>
    </row>
    <row r="378" spans="1:168" ht="16.5" thickBot="1">
      <c r="A378" s="196">
        <v>375</v>
      </c>
      <c r="B378" s="306"/>
      <c r="C378" s="310"/>
      <c r="D378" s="307" t="s">
        <v>271</v>
      </c>
      <c r="E378" s="307" t="s">
        <v>271</v>
      </c>
      <c r="F378" s="308"/>
      <c r="G378" s="343" t="str">
        <f t="shared" si="15"/>
        <v xml:space="preserve"> </v>
      </c>
      <c r="H378" s="307"/>
      <c r="I378" s="309" t="e">
        <f t="shared" si="16"/>
        <v>#N/A</v>
      </c>
      <c r="J378" s="307"/>
      <c r="K378" s="307"/>
      <c r="L378" s="310"/>
      <c r="M378" s="310"/>
      <c r="N378" s="310"/>
      <c r="O378" s="310"/>
      <c r="P378" s="310"/>
      <c r="Q378" s="310"/>
      <c r="R378" s="310"/>
      <c r="S378" s="310"/>
      <c r="T378" s="310"/>
      <c r="U378" s="307"/>
      <c r="V378" s="307"/>
      <c r="W378" s="311"/>
      <c r="X378" s="307"/>
      <c r="Y378" s="307"/>
      <c r="Z378" s="307"/>
      <c r="AA378" s="307"/>
      <c r="AB378" s="311"/>
      <c r="AC378" s="307"/>
      <c r="AD378" s="307"/>
      <c r="AE378" s="307"/>
      <c r="AF378" s="307"/>
      <c r="AG378" s="310"/>
      <c r="AH378" s="307"/>
      <c r="AI378" s="310"/>
      <c r="AJ378" s="307"/>
      <c r="AK378" s="307"/>
      <c r="AL378" s="307"/>
      <c r="AM378" s="308"/>
      <c r="AN378" s="311"/>
      <c r="AO378" s="307"/>
      <c r="AP378" s="307"/>
      <c r="AQ378" s="308"/>
      <c r="AR378" s="307"/>
      <c r="AS378" s="307"/>
      <c r="AT378" s="307"/>
      <c r="AU378" s="310"/>
      <c r="AV378" s="308"/>
      <c r="AW378" s="312"/>
      <c r="AX378" s="308"/>
      <c r="AY378" s="307"/>
      <c r="AZ378" s="307"/>
      <c r="BA378" s="307"/>
      <c r="BB378" s="307"/>
      <c r="BC378" s="308"/>
      <c r="BD378" s="308"/>
      <c r="BE378" s="313"/>
      <c r="BF378" s="307"/>
      <c r="BG378" s="310"/>
      <c r="BH378" s="307"/>
      <c r="BI378" s="307"/>
      <c r="BJ378" s="310"/>
      <c r="BK378" s="307"/>
      <c r="BL378" s="307"/>
      <c r="BM378" s="310"/>
      <c r="BN378" s="307"/>
      <c r="BO378" s="310"/>
      <c r="BP378" s="307"/>
      <c r="BQ378" s="307"/>
      <c r="BR378" s="307"/>
      <c r="BS378" s="307"/>
      <c r="BT378" s="307"/>
      <c r="BU378" s="310"/>
      <c r="BV378" s="307"/>
      <c r="BW378" s="308"/>
      <c r="BX378" s="311"/>
      <c r="BY378" s="307"/>
      <c r="BZ378" s="307"/>
      <c r="CA378" s="310"/>
      <c r="CB378" s="307"/>
      <c r="CC378" s="307"/>
      <c r="CD378" s="307"/>
      <c r="CE378" s="308"/>
      <c r="CF378" s="308"/>
      <c r="CG378" s="307"/>
      <c r="CH378" s="307"/>
      <c r="CI378" s="307"/>
      <c r="CJ378" s="307"/>
      <c r="CK378" s="314"/>
      <c r="CL378" s="310"/>
      <c r="CM378" s="310"/>
      <c r="CN378" s="307"/>
      <c r="CO378" s="307"/>
      <c r="CP378" s="307"/>
      <c r="CQ378" s="315"/>
      <c r="CR378" s="315"/>
      <c r="CS378" s="315"/>
      <c r="CT378" s="315"/>
      <c r="CU378" s="307"/>
      <c r="CV378" s="217"/>
      <c r="CW378" s="192"/>
      <c r="CX378" s="192"/>
      <c r="CY378" s="192"/>
      <c r="CZ378" s="191"/>
      <c r="DA378" s="193"/>
      <c r="DB378" s="192"/>
      <c r="DC378" s="192"/>
      <c r="DD378" s="192"/>
      <c r="DE378" s="191"/>
      <c r="DF378" s="19"/>
      <c r="DG378" s="192"/>
      <c r="DH378" s="192"/>
      <c r="DI378" s="192"/>
      <c r="DJ378" s="191"/>
      <c r="DK378" s="193"/>
      <c r="DL378" s="192"/>
      <c r="DM378" s="192"/>
      <c r="DN378" s="192"/>
      <c r="DO378" s="191"/>
      <c r="DP378" s="19"/>
      <c r="DQ378" s="192"/>
      <c r="DR378" s="192"/>
      <c r="DS378" s="192"/>
      <c r="DT378" s="191"/>
      <c r="DU378" s="193"/>
      <c r="DV378" s="192"/>
      <c r="DW378" s="192"/>
      <c r="DX378" s="192"/>
      <c r="DY378" s="191"/>
      <c r="DZ378" s="19"/>
      <c r="EA378" s="192"/>
      <c r="EB378" s="192"/>
      <c r="EC378" s="192"/>
      <c r="ED378" s="191"/>
      <c r="EE378" s="193"/>
      <c r="EF378" s="192"/>
      <c r="EG378" s="192"/>
      <c r="EH378" s="192"/>
      <c r="EI378" s="191"/>
      <c r="EJ378" s="19"/>
      <c r="EK378" s="192"/>
      <c r="EL378" s="192"/>
      <c r="EM378" s="192"/>
      <c r="EN378" s="191"/>
      <c r="EO378" s="193"/>
      <c r="EP378" s="192"/>
      <c r="EQ378" s="192"/>
      <c r="ER378" s="192"/>
      <c r="ES378" s="191"/>
      <c r="ET378" s="19"/>
      <c r="EU378" s="192"/>
      <c r="EV378" s="192"/>
      <c r="EW378" s="192"/>
      <c r="EX378" s="191"/>
      <c r="EY378" s="193"/>
      <c r="EZ378" s="192"/>
      <c r="FA378" s="192"/>
      <c r="FB378" s="192"/>
      <c r="FC378" s="191"/>
      <c r="FL378" s="273">
        <f t="shared" ca="1" si="17"/>
        <v>116</v>
      </c>
    </row>
    <row r="379" spans="1:168" ht="16.5" thickBot="1">
      <c r="A379" s="199">
        <v>376</v>
      </c>
      <c r="B379" s="306"/>
      <c r="C379" s="310"/>
      <c r="D379" s="307" t="s">
        <v>271</v>
      </c>
      <c r="E379" s="307" t="s">
        <v>271</v>
      </c>
      <c r="F379" s="308"/>
      <c r="G379" s="343" t="str">
        <f t="shared" si="15"/>
        <v xml:space="preserve"> </v>
      </c>
      <c r="H379" s="307"/>
      <c r="I379" s="309" t="e">
        <f t="shared" si="16"/>
        <v>#N/A</v>
      </c>
      <c r="J379" s="307"/>
      <c r="K379" s="307"/>
      <c r="L379" s="310"/>
      <c r="M379" s="310"/>
      <c r="N379" s="310"/>
      <c r="O379" s="310"/>
      <c r="P379" s="310"/>
      <c r="Q379" s="310"/>
      <c r="R379" s="310"/>
      <c r="S379" s="310"/>
      <c r="T379" s="310"/>
      <c r="U379" s="307"/>
      <c r="V379" s="307"/>
      <c r="W379" s="311"/>
      <c r="X379" s="307"/>
      <c r="Y379" s="307"/>
      <c r="Z379" s="307"/>
      <c r="AA379" s="307"/>
      <c r="AB379" s="311"/>
      <c r="AC379" s="307"/>
      <c r="AD379" s="307"/>
      <c r="AE379" s="307"/>
      <c r="AF379" s="307"/>
      <c r="AG379" s="310"/>
      <c r="AH379" s="307"/>
      <c r="AI379" s="310"/>
      <c r="AJ379" s="307"/>
      <c r="AK379" s="307"/>
      <c r="AL379" s="307"/>
      <c r="AM379" s="308"/>
      <c r="AN379" s="311"/>
      <c r="AO379" s="307"/>
      <c r="AP379" s="307"/>
      <c r="AQ379" s="308"/>
      <c r="AR379" s="307"/>
      <c r="AS379" s="307"/>
      <c r="AT379" s="307"/>
      <c r="AU379" s="310"/>
      <c r="AV379" s="308"/>
      <c r="AW379" s="312"/>
      <c r="AX379" s="308"/>
      <c r="AY379" s="307"/>
      <c r="AZ379" s="307"/>
      <c r="BA379" s="307"/>
      <c r="BB379" s="307"/>
      <c r="BC379" s="308"/>
      <c r="BD379" s="308"/>
      <c r="BE379" s="313"/>
      <c r="BF379" s="307"/>
      <c r="BG379" s="310"/>
      <c r="BH379" s="307"/>
      <c r="BI379" s="307"/>
      <c r="BJ379" s="310"/>
      <c r="BK379" s="307"/>
      <c r="BL379" s="307"/>
      <c r="BM379" s="310"/>
      <c r="BN379" s="307"/>
      <c r="BO379" s="310"/>
      <c r="BP379" s="307"/>
      <c r="BQ379" s="307"/>
      <c r="BR379" s="307"/>
      <c r="BS379" s="307"/>
      <c r="BT379" s="307"/>
      <c r="BU379" s="310"/>
      <c r="BV379" s="307"/>
      <c r="BW379" s="308"/>
      <c r="BX379" s="311"/>
      <c r="BY379" s="307"/>
      <c r="BZ379" s="307"/>
      <c r="CA379" s="310"/>
      <c r="CB379" s="307"/>
      <c r="CC379" s="307"/>
      <c r="CD379" s="307"/>
      <c r="CE379" s="308"/>
      <c r="CF379" s="308"/>
      <c r="CG379" s="307"/>
      <c r="CH379" s="307"/>
      <c r="CI379" s="307"/>
      <c r="CJ379" s="307"/>
      <c r="CK379" s="314"/>
      <c r="CL379" s="310"/>
      <c r="CM379" s="310"/>
      <c r="CN379" s="307"/>
      <c r="CO379" s="307"/>
      <c r="CP379" s="307"/>
      <c r="CQ379" s="315"/>
      <c r="CR379" s="315"/>
      <c r="CS379" s="315"/>
      <c r="CT379" s="315"/>
      <c r="CU379" s="307"/>
      <c r="CV379" s="217"/>
      <c r="CW379" s="192"/>
      <c r="CX379" s="192"/>
      <c r="CY379" s="192"/>
      <c r="CZ379" s="191"/>
      <c r="DA379" s="193"/>
      <c r="DB379" s="192"/>
      <c r="DC379" s="192"/>
      <c r="DD379" s="192"/>
      <c r="DE379" s="191"/>
      <c r="DF379" s="19"/>
      <c r="DG379" s="192"/>
      <c r="DH379" s="192"/>
      <c r="DI379" s="192"/>
      <c r="DJ379" s="191"/>
      <c r="DK379" s="193"/>
      <c r="DL379" s="192"/>
      <c r="DM379" s="192"/>
      <c r="DN379" s="192"/>
      <c r="DO379" s="191"/>
      <c r="DP379" s="19"/>
      <c r="DQ379" s="192"/>
      <c r="DR379" s="192"/>
      <c r="DS379" s="192"/>
      <c r="DT379" s="191"/>
      <c r="DU379" s="193"/>
      <c r="DV379" s="192"/>
      <c r="DW379" s="192"/>
      <c r="DX379" s="192"/>
      <c r="DY379" s="191"/>
      <c r="DZ379" s="19"/>
      <c r="EA379" s="192"/>
      <c r="EB379" s="192"/>
      <c r="EC379" s="192"/>
      <c r="ED379" s="191"/>
      <c r="EE379" s="193"/>
      <c r="EF379" s="192"/>
      <c r="EG379" s="192"/>
      <c r="EH379" s="192"/>
      <c r="EI379" s="191"/>
      <c r="EJ379" s="19"/>
      <c r="EK379" s="192"/>
      <c r="EL379" s="192"/>
      <c r="EM379" s="192"/>
      <c r="EN379" s="191"/>
      <c r="EO379" s="193"/>
      <c r="EP379" s="192"/>
      <c r="EQ379" s="192"/>
      <c r="ER379" s="192"/>
      <c r="ES379" s="191"/>
      <c r="ET379" s="19"/>
      <c r="EU379" s="192"/>
      <c r="EV379" s="192"/>
      <c r="EW379" s="192"/>
      <c r="EX379" s="191"/>
      <c r="EY379" s="193"/>
      <c r="EZ379" s="192"/>
      <c r="FA379" s="192"/>
      <c r="FB379" s="192"/>
      <c r="FC379" s="191"/>
      <c r="FL379" s="273">
        <f t="shared" ca="1" si="17"/>
        <v>116</v>
      </c>
    </row>
    <row r="380" spans="1:168" ht="16.5" thickBot="1">
      <c r="A380" s="196">
        <v>377</v>
      </c>
      <c r="B380" s="306"/>
      <c r="C380" s="310"/>
      <c r="D380" s="307" t="s">
        <v>271</v>
      </c>
      <c r="E380" s="307" t="s">
        <v>271</v>
      </c>
      <c r="F380" s="308"/>
      <c r="G380" s="343" t="str">
        <f t="shared" si="15"/>
        <v xml:space="preserve"> </v>
      </c>
      <c r="H380" s="307"/>
      <c r="I380" s="309" t="e">
        <f t="shared" si="16"/>
        <v>#N/A</v>
      </c>
      <c r="J380" s="307"/>
      <c r="K380" s="307"/>
      <c r="L380" s="310"/>
      <c r="M380" s="310"/>
      <c r="N380" s="310"/>
      <c r="O380" s="310"/>
      <c r="P380" s="310"/>
      <c r="Q380" s="310"/>
      <c r="R380" s="310"/>
      <c r="S380" s="310"/>
      <c r="T380" s="310"/>
      <c r="U380" s="307"/>
      <c r="V380" s="307"/>
      <c r="W380" s="311"/>
      <c r="X380" s="307"/>
      <c r="Y380" s="307"/>
      <c r="Z380" s="307"/>
      <c r="AA380" s="307"/>
      <c r="AB380" s="311"/>
      <c r="AC380" s="307"/>
      <c r="AD380" s="307"/>
      <c r="AE380" s="307"/>
      <c r="AF380" s="307"/>
      <c r="AG380" s="310"/>
      <c r="AH380" s="307"/>
      <c r="AI380" s="310"/>
      <c r="AJ380" s="307"/>
      <c r="AK380" s="307"/>
      <c r="AL380" s="307"/>
      <c r="AM380" s="308"/>
      <c r="AN380" s="311"/>
      <c r="AO380" s="307"/>
      <c r="AP380" s="307"/>
      <c r="AQ380" s="308"/>
      <c r="AR380" s="307"/>
      <c r="AS380" s="307"/>
      <c r="AT380" s="307"/>
      <c r="AU380" s="310"/>
      <c r="AV380" s="308"/>
      <c r="AW380" s="312"/>
      <c r="AX380" s="308"/>
      <c r="AY380" s="307"/>
      <c r="AZ380" s="307"/>
      <c r="BA380" s="307"/>
      <c r="BB380" s="307"/>
      <c r="BC380" s="308"/>
      <c r="BD380" s="308"/>
      <c r="BE380" s="313"/>
      <c r="BF380" s="307"/>
      <c r="BG380" s="310"/>
      <c r="BH380" s="307"/>
      <c r="BI380" s="307"/>
      <c r="BJ380" s="310"/>
      <c r="BK380" s="307"/>
      <c r="BL380" s="307"/>
      <c r="BM380" s="310"/>
      <c r="BN380" s="307"/>
      <c r="BO380" s="310"/>
      <c r="BP380" s="307"/>
      <c r="BQ380" s="307"/>
      <c r="BR380" s="307"/>
      <c r="BS380" s="307"/>
      <c r="BT380" s="307"/>
      <c r="BU380" s="310"/>
      <c r="BV380" s="307"/>
      <c r="BW380" s="308"/>
      <c r="BX380" s="311"/>
      <c r="BY380" s="307"/>
      <c r="BZ380" s="307"/>
      <c r="CA380" s="310"/>
      <c r="CB380" s="307"/>
      <c r="CC380" s="307"/>
      <c r="CD380" s="307"/>
      <c r="CE380" s="308"/>
      <c r="CF380" s="308"/>
      <c r="CG380" s="307"/>
      <c r="CH380" s="307"/>
      <c r="CI380" s="307"/>
      <c r="CJ380" s="307"/>
      <c r="CK380" s="314"/>
      <c r="CL380" s="310"/>
      <c r="CM380" s="310"/>
      <c r="CN380" s="307"/>
      <c r="CO380" s="307"/>
      <c r="CP380" s="307"/>
      <c r="CQ380" s="315"/>
      <c r="CR380" s="315"/>
      <c r="CS380" s="315"/>
      <c r="CT380" s="315"/>
      <c r="CU380" s="307"/>
      <c r="CV380" s="217"/>
      <c r="CW380" s="192"/>
      <c r="CX380" s="192"/>
      <c r="CY380" s="192"/>
      <c r="CZ380" s="191"/>
      <c r="DA380" s="193"/>
      <c r="DB380" s="192"/>
      <c r="DC380" s="192"/>
      <c r="DD380" s="192"/>
      <c r="DE380" s="191"/>
      <c r="DF380" s="19"/>
      <c r="DG380" s="192"/>
      <c r="DH380" s="192"/>
      <c r="DI380" s="192"/>
      <c r="DJ380" s="191"/>
      <c r="DK380" s="193"/>
      <c r="DL380" s="192"/>
      <c r="DM380" s="192"/>
      <c r="DN380" s="192"/>
      <c r="DO380" s="191"/>
      <c r="DP380" s="19"/>
      <c r="DQ380" s="192"/>
      <c r="DR380" s="192"/>
      <c r="DS380" s="192"/>
      <c r="DT380" s="191"/>
      <c r="DU380" s="193"/>
      <c r="DV380" s="192"/>
      <c r="DW380" s="192"/>
      <c r="DX380" s="192"/>
      <c r="DY380" s="191"/>
      <c r="DZ380" s="19"/>
      <c r="EA380" s="192"/>
      <c r="EB380" s="192"/>
      <c r="EC380" s="192"/>
      <c r="ED380" s="191"/>
      <c r="EE380" s="193"/>
      <c r="EF380" s="192"/>
      <c r="EG380" s="192"/>
      <c r="EH380" s="192"/>
      <c r="EI380" s="191"/>
      <c r="EJ380" s="19"/>
      <c r="EK380" s="192"/>
      <c r="EL380" s="192"/>
      <c r="EM380" s="192"/>
      <c r="EN380" s="191"/>
      <c r="EO380" s="193"/>
      <c r="EP380" s="192"/>
      <c r="EQ380" s="192"/>
      <c r="ER380" s="192"/>
      <c r="ES380" s="191"/>
      <c r="ET380" s="19"/>
      <c r="EU380" s="192"/>
      <c r="EV380" s="192"/>
      <c r="EW380" s="192"/>
      <c r="EX380" s="191"/>
      <c r="EY380" s="193"/>
      <c r="EZ380" s="192"/>
      <c r="FA380" s="192"/>
      <c r="FB380" s="192"/>
      <c r="FC380" s="191"/>
      <c r="FL380" s="273">
        <f t="shared" ca="1" si="17"/>
        <v>116</v>
      </c>
    </row>
    <row r="381" spans="1:168" ht="16.5" thickBot="1">
      <c r="A381" s="199">
        <v>378</v>
      </c>
      <c r="B381" s="306"/>
      <c r="C381" s="310"/>
      <c r="D381" s="307" t="s">
        <v>271</v>
      </c>
      <c r="E381" s="307" t="s">
        <v>271</v>
      </c>
      <c r="F381" s="308"/>
      <c r="G381" s="343" t="str">
        <f t="shared" si="15"/>
        <v xml:space="preserve"> </v>
      </c>
      <c r="H381" s="307"/>
      <c r="I381" s="309" t="e">
        <f t="shared" si="16"/>
        <v>#N/A</v>
      </c>
      <c r="J381" s="307"/>
      <c r="K381" s="307"/>
      <c r="L381" s="310"/>
      <c r="M381" s="310"/>
      <c r="N381" s="310"/>
      <c r="O381" s="310"/>
      <c r="P381" s="310"/>
      <c r="Q381" s="310"/>
      <c r="R381" s="310"/>
      <c r="S381" s="310"/>
      <c r="T381" s="310"/>
      <c r="U381" s="307"/>
      <c r="V381" s="307"/>
      <c r="W381" s="311"/>
      <c r="X381" s="307"/>
      <c r="Y381" s="307"/>
      <c r="Z381" s="307"/>
      <c r="AA381" s="307"/>
      <c r="AB381" s="311"/>
      <c r="AC381" s="307"/>
      <c r="AD381" s="307"/>
      <c r="AE381" s="307"/>
      <c r="AF381" s="307"/>
      <c r="AG381" s="310"/>
      <c r="AH381" s="307"/>
      <c r="AI381" s="310"/>
      <c r="AJ381" s="307"/>
      <c r="AK381" s="307"/>
      <c r="AL381" s="307"/>
      <c r="AM381" s="308"/>
      <c r="AN381" s="311"/>
      <c r="AO381" s="307"/>
      <c r="AP381" s="307"/>
      <c r="AQ381" s="308"/>
      <c r="AR381" s="307"/>
      <c r="AS381" s="307"/>
      <c r="AT381" s="307"/>
      <c r="AU381" s="310"/>
      <c r="AV381" s="308"/>
      <c r="AW381" s="312"/>
      <c r="AX381" s="308"/>
      <c r="AY381" s="307"/>
      <c r="AZ381" s="307"/>
      <c r="BA381" s="307"/>
      <c r="BB381" s="307"/>
      <c r="BC381" s="308"/>
      <c r="BD381" s="308"/>
      <c r="BE381" s="313"/>
      <c r="BF381" s="307"/>
      <c r="BG381" s="310"/>
      <c r="BH381" s="307"/>
      <c r="BI381" s="307"/>
      <c r="BJ381" s="310"/>
      <c r="BK381" s="307"/>
      <c r="BL381" s="307"/>
      <c r="BM381" s="310"/>
      <c r="BN381" s="307"/>
      <c r="BO381" s="310"/>
      <c r="BP381" s="307"/>
      <c r="BQ381" s="307"/>
      <c r="BR381" s="307"/>
      <c r="BS381" s="307"/>
      <c r="BT381" s="307"/>
      <c r="BU381" s="310"/>
      <c r="BV381" s="307"/>
      <c r="BW381" s="308"/>
      <c r="BX381" s="311"/>
      <c r="BY381" s="307"/>
      <c r="BZ381" s="307"/>
      <c r="CA381" s="310"/>
      <c r="CB381" s="307"/>
      <c r="CC381" s="307"/>
      <c r="CD381" s="307"/>
      <c r="CE381" s="308"/>
      <c r="CF381" s="308"/>
      <c r="CG381" s="307"/>
      <c r="CH381" s="307"/>
      <c r="CI381" s="307"/>
      <c r="CJ381" s="307"/>
      <c r="CK381" s="314"/>
      <c r="CL381" s="310"/>
      <c r="CM381" s="310"/>
      <c r="CN381" s="307"/>
      <c r="CO381" s="307"/>
      <c r="CP381" s="307"/>
      <c r="CQ381" s="315"/>
      <c r="CR381" s="315"/>
      <c r="CS381" s="315"/>
      <c r="CT381" s="315"/>
      <c r="CU381" s="307"/>
      <c r="CV381" s="217"/>
      <c r="CW381" s="192"/>
      <c r="CX381" s="192"/>
      <c r="CY381" s="192"/>
      <c r="CZ381" s="191"/>
      <c r="DA381" s="193"/>
      <c r="DB381" s="192"/>
      <c r="DC381" s="192"/>
      <c r="DD381" s="192"/>
      <c r="DE381" s="191"/>
      <c r="DF381" s="19"/>
      <c r="DG381" s="192"/>
      <c r="DH381" s="192"/>
      <c r="DI381" s="192"/>
      <c r="DJ381" s="191"/>
      <c r="DK381" s="193"/>
      <c r="DL381" s="192"/>
      <c r="DM381" s="192"/>
      <c r="DN381" s="192"/>
      <c r="DO381" s="191"/>
      <c r="DP381" s="19"/>
      <c r="DQ381" s="192"/>
      <c r="DR381" s="192"/>
      <c r="DS381" s="192"/>
      <c r="DT381" s="191"/>
      <c r="DU381" s="193"/>
      <c r="DV381" s="192"/>
      <c r="DW381" s="192"/>
      <c r="DX381" s="192"/>
      <c r="DY381" s="191"/>
      <c r="DZ381" s="19"/>
      <c r="EA381" s="192"/>
      <c r="EB381" s="192"/>
      <c r="EC381" s="192"/>
      <c r="ED381" s="191"/>
      <c r="EE381" s="193"/>
      <c r="EF381" s="192"/>
      <c r="EG381" s="192"/>
      <c r="EH381" s="192"/>
      <c r="EI381" s="191"/>
      <c r="EJ381" s="19"/>
      <c r="EK381" s="192"/>
      <c r="EL381" s="192"/>
      <c r="EM381" s="192"/>
      <c r="EN381" s="191"/>
      <c r="EO381" s="193"/>
      <c r="EP381" s="192"/>
      <c r="EQ381" s="192"/>
      <c r="ER381" s="192"/>
      <c r="ES381" s="191"/>
      <c r="ET381" s="19"/>
      <c r="EU381" s="192"/>
      <c r="EV381" s="192"/>
      <c r="EW381" s="192"/>
      <c r="EX381" s="191"/>
      <c r="EY381" s="193"/>
      <c r="EZ381" s="192"/>
      <c r="FA381" s="192"/>
      <c r="FB381" s="192"/>
      <c r="FC381" s="191"/>
      <c r="FL381" s="273">
        <f t="shared" ca="1" si="17"/>
        <v>116</v>
      </c>
    </row>
    <row r="382" spans="1:168" ht="16.5" thickBot="1">
      <c r="A382" s="196">
        <v>379</v>
      </c>
      <c r="B382" s="306"/>
      <c r="C382" s="310"/>
      <c r="D382" s="307" t="s">
        <v>271</v>
      </c>
      <c r="E382" s="307" t="s">
        <v>271</v>
      </c>
      <c r="F382" s="308"/>
      <c r="G382" s="343" t="str">
        <f t="shared" si="15"/>
        <v xml:space="preserve"> </v>
      </c>
      <c r="H382" s="307"/>
      <c r="I382" s="309" t="e">
        <f t="shared" si="16"/>
        <v>#N/A</v>
      </c>
      <c r="J382" s="307"/>
      <c r="K382" s="307"/>
      <c r="L382" s="310"/>
      <c r="M382" s="310"/>
      <c r="N382" s="310"/>
      <c r="O382" s="310"/>
      <c r="P382" s="310"/>
      <c r="Q382" s="310"/>
      <c r="R382" s="310"/>
      <c r="S382" s="310"/>
      <c r="T382" s="310"/>
      <c r="U382" s="307"/>
      <c r="V382" s="307"/>
      <c r="W382" s="311"/>
      <c r="X382" s="307"/>
      <c r="Y382" s="307"/>
      <c r="Z382" s="307"/>
      <c r="AA382" s="307"/>
      <c r="AB382" s="311"/>
      <c r="AC382" s="307"/>
      <c r="AD382" s="307"/>
      <c r="AE382" s="307"/>
      <c r="AF382" s="307"/>
      <c r="AG382" s="310"/>
      <c r="AH382" s="307"/>
      <c r="AI382" s="310"/>
      <c r="AJ382" s="307"/>
      <c r="AK382" s="307"/>
      <c r="AL382" s="307"/>
      <c r="AM382" s="308"/>
      <c r="AN382" s="311"/>
      <c r="AO382" s="307"/>
      <c r="AP382" s="307"/>
      <c r="AQ382" s="308"/>
      <c r="AR382" s="307"/>
      <c r="AS382" s="307"/>
      <c r="AT382" s="307"/>
      <c r="AU382" s="310"/>
      <c r="AV382" s="308"/>
      <c r="AW382" s="312"/>
      <c r="AX382" s="308"/>
      <c r="AY382" s="307"/>
      <c r="AZ382" s="307"/>
      <c r="BA382" s="307"/>
      <c r="BB382" s="307"/>
      <c r="BC382" s="308"/>
      <c r="BD382" s="308"/>
      <c r="BE382" s="313"/>
      <c r="BF382" s="307"/>
      <c r="BG382" s="310"/>
      <c r="BH382" s="307"/>
      <c r="BI382" s="307"/>
      <c r="BJ382" s="310"/>
      <c r="BK382" s="307"/>
      <c r="BL382" s="307"/>
      <c r="BM382" s="310"/>
      <c r="BN382" s="307"/>
      <c r="BO382" s="310"/>
      <c r="BP382" s="307"/>
      <c r="BQ382" s="307"/>
      <c r="BR382" s="307"/>
      <c r="BS382" s="307"/>
      <c r="BT382" s="307"/>
      <c r="BU382" s="310"/>
      <c r="BV382" s="307"/>
      <c r="BW382" s="308"/>
      <c r="BX382" s="311"/>
      <c r="BY382" s="307"/>
      <c r="BZ382" s="307"/>
      <c r="CA382" s="310"/>
      <c r="CB382" s="307"/>
      <c r="CC382" s="307"/>
      <c r="CD382" s="307"/>
      <c r="CE382" s="308"/>
      <c r="CF382" s="308"/>
      <c r="CG382" s="307"/>
      <c r="CH382" s="307"/>
      <c r="CI382" s="307"/>
      <c r="CJ382" s="307"/>
      <c r="CK382" s="314"/>
      <c r="CL382" s="310"/>
      <c r="CM382" s="310"/>
      <c r="CN382" s="307"/>
      <c r="CO382" s="307"/>
      <c r="CP382" s="307"/>
      <c r="CQ382" s="315"/>
      <c r="CR382" s="315"/>
      <c r="CS382" s="315"/>
      <c r="CT382" s="315"/>
      <c r="CU382" s="307"/>
      <c r="CV382" s="217"/>
      <c r="CW382" s="192"/>
      <c r="CX382" s="192"/>
      <c r="CY382" s="192"/>
      <c r="CZ382" s="191"/>
      <c r="DA382" s="193"/>
      <c r="DB382" s="192"/>
      <c r="DC382" s="192"/>
      <c r="DD382" s="192"/>
      <c r="DE382" s="191"/>
      <c r="DF382" s="19"/>
      <c r="DG382" s="192"/>
      <c r="DH382" s="192"/>
      <c r="DI382" s="192"/>
      <c r="DJ382" s="191"/>
      <c r="DK382" s="193"/>
      <c r="DL382" s="192"/>
      <c r="DM382" s="192"/>
      <c r="DN382" s="192"/>
      <c r="DO382" s="191"/>
      <c r="DP382" s="19"/>
      <c r="DQ382" s="192"/>
      <c r="DR382" s="192"/>
      <c r="DS382" s="192"/>
      <c r="DT382" s="191"/>
      <c r="DU382" s="193"/>
      <c r="DV382" s="192"/>
      <c r="DW382" s="192"/>
      <c r="DX382" s="192"/>
      <c r="DY382" s="191"/>
      <c r="DZ382" s="19"/>
      <c r="EA382" s="192"/>
      <c r="EB382" s="192"/>
      <c r="EC382" s="192"/>
      <c r="ED382" s="191"/>
      <c r="EE382" s="193"/>
      <c r="EF382" s="192"/>
      <c r="EG382" s="192"/>
      <c r="EH382" s="192"/>
      <c r="EI382" s="191"/>
      <c r="EJ382" s="19"/>
      <c r="EK382" s="192"/>
      <c r="EL382" s="192"/>
      <c r="EM382" s="192"/>
      <c r="EN382" s="191"/>
      <c r="EO382" s="193"/>
      <c r="EP382" s="192"/>
      <c r="EQ382" s="192"/>
      <c r="ER382" s="192"/>
      <c r="ES382" s="191"/>
      <c r="ET382" s="19"/>
      <c r="EU382" s="192"/>
      <c r="EV382" s="192"/>
      <c r="EW382" s="192"/>
      <c r="EX382" s="191"/>
      <c r="EY382" s="193"/>
      <c r="EZ382" s="192"/>
      <c r="FA382" s="192"/>
      <c r="FB382" s="192"/>
      <c r="FC382" s="191"/>
      <c r="FL382" s="273">
        <f t="shared" ca="1" si="17"/>
        <v>116</v>
      </c>
    </row>
    <row r="383" spans="1:168" ht="16.5" thickBot="1">
      <c r="A383" s="199">
        <v>380</v>
      </c>
      <c r="B383" s="306"/>
      <c r="C383" s="310"/>
      <c r="D383" s="307" t="s">
        <v>271</v>
      </c>
      <c r="E383" s="307" t="s">
        <v>271</v>
      </c>
      <c r="F383" s="308"/>
      <c r="G383" s="343" t="str">
        <f t="shared" si="15"/>
        <v xml:space="preserve"> </v>
      </c>
      <c r="H383" s="307"/>
      <c r="I383" s="309" t="e">
        <f t="shared" si="16"/>
        <v>#N/A</v>
      </c>
      <c r="J383" s="307"/>
      <c r="K383" s="307"/>
      <c r="L383" s="310"/>
      <c r="M383" s="310"/>
      <c r="N383" s="310"/>
      <c r="O383" s="310"/>
      <c r="P383" s="310"/>
      <c r="Q383" s="310"/>
      <c r="R383" s="310"/>
      <c r="S383" s="310"/>
      <c r="T383" s="310"/>
      <c r="U383" s="307"/>
      <c r="V383" s="307"/>
      <c r="W383" s="311"/>
      <c r="X383" s="307"/>
      <c r="Y383" s="307"/>
      <c r="Z383" s="307"/>
      <c r="AA383" s="307"/>
      <c r="AB383" s="311"/>
      <c r="AC383" s="307"/>
      <c r="AD383" s="307"/>
      <c r="AE383" s="307"/>
      <c r="AF383" s="307"/>
      <c r="AG383" s="310"/>
      <c r="AH383" s="307"/>
      <c r="AI383" s="310"/>
      <c r="AJ383" s="307"/>
      <c r="AK383" s="307"/>
      <c r="AL383" s="307"/>
      <c r="AM383" s="308"/>
      <c r="AN383" s="311"/>
      <c r="AO383" s="307"/>
      <c r="AP383" s="307"/>
      <c r="AQ383" s="308"/>
      <c r="AR383" s="307"/>
      <c r="AS383" s="307"/>
      <c r="AT383" s="307"/>
      <c r="AU383" s="310"/>
      <c r="AV383" s="308"/>
      <c r="AW383" s="312"/>
      <c r="AX383" s="308"/>
      <c r="AY383" s="307"/>
      <c r="AZ383" s="307"/>
      <c r="BA383" s="307"/>
      <c r="BB383" s="307"/>
      <c r="BC383" s="308"/>
      <c r="BD383" s="308"/>
      <c r="BE383" s="313"/>
      <c r="BF383" s="307"/>
      <c r="BG383" s="310"/>
      <c r="BH383" s="307"/>
      <c r="BI383" s="307"/>
      <c r="BJ383" s="310"/>
      <c r="BK383" s="307"/>
      <c r="BL383" s="307"/>
      <c r="BM383" s="310"/>
      <c r="BN383" s="307"/>
      <c r="BO383" s="310"/>
      <c r="BP383" s="307"/>
      <c r="BQ383" s="307"/>
      <c r="BR383" s="307"/>
      <c r="BS383" s="307"/>
      <c r="BT383" s="307"/>
      <c r="BU383" s="310"/>
      <c r="BV383" s="307"/>
      <c r="BW383" s="308"/>
      <c r="BX383" s="311"/>
      <c r="BY383" s="307"/>
      <c r="BZ383" s="307"/>
      <c r="CA383" s="310"/>
      <c r="CB383" s="307"/>
      <c r="CC383" s="307"/>
      <c r="CD383" s="307"/>
      <c r="CE383" s="308"/>
      <c r="CF383" s="308"/>
      <c r="CG383" s="307"/>
      <c r="CH383" s="307"/>
      <c r="CI383" s="307"/>
      <c r="CJ383" s="307"/>
      <c r="CK383" s="314"/>
      <c r="CL383" s="310"/>
      <c r="CM383" s="310"/>
      <c r="CN383" s="307"/>
      <c r="CO383" s="307"/>
      <c r="CP383" s="307"/>
      <c r="CQ383" s="315"/>
      <c r="CR383" s="315"/>
      <c r="CS383" s="315"/>
      <c r="CT383" s="315"/>
      <c r="CU383" s="307"/>
      <c r="CV383" s="217"/>
      <c r="CW383" s="192"/>
      <c r="CX383" s="192"/>
      <c r="CY383" s="192"/>
      <c r="CZ383" s="191"/>
      <c r="DA383" s="193"/>
      <c r="DB383" s="192"/>
      <c r="DC383" s="192"/>
      <c r="DD383" s="192"/>
      <c r="DE383" s="191"/>
      <c r="DF383" s="19"/>
      <c r="DG383" s="192"/>
      <c r="DH383" s="192"/>
      <c r="DI383" s="192"/>
      <c r="DJ383" s="191"/>
      <c r="DK383" s="193"/>
      <c r="DL383" s="192"/>
      <c r="DM383" s="192"/>
      <c r="DN383" s="192"/>
      <c r="DO383" s="191"/>
      <c r="DP383" s="19"/>
      <c r="DQ383" s="192"/>
      <c r="DR383" s="192"/>
      <c r="DS383" s="192"/>
      <c r="DT383" s="191"/>
      <c r="DU383" s="193"/>
      <c r="DV383" s="192"/>
      <c r="DW383" s="192"/>
      <c r="DX383" s="192"/>
      <c r="DY383" s="191"/>
      <c r="DZ383" s="19"/>
      <c r="EA383" s="192"/>
      <c r="EB383" s="192"/>
      <c r="EC383" s="192"/>
      <c r="ED383" s="191"/>
      <c r="EE383" s="193"/>
      <c r="EF383" s="192"/>
      <c r="EG383" s="192"/>
      <c r="EH383" s="192"/>
      <c r="EI383" s="191"/>
      <c r="EJ383" s="19"/>
      <c r="EK383" s="192"/>
      <c r="EL383" s="192"/>
      <c r="EM383" s="192"/>
      <c r="EN383" s="191"/>
      <c r="EO383" s="193"/>
      <c r="EP383" s="192"/>
      <c r="EQ383" s="192"/>
      <c r="ER383" s="192"/>
      <c r="ES383" s="191"/>
      <c r="ET383" s="19"/>
      <c r="EU383" s="192"/>
      <c r="EV383" s="192"/>
      <c r="EW383" s="192"/>
      <c r="EX383" s="191"/>
      <c r="EY383" s="193"/>
      <c r="EZ383" s="192"/>
      <c r="FA383" s="192"/>
      <c r="FB383" s="192"/>
      <c r="FC383" s="191"/>
      <c r="FL383" s="273">
        <f t="shared" ca="1" si="17"/>
        <v>116</v>
      </c>
    </row>
    <row r="384" spans="1:168" ht="16.5" thickBot="1">
      <c r="A384" s="196">
        <v>381</v>
      </c>
      <c r="B384" s="306"/>
      <c r="C384" s="310"/>
      <c r="D384" s="307" t="s">
        <v>271</v>
      </c>
      <c r="E384" s="307" t="s">
        <v>271</v>
      </c>
      <c r="F384" s="308"/>
      <c r="G384" s="343" t="str">
        <f t="shared" si="15"/>
        <v xml:space="preserve"> </v>
      </c>
      <c r="H384" s="307"/>
      <c r="I384" s="309" t="e">
        <f t="shared" si="16"/>
        <v>#N/A</v>
      </c>
      <c r="J384" s="307"/>
      <c r="K384" s="307"/>
      <c r="L384" s="310"/>
      <c r="M384" s="310"/>
      <c r="N384" s="310"/>
      <c r="O384" s="310"/>
      <c r="P384" s="310"/>
      <c r="Q384" s="310"/>
      <c r="R384" s="310"/>
      <c r="S384" s="310"/>
      <c r="T384" s="310"/>
      <c r="U384" s="307"/>
      <c r="V384" s="307"/>
      <c r="W384" s="311"/>
      <c r="X384" s="307"/>
      <c r="Y384" s="307"/>
      <c r="Z384" s="307"/>
      <c r="AA384" s="307"/>
      <c r="AB384" s="311"/>
      <c r="AC384" s="307"/>
      <c r="AD384" s="307"/>
      <c r="AE384" s="307"/>
      <c r="AF384" s="307"/>
      <c r="AG384" s="310"/>
      <c r="AH384" s="307"/>
      <c r="AI384" s="310"/>
      <c r="AJ384" s="307"/>
      <c r="AK384" s="307"/>
      <c r="AL384" s="307"/>
      <c r="AM384" s="308"/>
      <c r="AN384" s="311"/>
      <c r="AO384" s="307"/>
      <c r="AP384" s="307"/>
      <c r="AQ384" s="308"/>
      <c r="AR384" s="307"/>
      <c r="AS384" s="307"/>
      <c r="AT384" s="307"/>
      <c r="AU384" s="310"/>
      <c r="AV384" s="308"/>
      <c r="AW384" s="312"/>
      <c r="AX384" s="308"/>
      <c r="AY384" s="307"/>
      <c r="AZ384" s="307"/>
      <c r="BA384" s="307"/>
      <c r="BB384" s="307"/>
      <c r="BC384" s="308"/>
      <c r="BD384" s="308"/>
      <c r="BE384" s="313"/>
      <c r="BF384" s="307"/>
      <c r="BG384" s="310"/>
      <c r="BH384" s="307"/>
      <c r="BI384" s="307"/>
      <c r="BJ384" s="310"/>
      <c r="BK384" s="307"/>
      <c r="BL384" s="307"/>
      <c r="BM384" s="310"/>
      <c r="BN384" s="307"/>
      <c r="BO384" s="310"/>
      <c r="BP384" s="307"/>
      <c r="BQ384" s="307"/>
      <c r="BR384" s="307"/>
      <c r="BS384" s="307"/>
      <c r="BT384" s="307"/>
      <c r="BU384" s="310"/>
      <c r="BV384" s="307"/>
      <c r="BW384" s="308"/>
      <c r="BX384" s="311"/>
      <c r="BY384" s="307"/>
      <c r="BZ384" s="307"/>
      <c r="CA384" s="310"/>
      <c r="CB384" s="307"/>
      <c r="CC384" s="307"/>
      <c r="CD384" s="307"/>
      <c r="CE384" s="308"/>
      <c r="CF384" s="308"/>
      <c r="CG384" s="307"/>
      <c r="CH384" s="307"/>
      <c r="CI384" s="307"/>
      <c r="CJ384" s="307"/>
      <c r="CK384" s="314"/>
      <c r="CL384" s="310"/>
      <c r="CM384" s="310"/>
      <c r="CN384" s="307"/>
      <c r="CO384" s="307"/>
      <c r="CP384" s="307"/>
      <c r="CQ384" s="315"/>
      <c r="CR384" s="315"/>
      <c r="CS384" s="315"/>
      <c r="CT384" s="315"/>
      <c r="CU384" s="307"/>
      <c r="CV384" s="217"/>
      <c r="CW384" s="192"/>
      <c r="CX384" s="192"/>
      <c r="CY384" s="192"/>
      <c r="CZ384" s="191"/>
      <c r="DA384" s="193"/>
      <c r="DB384" s="192"/>
      <c r="DC384" s="192"/>
      <c r="DD384" s="192"/>
      <c r="DE384" s="191"/>
      <c r="DF384" s="19"/>
      <c r="DG384" s="192"/>
      <c r="DH384" s="192"/>
      <c r="DI384" s="192"/>
      <c r="DJ384" s="191"/>
      <c r="DK384" s="193"/>
      <c r="DL384" s="192"/>
      <c r="DM384" s="192"/>
      <c r="DN384" s="192"/>
      <c r="DO384" s="191"/>
      <c r="DP384" s="19"/>
      <c r="DQ384" s="192"/>
      <c r="DR384" s="192"/>
      <c r="DS384" s="192"/>
      <c r="DT384" s="191"/>
      <c r="DU384" s="193"/>
      <c r="DV384" s="192"/>
      <c r="DW384" s="192"/>
      <c r="DX384" s="192"/>
      <c r="DY384" s="191"/>
      <c r="DZ384" s="19"/>
      <c r="EA384" s="192"/>
      <c r="EB384" s="192"/>
      <c r="EC384" s="192"/>
      <c r="ED384" s="191"/>
      <c r="EE384" s="193"/>
      <c r="EF384" s="192"/>
      <c r="EG384" s="192"/>
      <c r="EH384" s="192"/>
      <c r="EI384" s="191"/>
      <c r="EJ384" s="19"/>
      <c r="EK384" s="192"/>
      <c r="EL384" s="192"/>
      <c r="EM384" s="192"/>
      <c r="EN384" s="191"/>
      <c r="EO384" s="193"/>
      <c r="EP384" s="192"/>
      <c r="EQ384" s="192"/>
      <c r="ER384" s="192"/>
      <c r="ES384" s="191"/>
      <c r="ET384" s="19"/>
      <c r="EU384" s="192"/>
      <c r="EV384" s="192"/>
      <c r="EW384" s="192"/>
      <c r="EX384" s="191"/>
      <c r="EY384" s="193"/>
      <c r="EZ384" s="192"/>
      <c r="FA384" s="192"/>
      <c r="FB384" s="192"/>
      <c r="FC384" s="191"/>
      <c r="FL384" s="273">
        <f t="shared" ca="1" si="17"/>
        <v>116</v>
      </c>
    </row>
    <row r="385" spans="1:168" ht="16.5" thickBot="1">
      <c r="A385" s="199">
        <v>382</v>
      </c>
      <c r="B385" s="306"/>
      <c r="C385" s="310"/>
      <c r="D385" s="307" t="s">
        <v>271</v>
      </c>
      <c r="E385" s="307" t="s">
        <v>271</v>
      </c>
      <c r="F385" s="308"/>
      <c r="G385" s="343" t="str">
        <f t="shared" si="15"/>
        <v xml:space="preserve"> </v>
      </c>
      <c r="H385" s="307"/>
      <c r="I385" s="309" t="e">
        <f t="shared" si="16"/>
        <v>#N/A</v>
      </c>
      <c r="J385" s="307"/>
      <c r="K385" s="307"/>
      <c r="L385" s="310"/>
      <c r="M385" s="310"/>
      <c r="N385" s="310"/>
      <c r="O385" s="310"/>
      <c r="P385" s="310"/>
      <c r="Q385" s="310"/>
      <c r="R385" s="310"/>
      <c r="S385" s="310"/>
      <c r="T385" s="310"/>
      <c r="U385" s="307"/>
      <c r="V385" s="307"/>
      <c r="W385" s="311"/>
      <c r="X385" s="307"/>
      <c r="Y385" s="307"/>
      <c r="Z385" s="307"/>
      <c r="AA385" s="307"/>
      <c r="AB385" s="311"/>
      <c r="AC385" s="307"/>
      <c r="AD385" s="307"/>
      <c r="AE385" s="307"/>
      <c r="AF385" s="307"/>
      <c r="AG385" s="310"/>
      <c r="AH385" s="307"/>
      <c r="AI385" s="310"/>
      <c r="AJ385" s="307"/>
      <c r="AK385" s="307"/>
      <c r="AL385" s="307"/>
      <c r="AM385" s="308"/>
      <c r="AN385" s="311"/>
      <c r="AO385" s="307"/>
      <c r="AP385" s="307"/>
      <c r="AQ385" s="308"/>
      <c r="AR385" s="307"/>
      <c r="AS385" s="307"/>
      <c r="AT385" s="307"/>
      <c r="AU385" s="310"/>
      <c r="AV385" s="308"/>
      <c r="AW385" s="312"/>
      <c r="AX385" s="308"/>
      <c r="AY385" s="307"/>
      <c r="AZ385" s="307"/>
      <c r="BA385" s="307"/>
      <c r="BB385" s="307"/>
      <c r="BC385" s="308"/>
      <c r="BD385" s="308"/>
      <c r="BE385" s="313"/>
      <c r="BF385" s="307"/>
      <c r="BG385" s="310"/>
      <c r="BH385" s="307"/>
      <c r="BI385" s="307"/>
      <c r="BJ385" s="310"/>
      <c r="BK385" s="307"/>
      <c r="BL385" s="307"/>
      <c r="BM385" s="310"/>
      <c r="BN385" s="307"/>
      <c r="BO385" s="310"/>
      <c r="BP385" s="307"/>
      <c r="BQ385" s="307"/>
      <c r="BR385" s="307"/>
      <c r="BS385" s="307"/>
      <c r="BT385" s="307"/>
      <c r="BU385" s="310"/>
      <c r="BV385" s="307"/>
      <c r="BW385" s="308"/>
      <c r="BX385" s="311"/>
      <c r="BY385" s="307"/>
      <c r="BZ385" s="307"/>
      <c r="CA385" s="310"/>
      <c r="CB385" s="307"/>
      <c r="CC385" s="307"/>
      <c r="CD385" s="307"/>
      <c r="CE385" s="308"/>
      <c r="CF385" s="308"/>
      <c r="CG385" s="307"/>
      <c r="CH385" s="307"/>
      <c r="CI385" s="307"/>
      <c r="CJ385" s="307"/>
      <c r="CK385" s="314"/>
      <c r="CL385" s="310"/>
      <c r="CM385" s="310"/>
      <c r="CN385" s="307"/>
      <c r="CO385" s="307"/>
      <c r="CP385" s="307"/>
      <c r="CQ385" s="315"/>
      <c r="CR385" s="315"/>
      <c r="CS385" s="315"/>
      <c r="CT385" s="315"/>
      <c r="CU385" s="307"/>
      <c r="CV385" s="217"/>
      <c r="CW385" s="192"/>
      <c r="CX385" s="192"/>
      <c r="CY385" s="192"/>
      <c r="CZ385" s="191"/>
      <c r="DA385" s="193"/>
      <c r="DB385" s="192"/>
      <c r="DC385" s="192"/>
      <c r="DD385" s="192"/>
      <c r="DE385" s="191"/>
      <c r="DF385" s="19"/>
      <c r="DG385" s="192"/>
      <c r="DH385" s="192"/>
      <c r="DI385" s="192"/>
      <c r="DJ385" s="191"/>
      <c r="DK385" s="193"/>
      <c r="DL385" s="192"/>
      <c r="DM385" s="192"/>
      <c r="DN385" s="192"/>
      <c r="DO385" s="191"/>
      <c r="DP385" s="19"/>
      <c r="DQ385" s="192"/>
      <c r="DR385" s="192"/>
      <c r="DS385" s="192"/>
      <c r="DT385" s="191"/>
      <c r="DU385" s="193"/>
      <c r="DV385" s="192"/>
      <c r="DW385" s="192"/>
      <c r="DX385" s="192"/>
      <c r="DY385" s="191"/>
      <c r="DZ385" s="19"/>
      <c r="EA385" s="192"/>
      <c r="EB385" s="192"/>
      <c r="EC385" s="192"/>
      <c r="ED385" s="191"/>
      <c r="EE385" s="193"/>
      <c r="EF385" s="192"/>
      <c r="EG385" s="192"/>
      <c r="EH385" s="192"/>
      <c r="EI385" s="191"/>
      <c r="EJ385" s="19"/>
      <c r="EK385" s="192"/>
      <c r="EL385" s="192"/>
      <c r="EM385" s="192"/>
      <c r="EN385" s="191"/>
      <c r="EO385" s="193"/>
      <c r="EP385" s="192"/>
      <c r="EQ385" s="192"/>
      <c r="ER385" s="192"/>
      <c r="ES385" s="191"/>
      <c r="ET385" s="19"/>
      <c r="EU385" s="192"/>
      <c r="EV385" s="192"/>
      <c r="EW385" s="192"/>
      <c r="EX385" s="191"/>
      <c r="EY385" s="193"/>
      <c r="EZ385" s="192"/>
      <c r="FA385" s="192"/>
      <c r="FB385" s="192"/>
      <c r="FC385" s="191"/>
      <c r="FL385" s="273">
        <f t="shared" ca="1" si="17"/>
        <v>116</v>
      </c>
    </row>
    <row r="386" spans="1:168" ht="16.5" thickBot="1">
      <c r="A386" s="196">
        <v>383</v>
      </c>
      <c r="B386" s="306"/>
      <c r="C386" s="310"/>
      <c r="D386" s="307" t="s">
        <v>271</v>
      </c>
      <c r="E386" s="307" t="s">
        <v>271</v>
      </c>
      <c r="F386" s="308"/>
      <c r="G386" s="343" t="str">
        <f t="shared" si="15"/>
        <v xml:space="preserve"> </v>
      </c>
      <c r="H386" s="307"/>
      <c r="I386" s="309" t="e">
        <f t="shared" si="16"/>
        <v>#N/A</v>
      </c>
      <c r="J386" s="307"/>
      <c r="K386" s="307"/>
      <c r="L386" s="310"/>
      <c r="M386" s="310"/>
      <c r="N386" s="310"/>
      <c r="O386" s="310"/>
      <c r="P386" s="310"/>
      <c r="Q386" s="310"/>
      <c r="R386" s="310"/>
      <c r="S386" s="310"/>
      <c r="T386" s="310"/>
      <c r="U386" s="307"/>
      <c r="V386" s="307"/>
      <c r="W386" s="311"/>
      <c r="X386" s="307"/>
      <c r="Y386" s="307"/>
      <c r="Z386" s="307"/>
      <c r="AA386" s="307"/>
      <c r="AB386" s="311"/>
      <c r="AC386" s="307"/>
      <c r="AD386" s="307"/>
      <c r="AE386" s="307"/>
      <c r="AF386" s="307"/>
      <c r="AG386" s="310"/>
      <c r="AH386" s="307"/>
      <c r="AI386" s="310"/>
      <c r="AJ386" s="307"/>
      <c r="AK386" s="307"/>
      <c r="AL386" s="307"/>
      <c r="AM386" s="308"/>
      <c r="AN386" s="311"/>
      <c r="AO386" s="307"/>
      <c r="AP386" s="307"/>
      <c r="AQ386" s="308"/>
      <c r="AR386" s="307"/>
      <c r="AS386" s="307"/>
      <c r="AT386" s="307"/>
      <c r="AU386" s="310"/>
      <c r="AV386" s="308"/>
      <c r="AW386" s="312"/>
      <c r="AX386" s="308"/>
      <c r="AY386" s="307"/>
      <c r="AZ386" s="307"/>
      <c r="BA386" s="307"/>
      <c r="BB386" s="307"/>
      <c r="BC386" s="308"/>
      <c r="BD386" s="308"/>
      <c r="BE386" s="313"/>
      <c r="BF386" s="307"/>
      <c r="BG386" s="310"/>
      <c r="BH386" s="307"/>
      <c r="BI386" s="307"/>
      <c r="BJ386" s="310"/>
      <c r="BK386" s="307"/>
      <c r="BL386" s="307"/>
      <c r="BM386" s="310"/>
      <c r="BN386" s="307"/>
      <c r="BO386" s="310"/>
      <c r="BP386" s="307"/>
      <c r="BQ386" s="307"/>
      <c r="BR386" s="307"/>
      <c r="BS386" s="307"/>
      <c r="BT386" s="307"/>
      <c r="BU386" s="310"/>
      <c r="BV386" s="307"/>
      <c r="BW386" s="308"/>
      <c r="BX386" s="311"/>
      <c r="BY386" s="307"/>
      <c r="BZ386" s="307"/>
      <c r="CA386" s="310"/>
      <c r="CB386" s="307"/>
      <c r="CC386" s="307"/>
      <c r="CD386" s="307"/>
      <c r="CE386" s="308"/>
      <c r="CF386" s="308"/>
      <c r="CG386" s="307"/>
      <c r="CH386" s="307"/>
      <c r="CI386" s="307"/>
      <c r="CJ386" s="307"/>
      <c r="CK386" s="314"/>
      <c r="CL386" s="310"/>
      <c r="CM386" s="310"/>
      <c r="CN386" s="307"/>
      <c r="CO386" s="307"/>
      <c r="CP386" s="307"/>
      <c r="CQ386" s="315"/>
      <c r="CR386" s="315"/>
      <c r="CS386" s="315"/>
      <c r="CT386" s="315"/>
      <c r="CU386" s="307"/>
      <c r="CV386" s="217"/>
      <c r="CW386" s="192"/>
      <c r="CX386" s="192"/>
      <c r="CY386" s="192"/>
      <c r="CZ386" s="191"/>
      <c r="DA386" s="193"/>
      <c r="DB386" s="192"/>
      <c r="DC386" s="192"/>
      <c r="DD386" s="192"/>
      <c r="DE386" s="191"/>
      <c r="DF386" s="19"/>
      <c r="DG386" s="192"/>
      <c r="DH386" s="192"/>
      <c r="DI386" s="192"/>
      <c r="DJ386" s="191"/>
      <c r="DK386" s="193"/>
      <c r="DL386" s="192"/>
      <c r="DM386" s="192"/>
      <c r="DN386" s="192"/>
      <c r="DO386" s="191"/>
      <c r="DP386" s="19"/>
      <c r="DQ386" s="192"/>
      <c r="DR386" s="192"/>
      <c r="DS386" s="192"/>
      <c r="DT386" s="191"/>
      <c r="DU386" s="193"/>
      <c r="DV386" s="192"/>
      <c r="DW386" s="192"/>
      <c r="DX386" s="192"/>
      <c r="DY386" s="191"/>
      <c r="DZ386" s="19"/>
      <c r="EA386" s="192"/>
      <c r="EB386" s="192"/>
      <c r="EC386" s="192"/>
      <c r="ED386" s="191"/>
      <c r="EE386" s="193"/>
      <c r="EF386" s="192"/>
      <c r="EG386" s="192"/>
      <c r="EH386" s="192"/>
      <c r="EI386" s="191"/>
      <c r="EJ386" s="19"/>
      <c r="EK386" s="192"/>
      <c r="EL386" s="192"/>
      <c r="EM386" s="192"/>
      <c r="EN386" s="191"/>
      <c r="EO386" s="193"/>
      <c r="EP386" s="192"/>
      <c r="EQ386" s="192"/>
      <c r="ER386" s="192"/>
      <c r="ES386" s="191"/>
      <c r="ET386" s="19"/>
      <c r="EU386" s="192"/>
      <c r="EV386" s="192"/>
      <c r="EW386" s="192"/>
      <c r="EX386" s="191"/>
      <c r="EY386" s="193"/>
      <c r="EZ386" s="192"/>
      <c r="FA386" s="192"/>
      <c r="FB386" s="192"/>
      <c r="FC386" s="191"/>
      <c r="FL386" s="273">
        <f t="shared" ca="1" si="17"/>
        <v>116</v>
      </c>
    </row>
    <row r="387" spans="1:168" ht="16.5" thickBot="1">
      <c r="A387" s="199">
        <v>384</v>
      </c>
      <c r="B387" s="306"/>
      <c r="C387" s="310"/>
      <c r="D387" s="307" t="s">
        <v>271</v>
      </c>
      <c r="E387" s="307" t="s">
        <v>271</v>
      </c>
      <c r="F387" s="308"/>
      <c r="G387" s="343" t="str">
        <f t="shared" si="15"/>
        <v xml:space="preserve"> </v>
      </c>
      <c r="H387" s="307"/>
      <c r="I387" s="309" t="e">
        <f t="shared" si="16"/>
        <v>#N/A</v>
      </c>
      <c r="J387" s="307"/>
      <c r="K387" s="307"/>
      <c r="L387" s="310"/>
      <c r="M387" s="310"/>
      <c r="N387" s="310"/>
      <c r="O387" s="310"/>
      <c r="P387" s="310"/>
      <c r="Q387" s="310"/>
      <c r="R387" s="310"/>
      <c r="S387" s="310"/>
      <c r="T387" s="310"/>
      <c r="U387" s="307"/>
      <c r="V387" s="307"/>
      <c r="W387" s="311"/>
      <c r="X387" s="307"/>
      <c r="Y387" s="307"/>
      <c r="Z387" s="307"/>
      <c r="AA387" s="307"/>
      <c r="AB387" s="311"/>
      <c r="AC387" s="307"/>
      <c r="AD387" s="307"/>
      <c r="AE387" s="307"/>
      <c r="AF387" s="307"/>
      <c r="AG387" s="310"/>
      <c r="AH387" s="307"/>
      <c r="AI387" s="310"/>
      <c r="AJ387" s="307"/>
      <c r="AK387" s="307"/>
      <c r="AL387" s="307"/>
      <c r="AM387" s="308"/>
      <c r="AN387" s="311"/>
      <c r="AO387" s="307"/>
      <c r="AP387" s="307"/>
      <c r="AQ387" s="308"/>
      <c r="AR387" s="307"/>
      <c r="AS387" s="307"/>
      <c r="AT387" s="307"/>
      <c r="AU387" s="310"/>
      <c r="AV387" s="308"/>
      <c r="AW387" s="312"/>
      <c r="AX387" s="308"/>
      <c r="AY387" s="307"/>
      <c r="AZ387" s="307"/>
      <c r="BA387" s="307"/>
      <c r="BB387" s="307"/>
      <c r="BC387" s="308"/>
      <c r="BD387" s="308"/>
      <c r="BE387" s="313"/>
      <c r="BF387" s="307"/>
      <c r="BG387" s="310"/>
      <c r="BH387" s="307"/>
      <c r="BI387" s="307"/>
      <c r="BJ387" s="310"/>
      <c r="BK387" s="307"/>
      <c r="BL387" s="307"/>
      <c r="BM387" s="310"/>
      <c r="BN387" s="307"/>
      <c r="BO387" s="310"/>
      <c r="BP387" s="307"/>
      <c r="BQ387" s="307"/>
      <c r="BR387" s="307"/>
      <c r="BS387" s="307"/>
      <c r="BT387" s="307"/>
      <c r="BU387" s="310"/>
      <c r="BV387" s="307"/>
      <c r="BW387" s="308"/>
      <c r="BX387" s="311"/>
      <c r="BY387" s="307"/>
      <c r="BZ387" s="307"/>
      <c r="CA387" s="310"/>
      <c r="CB387" s="307"/>
      <c r="CC387" s="307"/>
      <c r="CD387" s="307"/>
      <c r="CE387" s="308"/>
      <c r="CF387" s="308"/>
      <c r="CG387" s="307"/>
      <c r="CH387" s="307"/>
      <c r="CI387" s="307"/>
      <c r="CJ387" s="307"/>
      <c r="CK387" s="314"/>
      <c r="CL387" s="310"/>
      <c r="CM387" s="310"/>
      <c r="CN387" s="307"/>
      <c r="CO387" s="307"/>
      <c r="CP387" s="307"/>
      <c r="CQ387" s="315"/>
      <c r="CR387" s="315"/>
      <c r="CS387" s="315"/>
      <c r="CT387" s="315"/>
      <c r="CU387" s="307"/>
      <c r="CV387" s="217"/>
      <c r="CW387" s="192"/>
      <c r="CX387" s="192"/>
      <c r="CY387" s="192"/>
      <c r="CZ387" s="191"/>
      <c r="DA387" s="193"/>
      <c r="DB387" s="192"/>
      <c r="DC387" s="192"/>
      <c r="DD387" s="192"/>
      <c r="DE387" s="191"/>
      <c r="DF387" s="19"/>
      <c r="DG387" s="192"/>
      <c r="DH387" s="192"/>
      <c r="DI387" s="192"/>
      <c r="DJ387" s="191"/>
      <c r="DK387" s="193"/>
      <c r="DL387" s="192"/>
      <c r="DM387" s="192"/>
      <c r="DN387" s="192"/>
      <c r="DO387" s="191"/>
      <c r="DP387" s="19"/>
      <c r="DQ387" s="192"/>
      <c r="DR387" s="192"/>
      <c r="DS387" s="192"/>
      <c r="DT387" s="191"/>
      <c r="DU387" s="193"/>
      <c r="DV387" s="192"/>
      <c r="DW387" s="192"/>
      <c r="DX387" s="192"/>
      <c r="DY387" s="191"/>
      <c r="DZ387" s="19"/>
      <c r="EA387" s="192"/>
      <c r="EB387" s="192"/>
      <c r="EC387" s="192"/>
      <c r="ED387" s="191"/>
      <c r="EE387" s="193"/>
      <c r="EF387" s="192"/>
      <c r="EG387" s="192"/>
      <c r="EH387" s="192"/>
      <c r="EI387" s="191"/>
      <c r="EJ387" s="19"/>
      <c r="EK387" s="192"/>
      <c r="EL387" s="192"/>
      <c r="EM387" s="192"/>
      <c r="EN387" s="191"/>
      <c r="EO387" s="193"/>
      <c r="EP387" s="192"/>
      <c r="EQ387" s="192"/>
      <c r="ER387" s="192"/>
      <c r="ES387" s="191"/>
      <c r="ET387" s="19"/>
      <c r="EU387" s="192"/>
      <c r="EV387" s="192"/>
      <c r="EW387" s="192"/>
      <c r="EX387" s="191"/>
      <c r="EY387" s="193"/>
      <c r="EZ387" s="192"/>
      <c r="FA387" s="192"/>
      <c r="FB387" s="192"/>
      <c r="FC387" s="191"/>
      <c r="FL387" s="273">
        <f t="shared" ca="1" si="17"/>
        <v>116</v>
      </c>
    </row>
    <row r="388" spans="1:168" ht="16.5" thickBot="1">
      <c r="A388" s="196">
        <v>385</v>
      </c>
      <c r="B388" s="306"/>
      <c r="C388" s="310"/>
      <c r="D388" s="307" t="s">
        <v>271</v>
      </c>
      <c r="E388" s="307" t="s">
        <v>271</v>
      </c>
      <c r="F388" s="308"/>
      <c r="G388" s="343" t="str">
        <f t="shared" si="15"/>
        <v xml:space="preserve"> </v>
      </c>
      <c r="H388" s="307"/>
      <c r="I388" s="309" t="e">
        <f t="shared" si="16"/>
        <v>#N/A</v>
      </c>
      <c r="J388" s="307"/>
      <c r="K388" s="307"/>
      <c r="L388" s="310"/>
      <c r="M388" s="310"/>
      <c r="N388" s="310"/>
      <c r="O388" s="310"/>
      <c r="P388" s="310"/>
      <c r="Q388" s="310"/>
      <c r="R388" s="310"/>
      <c r="S388" s="310"/>
      <c r="T388" s="310"/>
      <c r="U388" s="307"/>
      <c r="V388" s="307"/>
      <c r="W388" s="311"/>
      <c r="X388" s="307"/>
      <c r="Y388" s="307"/>
      <c r="Z388" s="307"/>
      <c r="AA388" s="307"/>
      <c r="AB388" s="311"/>
      <c r="AC388" s="307"/>
      <c r="AD388" s="307"/>
      <c r="AE388" s="307"/>
      <c r="AF388" s="307"/>
      <c r="AG388" s="310"/>
      <c r="AH388" s="307"/>
      <c r="AI388" s="310"/>
      <c r="AJ388" s="307"/>
      <c r="AK388" s="307"/>
      <c r="AL388" s="307"/>
      <c r="AM388" s="308"/>
      <c r="AN388" s="311"/>
      <c r="AO388" s="307"/>
      <c r="AP388" s="307"/>
      <c r="AQ388" s="308"/>
      <c r="AR388" s="307"/>
      <c r="AS388" s="307"/>
      <c r="AT388" s="307"/>
      <c r="AU388" s="310"/>
      <c r="AV388" s="308"/>
      <c r="AW388" s="312"/>
      <c r="AX388" s="308"/>
      <c r="AY388" s="307"/>
      <c r="AZ388" s="307"/>
      <c r="BA388" s="307"/>
      <c r="BB388" s="307"/>
      <c r="BC388" s="308"/>
      <c r="BD388" s="308"/>
      <c r="BE388" s="313"/>
      <c r="BF388" s="307"/>
      <c r="BG388" s="310"/>
      <c r="BH388" s="307"/>
      <c r="BI388" s="307"/>
      <c r="BJ388" s="310"/>
      <c r="BK388" s="307"/>
      <c r="BL388" s="307"/>
      <c r="BM388" s="310"/>
      <c r="BN388" s="307"/>
      <c r="BO388" s="310"/>
      <c r="BP388" s="307"/>
      <c r="BQ388" s="307"/>
      <c r="BR388" s="307"/>
      <c r="BS388" s="307"/>
      <c r="BT388" s="307"/>
      <c r="BU388" s="310"/>
      <c r="BV388" s="307"/>
      <c r="BW388" s="308"/>
      <c r="BX388" s="311"/>
      <c r="BY388" s="307"/>
      <c r="BZ388" s="307"/>
      <c r="CA388" s="310"/>
      <c r="CB388" s="307"/>
      <c r="CC388" s="307"/>
      <c r="CD388" s="307"/>
      <c r="CE388" s="308"/>
      <c r="CF388" s="308"/>
      <c r="CG388" s="307"/>
      <c r="CH388" s="307"/>
      <c r="CI388" s="307"/>
      <c r="CJ388" s="307"/>
      <c r="CK388" s="314"/>
      <c r="CL388" s="310"/>
      <c r="CM388" s="310"/>
      <c r="CN388" s="307"/>
      <c r="CO388" s="307"/>
      <c r="CP388" s="307"/>
      <c r="CQ388" s="315"/>
      <c r="CR388" s="315"/>
      <c r="CS388" s="315"/>
      <c r="CT388" s="315"/>
      <c r="CU388" s="307"/>
      <c r="CV388" s="217"/>
      <c r="CW388" s="192"/>
      <c r="CX388" s="192"/>
      <c r="CY388" s="192"/>
      <c r="CZ388" s="191"/>
      <c r="DA388" s="193"/>
      <c r="DB388" s="192"/>
      <c r="DC388" s="192"/>
      <c r="DD388" s="192"/>
      <c r="DE388" s="191"/>
      <c r="DF388" s="19"/>
      <c r="DG388" s="192"/>
      <c r="DH388" s="192"/>
      <c r="DI388" s="192"/>
      <c r="DJ388" s="191"/>
      <c r="DK388" s="193"/>
      <c r="DL388" s="192"/>
      <c r="DM388" s="192"/>
      <c r="DN388" s="192"/>
      <c r="DO388" s="191"/>
      <c r="DP388" s="19"/>
      <c r="DQ388" s="192"/>
      <c r="DR388" s="192"/>
      <c r="DS388" s="192"/>
      <c r="DT388" s="191"/>
      <c r="DU388" s="193"/>
      <c r="DV388" s="192"/>
      <c r="DW388" s="192"/>
      <c r="DX388" s="192"/>
      <c r="DY388" s="191"/>
      <c r="DZ388" s="19"/>
      <c r="EA388" s="192"/>
      <c r="EB388" s="192"/>
      <c r="EC388" s="192"/>
      <c r="ED388" s="191"/>
      <c r="EE388" s="193"/>
      <c r="EF388" s="192"/>
      <c r="EG388" s="192"/>
      <c r="EH388" s="192"/>
      <c r="EI388" s="191"/>
      <c r="EJ388" s="19"/>
      <c r="EK388" s="192"/>
      <c r="EL388" s="192"/>
      <c r="EM388" s="192"/>
      <c r="EN388" s="191"/>
      <c r="EO388" s="193"/>
      <c r="EP388" s="192"/>
      <c r="EQ388" s="192"/>
      <c r="ER388" s="192"/>
      <c r="ES388" s="191"/>
      <c r="ET388" s="19"/>
      <c r="EU388" s="192"/>
      <c r="EV388" s="192"/>
      <c r="EW388" s="192"/>
      <c r="EX388" s="191"/>
      <c r="EY388" s="193"/>
      <c r="EZ388" s="192"/>
      <c r="FA388" s="192"/>
      <c r="FB388" s="192"/>
      <c r="FC388" s="191"/>
      <c r="FL388" s="273">
        <f t="shared" ca="1" si="17"/>
        <v>116</v>
      </c>
    </row>
    <row r="389" spans="1:168" ht="16.5" thickBot="1">
      <c r="A389" s="199">
        <v>386</v>
      </c>
      <c r="B389" s="306"/>
      <c r="C389" s="310"/>
      <c r="D389" s="307" t="s">
        <v>271</v>
      </c>
      <c r="E389" s="307" t="s">
        <v>271</v>
      </c>
      <c r="F389" s="308"/>
      <c r="G389" s="343" t="str">
        <f t="shared" ref="G389:G452" si="18">IF(F389=0," ",IF(F389&gt;0,FL389))</f>
        <v xml:space="preserve"> </v>
      </c>
      <c r="H389" s="307"/>
      <c r="I389" s="309" t="e">
        <f t="shared" ref="I389:I452" si="19">VLOOKUP(J389,$FH$5:$FI$32,2)</f>
        <v>#N/A</v>
      </c>
      <c r="J389" s="307"/>
      <c r="K389" s="307"/>
      <c r="L389" s="310"/>
      <c r="M389" s="310"/>
      <c r="N389" s="310"/>
      <c r="O389" s="310"/>
      <c r="P389" s="310"/>
      <c r="Q389" s="310"/>
      <c r="R389" s="310"/>
      <c r="S389" s="310"/>
      <c r="T389" s="310"/>
      <c r="U389" s="307"/>
      <c r="V389" s="307"/>
      <c r="W389" s="311"/>
      <c r="X389" s="307"/>
      <c r="Y389" s="307"/>
      <c r="Z389" s="307"/>
      <c r="AA389" s="307"/>
      <c r="AB389" s="311"/>
      <c r="AC389" s="307"/>
      <c r="AD389" s="307"/>
      <c r="AE389" s="307"/>
      <c r="AF389" s="307"/>
      <c r="AG389" s="310"/>
      <c r="AH389" s="307"/>
      <c r="AI389" s="310"/>
      <c r="AJ389" s="307"/>
      <c r="AK389" s="307"/>
      <c r="AL389" s="307"/>
      <c r="AM389" s="308"/>
      <c r="AN389" s="311"/>
      <c r="AO389" s="307"/>
      <c r="AP389" s="307"/>
      <c r="AQ389" s="308"/>
      <c r="AR389" s="307"/>
      <c r="AS389" s="307"/>
      <c r="AT389" s="307"/>
      <c r="AU389" s="310"/>
      <c r="AV389" s="308"/>
      <c r="AW389" s="312"/>
      <c r="AX389" s="308"/>
      <c r="AY389" s="307"/>
      <c r="AZ389" s="307"/>
      <c r="BA389" s="307"/>
      <c r="BB389" s="307"/>
      <c r="BC389" s="308"/>
      <c r="BD389" s="308"/>
      <c r="BE389" s="313"/>
      <c r="BF389" s="307"/>
      <c r="BG389" s="310"/>
      <c r="BH389" s="307"/>
      <c r="BI389" s="307"/>
      <c r="BJ389" s="310"/>
      <c r="BK389" s="307"/>
      <c r="BL389" s="307"/>
      <c r="BM389" s="310"/>
      <c r="BN389" s="307"/>
      <c r="BO389" s="310"/>
      <c r="BP389" s="307"/>
      <c r="BQ389" s="307"/>
      <c r="BR389" s="307"/>
      <c r="BS389" s="307"/>
      <c r="BT389" s="307"/>
      <c r="BU389" s="310"/>
      <c r="BV389" s="307"/>
      <c r="BW389" s="308"/>
      <c r="BX389" s="311"/>
      <c r="BY389" s="307"/>
      <c r="BZ389" s="307"/>
      <c r="CA389" s="310"/>
      <c r="CB389" s="307"/>
      <c r="CC389" s="307"/>
      <c r="CD389" s="307"/>
      <c r="CE389" s="308"/>
      <c r="CF389" s="308"/>
      <c r="CG389" s="307"/>
      <c r="CH389" s="307"/>
      <c r="CI389" s="307"/>
      <c r="CJ389" s="307"/>
      <c r="CK389" s="314"/>
      <c r="CL389" s="310"/>
      <c r="CM389" s="310"/>
      <c r="CN389" s="307"/>
      <c r="CO389" s="307"/>
      <c r="CP389" s="307"/>
      <c r="CQ389" s="315"/>
      <c r="CR389" s="315"/>
      <c r="CS389" s="315"/>
      <c r="CT389" s="315"/>
      <c r="CU389" s="307"/>
      <c r="CV389" s="217"/>
      <c r="CW389" s="192"/>
      <c r="CX389" s="192"/>
      <c r="CY389" s="192"/>
      <c r="CZ389" s="191"/>
      <c r="DA389" s="193"/>
      <c r="DB389" s="192"/>
      <c r="DC389" s="192"/>
      <c r="DD389" s="192"/>
      <c r="DE389" s="191"/>
      <c r="DF389" s="19"/>
      <c r="DG389" s="192"/>
      <c r="DH389" s="192"/>
      <c r="DI389" s="192"/>
      <c r="DJ389" s="191"/>
      <c r="DK389" s="193"/>
      <c r="DL389" s="192"/>
      <c r="DM389" s="192"/>
      <c r="DN389" s="192"/>
      <c r="DO389" s="191"/>
      <c r="DP389" s="19"/>
      <c r="DQ389" s="192"/>
      <c r="DR389" s="192"/>
      <c r="DS389" s="192"/>
      <c r="DT389" s="191"/>
      <c r="DU389" s="193"/>
      <c r="DV389" s="192"/>
      <c r="DW389" s="192"/>
      <c r="DX389" s="192"/>
      <c r="DY389" s="191"/>
      <c r="DZ389" s="19"/>
      <c r="EA389" s="192"/>
      <c r="EB389" s="192"/>
      <c r="EC389" s="192"/>
      <c r="ED389" s="191"/>
      <c r="EE389" s="193"/>
      <c r="EF389" s="192"/>
      <c r="EG389" s="192"/>
      <c r="EH389" s="192"/>
      <c r="EI389" s="191"/>
      <c r="EJ389" s="19"/>
      <c r="EK389" s="192"/>
      <c r="EL389" s="192"/>
      <c r="EM389" s="192"/>
      <c r="EN389" s="191"/>
      <c r="EO389" s="193"/>
      <c r="EP389" s="192"/>
      <c r="EQ389" s="192"/>
      <c r="ER389" s="192"/>
      <c r="ES389" s="191"/>
      <c r="ET389" s="19"/>
      <c r="EU389" s="192"/>
      <c r="EV389" s="192"/>
      <c r="EW389" s="192"/>
      <c r="EX389" s="191"/>
      <c r="EY389" s="193"/>
      <c r="EZ389" s="192"/>
      <c r="FA389" s="192"/>
      <c r="FB389" s="192"/>
      <c r="FC389" s="191"/>
      <c r="FL389" s="273">
        <f t="shared" ca="1" si="17"/>
        <v>116</v>
      </c>
    </row>
    <row r="390" spans="1:168" ht="16.5" thickBot="1">
      <c r="A390" s="196">
        <v>387</v>
      </c>
      <c r="B390" s="306"/>
      <c r="C390" s="310"/>
      <c r="D390" s="307" t="s">
        <v>271</v>
      </c>
      <c r="E390" s="307" t="s">
        <v>271</v>
      </c>
      <c r="F390" s="308"/>
      <c r="G390" s="343" t="str">
        <f t="shared" si="18"/>
        <v xml:space="preserve"> </v>
      </c>
      <c r="H390" s="307"/>
      <c r="I390" s="309" t="e">
        <f t="shared" si="19"/>
        <v>#N/A</v>
      </c>
      <c r="J390" s="307"/>
      <c r="K390" s="307"/>
      <c r="L390" s="310"/>
      <c r="M390" s="310"/>
      <c r="N390" s="310"/>
      <c r="O390" s="310"/>
      <c r="P390" s="310"/>
      <c r="Q390" s="310"/>
      <c r="R390" s="310"/>
      <c r="S390" s="310"/>
      <c r="T390" s="310"/>
      <c r="U390" s="307"/>
      <c r="V390" s="307"/>
      <c r="W390" s="311"/>
      <c r="X390" s="307"/>
      <c r="Y390" s="307"/>
      <c r="Z390" s="307"/>
      <c r="AA390" s="307"/>
      <c r="AB390" s="311"/>
      <c r="AC390" s="307"/>
      <c r="AD390" s="307"/>
      <c r="AE390" s="307"/>
      <c r="AF390" s="307"/>
      <c r="AG390" s="310"/>
      <c r="AH390" s="307"/>
      <c r="AI390" s="310"/>
      <c r="AJ390" s="307"/>
      <c r="AK390" s="307"/>
      <c r="AL390" s="307"/>
      <c r="AM390" s="308"/>
      <c r="AN390" s="311"/>
      <c r="AO390" s="307"/>
      <c r="AP390" s="307"/>
      <c r="AQ390" s="308"/>
      <c r="AR390" s="307"/>
      <c r="AS390" s="307"/>
      <c r="AT390" s="307"/>
      <c r="AU390" s="310"/>
      <c r="AV390" s="308"/>
      <c r="AW390" s="312"/>
      <c r="AX390" s="308"/>
      <c r="AY390" s="307"/>
      <c r="AZ390" s="307"/>
      <c r="BA390" s="307"/>
      <c r="BB390" s="307"/>
      <c r="BC390" s="308"/>
      <c r="BD390" s="308"/>
      <c r="BE390" s="313"/>
      <c r="BF390" s="307"/>
      <c r="BG390" s="310"/>
      <c r="BH390" s="307"/>
      <c r="BI390" s="307"/>
      <c r="BJ390" s="310"/>
      <c r="BK390" s="307"/>
      <c r="BL390" s="307"/>
      <c r="BM390" s="310"/>
      <c r="BN390" s="307"/>
      <c r="BO390" s="310"/>
      <c r="BP390" s="307"/>
      <c r="BQ390" s="307"/>
      <c r="BR390" s="307"/>
      <c r="BS390" s="307"/>
      <c r="BT390" s="307"/>
      <c r="BU390" s="310"/>
      <c r="BV390" s="307"/>
      <c r="BW390" s="308"/>
      <c r="BX390" s="311"/>
      <c r="BY390" s="307"/>
      <c r="BZ390" s="307"/>
      <c r="CA390" s="310"/>
      <c r="CB390" s="307"/>
      <c r="CC390" s="307"/>
      <c r="CD390" s="307"/>
      <c r="CE390" s="308"/>
      <c r="CF390" s="308"/>
      <c r="CG390" s="307"/>
      <c r="CH390" s="307"/>
      <c r="CI390" s="307"/>
      <c r="CJ390" s="307"/>
      <c r="CK390" s="314"/>
      <c r="CL390" s="310"/>
      <c r="CM390" s="310"/>
      <c r="CN390" s="307"/>
      <c r="CO390" s="307"/>
      <c r="CP390" s="307"/>
      <c r="CQ390" s="315"/>
      <c r="CR390" s="315"/>
      <c r="CS390" s="315"/>
      <c r="CT390" s="315"/>
      <c r="CU390" s="307"/>
      <c r="CV390" s="217"/>
      <c r="CW390" s="192"/>
      <c r="CX390" s="192"/>
      <c r="CY390" s="192"/>
      <c r="CZ390" s="191"/>
      <c r="DA390" s="193"/>
      <c r="DB390" s="192"/>
      <c r="DC390" s="192"/>
      <c r="DD390" s="192"/>
      <c r="DE390" s="191"/>
      <c r="DF390" s="19"/>
      <c r="DG390" s="192"/>
      <c r="DH390" s="192"/>
      <c r="DI390" s="192"/>
      <c r="DJ390" s="191"/>
      <c r="DK390" s="193"/>
      <c r="DL390" s="192"/>
      <c r="DM390" s="192"/>
      <c r="DN390" s="192"/>
      <c r="DO390" s="191"/>
      <c r="DP390" s="19"/>
      <c r="DQ390" s="192"/>
      <c r="DR390" s="192"/>
      <c r="DS390" s="192"/>
      <c r="DT390" s="191"/>
      <c r="DU390" s="193"/>
      <c r="DV390" s="192"/>
      <c r="DW390" s="192"/>
      <c r="DX390" s="192"/>
      <c r="DY390" s="191"/>
      <c r="DZ390" s="19"/>
      <c r="EA390" s="192"/>
      <c r="EB390" s="192"/>
      <c r="EC390" s="192"/>
      <c r="ED390" s="191"/>
      <c r="EE390" s="193"/>
      <c r="EF390" s="192"/>
      <c r="EG390" s="192"/>
      <c r="EH390" s="192"/>
      <c r="EI390" s="191"/>
      <c r="EJ390" s="19"/>
      <c r="EK390" s="192"/>
      <c r="EL390" s="192"/>
      <c r="EM390" s="192"/>
      <c r="EN390" s="191"/>
      <c r="EO390" s="193"/>
      <c r="EP390" s="192"/>
      <c r="EQ390" s="192"/>
      <c r="ER390" s="192"/>
      <c r="ES390" s="191"/>
      <c r="ET390" s="19"/>
      <c r="EU390" s="192"/>
      <c r="EV390" s="192"/>
      <c r="EW390" s="192"/>
      <c r="EX390" s="191"/>
      <c r="EY390" s="193"/>
      <c r="EZ390" s="192"/>
      <c r="FA390" s="192"/>
      <c r="FB390" s="192"/>
      <c r="FC390" s="191"/>
      <c r="FL390" s="273">
        <f t="shared" ref="FL390:FL453" ca="1" si="20">YEAR($FL$3)-YEAR(F390)-1+IF(DATE(1901,MONTH(F390),DAY(F390))-DATE(1901,MONTH($FL$3),DAY($FL$3))&lt;=0,1,0)</f>
        <v>116</v>
      </c>
    </row>
    <row r="391" spans="1:168" ht="16.5" thickBot="1">
      <c r="A391" s="199">
        <v>388</v>
      </c>
      <c r="B391" s="306"/>
      <c r="C391" s="310"/>
      <c r="D391" s="307" t="s">
        <v>271</v>
      </c>
      <c r="E391" s="307" t="s">
        <v>271</v>
      </c>
      <c r="F391" s="308"/>
      <c r="G391" s="343" t="str">
        <f t="shared" si="18"/>
        <v xml:space="preserve"> </v>
      </c>
      <c r="H391" s="307"/>
      <c r="I391" s="309" t="e">
        <f t="shared" si="19"/>
        <v>#N/A</v>
      </c>
      <c r="J391" s="307"/>
      <c r="K391" s="307"/>
      <c r="L391" s="310"/>
      <c r="M391" s="310"/>
      <c r="N391" s="310"/>
      <c r="O391" s="310"/>
      <c r="P391" s="310"/>
      <c r="Q391" s="310"/>
      <c r="R391" s="310"/>
      <c r="S391" s="310"/>
      <c r="T391" s="310"/>
      <c r="U391" s="307"/>
      <c r="V391" s="307"/>
      <c r="W391" s="311"/>
      <c r="X391" s="307"/>
      <c r="Y391" s="307"/>
      <c r="Z391" s="307"/>
      <c r="AA391" s="307"/>
      <c r="AB391" s="311"/>
      <c r="AC391" s="307"/>
      <c r="AD391" s="307"/>
      <c r="AE391" s="307"/>
      <c r="AF391" s="307"/>
      <c r="AG391" s="310"/>
      <c r="AH391" s="307"/>
      <c r="AI391" s="310"/>
      <c r="AJ391" s="307"/>
      <c r="AK391" s="307"/>
      <c r="AL391" s="307"/>
      <c r="AM391" s="308"/>
      <c r="AN391" s="311"/>
      <c r="AO391" s="307"/>
      <c r="AP391" s="307"/>
      <c r="AQ391" s="308"/>
      <c r="AR391" s="307"/>
      <c r="AS391" s="307"/>
      <c r="AT391" s="307"/>
      <c r="AU391" s="310"/>
      <c r="AV391" s="308"/>
      <c r="AW391" s="312"/>
      <c r="AX391" s="308"/>
      <c r="AY391" s="307"/>
      <c r="AZ391" s="307"/>
      <c r="BA391" s="307"/>
      <c r="BB391" s="307"/>
      <c r="BC391" s="308"/>
      <c r="BD391" s="308"/>
      <c r="BE391" s="313"/>
      <c r="BF391" s="307"/>
      <c r="BG391" s="310"/>
      <c r="BH391" s="307"/>
      <c r="BI391" s="307"/>
      <c r="BJ391" s="310"/>
      <c r="BK391" s="307"/>
      <c r="BL391" s="307"/>
      <c r="BM391" s="310"/>
      <c r="BN391" s="307"/>
      <c r="BO391" s="310"/>
      <c r="BP391" s="307"/>
      <c r="BQ391" s="307"/>
      <c r="BR391" s="307"/>
      <c r="BS391" s="307"/>
      <c r="BT391" s="307"/>
      <c r="BU391" s="310"/>
      <c r="BV391" s="307"/>
      <c r="BW391" s="308"/>
      <c r="BX391" s="311"/>
      <c r="BY391" s="307"/>
      <c r="BZ391" s="307"/>
      <c r="CA391" s="310"/>
      <c r="CB391" s="307"/>
      <c r="CC391" s="307"/>
      <c r="CD391" s="307"/>
      <c r="CE391" s="308"/>
      <c r="CF391" s="308"/>
      <c r="CG391" s="307"/>
      <c r="CH391" s="307"/>
      <c r="CI391" s="307"/>
      <c r="CJ391" s="307"/>
      <c r="CK391" s="314"/>
      <c r="CL391" s="310"/>
      <c r="CM391" s="310"/>
      <c r="CN391" s="307"/>
      <c r="CO391" s="307"/>
      <c r="CP391" s="307"/>
      <c r="CQ391" s="315"/>
      <c r="CR391" s="315"/>
      <c r="CS391" s="315"/>
      <c r="CT391" s="315"/>
      <c r="CU391" s="307"/>
      <c r="CV391" s="217"/>
      <c r="CW391" s="192"/>
      <c r="CX391" s="192"/>
      <c r="CY391" s="192"/>
      <c r="CZ391" s="191"/>
      <c r="DA391" s="193"/>
      <c r="DB391" s="192"/>
      <c r="DC391" s="192"/>
      <c r="DD391" s="192"/>
      <c r="DE391" s="191"/>
      <c r="DF391" s="19"/>
      <c r="DG391" s="192"/>
      <c r="DH391" s="192"/>
      <c r="DI391" s="192"/>
      <c r="DJ391" s="191"/>
      <c r="DK391" s="193"/>
      <c r="DL391" s="192"/>
      <c r="DM391" s="192"/>
      <c r="DN391" s="192"/>
      <c r="DO391" s="191"/>
      <c r="DP391" s="19"/>
      <c r="DQ391" s="192"/>
      <c r="DR391" s="192"/>
      <c r="DS391" s="192"/>
      <c r="DT391" s="191"/>
      <c r="DU391" s="193"/>
      <c r="DV391" s="192"/>
      <c r="DW391" s="192"/>
      <c r="DX391" s="192"/>
      <c r="DY391" s="191"/>
      <c r="DZ391" s="19"/>
      <c r="EA391" s="192"/>
      <c r="EB391" s="192"/>
      <c r="EC391" s="192"/>
      <c r="ED391" s="191"/>
      <c r="EE391" s="193"/>
      <c r="EF391" s="192"/>
      <c r="EG391" s="192"/>
      <c r="EH391" s="192"/>
      <c r="EI391" s="191"/>
      <c r="EJ391" s="19"/>
      <c r="EK391" s="192"/>
      <c r="EL391" s="192"/>
      <c r="EM391" s="192"/>
      <c r="EN391" s="191"/>
      <c r="EO391" s="193"/>
      <c r="EP391" s="192"/>
      <c r="EQ391" s="192"/>
      <c r="ER391" s="192"/>
      <c r="ES391" s="191"/>
      <c r="ET391" s="19"/>
      <c r="EU391" s="192"/>
      <c r="EV391" s="192"/>
      <c r="EW391" s="192"/>
      <c r="EX391" s="191"/>
      <c r="EY391" s="193"/>
      <c r="EZ391" s="192"/>
      <c r="FA391" s="192"/>
      <c r="FB391" s="192"/>
      <c r="FC391" s="191"/>
      <c r="FL391" s="273">
        <f t="shared" ca="1" si="20"/>
        <v>116</v>
      </c>
    </row>
    <row r="392" spans="1:168" ht="16.5" thickBot="1">
      <c r="A392" s="196">
        <v>389</v>
      </c>
      <c r="B392" s="306"/>
      <c r="C392" s="310"/>
      <c r="D392" s="307" t="s">
        <v>271</v>
      </c>
      <c r="E392" s="307" t="s">
        <v>271</v>
      </c>
      <c r="F392" s="308"/>
      <c r="G392" s="343" t="str">
        <f t="shared" si="18"/>
        <v xml:space="preserve"> </v>
      </c>
      <c r="H392" s="307"/>
      <c r="I392" s="309" t="e">
        <f t="shared" si="19"/>
        <v>#N/A</v>
      </c>
      <c r="J392" s="307"/>
      <c r="K392" s="307"/>
      <c r="L392" s="310"/>
      <c r="M392" s="310"/>
      <c r="N392" s="310"/>
      <c r="O392" s="310"/>
      <c r="P392" s="310"/>
      <c r="Q392" s="310"/>
      <c r="R392" s="310"/>
      <c r="S392" s="310"/>
      <c r="T392" s="310"/>
      <c r="U392" s="307"/>
      <c r="V392" s="307"/>
      <c r="W392" s="311"/>
      <c r="X392" s="307"/>
      <c r="Y392" s="307"/>
      <c r="Z392" s="307"/>
      <c r="AA392" s="307"/>
      <c r="AB392" s="311"/>
      <c r="AC392" s="307"/>
      <c r="AD392" s="307"/>
      <c r="AE392" s="307"/>
      <c r="AF392" s="307"/>
      <c r="AG392" s="310"/>
      <c r="AH392" s="307"/>
      <c r="AI392" s="310"/>
      <c r="AJ392" s="307"/>
      <c r="AK392" s="307"/>
      <c r="AL392" s="307"/>
      <c r="AM392" s="308"/>
      <c r="AN392" s="311"/>
      <c r="AO392" s="307"/>
      <c r="AP392" s="307"/>
      <c r="AQ392" s="308"/>
      <c r="AR392" s="307"/>
      <c r="AS392" s="307"/>
      <c r="AT392" s="307"/>
      <c r="AU392" s="310"/>
      <c r="AV392" s="308"/>
      <c r="AW392" s="312"/>
      <c r="AX392" s="308"/>
      <c r="AY392" s="307"/>
      <c r="AZ392" s="307"/>
      <c r="BA392" s="307"/>
      <c r="BB392" s="307"/>
      <c r="BC392" s="308"/>
      <c r="BD392" s="308"/>
      <c r="BE392" s="313"/>
      <c r="BF392" s="307"/>
      <c r="BG392" s="310"/>
      <c r="BH392" s="307"/>
      <c r="BI392" s="307"/>
      <c r="BJ392" s="310"/>
      <c r="BK392" s="307"/>
      <c r="BL392" s="307"/>
      <c r="BM392" s="310"/>
      <c r="BN392" s="307"/>
      <c r="BO392" s="310"/>
      <c r="BP392" s="307"/>
      <c r="BQ392" s="307"/>
      <c r="BR392" s="307"/>
      <c r="BS392" s="307"/>
      <c r="BT392" s="307"/>
      <c r="BU392" s="310"/>
      <c r="BV392" s="307"/>
      <c r="BW392" s="308"/>
      <c r="BX392" s="311"/>
      <c r="BY392" s="307"/>
      <c r="BZ392" s="307"/>
      <c r="CA392" s="310"/>
      <c r="CB392" s="307"/>
      <c r="CC392" s="307"/>
      <c r="CD392" s="307"/>
      <c r="CE392" s="308"/>
      <c r="CF392" s="308"/>
      <c r="CG392" s="307"/>
      <c r="CH392" s="307"/>
      <c r="CI392" s="307"/>
      <c r="CJ392" s="307"/>
      <c r="CK392" s="314"/>
      <c r="CL392" s="310"/>
      <c r="CM392" s="310"/>
      <c r="CN392" s="307"/>
      <c r="CO392" s="307"/>
      <c r="CP392" s="307"/>
      <c r="CQ392" s="315"/>
      <c r="CR392" s="315"/>
      <c r="CS392" s="315"/>
      <c r="CT392" s="315"/>
      <c r="CU392" s="307"/>
      <c r="CV392" s="217"/>
      <c r="CW392" s="192"/>
      <c r="CX392" s="192"/>
      <c r="CY392" s="192"/>
      <c r="CZ392" s="191"/>
      <c r="DA392" s="193"/>
      <c r="DB392" s="192"/>
      <c r="DC392" s="192"/>
      <c r="DD392" s="192"/>
      <c r="DE392" s="191"/>
      <c r="DF392" s="19"/>
      <c r="DG392" s="192"/>
      <c r="DH392" s="192"/>
      <c r="DI392" s="192"/>
      <c r="DJ392" s="191"/>
      <c r="DK392" s="193"/>
      <c r="DL392" s="192"/>
      <c r="DM392" s="192"/>
      <c r="DN392" s="192"/>
      <c r="DO392" s="191"/>
      <c r="DP392" s="19"/>
      <c r="DQ392" s="192"/>
      <c r="DR392" s="192"/>
      <c r="DS392" s="192"/>
      <c r="DT392" s="191"/>
      <c r="DU392" s="193"/>
      <c r="DV392" s="192"/>
      <c r="DW392" s="192"/>
      <c r="DX392" s="192"/>
      <c r="DY392" s="191"/>
      <c r="DZ392" s="19"/>
      <c r="EA392" s="192"/>
      <c r="EB392" s="192"/>
      <c r="EC392" s="192"/>
      <c r="ED392" s="191"/>
      <c r="EE392" s="193"/>
      <c r="EF392" s="192"/>
      <c r="EG392" s="192"/>
      <c r="EH392" s="192"/>
      <c r="EI392" s="191"/>
      <c r="EJ392" s="19"/>
      <c r="EK392" s="192"/>
      <c r="EL392" s="192"/>
      <c r="EM392" s="192"/>
      <c r="EN392" s="191"/>
      <c r="EO392" s="193"/>
      <c r="EP392" s="192"/>
      <c r="EQ392" s="192"/>
      <c r="ER392" s="192"/>
      <c r="ES392" s="191"/>
      <c r="ET392" s="19"/>
      <c r="EU392" s="192"/>
      <c r="EV392" s="192"/>
      <c r="EW392" s="192"/>
      <c r="EX392" s="191"/>
      <c r="EY392" s="193"/>
      <c r="EZ392" s="192"/>
      <c r="FA392" s="192"/>
      <c r="FB392" s="192"/>
      <c r="FC392" s="191"/>
      <c r="FL392" s="273">
        <f t="shared" ca="1" si="20"/>
        <v>116</v>
      </c>
    </row>
    <row r="393" spans="1:168" ht="16.5" thickBot="1">
      <c r="A393" s="199">
        <v>390</v>
      </c>
      <c r="B393" s="306"/>
      <c r="C393" s="310"/>
      <c r="D393" s="307" t="s">
        <v>271</v>
      </c>
      <c r="E393" s="307" t="s">
        <v>271</v>
      </c>
      <c r="F393" s="308"/>
      <c r="G393" s="343" t="str">
        <f t="shared" si="18"/>
        <v xml:space="preserve"> </v>
      </c>
      <c r="H393" s="307"/>
      <c r="I393" s="309" t="e">
        <f t="shared" si="19"/>
        <v>#N/A</v>
      </c>
      <c r="J393" s="307"/>
      <c r="K393" s="307"/>
      <c r="L393" s="310"/>
      <c r="M393" s="310"/>
      <c r="N393" s="310"/>
      <c r="O393" s="310"/>
      <c r="P393" s="310"/>
      <c r="Q393" s="310"/>
      <c r="R393" s="310"/>
      <c r="S393" s="310"/>
      <c r="T393" s="310"/>
      <c r="U393" s="307"/>
      <c r="V393" s="307"/>
      <c r="W393" s="311"/>
      <c r="X393" s="307"/>
      <c r="Y393" s="307"/>
      <c r="Z393" s="307"/>
      <c r="AA393" s="307"/>
      <c r="AB393" s="311"/>
      <c r="AC393" s="307"/>
      <c r="AD393" s="307"/>
      <c r="AE393" s="307"/>
      <c r="AF393" s="307"/>
      <c r="AG393" s="310"/>
      <c r="AH393" s="307"/>
      <c r="AI393" s="310"/>
      <c r="AJ393" s="307"/>
      <c r="AK393" s="307"/>
      <c r="AL393" s="307"/>
      <c r="AM393" s="308"/>
      <c r="AN393" s="311"/>
      <c r="AO393" s="307"/>
      <c r="AP393" s="307"/>
      <c r="AQ393" s="308"/>
      <c r="AR393" s="307"/>
      <c r="AS393" s="307"/>
      <c r="AT393" s="307"/>
      <c r="AU393" s="310"/>
      <c r="AV393" s="308"/>
      <c r="AW393" s="312"/>
      <c r="AX393" s="308"/>
      <c r="AY393" s="307"/>
      <c r="AZ393" s="307"/>
      <c r="BA393" s="307"/>
      <c r="BB393" s="307"/>
      <c r="BC393" s="308"/>
      <c r="BD393" s="308"/>
      <c r="BE393" s="313"/>
      <c r="BF393" s="307"/>
      <c r="BG393" s="310"/>
      <c r="BH393" s="307"/>
      <c r="BI393" s="307"/>
      <c r="BJ393" s="310"/>
      <c r="BK393" s="307"/>
      <c r="BL393" s="307"/>
      <c r="BM393" s="310"/>
      <c r="BN393" s="307"/>
      <c r="BO393" s="310"/>
      <c r="BP393" s="307"/>
      <c r="BQ393" s="307"/>
      <c r="BR393" s="307"/>
      <c r="BS393" s="307"/>
      <c r="BT393" s="307"/>
      <c r="BU393" s="310"/>
      <c r="BV393" s="307"/>
      <c r="BW393" s="308"/>
      <c r="BX393" s="311"/>
      <c r="BY393" s="307"/>
      <c r="BZ393" s="307"/>
      <c r="CA393" s="310"/>
      <c r="CB393" s="307"/>
      <c r="CC393" s="307"/>
      <c r="CD393" s="307"/>
      <c r="CE393" s="308"/>
      <c r="CF393" s="308"/>
      <c r="CG393" s="307"/>
      <c r="CH393" s="307"/>
      <c r="CI393" s="307"/>
      <c r="CJ393" s="307"/>
      <c r="CK393" s="314"/>
      <c r="CL393" s="310"/>
      <c r="CM393" s="310"/>
      <c r="CN393" s="307"/>
      <c r="CO393" s="307"/>
      <c r="CP393" s="307"/>
      <c r="CQ393" s="315"/>
      <c r="CR393" s="315"/>
      <c r="CS393" s="315"/>
      <c r="CT393" s="315"/>
      <c r="CU393" s="307"/>
      <c r="CV393" s="217"/>
      <c r="CW393" s="192"/>
      <c r="CX393" s="192"/>
      <c r="CY393" s="192"/>
      <c r="CZ393" s="191"/>
      <c r="DA393" s="193"/>
      <c r="DB393" s="192"/>
      <c r="DC393" s="192"/>
      <c r="DD393" s="192"/>
      <c r="DE393" s="191"/>
      <c r="DF393" s="19"/>
      <c r="DG393" s="192"/>
      <c r="DH393" s="192"/>
      <c r="DI393" s="192"/>
      <c r="DJ393" s="191"/>
      <c r="DK393" s="193"/>
      <c r="DL393" s="192"/>
      <c r="DM393" s="192"/>
      <c r="DN393" s="192"/>
      <c r="DO393" s="191"/>
      <c r="DP393" s="19"/>
      <c r="DQ393" s="192"/>
      <c r="DR393" s="192"/>
      <c r="DS393" s="192"/>
      <c r="DT393" s="191"/>
      <c r="DU393" s="193"/>
      <c r="DV393" s="192"/>
      <c r="DW393" s="192"/>
      <c r="DX393" s="192"/>
      <c r="DY393" s="191"/>
      <c r="DZ393" s="19"/>
      <c r="EA393" s="192"/>
      <c r="EB393" s="192"/>
      <c r="EC393" s="192"/>
      <c r="ED393" s="191"/>
      <c r="EE393" s="193"/>
      <c r="EF393" s="192"/>
      <c r="EG393" s="192"/>
      <c r="EH393" s="192"/>
      <c r="EI393" s="191"/>
      <c r="EJ393" s="19"/>
      <c r="EK393" s="192"/>
      <c r="EL393" s="192"/>
      <c r="EM393" s="192"/>
      <c r="EN393" s="191"/>
      <c r="EO393" s="193"/>
      <c r="EP393" s="192"/>
      <c r="EQ393" s="192"/>
      <c r="ER393" s="192"/>
      <c r="ES393" s="191"/>
      <c r="ET393" s="19"/>
      <c r="EU393" s="192"/>
      <c r="EV393" s="192"/>
      <c r="EW393" s="192"/>
      <c r="EX393" s="191"/>
      <c r="EY393" s="193"/>
      <c r="EZ393" s="192"/>
      <c r="FA393" s="192"/>
      <c r="FB393" s="192"/>
      <c r="FC393" s="191"/>
      <c r="FL393" s="273">
        <f t="shared" ca="1" si="20"/>
        <v>116</v>
      </c>
    </row>
    <row r="394" spans="1:168" ht="16.5" thickBot="1">
      <c r="A394" s="196">
        <v>391</v>
      </c>
      <c r="B394" s="306"/>
      <c r="C394" s="310"/>
      <c r="D394" s="307" t="s">
        <v>271</v>
      </c>
      <c r="E394" s="307" t="s">
        <v>271</v>
      </c>
      <c r="F394" s="308"/>
      <c r="G394" s="343" t="str">
        <f t="shared" si="18"/>
        <v xml:space="preserve"> </v>
      </c>
      <c r="H394" s="307"/>
      <c r="I394" s="309" t="e">
        <f t="shared" si="19"/>
        <v>#N/A</v>
      </c>
      <c r="J394" s="307"/>
      <c r="K394" s="307"/>
      <c r="L394" s="310"/>
      <c r="M394" s="310"/>
      <c r="N394" s="310"/>
      <c r="O394" s="310"/>
      <c r="P394" s="310"/>
      <c r="Q394" s="310"/>
      <c r="R394" s="310"/>
      <c r="S394" s="310"/>
      <c r="T394" s="310"/>
      <c r="U394" s="307"/>
      <c r="V394" s="307"/>
      <c r="W394" s="311"/>
      <c r="X394" s="307"/>
      <c r="Y394" s="307"/>
      <c r="Z394" s="307"/>
      <c r="AA394" s="307"/>
      <c r="AB394" s="311"/>
      <c r="AC394" s="307"/>
      <c r="AD394" s="307"/>
      <c r="AE394" s="307"/>
      <c r="AF394" s="307"/>
      <c r="AG394" s="310"/>
      <c r="AH394" s="307"/>
      <c r="AI394" s="310"/>
      <c r="AJ394" s="307"/>
      <c r="AK394" s="307"/>
      <c r="AL394" s="307"/>
      <c r="AM394" s="308"/>
      <c r="AN394" s="311"/>
      <c r="AO394" s="307"/>
      <c r="AP394" s="307"/>
      <c r="AQ394" s="308"/>
      <c r="AR394" s="307"/>
      <c r="AS394" s="307"/>
      <c r="AT394" s="307"/>
      <c r="AU394" s="310"/>
      <c r="AV394" s="308"/>
      <c r="AW394" s="312"/>
      <c r="AX394" s="308"/>
      <c r="AY394" s="307"/>
      <c r="AZ394" s="307"/>
      <c r="BA394" s="307"/>
      <c r="BB394" s="307"/>
      <c r="BC394" s="308"/>
      <c r="BD394" s="308"/>
      <c r="BE394" s="313"/>
      <c r="BF394" s="307"/>
      <c r="BG394" s="310"/>
      <c r="BH394" s="307"/>
      <c r="BI394" s="307"/>
      <c r="BJ394" s="310"/>
      <c r="BK394" s="307"/>
      <c r="BL394" s="307"/>
      <c r="BM394" s="310"/>
      <c r="BN394" s="307"/>
      <c r="BO394" s="310"/>
      <c r="BP394" s="307"/>
      <c r="BQ394" s="307"/>
      <c r="BR394" s="307"/>
      <c r="BS394" s="307"/>
      <c r="BT394" s="307"/>
      <c r="BU394" s="310"/>
      <c r="BV394" s="307"/>
      <c r="BW394" s="308"/>
      <c r="BX394" s="311"/>
      <c r="BY394" s="307"/>
      <c r="BZ394" s="307"/>
      <c r="CA394" s="310"/>
      <c r="CB394" s="307"/>
      <c r="CC394" s="307"/>
      <c r="CD394" s="307"/>
      <c r="CE394" s="308"/>
      <c r="CF394" s="308"/>
      <c r="CG394" s="307"/>
      <c r="CH394" s="307"/>
      <c r="CI394" s="307"/>
      <c r="CJ394" s="307"/>
      <c r="CK394" s="314"/>
      <c r="CL394" s="310"/>
      <c r="CM394" s="310"/>
      <c r="CN394" s="307"/>
      <c r="CO394" s="307"/>
      <c r="CP394" s="307"/>
      <c r="CQ394" s="315"/>
      <c r="CR394" s="315"/>
      <c r="CS394" s="315"/>
      <c r="CT394" s="315"/>
      <c r="CU394" s="307"/>
      <c r="CV394" s="217"/>
      <c r="CW394" s="192"/>
      <c r="CX394" s="192"/>
      <c r="CY394" s="192"/>
      <c r="CZ394" s="191"/>
      <c r="DA394" s="193"/>
      <c r="DB394" s="192"/>
      <c r="DC394" s="192"/>
      <c r="DD394" s="192"/>
      <c r="DE394" s="191"/>
      <c r="DF394" s="19"/>
      <c r="DG394" s="192"/>
      <c r="DH394" s="192"/>
      <c r="DI394" s="192"/>
      <c r="DJ394" s="191"/>
      <c r="DK394" s="193"/>
      <c r="DL394" s="192"/>
      <c r="DM394" s="192"/>
      <c r="DN394" s="192"/>
      <c r="DO394" s="191"/>
      <c r="DP394" s="19"/>
      <c r="DQ394" s="192"/>
      <c r="DR394" s="192"/>
      <c r="DS394" s="192"/>
      <c r="DT394" s="191"/>
      <c r="DU394" s="193"/>
      <c r="DV394" s="192"/>
      <c r="DW394" s="192"/>
      <c r="DX394" s="192"/>
      <c r="DY394" s="191"/>
      <c r="DZ394" s="19"/>
      <c r="EA394" s="192"/>
      <c r="EB394" s="192"/>
      <c r="EC394" s="192"/>
      <c r="ED394" s="191"/>
      <c r="EE394" s="193"/>
      <c r="EF394" s="192"/>
      <c r="EG394" s="192"/>
      <c r="EH394" s="192"/>
      <c r="EI394" s="191"/>
      <c r="EJ394" s="19"/>
      <c r="EK394" s="192"/>
      <c r="EL394" s="192"/>
      <c r="EM394" s="192"/>
      <c r="EN394" s="191"/>
      <c r="EO394" s="193"/>
      <c r="EP394" s="192"/>
      <c r="EQ394" s="192"/>
      <c r="ER394" s="192"/>
      <c r="ES394" s="191"/>
      <c r="ET394" s="19"/>
      <c r="EU394" s="192"/>
      <c r="EV394" s="192"/>
      <c r="EW394" s="192"/>
      <c r="EX394" s="191"/>
      <c r="EY394" s="193"/>
      <c r="EZ394" s="192"/>
      <c r="FA394" s="192"/>
      <c r="FB394" s="192"/>
      <c r="FC394" s="191"/>
      <c r="FL394" s="273">
        <f t="shared" ca="1" si="20"/>
        <v>116</v>
      </c>
    </row>
    <row r="395" spans="1:168" ht="16.5" thickBot="1">
      <c r="A395" s="199">
        <v>392</v>
      </c>
      <c r="B395" s="306"/>
      <c r="C395" s="310"/>
      <c r="D395" s="307" t="s">
        <v>271</v>
      </c>
      <c r="E395" s="307" t="s">
        <v>271</v>
      </c>
      <c r="F395" s="308"/>
      <c r="G395" s="343" t="str">
        <f t="shared" si="18"/>
        <v xml:space="preserve"> </v>
      </c>
      <c r="H395" s="307"/>
      <c r="I395" s="309" t="e">
        <f t="shared" si="19"/>
        <v>#N/A</v>
      </c>
      <c r="J395" s="307"/>
      <c r="K395" s="307"/>
      <c r="L395" s="310"/>
      <c r="M395" s="310"/>
      <c r="N395" s="310"/>
      <c r="O395" s="310"/>
      <c r="P395" s="310"/>
      <c r="Q395" s="310"/>
      <c r="R395" s="310"/>
      <c r="S395" s="310"/>
      <c r="T395" s="310"/>
      <c r="U395" s="307"/>
      <c r="V395" s="307"/>
      <c r="W395" s="311"/>
      <c r="X395" s="307"/>
      <c r="Y395" s="307"/>
      <c r="Z395" s="307"/>
      <c r="AA395" s="307"/>
      <c r="AB395" s="311"/>
      <c r="AC395" s="307"/>
      <c r="AD395" s="307"/>
      <c r="AE395" s="307"/>
      <c r="AF395" s="307"/>
      <c r="AG395" s="310"/>
      <c r="AH395" s="307"/>
      <c r="AI395" s="310"/>
      <c r="AJ395" s="307"/>
      <c r="AK395" s="307"/>
      <c r="AL395" s="307"/>
      <c r="AM395" s="308"/>
      <c r="AN395" s="311"/>
      <c r="AO395" s="307"/>
      <c r="AP395" s="307"/>
      <c r="AQ395" s="308"/>
      <c r="AR395" s="307"/>
      <c r="AS395" s="307"/>
      <c r="AT395" s="307"/>
      <c r="AU395" s="310"/>
      <c r="AV395" s="308"/>
      <c r="AW395" s="312"/>
      <c r="AX395" s="308"/>
      <c r="AY395" s="307"/>
      <c r="AZ395" s="307"/>
      <c r="BA395" s="307"/>
      <c r="BB395" s="307"/>
      <c r="BC395" s="308"/>
      <c r="BD395" s="308"/>
      <c r="BE395" s="313"/>
      <c r="BF395" s="307"/>
      <c r="BG395" s="310"/>
      <c r="BH395" s="307"/>
      <c r="BI395" s="307"/>
      <c r="BJ395" s="310"/>
      <c r="BK395" s="307"/>
      <c r="BL395" s="307"/>
      <c r="BM395" s="310"/>
      <c r="BN395" s="307"/>
      <c r="BO395" s="310"/>
      <c r="BP395" s="307"/>
      <c r="BQ395" s="307"/>
      <c r="BR395" s="307"/>
      <c r="BS395" s="307"/>
      <c r="BT395" s="307"/>
      <c r="BU395" s="310"/>
      <c r="BV395" s="307"/>
      <c r="BW395" s="308"/>
      <c r="BX395" s="311"/>
      <c r="BY395" s="307"/>
      <c r="BZ395" s="307"/>
      <c r="CA395" s="310"/>
      <c r="CB395" s="307"/>
      <c r="CC395" s="307"/>
      <c r="CD395" s="307"/>
      <c r="CE395" s="308"/>
      <c r="CF395" s="308"/>
      <c r="CG395" s="307"/>
      <c r="CH395" s="307"/>
      <c r="CI395" s="307"/>
      <c r="CJ395" s="307"/>
      <c r="CK395" s="314"/>
      <c r="CL395" s="310"/>
      <c r="CM395" s="310"/>
      <c r="CN395" s="307"/>
      <c r="CO395" s="307"/>
      <c r="CP395" s="307"/>
      <c r="CQ395" s="315"/>
      <c r="CR395" s="315"/>
      <c r="CS395" s="315"/>
      <c r="CT395" s="315"/>
      <c r="CU395" s="307"/>
      <c r="CV395" s="217"/>
      <c r="CW395" s="192"/>
      <c r="CX395" s="192"/>
      <c r="CY395" s="192"/>
      <c r="CZ395" s="191"/>
      <c r="DA395" s="193"/>
      <c r="DB395" s="192"/>
      <c r="DC395" s="192"/>
      <c r="DD395" s="192"/>
      <c r="DE395" s="191"/>
      <c r="DF395" s="19"/>
      <c r="DG395" s="192"/>
      <c r="DH395" s="192"/>
      <c r="DI395" s="192"/>
      <c r="DJ395" s="191"/>
      <c r="DK395" s="193"/>
      <c r="DL395" s="192"/>
      <c r="DM395" s="192"/>
      <c r="DN395" s="192"/>
      <c r="DO395" s="191"/>
      <c r="DP395" s="19"/>
      <c r="DQ395" s="192"/>
      <c r="DR395" s="192"/>
      <c r="DS395" s="192"/>
      <c r="DT395" s="191"/>
      <c r="DU395" s="193"/>
      <c r="DV395" s="192"/>
      <c r="DW395" s="192"/>
      <c r="DX395" s="192"/>
      <c r="DY395" s="191"/>
      <c r="DZ395" s="19"/>
      <c r="EA395" s="192"/>
      <c r="EB395" s="192"/>
      <c r="EC395" s="192"/>
      <c r="ED395" s="191"/>
      <c r="EE395" s="193"/>
      <c r="EF395" s="192"/>
      <c r="EG395" s="192"/>
      <c r="EH395" s="192"/>
      <c r="EI395" s="191"/>
      <c r="EJ395" s="19"/>
      <c r="EK395" s="192"/>
      <c r="EL395" s="192"/>
      <c r="EM395" s="192"/>
      <c r="EN395" s="191"/>
      <c r="EO395" s="193"/>
      <c r="EP395" s="192"/>
      <c r="EQ395" s="192"/>
      <c r="ER395" s="192"/>
      <c r="ES395" s="191"/>
      <c r="ET395" s="19"/>
      <c r="EU395" s="192"/>
      <c r="EV395" s="192"/>
      <c r="EW395" s="192"/>
      <c r="EX395" s="191"/>
      <c r="EY395" s="193"/>
      <c r="EZ395" s="192"/>
      <c r="FA395" s="192"/>
      <c r="FB395" s="192"/>
      <c r="FC395" s="191"/>
      <c r="FL395" s="273">
        <f t="shared" ca="1" si="20"/>
        <v>116</v>
      </c>
    </row>
    <row r="396" spans="1:168" ht="16.5" thickBot="1">
      <c r="A396" s="196">
        <v>393</v>
      </c>
      <c r="B396" s="306"/>
      <c r="C396" s="310"/>
      <c r="D396" s="307" t="s">
        <v>271</v>
      </c>
      <c r="E396" s="307" t="s">
        <v>271</v>
      </c>
      <c r="F396" s="308"/>
      <c r="G396" s="343" t="str">
        <f t="shared" si="18"/>
        <v xml:space="preserve"> </v>
      </c>
      <c r="H396" s="307"/>
      <c r="I396" s="309" t="e">
        <f t="shared" si="19"/>
        <v>#N/A</v>
      </c>
      <c r="J396" s="307"/>
      <c r="K396" s="307"/>
      <c r="L396" s="310"/>
      <c r="M396" s="310"/>
      <c r="N396" s="310"/>
      <c r="O396" s="310"/>
      <c r="P396" s="310"/>
      <c r="Q396" s="310"/>
      <c r="R396" s="310"/>
      <c r="S396" s="310"/>
      <c r="T396" s="310"/>
      <c r="U396" s="307"/>
      <c r="V396" s="307"/>
      <c r="W396" s="311"/>
      <c r="X396" s="307"/>
      <c r="Y396" s="307"/>
      <c r="Z396" s="307"/>
      <c r="AA396" s="307"/>
      <c r="AB396" s="311"/>
      <c r="AC396" s="307"/>
      <c r="AD396" s="307"/>
      <c r="AE396" s="307"/>
      <c r="AF396" s="307"/>
      <c r="AG396" s="310"/>
      <c r="AH396" s="307"/>
      <c r="AI396" s="310"/>
      <c r="AJ396" s="307"/>
      <c r="AK396" s="307"/>
      <c r="AL396" s="307"/>
      <c r="AM396" s="308"/>
      <c r="AN396" s="311"/>
      <c r="AO396" s="307"/>
      <c r="AP396" s="307"/>
      <c r="AQ396" s="308"/>
      <c r="AR396" s="307"/>
      <c r="AS396" s="307"/>
      <c r="AT396" s="307"/>
      <c r="AU396" s="310"/>
      <c r="AV396" s="308"/>
      <c r="AW396" s="312"/>
      <c r="AX396" s="308"/>
      <c r="AY396" s="307"/>
      <c r="AZ396" s="307"/>
      <c r="BA396" s="307"/>
      <c r="BB396" s="307"/>
      <c r="BC396" s="308"/>
      <c r="BD396" s="308"/>
      <c r="BE396" s="313"/>
      <c r="BF396" s="307"/>
      <c r="BG396" s="310"/>
      <c r="BH396" s="307"/>
      <c r="BI396" s="307"/>
      <c r="BJ396" s="310"/>
      <c r="BK396" s="307"/>
      <c r="BL396" s="307"/>
      <c r="BM396" s="310"/>
      <c r="BN396" s="307"/>
      <c r="BO396" s="310"/>
      <c r="BP396" s="307"/>
      <c r="BQ396" s="307"/>
      <c r="BR396" s="307"/>
      <c r="BS396" s="307"/>
      <c r="BT396" s="307"/>
      <c r="BU396" s="310"/>
      <c r="BV396" s="307"/>
      <c r="BW396" s="308"/>
      <c r="BX396" s="311"/>
      <c r="BY396" s="307"/>
      <c r="BZ396" s="307"/>
      <c r="CA396" s="310"/>
      <c r="CB396" s="307"/>
      <c r="CC396" s="307"/>
      <c r="CD396" s="307"/>
      <c r="CE396" s="308"/>
      <c r="CF396" s="308"/>
      <c r="CG396" s="307"/>
      <c r="CH396" s="307"/>
      <c r="CI396" s="307"/>
      <c r="CJ396" s="307"/>
      <c r="CK396" s="314"/>
      <c r="CL396" s="310"/>
      <c r="CM396" s="310"/>
      <c r="CN396" s="307"/>
      <c r="CO396" s="307"/>
      <c r="CP396" s="307"/>
      <c r="CQ396" s="315"/>
      <c r="CR396" s="315"/>
      <c r="CS396" s="315"/>
      <c r="CT396" s="315"/>
      <c r="CU396" s="307"/>
      <c r="CV396" s="217"/>
      <c r="CW396" s="192"/>
      <c r="CX396" s="192"/>
      <c r="CY396" s="192"/>
      <c r="CZ396" s="191"/>
      <c r="DA396" s="193"/>
      <c r="DB396" s="192"/>
      <c r="DC396" s="192"/>
      <c r="DD396" s="192"/>
      <c r="DE396" s="191"/>
      <c r="DF396" s="19"/>
      <c r="DG396" s="192"/>
      <c r="DH396" s="192"/>
      <c r="DI396" s="192"/>
      <c r="DJ396" s="191"/>
      <c r="DK396" s="193"/>
      <c r="DL396" s="192"/>
      <c r="DM396" s="192"/>
      <c r="DN396" s="192"/>
      <c r="DO396" s="191"/>
      <c r="DP396" s="19"/>
      <c r="DQ396" s="192"/>
      <c r="DR396" s="192"/>
      <c r="DS396" s="192"/>
      <c r="DT396" s="191"/>
      <c r="DU396" s="193"/>
      <c r="DV396" s="192"/>
      <c r="DW396" s="192"/>
      <c r="DX396" s="192"/>
      <c r="DY396" s="191"/>
      <c r="DZ396" s="19"/>
      <c r="EA396" s="192"/>
      <c r="EB396" s="192"/>
      <c r="EC396" s="192"/>
      <c r="ED396" s="191"/>
      <c r="EE396" s="193"/>
      <c r="EF396" s="192"/>
      <c r="EG396" s="192"/>
      <c r="EH396" s="192"/>
      <c r="EI396" s="191"/>
      <c r="EJ396" s="19"/>
      <c r="EK396" s="192"/>
      <c r="EL396" s="192"/>
      <c r="EM396" s="192"/>
      <c r="EN396" s="191"/>
      <c r="EO396" s="193"/>
      <c r="EP396" s="192"/>
      <c r="EQ396" s="192"/>
      <c r="ER396" s="192"/>
      <c r="ES396" s="191"/>
      <c r="ET396" s="19"/>
      <c r="EU396" s="192"/>
      <c r="EV396" s="192"/>
      <c r="EW396" s="192"/>
      <c r="EX396" s="191"/>
      <c r="EY396" s="193"/>
      <c r="EZ396" s="192"/>
      <c r="FA396" s="192"/>
      <c r="FB396" s="192"/>
      <c r="FC396" s="191"/>
      <c r="FL396" s="273">
        <f t="shared" ca="1" si="20"/>
        <v>116</v>
      </c>
    </row>
    <row r="397" spans="1:168" ht="16.5" thickBot="1">
      <c r="A397" s="199">
        <v>394</v>
      </c>
      <c r="B397" s="306"/>
      <c r="C397" s="310"/>
      <c r="D397" s="307" t="s">
        <v>271</v>
      </c>
      <c r="E397" s="307" t="s">
        <v>271</v>
      </c>
      <c r="F397" s="308"/>
      <c r="G397" s="343" t="str">
        <f t="shared" si="18"/>
        <v xml:space="preserve"> </v>
      </c>
      <c r="H397" s="307"/>
      <c r="I397" s="309" t="e">
        <f t="shared" si="19"/>
        <v>#N/A</v>
      </c>
      <c r="J397" s="307"/>
      <c r="K397" s="307"/>
      <c r="L397" s="310"/>
      <c r="M397" s="310"/>
      <c r="N397" s="310"/>
      <c r="O397" s="310"/>
      <c r="P397" s="310"/>
      <c r="Q397" s="310"/>
      <c r="R397" s="310"/>
      <c r="S397" s="310"/>
      <c r="T397" s="310"/>
      <c r="U397" s="307"/>
      <c r="V397" s="307"/>
      <c r="W397" s="311"/>
      <c r="X397" s="307"/>
      <c r="Y397" s="307"/>
      <c r="Z397" s="307"/>
      <c r="AA397" s="307"/>
      <c r="AB397" s="311"/>
      <c r="AC397" s="307"/>
      <c r="AD397" s="307"/>
      <c r="AE397" s="307"/>
      <c r="AF397" s="307"/>
      <c r="AG397" s="310"/>
      <c r="AH397" s="307"/>
      <c r="AI397" s="310"/>
      <c r="AJ397" s="307"/>
      <c r="AK397" s="307"/>
      <c r="AL397" s="307"/>
      <c r="AM397" s="308"/>
      <c r="AN397" s="311"/>
      <c r="AO397" s="307"/>
      <c r="AP397" s="307"/>
      <c r="AQ397" s="308"/>
      <c r="AR397" s="307"/>
      <c r="AS397" s="307"/>
      <c r="AT397" s="307"/>
      <c r="AU397" s="310"/>
      <c r="AV397" s="308"/>
      <c r="AW397" s="312"/>
      <c r="AX397" s="308"/>
      <c r="AY397" s="307"/>
      <c r="AZ397" s="307"/>
      <c r="BA397" s="307"/>
      <c r="BB397" s="307"/>
      <c r="BC397" s="308"/>
      <c r="BD397" s="308"/>
      <c r="BE397" s="313"/>
      <c r="BF397" s="307"/>
      <c r="BG397" s="310"/>
      <c r="BH397" s="307"/>
      <c r="BI397" s="307"/>
      <c r="BJ397" s="310"/>
      <c r="BK397" s="307"/>
      <c r="BL397" s="307"/>
      <c r="BM397" s="310"/>
      <c r="BN397" s="307"/>
      <c r="BO397" s="310"/>
      <c r="BP397" s="307"/>
      <c r="BQ397" s="307"/>
      <c r="BR397" s="307"/>
      <c r="BS397" s="307"/>
      <c r="BT397" s="307"/>
      <c r="BU397" s="310"/>
      <c r="BV397" s="307"/>
      <c r="BW397" s="308"/>
      <c r="BX397" s="311"/>
      <c r="BY397" s="307"/>
      <c r="BZ397" s="307"/>
      <c r="CA397" s="310"/>
      <c r="CB397" s="307"/>
      <c r="CC397" s="307"/>
      <c r="CD397" s="307"/>
      <c r="CE397" s="308"/>
      <c r="CF397" s="308"/>
      <c r="CG397" s="307"/>
      <c r="CH397" s="307"/>
      <c r="CI397" s="307"/>
      <c r="CJ397" s="307"/>
      <c r="CK397" s="314"/>
      <c r="CL397" s="310"/>
      <c r="CM397" s="310"/>
      <c r="CN397" s="307"/>
      <c r="CO397" s="307"/>
      <c r="CP397" s="307"/>
      <c r="CQ397" s="315"/>
      <c r="CR397" s="315"/>
      <c r="CS397" s="315"/>
      <c r="CT397" s="315"/>
      <c r="CU397" s="307"/>
      <c r="CV397" s="217"/>
      <c r="CW397" s="192"/>
      <c r="CX397" s="192"/>
      <c r="CY397" s="192"/>
      <c r="CZ397" s="191"/>
      <c r="DA397" s="193"/>
      <c r="DB397" s="192"/>
      <c r="DC397" s="192"/>
      <c r="DD397" s="192"/>
      <c r="DE397" s="191"/>
      <c r="DF397" s="19"/>
      <c r="DG397" s="192"/>
      <c r="DH397" s="192"/>
      <c r="DI397" s="192"/>
      <c r="DJ397" s="191"/>
      <c r="DK397" s="193"/>
      <c r="DL397" s="192"/>
      <c r="DM397" s="192"/>
      <c r="DN397" s="192"/>
      <c r="DO397" s="191"/>
      <c r="DP397" s="19"/>
      <c r="DQ397" s="192"/>
      <c r="DR397" s="192"/>
      <c r="DS397" s="192"/>
      <c r="DT397" s="191"/>
      <c r="DU397" s="193"/>
      <c r="DV397" s="192"/>
      <c r="DW397" s="192"/>
      <c r="DX397" s="192"/>
      <c r="DY397" s="191"/>
      <c r="DZ397" s="19"/>
      <c r="EA397" s="192"/>
      <c r="EB397" s="192"/>
      <c r="EC397" s="192"/>
      <c r="ED397" s="191"/>
      <c r="EE397" s="193"/>
      <c r="EF397" s="192"/>
      <c r="EG397" s="192"/>
      <c r="EH397" s="192"/>
      <c r="EI397" s="191"/>
      <c r="EJ397" s="19"/>
      <c r="EK397" s="192"/>
      <c r="EL397" s="192"/>
      <c r="EM397" s="192"/>
      <c r="EN397" s="191"/>
      <c r="EO397" s="193"/>
      <c r="EP397" s="192"/>
      <c r="EQ397" s="192"/>
      <c r="ER397" s="192"/>
      <c r="ES397" s="191"/>
      <c r="ET397" s="19"/>
      <c r="EU397" s="192"/>
      <c r="EV397" s="192"/>
      <c r="EW397" s="192"/>
      <c r="EX397" s="191"/>
      <c r="EY397" s="193"/>
      <c r="EZ397" s="192"/>
      <c r="FA397" s="192"/>
      <c r="FB397" s="192"/>
      <c r="FC397" s="191"/>
      <c r="FL397" s="273">
        <f t="shared" ca="1" si="20"/>
        <v>116</v>
      </c>
    </row>
    <row r="398" spans="1:168" ht="16.5" thickBot="1">
      <c r="A398" s="196">
        <v>395</v>
      </c>
      <c r="B398" s="306"/>
      <c r="C398" s="310"/>
      <c r="D398" s="307" t="s">
        <v>271</v>
      </c>
      <c r="E398" s="307" t="s">
        <v>271</v>
      </c>
      <c r="F398" s="308"/>
      <c r="G398" s="343" t="str">
        <f t="shared" si="18"/>
        <v xml:space="preserve"> </v>
      </c>
      <c r="H398" s="307"/>
      <c r="I398" s="309" t="e">
        <f t="shared" si="19"/>
        <v>#N/A</v>
      </c>
      <c r="J398" s="307"/>
      <c r="K398" s="307"/>
      <c r="L398" s="310"/>
      <c r="M398" s="310"/>
      <c r="N398" s="310"/>
      <c r="O398" s="310"/>
      <c r="P398" s="310"/>
      <c r="Q398" s="310"/>
      <c r="R398" s="310"/>
      <c r="S398" s="310"/>
      <c r="T398" s="310"/>
      <c r="U398" s="307"/>
      <c r="V398" s="307"/>
      <c r="W398" s="311"/>
      <c r="X398" s="307"/>
      <c r="Y398" s="307"/>
      <c r="Z398" s="307"/>
      <c r="AA398" s="307"/>
      <c r="AB398" s="311"/>
      <c r="AC398" s="307"/>
      <c r="AD398" s="307"/>
      <c r="AE398" s="307"/>
      <c r="AF398" s="307"/>
      <c r="AG398" s="310"/>
      <c r="AH398" s="307"/>
      <c r="AI398" s="310"/>
      <c r="AJ398" s="307"/>
      <c r="AK398" s="307"/>
      <c r="AL398" s="307"/>
      <c r="AM398" s="308"/>
      <c r="AN398" s="311"/>
      <c r="AO398" s="307"/>
      <c r="AP398" s="307"/>
      <c r="AQ398" s="308"/>
      <c r="AR398" s="307"/>
      <c r="AS398" s="307"/>
      <c r="AT398" s="307"/>
      <c r="AU398" s="310"/>
      <c r="AV398" s="308"/>
      <c r="AW398" s="312"/>
      <c r="AX398" s="308"/>
      <c r="AY398" s="307"/>
      <c r="AZ398" s="307"/>
      <c r="BA398" s="307"/>
      <c r="BB398" s="307"/>
      <c r="BC398" s="308"/>
      <c r="BD398" s="308"/>
      <c r="BE398" s="313"/>
      <c r="BF398" s="307"/>
      <c r="BG398" s="310"/>
      <c r="BH398" s="307"/>
      <c r="BI398" s="307"/>
      <c r="BJ398" s="310"/>
      <c r="BK398" s="307"/>
      <c r="BL398" s="307"/>
      <c r="BM398" s="310"/>
      <c r="BN398" s="307"/>
      <c r="BO398" s="310"/>
      <c r="BP398" s="307"/>
      <c r="BQ398" s="307"/>
      <c r="BR398" s="307"/>
      <c r="BS398" s="307"/>
      <c r="BT398" s="307"/>
      <c r="BU398" s="310"/>
      <c r="BV398" s="307"/>
      <c r="BW398" s="308"/>
      <c r="BX398" s="311"/>
      <c r="BY398" s="307"/>
      <c r="BZ398" s="307"/>
      <c r="CA398" s="310"/>
      <c r="CB398" s="307"/>
      <c r="CC398" s="307"/>
      <c r="CD398" s="307"/>
      <c r="CE398" s="308"/>
      <c r="CF398" s="308"/>
      <c r="CG398" s="307"/>
      <c r="CH398" s="307"/>
      <c r="CI398" s="307"/>
      <c r="CJ398" s="307"/>
      <c r="CK398" s="314"/>
      <c r="CL398" s="310"/>
      <c r="CM398" s="310"/>
      <c r="CN398" s="307"/>
      <c r="CO398" s="307"/>
      <c r="CP398" s="307"/>
      <c r="CQ398" s="315"/>
      <c r="CR398" s="315"/>
      <c r="CS398" s="315"/>
      <c r="CT398" s="315"/>
      <c r="CU398" s="307"/>
      <c r="CV398" s="217"/>
      <c r="CW398" s="192"/>
      <c r="CX398" s="192"/>
      <c r="CY398" s="192"/>
      <c r="CZ398" s="191"/>
      <c r="DA398" s="193"/>
      <c r="DB398" s="192"/>
      <c r="DC398" s="192"/>
      <c r="DD398" s="192"/>
      <c r="DE398" s="191"/>
      <c r="DF398" s="19"/>
      <c r="DG398" s="192"/>
      <c r="DH398" s="192"/>
      <c r="DI398" s="192"/>
      <c r="DJ398" s="191"/>
      <c r="DK398" s="193"/>
      <c r="DL398" s="192"/>
      <c r="DM398" s="192"/>
      <c r="DN398" s="192"/>
      <c r="DO398" s="191"/>
      <c r="DP398" s="19"/>
      <c r="DQ398" s="192"/>
      <c r="DR398" s="192"/>
      <c r="DS398" s="192"/>
      <c r="DT398" s="191"/>
      <c r="DU398" s="193"/>
      <c r="DV398" s="192"/>
      <c r="DW398" s="192"/>
      <c r="DX398" s="192"/>
      <c r="DY398" s="191"/>
      <c r="DZ398" s="19"/>
      <c r="EA398" s="192"/>
      <c r="EB398" s="192"/>
      <c r="EC398" s="192"/>
      <c r="ED398" s="191"/>
      <c r="EE398" s="193"/>
      <c r="EF398" s="192"/>
      <c r="EG398" s="192"/>
      <c r="EH398" s="192"/>
      <c r="EI398" s="191"/>
      <c r="EJ398" s="19"/>
      <c r="EK398" s="192"/>
      <c r="EL398" s="192"/>
      <c r="EM398" s="192"/>
      <c r="EN398" s="191"/>
      <c r="EO398" s="193"/>
      <c r="EP398" s="192"/>
      <c r="EQ398" s="192"/>
      <c r="ER398" s="192"/>
      <c r="ES398" s="191"/>
      <c r="ET398" s="19"/>
      <c r="EU398" s="192"/>
      <c r="EV398" s="192"/>
      <c r="EW398" s="192"/>
      <c r="EX398" s="191"/>
      <c r="EY398" s="193"/>
      <c r="EZ398" s="192"/>
      <c r="FA398" s="192"/>
      <c r="FB398" s="192"/>
      <c r="FC398" s="191"/>
      <c r="FL398" s="273">
        <f t="shared" ca="1" si="20"/>
        <v>116</v>
      </c>
    </row>
    <row r="399" spans="1:168" ht="16.5" thickBot="1">
      <c r="A399" s="199">
        <v>396</v>
      </c>
      <c r="B399" s="306"/>
      <c r="C399" s="310"/>
      <c r="D399" s="307" t="s">
        <v>271</v>
      </c>
      <c r="E399" s="307" t="s">
        <v>271</v>
      </c>
      <c r="F399" s="308"/>
      <c r="G399" s="343" t="str">
        <f t="shared" si="18"/>
        <v xml:space="preserve"> </v>
      </c>
      <c r="H399" s="307"/>
      <c r="I399" s="309" t="e">
        <f t="shared" si="19"/>
        <v>#N/A</v>
      </c>
      <c r="J399" s="307"/>
      <c r="K399" s="307"/>
      <c r="L399" s="310"/>
      <c r="M399" s="310"/>
      <c r="N399" s="310"/>
      <c r="O399" s="310"/>
      <c r="P399" s="310"/>
      <c r="Q399" s="310"/>
      <c r="R399" s="310"/>
      <c r="S399" s="310"/>
      <c r="T399" s="310"/>
      <c r="U399" s="307"/>
      <c r="V399" s="307"/>
      <c r="W399" s="311"/>
      <c r="X399" s="307"/>
      <c r="Y399" s="307"/>
      <c r="Z399" s="307"/>
      <c r="AA399" s="307"/>
      <c r="AB399" s="311"/>
      <c r="AC399" s="307"/>
      <c r="AD399" s="307"/>
      <c r="AE399" s="307"/>
      <c r="AF399" s="307"/>
      <c r="AG399" s="310"/>
      <c r="AH399" s="307"/>
      <c r="AI399" s="310"/>
      <c r="AJ399" s="307"/>
      <c r="AK399" s="307"/>
      <c r="AL399" s="307"/>
      <c r="AM399" s="308"/>
      <c r="AN399" s="311"/>
      <c r="AO399" s="307"/>
      <c r="AP399" s="307"/>
      <c r="AQ399" s="308"/>
      <c r="AR399" s="307"/>
      <c r="AS399" s="307"/>
      <c r="AT399" s="307"/>
      <c r="AU399" s="310"/>
      <c r="AV399" s="308"/>
      <c r="AW399" s="312"/>
      <c r="AX399" s="308"/>
      <c r="AY399" s="307"/>
      <c r="AZ399" s="307"/>
      <c r="BA399" s="307"/>
      <c r="BB399" s="307"/>
      <c r="BC399" s="308"/>
      <c r="BD399" s="308"/>
      <c r="BE399" s="313"/>
      <c r="BF399" s="307"/>
      <c r="BG399" s="310"/>
      <c r="BH399" s="307"/>
      <c r="BI399" s="307"/>
      <c r="BJ399" s="310"/>
      <c r="BK399" s="307"/>
      <c r="BL399" s="307"/>
      <c r="BM399" s="310"/>
      <c r="BN399" s="307"/>
      <c r="BO399" s="310"/>
      <c r="BP399" s="307"/>
      <c r="BQ399" s="307"/>
      <c r="BR399" s="307"/>
      <c r="BS399" s="307"/>
      <c r="BT399" s="307"/>
      <c r="BU399" s="310"/>
      <c r="BV399" s="307"/>
      <c r="BW399" s="308"/>
      <c r="BX399" s="311"/>
      <c r="BY399" s="307"/>
      <c r="BZ399" s="307"/>
      <c r="CA399" s="310"/>
      <c r="CB399" s="307"/>
      <c r="CC399" s="307"/>
      <c r="CD399" s="307"/>
      <c r="CE399" s="308"/>
      <c r="CF399" s="308"/>
      <c r="CG399" s="307"/>
      <c r="CH399" s="307"/>
      <c r="CI399" s="307"/>
      <c r="CJ399" s="307"/>
      <c r="CK399" s="314"/>
      <c r="CL399" s="310"/>
      <c r="CM399" s="310"/>
      <c r="CN399" s="307"/>
      <c r="CO399" s="307"/>
      <c r="CP399" s="307"/>
      <c r="CQ399" s="315"/>
      <c r="CR399" s="315"/>
      <c r="CS399" s="315"/>
      <c r="CT399" s="315"/>
      <c r="CU399" s="307"/>
      <c r="CV399" s="217"/>
      <c r="CW399" s="192"/>
      <c r="CX399" s="192"/>
      <c r="CY399" s="192"/>
      <c r="CZ399" s="191"/>
      <c r="DA399" s="193"/>
      <c r="DB399" s="192"/>
      <c r="DC399" s="192"/>
      <c r="DD399" s="192"/>
      <c r="DE399" s="191"/>
      <c r="DF399" s="19"/>
      <c r="DG399" s="192"/>
      <c r="DH399" s="192"/>
      <c r="DI399" s="192"/>
      <c r="DJ399" s="191"/>
      <c r="DK399" s="193"/>
      <c r="DL399" s="192"/>
      <c r="DM399" s="192"/>
      <c r="DN399" s="192"/>
      <c r="DO399" s="191"/>
      <c r="DP399" s="19"/>
      <c r="DQ399" s="192"/>
      <c r="DR399" s="192"/>
      <c r="DS399" s="192"/>
      <c r="DT399" s="191"/>
      <c r="DU399" s="193"/>
      <c r="DV399" s="192"/>
      <c r="DW399" s="192"/>
      <c r="DX399" s="192"/>
      <c r="DY399" s="191"/>
      <c r="DZ399" s="19"/>
      <c r="EA399" s="192"/>
      <c r="EB399" s="192"/>
      <c r="EC399" s="192"/>
      <c r="ED399" s="191"/>
      <c r="EE399" s="193"/>
      <c r="EF399" s="192"/>
      <c r="EG399" s="192"/>
      <c r="EH399" s="192"/>
      <c r="EI399" s="191"/>
      <c r="EJ399" s="19"/>
      <c r="EK399" s="192"/>
      <c r="EL399" s="192"/>
      <c r="EM399" s="192"/>
      <c r="EN399" s="191"/>
      <c r="EO399" s="193"/>
      <c r="EP399" s="192"/>
      <c r="EQ399" s="192"/>
      <c r="ER399" s="192"/>
      <c r="ES399" s="191"/>
      <c r="ET399" s="19"/>
      <c r="EU399" s="192"/>
      <c r="EV399" s="192"/>
      <c r="EW399" s="192"/>
      <c r="EX399" s="191"/>
      <c r="EY399" s="193"/>
      <c r="EZ399" s="192"/>
      <c r="FA399" s="192"/>
      <c r="FB399" s="192"/>
      <c r="FC399" s="191"/>
      <c r="FL399" s="273">
        <f t="shared" ca="1" si="20"/>
        <v>116</v>
      </c>
    </row>
    <row r="400" spans="1:168" ht="16.5" thickBot="1">
      <c r="A400" s="196">
        <v>397</v>
      </c>
      <c r="B400" s="306"/>
      <c r="C400" s="310"/>
      <c r="D400" s="307" t="s">
        <v>271</v>
      </c>
      <c r="E400" s="307" t="s">
        <v>271</v>
      </c>
      <c r="F400" s="308"/>
      <c r="G400" s="343" t="str">
        <f t="shared" si="18"/>
        <v xml:space="preserve"> </v>
      </c>
      <c r="H400" s="307"/>
      <c r="I400" s="309" t="e">
        <f t="shared" si="19"/>
        <v>#N/A</v>
      </c>
      <c r="J400" s="307"/>
      <c r="K400" s="307"/>
      <c r="L400" s="310"/>
      <c r="M400" s="310"/>
      <c r="N400" s="310"/>
      <c r="O400" s="310"/>
      <c r="P400" s="310"/>
      <c r="Q400" s="310"/>
      <c r="R400" s="310"/>
      <c r="S400" s="310"/>
      <c r="T400" s="310"/>
      <c r="U400" s="307"/>
      <c r="V400" s="307"/>
      <c r="W400" s="311"/>
      <c r="X400" s="307"/>
      <c r="Y400" s="307"/>
      <c r="Z400" s="307"/>
      <c r="AA400" s="307"/>
      <c r="AB400" s="311"/>
      <c r="AC400" s="307"/>
      <c r="AD400" s="307"/>
      <c r="AE400" s="307"/>
      <c r="AF400" s="307"/>
      <c r="AG400" s="310"/>
      <c r="AH400" s="307"/>
      <c r="AI400" s="310"/>
      <c r="AJ400" s="307"/>
      <c r="AK400" s="307"/>
      <c r="AL400" s="307"/>
      <c r="AM400" s="308"/>
      <c r="AN400" s="311"/>
      <c r="AO400" s="307"/>
      <c r="AP400" s="307"/>
      <c r="AQ400" s="308"/>
      <c r="AR400" s="307"/>
      <c r="AS400" s="307"/>
      <c r="AT400" s="307"/>
      <c r="AU400" s="310"/>
      <c r="AV400" s="308"/>
      <c r="AW400" s="312"/>
      <c r="AX400" s="308"/>
      <c r="AY400" s="307"/>
      <c r="AZ400" s="307"/>
      <c r="BA400" s="307"/>
      <c r="BB400" s="307"/>
      <c r="BC400" s="308"/>
      <c r="BD400" s="308"/>
      <c r="BE400" s="313"/>
      <c r="BF400" s="307"/>
      <c r="BG400" s="310"/>
      <c r="BH400" s="307"/>
      <c r="BI400" s="307"/>
      <c r="BJ400" s="310"/>
      <c r="BK400" s="307"/>
      <c r="BL400" s="307"/>
      <c r="BM400" s="310"/>
      <c r="BN400" s="307"/>
      <c r="BO400" s="310"/>
      <c r="BP400" s="307"/>
      <c r="BQ400" s="307"/>
      <c r="BR400" s="307"/>
      <c r="BS400" s="307"/>
      <c r="BT400" s="307"/>
      <c r="BU400" s="310"/>
      <c r="BV400" s="307"/>
      <c r="BW400" s="308"/>
      <c r="BX400" s="311"/>
      <c r="BY400" s="307"/>
      <c r="BZ400" s="307"/>
      <c r="CA400" s="310"/>
      <c r="CB400" s="307"/>
      <c r="CC400" s="307"/>
      <c r="CD400" s="307"/>
      <c r="CE400" s="308"/>
      <c r="CF400" s="308"/>
      <c r="CG400" s="307"/>
      <c r="CH400" s="307"/>
      <c r="CI400" s="307"/>
      <c r="CJ400" s="307"/>
      <c r="CK400" s="314"/>
      <c r="CL400" s="310"/>
      <c r="CM400" s="310"/>
      <c r="CN400" s="307"/>
      <c r="CO400" s="307"/>
      <c r="CP400" s="307"/>
      <c r="CQ400" s="315"/>
      <c r="CR400" s="315"/>
      <c r="CS400" s="315"/>
      <c r="CT400" s="315"/>
      <c r="CU400" s="307"/>
      <c r="CV400" s="217"/>
      <c r="CW400" s="192"/>
      <c r="CX400" s="192"/>
      <c r="CY400" s="192"/>
      <c r="CZ400" s="191"/>
      <c r="DA400" s="193"/>
      <c r="DB400" s="192"/>
      <c r="DC400" s="192"/>
      <c r="DD400" s="192"/>
      <c r="DE400" s="191"/>
      <c r="DF400" s="19"/>
      <c r="DG400" s="192"/>
      <c r="DH400" s="192"/>
      <c r="DI400" s="192"/>
      <c r="DJ400" s="191"/>
      <c r="DK400" s="193"/>
      <c r="DL400" s="192"/>
      <c r="DM400" s="192"/>
      <c r="DN400" s="192"/>
      <c r="DO400" s="191"/>
      <c r="DP400" s="19"/>
      <c r="DQ400" s="192"/>
      <c r="DR400" s="192"/>
      <c r="DS400" s="192"/>
      <c r="DT400" s="191"/>
      <c r="DU400" s="193"/>
      <c r="DV400" s="192"/>
      <c r="DW400" s="192"/>
      <c r="DX400" s="192"/>
      <c r="DY400" s="191"/>
      <c r="DZ400" s="19"/>
      <c r="EA400" s="192"/>
      <c r="EB400" s="192"/>
      <c r="EC400" s="192"/>
      <c r="ED400" s="191"/>
      <c r="EE400" s="193"/>
      <c r="EF400" s="192"/>
      <c r="EG400" s="192"/>
      <c r="EH400" s="192"/>
      <c r="EI400" s="191"/>
      <c r="EJ400" s="19"/>
      <c r="EK400" s="192"/>
      <c r="EL400" s="192"/>
      <c r="EM400" s="192"/>
      <c r="EN400" s="191"/>
      <c r="EO400" s="193"/>
      <c r="EP400" s="192"/>
      <c r="EQ400" s="192"/>
      <c r="ER400" s="192"/>
      <c r="ES400" s="191"/>
      <c r="ET400" s="19"/>
      <c r="EU400" s="192"/>
      <c r="EV400" s="192"/>
      <c r="EW400" s="192"/>
      <c r="EX400" s="191"/>
      <c r="EY400" s="193"/>
      <c r="EZ400" s="192"/>
      <c r="FA400" s="192"/>
      <c r="FB400" s="192"/>
      <c r="FC400" s="191"/>
      <c r="FL400" s="273">
        <f t="shared" ca="1" si="20"/>
        <v>116</v>
      </c>
    </row>
    <row r="401" spans="1:168" ht="16.5" thickBot="1">
      <c r="A401" s="199">
        <v>398</v>
      </c>
      <c r="B401" s="306"/>
      <c r="C401" s="310"/>
      <c r="D401" s="307" t="s">
        <v>271</v>
      </c>
      <c r="E401" s="307" t="s">
        <v>271</v>
      </c>
      <c r="F401" s="308"/>
      <c r="G401" s="343" t="str">
        <f t="shared" si="18"/>
        <v xml:space="preserve"> </v>
      </c>
      <c r="H401" s="307"/>
      <c r="I401" s="309" t="e">
        <f t="shared" si="19"/>
        <v>#N/A</v>
      </c>
      <c r="J401" s="307"/>
      <c r="K401" s="307"/>
      <c r="L401" s="310"/>
      <c r="M401" s="310"/>
      <c r="N401" s="310"/>
      <c r="O401" s="310"/>
      <c r="P401" s="310"/>
      <c r="Q401" s="310"/>
      <c r="R401" s="310"/>
      <c r="S401" s="310"/>
      <c r="T401" s="310"/>
      <c r="U401" s="307"/>
      <c r="V401" s="307"/>
      <c r="W401" s="311"/>
      <c r="X401" s="307"/>
      <c r="Y401" s="307"/>
      <c r="Z401" s="307"/>
      <c r="AA401" s="307"/>
      <c r="AB401" s="311"/>
      <c r="AC401" s="307"/>
      <c r="AD401" s="307"/>
      <c r="AE401" s="307"/>
      <c r="AF401" s="307"/>
      <c r="AG401" s="310"/>
      <c r="AH401" s="307"/>
      <c r="AI401" s="310"/>
      <c r="AJ401" s="307"/>
      <c r="AK401" s="307"/>
      <c r="AL401" s="307"/>
      <c r="AM401" s="308"/>
      <c r="AN401" s="311"/>
      <c r="AO401" s="307"/>
      <c r="AP401" s="307"/>
      <c r="AQ401" s="308"/>
      <c r="AR401" s="307"/>
      <c r="AS401" s="307"/>
      <c r="AT401" s="307"/>
      <c r="AU401" s="310"/>
      <c r="AV401" s="308"/>
      <c r="AW401" s="312"/>
      <c r="AX401" s="308"/>
      <c r="AY401" s="307"/>
      <c r="AZ401" s="307"/>
      <c r="BA401" s="307"/>
      <c r="BB401" s="307"/>
      <c r="BC401" s="308"/>
      <c r="BD401" s="308"/>
      <c r="BE401" s="313"/>
      <c r="BF401" s="307"/>
      <c r="BG401" s="310"/>
      <c r="BH401" s="307"/>
      <c r="BI401" s="307"/>
      <c r="BJ401" s="310"/>
      <c r="BK401" s="307"/>
      <c r="BL401" s="307"/>
      <c r="BM401" s="310"/>
      <c r="BN401" s="307"/>
      <c r="BO401" s="310"/>
      <c r="BP401" s="307"/>
      <c r="BQ401" s="307"/>
      <c r="BR401" s="307"/>
      <c r="BS401" s="307"/>
      <c r="BT401" s="307"/>
      <c r="BU401" s="310"/>
      <c r="BV401" s="307"/>
      <c r="BW401" s="308"/>
      <c r="BX401" s="311"/>
      <c r="BY401" s="307"/>
      <c r="BZ401" s="307"/>
      <c r="CA401" s="310"/>
      <c r="CB401" s="307"/>
      <c r="CC401" s="307"/>
      <c r="CD401" s="307"/>
      <c r="CE401" s="308"/>
      <c r="CF401" s="308"/>
      <c r="CG401" s="307"/>
      <c r="CH401" s="307"/>
      <c r="CI401" s="307"/>
      <c r="CJ401" s="307"/>
      <c r="CK401" s="314"/>
      <c r="CL401" s="310"/>
      <c r="CM401" s="310"/>
      <c r="CN401" s="307"/>
      <c r="CO401" s="307"/>
      <c r="CP401" s="307"/>
      <c r="CQ401" s="315"/>
      <c r="CR401" s="315"/>
      <c r="CS401" s="315"/>
      <c r="CT401" s="315"/>
      <c r="CU401" s="307"/>
      <c r="CV401" s="217"/>
      <c r="CW401" s="192"/>
      <c r="CX401" s="192"/>
      <c r="CY401" s="192"/>
      <c r="CZ401" s="191"/>
      <c r="DA401" s="193"/>
      <c r="DB401" s="192"/>
      <c r="DC401" s="192"/>
      <c r="DD401" s="192"/>
      <c r="DE401" s="191"/>
      <c r="DF401" s="19"/>
      <c r="DG401" s="192"/>
      <c r="DH401" s="192"/>
      <c r="DI401" s="192"/>
      <c r="DJ401" s="191"/>
      <c r="DK401" s="193"/>
      <c r="DL401" s="192"/>
      <c r="DM401" s="192"/>
      <c r="DN401" s="192"/>
      <c r="DO401" s="191"/>
      <c r="DP401" s="19"/>
      <c r="DQ401" s="192"/>
      <c r="DR401" s="192"/>
      <c r="DS401" s="192"/>
      <c r="DT401" s="191"/>
      <c r="DU401" s="193"/>
      <c r="DV401" s="192"/>
      <c r="DW401" s="192"/>
      <c r="DX401" s="192"/>
      <c r="DY401" s="191"/>
      <c r="DZ401" s="19"/>
      <c r="EA401" s="192"/>
      <c r="EB401" s="192"/>
      <c r="EC401" s="192"/>
      <c r="ED401" s="191"/>
      <c r="EE401" s="193"/>
      <c r="EF401" s="192"/>
      <c r="EG401" s="192"/>
      <c r="EH401" s="192"/>
      <c r="EI401" s="191"/>
      <c r="EJ401" s="19"/>
      <c r="EK401" s="192"/>
      <c r="EL401" s="192"/>
      <c r="EM401" s="192"/>
      <c r="EN401" s="191"/>
      <c r="EO401" s="193"/>
      <c r="EP401" s="192"/>
      <c r="EQ401" s="192"/>
      <c r="ER401" s="192"/>
      <c r="ES401" s="191"/>
      <c r="ET401" s="19"/>
      <c r="EU401" s="192"/>
      <c r="EV401" s="192"/>
      <c r="EW401" s="192"/>
      <c r="EX401" s="191"/>
      <c r="EY401" s="193"/>
      <c r="EZ401" s="192"/>
      <c r="FA401" s="192"/>
      <c r="FB401" s="192"/>
      <c r="FC401" s="191"/>
      <c r="FL401" s="273">
        <f t="shared" ca="1" si="20"/>
        <v>116</v>
      </c>
    </row>
    <row r="402" spans="1:168" ht="16.5" thickBot="1">
      <c r="A402" s="196">
        <v>399</v>
      </c>
      <c r="B402" s="306"/>
      <c r="C402" s="310"/>
      <c r="D402" s="307" t="s">
        <v>271</v>
      </c>
      <c r="E402" s="307" t="s">
        <v>271</v>
      </c>
      <c r="F402" s="308"/>
      <c r="G402" s="343" t="str">
        <f t="shared" si="18"/>
        <v xml:space="preserve"> </v>
      </c>
      <c r="H402" s="307"/>
      <c r="I402" s="309" t="e">
        <f t="shared" si="19"/>
        <v>#N/A</v>
      </c>
      <c r="J402" s="307"/>
      <c r="K402" s="307"/>
      <c r="L402" s="310"/>
      <c r="M402" s="310"/>
      <c r="N402" s="310"/>
      <c r="O402" s="310"/>
      <c r="P402" s="310"/>
      <c r="Q402" s="310"/>
      <c r="R402" s="310"/>
      <c r="S402" s="310"/>
      <c r="T402" s="310"/>
      <c r="U402" s="307"/>
      <c r="V402" s="307"/>
      <c r="W402" s="311"/>
      <c r="X402" s="307"/>
      <c r="Y402" s="307"/>
      <c r="Z402" s="307"/>
      <c r="AA402" s="307"/>
      <c r="AB402" s="311"/>
      <c r="AC402" s="307"/>
      <c r="AD402" s="307"/>
      <c r="AE402" s="307"/>
      <c r="AF402" s="307"/>
      <c r="AG402" s="310"/>
      <c r="AH402" s="307"/>
      <c r="AI402" s="310"/>
      <c r="AJ402" s="307"/>
      <c r="AK402" s="307"/>
      <c r="AL402" s="307"/>
      <c r="AM402" s="308"/>
      <c r="AN402" s="311"/>
      <c r="AO402" s="307"/>
      <c r="AP402" s="307"/>
      <c r="AQ402" s="308"/>
      <c r="AR402" s="307"/>
      <c r="AS402" s="307"/>
      <c r="AT402" s="307"/>
      <c r="AU402" s="310"/>
      <c r="AV402" s="308"/>
      <c r="AW402" s="312"/>
      <c r="AX402" s="308"/>
      <c r="AY402" s="307"/>
      <c r="AZ402" s="307"/>
      <c r="BA402" s="307"/>
      <c r="BB402" s="307"/>
      <c r="BC402" s="308"/>
      <c r="BD402" s="308"/>
      <c r="BE402" s="313"/>
      <c r="BF402" s="307"/>
      <c r="BG402" s="310"/>
      <c r="BH402" s="307"/>
      <c r="BI402" s="307"/>
      <c r="BJ402" s="310"/>
      <c r="BK402" s="307"/>
      <c r="BL402" s="307"/>
      <c r="BM402" s="310"/>
      <c r="BN402" s="307"/>
      <c r="BO402" s="310"/>
      <c r="BP402" s="307"/>
      <c r="BQ402" s="307"/>
      <c r="BR402" s="307"/>
      <c r="BS402" s="307"/>
      <c r="BT402" s="307"/>
      <c r="BU402" s="310"/>
      <c r="BV402" s="307"/>
      <c r="BW402" s="308"/>
      <c r="BX402" s="311"/>
      <c r="BY402" s="307"/>
      <c r="BZ402" s="307"/>
      <c r="CA402" s="310"/>
      <c r="CB402" s="307"/>
      <c r="CC402" s="307"/>
      <c r="CD402" s="307"/>
      <c r="CE402" s="308"/>
      <c r="CF402" s="308"/>
      <c r="CG402" s="307"/>
      <c r="CH402" s="307"/>
      <c r="CI402" s="307"/>
      <c r="CJ402" s="307"/>
      <c r="CK402" s="314"/>
      <c r="CL402" s="310"/>
      <c r="CM402" s="310"/>
      <c r="CN402" s="307"/>
      <c r="CO402" s="307"/>
      <c r="CP402" s="307"/>
      <c r="CQ402" s="315"/>
      <c r="CR402" s="315"/>
      <c r="CS402" s="315"/>
      <c r="CT402" s="315"/>
      <c r="CU402" s="307"/>
      <c r="CV402" s="217"/>
      <c r="CW402" s="192"/>
      <c r="CX402" s="192"/>
      <c r="CY402" s="192"/>
      <c r="CZ402" s="191"/>
      <c r="DA402" s="193"/>
      <c r="DB402" s="192"/>
      <c r="DC402" s="192"/>
      <c r="DD402" s="192"/>
      <c r="DE402" s="191"/>
      <c r="DF402" s="19"/>
      <c r="DG402" s="192"/>
      <c r="DH402" s="192"/>
      <c r="DI402" s="192"/>
      <c r="DJ402" s="191"/>
      <c r="DK402" s="193"/>
      <c r="DL402" s="192"/>
      <c r="DM402" s="192"/>
      <c r="DN402" s="192"/>
      <c r="DO402" s="191"/>
      <c r="DP402" s="19"/>
      <c r="DQ402" s="192"/>
      <c r="DR402" s="192"/>
      <c r="DS402" s="192"/>
      <c r="DT402" s="191"/>
      <c r="DU402" s="193"/>
      <c r="DV402" s="192"/>
      <c r="DW402" s="192"/>
      <c r="DX402" s="192"/>
      <c r="DY402" s="191"/>
      <c r="DZ402" s="19"/>
      <c r="EA402" s="192"/>
      <c r="EB402" s="192"/>
      <c r="EC402" s="192"/>
      <c r="ED402" s="191"/>
      <c r="EE402" s="193"/>
      <c r="EF402" s="192"/>
      <c r="EG402" s="192"/>
      <c r="EH402" s="192"/>
      <c r="EI402" s="191"/>
      <c r="EJ402" s="19"/>
      <c r="EK402" s="192"/>
      <c r="EL402" s="192"/>
      <c r="EM402" s="192"/>
      <c r="EN402" s="191"/>
      <c r="EO402" s="193"/>
      <c r="EP402" s="192"/>
      <c r="EQ402" s="192"/>
      <c r="ER402" s="192"/>
      <c r="ES402" s="191"/>
      <c r="ET402" s="19"/>
      <c r="EU402" s="192"/>
      <c r="EV402" s="192"/>
      <c r="EW402" s="192"/>
      <c r="EX402" s="191"/>
      <c r="EY402" s="193"/>
      <c r="EZ402" s="192"/>
      <c r="FA402" s="192"/>
      <c r="FB402" s="192"/>
      <c r="FC402" s="191"/>
      <c r="FL402" s="273">
        <f t="shared" ca="1" si="20"/>
        <v>116</v>
      </c>
    </row>
    <row r="403" spans="1:168" ht="16.5" thickBot="1">
      <c r="A403" s="199">
        <v>400</v>
      </c>
      <c r="B403" s="306"/>
      <c r="C403" s="310"/>
      <c r="D403" s="307" t="s">
        <v>271</v>
      </c>
      <c r="E403" s="307" t="s">
        <v>271</v>
      </c>
      <c r="F403" s="308"/>
      <c r="G403" s="343" t="str">
        <f t="shared" si="18"/>
        <v xml:space="preserve"> </v>
      </c>
      <c r="H403" s="307"/>
      <c r="I403" s="309" t="e">
        <f t="shared" si="19"/>
        <v>#N/A</v>
      </c>
      <c r="J403" s="307"/>
      <c r="K403" s="307"/>
      <c r="L403" s="310"/>
      <c r="M403" s="310"/>
      <c r="N403" s="310"/>
      <c r="O403" s="310"/>
      <c r="P403" s="310"/>
      <c r="Q403" s="310"/>
      <c r="R403" s="310"/>
      <c r="S403" s="310"/>
      <c r="T403" s="310"/>
      <c r="U403" s="307"/>
      <c r="V403" s="307"/>
      <c r="W403" s="311"/>
      <c r="X403" s="307"/>
      <c r="Y403" s="307"/>
      <c r="Z403" s="307"/>
      <c r="AA403" s="307"/>
      <c r="AB403" s="311"/>
      <c r="AC403" s="307"/>
      <c r="AD403" s="307"/>
      <c r="AE403" s="307"/>
      <c r="AF403" s="307"/>
      <c r="AG403" s="310"/>
      <c r="AH403" s="307"/>
      <c r="AI403" s="310"/>
      <c r="AJ403" s="307"/>
      <c r="AK403" s="307"/>
      <c r="AL403" s="307"/>
      <c r="AM403" s="308"/>
      <c r="AN403" s="311"/>
      <c r="AO403" s="307"/>
      <c r="AP403" s="307"/>
      <c r="AQ403" s="308"/>
      <c r="AR403" s="307"/>
      <c r="AS403" s="307"/>
      <c r="AT403" s="307"/>
      <c r="AU403" s="310"/>
      <c r="AV403" s="308"/>
      <c r="AW403" s="312"/>
      <c r="AX403" s="308"/>
      <c r="AY403" s="307"/>
      <c r="AZ403" s="307"/>
      <c r="BA403" s="307"/>
      <c r="BB403" s="307"/>
      <c r="BC403" s="308"/>
      <c r="BD403" s="308"/>
      <c r="BE403" s="313"/>
      <c r="BF403" s="307"/>
      <c r="BG403" s="310"/>
      <c r="BH403" s="307"/>
      <c r="BI403" s="307"/>
      <c r="BJ403" s="310"/>
      <c r="BK403" s="307"/>
      <c r="BL403" s="307"/>
      <c r="BM403" s="310"/>
      <c r="BN403" s="307"/>
      <c r="BO403" s="310"/>
      <c r="BP403" s="307"/>
      <c r="BQ403" s="307"/>
      <c r="BR403" s="307"/>
      <c r="BS403" s="307"/>
      <c r="BT403" s="307"/>
      <c r="BU403" s="310"/>
      <c r="BV403" s="307"/>
      <c r="BW403" s="308"/>
      <c r="BX403" s="311"/>
      <c r="BY403" s="307"/>
      <c r="BZ403" s="307"/>
      <c r="CA403" s="310"/>
      <c r="CB403" s="307"/>
      <c r="CC403" s="307"/>
      <c r="CD403" s="307"/>
      <c r="CE403" s="308"/>
      <c r="CF403" s="308"/>
      <c r="CG403" s="307"/>
      <c r="CH403" s="307"/>
      <c r="CI403" s="307"/>
      <c r="CJ403" s="307"/>
      <c r="CK403" s="314"/>
      <c r="CL403" s="310"/>
      <c r="CM403" s="310"/>
      <c r="CN403" s="307"/>
      <c r="CO403" s="307"/>
      <c r="CP403" s="307"/>
      <c r="CQ403" s="315"/>
      <c r="CR403" s="315"/>
      <c r="CS403" s="315"/>
      <c r="CT403" s="315"/>
      <c r="CU403" s="307"/>
      <c r="CV403" s="217"/>
      <c r="CW403" s="192"/>
      <c r="CX403" s="192"/>
      <c r="CY403" s="192"/>
      <c r="CZ403" s="191"/>
      <c r="DA403" s="193"/>
      <c r="DB403" s="192"/>
      <c r="DC403" s="192"/>
      <c r="DD403" s="192"/>
      <c r="DE403" s="191"/>
      <c r="DF403" s="19"/>
      <c r="DG403" s="192"/>
      <c r="DH403" s="192"/>
      <c r="DI403" s="192"/>
      <c r="DJ403" s="191"/>
      <c r="DK403" s="193"/>
      <c r="DL403" s="192"/>
      <c r="DM403" s="192"/>
      <c r="DN403" s="192"/>
      <c r="DO403" s="191"/>
      <c r="DP403" s="19"/>
      <c r="DQ403" s="192"/>
      <c r="DR403" s="192"/>
      <c r="DS403" s="192"/>
      <c r="DT403" s="191"/>
      <c r="DU403" s="193"/>
      <c r="DV403" s="192"/>
      <c r="DW403" s="192"/>
      <c r="DX403" s="192"/>
      <c r="DY403" s="191"/>
      <c r="DZ403" s="19"/>
      <c r="EA403" s="192"/>
      <c r="EB403" s="192"/>
      <c r="EC403" s="192"/>
      <c r="ED403" s="191"/>
      <c r="EE403" s="193"/>
      <c r="EF403" s="192"/>
      <c r="EG403" s="192"/>
      <c r="EH403" s="192"/>
      <c r="EI403" s="191"/>
      <c r="EJ403" s="19"/>
      <c r="EK403" s="192"/>
      <c r="EL403" s="192"/>
      <c r="EM403" s="192"/>
      <c r="EN403" s="191"/>
      <c r="EO403" s="193"/>
      <c r="EP403" s="192"/>
      <c r="EQ403" s="192"/>
      <c r="ER403" s="192"/>
      <c r="ES403" s="191"/>
      <c r="ET403" s="19"/>
      <c r="EU403" s="192"/>
      <c r="EV403" s="192"/>
      <c r="EW403" s="192"/>
      <c r="EX403" s="191"/>
      <c r="EY403" s="193"/>
      <c r="EZ403" s="192"/>
      <c r="FA403" s="192"/>
      <c r="FB403" s="192"/>
      <c r="FC403" s="191"/>
      <c r="FL403" s="273">
        <f t="shared" ca="1" si="20"/>
        <v>116</v>
      </c>
    </row>
    <row r="404" spans="1:168" ht="16.5" thickBot="1">
      <c r="A404" s="196">
        <v>401</v>
      </c>
      <c r="B404" s="306"/>
      <c r="C404" s="310"/>
      <c r="D404" s="307" t="s">
        <v>271</v>
      </c>
      <c r="E404" s="307" t="s">
        <v>271</v>
      </c>
      <c r="F404" s="308"/>
      <c r="G404" s="343" t="str">
        <f t="shared" si="18"/>
        <v xml:space="preserve"> </v>
      </c>
      <c r="H404" s="307"/>
      <c r="I404" s="309" t="e">
        <f t="shared" si="19"/>
        <v>#N/A</v>
      </c>
      <c r="J404" s="307"/>
      <c r="K404" s="307"/>
      <c r="L404" s="310"/>
      <c r="M404" s="310"/>
      <c r="N404" s="310"/>
      <c r="O404" s="310"/>
      <c r="P404" s="310"/>
      <c r="Q404" s="310"/>
      <c r="R404" s="310"/>
      <c r="S404" s="310"/>
      <c r="T404" s="310"/>
      <c r="U404" s="307"/>
      <c r="V404" s="307"/>
      <c r="W404" s="311"/>
      <c r="X404" s="307"/>
      <c r="Y404" s="307"/>
      <c r="Z404" s="307"/>
      <c r="AA404" s="307"/>
      <c r="AB404" s="311"/>
      <c r="AC404" s="307"/>
      <c r="AD404" s="307"/>
      <c r="AE404" s="307"/>
      <c r="AF404" s="307"/>
      <c r="AG404" s="310"/>
      <c r="AH404" s="307"/>
      <c r="AI404" s="310"/>
      <c r="AJ404" s="307"/>
      <c r="AK404" s="307"/>
      <c r="AL404" s="307"/>
      <c r="AM404" s="308"/>
      <c r="AN404" s="311"/>
      <c r="AO404" s="307"/>
      <c r="AP404" s="307"/>
      <c r="AQ404" s="308"/>
      <c r="AR404" s="307"/>
      <c r="AS404" s="307"/>
      <c r="AT404" s="307"/>
      <c r="AU404" s="310"/>
      <c r="AV404" s="308"/>
      <c r="AW404" s="312"/>
      <c r="AX404" s="308"/>
      <c r="AY404" s="307"/>
      <c r="AZ404" s="307"/>
      <c r="BA404" s="307"/>
      <c r="BB404" s="307"/>
      <c r="BC404" s="308"/>
      <c r="BD404" s="308"/>
      <c r="BE404" s="313"/>
      <c r="BF404" s="307"/>
      <c r="BG404" s="310"/>
      <c r="BH404" s="307"/>
      <c r="BI404" s="307"/>
      <c r="BJ404" s="310"/>
      <c r="BK404" s="307"/>
      <c r="BL404" s="307"/>
      <c r="BM404" s="310"/>
      <c r="BN404" s="307"/>
      <c r="BO404" s="310"/>
      <c r="BP404" s="307"/>
      <c r="BQ404" s="307"/>
      <c r="BR404" s="307"/>
      <c r="BS404" s="307"/>
      <c r="BT404" s="307"/>
      <c r="BU404" s="310"/>
      <c r="BV404" s="307"/>
      <c r="BW404" s="308"/>
      <c r="BX404" s="311"/>
      <c r="BY404" s="307"/>
      <c r="BZ404" s="307"/>
      <c r="CA404" s="310"/>
      <c r="CB404" s="307"/>
      <c r="CC404" s="307"/>
      <c r="CD404" s="307"/>
      <c r="CE404" s="308"/>
      <c r="CF404" s="308"/>
      <c r="CG404" s="307"/>
      <c r="CH404" s="307"/>
      <c r="CI404" s="307"/>
      <c r="CJ404" s="307"/>
      <c r="CK404" s="314"/>
      <c r="CL404" s="310"/>
      <c r="CM404" s="310"/>
      <c r="CN404" s="307"/>
      <c r="CO404" s="307"/>
      <c r="CP404" s="307"/>
      <c r="CQ404" s="315"/>
      <c r="CR404" s="315"/>
      <c r="CS404" s="315"/>
      <c r="CT404" s="315"/>
      <c r="CU404" s="307"/>
      <c r="CV404" s="217"/>
      <c r="CW404" s="192"/>
      <c r="CX404" s="192"/>
      <c r="CY404" s="192"/>
      <c r="CZ404" s="191"/>
      <c r="DA404" s="193"/>
      <c r="DB404" s="192"/>
      <c r="DC404" s="192"/>
      <c r="DD404" s="192"/>
      <c r="DE404" s="191"/>
      <c r="DF404" s="19"/>
      <c r="DG404" s="192"/>
      <c r="DH404" s="192"/>
      <c r="DI404" s="192"/>
      <c r="DJ404" s="191"/>
      <c r="DK404" s="193"/>
      <c r="DL404" s="192"/>
      <c r="DM404" s="192"/>
      <c r="DN404" s="192"/>
      <c r="DO404" s="191"/>
      <c r="DP404" s="19"/>
      <c r="DQ404" s="192"/>
      <c r="DR404" s="192"/>
      <c r="DS404" s="192"/>
      <c r="DT404" s="191"/>
      <c r="DU404" s="193"/>
      <c r="DV404" s="192"/>
      <c r="DW404" s="192"/>
      <c r="DX404" s="192"/>
      <c r="DY404" s="191"/>
      <c r="DZ404" s="19"/>
      <c r="EA404" s="192"/>
      <c r="EB404" s="192"/>
      <c r="EC404" s="192"/>
      <c r="ED404" s="191"/>
      <c r="EE404" s="193"/>
      <c r="EF404" s="192"/>
      <c r="EG404" s="192"/>
      <c r="EH404" s="192"/>
      <c r="EI404" s="191"/>
      <c r="EJ404" s="19"/>
      <c r="EK404" s="192"/>
      <c r="EL404" s="192"/>
      <c r="EM404" s="192"/>
      <c r="EN404" s="191"/>
      <c r="EO404" s="193"/>
      <c r="EP404" s="192"/>
      <c r="EQ404" s="192"/>
      <c r="ER404" s="192"/>
      <c r="ES404" s="191"/>
      <c r="ET404" s="19"/>
      <c r="EU404" s="192"/>
      <c r="EV404" s="192"/>
      <c r="EW404" s="192"/>
      <c r="EX404" s="191"/>
      <c r="EY404" s="193"/>
      <c r="EZ404" s="192"/>
      <c r="FA404" s="192"/>
      <c r="FB404" s="192"/>
      <c r="FC404" s="191"/>
      <c r="FL404" s="273">
        <f t="shared" ca="1" si="20"/>
        <v>116</v>
      </c>
    </row>
    <row r="405" spans="1:168" ht="16.5" thickBot="1">
      <c r="A405" s="199">
        <v>402</v>
      </c>
      <c r="B405" s="306"/>
      <c r="C405" s="310"/>
      <c r="D405" s="307" t="s">
        <v>271</v>
      </c>
      <c r="E405" s="307" t="s">
        <v>271</v>
      </c>
      <c r="F405" s="308"/>
      <c r="G405" s="343" t="str">
        <f t="shared" si="18"/>
        <v xml:space="preserve"> </v>
      </c>
      <c r="H405" s="307"/>
      <c r="I405" s="309" t="e">
        <f t="shared" si="19"/>
        <v>#N/A</v>
      </c>
      <c r="J405" s="307"/>
      <c r="K405" s="307"/>
      <c r="L405" s="310"/>
      <c r="M405" s="310"/>
      <c r="N405" s="310"/>
      <c r="O405" s="310"/>
      <c r="P405" s="310"/>
      <c r="Q405" s="310"/>
      <c r="R405" s="310"/>
      <c r="S405" s="310"/>
      <c r="T405" s="310"/>
      <c r="U405" s="307"/>
      <c r="V405" s="307"/>
      <c r="W405" s="311"/>
      <c r="X405" s="307"/>
      <c r="Y405" s="307"/>
      <c r="Z405" s="307"/>
      <c r="AA405" s="307"/>
      <c r="AB405" s="311"/>
      <c r="AC405" s="307"/>
      <c r="AD405" s="307"/>
      <c r="AE405" s="307"/>
      <c r="AF405" s="307"/>
      <c r="AG405" s="310"/>
      <c r="AH405" s="307"/>
      <c r="AI405" s="310"/>
      <c r="AJ405" s="307"/>
      <c r="AK405" s="307"/>
      <c r="AL405" s="307"/>
      <c r="AM405" s="308"/>
      <c r="AN405" s="311"/>
      <c r="AO405" s="307"/>
      <c r="AP405" s="307"/>
      <c r="AQ405" s="308"/>
      <c r="AR405" s="307"/>
      <c r="AS405" s="307"/>
      <c r="AT405" s="307"/>
      <c r="AU405" s="310"/>
      <c r="AV405" s="308"/>
      <c r="AW405" s="312"/>
      <c r="AX405" s="308"/>
      <c r="AY405" s="307"/>
      <c r="AZ405" s="307"/>
      <c r="BA405" s="307"/>
      <c r="BB405" s="307"/>
      <c r="BC405" s="308"/>
      <c r="BD405" s="308"/>
      <c r="BE405" s="313"/>
      <c r="BF405" s="307"/>
      <c r="BG405" s="310"/>
      <c r="BH405" s="307"/>
      <c r="BI405" s="307"/>
      <c r="BJ405" s="310"/>
      <c r="BK405" s="307"/>
      <c r="BL405" s="307"/>
      <c r="BM405" s="310"/>
      <c r="BN405" s="307"/>
      <c r="BO405" s="310"/>
      <c r="BP405" s="307"/>
      <c r="BQ405" s="307"/>
      <c r="BR405" s="307"/>
      <c r="BS405" s="307"/>
      <c r="BT405" s="307"/>
      <c r="BU405" s="310"/>
      <c r="BV405" s="307"/>
      <c r="BW405" s="308"/>
      <c r="BX405" s="311"/>
      <c r="BY405" s="307"/>
      <c r="BZ405" s="307"/>
      <c r="CA405" s="310"/>
      <c r="CB405" s="307"/>
      <c r="CC405" s="307"/>
      <c r="CD405" s="307"/>
      <c r="CE405" s="308"/>
      <c r="CF405" s="308"/>
      <c r="CG405" s="307"/>
      <c r="CH405" s="307"/>
      <c r="CI405" s="307"/>
      <c r="CJ405" s="307"/>
      <c r="CK405" s="314"/>
      <c r="CL405" s="310"/>
      <c r="CM405" s="310"/>
      <c r="CN405" s="307"/>
      <c r="CO405" s="307"/>
      <c r="CP405" s="307"/>
      <c r="CQ405" s="315"/>
      <c r="CR405" s="315"/>
      <c r="CS405" s="315"/>
      <c r="CT405" s="315"/>
      <c r="CU405" s="307"/>
      <c r="CV405" s="217"/>
      <c r="CW405" s="192"/>
      <c r="CX405" s="192"/>
      <c r="CY405" s="192"/>
      <c r="CZ405" s="191"/>
      <c r="DA405" s="193"/>
      <c r="DB405" s="192"/>
      <c r="DC405" s="192"/>
      <c r="DD405" s="192"/>
      <c r="DE405" s="191"/>
      <c r="DF405" s="19"/>
      <c r="DG405" s="192"/>
      <c r="DH405" s="192"/>
      <c r="DI405" s="192"/>
      <c r="DJ405" s="191"/>
      <c r="DK405" s="193"/>
      <c r="DL405" s="192"/>
      <c r="DM405" s="192"/>
      <c r="DN405" s="192"/>
      <c r="DO405" s="191"/>
      <c r="DP405" s="19"/>
      <c r="DQ405" s="192"/>
      <c r="DR405" s="192"/>
      <c r="DS405" s="192"/>
      <c r="DT405" s="191"/>
      <c r="DU405" s="193"/>
      <c r="DV405" s="192"/>
      <c r="DW405" s="192"/>
      <c r="DX405" s="192"/>
      <c r="DY405" s="191"/>
      <c r="DZ405" s="19"/>
      <c r="EA405" s="192"/>
      <c r="EB405" s="192"/>
      <c r="EC405" s="192"/>
      <c r="ED405" s="191"/>
      <c r="EE405" s="193"/>
      <c r="EF405" s="192"/>
      <c r="EG405" s="192"/>
      <c r="EH405" s="192"/>
      <c r="EI405" s="191"/>
      <c r="EJ405" s="19"/>
      <c r="EK405" s="192"/>
      <c r="EL405" s="192"/>
      <c r="EM405" s="192"/>
      <c r="EN405" s="191"/>
      <c r="EO405" s="193"/>
      <c r="EP405" s="192"/>
      <c r="EQ405" s="192"/>
      <c r="ER405" s="192"/>
      <c r="ES405" s="191"/>
      <c r="ET405" s="19"/>
      <c r="EU405" s="192"/>
      <c r="EV405" s="192"/>
      <c r="EW405" s="192"/>
      <c r="EX405" s="191"/>
      <c r="EY405" s="193"/>
      <c r="EZ405" s="192"/>
      <c r="FA405" s="192"/>
      <c r="FB405" s="192"/>
      <c r="FC405" s="191"/>
      <c r="FL405" s="273">
        <f t="shared" ca="1" si="20"/>
        <v>116</v>
      </c>
    </row>
    <row r="406" spans="1:168" ht="16.5" thickBot="1">
      <c r="A406" s="196">
        <v>403</v>
      </c>
      <c r="B406" s="306"/>
      <c r="C406" s="310"/>
      <c r="D406" s="307" t="s">
        <v>271</v>
      </c>
      <c r="E406" s="307" t="s">
        <v>271</v>
      </c>
      <c r="F406" s="308"/>
      <c r="G406" s="343" t="str">
        <f t="shared" si="18"/>
        <v xml:space="preserve"> </v>
      </c>
      <c r="H406" s="307"/>
      <c r="I406" s="309" t="e">
        <f t="shared" si="19"/>
        <v>#N/A</v>
      </c>
      <c r="J406" s="307"/>
      <c r="K406" s="307"/>
      <c r="L406" s="310"/>
      <c r="M406" s="310"/>
      <c r="N406" s="310"/>
      <c r="O406" s="310"/>
      <c r="P406" s="310"/>
      <c r="Q406" s="310"/>
      <c r="R406" s="310"/>
      <c r="S406" s="310"/>
      <c r="T406" s="310"/>
      <c r="U406" s="307"/>
      <c r="V406" s="307"/>
      <c r="W406" s="311"/>
      <c r="X406" s="307"/>
      <c r="Y406" s="307"/>
      <c r="Z406" s="307"/>
      <c r="AA406" s="307"/>
      <c r="AB406" s="311"/>
      <c r="AC406" s="307"/>
      <c r="AD406" s="307"/>
      <c r="AE406" s="307"/>
      <c r="AF406" s="307"/>
      <c r="AG406" s="310"/>
      <c r="AH406" s="307"/>
      <c r="AI406" s="310"/>
      <c r="AJ406" s="307"/>
      <c r="AK406" s="307"/>
      <c r="AL406" s="307"/>
      <c r="AM406" s="308"/>
      <c r="AN406" s="311"/>
      <c r="AO406" s="307"/>
      <c r="AP406" s="307"/>
      <c r="AQ406" s="308"/>
      <c r="AR406" s="307"/>
      <c r="AS406" s="307"/>
      <c r="AT406" s="307"/>
      <c r="AU406" s="310"/>
      <c r="AV406" s="308"/>
      <c r="AW406" s="312"/>
      <c r="AX406" s="308"/>
      <c r="AY406" s="307"/>
      <c r="AZ406" s="307"/>
      <c r="BA406" s="307"/>
      <c r="BB406" s="307"/>
      <c r="BC406" s="308"/>
      <c r="BD406" s="308"/>
      <c r="BE406" s="313"/>
      <c r="BF406" s="307"/>
      <c r="BG406" s="310"/>
      <c r="BH406" s="307"/>
      <c r="BI406" s="307"/>
      <c r="BJ406" s="310"/>
      <c r="BK406" s="307"/>
      <c r="BL406" s="307"/>
      <c r="BM406" s="310"/>
      <c r="BN406" s="307"/>
      <c r="BO406" s="310"/>
      <c r="BP406" s="307"/>
      <c r="BQ406" s="307"/>
      <c r="BR406" s="307"/>
      <c r="BS406" s="307"/>
      <c r="BT406" s="307"/>
      <c r="BU406" s="310"/>
      <c r="BV406" s="307"/>
      <c r="BW406" s="308"/>
      <c r="BX406" s="311"/>
      <c r="BY406" s="307"/>
      <c r="BZ406" s="307"/>
      <c r="CA406" s="310"/>
      <c r="CB406" s="307"/>
      <c r="CC406" s="307"/>
      <c r="CD406" s="307"/>
      <c r="CE406" s="308"/>
      <c r="CF406" s="308"/>
      <c r="CG406" s="307"/>
      <c r="CH406" s="307"/>
      <c r="CI406" s="307"/>
      <c r="CJ406" s="307"/>
      <c r="CK406" s="314"/>
      <c r="CL406" s="310"/>
      <c r="CM406" s="310"/>
      <c r="CN406" s="307"/>
      <c r="CO406" s="307"/>
      <c r="CP406" s="307"/>
      <c r="CQ406" s="315"/>
      <c r="CR406" s="315"/>
      <c r="CS406" s="315"/>
      <c r="CT406" s="315"/>
      <c r="CU406" s="307"/>
      <c r="CV406" s="217"/>
      <c r="CW406" s="192"/>
      <c r="CX406" s="192"/>
      <c r="CY406" s="192"/>
      <c r="CZ406" s="191"/>
      <c r="DA406" s="193"/>
      <c r="DB406" s="192"/>
      <c r="DC406" s="192"/>
      <c r="DD406" s="192"/>
      <c r="DE406" s="191"/>
      <c r="DF406" s="19"/>
      <c r="DG406" s="192"/>
      <c r="DH406" s="192"/>
      <c r="DI406" s="192"/>
      <c r="DJ406" s="191"/>
      <c r="DK406" s="193"/>
      <c r="DL406" s="192"/>
      <c r="DM406" s="192"/>
      <c r="DN406" s="192"/>
      <c r="DO406" s="191"/>
      <c r="DP406" s="19"/>
      <c r="DQ406" s="192"/>
      <c r="DR406" s="192"/>
      <c r="DS406" s="192"/>
      <c r="DT406" s="191"/>
      <c r="DU406" s="193"/>
      <c r="DV406" s="192"/>
      <c r="DW406" s="192"/>
      <c r="DX406" s="192"/>
      <c r="DY406" s="191"/>
      <c r="DZ406" s="19"/>
      <c r="EA406" s="192"/>
      <c r="EB406" s="192"/>
      <c r="EC406" s="192"/>
      <c r="ED406" s="191"/>
      <c r="EE406" s="193"/>
      <c r="EF406" s="192"/>
      <c r="EG406" s="192"/>
      <c r="EH406" s="192"/>
      <c r="EI406" s="191"/>
      <c r="EJ406" s="19"/>
      <c r="EK406" s="192"/>
      <c r="EL406" s="192"/>
      <c r="EM406" s="192"/>
      <c r="EN406" s="191"/>
      <c r="EO406" s="193"/>
      <c r="EP406" s="192"/>
      <c r="EQ406" s="192"/>
      <c r="ER406" s="192"/>
      <c r="ES406" s="191"/>
      <c r="ET406" s="19"/>
      <c r="EU406" s="192"/>
      <c r="EV406" s="192"/>
      <c r="EW406" s="192"/>
      <c r="EX406" s="191"/>
      <c r="EY406" s="193"/>
      <c r="EZ406" s="192"/>
      <c r="FA406" s="192"/>
      <c r="FB406" s="192"/>
      <c r="FC406" s="191"/>
      <c r="FL406" s="273">
        <f t="shared" ca="1" si="20"/>
        <v>116</v>
      </c>
    </row>
    <row r="407" spans="1:168" ht="16.5" thickBot="1">
      <c r="A407" s="199">
        <v>404</v>
      </c>
      <c r="B407" s="306"/>
      <c r="C407" s="310"/>
      <c r="D407" s="307" t="s">
        <v>271</v>
      </c>
      <c r="E407" s="307" t="s">
        <v>271</v>
      </c>
      <c r="F407" s="308"/>
      <c r="G407" s="343" t="str">
        <f t="shared" si="18"/>
        <v xml:space="preserve"> </v>
      </c>
      <c r="H407" s="307"/>
      <c r="I407" s="309" t="e">
        <f t="shared" si="19"/>
        <v>#N/A</v>
      </c>
      <c r="J407" s="307"/>
      <c r="K407" s="307"/>
      <c r="L407" s="310"/>
      <c r="M407" s="310"/>
      <c r="N407" s="310"/>
      <c r="O407" s="310"/>
      <c r="P407" s="310"/>
      <c r="Q407" s="310"/>
      <c r="R407" s="310"/>
      <c r="S407" s="310"/>
      <c r="T407" s="310"/>
      <c r="U407" s="307"/>
      <c r="V407" s="307"/>
      <c r="W407" s="311"/>
      <c r="X407" s="307"/>
      <c r="Y407" s="307"/>
      <c r="Z407" s="307"/>
      <c r="AA407" s="307"/>
      <c r="AB407" s="311"/>
      <c r="AC407" s="307"/>
      <c r="AD407" s="307"/>
      <c r="AE407" s="307"/>
      <c r="AF407" s="307"/>
      <c r="AG407" s="310"/>
      <c r="AH407" s="307"/>
      <c r="AI407" s="310"/>
      <c r="AJ407" s="307"/>
      <c r="AK407" s="307"/>
      <c r="AL407" s="307"/>
      <c r="AM407" s="308"/>
      <c r="AN407" s="311"/>
      <c r="AO407" s="307"/>
      <c r="AP407" s="307"/>
      <c r="AQ407" s="308"/>
      <c r="AR407" s="307"/>
      <c r="AS407" s="307"/>
      <c r="AT407" s="307"/>
      <c r="AU407" s="310"/>
      <c r="AV407" s="308"/>
      <c r="AW407" s="312"/>
      <c r="AX407" s="308"/>
      <c r="AY407" s="307"/>
      <c r="AZ407" s="307"/>
      <c r="BA407" s="307"/>
      <c r="BB407" s="307"/>
      <c r="BC407" s="308"/>
      <c r="BD407" s="308"/>
      <c r="BE407" s="313"/>
      <c r="BF407" s="307"/>
      <c r="BG407" s="310"/>
      <c r="BH407" s="307"/>
      <c r="BI407" s="307"/>
      <c r="BJ407" s="310"/>
      <c r="BK407" s="307"/>
      <c r="BL407" s="307"/>
      <c r="BM407" s="310"/>
      <c r="BN407" s="307"/>
      <c r="BO407" s="310"/>
      <c r="BP407" s="307"/>
      <c r="BQ407" s="307"/>
      <c r="BR407" s="307"/>
      <c r="BS407" s="307"/>
      <c r="BT407" s="307"/>
      <c r="BU407" s="310"/>
      <c r="BV407" s="307"/>
      <c r="BW407" s="308"/>
      <c r="BX407" s="311"/>
      <c r="BY407" s="307"/>
      <c r="BZ407" s="307"/>
      <c r="CA407" s="310"/>
      <c r="CB407" s="307"/>
      <c r="CC407" s="307"/>
      <c r="CD407" s="307"/>
      <c r="CE407" s="308"/>
      <c r="CF407" s="308"/>
      <c r="CG407" s="307"/>
      <c r="CH407" s="307"/>
      <c r="CI407" s="307"/>
      <c r="CJ407" s="307"/>
      <c r="CK407" s="314"/>
      <c r="CL407" s="310"/>
      <c r="CM407" s="310"/>
      <c r="CN407" s="307"/>
      <c r="CO407" s="307"/>
      <c r="CP407" s="307"/>
      <c r="CQ407" s="315"/>
      <c r="CR407" s="315"/>
      <c r="CS407" s="315"/>
      <c r="CT407" s="315"/>
      <c r="CU407" s="307"/>
      <c r="CV407" s="217"/>
      <c r="CW407" s="192"/>
      <c r="CX407" s="192"/>
      <c r="CY407" s="192"/>
      <c r="CZ407" s="191"/>
      <c r="DA407" s="193"/>
      <c r="DB407" s="192"/>
      <c r="DC407" s="192"/>
      <c r="DD407" s="192"/>
      <c r="DE407" s="191"/>
      <c r="DF407" s="19"/>
      <c r="DG407" s="192"/>
      <c r="DH407" s="192"/>
      <c r="DI407" s="192"/>
      <c r="DJ407" s="191"/>
      <c r="DK407" s="193"/>
      <c r="DL407" s="192"/>
      <c r="DM407" s="192"/>
      <c r="DN407" s="192"/>
      <c r="DO407" s="191"/>
      <c r="DP407" s="19"/>
      <c r="DQ407" s="192"/>
      <c r="DR407" s="192"/>
      <c r="DS407" s="192"/>
      <c r="DT407" s="191"/>
      <c r="DU407" s="193"/>
      <c r="DV407" s="192"/>
      <c r="DW407" s="192"/>
      <c r="DX407" s="192"/>
      <c r="DY407" s="191"/>
      <c r="DZ407" s="19"/>
      <c r="EA407" s="192"/>
      <c r="EB407" s="192"/>
      <c r="EC407" s="192"/>
      <c r="ED407" s="191"/>
      <c r="EE407" s="193"/>
      <c r="EF407" s="192"/>
      <c r="EG407" s="192"/>
      <c r="EH407" s="192"/>
      <c r="EI407" s="191"/>
      <c r="EJ407" s="19"/>
      <c r="EK407" s="192"/>
      <c r="EL407" s="192"/>
      <c r="EM407" s="192"/>
      <c r="EN407" s="191"/>
      <c r="EO407" s="193"/>
      <c r="EP407" s="192"/>
      <c r="EQ407" s="192"/>
      <c r="ER407" s="192"/>
      <c r="ES407" s="191"/>
      <c r="ET407" s="19"/>
      <c r="EU407" s="192"/>
      <c r="EV407" s="192"/>
      <c r="EW407" s="192"/>
      <c r="EX407" s="191"/>
      <c r="EY407" s="193"/>
      <c r="EZ407" s="192"/>
      <c r="FA407" s="192"/>
      <c r="FB407" s="192"/>
      <c r="FC407" s="191"/>
      <c r="FL407" s="273">
        <f t="shared" ca="1" si="20"/>
        <v>116</v>
      </c>
    </row>
    <row r="408" spans="1:168" ht="16.5" thickBot="1">
      <c r="A408" s="196">
        <v>405</v>
      </c>
      <c r="B408" s="306"/>
      <c r="C408" s="310"/>
      <c r="D408" s="307" t="s">
        <v>271</v>
      </c>
      <c r="E408" s="307" t="s">
        <v>271</v>
      </c>
      <c r="F408" s="308"/>
      <c r="G408" s="343" t="str">
        <f t="shared" si="18"/>
        <v xml:space="preserve"> </v>
      </c>
      <c r="H408" s="307"/>
      <c r="I408" s="309" t="e">
        <f t="shared" si="19"/>
        <v>#N/A</v>
      </c>
      <c r="J408" s="307"/>
      <c r="K408" s="307"/>
      <c r="L408" s="310"/>
      <c r="M408" s="310"/>
      <c r="N408" s="310"/>
      <c r="O408" s="310"/>
      <c r="P408" s="310"/>
      <c r="Q408" s="310"/>
      <c r="R408" s="310"/>
      <c r="S408" s="310"/>
      <c r="T408" s="310"/>
      <c r="U408" s="307"/>
      <c r="V408" s="307"/>
      <c r="W408" s="311"/>
      <c r="X408" s="307"/>
      <c r="Y408" s="307"/>
      <c r="Z408" s="307"/>
      <c r="AA408" s="307"/>
      <c r="AB408" s="311"/>
      <c r="AC408" s="307"/>
      <c r="AD408" s="307"/>
      <c r="AE408" s="307"/>
      <c r="AF408" s="307"/>
      <c r="AG408" s="310"/>
      <c r="AH408" s="307"/>
      <c r="AI408" s="310"/>
      <c r="AJ408" s="307"/>
      <c r="AK408" s="307"/>
      <c r="AL408" s="307"/>
      <c r="AM408" s="308"/>
      <c r="AN408" s="311"/>
      <c r="AO408" s="307"/>
      <c r="AP408" s="307"/>
      <c r="AQ408" s="308"/>
      <c r="AR408" s="307"/>
      <c r="AS408" s="307"/>
      <c r="AT408" s="307"/>
      <c r="AU408" s="310"/>
      <c r="AV408" s="308"/>
      <c r="AW408" s="312"/>
      <c r="AX408" s="308"/>
      <c r="AY408" s="307"/>
      <c r="AZ408" s="307"/>
      <c r="BA408" s="307"/>
      <c r="BB408" s="307"/>
      <c r="BC408" s="308"/>
      <c r="BD408" s="308"/>
      <c r="BE408" s="313"/>
      <c r="BF408" s="307"/>
      <c r="BG408" s="310"/>
      <c r="BH408" s="307"/>
      <c r="BI408" s="307"/>
      <c r="BJ408" s="310"/>
      <c r="BK408" s="307"/>
      <c r="BL408" s="307"/>
      <c r="BM408" s="310"/>
      <c r="BN408" s="307"/>
      <c r="BO408" s="310"/>
      <c r="BP408" s="307"/>
      <c r="BQ408" s="307"/>
      <c r="BR408" s="307"/>
      <c r="BS408" s="307"/>
      <c r="BT408" s="307"/>
      <c r="BU408" s="310"/>
      <c r="BV408" s="307"/>
      <c r="BW408" s="308"/>
      <c r="BX408" s="311"/>
      <c r="BY408" s="307"/>
      <c r="BZ408" s="307"/>
      <c r="CA408" s="310"/>
      <c r="CB408" s="307"/>
      <c r="CC408" s="307"/>
      <c r="CD408" s="307"/>
      <c r="CE408" s="308"/>
      <c r="CF408" s="308"/>
      <c r="CG408" s="307"/>
      <c r="CH408" s="307"/>
      <c r="CI408" s="307"/>
      <c r="CJ408" s="307"/>
      <c r="CK408" s="314"/>
      <c r="CL408" s="310"/>
      <c r="CM408" s="310"/>
      <c r="CN408" s="307"/>
      <c r="CO408" s="307"/>
      <c r="CP408" s="307"/>
      <c r="CQ408" s="315"/>
      <c r="CR408" s="315"/>
      <c r="CS408" s="315"/>
      <c r="CT408" s="315"/>
      <c r="CU408" s="307"/>
      <c r="CV408" s="217"/>
      <c r="CW408" s="192"/>
      <c r="CX408" s="192"/>
      <c r="CY408" s="192"/>
      <c r="CZ408" s="191"/>
      <c r="DA408" s="193"/>
      <c r="DB408" s="192"/>
      <c r="DC408" s="192"/>
      <c r="DD408" s="192"/>
      <c r="DE408" s="191"/>
      <c r="DF408" s="19"/>
      <c r="DG408" s="192"/>
      <c r="DH408" s="192"/>
      <c r="DI408" s="192"/>
      <c r="DJ408" s="191"/>
      <c r="DK408" s="193"/>
      <c r="DL408" s="192"/>
      <c r="DM408" s="192"/>
      <c r="DN408" s="192"/>
      <c r="DO408" s="191"/>
      <c r="DP408" s="19"/>
      <c r="DQ408" s="192"/>
      <c r="DR408" s="192"/>
      <c r="DS408" s="192"/>
      <c r="DT408" s="191"/>
      <c r="DU408" s="193"/>
      <c r="DV408" s="192"/>
      <c r="DW408" s="192"/>
      <c r="DX408" s="192"/>
      <c r="DY408" s="191"/>
      <c r="DZ408" s="19"/>
      <c r="EA408" s="192"/>
      <c r="EB408" s="192"/>
      <c r="EC408" s="192"/>
      <c r="ED408" s="191"/>
      <c r="EE408" s="193"/>
      <c r="EF408" s="192"/>
      <c r="EG408" s="192"/>
      <c r="EH408" s="192"/>
      <c r="EI408" s="191"/>
      <c r="EJ408" s="19"/>
      <c r="EK408" s="192"/>
      <c r="EL408" s="192"/>
      <c r="EM408" s="192"/>
      <c r="EN408" s="191"/>
      <c r="EO408" s="193"/>
      <c r="EP408" s="192"/>
      <c r="EQ408" s="192"/>
      <c r="ER408" s="192"/>
      <c r="ES408" s="191"/>
      <c r="ET408" s="19"/>
      <c r="EU408" s="192"/>
      <c r="EV408" s="192"/>
      <c r="EW408" s="192"/>
      <c r="EX408" s="191"/>
      <c r="EY408" s="193"/>
      <c r="EZ408" s="192"/>
      <c r="FA408" s="192"/>
      <c r="FB408" s="192"/>
      <c r="FC408" s="191"/>
      <c r="FL408" s="273">
        <f t="shared" ca="1" si="20"/>
        <v>116</v>
      </c>
    </row>
    <row r="409" spans="1:168" ht="16.5" thickBot="1">
      <c r="A409" s="199">
        <v>406</v>
      </c>
      <c r="B409" s="306"/>
      <c r="C409" s="310"/>
      <c r="D409" s="307" t="s">
        <v>271</v>
      </c>
      <c r="E409" s="307" t="s">
        <v>271</v>
      </c>
      <c r="F409" s="308"/>
      <c r="G409" s="343" t="str">
        <f t="shared" si="18"/>
        <v xml:space="preserve"> </v>
      </c>
      <c r="H409" s="307"/>
      <c r="I409" s="309" t="e">
        <f t="shared" si="19"/>
        <v>#N/A</v>
      </c>
      <c r="J409" s="307"/>
      <c r="K409" s="307"/>
      <c r="L409" s="310"/>
      <c r="M409" s="310"/>
      <c r="N409" s="310"/>
      <c r="O409" s="310"/>
      <c r="P409" s="310"/>
      <c r="Q409" s="310"/>
      <c r="R409" s="310"/>
      <c r="S409" s="310"/>
      <c r="T409" s="310"/>
      <c r="U409" s="307"/>
      <c r="V409" s="307"/>
      <c r="W409" s="311"/>
      <c r="X409" s="307"/>
      <c r="Y409" s="307"/>
      <c r="Z409" s="307"/>
      <c r="AA409" s="307"/>
      <c r="AB409" s="311"/>
      <c r="AC409" s="307"/>
      <c r="AD409" s="307"/>
      <c r="AE409" s="307"/>
      <c r="AF409" s="307"/>
      <c r="AG409" s="310"/>
      <c r="AH409" s="307"/>
      <c r="AI409" s="310"/>
      <c r="AJ409" s="307"/>
      <c r="AK409" s="307"/>
      <c r="AL409" s="307"/>
      <c r="AM409" s="308"/>
      <c r="AN409" s="311"/>
      <c r="AO409" s="307"/>
      <c r="AP409" s="307"/>
      <c r="AQ409" s="308"/>
      <c r="AR409" s="307"/>
      <c r="AS409" s="307"/>
      <c r="AT409" s="307"/>
      <c r="AU409" s="310"/>
      <c r="AV409" s="308"/>
      <c r="AW409" s="312"/>
      <c r="AX409" s="308"/>
      <c r="AY409" s="307"/>
      <c r="AZ409" s="307"/>
      <c r="BA409" s="307"/>
      <c r="BB409" s="307"/>
      <c r="BC409" s="308"/>
      <c r="BD409" s="308"/>
      <c r="BE409" s="313"/>
      <c r="BF409" s="307"/>
      <c r="BG409" s="310"/>
      <c r="BH409" s="307"/>
      <c r="BI409" s="307"/>
      <c r="BJ409" s="310"/>
      <c r="BK409" s="307"/>
      <c r="BL409" s="307"/>
      <c r="BM409" s="310"/>
      <c r="BN409" s="307"/>
      <c r="BO409" s="310"/>
      <c r="BP409" s="307"/>
      <c r="BQ409" s="307"/>
      <c r="BR409" s="307"/>
      <c r="BS409" s="307"/>
      <c r="BT409" s="307"/>
      <c r="BU409" s="310"/>
      <c r="BV409" s="307"/>
      <c r="BW409" s="308"/>
      <c r="BX409" s="311"/>
      <c r="BY409" s="307"/>
      <c r="BZ409" s="307"/>
      <c r="CA409" s="310"/>
      <c r="CB409" s="307"/>
      <c r="CC409" s="307"/>
      <c r="CD409" s="307"/>
      <c r="CE409" s="308"/>
      <c r="CF409" s="308"/>
      <c r="CG409" s="307"/>
      <c r="CH409" s="307"/>
      <c r="CI409" s="307"/>
      <c r="CJ409" s="307"/>
      <c r="CK409" s="314"/>
      <c r="CL409" s="310"/>
      <c r="CM409" s="310"/>
      <c r="CN409" s="307"/>
      <c r="CO409" s="307"/>
      <c r="CP409" s="307"/>
      <c r="CQ409" s="315"/>
      <c r="CR409" s="315"/>
      <c r="CS409" s="315"/>
      <c r="CT409" s="315"/>
      <c r="CU409" s="307"/>
      <c r="CV409" s="217"/>
      <c r="CW409" s="192"/>
      <c r="CX409" s="192"/>
      <c r="CY409" s="192"/>
      <c r="CZ409" s="191"/>
      <c r="DA409" s="193"/>
      <c r="DB409" s="192"/>
      <c r="DC409" s="192"/>
      <c r="DD409" s="192"/>
      <c r="DE409" s="191"/>
      <c r="DF409" s="19"/>
      <c r="DG409" s="192"/>
      <c r="DH409" s="192"/>
      <c r="DI409" s="192"/>
      <c r="DJ409" s="191"/>
      <c r="DK409" s="193"/>
      <c r="DL409" s="192"/>
      <c r="DM409" s="192"/>
      <c r="DN409" s="192"/>
      <c r="DO409" s="191"/>
      <c r="DP409" s="19"/>
      <c r="DQ409" s="192"/>
      <c r="DR409" s="192"/>
      <c r="DS409" s="192"/>
      <c r="DT409" s="191"/>
      <c r="DU409" s="193"/>
      <c r="DV409" s="192"/>
      <c r="DW409" s="192"/>
      <c r="DX409" s="192"/>
      <c r="DY409" s="191"/>
      <c r="DZ409" s="19"/>
      <c r="EA409" s="192"/>
      <c r="EB409" s="192"/>
      <c r="EC409" s="192"/>
      <c r="ED409" s="191"/>
      <c r="EE409" s="193"/>
      <c r="EF409" s="192"/>
      <c r="EG409" s="192"/>
      <c r="EH409" s="192"/>
      <c r="EI409" s="191"/>
      <c r="EJ409" s="19"/>
      <c r="EK409" s="192"/>
      <c r="EL409" s="192"/>
      <c r="EM409" s="192"/>
      <c r="EN409" s="191"/>
      <c r="EO409" s="193"/>
      <c r="EP409" s="192"/>
      <c r="EQ409" s="192"/>
      <c r="ER409" s="192"/>
      <c r="ES409" s="191"/>
      <c r="ET409" s="19"/>
      <c r="EU409" s="192"/>
      <c r="EV409" s="192"/>
      <c r="EW409" s="192"/>
      <c r="EX409" s="191"/>
      <c r="EY409" s="193"/>
      <c r="EZ409" s="192"/>
      <c r="FA409" s="192"/>
      <c r="FB409" s="192"/>
      <c r="FC409" s="191"/>
      <c r="FL409" s="273">
        <f t="shared" ca="1" si="20"/>
        <v>116</v>
      </c>
    </row>
    <row r="410" spans="1:168" ht="16.5" thickBot="1">
      <c r="A410" s="196">
        <v>407</v>
      </c>
      <c r="B410" s="306"/>
      <c r="C410" s="310"/>
      <c r="D410" s="307" t="s">
        <v>271</v>
      </c>
      <c r="E410" s="307" t="s">
        <v>271</v>
      </c>
      <c r="F410" s="308"/>
      <c r="G410" s="343" t="str">
        <f t="shared" si="18"/>
        <v xml:space="preserve"> </v>
      </c>
      <c r="H410" s="307"/>
      <c r="I410" s="309" t="e">
        <f t="shared" si="19"/>
        <v>#N/A</v>
      </c>
      <c r="J410" s="307"/>
      <c r="K410" s="307"/>
      <c r="L410" s="310"/>
      <c r="M410" s="310"/>
      <c r="N410" s="310"/>
      <c r="O410" s="310"/>
      <c r="P410" s="310"/>
      <c r="Q410" s="310"/>
      <c r="R410" s="310"/>
      <c r="S410" s="310"/>
      <c r="T410" s="310"/>
      <c r="U410" s="307"/>
      <c r="V410" s="307"/>
      <c r="W410" s="311"/>
      <c r="X410" s="307"/>
      <c r="Y410" s="307"/>
      <c r="Z410" s="307"/>
      <c r="AA410" s="307"/>
      <c r="AB410" s="311"/>
      <c r="AC410" s="307"/>
      <c r="AD410" s="307"/>
      <c r="AE410" s="307"/>
      <c r="AF410" s="307"/>
      <c r="AG410" s="310"/>
      <c r="AH410" s="307"/>
      <c r="AI410" s="310"/>
      <c r="AJ410" s="307"/>
      <c r="AK410" s="307"/>
      <c r="AL410" s="307"/>
      <c r="AM410" s="308"/>
      <c r="AN410" s="311"/>
      <c r="AO410" s="307"/>
      <c r="AP410" s="307"/>
      <c r="AQ410" s="308"/>
      <c r="AR410" s="307"/>
      <c r="AS410" s="307"/>
      <c r="AT410" s="307"/>
      <c r="AU410" s="310"/>
      <c r="AV410" s="308"/>
      <c r="AW410" s="312"/>
      <c r="AX410" s="308"/>
      <c r="AY410" s="307"/>
      <c r="AZ410" s="307"/>
      <c r="BA410" s="307"/>
      <c r="BB410" s="307"/>
      <c r="BC410" s="308"/>
      <c r="BD410" s="308"/>
      <c r="BE410" s="313"/>
      <c r="BF410" s="307"/>
      <c r="BG410" s="310"/>
      <c r="BH410" s="307"/>
      <c r="BI410" s="307"/>
      <c r="BJ410" s="310"/>
      <c r="BK410" s="307"/>
      <c r="BL410" s="307"/>
      <c r="BM410" s="310"/>
      <c r="BN410" s="307"/>
      <c r="BO410" s="310"/>
      <c r="BP410" s="307"/>
      <c r="BQ410" s="307"/>
      <c r="BR410" s="307"/>
      <c r="BS410" s="307"/>
      <c r="BT410" s="307"/>
      <c r="BU410" s="310"/>
      <c r="BV410" s="307"/>
      <c r="BW410" s="308"/>
      <c r="BX410" s="311"/>
      <c r="BY410" s="307"/>
      <c r="BZ410" s="307"/>
      <c r="CA410" s="310"/>
      <c r="CB410" s="307"/>
      <c r="CC410" s="307"/>
      <c r="CD410" s="307"/>
      <c r="CE410" s="308"/>
      <c r="CF410" s="308"/>
      <c r="CG410" s="307"/>
      <c r="CH410" s="307"/>
      <c r="CI410" s="307"/>
      <c r="CJ410" s="307"/>
      <c r="CK410" s="314"/>
      <c r="CL410" s="310"/>
      <c r="CM410" s="310"/>
      <c r="CN410" s="307"/>
      <c r="CO410" s="307"/>
      <c r="CP410" s="307"/>
      <c r="CQ410" s="315"/>
      <c r="CR410" s="315"/>
      <c r="CS410" s="315"/>
      <c r="CT410" s="315"/>
      <c r="CU410" s="307"/>
      <c r="CV410" s="217"/>
      <c r="CW410" s="192"/>
      <c r="CX410" s="192"/>
      <c r="CY410" s="192"/>
      <c r="CZ410" s="191"/>
      <c r="DA410" s="193"/>
      <c r="DB410" s="192"/>
      <c r="DC410" s="192"/>
      <c r="DD410" s="192"/>
      <c r="DE410" s="191"/>
      <c r="DF410" s="19"/>
      <c r="DG410" s="192"/>
      <c r="DH410" s="192"/>
      <c r="DI410" s="192"/>
      <c r="DJ410" s="191"/>
      <c r="DK410" s="193"/>
      <c r="DL410" s="192"/>
      <c r="DM410" s="192"/>
      <c r="DN410" s="192"/>
      <c r="DO410" s="191"/>
      <c r="DP410" s="19"/>
      <c r="DQ410" s="192"/>
      <c r="DR410" s="192"/>
      <c r="DS410" s="192"/>
      <c r="DT410" s="191"/>
      <c r="DU410" s="193"/>
      <c r="DV410" s="192"/>
      <c r="DW410" s="192"/>
      <c r="DX410" s="192"/>
      <c r="DY410" s="191"/>
      <c r="DZ410" s="19"/>
      <c r="EA410" s="192"/>
      <c r="EB410" s="192"/>
      <c r="EC410" s="192"/>
      <c r="ED410" s="191"/>
      <c r="EE410" s="193"/>
      <c r="EF410" s="192"/>
      <c r="EG410" s="192"/>
      <c r="EH410" s="192"/>
      <c r="EI410" s="191"/>
      <c r="EJ410" s="19"/>
      <c r="EK410" s="192"/>
      <c r="EL410" s="192"/>
      <c r="EM410" s="192"/>
      <c r="EN410" s="191"/>
      <c r="EO410" s="193"/>
      <c r="EP410" s="192"/>
      <c r="EQ410" s="192"/>
      <c r="ER410" s="192"/>
      <c r="ES410" s="191"/>
      <c r="ET410" s="19"/>
      <c r="EU410" s="192"/>
      <c r="EV410" s="192"/>
      <c r="EW410" s="192"/>
      <c r="EX410" s="191"/>
      <c r="EY410" s="193"/>
      <c r="EZ410" s="192"/>
      <c r="FA410" s="192"/>
      <c r="FB410" s="192"/>
      <c r="FC410" s="191"/>
      <c r="FL410" s="273">
        <f t="shared" ca="1" si="20"/>
        <v>116</v>
      </c>
    </row>
    <row r="411" spans="1:168" ht="16.5" thickBot="1">
      <c r="A411" s="199">
        <v>408</v>
      </c>
      <c r="B411" s="306"/>
      <c r="C411" s="310"/>
      <c r="D411" s="307" t="s">
        <v>271</v>
      </c>
      <c r="E411" s="307" t="s">
        <v>271</v>
      </c>
      <c r="F411" s="308"/>
      <c r="G411" s="343" t="str">
        <f t="shared" si="18"/>
        <v xml:space="preserve"> </v>
      </c>
      <c r="H411" s="307"/>
      <c r="I411" s="309" t="e">
        <f t="shared" si="19"/>
        <v>#N/A</v>
      </c>
      <c r="J411" s="307"/>
      <c r="K411" s="307"/>
      <c r="L411" s="310"/>
      <c r="M411" s="310"/>
      <c r="N411" s="310"/>
      <c r="O411" s="310"/>
      <c r="P411" s="310"/>
      <c r="Q411" s="310"/>
      <c r="R411" s="310"/>
      <c r="S411" s="310"/>
      <c r="T411" s="310"/>
      <c r="U411" s="307"/>
      <c r="V411" s="307"/>
      <c r="W411" s="311"/>
      <c r="X411" s="307"/>
      <c r="Y411" s="307"/>
      <c r="Z411" s="307"/>
      <c r="AA411" s="307"/>
      <c r="AB411" s="311"/>
      <c r="AC411" s="307"/>
      <c r="AD411" s="307"/>
      <c r="AE411" s="307"/>
      <c r="AF411" s="307"/>
      <c r="AG411" s="310"/>
      <c r="AH411" s="307"/>
      <c r="AI411" s="310"/>
      <c r="AJ411" s="307"/>
      <c r="AK411" s="307"/>
      <c r="AL411" s="307"/>
      <c r="AM411" s="308"/>
      <c r="AN411" s="311"/>
      <c r="AO411" s="307"/>
      <c r="AP411" s="307"/>
      <c r="AQ411" s="308"/>
      <c r="AR411" s="307"/>
      <c r="AS411" s="307"/>
      <c r="AT411" s="307"/>
      <c r="AU411" s="310"/>
      <c r="AV411" s="308"/>
      <c r="AW411" s="312"/>
      <c r="AX411" s="308"/>
      <c r="AY411" s="307"/>
      <c r="AZ411" s="307"/>
      <c r="BA411" s="307"/>
      <c r="BB411" s="307"/>
      <c r="BC411" s="308"/>
      <c r="BD411" s="308"/>
      <c r="BE411" s="313"/>
      <c r="BF411" s="307"/>
      <c r="BG411" s="310"/>
      <c r="BH411" s="307"/>
      <c r="BI411" s="307"/>
      <c r="BJ411" s="310"/>
      <c r="BK411" s="307"/>
      <c r="BL411" s="307"/>
      <c r="BM411" s="310"/>
      <c r="BN411" s="307"/>
      <c r="BO411" s="310"/>
      <c r="BP411" s="307"/>
      <c r="BQ411" s="307"/>
      <c r="BR411" s="307"/>
      <c r="BS411" s="307"/>
      <c r="BT411" s="307"/>
      <c r="BU411" s="310"/>
      <c r="BV411" s="307"/>
      <c r="BW411" s="308"/>
      <c r="BX411" s="311"/>
      <c r="BY411" s="307"/>
      <c r="BZ411" s="307"/>
      <c r="CA411" s="310"/>
      <c r="CB411" s="307"/>
      <c r="CC411" s="307"/>
      <c r="CD411" s="307"/>
      <c r="CE411" s="308"/>
      <c r="CF411" s="308"/>
      <c r="CG411" s="307"/>
      <c r="CH411" s="307"/>
      <c r="CI411" s="307"/>
      <c r="CJ411" s="307"/>
      <c r="CK411" s="314"/>
      <c r="CL411" s="310"/>
      <c r="CM411" s="310"/>
      <c r="CN411" s="307"/>
      <c r="CO411" s="307"/>
      <c r="CP411" s="307"/>
      <c r="CQ411" s="315"/>
      <c r="CR411" s="315"/>
      <c r="CS411" s="315"/>
      <c r="CT411" s="315"/>
      <c r="CU411" s="307"/>
      <c r="CV411" s="217"/>
      <c r="CW411" s="192"/>
      <c r="CX411" s="192"/>
      <c r="CY411" s="192"/>
      <c r="CZ411" s="191"/>
      <c r="DA411" s="193"/>
      <c r="DB411" s="192"/>
      <c r="DC411" s="192"/>
      <c r="DD411" s="192"/>
      <c r="DE411" s="191"/>
      <c r="DF411" s="19"/>
      <c r="DG411" s="192"/>
      <c r="DH411" s="192"/>
      <c r="DI411" s="192"/>
      <c r="DJ411" s="191"/>
      <c r="DK411" s="193"/>
      <c r="DL411" s="192"/>
      <c r="DM411" s="192"/>
      <c r="DN411" s="192"/>
      <c r="DO411" s="191"/>
      <c r="DP411" s="19"/>
      <c r="DQ411" s="192"/>
      <c r="DR411" s="192"/>
      <c r="DS411" s="192"/>
      <c r="DT411" s="191"/>
      <c r="DU411" s="193"/>
      <c r="DV411" s="192"/>
      <c r="DW411" s="192"/>
      <c r="DX411" s="192"/>
      <c r="DY411" s="191"/>
      <c r="DZ411" s="19"/>
      <c r="EA411" s="192"/>
      <c r="EB411" s="192"/>
      <c r="EC411" s="192"/>
      <c r="ED411" s="191"/>
      <c r="EE411" s="193"/>
      <c r="EF411" s="192"/>
      <c r="EG411" s="192"/>
      <c r="EH411" s="192"/>
      <c r="EI411" s="191"/>
      <c r="EJ411" s="19"/>
      <c r="EK411" s="192"/>
      <c r="EL411" s="192"/>
      <c r="EM411" s="192"/>
      <c r="EN411" s="191"/>
      <c r="EO411" s="193"/>
      <c r="EP411" s="192"/>
      <c r="EQ411" s="192"/>
      <c r="ER411" s="192"/>
      <c r="ES411" s="191"/>
      <c r="ET411" s="19"/>
      <c r="EU411" s="192"/>
      <c r="EV411" s="192"/>
      <c r="EW411" s="192"/>
      <c r="EX411" s="191"/>
      <c r="EY411" s="193"/>
      <c r="EZ411" s="192"/>
      <c r="FA411" s="192"/>
      <c r="FB411" s="192"/>
      <c r="FC411" s="191"/>
      <c r="FL411" s="273">
        <f t="shared" ca="1" si="20"/>
        <v>116</v>
      </c>
    </row>
    <row r="412" spans="1:168" ht="16.5" thickBot="1">
      <c r="A412" s="196">
        <v>409</v>
      </c>
      <c r="B412" s="306"/>
      <c r="C412" s="310"/>
      <c r="D412" s="307" t="s">
        <v>271</v>
      </c>
      <c r="E412" s="307" t="s">
        <v>271</v>
      </c>
      <c r="F412" s="308"/>
      <c r="G412" s="343" t="str">
        <f t="shared" si="18"/>
        <v xml:space="preserve"> </v>
      </c>
      <c r="H412" s="307"/>
      <c r="I412" s="309" t="e">
        <f t="shared" si="19"/>
        <v>#N/A</v>
      </c>
      <c r="J412" s="307"/>
      <c r="K412" s="307"/>
      <c r="L412" s="310"/>
      <c r="M412" s="310"/>
      <c r="N412" s="310"/>
      <c r="O412" s="310"/>
      <c r="P412" s="310"/>
      <c r="Q412" s="310"/>
      <c r="R412" s="310"/>
      <c r="S412" s="310"/>
      <c r="T412" s="310"/>
      <c r="U412" s="307"/>
      <c r="V412" s="307"/>
      <c r="W412" s="311"/>
      <c r="X412" s="307"/>
      <c r="Y412" s="307"/>
      <c r="Z412" s="307"/>
      <c r="AA412" s="307"/>
      <c r="AB412" s="311"/>
      <c r="AC412" s="307"/>
      <c r="AD412" s="307"/>
      <c r="AE412" s="307"/>
      <c r="AF412" s="307"/>
      <c r="AG412" s="310"/>
      <c r="AH412" s="307"/>
      <c r="AI412" s="310"/>
      <c r="AJ412" s="307"/>
      <c r="AK412" s="307"/>
      <c r="AL412" s="307"/>
      <c r="AM412" s="308"/>
      <c r="AN412" s="311"/>
      <c r="AO412" s="307"/>
      <c r="AP412" s="307"/>
      <c r="AQ412" s="308"/>
      <c r="AR412" s="307"/>
      <c r="AS412" s="307"/>
      <c r="AT412" s="307"/>
      <c r="AU412" s="310"/>
      <c r="AV412" s="308"/>
      <c r="AW412" s="312"/>
      <c r="AX412" s="308"/>
      <c r="AY412" s="307"/>
      <c r="AZ412" s="307"/>
      <c r="BA412" s="307"/>
      <c r="BB412" s="307"/>
      <c r="BC412" s="308"/>
      <c r="BD412" s="308"/>
      <c r="BE412" s="313"/>
      <c r="BF412" s="307"/>
      <c r="BG412" s="310"/>
      <c r="BH412" s="307"/>
      <c r="BI412" s="307"/>
      <c r="BJ412" s="310"/>
      <c r="BK412" s="307"/>
      <c r="BL412" s="307"/>
      <c r="BM412" s="310"/>
      <c r="BN412" s="307"/>
      <c r="BO412" s="310"/>
      <c r="BP412" s="307"/>
      <c r="BQ412" s="307"/>
      <c r="BR412" s="307"/>
      <c r="BS412" s="307"/>
      <c r="BT412" s="307"/>
      <c r="BU412" s="310"/>
      <c r="BV412" s="307"/>
      <c r="BW412" s="308"/>
      <c r="BX412" s="311"/>
      <c r="BY412" s="307"/>
      <c r="BZ412" s="307"/>
      <c r="CA412" s="310"/>
      <c r="CB412" s="307"/>
      <c r="CC412" s="307"/>
      <c r="CD412" s="307"/>
      <c r="CE412" s="308"/>
      <c r="CF412" s="308"/>
      <c r="CG412" s="307"/>
      <c r="CH412" s="307"/>
      <c r="CI412" s="307"/>
      <c r="CJ412" s="307"/>
      <c r="CK412" s="314"/>
      <c r="CL412" s="310"/>
      <c r="CM412" s="310"/>
      <c r="CN412" s="307"/>
      <c r="CO412" s="307"/>
      <c r="CP412" s="307"/>
      <c r="CQ412" s="315"/>
      <c r="CR412" s="315"/>
      <c r="CS412" s="315"/>
      <c r="CT412" s="315"/>
      <c r="CU412" s="307"/>
      <c r="CV412" s="217"/>
      <c r="CW412" s="192"/>
      <c r="CX412" s="192"/>
      <c r="CY412" s="192"/>
      <c r="CZ412" s="191"/>
      <c r="DA412" s="193"/>
      <c r="DB412" s="192"/>
      <c r="DC412" s="192"/>
      <c r="DD412" s="192"/>
      <c r="DE412" s="191"/>
      <c r="DF412" s="19"/>
      <c r="DG412" s="192"/>
      <c r="DH412" s="192"/>
      <c r="DI412" s="192"/>
      <c r="DJ412" s="191"/>
      <c r="DK412" s="193"/>
      <c r="DL412" s="192"/>
      <c r="DM412" s="192"/>
      <c r="DN412" s="192"/>
      <c r="DO412" s="191"/>
      <c r="DP412" s="19"/>
      <c r="DQ412" s="192"/>
      <c r="DR412" s="192"/>
      <c r="DS412" s="192"/>
      <c r="DT412" s="191"/>
      <c r="DU412" s="193"/>
      <c r="DV412" s="192"/>
      <c r="DW412" s="192"/>
      <c r="DX412" s="192"/>
      <c r="DY412" s="191"/>
      <c r="DZ412" s="19"/>
      <c r="EA412" s="192"/>
      <c r="EB412" s="192"/>
      <c r="EC412" s="192"/>
      <c r="ED412" s="191"/>
      <c r="EE412" s="193"/>
      <c r="EF412" s="192"/>
      <c r="EG412" s="192"/>
      <c r="EH412" s="192"/>
      <c r="EI412" s="191"/>
      <c r="EJ412" s="19"/>
      <c r="EK412" s="192"/>
      <c r="EL412" s="192"/>
      <c r="EM412" s="192"/>
      <c r="EN412" s="191"/>
      <c r="EO412" s="193"/>
      <c r="EP412" s="192"/>
      <c r="EQ412" s="192"/>
      <c r="ER412" s="192"/>
      <c r="ES412" s="191"/>
      <c r="ET412" s="19"/>
      <c r="EU412" s="192"/>
      <c r="EV412" s="192"/>
      <c r="EW412" s="192"/>
      <c r="EX412" s="191"/>
      <c r="EY412" s="193"/>
      <c r="EZ412" s="192"/>
      <c r="FA412" s="192"/>
      <c r="FB412" s="192"/>
      <c r="FC412" s="191"/>
      <c r="FL412" s="273">
        <f t="shared" ca="1" si="20"/>
        <v>116</v>
      </c>
    </row>
    <row r="413" spans="1:168" ht="16.5" thickBot="1">
      <c r="A413" s="199">
        <v>410</v>
      </c>
      <c r="B413" s="306"/>
      <c r="C413" s="310"/>
      <c r="D413" s="307" t="s">
        <v>271</v>
      </c>
      <c r="E413" s="307" t="s">
        <v>271</v>
      </c>
      <c r="F413" s="308"/>
      <c r="G413" s="343" t="str">
        <f t="shared" si="18"/>
        <v xml:space="preserve"> </v>
      </c>
      <c r="H413" s="307"/>
      <c r="I413" s="309" t="e">
        <f t="shared" si="19"/>
        <v>#N/A</v>
      </c>
      <c r="J413" s="307"/>
      <c r="K413" s="307"/>
      <c r="L413" s="310"/>
      <c r="M413" s="310"/>
      <c r="N413" s="310"/>
      <c r="O413" s="310"/>
      <c r="P413" s="310"/>
      <c r="Q413" s="310"/>
      <c r="R413" s="310"/>
      <c r="S413" s="310"/>
      <c r="T413" s="310"/>
      <c r="U413" s="307"/>
      <c r="V413" s="307"/>
      <c r="W413" s="311"/>
      <c r="X413" s="307"/>
      <c r="Y413" s="307"/>
      <c r="Z413" s="307"/>
      <c r="AA413" s="307"/>
      <c r="AB413" s="311"/>
      <c r="AC413" s="307"/>
      <c r="AD413" s="307"/>
      <c r="AE413" s="307"/>
      <c r="AF413" s="307"/>
      <c r="AG413" s="310"/>
      <c r="AH413" s="307"/>
      <c r="AI413" s="310"/>
      <c r="AJ413" s="307"/>
      <c r="AK413" s="307"/>
      <c r="AL413" s="307"/>
      <c r="AM413" s="308"/>
      <c r="AN413" s="311"/>
      <c r="AO413" s="307"/>
      <c r="AP413" s="307"/>
      <c r="AQ413" s="308"/>
      <c r="AR413" s="307"/>
      <c r="AS413" s="307"/>
      <c r="AT413" s="307"/>
      <c r="AU413" s="310"/>
      <c r="AV413" s="308"/>
      <c r="AW413" s="312"/>
      <c r="AX413" s="308"/>
      <c r="AY413" s="307"/>
      <c r="AZ413" s="307"/>
      <c r="BA413" s="307"/>
      <c r="BB413" s="307"/>
      <c r="BC413" s="308"/>
      <c r="BD413" s="308"/>
      <c r="BE413" s="313"/>
      <c r="BF413" s="307"/>
      <c r="BG413" s="310"/>
      <c r="BH413" s="307"/>
      <c r="BI413" s="307"/>
      <c r="BJ413" s="310"/>
      <c r="BK413" s="307"/>
      <c r="BL413" s="307"/>
      <c r="BM413" s="310"/>
      <c r="BN413" s="307"/>
      <c r="BO413" s="310"/>
      <c r="BP413" s="307"/>
      <c r="BQ413" s="307"/>
      <c r="BR413" s="307"/>
      <c r="BS413" s="307"/>
      <c r="BT413" s="307"/>
      <c r="BU413" s="310"/>
      <c r="BV413" s="307"/>
      <c r="BW413" s="308"/>
      <c r="BX413" s="311"/>
      <c r="BY413" s="307"/>
      <c r="BZ413" s="307"/>
      <c r="CA413" s="310"/>
      <c r="CB413" s="307"/>
      <c r="CC413" s="307"/>
      <c r="CD413" s="307"/>
      <c r="CE413" s="308"/>
      <c r="CF413" s="308"/>
      <c r="CG413" s="307"/>
      <c r="CH413" s="307"/>
      <c r="CI413" s="307"/>
      <c r="CJ413" s="307"/>
      <c r="CK413" s="314"/>
      <c r="CL413" s="310"/>
      <c r="CM413" s="310"/>
      <c r="CN413" s="307"/>
      <c r="CO413" s="307"/>
      <c r="CP413" s="307"/>
      <c r="CQ413" s="315"/>
      <c r="CR413" s="315"/>
      <c r="CS413" s="315"/>
      <c r="CT413" s="315"/>
      <c r="CU413" s="307"/>
      <c r="CV413" s="217"/>
      <c r="CW413" s="192"/>
      <c r="CX413" s="192"/>
      <c r="CY413" s="192"/>
      <c r="CZ413" s="191"/>
      <c r="DA413" s="193"/>
      <c r="DB413" s="192"/>
      <c r="DC413" s="192"/>
      <c r="DD413" s="192"/>
      <c r="DE413" s="191"/>
      <c r="DF413" s="19"/>
      <c r="DG413" s="192"/>
      <c r="DH413" s="192"/>
      <c r="DI413" s="192"/>
      <c r="DJ413" s="191"/>
      <c r="DK413" s="193"/>
      <c r="DL413" s="192"/>
      <c r="DM413" s="192"/>
      <c r="DN413" s="192"/>
      <c r="DO413" s="191"/>
      <c r="DP413" s="19"/>
      <c r="DQ413" s="192"/>
      <c r="DR413" s="192"/>
      <c r="DS413" s="192"/>
      <c r="DT413" s="191"/>
      <c r="DU413" s="193"/>
      <c r="DV413" s="192"/>
      <c r="DW413" s="192"/>
      <c r="DX413" s="192"/>
      <c r="DY413" s="191"/>
      <c r="DZ413" s="19"/>
      <c r="EA413" s="192"/>
      <c r="EB413" s="192"/>
      <c r="EC413" s="192"/>
      <c r="ED413" s="191"/>
      <c r="EE413" s="193"/>
      <c r="EF413" s="192"/>
      <c r="EG413" s="192"/>
      <c r="EH413" s="192"/>
      <c r="EI413" s="191"/>
      <c r="EJ413" s="19"/>
      <c r="EK413" s="192"/>
      <c r="EL413" s="192"/>
      <c r="EM413" s="192"/>
      <c r="EN413" s="191"/>
      <c r="EO413" s="193"/>
      <c r="EP413" s="192"/>
      <c r="EQ413" s="192"/>
      <c r="ER413" s="192"/>
      <c r="ES413" s="191"/>
      <c r="ET413" s="19"/>
      <c r="EU413" s="192"/>
      <c r="EV413" s="192"/>
      <c r="EW413" s="192"/>
      <c r="EX413" s="191"/>
      <c r="EY413" s="193"/>
      <c r="EZ413" s="192"/>
      <c r="FA413" s="192"/>
      <c r="FB413" s="192"/>
      <c r="FC413" s="191"/>
      <c r="FL413" s="273">
        <f t="shared" ca="1" si="20"/>
        <v>116</v>
      </c>
    </row>
    <row r="414" spans="1:168" ht="16.5" thickBot="1">
      <c r="A414" s="196">
        <v>411</v>
      </c>
      <c r="B414" s="306"/>
      <c r="C414" s="310"/>
      <c r="D414" s="307" t="s">
        <v>271</v>
      </c>
      <c r="E414" s="307" t="s">
        <v>271</v>
      </c>
      <c r="F414" s="308"/>
      <c r="G414" s="343" t="str">
        <f t="shared" si="18"/>
        <v xml:space="preserve"> </v>
      </c>
      <c r="H414" s="307"/>
      <c r="I414" s="309" t="e">
        <f t="shared" si="19"/>
        <v>#N/A</v>
      </c>
      <c r="J414" s="307"/>
      <c r="K414" s="307"/>
      <c r="L414" s="310"/>
      <c r="M414" s="310"/>
      <c r="N414" s="310"/>
      <c r="O414" s="310"/>
      <c r="P414" s="310"/>
      <c r="Q414" s="310"/>
      <c r="R414" s="310"/>
      <c r="S414" s="310"/>
      <c r="T414" s="310"/>
      <c r="U414" s="307"/>
      <c r="V414" s="307"/>
      <c r="W414" s="311"/>
      <c r="X414" s="307"/>
      <c r="Y414" s="307"/>
      <c r="Z414" s="307"/>
      <c r="AA414" s="307"/>
      <c r="AB414" s="311"/>
      <c r="AC414" s="307"/>
      <c r="AD414" s="307"/>
      <c r="AE414" s="307"/>
      <c r="AF414" s="307"/>
      <c r="AG414" s="310"/>
      <c r="AH414" s="307"/>
      <c r="AI414" s="310"/>
      <c r="AJ414" s="307"/>
      <c r="AK414" s="307"/>
      <c r="AL414" s="307"/>
      <c r="AM414" s="308"/>
      <c r="AN414" s="311"/>
      <c r="AO414" s="307"/>
      <c r="AP414" s="307"/>
      <c r="AQ414" s="308"/>
      <c r="AR414" s="307"/>
      <c r="AS414" s="307"/>
      <c r="AT414" s="307"/>
      <c r="AU414" s="310"/>
      <c r="AV414" s="308"/>
      <c r="AW414" s="312"/>
      <c r="AX414" s="308"/>
      <c r="AY414" s="307"/>
      <c r="AZ414" s="307"/>
      <c r="BA414" s="307"/>
      <c r="BB414" s="307"/>
      <c r="BC414" s="308"/>
      <c r="BD414" s="308"/>
      <c r="BE414" s="313"/>
      <c r="BF414" s="307"/>
      <c r="BG414" s="310"/>
      <c r="BH414" s="307"/>
      <c r="BI414" s="307"/>
      <c r="BJ414" s="310"/>
      <c r="BK414" s="307"/>
      <c r="BL414" s="307"/>
      <c r="BM414" s="310"/>
      <c r="BN414" s="307"/>
      <c r="BO414" s="310"/>
      <c r="BP414" s="307"/>
      <c r="BQ414" s="307"/>
      <c r="BR414" s="307"/>
      <c r="BS414" s="307"/>
      <c r="BT414" s="307"/>
      <c r="BU414" s="310"/>
      <c r="BV414" s="307"/>
      <c r="BW414" s="308"/>
      <c r="BX414" s="311"/>
      <c r="BY414" s="307"/>
      <c r="BZ414" s="307"/>
      <c r="CA414" s="310"/>
      <c r="CB414" s="307"/>
      <c r="CC414" s="307"/>
      <c r="CD414" s="307"/>
      <c r="CE414" s="308"/>
      <c r="CF414" s="308"/>
      <c r="CG414" s="307"/>
      <c r="CH414" s="307"/>
      <c r="CI414" s="307"/>
      <c r="CJ414" s="307"/>
      <c r="CK414" s="314"/>
      <c r="CL414" s="310"/>
      <c r="CM414" s="310"/>
      <c r="CN414" s="307"/>
      <c r="CO414" s="307"/>
      <c r="CP414" s="307"/>
      <c r="CQ414" s="315"/>
      <c r="CR414" s="315"/>
      <c r="CS414" s="315"/>
      <c r="CT414" s="315"/>
      <c r="CU414" s="307"/>
      <c r="CV414" s="217"/>
      <c r="CW414" s="192"/>
      <c r="CX414" s="192"/>
      <c r="CY414" s="192"/>
      <c r="CZ414" s="191"/>
      <c r="DA414" s="193"/>
      <c r="DB414" s="192"/>
      <c r="DC414" s="192"/>
      <c r="DD414" s="192"/>
      <c r="DE414" s="191"/>
      <c r="DF414" s="19"/>
      <c r="DG414" s="192"/>
      <c r="DH414" s="192"/>
      <c r="DI414" s="192"/>
      <c r="DJ414" s="191"/>
      <c r="DK414" s="193"/>
      <c r="DL414" s="192"/>
      <c r="DM414" s="192"/>
      <c r="DN414" s="192"/>
      <c r="DO414" s="191"/>
      <c r="DP414" s="19"/>
      <c r="DQ414" s="192"/>
      <c r="DR414" s="192"/>
      <c r="DS414" s="192"/>
      <c r="DT414" s="191"/>
      <c r="DU414" s="193"/>
      <c r="DV414" s="192"/>
      <c r="DW414" s="192"/>
      <c r="DX414" s="192"/>
      <c r="DY414" s="191"/>
      <c r="DZ414" s="19"/>
      <c r="EA414" s="192"/>
      <c r="EB414" s="192"/>
      <c r="EC414" s="192"/>
      <c r="ED414" s="191"/>
      <c r="EE414" s="193"/>
      <c r="EF414" s="192"/>
      <c r="EG414" s="192"/>
      <c r="EH414" s="192"/>
      <c r="EI414" s="191"/>
      <c r="EJ414" s="19"/>
      <c r="EK414" s="192"/>
      <c r="EL414" s="192"/>
      <c r="EM414" s="192"/>
      <c r="EN414" s="191"/>
      <c r="EO414" s="193"/>
      <c r="EP414" s="192"/>
      <c r="EQ414" s="192"/>
      <c r="ER414" s="192"/>
      <c r="ES414" s="191"/>
      <c r="ET414" s="19"/>
      <c r="EU414" s="192"/>
      <c r="EV414" s="192"/>
      <c r="EW414" s="192"/>
      <c r="EX414" s="191"/>
      <c r="EY414" s="193"/>
      <c r="EZ414" s="192"/>
      <c r="FA414" s="192"/>
      <c r="FB414" s="192"/>
      <c r="FC414" s="191"/>
      <c r="FL414" s="273">
        <f t="shared" ca="1" si="20"/>
        <v>116</v>
      </c>
    </row>
    <row r="415" spans="1:168" ht="16.5" thickBot="1">
      <c r="A415" s="199">
        <v>412</v>
      </c>
      <c r="B415" s="306"/>
      <c r="C415" s="310"/>
      <c r="D415" s="307" t="s">
        <v>271</v>
      </c>
      <c r="E415" s="307" t="s">
        <v>271</v>
      </c>
      <c r="F415" s="308"/>
      <c r="G415" s="343" t="str">
        <f t="shared" si="18"/>
        <v xml:space="preserve"> </v>
      </c>
      <c r="H415" s="307"/>
      <c r="I415" s="309" t="e">
        <f t="shared" si="19"/>
        <v>#N/A</v>
      </c>
      <c r="J415" s="307"/>
      <c r="K415" s="307"/>
      <c r="L415" s="310"/>
      <c r="M415" s="310"/>
      <c r="N415" s="310"/>
      <c r="O415" s="310"/>
      <c r="P415" s="310"/>
      <c r="Q415" s="310"/>
      <c r="R415" s="310"/>
      <c r="S415" s="310"/>
      <c r="T415" s="310"/>
      <c r="U415" s="307"/>
      <c r="V415" s="307"/>
      <c r="W415" s="311"/>
      <c r="X415" s="307"/>
      <c r="Y415" s="307"/>
      <c r="Z415" s="307"/>
      <c r="AA415" s="307"/>
      <c r="AB415" s="311"/>
      <c r="AC415" s="307"/>
      <c r="AD415" s="307"/>
      <c r="AE415" s="307"/>
      <c r="AF415" s="307"/>
      <c r="AG415" s="310"/>
      <c r="AH415" s="307"/>
      <c r="AI415" s="310"/>
      <c r="AJ415" s="307"/>
      <c r="AK415" s="307"/>
      <c r="AL415" s="307"/>
      <c r="AM415" s="308"/>
      <c r="AN415" s="311"/>
      <c r="AO415" s="307"/>
      <c r="AP415" s="307"/>
      <c r="AQ415" s="308"/>
      <c r="AR415" s="307"/>
      <c r="AS415" s="307"/>
      <c r="AT415" s="307"/>
      <c r="AU415" s="310"/>
      <c r="AV415" s="308"/>
      <c r="AW415" s="312"/>
      <c r="AX415" s="308"/>
      <c r="AY415" s="307"/>
      <c r="AZ415" s="307"/>
      <c r="BA415" s="307"/>
      <c r="BB415" s="307"/>
      <c r="BC415" s="308"/>
      <c r="BD415" s="308"/>
      <c r="BE415" s="313"/>
      <c r="BF415" s="307"/>
      <c r="BG415" s="310"/>
      <c r="BH415" s="307"/>
      <c r="BI415" s="307"/>
      <c r="BJ415" s="310"/>
      <c r="BK415" s="307"/>
      <c r="BL415" s="307"/>
      <c r="BM415" s="310"/>
      <c r="BN415" s="307"/>
      <c r="BO415" s="310"/>
      <c r="BP415" s="307"/>
      <c r="BQ415" s="307"/>
      <c r="BR415" s="307"/>
      <c r="BS415" s="307"/>
      <c r="BT415" s="307"/>
      <c r="BU415" s="310"/>
      <c r="BV415" s="307"/>
      <c r="BW415" s="308"/>
      <c r="BX415" s="311"/>
      <c r="BY415" s="307"/>
      <c r="BZ415" s="307"/>
      <c r="CA415" s="310"/>
      <c r="CB415" s="307"/>
      <c r="CC415" s="307"/>
      <c r="CD415" s="307"/>
      <c r="CE415" s="308"/>
      <c r="CF415" s="308"/>
      <c r="CG415" s="307"/>
      <c r="CH415" s="307"/>
      <c r="CI415" s="307"/>
      <c r="CJ415" s="307"/>
      <c r="CK415" s="314"/>
      <c r="CL415" s="310"/>
      <c r="CM415" s="310"/>
      <c r="CN415" s="307"/>
      <c r="CO415" s="307"/>
      <c r="CP415" s="307"/>
      <c r="CQ415" s="315"/>
      <c r="CR415" s="315"/>
      <c r="CS415" s="315"/>
      <c r="CT415" s="315"/>
      <c r="CU415" s="307"/>
      <c r="CV415" s="217"/>
      <c r="CW415" s="192"/>
      <c r="CX415" s="192"/>
      <c r="CY415" s="192"/>
      <c r="CZ415" s="191"/>
      <c r="DA415" s="193"/>
      <c r="DB415" s="192"/>
      <c r="DC415" s="192"/>
      <c r="DD415" s="192"/>
      <c r="DE415" s="191"/>
      <c r="DF415" s="19"/>
      <c r="DG415" s="192"/>
      <c r="DH415" s="192"/>
      <c r="DI415" s="192"/>
      <c r="DJ415" s="191"/>
      <c r="DK415" s="193"/>
      <c r="DL415" s="192"/>
      <c r="DM415" s="192"/>
      <c r="DN415" s="192"/>
      <c r="DO415" s="191"/>
      <c r="DP415" s="19"/>
      <c r="DQ415" s="192"/>
      <c r="DR415" s="192"/>
      <c r="DS415" s="192"/>
      <c r="DT415" s="191"/>
      <c r="DU415" s="193"/>
      <c r="DV415" s="192"/>
      <c r="DW415" s="192"/>
      <c r="DX415" s="192"/>
      <c r="DY415" s="191"/>
      <c r="DZ415" s="19"/>
      <c r="EA415" s="192"/>
      <c r="EB415" s="192"/>
      <c r="EC415" s="192"/>
      <c r="ED415" s="191"/>
      <c r="EE415" s="193"/>
      <c r="EF415" s="192"/>
      <c r="EG415" s="192"/>
      <c r="EH415" s="192"/>
      <c r="EI415" s="191"/>
      <c r="EJ415" s="19"/>
      <c r="EK415" s="192"/>
      <c r="EL415" s="192"/>
      <c r="EM415" s="192"/>
      <c r="EN415" s="191"/>
      <c r="EO415" s="193"/>
      <c r="EP415" s="192"/>
      <c r="EQ415" s="192"/>
      <c r="ER415" s="192"/>
      <c r="ES415" s="191"/>
      <c r="ET415" s="19"/>
      <c r="EU415" s="192"/>
      <c r="EV415" s="192"/>
      <c r="EW415" s="192"/>
      <c r="EX415" s="191"/>
      <c r="EY415" s="193"/>
      <c r="EZ415" s="192"/>
      <c r="FA415" s="192"/>
      <c r="FB415" s="192"/>
      <c r="FC415" s="191"/>
      <c r="FL415" s="273">
        <f t="shared" ca="1" si="20"/>
        <v>116</v>
      </c>
    </row>
    <row r="416" spans="1:168" ht="16.5" thickBot="1">
      <c r="A416" s="196">
        <v>413</v>
      </c>
      <c r="B416" s="306"/>
      <c r="C416" s="310"/>
      <c r="D416" s="307" t="s">
        <v>271</v>
      </c>
      <c r="E416" s="307" t="s">
        <v>271</v>
      </c>
      <c r="F416" s="308"/>
      <c r="G416" s="343" t="str">
        <f t="shared" si="18"/>
        <v xml:space="preserve"> </v>
      </c>
      <c r="H416" s="307"/>
      <c r="I416" s="309" t="e">
        <f t="shared" si="19"/>
        <v>#N/A</v>
      </c>
      <c r="J416" s="307"/>
      <c r="K416" s="307"/>
      <c r="L416" s="310"/>
      <c r="M416" s="310"/>
      <c r="N416" s="310"/>
      <c r="O416" s="310"/>
      <c r="P416" s="310"/>
      <c r="Q416" s="310"/>
      <c r="R416" s="310"/>
      <c r="S416" s="310"/>
      <c r="T416" s="310"/>
      <c r="U416" s="307"/>
      <c r="V416" s="307"/>
      <c r="W416" s="311"/>
      <c r="X416" s="307"/>
      <c r="Y416" s="307"/>
      <c r="Z416" s="307"/>
      <c r="AA416" s="307"/>
      <c r="AB416" s="311"/>
      <c r="AC416" s="307"/>
      <c r="AD416" s="307"/>
      <c r="AE416" s="307"/>
      <c r="AF416" s="307"/>
      <c r="AG416" s="310"/>
      <c r="AH416" s="307"/>
      <c r="AI416" s="310"/>
      <c r="AJ416" s="307"/>
      <c r="AK416" s="307"/>
      <c r="AL416" s="307"/>
      <c r="AM416" s="308"/>
      <c r="AN416" s="311"/>
      <c r="AO416" s="307"/>
      <c r="AP416" s="307"/>
      <c r="AQ416" s="308"/>
      <c r="AR416" s="307"/>
      <c r="AS416" s="307"/>
      <c r="AT416" s="307"/>
      <c r="AU416" s="310"/>
      <c r="AV416" s="308"/>
      <c r="AW416" s="312"/>
      <c r="AX416" s="308"/>
      <c r="AY416" s="307"/>
      <c r="AZ416" s="307"/>
      <c r="BA416" s="307"/>
      <c r="BB416" s="307"/>
      <c r="BC416" s="308"/>
      <c r="BD416" s="308"/>
      <c r="BE416" s="313"/>
      <c r="BF416" s="307"/>
      <c r="BG416" s="310"/>
      <c r="BH416" s="307"/>
      <c r="BI416" s="307"/>
      <c r="BJ416" s="310"/>
      <c r="BK416" s="307"/>
      <c r="BL416" s="307"/>
      <c r="BM416" s="310"/>
      <c r="BN416" s="307"/>
      <c r="BO416" s="310"/>
      <c r="BP416" s="307"/>
      <c r="BQ416" s="307"/>
      <c r="BR416" s="307"/>
      <c r="BS416" s="307"/>
      <c r="BT416" s="307"/>
      <c r="BU416" s="310"/>
      <c r="BV416" s="307"/>
      <c r="BW416" s="308"/>
      <c r="BX416" s="311"/>
      <c r="BY416" s="307"/>
      <c r="BZ416" s="307"/>
      <c r="CA416" s="310"/>
      <c r="CB416" s="307"/>
      <c r="CC416" s="307"/>
      <c r="CD416" s="307"/>
      <c r="CE416" s="308"/>
      <c r="CF416" s="308"/>
      <c r="CG416" s="307"/>
      <c r="CH416" s="307"/>
      <c r="CI416" s="307"/>
      <c r="CJ416" s="307"/>
      <c r="CK416" s="314"/>
      <c r="CL416" s="310"/>
      <c r="CM416" s="310"/>
      <c r="CN416" s="307"/>
      <c r="CO416" s="307"/>
      <c r="CP416" s="307"/>
      <c r="CQ416" s="315"/>
      <c r="CR416" s="315"/>
      <c r="CS416" s="315"/>
      <c r="CT416" s="315"/>
      <c r="CU416" s="307"/>
      <c r="CV416" s="217"/>
      <c r="CW416" s="192"/>
      <c r="CX416" s="192"/>
      <c r="CY416" s="192"/>
      <c r="CZ416" s="191"/>
      <c r="DA416" s="193"/>
      <c r="DB416" s="192"/>
      <c r="DC416" s="192"/>
      <c r="DD416" s="192"/>
      <c r="DE416" s="191"/>
      <c r="DF416" s="19"/>
      <c r="DG416" s="192"/>
      <c r="DH416" s="192"/>
      <c r="DI416" s="192"/>
      <c r="DJ416" s="191"/>
      <c r="DK416" s="193"/>
      <c r="DL416" s="192"/>
      <c r="DM416" s="192"/>
      <c r="DN416" s="192"/>
      <c r="DO416" s="191"/>
      <c r="DP416" s="19"/>
      <c r="DQ416" s="192"/>
      <c r="DR416" s="192"/>
      <c r="DS416" s="192"/>
      <c r="DT416" s="191"/>
      <c r="DU416" s="193"/>
      <c r="DV416" s="192"/>
      <c r="DW416" s="192"/>
      <c r="DX416" s="192"/>
      <c r="DY416" s="191"/>
      <c r="DZ416" s="19"/>
      <c r="EA416" s="192"/>
      <c r="EB416" s="192"/>
      <c r="EC416" s="192"/>
      <c r="ED416" s="191"/>
      <c r="EE416" s="193"/>
      <c r="EF416" s="192"/>
      <c r="EG416" s="192"/>
      <c r="EH416" s="192"/>
      <c r="EI416" s="191"/>
      <c r="EJ416" s="19"/>
      <c r="EK416" s="192"/>
      <c r="EL416" s="192"/>
      <c r="EM416" s="192"/>
      <c r="EN416" s="191"/>
      <c r="EO416" s="193"/>
      <c r="EP416" s="192"/>
      <c r="EQ416" s="192"/>
      <c r="ER416" s="192"/>
      <c r="ES416" s="191"/>
      <c r="ET416" s="19"/>
      <c r="EU416" s="192"/>
      <c r="EV416" s="192"/>
      <c r="EW416" s="192"/>
      <c r="EX416" s="191"/>
      <c r="EY416" s="193"/>
      <c r="EZ416" s="192"/>
      <c r="FA416" s="192"/>
      <c r="FB416" s="192"/>
      <c r="FC416" s="191"/>
      <c r="FL416" s="273">
        <f t="shared" ca="1" si="20"/>
        <v>116</v>
      </c>
    </row>
    <row r="417" spans="1:168" ht="16.5" thickBot="1">
      <c r="A417" s="199">
        <v>414</v>
      </c>
      <c r="B417" s="306"/>
      <c r="C417" s="310"/>
      <c r="D417" s="307" t="s">
        <v>271</v>
      </c>
      <c r="E417" s="307" t="s">
        <v>271</v>
      </c>
      <c r="F417" s="308"/>
      <c r="G417" s="343" t="str">
        <f t="shared" si="18"/>
        <v xml:space="preserve"> </v>
      </c>
      <c r="H417" s="307"/>
      <c r="I417" s="309" t="e">
        <f t="shared" si="19"/>
        <v>#N/A</v>
      </c>
      <c r="J417" s="307"/>
      <c r="K417" s="307"/>
      <c r="L417" s="310"/>
      <c r="M417" s="310"/>
      <c r="N417" s="310"/>
      <c r="O417" s="310"/>
      <c r="P417" s="310"/>
      <c r="Q417" s="310"/>
      <c r="R417" s="310"/>
      <c r="S417" s="310"/>
      <c r="T417" s="310"/>
      <c r="U417" s="307"/>
      <c r="V417" s="307"/>
      <c r="W417" s="311"/>
      <c r="X417" s="307"/>
      <c r="Y417" s="307"/>
      <c r="Z417" s="307"/>
      <c r="AA417" s="307"/>
      <c r="AB417" s="311"/>
      <c r="AC417" s="307"/>
      <c r="AD417" s="307"/>
      <c r="AE417" s="307"/>
      <c r="AF417" s="307"/>
      <c r="AG417" s="310"/>
      <c r="AH417" s="307"/>
      <c r="AI417" s="310"/>
      <c r="AJ417" s="307"/>
      <c r="AK417" s="307"/>
      <c r="AL417" s="307"/>
      <c r="AM417" s="308"/>
      <c r="AN417" s="311"/>
      <c r="AO417" s="307"/>
      <c r="AP417" s="307"/>
      <c r="AQ417" s="308"/>
      <c r="AR417" s="307"/>
      <c r="AS417" s="307"/>
      <c r="AT417" s="307"/>
      <c r="AU417" s="310"/>
      <c r="AV417" s="308"/>
      <c r="AW417" s="312"/>
      <c r="AX417" s="308"/>
      <c r="AY417" s="307"/>
      <c r="AZ417" s="307"/>
      <c r="BA417" s="307"/>
      <c r="BB417" s="307"/>
      <c r="BC417" s="308"/>
      <c r="BD417" s="308"/>
      <c r="BE417" s="313"/>
      <c r="BF417" s="307"/>
      <c r="BG417" s="310"/>
      <c r="BH417" s="307"/>
      <c r="BI417" s="307"/>
      <c r="BJ417" s="310"/>
      <c r="BK417" s="307"/>
      <c r="BL417" s="307"/>
      <c r="BM417" s="310"/>
      <c r="BN417" s="307"/>
      <c r="BO417" s="310"/>
      <c r="BP417" s="307"/>
      <c r="BQ417" s="307"/>
      <c r="BR417" s="307"/>
      <c r="BS417" s="307"/>
      <c r="BT417" s="307"/>
      <c r="BU417" s="310"/>
      <c r="BV417" s="307"/>
      <c r="BW417" s="308"/>
      <c r="BX417" s="311"/>
      <c r="BY417" s="307"/>
      <c r="BZ417" s="307"/>
      <c r="CA417" s="310"/>
      <c r="CB417" s="307"/>
      <c r="CC417" s="307"/>
      <c r="CD417" s="307"/>
      <c r="CE417" s="308"/>
      <c r="CF417" s="308"/>
      <c r="CG417" s="307"/>
      <c r="CH417" s="307"/>
      <c r="CI417" s="307"/>
      <c r="CJ417" s="307"/>
      <c r="CK417" s="314"/>
      <c r="CL417" s="310"/>
      <c r="CM417" s="310"/>
      <c r="CN417" s="307"/>
      <c r="CO417" s="307"/>
      <c r="CP417" s="307"/>
      <c r="CQ417" s="315"/>
      <c r="CR417" s="315"/>
      <c r="CS417" s="315"/>
      <c r="CT417" s="315"/>
      <c r="CU417" s="307"/>
      <c r="CV417" s="217"/>
      <c r="CW417" s="192"/>
      <c r="CX417" s="192"/>
      <c r="CY417" s="192"/>
      <c r="CZ417" s="191"/>
      <c r="DA417" s="193"/>
      <c r="DB417" s="192"/>
      <c r="DC417" s="192"/>
      <c r="DD417" s="192"/>
      <c r="DE417" s="191"/>
      <c r="DF417" s="19"/>
      <c r="DG417" s="192"/>
      <c r="DH417" s="192"/>
      <c r="DI417" s="192"/>
      <c r="DJ417" s="191"/>
      <c r="DK417" s="193"/>
      <c r="DL417" s="192"/>
      <c r="DM417" s="192"/>
      <c r="DN417" s="192"/>
      <c r="DO417" s="191"/>
      <c r="DP417" s="19"/>
      <c r="DQ417" s="192"/>
      <c r="DR417" s="192"/>
      <c r="DS417" s="192"/>
      <c r="DT417" s="191"/>
      <c r="DU417" s="193"/>
      <c r="DV417" s="192"/>
      <c r="DW417" s="192"/>
      <c r="DX417" s="192"/>
      <c r="DY417" s="191"/>
      <c r="DZ417" s="19"/>
      <c r="EA417" s="192"/>
      <c r="EB417" s="192"/>
      <c r="EC417" s="192"/>
      <c r="ED417" s="191"/>
      <c r="EE417" s="193"/>
      <c r="EF417" s="192"/>
      <c r="EG417" s="192"/>
      <c r="EH417" s="192"/>
      <c r="EI417" s="191"/>
      <c r="EJ417" s="19"/>
      <c r="EK417" s="192"/>
      <c r="EL417" s="192"/>
      <c r="EM417" s="192"/>
      <c r="EN417" s="191"/>
      <c r="EO417" s="193"/>
      <c r="EP417" s="192"/>
      <c r="EQ417" s="192"/>
      <c r="ER417" s="192"/>
      <c r="ES417" s="191"/>
      <c r="ET417" s="19"/>
      <c r="EU417" s="192"/>
      <c r="EV417" s="192"/>
      <c r="EW417" s="192"/>
      <c r="EX417" s="191"/>
      <c r="EY417" s="193"/>
      <c r="EZ417" s="192"/>
      <c r="FA417" s="192"/>
      <c r="FB417" s="192"/>
      <c r="FC417" s="191"/>
      <c r="FL417" s="273">
        <f t="shared" ca="1" si="20"/>
        <v>116</v>
      </c>
    </row>
    <row r="418" spans="1:168" ht="16.5" thickBot="1">
      <c r="A418" s="196">
        <v>415</v>
      </c>
      <c r="B418" s="306"/>
      <c r="C418" s="310"/>
      <c r="D418" s="307" t="s">
        <v>271</v>
      </c>
      <c r="E418" s="307" t="s">
        <v>271</v>
      </c>
      <c r="F418" s="308"/>
      <c r="G418" s="343" t="str">
        <f t="shared" si="18"/>
        <v xml:space="preserve"> </v>
      </c>
      <c r="H418" s="307"/>
      <c r="I418" s="309" t="e">
        <f t="shared" si="19"/>
        <v>#N/A</v>
      </c>
      <c r="J418" s="307"/>
      <c r="K418" s="307"/>
      <c r="L418" s="310"/>
      <c r="M418" s="310"/>
      <c r="N418" s="310"/>
      <c r="O418" s="310"/>
      <c r="P418" s="310"/>
      <c r="Q418" s="310"/>
      <c r="R418" s="310"/>
      <c r="S418" s="310"/>
      <c r="T418" s="310"/>
      <c r="U418" s="307"/>
      <c r="V418" s="307"/>
      <c r="W418" s="311"/>
      <c r="X418" s="307"/>
      <c r="Y418" s="307"/>
      <c r="Z418" s="307"/>
      <c r="AA418" s="307"/>
      <c r="AB418" s="311"/>
      <c r="AC418" s="307"/>
      <c r="AD418" s="307"/>
      <c r="AE418" s="307"/>
      <c r="AF418" s="307"/>
      <c r="AG418" s="310"/>
      <c r="AH418" s="307"/>
      <c r="AI418" s="310"/>
      <c r="AJ418" s="307"/>
      <c r="AK418" s="307"/>
      <c r="AL418" s="307"/>
      <c r="AM418" s="308"/>
      <c r="AN418" s="311"/>
      <c r="AO418" s="307"/>
      <c r="AP418" s="307"/>
      <c r="AQ418" s="308"/>
      <c r="AR418" s="307"/>
      <c r="AS418" s="307"/>
      <c r="AT418" s="307"/>
      <c r="AU418" s="310"/>
      <c r="AV418" s="308"/>
      <c r="AW418" s="312"/>
      <c r="AX418" s="308"/>
      <c r="AY418" s="307"/>
      <c r="AZ418" s="307"/>
      <c r="BA418" s="307"/>
      <c r="BB418" s="307"/>
      <c r="BC418" s="308"/>
      <c r="BD418" s="308"/>
      <c r="BE418" s="313"/>
      <c r="BF418" s="307"/>
      <c r="BG418" s="310"/>
      <c r="BH418" s="307"/>
      <c r="BI418" s="307"/>
      <c r="BJ418" s="310"/>
      <c r="BK418" s="307"/>
      <c r="BL418" s="307"/>
      <c r="BM418" s="310"/>
      <c r="BN418" s="307"/>
      <c r="BO418" s="310"/>
      <c r="BP418" s="307"/>
      <c r="BQ418" s="307"/>
      <c r="BR418" s="307"/>
      <c r="BS418" s="307"/>
      <c r="BT418" s="307"/>
      <c r="BU418" s="310"/>
      <c r="BV418" s="307"/>
      <c r="BW418" s="308"/>
      <c r="BX418" s="311"/>
      <c r="BY418" s="307"/>
      <c r="BZ418" s="307"/>
      <c r="CA418" s="310"/>
      <c r="CB418" s="307"/>
      <c r="CC418" s="307"/>
      <c r="CD418" s="307"/>
      <c r="CE418" s="308"/>
      <c r="CF418" s="308"/>
      <c r="CG418" s="307"/>
      <c r="CH418" s="307"/>
      <c r="CI418" s="307"/>
      <c r="CJ418" s="307"/>
      <c r="CK418" s="314"/>
      <c r="CL418" s="310"/>
      <c r="CM418" s="310"/>
      <c r="CN418" s="307"/>
      <c r="CO418" s="307"/>
      <c r="CP418" s="307"/>
      <c r="CQ418" s="315"/>
      <c r="CR418" s="315"/>
      <c r="CS418" s="315"/>
      <c r="CT418" s="315"/>
      <c r="CU418" s="307"/>
      <c r="CV418" s="217"/>
      <c r="CW418" s="192"/>
      <c r="CX418" s="192"/>
      <c r="CY418" s="192"/>
      <c r="CZ418" s="191"/>
      <c r="DA418" s="193"/>
      <c r="DB418" s="192"/>
      <c r="DC418" s="192"/>
      <c r="DD418" s="192"/>
      <c r="DE418" s="191"/>
      <c r="DF418" s="19"/>
      <c r="DG418" s="192"/>
      <c r="DH418" s="192"/>
      <c r="DI418" s="192"/>
      <c r="DJ418" s="191"/>
      <c r="DK418" s="193"/>
      <c r="DL418" s="192"/>
      <c r="DM418" s="192"/>
      <c r="DN418" s="192"/>
      <c r="DO418" s="191"/>
      <c r="DP418" s="19"/>
      <c r="DQ418" s="192"/>
      <c r="DR418" s="192"/>
      <c r="DS418" s="192"/>
      <c r="DT418" s="191"/>
      <c r="DU418" s="193"/>
      <c r="DV418" s="192"/>
      <c r="DW418" s="192"/>
      <c r="DX418" s="192"/>
      <c r="DY418" s="191"/>
      <c r="DZ418" s="19"/>
      <c r="EA418" s="192"/>
      <c r="EB418" s="192"/>
      <c r="EC418" s="192"/>
      <c r="ED418" s="191"/>
      <c r="EE418" s="193"/>
      <c r="EF418" s="192"/>
      <c r="EG418" s="192"/>
      <c r="EH418" s="192"/>
      <c r="EI418" s="191"/>
      <c r="EJ418" s="19"/>
      <c r="EK418" s="192"/>
      <c r="EL418" s="192"/>
      <c r="EM418" s="192"/>
      <c r="EN418" s="191"/>
      <c r="EO418" s="193"/>
      <c r="EP418" s="192"/>
      <c r="EQ418" s="192"/>
      <c r="ER418" s="192"/>
      <c r="ES418" s="191"/>
      <c r="ET418" s="19"/>
      <c r="EU418" s="192"/>
      <c r="EV418" s="192"/>
      <c r="EW418" s="192"/>
      <c r="EX418" s="191"/>
      <c r="EY418" s="193"/>
      <c r="EZ418" s="192"/>
      <c r="FA418" s="192"/>
      <c r="FB418" s="192"/>
      <c r="FC418" s="191"/>
      <c r="FL418" s="273">
        <f t="shared" ca="1" si="20"/>
        <v>116</v>
      </c>
    </row>
    <row r="419" spans="1:168" ht="16.5" thickBot="1">
      <c r="A419" s="199">
        <v>416</v>
      </c>
      <c r="B419" s="306"/>
      <c r="C419" s="310"/>
      <c r="D419" s="307" t="s">
        <v>271</v>
      </c>
      <c r="E419" s="307" t="s">
        <v>271</v>
      </c>
      <c r="F419" s="308"/>
      <c r="G419" s="343" t="str">
        <f t="shared" si="18"/>
        <v xml:space="preserve"> </v>
      </c>
      <c r="H419" s="307"/>
      <c r="I419" s="309" t="e">
        <f t="shared" si="19"/>
        <v>#N/A</v>
      </c>
      <c r="J419" s="307"/>
      <c r="K419" s="307"/>
      <c r="L419" s="310"/>
      <c r="M419" s="310"/>
      <c r="N419" s="310"/>
      <c r="O419" s="310"/>
      <c r="P419" s="310"/>
      <c r="Q419" s="310"/>
      <c r="R419" s="310"/>
      <c r="S419" s="310"/>
      <c r="T419" s="310"/>
      <c r="U419" s="307"/>
      <c r="V419" s="307"/>
      <c r="W419" s="311"/>
      <c r="X419" s="307"/>
      <c r="Y419" s="307"/>
      <c r="Z419" s="307"/>
      <c r="AA419" s="307"/>
      <c r="AB419" s="311"/>
      <c r="AC419" s="307"/>
      <c r="AD419" s="307"/>
      <c r="AE419" s="307"/>
      <c r="AF419" s="307"/>
      <c r="AG419" s="310"/>
      <c r="AH419" s="307"/>
      <c r="AI419" s="310"/>
      <c r="AJ419" s="307"/>
      <c r="AK419" s="307"/>
      <c r="AL419" s="307"/>
      <c r="AM419" s="308"/>
      <c r="AN419" s="311"/>
      <c r="AO419" s="307"/>
      <c r="AP419" s="307"/>
      <c r="AQ419" s="308"/>
      <c r="AR419" s="307"/>
      <c r="AS419" s="307"/>
      <c r="AT419" s="307"/>
      <c r="AU419" s="310"/>
      <c r="AV419" s="308"/>
      <c r="AW419" s="312"/>
      <c r="AX419" s="308"/>
      <c r="AY419" s="307"/>
      <c r="AZ419" s="307"/>
      <c r="BA419" s="307"/>
      <c r="BB419" s="307"/>
      <c r="BC419" s="308"/>
      <c r="BD419" s="308"/>
      <c r="BE419" s="313"/>
      <c r="BF419" s="307"/>
      <c r="BG419" s="310"/>
      <c r="BH419" s="307"/>
      <c r="BI419" s="307"/>
      <c r="BJ419" s="310"/>
      <c r="BK419" s="307"/>
      <c r="BL419" s="307"/>
      <c r="BM419" s="310"/>
      <c r="BN419" s="307"/>
      <c r="BO419" s="310"/>
      <c r="BP419" s="307"/>
      <c r="BQ419" s="307"/>
      <c r="BR419" s="307"/>
      <c r="BS419" s="307"/>
      <c r="BT419" s="307"/>
      <c r="BU419" s="310"/>
      <c r="BV419" s="307"/>
      <c r="BW419" s="308"/>
      <c r="BX419" s="311"/>
      <c r="BY419" s="307"/>
      <c r="BZ419" s="307"/>
      <c r="CA419" s="310"/>
      <c r="CB419" s="307"/>
      <c r="CC419" s="307"/>
      <c r="CD419" s="307"/>
      <c r="CE419" s="308"/>
      <c r="CF419" s="308"/>
      <c r="CG419" s="307"/>
      <c r="CH419" s="307"/>
      <c r="CI419" s="307"/>
      <c r="CJ419" s="307"/>
      <c r="CK419" s="314"/>
      <c r="CL419" s="310"/>
      <c r="CM419" s="310"/>
      <c r="CN419" s="307"/>
      <c r="CO419" s="307"/>
      <c r="CP419" s="307"/>
      <c r="CQ419" s="315"/>
      <c r="CR419" s="315"/>
      <c r="CS419" s="315"/>
      <c r="CT419" s="315"/>
      <c r="CU419" s="307"/>
      <c r="CV419" s="217"/>
      <c r="CW419" s="192"/>
      <c r="CX419" s="192"/>
      <c r="CY419" s="192"/>
      <c r="CZ419" s="191"/>
      <c r="DA419" s="193"/>
      <c r="DB419" s="192"/>
      <c r="DC419" s="192"/>
      <c r="DD419" s="192"/>
      <c r="DE419" s="191"/>
      <c r="DF419" s="19"/>
      <c r="DG419" s="192"/>
      <c r="DH419" s="192"/>
      <c r="DI419" s="192"/>
      <c r="DJ419" s="191"/>
      <c r="DK419" s="193"/>
      <c r="DL419" s="192"/>
      <c r="DM419" s="192"/>
      <c r="DN419" s="192"/>
      <c r="DO419" s="191"/>
      <c r="DP419" s="19"/>
      <c r="DQ419" s="192"/>
      <c r="DR419" s="192"/>
      <c r="DS419" s="192"/>
      <c r="DT419" s="191"/>
      <c r="DU419" s="193"/>
      <c r="DV419" s="192"/>
      <c r="DW419" s="192"/>
      <c r="DX419" s="192"/>
      <c r="DY419" s="191"/>
      <c r="DZ419" s="19"/>
      <c r="EA419" s="192"/>
      <c r="EB419" s="192"/>
      <c r="EC419" s="192"/>
      <c r="ED419" s="191"/>
      <c r="EE419" s="193"/>
      <c r="EF419" s="192"/>
      <c r="EG419" s="192"/>
      <c r="EH419" s="192"/>
      <c r="EI419" s="191"/>
      <c r="EJ419" s="19"/>
      <c r="EK419" s="192"/>
      <c r="EL419" s="192"/>
      <c r="EM419" s="192"/>
      <c r="EN419" s="191"/>
      <c r="EO419" s="193"/>
      <c r="EP419" s="192"/>
      <c r="EQ419" s="192"/>
      <c r="ER419" s="192"/>
      <c r="ES419" s="191"/>
      <c r="ET419" s="19"/>
      <c r="EU419" s="192"/>
      <c r="EV419" s="192"/>
      <c r="EW419" s="192"/>
      <c r="EX419" s="191"/>
      <c r="EY419" s="193"/>
      <c r="EZ419" s="192"/>
      <c r="FA419" s="192"/>
      <c r="FB419" s="192"/>
      <c r="FC419" s="191"/>
      <c r="FL419" s="273">
        <f t="shared" ca="1" si="20"/>
        <v>116</v>
      </c>
    </row>
    <row r="420" spans="1:168" ht="16.5" thickBot="1">
      <c r="A420" s="196">
        <v>417</v>
      </c>
      <c r="B420" s="306"/>
      <c r="C420" s="310"/>
      <c r="D420" s="307" t="s">
        <v>271</v>
      </c>
      <c r="E420" s="307" t="s">
        <v>271</v>
      </c>
      <c r="F420" s="308"/>
      <c r="G420" s="343" t="str">
        <f t="shared" si="18"/>
        <v xml:space="preserve"> </v>
      </c>
      <c r="H420" s="307"/>
      <c r="I420" s="309" t="e">
        <f t="shared" si="19"/>
        <v>#N/A</v>
      </c>
      <c r="J420" s="307"/>
      <c r="K420" s="307"/>
      <c r="L420" s="310"/>
      <c r="M420" s="310"/>
      <c r="N420" s="310"/>
      <c r="O420" s="310"/>
      <c r="P420" s="310"/>
      <c r="Q420" s="310"/>
      <c r="R420" s="310"/>
      <c r="S420" s="310"/>
      <c r="T420" s="310"/>
      <c r="U420" s="307"/>
      <c r="V420" s="307"/>
      <c r="W420" s="311"/>
      <c r="X420" s="307"/>
      <c r="Y420" s="307"/>
      <c r="Z420" s="307"/>
      <c r="AA420" s="307"/>
      <c r="AB420" s="311"/>
      <c r="AC420" s="307"/>
      <c r="AD420" s="307"/>
      <c r="AE420" s="307"/>
      <c r="AF420" s="307"/>
      <c r="AG420" s="310"/>
      <c r="AH420" s="307"/>
      <c r="AI420" s="310"/>
      <c r="AJ420" s="307"/>
      <c r="AK420" s="307"/>
      <c r="AL420" s="307"/>
      <c r="AM420" s="308"/>
      <c r="AN420" s="311"/>
      <c r="AO420" s="307"/>
      <c r="AP420" s="307"/>
      <c r="AQ420" s="308"/>
      <c r="AR420" s="307"/>
      <c r="AS420" s="307"/>
      <c r="AT420" s="307"/>
      <c r="AU420" s="310"/>
      <c r="AV420" s="308"/>
      <c r="AW420" s="312"/>
      <c r="AX420" s="308"/>
      <c r="AY420" s="307"/>
      <c r="AZ420" s="307"/>
      <c r="BA420" s="307"/>
      <c r="BB420" s="307"/>
      <c r="BC420" s="308"/>
      <c r="BD420" s="308"/>
      <c r="BE420" s="313"/>
      <c r="BF420" s="307"/>
      <c r="BG420" s="310"/>
      <c r="BH420" s="307"/>
      <c r="BI420" s="307"/>
      <c r="BJ420" s="310"/>
      <c r="BK420" s="307"/>
      <c r="BL420" s="307"/>
      <c r="BM420" s="310"/>
      <c r="BN420" s="307"/>
      <c r="BO420" s="310"/>
      <c r="BP420" s="307"/>
      <c r="BQ420" s="307"/>
      <c r="BR420" s="307"/>
      <c r="BS420" s="307"/>
      <c r="BT420" s="307"/>
      <c r="BU420" s="310"/>
      <c r="BV420" s="307"/>
      <c r="BW420" s="308"/>
      <c r="BX420" s="311"/>
      <c r="BY420" s="307"/>
      <c r="BZ420" s="307"/>
      <c r="CA420" s="310"/>
      <c r="CB420" s="307"/>
      <c r="CC420" s="307"/>
      <c r="CD420" s="307"/>
      <c r="CE420" s="308"/>
      <c r="CF420" s="308"/>
      <c r="CG420" s="307"/>
      <c r="CH420" s="307"/>
      <c r="CI420" s="307"/>
      <c r="CJ420" s="307"/>
      <c r="CK420" s="314"/>
      <c r="CL420" s="310"/>
      <c r="CM420" s="310"/>
      <c r="CN420" s="307"/>
      <c r="CO420" s="307"/>
      <c r="CP420" s="307"/>
      <c r="CQ420" s="315"/>
      <c r="CR420" s="315"/>
      <c r="CS420" s="315"/>
      <c r="CT420" s="315"/>
      <c r="CU420" s="307"/>
      <c r="CV420" s="217"/>
      <c r="CW420" s="192"/>
      <c r="CX420" s="192"/>
      <c r="CY420" s="192"/>
      <c r="CZ420" s="191"/>
      <c r="DA420" s="193"/>
      <c r="DB420" s="192"/>
      <c r="DC420" s="192"/>
      <c r="DD420" s="192"/>
      <c r="DE420" s="191"/>
      <c r="DF420" s="19"/>
      <c r="DG420" s="192"/>
      <c r="DH420" s="192"/>
      <c r="DI420" s="192"/>
      <c r="DJ420" s="191"/>
      <c r="DK420" s="193"/>
      <c r="DL420" s="192"/>
      <c r="DM420" s="192"/>
      <c r="DN420" s="192"/>
      <c r="DO420" s="191"/>
      <c r="DP420" s="19"/>
      <c r="DQ420" s="192"/>
      <c r="DR420" s="192"/>
      <c r="DS420" s="192"/>
      <c r="DT420" s="191"/>
      <c r="DU420" s="193"/>
      <c r="DV420" s="192"/>
      <c r="DW420" s="192"/>
      <c r="DX420" s="192"/>
      <c r="DY420" s="191"/>
      <c r="DZ420" s="19"/>
      <c r="EA420" s="192"/>
      <c r="EB420" s="192"/>
      <c r="EC420" s="192"/>
      <c r="ED420" s="191"/>
      <c r="EE420" s="193"/>
      <c r="EF420" s="192"/>
      <c r="EG420" s="192"/>
      <c r="EH420" s="192"/>
      <c r="EI420" s="191"/>
      <c r="EJ420" s="19"/>
      <c r="EK420" s="192"/>
      <c r="EL420" s="192"/>
      <c r="EM420" s="192"/>
      <c r="EN420" s="191"/>
      <c r="EO420" s="193"/>
      <c r="EP420" s="192"/>
      <c r="EQ420" s="192"/>
      <c r="ER420" s="192"/>
      <c r="ES420" s="191"/>
      <c r="ET420" s="19"/>
      <c r="EU420" s="192"/>
      <c r="EV420" s="192"/>
      <c r="EW420" s="192"/>
      <c r="EX420" s="191"/>
      <c r="EY420" s="193"/>
      <c r="EZ420" s="192"/>
      <c r="FA420" s="192"/>
      <c r="FB420" s="192"/>
      <c r="FC420" s="191"/>
      <c r="FL420" s="273">
        <f t="shared" ca="1" si="20"/>
        <v>116</v>
      </c>
    </row>
    <row r="421" spans="1:168" ht="16.5" thickBot="1">
      <c r="A421" s="199">
        <v>418</v>
      </c>
      <c r="B421" s="306"/>
      <c r="C421" s="310"/>
      <c r="D421" s="307" t="s">
        <v>271</v>
      </c>
      <c r="E421" s="307" t="s">
        <v>271</v>
      </c>
      <c r="F421" s="308"/>
      <c r="G421" s="343" t="str">
        <f t="shared" si="18"/>
        <v xml:space="preserve"> </v>
      </c>
      <c r="H421" s="307"/>
      <c r="I421" s="309" t="e">
        <f t="shared" si="19"/>
        <v>#N/A</v>
      </c>
      <c r="J421" s="307"/>
      <c r="K421" s="307"/>
      <c r="L421" s="310"/>
      <c r="M421" s="310"/>
      <c r="N421" s="310"/>
      <c r="O421" s="310"/>
      <c r="P421" s="310"/>
      <c r="Q421" s="310"/>
      <c r="R421" s="310"/>
      <c r="S421" s="310"/>
      <c r="T421" s="310"/>
      <c r="U421" s="307"/>
      <c r="V421" s="307"/>
      <c r="W421" s="311"/>
      <c r="X421" s="307"/>
      <c r="Y421" s="307"/>
      <c r="Z421" s="307"/>
      <c r="AA421" s="307"/>
      <c r="AB421" s="311"/>
      <c r="AC421" s="307"/>
      <c r="AD421" s="307"/>
      <c r="AE421" s="307"/>
      <c r="AF421" s="307"/>
      <c r="AG421" s="310"/>
      <c r="AH421" s="307"/>
      <c r="AI421" s="310"/>
      <c r="AJ421" s="307"/>
      <c r="AK421" s="307"/>
      <c r="AL421" s="307"/>
      <c r="AM421" s="308"/>
      <c r="AN421" s="311"/>
      <c r="AO421" s="307"/>
      <c r="AP421" s="307"/>
      <c r="AQ421" s="308"/>
      <c r="AR421" s="307"/>
      <c r="AS421" s="307"/>
      <c r="AT421" s="307"/>
      <c r="AU421" s="310"/>
      <c r="AV421" s="308"/>
      <c r="AW421" s="312"/>
      <c r="AX421" s="308"/>
      <c r="AY421" s="307"/>
      <c r="AZ421" s="307"/>
      <c r="BA421" s="307"/>
      <c r="BB421" s="307"/>
      <c r="BC421" s="308"/>
      <c r="BD421" s="308"/>
      <c r="BE421" s="313"/>
      <c r="BF421" s="307"/>
      <c r="BG421" s="310"/>
      <c r="BH421" s="307"/>
      <c r="BI421" s="307"/>
      <c r="BJ421" s="310"/>
      <c r="BK421" s="307"/>
      <c r="BL421" s="307"/>
      <c r="BM421" s="310"/>
      <c r="BN421" s="307"/>
      <c r="BO421" s="310"/>
      <c r="BP421" s="307"/>
      <c r="BQ421" s="307"/>
      <c r="BR421" s="307"/>
      <c r="BS421" s="307"/>
      <c r="BT421" s="307"/>
      <c r="BU421" s="310"/>
      <c r="BV421" s="307"/>
      <c r="BW421" s="308"/>
      <c r="BX421" s="311"/>
      <c r="BY421" s="307"/>
      <c r="BZ421" s="307"/>
      <c r="CA421" s="310"/>
      <c r="CB421" s="307"/>
      <c r="CC421" s="307"/>
      <c r="CD421" s="307"/>
      <c r="CE421" s="308"/>
      <c r="CF421" s="308"/>
      <c r="CG421" s="307"/>
      <c r="CH421" s="307"/>
      <c r="CI421" s="307"/>
      <c r="CJ421" s="307"/>
      <c r="CK421" s="314"/>
      <c r="CL421" s="310"/>
      <c r="CM421" s="310"/>
      <c r="CN421" s="307"/>
      <c r="CO421" s="307"/>
      <c r="CP421" s="307"/>
      <c r="CQ421" s="315"/>
      <c r="CR421" s="315"/>
      <c r="CS421" s="315"/>
      <c r="CT421" s="315"/>
      <c r="CU421" s="307"/>
      <c r="CV421" s="217"/>
      <c r="CW421" s="192"/>
      <c r="CX421" s="192"/>
      <c r="CY421" s="192"/>
      <c r="CZ421" s="191"/>
      <c r="DA421" s="193"/>
      <c r="DB421" s="192"/>
      <c r="DC421" s="192"/>
      <c r="DD421" s="192"/>
      <c r="DE421" s="191"/>
      <c r="DF421" s="19"/>
      <c r="DG421" s="192"/>
      <c r="DH421" s="192"/>
      <c r="DI421" s="192"/>
      <c r="DJ421" s="191"/>
      <c r="DK421" s="193"/>
      <c r="DL421" s="192"/>
      <c r="DM421" s="192"/>
      <c r="DN421" s="192"/>
      <c r="DO421" s="191"/>
      <c r="DP421" s="19"/>
      <c r="DQ421" s="192"/>
      <c r="DR421" s="192"/>
      <c r="DS421" s="192"/>
      <c r="DT421" s="191"/>
      <c r="DU421" s="193"/>
      <c r="DV421" s="192"/>
      <c r="DW421" s="192"/>
      <c r="DX421" s="192"/>
      <c r="DY421" s="191"/>
      <c r="DZ421" s="19"/>
      <c r="EA421" s="192"/>
      <c r="EB421" s="192"/>
      <c r="EC421" s="192"/>
      <c r="ED421" s="191"/>
      <c r="EE421" s="193"/>
      <c r="EF421" s="192"/>
      <c r="EG421" s="192"/>
      <c r="EH421" s="192"/>
      <c r="EI421" s="191"/>
      <c r="EJ421" s="19"/>
      <c r="EK421" s="192"/>
      <c r="EL421" s="192"/>
      <c r="EM421" s="192"/>
      <c r="EN421" s="191"/>
      <c r="EO421" s="193"/>
      <c r="EP421" s="192"/>
      <c r="EQ421" s="192"/>
      <c r="ER421" s="192"/>
      <c r="ES421" s="191"/>
      <c r="ET421" s="19"/>
      <c r="EU421" s="192"/>
      <c r="EV421" s="192"/>
      <c r="EW421" s="192"/>
      <c r="EX421" s="191"/>
      <c r="EY421" s="193"/>
      <c r="EZ421" s="192"/>
      <c r="FA421" s="192"/>
      <c r="FB421" s="192"/>
      <c r="FC421" s="191"/>
      <c r="FL421" s="273">
        <f t="shared" ca="1" si="20"/>
        <v>116</v>
      </c>
    </row>
    <row r="422" spans="1:168" ht="16.5" thickBot="1">
      <c r="A422" s="196">
        <v>419</v>
      </c>
      <c r="B422" s="306"/>
      <c r="C422" s="310"/>
      <c r="D422" s="307" t="s">
        <v>271</v>
      </c>
      <c r="E422" s="307" t="s">
        <v>271</v>
      </c>
      <c r="F422" s="308"/>
      <c r="G422" s="343" t="str">
        <f t="shared" si="18"/>
        <v xml:space="preserve"> </v>
      </c>
      <c r="H422" s="307"/>
      <c r="I422" s="309" t="e">
        <f t="shared" si="19"/>
        <v>#N/A</v>
      </c>
      <c r="J422" s="307"/>
      <c r="K422" s="307"/>
      <c r="L422" s="310"/>
      <c r="M422" s="310"/>
      <c r="N422" s="310"/>
      <c r="O422" s="310"/>
      <c r="P422" s="310"/>
      <c r="Q422" s="310"/>
      <c r="R422" s="310"/>
      <c r="S422" s="310"/>
      <c r="T422" s="310"/>
      <c r="U422" s="307"/>
      <c r="V422" s="307"/>
      <c r="W422" s="311"/>
      <c r="X422" s="307"/>
      <c r="Y422" s="307"/>
      <c r="Z422" s="307"/>
      <c r="AA422" s="307"/>
      <c r="AB422" s="311"/>
      <c r="AC422" s="307"/>
      <c r="AD422" s="307"/>
      <c r="AE422" s="307"/>
      <c r="AF422" s="307"/>
      <c r="AG422" s="310"/>
      <c r="AH422" s="307"/>
      <c r="AI422" s="310"/>
      <c r="AJ422" s="307"/>
      <c r="AK422" s="307"/>
      <c r="AL422" s="307"/>
      <c r="AM422" s="308"/>
      <c r="AN422" s="311"/>
      <c r="AO422" s="307"/>
      <c r="AP422" s="307"/>
      <c r="AQ422" s="308"/>
      <c r="AR422" s="307"/>
      <c r="AS422" s="307"/>
      <c r="AT422" s="307"/>
      <c r="AU422" s="310"/>
      <c r="AV422" s="308"/>
      <c r="AW422" s="312"/>
      <c r="AX422" s="308"/>
      <c r="AY422" s="307"/>
      <c r="AZ422" s="307"/>
      <c r="BA422" s="307"/>
      <c r="BB422" s="307"/>
      <c r="BC422" s="308"/>
      <c r="BD422" s="308"/>
      <c r="BE422" s="313"/>
      <c r="BF422" s="307"/>
      <c r="BG422" s="310"/>
      <c r="BH422" s="307"/>
      <c r="BI422" s="307"/>
      <c r="BJ422" s="310"/>
      <c r="BK422" s="307"/>
      <c r="BL422" s="307"/>
      <c r="BM422" s="310"/>
      <c r="BN422" s="307"/>
      <c r="BO422" s="310"/>
      <c r="BP422" s="307"/>
      <c r="BQ422" s="307"/>
      <c r="BR422" s="307"/>
      <c r="BS422" s="307"/>
      <c r="BT422" s="307"/>
      <c r="BU422" s="310"/>
      <c r="BV422" s="307"/>
      <c r="BW422" s="308"/>
      <c r="BX422" s="311"/>
      <c r="BY422" s="307"/>
      <c r="BZ422" s="307"/>
      <c r="CA422" s="310"/>
      <c r="CB422" s="307"/>
      <c r="CC422" s="307"/>
      <c r="CD422" s="307"/>
      <c r="CE422" s="308"/>
      <c r="CF422" s="308"/>
      <c r="CG422" s="307"/>
      <c r="CH422" s="307"/>
      <c r="CI422" s="307"/>
      <c r="CJ422" s="307"/>
      <c r="CK422" s="314"/>
      <c r="CL422" s="310"/>
      <c r="CM422" s="310"/>
      <c r="CN422" s="307"/>
      <c r="CO422" s="307"/>
      <c r="CP422" s="307"/>
      <c r="CQ422" s="315"/>
      <c r="CR422" s="315"/>
      <c r="CS422" s="315"/>
      <c r="CT422" s="315"/>
      <c r="CU422" s="307"/>
      <c r="CV422" s="217"/>
      <c r="CW422" s="192"/>
      <c r="CX422" s="192"/>
      <c r="CY422" s="192"/>
      <c r="CZ422" s="191"/>
      <c r="DA422" s="193"/>
      <c r="DB422" s="192"/>
      <c r="DC422" s="192"/>
      <c r="DD422" s="192"/>
      <c r="DE422" s="191"/>
      <c r="DF422" s="19"/>
      <c r="DG422" s="192"/>
      <c r="DH422" s="192"/>
      <c r="DI422" s="192"/>
      <c r="DJ422" s="191"/>
      <c r="DK422" s="193"/>
      <c r="DL422" s="192"/>
      <c r="DM422" s="192"/>
      <c r="DN422" s="192"/>
      <c r="DO422" s="191"/>
      <c r="DP422" s="19"/>
      <c r="DQ422" s="192"/>
      <c r="DR422" s="192"/>
      <c r="DS422" s="192"/>
      <c r="DT422" s="191"/>
      <c r="DU422" s="193"/>
      <c r="DV422" s="192"/>
      <c r="DW422" s="192"/>
      <c r="DX422" s="192"/>
      <c r="DY422" s="191"/>
      <c r="DZ422" s="19"/>
      <c r="EA422" s="192"/>
      <c r="EB422" s="192"/>
      <c r="EC422" s="192"/>
      <c r="ED422" s="191"/>
      <c r="EE422" s="193"/>
      <c r="EF422" s="192"/>
      <c r="EG422" s="192"/>
      <c r="EH422" s="192"/>
      <c r="EI422" s="191"/>
      <c r="EJ422" s="19"/>
      <c r="EK422" s="192"/>
      <c r="EL422" s="192"/>
      <c r="EM422" s="192"/>
      <c r="EN422" s="191"/>
      <c r="EO422" s="193"/>
      <c r="EP422" s="192"/>
      <c r="EQ422" s="192"/>
      <c r="ER422" s="192"/>
      <c r="ES422" s="191"/>
      <c r="ET422" s="19"/>
      <c r="EU422" s="192"/>
      <c r="EV422" s="192"/>
      <c r="EW422" s="192"/>
      <c r="EX422" s="191"/>
      <c r="EY422" s="193"/>
      <c r="EZ422" s="192"/>
      <c r="FA422" s="192"/>
      <c r="FB422" s="192"/>
      <c r="FC422" s="191"/>
      <c r="FL422" s="273">
        <f t="shared" ca="1" si="20"/>
        <v>116</v>
      </c>
    </row>
    <row r="423" spans="1:168" ht="16.5" thickBot="1">
      <c r="A423" s="199">
        <v>420</v>
      </c>
      <c r="B423" s="306"/>
      <c r="C423" s="310"/>
      <c r="D423" s="307" t="s">
        <v>271</v>
      </c>
      <c r="E423" s="307" t="s">
        <v>271</v>
      </c>
      <c r="F423" s="308"/>
      <c r="G423" s="343" t="str">
        <f t="shared" si="18"/>
        <v xml:space="preserve"> </v>
      </c>
      <c r="H423" s="307"/>
      <c r="I423" s="309" t="e">
        <f t="shared" si="19"/>
        <v>#N/A</v>
      </c>
      <c r="J423" s="307"/>
      <c r="K423" s="307"/>
      <c r="L423" s="310"/>
      <c r="M423" s="310"/>
      <c r="N423" s="310"/>
      <c r="O423" s="310"/>
      <c r="P423" s="310"/>
      <c r="Q423" s="310"/>
      <c r="R423" s="310"/>
      <c r="S423" s="310"/>
      <c r="T423" s="310"/>
      <c r="U423" s="307"/>
      <c r="V423" s="307"/>
      <c r="W423" s="311"/>
      <c r="X423" s="307"/>
      <c r="Y423" s="307"/>
      <c r="Z423" s="307"/>
      <c r="AA423" s="307"/>
      <c r="AB423" s="311"/>
      <c r="AC423" s="307"/>
      <c r="AD423" s="307"/>
      <c r="AE423" s="307"/>
      <c r="AF423" s="307"/>
      <c r="AG423" s="310"/>
      <c r="AH423" s="307"/>
      <c r="AI423" s="310"/>
      <c r="AJ423" s="307"/>
      <c r="AK423" s="307"/>
      <c r="AL423" s="307"/>
      <c r="AM423" s="308"/>
      <c r="AN423" s="311"/>
      <c r="AO423" s="307"/>
      <c r="AP423" s="307"/>
      <c r="AQ423" s="308"/>
      <c r="AR423" s="307"/>
      <c r="AS423" s="307"/>
      <c r="AT423" s="307"/>
      <c r="AU423" s="310"/>
      <c r="AV423" s="308"/>
      <c r="AW423" s="312"/>
      <c r="AX423" s="308"/>
      <c r="AY423" s="307"/>
      <c r="AZ423" s="307"/>
      <c r="BA423" s="307"/>
      <c r="BB423" s="307"/>
      <c r="BC423" s="308"/>
      <c r="BD423" s="308"/>
      <c r="BE423" s="313"/>
      <c r="BF423" s="307"/>
      <c r="BG423" s="310"/>
      <c r="BH423" s="307"/>
      <c r="BI423" s="307"/>
      <c r="BJ423" s="310"/>
      <c r="BK423" s="307"/>
      <c r="BL423" s="307"/>
      <c r="BM423" s="310"/>
      <c r="BN423" s="307"/>
      <c r="BO423" s="310"/>
      <c r="BP423" s="307"/>
      <c r="BQ423" s="307"/>
      <c r="BR423" s="307"/>
      <c r="BS423" s="307"/>
      <c r="BT423" s="307"/>
      <c r="BU423" s="310"/>
      <c r="BV423" s="307"/>
      <c r="BW423" s="308"/>
      <c r="BX423" s="311"/>
      <c r="BY423" s="307"/>
      <c r="BZ423" s="307"/>
      <c r="CA423" s="310"/>
      <c r="CB423" s="307"/>
      <c r="CC423" s="307"/>
      <c r="CD423" s="307"/>
      <c r="CE423" s="308"/>
      <c r="CF423" s="308"/>
      <c r="CG423" s="307"/>
      <c r="CH423" s="307"/>
      <c r="CI423" s="307"/>
      <c r="CJ423" s="307"/>
      <c r="CK423" s="314"/>
      <c r="CL423" s="310"/>
      <c r="CM423" s="310"/>
      <c r="CN423" s="307"/>
      <c r="CO423" s="307"/>
      <c r="CP423" s="307"/>
      <c r="CQ423" s="315"/>
      <c r="CR423" s="315"/>
      <c r="CS423" s="315"/>
      <c r="CT423" s="315"/>
      <c r="CU423" s="307"/>
      <c r="CV423" s="217"/>
      <c r="CW423" s="192"/>
      <c r="CX423" s="192"/>
      <c r="CY423" s="192"/>
      <c r="CZ423" s="191"/>
      <c r="DA423" s="193"/>
      <c r="DB423" s="192"/>
      <c r="DC423" s="192"/>
      <c r="DD423" s="192"/>
      <c r="DE423" s="191"/>
      <c r="DF423" s="19"/>
      <c r="DG423" s="192"/>
      <c r="DH423" s="192"/>
      <c r="DI423" s="192"/>
      <c r="DJ423" s="191"/>
      <c r="DK423" s="193"/>
      <c r="DL423" s="192"/>
      <c r="DM423" s="192"/>
      <c r="DN423" s="192"/>
      <c r="DO423" s="191"/>
      <c r="DP423" s="19"/>
      <c r="DQ423" s="192"/>
      <c r="DR423" s="192"/>
      <c r="DS423" s="192"/>
      <c r="DT423" s="191"/>
      <c r="DU423" s="193"/>
      <c r="DV423" s="192"/>
      <c r="DW423" s="192"/>
      <c r="DX423" s="192"/>
      <c r="DY423" s="191"/>
      <c r="DZ423" s="19"/>
      <c r="EA423" s="192"/>
      <c r="EB423" s="192"/>
      <c r="EC423" s="192"/>
      <c r="ED423" s="191"/>
      <c r="EE423" s="193"/>
      <c r="EF423" s="192"/>
      <c r="EG423" s="192"/>
      <c r="EH423" s="192"/>
      <c r="EI423" s="191"/>
      <c r="EJ423" s="19"/>
      <c r="EK423" s="192"/>
      <c r="EL423" s="192"/>
      <c r="EM423" s="192"/>
      <c r="EN423" s="191"/>
      <c r="EO423" s="193"/>
      <c r="EP423" s="192"/>
      <c r="EQ423" s="192"/>
      <c r="ER423" s="192"/>
      <c r="ES423" s="191"/>
      <c r="ET423" s="19"/>
      <c r="EU423" s="192"/>
      <c r="EV423" s="192"/>
      <c r="EW423" s="192"/>
      <c r="EX423" s="191"/>
      <c r="EY423" s="193"/>
      <c r="EZ423" s="192"/>
      <c r="FA423" s="192"/>
      <c r="FB423" s="192"/>
      <c r="FC423" s="191"/>
      <c r="FL423" s="273">
        <f t="shared" ca="1" si="20"/>
        <v>116</v>
      </c>
    </row>
    <row r="424" spans="1:168" ht="16.5" thickBot="1">
      <c r="A424" s="196">
        <v>421</v>
      </c>
      <c r="B424" s="306"/>
      <c r="C424" s="310"/>
      <c r="D424" s="307" t="s">
        <v>271</v>
      </c>
      <c r="E424" s="307" t="s">
        <v>271</v>
      </c>
      <c r="F424" s="308"/>
      <c r="G424" s="343" t="str">
        <f t="shared" si="18"/>
        <v xml:space="preserve"> </v>
      </c>
      <c r="H424" s="307"/>
      <c r="I424" s="309" t="e">
        <f t="shared" si="19"/>
        <v>#N/A</v>
      </c>
      <c r="J424" s="307"/>
      <c r="K424" s="307"/>
      <c r="L424" s="310"/>
      <c r="M424" s="310"/>
      <c r="N424" s="310"/>
      <c r="O424" s="310"/>
      <c r="P424" s="310"/>
      <c r="Q424" s="310"/>
      <c r="R424" s="310"/>
      <c r="S424" s="310"/>
      <c r="T424" s="310"/>
      <c r="U424" s="307"/>
      <c r="V424" s="307"/>
      <c r="W424" s="311"/>
      <c r="X424" s="307"/>
      <c r="Y424" s="307"/>
      <c r="Z424" s="307"/>
      <c r="AA424" s="307"/>
      <c r="AB424" s="311"/>
      <c r="AC424" s="307"/>
      <c r="AD424" s="307"/>
      <c r="AE424" s="307"/>
      <c r="AF424" s="307"/>
      <c r="AG424" s="310"/>
      <c r="AH424" s="307"/>
      <c r="AI424" s="310"/>
      <c r="AJ424" s="307"/>
      <c r="AK424" s="307"/>
      <c r="AL424" s="307"/>
      <c r="AM424" s="308"/>
      <c r="AN424" s="311"/>
      <c r="AO424" s="307"/>
      <c r="AP424" s="307"/>
      <c r="AQ424" s="308"/>
      <c r="AR424" s="307"/>
      <c r="AS424" s="307"/>
      <c r="AT424" s="307"/>
      <c r="AU424" s="310"/>
      <c r="AV424" s="308"/>
      <c r="AW424" s="312"/>
      <c r="AX424" s="308"/>
      <c r="AY424" s="307"/>
      <c r="AZ424" s="307"/>
      <c r="BA424" s="307"/>
      <c r="BB424" s="307"/>
      <c r="BC424" s="308"/>
      <c r="BD424" s="308"/>
      <c r="BE424" s="313"/>
      <c r="BF424" s="307"/>
      <c r="BG424" s="310"/>
      <c r="BH424" s="307"/>
      <c r="BI424" s="307"/>
      <c r="BJ424" s="310"/>
      <c r="BK424" s="307"/>
      <c r="BL424" s="307"/>
      <c r="BM424" s="310"/>
      <c r="BN424" s="307"/>
      <c r="BO424" s="310"/>
      <c r="BP424" s="307"/>
      <c r="BQ424" s="307"/>
      <c r="BR424" s="307"/>
      <c r="BS424" s="307"/>
      <c r="BT424" s="307"/>
      <c r="BU424" s="310"/>
      <c r="BV424" s="307"/>
      <c r="BW424" s="308"/>
      <c r="BX424" s="311"/>
      <c r="BY424" s="307"/>
      <c r="BZ424" s="307"/>
      <c r="CA424" s="310"/>
      <c r="CB424" s="307"/>
      <c r="CC424" s="307"/>
      <c r="CD424" s="307"/>
      <c r="CE424" s="308"/>
      <c r="CF424" s="308"/>
      <c r="CG424" s="307"/>
      <c r="CH424" s="307"/>
      <c r="CI424" s="307"/>
      <c r="CJ424" s="307"/>
      <c r="CK424" s="314"/>
      <c r="CL424" s="310"/>
      <c r="CM424" s="310"/>
      <c r="CN424" s="307"/>
      <c r="CO424" s="307"/>
      <c r="CP424" s="307"/>
      <c r="CQ424" s="315"/>
      <c r="CR424" s="315"/>
      <c r="CS424" s="315"/>
      <c r="CT424" s="315"/>
      <c r="CU424" s="307"/>
      <c r="CV424" s="217"/>
      <c r="CW424" s="192"/>
      <c r="CX424" s="192"/>
      <c r="CY424" s="192"/>
      <c r="CZ424" s="191"/>
      <c r="DA424" s="193"/>
      <c r="DB424" s="192"/>
      <c r="DC424" s="192"/>
      <c r="DD424" s="192"/>
      <c r="DE424" s="191"/>
      <c r="DF424" s="19"/>
      <c r="DG424" s="192"/>
      <c r="DH424" s="192"/>
      <c r="DI424" s="192"/>
      <c r="DJ424" s="191"/>
      <c r="DK424" s="193"/>
      <c r="DL424" s="192"/>
      <c r="DM424" s="192"/>
      <c r="DN424" s="192"/>
      <c r="DO424" s="191"/>
      <c r="DP424" s="19"/>
      <c r="DQ424" s="192"/>
      <c r="DR424" s="192"/>
      <c r="DS424" s="192"/>
      <c r="DT424" s="191"/>
      <c r="DU424" s="193"/>
      <c r="DV424" s="192"/>
      <c r="DW424" s="192"/>
      <c r="DX424" s="192"/>
      <c r="DY424" s="191"/>
      <c r="DZ424" s="19"/>
      <c r="EA424" s="192"/>
      <c r="EB424" s="192"/>
      <c r="EC424" s="192"/>
      <c r="ED424" s="191"/>
      <c r="EE424" s="193"/>
      <c r="EF424" s="192"/>
      <c r="EG424" s="192"/>
      <c r="EH424" s="192"/>
      <c r="EI424" s="191"/>
      <c r="EJ424" s="19"/>
      <c r="EK424" s="192"/>
      <c r="EL424" s="192"/>
      <c r="EM424" s="192"/>
      <c r="EN424" s="191"/>
      <c r="EO424" s="193"/>
      <c r="EP424" s="192"/>
      <c r="EQ424" s="192"/>
      <c r="ER424" s="192"/>
      <c r="ES424" s="191"/>
      <c r="ET424" s="19"/>
      <c r="EU424" s="192"/>
      <c r="EV424" s="192"/>
      <c r="EW424" s="192"/>
      <c r="EX424" s="191"/>
      <c r="EY424" s="193"/>
      <c r="EZ424" s="192"/>
      <c r="FA424" s="192"/>
      <c r="FB424" s="192"/>
      <c r="FC424" s="191"/>
      <c r="FL424" s="273">
        <f t="shared" ca="1" si="20"/>
        <v>116</v>
      </c>
    </row>
    <row r="425" spans="1:168" ht="16.5" thickBot="1">
      <c r="A425" s="199">
        <v>422</v>
      </c>
      <c r="B425" s="306"/>
      <c r="C425" s="310"/>
      <c r="D425" s="307" t="s">
        <v>271</v>
      </c>
      <c r="E425" s="307" t="s">
        <v>271</v>
      </c>
      <c r="F425" s="308"/>
      <c r="G425" s="343" t="str">
        <f t="shared" si="18"/>
        <v xml:space="preserve"> </v>
      </c>
      <c r="H425" s="307"/>
      <c r="I425" s="309" t="e">
        <f t="shared" si="19"/>
        <v>#N/A</v>
      </c>
      <c r="J425" s="307"/>
      <c r="K425" s="307"/>
      <c r="L425" s="310"/>
      <c r="M425" s="310"/>
      <c r="N425" s="310"/>
      <c r="O425" s="310"/>
      <c r="P425" s="310"/>
      <c r="Q425" s="310"/>
      <c r="R425" s="310"/>
      <c r="S425" s="310"/>
      <c r="T425" s="310"/>
      <c r="U425" s="307"/>
      <c r="V425" s="307"/>
      <c r="W425" s="311"/>
      <c r="X425" s="307"/>
      <c r="Y425" s="307"/>
      <c r="Z425" s="307"/>
      <c r="AA425" s="307"/>
      <c r="AB425" s="311"/>
      <c r="AC425" s="307"/>
      <c r="AD425" s="307"/>
      <c r="AE425" s="307"/>
      <c r="AF425" s="307"/>
      <c r="AG425" s="310"/>
      <c r="AH425" s="307"/>
      <c r="AI425" s="310"/>
      <c r="AJ425" s="307"/>
      <c r="AK425" s="307"/>
      <c r="AL425" s="307"/>
      <c r="AM425" s="308"/>
      <c r="AN425" s="311"/>
      <c r="AO425" s="307"/>
      <c r="AP425" s="307"/>
      <c r="AQ425" s="308"/>
      <c r="AR425" s="307"/>
      <c r="AS425" s="307"/>
      <c r="AT425" s="307"/>
      <c r="AU425" s="310"/>
      <c r="AV425" s="308"/>
      <c r="AW425" s="312"/>
      <c r="AX425" s="308"/>
      <c r="AY425" s="307"/>
      <c r="AZ425" s="307"/>
      <c r="BA425" s="307"/>
      <c r="BB425" s="307"/>
      <c r="BC425" s="308"/>
      <c r="BD425" s="308"/>
      <c r="BE425" s="313"/>
      <c r="BF425" s="307"/>
      <c r="BG425" s="310"/>
      <c r="BH425" s="307"/>
      <c r="BI425" s="307"/>
      <c r="BJ425" s="310"/>
      <c r="BK425" s="307"/>
      <c r="BL425" s="307"/>
      <c r="BM425" s="310"/>
      <c r="BN425" s="307"/>
      <c r="BO425" s="310"/>
      <c r="BP425" s="307"/>
      <c r="BQ425" s="307"/>
      <c r="BR425" s="307"/>
      <c r="BS425" s="307"/>
      <c r="BT425" s="307"/>
      <c r="BU425" s="310"/>
      <c r="BV425" s="307"/>
      <c r="BW425" s="308"/>
      <c r="BX425" s="311"/>
      <c r="BY425" s="307"/>
      <c r="BZ425" s="307"/>
      <c r="CA425" s="310"/>
      <c r="CB425" s="307"/>
      <c r="CC425" s="307"/>
      <c r="CD425" s="307"/>
      <c r="CE425" s="308"/>
      <c r="CF425" s="308"/>
      <c r="CG425" s="307"/>
      <c r="CH425" s="307"/>
      <c r="CI425" s="307"/>
      <c r="CJ425" s="307"/>
      <c r="CK425" s="314"/>
      <c r="CL425" s="310"/>
      <c r="CM425" s="310"/>
      <c r="CN425" s="307"/>
      <c r="CO425" s="307"/>
      <c r="CP425" s="307"/>
      <c r="CQ425" s="315"/>
      <c r="CR425" s="315"/>
      <c r="CS425" s="315"/>
      <c r="CT425" s="315"/>
      <c r="CU425" s="307"/>
      <c r="CV425" s="217"/>
      <c r="CW425" s="192"/>
      <c r="CX425" s="192"/>
      <c r="CY425" s="192"/>
      <c r="CZ425" s="191"/>
      <c r="DA425" s="193"/>
      <c r="DB425" s="192"/>
      <c r="DC425" s="192"/>
      <c r="DD425" s="192"/>
      <c r="DE425" s="191"/>
      <c r="DF425" s="19"/>
      <c r="DG425" s="192"/>
      <c r="DH425" s="192"/>
      <c r="DI425" s="192"/>
      <c r="DJ425" s="191"/>
      <c r="DK425" s="193"/>
      <c r="DL425" s="192"/>
      <c r="DM425" s="192"/>
      <c r="DN425" s="192"/>
      <c r="DO425" s="191"/>
      <c r="DP425" s="19"/>
      <c r="DQ425" s="192"/>
      <c r="DR425" s="192"/>
      <c r="DS425" s="192"/>
      <c r="DT425" s="191"/>
      <c r="DU425" s="193"/>
      <c r="DV425" s="192"/>
      <c r="DW425" s="192"/>
      <c r="DX425" s="192"/>
      <c r="DY425" s="191"/>
      <c r="DZ425" s="19"/>
      <c r="EA425" s="192"/>
      <c r="EB425" s="192"/>
      <c r="EC425" s="192"/>
      <c r="ED425" s="191"/>
      <c r="EE425" s="193"/>
      <c r="EF425" s="192"/>
      <c r="EG425" s="192"/>
      <c r="EH425" s="192"/>
      <c r="EI425" s="191"/>
      <c r="EJ425" s="19"/>
      <c r="EK425" s="192"/>
      <c r="EL425" s="192"/>
      <c r="EM425" s="192"/>
      <c r="EN425" s="191"/>
      <c r="EO425" s="193"/>
      <c r="EP425" s="192"/>
      <c r="EQ425" s="192"/>
      <c r="ER425" s="192"/>
      <c r="ES425" s="191"/>
      <c r="ET425" s="19"/>
      <c r="EU425" s="192"/>
      <c r="EV425" s="192"/>
      <c r="EW425" s="192"/>
      <c r="EX425" s="191"/>
      <c r="EY425" s="193"/>
      <c r="EZ425" s="192"/>
      <c r="FA425" s="192"/>
      <c r="FB425" s="192"/>
      <c r="FC425" s="191"/>
      <c r="FL425" s="273">
        <f t="shared" ca="1" si="20"/>
        <v>116</v>
      </c>
    </row>
    <row r="426" spans="1:168" ht="16.5" thickBot="1">
      <c r="A426" s="196">
        <v>423</v>
      </c>
      <c r="B426" s="306"/>
      <c r="C426" s="310"/>
      <c r="D426" s="307" t="s">
        <v>271</v>
      </c>
      <c r="E426" s="307" t="s">
        <v>271</v>
      </c>
      <c r="F426" s="308"/>
      <c r="G426" s="343" t="str">
        <f t="shared" si="18"/>
        <v xml:space="preserve"> </v>
      </c>
      <c r="H426" s="307"/>
      <c r="I426" s="309" t="e">
        <f t="shared" si="19"/>
        <v>#N/A</v>
      </c>
      <c r="J426" s="307"/>
      <c r="K426" s="307"/>
      <c r="L426" s="310"/>
      <c r="M426" s="310"/>
      <c r="N426" s="310"/>
      <c r="O426" s="310"/>
      <c r="P426" s="310"/>
      <c r="Q426" s="310"/>
      <c r="R426" s="310"/>
      <c r="S426" s="310"/>
      <c r="T426" s="310"/>
      <c r="U426" s="307"/>
      <c r="V426" s="307"/>
      <c r="W426" s="311"/>
      <c r="X426" s="307"/>
      <c r="Y426" s="307"/>
      <c r="Z426" s="307"/>
      <c r="AA426" s="307"/>
      <c r="AB426" s="311"/>
      <c r="AC426" s="307"/>
      <c r="AD426" s="307"/>
      <c r="AE426" s="307"/>
      <c r="AF426" s="307"/>
      <c r="AG426" s="310"/>
      <c r="AH426" s="307"/>
      <c r="AI426" s="310"/>
      <c r="AJ426" s="307"/>
      <c r="AK426" s="307"/>
      <c r="AL426" s="307"/>
      <c r="AM426" s="308"/>
      <c r="AN426" s="311"/>
      <c r="AO426" s="307"/>
      <c r="AP426" s="307"/>
      <c r="AQ426" s="308"/>
      <c r="AR426" s="307"/>
      <c r="AS426" s="307"/>
      <c r="AT426" s="307"/>
      <c r="AU426" s="310"/>
      <c r="AV426" s="308"/>
      <c r="AW426" s="312"/>
      <c r="AX426" s="308"/>
      <c r="AY426" s="307"/>
      <c r="AZ426" s="307"/>
      <c r="BA426" s="307"/>
      <c r="BB426" s="307"/>
      <c r="BC426" s="308"/>
      <c r="BD426" s="308"/>
      <c r="BE426" s="313"/>
      <c r="BF426" s="307"/>
      <c r="BG426" s="310"/>
      <c r="BH426" s="307"/>
      <c r="BI426" s="307"/>
      <c r="BJ426" s="310"/>
      <c r="BK426" s="307"/>
      <c r="BL426" s="307"/>
      <c r="BM426" s="310"/>
      <c r="BN426" s="307"/>
      <c r="BO426" s="310"/>
      <c r="BP426" s="307"/>
      <c r="BQ426" s="307"/>
      <c r="BR426" s="307"/>
      <c r="BS426" s="307"/>
      <c r="BT426" s="307"/>
      <c r="BU426" s="310"/>
      <c r="BV426" s="307"/>
      <c r="BW426" s="308"/>
      <c r="BX426" s="311"/>
      <c r="BY426" s="307"/>
      <c r="BZ426" s="307"/>
      <c r="CA426" s="310"/>
      <c r="CB426" s="307"/>
      <c r="CC426" s="307"/>
      <c r="CD426" s="307"/>
      <c r="CE426" s="308"/>
      <c r="CF426" s="308"/>
      <c r="CG426" s="307"/>
      <c r="CH426" s="307"/>
      <c r="CI426" s="307"/>
      <c r="CJ426" s="307"/>
      <c r="CK426" s="314"/>
      <c r="CL426" s="310"/>
      <c r="CM426" s="310"/>
      <c r="CN426" s="307"/>
      <c r="CO426" s="307"/>
      <c r="CP426" s="307"/>
      <c r="CQ426" s="315"/>
      <c r="CR426" s="315"/>
      <c r="CS426" s="315"/>
      <c r="CT426" s="315"/>
      <c r="CU426" s="307"/>
      <c r="CV426" s="217"/>
      <c r="CW426" s="192"/>
      <c r="CX426" s="192"/>
      <c r="CY426" s="192"/>
      <c r="CZ426" s="191"/>
      <c r="DA426" s="193"/>
      <c r="DB426" s="192"/>
      <c r="DC426" s="192"/>
      <c r="DD426" s="192"/>
      <c r="DE426" s="191"/>
      <c r="DF426" s="19"/>
      <c r="DG426" s="192"/>
      <c r="DH426" s="192"/>
      <c r="DI426" s="192"/>
      <c r="DJ426" s="191"/>
      <c r="DK426" s="193"/>
      <c r="DL426" s="192"/>
      <c r="DM426" s="192"/>
      <c r="DN426" s="192"/>
      <c r="DO426" s="191"/>
      <c r="DP426" s="19"/>
      <c r="DQ426" s="192"/>
      <c r="DR426" s="192"/>
      <c r="DS426" s="192"/>
      <c r="DT426" s="191"/>
      <c r="DU426" s="193"/>
      <c r="DV426" s="192"/>
      <c r="DW426" s="192"/>
      <c r="DX426" s="192"/>
      <c r="DY426" s="191"/>
      <c r="DZ426" s="19"/>
      <c r="EA426" s="192"/>
      <c r="EB426" s="192"/>
      <c r="EC426" s="192"/>
      <c r="ED426" s="191"/>
      <c r="EE426" s="193"/>
      <c r="EF426" s="192"/>
      <c r="EG426" s="192"/>
      <c r="EH426" s="192"/>
      <c r="EI426" s="191"/>
      <c r="EJ426" s="19"/>
      <c r="EK426" s="192"/>
      <c r="EL426" s="192"/>
      <c r="EM426" s="192"/>
      <c r="EN426" s="191"/>
      <c r="EO426" s="193"/>
      <c r="EP426" s="192"/>
      <c r="EQ426" s="192"/>
      <c r="ER426" s="192"/>
      <c r="ES426" s="191"/>
      <c r="ET426" s="19"/>
      <c r="EU426" s="192"/>
      <c r="EV426" s="192"/>
      <c r="EW426" s="192"/>
      <c r="EX426" s="191"/>
      <c r="EY426" s="193"/>
      <c r="EZ426" s="192"/>
      <c r="FA426" s="192"/>
      <c r="FB426" s="192"/>
      <c r="FC426" s="191"/>
      <c r="FL426" s="273">
        <f t="shared" ca="1" si="20"/>
        <v>116</v>
      </c>
    </row>
    <row r="427" spans="1:168" ht="16.5" thickBot="1">
      <c r="A427" s="199">
        <v>424</v>
      </c>
      <c r="B427" s="306"/>
      <c r="C427" s="310"/>
      <c r="D427" s="307" t="s">
        <v>271</v>
      </c>
      <c r="E427" s="307" t="s">
        <v>271</v>
      </c>
      <c r="F427" s="308"/>
      <c r="G427" s="343" t="str">
        <f t="shared" si="18"/>
        <v xml:space="preserve"> </v>
      </c>
      <c r="H427" s="307"/>
      <c r="I427" s="309" t="e">
        <f t="shared" si="19"/>
        <v>#N/A</v>
      </c>
      <c r="J427" s="307"/>
      <c r="K427" s="307"/>
      <c r="L427" s="310"/>
      <c r="M427" s="310"/>
      <c r="N427" s="310"/>
      <c r="O427" s="310"/>
      <c r="P427" s="310"/>
      <c r="Q427" s="310"/>
      <c r="R427" s="310"/>
      <c r="S427" s="310"/>
      <c r="T427" s="310"/>
      <c r="U427" s="307"/>
      <c r="V427" s="307"/>
      <c r="W427" s="311"/>
      <c r="X427" s="307"/>
      <c r="Y427" s="307"/>
      <c r="Z427" s="307"/>
      <c r="AA427" s="307"/>
      <c r="AB427" s="311"/>
      <c r="AC427" s="307"/>
      <c r="AD427" s="307"/>
      <c r="AE427" s="307"/>
      <c r="AF427" s="307"/>
      <c r="AG427" s="310"/>
      <c r="AH427" s="307"/>
      <c r="AI427" s="310"/>
      <c r="AJ427" s="307"/>
      <c r="AK427" s="307"/>
      <c r="AL427" s="307"/>
      <c r="AM427" s="308"/>
      <c r="AN427" s="311"/>
      <c r="AO427" s="307"/>
      <c r="AP427" s="307"/>
      <c r="AQ427" s="308"/>
      <c r="AR427" s="307"/>
      <c r="AS427" s="307"/>
      <c r="AT427" s="307"/>
      <c r="AU427" s="310"/>
      <c r="AV427" s="308"/>
      <c r="AW427" s="312"/>
      <c r="AX427" s="308"/>
      <c r="AY427" s="307"/>
      <c r="AZ427" s="307"/>
      <c r="BA427" s="307"/>
      <c r="BB427" s="307"/>
      <c r="BC427" s="308"/>
      <c r="BD427" s="308"/>
      <c r="BE427" s="313"/>
      <c r="BF427" s="307"/>
      <c r="BG427" s="310"/>
      <c r="BH427" s="307"/>
      <c r="BI427" s="307"/>
      <c r="BJ427" s="310"/>
      <c r="BK427" s="307"/>
      <c r="BL427" s="307"/>
      <c r="BM427" s="310"/>
      <c r="BN427" s="307"/>
      <c r="BO427" s="310"/>
      <c r="BP427" s="307"/>
      <c r="BQ427" s="307"/>
      <c r="BR427" s="307"/>
      <c r="BS427" s="307"/>
      <c r="BT427" s="307"/>
      <c r="BU427" s="310"/>
      <c r="BV427" s="307"/>
      <c r="BW427" s="308"/>
      <c r="BX427" s="311"/>
      <c r="BY427" s="307"/>
      <c r="BZ427" s="307"/>
      <c r="CA427" s="310"/>
      <c r="CB427" s="307"/>
      <c r="CC427" s="307"/>
      <c r="CD427" s="307"/>
      <c r="CE427" s="308"/>
      <c r="CF427" s="308"/>
      <c r="CG427" s="307"/>
      <c r="CH427" s="307"/>
      <c r="CI427" s="307"/>
      <c r="CJ427" s="307"/>
      <c r="CK427" s="314"/>
      <c r="CL427" s="310"/>
      <c r="CM427" s="310"/>
      <c r="CN427" s="307"/>
      <c r="CO427" s="307"/>
      <c r="CP427" s="307"/>
      <c r="CQ427" s="315"/>
      <c r="CR427" s="315"/>
      <c r="CS427" s="315"/>
      <c r="CT427" s="315"/>
      <c r="CU427" s="307"/>
      <c r="CV427" s="217"/>
      <c r="CW427" s="192"/>
      <c r="CX427" s="192"/>
      <c r="CY427" s="192"/>
      <c r="CZ427" s="191"/>
      <c r="DA427" s="193"/>
      <c r="DB427" s="192"/>
      <c r="DC427" s="192"/>
      <c r="DD427" s="192"/>
      <c r="DE427" s="191"/>
      <c r="DF427" s="19"/>
      <c r="DG427" s="192"/>
      <c r="DH427" s="192"/>
      <c r="DI427" s="192"/>
      <c r="DJ427" s="191"/>
      <c r="DK427" s="193"/>
      <c r="DL427" s="192"/>
      <c r="DM427" s="192"/>
      <c r="DN427" s="192"/>
      <c r="DO427" s="191"/>
      <c r="DP427" s="19"/>
      <c r="DQ427" s="192"/>
      <c r="DR427" s="192"/>
      <c r="DS427" s="192"/>
      <c r="DT427" s="191"/>
      <c r="DU427" s="193"/>
      <c r="DV427" s="192"/>
      <c r="DW427" s="192"/>
      <c r="DX427" s="192"/>
      <c r="DY427" s="191"/>
      <c r="DZ427" s="19"/>
      <c r="EA427" s="192"/>
      <c r="EB427" s="192"/>
      <c r="EC427" s="192"/>
      <c r="ED427" s="191"/>
      <c r="EE427" s="193"/>
      <c r="EF427" s="192"/>
      <c r="EG427" s="192"/>
      <c r="EH427" s="192"/>
      <c r="EI427" s="191"/>
      <c r="EJ427" s="19"/>
      <c r="EK427" s="192"/>
      <c r="EL427" s="192"/>
      <c r="EM427" s="192"/>
      <c r="EN427" s="191"/>
      <c r="EO427" s="193"/>
      <c r="EP427" s="192"/>
      <c r="EQ427" s="192"/>
      <c r="ER427" s="192"/>
      <c r="ES427" s="191"/>
      <c r="ET427" s="19"/>
      <c r="EU427" s="192"/>
      <c r="EV427" s="192"/>
      <c r="EW427" s="192"/>
      <c r="EX427" s="191"/>
      <c r="EY427" s="193"/>
      <c r="EZ427" s="192"/>
      <c r="FA427" s="192"/>
      <c r="FB427" s="192"/>
      <c r="FC427" s="191"/>
      <c r="FL427" s="273">
        <f t="shared" ca="1" si="20"/>
        <v>116</v>
      </c>
    </row>
    <row r="428" spans="1:168" ht="16.5" thickBot="1">
      <c r="A428" s="196">
        <v>425</v>
      </c>
      <c r="B428" s="306"/>
      <c r="C428" s="310"/>
      <c r="D428" s="307" t="s">
        <v>271</v>
      </c>
      <c r="E428" s="307" t="s">
        <v>271</v>
      </c>
      <c r="F428" s="308"/>
      <c r="G428" s="343" t="str">
        <f t="shared" si="18"/>
        <v xml:space="preserve"> </v>
      </c>
      <c r="H428" s="307"/>
      <c r="I428" s="309" t="e">
        <f t="shared" si="19"/>
        <v>#N/A</v>
      </c>
      <c r="J428" s="307"/>
      <c r="K428" s="307"/>
      <c r="L428" s="310"/>
      <c r="M428" s="310"/>
      <c r="N428" s="310"/>
      <c r="O428" s="310"/>
      <c r="P428" s="310"/>
      <c r="Q428" s="310"/>
      <c r="R428" s="310"/>
      <c r="S428" s="310"/>
      <c r="T428" s="310"/>
      <c r="U428" s="307"/>
      <c r="V428" s="307"/>
      <c r="W428" s="311"/>
      <c r="X428" s="307"/>
      <c r="Y428" s="307"/>
      <c r="Z428" s="307"/>
      <c r="AA428" s="307"/>
      <c r="AB428" s="311"/>
      <c r="AC428" s="307"/>
      <c r="AD428" s="307"/>
      <c r="AE428" s="307"/>
      <c r="AF428" s="307"/>
      <c r="AG428" s="310"/>
      <c r="AH428" s="307"/>
      <c r="AI428" s="310"/>
      <c r="AJ428" s="307"/>
      <c r="AK428" s="307"/>
      <c r="AL428" s="307"/>
      <c r="AM428" s="308"/>
      <c r="AN428" s="311"/>
      <c r="AO428" s="307"/>
      <c r="AP428" s="307"/>
      <c r="AQ428" s="308"/>
      <c r="AR428" s="307"/>
      <c r="AS428" s="307"/>
      <c r="AT428" s="307"/>
      <c r="AU428" s="310"/>
      <c r="AV428" s="308"/>
      <c r="AW428" s="312"/>
      <c r="AX428" s="308"/>
      <c r="AY428" s="307"/>
      <c r="AZ428" s="307"/>
      <c r="BA428" s="307"/>
      <c r="BB428" s="307"/>
      <c r="BC428" s="308"/>
      <c r="BD428" s="308"/>
      <c r="BE428" s="313"/>
      <c r="BF428" s="307"/>
      <c r="BG428" s="310"/>
      <c r="BH428" s="307"/>
      <c r="BI428" s="307"/>
      <c r="BJ428" s="310"/>
      <c r="BK428" s="307"/>
      <c r="BL428" s="307"/>
      <c r="BM428" s="310"/>
      <c r="BN428" s="307"/>
      <c r="BO428" s="310"/>
      <c r="BP428" s="307"/>
      <c r="BQ428" s="307"/>
      <c r="BR428" s="307"/>
      <c r="BS428" s="307"/>
      <c r="BT428" s="307"/>
      <c r="BU428" s="310"/>
      <c r="BV428" s="307"/>
      <c r="BW428" s="308"/>
      <c r="BX428" s="311"/>
      <c r="BY428" s="307"/>
      <c r="BZ428" s="307"/>
      <c r="CA428" s="310"/>
      <c r="CB428" s="307"/>
      <c r="CC428" s="307"/>
      <c r="CD428" s="307"/>
      <c r="CE428" s="308"/>
      <c r="CF428" s="308"/>
      <c r="CG428" s="307"/>
      <c r="CH428" s="307"/>
      <c r="CI428" s="307"/>
      <c r="CJ428" s="307"/>
      <c r="CK428" s="314"/>
      <c r="CL428" s="310"/>
      <c r="CM428" s="310"/>
      <c r="CN428" s="307"/>
      <c r="CO428" s="307"/>
      <c r="CP428" s="307"/>
      <c r="CQ428" s="315"/>
      <c r="CR428" s="315"/>
      <c r="CS428" s="315"/>
      <c r="CT428" s="315"/>
      <c r="CU428" s="307"/>
      <c r="CV428" s="217"/>
      <c r="CW428" s="192"/>
      <c r="CX428" s="192"/>
      <c r="CY428" s="192"/>
      <c r="CZ428" s="191"/>
      <c r="DA428" s="193"/>
      <c r="DB428" s="192"/>
      <c r="DC428" s="192"/>
      <c r="DD428" s="192"/>
      <c r="DE428" s="191"/>
      <c r="DF428" s="19"/>
      <c r="DG428" s="192"/>
      <c r="DH428" s="192"/>
      <c r="DI428" s="192"/>
      <c r="DJ428" s="191"/>
      <c r="DK428" s="193"/>
      <c r="DL428" s="192"/>
      <c r="DM428" s="192"/>
      <c r="DN428" s="192"/>
      <c r="DO428" s="191"/>
      <c r="DP428" s="19"/>
      <c r="DQ428" s="192"/>
      <c r="DR428" s="192"/>
      <c r="DS428" s="192"/>
      <c r="DT428" s="191"/>
      <c r="DU428" s="193"/>
      <c r="DV428" s="192"/>
      <c r="DW428" s="192"/>
      <c r="DX428" s="192"/>
      <c r="DY428" s="191"/>
      <c r="DZ428" s="19"/>
      <c r="EA428" s="192"/>
      <c r="EB428" s="192"/>
      <c r="EC428" s="192"/>
      <c r="ED428" s="191"/>
      <c r="EE428" s="193"/>
      <c r="EF428" s="192"/>
      <c r="EG428" s="192"/>
      <c r="EH428" s="192"/>
      <c r="EI428" s="191"/>
      <c r="EJ428" s="19"/>
      <c r="EK428" s="192"/>
      <c r="EL428" s="192"/>
      <c r="EM428" s="192"/>
      <c r="EN428" s="191"/>
      <c r="EO428" s="193"/>
      <c r="EP428" s="192"/>
      <c r="EQ428" s="192"/>
      <c r="ER428" s="192"/>
      <c r="ES428" s="191"/>
      <c r="ET428" s="19"/>
      <c r="EU428" s="192"/>
      <c r="EV428" s="192"/>
      <c r="EW428" s="192"/>
      <c r="EX428" s="191"/>
      <c r="EY428" s="193"/>
      <c r="EZ428" s="192"/>
      <c r="FA428" s="192"/>
      <c r="FB428" s="192"/>
      <c r="FC428" s="191"/>
      <c r="FL428" s="273">
        <f t="shared" ca="1" si="20"/>
        <v>116</v>
      </c>
    </row>
    <row r="429" spans="1:168" ht="16.5" thickBot="1">
      <c r="A429" s="199">
        <v>426</v>
      </c>
      <c r="B429" s="306"/>
      <c r="C429" s="310"/>
      <c r="D429" s="307" t="s">
        <v>271</v>
      </c>
      <c r="E429" s="307" t="s">
        <v>271</v>
      </c>
      <c r="F429" s="308"/>
      <c r="G429" s="343" t="str">
        <f t="shared" si="18"/>
        <v xml:space="preserve"> </v>
      </c>
      <c r="H429" s="307"/>
      <c r="I429" s="309" t="e">
        <f t="shared" si="19"/>
        <v>#N/A</v>
      </c>
      <c r="J429" s="307"/>
      <c r="K429" s="307"/>
      <c r="L429" s="310"/>
      <c r="M429" s="310"/>
      <c r="N429" s="310"/>
      <c r="O429" s="310"/>
      <c r="P429" s="310"/>
      <c r="Q429" s="310"/>
      <c r="R429" s="310"/>
      <c r="S429" s="310"/>
      <c r="T429" s="310"/>
      <c r="U429" s="307"/>
      <c r="V429" s="307"/>
      <c r="W429" s="311"/>
      <c r="X429" s="307"/>
      <c r="Y429" s="307"/>
      <c r="Z429" s="307"/>
      <c r="AA429" s="307"/>
      <c r="AB429" s="311"/>
      <c r="AC429" s="307"/>
      <c r="AD429" s="307"/>
      <c r="AE429" s="307"/>
      <c r="AF429" s="307"/>
      <c r="AG429" s="310"/>
      <c r="AH429" s="307"/>
      <c r="AI429" s="310"/>
      <c r="AJ429" s="307"/>
      <c r="AK429" s="307"/>
      <c r="AL429" s="307"/>
      <c r="AM429" s="308"/>
      <c r="AN429" s="311"/>
      <c r="AO429" s="307"/>
      <c r="AP429" s="307"/>
      <c r="AQ429" s="308"/>
      <c r="AR429" s="307"/>
      <c r="AS429" s="307"/>
      <c r="AT429" s="307"/>
      <c r="AU429" s="310"/>
      <c r="AV429" s="308"/>
      <c r="AW429" s="312"/>
      <c r="AX429" s="308"/>
      <c r="AY429" s="307"/>
      <c r="AZ429" s="307"/>
      <c r="BA429" s="307"/>
      <c r="BB429" s="307"/>
      <c r="BC429" s="308"/>
      <c r="BD429" s="308"/>
      <c r="BE429" s="313"/>
      <c r="BF429" s="307"/>
      <c r="BG429" s="310"/>
      <c r="BH429" s="307"/>
      <c r="BI429" s="307"/>
      <c r="BJ429" s="310"/>
      <c r="BK429" s="307"/>
      <c r="BL429" s="307"/>
      <c r="BM429" s="310"/>
      <c r="BN429" s="307"/>
      <c r="BO429" s="310"/>
      <c r="BP429" s="307"/>
      <c r="BQ429" s="307"/>
      <c r="BR429" s="307"/>
      <c r="BS429" s="307"/>
      <c r="BT429" s="307"/>
      <c r="BU429" s="310"/>
      <c r="BV429" s="307"/>
      <c r="BW429" s="308"/>
      <c r="BX429" s="311"/>
      <c r="BY429" s="307"/>
      <c r="BZ429" s="307"/>
      <c r="CA429" s="310"/>
      <c r="CB429" s="307"/>
      <c r="CC429" s="307"/>
      <c r="CD429" s="307"/>
      <c r="CE429" s="308"/>
      <c r="CF429" s="308"/>
      <c r="CG429" s="307"/>
      <c r="CH429" s="307"/>
      <c r="CI429" s="307"/>
      <c r="CJ429" s="307"/>
      <c r="CK429" s="314"/>
      <c r="CL429" s="310"/>
      <c r="CM429" s="310"/>
      <c r="CN429" s="307"/>
      <c r="CO429" s="307"/>
      <c r="CP429" s="307"/>
      <c r="CQ429" s="315"/>
      <c r="CR429" s="315"/>
      <c r="CS429" s="315"/>
      <c r="CT429" s="315"/>
      <c r="CU429" s="307"/>
      <c r="CV429" s="217"/>
      <c r="CW429" s="192"/>
      <c r="CX429" s="192"/>
      <c r="CY429" s="192"/>
      <c r="CZ429" s="191"/>
      <c r="DA429" s="193"/>
      <c r="DB429" s="192"/>
      <c r="DC429" s="192"/>
      <c r="DD429" s="192"/>
      <c r="DE429" s="191"/>
      <c r="DF429" s="19"/>
      <c r="DG429" s="192"/>
      <c r="DH429" s="192"/>
      <c r="DI429" s="192"/>
      <c r="DJ429" s="191"/>
      <c r="DK429" s="193"/>
      <c r="DL429" s="192"/>
      <c r="DM429" s="192"/>
      <c r="DN429" s="192"/>
      <c r="DO429" s="191"/>
      <c r="DP429" s="19"/>
      <c r="DQ429" s="192"/>
      <c r="DR429" s="192"/>
      <c r="DS429" s="192"/>
      <c r="DT429" s="191"/>
      <c r="DU429" s="193"/>
      <c r="DV429" s="192"/>
      <c r="DW429" s="192"/>
      <c r="DX429" s="192"/>
      <c r="DY429" s="191"/>
      <c r="DZ429" s="19"/>
      <c r="EA429" s="192"/>
      <c r="EB429" s="192"/>
      <c r="EC429" s="192"/>
      <c r="ED429" s="191"/>
      <c r="EE429" s="193"/>
      <c r="EF429" s="192"/>
      <c r="EG429" s="192"/>
      <c r="EH429" s="192"/>
      <c r="EI429" s="191"/>
      <c r="EJ429" s="19"/>
      <c r="EK429" s="192"/>
      <c r="EL429" s="192"/>
      <c r="EM429" s="192"/>
      <c r="EN429" s="191"/>
      <c r="EO429" s="193"/>
      <c r="EP429" s="192"/>
      <c r="EQ429" s="192"/>
      <c r="ER429" s="192"/>
      <c r="ES429" s="191"/>
      <c r="ET429" s="19"/>
      <c r="EU429" s="192"/>
      <c r="EV429" s="192"/>
      <c r="EW429" s="192"/>
      <c r="EX429" s="191"/>
      <c r="EY429" s="193"/>
      <c r="EZ429" s="192"/>
      <c r="FA429" s="192"/>
      <c r="FB429" s="192"/>
      <c r="FC429" s="191"/>
      <c r="FL429" s="273">
        <f t="shared" ca="1" si="20"/>
        <v>116</v>
      </c>
    </row>
    <row r="430" spans="1:168" ht="16.5" thickBot="1">
      <c r="A430" s="196">
        <v>427</v>
      </c>
      <c r="B430" s="306"/>
      <c r="C430" s="310"/>
      <c r="D430" s="307" t="s">
        <v>271</v>
      </c>
      <c r="E430" s="307" t="s">
        <v>271</v>
      </c>
      <c r="F430" s="308"/>
      <c r="G430" s="343" t="str">
        <f t="shared" si="18"/>
        <v xml:space="preserve"> </v>
      </c>
      <c r="H430" s="307"/>
      <c r="I430" s="309" t="e">
        <f t="shared" si="19"/>
        <v>#N/A</v>
      </c>
      <c r="J430" s="307"/>
      <c r="K430" s="307"/>
      <c r="L430" s="310"/>
      <c r="M430" s="310"/>
      <c r="N430" s="310"/>
      <c r="O430" s="310"/>
      <c r="P430" s="310"/>
      <c r="Q430" s="310"/>
      <c r="R430" s="310"/>
      <c r="S430" s="310"/>
      <c r="T430" s="310"/>
      <c r="U430" s="307"/>
      <c r="V430" s="307"/>
      <c r="W430" s="311"/>
      <c r="X430" s="307"/>
      <c r="Y430" s="307"/>
      <c r="Z430" s="307"/>
      <c r="AA430" s="307"/>
      <c r="AB430" s="311"/>
      <c r="AC430" s="307"/>
      <c r="AD430" s="307"/>
      <c r="AE430" s="307"/>
      <c r="AF430" s="307"/>
      <c r="AG430" s="310"/>
      <c r="AH430" s="307"/>
      <c r="AI430" s="310"/>
      <c r="AJ430" s="307"/>
      <c r="AK430" s="307"/>
      <c r="AL430" s="307"/>
      <c r="AM430" s="308"/>
      <c r="AN430" s="311"/>
      <c r="AO430" s="307"/>
      <c r="AP430" s="307"/>
      <c r="AQ430" s="308"/>
      <c r="AR430" s="307"/>
      <c r="AS430" s="307"/>
      <c r="AT430" s="307"/>
      <c r="AU430" s="310"/>
      <c r="AV430" s="308"/>
      <c r="AW430" s="312"/>
      <c r="AX430" s="308"/>
      <c r="AY430" s="307"/>
      <c r="AZ430" s="307"/>
      <c r="BA430" s="307"/>
      <c r="BB430" s="307"/>
      <c r="BC430" s="308"/>
      <c r="BD430" s="308"/>
      <c r="BE430" s="313"/>
      <c r="BF430" s="307"/>
      <c r="BG430" s="310"/>
      <c r="BH430" s="307"/>
      <c r="BI430" s="307"/>
      <c r="BJ430" s="310"/>
      <c r="BK430" s="307"/>
      <c r="BL430" s="307"/>
      <c r="BM430" s="310"/>
      <c r="BN430" s="307"/>
      <c r="BO430" s="310"/>
      <c r="BP430" s="307"/>
      <c r="BQ430" s="307"/>
      <c r="BR430" s="307"/>
      <c r="BS430" s="307"/>
      <c r="BT430" s="307"/>
      <c r="BU430" s="310"/>
      <c r="BV430" s="307"/>
      <c r="BW430" s="308"/>
      <c r="BX430" s="311"/>
      <c r="BY430" s="307"/>
      <c r="BZ430" s="307"/>
      <c r="CA430" s="310"/>
      <c r="CB430" s="307"/>
      <c r="CC430" s="307"/>
      <c r="CD430" s="307"/>
      <c r="CE430" s="308"/>
      <c r="CF430" s="308"/>
      <c r="CG430" s="307"/>
      <c r="CH430" s="307"/>
      <c r="CI430" s="307"/>
      <c r="CJ430" s="307"/>
      <c r="CK430" s="314"/>
      <c r="CL430" s="310"/>
      <c r="CM430" s="310"/>
      <c r="CN430" s="307"/>
      <c r="CO430" s="307"/>
      <c r="CP430" s="307"/>
      <c r="CQ430" s="315"/>
      <c r="CR430" s="315"/>
      <c r="CS430" s="315"/>
      <c r="CT430" s="315"/>
      <c r="CU430" s="307"/>
      <c r="CV430" s="217"/>
      <c r="CW430" s="192"/>
      <c r="CX430" s="192"/>
      <c r="CY430" s="192"/>
      <c r="CZ430" s="191"/>
      <c r="DA430" s="193"/>
      <c r="DB430" s="192"/>
      <c r="DC430" s="192"/>
      <c r="DD430" s="192"/>
      <c r="DE430" s="191"/>
      <c r="DF430" s="19"/>
      <c r="DG430" s="192"/>
      <c r="DH430" s="192"/>
      <c r="DI430" s="192"/>
      <c r="DJ430" s="191"/>
      <c r="DK430" s="193"/>
      <c r="DL430" s="192"/>
      <c r="DM430" s="192"/>
      <c r="DN430" s="192"/>
      <c r="DO430" s="191"/>
      <c r="DP430" s="19"/>
      <c r="DQ430" s="192"/>
      <c r="DR430" s="192"/>
      <c r="DS430" s="192"/>
      <c r="DT430" s="191"/>
      <c r="DU430" s="193"/>
      <c r="DV430" s="192"/>
      <c r="DW430" s="192"/>
      <c r="DX430" s="192"/>
      <c r="DY430" s="191"/>
      <c r="DZ430" s="19"/>
      <c r="EA430" s="192"/>
      <c r="EB430" s="192"/>
      <c r="EC430" s="192"/>
      <c r="ED430" s="191"/>
      <c r="EE430" s="193"/>
      <c r="EF430" s="192"/>
      <c r="EG430" s="192"/>
      <c r="EH430" s="192"/>
      <c r="EI430" s="191"/>
      <c r="EJ430" s="19"/>
      <c r="EK430" s="192"/>
      <c r="EL430" s="192"/>
      <c r="EM430" s="192"/>
      <c r="EN430" s="191"/>
      <c r="EO430" s="193"/>
      <c r="EP430" s="192"/>
      <c r="EQ430" s="192"/>
      <c r="ER430" s="192"/>
      <c r="ES430" s="191"/>
      <c r="ET430" s="19"/>
      <c r="EU430" s="192"/>
      <c r="EV430" s="192"/>
      <c r="EW430" s="192"/>
      <c r="EX430" s="191"/>
      <c r="EY430" s="193"/>
      <c r="EZ430" s="192"/>
      <c r="FA430" s="192"/>
      <c r="FB430" s="192"/>
      <c r="FC430" s="191"/>
      <c r="FL430" s="273">
        <f t="shared" ca="1" si="20"/>
        <v>116</v>
      </c>
    </row>
    <row r="431" spans="1:168" ht="16.5" thickBot="1">
      <c r="A431" s="199">
        <v>428</v>
      </c>
      <c r="B431" s="306"/>
      <c r="C431" s="310"/>
      <c r="D431" s="307" t="s">
        <v>271</v>
      </c>
      <c r="E431" s="307" t="s">
        <v>271</v>
      </c>
      <c r="F431" s="308"/>
      <c r="G431" s="343" t="str">
        <f t="shared" si="18"/>
        <v xml:space="preserve"> </v>
      </c>
      <c r="H431" s="307"/>
      <c r="I431" s="309" t="e">
        <f t="shared" si="19"/>
        <v>#N/A</v>
      </c>
      <c r="J431" s="307"/>
      <c r="K431" s="307"/>
      <c r="L431" s="310"/>
      <c r="M431" s="310"/>
      <c r="N431" s="310"/>
      <c r="O431" s="310"/>
      <c r="P431" s="310"/>
      <c r="Q431" s="310"/>
      <c r="R431" s="310"/>
      <c r="S431" s="310"/>
      <c r="T431" s="310"/>
      <c r="U431" s="307"/>
      <c r="V431" s="307"/>
      <c r="W431" s="311"/>
      <c r="X431" s="307"/>
      <c r="Y431" s="307"/>
      <c r="Z431" s="307"/>
      <c r="AA431" s="307"/>
      <c r="AB431" s="311"/>
      <c r="AC431" s="307"/>
      <c r="AD431" s="307"/>
      <c r="AE431" s="307"/>
      <c r="AF431" s="307"/>
      <c r="AG431" s="310"/>
      <c r="AH431" s="307"/>
      <c r="AI431" s="310"/>
      <c r="AJ431" s="307"/>
      <c r="AK431" s="307"/>
      <c r="AL431" s="307"/>
      <c r="AM431" s="308"/>
      <c r="AN431" s="311"/>
      <c r="AO431" s="307"/>
      <c r="AP431" s="307"/>
      <c r="AQ431" s="308"/>
      <c r="AR431" s="307"/>
      <c r="AS431" s="307"/>
      <c r="AT431" s="307"/>
      <c r="AU431" s="310"/>
      <c r="AV431" s="308"/>
      <c r="AW431" s="312"/>
      <c r="AX431" s="308"/>
      <c r="AY431" s="307"/>
      <c r="AZ431" s="307"/>
      <c r="BA431" s="307"/>
      <c r="BB431" s="307"/>
      <c r="BC431" s="308"/>
      <c r="BD431" s="308"/>
      <c r="BE431" s="313"/>
      <c r="BF431" s="307"/>
      <c r="BG431" s="310"/>
      <c r="BH431" s="307"/>
      <c r="BI431" s="307"/>
      <c r="BJ431" s="310"/>
      <c r="BK431" s="307"/>
      <c r="BL431" s="307"/>
      <c r="BM431" s="310"/>
      <c r="BN431" s="307"/>
      <c r="BO431" s="310"/>
      <c r="BP431" s="307"/>
      <c r="BQ431" s="307"/>
      <c r="BR431" s="307"/>
      <c r="BS431" s="307"/>
      <c r="BT431" s="307"/>
      <c r="BU431" s="310"/>
      <c r="BV431" s="307"/>
      <c r="BW431" s="308"/>
      <c r="BX431" s="311"/>
      <c r="BY431" s="307"/>
      <c r="BZ431" s="307"/>
      <c r="CA431" s="310"/>
      <c r="CB431" s="307"/>
      <c r="CC431" s="307"/>
      <c r="CD431" s="307"/>
      <c r="CE431" s="308"/>
      <c r="CF431" s="308"/>
      <c r="CG431" s="307"/>
      <c r="CH431" s="307"/>
      <c r="CI431" s="307"/>
      <c r="CJ431" s="307"/>
      <c r="CK431" s="314"/>
      <c r="CL431" s="310"/>
      <c r="CM431" s="310"/>
      <c r="CN431" s="307"/>
      <c r="CO431" s="307"/>
      <c r="CP431" s="307"/>
      <c r="CQ431" s="315"/>
      <c r="CR431" s="315"/>
      <c r="CS431" s="315"/>
      <c r="CT431" s="315"/>
      <c r="CU431" s="307"/>
      <c r="CV431" s="217"/>
      <c r="CW431" s="192"/>
      <c r="CX431" s="192"/>
      <c r="CY431" s="192"/>
      <c r="CZ431" s="191"/>
      <c r="DA431" s="193"/>
      <c r="DB431" s="192"/>
      <c r="DC431" s="192"/>
      <c r="DD431" s="192"/>
      <c r="DE431" s="191"/>
      <c r="DF431" s="19"/>
      <c r="DG431" s="192"/>
      <c r="DH431" s="192"/>
      <c r="DI431" s="192"/>
      <c r="DJ431" s="191"/>
      <c r="DK431" s="193"/>
      <c r="DL431" s="192"/>
      <c r="DM431" s="192"/>
      <c r="DN431" s="192"/>
      <c r="DO431" s="191"/>
      <c r="DP431" s="19"/>
      <c r="DQ431" s="192"/>
      <c r="DR431" s="192"/>
      <c r="DS431" s="192"/>
      <c r="DT431" s="191"/>
      <c r="DU431" s="193"/>
      <c r="DV431" s="192"/>
      <c r="DW431" s="192"/>
      <c r="DX431" s="192"/>
      <c r="DY431" s="191"/>
      <c r="DZ431" s="19"/>
      <c r="EA431" s="192"/>
      <c r="EB431" s="192"/>
      <c r="EC431" s="192"/>
      <c r="ED431" s="191"/>
      <c r="EE431" s="193"/>
      <c r="EF431" s="192"/>
      <c r="EG431" s="192"/>
      <c r="EH431" s="192"/>
      <c r="EI431" s="191"/>
      <c r="EJ431" s="19"/>
      <c r="EK431" s="192"/>
      <c r="EL431" s="192"/>
      <c r="EM431" s="192"/>
      <c r="EN431" s="191"/>
      <c r="EO431" s="193"/>
      <c r="EP431" s="192"/>
      <c r="EQ431" s="192"/>
      <c r="ER431" s="192"/>
      <c r="ES431" s="191"/>
      <c r="ET431" s="19"/>
      <c r="EU431" s="192"/>
      <c r="EV431" s="192"/>
      <c r="EW431" s="192"/>
      <c r="EX431" s="191"/>
      <c r="EY431" s="193"/>
      <c r="EZ431" s="192"/>
      <c r="FA431" s="192"/>
      <c r="FB431" s="192"/>
      <c r="FC431" s="191"/>
      <c r="FL431" s="273">
        <f t="shared" ca="1" si="20"/>
        <v>116</v>
      </c>
    </row>
    <row r="432" spans="1:168" ht="16.5" thickBot="1">
      <c r="A432" s="196">
        <v>429</v>
      </c>
      <c r="B432" s="306"/>
      <c r="C432" s="310"/>
      <c r="D432" s="307" t="s">
        <v>271</v>
      </c>
      <c r="E432" s="307" t="s">
        <v>271</v>
      </c>
      <c r="F432" s="308"/>
      <c r="G432" s="343" t="str">
        <f t="shared" si="18"/>
        <v xml:space="preserve"> </v>
      </c>
      <c r="H432" s="307"/>
      <c r="I432" s="309" t="e">
        <f t="shared" si="19"/>
        <v>#N/A</v>
      </c>
      <c r="J432" s="307"/>
      <c r="K432" s="307"/>
      <c r="L432" s="310"/>
      <c r="M432" s="310"/>
      <c r="N432" s="310"/>
      <c r="O432" s="310"/>
      <c r="P432" s="310"/>
      <c r="Q432" s="310"/>
      <c r="R432" s="310"/>
      <c r="S432" s="310"/>
      <c r="T432" s="310"/>
      <c r="U432" s="307"/>
      <c r="V432" s="307"/>
      <c r="W432" s="311"/>
      <c r="X432" s="307"/>
      <c r="Y432" s="307"/>
      <c r="Z432" s="307"/>
      <c r="AA432" s="307"/>
      <c r="AB432" s="311"/>
      <c r="AC432" s="307"/>
      <c r="AD432" s="307"/>
      <c r="AE432" s="307"/>
      <c r="AF432" s="307"/>
      <c r="AG432" s="310"/>
      <c r="AH432" s="307"/>
      <c r="AI432" s="310"/>
      <c r="AJ432" s="307"/>
      <c r="AK432" s="307"/>
      <c r="AL432" s="307"/>
      <c r="AM432" s="308"/>
      <c r="AN432" s="311"/>
      <c r="AO432" s="307"/>
      <c r="AP432" s="307"/>
      <c r="AQ432" s="308"/>
      <c r="AR432" s="307"/>
      <c r="AS432" s="307"/>
      <c r="AT432" s="307"/>
      <c r="AU432" s="310"/>
      <c r="AV432" s="308"/>
      <c r="AW432" s="312"/>
      <c r="AX432" s="308"/>
      <c r="AY432" s="307"/>
      <c r="AZ432" s="307"/>
      <c r="BA432" s="307"/>
      <c r="BB432" s="307"/>
      <c r="BC432" s="308"/>
      <c r="BD432" s="308"/>
      <c r="BE432" s="313"/>
      <c r="BF432" s="307"/>
      <c r="BG432" s="310"/>
      <c r="BH432" s="307"/>
      <c r="BI432" s="307"/>
      <c r="BJ432" s="310"/>
      <c r="BK432" s="307"/>
      <c r="BL432" s="307"/>
      <c r="BM432" s="310"/>
      <c r="BN432" s="307"/>
      <c r="BO432" s="310"/>
      <c r="BP432" s="307"/>
      <c r="BQ432" s="307"/>
      <c r="BR432" s="307"/>
      <c r="BS432" s="307"/>
      <c r="BT432" s="307"/>
      <c r="BU432" s="310"/>
      <c r="BV432" s="307"/>
      <c r="BW432" s="308"/>
      <c r="BX432" s="311"/>
      <c r="BY432" s="307"/>
      <c r="BZ432" s="307"/>
      <c r="CA432" s="310"/>
      <c r="CB432" s="307"/>
      <c r="CC432" s="307"/>
      <c r="CD432" s="307"/>
      <c r="CE432" s="308"/>
      <c r="CF432" s="308"/>
      <c r="CG432" s="307"/>
      <c r="CH432" s="307"/>
      <c r="CI432" s="307"/>
      <c r="CJ432" s="307"/>
      <c r="CK432" s="314"/>
      <c r="CL432" s="310"/>
      <c r="CM432" s="310"/>
      <c r="CN432" s="307"/>
      <c r="CO432" s="307"/>
      <c r="CP432" s="307"/>
      <c r="CQ432" s="315"/>
      <c r="CR432" s="315"/>
      <c r="CS432" s="315"/>
      <c r="CT432" s="315"/>
      <c r="CU432" s="307"/>
      <c r="CV432" s="217"/>
      <c r="CW432" s="192"/>
      <c r="CX432" s="192"/>
      <c r="CY432" s="192"/>
      <c r="CZ432" s="191"/>
      <c r="DA432" s="193"/>
      <c r="DB432" s="192"/>
      <c r="DC432" s="192"/>
      <c r="DD432" s="192"/>
      <c r="DE432" s="191"/>
      <c r="DF432" s="19"/>
      <c r="DG432" s="192"/>
      <c r="DH432" s="192"/>
      <c r="DI432" s="192"/>
      <c r="DJ432" s="191"/>
      <c r="DK432" s="193"/>
      <c r="DL432" s="192"/>
      <c r="DM432" s="192"/>
      <c r="DN432" s="192"/>
      <c r="DO432" s="191"/>
      <c r="DP432" s="19"/>
      <c r="DQ432" s="192"/>
      <c r="DR432" s="192"/>
      <c r="DS432" s="192"/>
      <c r="DT432" s="191"/>
      <c r="DU432" s="193"/>
      <c r="DV432" s="192"/>
      <c r="DW432" s="192"/>
      <c r="DX432" s="192"/>
      <c r="DY432" s="191"/>
      <c r="DZ432" s="19"/>
      <c r="EA432" s="192"/>
      <c r="EB432" s="192"/>
      <c r="EC432" s="192"/>
      <c r="ED432" s="191"/>
      <c r="EE432" s="193"/>
      <c r="EF432" s="192"/>
      <c r="EG432" s="192"/>
      <c r="EH432" s="192"/>
      <c r="EI432" s="191"/>
      <c r="EJ432" s="19"/>
      <c r="EK432" s="192"/>
      <c r="EL432" s="192"/>
      <c r="EM432" s="192"/>
      <c r="EN432" s="191"/>
      <c r="EO432" s="193"/>
      <c r="EP432" s="192"/>
      <c r="EQ432" s="192"/>
      <c r="ER432" s="192"/>
      <c r="ES432" s="191"/>
      <c r="ET432" s="19"/>
      <c r="EU432" s="192"/>
      <c r="EV432" s="192"/>
      <c r="EW432" s="192"/>
      <c r="EX432" s="191"/>
      <c r="EY432" s="193"/>
      <c r="EZ432" s="192"/>
      <c r="FA432" s="192"/>
      <c r="FB432" s="192"/>
      <c r="FC432" s="191"/>
      <c r="FL432" s="273">
        <f t="shared" ca="1" si="20"/>
        <v>116</v>
      </c>
    </row>
    <row r="433" spans="1:168" ht="16.5" thickBot="1">
      <c r="A433" s="199">
        <v>430</v>
      </c>
      <c r="B433" s="306"/>
      <c r="C433" s="310"/>
      <c r="D433" s="307" t="s">
        <v>271</v>
      </c>
      <c r="E433" s="307" t="s">
        <v>271</v>
      </c>
      <c r="F433" s="308"/>
      <c r="G433" s="343" t="str">
        <f t="shared" si="18"/>
        <v xml:space="preserve"> </v>
      </c>
      <c r="H433" s="307"/>
      <c r="I433" s="309" t="e">
        <f t="shared" si="19"/>
        <v>#N/A</v>
      </c>
      <c r="J433" s="307"/>
      <c r="K433" s="307"/>
      <c r="L433" s="310"/>
      <c r="M433" s="310"/>
      <c r="N433" s="310"/>
      <c r="O433" s="310"/>
      <c r="P433" s="310"/>
      <c r="Q433" s="310"/>
      <c r="R433" s="310"/>
      <c r="S433" s="310"/>
      <c r="T433" s="310"/>
      <c r="U433" s="307"/>
      <c r="V433" s="307"/>
      <c r="W433" s="311"/>
      <c r="X433" s="307"/>
      <c r="Y433" s="307"/>
      <c r="Z433" s="307"/>
      <c r="AA433" s="307"/>
      <c r="AB433" s="311"/>
      <c r="AC433" s="307"/>
      <c r="AD433" s="307"/>
      <c r="AE433" s="307"/>
      <c r="AF433" s="307"/>
      <c r="AG433" s="310"/>
      <c r="AH433" s="307"/>
      <c r="AI433" s="310"/>
      <c r="AJ433" s="307"/>
      <c r="AK433" s="307"/>
      <c r="AL433" s="307"/>
      <c r="AM433" s="308"/>
      <c r="AN433" s="311"/>
      <c r="AO433" s="307"/>
      <c r="AP433" s="307"/>
      <c r="AQ433" s="308"/>
      <c r="AR433" s="307"/>
      <c r="AS433" s="307"/>
      <c r="AT433" s="307"/>
      <c r="AU433" s="310"/>
      <c r="AV433" s="308"/>
      <c r="AW433" s="312"/>
      <c r="AX433" s="308"/>
      <c r="AY433" s="307"/>
      <c r="AZ433" s="307"/>
      <c r="BA433" s="307"/>
      <c r="BB433" s="307"/>
      <c r="BC433" s="308"/>
      <c r="BD433" s="308"/>
      <c r="BE433" s="313"/>
      <c r="BF433" s="307"/>
      <c r="BG433" s="310"/>
      <c r="BH433" s="307"/>
      <c r="BI433" s="307"/>
      <c r="BJ433" s="310"/>
      <c r="BK433" s="307"/>
      <c r="BL433" s="307"/>
      <c r="BM433" s="310"/>
      <c r="BN433" s="307"/>
      <c r="BO433" s="310"/>
      <c r="BP433" s="307"/>
      <c r="BQ433" s="307"/>
      <c r="BR433" s="307"/>
      <c r="BS433" s="307"/>
      <c r="BT433" s="307"/>
      <c r="BU433" s="310"/>
      <c r="BV433" s="307"/>
      <c r="BW433" s="308"/>
      <c r="BX433" s="311"/>
      <c r="BY433" s="307"/>
      <c r="BZ433" s="307"/>
      <c r="CA433" s="310"/>
      <c r="CB433" s="307"/>
      <c r="CC433" s="307"/>
      <c r="CD433" s="307"/>
      <c r="CE433" s="308"/>
      <c r="CF433" s="308"/>
      <c r="CG433" s="307"/>
      <c r="CH433" s="307"/>
      <c r="CI433" s="307"/>
      <c r="CJ433" s="307"/>
      <c r="CK433" s="314"/>
      <c r="CL433" s="310"/>
      <c r="CM433" s="310"/>
      <c r="CN433" s="307"/>
      <c r="CO433" s="307"/>
      <c r="CP433" s="307"/>
      <c r="CQ433" s="315"/>
      <c r="CR433" s="315"/>
      <c r="CS433" s="315"/>
      <c r="CT433" s="315"/>
      <c r="CU433" s="307"/>
      <c r="CV433" s="217"/>
      <c r="CW433" s="192"/>
      <c r="CX433" s="192"/>
      <c r="CY433" s="192"/>
      <c r="CZ433" s="191"/>
      <c r="DA433" s="193"/>
      <c r="DB433" s="192"/>
      <c r="DC433" s="192"/>
      <c r="DD433" s="192"/>
      <c r="DE433" s="191"/>
      <c r="DF433" s="19"/>
      <c r="DG433" s="192"/>
      <c r="DH433" s="192"/>
      <c r="DI433" s="192"/>
      <c r="DJ433" s="191"/>
      <c r="DK433" s="193"/>
      <c r="DL433" s="192"/>
      <c r="DM433" s="192"/>
      <c r="DN433" s="192"/>
      <c r="DO433" s="191"/>
      <c r="DP433" s="19"/>
      <c r="DQ433" s="192"/>
      <c r="DR433" s="192"/>
      <c r="DS433" s="192"/>
      <c r="DT433" s="191"/>
      <c r="DU433" s="193"/>
      <c r="DV433" s="192"/>
      <c r="DW433" s="192"/>
      <c r="DX433" s="192"/>
      <c r="DY433" s="191"/>
      <c r="DZ433" s="19"/>
      <c r="EA433" s="192"/>
      <c r="EB433" s="192"/>
      <c r="EC433" s="192"/>
      <c r="ED433" s="191"/>
      <c r="EE433" s="193"/>
      <c r="EF433" s="192"/>
      <c r="EG433" s="192"/>
      <c r="EH433" s="192"/>
      <c r="EI433" s="191"/>
      <c r="EJ433" s="19"/>
      <c r="EK433" s="192"/>
      <c r="EL433" s="192"/>
      <c r="EM433" s="192"/>
      <c r="EN433" s="191"/>
      <c r="EO433" s="193"/>
      <c r="EP433" s="192"/>
      <c r="EQ433" s="192"/>
      <c r="ER433" s="192"/>
      <c r="ES433" s="191"/>
      <c r="ET433" s="19"/>
      <c r="EU433" s="192"/>
      <c r="EV433" s="192"/>
      <c r="EW433" s="192"/>
      <c r="EX433" s="191"/>
      <c r="EY433" s="193"/>
      <c r="EZ433" s="192"/>
      <c r="FA433" s="192"/>
      <c r="FB433" s="192"/>
      <c r="FC433" s="191"/>
      <c r="FL433" s="273">
        <f t="shared" ca="1" si="20"/>
        <v>116</v>
      </c>
    </row>
    <row r="434" spans="1:168" ht="16.5" thickBot="1">
      <c r="A434" s="196">
        <v>431</v>
      </c>
      <c r="B434" s="306"/>
      <c r="C434" s="310"/>
      <c r="D434" s="307" t="s">
        <v>271</v>
      </c>
      <c r="E434" s="307" t="s">
        <v>271</v>
      </c>
      <c r="F434" s="308"/>
      <c r="G434" s="343" t="str">
        <f t="shared" si="18"/>
        <v xml:space="preserve"> </v>
      </c>
      <c r="H434" s="307"/>
      <c r="I434" s="309" t="e">
        <f t="shared" si="19"/>
        <v>#N/A</v>
      </c>
      <c r="J434" s="307"/>
      <c r="K434" s="307"/>
      <c r="L434" s="310"/>
      <c r="M434" s="310"/>
      <c r="N434" s="310"/>
      <c r="O434" s="310"/>
      <c r="P434" s="310"/>
      <c r="Q434" s="310"/>
      <c r="R434" s="310"/>
      <c r="S434" s="310"/>
      <c r="T434" s="310"/>
      <c r="U434" s="307"/>
      <c r="V434" s="307"/>
      <c r="W434" s="311"/>
      <c r="X434" s="307"/>
      <c r="Y434" s="307"/>
      <c r="Z434" s="307"/>
      <c r="AA434" s="307"/>
      <c r="AB434" s="311"/>
      <c r="AC434" s="307"/>
      <c r="AD434" s="307"/>
      <c r="AE434" s="307"/>
      <c r="AF434" s="307"/>
      <c r="AG434" s="310"/>
      <c r="AH434" s="307"/>
      <c r="AI434" s="310"/>
      <c r="AJ434" s="307"/>
      <c r="AK434" s="307"/>
      <c r="AL434" s="307"/>
      <c r="AM434" s="308"/>
      <c r="AN434" s="311"/>
      <c r="AO434" s="307"/>
      <c r="AP434" s="307"/>
      <c r="AQ434" s="308"/>
      <c r="AR434" s="307"/>
      <c r="AS434" s="307"/>
      <c r="AT434" s="307"/>
      <c r="AU434" s="310"/>
      <c r="AV434" s="308"/>
      <c r="AW434" s="312"/>
      <c r="AX434" s="308"/>
      <c r="AY434" s="307"/>
      <c r="AZ434" s="307"/>
      <c r="BA434" s="307"/>
      <c r="BB434" s="307"/>
      <c r="BC434" s="308"/>
      <c r="BD434" s="308"/>
      <c r="BE434" s="313"/>
      <c r="BF434" s="307"/>
      <c r="BG434" s="310"/>
      <c r="BH434" s="307"/>
      <c r="BI434" s="307"/>
      <c r="BJ434" s="310"/>
      <c r="BK434" s="307"/>
      <c r="BL434" s="307"/>
      <c r="BM434" s="310"/>
      <c r="BN434" s="307"/>
      <c r="BO434" s="310"/>
      <c r="BP434" s="307"/>
      <c r="BQ434" s="307"/>
      <c r="BR434" s="307"/>
      <c r="BS434" s="307"/>
      <c r="BT434" s="307"/>
      <c r="BU434" s="310"/>
      <c r="BV434" s="307"/>
      <c r="BW434" s="308"/>
      <c r="BX434" s="311"/>
      <c r="BY434" s="307"/>
      <c r="BZ434" s="307"/>
      <c r="CA434" s="310"/>
      <c r="CB434" s="307"/>
      <c r="CC434" s="307"/>
      <c r="CD434" s="307"/>
      <c r="CE434" s="308"/>
      <c r="CF434" s="308"/>
      <c r="CG434" s="307"/>
      <c r="CH434" s="307"/>
      <c r="CI434" s="307"/>
      <c r="CJ434" s="307"/>
      <c r="CK434" s="314"/>
      <c r="CL434" s="310"/>
      <c r="CM434" s="310"/>
      <c r="CN434" s="307"/>
      <c r="CO434" s="307"/>
      <c r="CP434" s="307"/>
      <c r="CQ434" s="315"/>
      <c r="CR434" s="315"/>
      <c r="CS434" s="315"/>
      <c r="CT434" s="315"/>
      <c r="CU434" s="307"/>
      <c r="CV434" s="217"/>
      <c r="CW434" s="192"/>
      <c r="CX434" s="192"/>
      <c r="CY434" s="192"/>
      <c r="CZ434" s="191"/>
      <c r="DA434" s="193"/>
      <c r="DB434" s="192"/>
      <c r="DC434" s="192"/>
      <c r="DD434" s="192"/>
      <c r="DE434" s="191"/>
      <c r="DF434" s="19"/>
      <c r="DG434" s="192"/>
      <c r="DH434" s="192"/>
      <c r="DI434" s="192"/>
      <c r="DJ434" s="191"/>
      <c r="DK434" s="193"/>
      <c r="DL434" s="192"/>
      <c r="DM434" s="192"/>
      <c r="DN434" s="192"/>
      <c r="DO434" s="191"/>
      <c r="DP434" s="19"/>
      <c r="DQ434" s="192"/>
      <c r="DR434" s="192"/>
      <c r="DS434" s="192"/>
      <c r="DT434" s="191"/>
      <c r="DU434" s="193"/>
      <c r="DV434" s="192"/>
      <c r="DW434" s="192"/>
      <c r="DX434" s="192"/>
      <c r="DY434" s="191"/>
      <c r="DZ434" s="19"/>
      <c r="EA434" s="192"/>
      <c r="EB434" s="192"/>
      <c r="EC434" s="192"/>
      <c r="ED434" s="191"/>
      <c r="EE434" s="193"/>
      <c r="EF434" s="192"/>
      <c r="EG434" s="192"/>
      <c r="EH434" s="192"/>
      <c r="EI434" s="191"/>
      <c r="EJ434" s="19"/>
      <c r="EK434" s="192"/>
      <c r="EL434" s="192"/>
      <c r="EM434" s="192"/>
      <c r="EN434" s="191"/>
      <c r="EO434" s="193"/>
      <c r="EP434" s="192"/>
      <c r="EQ434" s="192"/>
      <c r="ER434" s="192"/>
      <c r="ES434" s="191"/>
      <c r="ET434" s="19"/>
      <c r="EU434" s="192"/>
      <c r="EV434" s="192"/>
      <c r="EW434" s="192"/>
      <c r="EX434" s="191"/>
      <c r="EY434" s="193"/>
      <c r="EZ434" s="192"/>
      <c r="FA434" s="192"/>
      <c r="FB434" s="192"/>
      <c r="FC434" s="191"/>
      <c r="FL434" s="273">
        <f t="shared" ca="1" si="20"/>
        <v>116</v>
      </c>
    </row>
    <row r="435" spans="1:168" ht="16.5" thickBot="1">
      <c r="A435" s="199">
        <v>432</v>
      </c>
      <c r="B435" s="306"/>
      <c r="C435" s="310"/>
      <c r="D435" s="307" t="s">
        <v>271</v>
      </c>
      <c r="E435" s="307" t="s">
        <v>271</v>
      </c>
      <c r="F435" s="308"/>
      <c r="G435" s="343" t="str">
        <f t="shared" si="18"/>
        <v xml:space="preserve"> </v>
      </c>
      <c r="H435" s="307"/>
      <c r="I435" s="309" t="e">
        <f t="shared" si="19"/>
        <v>#N/A</v>
      </c>
      <c r="J435" s="307"/>
      <c r="K435" s="307"/>
      <c r="L435" s="310"/>
      <c r="M435" s="310"/>
      <c r="N435" s="310"/>
      <c r="O435" s="310"/>
      <c r="P435" s="310"/>
      <c r="Q435" s="310"/>
      <c r="R435" s="310"/>
      <c r="S435" s="310"/>
      <c r="T435" s="310"/>
      <c r="U435" s="307"/>
      <c r="V435" s="307"/>
      <c r="W435" s="311"/>
      <c r="X435" s="307"/>
      <c r="Y435" s="307"/>
      <c r="Z435" s="307"/>
      <c r="AA435" s="307"/>
      <c r="AB435" s="311"/>
      <c r="AC435" s="307"/>
      <c r="AD435" s="307"/>
      <c r="AE435" s="307"/>
      <c r="AF435" s="307"/>
      <c r="AG435" s="310"/>
      <c r="AH435" s="307"/>
      <c r="AI435" s="310"/>
      <c r="AJ435" s="307"/>
      <c r="AK435" s="307"/>
      <c r="AL435" s="307"/>
      <c r="AM435" s="308"/>
      <c r="AN435" s="311"/>
      <c r="AO435" s="307"/>
      <c r="AP435" s="307"/>
      <c r="AQ435" s="308"/>
      <c r="AR435" s="307"/>
      <c r="AS435" s="307"/>
      <c r="AT435" s="307"/>
      <c r="AU435" s="310"/>
      <c r="AV435" s="308"/>
      <c r="AW435" s="312"/>
      <c r="AX435" s="308"/>
      <c r="AY435" s="307"/>
      <c r="AZ435" s="307"/>
      <c r="BA435" s="307"/>
      <c r="BB435" s="307"/>
      <c r="BC435" s="308"/>
      <c r="BD435" s="308"/>
      <c r="BE435" s="313"/>
      <c r="BF435" s="307"/>
      <c r="BG435" s="310"/>
      <c r="BH435" s="307"/>
      <c r="BI435" s="307"/>
      <c r="BJ435" s="310"/>
      <c r="BK435" s="307"/>
      <c r="BL435" s="307"/>
      <c r="BM435" s="310"/>
      <c r="BN435" s="307"/>
      <c r="BO435" s="310"/>
      <c r="BP435" s="307"/>
      <c r="BQ435" s="307"/>
      <c r="BR435" s="307"/>
      <c r="BS435" s="307"/>
      <c r="BT435" s="307"/>
      <c r="BU435" s="310"/>
      <c r="BV435" s="307"/>
      <c r="BW435" s="308"/>
      <c r="BX435" s="311"/>
      <c r="BY435" s="307"/>
      <c r="BZ435" s="307"/>
      <c r="CA435" s="310"/>
      <c r="CB435" s="307"/>
      <c r="CC435" s="307"/>
      <c r="CD435" s="307"/>
      <c r="CE435" s="308"/>
      <c r="CF435" s="308"/>
      <c r="CG435" s="307"/>
      <c r="CH435" s="307"/>
      <c r="CI435" s="307"/>
      <c r="CJ435" s="307"/>
      <c r="CK435" s="314"/>
      <c r="CL435" s="310"/>
      <c r="CM435" s="310"/>
      <c r="CN435" s="307"/>
      <c r="CO435" s="307"/>
      <c r="CP435" s="307"/>
      <c r="CQ435" s="315"/>
      <c r="CR435" s="315"/>
      <c r="CS435" s="315"/>
      <c r="CT435" s="315"/>
      <c r="CU435" s="307"/>
      <c r="CV435" s="217"/>
      <c r="CW435" s="192"/>
      <c r="CX435" s="192"/>
      <c r="CY435" s="192"/>
      <c r="CZ435" s="191"/>
      <c r="DA435" s="193"/>
      <c r="DB435" s="192"/>
      <c r="DC435" s="192"/>
      <c r="DD435" s="192"/>
      <c r="DE435" s="191"/>
      <c r="DF435" s="19"/>
      <c r="DG435" s="192"/>
      <c r="DH435" s="192"/>
      <c r="DI435" s="192"/>
      <c r="DJ435" s="191"/>
      <c r="DK435" s="193"/>
      <c r="DL435" s="192"/>
      <c r="DM435" s="192"/>
      <c r="DN435" s="192"/>
      <c r="DO435" s="191"/>
      <c r="DP435" s="19"/>
      <c r="DQ435" s="192"/>
      <c r="DR435" s="192"/>
      <c r="DS435" s="192"/>
      <c r="DT435" s="191"/>
      <c r="DU435" s="193"/>
      <c r="DV435" s="192"/>
      <c r="DW435" s="192"/>
      <c r="DX435" s="192"/>
      <c r="DY435" s="191"/>
      <c r="DZ435" s="19"/>
      <c r="EA435" s="192"/>
      <c r="EB435" s="192"/>
      <c r="EC435" s="192"/>
      <c r="ED435" s="191"/>
      <c r="EE435" s="193"/>
      <c r="EF435" s="192"/>
      <c r="EG435" s="192"/>
      <c r="EH435" s="192"/>
      <c r="EI435" s="191"/>
      <c r="EJ435" s="19"/>
      <c r="EK435" s="192"/>
      <c r="EL435" s="192"/>
      <c r="EM435" s="192"/>
      <c r="EN435" s="191"/>
      <c r="EO435" s="193"/>
      <c r="EP435" s="192"/>
      <c r="EQ435" s="192"/>
      <c r="ER435" s="192"/>
      <c r="ES435" s="191"/>
      <c r="ET435" s="19"/>
      <c r="EU435" s="192"/>
      <c r="EV435" s="192"/>
      <c r="EW435" s="192"/>
      <c r="EX435" s="191"/>
      <c r="EY435" s="193"/>
      <c r="EZ435" s="192"/>
      <c r="FA435" s="192"/>
      <c r="FB435" s="192"/>
      <c r="FC435" s="191"/>
      <c r="FL435" s="273">
        <f t="shared" ca="1" si="20"/>
        <v>116</v>
      </c>
    </row>
    <row r="436" spans="1:168" ht="16.5" thickBot="1">
      <c r="A436" s="196">
        <v>433</v>
      </c>
      <c r="B436" s="306"/>
      <c r="C436" s="310"/>
      <c r="D436" s="307" t="s">
        <v>271</v>
      </c>
      <c r="E436" s="307" t="s">
        <v>271</v>
      </c>
      <c r="F436" s="308"/>
      <c r="G436" s="343" t="str">
        <f t="shared" si="18"/>
        <v xml:space="preserve"> </v>
      </c>
      <c r="H436" s="307"/>
      <c r="I436" s="309" t="e">
        <f t="shared" si="19"/>
        <v>#N/A</v>
      </c>
      <c r="J436" s="307"/>
      <c r="K436" s="307"/>
      <c r="L436" s="310"/>
      <c r="M436" s="310"/>
      <c r="N436" s="310"/>
      <c r="O436" s="310"/>
      <c r="P436" s="310"/>
      <c r="Q436" s="310"/>
      <c r="R436" s="310"/>
      <c r="S436" s="310"/>
      <c r="T436" s="310"/>
      <c r="U436" s="307"/>
      <c r="V436" s="307"/>
      <c r="W436" s="311"/>
      <c r="X436" s="307"/>
      <c r="Y436" s="307"/>
      <c r="Z436" s="307"/>
      <c r="AA436" s="307"/>
      <c r="AB436" s="311"/>
      <c r="AC436" s="307"/>
      <c r="AD436" s="307"/>
      <c r="AE436" s="307"/>
      <c r="AF436" s="307"/>
      <c r="AG436" s="310"/>
      <c r="AH436" s="307"/>
      <c r="AI436" s="310"/>
      <c r="AJ436" s="307"/>
      <c r="AK436" s="307"/>
      <c r="AL436" s="307"/>
      <c r="AM436" s="308"/>
      <c r="AN436" s="311"/>
      <c r="AO436" s="307"/>
      <c r="AP436" s="307"/>
      <c r="AQ436" s="308"/>
      <c r="AR436" s="307"/>
      <c r="AS436" s="307"/>
      <c r="AT436" s="307"/>
      <c r="AU436" s="310"/>
      <c r="AV436" s="308"/>
      <c r="AW436" s="312"/>
      <c r="AX436" s="308"/>
      <c r="AY436" s="307"/>
      <c r="AZ436" s="307"/>
      <c r="BA436" s="307"/>
      <c r="BB436" s="307"/>
      <c r="BC436" s="308"/>
      <c r="BD436" s="308"/>
      <c r="BE436" s="313"/>
      <c r="BF436" s="307"/>
      <c r="BG436" s="310"/>
      <c r="BH436" s="307"/>
      <c r="BI436" s="307"/>
      <c r="BJ436" s="310"/>
      <c r="BK436" s="307"/>
      <c r="BL436" s="307"/>
      <c r="BM436" s="310"/>
      <c r="BN436" s="307"/>
      <c r="BO436" s="310"/>
      <c r="BP436" s="307"/>
      <c r="BQ436" s="307"/>
      <c r="BR436" s="307"/>
      <c r="BS436" s="307"/>
      <c r="BT436" s="307"/>
      <c r="BU436" s="310"/>
      <c r="BV436" s="307"/>
      <c r="BW436" s="308"/>
      <c r="BX436" s="311"/>
      <c r="BY436" s="307"/>
      <c r="BZ436" s="307"/>
      <c r="CA436" s="310"/>
      <c r="CB436" s="307"/>
      <c r="CC436" s="307"/>
      <c r="CD436" s="307"/>
      <c r="CE436" s="308"/>
      <c r="CF436" s="308"/>
      <c r="CG436" s="307"/>
      <c r="CH436" s="307"/>
      <c r="CI436" s="307"/>
      <c r="CJ436" s="307"/>
      <c r="CK436" s="314"/>
      <c r="CL436" s="310"/>
      <c r="CM436" s="310"/>
      <c r="CN436" s="307"/>
      <c r="CO436" s="307"/>
      <c r="CP436" s="307"/>
      <c r="CQ436" s="315"/>
      <c r="CR436" s="315"/>
      <c r="CS436" s="315"/>
      <c r="CT436" s="315"/>
      <c r="CU436" s="307"/>
      <c r="CV436" s="217"/>
      <c r="CW436" s="192"/>
      <c r="CX436" s="192"/>
      <c r="CY436" s="192"/>
      <c r="CZ436" s="191"/>
      <c r="DA436" s="193"/>
      <c r="DB436" s="192"/>
      <c r="DC436" s="192"/>
      <c r="DD436" s="192"/>
      <c r="DE436" s="191"/>
      <c r="DF436" s="19"/>
      <c r="DG436" s="192"/>
      <c r="DH436" s="192"/>
      <c r="DI436" s="192"/>
      <c r="DJ436" s="191"/>
      <c r="DK436" s="193"/>
      <c r="DL436" s="192"/>
      <c r="DM436" s="192"/>
      <c r="DN436" s="192"/>
      <c r="DO436" s="191"/>
      <c r="DP436" s="19"/>
      <c r="DQ436" s="192"/>
      <c r="DR436" s="192"/>
      <c r="DS436" s="192"/>
      <c r="DT436" s="191"/>
      <c r="DU436" s="193"/>
      <c r="DV436" s="192"/>
      <c r="DW436" s="192"/>
      <c r="DX436" s="192"/>
      <c r="DY436" s="191"/>
      <c r="DZ436" s="19"/>
      <c r="EA436" s="192"/>
      <c r="EB436" s="192"/>
      <c r="EC436" s="192"/>
      <c r="ED436" s="191"/>
      <c r="EE436" s="193"/>
      <c r="EF436" s="192"/>
      <c r="EG436" s="192"/>
      <c r="EH436" s="192"/>
      <c r="EI436" s="191"/>
      <c r="EJ436" s="19"/>
      <c r="EK436" s="192"/>
      <c r="EL436" s="192"/>
      <c r="EM436" s="192"/>
      <c r="EN436" s="191"/>
      <c r="EO436" s="193"/>
      <c r="EP436" s="192"/>
      <c r="EQ436" s="192"/>
      <c r="ER436" s="192"/>
      <c r="ES436" s="191"/>
      <c r="ET436" s="19"/>
      <c r="EU436" s="192"/>
      <c r="EV436" s="192"/>
      <c r="EW436" s="192"/>
      <c r="EX436" s="191"/>
      <c r="EY436" s="193"/>
      <c r="EZ436" s="192"/>
      <c r="FA436" s="192"/>
      <c r="FB436" s="192"/>
      <c r="FC436" s="191"/>
      <c r="FL436" s="273">
        <f t="shared" ca="1" si="20"/>
        <v>116</v>
      </c>
    </row>
    <row r="437" spans="1:168" ht="16.5" thickBot="1">
      <c r="A437" s="199">
        <v>434</v>
      </c>
      <c r="B437" s="306"/>
      <c r="C437" s="310"/>
      <c r="D437" s="307" t="s">
        <v>271</v>
      </c>
      <c r="E437" s="307" t="s">
        <v>271</v>
      </c>
      <c r="F437" s="308"/>
      <c r="G437" s="343" t="str">
        <f t="shared" si="18"/>
        <v xml:space="preserve"> </v>
      </c>
      <c r="H437" s="307"/>
      <c r="I437" s="309" t="e">
        <f t="shared" si="19"/>
        <v>#N/A</v>
      </c>
      <c r="J437" s="307"/>
      <c r="K437" s="307"/>
      <c r="L437" s="310"/>
      <c r="M437" s="310"/>
      <c r="N437" s="310"/>
      <c r="O437" s="310"/>
      <c r="P437" s="310"/>
      <c r="Q437" s="310"/>
      <c r="R437" s="310"/>
      <c r="S437" s="310"/>
      <c r="T437" s="310"/>
      <c r="U437" s="307"/>
      <c r="V437" s="307"/>
      <c r="W437" s="311"/>
      <c r="X437" s="307"/>
      <c r="Y437" s="307"/>
      <c r="Z437" s="307"/>
      <c r="AA437" s="307"/>
      <c r="AB437" s="311"/>
      <c r="AC437" s="307"/>
      <c r="AD437" s="307"/>
      <c r="AE437" s="307"/>
      <c r="AF437" s="307"/>
      <c r="AG437" s="310"/>
      <c r="AH437" s="307"/>
      <c r="AI437" s="310"/>
      <c r="AJ437" s="307"/>
      <c r="AK437" s="307"/>
      <c r="AL437" s="307"/>
      <c r="AM437" s="308"/>
      <c r="AN437" s="311"/>
      <c r="AO437" s="307"/>
      <c r="AP437" s="307"/>
      <c r="AQ437" s="308"/>
      <c r="AR437" s="307"/>
      <c r="AS437" s="307"/>
      <c r="AT437" s="307"/>
      <c r="AU437" s="310"/>
      <c r="AV437" s="308"/>
      <c r="AW437" s="312"/>
      <c r="AX437" s="308"/>
      <c r="AY437" s="307"/>
      <c r="AZ437" s="307"/>
      <c r="BA437" s="307"/>
      <c r="BB437" s="307"/>
      <c r="BC437" s="308"/>
      <c r="BD437" s="308"/>
      <c r="BE437" s="313"/>
      <c r="BF437" s="307"/>
      <c r="BG437" s="310"/>
      <c r="BH437" s="307"/>
      <c r="BI437" s="307"/>
      <c r="BJ437" s="310"/>
      <c r="BK437" s="307"/>
      <c r="BL437" s="307"/>
      <c r="BM437" s="310"/>
      <c r="BN437" s="307"/>
      <c r="BO437" s="310"/>
      <c r="BP437" s="307"/>
      <c r="BQ437" s="307"/>
      <c r="BR437" s="307"/>
      <c r="BS437" s="307"/>
      <c r="BT437" s="307"/>
      <c r="BU437" s="310"/>
      <c r="BV437" s="307"/>
      <c r="BW437" s="308"/>
      <c r="BX437" s="311"/>
      <c r="BY437" s="307"/>
      <c r="BZ437" s="307"/>
      <c r="CA437" s="310"/>
      <c r="CB437" s="307"/>
      <c r="CC437" s="307"/>
      <c r="CD437" s="307"/>
      <c r="CE437" s="308"/>
      <c r="CF437" s="308"/>
      <c r="CG437" s="307"/>
      <c r="CH437" s="307"/>
      <c r="CI437" s="307"/>
      <c r="CJ437" s="307"/>
      <c r="CK437" s="314"/>
      <c r="CL437" s="310"/>
      <c r="CM437" s="310"/>
      <c r="CN437" s="307"/>
      <c r="CO437" s="307"/>
      <c r="CP437" s="307"/>
      <c r="CQ437" s="315"/>
      <c r="CR437" s="315"/>
      <c r="CS437" s="315"/>
      <c r="CT437" s="315"/>
      <c r="CU437" s="307"/>
      <c r="CV437" s="217"/>
      <c r="CW437" s="192"/>
      <c r="CX437" s="192"/>
      <c r="CY437" s="192"/>
      <c r="CZ437" s="191"/>
      <c r="DA437" s="193"/>
      <c r="DB437" s="192"/>
      <c r="DC437" s="192"/>
      <c r="DD437" s="192"/>
      <c r="DE437" s="191"/>
      <c r="DF437" s="19"/>
      <c r="DG437" s="192"/>
      <c r="DH437" s="192"/>
      <c r="DI437" s="192"/>
      <c r="DJ437" s="191"/>
      <c r="DK437" s="193"/>
      <c r="DL437" s="192"/>
      <c r="DM437" s="192"/>
      <c r="DN437" s="192"/>
      <c r="DO437" s="191"/>
      <c r="DP437" s="19"/>
      <c r="DQ437" s="192"/>
      <c r="DR437" s="192"/>
      <c r="DS437" s="192"/>
      <c r="DT437" s="191"/>
      <c r="DU437" s="193"/>
      <c r="DV437" s="192"/>
      <c r="DW437" s="192"/>
      <c r="DX437" s="192"/>
      <c r="DY437" s="191"/>
      <c r="DZ437" s="19"/>
      <c r="EA437" s="192"/>
      <c r="EB437" s="192"/>
      <c r="EC437" s="192"/>
      <c r="ED437" s="191"/>
      <c r="EE437" s="193"/>
      <c r="EF437" s="192"/>
      <c r="EG437" s="192"/>
      <c r="EH437" s="192"/>
      <c r="EI437" s="191"/>
      <c r="EJ437" s="19"/>
      <c r="EK437" s="192"/>
      <c r="EL437" s="192"/>
      <c r="EM437" s="192"/>
      <c r="EN437" s="191"/>
      <c r="EO437" s="193"/>
      <c r="EP437" s="192"/>
      <c r="EQ437" s="192"/>
      <c r="ER437" s="192"/>
      <c r="ES437" s="191"/>
      <c r="ET437" s="19"/>
      <c r="EU437" s="192"/>
      <c r="EV437" s="192"/>
      <c r="EW437" s="192"/>
      <c r="EX437" s="191"/>
      <c r="EY437" s="193"/>
      <c r="EZ437" s="192"/>
      <c r="FA437" s="192"/>
      <c r="FB437" s="192"/>
      <c r="FC437" s="191"/>
      <c r="FL437" s="273">
        <f t="shared" ca="1" si="20"/>
        <v>116</v>
      </c>
    </row>
    <row r="438" spans="1:168" ht="16.5" thickBot="1">
      <c r="A438" s="196">
        <v>435</v>
      </c>
      <c r="B438" s="306"/>
      <c r="C438" s="310"/>
      <c r="D438" s="307" t="s">
        <v>271</v>
      </c>
      <c r="E438" s="307" t="s">
        <v>271</v>
      </c>
      <c r="F438" s="308"/>
      <c r="G438" s="343" t="str">
        <f t="shared" si="18"/>
        <v xml:space="preserve"> </v>
      </c>
      <c r="H438" s="307"/>
      <c r="I438" s="309" t="e">
        <f t="shared" si="19"/>
        <v>#N/A</v>
      </c>
      <c r="J438" s="307"/>
      <c r="K438" s="307"/>
      <c r="L438" s="310"/>
      <c r="M438" s="310"/>
      <c r="N438" s="310"/>
      <c r="O438" s="310"/>
      <c r="P438" s="310"/>
      <c r="Q438" s="310"/>
      <c r="R438" s="310"/>
      <c r="S438" s="310"/>
      <c r="T438" s="310"/>
      <c r="U438" s="307"/>
      <c r="V438" s="307"/>
      <c r="W438" s="311"/>
      <c r="X438" s="307"/>
      <c r="Y438" s="307"/>
      <c r="Z438" s="307"/>
      <c r="AA438" s="307"/>
      <c r="AB438" s="311"/>
      <c r="AC438" s="307"/>
      <c r="AD438" s="307"/>
      <c r="AE438" s="307"/>
      <c r="AF438" s="307"/>
      <c r="AG438" s="310"/>
      <c r="AH438" s="307"/>
      <c r="AI438" s="310"/>
      <c r="AJ438" s="307"/>
      <c r="AK438" s="307"/>
      <c r="AL438" s="307"/>
      <c r="AM438" s="308"/>
      <c r="AN438" s="311"/>
      <c r="AO438" s="307"/>
      <c r="AP438" s="307"/>
      <c r="AQ438" s="308"/>
      <c r="AR438" s="307"/>
      <c r="AS438" s="307"/>
      <c r="AT438" s="307"/>
      <c r="AU438" s="310"/>
      <c r="AV438" s="308"/>
      <c r="AW438" s="312"/>
      <c r="AX438" s="308"/>
      <c r="AY438" s="307"/>
      <c r="AZ438" s="307"/>
      <c r="BA438" s="307"/>
      <c r="BB438" s="307"/>
      <c r="BC438" s="308"/>
      <c r="BD438" s="308"/>
      <c r="BE438" s="313"/>
      <c r="BF438" s="307"/>
      <c r="BG438" s="310"/>
      <c r="BH438" s="307"/>
      <c r="BI438" s="307"/>
      <c r="BJ438" s="310"/>
      <c r="BK438" s="307"/>
      <c r="BL438" s="307"/>
      <c r="BM438" s="310"/>
      <c r="BN438" s="307"/>
      <c r="BO438" s="310"/>
      <c r="BP438" s="307"/>
      <c r="BQ438" s="307"/>
      <c r="BR438" s="307"/>
      <c r="BS438" s="307"/>
      <c r="BT438" s="307"/>
      <c r="BU438" s="310"/>
      <c r="BV438" s="307"/>
      <c r="BW438" s="308"/>
      <c r="BX438" s="311"/>
      <c r="BY438" s="307"/>
      <c r="BZ438" s="307"/>
      <c r="CA438" s="310"/>
      <c r="CB438" s="307"/>
      <c r="CC438" s="307"/>
      <c r="CD438" s="307"/>
      <c r="CE438" s="308"/>
      <c r="CF438" s="308"/>
      <c r="CG438" s="307"/>
      <c r="CH438" s="307"/>
      <c r="CI438" s="307"/>
      <c r="CJ438" s="307"/>
      <c r="CK438" s="314"/>
      <c r="CL438" s="310"/>
      <c r="CM438" s="310"/>
      <c r="CN438" s="307"/>
      <c r="CO438" s="307"/>
      <c r="CP438" s="307"/>
      <c r="CQ438" s="315"/>
      <c r="CR438" s="315"/>
      <c r="CS438" s="315"/>
      <c r="CT438" s="315"/>
      <c r="CU438" s="307"/>
      <c r="CV438" s="217"/>
      <c r="CW438" s="192"/>
      <c r="CX438" s="192"/>
      <c r="CY438" s="192"/>
      <c r="CZ438" s="191"/>
      <c r="DA438" s="193"/>
      <c r="DB438" s="192"/>
      <c r="DC438" s="192"/>
      <c r="DD438" s="192"/>
      <c r="DE438" s="191"/>
      <c r="DF438" s="19"/>
      <c r="DG438" s="192"/>
      <c r="DH438" s="192"/>
      <c r="DI438" s="192"/>
      <c r="DJ438" s="191"/>
      <c r="DK438" s="193"/>
      <c r="DL438" s="192"/>
      <c r="DM438" s="192"/>
      <c r="DN438" s="192"/>
      <c r="DO438" s="191"/>
      <c r="DP438" s="19"/>
      <c r="DQ438" s="192"/>
      <c r="DR438" s="192"/>
      <c r="DS438" s="192"/>
      <c r="DT438" s="191"/>
      <c r="DU438" s="193"/>
      <c r="DV438" s="192"/>
      <c r="DW438" s="192"/>
      <c r="DX438" s="192"/>
      <c r="DY438" s="191"/>
      <c r="DZ438" s="19"/>
      <c r="EA438" s="192"/>
      <c r="EB438" s="192"/>
      <c r="EC438" s="192"/>
      <c r="ED438" s="191"/>
      <c r="EE438" s="193"/>
      <c r="EF438" s="192"/>
      <c r="EG438" s="192"/>
      <c r="EH438" s="192"/>
      <c r="EI438" s="191"/>
      <c r="EJ438" s="19"/>
      <c r="EK438" s="192"/>
      <c r="EL438" s="192"/>
      <c r="EM438" s="192"/>
      <c r="EN438" s="191"/>
      <c r="EO438" s="193"/>
      <c r="EP438" s="192"/>
      <c r="EQ438" s="192"/>
      <c r="ER438" s="192"/>
      <c r="ES438" s="191"/>
      <c r="ET438" s="19"/>
      <c r="EU438" s="192"/>
      <c r="EV438" s="192"/>
      <c r="EW438" s="192"/>
      <c r="EX438" s="191"/>
      <c r="EY438" s="193"/>
      <c r="EZ438" s="192"/>
      <c r="FA438" s="192"/>
      <c r="FB438" s="192"/>
      <c r="FC438" s="191"/>
      <c r="FL438" s="273">
        <f t="shared" ca="1" si="20"/>
        <v>116</v>
      </c>
    </row>
    <row r="439" spans="1:168" ht="16.5" thickBot="1">
      <c r="A439" s="199">
        <v>436</v>
      </c>
      <c r="B439" s="306"/>
      <c r="C439" s="310"/>
      <c r="D439" s="307" t="s">
        <v>271</v>
      </c>
      <c r="E439" s="307" t="s">
        <v>271</v>
      </c>
      <c r="F439" s="308"/>
      <c r="G439" s="343" t="str">
        <f t="shared" si="18"/>
        <v xml:space="preserve"> </v>
      </c>
      <c r="H439" s="307"/>
      <c r="I439" s="309" t="e">
        <f t="shared" si="19"/>
        <v>#N/A</v>
      </c>
      <c r="J439" s="307"/>
      <c r="K439" s="307"/>
      <c r="L439" s="310"/>
      <c r="M439" s="310"/>
      <c r="N439" s="310"/>
      <c r="O439" s="310"/>
      <c r="P439" s="310"/>
      <c r="Q439" s="310"/>
      <c r="R439" s="310"/>
      <c r="S439" s="310"/>
      <c r="T439" s="310"/>
      <c r="U439" s="307"/>
      <c r="V439" s="307"/>
      <c r="W439" s="311"/>
      <c r="X439" s="307"/>
      <c r="Y439" s="307"/>
      <c r="Z439" s="307"/>
      <c r="AA439" s="307"/>
      <c r="AB439" s="311"/>
      <c r="AC439" s="307"/>
      <c r="AD439" s="307"/>
      <c r="AE439" s="307"/>
      <c r="AF439" s="307"/>
      <c r="AG439" s="310"/>
      <c r="AH439" s="307"/>
      <c r="AI439" s="310"/>
      <c r="AJ439" s="307"/>
      <c r="AK439" s="307"/>
      <c r="AL439" s="307"/>
      <c r="AM439" s="308"/>
      <c r="AN439" s="311"/>
      <c r="AO439" s="307"/>
      <c r="AP439" s="307"/>
      <c r="AQ439" s="308"/>
      <c r="AR439" s="307"/>
      <c r="AS439" s="307"/>
      <c r="AT439" s="307"/>
      <c r="AU439" s="310"/>
      <c r="AV439" s="308"/>
      <c r="AW439" s="312"/>
      <c r="AX439" s="308"/>
      <c r="AY439" s="307"/>
      <c r="AZ439" s="307"/>
      <c r="BA439" s="307"/>
      <c r="BB439" s="307"/>
      <c r="BC439" s="308"/>
      <c r="BD439" s="308"/>
      <c r="BE439" s="313"/>
      <c r="BF439" s="307"/>
      <c r="BG439" s="310"/>
      <c r="BH439" s="307"/>
      <c r="BI439" s="307"/>
      <c r="BJ439" s="310"/>
      <c r="BK439" s="307"/>
      <c r="BL439" s="307"/>
      <c r="BM439" s="310"/>
      <c r="BN439" s="307"/>
      <c r="BO439" s="310"/>
      <c r="BP439" s="307"/>
      <c r="BQ439" s="307"/>
      <c r="BR439" s="307"/>
      <c r="BS439" s="307"/>
      <c r="BT439" s="307"/>
      <c r="BU439" s="310"/>
      <c r="BV439" s="307"/>
      <c r="BW439" s="308"/>
      <c r="BX439" s="311"/>
      <c r="BY439" s="307"/>
      <c r="BZ439" s="307"/>
      <c r="CA439" s="310"/>
      <c r="CB439" s="307"/>
      <c r="CC439" s="307"/>
      <c r="CD439" s="307"/>
      <c r="CE439" s="308"/>
      <c r="CF439" s="308"/>
      <c r="CG439" s="307"/>
      <c r="CH439" s="307"/>
      <c r="CI439" s="307"/>
      <c r="CJ439" s="307"/>
      <c r="CK439" s="314"/>
      <c r="CL439" s="310"/>
      <c r="CM439" s="310"/>
      <c r="CN439" s="307"/>
      <c r="CO439" s="307"/>
      <c r="CP439" s="307"/>
      <c r="CQ439" s="315"/>
      <c r="CR439" s="315"/>
      <c r="CS439" s="315"/>
      <c r="CT439" s="315"/>
      <c r="CU439" s="307"/>
      <c r="CV439" s="217"/>
      <c r="CW439" s="192"/>
      <c r="CX439" s="192"/>
      <c r="CY439" s="192"/>
      <c r="CZ439" s="191"/>
      <c r="DA439" s="193"/>
      <c r="DB439" s="192"/>
      <c r="DC439" s="192"/>
      <c r="DD439" s="192"/>
      <c r="DE439" s="191"/>
      <c r="DF439" s="19"/>
      <c r="DG439" s="192"/>
      <c r="DH439" s="192"/>
      <c r="DI439" s="192"/>
      <c r="DJ439" s="191"/>
      <c r="DK439" s="193"/>
      <c r="DL439" s="192"/>
      <c r="DM439" s="192"/>
      <c r="DN439" s="192"/>
      <c r="DO439" s="191"/>
      <c r="DP439" s="19"/>
      <c r="DQ439" s="192"/>
      <c r="DR439" s="192"/>
      <c r="DS439" s="192"/>
      <c r="DT439" s="191"/>
      <c r="DU439" s="193"/>
      <c r="DV439" s="192"/>
      <c r="DW439" s="192"/>
      <c r="DX439" s="192"/>
      <c r="DY439" s="191"/>
      <c r="DZ439" s="19"/>
      <c r="EA439" s="192"/>
      <c r="EB439" s="192"/>
      <c r="EC439" s="192"/>
      <c r="ED439" s="191"/>
      <c r="EE439" s="193"/>
      <c r="EF439" s="192"/>
      <c r="EG439" s="192"/>
      <c r="EH439" s="192"/>
      <c r="EI439" s="191"/>
      <c r="EJ439" s="19"/>
      <c r="EK439" s="192"/>
      <c r="EL439" s="192"/>
      <c r="EM439" s="192"/>
      <c r="EN439" s="191"/>
      <c r="EO439" s="193"/>
      <c r="EP439" s="192"/>
      <c r="EQ439" s="192"/>
      <c r="ER439" s="192"/>
      <c r="ES439" s="191"/>
      <c r="ET439" s="19"/>
      <c r="EU439" s="192"/>
      <c r="EV439" s="192"/>
      <c r="EW439" s="192"/>
      <c r="EX439" s="191"/>
      <c r="EY439" s="193"/>
      <c r="EZ439" s="192"/>
      <c r="FA439" s="192"/>
      <c r="FB439" s="192"/>
      <c r="FC439" s="191"/>
      <c r="FL439" s="273">
        <f t="shared" ca="1" si="20"/>
        <v>116</v>
      </c>
    </row>
    <row r="440" spans="1:168" ht="16.5" thickBot="1">
      <c r="A440" s="196">
        <v>437</v>
      </c>
      <c r="B440" s="306"/>
      <c r="C440" s="310"/>
      <c r="D440" s="307" t="s">
        <v>271</v>
      </c>
      <c r="E440" s="307" t="s">
        <v>271</v>
      </c>
      <c r="F440" s="308"/>
      <c r="G440" s="343" t="str">
        <f t="shared" si="18"/>
        <v xml:space="preserve"> </v>
      </c>
      <c r="H440" s="307"/>
      <c r="I440" s="309" t="e">
        <f t="shared" si="19"/>
        <v>#N/A</v>
      </c>
      <c r="J440" s="307"/>
      <c r="K440" s="307"/>
      <c r="L440" s="310"/>
      <c r="M440" s="310"/>
      <c r="N440" s="310"/>
      <c r="O440" s="310"/>
      <c r="P440" s="310"/>
      <c r="Q440" s="310"/>
      <c r="R440" s="310"/>
      <c r="S440" s="310"/>
      <c r="T440" s="310"/>
      <c r="U440" s="307"/>
      <c r="V440" s="307"/>
      <c r="W440" s="311"/>
      <c r="X440" s="307"/>
      <c r="Y440" s="307"/>
      <c r="Z440" s="307"/>
      <c r="AA440" s="307"/>
      <c r="AB440" s="311"/>
      <c r="AC440" s="307"/>
      <c r="AD440" s="307"/>
      <c r="AE440" s="307"/>
      <c r="AF440" s="307"/>
      <c r="AG440" s="310"/>
      <c r="AH440" s="307"/>
      <c r="AI440" s="310"/>
      <c r="AJ440" s="307"/>
      <c r="AK440" s="307"/>
      <c r="AL440" s="307"/>
      <c r="AM440" s="308"/>
      <c r="AN440" s="311"/>
      <c r="AO440" s="307"/>
      <c r="AP440" s="307"/>
      <c r="AQ440" s="308"/>
      <c r="AR440" s="307"/>
      <c r="AS440" s="307"/>
      <c r="AT440" s="307"/>
      <c r="AU440" s="310"/>
      <c r="AV440" s="308"/>
      <c r="AW440" s="312"/>
      <c r="AX440" s="308"/>
      <c r="AY440" s="307"/>
      <c r="AZ440" s="307"/>
      <c r="BA440" s="307"/>
      <c r="BB440" s="307"/>
      <c r="BC440" s="308"/>
      <c r="BD440" s="308"/>
      <c r="BE440" s="313"/>
      <c r="BF440" s="307"/>
      <c r="BG440" s="310"/>
      <c r="BH440" s="307"/>
      <c r="BI440" s="307"/>
      <c r="BJ440" s="310"/>
      <c r="BK440" s="307"/>
      <c r="BL440" s="307"/>
      <c r="BM440" s="310"/>
      <c r="BN440" s="307"/>
      <c r="BO440" s="310"/>
      <c r="BP440" s="307"/>
      <c r="BQ440" s="307"/>
      <c r="BR440" s="307"/>
      <c r="BS440" s="307"/>
      <c r="BT440" s="307"/>
      <c r="BU440" s="310"/>
      <c r="BV440" s="307"/>
      <c r="BW440" s="308"/>
      <c r="BX440" s="311"/>
      <c r="BY440" s="307"/>
      <c r="BZ440" s="307"/>
      <c r="CA440" s="310"/>
      <c r="CB440" s="307"/>
      <c r="CC440" s="307"/>
      <c r="CD440" s="307"/>
      <c r="CE440" s="308"/>
      <c r="CF440" s="308"/>
      <c r="CG440" s="307"/>
      <c r="CH440" s="307"/>
      <c r="CI440" s="307"/>
      <c r="CJ440" s="307"/>
      <c r="CK440" s="314"/>
      <c r="CL440" s="310"/>
      <c r="CM440" s="310"/>
      <c r="CN440" s="307"/>
      <c r="CO440" s="307"/>
      <c r="CP440" s="307"/>
      <c r="CQ440" s="315"/>
      <c r="CR440" s="315"/>
      <c r="CS440" s="315"/>
      <c r="CT440" s="315"/>
      <c r="CU440" s="307"/>
      <c r="CV440" s="217"/>
      <c r="CW440" s="192"/>
      <c r="CX440" s="192"/>
      <c r="CY440" s="192"/>
      <c r="CZ440" s="191"/>
      <c r="DA440" s="193"/>
      <c r="DB440" s="192"/>
      <c r="DC440" s="192"/>
      <c r="DD440" s="192"/>
      <c r="DE440" s="191"/>
      <c r="DF440" s="19"/>
      <c r="DG440" s="192"/>
      <c r="DH440" s="192"/>
      <c r="DI440" s="192"/>
      <c r="DJ440" s="191"/>
      <c r="DK440" s="193"/>
      <c r="DL440" s="192"/>
      <c r="DM440" s="192"/>
      <c r="DN440" s="192"/>
      <c r="DO440" s="191"/>
      <c r="DP440" s="19"/>
      <c r="DQ440" s="192"/>
      <c r="DR440" s="192"/>
      <c r="DS440" s="192"/>
      <c r="DT440" s="191"/>
      <c r="DU440" s="193"/>
      <c r="DV440" s="192"/>
      <c r="DW440" s="192"/>
      <c r="DX440" s="192"/>
      <c r="DY440" s="191"/>
      <c r="DZ440" s="19"/>
      <c r="EA440" s="192"/>
      <c r="EB440" s="192"/>
      <c r="EC440" s="192"/>
      <c r="ED440" s="191"/>
      <c r="EE440" s="193"/>
      <c r="EF440" s="192"/>
      <c r="EG440" s="192"/>
      <c r="EH440" s="192"/>
      <c r="EI440" s="191"/>
      <c r="EJ440" s="19"/>
      <c r="EK440" s="192"/>
      <c r="EL440" s="192"/>
      <c r="EM440" s="192"/>
      <c r="EN440" s="191"/>
      <c r="EO440" s="193"/>
      <c r="EP440" s="192"/>
      <c r="EQ440" s="192"/>
      <c r="ER440" s="192"/>
      <c r="ES440" s="191"/>
      <c r="ET440" s="19"/>
      <c r="EU440" s="192"/>
      <c r="EV440" s="192"/>
      <c r="EW440" s="192"/>
      <c r="EX440" s="191"/>
      <c r="EY440" s="193"/>
      <c r="EZ440" s="192"/>
      <c r="FA440" s="192"/>
      <c r="FB440" s="192"/>
      <c r="FC440" s="191"/>
      <c r="FL440" s="273">
        <f t="shared" ca="1" si="20"/>
        <v>116</v>
      </c>
    </row>
    <row r="441" spans="1:168" ht="16.5" thickBot="1">
      <c r="A441" s="199">
        <v>438</v>
      </c>
      <c r="B441" s="306"/>
      <c r="C441" s="310"/>
      <c r="D441" s="307" t="s">
        <v>271</v>
      </c>
      <c r="E441" s="307" t="s">
        <v>271</v>
      </c>
      <c r="F441" s="308"/>
      <c r="G441" s="343" t="str">
        <f t="shared" si="18"/>
        <v xml:space="preserve"> </v>
      </c>
      <c r="H441" s="307"/>
      <c r="I441" s="309" t="e">
        <f t="shared" si="19"/>
        <v>#N/A</v>
      </c>
      <c r="J441" s="307"/>
      <c r="K441" s="307"/>
      <c r="L441" s="310"/>
      <c r="M441" s="310"/>
      <c r="N441" s="310"/>
      <c r="O441" s="310"/>
      <c r="P441" s="310"/>
      <c r="Q441" s="310"/>
      <c r="R441" s="310"/>
      <c r="S441" s="310"/>
      <c r="T441" s="310"/>
      <c r="U441" s="307"/>
      <c r="V441" s="307"/>
      <c r="W441" s="311"/>
      <c r="X441" s="307"/>
      <c r="Y441" s="307"/>
      <c r="Z441" s="307"/>
      <c r="AA441" s="307"/>
      <c r="AB441" s="311"/>
      <c r="AC441" s="307"/>
      <c r="AD441" s="307"/>
      <c r="AE441" s="307"/>
      <c r="AF441" s="307"/>
      <c r="AG441" s="310"/>
      <c r="AH441" s="307"/>
      <c r="AI441" s="310"/>
      <c r="AJ441" s="307"/>
      <c r="AK441" s="307"/>
      <c r="AL441" s="307"/>
      <c r="AM441" s="308"/>
      <c r="AN441" s="311"/>
      <c r="AO441" s="307"/>
      <c r="AP441" s="307"/>
      <c r="AQ441" s="308"/>
      <c r="AR441" s="307"/>
      <c r="AS441" s="307"/>
      <c r="AT441" s="307"/>
      <c r="AU441" s="310"/>
      <c r="AV441" s="308"/>
      <c r="AW441" s="312"/>
      <c r="AX441" s="308"/>
      <c r="AY441" s="307"/>
      <c r="AZ441" s="307"/>
      <c r="BA441" s="307"/>
      <c r="BB441" s="307"/>
      <c r="BC441" s="308"/>
      <c r="BD441" s="308"/>
      <c r="BE441" s="313"/>
      <c r="BF441" s="307"/>
      <c r="BG441" s="310"/>
      <c r="BH441" s="307"/>
      <c r="BI441" s="307"/>
      <c r="BJ441" s="310"/>
      <c r="BK441" s="307"/>
      <c r="BL441" s="307"/>
      <c r="BM441" s="310"/>
      <c r="BN441" s="307"/>
      <c r="BO441" s="310"/>
      <c r="BP441" s="307"/>
      <c r="BQ441" s="307"/>
      <c r="BR441" s="307"/>
      <c r="BS441" s="307"/>
      <c r="BT441" s="307"/>
      <c r="BU441" s="310"/>
      <c r="BV441" s="307"/>
      <c r="BW441" s="308"/>
      <c r="BX441" s="311"/>
      <c r="BY441" s="307"/>
      <c r="BZ441" s="307"/>
      <c r="CA441" s="310"/>
      <c r="CB441" s="307"/>
      <c r="CC441" s="307"/>
      <c r="CD441" s="307"/>
      <c r="CE441" s="308"/>
      <c r="CF441" s="308"/>
      <c r="CG441" s="307"/>
      <c r="CH441" s="307"/>
      <c r="CI441" s="307"/>
      <c r="CJ441" s="307"/>
      <c r="CK441" s="314"/>
      <c r="CL441" s="310"/>
      <c r="CM441" s="310"/>
      <c r="CN441" s="307"/>
      <c r="CO441" s="307"/>
      <c r="CP441" s="307"/>
      <c r="CQ441" s="315"/>
      <c r="CR441" s="315"/>
      <c r="CS441" s="315"/>
      <c r="CT441" s="315"/>
      <c r="CU441" s="307"/>
      <c r="CV441" s="217"/>
      <c r="CW441" s="192"/>
      <c r="CX441" s="192"/>
      <c r="CY441" s="192"/>
      <c r="CZ441" s="191"/>
      <c r="DA441" s="193"/>
      <c r="DB441" s="192"/>
      <c r="DC441" s="192"/>
      <c r="DD441" s="192"/>
      <c r="DE441" s="191"/>
      <c r="DF441" s="19"/>
      <c r="DG441" s="192"/>
      <c r="DH441" s="192"/>
      <c r="DI441" s="192"/>
      <c r="DJ441" s="191"/>
      <c r="DK441" s="193"/>
      <c r="DL441" s="192"/>
      <c r="DM441" s="192"/>
      <c r="DN441" s="192"/>
      <c r="DO441" s="191"/>
      <c r="DP441" s="19"/>
      <c r="DQ441" s="192"/>
      <c r="DR441" s="192"/>
      <c r="DS441" s="192"/>
      <c r="DT441" s="191"/>
      <c r="DU441" s="193"/>
      <c r="DV441" s="192"/>
      <c r="DW441" s="192"/>
      <c r="DX441" s="192"/>
      <c r="DY441" s="191"/>
      <c r="DZ441" s="19"/>
      <c r="EA441" s="192"/>
      <c r="EB441" s="192"/>
      <c r="EC441" s="192"/>
      <c r="ED441" s="191"/>
      <c r="EE441" s="193"/>
      <c r="EF441" s="192"/>
      <c r="EG441" s="192"/>
      <c r="EH441" s="192"/>
      <c r="EI441" s="191"/>
      <c r="EJ441" s="19"/>
      <c r="EK441" s="192"/>
      <c r="EL441" s="192"/>
      <c r="EM441" s="192"/>
      <c r="EN441" s="191"/>
      <c r="EO441" s="193"/>
      <c r="EP441" s="192"/>
      <c r="EQ441" s="192"/>
      <c r="ER441" s="192"/>
      <c r="ES441" s="191"/>
      <c r="ET441" s="19"/>
      <c r="EU441" s="192"/>
      <c r="EV441" s="192"/>
      <c r="EW441" s="192"/>
      <c r="EX441" s="191"/>
      <c r="EY441" s="193"/>
      <c r="EZ441" s="192"/>
      <c r="FA441" s="192"/>
      <c r="FB441" s="192"/>
      <c r="FC441" s="191"/>
      <c r="FL441" s="273">
        <f t="shared" ca="1" si="20"/>
        <v>116</v>
      </c>
    </row>
    <row r="442" spans="1:168" ht="16.5" thickBot="1">
      <c r="A442" s="196">
        <v>439</v>
      </c>
      <c r="B442" s="306"/>
      <c r="C442" s="310"/>
      <c r="D442" s="307" t="s">
        <v>271</v>
      </c>
      <c r="E442" s="307" t="s">
        <v>271</v>
      </c>
      <c r="F442" s="308"/>
      <c r="G442" s="343" t="str">
        <f t="shared" si="18"/>
        <v xml:space="preserve"> </v>
      </c>
      <c r="H442" s="307"/>
      <c r="I442" s="309" t="e">
        <f t="shared" si="19"/>
        <v>#N/A</v>
      </c>
      <c r="J442" s="307"/>
      <c r="K442" s="307"/>
      <c r="L442" s="310"/>
      <c r="M442" s="310"/>
      <c r="N442" s="310"/>
      <c r="O442" s="310"/>
      <c r="P442" s="310"/>
      <c r="Q442" s="310"/>
      <c r="R442" s="310"/>
      <c r="S442" s="310"/>
      <c r="T442" s="310"/>
      <c r="U442" s="307"/>
      <c r="V442" s="307"/>
      <c r="W442" s="311"/>
      <c r="X442" s="307"/>
      <c r="Y442" s="307"/>
      <c r="Z442" s="307"/>
      <c r="AA442" s="307"/>
      <c r="AB442" s="311"/>
      <c r="AC442" s="307"/>
      <c r="AD442" s="307"/>
      <c r="AE442" s="307"/>
      <c r="AF442" s="307"/>
      <c r="AG442" s="310"/>
      <c r="AH442" s="307"/>
      <c r="AI442" s="310"/>
      <c r="AJ442" s="307"/>
      <c r="AK442" s="307"/>
      <c r="AL442" s="307"/>
      <c r="AM442" s="308"/>
      <c r="AN442" s="311"/>
      <c r="AO442" s="307"/>
      <c r="AP442" s="307"/>
      <c r="AQ442" s="308"/>
      <c r="AR442" s="307"/>
      <c r="AS442" s="307"/>
      <c r="AT442" s="307"/>
      <c r="AU442" s="310"/>
      <c r="AV442" s="308"/>
      <c r="AW442" s="312"/>
      <c r="AX442" s="308"/>
      <c r="AY442" s="307"/>
      <c r="AZ442" s="307"/>
      <c r="BA442" s="307"/>
      <c r="BB442" s="307"/>
      <c r="BC442" s="308"/>
      <c r="BD442" s="308"/>
      <c r="BE442" s="313"/>
      <c r="BF442" s="307"/>
      <c r="BG442" s="310"/>
      <c r="BH442" s="307"/>
      <c r="BI442" s="307"/>
      <c r="BJ442" s="310"/>
      <c r="BK442" s="307"/>
      <c r="BL442" s="307"/>
      <c r="BM442" s="310"/>
      <c r="BN442" s="307"/>
      <c r="BO442" s="310"/>
      <c r="BP442" s="307"/>
      <c r="BQ442" s="307"/>
      <c r="BR442" s="307"/>
      <c r="BS442" s="307"/>
      <c r="BT442" s="307"/>
      <c r="BU442" s="310"/>
      <c r="BV442" s="307"/>
      <c r="BW442" s="308"/>
      <c r="BX442" s="311"/>
      <c r="BY442" s="307"/>
      <c r="BZ442" s="307"/>
      <c r="CA442" s="310"/>
      <c r="CB442" s="307"/>
      <c r="CC442" s="307"/>
      <c r="CD442" s="307"/>
      <c r="CE442" s="308"/>
      <c r="CF442" s="308"/>
      <c r="CG442" s="307"/>
      <c r="CH442" s="307"/>
      <c r="CI442" s="307"/>
      <c r="CJ442" s="307"/>
      <c r="CK442" s="314"/>
      <c r="CL442" s="310"/>
      <c r="CM442" s="310"/>
      <c r="CN442" s="307"/>
      <c r="CO442" s="307"/>
      <c r="CP442" s="307"/>
      <c r="CQ442" s="315"/>
      <c r="CR442" s="315"/>
      <c r="CS442" s="315"/>
      <c r="CT442" s="315"/>
      <c r="CU442" s="307"/>
      <c r="CV442" s="217"/>
      <c r="CW442" s="192"/>
      <c r="CX442" s="192"/>
      <c r="CY442" s="192"/>
      <c r="CZ442" s="191"/>
      <c r="DA442" s="193"/>
      <c r="DB442" s="192"/>
      <c r="DC442" s="192"/>
      <c r="DD442" s="192"/>
      <c r="DE442" s="191"/>
      <c r="DF442" s="19"/>
      <c r="DG442" s="192"/>
      <c r="DH442" s="192"/>
      <c r="DI442" s="192"/>
      <c r="DJ442" s="191"/>
      <c r="DK442" s="193"/>
      <c r="DL442" s="192"/>
      <c r="DM442" s="192"/>
      <c r="DN442" s="192"/>
      <c r="DO442" s="191"/>
      <c r="DP442" s="19"/>
      <c r="DQ442" s="192"/>
      <c r="DR442" s="192"/>
      <c r="DS442" s="192"/>
      <c r="DT442" s="191"/>
      <c r="DU442" s="193"/>
      <c r="DV442" s="192"/>
      <c r="DW442" s="192"/>
      <c r="DX442" s="192"/>
      <c r="DY442" s="191"/>
      <c r="DZ442" s="19"/>
      <c r="EA442" s="192"/>
      <c r="EB442" s="192"/>
      <c r="EC442" s="192"/>
      <c r="ED442" s="191"/>
      <c r="EE442" s="193"/>
      <c r="EF442" s="192"/>
      <c r="EG442" s="192"/>
      <c r="EH442" s="192"/>
      <c r="EI442" s="191"/>
      <c r="EJ442" s="19"/>
      <c r="EK442" s="192"/>
      <c r="EL442" s="192"/>
      <c r="EM442" s="192"/>
      <c r="EN442" s="191"/>
      <c r="EO442" s="193"/>
      <c r="EP442" s="192"/>
      <c r="EQ442" s="192"/>
      <c r="ER442" s="192"/>
      <c r="ES442" s="191"/>
      <c r="ET442" s="19"/>
      <c r="EU442" s="192"/>
      <c r="EV442" s="192"/>
      <c r="EW442" s="192"/>
      <c r="EX442" s="191"/>
      <c r="EY442" s="193"/>
      <c r="EZ442" s="192"/>
      <c r="FA442" s="192"/>
      <c r="FB442" s="192"/>
      <c r="FC442" s="191"/>
      <c r="FL442" s="273">
        <f t="shared" ca="1" si="20"/>
        <v>116</v>
      </c>
    </row>
    <row r="443" spans="1:168" ht="16.5" thickBot="1">
      <c r="A443" s="199">
        <v>440</v>
      </c>
      <c r="B443" s="306"/>
      <c r="C443" s="310"/>
      <c r="D443" s="307" t="s">
        <v>271</v>
      </c>
      <c r="E443" s="307" t="s">
        <v>271</v>
      </c>
      <c r="F443" s="308"/>
      <c r="G443" s="343" t="str">
        <f t="shared" si="18"/>
        <v xml:space="preserve"> </v>
      </c>
      <c r="H443" s="307"/>
      <c r="I443" s="309" t="e">
        <f t="shared" si="19"/>
        <v>#N/A</v>
      </c>
      <c r="J443" s="307"/>
      <c r="K443" s="307"/>
      <c r="L443" s="310"/>
      <c r="M443" s="310"/>
      <c r="N443" s="310"/>
      <c r="O443" s="310"/>
      <c r="P443" s="310"/>
      <c r="Q443" s="310"/>
      <c r="R443" s="310"/>
      <c r="S443" s="310"/>
      <c r="T443" s="310"/>
      <c r="U443" s="307"/>
      <c r="V443" s="307"/>
      <c r="W443" s="311"/>
      <c r="X443" s="307"/>
      <c r="Y443" s="307"/>
      <c r="Z443" s="307"/>
      <c r="AA443" s="307"/>
      <c r="AB443" s="311"/>
      <c r="AC443" s="307"/>
      <c r="AD443" s="307"/>
      <c r="AE443" s="307"/>
      <c r="AF443" s="307"/>
      <c r="AG443" s="310"/>
      <c r="AH443" s="307"/>
      <c r="AI443" s="310"/>
      <c r="AJ443" s="307"/>
      <c r="AK443" s="307"/>
      <c r="AL443" s="307"/>
      <c r="AM443" s="308"/>
      <c r="AN443" s="311"/>
      <c r="AO443" s="307"/>
      <c r="AP443" s="307"/>
      <c r="AQ443" s="308"/>
      <c r="AR443" s="307"/>
      <c r="AS443" s="307"/>
      <c r="AT443" s="307"/>
      <c r="AU443" s="310"/>
      <c r="AV443" s="308"/>
      <c r="AW443" s="312"/>
      <c r="AX443" s="308"/>
      <c r="AY443" s="307"/>
      <c r="AZ443" s="307"/>
      <c r="BA443" s="307"/>
      <c r="BB443" s="307"/>
      <c r="BC443" s="308"/>
      <c r="BD443" s="308"/>
      <c r="BE443" s="313"/>
      <c r="BF443" s="307"/>
      <c r="BG443" s="310"/>
      <c r="BH443" s="307"/>
      <c r="BI443" s="307"/>
      <c r="BJ443" s="310"/>
      <c r="BK443" s="307"/>
      <c r="BL443" s="307"/>
      <c r="BM443" s="310"/>
      <c r="BN443" s="307"/>
      <c r="BO443" s="310"/>
      <c r="BP443" s="307"/>
      <c r="BQ443" s="307"/>
      <c r="BR443" s="307"/>
      <c r="BS443" s="307"/>
      <c r="BT443" s="307"/>
      <c r="BU443" s="310"/>
      <c r="BV443" s="307"/>
      <c r="BW443" s="308"/>
      <c r="BX443" s="311"/>
      <c r="BY443" s="307"/>
      <c r="BZ443" s="307"/>
      <c r="CA443" s="310"/>
      <c r="CB443" s="307"/>
      <c r="CC443" s="307"/>
      <c r="CD443" s="307"/>
      <c r="CE443" s="308"/>
      <c r="CF443" s="308"/>
      <c r="CG443" s="307"/>
      <c r="CH443" s="307"/>
      <c r="CI443" s="307"/>
      <c r="CJ443" s="307"/>
      <c r="CK443" s="314"/>
      <c r="CL443" s="310"/>
      <c r="CM443" s="310"/>
      <c r="CN443" s="307"/>
      <c r="CO443" s="307"/>
      <c r="CP443" s="307"/>
      <c r="CQ443" s="315"/>
      <c r="CR443" s="315"/>
      <c r="CS443" s="315"/>
      <c r="CT443" s="315"/>
      <c r="CU443" s="307"/>
      <c r="CV443" s="217"/>
      <c r="CW443" s="192"/>
      <c r="CX443" s="192"/>
      <c r="CY443" s="192"/>
      <c r="CZ443" s="191"/>
      <c r="DA443" s="193"/>
      <c r="DB443" s="192"/>
      <c r="DC443" s="192"/>
      <c r="DD443" s="192"/>
      <c r="DE443" s="191"/>
      <c r="DF443" s="19"/>
      <c r="DG443" s="192"/>
      <c r="DH443" s="192"/>
      <c r="DI443" s="192"/>
      <c r="DJ443" s="191"/>
      <c r="DK443" s="193"/>
      <c r="DL443" s="192"/>
      <c r="DM443" s="192"/>
      <c r="DN443" s="192"/>
      <c r="DO443" s="191"/>
      <c r="DP443" s="19"/>
      <c r="DQ443" s="192"/>
      <c r="DR443" s="192"/>
      <c r="DS443" s="192"/>
      <c r="DT443" s="191"/>
      <c r="DU443" s="193"/>
      <c r="DV443" s="192"/>
      <c r="DW443" s="192"/>
      <c r="DX443" s="192"/>
      <c r="DY443" s="191"/>
      <c r="DZ443" s="19"/>
      <c r="EA443" s="192"/>
      <c r="EB443" s="192"/>
      <c r="EC443" s="192"/>
      <c r="ED443" s="191"/>
      <c r="EE443" s="193"/>
      <c r="EF443" s="192"/>
      <c r="EG443" s="192"/>
      <c r="EH443" s="192"/>
      <c r="EI443" s="191"/>
      <c r="EJ443" s="19"/>
      <c r="EK443" s="192"/>
      <c r="EL443" s="192"/>
      <c r="EM443" s="192"/>
      <c r="EN443" s="191"/>
      <c r="EO443" s="193"/>
      <c r="EP443" s="192"/>
      <c r="EQ443" s="192"/>
      <c r="ER443" s="192"/>
      <c r="ES443" s="191"/>
      <c r="ET443" s="19"/>
      <c r="EU443" s="192"/>
      <c r="EV443" s="192"/>
      <c r="EW443" s="192"/>
      <c r="EX443" s="191"/>
      <c r="EY443" s="193"/>
      <c r="EZ443" s="192"/>
      <c r="FA443" s="192"/>
      <c r="FB443" s="192"/>
      <c r="FC443" s="191"/>
      <c r="FL443" s="273">
        <f t="shared" ca="1" si="20"/>
        <v>116</v>
      </c>
    </row>
    <row r="444" spans="1:168" ht="16.5" thickBot="1">
      <c r="A444" s="196">
        <v>441</v>
      </c>
      <c r="B444" s="306"/>
      <c r="C444" s="310"/>
      <c r="D444" s="307" t="s">
        <v>271</v>
      </c>
      <c r="E444" s="307" t="s">
        <v>271</v>
      </c>
      <c r="F444" s="308"/>
      <c r="G444" s="343" t="str">
        <f t="shared" si="18"/>
        <v xml:space="preserve"> </v>
      </c>
      <c r="H444" s="307"/>
      <c r="I444" s="309" t="e">
        <f t="shared" si="19"/>
        <v>#N/A</v>
      </c>
      <c r="J444" s="307"/>
      <c r="K444" s="307"/>
      <c r="L444" s="310"/>
      <c r="M444" s="310"/>
      <c r="N444" s="310"/>
      <c r="O444" s="310"/>
      <c r="P444" s="310"/>
      <c r="Q444" s="310"/>
      <c r="R444" s="310"/>
      <c r="S444" s="310"/>
      <c r="T444" s="310"/>
      <c r="U444" s="307"/>
      <c r="V444" s="307"/>
      <c r="W444" s="311"/>
      <c r="X444" s="307"/>
      <c r="Y444" s="307"/>
      <c r="Z444" s="307"/>
      <c r="AA444" s="307"/>
      <c r="AB444" s="311"/>
      <c r="AC444" s="307"/>
      <c r="AD444" s="307"/>
      <c r="AE444" s="307"/>
      <c r="AF444" s="307"/>
      <c r="AG444" s="310"/>
      <c r="AH444" s="307"/>
      <c r="AI444" s="310"/>
      <c r="AJ444" s="307"/>
      <c r="AK444" s="307"/>
      <c r="AL444" s="307"/>
      <c r="AM444" s="308"/>
      <c r="AN444" s="311"/>
      <c r="AO444" s="307"/>
      <c r="AP444" s="307"/>
      <c r="AQ444" s="308"/>
      <c r="AR444" s="307"/>
      <c r="AS444" s="307"/>
      <c r="AT444" s="307"/>
      <c r="AU444" s="310"/>
      <c r="AV444" s="308"/>
      <c r="AW444" s="312"/>
      <c r="AX444" s="308"/>
      <c r="AY444" s="307"/>
      <c r="AZ444" s="307"/>
      <c r="BA444" s="307"/>
      <c r="BB444" s="307"/>
      <c r="BC444" s="308"/>
      <c r="BD444" s="308"/>
      <c r="BE444" s="313"/>
      <c r="BF444" s="307"/>
      <c r="BG444" s="310"/>
      <c r="BH444" s="307"/>
      <c r="BI444" s="307"/>
      <c r="BJ444" s="310"/>
      <c r="BK444" s="307"/>
      <c r="BL444" s="307"/>
      <c r="BM444" s="310"/>
      <c r="BN444" s="307"/>
      <c r="BO444" s="310"/>
      <c r="BP444" s="307"/>
      <c r="BQ444" s="307"/>
      <c r="BR444" s="307"/>
      <c r="BS444" s="307"/>
      <c r="BT444" s="307"/>
      <c r="BU444" s="310"/>
      <c r="BV444" s="307"/>
      <c r="BW444" s="308"/>
      <c r="BX444" s="311"/>
      <c r="BY444" s="307"/>
      <c r="BZ444" s="307"/>
      <c r="CA444" s="310"/>
      <c r="CB444" s="307"/>
      <c r="CC444" s="307"/>
      <c r="CD444" s="307"/>
      <c r="CE444" s="308"/>
      <c r="CF444" s="308"/>
      <c r="CG444" s="307"/>
      <c r="CH444" s="307"/>
      <c r="CI444" s="307"/>
      <c r="CJ444" s="307"/>
      <c r="CK444" s="314"/>
      <c r="CL444" s="310"/>
      <c r="CM444" s="310"/>
      <c r="CN444" s="307"/>
      <c r="CO444" s="307"/>
      <c r="CP444" s="307"/>
      <c r="CQ444" s="315"/>
      <c r="CR444" s="315"/>
      <c r="CS444" s="315"/>
      <c r="CT444" s="315"/>
      <c r="CU444" s="307"/>
      <c r="CV444" s="217"/>
      <c r="CW444" s="192"/>
      <c r="CX444" s="192"/>
      <c r="CY444" s="192"/>
      <c r="CZ444" s="191"/>
      <c r="DA444" s="193"/>
      <c r="DB444" s="192"/>
      <c r="DC444" s="192"/>
      <c r="DD444" s="192"/>
      <c r="DE444" s="191"/>
      <c r="DF444" s="19"/>
      <c r="DG444" s="192"/>
      <c r="DH444" s="192"/>
      <c r="DI444" s="192"/>
      <c r="DJ444" s="191"/>
      <c r="DK444" s="193"/>
      <c r="DL444" s="192"/>
      <c r="DM444" s="192"/>
      <c r="DN444" s="192"/>
      <c r="DO444" s="191"/>
      <c r="DP444" s="19"/>
      <c r="DQ444" s="192"/>
      <c r="DR444" s="192"/>
      <c r="DS444" s="192"/>
      <c r="DT444" s="191"/>
      <c r="DU444" s="193"/>
      <c r="DV444" s="192"/>
      <c r="DW444" s="192"/>
      <c r="DX444" s="192"/>
      <c r="DY444" s="191"/>
      <c r="DZ444" s="19"/>
      <c r="EA444" s="192"/>
      <c r="EB444" s="192"/>
      <c r="EC444" s="192"/>
      <c r="ED444" s="191"/>
      <c r="EE444" s="193"/>
      <c r="EF444" s="192"/>
      <c r="EG444" s="192"/>
      <c r="EH444" s="192"/>
      <c r="EI444" s="191"/>
      <c r="EJ444" s="19"/>
      <c r="EK444" s="192"/>
      <c r="EL444" s="192"/>
      <c r="EM444" s="192"/>
      <c r="EN444" s="191"/>
      <c r="EO444" s="193"/>
      <c r="EP444" s="192"/>
      <c r="EQ444" s="192"/>
      <c r="ER444" s="192"/>
      <c r="ES444" s="191"/>
      <c r="ET444" s="19"/>
      <c r="EU444" s="192"/>
      <c r="EV444" s="192"/>
      <c r="EW444" s="192"/>
      <c r="EX444" s="191"/>
      <c r="EY444" s="193"/>
      <c r="EZ444" s="192"/>
      <c r="FA444" s="192"/>
      <c r="FB444" s="192"/>
      <c r="FC444" s="191"/>
      <c r="FL444" s="273">
        <f t="shared" ca="1" si="20"/>
        <v>116</v>
      </c>
    </row>
    <row r="445" spans="1:168" ht="16.5" thickBot="1">
      <c r="A445" s="199">
        <v>442</v>
      </c>
      <c r="B445" s="306"/>
      <c r="C445" s="310"/>
      <c r="D445" s="307" t="s">
        <v>271</v>
      </c>
      <c r="E445" s="307" t="s">
        <v>271</v>
      </c>
      <c r="F445" s="308"/>
      <c r="G445" s="343" t="str">
        <f t="shared" si="18"/>
        <v xml:space="preserve"> </v>
      </c>
      <c r="H445" s="307"/>
      <c r="I445" s="309" t="e">
        <f t="shared" si="19"/>
        <v>#N/A</v>
      </c>
      <c r="J445" s="307"/>
      <c r="K445" s="307"/>
      <c r="L445" s="310"/>
      <c r="M445" s="310"/>
      <c r="N445" s="310"/>
      <c r="O445" s="310"/>
      <c r="P445" s="310"/>
      <c r="Q445" s="310"/>
      <c r="R445" s="310"/>
      <c r="S445" s="310"/>
      <c r="T445" s="310"/>
      <c r="U445" s="307"/>
      <c r="V445" s="307"/>
      <c r="W445" s="311"/>
      <c r="X445" s="307"/>
      <c r="Y445" s="307"/>
      <c r="Z445" s="307"/>
      <c r="AA445" s="307"/>
      <c r="AB445" s="311"/>
      <c r="AC445" s="307"/>
      <c r="AD445" s="307"/>
      <c r="AE445" s="307"/>
      <c r="AF445" s="307"/>
      <c r="AG445" s="310"/>
      <c r="AH445" s="307"/>
      <c r="AI445" s="310"/>
      <c r="AJ445" s="307"/>
      <c r="AK445" s="307"/>
      <c r="AL445" s="307"/>
      <c r="AM445" s="308"/>
      <c r="AN445" s="311"/>
      <c r="AO445" s="307"/>
      <c r="AP445" s="307"/>
      <c r="AQ445" s="308"/>
      <c r="AR445" s="307"/>
      <c r="AS445" s="307"/>
      <c r="AT445" s="307"/>
      <c r="AU445" s="310"/>
      <c r="AV445" s="308"/>
      <c r="AW445" s="312"/>
      <c r="AX445" s="308"/>
      <c r="AY445" s="307"/>
      <c r="AZ445" s="307"/>
      <c r="BA445" s="307"/>
      <c r="BB445" s="307"/>
      <c r="BC445" s="308"/>
      <c r="BD445" s="308"/>
      <c r="BE445" s="313"/>
      <c r="BF445" s="307"/>
      <c r="BG445" s="310"/>
      <c r="BH445" s="307"/>
      <c r="BI445" s="307"/>
      <c r="BJ445" s="310"/>
      <c r="BK445" s="307"/>
      <c r="BL445" s="307"/>
      <c r="BM445" s="310"/>
      <c r="BN445" s="307"/>
      <c r="BO445" s="310"/>
      <c r="BP445" s="307"/>
      <c r="BQ445" s="307"/>
      <c r="BR445" s="307"/>
      <c r="BS445" s="307"/>
      <c r="BT445" s="307"/>
      <c r="BU445" s="310"/>
      <c r="BV445" s="307"/>
      <c r="BW445" s="308"/>
      <c r="BX445" s="311"/>
      <c r="BY445" s="307"/>
      <c r="BZ445" s="307"/>
      <c r="CA445" s="310"/>
      <c r="CB445" s="307"/>
      <c r="CC445" s="307"/>
      <c r="CD445" s="307"/>
      <c r="CE445" s="308"/>
      <c r="CF445" s="308"/>
      <c r="CG445" s="307"/>
      <c r="CH445" s="307"/>
      <c r="CI445" s="307"/>
      <c r="CJ445" s="307"/>
      <c r="CK445" s="314"/>
      <c r="CL445" s="310"/>
      <c r="CM445" s="310"/>
      <c r="CN445" s="307"/>
      <c r="CO445" s="307"/>
      <c r="CP445" s="307"/>
      <c r="CQ445" s="315"/>
      <c r="CR445" s="315"/>
      <c r="CS445" s="315"/>
      <c r="CT445" s="315"/>
      <c r="CU445" s="307"/>
      <c r="CV445" s="217"/>
      <c r="CW445" s="192"/>
      <c r="CX445" s="192"/>
      <c r="CY445" s="192"/>
      <c r="CZ445" s="191"/>
      <c r="DA445" s="193"/>
      <c r="DB445" s="192"/>
      <c r="DC445" s="192"/>
      <c r="DD445" s="192"/>
      <c r="DE445" s="191"/>
      <c r="DF445" s="19"/>
      <c r="DG445" s="192"/>
      <c r="DH445" s="192"/>
      <c r="DI445" s="192"/>
      <c r="DJ445" s="191"/>
      <c r="DK445" s="193"/>
      <c r="DL445" s="192"/>
      <c r="DM445" s="192"/>
      <c r="DN445" s="192"/>
      <c r="DO445" s="191"/>
      <c r="DP445" s="19"/>
      <c r="DQ445" s="192"/>
      <c r="DR445" s="192"/>
      <c r="DS445" s="192"/>
      <c r="DT445" s="191"/>
      <c r="DU445" s="193"/>
      <c r="DV445" s="192"/>
      <c r="DW445" s="192"/>
      <c r="DX445" s="192"/>
      <c r="DY445" s="191"/>
      <c r="DZ445" s="19"/>
      <c r="EA445" s="192"/>
      <c r="EB445" s="192"/>
      <c r="EC445" s="192"/>
      <c r="ED445" s="191"/>
      <c r="EE445" s="193"/>
      <c r="EF445" s="192"/>
      <c r="EG445" s="192"/>
      <c r="EH445" s="192"/>
      <c r="EI445" s="191"/>
      <c r="EJ445" s="19"/>
      <c r="EK445" s="192"/>
      <c r="EL445" s="192"/>
      <c r="EM445" s="192"/>
      <c r="EN445" s="191"/>
      <c r="EO445" s="193"/>
      <c r="EP445" s="192"/>
      <c r="EQ445" s="192"/>
      <c r="ER445" s="192"/>
      <c r="ES445" s="191"/>
      <c r="ET445" s="19"/>
      <c r="EU445" s="192"/>
      <c r="EV445" s="192"/>
      <c r="EW445" s="192"/>
      <c r="EX445" s="191"/>
      <c r="EY445" s="193"/>
      <c r="EZ445" s="192"/>
      <c r="FA445" s="192"/>
      <c r="FB445" s="192"/>
      <c r="FC445" s="191"/>
      <c r="FL445" s="273">
        <f t="shared" ca="1" si="20"/>
        <v>116</v>
      </c>
    </row>
    <row r="446" spans="1:168" ht="16.5" thickBot="1">
      <c r="A446" s="196">
        <v>443</v>
      </c>
      <c r="B446" s="306"/>
      <c r="C446" s="310"/>
      <c r="D446" s="307" t="s">
        <v>271</v>
      </c>
      <c r="E446" s="307" t="s">
        <v>271</v>
      </c>
      <c r="F446" s="308"/>
      <c r="G446" s="343" t="str">
        <f t="shared" si="18"/>
        <v xml:space="preserve"> </v>
      </c>
      <c r="H446" s="307"/>
      <c r="I446" s="309" t="e">
        <f t="shared" si="19"/>
        <v>#N/A</v>
      </c>
      <c r="J446" s="307"/>
      <c r="K446" s="307"/>
      <c r="L446" s="310"/>
      <c r="M446" s="310"/>
      <c r="N446" s="310"/>
      <c r="O446" s="310"/>
      <c r="P446" s="310"/>
      <c r="Q446" s="310"/>
      <c r="R446" s="310"/>
      <c r="S446" s="310"/>
      <c r="T446" s="310"/>
      <c r="U446" s="307"/>
      <c r="V446" s="307"/>
      <c r="W446" s="311"/>
      <c r="X446" s="307"/>
      <c r="Y446" s="307"/>
      <c r="Z446" s="307"/>
      <c r="AA446" s="307"/>
      <c r="AB446" s="311"/>
      <c r="AC446" s="307"/>
      <c r="AD446" s="307"/>
      <c r="AE446" s="307"/>
      <c r="AF446" s="307"/>
      <c r="AG446" s="310"/>
      <c r="AH446" s="307"/>
      <c r="AI446" s="310"/>
      <c r="AJ446" s="307"/>
      <c r="AK446" s="307"/>
      <c r="AL446" s="307"/>
      <c r="AM446" s="308"/>
      <c r="AN446" s="311"/>
      <c r="AO446" s="307"/>
      <c r="AP446" s="307"/>
      <c r="AQ446" s="308"/>
      <c r="AR446" s="307"/>
      <c r="AS446" s="307"/>
      <c r="AT446" s="307"/>
      <c r="AU446" s="310"/>
      <c r="AV446" s="308"/>
      <c r="AW446" s="312"/>
      <c r="AX446" s="308"/>
      <c r="AY446" s="307"/>
      <c r="AZ446" s="307"/>
      <c r="BA446" s="307"/>
      <c r="BB446" s="307"/>
      <c r="BC446" s="308"/>
      <c r="BD446" s="308"/>
      <c r="BE446" s="313"/>
      <c r="BF446" s="307"/>
      <c r="BG446" s="310"/>
      <c r="BH446" s="307"/>
      <c r="BI446" s="307"/>
      <c r="BJ446" s="310"/>
      <c r="BK446" s="307"/>
      <c r="BL446" s="307"/>
      <c r="BM446" s="310"/>
      <c r="BN446" s="307"/>
      <c r="BO446" s="310"/>
      <c r="BP446" s="307"/>
      <c r="BQ446" s="307"/>
      <c r="BR446" s="307"/>
      <c r="BS446" s="307"/>
      <c r="BT446" s="307"/>
      <c r="BU446" s="310"/>
      <c r="BV446" s="307"/>
      <c r="BW446" s="308"/>
      <c r="BX446" s="311"/>
      <c r="BY446" s="307"/>
      <c r="BZ446" s="307"/>
      <c r="CA446" s="310"/>
      <c r="CB446" s="307"/>
      <c r="CC446" s="307"/>
      <c r="CD446" s="307"/>
      <c r="CE446" s="308"/>
      <c r="CF446" s="308"/>
      <c r="CG446" s="307"/>
      <c r="CH446" s="307"/>
      <c r="CI446" s="307"/>
      <c r="CJ446" s="307"/>
      <c r="CK446" s="314"/>
      <c r="CL446" s="310"/>
      <c r="CM446" s="310"/>
      <c r="CN446" s="307"/>
      <c r="CO446" s="307"/>
      <c r="CP446" s="307"/>
      <c r="CQ446" s="315"/>
      <c r="CR446" s="315"/>
      <c r="CS446" s="315"/>
      <c r="CT446" s="315"/>
      <c r="CU446" s="307"/>
      <c r="CV446" s="217"/>
      <c r="CW446" s="192"/>
      <c r="CX446" s="192"/>
      <c r="CY446" s="192"/>
      <c r="CZ446" s="191"/>
      <c r="DA446" s="193"/>
      <c r="DB446" s="192"/>
      <c r="DC446" s="192"/>
      <c r="DD446" s="192"/>
      <c r="DE446" s="191"/>
      <c r="DF446" s="19"/>
      <c r="DG446" s="192"/>
      <c r="DH446" s="192"/>
      <c r="DI446" s="192"/>
      <c r="DJ446" s="191"/>
      <c r="DK446" s="193"/>
      <c r="DL446" s="192"/>
      <c r="DM446" s="192"/>
      <c r="DN446" s="192"/>
      <c r="DO446" s="191"/>
      <c r="DP446" s="19"/>
      <c r="DQ446" s="192"/>
      <c r="DR446" s="192"/>
      <c r="DS446" s="192"/>
      <c r="DT446" s="191"/>
      <c r="DU446" s="193"/>
      <c r="DV446" s="192"/>
      <c r="DW446" s="192"/>
      <c r="DX446" s="192"/>
      <c r="DY446" s="191"/>
      <c r="DZ446" s="19"/>
      <c r="EA446" s="192"/>
      <c r="EB446" s="192"/>
      <c r="EC446" s="192"/>
      <c r="ED446" s="191"/>
      <c r="EE446" s="193"/>
      <c r="EF446" s="192"/>
      <c r="EG446" s="192"/>
      <c r="EH446" s="192"/>
      <c r="EI446" s="191"/>
      <c r="EJ446" s="19"/>
      <c r="EK446" s="192"/>
      <c r="EL446" s="192"/>
      <c r="EM446" s="192"/>
      <c r="EN446" s="191"/>
      <c r="EO446" s="193"/>
      <c r="EP446" s="192"/>
      <c r="EQ446" s="192"/>
      <c r="ER446" s="192"/>
      <c r="ES446" s="191"/>
      <c r="ET446" s="19"/>
      <c r="EU446" s="192"/>
      <c r="EV446" s="192"/>
      <c r="EW446" s="192"/>
      <c r="EX446" s="191"/>
      <c r="EY446" s="193"/>
      <c r="EZ446" s="192"/>
      <c r="FA446" s="192"/>
      <c r="FB446" s="192"/>
      <c r="FC446" s="191"/>
      <c r="FL446" s="273">
        <f t="shared" ca="1" si="20"/>
        <v>116</v>
      </c>
    </row>
    <row r="447" spans="1:168" ht="16.5" thickBot="1">
      <c r="A447" s="199">
        <v>444</v>
      </c>
      <c r="B447" s="306"/>
      <c r="C447" s="310"/>
      <c r="D447" s="307" t="s">
        <v>271</v>
      </c>
      <c r="E447" s="307" t="s">
        <v>271</v>
      </c>
      <c r="F447" s="308"/>
      <c r="G447" s="343" t="str">
        <f t="shared" si="18"/>
        <v xml:space="preserve"> </v>
      </c>
      <c r="H447" s="307"/>
      <c r="I447" s="309" t="e">
        <f t="shared" si="19"/>
        <v>#N/A</v>
      </c>
      <c r="J447" s="307"/>
      <c r="K447" s="307"/>
      <c r="L447" s="310"/>
      <c r="M447" s="310"/>
      <c r="N447" s="310"/>
      <c r="O447" s="310"/>
      <c r="P447" s="310"/>
      <c r="Q447" s="310"/>
      <c r="R447" s="310"/>
      <c r="S447" s="310"/>
      <c r="T447" s="310"/>
      <c r="U447" s="307"/>
      <c r="V447" s="307"/>
      <c r="W447" s="311"/>
      <c r="X447" s="307"/>
      <c r="Y447" s="307"/>
      <c r="Z447" s="307"/>
      <c r="AA447" s="307"/>
      <c r="AB447" s="311"/>
      <c r="AC447" s="307"/>
      <c r="AD447" s="307"/>
      <c r="AE447" s="307"/>
      <c r="AF447" s="307"/>
      <c r="AG447" s="310"/>
      <c r="AH447" s="307"/>
      <c r="AI447" s="310"/>
      <c r="AJ447" s="307"/>
      <c r="AK447" s="307"/>
      <c r="AL447" s="307"/>
      <c r="AM447" s="308"/>
      <c r="AN447" s="311"/>
      <c r="AO447" s="307"/>
      <c r="AP447" s="307"/>
      <c r="AQ447" s="308"/>
      <c r="AR447" s="307"/>
      <c r="AS447" s="307"/>
      <c r="AT447" s="307"/>
      <c r="AU447" s="310"/>
      <c r="AV447" s="308"/>
      <c r="AW447" s="312"/>
      <c r="AX447" s="308"/>
      <c r="AY447" s="307"/>
      <c r="AZ447" s="307"/>
      <c r="BA447" s="307"/>
      <c r="BB447" s="307"/>
      <c r="BC447" s="308"/>
      <c r="BD447" s="308"/>
      <c r="BE447" s="313"/>
      <c r="BF447" s="307"/>
      <c r="BG447" s="310"/>
      <c r="BH447" s="307"/>
      <c r="BI447" s="307"/>
      <c r="BJ447" s="310"/>
      <c r="BK447" s="307"/>
      <c r="BL447" s="307"/>
      <c r="BM447" s="310"/>
      <c r="BN447" s="307"/>
      <c r="BO447" s="310"/>
      <c r="BP447" s="307"/>
      <c r="BQ447" s="307"/>
      <c r="BR447" s="307"/>
      <c r="BS447" s="307"/>
      <c r="BT447" s="307"/>
      <c r="BU447" s="310"/>
      <c r="BV447" s="307"/>
      <c r="BW447" s="308"/>
      <c r="BX447" s="311"/>
      <c r="BY447" s="307"/>
      <c r="BZ447" s="307"/>
      <c r="CA447" s="310"/>
      <c r="CB447" s="307"/>
      <c r="CC447" s="307"/>
      <c r="CD447" s="307"/>
      <c r="CE447" s="308"/>
      <c r="CF447" s="308"/>
      <c r="CG447" s="307"/>
      <c r="CH447" s="307"/>
      <c r="CI447" s="307"/>
      <c r="CJ447" s="307"/>
      <c r="CK447" s="314"/>
      <c r="CL447" s="310"/>
      <c r="CM447" s="310"/>
      <c r="CN447" s="307"/>
      <c r="CO447" s="307"/>
      <c r="CP447" s="307"/>
      <c r="CQ447" s="315"/>
      <c r="CR447" s="315"/>
      <c r="CS447" s="315"/>
      <c r="CT447" s="315"/>
      <c r="CU447" s="307"/>
      <c r="CV447" s="217"/>
      <c r="CW447" s="192"/>
      <c r="CX447" s="192"/>
      <c r="CY447" s="192"/>
      <c r="CZ447" s="191"/>
      <c r="DA447" s="193"/>
      <c r="DB447" s="192"/>
      <c r="DC447" s="192"/>
      <c r="DD447" s="192"/>
      <c r="DE447" s="191"/>
      <c r="DF447" s="19"/>
      <c r="DG447" s="192"/>
      <c r="DH447" s="192"/>
      <c r="DI447" s="192"/>
      <c r="DJ447" s="191"/>
      <c r="DK447" s="193"/>
      <c r="DL447" s="192"/>
      <c r="DM447" s="192"/>
      <c r="DN447" s="192"/>
      <c r="DO447" s="191"/>
      <c r="DP447" s="19"/>
      <c r="DQ447" s="192"/>
      <c r="DR447" s="192"/>
      <c r="DS447" s="192"/>
      <c r="DT447" s="191"/>
      <c r="DU447" s="193"/>
      <c r="DV447" s="192"/>
      <c r="DW447" s="192"/>
      <c r="DX447" s="192"/>
      <c r="DY447" s="191"/>
      <c r="DZ447" s="19"/>
      <c r="EA447" s="192"/>
      <c r="EB447" s="192"/>
      <c r="EC447" s="192"/>
      <c r="ED447" s="191"/>
      <c r="EE447" s="193"/>
      <c r="EF447" s="192"/>
      <c r="EG447" s="192"/>
      <c r="EH447" s="192"/>
      <c r="EI447" s="191"/>
      <c r="EJ447" s="19"/>
      <c r="EK447" s="192"/>
      <c r="EL447" s="192"/>
      <c r="EM447" s="192"/>
      <c r="EN447" s="191"/>
      <c r="EO447" s="193"/>
      <c r="EP447" s="192"/>
      <c r="EQ447" s="192"/>
      <c r="ER447" s="192"/>
      <c r="ES447" s="191"/>
      <c r="ET447" s="19"/>
      <c r="EU447" s="192"/>
      <c r="EV447" s="192"/>
      <c r="EW447" s="192"/>
      <c r="EX447" s="191"/>
      <c r="EY447" s="193"/>
      <c r="EZ447" s="192"/>
      <c r="FA447" s="192"/>
      <c r="FB447" s="192"/>
      <c r="FC447" s="191"/>
      <c r="FL447" s="273">
        <f t="shared" ca="1" si="20"/>
        <v>116</v>
      </c>
    </row>
    <row r="448" spans="1:168" ht="16.5" thickBot="1">
      <c r="A448" s="196">
        <v>445</v>
      </c>
      <c r="B448" s="306"/>
      <c r="C448" s="310"/>
      <c r="D448" s="307" t="s">
        <v>271</v>
      </c>
      <c r="E448" s="307" t="s">
        <v>271</v>
      </c>
      <c r="F448" s="308"/>
      <c r="G448" s="343" t="str">
        <f t="shared" si="18"/>
        <v xml:space="preserve"> </v>
      </c>
      <c r="H448" s="307"/>
      <c r="I448" s="309" t="e">
        <f t="shared" si="19"/>
        <v>#N/A</v>
      </c>
      <c r="J448" s="307"/>
      <c r="K448" s="307"/>
      <c r="L448" s="310"/>
      <c r="M448" s="310"/>
      <c r="N448" s="310"/>
      <c r="O448" s="310"/>
      <c r="P448" s="310"/>
      <c r="Q448" s="310"/>
      <c r="R448" s="310"/>
      <c r="S448" s="310"/>
      <c r="T448" s="310"/>
      <c r="U448" s="307"/>
      <c r="V448" s="307"/>
      <c r="W448" s="311"/>
      <c r="X448" s="307"/>
      <c r="Y448" s="307"/>
      <c r="Z448" s="307"/>
      <c r="AA448" s="307"/>
      <c r="AB448" s="311"/>
      <c r="AC448" s="307"/>
      <c r="AD448" s="307"/>
      <c r="AE448" s="307"/>
      <c r="AF448" s="307"/>
      <c r="AG448" s="310"/>
      <c r="AH448" s="307"/>
      <c r="AI448" s="310"/>
      <c r="AJ448" s="307"/>
      <c r="AK448" s="307"/>
      <c r="AL448" s="307"/>
      <c r="AM448" s="308"/>
      <c r="AN448" s="311"/>
      <c r="AO448" s="307"/>
      <c r="AP448" s="307"/>
      <c r="AQ448" s="308"/>
      <c r="AR448" s="307"/>
      <c r="AS448" s="307"/>
      <c r="AT448" s="307"/>
      <c r="AU448" s="310"/>
      <c r="AV448" s="308"/>
      <c r="AW448" s="312"/>
      <c r="AX448" s="308"/>
      <c r="AY448" s="307"/>
      <c r="AZ448" s="307"/>
      <c r="BA448" s="307"/>
      <c r="BB448" s="307"/>
      <c r="BC448" s="308"/>
      <c r="BD448" s="308"/>
      <c r="BE448" s="313"/>
      <c r="BF448" s="307"/>
      <c r="BG448" s="310"/>
      <c r="BH448" s="307"/>
      <c r="BI448" s="307"/>
      <c r="BJ448" s="310"/>
      <c r="BK448" s="307"/>
      <c r="BL448" s="307"/>
      <c r="BM448" s="310"/>
      <c r="BN448" s="307"/>
      <c r="BO448" s="310"/>
      <c r="BP448" s="307"/>
      <c r="BQ448" s="307"/>
      <c r="BR448" s="307"/>
      <c r="BS448" s="307"/>
      <c r="BT448" s="307"/>
      <c r="BU448" s="310"/>
      <c r="BV448" s="307"/>
      <c r="BW448" s="308"/>
      <c r="BX448" s="311"/>
      <c r="BY448" s="307"/>
      <c r="BZ448" s="307"/>
      <c r="CA448" s="310"/>
      <c r="CB448" s="307"/>
      <c r="CC448" s="307"/>
      <c r="CD448" s="307"/>
      <c r="CE448" s="308"/>
      <c r="CF448" s="308"/>
      <c r="CG448" s="307"/>
      <c r="CH448" s="307"/>
      <c r="CI448" s="307"/>
      <c r="CJ448" s="307"/>
      <c r="CK448" s="314"/>
      <c r="CL448" s="310"/>
      <c r="CM448" s="310"/>
      <c r="CN448" s="307"/>
      <c r="CO448" s="307"/>
      <c r="CP448" s="307"/>
      <c r="CQ448" s="315"/>
      <c r="CR448" s="315"/>
      <c r="CS448" s="315"/>
      <c r="CT448" s="315"/>
      <c r="CU448" s="307"/>
      <c r="CV448" s="217"/>
      <c r="CW448" s="192"/>
      <c r="CX448" s="192"/>
      <c r="CY448" s="192"/>
      <c r="CZ448" s="191"/>
      <c r="DA448" s="193"/>
      <c r="DB448" s="192"/>
      <c r="DC448" s="192"/>
      <c r="DD448" s="192"/>
      <c r="DE448" s="191"/>
      <c r="DF448" s="19"/>
      <c r="DG448" s="192"/>
      <c r="DH448" s="192"/>
      <c r="DI448" s="192"/>
      <c r="DJ448" s="191"/>
      <c r="DK448" s="193"/>
      <c r="DL448" s="192"/>
      <c r="DM448" s="192"/>
      <c r="DN448" s="192"/>
      <c r="DO448" s="191"/>
      <c r="DP448" s="19"/>
      <c r="DQ448" s="192"/>
      <c r="DR448" s="192"/>
      <c r="DS448" s="192"/>
      <c r="DT448" s="191"/>
      <c r="DU448" s="193"/>
      <c r="DV448" s="192"/>
      <c r="DW448" s="192"/>
      <c r="DX448" s="192"/>
      <c r="DY448" s="191"/>
      <c r="DZ448" s="19"/>
      <c r="EA448" s="192"/>
      <c r="EB448" s="192"/>
      <c r="EC448" s="192"/>
      <c r="ED448" s="191"/>
      <c r="EE448" s="193"/>
      <c r="EF448" s="192"/>
      <c r="EG448" s="192"/>
      <c r="EH448" s="192"/>
      <c r="EI448" s="191"/>
      <c r="EJ448" s="19"/>
      <c r="EK448" s="192"/>
      <c r="EL448" s="192"/>
      <c r="EM448" s="192"/>
      <c r="EN448" s="191"/>
      <c r="EO448" s="193"/>
      <c r="EP448" s="192"/>
      <c r="EQ448" s="192"/>
      <c r="ER448" s="192"/>
      <c r="ES448" s="191"/>
      <c r="ET448" s="19"/>
      <c r="EU448" s="192"/>
      <c r="EV448" s="192"/>
      <c r="EW448" s="192"/>
      <c r="EX448" s="191"/>
      <c r="EY448" s="193"/>
      <c r="EZ448" s="192"/>
      <c r="FA448" s="192"/>
      <c r="FB448" s="192"/>
      <c r="FC448" s="191"/>
      <c r="FL448" s="273">
        <f t="shared" ca="1" si="20"/>
        <v>116</v>
      </c>
    </row>
    <row r="449" spans="1:168" ht="16.5" thickBot="1">
      <c r="A449" s="199">
        <v>446</v>
      </c>
      <c r="B449" s="306"/>
      <c r="C449" s="310"/>
      <c r="D449" s="307" t="s">
        <v>271</v>
      </c>
      <c r="E449" s="307" t="s">
        <v>271</v>
      </c>
      <c r="F449" s="308"/>
      <c r="G449" s="343" t="str">
        <f t="shared" si="18"/>
        <v xml:space="preserve"> </v>
      </c>
      <c r="H449" s="307"/>
      <c r="I449" s="309" t="e">
        <f t="shared" si="19"/>
        <v>#N/A</v>
      </c>
      <c r="J449" s="307"/>
      <c r="K449" s="307"/>
      <c r="L449" s="310"/>
      <c r="M449" s="310"/>
      <c r="N449" s="310"/>
      <c r="O449" s="310"/>
      <c r="P449" s="310"/>
      <c r="Q449" s="310"/>
      <c r="R449" s="310"/>
      <c r="S449" s="310"/>
      <c r="T449" s="310"/>
      <c r="U449" s="307"/>
      <c r="V449" s="307"/>
      <c r="W449" s="311"/>
      <c r="X449" s="307"/>
      <c r="Y449" s="307"/>
      <c r="Z449" s="307"/>
      <c r="AA449" s="307"/>
      <c r="AB449" s="311"/>
      <c r="AC449" s="307"/>
      <c r="AD449" s="307"/>
      <c r="AE449" s="307"/>
      <c r="AF449" s="307"/>
      <c r="AG449" s="310"/>
      <c r="AH449" s="307"/>
      <c r="AI449" s="310"/>
      <c r="AJ449" s="307"/>
      <c r="AK449" s="307"/>
      <c r="AL449" s="307"/>
      <c r="AM449" s="308"/>
      <c r="AN449" s="311"/>
      <c r="AO449" s="307"/>
      <c r="AP449" s="307"/>
      <c r="AQ449" s="308"/>
      <c r="AR449" s="307"/>
      <c r="AS449" s="307"/>
      <c r="AT449" s="307"/>
      <c r="AU449" s="310"/>
      <c r="AV449" s="308"/>
      <c r="AW449" s="312"/>
      <c r="AX449" s="308"/>
      <c r="AY449" s="307"/>
      <c r="AZ449" s="307"/>
      <c r="BA449" s="307"/>
      <c r="BB449" s="307"/>
      <c r="BC449" s="308"/>
      <c r="BD449" s="308"/>
      <c r="BE449" s="313"/>
      <c r="BF449" s="307"/>
      <c r="BG449" s="310"/>
      <c r="BH449" s="307"/>
      <c r="BI449" s="307"/>
      <c r="BJ449" s="310"/>
      <c r="BK449" s="307"/>
      <c r="BL449" s="307"/>
      <c r="BM449" s="310"/>
      <c r="BN449" s="307"/>
      <c r="BO449" s="310"/>
      <c r="BP449" s="307"/>
      <c r="BQ449" s="307"/>
      <c r="BR449" s="307"/>
      <c r="BS449" s="307"/>
      <c r="BT449" s="307"/>
      <c r="BU449" s="310"/>
      <c r="BV449" s="307"/>
      <c r="BW449" s="308"/>
      <c r="BX449" s="311"/>
      <c r="BY449" s="307"/>
      <c r="BZ449" s="307"/>
      <c r="CA449" s="310"/>
      <c r="CB449" s="307"/>
      <c r="CC449" s="307"/>
      <c r="CD449" s="307"/>
      <c r="CE449" s="308"/>
      <c r="CF449" s="308"/>
      <c r="CG449" s="307"/>
      <c r="CH449" s="307"/>
      <c r="CI449" s="307"/>
      <c r="CJ449" s="307"/>
      <c r="CK449" s="314"/>
      <c r="CL449" s="310"/>
      <c r="CM449" s="310"/>
      <c r="CN449" s="307"/>
      <c r="CO449" s="307"/>
      <c r="CP449" s="307"/>
      <c r="CQ449" s="315"/>
      <c r="CR449" s="315"/>
      <c r="CS449" s="315"/>
      <c r="CT449" s="315"/>
      <c r="CU449" s="307"/>
      <c r="CV449" s="217"/>
      <c r="CW449" s="192"/>
      <c r="CX449" s="192"/>
      <c r="CY449" s="192"/>
      <c r="CZ449" s="191"/>
      <c r="DA449" s="193"/>
      <c r="DB449" s="192"/>
      <c r="DC449" s="192"/>
      <c r="DD449" s="192"/>
      <c r="DE449" s="191"/>
      <c r="DF449" s="19"/>
      <c r="DG449" s="192"/>
      <c r="DH449" s="192"/>
      <c r="DI449" s="192"/>
      <c r="DJ449" s="191"/>
      <c r="DK449" s="193"/>
      <c r="DL449" s="192"/>
      <c r="DM449" s="192"/>
      <c r="DN449" s="192"/>
      <c r="DO449" s="191"/>
      <c r="DP449" s="19"/>
      <c r="DQ449" s="192"/>
      <c r="DR449" s="192"/>
      <c r="DS449" s="192"/>
      <c r="DT449" s="191"/>
      <c r="DU449" s="193"/>
      <c r="DV449" s="192"/>
      <c r="DW449" s="192"/>
      <c r="DX449" s="192"/>
      <c r="DY449" s="191"/>
      <c r="DZ449" s="19"/>
      <c r="EA449" s="192"/>
      <c r="EB449" s="192"/>
      <c r="EC449" s="192"/>
      <c r="ED449" s="191"/>
      <c r="EE449" s="193"/>
      <c r="EF449" s="192"/>
      <c r="EG449" s="192"/>
      <c r="EH449" s="192"/>
      <c r="EI449" s="191"/>
      <c r="EJ449" s="19"/>
      <c r="EK449" s="192"/>
      <c r="EL449" s="192"/>
      <c r="EM449" s="192"/>
      <c r="EN449" s="191"/>
      <c r="EO449" s="193"/>
      <c r="EP449" s="192"/>
      <c r="EQ449" s="192"/>
      <c r="ER449" s="192"/>
      <c r="ES449" s="191"/>
      <c r="ET449" s="19"/>
      <c r="EU449" s="192"/>
      <c r="EV449" s="192"/>
      <c r="EW449" s="192"/>
      <c r="EX449" s="191"/>
      <c r="EY449" s="193"/>
      <c r="EZ449" s="192"/>
      <c r="FA449" s="192"/>
      <c r="FB449" s="192"/>
      <c r="FC449" s="191"/>
      <c r="FL449" s="273">
        <f t="shared" ca="1" si="20"/>
        <v>116</v>
      </c>
    </row>
    <row r="450" spans="1:168" ht="16.5" thickBot="1">
      <c r="A450" s="196">
        <v>447</v>
      </c>
      <c r="B450" s="306"/>
      <c r="C450" s="310"/>
      <c r="D450" s="307" t="s">
        <v>271</v>
      </c>
      <c r="E450" s="307" t="s">
        <v>271</v>
      </c>
      <c r="F450" s="308"/>
      <c r="G450" s="343" t="str">
        <f t="shared" si="18"/>
        <v xml:space="preserve"> </v>
      </c>
      <c r="H450" s="307"/>
      <c r="I450" s="309" t="e">
        <f t="shared" si="19"/>
        <v>#N/A</v>
      </c>
      <c r="J450" s="307"/>
      <c r="K450" s="307"/>
      <c r="L450" s="310"/>
      <c r="M450" s="310"/>
      <c r="N450" s="310"/>
      <c r="O450" s="310"/>
      <c r="P450" s="310"/>
      <c r="Q450" s="310"/>
      <c r="R450" s="310"/>
      <c r="S450" s="310"/>
      <c r="T450" s="310"/>
      <c r="U450" s="307"/>
      <c r="V450" s="307"/>
      <c r="W450" s="311"/>
      <c r="X450" s="307"/>
      <c r="Y450" s="307"/>
      <c r="Z450" s="307"/>
      <c r="AA450" s="307"/>
      <c r="AB450" s="311"/>
      <c r="AC450" s="307"/>
      <c r="AD450" s="307"/>
      <c r="AE450" s="307"/>
      <c r="AF450" s="307"/>
      <c r="AG450" s="310"/>
      <c r="AH450" s="307"/>
      <c r="AI450" s="310"/>
      <c r="AJ450" s="307"/>
      <c r="AK450" s="307"/>
      <c r="AL450" s="307"/>
      <c r="AM450" s="308"/>
      <c r="AN450" s="311"/>
      <c r="AO450" s="307"/>
      <c r="AP450" s="307"/>
      <c r="AQ450" s="308"/>
      <c r="AR450" s="307"/>
      <c r="AS450" s="307"/>
      <c r="AT450" s="307"/>
      <c r="AU450" s="310"/>
      <c r="AV450" s="308"/>
      <c r="AW450" s="312"/>
      <c r="AX450" s="308"/>
      <c r="AY450" s="307"/>
      <c r="AZ450" s="307"/>
      <c r="BA450" s="307"/>
      <c r="BB450" s="307"/>
      <c r="BC450" s="308"/>
      <c r="BD450" s="308"/>
      <c r="BE450" s="313"/>
      <c r="BF450" s="307"/>
      <c r="BG450" s="310"/>
      <c r="BH450" s="307"/>
      <c r="BI450" s="307"/>
      <c r="BJ450" s="310"/>
      <c r="BK450" s="307"/>
      <c r="BL450" s="307"/>
      <c r="BM450" s="310"/>
      <c r="BN450" s="307"/>
      <c r="BO450" s="310"/>
      <c r="BP450" s="307"/>
      <c r="BQ450" s="307"/>
      <c r="BR450" s="307"/>
      <c r="BS450" s="307"/>
      <c r="BT450" s="307"/>
      <c r="BU450" s="310"/>
      <c r="BV450" s="307"/>
      <c r="BW450" s="308"/>
      <c r="BX450" s="311"/>
      <c r="BY450" s="307"/>
      <c r="BZ450" s="307"/>
      <c r="CA450" s="310"/>
      <c r="CB450" s="307"/>
      <c r="CC450" s="307"/>
      <c r="CD450" s="307"/>
      <c r="CE450" s="308"/>
      <c r="CF450" s="308"/>
      <c r="CG450" s="307"/>
      <c r="CH450" s="307"/>
      <c r="CI450" s="307"/>
      <c r="CJ450" s="307"/>
      <c r="CK450" s="314"/>
      <c r="CL450" s="310"/>
      <c r="CM450" s="310"/>
      <c r="CN450" s="307"/>
      <c r="CO450" s="307"/>
      <c r="CP450" s="307"/>
      <c r="CQ450" s="315"/>
      <c r="CR450" s="315"/>
      <c r="CS450" s="315"/>
      <c r="CT450" s="315"/>
      <c r="CU450" s="307"/>
      <c r="CV450" s="217"/>
      <c r="CW450" s="192"/>
      <c r="CX450" s="192"/>
      <c r="CY450" s="192"/>
      <c r="CZ450" s="191"/>
      <c r="DA450" s="193"/>
      <c r="DB450" s="192"/>
      <c r="DC450" s="192"/>
      <c r="DD450" s="192"/>
      <c r="DE450" s="191"/>
      <c r="DF450" s="19"/>
      <c r="DG450" s="192"/>
      <c r="DH450" s="192"/>
      <c r="DI450" s="192"/>
      <c r="DJ450" s="191"/>
      <c r="DK450" s="193"/>
      <c r="DL450" s="192"/>
      <c r="DM450" s="192"/>
      <c r="DN450" s="192"/>
      <c r="DO450" s="191"/>
      <c r="DP450" s="19"/>
      <c r="DQ450" s="192"/>
      <c r="DR450" s="192"/>
      <c r="DS450" s="192"/>
      <c r="DT450" s="191"/>
      <c r="DU450" s="193"/>
      <c r="DV450" s="192"/>
      <c r="DW450" s="192"/>
      <c r="DX450" s="192"/>
      <c r="DY450" s="191"/>
      <c r="DZ450" s="19"/>
      <c r="EA450" s="192"/>
      <c r="EB450" s="192"/>
      <c r="EC450" s="192"/>
      <c r="ED450" s="191"/>
      <c r="EE450" s="193"/>
      <c r="EF450" s="192"/>
      <c r="EG450" s="192"/>
      <c r="EH450" s="192"/>
      <c r="EI450" s="191"/>
      <c r="EJ450" s="19"/>
      <c r="EK450" s="192"/>
      <c r="EL450" s="192"/>
      <c r="EM450" s="192"/>
      <c r="EN450" s="191"/>
      <c r="EO450" s="193"/>
      <c r="EP450" s="192"/>
      <c r="EQ450" s="192"/>
      <c r="ER450" s="192"/>
      <c r="ES450" s="191"/>
      <c r="ET450" s="19"/>
      <c r="EU450" s="192"/>
      <c r="EV450" s="192"/>
      <c r="EW450" s="192"/>
      <c r="EX450" s="191"/>
      <c r="EY450" s="193"/>
      <c r="EZ450" s="192"/>
      <c r="FA450" s="192"/>
      <c r="FB450" s="192"/>
      <c r="FC450" s="191"/>
      <c r="FL450" s="273">
        <f t="shared" ca="1" si="20"/>
        <v>116</v>
      </c>
    </row>
    <row r="451" spans="1:168" ht="16.5" thickBot="1">
      <c r="A451" s="199">
        <v>448</v>
      </c>
      <c r="B451" s="306"/>
      <c r="C451" s="310"/>
      <c r="D451" s="307" t="s">
        <v>271</v>
      </c>
      <c r="E451" s="307" t="s">
        <v>271</v>
      </c>
      <c r="F451" s="308"/>
      <c r="G451" s="343" t="str">
        <f t="shared" si="18"/>
        <v xml:space="preserve"> </v>
      </c>
      <c r="H451" s="307"/>
      <c r="I451" s="309" t="e">
        <f t="shared" si="19"/>
        <v>#N/A</v>
      </c>
      <c r="J451" s="307"/>
      <c r="K451" s="307"/>
      <c r="L451" s="310"/>
      <c r="M451" s="310"/>
      <c r="N451" s="310"/>
      <c r="O451" s="310"/>
      <c r="P451" s="310"/>
      <c r="Q451" s="310"/>
      <c r="R451" s="310"/>
      <c r="S451" s="310"/>
      <c r="T451" s="310"/>
      <c r="U451" s="307"/>
      <c r="V451" s="307"/>
      <c r="W451" s="311"/>
      <c r="X451" s="307"/>
      <c r="Y451" s="307"/>
      <c r="Z451" s="307"/>
      <c r="AA451" s="307"/>
      <c r="AB451" s="311"/>
      <c r="AC451" s="307"/>
      <c r="AD451" s="307"/>
      <c r="AE451" s="307"/>
      <c r="AF451" s="307"/>
      <c r="AG451" s="310"/>
      <c r="AH451" s="307"/>
      <c r="AI451" s="310"/>
      <c r="AJ451" s="307"/>
      <c r="AK451" s="307"/>
      <c r="AL451" s="307"/>
      <c r="AM451" s="308"/>
      <c r="AN451" s="311"/>
      <c r="AO451" s="307"/>
      <c r="AP451" s="307"/>
      <c r="AQ451" s="308"/>
      <c r="AR451" s="307"/>
      <c r="AS451" s="307"/>
      <c r="AT451" s="307"/>
      <c r="AU451" s="310"/>
      <c r="AV451" s="308"/>
      <c r="AW451" s="312"/>
      <c r="AX451" s="308"/>
      <c r="AY451" s="307"/>
      <c r="AZ451" s="307"/>
      <c r="BA451" s="307"/>
      <c r="BB451" s="307"/>
      <c r="BC451" s="308"/>
      <c r="BD451" s="308"/>
      <c r="BE451" s="313"/>
      <c r="BF451" s="307"/>
      <c r="BG451" s="310"/>
      <c r="BH451" s="307"/>
      <c r="BI451" s="307"/>
      <c r="BJ451" s="310"/>
      <c r="BK451" s="307"/>
      <c r="BL451" s="307"/>
      <c r="BM451" s="310"/>
      <c r="BN451" s="307"/>
      <c r="BO451" s="310"/>
      <c r="BP451" s="307"/>
      <c r="BQ451" s="307"/>
      <c r="BR451" s="307"/>
      <c r="BS451" s="307"/>
      <c r="BT451" s="307"/>
      <c r="BU451" s="310"/>
      <c r="BV451" s="307"/>
      <c r="BW451" s="308"/>
      <c r="BX451" s="311"/>
      <c r="BY451" s="307"/>
      <c r="BZ451" s="307"/>
      <c r="CA451" s="310"/>
      <c r="CB451" s="307"/>
      <c r="CC451" s="307"/>
      <c r="CD451" s="307"/>
      <c r="CE451" s="308"/>
      <c r="CF451" s="308"/>
      <c r="CG451" s="307"/>
      <c r="CH451" s="307"/>
      <c r="CI451" s="307"/>
      <c r="CJ451" s="307"/>
      <c r="CK451" s="314"/>
      <c r="CL451" s="310"/>
      <c r="CM451" s="310"/>
      <c r="CN451" s="307"/>
      <c r="CO451" s="307"/>
      <c r="CP451" s="307"/>
      <c r="CQ451" s="315"/>
      <c r="CR451" s="315"/>
      <c r="CS451" s="315"/>
      <c r="CT451" s="315"/>
      <c r="CU451" s="307"/>
      <c r="CV451" s="217"/>
      <c r="CW451" s="192"/>
      <c r="CX451" s="192"/>
      <c r="CY451" s="192"/>
      <c r="CZ451" s="191"/>
      <c r="DA451" s="193"/>
      <c r="DB451" s="192"/>
      <c r="DC451" s="192"/>
      <c r="DD451" s="192"/>
      <c r="DE451" s="191"/>
      <c r="DF451" s="19"/>
      <c r="DG451" s="192"/>
      <c r="DH451" s="192"/>
      <c r="DI451" s="192"/>
      <c r="DJ451" s="191"/>
      <c r="DK451" s="193"/>
      <c r="DL451" s="192"/>
      <c r="DM451" s="192"/>
      <c r="DN451" s="192"/>
      <c r="DO451" s="191"/>
      <c r="DP451" s="19"/>
      <c r="DQ451" s="192"/>
      <c r="DR451" s="192"/>
      <c r="DS451" s="192"/>
      <c r="DT451" s="191"/>
      <c r="DU451" s="193"/>
      <c r="DV451" s="192"/>
      <c r="DW451" s="192"/>
      <c r="DX451" s="192"/>
      <c r="DY451" s="191"/>
      <c r="DZ451" s="19"/>
      <c r="EA451" s="192"/>
      <c r="EB451" s="192"/>
      <c r="EC451" s="192"/>
      <c r="ED451" s="191"/>
      <c r="EE451" s="193"/>
      <c r="EF451" s="192"/>
      <c r="EG451" s="192"/>
      <c r="EH451" s="192"/>
      <c r="EI451" s="191"/>
      <c r="EJ451" s="19"/>
      <c r="EK451" s="192"/>
      <c r="EL451" s="192"/>
      <c r="EM451" s="192"/>
      <c r="EN451" s="191"/>
      <c r="EO451" s="193"/>
      <c r="EP451" s="192"/>
      <c r="EQ451" s="192"/>
      <c r="ER451" s="192"/>
      <c r="ES451" s="191"/>
      <c r="ET451" s="19"/>
      <c r="EU451" s="192"/>
      <c r="EV451" s="192"/>
      <c r="EW451" s="192"/>
      <c r="EX451" s="191"/>
      <c r="EY451" s="193"/>
      <c r="EZ451" s="192"/>
      <c r="FA451" s="192"/>
      <c r="FB451" s="192"/>
      <c r="FC451" s="191"/>
      <c r="FL451" s="273">
        <f t="shared" ca="1" si="20"/>
        <v>116</v>
      </c>
    </row>
    <row r="452" spans="1:168" ht="16.5" thickBot="1">
      <c r="A452" s="196">
        <v>449</v>
      </c>
      <c r="B452" s="306"/>
      <c r="C452" s="310"/>
      <c r="D452" s="307" t="s">
        <v>271</v>
      </c>
      <c r="E452" s="307" t="s">
        <v>271</v>
      </c>
      <c r="F452" s="308"/>
      <c r="G452" s="343" t="str">
        <f t="shared" si="18"/>
        <v xml:space="preserve"> </v>
      </c>
      <c r="H452" s="307"/>
      <c r="I452" s="309" t="e">
        <f t="shared" si="19"/>
        <v>#N/A</v>
      </c>
      <c r="J452" s="307"/>
      <c r="K452" s="307"/>
      <c r="L452" s="310"/>
      <c r="M452" s="310"/>
      <c r="N452" s="310"/>
      <c r="O452" s="310"/>
      <c r="P452" s="310"/>
      <c r="Q452" s="310"/>
      <c r="R452" s="310"/>
      <c r="S452" s="310"/>
      <c r="T452" s="310"/>
      <c r="U452" s="307"/>
      <c r="V452" s="307"/>
      <c r="W452" s="311"/>
      <c r="X452" s="307"/>
      <c r="Y452" s="307"/>
      <c r="Z452" s="307"/>
      <c r="AA452" s="307"/>
      <c r="AB452" s="311"/>
      <c r="AC452" s="307"/>
      <c r="AD452" s="307"/>
      <c r="AE452" s="307"/>
      <c r="AF452" s="307"/>
      <c r="AG452" s="310"/>
      <c r="AH452" s="307"/>
      <c r="AI452" s="310"/>
      <c r="AJ452" s="307"/>
      <c r="AK452" s="307"/>
      <c r="AL452" s="307"/>
      <c r="AM452" s="308"/>
      <c r="AN452" s="311"/>
      <c r="AO452" s="307"/>
      <c r="AP452" s="307"/>
      <c r="AQ452" s="308"/>
      <c r="AR452" s="307"/>
      <c r="AS452" s="307"/>
      <c r="AT452" s="307"/>
      <c r="AU452" s="310"/>
      <c r="AV452" s="308"/>
      <c r="AW452" s="312"/>
      <c r="AX452" s="308"/>
      <c r="AY452" s="307"/>
      <c r="AZ452" s="307"/>
      <c r="BA452" s="307"/>
      <c r="BB452" s="307"/>
      <c r="BC452" s="308"/>
      <c r="BD452" s="308"/>
      <c r="BE452" s="313"/>
      <c r="BF452" s="307"/>
      <c r="BG452" s="310"/>
      <c r="BH452" s="307"/>
      <c r="BI452" s="307"/>
      <c r="BJ452" s="310"/>
      <c r="BK452" s="307"/>
      <c r="BL452" s="307"/>
      <c r="BM452" s="310"/>
      <c r="BN452" s="307"/>
      <c r="BO452" s="310"/>
      <c r="BP452" s="307"/>
      <c r="BQ452" s="307"/>
      <c r="BR452" s="307"/>
      <c r="BS452" s="307"/>
      <c r="BT452" s="307"/>
      <c r="BU452" s="310"/>
      <c r="BV452" s="307"/>
      <c r="BW452" s="308"/>
      <c r="BX452" s="311"/>
      <c r="BY452" s="307"/>
      <c r="BZ452" s="307"/>
      <c r="CA452" s="310"/>
      <c r="CB452" s="307"/>
      <c r="CC452" s="307"/>
      <c r="CD452" s="307"/>
      <c r="CE452" s="308"/>
      <c r="CF452" s="308"/>
      <c r="CG452" s="307"/>
      <c r="CH452" s="307"/>
      <c r="CI452" s="307"/>
      <c r="CJ452" s="307"/>
      <c r="CK452" s="314"/>
      <c r="CL452" s="310"/>
      <c r="CM452" s="310"/>
      <c r="CN452" s="307"/>
      <c r="CO452" s="307"/>
      <c r="CP452" s="307"/>
      <c r="CQ452" s="315"/>
      <c r="CR452" s="315"/>
      <c r="CS452" s="315"/>
      <c r="CT452" s="315"/>
      <c r="CU452" s="307"/>
      <c r="CV452" s="217"/>
      <c r="CW452" s="192"/>
      <c r="CX452" s="192"/>
      <c r="CY452" s="192"/>
      <c r="CZ452" s="191"/>
      <c r="DA452" s="193"/>
      <c r="DB452" s="192"/>
      <c r="DC452" s="192"/>
      <c r="DD452" s="192"/>
      <c r="DE452" s="191"/>
      <c r="DF452" s="19"/>
      <c r="DG452" s="192"/>
      <c r="DH452" s="192"/>
      <c r="DI452" s="192"/>
      <c r="DJ452" s="191"/>
      <c r="DK452" s="193"/>
      <c r="DL452" s="192"/>
      <c r="DM452" s="192"/>
      <c r="DN452" s="192"/>
      <c r="DO452" s="191"/>
      <c r="DP452" s="19"/>
      <c r="DQ452" s="192"/>
      <c r="DR452" s="192"/>
      <c r="DS452" s="192"/>
      <c r="DT452" s="191"/>
      <c r="DU452" s="193"/>
      <c r="DV452" s="192"/>
      <c r="DW452" s="192"/>
      <c r="DX452" s="192"/>
      <c r="DY452" s="191"/>
      <c r="DZ452" s="19"/>
      <c r="EA452" s="192"/>
      <c r="EB452" s="192"/>
      <c r="EC452" s="192"/>
      <c r="ED452" s="191"/>
      <c r="EE452" s="193"/>
      <c r="EF452" s="192"/>
      <c r="EG452" s="192"/>
      <c r="EH452" s="192"/>
      <c r="EI452" s="191"/>
      <c r="EJ452" s="19"/>
      <c r="EK452" s="192"/>
      <c r="EL452" s="192"/>
      <c r="EM452" s="192"/>
      <c r="EN452" s="191"/>
      <c r="EO452" s="193"/>
      <c r="EP452" s="192"/>
      <c r="EQ452" s="192"/>
      <c r="ER452" s="192"/>
      <c r="ES452" s="191"/>
      <c r="ET452" s="19"/>
      <c r="EU452" s="192"/>
      <c r="EV452" s="192"/>
      <c r="EW452" s="192"/>
      <c r="EX452" s="191"/>
      <c r="EY452" s="193"/>
      <c r="EZ452" s="192"/>
      <c r="FA452" s="192"/>
      <c r="FB452" s="192"/>
      <c r="FC452" s="191"/>
      <c r="FL452" s="273">
        <f t="shared" ca="1" si="20"/>
        <v>116</v>
      </c>
    </row>
    <row r="453" spans="1:168" ht="16.5" thickBot="1">
      <c r="A453" s="199">
        <v>450</v>
      </c>
      <c r="B453" s="306"/>
      <c r="C453" s="310"/>
      <c r="D453" s="307" t="s">
        <v>271</v>
      </c>
      <c r="E453" s="307" t="s">
        <v>271</v>
      </c>
      <c r="F453" s="308"/>
      <c r="G453" s="343" t="str">
        <f t="shared" ref="G453:G516" si="21">IF(F453=0," ",IF(F453&gt;0,FL453))</f>
        <v xml:space="preserve"> </v>
      </c>
      <c r="H453" s="307"/>
      <c r="I453" s="309" t="e">
        <f t="shared" ref="I453:I516" si="22">VLOOKUP(J453,$FH$5:$FI$32,2)</f>
        <v>#N/A</v>
      </c>
      <c r="J453" s="307"/>
      <c r="K453" s="307"/>
      <c r="L453" s="310"/>
      <c r="M453" s="310"/>
      <c r="N453" s="310"/>
      <c r="O453" s="310"/>
      <c r="P453" s="310"/>
      <c r="Q453" s="310"/>
      <c r="R453" s="310"/>
      <c r="S453" s="310"/>
      <c r="T453" s="310"/>
      <c r="U453" s="307"/>
      <c r="V453" s="307"/>
      <c r="W453" s="311"/>
      <c r="X453" s="307"/>
      <c r="Y453" s="307"/>
      <c r="Z453" s="307"/>
      <c r="AA453" s="307"/>
      <c r="AB453" s="311"/>
      <c r="AC453" s="307"/>
      <c r="AD453" s="307"/>
      <c r="AE453" s="307"/>
      <c r="AF453" s="307"/>
      <c r="AG453" s="310"/>
      <c r="AH453" s="307"/>
      <c r="AI453" s="310"/>
      <c r="AJ453" s="307"/>
      <c r="AK453" s="307"/>
      <c r="AL453" s="307"/>
      <c r="AM453" s="308"/>
      <c r="AN453" s="311"/>
      <c r="AO453" s="307"/>
      <c r="AP453" s="307"/>
      <c r="AQ453" s="308"/>
      <c r="AR453" s="307"/>
      <c r="AS453" s="307"/>
      <c r="AT453" s="307"/>
      <c r="AU453" s="310"/>
      <c r="AV453" s="308"/>
      <c r="AW453" s="312"/>
      <c r="AX453" s="308"/>
      <c r="AY453" s="307"/>
      <c r="AZ453" s="307"/>
      <c r="BA453" s="307"/>
      <c r="BB453" s="307"/>
      <c r="BC453" s="308"/>
      <c r="BD453" s="308"/>
      <c r="BE453" s="313"/>
      <c r="BF453" s="307"/>
      <c r="BG453" s="310"/>
      <c r="BH453" s="307"/>
      <c r="BI453" s="307"/>
      <c r="BJ453" s="310"/>
      <c r="BK453" s="307"/>
      <c r="BL453" s="307"/>
      <c r="BM453" s="310"/>
      <c r="BN453" s="307"/>
      <c r="BO453" s="310"/>
      <c r="BP453" s="307"/>
      <c r="BQ453" s="307"/>
      <c r="BR453" s="307"/>
      <c r="BS453" s="307"/>
      <c r="BT453" s="307"/>
      <c r="BU453" s="310"/>
      <c r="BV453" s="307"/>
      <c r="BW453" s="308"/>
      <c r="BX453" s="311"/>
      <c r="BY453" s="307"/>
      <c r="BZ453" s="307"/>
      <c r="CA453" s="310"/>
      <c r="CB453" s="307"/>
      <c r="CC453" s="307"/>
      <c r="CD453" s="307"/>
      <c r="CE453" s="308"/>
      <c r="CF453" s="308"/>
      <c r="CG453" s="307"/>
      <c r="CH453" s="307"/>
      <c r="CI453" s="307"/>
      <c r="CJ453" s="307"/>
      <c r="CK453" s="314"/>
      <c r="CL453" s="310"/>
      <c r="CM453" s="310"/>
      <c r="CN453" s="307"/>
      <c r="CO453" s="307"/>
      <c r="CP453" s="307"/>
      <c r="CQ453" s="315"/>
      <c r="CR453" s="315"/>
      <c r="CS453" s="315"/>
      <c r="CT453" s="315"/>
      <c r="CU453" s="307"/>
      <c r="CV453" s="217"/>
      <c r="CW453" s="192"/>
      <c r="CX453" s="192"/>
      <c r="CY453" s="192"/>
      <c r="CZ453" s="191"/>
      <c r="DA453" s="193"/>
      <c r="DB453" s="192"/>
      <c r="DC453" s="192"/>
      <c r="DD453" s="192"/>
      <c r="DE453" s="191"/>
      <c r="DF453" s="19"/>
      <c r="DG453" s="192"/>
      <c r="DH453" s="192"/>
      <c r="DI453" s="192"/>
      <c r="DJ453" s="191"/>
      <c r="DK453" s="193"/>
      <c r="DL453" s="192"/>
      <c r="DM453" s="192"/>
      <c r="DN453" s="192"/>
      <c r="DO453" s="191"/>
      <c r="DP453" s="19"/>
      <c r="DQ453" s="192"/>
      <c r="DR453" s="192"/>
      <c r="DS453" s="192"/>
      <c r="DT453" s="191"/>
      <c r="DU453" s="193"/>
      <c r="DV453" s="192"/>
      <c r="DW453" s="192"/>
      <c r="DX453" s="192"/>
      <c r="DY453" s="191"/>
      <c r="DZ453" s="19"/>
      <c r="EA453" s="192"/>
      <c r="EB453" s="192"/>
      <c r="EC453" s="192"/>
      <c r="ED453" s="191"/>
      <c r="EE453" s="193"/>
      <c r="EF453" s="192"/>
      <c r="EG453" s="192"/>
      <c r="EH453" s="192"/>
      <c r="EI453" s="191"/>
      <c r="EJ453" s="19"/>
      <c r="EK453" s="192"/>
      <c r="EL453" s="192"/>
      <c r="EM453" s="192"/>
      <c r="EN453" s="191"/>
      <c r="EO453" s="193"/>
      <c r="EP453" s="192"/>
      <c r="EQ453" s="192"/>
      <c r="ER453" s="192"/>
      <c r="ES453" s="191"/>
      <c r="ET453" s="19"/>
      <c r="EU453" s="192"/>
      <c r="EV453" s="192"/>
      <c r="EW453" s="192"/>
      <c r="EX453" s="191"/>
      <c r="EY453" s="193"/>
      <c r="EZ453" s="192"/>
      <c r="FA453" s="192"/>
      <c r="FB453" s="192"/>
      <c r="FC453" s="191"/>
      <c r="FL453" s="273">
        <f t="shared" ca="1" si="20"/>
        <v>116</v>
      </c>
    </row>
    <row r="454" spans="1:168" ht="16.5" thickBot="1">
      <c r="A454" s="196">
        <v>451</v>
      </c>
      <c r="B454" s="306"/>
      <c r="C454" s="310"/>
      <c r="D454" s="307" t="s">
        <v>271</v>
      </c>
      <c r="E454" s="307" t="s">
        <v>271</v>
      </c>
      <c r="F454" s="308"/>
      <c r="G454" s="343" t="str">
        <f t="shared" si="21"/>
        <v xml:space="preserve"> </v>
      </c>
      <c r="H454" s="307"/>
      <c r="I454" s="309" t="e">
        <f t="shared" si="22"/>
        <v>#N/A</v>
      </c>
      <c r="J454" s="307"/>
      <c r="K454" s="307"/>
      <c r="L454" s="310"/>
      <c r="M454" s="310"/>
      <c r="N454" s="310"/>
      <c r="O454" s="310"/>
      <c r="P454" s="310"/>
      <c r="Q454" s="310"/>
      <c r="R454" s="310"/>
      <c r="S454" s="310"/>
      <c r="T454" s="310"/>
      <c r="U454" s="307"/>
      <c r="V454" s="307"/>
      <c r="W454" s="311"/>
      <c r="X454" s="307"/>
      <c r="Y454" s="307"/>
      <c r="Z454" s="307"/>
      <c r="AA454" s="307"/>
      <c r="AB454" s="311"/>
      <c r="AC454" s="307"/>
      <c r="AD454" s="307"/>
      <c r="AE454" s="307"/>
      <c r="AF454" s="307"/>
      <c r="AG454" s="310"/>
      <c r="AH454" s="307"/>
      <c r="AI454" s="310"/>
      <c r="AJ454" s="307"/>
      <c r="AK454" s="307"/>
      <c r="AL454" s="307"/>
      <c r="AM454" s="308"/>
      <c r="AN454" s="311"/>
      <c r="AO454" s="307"/>
      <c r="AP454" s="307"/>
      <c r="AQ454" s="308"/>
      <c r="AR454" s="307"/>
      <c r="AS454" s="307"/>
      <c r="AT454" s="307"/>
      <c r="AU454" s="310"/>
      <c r="AV454" s="308"/>
      <c r="AW454" s="312"/>
      <c r="AX454" s="308"/>
      <c r="AY454" s="307"/>
      <c r="AZ454" s="307"/>
      <c r="BA454" s="307"/>
      <c r="BB454" s="307"/>
      <c r="BC454" s="308"/>
      <c r="BD454" s="308"/>
      <c r="BE454" s="313"/>
      <c r="BF454" s="307"/>
      <c r="BG454" s="310"/>
      <c r="BH454" s="307"/>
      <c r="BI454" s="307"/>
      <c r="BJ454" s="310"/>
      <c r="BK454" s="307"/>
      <c r="BL454" s="307"/>
      <c r="BM454" s="310"/>
      <c r="BN454" s="307"/>
      <c r="BO454" s="310"/>
      <c r="BP454" s="307"/>
      <c r="BQ454" s="307"/>
      <c r="BR454" s="307"/>
      <c r="BS454" s="307"/>
      <c r="BT454" s="307"/>
      <c r="BU454" s="310"/>
      <c r="BV454" s="307"/>
      <c r="BW454" s="308"/>
      <c r="BX454" s="311"/>
      <c r="BY454" s="307"/>
      <c r="BZ454" s="307"/>
      <c r="CA454" s="310"/>
      <c r="CB454" s="307"/>
      <c r="CC454" s="307"/>
      <c r="CD454" s="307"/>
      <c r="CE454" s="308"/>
      <c r="CF454" s="308"/>
      <c r="CG454" s="307"/>
      <c r="CH454" s="307"/>
      <c r="CI454" s="307"/>
      <c r="CJ454" s="307"/>
      <c r="CK454" s="314"/>
      <c r="CL454" s="310"/>
      <c r="CM454" s="310"/>
      <c r="CN454" s="307"/>
      <c r="CO454" s="307"/>
      <c r="CP454" s="307"/>
      <c r="CQ454" s="315"/>
      <c r="CR454" s="315"/>
      <c r="CS454" s="315"/>
      <c r="CT454" s="315"/>
      <c r="CU454" s="307"/>
      <c r="CV454" s="217"/>
      <c r="CW454" s="192"/>
      <c r="CX454" s="192"/>
      <c r="CY454" s="192"/>
      <c r="CZ454" s="191"/>
      <c r="DA454" s="193"/>
      <c r="DB454" s="192"/>
      <c r="DC454" s="192"/>
      <c r="DD454" s="192"/>
      <c r="DE454" s="191"/>
      <c r="DF454" s="19"/>
      <c r="DG454" s="192"/>
      <c r="DH454" s="192"/>
      <c r="DI454" s="192"/>
      <c r="DJ454" s="191"/>
      <c r="DK454" s="193"/>
      <c r="DL454" s="192"/>
      <c r="DM454" s="192"/>
      <c r="DN454" s="192"/>
      <c r="DO454" s="191"/>
      <c r="DP454" s="19"/>
      <c r="DQ454" s="192"/>
      <c r="DR454" s="192"/>
      <c r="DS454" s="192"/>
      <c r="DT454" s="191"/>
      <c r="DU454" s="193"/>
      <c r="DV454" s="192"/>
      <c r="DW454" s="192"/>
      <c r="DX454" s="192"/>
      <c r="DY454" s="191"/>
      <c r="DZ454" s="19"/>
      <c r="EA454" s="192"/>
      <c r="EB454" s="192"/>
      <c r="EC454" s="192"/>
      <c r="ED454" s="191"/>
      <c r="EE454" s="193"/>
      <c r="EF454" s="192"/>
      <c r="EG454" s="192"/>
      <c r="EH454" s="192"/>
      <c r="EI454" s="191"/>
      <c r="EJ454" s="19"/>
      <c r="EK454" s="192"/>
      <c r="EL454" s="192"/>
      <c r="EM454" s="192"/>
      <c r="EN454" s="191"/>
      <c r="EO454" s="193"/>
      <c r="EP454" s="192"/>
      <c r="EQ454" s="192"/>
      <c r="ER454" s="192"/>
      <c r="ES454" s="191"/>
      <c r="ET454" s="19"/>
      <c r="EU454" s="192"/>
      <c r="EV454" s="192"/>
      <c r="EW454" s="192"/>
      <c r="EX454" s="191"/>
      <c r="EY454" s="193"/>
      <c r="EZ454" s="192"/>
      <c r="FA454" s="192"/>
      <c r="FB454" s="192"/>
      <c r="FC454" s="191"/>
      <c r="FL454" s="273">
        <f t="shared" ref="FL454:FL517" ca="1" si="23">YEAR($FL$3)-YEAR(F454)-1+IF(DATE(1901,MONTH(F454),DAY(F454))-DATE(1901,MONTH($FL$3),DAY($FL$3))&lt;=0,1,0)</f>
        <v>116</v>
      </c>
    </row>
    <row r="455" spans="1:168" ht="16.5" thickBot="1">
      <c r="A455" s="199">
        <v>452</v>
      </c>
      <c r="B455" s="306"/>
      <c r="C455" s="310"/>
      <c r="D455" s="307" t="s">
        <v>271</v>
      </c>
      <c r="E455" s="307" t="s">
        <v>271</v>
      </c>
      <c r="F455" s="308"/>
      <c r="G455" s="343" t="str">
        <f t="shared" si="21"/>
        <v xml:space="preserve"> </v>
      </c>
      <c r="H455" s="307"/>
      <c r="I455" s="309" t="e">
        <f t="shared" si="22"/>
        <v>#N/A</v>
      </c>
      <c r="J455" s="307"/>
      <c r="K455" s="307"/>
      <c r="L455" s="310"/>
      <c r="M455" s="310"/>
      <c r="N455" s="310"/>
      <c r="O455" s="310"/>
      <c r="P455" s="310"/>
      <c r="Q455" s="310"/>
      <c r="R455" s="310"/>
      <c r="S455" s="310"/>
      <c r="T455" s="310"/>
      <c r="U455" s="307"/>
      <c r="V455" s="307"/>
      <c r="W455" s="311"/>
      <c r="X455" s="307"/>
      <c r="Y455" s="307"/>
      <c r="Z455" s="307"/>
      <c r="AA455" s="307"/>
      <c r="AB455" s="311"/>
      <c r="AC455" s="307"/>
      <c r="AD455" s="307"/>
      <c r="AE455" s="307"/>
      <c r="AF455" s="307"/>
      <c r="AG455" s="310"/>
      <c r="AH455" s="307"/>
      <c r="AI455" s="310"/>
      <c r="AJ455" s="307"/>
      <c r="AK455" s="307"/>
      <c r="AL455" s="307"/>
      <c r="AM455" s="308"/>
      <c r="AN455" s="311"/>
      <c r="AO455" s="307"/>
      <c r="AP455" s="307"/>
      <c r="AQ455" s="308"/>
      <c r="AR455" s="307"/>
      <c r="AS455" s="307"/>
      <c r="AT455" s="307"/>
      <c r="AU455" s="310"/>
      <c r="AV455" s="308"/>
      <c r="AW455" s="312"/>
      <c r="AX455" s="308"/>
      <c r="AY455" s="307"/>
      <c r="AZ455" s="307"/>
      <c r="BA455" s="307"/>
      <c r="BB455" s="307"/>
      <c r="BC455" s="308"/>
      <c r="BD455" s="308"/>
      <c r="BE455" s="313"/>
      <c r="BF455" s="307"/>
      <c r="BG455" s="310"/>
      <c r="BH455" s="307"/>
      <c r="BI455" s="307"/>
      <c r="BJ455" s="310"/>
      <c r="BK455" s="307"/>
      <c r="BL455" s="307"/>
      <c r="BM455" s="310"/>
      <c r="BN455" s="307"/>
      <c r="BO455" s="310"/>
      <c r="BP455" s="307"/>
      <c r="BQ455" s="307"/>
      <c r="BR455" s="307"/>
      <c r="BS455" s="307"/>
      <c r="BT455" s="307"/>
      <c r="BU455" s="310"/>
      <c r="BV455" s="307"/>
      <c r="BW455" s="308"/>
      <c r="BX455" s="311"/>
      <c r="BY455" s="307"/>
      <c r="BZ455" s="307"/>
      <c r="CA455" s="310"/>
      <c r="CB455" s="307"/>
      <c r="CC455" s="307"/>
      <c r="CD455" s="307"/>
      <c r="CE455" s="308"/>
      <c r="CF455" s="308"/>
      <c r="CG455" s="307"/>
      <c r="CH455" s="307"/>
      <c r="CI455" s="307"/>
      <c r="CJ455" s="307"/>
      <c r="CK455" s="314"/>
      <c r="CL455" s="310"/>
      <c r="CM455" s="310"/>
      <c r="CN455" s="307"/>
      <c r="CO455" s="307"/>
      <c r="CP455" s="307"/>
      <c r="CQ455" s="315"/>
      <c r="CR455" s="315"/>
      <c r="CS455" s="315"/>
      <c r="CT455" s="315"/>
      <c r="CU455" s="307"/>
      <c r="CV455" s="217"/>
      <c r="CW455" s="192"/>
      <c r="CX455" s="192"/>
      <c r="CY455" s="192"/>
      <c r="CZ455" s="191"/>
      <c r="DA455" s="193"/>
      <c r="DB455" s="192"/>
      <c r="DC455" s="192"/>
      <c r="DD455" s="192"/>
      <c r="DE455" s="191"/>
      <c r="DF455" s="19"/>
      <c r="DG455" s="192"/>
      <c r="DH455" s="192"/>
      <c r="DI455" s="192"/>
      <c r="DJ455" s="191"/>
      <c r="DK455" s="193"/>
      <c r="DL455" s="192"/>
      <c r="DM455" s="192"/>
      <c r="DN455" s="192"/>
      <c r="DO455" s="191"/>
      <c r="DP455" s="19"/>
      <c r="DQ455" s="192"/>
      <c r="DR455" s="192"/>
      <c r="DS455" s="192"/>
      <c r="DT455" s="191"/>
      <c r="DU455" s="193"/>
      <c r="DV455" s="192"/>
      <c r="DW455" s="192"/>
      <c r="DX455" s="192"/>
      <c r="DY455" s="191"/>
      <c r="DZ455" s="19"/>
      <c r="EA455" s="192"/>
      <c r="EB455" s="192"/>
      <c r="EC455" s="192"/>
      <c r="ED455" s="191"/>
      <c r="EE455" s="193"/>
      <c r="EF455" s="192"/>
      <c r="EG455" s="192"/>
      <c r="EH455" s="192"/>
      <c r="EI455" s="191"/>
      <c r="EJ455" s="19"/>
      <c r="EK455" s="192"/>
      <c r="EL455" s="192"/>
      <c r="EM455" s="192"/>
      <c r="EN455" s="191"/>
      <c r="EO455" s="193"/>
      <c r="EP455" s="192"/>
      <c r="EQ455" s="192"/>
      <c r="ER455" s="192"/>
      <c r="ES455" s="191"/>
      <c r="ET455" s="19"/>
      <c r="EU455" s="192"/>
      <c r="EV455" s="192"/>
      <c r="EW455" s="192"/>
      <c r="EX455" s="191"/>
      <c r="EY455" s="193"/>
      <c r="EZ455" s="192"/>
      <c r="FA455" s="192"/>
      <c r="FB455" s="192"/>
      <c r="FC455" s="191"/>
      <c r="FL455" s="273">
        <f t="shared" ca="1" si="23"/>
        <v>116</v>
      </c>
    </row>
    <row r="456" spans="1:168" ht="16.5" thickBot="1">
      <c r="A456" s="196">
        <v>453</v>
      </c>
      <c r="B456" s="306"/>
      <c r="C456" s="310"/>
      <c r="D456" s="307" t="s">
        <v>271</v>
      </c>
      <c r="E456" s="307" t="s">
        <v>271</v>
      </c>
      <c r="F456" s="308"/>
      <c r="G456" s="343" t="str">
        <f t="shared" si="21"/>
        <v xml:space="preserve"> </v>
      </c>
      <c r="H456" s="307"/>
      <c r="I456" s="309" t="e">
        <f t="shared" si="22"/>
        <v>#N/A</v>
      </c>
      <c r="J456" s="307"/>
      <c r="K456" s="307"/>
      <c r="L456" s="310"/>
      <c r="M456" s="310"/>
      <c r="N456" s="310"/>
      <c r="O456" s="310"/>
      <c r="P456" s="310"/>
      <c r="Q456" s="310"/>
      <c r="R456" s="310"/>
      <c r="S456" s="310"/>
      <c r="T456" s="310"/>
      <c r="U456" s="307"/>
      <c r="V456" s="307"/>
      <c r="W456" s="311"/>
      <c r="X456" s="307"/>
      <c r="Y456" s="307"/>
      <c r="Z456" s="307"/>
      <c r="AA456" s="307"/>
      <c r="AB456" s="311"/>
      <c r="AC456" s="307"/>
      <c r="AD456" s="307"/>
      <c r="AE456" s="307"/>
      <c r="AF456" s="307"/>
      <c r="AG456" s="310"/>
      <c r="AH456" s="307"/>
      <c r="AI456" s="310"/>
      <c r="AJ456" s="307"/>
      <c r="AK456" s="307"/>
      <c r="AL456" s="307"/>
      <c r="AM456" s="308"/>
      <c r="AN456" s="311"/>
      <c r="AO456" s="307"/>
      <c r="AP456" s="307"/>
      <c r="AQ456" s="308"/>
      <c r="AR456" s="307"/>
      <c r="AS456" s="307"/>
      <c r="AT456" s="307"/>
      <c r="AU456" s="310"/>
      <c r="AV456" s="308"/>
      <c r="AW456" s="312"/>
      <c r="AX456" s="308"/>
      <c r="AY456" s="307"/>
      <c r="AZ456" s="307"/>
      <c r="BA456" s="307"/>
      <c r="BB456" s="307"/>
      <c r="BC456" s="308"/>
      <c r="BD456" s="308"/>
      <c r="BE456" s="313"/>
      <c r="BF456" s="307"/>
      <c r="BG456" s="310"/>
      <c r="BH456" s="307"/>
      <c r="BI456" s="307"/>
      <c r="BJ456" s="310"/>
      <c r="BK456" s="307"/>
      <c r="BL456" s="307"/>
      <c r="BM456" s="310"/>
      <c r="BN456" s="307"/>
      <c r="BO456" s="310"/>
      <c r="BP456" s="307"/>
      <c r="BQ456" s="307"/>
      <c r="BR456" s="307"/>
      <c r="BS456" s="307"/>
      <c r="BT456" s="307"/>
      <c r="BU456" s="310"/>
      <c r="BV456" s="307"/>
      <c r="BW456" s="308"/>
      <c r="BX456" s="311"/>
      <c r="BY456" s="307"/>
      <c r="BZ456" s="307"/>
      <c r="CA456" s="310"/>
      <c r="CB456" s="307"/>
      <c r="CC456" s="307"/>
      <c r="CD456" s="307"/>
      <c r="CE456" s="308"/>
      <c r="CF456" s="308"/>
      <c r="CG456" s="307"/>
      <c r="CH456" s="307"/>
      <c r="CI456" s="307"/>
      <c r="CJ456" s="307"/>
      <c r="CK456" s="314"/>
      <c r="CL456" s="310"/>
      <c r="CM456" s="310"/>
      <c r="CN456" s="307"/>
      <c r="CO456" s="307"/>
      <c r="CP456" s="307"/>
      <c r="CQ456" s="315"/>
      <c r="CR456" s="315"/>
      <c r="CS456" s="315"/>
      <c r="CT456" s="315"/>
      <c r="CU456" s="307"/>
      <c r="CV456" s="217"/>
      <c r="CW456" s="192"/>
      <c r="CX456" s="192"/>
      <c r="CY456" s="192"/>
      <c r="CZ456" s="191"/>
      <c r="DA456" s="193"/>
      <c r="DB456" s="192"/>
      <c r="DC456" s="192"/>
      <c r="DD456" s="192"/>
      <c r="DE456" s="191"/>
      <c r="DF456" s="19"/>
      <c r="DG456" s="192"/>
      <c r="DH456" s="192"/>
      <c r="DI456" s="192"/>
      <c r="DJ456" s="191"/>
      <c r="DK456" s="193"/>
      <c r="DL456" s="192"/>
      <c r="DM456" s="192"/>
      <c r="DN456" s="192"/>
      <c r="DO456" s="191"/>
      <c r="DP456" s="19"/>
      <c r="DQ456" s="192"/>
      <c r="DR456" s="192"/>
      <c r="DS456" s="192"/>
      <c r="DT456" s="191"/>
      <c r="DU456" s="193"/>
      <c r="DV456" s="192"/>
      <c r="DW456" s="192"/>
      <c r="DX456" s="192"/>
      <c r="DY456" s="191"/>
      <c r="DZ456" s="19"/>
      <c r="EA456" s="192"/>
      <c r="EB456" s="192"/>
      <c r="EC456" s="192"/>
      <c r="ED456" s="191"/>
      <c r="EE456" s="193"/>
      <c r="EF456" s="192"/>
      <c r="EG456" s="192"/>
      <c r="EH456" s="192"/>
      <c r="EI456" s="191"/>
      <c r="EJ456" s="19"/>
      <c r="EK456" s="192"/>
      <c r="EL456" s="192"/>
      <c r="EM456" s="192"/>
      <c r="EN456" s="191"/>
      <c r="EO456" s="193"/>
      <c r="EP456" s="192"/>
      <c r="EQ456" s="192"/>
      <c r="ER456" s="192"/>
      <c r="ES456" s="191"/>
      <c r="ET456" s="19"/>
      <c r="EU456" s="192"/>
      <c r="EV456" s="192"/>
      <c r="EW456" s="192"/>
      <c r="EX456" s="191"/>
      <c r="EY456" s="193"/>
      <c r="EZ456" s="192"/>
      <c r="FA456" s="192"/>
      <c r="FB456" s="192"/>
      <c r="FC456" s="191"/>
      <c r="FL456" s="273">
        <f t="shared" ca="1" si="23"/>
        <v>116</v>
      </c>
    </row>
    <row r="457" spans="1:168" ht="16.5" thickBot="1">
      <c r="A457" s="199">
        <v>454</v>
      </c>
      <c r="B457" s="306"/>
      <c r="C457" s="310"/>
      <c r="D457" s="307" t="s">
        <v>271</v>
      </c>
      <c r="E457" s="307" t="s">
        <v>271</v>
      </c>
      <c r="F457" s="308"/>
      <c r="G457" s="343" t="str">
        <f t="shared" si="21"/>
        <v xml:space="preserve"> </v>
      </c>
      <c r="H457" s="307"/>
      <c r="I457" s="309" t="e">
        <f t="shared" si="22"/>
        <v>#N/A</v>
      </c>
      <c r="J457" s="307"/>
      <c r="K457" s="307"/>
      <c r="L457" s="310"/>
      <c r="M457" s="310"/>
      <c r="N457" s="310"/>
      <c r="O457" s="310"/>
      <c r="P457" s="310"/>
      <c r="Q457" s="310"/>
      <c r="R457" s="310"/>
      <c r="S457" s="310"/>
      <c r="T457" s="310"/>
      <c r="U457" s="307"/>
      <c r="V457" s="307"/>
      <c r="W457" s="311"/>
      <c r="X457" s="307"/>
      <c r="Y457" s="307"/>
      <c r="Z457" s="307"/>
      <c r="AA457" s="307"/>
      <c r="AB457" s="311"/>
      <c r="AC457" s="307"/>
      <c r="AD457" s="307"/>
      <c r="AE457" s="307"/>
      <c r="AF457" s="307"/>
      <c r="AG457" s="310"/>
      <c r="AH457" s="307"/>
      <c r="AI457" s="310"/>
      <c r="AJ457" s="307"/>
      <c r="AK457" s="307"/>
      <c r="AL457" s="307"/>
      <c r="AM457" s="308"/>
      <c r="AN457" s="311"/>
      <c r="AO457" s="307"/>
      <c r="AP457" s="307"/>
      <c r="AQ457" s="308"/>
      <c r="AR457" s="307"/>
      <c r="AS457" s="307"/>
      <c r="AT457" s="307"/>
      <c r="AU457" s="310"/>
      <c r="AV457" s="308"/>
      <c r="AW457" s="312"/>
      <c r="AX457" s="308"/>
      <c r="AY457" s="307"/>
      <c r="AZ457" s="307"/>
      <c r="BA457" s="307"/>
      <c r="BB457" s="307"/>
      <c r="BC457" s="308"/>
      <c r="BD457" s="308"/>
      <c r="BE457" s="313"/>
      <c r="BF457" s="307"/>
      <c r="BG457" s="310"/>
      <c r="BH457" s="307"/>
      <c r="BI457" s="307"/>
      <c r="BJ457" s="310"/>
      <c r="BK457" s="307"/>
      <c r="BL457" s="307"/>
      <c r="BM457" s="310"/>
      <c r="BN457" s="307"/>
      <c r="BO457" s="310"/>
      <c r="BP457" s="307"/>
      <c r="BQ457" s="307"/>
      <c r="BR457" s="307"/>
      <c r="BS457" s="307"/>
      <c r="BT457" s="307"/>
      <c r="BU457" s="310"/>
      <c r="BV457" s="307"/>
      <c r="BW457" s="308"/>
      <c r="BX457" s="311"/>
      <c r="BY457" s="307"/>
      <c r="BZ457" s="307"/>
      <c r="CA457" s="310"/>
      <c r="CB457" s="307"/>
      <c r="CC457" s="307"/>
      <c r="CD457" s="307"/>
      <c r="CE457" s="308"/>
      <c r="CF457" s="308"/>
      <c r="CG457" s="307"/>
      <c r="CH457" s="307"/>
      <c r="CI457" s="307"/>
      <c r="CJ457" s="307"/>
      <c r="CK457" s="314"/>
      <c r="CL457" s="310"/>
      <c r="CM457" s="310"/>
      <c r="CN457" s="307"/>
      <c r="CO457" s="307"/>
      <c r="CP457" s="307"/>
      <c r="CQ457" s="315"/>
      <c r="CR457" s="315"/>
      <c r="CS457" s="315"/>
      <c r="CT457" s="315"/>
      <c r="CU457" s="307"/>
      <c r="CV457" s="217"/>
      <c r="CW457" s="192"/>
      <c r="CX457" s="192"/>
      <c r="CY457" s="192"/>
      <c r="CZ457" s="191"/>
      <c r="DA457" s="193"/>
      <c r="DB457" s="192"/>
      <c r="DC457" s="192"/>
      <c r="DD457" s="192"/>
      <c r="DE457" s="191"/>
      <c r="DF457" s="19"/>
      <c r="DG457" s="192"/>
      <c r="DH457" s="192"/>
      <c r="DI457" s="192"/>
      <c r="DJ457" s="191"/>
      <c r="DK457" s="193"/>
      <c r="DL457" s="192"/>
      <c r="DM457" s="192"/>
      <c r="DN457" s="192"/>
      <c r="DO457" s="191"/>
      <c r="DP457" s="19"/>
      <c r="DQ457" s="192"/>
      <c r="DR457" s="192"/>
      <c r="DS457" s="192"/>
      <c r="DT457" s="191"/>
      <c r="DU457" s="193"/>
      <c r="DV457" s="192"/>
      <c r="DW457" s="192"/>
      <c r="DX457" s="192"/>
      <c r="DY457" s="191"/>
      <c r="DZ457" s="19"/>
      <c r="EA457" s="192"/>
      <c r="EB457" s="192"/>
      <c r="EC457" s="192"/>
      <c r="ED457" s="191"/>
      <c r="EE457" s="193"/>
      <c r="EF457" s="192"/>
      <c r="EG457" s="192"/>
      <c r="EH457" s="192"/>
      <c r="EI457" s="191"/>
      <c r="EJ457" s="19"/>
      <c r="EK457" s="192"/>
      <c r="EL457" s="192"/>
      <c r="EM457" s="192"/>
      <c r="EN457" s="191"/>
      <c r="EO457" s="193"/>
      <c r="EP457" s="192"/>
      <c r="EQ457" s="192"/>
      <c r="ER457" s="192"/>
      <c r="ES457" s="191"/>
      <c r="ET457" s="19"/>
      <c r="EU457" s="192"/>
      <c r="EV457" s="192"/>
      <c r="EW457" s="192"/>
      <c r="EX457" s="191"/>
      <c r="EY457" s="193"/>
      <c r="EZ457" s="192"/>
      <c r="FA457" s="192"/>
      <c r="FB457" s="192"/>
      <c r="FC457" s="191"/>
      <c r="FL457" s="273">
        <f t="shared" ca="1" si="23"/>
        <v>116</v>
      </c>
    </row>
    <row r="458" spans="1:168" ht="16.5" thickBot="1">
      <c r="A458" s="196">
        <v>455</v>
      </c>
      <c r="B458" s="306"/>
      <c r="C458" s="310"/>
      <c r="D458" s="307" t="s">
        <v>271</v>
      </c>
      <c r="E458" s="307" t="s">
        <v>271</v>
      </c>
      <c r="F458" s="308"/>
      <c r="G458" s="343" t="str">
        <f t="shared" si="21"/>
        <v xml:space="preserve"> </v>
      </c>
      <c r="H458" s="307"/>
      <c r="I458" s="309" t="e">
        <f t="shared" si="22"/>
        <v>#N/A</v>
      </c>
      <c r="J458" s="307"/>
      <c r="K458" s="307"/>
      <c r="L458" s="310"/>
      <c r="M458" s="310"/>
      <c r="N458" s="310"/>
      <c r="O458" s="310"/>
      <c r="P458" s="310"/>
      <c r="Q458" s="310"/>
      <c r="R458" s="310"/>
      <c r="S458" s="310"/>
      <c r="T458" s="310"/>
      <c r="U458" s="307"/>
      <c r="V458" s="307"/>
      <c r="W458" s="311"/>
      <c r="X458" s="307"/>
      <c r="Y458" s="307"/>
      <c r="Z458" s="307"/>
      <c r="AA458" s="307"/>
      <c r="AB458" s="311"/>
      <c r="AC458" s="307"/>
      <c r="AD458" s="307"/>
      <c r="AE458" s="307"/>
      <c r="AF458" s="307"/>
      <c r="AG458" s="310"/>
      <c r="AH458" s="307"/>
      <c r="AI458" s="310"/>
      <c r="AJ458" s="307"/>
      <c r="AK458" s="307"/>
      <c r="AL458" s="307"/>
      <c r="AM458" s="308"/>
      <c r="AN458" s="311"/>
      <c r="AO458" s="307"/>
      <c r="AP458" s="307"/>
      <c r="AQ458" s="308"/>
      <c r="AR458" s="307"/>
      <c r="AS458" s="307"/>
      <c r="AT458" s="307"/>
      <c r="AU458" s="310"/>
      <c r="AV458" s="308"/>
      <c r="AW458" s="312"/>
      <c r="AX458" s="308"/>
      <c r="AY458" s="307"/>
      <c r="AZ458" s="307"/>
      <c r="BA458" s="307"/>
      <c r="BB458" s="307"/>
      <c r="BC458" s="308"/>
      <c r="BD458" s="308"/>
      <c r="BE458" s="313"/>
      <c r="BF458" s="307"/>
      <c r="BG458" s="310"/>
      <c r="BH458" s="307"/>
      <c r="BI458" s="307"/>
      <c r="BJ458" s="310"/>
      <c r="BK458" s="307"/>
      <c r="BL458" s="307"/>
      <c r="BM458" s="310"/>
      <c r="BN458" s="307"/>
      <c r="BO458" s="310"/>
      <c r="BP458" s="307"/>
      <c r="BQ458" s="307"/>
      <c r="BR458" s="307"/>
      <c r="BS458" s="307"/>
      <c r="BT458" s="307"/>
      <c r="BU458" s="310"/>
      <c r="BV458" s="307"/>
      <c r="BW458" s="308"/>
      <c r="BX458" s="311"/>
      <c r="BY458" s="307"/>
      <c r="BZ458" s="307"/>
      <c r="CA458" s="310"/>
      <c r="CB458" s="307"/>
      <c r="CC458" s="307"/>
      <c r="CD458" s="307"/>
      <c r="CE458" s="308"/>
      <c r="CF458" s="308"/>
      <c r="CG458" s="307"/>
      <c r="CH458" s="307"/>
      <c r="CI458" s="307"/>
      <c r="CJ458" s="307"/>
      <c r="CK458" s="314"/>
      <c r="CL458" s="310"/>
      <c r="CM458" s="310"/>
      <c r="CN458" s="307"/>
      <c r="CO458" s="307"/>
      <c r="CP458" s="307"/>
      <c r="CQ458" s="315"/>
      <c r="CR458" s="315"/>
      <c r="CS458" s="315"/>
      <c r="CT458" s="315"/>
      <c r="CU458" s="307"/>
      <c r="CV458" s="217"/>
      <c r="CW458" s="192"/>
      <c r="CX458" s="192"/>
      <c r="CY458" s="192"/>
      <c r="CZ458" s="191"/>
      <c r="DA458" s="193"/>
      <c r="DB458" s="192"/>
      <c r="DC458" s="192"/>
      <c r="DD458" s="192"/>
      <c r="DE458" s="191"/>
      <c r="DF458" s="19"/>
      <c r="DG458" s="192"/>
      <c r="DH458" s="192"/>
      <c r="DI458" s="192"/>
      <c r="DJ458" s="191"/>
      <c r="DK458" s="193"/>
      <c r="DL458" s="192"/>
      <c r="DM458" s="192"/>
      <c r="DN458" s="192"/>
      <c r="DO458" s="191"/>
      <c r="DP458" s="19"/>
      <c r="DQ458" s="192"/>
      <c r="DR458" s="192"/>
      <c r="DS458" s="192"/>
      <c r="DT458" s="191"/>
      <c r="DU458" s="193"/>
      <c r="DV458" s="192"/>
      <c r="DW458" s="192"/>
      <c r="DX458" s="192"/>
      <c r="DY458" s="191"/>
      <c r="DZ458" s="19"/>
      <c r="EA458" s="192"/>
      <c r="EB458" s="192"/>
      <c r="EC458" s="192"/>
      <c r="ED458" s="191"/>
      <c r="EE458" s="193"/>
      <c r="EF458" s="192"/>
      <c r="EG458" s="192"/>
      <c r="EH458" s="192"/>
      <c r="EI458" s="191"/>
      <c r="EJ458" s="19"/>
      <c r="EK458" s="192"/>
      <c r="EL458" s="192"/>
      <c r="EM458" s="192"/>
      <c r="EN458" s="191"/>
      <c r="EO458" s="193"/>
      <c r="EP458" s="192"/>
      <c r="EQ458" s="192"/>
      <c r="ER458" s="192"/>
      <c r="ES458" s="191"/>
      <c r="ET458" s="19"/>
      <c r="EU458" s="192"/>
      <c r="EV458" s="192"/>
      <c r="EW458" s="192"/>
      <c r="EX458" s="191"/>
      <c r="EY458" s="193"/>
      <c r="EZ458" s="192"/>
      <c r="FA458" s="192"/>
      <c r="FB458" s="192"/>
      <c r="FC458" s="191"/>
      <c r="FL458" s="273">
        <f t="shared" ca="1" si="23"/>
        <v>116</v>
      </c>
    </row>
    <row r="459" spans="1:168" ht="16.5" thickBot="1">
      <c r="A459" s="199">
        <v>456</v>
      </c>
      <c r="B459" s="306"/>
      <c r="C459" s="310"/>
      <c r="D459" s="307" t="s">
        <v>271</v>
      </c>
      <c r="E459" s="307" t="s">
        <v>271</v>
      </c>
      <c r="F459" s="308"/>
      <c r="G459" s="343" t="str">
        <f t="shared" si="21"/>
        <v xml:space="preserve"> </v>
      </c>
      <c r="H459" s="307"/>
      <c r="I459" s="309" t="e">
        <f t="shared" si="22"/>
        <v>#N/A</v>
      </c>
      <c r="J459" s="307"/>
      <c r="K459" s="307"/>
      <c r="L459" s="310"/>
      <c r="M459" s="310"/>
      <c r="N459" s="310"/>
      <c r="O459" s="310"/>
      <c r="P459" s="310"/>
      <c r="Q459" s="310"/>
      <c r="R459" s="310"/>
      <c r="S459" s="310"/>
      <c r="T459" s="310"/>
      <c r="U459" s="307"/>
      <c r="V459" s="307"/>
      <c r="W459" s="311"/>
      <c r="X459" s="307"/>
      <c r="Y459" s="307"/>
      <c r="Z459" s="307"/>
      <c r="AA459" s="307"/>
      <c r="AB459" s="311"/>
      <c r="AC459" s="307"/>
      <c r="AD459" s="307"/>
      <c r="AE459" s="307"/>
      <c r="AF459" s="307"/>
      <c r="AG459" s="310"/>
      <c r="AH459" s="307"/>
      <c r="AI459" s="310"/>
      <c r="AJ459" s="307"/>
      <c r="AK459" s="307"/>
      <c r="AL459" s="307"/>
      <c r="AM459" s="308"/>
      <c r="AN459" s="311"/>
      <c r="AO459" s="307"/>
      <c r="AP459" s="307"/>
      <c r="AQ459" s="308"/>
      <c r="AR459" s="307"/>
      <c r="AS459" s="307"/>
      <c r="AT459" s="307"/>
      <c r="AU459" s="310"/>
      <c r="AV459" s="308"/>
      <c r="AW459" s="312"/>
      <c r="AX459" s="308"/>
      <c r="AY459" s="307"/>
      <c r="AZ459" s="307"/>
      <c r="BA459" s="307"/>
      <c r="BB459" s="307"/>
      <c r="BC459" s="308"/>
      <c r="BD459" s="308"/>
      <c r="BE459" s="313"/>
      <c r="BF459" s="307"/>
      <c r="BG459" s="310"/>
      <c r="BH459" s="307"/>
      <c r="BI459" s="307"/>
      <c r="BJ459" s="310"/>
      <c r="BK459" s="307"/>
      <c r="BL459" s="307"/>
      <c r="BM459" s="310"/>
      <c r="BN459" s="307"/>
      <c r="BO459" s="310"/>
      <c r="BP459" s="307"/>
      <c r="BQ459" s="307"/>
      <c r="BR459" s="307"/>
      <c r="BS459" s="307"/>
      <c r="BT459" s="307"/>
      <c r="BU459" s="310"/>
      <c r="BV459" s="307"/>
      <c r="BW459" s="308"/>
      <c r="BX459" s="311"/>
      <c r="BY459" s="307"/>
      <c r="BZ459" s="307"/>
      <c r="CA459" s="310"/>
      <c r="CB459" s="307"/>
      <c r="CC459" s="307"/>
      <c r="CD459" s="307"/>
      <c r="CE459" s="308"/>
      <c r="CF459" s="308"/>
      <c r="CG459" s="307"/>
      <c r="CH459" s="307"/>
      <c r="CI459" s="307"/>
      <c r="CJ459" s="307"/>
      <c r="CK459" s="314"/>
      <c r="CL459" s="310"/>
      <c r="CM459" s="310"/>
      <c r="CN459" s="307"/>
      <c r="CO459" s="307"/>
      <c r="CP459" s="307"/>
      <c r="CQ459" s="315"/>
      <c r="CR459" s="315"/>
      <c r="CS459" s="315"/>
      <c r="CT459" s="315"/>
      <c r="CU459" s="307"/>
      <c r="CV459" s="217"/>
      <c r="CW459" s="192"/>
      <c r="CX459" s="192"/>
      <c r="CY459" s="192"/>
      <c r="CZ459" s="191"/>
      <c r="DA459" s="193"/>
      <c r="DB459" s="192"/>
      <c r="DC459" s="192"/>
      <c r="DD459" s="192"/>
      <c r="DE459" s="191"/>
      <c r="DF459" s="19"/>
      <c r="DG459" s="192"/>
      <c r="DH459" s="192"/>
      <c r="DI459" s="192"/>
      <c r="DJ459" s="191"/>
      <c r="DK459" s="193"/>
      <c r="DL459" s="192"/>
      <c r="DM459" s="192"/>
      <c r="DN459" s="192"/>
      <c r="DO459" s="191"/>
      <c r="DP459" s="19"/>
      <c r="DQ459" s="192"/>
      <c r="DR459" s="192"/>
      <c r="DS459" s="192"/>
      <c r="DT459" s="191"/>
      <c r="DU459" s="193"/>
      <c r="DV459" s="192"/>
      <c r="DW459" s="192"/>
      <c r="DX459" s="192"/>
      <c r="DY459" s="191"/>
      <c r="DZ459" s="19"/>
      <c r="EA459" s="192"/>
      <c r="EB459" s="192"/>
      <c r="EC459" s="192"/>
      <c r="ED459" s="191"/>
      <c r="EE459" s="193"/>
      <c r="EF459" s="192"/>
      <c r="EG459" s="192"/>
      <c r="EH459" s="192"/>
      <c r="EI459" s="191"/>
      <c r="EJ459" s="19"/>
      <c r="EK459" s="192"/>
      <c r="EL459" s="192"/>
      <c r="EM459" s="192"/>
      <c r="EN459" s="191"/>
      <c r="EO459" s="193"/>
      <c r="EP459" s="192"/>
      <c r="EQ459" s="192"/>
      <c r="ER459" s="192"/>
      <c r="ES459" s="191"/>
      <c r="ET459" s="19"/>
      <c r="EU459" s="192"/>
      <c r="EV459" s="192"/>
      <c r="EW459" s="192"/>
      <c r="EX459" s="191"/>
      <c r="EY459" s="193"/>
      <c r="EZ459" s="192"/>
      <c r="FA459" s="192"/>
      <c r="FB459" s="192"/>
      <c r="FC459" s="191"/>
      <c r="FL459" s="273">
        <f t="shared" ca="1" si="23"/>
        <v>116</v>
      </c>
    </row>
    <row r="460" spans="1:168" ht="16.5" thickBot="1">
      <c r="A460" s="196">
        <v>457</v>
      </c>
      <c r="B460" s="306"/>
      <c r="C460" s="310"/>
      <c r="D460" s="307" t="s">
        <v>271</v>
      </c>
      <c r="E460" s="307" t="s">
        <v>271</v>
      </c>
      <c r="F460" s="308"/>
      <c r="G460" s="343" t="str">
        <f t="shared" si="21"/>
        <v xml:space="preserve"> </v>
      </c>
      <c r="H460" s="307"/>
      <c r="I460" s="309" t="e">
        <f t="shared" si="22"/>
        <v>#N/A</v>
      </c>
      <c r="J460" s="307"/>
      <c r="K460" s="307"/>
      <c r="L460" s="310"/>
      <c r="M460" s="310"/>
      <c r="N460" s="310"/>
      <c r="O460" s="310"/>
      <c r="P460" s="310"/>
      <c r="Q460" s="310"/>
      <c r="R460" s="310"/>
      <c r="S460" s="310"/>
      <c r="T460" s="310"/>
      <c r="U460" s="307"/>
      <c r="V460" s="307"/>
      <c r="W460" s="311"/>
      <c r="X460" s="307"/>
      <c r="Y460" s="307"/>
      <c r="Z460" s="307"/>
      <c r="AA460" s="307"/>
      <c r="AB460" s="311"/>
      <c r="AC460" s="307"/>
      <c r="AD460" s="307"/>
      <c r="AE460" s="307"/>
      <c r="AF460" s="307"/>
      <c r="AG460" s="310"/>
      <c r="AH460" s="307"/>
      <c r="AI460" s="310"/>
      <c r="AJ460" s="307"/>
      <c r="AK460" s="307"/>
      <c r="AL460" s="307"/>
      <c r="AM460" s="308"/>
      <c r="AN460" s="311"/>
      <c r="AO460" s="307"/>
      <c r="AP460" s="307"/>
      <c r="AQ460" s="308"/>
      <c r="AR460" s="307"/>
      <c r="AS460" s="307"/>
      <c r="AT460" s="307"/>
      <c r="AU460" s="310"/>
      <c r="AV460" s="308"/>
      <c r="AW460" s="312"/>
      <c r="AX460" s="308"/>
      <c r="AY460" s="307"/>
      <c r="AZ460" s="307"/>
      <c r="BA460" s="307"/>
      <c r="BB460" s="307"/>
      <c r="BC460" s="308"/>
      <c r="BD460" s="308"/>
      <c r="BE460" s="313"/>
      <c r="BF460" s="307"/>
      <c r="BG460" s="310"/>
      <c r="BH460" s="307"/>
      <c r="BI460" s="307"/>
      <c r="BJ460" s="310"/>
      <c r="BK460" s="307"/>
      <c r="BL460" s="307"/>
      <c r="BM460" s="310"/>
      <c r="BN460" s="307"/>
      <c r="BO460" s="310"/>
      <c r="BP460" s="307"/>
      <c r="BQ460" s="307"/>
      <c r="BR460" s="307"/>
      <c r="BS460" s="307"/>
      <c r="BT460" s="307"/>
      <c r="BU460" s="310"/>
      <c r="BV460" s="307"/>
      <c r="BW460" s="308"/>
      <c r="BX460" s="311"/>
      <c r="BY460" s="307"/>
      <c r="BZ460" s="307"/>
      <c r="CA460" s="310"/>
      <c r="CB460" s="307"/>
      <c r="CC460" s="307"/>
      <c r="CD460" s="307"/>
      <c r="CE460" s="308"/>
      <c r="CF460" s="308"/>
      <c r="CG460" s="307"/>
      <c r="CH460" s="307"/>
      <c r="CI460" s="307"/>
      <c r="CJ460" s="307"/>
      <c r="CK460" s="314"/>
      <c r="CL460" s="310"/>
      <c r="CM460" s="310"/>
      <c r="CN460" s="307"/>
      <c r="CO460" s="307"/>
      <c r="CP460" s="307"/>
      <c r="CQ460" s="315"/>
      <c r="CR460" s="315"/>
      <c r="CS460" s="315"/>
      <c r="CT460" s="315"/>
      <c r="CU460" s="307"/>
      <c r="CV460" s="217"/>
      <c r="CW460" s="192"/>
      <c r="CX460" s="192"/>
      <c r="CY460" s="192"/>
      <c r="CZ460" s="191"/>
      <c r="DA460" s="193"/>
      <c r="DB460" s="192"/>
      <c r="DC460" s="192"/>
      <c r="DD460" s="192"/>
      <c r="DE460" s="191"/>
      <c r="DF460" s="19"/>
      <c r="DG460" s="192"/>
      <c r="DH460" s="192"/>
      <c r="DI460" s="192"/>
      <c r="DJ460" s="191"/>
      <c r="DK460" s="193"/>
      <c r="DL460" s="192"/>
      <c r="DM460" s="192"/>
      <c r="DN460" s="192"/>
      <c r="DO460" s="191"/>
      <c r="DP460" s="19"/>
      <c r="DQ460" s="192"/>
      <c r="DR460" s="192"/>
      <c r="DS460" s="192"/>
      <c r="DT460" s="191"/>
      <c r="DU460" s="193"/>
      <c r="DV460" s="192"/>
      <c r="DW460" s="192"/>
      <c r="DX460" s="192"/>
      <c r="DY460" s="191"/>
      <c r="DZ460" s="19"/>
      <c r="EA460" s="192"/>
      <c r="EB460" s="192"/>
      <c r="EC460" s="192"/>
      <c r="ED460" s="191"/>
      <c r="EE460" s="193"/>
      <c r="EF460" s="192"/>
      <c r="EG460" s="192"/>
      <c r="EH460" s="192"/>
      <c r="EI460" s="191"/>
      <c r="EJ460" s="19"/>
      <c r="EK460" s="192"/>
      <c r="EL460" s="192"/>
      <c r="EM460" s="192"/>
      <c r="EN460" s="191"/>
      <c r="EO460" s="193"/>
      <c r="EP460" s="192"/>
      <c r="EQ460" s="192"/>
      <c r="ER460" s="192"/>
      <c r="ES460" s="191"/>
      <c r="ET460" s="19"/>
      <c r="EU460" s="192"/>
      <c r="EV460" s="192"/>
      <c r="EW460" s="192"/>
      <c r="EX460" s="191"/>
      <c r="EY460" s="193"/>
      <c r="EZ460" s="192"/>
      <c r="FA460" s="192"/>
      <c r="FB460" s="192"/>
      <c r="FC460" s="191"/>
      <c r="FL460" s="273">
        <f t="shared" ca="1" si="23"/>
        <v>116</v>
      </c>
    </row>
    <row r="461" spans="1:168" ht="16.5" thickBot="1">
      <c r="A461" s="199">
        <v>458</v>
      </c>
      <c r="B461" s="306"/>
      <c r="C461" s="310"/>
      <c r="D461" s="307" t="s">
        <v>271</v>
      </c>
      <c r="E461" s="307" t="s">
        <v>271</v>
      </c>
      <c r="F461" s="308"/>
      <c r="G461" s="343" t="str">
        <f t="shared" si="21"/>
        <v xml:space="preserve"> </v>
      </c>
      <c r="H461" s="307"/>
      <c r="I461" s="309" t="e">
        <f t="shared" si="22"/>
        <v>#N/A</v>
      </c>
      <c r="J461" s="307"/>
      <c r="K461" s="307"/>
      <c r="L461" s="310"/>
      <c r="M461" s="310"/>
      <c r="N461" s="310"/>
      <c r="O461" s="310"/>
      <c r="P461" s="310"/>
      <c r="Q461" s="310"/>
      <c r="R461" s="310"/>
      <c r="S461" s="310"/>
      <c r="T461" s="310"/>
      <c r="U461" s="307"/>
      <c r="V461" s="307"/>
      <c r="W461" s="311"/>
      <c r="X461" s="307"/>
      <c r="Y461" s="307"/>
      <c r="Z461" s="307"/>
      <c r="AA461" s="307"/>
      <c r="AB461" s="311"/>
      <c r="AC461" s="307"/>
      <c r="AD461" s="307"/>
      <c r="AE461" s="307"/>
      <c r="AF461" s="307"/>
      <c r="AG461" s="310"/>
      <c r="AH461" s="307"/>
      <c r="AI461" s="310"/>
      <c r="AJ461" s="307"/>
      <c r="AK461" s="307"/>
      <c r="AL461" s="307"/>
      <c r="AM461" s="308"/>
      <c r="AN461" s="311"/>
      <c r="AO461" s="307"/>
      <c r="AP461" s="307"/>
      <c r="AQ461" s="308"/>
      <c r="AR461" s="307"/>
      <c r="AS461" s="307"/>
      <c r="AT461" s="307"/>
      <c r="AU461" s="310"/>
      <c r="AV461" s="308"/>
      <c r="AW461" s="312"/>
      <c r="AX461" s="308"/>
      <c r="AY461" s="307"/>
      <c r="AZ461" s="307"/>
      <c r="BA461" s="307"/>
      <c r="BB461" s="307"/>
      <c r="BC461" s="308"/>
      <c r="BD461" s="308"/>
      <c r="BE461" s="313"/>
      <c r="BF461" s="307"/>
      <c r="BG461" s="310"/>
      <c r="BH461" s="307"/>
      <c r="BI461" s="307"/>
      <c r="BJ461" s="310"/>
      <c r="BK461" s="307"/>
      <c r="BL461" s="307"/>
      <c r="BM461" s="310"/>
      <c r="BN461" s="307"/>
      <c r="BO461" s="310"/>
      <c r="BP461" s="307"/>
      <c r="BQ461" s="307"/>
      <c r="BR461" s="307"/>
      <c r="BS461" s="307"/>
      <c r="BT461" s="307"/>
      <c r="BU461" s="310"/>
      <c r="BV461" s="307"/>
      <c r="BW461" s="308"/>
      <c r="BX461" s="311"/>
      <c r="BY461" s="307"/>
      <c r="BZ461" s="307"/>
      <c r="CA461" s="310"/>
      <c r="CB461" s="307"/>
      <c r="CC461" s="307"/>
      <c r="CD461" s="307"/>
      <c r="CE461" s="308"/>
      <c r="CF461" s="308"/>
      <c r="CG461" s="307"/>
      <c r="CH461" s="307"/>
      <c r="CI461" s="307"/>
      <c r="CJ461" s="307"/>
      <c r="CK461" s="314"/>
      <c r="CL461" s="310"/>
      <c r="CM461" s="310"/>
      <c r="CN461" s="307"/>
      <c r="CO461" s="307"/>
      <c r="CP461" s="307"/>
      <c r="CQ461" s="315"/>
      <c r="CR461" s="315"/>
      <c r="CS461" s="315"/>
      <c r="CT461" s="315"/>
      <c r="CU461" s="307"/>
      <c r="CV461" s="217"/>
      <c r="CW461" s="192"/>
      <c r="CX461" s="192"/>
      <c r="CY461" s="192"/>
      <c r="CZ461" s="191"/>
      <c r="DA461" s="193"/>
      <c r="DB461" s="192"/>
      <c r="DC461" s="192"/>
      <c r="DD461" s="192"/>
      <c r="DE461" s="191"/>
      <c r="DF461" s="19"/>
      <c r="DG461" s="192"/>
      <c r="DH461" s="192"/>
      <c r="DI461" s="192"/>
      <c r="DJ461" s="191"/>
      <c r="DK461" s="193"/>
      <c r="DL461" s="192"/>
      <c r="DM461" s="192"/>
      <c r="DN461" s="192"/>
      <c r="DO461" s="191"/>
      <c r="DP461" s="19"/>
      <c r="DQ461" s="192"/>
      <c r="DR461" s="192"/>
      <c r="DS461" s="192"/>
      <c r="DT461" s="191"/>
      <c r="DU461" s="193"/>
      <c r="DV461" s="192"/>
      <c r="DW461" s="192"/>
      <c r="DX461" s="192"/>
      <c r="DY461" s="191"/>
      <c r="DZ461" s="19"/>
      <c r="EA461" s="192"/>
      <c r="EB461" s="192"/>
      <c r="EC461" s="192"/>
      <c r="ED461" s="191"/>
      <c r="EE461" s="193"/>
      <c r="EF461" s="192"/>
      <c r="EG461" s="192"/>
      <c r="EH461" s="192"/>
      <c r="EI461" s="191"/>
      <c r="EJ461" s="19"/>
      <c r="EK461" s="192"/>
      <c r="EL461" s="192"/>
      <c r="EM461" s="192"/>
      <c r="EN461" s="191"/>
      <c r="EO461" s="193"/>
      <c r="EP461" s="192"/>
      <c r="EQ461" s="192"/>
      <c r="ER461" s="192"/>
      <c r="ES461" s="191"/>
      <c r="ET461" s="19"/>
      <c r="EU461" s="192"/>
      <c r="EV461" s="192"/>
      <c r="EW461" s="192"/>
      <c r="EX461" s="191"/>
      <c r="EY461" s="193"/>
      <c r="EZ461" s="192"/>
      <c r="FA461" s="192"/>
      <c r="FB461" s="192"/>
      <c r="FC461" s="191"/>
      <c r="FL461" s="273">
        <f t="shared" ca="1" si="23"/>
        <v>116</v>
      </c>
    </row>
    <row r="462" spans="1:168" ht="16.5" thickBot="1">
      <c r="A462" s="196">
        <v>459</v>
      </c>
      <c r="B462" s="306"/>
      <c r="C462" s="310"/>
      <c r="D462" s="307" t="s">
        <v>271</v>
      </c>
      <c r="E462" s="307" t="s">
        <v>271</v>
      </c>
      <c r="F462" s="308"/>
      <c r="G462" s="343" t="str">
        <f t="shared" si="21"/>
        <v xml:space="preserve"> </v>
      </c>
      <c r="H462" s="307"/>
      <c r="I462" s="309" t="e">
        <f t="shared" si="22"/>
        <v>#N/A</v>
      </c>
      <c r="J462" s="307"/>
      <c r="K462" s="307"/>
      <c r="L462" s="310"/>
      <c r="M462" s="310"/>
      <c r="N462" s="310"/>
      <c r="O462" s="310"/>
      <c r="P462" s="310"/>
      <c r="Q462" s="310"/>
      <c r="R462" s="310"/>
      <c r="S462" s="310"/>
      <c r="T462" s="310"/>
      <c r="U462" s="307"/>
      <c r="V462" s="307"/>
      <c r="W462" s="311"/>
      <c r="X462" s="307"/>
      <c r="Y462" s="307"/>
      <c r="Z462" s="307"/>
      <c r="AA462" s="307"/>
      <c r="AB462" s="311"/>
      <c r="AC462" s="307"/>
      <c r="AD462" s="307"/>
      <c r="AE462" s="307"/>
      <c r="AF462" s="307"/>
      <c r="AG462" s="310"/>
      <c r="AH462" s="307"/>
      <c r="AI462" s="310"/>
      <c r="AJ462" s="307"/>
      <c r="AK462" s="307"/>
      <c r="AL462" s="307"/>
      <c r="AM462" s="308"/>
      <c r="AN462" s="311"/>
      <c r="AO462" s="307"/>
      <c r="AP462" s="307"/>
      <c r="AQ462" s="308"/>
      <c r="AR462" s="307"/>
      <c r="AS462" s="307"/>
      <c r="AT462" s="307"/>
      <c r="AU462" s="310"/>
      <c r="AV462" s="308"/>
      <c r="AW462" s="312"/>
      <c r="AX462" s="308"/>
      <c r="AY462" s="307"/>
      <c r="AZ462" s="307"/>
      <c r="BA462" s="307"/>
      <c r="BB462" s="307"/>
      <c r="BC462" s="308"/>
      <c r="BD462" s="308"/>
      <c r="BE462" s="313"/>
      <c r="BF462" s="307"/>
      <c r="BG462" s="310"/>
      <c r="BH462" s="307"/>
      <c r="BI462" s="307"/>
      <c r="BJ462" s="310"/>
      <c r="BK462" s="307"/>
      <c r="BL462" s="307"/>
      <c r="BM462" s="310"/>
      <c r="BN462" s="307"/>
      <c r="BO462" s="310"/>
      <c r="BP462" s="307"/>
      <c r="BQ462" s="307"/>
      <c r="BR462" s="307"/>
      <c r="BS462" s="307"/>
      <c r="BT462" s="307"/>
      <c r="BU462" s="310"/>
      <c r="BV462" s="307"/>
      <c r="BW462" s="308"/>
      <c r="BX462" s="311"/>
      <c r="BY462" s="307"/>
      <c r="BZ462" s="307"/>
      <c r="CA462" s="310"/>
      <c r="CB462" s="307"/>
      <c r="CC462" s="307"/>
      <c r="CD462" s="307"/>
      <c r="CE462" s="308"/>
      <c r="CF462" s="308"/>
      <c r="CG462" s="307"/>
      <c r="CH462" s="307"/>
      <c r="CI462" s="307"/>
      <c r="CJ462" s="307"/>
      <c r="CK462" s="314"/>
      <c r="CL462" s="310"/>
      <c r="CM462" s="310"/>
      <c r="CN462" s="307"/>
      <c r="CO462" s="307"/>
      <c r="CP462" s="307"/>
      <c r="CQ462" s="315"/>
      <c r="CR462" s="315"/>
      <c r="CS462" s="315"/>
      <c r="CT462" s="315"/>
      <c r="CU462" s="307"/>
      <c r="CV462" s="217"/>
      <c r="CW462" s="192"/>
      <c r="CX462" s="192"/>
      <c r="CY462" s="192"/>
      <c r="CZ462" s="191"/>
      <c r="DA462" s="193"/>
      <c r="DB462" s="192"/>
      <c r="DC462" s="192"/>
      <c r="DD462" s="192"/>
      <c r="DE462" s="191"/>
      <c r="DF462" s="19"/>
      <c r="DG462" s="192"/>
      <c r="DH462" s="192"/>
      <c r="DI462" s="192"/>
      <c r="DJ462" s="191"/>
      <c r="DK462" s="193"/>
      <c r="DL462" s="192"/>
      <c r="DM462" s="192"/>
      <c r="DN462" s="192"/>
      <c r="DO462" s="191"/>
      <c r="DP462" s="19"/>
      <c r="DQ462" s="192"/>
      <c r="DR462" s="192"/>
      <c r="DS462" s="192"/>
      <c r="DT462" s="191"/>
      <c r="DU462" s="193"/>
      <c r="DV462" s="192"/>
      <c r="DW462" s="192"/>
      <c r="DX462" s="192"/>
      <c r="DY462" s="191"/>
      <c r="DZ462" s="19"/>
      <c r="EA462" s="192"/>
      <c r="EB462" s="192"/>
      <c r="EC462" s="192"/>
      <c r="ED462" s="191"/>
      <c r="EE462" s="193"/>
      <c r="EF462" s="192"/>
      <c r="EG462" s="192"/>
      <c r="EH462" s="192"/>
      <c r="EI462" s="191"/>
      <c r="EJ462" s="19"/>
      <c r="EK462" s="192"/>
      <c r="EL462" s="192"/>
      <c r="EM462" s="192"/>
      <c r="EN462" s="191"/>
      <c r="EO462" s="193"/>
      <c r="EP462" s="192"/>
      <c r="EQ462" s="192"/>
      <c r="ER462" s="192"/>
      <c r="ES462" s="191"/>
      <c r="ET462" s="19"/>
      <c r="EU462" s="192"/>
      <c r="EV462" s="192"/>
      <c r="EW462" s="192"/>
      <c r="EX462" s="191"/>
      <c r="EY462" s="193"/>
      <c r="EZ462" s="192"/>
      <c r="FA462" s="192"/>
      <c r="FB462" s="192"/>
      <c r="FC462" s="191"/>
      <c r="FL462" s="273">
        <f t="shared" ca="1" si="23"/>
        <v>116</v>
      </c>
    </row>
    <row r="463" spans="1:168" ht="16.5" thickBot="1">
      <c r="A463" s="199">
        <v>460</v>
      </c>
      <c r="B463" s="306"/>
      <c r="C463" s="310"/>
      <c r="D463" s="307" t="s">
        <v>271</v>
      </c>
      <c r="E463" s="307" t="s">
        <v>271</v>
      </c>
      <c r="F463" s="308"/>
      <c r="G463" s="343" t="str">
        <f t="shared" si="21"/>
        <v xml:space="preserve"> </v>
      </c>
      <c r="H463" s="307"/>
      <c r="I463" s="309" t="e">
        <f t="shared" si="22"/>
        <v>#N/A</v>
      </c>
      <c r="J463" s="307"/>
      <c r="K463" s="307"/>
      <c r="L463" s="310"/>
      <c r="M463" s="310"/>
      <c r="N463" s="310"/>
      <c r="O463" s="310"/>
      <c r="P463" s="310"/>
      <c r="Q463" s="310"/>
      <c r="R463" s="310"/>
      <c r="S463" s="310"/>
      <c r="T463" s="310"/>
      <c r="U463" s="307"/>
      <c r="V463" s="307"/>
      <c r="W463" s="311"/>
      <c r="X463" s="307"/>
      <c r="Y463" s="307"/>
      <c r="Z463" s="307"/>
      <c r="AA463" s="307"/>
      <c r="AB463" s="311"/>
      <c r="AC463" s="307"/>
      <c r="AD463" s="307"/>
      <c r="AE463" s="307"/>
      <c r="AF463" s="307"/>
      <c r="AG463" s="310"/>
      <c r="AH463" s="307"/>
      <c r="AI463" s="310"/>
      <c r="AJ463" s="307"/>
      <c r="AK463" s="307"/>
      <c r="AL463" s="307"/>
      <c r="AM463" s="308"/>
      <c r="AN463" s="311"/>
      <c r="AO463" s="307"/>
      <c r="AP463" s="307"/>
      <c r="AQ463" s="308"/>
      <c r="AR463" s="307"/>
      <c r="AS463" s="307"/>
      <c r="AT463" s="307"/>
      <c r="AU463" s="310"/>
      <c r="AV463" s="308"/>
      <c r="AW463" s="312"/>
      <c r="AX463" s="308"/>
      <c r="AY463" s="307"/>
      <c r="AZ463" s="307"/>
      <c r="BA463" s="307"/>
      <c r="BB463" s="307"/>
      <c r="BC463" s="308"/>
      <c r="BD463" s="308"/>
      <c r="BE463" s="313"/>
      <c r="BF463" s="307"/>
      <c r="BG463" s="310"/>
      <c r="BH463" s="307"/>
      <c r="BI463" s="307"/>
      <c r="BJ463" s="310"/>
      <c r="BK463" s="307"/>
      <c r="BL463" s="307"/>
      <c r="BM463" s="310"/>
      <c r="BN463" s="307"/>
      <c r="BO463" s="310"/>
      <c r="BP463" s="307"/>
      <c r="BQ463" s="307"/>
      <c r="BR463" s="307"/>
      <c r="BS463" s="307"/>
      <c r="BT463" s="307"/>
      <c r="BU463" s="310"/>
      <c r="BV463" s="307"/>
      <c r="BW463" s="308"/>
      <c r="BX463" s="311"/>
      <c r="BY463" s="307"/>
      <c r="BZ463" s="307"/>
      <c r="CA463" s="310"/>
      <c r="CB463" s="307"/>
      <c r="CC463" s="307"/>
      <c r="CD463" s="307"/>
      <c r="CE463" s="308"/>
      <c r="CF463" s="308"/>
      <c r="CG463" s="307"/>
      <c r="CH463" s="307"/>
      <c r="CI463" s="307"/>
      <c r="CJ463" s="307"/>
      <c r="CK463" s="314"/>
      <c r="CL463" s="310"/>
      <c r="CM463" s="310"/>
      <c r="CN463" s="307"/>
      <c r="CO463" s="307"/>
      <c r="CP463" s="307"/>
      <c r="CQ463" s="315"/>
      <c r="CR463" s="315"/>
      <c r="CS463" s="315"/>
      <c r="CT463" s="315"/>
      <c r="CU463" s="307"/>
      <c r="CV463" s="217"/>
      <c r="CW463" s="192"/>
      <c r="CX463" s="192"/>
      <c r="CY463" s="192"/>
      <c r="CZ463" s="191"/>
      <c r="DA463" s="193"/>
      <c r="DB463" s="192"/>
      <c r="DC463" s="192"/>
      <c r="DD463" s="192"/>
      <c r="DE463" s="191"/>
      <c r="DF463" s="19"/>
      <c r="DG463" s="192"/>
      <c r="DH463" s="192"/>
      <c r="DI463" s="192"/>
      <c r="DJ463" s="191"/>
      <c r="DK463" s="193"/>
      <c r="DL463" s="192"/>
      <c r="DM463" s="192"/>
      <c r="DN463" s="192"/>
      <c r="DO463" s="191"/>
      <c r="DP463" s="19"/>
      <c r="DQ463" s="192"/>
      <c r="DR463" s="192"/>
      <c r="DS463" s="192"/>
      <c r="DT463" s="191"/>
      <c r="DU463" s="193"/>
      <c r="DV463" s="192"/>
      <c r="DW463" s="192"/>
      <c r="DX463" s="192"/>
      <c r="DY463" s="191"/>
      <c r="DZ463" s="19"/>
      <c r="EA463" s="192"/>
      <c r="EB463" s="192"/>
      <c r="EC463" s="192"/>
      <c r="ED463" s="191"/>
      <c r="EE463" s="193"/>
      <c r="EF463" s="192"/>
      <c r="EG463" s="192"/>
      <c r="EH463" s="192"/>
      <c r="EI463" s="191"/>
      <c r="EJ463" s="19"/>
      <c r="EK463" s="192"/>
      <c r="EL463" s="192"/>
      <c r="EM463" s="192"/>
      <c r="EN463" s="191"/>
      <c r="EO463" s="193"/>
      <c r="EP463" s="192"/>
      <c r="EQ463" s="192"/>
      <c r="ER463" s="192"/>
      <c r="ES463" s="191"/>
      <c r="ET463" s="19"/>
      <c r="EU463" s="192"/>
      <c r="EV463" s="192"/>
      <c r="EW463" s="192"/>
      <c r="EX463" s="191"/>
      <c r="EY463" s="193"/>
      <c r="EZ463" s="192"/>
      <c r="FA463" s="192"/>
      <c r="FB463" s="192"/>
      <c r="FC463" s="191"/>
      <c r="FL463" s="273">
        <f t="shared" ca="1" si="23"/>
        <v>116</v>
      </c>
    </row>
    <row r="464" spans="1:168" ht="16.5" thickBot="1">
      <c r="A464" s="196">
        <v>461</v>
      </c>
      <c r="B464" s="306"/>
      <c r="C464" s="310"/>
      <c r="D464" s="307" t="s">
        <v>271</v>
      </c>
      <c r="E464" s="307" t="s">
        <v>271</v>
      </c>
      <c r="F464" s="308"/>
      <c r="G464" s="343" t="str">
        <f t="shared" si="21"/>
        <v xml:space="preserve"> </v>
      </c>
      <c r="H464" s="307"/>
      <c r="I464" s="309" t="e">
        <f t="shared" si="22"/>
        <v>#N/A</v>
      </c>
      <c r="J464" s="307"/>
      <c r="K464" s="307"/>
      <c r="L464" s="310"/>
      <c r="M464" s="310"/>
      <c r="N464" s="310"/>
      <c r="O464" s="310"/>
      <c r="P464" s="310"/>
      <c r="Q464" s="310"/>
      <c r="R464" s="310"/>
      <c r="S464" s="310"/>
      <c r="T464" s="310"/>
      <c r="U464" s="307"/>
      <c r="V464" s="307"/>
      <c r="W464" s="311"/>
      <c r="X464" s="307"/>
      <c r="Y464" s="307"/>
      <c r="Z464" s="307"/>
      <c r="AA464" s="307"/>
      <c r="AB464" s="311"/>
      <c r="AC464" s="307"/>
      <c r="AD464" s="307"/>
      <c r="AE464" s="307"/>
      <c r="AF464" s="307"/>
      <c r="AG464" s="310"/>
      <c r="AH464" s="307"/>
      <c r="AI464" s="310"/>
      <c r="AJ464" s="307"/>
      <c r="AK464" s="307"/>
      <c r="AL464" s="307"/>
      <c r="AM464" s="308"/>
      <c r="AN464" s="311"/>
      <c r="AO464" s="307"/>
      <c r="AP464" s="307"/>
      <c r="AQ464" s="308"/>
      <c r="AR464" s="307"/>
      <c r="AS464" s="307"/>
      <c r="AT464" s="307"/>
      <c r="AU464" s="310"/>
      <c r="AV464" s="308"/>
      <c r="AW464" s="312"/>
      <c r="AX464" s="308"/>
      <c r="AY464" s="307"/>
      <c r="AZ464" s="307"/>
      <c r="BA464" s="307"/>
      <c r="BB464" s="307"/>
      <c r="BC464" s="308"/>
      <c r="BD464" s="308"/>
      <c r="BE464" s="313"/>
      <c r="BF464" s="307"/>
      <c r="BG464" s="310"/>
      <c r="BH464" s="307"/>
      <c r="BI464" s="307"/>
      <c r="BJ464" s="310"/>
      <c r="BK464" s="307"/>
      <c r="BL464" s="307"/>
      <c r="BM464" s="310"/>
      <c r="BN464" s="307"/>
      <c r="BO464" s="310"/>
      <c r="BP464" s="307"/>
      <c r="BQ464" s="307"/>
      <c r="BR464" s="307"/>
      <c r="BS464" s="307"/>
      <c r="BT464" s="307"/>
      <c r="BU464" s="310"/>
      <c r="BV464" s="307"/>
      <c r="BW464" s="308"/>
      <c r="BX464" s="311"/>
      <c r="BY464" s="307"/>
      <c r="BZ464" s="307"/>
      <c r="CA464" s="310"/>
      <c r="CB464" s="307"/>
      <c r="CC464" s="307"/>
      <c r="CD464" s="307"/>
      <c r="CE464" s="308"/>
      <c r="CF464" s="308"/>
      <c r="CG464" s="307"/>
      <c r="CH464" s="307"/>
      <c r="CI464" s="307"/>
      <c r="CJ464" s="307"/>
      <c r="CK464" s="314"/>
      <c r="CL464" s="310"/>
      <c r="CM464" s="310"/>
      <c r="CN464" s="307"/>
      <c r="CO464" s="307"/>
      <c r="CP464" s="307"/>
      <c r="CQ464" s="315"/>
      <c r="CR464" s="315"/>
      <c r="CS464" s="315"/>
      <c r="CT464" s="315"/>
      <c r="CU464" s="307"/>
      <c r="CV464" s="217"/>
      <c r="CW464" s="192"/>
      <c r="CX464" s="192"/>
      <c r="CY464" s="192"/>
      <c r="CZ464" s="191"/>
      <c r="DA464" s="193"/>
      <c r="DB464" s="192"/>
      <c r="DC464" s="192"/>
      <c r="DD464" s="192"/>
      <c r="DE464" s="191"/>
      <c r="DF464" s="19"/>
      <c r="DG464" s="192"/>
      <c r="DH464" s="192"/>
      <c r="DI464" s="192"/>
      <c r="DJ464" s="191"/>
      <c r="DK464" s="193"/>
      <c r="DL464" s="192"/>
      <c r="DM464" s="192"/>
      <c r="DN464" s="192"/>
      <c r="DO464" s="191"/>
      <c r="DP464" s="19"/>
      <c r="DQ464" s="192"/>
      <c r="DR464" s="192"/>
      <c r="DS464" s="192"/>
      <c r="DT464" s="191"/>
      <c r="DU464" s="193"/>
      <c r="DV464" s="192"/>
      <c r="DW464" s="192"/>
      <c r="DX464" s="192"/>
      <c r="DY464" s="191"/>
      <c r="DZ464" s="19"/>
      <c r="EA464" s="192"/>
      <c r="EB464" s="192"/>
      <c r="EC464" s="192"/>
      <c r="ED464" s="191"/>
      <c r="EE464" s="193"/>
      <c r="EF464" s="192"/>
      <c r="EG464" s="192"/>
      <c r="EH464" s="192"/>
      <c r="EI464" s="191"/>
      <c r="EJ464" s="19"/>
      <c r="EK464" s="192"/>
      <c r="EL464" s="192"/>
      <c r="EM464" s="192"/>
      <c r="EN464" s="191"/>
      <c r="EO464" s="193"/>
      <c r="EP464" s="192"/>
      <c r="EQ464" s="192"/>
      <c r="ER464" s="192"/>
      <c r="ES464" s="191"/>
      <c r="ET464" s="19"/>
      <c r="EU464" s="192"/>
      <c r="EV464" s="192"/>
      <c r="EW464" s="192"/>
      <c r="EX464" s="191"/>
      <c r="EY464" s="193"/>
      <c r="EZ464" s="192"/>
      <c r="FA464" s="192"/>
      <c r="FB464" s="192"/>
      <c r="FC464" s="191"/>
      <c r="FL464" s="273">
        <f t="shared" ca="1" si="23"/>
        <v>116</v>
      </c>
    </row>
    <row r="465" spans="1:168" ht="16.5" thickBot="1">
      <c r="A465" s="199">
        <v>462</v>
      </c>
      <c r="B465" s="306"/>
      <c r="C465" s="310"/>
      <c r="D465" s="307" t="s">
        <v>271</v>
      </c>
      <c r="E465" s="307" t="s">
        <v>271</v>
      </c>
      <c r="F465" s="308"/>
      <c r="G465" s="343" t="str">
        <f t="shared" si="21"/>
        <v xml:space="preserve"> </v>
      </c>
      <c r="H465" s="307"/>
      <c r="I465" s="309" t="e">
        <f t="shared" si="22"/>
        <v>#N/A</v>
      </c>
      <c r="J465" s="307"/>
      <c r="K465" s="307"/>
      <c r="L465" s="310"/>
      <c r="M465" s="310"/>
      <c r="N465" s="310"/>
      <c r="O465" s="310"/>
      <c r="P465" s="310"/>
      <c r="Q465" s="310"/>
      <c r="R465" s="310"/>
      <c r="S465" s="310"/>
      <c r="T465" s="310"/>
      <c r="U465" s="307"/>
      <c r="V465" s="307"/>
      <c r="W465" s="311"/>
      <c r="X465" s="307"/>
      <c r="Y465" s="307"/>
      <c r="Z465" s="307"/>
      <c r="AA465" s="307"/>
      <c r="AB465" s="311"/>
      <c r="AC465" s="307"/>
      <c r="AD465" s="307"/>
      <c r="AE465" s="307"/>
      <c r="AF465" s="307"/>
      <c r="AG465" s="310"/>
      <c r="AH465" s="307"/>
      <c r="AI465" s="310"/>
      <c r="AJ465" s="307"/>
      <c r="AK465" s="307"/>
      <c r="AL465" s="307"/>
      <c r="AM465" s="308"/>
      <c r="AN465" s="311"/>
      <c r="AO465" s="307"/>
      <c r="AP465" s="307"/>
      <c r="AQ465" s="308"/>
      <c r="AR465" s="307"/>
      <c r="AS465" s="307"/>
      <c r="AT465" s="307"/>
      <c r="AU465" s="310"/>
      <c r="AV465" s="308"/>
      <c r="AW465" s="312"/>
      <c r="AX465" s="308"/>
      <c r="AY465" s="307"/>
      <c r="AZ465" s="307"/>
      <c r="BA465" s="307"/>
      <c r="BB465" s="307"/>
      <c r="BC465" s="308"/>
      <c r="BD465" s="308"/>
      <c r="BE465" s="313"/>
      <c r="BF465" s="307"/>
      <c r="BG465" s="310"/>
      <c r="BH465" s="307"/>
      <c r="BI465" s="307"/>
      <c r="BJ465" s="310"/>
      <c r="BK465" s="307"/>
      <c r="BL465" s="307"/>
      <c r="BM465" s="310"/>
      <c r="BN465" s="307"/>
      <c r="BO465" s="310"/>
      <c r="BP465" s="307"/>
      <c r="BQ465" s="307"/>
      <c r="BR465" s="307"/>
      <c r="BS465" s="307"/>
      <c r="BT465" s="307"/>
      <c r="BU465" s="310"/>
      <c r="BV465" s="307"/>
      <c r="BW465" s="308"/>
      <c r="BX465" s="311"/>
      <c r="BY465" s="307"/>
      <c r="BZ465" s="307"/>
      <c r="CA465" s="310"/>
      <c r="CB465" s="307"/>
      <c r="CC465" s="307"/>
      <c r="CD465" s="307"/>
      <c r="CE465" s="308"/>
      <c r="CF465" s="308"/>
      <c r="CG465" s="307"/>
      <c r="CH465" s="307"/>
      <c r="CI465" s="307"/>
      <c r="CJ465" s="307"/>
      <c r="CK465" s="314"/>
      <c r="CL465" s="310"/>
      <c r="CM465" s="310"/>
      <c r="CN465" s="307"/>
      <c r="CO465" s="307"/>
      <c r="CP465" s="307"/>
      <c r="CQ465" s="315"/>
      <c r="CR465" s="315"/>
      <c r="CS465" s="315"/>
      <c r="CT465" s="315"/>
      <c r="CU465" s="307"/>
      <c r="CV465" s="217"/>
      <c r="CW465" s="192"/>
      <c r="CX465" s="192"/>
      <c r="CY465" s="192"/>
      <c r="CZ465" s="191"/>
      <c r="DA465" s="193"/>
      <c r="DB465" s="192"/>
      <c r="DC465" s="192"/>
      <c r="DD465" s="192"/>
      <c r="DE465" s="191"/>
      <c r="DF465" s="19"/>
      <c r="DG465" s="192"/>
      <c r="DH465" s="192"/>
      <c r="DI465" s="192"/>
      <c r="DJ465" s="191"/>
      <c r="DK465" s="193"/>
      <c r="DL465" s="192"/>
      <c r="DM465" s="192"/>
      <c r="DN465" s="192"/>
      <c r="DO465" s="191"/>
      <c r="DP465" s="19"/>
      <c r="DQ465" s="192"/>
      <c r="DR465" s="192"/>
      <c r="DS465" s="192"/>
      <c r="DT465" s="191"/>
      <c r="DU465" s="193"/>
      <c r="DV465" s="192"/>
      <c r="DW465" s="192"/>
      <c r="DX465" s="192"/>
      <c r="DY465" s="191"/>
      <c r="DZ465" s="19"/>
      <c r="EA465" s="192"/>
      <c r="EB465" s="192"/>
      <c r="EC465" s="192"/>
      <c r="ED465" s="191"/>
      <c r="EE465" s="193"/>
      <c r="EF465" s="192"/>
      <c r="EG465" s="192"/>
      <c r="EH465" s="192"/>
      <c r="EI465" s="191"/>
      <c r="EJ465" s="19"/>
      <c r="EK465" s="192"/>
      <c r="EL465" s="192"/>
      <c r="EM465" s="192"/>
      <c r="EN465" s="191"/>
      <c r="EO465" s="193"/>
      <c r="EP465" s="192"/>
      <c r="EQ465" s="192"/>
      <c r="ER465" s="192"/>
      <c r="ES465" s="191"/>
      <c r="ET465" s="19"/>
      <c r="EU465" s="192"/>
      <c r="EV465" s="192"/>
      <c r="EW465" s="192"/>
      <c r="EX465" s="191"/>
      <c r="EY465" s="193"/>
      <c r="EZ465" s="192"/>
      <c r="FA465" s="192"/>
      <c r="FB465" s="192"/>
      <c r="FC465" s="191"/>
      <c r="FL465" s="273">
        <f t="shared" ca="1" si="23"/>
        <v>116</v>
      </c>
    </row>
    <row r="466" spans="1:168" ht="16.5" thickBot="1">
      <c r="A466" s="196">
        <v>463</v>
      </c>
      <c r="B466" s="306"/>
      <c r="C466" s="310"/>
      <c r="D466" s="307" t="s">
        <v>271</v>
      </c>
      <c r="E466" s="307" t="s">
        <v>271</v>
      </c>
      <c r="F466" s="308"/>
      <c r="G466" s="343" t="str">
        <f t="shared" si="21"/>
        <v xml:space="preserve"> </v>
      </c>
      <c r="H466" s="307"/>
      <c r="I466" s="309" t="e">
        <f t="shared" si="22"/>
        <v>#N/A</v>
      </c>
      <c r="J466" s="307"/>
      <c r="K466" s="307"/>
      <c r="L466" s="310"/>
      <c r="M466" s="310"/>
      <c r="N466" s="310"/>
      <c r="O466" s="310"/>
      <c r="P466" s="310"/>
      <c r="Q466" s="310"/>
      <c r="R466" s="310"/>
      <c r="S466" s="310"/>
      <c r="T466" s="310"/>
      <c r="U466" s="307"/>
      <c r="V466" s="307"/>
      <c r="W466" s="311"/>
      <c r="X466" s="307"/>
      <c r="Y466" s="307"/>
      <c r="Z466" s="307"/>
      <c r="AA466" s="307"/>
      <c r="AB466" s="311"/>
      <c r="AC466" s="307"/>
      <c r="AD466" s="307"/>
      <c r="AE466" s="307"/>
      <c r="AF466" s="307"/>
      <c r="AG466" s="310"/>
      <c r="AH466" s="307"/>
      <c r="AI466" s="310"/>
      <c r="AJ466" s="307"/>
      <c r="AK466" s="307"/>
      <c r="AL466" s="307"/>
      <c r="AM466" s="308"/>
      <c r="AN466" s="311"/>
      <c r="AO466" s="307"/>
      <c r="AP466" s="307"/>
      <c r="AQ466" s="308"/>
      <c r="AR466" s="307"/>
      <c r="AS466" s="307"/>
      <c r="AT466" s="307"/>
      <c r="AU466" s="310"/>
      <c r="AV466" s="308"/>
      <c r="AW466" s="312"/>
      <c r="AX466" s="308"/>
      <c r="AY466" s="307"/>
      <c r="AZ466" s="307"/>
      <c r="BA466" s="307"/>
      <c r="BB466" s="307"/>
      <c r="BC466" s="308"/>
      <c r="BD466" s="308"/>
      <c r="BE466" s="313"/>
      <c r="BF466" s="307"/>
      <c r="BG466" s="310"/>
      <c r="BH466" s="307"/>
      <c r="BI466" s="307"/>
      <c r="BJ466" s="310"/>
      <c r="BK466" s="307"/>
      <c r="BL466" s="307"/>
      <c r="BM466" s="310"/>
      <c r="BN466" s="307"/>
      <c r="BO466" s="310"/>
      <c r="BP466" s="307"/>
      <c r="BQ466" s="307"/>
      <c r="BR466" s="307"/>
      <c r="BS466" s="307"/>
      <c r="BT466" s="307"/>
      <c r="BU466" s="310"/>
      <c r="BV466" s="307"/>
      <c r="BW466" s="308"/>
      <c r="BX466" s="311"/>
      <c r="BY466" s="307"/>
      <c r="BZ466" s="307"/>
      <c r="CA466" s="310"/>
      <c r="CB466" s="307"/>
      <c r="CC466" s="307"/>
      <c r="CD466" s="307"/>
      <c r="CE466" s="308"/>
      <c r="CF466" s="308"/>
      <c r="CG466" s="307"/>
      <c r="CH466" s="307"/>
      <c r="CI466" s="307"/>
      <c r="CJ466" s="307"/>
      <c r="CK466" s="314"/>
      <c r="CL466" s="310"/>
      <c r="CM466" s="310"/>
      <c r="CN466" s="307"/>
      <c r="CO466" s="307"/>
      <c r="CP466" s="307"/>
      <c r="CQ466" s="315"/>
      <c r="CR466" s="315"/>
      <c r="CS466" s="315"/>
      <c r="CT466" s="315"/>
      <c r="CU466" s="307"/>
      <c r="CV466" s="217"/>
      <c r="CW466" s="192"/>
      <c r="CX466" s="192"/>
      <c r="CY466" s="192"/>
      <c r="CZ466" s="191"/>
      <c r="DA466" s="193"/>
      <c r="DB466" s="192"/>
      <c r="DC466" s="192"/>
      <c r="DD466" s="192"/>
      <c r="DE466" s="191"/>
      <c r="DF466" s="19"/>
      <c r="DG466" s="192"/>
      <c r="DH466" s="192"/>
      <c r="DI466" s="192"/>
      <c r="DJ466" s="191"/>
      <c r="DK466" s="193"/>
      <c r="DL466" s="192"/>
      <c r="DM466" s="192"/>
      <c r="DN466" s="192"/>
      <c r="DO466" s="191"/>
      <c r="DP466" s="19"/>
      <c r="DQ466" s="192"/>
      <c r="DR466" s="192"/>
      <c r="DS466" s="192"/>
      <c r="DT466" s="191"/>
      <c r="DU466" s="193"/>
      <c r="DV466" s="192"/>
      <c r="DW466" s="192"/>
      <c r="DX466" s="192"/>
      <c r="DY466" s="191"/>
      <c r="DZ466" s="19"/>
      <c r="EA466" s="192"/>
      <c r="EB466" s="192"/>
      <c r="EC466" s="192"/>
      <c r="ED466" s="191"/>
      <c r="EE466" s="193"/>
      <c r="EF466" s="192"/>
      <c r="EG466" s="192"/>
      <c r="EH466" s="192"/>
      <c r="EI466" s="191"/>
      <c r="EJ466" s="19"/>
      <c r="EK466" s="192"/>
      <c r="EL466" s="192"/>
      <c r="EM466" s="192"/>
      <c r="EN466" s="191"/>
      <c r="EO466" s="193"/>
      <c r="EP466" s="192"/>
      <c r="EQ466" s="192"/>
      <c r="ER466" s="192"/>
      <c r="ES466" s="191"/>
      <c r="ET466" s="19"/>
      <c r="EU466" s="192"/>
      <c r="EV466" s="192"/>
      <c r="EW466" s="192"/>
      <c r="EX466" s="191"/>
      <c r="EY466" s="193"/>
      <c r="EZ466" s="192"/>
      <c r="FA466" s="192"/>
      <c r="FB466" s="192"/>
      <c r="FC466" s="191"/>
      <c r="FL466" s="273">
        <f t="shared" ca="1" si="23"/>
        <v>116</v>
      </c>
    </row>
    <row r="467" spans="1:168" ht="16.5" thickBot="1">
      <c r="A467" s="199">
        <v>464</v>
      </c>
      <c r="B467" s="306"/>
      <c r="C467" s="310"/>
      <c r="D467" s="307" t="s">
        <v>271</v>
      </c>
      <c r="E467" s="307" t="s">
        <v>271</v>
      </c>
      <c r="F467" s="308"/>
      <c r="G467" s="343" t="str">
        <f t="shared" si="21"/>
        <v xml:space="preserve"> </v>
      </c>
      <c r="H467" s="307"/>
      <c r="I467" s="309" t="e">
        <f t="shared" si="22"/>
        <v>#N/A</v>
      </c>
      <c r="J467" s="307"/>
      <c r="K467" s="307"/>
      <c r="L467" s="310"/>
      <c r="M467" s="310"/>
      <c r="N467" s="310"/>
      <c r="O467" s="310"/>
      <c r="P467" s="310"/>
      <c r="Q467" s="310"/>
      <c r="R467" s="310"/>
      <c r="S467" s="310"/>
      <c r="T467" s="310"/>
      <c r="U467" s="307"/>
      <c r="V467" s="307"/>
      <c r="W467" s="311"/>
      <c r="X467" s="307"/>
      <c r="Y467" s="307"/>
      <c r="Z467" s="307"/>
      <c r="AA467" s="307"/>
      <c r="AB467" s="311"/>
      <c r="AC467" s="307"/>
      <c r="AD467" s="307"/>
      <c r="AE467" s="307"/>
      <c r="AF467" s="307"/>
      <c r="AG467" s="310"/>
      <c r="AH467" s="307"/>
      <c r="AI467" s="310"/>
      <c r="AJ467" s="307"/>
      <c r="AK467" s="307"/>
      <c r="AL467" s="307"/>
      <c r="AM467" s="308"/>
      <c r="AN467" s="311"/>
      <c r="AO467" s="307"/>
      <c r="AP467" s="307"/>
      <c r="AQ467" s="308"/>
      <c r="AR467" s="307"/>
      <c r="AS467" s="307"/>
      <c r="AT467" s="307"/>
      <c r="AU467" s="310"/>
      <c r="AV467" s="308"/>
      <c r="AW467" s="312"/>
      <c r="AX467" s="308"/>
      <c r="AY467" s="307"/>
      <c r="AZ467" s="307"/>
      <c r="BA467" s="307"/>
      <c r="BB467" s="307"/>
      <c r="BC467" s="308"/>
      <c r="BD467" s="308"/>
      <c r="BE467" s="313"/>
      <c r="BF467" s="307"/>
      <c r="BG467" s="310"/>
      <c r="BH467" s="307"/>
      <c r="BI467" s="307"/>
      <c r="BJ467" s="310"/>
      <c r="BK467" s="307"/>
      <c r="BL467" s="307"/>
      <c r="BM467" s="310"/>
      <c r="BN467" s="307"/>
      <c r="BO467" s="310"/>
      <c r="BP467" s="307"/>
      <c r="BQ467" s="307"/>
      <c r="BR467" s="307"/>
      <c r="BS467" s="307"/>
      <c r="BT467" s="307"/>
      <c r="BU467" s="310"/>
      <c r="BV467" s="307"/>
      <c r="BW467" s="308"/>
      <c r="BX467" s="311"/>
      <c r="BY467" s="307"/>
      <c r="BZ467" s="307"/>
      <c r="CA467" s="310"/>
      <c r="CB467" s="307"/>
      <c r="CC467" s="307"/>
      <c r="CD467" s="307"/>
      <c r="CE467" s="308"/>
      <c r="CF467" s="308"/>
      <c r="CG467" s="307"/>
      <c r="CH467" s="307"/>
      <c r="CI467" s="307"/>
      <c r="CJ467" s="307"/>
      <c r="CK467" s="314"/>
      <c r="CL467" s="310"/>
      <c r="CM467" s="310"/>
      <c r="CN467" s="307"/>
      <c r="CO467" s="307"/>
      <c r="CP467" s="307"/>
      <c r="CQ467" s="315"/>
      <c r="CR467" s="315"/>
      <c r="CS467" s="315"/>
      <c r="CT467" s="315"/>
      <c r="CU467" s="307"/>
      <c r="CV467" s="217"/>
      <c r="CW467" s="192"/>
      <c r="CX467" s="192"/>
      <c r="CY467" s="192"/>
      <c r="CZ467" s="191"/>
      <c r="DA467" s="193"/>
      <c r="DB467" s="192"/>
      <c r="DC467" s="192"/>
      <c r="DD467" s="192"/>
      <c r="DE467" s="191"/>
      <c r="DF467" s="19"/>
      <c r="DG467" s="192"/>
      <c r="DH467" s="192"/>
      <c r="DI467" s="192"/>
      <c r="DJ467" s="191"/>
      <c r="DK467" s="193"/>
      <c r="DL467" s="192"/>
      <c r="DM467" s="192"/>
      <c r="DN467" s="192"/>
      <c r="DO467" s="191"/>
      <c r="DP467" s="19"/>
      <c r="DQ467" s="192"/>
      <c r="DR467" s="192"/>
      <c r="DS467" s="192"/>
      <c r="DT467" s="191"/>
      <c r="DU467" s="193"/>
      <c r="DV467" s="192"/>
      <c r="DW467" s="192"/>
      <c r="DX467" s="192"/>
      <c r="DY467" s="191"/>
      <c r="DZ467" s="19"/>
      <c r="EA467" s="192"/>
      <c r="EB467" s="192"/>
      <c r="EC467" s="192"/>
      <c r="ED467" s="191"/>
      <c r="EE467" s="193"/>
      <c r="EF467" s="192"/>
      <c r="EG467" s="192"/>
      <c r="EH467" s="192"/>
      <c r="EI467" s="191"/>
      <c r="EJ467" s="19"/>
      <c r="EK467" s="192"/>
      <c r="EL467" s="192"/>
      <c r="EM467" s="192"/>
      <c r="EN467" s="191"/>
      <c r="EO467" s="193"/>
      <c r="EP467" s="192"/>
      <c r="EQ467" s="192"/>
      <c r="ER467" s="192"/>
      <c r="ES467" s="191"/>
      <c r="ET467" s="19"/>
      <c r="EU467" s="192"/>
      <c r="EV467" s="192"/>
      <c r="EW467" s="192"/>
      <c r="EX467" s="191"/>
      <c r="EY467" s="193"/>
      <c r="EZ467" s="192"/>
      <c r="FA467" s="192"/>
      <c r="FB467" s="192"/>
      <c r="FC467" s="191"/>
      <c r="FL467" s="273">
        <f t="shared" ca="1" si="23"/>
        <v>116</v>
      </c>
    </row>
    <row r="468" spans="1:168" ht="16.5" thickBot="1">
      <c r="A468" s="196">
        <v>465</v>
      </c>
      <c r="B468" s="306"/>
      <c r="C468" s="310"/>
      <c r="D468" s="307" t="s">
        <v>271</v>
      </c>
      <c r="E468" s="307" t="s">
        <v>271</v>
      </c>
      <c r="F468" s="308"/>
      <c r="G468" s="343" t="str">
        <f t="shared" si="21"/>
        <v xml:space="preserve"> </v>
      </c>
      <c r="H468" s="307"/>
      <c r="I468" s="309" t="e">
        <f t="shared" si="22"/>
        <v>#N/A</v>
      </c>
      <c r="J468" s="307"/>
      <c r="K468" s="307"/>
      <c r="L468" s="310"/>
      <c r="M468" s="310"/>
      <c r="N468" s="310"/>
      <c r="O468" s="310"/>
      <c r="P468" s="310"/>
      <c r="Q468" s="310"/>
      <c r="R468" s="310"/>
      <c r="S468" s="310"/>
      <c r="T468" s="310"/>
      <c r="U468" s="307"/>
      <c r="V468" s="307"/>
      <c r="W468" s="311"/>
      <c r="X468" s="307"/>
      <c r="Y468" s="307"/>
      <c r="Z468" s="307"/>
      <c r="AA468" s="307"/>
      <c r="AB468" s="311"/>
      <c r="AC468" s="307"/>
      <c r="AD468" s="307"/>
      <c r="AE468" s="307"/>
      <c r="AF468" s="307"/>
      <c r="AG468" s="310"/>
      <c r="AH468" s="307"/>
      <c r="AI468" s="310"/>
      <c r="AJ468" s="307"/>
      <c r="AK468" s="307"/>
      <c r="AL468" s="307"/>
      <c r="AM468" s="308"/>
      <c r="AN468" s="311"/>
      <c r="AO468" s="307"/>
      <c r="AP468" s="307"/>
      <c r="AQ468" s="308"/>
      <c r="AR468" s="307"/>
      <c r="AS468" s="307"/>
      <c r="AT468" s="307"/>
      <c r="AU468" s="310"/>
      <c r="AV468" s="308"/>
      <c r="AW468" s="312"/>
      <c r="AX468" s="308"/>
      <c r="AY468" s="307"/>
      <c r="AZ468" s="307"/>
      <c r="BA468" s="307"/>
      <c r="BB468" s="307"/>
      <c r="BC468" s="308"/>
      <c r="BD468" s="308"/>
      <c r="BE468" s="313"/>
      <c r="BF468" s="307"/>
      <c r="BG468" s="310"/>
      <c r="BH468" s="307"/>
      <c r="BI468" s="307"/>
      <c r="BJ468" s="310"/>
      <c r="BK468" s="307"/>
      <c r="BL468" s="307"/>
      <c r="BM468" s="310"/>
      <c r="BN468" s="307"/>
      <c r="BO468" s="310"/>
      <c r="BP468" s="307"/>
      <c r="BQ468" s="307"/>
      <c r="BR468" s="307"/>
      <c r="BS468" s="307"/>
      <c r="BT468" s="307"/>
      <c r="BU468" s="310"/>
      <c r="BV468" s="307"/>
      <c r="BW468" s="308"/>
      <c r="BX468" s="311"/>
      <c r="BY468" s="307"/>
      <c r="BZ468" s="307"/>
      <c r="CA468" s="310"/>
      <c r="CB468" s="307"/>
      <c r="CC468" s="307"/>
      <c r="CD468" s="307"/>
      <c r="CE468" s="308"/>
      <c r="CF468" s="308"/>
      <c r="CG468" s="307"/>
      <c r="CH468" s="307"/>
      <c r="CI468" s="307"/>
      <c r="CJ468" s="307"/>
      <c r="CK468" s="314"/>
      <c r="CL468" s="310"/>
      <c r="CM468" s="310"/>
      <c r="CN468" s="307"/>
      <c r="CO468" s="307"/>
      <c r="CP468" s="307"/>
      <c r="CQ468" s="315"/>
      <c r="CR468" s="315"/>
      <c r="CS468" s="315"/>
      <c r="CT468" s="315"/>
      <c r="CU468" s="307"/>
      <c r="CV468" s="217"/>
      <c r="CW468" s="192"/>
      <c r="CX468" s="192"/>
      <c r="CY468" s="192"/>
      <c r="CZ468" s="191"/>
      <c r="DA468" s="193"/>
      <c r="DB468" s="192"/>
      <c r="DC468" s="192"/>
      <c r="DD468" s="192"/>
      <c r="DE468" s="191"/>
      <c r="DF468" s="19"/>
      <c r="DG468" s="192"/>
      <c r="DH468" s="192"/>
      <c r="DI468" s="192"/>
      <c r="DJ468" s="191"/>
      <c r="DK468" s="193"/>
      <c r="DL468" s="192"/>
      <c r="DM468" s="192"/>
      <c r="DN468" s="192"/>
      <c r="DO468" s="191"/>
      <c r="DP468" s="19"/>
      <c r="DQ468" s="192"/>
      <c r="DR468" s="192"/>
      <c r="DS468" s="192"/>
      <c r="DT468" s="191"/>
      <c r="DU468" s="193"/>
      <c r="DV468" s="192"/>
      <c r="DW468" s="192"/>
      <c r="DX468" s="192"/>
      <c r="DY468" s="191"/>
      <c r="DZ468" s="19"/>
      <c r="EA468" s="192"/>
      <c r="EB468" s="192"/>
      <c r="EC468" s="192"/>
      <c r="ED468" s="191"/>
      <c r="EE468" s="193"/>
      <c r="EF468" s="192"/>
      <c r="EG468" s="192"/>
      <c r="EH468" s="192"/>
      <c r="EI468" s="191"/>
      <c r="EJ468" s="19"/>
      <c r="EK468" s="192"/>
      <c r="EL468" s="192"/>
      <c r="EM468" s="192"/>
      <c r="EN468" s="191"/>
      <c r="EO468" s="193"/>
      <c r="EP468" s="192"/>
      <c r="EQ468" s="192"/>
      <c r="ER468" s="192"/>
      <c r="ES468" s="191"/>
      <c r="ET468" s="19"/>
      <c r="EU468" s="192"/>
      <c r="EV468" s="192"/>
      <c r="EW468" s="192"/>
      <c r="EX468" s="191"/>
      <c r="EY468" s="193"/>
      <c r="EZ468" s="192"/>
      <c r="FA468" s="192"/>
      <c r="FB468" s="192"/>
      <c r="FC468" s="191"/>
      <c r="FL468" s="273">
        <f t="shared" ca="1" si="23"/>
        <v>116</v>
      </c>
    </row>
    <row r="469" spans="1:168" ht="16.5" thickBot="1">
      <c r="A469" s="199">
        <v>466</v>
      </c>
      <c r="B469" s="306"/>
      <c r="C469" s="310"/>
      <c r="D469" s="307" t="s">
        <v>271</v>
      </c>
      <c r="E469" s="307" t="s">
        <v>271</v>
      </c>
      <c r="F469" s="308"/>
      <c r="G469" s="343" t="str">
        <f t="shared" si="21"/>
        <v xml:space="preserve"> </v>
      </c>
      <c r="H469" s="307"/>
      <c r="I469" s="309" t="e">
        <f t="shared" si="22"/>
        <v>#N/A</v>
      </c>
      <c r="J469" s="307"/>
      <c r="K469" s="307"/>
      <c r="L469" s="310"/>
      <c r="M469" s="310"/>
      <c r="N469" s="310"/>
      <c r="O469" s="310"/>
      <c r="P469" s="310"/>
      <c r="Q469" s="310"/>
      <c r="R469" s="310"/>
      <c r="S469" s="310"/>
      <c r="T469" s="310"/>
      <c r="U469" s="307"/>
      <c r="V469" s="307"/>
      <c r="W469" s="311"/>
      <c r="X469" s="307"/>
      <c r="Y469" s="307"/>
      <c r="Z469" s="307"/>
      <c r="AA469" s="307"/>
      <c r="AB469" s="311"/>
      <c r="AC469" s="307"/>
      <c r="AD469" s="307"/>
      <c r="AE469" s="307"/>
      <c r="AF469" s="307"/>
      <c r="AG469" s="310"/>
      <c r="AH469" s="307"/>
      <c r="AI469" s="310"/>
      <c r="AJ469" s="307"/>
      <c r="AK469" s="307"/>
      <c r="AL469" s="307"/>
      <c r="AM469" s="308"/>
      <c r="AN469" s="311"/>
      <c r="AO469" s="307"/>
      <c r="AP469" s="307"/>
      <c r="AQ469" s="308"/>
      <c r="AR469" s="307"/>
      <c r="AS469" s="307"/>
      <c r="AT469" s="307"/>
      <c r="AU469" s="310"/>
      <c r="AV469" s="308"/>
      <c r="AW469" s="312"/>
      <c r="AX469" s="308"/>
      <c r="AY469" s="307"/>
      <c r="AZ469" s="307"/>
      <c r="BA469" s="307"/>
      <c r="BB469" s="307"/>
      <c r="BC469" s="308"/>
      <c r="BD469" s="308"/>
      <c r="BE469" s="313"/>
      <c r="BF469" s="307"/>
      <c r="BG469" s="310"/>
      <c r="BH469" s="307"/>
      <c r="BI469" s="307"/>
      <c r="BJ469" s="310"/>
      <c r="BK469" s="307"/>
      <c r="BL469" s="307"/>
      <c r="BM469" s="310"/>
      <c r="BN469" s="307"/>
      <c r="BO469" s="310"/>
      <c r="BP469" s="307"/>
      <c r="BQ469" s="307"/>
      <c r="BR469" s="307"/>
      <c r="BS469" s="307"/>
      <c r="BT469" s="307"/>
      <c r="BU469" s="310"/>
      <c r="BV469" s="307"/>
      <c r="BW469" s="308"/>
      <c r="BX469" s="311"/>
      <c r="BY469" s="307"/>
      <c r="BZ469" s="307"/>
      <c r="CA469" s="310"/>
      <c r="CB469" s="307"/>
      <c r="CC469" s="307"/>
      <c r="CD469" s="307"/>
      <c r="CE469" s="308"/>
      <c r="CF469" s="308"/>
      <c r="CG469" s="307"/>
      <c r="CH469" s="307"/>
      <c r="CI469" s="307"/>
      <c r="CJ469" s="307"/>
      <c r="CK469" s="314"/>
      <c r="CL469" s="310"/>
      <c r="CM469" s="310"/>
      <c r="CN469" s="307"/>
      <c r="CO469" s="307"/>
      <c r="CP469" s="307"/>
      <c r="CQ469" s="315"/>
      <c r="CR469" s="315"/>
      <c r="CS469" s="315"/>
      <c r="CT469" s="315"/>
      <c r="CU469" s="307"/>
      <c r="CV469" s="217"/>
      <c r="CW469" s="192"/>
      <c r="CX469" s="192"/>
      <c r="CY469" s="192"/>
      <c r="CZ469" s="191"/>
      <c r="DA469" s="193"/>
      <c r="DB469" s="192"/>
      <c r="DC469" s="192"/>
      <c r="DD469" s="192"/>
      <c r="DE469" s="191"/>
      <c r="DF469" s="19"/>
      <c r="DG469" s="192"/>
      <c r="DH469" s="192"/>
      <c r="DI469" s="192"/>
      <c r="DJ469" s="191"/>
      <c r="DK469" s="193"/>
      <c r="DL469" s="192"/>
      <c r="DM469" s="192"/>
      <c r="DN469" s="192"/>
      <c r="DO469" s="191"/>
      <c r="DP469" s="19"/>
      <c r="DQ469" s="192"/>
      <c r="DR469" s="192"/>
      <c r="DS469" s="192"/>
      <c r="DT469" s="191"/>
      <c r="DU469" s="193"/>
      <c r="DV469" s="192"/>
      <c r="DW469" s="192"/>
      <c r="DX469" s="192"/>
      <c r="DY469" s="191"/>
      <c r="DZ469" s="19"/>
      <c r="EA469" s="192"/>
      <c r="EB469" s="192"/>
      <c r="EC469" s="192"/>
      <c r="ED469" s="191"/>
      <c r="EE469" s="193"/>
      <c r="EF469" s="192"/>
      <c r="EG469" s="192"/>
      <c r="EH469" s="192"/>
      <c r="EI469" s="191"/>
      <c r="EJ469" s="19"/>
      <c r="EK469" s="192"/>
      <c r="EL469" s="192"/>
      <c r="EM469" s="192"/>
      <c r="EN469" s="191"/>
      <c r="EO469" s="193"/>
      <c r="EP469" s="192"/>
      <c r="EQ469" s="192"/>
      <c r="ER469" s="192"/>
      <c r="ES469" s="191"/>
      <c r="ET469" s="19"/>
      <c r="EU469" s="192"/>
      <c r="EV469" s="192"/>
      <c r="EW469" s="192"/>
      <c r="EX469" s="191"/>
      <c r="EY469" s="193"/>
      <c r="EZ469" s="192"/>
      <c r="FA469" s="192"/>
      <c r="FB469" s="192"/>
      <c r="FC469" s="191"/>
      <c r="FL469" s="273">
        <f t="shared" ca="1" si="23"/>
        <v>116</v>
      </c>
    </row>
    <row r="470" spans="1:168" ht="16.5" thickBot="1">
      <c r="A470" s="196">
        <v>467</v>
      </c>
      <c r="B470" s="306"/>
      <c r="C470" s="310"/>
      <c r="D470" s="307" t="s">
        <v>271</v>
      </c>
      <c r="E470" s="307" t="s">
        <v>271</v>
      </c>
      <c r="F470" s="308"/>
      <c r="G470" s="343" t="str">
        <f t="shared" si="21"/>
        <v xml:space="preserve"> </v>
      </c>
      <c r="H470" s="307"/>
      <c r="I470" s="309" t="e">
        <f t="shared" si="22"/>
        <v>#N/A</v>
      </c>
      <c r="J470" s="307"/>
      <c r="K470" s="307"/>
      <c r="L470" s="310"/>
      <c r="M470" s="310"/>
      <c r="N470" s="310"/>
      <c r="O470" s="310"/>
      <c r="P470" s="310"/>
      <c r="Q470" s="310"/>
      <c r="R470" s="310"/>
      <c r="S470" s="310"/>
      <c r="T470" s="310"/>
      <c r="U470" s="307"/>
      <c r="V470" s="307"/>
      <c r="W470" s="311"/>
      <c r="X470" s="307"/>
      <c r="Y470" s="307"/>
      <c r="Z470" s="307"/>
      <c r="AA470" s="307"/>
      <c r="AB470" s="311"/>
      <c r="AC470" s="307"/>
      <c r="AD470" s="307"/>
      <c r="AE470" s="307"/>
      <c r="AF470" s="307"/>
      <c r="AG470" s="310"/>
      <c r="AH470" s="307"/>
      <c r="AI470" s="310"/>
      <c r="AJ470" s="307"/>
      <c r="AK470" s="307"/>
      <c r="AL470" s="307"/>
      <c r="AM470" s="308"/>
      <c r="AN470" s="311"/>
      <c r="AO470" s="307"/>
      <c r="AP470" s="307"/>
      <c r="AQ470" s="308"/>
      <c r="AR470" s="307"/>
      <c r="AS470" s="307"/>
      <c r="AT470" s="307"/>
      <c r="AU470" s="310"/>
      <c r="AV470" s="308"/>
      <c r="AW470" s="312"/>
      <c r="AX470" s="308"/>
      <c r="AY470" s="307"/>
      <c r="AZ470" s="307"/>
      <c r="BA470" s="307"/>
      <c r="BB470" s="307"/>
      <c r="BC470" s="308"/>
      <c r="BD470" s="308"/>
      <c r="BE470" s="313"/>
      <c r="BF470" s="307"/>
      <c r="BG470" s="310"/>
      <c r="BH470" s="307"/>
      <c r="BI470" s="307"/>
      <c r="BJ470" s="310"/>
      <c r="BK470" s="307"/>
      <c r="BL470" s="307"/>
      <c r="BM470" s="310"/>
      <c r="BN470" s="307"/>
      <c r="BO470" s="310"/>
      <c r="BP470" s="307"/>
      <c r="BQ470" s="307"/>
      <c r="BR470" s="307"/>
      <c r="BS470" s="307"/>
      <c r="BT470" s="307"/>
      <c r="BU470" s="310"/>
      <c r="BV470" s="307"/>
      <c r="BW470" s="308"/>
      <c r="BX470" s="311"/>
      <c r="BY470" s="307"/>
      <c r="BZ470" s="307"/>
      <c r="CA470" s="310"/>
      <c r="CB470" s="307"/>
      <c r="CC470" s="307"/>
      <c r="CD470" s="307"/>
      <c r="CE470" s="308"/>
      <c r="CF470" s="308"/>
      <c r="CG470" s="307"/>
      <c r="CH470" s="307"/>
      <c r="CI470" s="307"/>
      <c r="CJ470" s="307"/>
      <c r="CK470" s="314"/>
      <c r="CL470" s="310"/>
      <c r="CM470" s="310"/>
      <c r="CN470" s="307"/>
      <c r="CO470" s="307"/>
      <c r="CP470" s="307"/>
      <c r="CQ470" s="315"/>
      <c r="CR470" s="315"/>
      <c r="CS470" s="315"/>
      <c r="CT470" s="315"/>
      <c r="CU470" s="307"/>
      <c r="CV470" s="217"/>
      <c r="CW470" s="192"/>
      <c r="CX470" s="192"/>
      <c r="CY470" s="192"/>
      <c r="CZ470" s="191"/>
      <c r="DA470" s="193"/>
      <c r="DB470" s="192"/>
      <c r="DC470" s="192"/>
      <c r="DD470" s="192"/>
      <c r="DE470" s="191"/>
      <c r="DF470" s="19"/>
      <c r="DG470" s="192"/>
      <c r="DH470" s="192"/>
      <c r="DI470" s="192"/>
      <c r="DJ470" s="191"/>
      <c r="DK470" s="193"/>
      <c r="DL470" s="192"/>
      <c r="DM470" s="192"/>
      <c r="DN470" s="192"/>
      <c r="DO470" s="191"/>
      <c r="DP470" s="19"/>
      <c r="DQ470" s="192"/>
      <c r="DR470" s="192"/>
      <c r="DS470" s="192"/>
      <c r="DT470" s="191"/>
      <c r="DU470" s="193"/>
      <c r="DV470" s="192"/>
      <c r="DW470" s="192"/>
      <c r="DX470" s="192"/>
      <c r="DY470" s="191"/>
      <c r="DZ470" s="19"/>
      <c r="EA470" s="192"/>
      <c r="EB470" s="192"/>
      <c r="EC470" s="192"/>
      <c r="ED470" s="191"/>
      <c r="EE470" s="193"/>
      <c r="EF470" s="192"/>
      <c r="EG470" s="192"/>
      <c r="EH470" s="192"/>
      <c r="EI470" s="191"/>
      <c r="EJ470" s="19"/>
      <c r="EK470" s="192"/>
      <c r="EL470" s="192"/>
      <c r="EM470" s="192"/>
      <c r="EN470" s="191"/>
      <c r="EO470" s="193"/>
      <c r="EP470" s="192"/>
      <c r="EQ470" s="192"/>
      <c r="ER470" s="192"/>
      <c r="ES470" s="191"/>
      <c r="ET470" s="19"/>
      <c r="EU470" s="192"/>
      <c r="EV470" s="192"/>
      <c r="EW470" s="192"/>
      <c r="EX470" s="191"/>
      <c r="EY470" s="193"/>
      <c r="EZ470" s="192"/>
      <c r="FA470" s="192"/>
      <c r="FB470" s="192"/>
      <c r="FC470" s="191"/>
      <c r="FL470" s="273">
        <f t="shared" ca="1" si="23"/>
        <v>116</v>
      </c>
    </row>
    <row r="471" spans="1:168" ht="16.5" thickBot="1">
      <c r="A471" s="199">
        <v>468</v>
      </c>
      <c r="B471" s="306"/>
      <c r="C471" s="310"/>
      <c r="D471" s="307" t="s">
        <v>271</v>
      </c>
      <c r="E471" s="307" t="s">
        <v>271</v>
      </c>
      <c r="F471" s="308"/>
      <c r="G471" s="343" t="str">
        <f t="shared" si="21"/>
        <v xml:space="preserve"> </v>
      </c>
      <c r="H471" s="307"/>
      <c r="I471" s="309" t="e">
        <f t="shared" si="22"/>
        <v>#N/A</v>
      </c>
      <c r="J471" s="307"/>
      <c r="K471" s="307"/>
      <c r="L471" s="310"/>
      <c r="M471" s="310"/>
      <c r="N471" s="310"/>
      <c r="O471" s="310"/>
      <c r="P471" s="310"/>
      <c r="Q471" s="310"/>
      <c r="R471" s="310"/>
      <c r="S471" s="310"/>
      <c r="T471" s="310"/>
      <c r="U471" s="307"/>
      <c r="V471" s="307"/>
      <c r="W471" s="311"/>
      <c r="X471" s="307"/>
      <c r="Y471" s="307"/>
      <c r="Z471" s="307"/>
      <c r="AA471" s="307"/>
      <c r="AB471" s="311"/>
      <c r="AC471" s="307"/>
      <c r="AD471" s="307"/>
      <c r="AE471" s="307"/>
      <c r="AF471" s="307"/>
      <c r="AG471" s="310"/>
      <c r="AH471" s="307"/>
      <c r="AI471" s="310"/>
      <c r="AJ471" s="307"/>
      <c r="AK471" s="307"/>
      <c r="AL471" s="307"/>
      <c r="AM471" s="308"/>
      <c r="AN471" s="311"/>
      <c r="AO471" s="307"/>
      <c r="AP471" s="307"/>
      <c r="AQ471" s="308"/>
      <c r="AR471" s="307"/>
      <c r="AS471" s="307"/>
      <c r="AT471" s="307"/>
      <c r="AU471" s="310"/>
      <c r="AV471" s="308"/>
      <c r="AW471" s="312"/>
      <c r="AX471" s="308"/>
      <c r="AY471" s="307"/>
      <c r="AZ471" s="307"/>
      <c r="BA471" s="307"/>
      <c r="BB471" s="307"/>
      <c r="BC471" s="308"/>
      <c r="BD471" s="308"/>
      <c r="BE471" s="313"/>
      <c r="BF471" s="307"/>
      <c r="BG471" s="310"/>
      <c r="BH471" s="307"/>
      <c r="BI471" s="307"/>
      <c r="BJ471" s="310"/>
      <c r="BK471" s="307"/>
      <c r="BL471" s="307"/>
      <c r="BM471" s="310"/>
      <c r="BN471" s="307"/>
      <c r="BO471" s="310"/>
      <c r="BP471" s="307"/>
      <c r="BQ471" s="307"/>
      <c r="BR471" s="307"/>
      <c r="BS471" s="307"/>
      <c r="BT471" s="307"/>
      <c r="BU471" s="310"/>
      <c r="BV471" s="307"/>
      <c r="BW471" s="308"/>
      <c r="BX471" s="311"/>
      <c r="BY471" s="307"/>
      <c r="BZ471" s="307"/>
      <c r="CA471" s="310"/>
      <c r="CB471" s="307"/>
      <c r="CC471" s="307"/>
      <c r="CD471" s="307"/>
      <c r="CE471" s="308"/>
      <c r="CF471" s="308"/>
      <c r="CG471" s="307"/>
      <c r="CH471" s="307"/>
      <c r="CI471" s="307"/>
      <c r="CJ471" s="307"/>
      <c r="CK471" s="314"/>
      <c r="CL471" s="310"/>
      <c r="CM471" s="310"/>
      <c r="CN471" s="307"/>
      <c r="CO471" s="307"/>
      <c r="CP471" s="307"/>
      <c r="CQ471" s="315"/>
      <c r="CR471" s="315"/>
      <c r="CS471" s="315"/>
      <c r="CT471" s="315"/>
      <c r="CU471" s="307"/>
      <c r="CV471" s="217"/>
      <c r="CW471" s="192"/>
      <c r="CX471" s="192"/>
      <c r="CY471" s="192"/>
      <c r="CZ471" s="191"/>
      <c r="DA471" s="193"/>
      <c r="DB471" s="192"/>
      <c r="DC471" s="192"/>
      <c r="DD471" s="192"/>
      <c r="DE471" s="191"/>
      <c r="DF471" s="19"/>
      <c r="DG471" s="192"/>
      <c r="DH471" s="192"/>
      <c r="DI471" s="192"/>
      <c r="DJ471" s="191"/>
      <c r="DK471" s="193"/>
      <c r="DL471" s="192"/>
      <c r="DM471" s="192"/>
      <c r="DN471" s="192"/>
      <c r="DO471" s="191"/>
      <c r="DP471" s="19"/>
      <c r="DQ471" s="192"/>
      <c r="DR471" s="192"/>
      <c r="DS471" s="192"/>
      <c r="DT471" s="191"/>
      <c r="DU471" s="193"/>
      <c r="DV471" s="192"/>
      <c r="DW471" s="192"/>
      <c r="DX471" s="192"/>
      <c r="DY471" s="191"/>
      <c r="DZ471" s="19"/>
      <c r="EA471" s="192"/>
      <c r="EB471" s="192"/>
      <c r="EC471" s="192"/>
      <c r="ED471" s="191"/>
      <c r="EE471" s="193"/>
      <c r="EF471" s="192"/>
      <c r="EG471" s="192"/>
      <c r="EH471" s="192"/>
      <c r="EI471" s="191"/>
      <c r="EJ471" s="19"/>
      <c r="EK471" s="192"/>
      <c r="EL471" s="192"/>
      <c r="EM471" s="192"/>
      <c r="EN471" s="191"/>
      <c r="EO471" s="193"/>
      <c r="EP471" s="192"/>
      <c r="EQ471" s="192"/>
      <c r="ER471" s="192"/>
      <c r="ES471" s="191"/>
      <c r="ET471" s="19"/>
      <c r="EU471" s="192"/>
      <c r="EV471" s="192"/>
      <c r="EW471" s="192"/>
      <c r="EX471" s="191"/>
      <c r="EY471" s="193"/>
      <c r="EZ471" s="192"/>
      <c r="FA471" s="192"/>
      <c r="FB471" s="192"/>
      <c r="FC471" s="191"/>
      <c r="FL471" s="273">
        <f t="shared" ca="1" si="23"/>
        <v>116</v>
      </c>
    </row>
    <row r="472" spans="1:168" ht="16.5" thickBot="1">
      <c r="A472" s="196">
        <v>469</v>
      </c>
      <c r="B472" s="306"/>
      <c r="C472" s="310"/>
      <c r="D472" s="307" t="s">
        <v>271</v>
      </c>
      <c r="E472" s="307" t="s">
        <v>271</v>
      </c>
      <c r="F472" s="308"/>
      <c r="G472" s="343" t="str">
        <f t="shared" si="21"/>
        <v xml:space="preserve"> </v>
      </c>
      <c r="H472" s="307"/>
      <c r="I472" s="309" t="e">
        <f t="shared" si="22"/>
        <v>#N/A</v>
      </c>
      <c r="J472" s="307"/>
      <c r="K472" s="307"/>
      <c r="L472" s="310"/>
      <c r="M472" s="310"/>
      <c r="N472" s="310"/>
      <c r="O472" s="310"/>
      <c r="P472" s="310"/>
      <c r="Q472" s="310"/>
      <c r="R472" s="310"/>
      <c r="S472" s="310"/>
      <c r="T472" s="310"/>
      <c r="U472" s="307"/>
      <c r="V472" s="307"/>
      <c r="W472" s="311"/>
      <c r="X472" s="307"/>
      <c r="Y472" s="307"/>
      <c r="Z472" s="307"/>
      <c r="AA472" s="307"/>
      <c r="AB472" s="311"/>
      <c r="AC472" s="307"/>
      <c r="AD472" s="307"/>
      <c r="AE472" s="307"/>
      <c r="AF472" s="307"/>
      <c r="AG472" s="310"/>
      <c r="AH472" s="307"/>
      <c r="AI472" s="310"/>
      <c r="AJ472" s="307"/>
      <c r="AK472" s="307"/>
      <c r="AL472" s="307"/>
      <c r="AM472" s="308"/>
      <c r="AN472" s="311"/>
      <c r="AO472" s="307"/>
      <c r="AP472" s="307"/>
      <c r="AQ472" s="308"/>
      <c r="AR472" s="307"/>
      <c r="AS472" s="307"/>
      <c r="AT472" s="307"/>
      <c r="AU472" s="310"/>
      <c r="AV472" s="308"/>
      <c r="AW472" s="312"/>
      <c r="AX472" s="308"/>
      <c r="AY472" s="307"/>
      <c r="AZ472" s="307"/>
      <c r="BA472" s="307"/>
      <c r="BB472" s="307"/>
      <c r="BC472" s="308"/>
      <c r="BD472" s="308"/>
      <c r="BE472" s="313"/>
      <c r="BF472" s="307"/>
      <c r="BG472" s="310"/>
      <c r="BH472" s="307"/>
      <c r="BI472" s="307"/>
      <c r="BJ472" s="310"/>
      <c r="BK472" s="307"/>
      <c r="BL472" s="307"/>
      <c r="BM472" s="310"/>
      <c r="BN472" s="307"/>
      <c r="BO472" s="310"/>
      <c r="BP472" s="307"/>
      <c r="BQ472" s="307"/>
      <c r="BR472" s="307"/>
      <c r="BS472" s="307"/>
      <c r="BT472" s="307"/>
      <c r="BU472" s="310"/>
      <c r="BV472" s="307"/>
      <c r="BW472" s="308"/>
      <c r="BX472" s="311"/>
      <c r="BY472" s="307"/>
      <c r="BZ472" s="307"/>
      <c r="CA472" s="310"/>
      <c r="CB472" s="307"/>
      <c r="CC472" s="307"/>
      <c r="CD472" s="307"/>
      <c r="CE472" s="308"/>
      <c r="CF472" s="308"/>
      <c r="CG472" s="307"/>
      <c r="CH472" s="307"/>
      <c r="CI472" s="307"/>
      <c r="CJ472" s="307"/>
      <c r="CK472" s="314"/>
      <c r="CL472" s="310"/>
      <c r="CM472" s="310"/>
      <c r="CN472" s="307"/>
      <c r="CO472" s="307"/>
      <c r="CP472" s="307"/>
      <c r="CQ472" s="315"/>
      <c r="CR472" s="315"/>
      <c r="CS472" s="315"/>
      <c r="CT472" s="315"/>
      <c r="CU472" s="307"/>
      <c r="CV472" s="217"/>
      <c r="CW472" s="192"/>
      <c r="CX472" s="192"/>
      <c r="CY472" s="192"/>
      <c r="CZ472" s="191"/>
      <c r="DA472" s="193"/>
      <c r="DB472" s="192"/>
      <c r="DC472" s="192"/>
      <c r="DD472" s="192"/>
      <c r="DE472" s="191"/>
      <c r="DF472" s="19"/>
      <c r="DG472" s="192"/>
      <c r="DH472" s="192"/>
      <c r="DI472" s="192"/>
      <c r="DJ472" s="191"/>
      <c r="DK472" s="193"/>
      <c r="DL472" s="192"/>
      <c r="DM472" s="192"/>
      <c r="DN472" s="192"/>
      <c r="DO472" s="191"/>
      <c r="DP472" s="19"/>
      <c r="DQ472" s="192"/>
      <c r="DR472" s="192"/>
      <c r="DS472" s="192"/>
      <c r="DT472" s="191"/>
      <c r="DU472" s="193"/>
      <c r="DV472" s="192"/>
      <c r="DW472" s="192"/>
      <c r="DX472" s="192"/>
      <c r="DY472" s="191"/>
      <c r="DZ472" s="19"/>
      <c r="EA472" s="192"/>
      <c r="EB472" s="192"/>
      <c r="EC472" s="192"/>
      <c r="ED472" s="191"/>
      <c r="EE472" s="193"/>
      <c r="EF472" s="192"/>
      <c r="EG472" s="192"/>
      <c r="EH472" s="192"/>
      <c r="EI472" s="191"/>
      <c r="EJ472" s="19"/>
      <c r="EK472" s="192"/>
      <c r="EL472" s="192"/>
      <c r="EM472" s="192"/>
      <c r="EN472" s="191"/>
      <c r="EO472" s="193"/>
      <c r="EP472" s="192"/>
      <c r="EQ472" s="192"/>
      <c r="ER472" s="192"/>
      <c r="ES472" s="191"/>
      <c r="ET472" s="19"/>
      <c r="EU472" s="192"/>
      <c r="EV472" s="192"/>
      <c r="EW472" s="192"/>
      <c r="EX472" s="191"/>
      <c r="EY472" s="193"/>
      <c r="EZ472" s="192"/>
      <c r="FA472" s="192"/>
      <c r="FB472" s="192"/>
      <c r="FC472" s="191"/>
      <c r="FL472" s="273">
        <f t="shared" ca="1" si="23"/>
        <v>116</v>
      </c>
    </row>
    <row r="473" spans="1:168" ht="16.5" thickBot="1">
      <c r="A473" s="199">
        <v>470</v>
      </c>
      <c r="B473" s="306"/>
      <c r="C473" s="310"/>
      <c r="D473" s="307" t="s">
        <v>271</v>
      </c>
      <c r="E473" s="307" t="s">
        <v>271</v>
      </c>
      <c r="F473" s="308"/>
      <c r="G473" s="343" t="str">
        <f t="shared" si="21"/>
        <v xml:space="preserve"> </v>
      </c>
      <c r="H473" s="307"/>
      <c r="I473" s="309" t="e">
        <f t="shared" si="22"/>
        <v>#N/A</v>
      </c>
      <c r="J473" s="307"/>
      <c r="K473" s="307"/>
      <c r="L473" s="310"/>
      <c r="M473" s="310"/>
      <c r="N473" s="310"/>
      <c r="O473" s="310"/>
      <c r="P473" s="310"/>
      <c r="Q473" s="310"/>
      <c r="R473" s="310"/>
      <c r="S473" s="310"/>
      <c r="T473" s="310"/>
      <c r="U473" s="307"/>
      <c r="V473" s="307"/>
      <c r="W473" s="311"/>
      <c r="X473" s="307"/>
      <c r="Y473" s="307"/>
      <c r="Z473" s="307"/>
      <c r="AA473" s="307"/>
      <c r="AB473" s="311"/>
      <c r="AC473" s="307"/>
      <c r="AD473" s="307"/>
      <c r="AE473" s="307"/>
      <c r="AF473" s="307"/>
      <c r="AG473" s="310"/>
      <c r="AH473" s="307"/>
      <c r="AI473" s="310"/>
      <c r="AJ473" s="307"/>
      <c r="AK473" s="307"/>
      <c r="AL473" s="307"/>
      <c r="AM473" s="308"/>
      <c r="AN473" s="311"/>
      <c r="AO473" s="307"/>
      <c r="AP473" s="307"/>
      <c r="AQ473" s="308"/>
      <c r="AR473" s="307"/>
      <c r="AS473" s="307"/>
      <c r="AT473" s="307"/>
      <c r="AU473" s="310"/>
      <c r="AV473" s="308"/>
      <c r="AW473" s="312"/>
      <c r="AX473" s="308"/>
      <c r="AY473" s="307"/>
      <c r="AZ473" s="307"/>
      <c r="BA473" s="307"/>
      <c r="BB473" s="307"/>
      <c r="BC473" s="308"/>
      <c r="BD473" s="308"/>
      <c r="BE473" s="313"/>
      <c r="BF473" s="307"/>
      <c r="BG473" s="310"/>
      <c r="BH473" s="307"/>
      <c r="BI473" s="307"/>
      <c r="BJ473" s="310"/>
      <c r="BK473" s="307"/>
      <c r="BL473" s="307"/>
      <c r="BM473" s="310"/>
      <c r="BN473" s="307"/>
      <c r="BO473" s="310"/>
      <c r="BP473" s="307"/>
      <c r="BQ473" s="307"/>
      <c r="BR473" s="307"/>
      <c r="BS473" s="307"/>
      <c r="BT473" s="307"/>
      <c r="BU473" s="310"/>
      <c r="BV473" s="307"/>
      <c r="BW473" s="308"/>
      <c r="BX473" s="311"/>
      <c r="BY473" s="307"/>
      <c r="BZ473" s="307"/>
      <c r="CA473" s="310"/>
      <c r="CB473" s="307"/>
      <c r="CC473" s="307"/>
      <c r="CD473" s="307"/>
      <c r="CE473" s="308"/>
      <c r="CF473" s="308"/>
      <c r="CG473" s="307"/>
      <c r="CH473" s="307"/>
      <c r="CI473" s="307"/>
      <c r="CJ473" s="307"/>
      <c r="CK473" s="314"/>
      <c r="CL473" s="310"/>
      <c r="CM473" s="310"/>
      <c r="CN473" s="307"/>
      <c r="CO473" s="307"/>
      <c r="CP473" s="307"/>
      <c r="CQ473" s="315"/>
      <c r="CR473" s="315"/>
      <c r="CS473" s="315"/>
      <c r="CT473" s="315"/>
      <c r="CU473" s="307"/>
      <c r="CV473" s="217"/>
      <c r="CW473" s="192"/>
      <c r="CX473" s="192"/>
      <c r="CY473" s="192"/>
      <c r="CZ473" s="191"/>
      <c r="DA473" s="193"/>
      <c r="DB473" s="192"/>
      <c r="DC473" s="192"/>
      <c r="DD473" s="192"/>
      <c r="DE473" s="191"/>
      <c r="DF473" s="19"/>
      <c r="DG473" s="192"/>
      <c r="DH473" s="192"/>
      <c r="DI473" s="192"/>
      <c r="DJ473" s="191"/>
      <c r="DK473" s="193"/>
      <c r="DL473" s="192"/>
      <c r="DM473" s="192"/>
      <c r="DN473" s="192"/>
      <c r="DO473" s="191"/>
      <c r="DP473" s="19"/>
      <c r="DQ473" s="192"/>
      <c r="DR473" s="192"/>
      <c r="DS473" s="192"/>
      <c r="DT473" s="191"/>
      <c r="DU473" s="193"/>
      <c r="DV473" s="192"/>
      <c r="DW473" s="192"/>
      <c r="DX473" s="192"/>
      <c r="DY473" s="191"/>
      <c r="DZ473" s="19"/>
      <c r="EA473" s="192"/>
      <c r="EB473" s="192"/>
      <c r="EC473" s="192"/>
      <c r="ED473" s="191"/>
      <c r="EE473" s="193"/>
      <c r="EF473" s="192"/>
      <c r="EG473" s="192"/>
      <c r="EH473" s="192"/>
      <c r="EI473" s="191"/>
      <c r="EJ473" s="19"/>
      <c r="EK473" s="192"/>
      <c r="EL473" s="192"/>
      <c r="EM473" s="192"/>
      <c r="EN473" s="191"/>
      <c r="EO473" s="193"/>
      <c r="EP473" s="192"/>
      <c r="EQ473" s="192"/>
      <c r="ER473" s="192"/>
      <c r="ES473" s="191"/>
      <c r="ET473" s="19"/>
      <c r="EU473" s="192"/>
      <c r="EV473" s="192"/>
      <c r="EW473" s="192"/>
      <c r="EX473" s="191"/>
      <c r="EY473" s="193"/>
      <c r="EZ473" s="192"/>
      <c r="FA473" s="192"/>
      <c r="FB473" s="192"/>
      <c r="FC473" s="191"/>
      <c r="FL473" s="273">
        <f t="shared" ca="1" si="23"/>
        <v>116</v>
      </c>
    </row>
    <row r="474" spans="1:168" ht="16.5" thickBot="1">
      <c r="A474" s="196">
        <v>471</v>
      </c>
      <c r="B474" s="306"/>
      <c r="C474" s="310"/>
      <c r="D474" s="307" t="s">
        <v>271</v>
      </c>
      <c r="E474" s="307" t="s">
        <v>271</v>
      </c>
      <c r="F474" s="308"/>
      <c r="G474" s="343" t="str">
        <f t="shared" si="21"/>
        <v xml:space="preserve"> </v>
      </c>
      <c r="H474" s="307"/>
      <c r="I474" s="309" t="e">
        <f t="shared" si="22"/>
        <v>#N/A</v>
      </c>
      <c r="J474" s="307"/>
      <c r="K474" s="307"/>
      <c r="L474" s="310"/>
      <c r="M474" s="310"/>
      <c r="N474" s="310"/>
      <c r="O474" s="310"/>
      <c r="P474" s="310"/>
      <c r="Q474" s="310"/>
      <c r="R474" s="310"/>
      <c r="S474" s="310"/>
      <c r="T474" s="310"/>
      <c r="U474" s="307"/>
      <c r="V474" s="307"/>
      <c r="W474" s="311"/>
      <c r="X474" s="307"/>
      <c r="Y474" s="307"/>
      <c r="Z474" s="307"/>
      <c r="AA474" s="307"/>
      <c r="AB474" s="311"/>
      <c r="AC474" s="307"/>
      <c r="AD474" s="307"/>
      <c r="AE474" s="307"/>
      <c r="AF474" s="307"/>
      <c r="AG474" s="310"/>
      <c r="AH474" s="307"/>
      <c r="AI474" s="310"/>
      <c r="AJ474" s="307"/>
      <c r="AK474" s="307"/>
      <c r="AL474" s="307"/>
      <c r="AM474" s="308"/>
      <c r="AN474" s="311"/>
      <c r="AO474" s="307"/>
      <c r="AP474" s="307"/>
      <c r="AQ474" s="308"/>
      <c r="AR474" s="307"/>
      <c r="AS474" s="307"/>
      <c r="AT474" s="307"/>
      <c r="AU474" s="310"/>
      <c r="AV474" s="308"/>
      <c r="AW474" s="312"/>
      <c r="AX474" s="308"/>
      <c r="AY474" s="307"/>
      <c r="AZ474" s="307"/>
      <c r="BA474" s="307"/>
      <c r="BB474" s="307"/>
      <c r="BC474" s="308"/>
      <c r="BD474" s="308"/>
      <c r="BE474" s="313"/>
      <c r="BF474" s="307"/>
      <c r="BG474" s="310"/>
      <c r="BH474" s="307"/>
      <c r="BI474" s="307"/>
      <c r="BJ474" s="310"/>
      <c r="BK474" s="307"/>
      <c r="BL474" s="307"/>
      <c r="BM474" s="310"/>
      <c r="BN474" s="307"/>
      <c r="BO474" s="310"/>
      <c r="BP474" s="307"/>
      <c r="BQ474" s="307"/>
      <c r="BR474" s="307"/>
      <c r="BS474" s="307"/>
      <c r="BT474" s="307"/>
      <c r="BU474" s="310"/>
      <c r="BV474" s="307"/>
      <c r="BW474" s="308"/>
      <c r="BX474" s="311"/>
      <c r="BY474" s="307"/>
      <c r="BZ474" s="307"/>
      <c r="CA474" s="310"/>
      <c r="CB474" s="307"/>
      <c r="CC474" s="307"/>
      <c r="CD474" s="307"/>
      <c r="CE474" s="308"/>
      <c r="CF474" s="308"/>
      <c r="CG474" s="307"/>
      <c r="CH474" s="307"/>
      <c r="CI474" s="307"/>
      <c r="CJ474" s="307"/>
      <c r="CK474" s="314"/>
      <c r="CL474" s="310"/>
      <c r="CM474" s="310"/>
      <c r="CN474" s="307"/>
      <c r="CO474" s="307"/>
      <c r="CP474" s="307"/>
      <c r="CQ474" s="315"/>
      <c r="CR474" s="315"/>
      <c r="CS474" s="315"/>
      <c r="CT474" s="315"/>
      <c r="CU474" s="307"/>
      <c r="CV474" s="217"/>
      <c r="CW474" s="192"/>
      <c r="CX474" s="192"/>
      <c r="CY474" s="192"/>
      <c r="CZ474" s="191"/>
      <c r="DA474" s="193"/>
      <c r="DB474" s="192"/>
      <c r="DC474" s="192"/>
      <c r="DD474" s="192"/>
      <c r="DE474" s="191"/>
      <c r="DF474" s="19"/>
      <c r="DG474" s="192"/>
      <c r="DH474" s="192"/>
      <c r="DI474" s="192"/>
      <c r="DJ474" s="191"/>
      <c r="DK474" s="193"/>
      <c r="DL474" s="192"/>
      <c r="DM474" s="192"/>
      <c r="DN474" s="192"/>
      <c r="DO474" s="191"/>
      <c r="DP474" s="19"/>
      <c r="DQ474" s="192"/>
      <c r="DR474" s="192"/>
      <c r="DS474" s="192"/>
      <c r="DT474" s="191"/>
      <c r="DU474" s="193"/>
      <c r="DV474" s="192"/>
      <c r="DW474" s="192"/>
      <c r="DX474" s="192"/>
      <c r="DY474" s="191"/>
      <c r="DZ474" s="19"/>
      <c r="EA474" s="192"/>
      <c r="EB474" s="192"/>
      <c r="EC474" s="192"/>
      <c r="ED474" s="191"/>
      <c r="EE474" s="193"/>
      <c r="EF474" s="192"/>
      <c r="EG474" s="192"/>
      <c r="EH474" s="192"/>
      <c r="EI474" s="191"/>
      <c r="EJ474" s="19"/>
      <c r="EK474" s="192"/>
      <c r="EL474" s="192"/>
      <c r="EM474" s="192"/>
      <c r="EN474" s="191"/>
      <c r="EO474" s="193"/>
      <c r="EP474" s="192"/>
      <c r="EQ474" s="192"/>
      <c r="ER474" s="192"/>
      <c r="ES474" s="191"/>
      <c r="ET474" s="19"/>
      <c r="EU474" s="192"/>
      <c r="EV474" s="192"/>
      <c r="EW474" s="192"/>
      <c r="EX474" s="191"/>
      <c r="EY474" s="193"/>
      <c r="EZ474" s="192"/>
      <c r="FA474" s="192"/>
      <c r="FB474" s="192"/>
      <c r="FC474" s="191"/>
      <c r="FL474" s="273">
        <f t="shared" ca="1" si="23"/>
        <v>116</v>
      </c>
    </row>
    <row r="475" spans="1:168" ht="16.5" thickBot="1">
      <c r="A475" s="199">
        <v>472</v>
      </c>
      <c r="B475" s="306"/>
      <c r="C475" s="310"/>
      <c r="D475" s="307" t="s">
        <v>271</v>
      </c>
      <c r="E475" s="307" t="s">
        <v>271</v>
      </c>
      <c r="F475" s="308"/>
      <c r="G475" s="343" t="str">
        <f t="shared" si="21"/>
        <v xml:space="preserve"> </v>
      </c>
      <c r="H475" s="307"/>
      <c r="I475" s="309" t="e">
        <f t="shared" si="22"/>
        <v>#N/A</v>
      </c>
      <c r="J475" s="307"/>
      <c r="K475" s="307"/>
      <c r="L475" s="310"/>
      <c r="M475" s="310"/>
      <c r="N475" s="310"/>
      <c r="O475" s="310"/>
      <c r="P475" s="310"/>
      <c r="Q475" s="310"/>
      <c r="R475" s="310"/>
      <c r="S475" s="310"/>
      <c r="T475" s="310"/>
      <c r="U475" s="307"/>
      <c r="V475" s="307"/>
      <c r="W475" s="311"/>
      <c r="X475" s="307"/>
      <c r="Y475" s="307"/>
      <c r="Z475" s="307"/>
      <c r="AA475" s="307"/>
      <c r="AB475" s="311"/>
      <c r="AC475" s="307"/>
      <c r="AD475" s="307"/>
      <c r="AE475" s="307"/>
      <c r="AF475" s="307"/>
      <c r="AG475" s="310"/>
      <c r="AH475" s="307"/>
      <c r="AI475" s="310"/>
      <c r="AJ475" s="307"/>
      <c r="AK475" s="307"/>
      <c r="AL475" s="307"/>
      <c r="AM475" s="308"/>
      <c r="AN475" s="311"/>
      <c r="AO475" s="307"/>
      <c r="AP475" s="307"/>
      <c r="AQ475" s="308"/>
      <c r="AR475" s="307"/>
      <c r="AS475" s="307"/>
      <c r="AT475" s="307"/>
      <c r="AU475" s="310"/>
      <c r="AV475" s="308"/>
      <c r="AW475" s="312"/>
      <c r="AX475" s="308"/>
      <c r="AY475" s="307"/>
      <c r="AZ475" s="307"/>
      <c r="BA475" s="307"/>
      <c r="BB475" s="307"/>
      <c r="BC475" s="308"/>
      <c r="BD475" s="308"/>
      <c r="BE475" s="313"/>
      <c r="BF475" s="307"/>
      <c r="BG475" s="310"/>
      <c r="BH475" s="307"/>
      <c r="BI475" s="307"/>
      <c r="BJ475" s="310"/>
      <c r="BK475" s="307"/>
      <c r="BL475" s="307"/>
      <c r="BM475" s="310"/>
      <c r="BN475" s="307"/>
      <c r="BO475" s="310"/>
      <c r="BP475" s="307"/>
      <c r="BQ475" s="307"/>
      <c r="BR475" s="307"/>
      <c r="BS475" s="307"/>
      <c r="BT475" s="307"/>
      <c r="BU475" s="310"/>
      <c r="BV475" s="307"/>
      <c r="BW475" s="308"/>
      <c r="BX475" s="311"/>
      <c r="BY475" s="307"/>
      <c r="BZ475" s="307"/>
      <c r="CA475" s="310"/>
      <c r="CB475" s="307"/>
      <c r="CC475" s="307"/>
      <c r="CD475" s="307"/>
      <c r="CE475" s="308"/>
      <c r="CF475" s="308"/>
      <c r="CG475" s="307"/>
      <c r="CH475" s="307"/>
      <c r="CI475" s="307"/>
      <c r="CJ475" s="307"/>
      <c r="CK475" s="314"/>
      <c r="CL475" s="310"/>
      <c r="CM475" s="310"/>
      <c r="CN475" s="307"/>
      <c r="CO475" s="307"/>
      <c r="CP475" s="307"/>
      <c r="CQ475" s="315"/>
      <c r="CR475" s="315"/>
      <c r="CS475" s="315"/>
      <c r="CT475" s="315"/>
      <c r="CU475" s="307"/>
      <c r="CV475" s="217"/>
      <c r="CW475" s="192"/>
      <c r="CX475" s="192"/>
      <c r="CY475" s="192"/>
      <c r="CZ475" s="191"/>
      <c r="DA475" s="193"/>
      <c r="DB475" s="192"/>
      <c r="DC475" s="192"/>
      <c r="DD475" s="192"/>
      <c r="DE475" s="191"/>
      <c r="DF475" s="19"/>
      <c r="DG475" s="192"/>
      <c r="DH475" s="192"/>
      <c r="DI475" s="192"/>
      <c r="DJ475" s="191"/>
      <c r="DK475" s="193"/>
      <c r="DL475" s="192"/>
      <c r="DM475" s="192"/>
      <c r="DN475" s="192"/>
      <c r="DO475" s="191"/>
      <c r="DP475" s="19"/>
      <c r="DQ475" s="192"/>
      <c r="DR475" s="192"/>
      <c r="DS475" s="192"/>
      <c r="DT475" s="191"/>
      <c r="DU475" s="193"/>
      <c r="DV475" s="192"/>
      <c r="DW475" s="192"/>
      <c r="DX475" s="192"/>
      <c r="DY475" s="191"/>
      <c r="DZ475" s="19"/>
      <c r="EA475" s="192"/>
      <c r="EB475" s="192"/>
      <c r="EC475" s="192"/>
      <c r="ED475" s="191"/>
      <c r="EE475" s="193"/>
      <c r="EF475" s="192"/>
      <c r="EG475" s="192"/>
      <c r="EH475" s="192"/>
      <c r="EI475" s="191"/>
      <c r="EJ475" s="19"/>
      <c r="EK475" s="192"/>
      <c r="EL475" s="192"/>
      <c r="EM475" s="192"/>
      <c r="EN475" s="191"/>
      <c r="EO475" s="193"/>
      <c r="EP475" s="192"/>
      <c r="EQ475" s="192"/>
      <c r="ER475" s="192"/>
      <c r="ES475" s="191"/>
      <c r="ET475" s="19"/>
      <c r="EU475" s="192"/>
      <c r="EV475" s="192"/>
      <c r="EW475" s="192"/>
      <c r="EX475" s="191"/>
      <c r="EY475" s="193"/>
      <c r="EZ475" s="192"/>
      <c r="FA475" s="192"/>
      <c r="FB475" s="192"/>
      <c r="FC475" s="191"/>
      <c r="FL475" s="273">
        <f t="shared" ca="1" si="23"/>
        <v>116</v>
      </c>
    </row>
    <row r="476" spans="1:168" ht="16.5" thickBot="1">
      <c r="A476" s="196">
        <v>473</v>
      </c>
      <c r="B476" s="306"/>
      <c r="C476" s="310"/>
      <c r="D476" s="307" t="s">
        <v>271</v>
      </c>
      <c r="E476" s="307" t="s">
        <v>271</v>
      </c>
      <c r="F476" s="308"/>
      <c r="G476" s="343" t="str">
        <f t="shared" si="21"/>
        <v xml:space="preserve"> </v>
      </c>
      <c r="H476" s="307"/>
      <c r="I476" s="309" t="e">
        <f t="shared" si="22"/>
        <v>#N/A</v>
      </c>
      <c r="J476" s="307"/>
      <c r="K476" s="307"/>
      <c r="L476" s="310"/>
      <c r="M476" s="310"/>
      <c r="N476" s="310"/>
      <c r="O476" s="310"/>
      <c r="P476" s="310"/>
      <c r="Q476" s="310"/>
      <c r="R476" s="310"/>
      <c r="S476" s="310"/>
      <c r="T476" s="310"/>
      <c r="U476" s="307"/>
      <c r="V476" s="307"/>
      <c r="W476" s="311"/>
      <c r="X476" s="307"/>
      <c r="Y476" s="307"/>
      <c r="Z476" s="307"/>
      <c r="AA476" s="307"/>
      <c r="AB476" s="311"/>
      <c r="AC476" s="307"/>
      <c r="AD476" s="307"/>
      <c r="AE476" s="307"/>
      <c r="AF476" s="307"/>
      <c r="AG476" s="310"/>
      <c r="AH476" s="307"/>
      <c r="AI476" s="310"/>
      <c r="AJ476" s="307"/>
      <c r="AK476" s="307"/>
      <c r="AL476" s="307"/>
      <c r="AM476" s="308"/>
      <c r="AN476" s="311"/>
      <c r="AO476" s="307"/>
      <c r="AP476" s="307"/>
      <c r="AQ476" s="308"/>
      <c r="AR476" s="307"/>
      <c r="AS476" s="307"/>
      <c r="AT476" s="307"/>
      <c r="AU476" s="310"/>
      <c r="AV476" s="308"/>
      <c r="AW476" s="312"/>
      <c r="AX476" s="308"/>
      <c r="AY476" s="307"/>
      <c r="AZ476" s="307"/>
      <c r="BA476" s="307"/>
      <c r="BB476" s="307"/>
      <c r="BC476" s="308"/>
      <c r="BD476" s="308"/>
      <c r="BE476" s="313"/>
      <c r="BF476" s="307"/>
      <c r="BG476" s="310"/>
      <c r="BH476" s="307"/>
      <c r="BI476" s="307"/>
      <c r="BJ476" s="310"/>
      <c r="BK476" s="307"/>
      <c r="BL476" s="307"/>
      <c r="BM476" s="310"/>
      <c r="BN476" s="307"/>
      <c r="BO476" s="310"/>
      <c r="BP476" s="307"/>
      <c r="BQ476" s="307"/>
      <c r="BR476" s="307"/>
      <c r="BS476" s="307"/>
      <c r="BT476" s="307"/>
      <c r="BU476" s="310"/>
      <c r="BV476" s="307"/>
      <c r="BW476" s="308"/>
      <c r="BX476" s="311"/>
      <c r="BY476" s="307"/>
      <c r="BZ476" s="307"/>
      <c r="CA476" s="310"/>
      <c r="CB476" s="307"/>
      <c r="CC476" s="307"/>
      <c r="CD476" s="307"/>
      <c r="CE476" s="308"/>
      <c r="CF476" s="308"/>
      <c r="CG476" s="307"/>
      <c r="CH476" s="307"/>
      <c r="CI476" s="307"/>
      <c r="CJ476" s="307"/>
      <c r="CK476" s="314"/>
      <c r="CL476" s="310"/>
      <c r="CM476" s="310"/>
      <c r="CN476" s="307"/>
      <c r="CO476" s="307"/>
      <c r="CP476" s="307"/>
      <c r="CQ476" s="315"/>
      <c r="CR476" s="315"/>
      <c r="CS476" s="315"/>
      <c r="CT476" s="315"/>
      <c r="CU476" s="307"/>
      <c r="CV476" s="217"/>
      <c r="CW476" s="192"/>
      <c r="CX476" s="192"/>
      <c r="CY476" s="192"/>
      <c r="CZ476" s="191"/>
      <c r="DA476" s="193"/>
      <c r="DB476" s="192"/>
      <c r="DC476" s="192"/>
      <c r="DD476" s="192"/>
      <c r="DE476" s="191"/>
      <c r="DF476" s="19"/>
      <c r="DG476" s="192"/>
      <c r="DH476" s="192"/>
      <c r="DI476" s="192"/>
      <c r="DJ476" s="191"/>
      <c r="DK476" s="193"/>
      <c r="DL476" s="192"/>
      <c r="DM476" s="192"/>
      <c r="DN476" s="192"/>
      <c r="DO476" s="191"/>
      <c r="DP476" s="19"/>
      <c r="DQ476" s="192"/>
      <c r="DR476" s="192"/>
      <c r="DS476" s="192"/>
      <c r="DT476" s="191"/>
      <c r="DU476" s="193"/>
      <c r="DV476" s="192"/>
      <c r="DW476" s="192"/>
      <c r="DX476" s="192"/>
      <c r="DY476" s="191"/>
      <c r="DZ476" s="19"/>
      <c r="EA476" s="192"/>
      <c r="EB476" s="192"/>
      <c r="EC476" s="192"/>
      <c r="ED476" s="191"/>
      <c r="EE476" s="193"/>
      <c r="EF476" s="192"/>
      <c r="EG476" s="192"/>
      <c r="EH476" s="192"/>
      <c r="EI476" s="191"/>
      <c r="EJ476" s="19"/>
      <c r="EK476" s="192"/>
      <c r="EL476" s="192"/>
      <c r="EM476" s="192"/>
      <c r="EN476" s="191"/>
      <c r="EO476" s="193"/>
      <c r="EP476" s="192"/>
      <c r="EQ476" s="192"/>
      <c r="ER476" s="192"/>
      <c r="ES476" s="191"/>
      <c r="ET476" s="19"/>
      <c r="EU476" s="192"/>
      <c r="EV476" s="192"/>
      <c r="EW476" s="192"/>
      <c r="EX476" s="191"/>
      <c r="EY476" s="193"/>
      <c r="EZ476" s="192"/>
      <c r="FA476" s="192"/>
      <c r="FB476" s="192"/>
      <c r="FC476" s="191"/>
      <c r="FL476" s="273">
        <f t="shared" ca="1" si="23"/>
        <v>116</v>
      </c>
    </row>
    <row r="477" spans="1:168" ht="16.5" thickBot="1">
      <c r="A477" s="199">
        <v>474</v>
      </c>
      <c r="B477" s="306"/>
      <c r="C477" s="310"/>
      <c r="D477" s="307" t="s">
        <v>271</v>
      </c>
      <c r="E477" s="307" t="s">
        <v>271</v>
      </c>
      <c r="F477" s="308"/>
      <c r="G477" s="343" t="str">
        <f t="shared" si="21"/>
        <v xml:space="preserve"> </v>
      </c>
      <c r="H477" s="307"/>
      <c r="I477" s="309" t="e">
        <f t="shared" si="22"/>
        <v>#N/A</v>
      </c>
      <c r="J477" s="307"/>
      <c r="K477" s="307"/>
      <c r="L477" s="310"/>
      <c r="M477" s="310"/>
      <c r="N477" s="310"/>
      <c r="O477" s="310"/>
      <c r="P477" s="310"/>
      <c r="Q477" s="310"/>
      <c r="R477" s="310"/>
      <c r="S477" s="310"/>
      <c r="T477" s="310"/>
      <c r="U477" s="307"/>
      <c r="V477" s="307"/>
      <c r="W477" s="311"/>
      <c r="X477" s="307"/>
      <c r="Y477" s="307"/>
      <c r="Z477" s="307"/>
      <c r="AA477" s="307"/>
      <c r="AB477" s="311"/>
      <c r="AC477" s="307"/>
      <c r="AD477" s="307"/>
      <c r="AE477" s="307"/>
      <c r="AF477" s="307"/>
      <c r="AG477" s="310"/>
      <c r="AH477" s="307"/>
      <c r="AI477" s="310"/>
      <c r="AJ477" s="307"/>
      <c r="AK477" s="307"/>
      <c r="AL477" s="307"/>
      <c r="AM477" s="308"/>
      <c r="AN477" s="311"/>
      <c r="AO477" s="307"/>
      <c r="AP477" s="307"/>
      <c r="AQ477" s="308"/>
      <c r="AR477" s="307"/>
      <c r="AS477" s="307"/>
      <c r="AT477" s="307"/>
      <c r="AU477" s="310"/>
      <c r="AV477" s="308"/>
      <c r="AW477" s="312"/>
      <c r="AX477" s="308"/>
      <c r="AY477" s="307"/>
      <c r="AZ477" s="307"/>
      <c r="BA477" s="307"/>
      <c r="BB477" s="307"/>
      <c r="BC477" s="308"/>
      <c r="BD477" s="308"/>
      <c r="BE477" s="313"/>
      <c r="BF477" s="307"/>
      <c r="BG477" s="310"/>
      <c r="BH477" s="307"/>
      <c r="BI477" s="307"/>
      <c r="BJ477" s="310"/>
      <c r="BK477" s="307"/>
      <c r="BL477" s="307"/>
      <c r="BM477" s="310"/>
      <c r="BN477" s="307"/>
      <c r="BO477" s="310"/>
      <c r="BP477" s="307"/>
      <c r="BQ477" s="307"/>
      <c r="BR477" s="307"/>
      <c r="BS477" s="307"/>
      <c r="BT477" s="307"/>
      <c r="BU477" s="310"/>
      <c r="BV477" s="307"/>
      <c r="BW477" s="308"/>
      <c r="BX477" s="311"/>
      <c r="BY477" s="307"/>
      <c r="BZ477" s="307"/>
      <c r="CA477" s="310"/>
      <c r="CB477" s="307"/>
      <c r="CC477" s="307"/>
      <c r="CD477" s="307"/>
      <c r="CE477" s="308"/>
      <c r="CF477" s="308"/>
      <c r="CG477" s="307"/>
      <c r="CH477" s="307"/>
      <c r="CI477" s="307"/>
      <c r="CJ477" s="307"/>
      <c r="CK477" s="314"/>
      <c r="CL477" s="310"/>
      <c r="CM477" s="310"/>
      <c r="CN477" s="307"/>
      <c r="CO477" s="307"/>
      <c r="CP477" s="307"/>
      <c r="CQ477" s="315"/>
      <c r="CR477" s="315"/>
      <c r="CS477" s="315"/>
      <c r="CT477" s="315"/>
      <c r="CU477" s="307"/>
      <c r="CV477" s="217"/>
      <c r="CW477" s="192"/>
      <c r="CX477" s="192"/>
      <c r="CY477" s="192"/>
      <c r="CZ477" s="191"/>
      <c r="DA477" s="193"/>
      <c r="DB477" s="192"/>
      <c r="DC477" s="192"/>
      <c r="DD477" s="192"/>
      <c r="DE477" s="191"/>
      <c r="DF477" s="19"/>
      <c r="DG477" s="192"/>
      <c r="DH477" s="192"/>
      <c r="DI477" s="192"/>
      <c r="DJ477" s="191"/>
      <c r="DK477" s="193"/>
      <c r="DL477" s="192"/>
      <c r="DM477" s="192"/>
      <c r="DN477" s="192"/>
      <c r="DO477" s="191"/>
      <c r="DP477" s="19"/>
      <c r="DQ477" s="192"/>
      <c r="DR477" s="192"/>
      <c r="DS477" s="192"/>
      <c r="DT477" s="191"/>
      <c r="DU477" s="193"/>
      <c r="DV477" s="192"/>
      <c r="DW477" s="192"/>
      <c r="DX477" s="192"/>
      <c r="DY477" s="191"/>
      <c r="DZ477" s="19"/>
      <c r="EA477" s="192"/>
      <c r="EB477" s="192"/>
      <c r="EC477" s="192"/>
      <c r="ED477" s="191"/>
      <c r="EE477" s="193"/>
      <c r="EF477" s="192"/>
      <c r="EG477" s="192"/>
      <c r="EH477" s="192"/>
      <c r="EI477" s="191"/>
      <c r="EJ477" s="19"/>
      <c r="EK477" s="192"/>
      <c r="EL477" s="192"/>
      <c r="EM477" s="192"/>
      <c r="EN477" s="191"/>
      <c r="EO477" s="193"/>
      <c r="EP477" s="192"/>
      <c r="EQ477" s="192"/>
      <c r="ER477" s="192"/>
      <c r="ES477" s="191"/>
      <c r="ET477" s="19"/>
      <c r="EU477" s="192"/>
      <c r="EV477" s="192"/>
      <c r="EW477" s="192"/>
      <c r="EX477" s="191"/>
      <c r="EY477" s="193"/>
      <c r="EZ477" s="192"/>
      <c r="FA477" s="192"/>
      <c r="FB477" s="192"/>
      <c r="FC477" s="191"/>
      <c r="FL477" s="273">
        <f t="shared" ca="1" si="23"/>
        <v>116</v>
      </c>
    </row>
    <row r="478" spans="1:168" ht="16.5" thickBot="1">
      <c r="A478" s="196">
        <v>475</v>
      </c>
      <c r="B478" s="306"/>
      <c r="C478" s="310"/>
      <c r="D478" s="307" t="s">
        <v>271</v>
      </c>
      <c r="E478" s="307" t="s">
        <v>271</v>
      </c>
      <c r="F478" s="308"/>
      <c r="G478" s="343" t="str">
        <f t="shared" si="21"/>
        <v xml:space="preserve"> </v>
      </c>
      <c r="H478" s="307"/>
      <c r="I478" s="309" t="e">
        <f t="shared" si="22"/>
        <v>#N/A</v>
      </c>
      <c r="J478" s="307"/>
      <c r="K478" s="307"/>
      <c r="L478" s="310"/>
      <c r="M478" s="310"/>
      <c r="N478" s="310"/>
      <c r="O478" s="310"/>
      <c r="P478" s="310"/>
      <c r="Q478" s="310"/>
      <c r="R478" s="310"/>
      <c r="S478" s="310"/>
      <c r="T478" s="310"/>
      <c r="U478" s="307"/>
      <c r="V478" s="307"/>
      <c r="W478" s="311"/>
      <c r="X478" s="307"/>
      <c r="Y478" s="307"/>
      <c r="Z478" s="307"/>
      <c r="AA478" s="307"/>
      <c r="AB478" s="311"/>
      <c r="AC478" s="307"/>
      <c r="AD478" s="307"/>
      <c r="AE478" s="307"/>
      <c r="AF478" s="307"/>
      <c r="AG478" s="310"/>
      <c r="AH478" s="307"/>
      <c r="AI478" s="310"/>
      <c r="AJ478" s="307"/>
      <c r="AK478" s="307"/>
      <c r="AL478" s="307"/>
      <c r="AM478" s="308"/>
      <c r="AN478" s="311"/>
      <c r="AO478" s="307"/>
      <c r="AP478" s="307"/>
      <c r="AQ478" s="308"/>
      <c r="AR478" s="307"/>
      <c r="AS478" s="307"/>
      <c r="AT478" s="307"/>
      <c r="AU478" s="310"/>
      <c r="AV478" s="308"/>
      <c r="AW478" s="312"/>
      <c r="AX478" s="308"/>
      <c r="AY478" s="307"/>
      <c r="AZ478" s="307"/>
      <c r="BA478" s="307"/>
      <c r="BB478" s="307"/>
      <c r="BC478" s="308"/>
      <c r="BD478" s="308"/>
      <c r="BE478" s="313"/>
      <c r="BF478" s="307"/>
      <c r="BG478" s="310"/>
      <c r="BH478" s="307"/>
      <c r="BI478" s="307"/>
      <c r="BJ478" s="310"/>
      <c r="BK478" s="307"/>
      <c r="BL478" s="307"/>
      <c r="BM478" s="310"/>
      <c r="BN478" s="307"/>
      <c r="BO478" s="310"/>
      <c r="BP478" s="307"/>
      <c r="BQ478" s="307"/>
      <c r="BR478" s="307"/>
      <c r="BS478" s="307"/>
      <c r="BT478" s="307"/>
      <c r="BU478" s="310"/>
      <c r="BV478" s="307"/>
      <c r="BW478" s="308"/>
      <c r="BX478" s="311"/>
      <c r="BY478" s="307"/>
      <c r="BZ478" s="307"/>
      <c r="CA478" s="310"/>
      <c r="CB478" s="307"/>
      <c r="CC478" s="307"/>
      <c r="CD478" s="307"/>
      <c r="CE478" s="308"/>
      <c r="CF478" s="308"/>
      <c r="CG478" s="307"/>
      <c r="CH478" s="307"/>
      <c r="CI478" s="307"/>
      <c r="CJ478" s="307"/>
      <c r="CK478" s="314"/>
      <c r="CL478" s="310"/>
      <c r="CM478" s="310"/>
      <c r="CN478" s="307"/>
      <c r="CO478" s="307"/>
      <c r="CP478" s="307"/>
      <c r="CQ478" s="315"/>
      <c r="CR478" s="315"/>
      <c r="CS478" s="315"/>
      <c r="CT478" s="315"/>
      <c r="CU478" s="307"/>
      <c r="CV478" s="217"/>
      <c r="CW478" s="192"/>
      <c r="CX478" s="192"/>
      <c r="CY478" s="192"/>
      <c r="CZ478" s="191"/>
      <c r="DA478" s="193"/>
      <c r="DB478" s="192"/>
      <c r="DC478" s="192"/>
      <c r="DD478" s="192"/>
      <c r="DE478" s="191"/>
      <c r="DF478" s="19"/>
      <c r="DG478" s="192"/>
      <c r="DH478" s="192"/>
      <c r="DI478" s="192"/>
      <c r="DJ478" s="191"/>
      <c r="DK478" s="193"/>
      <c r="DL478" s="192"/>
      <c r="DM478" s="192"/>
      <c r="DN478" s="192"/>
      <c r="DO478" s="191"/>
      <c r="DP478" s="19"/>
      <c r="DQ478" s="192"/>
      <c r="DR478" s="192"/>
      <c r="DS478" s="192"/>
      <c r="DT478" s="191"/>
      <c r="DU478" s="193"/>
      <c r="DV478" s="192"/>
      <c r="DW478" s="192"/>
      <c r="DX478" s="192"/>
      <c r="DY478" s="191"/>
      <c r="DZ478" s="19"/>
      <c r="EA478" s="192"/>
      <c r="EB478" s="192"/>
      <c r="EC478" s="192"/>
      <c r="ED478" s="191"/>
      <c r="EE478" s="193"/>
      <c r="EF478" s="192"/>
      <c r="EG478" s="192"/>
      <c r="EH478" s="192"/>
      <c r="EI478" s="191"/>
      <c r="EJ478" s="19"/>
      <c r="EK478" s="192"/>
      <c r="EL478" s="192"/>
      <c r="EM478" s="192"/>
      <c r="EN478" s="191"/>
      <c r="EO478" s="193"/>
      <c r="EP478" s="192"/>
      <c r="EQ478" s="192"/>
      <c r="ER478" s="192"/>
      <c r="ES478" s="191"/>
      <c r="ET478" s="19"/>
      <c r="EU478" s="192"/>
      <c r="EV478" s="192"/>
      <c r="EW478" s="192"/>
      <c r="EX478" s="191"/>
      <c r="EY478" s="193"/>
      <c r="EZ478" s="192"/>
      <c r="FA478" s="192"/>
      <c r="FB478" s="192"/>
      <c r="FC478" s="191"/>
      <c r="FL478" s="273">
        <f t="shared" ca="1" si="23"/>
        <v>116</v>
      </c>
    </row>
    <row r="479" spans="1:168" ht="16.5" thickBot="1">
      <c r="A479" s="199">
        <v>476</v>
      </c>
      <c r="B479" s="306"/>
      <c r="C479" s="310"/>
      <c r="D479" s="307" t="s">
        <v>271</v>
      </c>
      <c r="E479" s="307" t="s">
        <v>271</v>
      </c>
      <c r="F479" s="308"/>
      <c r="G479" s="343" t="str">
        <f t="shared" si="21"/>
        <v xml:space="preserve"> </v>
      </c>
      <c r="H479" s="307"/>
      <c r="I479" s="309" t="e">
        <f t="shared" si="22"/>
        <v>#N/A</v>
      </c>
      <c r="J479" s="307"/>
      <c r="K479" s="307"/>
      <c r="L479" s="310"/>
      <c r="M479" s="310"/>
      <c r="N479" s="310"/>
      <c r="O479" s="310"/>
      <c r="P479" s="310"/>
      <c r="Q479" s="310"/>
      <c r="R479" s="310"/>
      <c r="S479" s="310"/>
      <c r="T479" s="310"/>
      <c r="U479" s="307"/>
      <c r="V479" s="307"/>
      <c r="W479" s="311"/>
      <c r="X479" s="307"/>
      <c r="Y479" s="307"/>
      <c r="Z479" s="307"/>
      <c r="AA479" s="307"/>
      <c r="AB479" s="311"/>
      <c r="AC479" s="307"/>
      <c r="AD479" s="307"/>
      <c r="AE479" s="307"/>
      <c r="AF479" s="307"/>
      <c r="AG479" s="310"/>
      <c r="AH479" s="307"/>
      <c r="AI479" s="310"/>
      <c r="AJ479" s="307"/>
      <c r="AK479" s="307"/>
      <c r="AL479" s="307"/>
      <c r="AM479" s="308"/>
      <c r="AN479" s="311"/>
      <c r="AO479" s="307"/>
      <c r="AP479" s="307"/>
      <c r="AQ479" s="308"/>
      <c r="AR479" s="307"/>
      <c r="AS479" s="307"/>
      <c r="AT479" s="307"/>
      <c r="AU479" s="310"/>
      <c r="AV479" s="308"/>
      <c r="AW479" s="312"/>
      <c r="AX479" s="308"/>
      <c r="AY479" s="307"/>
      <c r="AZ479" s="307"/>
      <c r="BA479" s="307"/>
      <c r="BB479" s="307"/>
      <c r="BC479" s="308"/>
      <c r="BD479" s="308"/>
      <c r="BE479" s="313"/>
      <c r="BF479" s="307"/>
      <c r="BG479" s="310"/>
      <c r="BH479" s="307"/>
      <c r="BI479" s="307"/>
      <c r="BJ479" s="310"/>
      <c r="BK479" s="307"/>
      <c r="BL479" s="307"/>
      <c r="BM479" s="310"/>
      <c r="BN479" s="307"/>
      <c r="BO479" s="310"/>
      <c r="BP479" s="307"/>
      <c r="BQ479" s="307"/>
      <c r="BR479" s="307"/>
      <c r="BS479" s="307"/>
      <c r="BT479" s="307"/>
      <c r="BU479" s="310"/>
      <c r="BV479" s="307"/>
      <c r="BW479" s="308"/>
      <c r="BX479" s="311"/>
      <c r="BY479" s="307"/>
      <c r="BZ479" s="307"/>
      <c r="CA479" s="310"/>
      <c r="CB479" s="307"/>
      <c r="CC479" s="307"/>
      <c r="CD479" s="307"/>
      <c r="CE479" s="308"/>
      <c r="CF479" s="308"/>
      <c r="CG479" s="307"/>
      <c r="CH479" s="307"/>
      <c r="CI479" s="307"/>
      <c r="CJ479" s="307"/>
      <c r="CK479" s="314"/>
      <c r="CL479" s="310"/>
      <c r="CM479" s="310"/>
      <c r="CN479" s="307"/>
      <c r="CO479" s="307"/>
      <c r="CP479" s="307"/>
      <c r="CQ479" s="315"/>
      <c r="CR479" s="315"/>
      <c r="CS479" s="315"/>
      <c r="CT479" s="315"/>
      <c r="CU479" s="307"/>
      <c r="CV479" s="217"/>
      <c r="CW479" s="192"/>
      <c r="CX479" s="192"/>
      <c r="CY479" s="192"/>
      <c r="CZ479" s="191"/>
      <c r="DA479" s="193"/>
      <c r="DB479" s="192"/>
      <c r="DC479" s="192"/>
      <c r="DD479" s="192"/>
      <c r="DE479" s="191"/>
      <c r="DF479" s="19"/>
      <c r="DG479" s="192"/>
      <c r="DH479" s="192"/>
      <c r="DI479" s="192"/>
      <c r="DJ479" s="191"/>
      <c r="DK479" s="193"/>
      <c r="DL479" s="192"/>
      <c r="DM479" s="192"/>
      <c r="DN479" s="192"/>
      <c r="DO479" s="191"/>
      <c r="DP479" s="19"/>
      <c r="DQ479" s="192"/>
      <c r="DR479" s="192"/>
      <c r="DS479" s="192"/>
      <c r="DT479" s="191"/>
      <c r="DU479" s="193"/>
      <c r="DV479" s="192"/>
      <c r="DW479" s="192"/>
      <c r="DX479" s="192"/>
      <c r="DY479" s="191"/>
      <c r="DZ479" s="19"/>
      <c r="EA479" s="192"/>
      <c r="EB479" s="192"/>
      <c r="EC479" s="192"/>
      <c r="ED479" s="191"/>
      <c r="EE479" s="193"/>
      <c r="EF479" s="192"/>
      <c r="EG479" s="192"/>
      <c r="EH479" s="192"/>
      <c r="EI479" s="191"/>
      <c r="EJ479" s="19"/>
      <c r="EK479" s="192"/>
      <c r="EL479" s="192"/>
      <c r="EM479" s="192"/>
      <c r="EN479" s="191"/>
      <c r="EO479" s="193"/>
      <c r="EP479" s="192"/>
      <c r="EQ479" s="192"/>
      <c r="ER479" s="192"/>
      <c r="ES479" s="191"/>
      <c r="ET479" s="19"/>
      <c r="EU479" s="192"/>
      <c r="EV479" s="192"/>
      <c r="EW479" s="192"/>
      <c r="EX479" s="191"/>
      <c r="EY479" s="193"/>
      <c r="EZ479" s="192"/>
      <c r="FA479" s="192"/>
      <c r="FB479" s="192"/>
      <c r="FC479" s="191"/>
      <c r="FL479" s="273">
        <f t="shared" ca="1" si="23"/>
        <v>116</v>
      </c>
    </row>
    <row r="480" spans="1:168" ht="16.5" thickBot="1">
      <c r="A480" s="196">
        <v>477</v>
      </c>
      <c r="B480" s="306"/>
      <c r="C480" s="310"/>
      <c r="D480" s="307" t="s">
        <v>271</v>
      </c>
      <c r="E480" s="307" t="s">
        <v>271</v>
      </c>
      <c r="F480" s="308"/>
      <c r="G480" s="343" t="str">
        <f t="shared" si="21"/>
        <v xml:space="preserve"> </v>
      </c>
      <c r="H480" s="307"/>
      <c r="I480" s="309" t="e">
        <f t="shared" si="22"/>
        <v>#N/A</v>
      </c>
      <c r="J480" s="307"/>
      <c r="K480" s="307"/>
      <c r="L480" s="310"/>
      <c r="M480" s="310"/>
      <c r="N480" s="310"/>
      <c r="O480" s="310"/>
      <c r="P480" s="310"/>
      <c r="Q480" s="310"/>
      <c r="R480" s="310"/>
      <c r="S480" s="310"/>
      <c r="T480" s="310"/>
      <c r="U480" s="307"/>
      <c r="V480" s="307"/>
      <c r="W480" s="311"/>
      <c r="X480" s="307"/>
      <c r="Y480" s="307"/>
      <c r="Z480" s="307"/>
      <c r="AA480" s="307"/>
      <c r="AB480" s="311"/>
      <c r="AC480" s="307"/>
      <c r="AD480" s="307"/>
      <c r="AE480" s="307"/>
      <c r="AF480" s="307"/>
      <c r="AG480" s="310"/>
      <c r="AH480" s="307"/>
      <c r="AI480" s="310"/>
      <c r="AJ480" s="307"/>
      <c r="AK480" s="307"/>
      <c r="AL480" s="307"/>
      <c r="AM480" s="308"/>
      <c r="AN480" s="311"/>
      <c r="AO480" s="307"/>
      <c r="AP480" s="307"/>
      <c r="AQ480" s="308"/>
      <c r="AR480" s="307"/>
      <c r="AS480" s="307"/>
      <c r="AT480" s="307"/>
      <c r="AU480" s="310"/>
      <c r="AV480" s="308"/>
      <c r="AW480" s="312"/>
      <c r="AX480" s="308"/>
      <c r="AY480" s="307"/>
      <c r="AZ480" s="307"/>
      <c r="BA480" s="307"/>
      <c r="BB480" s="307"/>
      <c r="BC480" s="308"/>
      <c r="BD480" s="308"/>
      <c r="BE480" s="313"/>
      <c r="BF480" s="307"/>
      <c r="BG480" s="310"/>
      <c r="BH480" s="307"/>
      <c r="BI480" s="307"/>
      <c r="BJ480" s="310"/>
      <c r="BK480" s="307"/>
      <c r="BL480" s="307"/>
      <c r="BM480" s="310"/>
      <c r="BN480" s="307"/>
      <c r="BO480" s="310"/>
      <c r="BP480" s="307"/>
      <c r="BQ480" s="307"/>
      <c r="BR480" s="307"/>
      <c r="BS480" s="307"/>
      <c r="BT480" s="307"/>
      <c r="BU480" s="310"/>
      <c r="BV480" s="307"/>
      <c r="BW480" s="308"/>
      <c r="BX480" s="311"/>
      <c r="BY480" s="307"/>
      <c r="BZ480" s="307"/>
      <c r="CA480" s="310"/>
      <c r="CB480" s="307"/>
      <c r="CC480" s="307"/>
      <c r="CD480" s="307"/>
      <c r="CE480" s="308"/>
      <c r="CF480" s="308"/>
      <c r="CG480" s="307"/>
      <c r="CH480" s="307"/>
      <c r="CI480" s="307"/>
      <c r="CJ480" s="307"/>
      <c r="CK480" s="314"/>
      <c r="CL480" s="310"/>
      <c r="CM480" s="310"/>
      <c r="CN480" s="307"/>
      <c r="CO480" s="307"/>
      <c r="CP480" s="307"/>
      <c r="CQ480" s="315"/>
      <c r="CR480" s="315"/>
      <c r="CS480" s="315"/>
      <c r="CT480" s="315"/>
      <c r="CU480" s="307"/>
      <c r="CV480" s="217"/>
      <c r="CW480" s="192"/>
      <c r="CX480" s="192"/>
      <c r="CY480" s="192"/>
      <c r="CZ480" s="191"/>
      <c r="DA480" s="193"/>
      <c r="DB480" s="192"/>
      <c r="DC480" s="192"/>
      <c r="DD480" s="192"/>
      <c r="DE480" s="191"/>
      <c r="DF480" s="19"/>
      <c r="DG480" s="192"/>
      <c r="DH480" s="192"/>
      <c r="DI480" s="192"/>
      <c r="DJ480" s="191"/>
      <c r="DK480" s="193"/>
      <c r="DL480" s="192"/>
      <c r="DM480" s="192"/>
      <c r="DN480" s="192"/>
      <c r="DO480" s="191"/>
      <c r="DP480" s="19"/>
      <c r="DQ480" s="192"/>
      <c r="DR480" s="192"/>
      <c r="DS480" s="192"/>
      <c r="DT480" s="191"/>
      <c r="DU480" s="193"/>
      <c r="DV480" s="192"/>
      <c r="DW480" s="192"/>
      <c r="DX480" s="192"/>
      <c r="DY480" s="191"/>
      <c r="DZ480" s="19"/>
      <c r="EA480" s="192"/>
      <c r="EB480" s="192"/>
      <c r="EC480" s="192"/>
      <c r="ED480" s="191"/>
      <c r="EE480" s="193"/>
      <c r="EF480" s="192"/>
      <c r="EG480" s="192"/>
      <c r="EH480" s="192"/>
      <c r="EI480" s="191"/>
      <c r="EJ480" s="19"/>
      <c r="EK480" s="192"/>
      <c r="EL480" s="192"/>
      <c r="EM480" s="192"/>
      <c r="EN480" s="191"/>
      <c r="EO480" s="193"/>
      <c r="EP480" s="192"/>
      <c r="EQ480" s="192"/>
      <c r="ER480" s="192"/>
      <c r="ES480" s="191"/>
      <c r="ET480" s="19"/>
      <c r="EU480" s="192"/>
      <c r="EV480" s="192"/>
      <c r="EW480" s="192"/>
      <c r="EX480" s="191"/>
      <c r="EY480" s="193"/>
      <c r="EZ480" s="192"/>
      <c r="FA480" s="192"/>
      <c r="FB480" s="192"/>
      <c r="FC480" s="191"/>
      <c r="FL480" s="273">
        <f t="shared" ca="1" si="23"/>
        <v>116</v>
      </c>
    </row>
    <row r="481" spans="1:168" ht="16.5" thickBot="1">
      <c r="A481" s="197"/>
      <c r="B481" s="306"/>
      <c r="C481" s="310"/>
      <c r="D481" s="307" t="s">
        <v>271</v>
      </c>
      <c r="E481" s="307" t="s">
        <v>271</v>
      </c>
      <c r="F481" s="308"/>
      <c r="G481" s="343" t="str">
        <f t="shared" si="21"/>
        <v xml:space="preserve"> </v>
      </c>
      <c r="H481" s="307"/>
      <c r="I481" s="309" t="e">
        <f t="shared" si="22"/>
        <v>#N/A</v>
      </c>
      <c r="J481" s="307"/>
      <c r="K481" s="307"/>
      <c r="L481" s="310"/>
      <c r="M481" s="310"/>
      <c r="N481" s="310"/>
      <c r="O481" s="310"/>
      <c r="P481" s="310"/>
      <c r="Q481" s="310"/>
      <c r="R481" s="310"/>
      <c r="S481" s="310"/>
      <c r="T481" s="310"/>
      <c r="U481" s="307"/>
      <c r="V481" s="307"/>
      <c r="W481" s="311"/>
      <c r="X481" s="307"/>
      <c r="Y481" s="307"/>
      <c r="Z481" s="307"/>
      <c r="AA481" s="307"/>
      <c r="AB481" s="311"/>
      <c r="AC481" s="307"/>
      <c r="AD481" s="307"/>
      <c r="AE481" s="307"/>
      <c r="AF481" s="307"/>
      <c r="AG481" s="310"/>
      <c r="AH481" s="307"/>
      <c r="AI481" s="310"/>
      <c r="AJ481" s="307"/>
      <c r="AK481" s="307"/>
      <c r="AL481" s="307"/>
      <c r="AM481" s="308"/>
      <c r="AN481" s="311"/>
      <c r="AO481" s="307"/>
      <c r="AP481" s="307"/>
      <c r="AQ481" s="308"/>
      <c r="AR481" s="307"/>
      <c r="AS481" s="307"/>
      <c r="AT481" s="307"/>
      <c r="AU481" s="310"/>
      <c r="AV481" s="308"/>
      <c r="AW481" s="312"/>
      <c r="AX481" s="308"/>
      <c r="AY481" s="307"/>
      <c r="AZ481" s="307"/>
      <c r="BA481" s="307"/>
      <c r="BB481" s="307"/>
      <c r="BC481" s="308"/>
      <c r="BD481" s="308"/>
      <c r="BE481" s="313"/>
      <c r="BF481" s="307"/>
      <c r="BG481" s="310"/>
      <c r="BH481" s="307"/>
      <c r="BI481" s="307"/>
      <c r="BJ481" s="310"/>
      <c r="BK481" s="307"/>
      <c r="BL481" s="307"/>
      <c r="BM481" s="310"/>
      <c r="BN481" s="307"/>
      <c r="BO481" s="310"/>
      <c r="BP481" s="307"/>
      <c r="BQ481" s="307"/>
      <c r="BR481" s="307"/>
      <c r="BS481" s="307"/>
      <c r="BT481" s="307"/>
      <c r="BU481" s="310"/>
      <c r="BV481" s="307"/>
      <c r="BW481" s="308"/>
      <c r="BX481" s="311"/>
      <c r="BY481" s="307"/>
      <c r="BZ481" s="307"/>
      <c r="CA481" s="310"/>
      <c r="CB481" s="307"/>
      <c r="CC481" s="307"/>
      <c r="CD481" s="307"/>
      <c r="CE481" s="308"/>
      <c r="CF481" s="308"/>
      <c r="CG481" s="307"/>
      <c r="CH481" s="307"/>
      <c r="CI481" s="307"/>
      <c r="CJ481" s="307"/>
      <c r="CK481" s="314"/>
      <c r="CL481" s="310"/>
      <c r="CM481" s="310"/>
      <c r="CN481" s="307"/>
      <c r="CO481" s="307"/>
      <c r="CP481" s="307"/>
      <c r="CQ481" s="315"/>
      <c r="CR481" s="315"/>
      <c r="CS481" s="315"/>
      <c r="CT481" s="315"/>
      <c r="CU481" s="307"/>
      <c r="CV481" s="217"/>
      <c r="CW481" s="192"/>
      <c r="CX481" s="192"/>
      <c r="CY481" s="192"/>
      <c r="CZ481" s="191"/>
      <c r="DA481" s="193"/>
      <c r="DB481" s="192"/>
      <c r="DC481" s="192"/>
      <c r="DD481" s="192"/>
      <c r="DE481" s="191"/>
      <c r="DF481" s="19"/>
      <c r="DG481" s="192"/>
      <c r="DH481" s="192"/>
      <c r="DI481" s="192"/>
      <c r="DJ481" s="191"/>
      <c r="DK481" s="193"/>
      <c r="DL481" s="192"/>
      <c r="DM481" s="192"/>
      <c r="DN481" s="192"/>
      <c r="DO481" s="191"/>
      <c r="DP481" s="19"/>
      <c r="DQ481" s="192"/>
      <c r="DR481" s="192"/>
      <c r="DS481" s="192"/>
      <c r="DT481" s="191"/>
      <c r="DU481" s="193"/>
      <c r="DV481" s="192"/>
      <c r="DW481" s="192"/>
      <c r="DX481" s="192"/>
      <c r="DY481" s="191"/>
      <c r="DZ481" s="19"/>
      <c r="EA481" s="192"/>
      <c r="EB481" s="192"/>
      <c r="EC481" s="192"/>
      <c r="ED481" s="191"/>
      <c r="EE481" s="193"/>
      <c r="EF481" s="192"/>
      <c r="EG481" s="192"/>
      <c r="EH481" s="192"/>
      <c r="EI481" s="191"/>
      <c r="EJ481" s="19"/>
      <c r="EK481" s="192"/>
      <c r="EL481" s="192"/>
      <c r="EM481" s="192"/>
      <c r="EN481" s="191"/>
      <c r="EO481" s="193"/>
      <c r="EP481" s="192"/>
      <c r="EQ481" s="192"/>
      <c r="ER481" s="192"/>
      <c r="ES481" s="191"/>
      <c r="ET481" s="19"/>
      <c r="EU481" s="192"/>
      <c r="EV481" s="192"/>
      <c r="EW481" s="192"/>
      <c r="EX481" s="191"/>
      <c r="EY481" s="193"/>
      <c r="EZ481" s="192"/>
      <c r="FA481" s="192"/>
      <c r="FB481" s="192"/>
      <c r="FC481" s="191"/>
      <c r="FL481" s="273">
        <f t="shared" ca="1" si="23"/>
        <v>116</v>
      </c>
    </row>
    <row r="482" spans="1:168" ht="16.5" thickBot="1">
      <c r="A482" s="197"/>
      <c r="B482" s="306"/>
      <c r="C482" s="310"/>
      <c r="D482" s="307" t="s">
        <v>271</v>
      </c>
      <c r="E482" s="307" t="s">
        <v>271</v>
      </c>
      <c r="F482" s="308"/>
      <c r="G482" s="343" t="str">
        <f t="shared" si="21"/>
        <v xml:space="preserve"> </v>
      </c>
      <c r="H482" s="307"/>
      <c r="I482" s="309" t="e">
        <f t="shared" si="22"/>
        <v>#N/A</v>
      </c>
      <c r="J482" s="307"/>
      <c r="K482" s="307"/>
      <c r="L482" s="310"/>
      <c r="M482" s="310"/>
      <c r="N482" s="310"/>
      <c r="O482" s="310"/>
      <c r="P482" s="310"/>
      <c r="Q482" s="310"/>
      <c r="R482" s="310"/>
      <c r="S482" s="310"/>
      <c r="T482" s="310"/>
      <c r="U482" s="307"/>
      <c r="V482" s="307"/>
      <c r="W482" s="311"/>
      <c r="X482" s="307"/>
      <c r="Y482" s="307"/>
      <c r="Z482" s="307"/>
      <c r="AA482" s="307"/>
      <c r="AB482" s="311"/>
      <c r="AC482" s="307"/>
      <c r="AD482" s="307"/>
      <c r="AE482" s="307"/>
      <c r="AF482" s="307"/>
      <c r="AG482" s="310"/>
      <c r="AH482" s="307"/>
      <c r="AI482" s="310"/>
      <c r="AJ482" s="307"/>
      <c r="AK482" s="307"/>
      <c r="AL482" s="307"/>
      <c r="AM482" s="308"/>
      <c r="AN482" s="311"/>
      <c r="AO482" s="307"/>
      <c r="AP482" s="307"/>
      <c r="AQ482" s="308"/>
      <c r="AR482" s="307"/>
      <c r="AS482" s="307"/>
      <c r="AT482" s="307"/>
      <c r="AU482" s="310"/>
      <c r="AV482" s="308"/>
      <c r="AW482" s="312"/>
      <c r="AX482" s="308"/>
      <c r="AY482" s="307"/>
      <c r="AZ482" s="307"/>
      <c r="BA482" s="307"/>
      <c r="BB482" s="307"/>
      <c r="BC482" s="308"/>
      <c r="BD482" s="308"/>
      <c r="BE482" s="313"/>
      <c r="BF482" s="307"/>
      <c r="BG482" s="310"/>
      <c r="BH482" s="307"/>
      <c r="BI482" s="307"/>
      <c r="BJ482" s="310"/>
      <c r="BK482" s="307"/>
      <c r="BL482" s="307"/>
      <c r="BM482" s="310"/>
      <c r="BN482" s="307"/>
      <c r="BO482" s="310"/>
      <c r="BP482" s="307"/>
      <c r="BQ482" s="307"/>
      <c r="BR482" s="307"/>
      <c r="BS482" s="307"/>
      <c r="BT482" s="307"/>
      <c r="BU482" s="310"/>
      <c r="BV482" s="307"/>
      <c r="BW482" s="308"/>
      <c r="BX482" s="311"/>
      <c r="BY482" s="307"/>
      <c r="BZ482" s="307"/>
      <c r="CA482" s="310"/>
      <c r="CB482" s="307"/>
      <c r="CC482" s="307"/>
      <c r="CD482" s="307"/>
      <c r="CE482" s="308"/>
      <c r="CF482" s="308"/>
      <c r="CG482" s="307"/>
      <c r="CH482" s="307"/>
      <c r="CI482" s="307"/>
      <c r="CJ482" s="307"/>
      <c r="CK482" s="314"/>
      <c r="CL482" s="310"/>
      <c r="CM482" s="310"/>
      <c r="CN482" s="307"/>
      <c r="CO482" s="307"/>
      <c r="CP482" s="307"/>
      <c r="CQ482" s="315"/>
      <c r="CR482" s="315"/>
      <c r="CS482" s="315"/>
      <c r="CT482" s="315"/>
      <c r="CU482" s="307"/>
      <c r="CV482" s="217"/>
      <c r="CW482" s="192"/>
      <c r="CX482" s="192"/>
      <c r="CY482" s="192"/>
      <c r="CZ482" s="191"/>
      <c r="DA482" s="193"/>
      <c r="DB482" s="192"/>
      <c r="DC482" s="192"/>
      <c r="DD482" s="192"/>
      <c r="DE482" s="191"/>
      <c r="DF482" s="19"/>
      <c r="DG482" s="192"/>
      <c r="DH482" s="192"/>
      <c r="DI482" s="192"/>
      <c r="DJ482" s="191"/>
      <c r="DK482" s="193"/>
      <c r="DL482" s="192"/>
      <c r="DM482" s="192"/>
      <c r="DN482" s="192"/>
      <c r="DO482" s="191"/>
      <c r="DP482" s="19"/>
      <c r="DQ482" s="192"/>
      <c r="DR482" s="192"/>
      <c r="DS482" s="192"/>
      <c r="DT482" s="191"/>
      <c r="DU482" s="193"/>
      <c r="DV482" s="192"/>
      <c r="DW482" s="192"/>
      <c r="DX482" s="192"/>
      <c r="DY482" s="191"/>
      <c r="DZ482" s="19"/>
      <c r="EA482" s="192"/>
      <c r="EB482" s="192"/>
      <c r="EC482" s="192"/>
      <c r="ED482" s="191"/>
      <c r="EE482" s="193"/>
      <c r="EF482" s="192"/>
      <c r="EG482" s="192"/>
      <c r="EH482" s="192"/>
      <c r="EI482" s="191"/>
      <c r="EJ482" s="19"/>
      <c r="EK482" s="192"/>
      <c r="EL482" s="192"/>
      <c r="EM482" s="192"/>
      <c r="EN482" s="191"/>
      <c r="EO482" s="193"/>
      <c r="EP482" s="192"/>
      <c r="EQ482" s="192"/>
      <c r="ER482" s="192"/>
      <c r="ES482" s="191"/>
      <c r="ET482" s="19"/>
      <c r="EU482" s="192"/>
      <c r="EV482" s="192"/>
      <c r="EW482" s="192"/>
      <c r="EX482" s="191"/>
      <c r="EY482" s="193"/>
      <c r="EZ482" s="192"/>
      <c r="FA482" s="192"/>
      <c r="FB482" s="192"/>
      <c r="FC482" s="191"/>
      <c r="FL482" s="273">
        <f t="shared" ca="1" si="23"/>
        <v>116</v>
      </c>
    </row>
    <row r="483" spans="1:168" ht="16.5" thickBot="1">
      <c r="A483" s="197"/>
      <c r="B483" s="306"/>
      <c r="C483" s="310"/>
      <c r="D483" s="307" t="s">
        <v>271</v>
      </c>
      <c r="E483" s="307" t="s">
        <v>271</v>
      </c>
      <c r="F483" s="308"/>
      <c r="G483" s="343" t="str">
        <f t="shared" si="21"/>
        <v xml:space="preserve"> </v>
      </c>
      <c r="H483" s="307"/>
      <c r="I483" s="309" t="e">
        <f t="shared" si="22"/>
        <v>#N/A</v>
      </c>
      <c r="J483" s="307"/>
      <c r="K483" s="307"/>
      <c r="L483" s="310"/>
      <c r="M483" s="310"/>
      <c r="N483" s="310"/>
      <c r="O483" s="310"/>
      <c r="P483" s="310"/>
      <c r="Q483" s="310"/>
      <c r="R483" s="310"/>
      <c r="S483" s="310"/>
      <c r="T483" s="310"/>
      <c r="U483" s="307"/>
      <c r="V483" s="307"/>
      <c r="W483" s="311"/>
      <c r="X483" s="307"/>
      <c r="Y483" s="307"/>
      <c r="Z483" s="307"/>
      <c r="AA483" s="307"/>
      <c r="AB483" s="311"/>
      <c r="AC483" s="307"/>
      <c r="AD483" s="307"/>
      <c r="AE483" s="307"/>
      <c r="AF483" s="307"/>
      <c r="AG483" s="310"/>
      <c r="AH483" s="307"/>
      <c r="AI483" s="310"/>
      <c r="AJ483" s="307"/>
      <c r="AK483" s="307"/>
      <c r="AL483" s="307"/>
      <c r="AM483" s="308"/>
      <c r="AN483" s="311"/>
      <c r="AO483" s="307"/>
      <c r="AP483" s="307"/>
      <c r="AQ483" s="308"/>
      <c r="AR483" s="307"/>
      <c r="AS483" s="307"/>
      <c r="AT483" s="307"/>
      <c r="AU483" s="310"/>
      <c r="AV483" s="308"/>
      <c r="AW483" s="312"/>
      <c r="AX483" s="308"/>
      <c r="AY483" s="307"/>
      <c r="AZ483" s="307"/>
      <c r="BA483" s="307"/>
      <c r="BB483" s="307"/>
      <c r="BC483" s="308"/>
      <c r="BD483" s="308"/>
      <c r="BE483" s="313"/>
      <c r="BF483" s="307"/>
      <c r="BG483" s="310"/>
      <c r="BH483" s="307"/>
      <c r="BI483" s="307"/>
      <c r="BJ483" s="310"/>
      <c r="BK483" s="307"/>
      <c r="BL483" s="307"/>
      <c r="BM483" s="310"/>
      <c r="BN483" s="307"/>
      <c r="BO483" s="310"/>
      <c r="BP483" s="307"/>
      <c r="BQ483" s="307"/>
      <c r="BR483" s="307"/>
      <c r="BS483" s="307"/>
      <c r="BT483" s="307"/>
      <c r="BU483" s="310"/>
      <c r="BV483" s="307"/>
      <c r="BW483" s="308"/>
      <c r="BX483" s="311"/>
      <c r="BY483" s="307"/>
      <c r="BZ483" s="307"/>
      <c r="CA483" s="310"/>
      <c r="CB483" s="307"/>
      <c r="CC483" s="307"/>
      <c r="CD483" s="307"/>
      <c r="CE483" s="308"/>
      <c r="CF483" s="308"/>
      <c r="CG483" s="307"/>
      <c r="CH483" s="307"/>
      <c r="CI483" s="307"/>
      <c r="CJ483" s="307"/>
      <c r="CK483" s="314"/>
      <c r="CL483" s="310"/>
      <c r="CM483" s="310"/>
      <c r="CN483" s="307"/>
      <c r="CO483" s="307"/>
      <c r="CP483" s="307"/>
      <c r="CQ483" s="315"/>
      <c r="CR483" s="315"/>
      <c r="CS483" s="315"/>
      <c r="CT483" s="315"/>
      <c r="CU483" s="307"/>
      <c r="CV483" s="217"/>
      <c r="CW483" s="192"/>
      <c r="CX483" s="192"/>
      <c r="CY483" s="192"/>
      <c r="CZ483" s="191"/>
      <c r="DA483" s="193"/>
      <c r="DB483" s="192"/>
      <c r="DC483" s="192"/>
      <c r="DD483" s="192"/>
      <c r="DE483" s="191"/>
      <c r="DF483" s="19"/>
      <c r="DG483" s="192"/>
      <c r="DH483" s="192"/>
      <c r="DI483" s="192"/>
      <c r="DJ483" s="191"/>
      <c r="DK483" s="193"/>
      <c r="DL483" s="192"/>
      <c r="DM483" s="192"/>
      <c r="DN483" s="192"/>
      <c r="DO483" s="191"/>
      <c r="DP483" s="19"/>
      <c r="DQ483" s="192"/>
      <c r="DR483" s="192"/>
      <c r="DS483" s="192"/>
      <c r="DT483" s="191"/>
      <c r="DU483" s="193"/>
      <c r="DV483" s="192"/>
      <c r="DW483" s="192"/>
      <c r="DX483" s="192"/>
      <c r="DY483" s="191"/>
      <c r="DZ483" s="19"/>
      <c r="EA483" s="192"/>
      <c r="EB483" s="192"/>
      <c r="EC483" s="192"/>
      <c r="ED483" s="191"/>
      <c r="EE483" s="193"/>
      <c r="EF483" s="192"/>
      <c r="EG483" s="192"/>
      <c r="EH483" s="192"/>
      <c r="EI483" s="191"/>
      <c r="EJ483" s="19"/>
      <c r="EK483" s="192"/>
      <c r="EL483" s="192"/>
      <c r="EM483" s="192"/>
      <c r="EN483" s="191"/>
      <c r="EO483" s="193"/>
      <c r="EP483" s="192"/>
      <c r="EQ483" s="192"/>
      <c r="ER483" s="192"/>
      <c r="ES483" s="191"/>
      <c r="ET483" s="19"/>
      <c r="EU483" s="192"/>
      <c r="EV483" s="192"/>
      <c r="EW483" s="192"/>
      <c r="EX483" s="191"/>
      <c r="EY483" s="193"/>
      <c r="EZ483" s="192"/>
      <c r="FA483" s="192"/>
      <c r="FB483" s="192"/>
      <c r="FC483" s="191"/>
      <c r="FL483" s="273">
        <f t="shared" ca="1" si="23"/>
        <v>116</v>
      </c>
    </row>
    <row r="484" spans="1:168" ht="16.5" thickBot="1">
      <c r="A484" s="197"/>
      <c r="B484" s="306"/>
      <c r="C484" s="310"/>
      <c r="D484" s="307" t="s">
        <v>271</v>
      </c>
      <c r="E484" s="307" t="s">
        <v>271</v>
      </c>
      <c r="F484" s="308"/>
      <c r="G484" s="343" t="str">
        <f t="shared" si="21"/>
        <v xml:space="preserve"> </v>
      </c>
      <c r="H484" s="307"/>
      <c r="I484" s="309" t="e">
        <f t="shared" si="22"/>
        <v>#N/A</v>
      </c>
      <c r="J484" s="307"/>
      <c r="K484" s="307"/>
      <c r="L484" s="310"/>
      <c r="M484" s="310"/>
      <c r="N484" s="310"/>
      <c r="O484" s="310"/>
      <c r="P484" s="310"/>
      <c r="Q484" s="310"/>
      <c r="R484" s="310"/>
      <c r="S484" s="310"/>
      <c r="T484" s="310"/>
      <c r="U484" s="307"/>
      <c r="V484" s="307"/>
      <c r="W484" s="311"/>
      <c r="X484" s="307"/>
      <c r="Y484" s="307"/>
      <c r="Z484" s="307"/>
      <c r="AA484" s="307"/>
      <c r="AB484" s="311"/>
      <c r="AC484" s="307"/>
      <c r="AD484" s="307"/>
      <c r="AE484" s="307"/>
      <c r="AF484" s="307"/>
      <c r="AG484" s="310"/>
      <c r="AH484" s="307"/>
      <c r="AI484" s="310"/>
      <c r="AJ484" s="307"/>
      <c r="AK484" s="307"/>
      <c r="AL484" s="307"/>
      <c r="AM484" s="308"/>
      <c r="AN484" s="311"/>
      <c r="AO484" s="307"/>
      <c r="AP484" s="307"/>
      <c r="AQ484" s="308"/>
      <c r="AR484" s="307"/>
      <c r="AS484" s="307"/>
      <c r="AT484" s="307"/>
      <c r="AU484" s="310"/>
      <c r="AV484" s="308"/>
      <c r="AW484" s="312"/>
      <c r="AX484" s="308"/>
      <c r="AY484" s="307"/>
      <c r="AZ484" s="307"/>
      <c r="BA484" s="307"/>
      <c r="BB484" s="307"/>
      <c r="BC484" s="308"/>
      <c r="BD484" s="308"/>
      <c r="BE484" s="313"/>
      <c r="BF484" s="307"/>
      <c r="BG484" s="310"/>
      <c r="BH484" s="307"/>
      <c r="BI484" s="307"/>
      <c r="BJ484" s="310"/>
      <c r="BK484" s="307"/>
      <c r="BL484" s="307"/>
      <c r="BM484" s="310"/>
      <c r="BN484" s="307"/>
      <c r="BO484" s="310"/>
      <c r="BP484" s="307"/>
      <c r="BQ484" s="307"/>
      <c r="BR484" s="307"/>
      <c r="BS484" s="307"/>
      <c r="BT484" s="307"/>
      <c r="BU484" s="310"/>
      <c r="BV484" s="307"/>
      <c r="BW484" s="308"/>
      <c r="BX484" s="311"/>
      <c r="BY484" s="307"/>
      <c r="BZ484" s="307"/>
      <c r="CA484" s="310"/>
      <c r="CB484" s="307"/>
      <c r="CC484" s="307"/>
      <c r="CD484" s="307"/>
      <c r="CE484" s="308"/>
      <c r="CF484" s="308"/>
      <c r="CG484" s="307"/>
      <c r="CH484" s="307"/>
      <c r="CI484" s="307"/>
      <c r="CJ484" s="307"/>
      <c r="CK484" s="314"/>
      <c r="CL484" s="310"/>
      <c r="CM484" s="310"/>
      <c r="CN484" s="307"/>
      <c r="CO484" s="307"/>
      <c r="CP484" s="307"/>
      <c r="CQ484" s="315"/>
      <c r="CR484" s="315"/>
      <c r="CS484" s="315"/>
      <c r="CT484" s="315"/>
      <c r="CU484" s="307"/>
      <c r="CV484" s="217"/>
      <c r="CW484" s="192"/>
      <c r="CX484" s="192"/>
      <c r="CY484" s="192"/>
      <c r="CZ484" s="191"/>
      <c r="DA484" s="193"/>
      <c r="DB484" s="192"/>
      <c r="DC484" s="192"/>
      <c r="DD484" s="192"/>
      <c r="DE484" s="191"/>
      <c r="DF484" s="19"/>
      <c r="DG484" s="192"/>
      <c r="DH484" s="192"/>
      <c r="DI484" s="192"/>
      <c r="DJ484" s="191"/>
      <c r="DK484" s="193"/>
      <c r="DL484" s="192"/>
      <c r="DM484" s="192"/>
      <c r="DN484" s="192"/>
      <c r="DO484" s="191"/>
      <c r="DP484" s="19"/>
      <c r="DQ484" s="192"/>
      <c r="DR484" s="192"/>
      <c r="DS484" s="192"/>
      <c r="DT484" s="191"/>
      <c r="DU484" s="193"/>
      <c r="DV484" s="192"/>
      <c r="DW484" s="192"/>
      <c r="DX484" s="192"/>
      <c r="DY484" s="191"/>
      <c r="DZ484" s="19"/>
      <c r="EA484" s="192"/>
      <c r="EB484" s="192"/>
      <c r="EC484" s="192"/>
      <c r="ED484" s="191"/>
      <c r="EE484" s="193"/>
      <c r="EF484" s="192"/>
      <c r="EG484" s="192"/>
      <c r="EH484" s="192"/>
      <c r="EI484" s="191"/>
      <c r="EJ484" s="19"/>
      <c r="EK484" s="192"/>
      <c r="EL484" s="192"/>
      <c r="EM484" s="192"/>
      <c r="EN484" s="191"/>
      <c r="EO484" s="193"/>
      <c r="EP484" s="192"/>
      <c r="EQ484" s="192"/>
      <c r="ER484" s="192"/>
      <c r="ES484" s="191"/>
      <c r="ET484" s="19"/>
      <c r="EU484" s="192"/>
      <c r="EV484" s="192"/>
      <c r="EW484" s="192"/>
      <c r="EX484" s="191"/>
      <c r="EY484" s="193"/>
      <c r="EZ484" s="192"/>
      <c r="FA484" s="192"/>
      <c r="FB484" s="192"/>
      <c r="FC484" s="191"/>
      <c r="FL484" s="273">
        <f t="shared" ca="1" si="23"/>
        <v>116</v>
      </c>
    </row>
    <row r="485" spans="1:168" ht="16.5" thickBot="1">
      <c r="A485" s="197"/>
      <c r="B485" s="306"/>
      <c r="C485" s="310"/>
      <c r="D485" s="307" t="s">
        <v>271</v>
      </c>
      <c r="E485" s="307" t="s">
        <v>271</v>
      </c>
      <c r="F485" s="308"/>
      <c r="G485" s="343" t="str">
        <f t="shared" si="21"/>
        <v xml:space="preserve"> </v>
      </c>
      <c r="H485" s="307"/>
      <c r="I485" s="309" t="e">
        <f t="shared" si="22"/>
        <v>#N/A</v>
      </c>
      <c r="J485" s="307"/>
      <c r="K485" s="307"/>
      <c r="L485" s="310"/>
      <c r="M485" s="310"/>
      <c r="N485" s="310"/>
      <c r="O485" s="310"/>
      <c r="P485" s="310"/>
      <c r="Q485" s="310"/>
      <c r="R485" s="310"/>
      <c r="S485" s="310"/>
      <c r="T485" s="310"/>
      <c r="U485" s="307"/>
      <c r="V485" s="307"/>
      <c r="W485" s="311"/>
      <c r="X485" s="307"/>
      <c r="Y485" s="307"/>
      <c r="Z485" s="307"/>
      <c r="AA485" s="307"/>
      <c r="AB485" s="311"/>
      <c r="AC485" s="307"/>
      <c r="AD485" s="307"/>
      <c r="AE485" s="307"/>
      <c r="AF485" s="307"/>
      <c r="AG485" s="310"/>
      <c r="AH485" s="307"/>
      <c r="AI485" s="310"/>
      <c r="AJ485" s="307"/>
      <c r="AK485" s="307"/>
      <c r="AL485" s="307"/>
      <c r="AM485" s="308"/>
      <c r="AN485" s="311"/>
      <c r="AO485" s="307"/>
      <c r="AP485" s="307"/>
      <c r="AQ485" s="308"/>
      <c r="AR485" s="307"/>
      <c r="AS485" s="307"/>
      <c r="AT485" s="307"/>
      <c r="AU485" s="310"/>
      <c r="AV485" s="308"/>
      <c r="AW485" s="312"/>
      <c r="AX485" s="308"/>
      <c r="AY485" s="307"/>
      <c r="AZ485" s="307"/>
      <c r="BA485" s="307"/>
      <c r="BB485" s="307"/>
      <c r="BC485" s="308"/>
      <c r="BD485" s="308"/>
      <c r="BE485" s="313"/>
      <c r="BF485" s="307"/>
      <c r="BG485" s="310"/>
      <c r="BH485" s="307"/>
      <c r="BI485" s="307"/>
      <c r="BJ485" s="310"/>
      <c r="BK485" s="307"/>
      <c r="BL485" s="307"/>
      <c r="BM485" s="310"/>
      <c r="BN485" s="307"/>
      <c r="BO485" s="310"/>
      <c r="BP485" s="307"/>
      <c r="BQ485" s="307"/>
      <c r="BR485" s="307"/>
      <c r="BS485" s="307"/>
      <c r="BT485" s="307"/>
      <c r="BU485" s="310"/>
      <c r="BV485" s="307"/>
      <c r="BW485" s="308"/>
      <c r="BX485" s="311"/>
      <c r="BY485" s="307"/>
      <c r="BZ485" s="307"/>
      <c r="CA485" s="310"/>
      <c r="CB485" s="307"/>
      <c r="CC485" s="307"/>
      <c r="CD485" s="307"/>
      <c r="CE485" s="308"/>
      <c r="CF485" s="308"/>
      <c r="CG485" s="307"/>
      <c r="CH485" s="307"/>
      <c r="CI485" s="307"/>
      <c r="CJ485" s="307"/>
      <c r="CK485" s="314"/>
      <c r="CL485" s="310"/>
      <c r="CM485" s="310"/>
      <c r="CN485" s="307"/>
      <c r="CO485" s="307"/>
      <c r="CP485" s="307"/>
      <c r="CQ485" s="315"/>
      <c r="CR485" s="315"/>
      <c r="CS485" s="315"/>
      <c r="CT485" s="315"/>
      <c r="CU485" s="307"/>
      <c r="CV485" s="217"/>
      <c r="CW485" s="192"/>
      <c r="CX485" s="192"/>
      <c r="CY485" s="192"/>
      <c r="CZ485" s="191"/>
      <c r="DA485" s="193"/>
      <c r="DB485" s="192"/>
      <c r="DC485" s="192"/>
      <c r="DD485" s="192"/>
      <c r="DE485" s="191"/>
      <c r="DF485" s="19"/>
      <c r="DG485" s="192"/>
      <c r="DH485" s="192"/>
      <c r="DI485" s="192"/>
      <c r="DJ485" s="191"/>
      <c r="DK485" s="193"/>
      <c r="DL485" s="192"/>
      <c r="DM485" s="192"/>
      <c r="DN485" s="192"/>
      <c r="DO485" s="191"/>
      <c r="DP485" s="19"/>
      <c r="DQ485" s="192"/>
      <c r="DR485" s="192"/>
      <c r="DS485" s="192"/>
      <c r="DT485" s="191"/>
      <c r="DU485" s="193"/>
      <c r="DV485" s="192"/>
      <c r="DW485" s="192"/>
      <c r="DX485" s="192"/>
      <c r="DY485" s="191"/>
      <c r="DZ485" s="19"/>
      <c r="EA485" s="192"/>
      <c r="EB485" s="192"/>
      <c r="EC485" s="192"/>
      <c r="ED485" s="191"/>
      <c r="EE485" s="193"/>
      <c r="EF485" s="192"/>
      <c r="EG485" s="192"/>
      <c r="EH485" s="192"/>
      <c r="EI485" s="191"/>
      <c r="EJ485" s="19"/>
      <c r="EK485" s="192"/>
      <c r="EL485" s="192"/>
      <c r="EM485" s="192"/>
      <c r="EN485" s="191"/>
      <c r="EO485" s="193"/>
      <c r="EP485" s="192"/>
      <c r="EQ485" s="192"/>
      <c r="ER485" s="192"/>
      <c r="ES485" s="191"/>
      <c r="ET485" s="19"/>
      <c r="EU485" s="192"/>
      <c r="EV485" s="192"/>
      <c r="EW485" s="192"/>
      <c r="EX485" s="191"/>
      <c r="EY485" s="193"/>
      <c r="EZ485" s="192"/>
      <c r="FA485" s="192"/>
      <c r="FB485" s="192"/>
      <c r="FC485" s="191"/>
      <c r="FL485" s="273">
        <f t="shared" ca="1" si="23"/>
        <v>116</v>
      </c>
    </row>
    <row r="486" spans="1:168" ht="16.5" thickBot="1">
      <c r="A486" s="197"/>
      <c r="B486" s="306"/>
      <c r="C486" s="310"/>
      <c r="D486" s="307" t="s">
        <v>271</v>
      </c>
      <c r="E486" s="307" t="s">
        <v>271</v>
      </c>
      <c r="F486" s="308"/>
      <c r="G486" s="343" t="str">
        <f t="shared" si="21"/>
        <v xml:space="preserve"> </v>
      </c>
      <c r="H486" s="307"/>
      <c r="I486" s="309" t="e">
        <f t="shared" si="22"/>
        <v>#N/A</v>
      </c>
      <c r="J486" s="307"/>
      <c r="K486" s="307"/>
      <c r="L486" s="310"/>
      <c r="M486" s="310"/>
      <c r="N486" s="310"/>
      <c r="O486" s="310"/>
      <c r="P486" s="310"/>
      <c r="Q486" s="310"/>
      <c r="R486" s="310"/>
      <c r="S486" s="310"/>
      <c r="T486" s="310"/>
      <c r="U486" s="307"/>
      <c r="V486" s="307"/>
      <c r="W486" s="311"/>
      <c r="X486" s="307"/>
      <c r="Y486" s="307"/>
      <c r="Z486" s="307"/>
      <c r="AA486" s="307"/>
      <c r="AB486" s="311"/>
      <c r="AC486" s="307"/>
      <c r="AD486" s="307"/>
      <c r="AE486" s="307"/>
      <c r="AF486" s="307"/>
      <c r="AG486" s="310"/>
      <c r="AH486" s="307"/>
      <c r="AI486" s="310"/>
      <c r="AJ486" s="307"/>
      <c r="AK486" s="307"/>
      <c r="AL486" s="307"/>
      <c r="AM486" s="308"/>
      <c r="AN486" s="311"/>
      <c r="AO486" s="307"/>
      <c r="AP486" s="307"/>
      <c r="AQ486" s="308"/>
      <c r="AR486" s="307"/>
      <c r="AS486" s="307"/>
      <c r="AT486" s="307"/>
      <c r="AU486" s="310"/>
      <c r="AV486" s="308"/>
      <c r="AW486" s="312"/>
      <c r="AX486" s="308"/>
      <c r="AY486" s="307"/>
      <c r="AZ486" s="307"/>
      <c r="BA486" s="307"/>
      <c r="BB486" s="307"/>
      <c r="BC486" s="308"/>
      <c r="BD486" s="308"/>
      <c r="BE486" s="313"/>
      <c r="BF486" s="307"/>
      <c r="BG486" s="310"/>
      <c r="BH486" s="307"/>
      <c r="BI486" s="307"/>
      <c r="BJ486" s="310"/>
      <c r="BK486" s="307"/>
      <c r="BL486" s="307"/>
      <c r="BM486" s="310"/>
      <c r="BN486" s="307"/>
      <c r="BO486" s="310"/>
      <c r="BP486" s="307"/>
      <c r="BQ486" s="307"/>
      <c r="BR486" s="307"/>
      <c r="BS486" s="307"/>
      <c r="BT486" s="307"/>
      <c r="BU486" s="310"/>
      <c r="BV486" s="307"/>
      <c r="BW486" s="308"/>
      <c r="BX486" s="311"/>
      <c r="BY486" s="307"/>
      <c r="BZ486" s="307"/>
      <c r="CA486" s="310"/>
      <c r="CB486" s="307"/>
      <c r="CC486" s="307"/>
      <c r="CD486" s="307"/>
      <c r="CE486" s="308"/>
      <c r="CF486" s="308"/>
      <c r="CG486" s="307"/>
      <c r="CH486" s="307"/>
      <c r="CI486" s="307"/>
      <c r="CJ486" s="307"/>
      <c r="CK486" s="314"/>
      <c r="CL486" s="310"/>
      <c r="CM486" s="310"/>
      <c r="CN486" s="307"/>
      <c r="CO486" s="307"/>
      <c r="CP486" s="307"/>
      <c r="CQ486" s="315"/>
      <c r="CR486" s="315"/>
      <c r="CS486" s="315"/>
      <c r="CT486" s="315"/>
      <c r="CU486" s="307"/>
      <c r="CV486" s="217"/>
      <c r="CW486" s="192"/>
      <c r="CX486" s="192"/>
      <c r="CY486" s="192"/>
      <c r="CZ486" s="191"/>
      <c r="DA486" s="193"/>
      <c r="DB486" s="192"/>
      <c r="DC486" s="192"/>
      <c r="DD486" s="192"/>
      <c r="DE486" s="191"/>
      <c r="DF486" s="19"/>
      <c r="DG486" s="192"/>
      <c r="DH486" s="192"/>
      <c r="DI486" s="192"/>
      <c r="DJ486" s="191"/>
      <c r="DK486" s="193"/>
      <c r="DL486" s="192"/>
      <c r="DM486" s="192"/>
      <c r="DN486" s="192"/>
      <c r="DO486" s="191"/>
      <c r="DP486" s="19"/>
      <c r="DQ486" s="192"/>
      <c r="DR486" s="192"/>
      <c r="DS486" s="192"/>
      <c r="DT486" s="191"/>
      <c r="DU486" s="193"/>
      <c r="DV486" s="192"/>
      <c r="DW486" s="192"/>
      <c r="DX486" s="192"/>
      <c r="DY486" s="191"/>
      <c r="DZ486" s="19"/>
      <c r="EA486" s="192"/>
      <c r="EB486" s="192"/>
      <c r="EC486" s="192"/>
      <c r="ED486" s="191"/>
      <c r="EE486" s="193"/>
      <c r="EF486" s="192"/>
      <c r="EG486" s="192"/>
      <c r="EH486" s="192"/>
      <c r="EI486" s="191"/>
      <c r="EJ486" s="19"/>
      <c r="EK486" s="192"/>
      <c r="EL486" s="192"/>
      <c r="EM486" s="192"/>
      <c r="EN486" s="191"/>
      <c r="EO486" s="193"/>
      <c r="EP486" s="192"/>
      <c r="EQ486" s="192"/>
      <c r="ER486" s="192"/>
      <c r="ES486" s="191"/>
      <c r="ET486" s="19"/>
      <c r="EU486" s="192"/>
      <c r="EV486" s="192"/>
      <c r="EW486" s="192"/>
      <c r="EX486" s="191"/>
      <c r="EY486" s="193"/>
      <c r="EZ486" s="192"/>
      <c r="FA486" s="192"/>
      <c r="FB486" s="192"/>
      <c r="FC486" s="191"/>
      <c r="FL486" s="273">
        <f t="shared" ca="1" si="23"/>
        <v>116</v>
      </c>
    </row>
    <row r="487" spans="1:168" ht="16.5" thickBot="1">
      <c r="A487" s="197"/>
      <c r="B487" s="306"/>
      <c r="C487" s="310"/>
      <c r="D487" s="307" t="s">
        <v>271</v>
      </c>
      <c r="E487" s="307" t="s">
        <v>271</v>
      </c>
      <c r="F487" s="308"/>
      <c r="G487" s="343" t="str">
        <f t="shared" si="21"/>
        <v xml:space="preserve"> </v>
      </c>
      <c r="H487" s="307"/>
      <c r="I487" s="309" t="e">
        <f t="shared" si="22"/>
        <v>#N/A</v>
      </c>
      <c r="J487" s="307"/>
      <c r="K487" s="307"/>
      <c r="L487" s="310"/>
      <c r="M487" s="310"/>
      <c r="N487" s="310"/>
      <c r="O487" s="310"/>
      <c r="P487" s="310"/>
      <c r="Q487" s="310"/>
      <c r="R487" s="310"/>
      <c r="S487" s="310"/>
      <c r="T487" s="310"/>
      <c r="U487" s="307"/>
      <c r="V487" s="307"/>
      <c r="W487" s="311"/>
      <c r="X487" s="307"/>
      <c r="Y487" s="307"/>
      <c r="Z487" s="307"/>
      <c r="AA487" s="307"/>
      <c r="AB487" s="311"/>
      <c r="AC487" s="307"/>
      <c r="AD487" s="307"/>
      <c r="AE487" s="307"/>
      <c r="AF487" s="307"/>
      <c r="AG487" s="310"/>
      <c r="AH487" s="307"/>
      <c r="AI487" s="310"/>
      <c r="AJ487" s="307"/>
      <c r="AK487" s="307"/>
      <c r="AL487" s="307"/>
      <c r="AM487" s="308"/>
      <c r="AN487" s="311"/>
      <c r="AO487" s="307"/>
      <c r="AP487" s="307"/>
      <c r="AQ487" s="308"/>
      <c r="AR487" s="307"/>
      <c r="AS487" s="307"/>
      <c r="AT487" s="307"/>
      <c r="AU487" s="310"/>
      <c r="AV487" s="308"/>
      <c r="AW487" s="312"/>
      <c r="AX487" s="308"/>
      <c r="AY487" s="307"/>
      <c r="AZ487" s="307"/>
      <c r="BA487" s="307"/>
      <c r="BB487" s="307"/>
      <c r="BC487" s="308"/>
      <c r="BD487" s="308"/>
      <c r="BE487" s="313"/>
      <c r="BF487" s="307"/>
      <c r="BG487" s="310"/>
      <c r="BH487" s="307"/>
      <c r="BI487" s="307"/>
      <c r="BJ487" s="310"/>
      <c r="BK487" s="307"/>
      <c r="BL487" s="307"/>
      <c r="BM487" s="310"/>
      <c r="BN487" s="307"/>
      <c r="BO487" s="310"/>
      <c r="BP487" s="307"/>
      <c r="BQ487" s="307"/>
      <c r="BR487" s="307"/>
      <c r="BS487" s="307"/>
      <c r="BT487" s="307"/>
      <c r="BU487" s="310"/>
      <c r="BV487" s="307"/>
      <c r="BW487" s="308"/>
      <c r="BX487" s="311"/>
      <c r="BY487" s="307"/>
      <c r="BZ487" s="307"/>
      <c r="CA487" s="310"/>
      <c r="CB487" s="307"/>
      <c r="CC487" s="307"/>
      <c r="CD487" s="307"/>
      <c r="CE487" s="308"/>
      <c r="CF487" s="308"/>
      <c r="CG487" s="307"/>
      <c r="CH487" s="307"/>
      <c r="CI487" s="307"/>
      <c r="CJ487" s="307"/>
      <c r="CK487" s="314"/>
      <c r="CL487" s="310"/>
      <c r="CM487" s="310"/>
      <c r="CN487" s="307"/>
      <c r="CO487" s="307"/>
      <c r="CP487" s="307"/>
      <c r="CQ487" s="315"/>
      <c r="CR487" s="315"/>
      <c r="CS487" s="315"/>
      <c r="CT487" s="315"/>
      <c r="CU487" s="307"/>
      <c r="CV487" s="217"/>
      <c r="CW487" s="192"/>
      <c r="CX487" s="192"/>
      <c r="CY487" s="192"/>
      <c r="CZ487" s="191"/>
      <c r="DA487" s="193"/>
      <c r="DB487" s="192"/>
      <c r="DC487" s="192"/>
      <c r="DD487" s="192"/>
      <c r="DE487" s="191"/>
      <c r="DF487" s="19"/>
      <c r="DG487" s="192"/>
      <c r="DH487" s="192"/>
      <c r="DI487" s="192"/>
      <c r="DJ487" s="191"/>
      <c r="DK487" s="193"/>
      <c r="DL487" s="192"/>
      <c r="DM487" s="192"/>
      <c r="DN487" s="192"/>
      <c r="DO487" s="191"/>
      <c r="DP487" s="19"/>
      <c r="DQ487" s="192"/>
      <c r="DR487" s="192"/>
      <c r="DS487" s="192"/>
      <c r="DT487" s="191"/>
      <c r="DU487" s="193"/>
      <c r="DV487" s="192"/>
      <c r="DW487" s="192"/>
      <c r="DX487" s="192"/>
      <c r="DY487" s="191"/>
      <c r="DZ487" s="19"/>
      <c r="EA487" s="192"/>
      <c r="EB487" s="192"/>
      <c r="EC487" s="192"/>
      <c r="ED487" s="191"/>
      <c r="EE487" s="193"/>
      <c r="EF487" s="192"/>
      <c r="EG487" s="192"/>
      <c r="EH487" s="192"/>
      <c r="EI487" s="191"/>
      <c r="EJ487" s="19"/>
      <c r="EK487" s="192"/>
      <c r="EL487" s="192"/>
      <c r="EM487" s="192"/>
      <c r="EN487" s="191"/>
      <c r="EO487" s="193"/>
      <c r="EP487" s="192"/>
      <c r="EQ487" s="192"/>
      <c r="ER487" s="192"/>
      <c r="ES487" s="191"/>
      <c r="ET487" s="19"/>
      <c r="EU487" s="192"/>
      <c r="EV487" s="192"/>
      <c r="EW487" s="192"/>
      <c r="EX487" s="191"/>
      <c r="EY487" s="193"/>
      <c r="EZ487" s="192"/>
      <c r="FA487" s="192"/>
      <c r="FB487" s="192"/>
      <c r="FC487" s="191"/>
      <c r="FL487" s="273">
        <f t="shared" ca="1" si="23"/>
        <v>116</v>
      </c>
    </row>
    <row r="488" spans="1:168" ht="16.5" thickBot="1">
      <c r="A488" s="197"/>
      <c r="B488" s="306"/>
      <c r="C488" s="310"/>
      <c r="D488" s="307" t="s">
        <v>271</v>
      </c>
      <c r="E488" s="307" t="s">
        <v>271</v>
      </c>
      <c r="F488" s="308"/>
      <c r="G488" s="343" t="str">
        <f t="shared" si="21"/>
        <v xml:space="preserve"> </v>
      </c>
      <c r="H488" s="307"/>
      <c r="I488" s="309" t="e">
        <f t="shared" si="22"/>
        <v>#N/A</v>
      </c>
      <c r="J488" s="307"/>
      <c r="K488" s="307"/>
      <c r="L488" s="310"/>
      <c r="M488" s="310"/>
      <c r="N488" s="310"/>
      <c r="O488" s="310"/>
      <c r="P488" s="310"/>
      <c r="Q488" s="310"/>
      <c r="R488" s="310"/>
      <c r="S488" s="310"/>
      <c r="T488" s="310"/>
      <c r="U488" s="307"/>
      <c r="V488" s="307"/>
      <c r="W488" s="311"/>
      <c r="X488" s="307"/>
      <c r="Y488" s="307"/>
      <c r="Z488" s="307"/>
      <c r="AA488" s="307"/>
      <c r="AB488" s="311"/>
      <c r="AC488" s="307"/>
      <c r="AD488" s="307"/>
      <c r="AE488" s="307"/>
      <c r="AF488" s="307"/>
      <c r="AG488" s="310"/>
      <c r="AH488" s="307"/>
      <c r="AI488" s="310"/>
      <c r="AJ488" s="307"/>
      <c r="AK488" s="307"/>
      <c r="AL488" s="307"/>
      <c r="AM488" s="308"/>
      <c r="AN488" s="311"/>
      <c r="AO488" s="307"/>
      <c r="AP488" s="307"/>
      <c r="AQ488" s="308"/>
      <c r="AR488" s="307"/>
      <c r="AS488" s="307"/>
      <c r="AT488" s="307"/>
      <c r="AU488" s="310"/>
      <c r="AV488" s="308"/>
      <c r="AW488" s="312"/>
      <c r="AX488" s="308"/>
      <c r="AY488" s="307"/>
      <c r="AZ488" s="307"/>
      <c r="BA488" s="307"/>
      <c r="BB488" s="307"/>
      <c r="BC488" s="308"/>
      <c r="BD488" s="308"/>
      <c r="BE488" s="313"/>
      <c r="BF488" s="307"/>
      <c r="BG488" s="310"/>
      <c r="BH488" s="307"/>
      <c r="BI488" s="307"/>
      <c r="BJ488" s="310"/>
      <c r="BK488" s="307"/>
      <c r="BL488" s="307"/>
      <c r="BM488" s="310"/>
      <c r="BN488" s="307"/>
      <c r="BO488" s="310"/>
      <c r="BP488" s="307"/>
      <c r="BQ488" s="307"/>
      <c r="BR488" s="307"/>
      <c r="BS488" s="307"/>
      <c r="BT488" s="307"/>
      <c r="BU488" s="310"/>
      <c r="BV488" s="307"/>
      <c r="BW488" s="308"/>
      <c r="BX488" s="311"/>
      <c r="BY488" s="307"/>
      <c r="BZ488" s="307"/>
      <c r="CA488" s="310"/>
      <c r="CB488" s="307"/>
      <c r="CC488" s="307"/>
      <c r="CD488" s="307"/>
      <c r="CE488" s="308"/>
      <c r="CF488" s="308"/>
      <c r="CG488" s="307"/>
      <c r="CH488" s="307"/>
      <c r="CI488" s="307"/>
      <c r="CJ488" s="307"/>
      <c r="CK488" s="314"/>
      <c r="CL488" s="310"/>
      <c r="CM488" s="310"/>
      <c r="CN488" s="307"/>
      <c r="CO488" s="307"/>
      <c r="CP488" s="307"/>
      <c r="CQ488" s="315"/>
      <c r="CR488" s="315"/>
      <c r="CS488" s="315"/>
      <c r="CT488" s="315"/>
      <c r="CU488" s="307"/>
      <c r="CV488" s="217"/>
      <c r="CW488" s="192"/>
      <c r="CX488" s="192"/>
      <c r="CY488" s="192"/>
      <c r="CZ488" s="191"/>
      <c r="DA488" s="193"/>
      <c r="DB488" s="192"/>
      <c r="DC488" s="192"/>
      <c r="DD488" s="192"/>
      <c r="DE488" s="191"/>
      <c r="DF488" s="19"/>
      <c r="DG488" s="192"/>
      <c r="DH488" s="192"/>
      <c r="DI488" s="192"/>
      <c r="DJ488" s="191"/>
      <c r="DK488" s="193"/>
      <c r="DL488" s="192"/>
      <c r="DM488" s="192"/>
      <c r="DN488" s="192"/>
      <c r="DO488" s="191"/>
      <c r="DP488" s="19"/>
      <c r="DQ488" s="192"/>
      <c r="DR488" s="192"/>
      <c r="DS488" s="192"/>
      <c r="DT488" s="191"/>
      <c r="DU488" s="193"/>
      <c r="DV488" s="192"/>
      <c r="DW488" s="192"/>
      <c r="DX488" s="192"/>
      <c r="DY488" s="191"/>
      <c r="DZ488" s="19"/>
      <c r="EA488" s="192"/>
      <c r="EB488" s="192"/>
      <c r="EC488" s="192"/>
      <c r="ED488" s="191"/>
      <c r="EE488" s="193"/>
      <c r="EF488" s="192"/>
      <c r="EG488" s="192"/>
      <c r="EH488" s="192"/>
      <c r="EI488" s="191"/>
      <c r="EJ488" s="19"/>
      <c r="EK488" s="192"/>
      <c r="EL488" s="192"/>
      <c r="EM488" s="192"/>
      <c r="EN488" s="191"/>
      <c r="EO488" s="193"/>
      <c r="EP488" s="192"/>
      <c r="EQ488" s="192"/>
      <c r="ER488" s="192"/>
      <c r="ES488" s="191"/>
      <c r="ET488" s="19"/>
      <c r="EU488" s="192"/>
      <c r="EV488" s="192"/>
      <c r="EW488" s="192"/>
      <c r="EX488" s="191"/>
      <c r="EY488" s="193"/>
      <c r="EZ488" s="192"/>
      <c r="FA488" s="192"/>
      <c r="FB488" s="192"/>
      <c r="FC488" s="191"/>
      <c r="FL488" s="273">
        <f t="shared" ca="1" si="23"/>
        <v>116</v>
      </c>
    </row>
    <row r="489" spans="1:168" ht="16.5" thickBot="1">
      <c r="A489" s="197"/>
      <c r="B489" s="306"/>
      <c r="C489" s="310"/>
      <c r="D489" s="307" t="s">
        <v>271</v>
      </c>
      <c r="E489" s="307" t="s">
        <v>271</v>
      </c>
      <c r="F489" s="308"/>
      <c r="G489" s="343" t="str">
        <f t="shared" si="21"/>
        <v xml:space="preserve"> </v>
      </c>
      <c r="H489" s="307"/>
      <c r="I489" s="309" t="e">
        <f t="shared" si="22"/>
        <v>#N/A</v>
      </c>
      <c r="J489" s="307"/>
      <c r="K489" s="307"/>
      <c r="L489" s="310"/>
      <c r="M489" s="310"/>
      <c r="N489" s="310"/>
      <c r="O489" s="310"/>
      <c r="P489" s="310"/>
      <c r="Q489" s="310"/>
      <c r="R489" s="310"/>
      <c r="S489" s="310"/>
      <c r="T489" s="310"/>
      <c r="U489" s="307"/>
      <c r="V489" s="307"/>
      <c r="W489" s="311"/>
      <c r="X489" s="307"/>
      <c r="Y489" s="307"/>
      <c r="Z489" s="307"/>
      <c r="AA489" s="307"/>
      <c r="AB489" s="311"/>
      <c r="AC489" s="307"/>
      <c r="AD489" s="307"/>
      <c r="AE489" s="307"/>
      <c r="AF489" s="307"/>
      <c r="AG489" s="310"/>
      <c r="AH489" s="307"/>
      <c r="AI489" s="310"/>
      <c r="AJ489" s="307"/>
      <c r="AK489" s="307"/>
      <c r="AL489" s="307"/>
      <c r="AM489" s="308"/>
      <c r="AN489" s="311"/>
      <c r="AO489" s="307"/>
      <c r="AP489" s="307"/>
      <c r="AQ489" s="308"/>
      <c r="AR489" s="307"/>
      <c r="AS489" s="307"/>
      <c r="AT489" s="307"/>
      <c r="AU489" s="310"/>
      <c r="AV489" s="308"/>
      <c r="AW489" s="312"/>
      <c r="AX489" s="308"/>
      <c r="AY489" s="307"/>
      <c r="AZ489" s="307"/>
      <c r="BA489" s="307"/>
      <c r="BB489" s="307"/>
      <c r="BC489" s="308"/>
      <c r="BD489" s="308"/>
      <c r="BE489" s="313"/>
      <c r="BF489" s="307"/>
      <c r="BG489" s="310"/>
      <c r="BH489" s="307"/>
      <c r="BI489" s="307"/>
      <c r="BJ489" s="310"/>
      <c r="BK489" s="307"/>
      <c r="BL489" s="307"/>
      <c r="BM489" s="310"/>
      <c r="BN489" s="307"/>
      <c r="BO489" s="310"/>
      <c r="BP489" s="307"/>
      <c r="BQ489" s="307"/>
      <c r="BR489" s="307"/>
      <c r="BS489" s="307"/>
      <c r="BT489" s="307"/>
      <c r="BU489" s="310"/>
      <c r="BV489" s="307"/>
      <c r="BW489" s="308"/>
      <c r="BX489" s="311"/>
      <c r="BY489" s="307"/>
      <c r="BZ489" s="307"/>
      <c r="CA489" s="310"/>
      <c r="CB489" s="307"/>
      <c r="CC489" s="307"/>
      <c r="CD489" s="307"/>
      <c r="CE489" s="308"/>
      <c r="CF489" s="308"/>
      <c r="CG489" s="307"/>
      <c r="CH489" s="307"/>
      <c r="CI489" s="307"/>
      <c r="CJ489" s="307"/>
      <c r="CK489" s="314"/>
      <c r="CL489" s="310"/>
      <c r="CM489" s="310"/>
      <c r="CN489" s="307"/>
      <c r="CO489" s="307"/>
      <c r="CP489" s="307"/>
      <c r="CQ489" s="315"/>
      <c r="CR489" s="315"/>
      <c r="CS489" s="315"/>
      <c r="CT489" s="315"/>
      <c r="CU489" s="307"/>
      <c r="CV489" s="217"/>
      <c r="CW489" s="192"/>
      <c r="CX489" s="192"/>
      <c r="CY489" s="192"/>
      <c r="CZ489" s="191"/>
      <c r="DA489" s="193"/>
      <c r="DB489" s="192"/>
      <c r="DC489" s="192"/>
      <c r="DD489" s="192"/>
      <c r="DE489" s="191"/>
      <c r="DF489" s="19"/>
      <c r="DG489" s="192"/>
      <c r="DH489" s="192"/>
      <c r="DI489" s="192"/>
      <c r="DJ489" s="191"/>
      <c r="DK489" s="193"/>
      <c r="DL489" s="192"/>
      <c r="DM489" s="192"/>
      <c r="DN489" s="192"/>
      <c r="DO489" s="191"/>
      <c r="DP489" s="19"/>
      <c r="DQ489" s="192"/>
      <c r="DR489" s="192"/>
      <c r="DS489" s="192"/>
      <c r="DT489" s="191"/>
      <c r="DU489" s="193"/>
      <c r="DV489" s="192"/>
      <c r="DW489" s="192"/>
      <c r="DX489" s="192"/>
      <c r="DY489" s="191"/>
      <c r="DZ489" s="19"/>
      <c r="EA489" s="192"/>
      <c r="EB489" s="192"/>
      <c r="EC489" s="192"/>
      <c r="ED489" s="191"/>
      <c r="EE489" s="193"/>
      <c r="EF489" s="192"/>
      <c r="EG489" s="192"/>
      <c r="EH489" s="192"/>
      <c r="EI489" s="191"/>
      <c r="EJ489" s="19"/>
      <c r="EK489" s="192"/>
      <c r="EL489" s="192"/>
      <c r="EM489" s="192"/>
      <c r="EN489" s="191"/>
      <c r="EO489" s="193"/>
      <c r="EP489" s="192"/>
      <c r="EQ489" s="192"/>
      <c r="ER489" s="192"/>
      <c r="ES489" s="191"/>
      <c r="ET489" s="19"/>
      <c r="EU489" s="192"/>
      <c r="EV489" s="192"/>
      <c r="EW489" s="192"/>
      <c r="EX489" s="191"/>
      <c r="EY489" s="193"/>
      <c r="EZ489" s="192"/>
      <c r="FA489" s="192"/>
      <c r="FB489" s="192"/>
      <c r="FC489" s="191"/>
      <c r="FL489" s="273">
        <f t="shared" ca="1" si="23"/>
        <v>116</v>
      </c>
    </row>
    <row r="490" spans="1:168" ht="16.5" thickBot="1">
      <c r="A490" s="197"/>
      <c r="B490" s="306"/>
      <c r="C490" s="310"/>
      <c r="D490" s="307" t="s">
        <v>271</v>
      </c>
      <c r="E490" s="307" t="s">
        <v>271</v>
      </c>
      <c r="F490" s="308"/>
      <c r="G490" s="343" t="str">
        <f t="shared" si="21"/>
        <v xml:space="preserve"> </v>
      </c>
      <c r="H490" s="307"/>
      <c r="I490" s="309" t="e">
        <f t="shared" si="22"/>
        <v>#N/A</v>
      </c>
      <c r="J490" s="307"/>
      <c r="K490" s="307"/>
      <c r="L490" s="310"/>
      <c r="M490" s="310"/>
      <c r="N490" s="310"/>
      <c r="O490" s="310"/>
      <c r="P490" s="310"/>
      <c r="Q490" s="310"/>
      <c r="R490" s="310"/>
      <c r="S490" s="310"/>
      <c r="T490" s="310"/>
      <c r="U490" s="307"/>
      <c r="V490" s="307"/>
      <c r="W490" s="311"/>
      <c r="X490" s="307"/>
      <c r="Y490" s="307"/>
      <c r="Z490" s="307"/>
      <c r="AA490" s="307"/>
      <c r="AB490" s="311"/>
      <c r="AC490" s="307"/>
      <c r="AD490" s="307"/>
      <c r="AE490" s="307"/>
      <c r="AF490" s="307"/>
      <c r="AG490" s="310"/>
      <c r="AH490" s="307"/>
      <c r="AI490" s="310"/>
      <c r="AJ490" s="307"/>
      <c r="AK490" s="307"/>
      <c r="AL490" s="307"/>
      <c r="AM490" s="308"/>
      <c r="AN490" s="311"/>
      <c r="AO490" s="307"/>
      <c r="AP490" s="307"/>
      <c r="AQ490" s="308"/>
      <c r="AR490" s="307"/>
      <c r="AS490" s="307"/>
      <c r="AT490" s="307"/>
      <c r="AU490" s="310"/>
      <c r="AV490" s="308"/>
      <c r="AW490" s="312"/>
      <c r="AX490" s="308"/>
      <c r="AY490" s="307"/>
      <c r="AZ490" s="307"/>
      <c r="BA490" s="307"/>
      <c r="BB490" s="307"/>
      <c r="BC490" s="308"/>
      <c r="BD490" s="308"/>
      <c r="BE490" s="313"/>
      <c r="BF490" s="307"/>
      <c r="BG490" s="310"/>
      <c r="BH490" s="307"/>
      <c r="BI490" s="307"/>
      <c r="BJ490" s="310"/>
      <c r="BK490" s="307"/>
      <c r="BL490" s="307"/>
      <c r="BM490" s="310"/>
      <c r="BN490" s="307"/>
      <c r="BO490" s="310"/>
      <c r="BP490" s="307"/>
      <c r="BQ490" s="307"/>
      <c r="BR490" s="307"/>
      <c r="BS490" s="307"/>
      <c r="BT490" s="307"/>
      <c r="BU490" s="310"/>
      <c r="BV490" s="307"/>
      <c r="BW490" s="308"/>
      <c r="BX490" s="311"/>
      <c r="BY490" s="307"/>
      <c r="BZ490" s="307"/>
      <c r="CA490" s="310"/>
      <c r="CB490" s="307"/>
      <c r="CC490" s="307"/>
      <c r="CD490" s="307"/>
      <c r="CE490" s="308"/>
      <c r="CF490" s="308"/>
      <c r="CG490" s="307"/>
      <c r="CH490" s="307"/>
      <c r="CI490" s="307"/>
      <c r="CJ490" s="307"/>
      <c r="CK490" s="314"/>
      <c r="CL490" s="310"/>
      <c r="CM490" s="310"/>
      <c r="CN490" s="307"/>
      <c r="CO490" s="307"/>
      <c r="CP490" s="307"/>
      <c r="CQ490" s="315"/>
      <c r="CR490" s="315"/>
      <c r="CS490" s="315"/>
      <c r="CT490" s="315"/>
      <c r="CU490" s="307"/>
      <c r="CV490" s="217"/>
      <c r="CW490" s="192"/>
      <c r="CX490" s="192"/>
      <c r="CY490" s="192"/>
      <c r="CZ490" s="191"/>
      <c r="DA490" s="193"/>
      <c r="DB490" s="192"/>
      <c r="DC490" s="192"/>
      <c r="DD490" s="192"/>
      <c r="DE490" s="191"/>
      <c r="DF490" s="19"/>
      <c r="DG490" s="192"/>
      <c r="DH490" s="192"/>
      <c r="DI490" s="192"/>
      <c r="DJ490" s="191"/>
      <c r="DK490" s="193"/>
      <c r="DL490" s="192"/>
      <c r="DM490" s="192"/>
      <c r="DN490" s="192"/>
      <c r="DO490" s="191"/>
      <c r="DP490" s="19"/>
      <c r="DQ490" s="192"/>
      <c r="DR490" s="192"/>
      <c r="DS490" s="192"/>
      <c r="DT490" s="191"/>
      <c r="DU490" s="193"/>
      <c r="DV490" s="192"/>
      <c r="DW490" s="192"/>
      <c r="DX490" s="192"/>
      <c r="DY490" s="191"/>
      <c r="DZ490" s="19"/>
      <c r="EA490" s="192"/>
      <c r="EB490" s="192"/>
      <c r="EC490" s="192"/>
      <c r="ED490" s="191"/>
      <c r="EE490" s="193"/>
      <c r="EF490" s="192"/>
      <c r="EG490" s="192"/>
      <c r="EH490" s="192"/>
      <c r="EI490" s="191"/>
      <c r="EJ490" s="19"/>
      <c r="EK490" s="192"/>
      <c r="EL490" s="192"/>
      <c r="EM490" s="192"/>
      <c r="EN490" s="191"/>
      <c r="EO490" s="193"/>
      <c r="EP490" s="192"/>
      <c r="EQ490" s="192"/>
      <c r="ER490" s="192"/>
      <c r="ES490" s="191"/>
      <c r="ET490" s="19"/>
      <c r="EU490" s="192"/>
      <c r="EV490" s="192"/>
      <c r="EW490" s="192"/>
      <c r="EX490" s="191"/>
      <c r="EY490" s="193"/>
      <c r="EZ490" s="192"/>
      <c r="FA490" s="192"/>
      <c r="FB490" s="192"/>
      <c r="FC490" s="191"/>
      <c r="FL490" s="273">
        <f t="shared" ca="1" si="23"/>
        <v>116</v>
      </c>
    </row>
    <row r="491" spans="1:168" ht="16.5" thickBot="1">
      <c r="A491" s="197"/>
      <c r="B491" s="306"/>
      <c r="C491" s="310"/>
      <c r="D491" s="307" t="s">
        <v>271</v>
      </c>
      <c r="E491" s="307" t="s">
        <v>271</v>
      </c>
      <c r="F491" s="308"/>
      <c r="G491" s="343" t="str">
        <f t="shared" si="21"/>
        <v xml:space="preserve"> </v>
      </c>
      <c r="H491" s="307"/>
      <c r="I491" s="309" t="e">
        <f t="shared" si="22"/>
        <v>#N/A</v>
      </c>
      <c r="J491" s="307"/>
      <c r="K491" s="307"/>
      <c r="L491" s="310"/>
      <c r="M491" s="310"/>
      <c r="N491" s="310"/>
      <c r="O491" s="310"/>
      <c r="P491" s="310"/>
      <c r="Q491" s="310"/>
      <c r="R491" s="310"/>
      <c r="S491" s="310"/>
      <c r="T491" s="310"/>
      <c r="U491" s="307"/>
      <c r="V491" s="307"/>
      <c r="W491" s="311"/>
      <c r="X491" s="307"/>
      <c r="Y491" s="307"/>
      <c r="Z491" s="307"/>
      <c r="AA491" s="307"/>
      <c r="AB491" s="311"/>
      <c r="AC491" s="307"/>
      <c r="AD491" s="307"/>
      <c r="AE491" s="307"/>
      <c r="AF491" s="307"/>
      <c r="AG491" s="310"/>
      <c r="AH491" s="307"/>
      <c r="AI491" s="310"/>
      <c r="AJ491" s="307"/>
      <c r="AK491" s="307"/>
      <c r="AL491" s="307"/>
      <c r="AM491" s="308"/>
      <c r="AN491" s="311"/>
      <c r="AO491" s="307"/>
      <c r="AP491" s="307"/>
      <c r="AQ491" s="308"/>
      <c r="AR491" s="307"/>
      <c r="AS491" s="307"/>
      <c r="AT491" s="307"/>
      <c r="AU491" s="310"/>
      <c r="AV491" s="308"/>
      <c r="AW491" s="312"/>
      <c r="AX491" s="308"/>
      <c r="AY491" s="307"/>
      <c r="AZ491" s="307"/>
      <c r="BA491" s="307"/>
      <c r="BB491" s="307"/>
      <c r="BC491" s="308"/>
      <c r="BD491" s="308"/>
      <c r="BE491" s="313"/>
      <c r="BF491" s="307"/>
      <c r="BG491" s="310"/>
      <c r="BH491" s="307"/>
      <c r="BI491" s="307"/>
      <c r="BJ491" s="310"/>
      <c r="BK491" s="307"/>
      <c r="BL491" s="307"/>
      <c r="BM491" s="310"/>
      <c r="BN491" s="307"/>
      <c r="BO491" s="310"/>
      <c r="BP491" s="307"/>
      <c r="BQ491" s="307"/>
      <c r="BR491" s="307"/>
      <c r="BS491" s="307"/>
      <c r="BT491" s="307"/>
      <c r="BU491" s="310"/>
      <c r="BV491" s="307"/>
      <c r="BW491" s="308"/>
      <c r="BX491" s="311"/>
      <c r="BY491" s="307"/>
      <c r="BZ491" s="307"/>
      <c r="CA491" s="310"/>
      <c r="CB491" s="307"/>
      <c r="CC491" s="307"/>
      <c r="CD491" s="307"/>
      <c r="CE491" s="308"/>
      <c r="CF491" s="308"/>
      <c r="CG491" s="307"/>
      <c r="CH491" s="307"/>
      <c r="CI491" s="307"/>
      <c r="CJ491" s="307"/>
      <c r="CK491" s="314"/>
      <c r="CL491" s="310"/>
      <c r="CM491" s="310"/>
      <c r="CN491" s="307"/>
      <c r="CO491" s="307"/>
      <c r="CP491" s="307"/>
      <c r="CQ491" s="315"/>
      <c r="CR491" s="315"/>
      <c r="CS491" s="315"/>
      <c r="CT491" s="315"/>
      <c r="CU491" s="307"/>
      <c r="CV491" s="217"/>
      <c r="CW491" s="192"/>
      <c r="CX491" s="192"/>
      <c r="CY491" s="192"/>
      <c r="CZ491" s="191"/>
      <c r="DA491" s="193"/>
      <c r="DB491" s="192"/>
      <c r="DC491" s="192"/>
      <c r="DD491" s="192"/>
      <c r="DE491" s="191"/>
      <c r="DF491" s="19"/>
      <c r="DG491" s="192"/>
      <c r="DH491" s="192"/>
      <c r="DI491" s="192"/>
      <c r="DJ491" s="191"/>
      <c r="DK491" s="193"/>
      <c r="DL491" s="192"/>
      <c r="DM491" s="192"/>
      <c r="DN491" s="192"/>
      <c r="DO491" s="191"/>
      <c r="DP491" s="19"/>
      <c r="DQ491" s="192"/>
      <c r="DR491" s="192"/>
      <c r="DS491" s="192"/>
      <c r="DT491" s="191"/>
      <c r="DU491" s="193"/>
      <c r="DV491" s="192"/>
      <c r="DW491" s="192"/>
      <c r="DX491" s="192"/>
      <c r="DY491" s="191"/>
      <c r="DZ491" s="19"/>
      <c r="EA491" s="192"/>
      <c r="EB491" s="192"/>
      <c r="EC491" s="192"/>
      <c r="ED491" s="191"/>
      <c r="EE491" s="193"/>
      <c r="EF491" s="192"/>
      <c r="EG491" s="192"/>
      <c r="EH491" s="192"/>
      <c r="EI491" s="191"/>
      <c r="EJ491" s="19"/>
      <c r="EK491" s="192"/>
      <c r="EL491" s="192"/>
      <c r="EM491" s="192"/>
      <c r="EN491" s="191"/>
      <c r="EO491" s="193"/>
      <c r="EP491" s="192"/>
      <c r="EQ491" s="192"/>
      <c r="ER491" s="192"/>
      <c r="ES491" s="191"/>
      <c r="ET491" s="19"/>
      <c r="EU491" s="192"/>
      <c r="EV491" s="192"/>
      <c r="EW491" s="192"/>
      <c r="EX491" s="191"/>
      <c r="EY491" s="193"/>
      <c r="EZ491" s="192"/>
      <c r="FA491" s="192"/>
      <c r="FB491" s="192"/>
      <c r="FC491" s="191"/>
      <c r="FL491" s="273">
        <f t="shared" ca="1" si="23"/>
        <v>116</v>
      </c>
    </row>
    <row r="492" spans="1:168" ht="16.5" thickBot="1">
      <c r="A492" s="197"/>
      <c r="B492" s="306"/>
      <c r="C492" s="310"/>
      <c r="D492" s="307" t="s">
        <v>271</v>
      </c>
      <c r="E492" s="307" t="s">
        <v>271</v>
      </c>
      <c r="F492" s="308"/>
      <c r="G492" s="343" t="str">
        <f t="shared" si="21"/>
        <v xml:space="preserve"> </v>
      </c>
      <c r="H492" s="307"/>
      <c r="I492" s="309" t="e">
        <f t="shared" si="22"/>
        <v>#N/A</v>
      </c>
      <c r="J492" s="307"/>
      <c r="K492" s="307"/>
      <c r="L492" s="310"/>
      <c r="M492" s="310"/>
      <c r="N492" s="310"/>
      <c r="O492" s="310"/>
      <c r="P492" s="310"/>
      <c r="Q492" s="310"/>
      <c r="R492" s="310"/>
      <c r="S492" s="310"/>
      <c r="T492" s="310"/>
      <c r="U492" s="307"/>
      <c r="V492" s="307"/>
      <c r="W492" s="311"/>
      <c r="X492" s="307"/>
      <c r="Y492" s="307"/>
      <c r="Z492" s="307"/>
      <c r="AA492" s="307"/>
      <c r="AB492" s="311"/>
      <c r="AC492" s="307"/>
      <c r="AD492" s="307"/>
      <c r="AE492" s="307"/>
      <c r="AF492" s="307"/>
      <c r="AG492" s="310"/>
      <c r="AH492" s="307"/>
      <c r="AI492" s="310"/>
      <c r="AJ492" s="307"/>
      <c r="AK492" s="307"/>
      <c r="AL492" s="307"/>
      <c r="AM492" s="308"/>
      <c r="AN492" s="311"/>
      <c r="AO492" s="307"/>
      <c r="AP492" s="307"/>
      <c r="AQ492" s="308"/>
      <c r="AR492" s="307"/>
      <c r="AS492" s="307"/>
      <c r="AT492" s="307"/>
      <c r="AU492" s="310"/>
      <c r="AV492" s="308"/>
      <c r="AW492" s="312"/>
      <c r="AX492" s="308"/>
      <c r="AY492" s="307"/>
      <c r="AZ492" s="307"/>
      <c r="BA492" s="307"/>
      <c r="BB492" s="307"/>
      <c r="BC492" s="308"/>
      <c r="BD492" s="308"/>
      <c r="BE492" s="313"/>
      <c r="BF492" s="307"/>
      <c r="BG492" s="310"/>
      <c r="BH492" s="307"/>
      <c r="BI492" s="307"/>
      <c r="BJ492" s="310"/>
      <c r="BK492" s="307"/>
      <c r="BL492" s="307"/>
      <c r="BM492" s="310"/>
      <c r="BN492" s="307"/>
      <c r="BO492" s="310"/>
      <c r="BP492" s="307"/>
      <c r="BQ492" s="307"/>
      <c r="BR492" s="307"/>
      <c r="BS492" s="307"/>
      <c r="BT492" s="307"/>
      <c r="BU492" s="310"/>
      <c r="BV492" s="307"/>
      <c r="BW492" s="308"/>
      <c r="BX492" s="311"/>
      <c r="BY492" s="307"/>
      <c r="BZ492" s="307"/>
      <c r="CA492" s="310"/>
      <c r="CB492" s="307"/>
      <c r="CC492" s="307"/>
      <c r="CD492" s="307"/>
      <c r="CE492" s="308"/>
      <c r="CF492" s="308"/>
      <c r="CG492" s="307"/>
      <c r="CH492" s="307"/>
      <c r="CI492" s="307"/>
      <c r="CJ492" s="307"/>
      <c r="CK492" s="314"/>
      <c r="CL492" s="310"/>
      <c r="CM492" s="310"/>
      <c r="CN492" s="307"/>
      <c r="CO492" s="307"/>
      <c r="CP492" s="307"/>
      <c r="CQ492" s="315"/>
      <c r="CR492" s="315"/>
      <c r="CS492" s="315"/>
      <c r="CT492" s="315"/>
      <c r="CU492" s="307"/>
      <c r="CV492" s="217"/>
      <c r="CW492" s="192"/>
      <c r="CX492" s="192"/>
      <c r="CY492" s="192"/>
      <c r="CZ492" s="191"/>
      <c r="DA492" s="193"/>
      <c r="DB492" s="192"/>
      <c r="DC492" s="192"/>
      <c r="DD492" s="192"/>
      <c r="DE492" s="191"/>
      <c r="DF492" s="19"/>
      <c r="DG492" s="192"/>
      <c r="DH492" s="192"/>
      <c r="DI492" s="192"/>
      <c r="DJ492" s="191"/>
      <c r="DK492" s="193"/>
      <c r="DL492" s="192"/>
      <c r="DM492" s="192"/>
      <c r="DN492" s="192"/>
      <c r="DO492" s="191"/>
      <c r="DP492" s="19"/>
      <c r="DQ492" s="192"/>
      <c r="DR492" s="192"/>
      <c r="DS492" s="192"/>
      <c r="DT492" s="191"/>
      <c r="DU492" s="193"/>
      <c r="DV492" s="192"/>
      <c r="DW492" s="192"/>
      <c r="DX492" s="192"/>
      <c r="DY492" s="191"/>
      <c r="DZ492" s="19"/>
      <c r="EA492" s="192"/>
      <c r="EB492" s="192"/>
      <c r="EC492" s="192"/>
      <c r="ED492" s="191"/>
      <c r="EE492" s="193"/>
      <c r="EF492" s="192"/>
      <c r="EG492" s="192"/>
      <c r="EH492" s="192"/>
      <c r="EI492" s="191"/>
      <c r="EJ492" s="19"/>
      <c r="EK492" s="192"/>
      <c r="EL492" s="192"/>
      <c r="EM492" s="192"/>
      <c r="EN492" s="191"/>
      <c r="EO492" s="193"/>
      <c r="EP492" s="192"/>
      <c r="EQ492" s="192"/>
      <c r="ER492" s="192"/>
      <c r="ES492" s="191"/>
      <c r="ET492" s="19"/>
      <c r="EU492" s="192"/>
      <c r="EV492" s="192"/>
      <c r="EW492" s="192"/>
      <c r="EX492" s="191"/>
      <c r="EY492" s="193"/>
      <c r="EZ492" s="192"/>
      <c r="FA492" s="192"/>
      <c r="FB492" s="192"/>
      <c r="FC492" s="191"/>
      <c r="FL492" s="273">
        <f t="shared" ca="1" si="23"/>
        <v>116</v>
      </c>
    </row>
    <row r="493" spans="1:168" ht="16.5" thickBot="1">
      <c r="A493" s="197"/>
      <c r="B493" s="306"/>
      <c r="C493" s="310"/>
      <c r="D493" s="307" t="s">
        <v>271</v>
      </c>
      <c r="E493" s="307" t="s">
        <v>271</v>
      </c>
      <c r="F493" s="308"/>
      <c r="G493" s="343" t="str">
        <f t="shared" si="21"/>
        <v xml:space="preserve"> </v>
      </c>
      <c r="H493" s="307"/>
      <c r="I493" s="309" t="e">
        <f t="shared" si="22"/>
        <v>#N/A</v>
      </c>
      <c r="J493" s="307"/>
      <c r="K493" s="307"/>
      <c r="L493" s="310"/>
      <c r="M493" s="310"/>
      <c r="N493" s="310"/>
      <c r="O493" s="310"/>
      <c r="P493" s="310"/>
      <c r="Q493" s="310"/>
      <c r="R493" s="310"/>
      <c r="S493" s="310"/>
      <c r="T493" s="310"/>
      <c r="U493" s="307"/>
      <c r="V493" s="307"/>
      <c r="W493" s="311"/>
      <c r="X493" s="307"/>
      <c r="Y493" s="307"/>
      <c r="Z493" s="307"/>
      <c r="AA493" s="307"/>
      <c r="AB493" s="311"/>
      <c r="AC493" s="307"/>
      <c r="AD493" s="307"/>
      <c r="AE493" s="307"/>
      <c r="AF493" s="307"/>
      <c r="AG493" s="310"/>
      <c r="AH493" s="307"/>
      <c r="AI493" s="310"/>
      <c r="AJ493" s="307"/>
      <c r="AK493" s="307"/>
      <c r="AL493" s="307"/>
      <c r="AM493" s="308"/>
      <c r="AN493" s="311"/>
      <c r="AO493" s="307"/>
      <c r="AP493" s="307"/>
      <c r="AQ493" s="308"/>
      <c r="AR493" s="307"/>
      <c r="AS493" s="307"/>
      <c r="AT493" s="307"/>
      <c r="AU493" s="310"/>
      <c r="AV493" s="308"/>
      <c r="AW493" s="312"/>
      <c r="AX493" s="308"/>
      <c r="AY493" s="307"/>
      <c r="AZ493" s="307"/>
      <c r="BA493" s="307"/>
      <c r="BB493" s="307"/>
      <c r="BC493" s="308"/>
      <c r="BD493" s="308"/>
      <c r="BE493" s="313"/>
      <c r="BF493" s="307"/>
      <c r="BG493" s="310"/>
      <c r="BH493" s="307"/>
      <c r="BI493" s="307"/>
      <c r="BJ493" s="310"/>
      <c r="BK493" s="307"/>
      <c r="BL493" s="307"/>
      <c r="BM493" s="310"/>
      <c r="BN493" s="307"/>
      <c r="BO493" s="310"/>
      <c r="BP493" s="307"/>
      <c r="BQ493" s="307"/>
      <c r="BR493" s="307"/>
      <c r="BS493" s="307"/>
      <c r="BT493" s="307"/>
      <c r="BU493" s="310"/>
      <c r="BV493" s="307"/>
      <c r="BW493" s="308"/>
      <c r="BX493" s="311"/>
      <c r="BY493" s="307"/>
      <c r="BZ493" s="307"/>
      <c r="CA493" s="310"/>
      <c r="CB493" s="307"/>
      <c r="CC493" s="307"/>
      <c r="CD493" s="307"/>
      <c r="CE493" s="308"/>
      <c r="CF493" s="308"/>
      <c r="CG493" s="307"/>
      <c r="CH493" s="307"/>
      <c r="CI493" s="307"/>
      <c r="CJ493" s="307"/>
      <c r="CK493" s="314"/>
      <c r="CL493" s="310"/>
      <c r="CM493" s="310"/>
      <c r="CN493" s="307"/>
      <c r="CO493" s="307"/>
      <c r="CP493" s="307"/>
      <c r="CQ493" s="315"/>
      <c r="CR493" s="315"/>
      <c r="CS493" s="315"/>
      <c r="CT493" s="315"/>
      <c r="CU493" s="307"/>
      <c r="CV493" s="217"/>
      <c r="CW493" s="192"/>
      <c r="CX493" s="192"/>
      <c r="CY493" s="192"/>
      <c r="CZ493" s="191"/>
      <c r="DA493" s="193"/>
      <c r="DB493" s="192"/>
      <c r="DC493" s="192"/>
      <c r="DD493" s="192"/>
      <c r="DE493" s="191"/>
      <c r="DF493" s="19"/>
      <c r="DG493" s="192"/>
      <c r="DH493" s="192"/>
      <c r="DI493" s="192"/>
      <c r="DJ493" s="191"/>
      <c r="DK493" s="193"/>
      <c r="DL493" s="192"/>
      <c r="DM493" s="192"/>
      <c r="DN493" s="192"/>
      <c r="DO493" s="191"/>
      <c r="DP493" s="19"/>
      <c r="DQ493" s="192"/>
      <c r="DR493" s="192"/>
      <c r="DS493" s="192"/>
      <c r="DT493" s="191"/>
      <c r="DU493" s="193"/>
      <c r="DV493" s="192"/>
      <c r="DW493" s="192"/>
      <c r="DX493" s="192"/>
      <c r="DY493" s="191"/>
      <c r="DZ493" s="19"/>
      <c r="EA493" s="192"/>
      <c r="EB493" s="192"/>
      <c r="EC493" s="192"/>
      <c r="ED493" s="191"/>
      <c r="EE493" s="193"/>
      <c r="EF493" s="192"/>
      <c r="EG493" s="192"/>
      <c r="EH493" s="192"/>
      <c r="EI493" s="191"/>
      <c r="EJ493" s="19"/>
      <c r="EK493" s="192"/>
      <c r="EL493" s="192"/>
      <c r="EM493" s="192"/>
      <c r="EN493" s="191"/>
      <c r="EO493" s="193"/>
      <c r="EP493" s="192"/>
      <c r="EQ493" s="192"/>
      <c r="ER493" s="192"/>
      <c r="ES493" s="191"/>
      <c r="ET493" s="19"/>
      <c r="EU493" s="192"/>
      <c r="EV493" s="192"/>
      <c r="EW493" s="192"/>
      <c r="EX493" s="191"/>
      <c r="EY493" s="193"/>
      <c r="EZ493" s="192"/>
      <c r="FA493" s="192"/>
      <c r="FB493" s="192"/>
      <c r="FC493" s="191"/>
      <c r="FL493" s="273">
        <f t="shared" ca="1" si="23"/>
        <v>116</v>
      </c>
    </row>
    <row r="494" spans="1:168" ht="16.5" thickBot="1">
      <c r="A494" s="197"/>
      <c r="B494" s="306"/>
      <c r="C494" s="310"/>
      <c r="D494" s="307" t="s">
        <v>271</v>
      </c>
      <c r="E494" s="307" t="s">
        <v>271</v>
      </c>
      <c r="F494" s="308"/>
      <c r="G494" s="343" t="str">
        <f t="shared" si="21"/>
        <v xml:space="preserve"> </v>
      </c>
      <c r="H494" s="307"/>
      <c r="I494" s="309" t="e">
        <f t="shared" si="22"/>
        <v>#N/A</v>
      </c>
      <c r="J494" s="307"/>
      <c r="K494" s="307"/>
      <c r="L494" s="310"/>
      <c r="M494" s="310"/>
      <c r="N494" s="310"/>
      <c r="O494" s="310"/>
      <c r="P494" s="310"/>
      <c r="Q494" s="310"/>
      <c r="R494" s="310"/>
      <c r="S494" s="310"/>
      <c r="T494" s="310"/>
      <c r="U494" s="307"/>
      <c r="V494" s="307"/>
      <c r="W494" s="311"/>
      <c r="X494" s="307"/>
      <c r="Y494" s="307"/>
      <c r="Z494" s="307"/>
      <c r="AA494" s="307"/>
      <c r="AB494" s="311"/>
      <c r="AC494" s="307"/>
      <c r="AD494" s="307"/>
      <c r="AE494" s="307"/>
      <c r="AF494" s="307"/>
      <c r="AG494" s="310"/>
      <c r="AH494" s="307"/>
      <c r="AI494" s="310"/>
      <c r="AJ494" s="307"/>
      <c r="AK494" s="307"/>
      <c r="AL494" s="307"/>
      <c r="AM494" s="308"/>
      <c r="AN494" s="311"/>
      <c r="AO494" s="307"/>
      <c r="AP494" s="307"/>
      <c r="AQ494" s="308"/>
      <c r="AR494" s="307"/>
      <c r="AS494" s="307"/>
      <c r="AT494" s="307"/>
      <c r="AU494" s="310"/>
      <c r="AV494" s="308"/>
      <c r="AW494" s="312"/>
      <c r="AX494" s="308"/>
      <c r="AY494" s="307"/>
      <c r="AZ494" s="307"/>
      <c r="BA494" s="307"/>
      <c r="BB494" s="307"/>
      <c r="BC494" s="308"/>
      <c r="BD494" s="308"/>
      <c r="BE494" s="313"/>
      <c r="BF494" s="307"/>
      <c r="BG494" s="310"/>
      <c r="BH494" s="307"/>
      <c r="BI494" s="307"/>
      <c r="BJ494" s="310"/>
      <c r="BK494" s="307"/>
      <c r="BL494" s="307"/>
      <c r="BM494" s="310"/>
      <c r="BN494" s="307"/>
      <c r="BO494" s="310"/>
      <c r="BP494" s="307"/>
      <c r="BQ494" s="307"/>
      <c r="BR494" s="307"/>
      <c r="BS494" s="307"/>
      <c r="BT494" s="307"/>
      <c r="BU494" s="310"/>
      <c r="BV494" s="307"/>
      <c r="BW494" s="308"/>
      <c r="BX494" s="311"/>
      <c r="BY494" s="307"/>
      <c r="BZ494" s="307"/>
      <c r="CA494" s="310"/>
      <c r="CB494" s="307"/>
      <c r="CC494" s="307"/>
      <c r="CD494" s="307"/>
      <c r="CE494" s="308"/>
      <c r="CF494" s="308"/>
      <c r="CG494" s="307"/>
      <c r="CH494" s="307"/>
      <c r="CI494" s="307"/>
      <c r="CJ494" s="307"/>
      <c r="CK494" s="314"/>
      <c r="CL494" s="310"/>
      <c r="CM494" s="310"/>
      <c r="CN494" s="307"/>
      <c r="CO494" s="307"/>
      <c r="CP494" s="307"/>
      <c r="CQ494" s="315"/>
      <c r="CR494" s="315"/>
      <c r="CS494" s="315"/>
      <c r="CT494" s="315"/>
      <c r="CU494" s="307"/>
      <c r="CV494" s="217"/>
      <c r="CW494" s="192"/>
      <c r="CX494" s="192"/>
      <c r="CY494" s="192"/>
      <c r="CZ494" s="191"/>
      <c r="DA494" s="193"/>
      <c r="DB494" s="192"/>
      <c r="DC494" s="192"/>
      <c r="DD494" s="192"/>
      <c r="DE494" s="191"/>
      <c r="DF494" s="19"/>
      <c r="DG494" s="192"/>
      <c r="DH494" s="192"/>
      <c r="DI494" s="192"/>
      <c r="DJ494" s="191"/>
      <c r="DK494" s="193"/>
      <c r="DL494" s="192"/>
      <c r="DM494" s="192"/>
      <c r="DN494" s="192"/>
      <c r="DO494" s="191"/>
      <c r="DP494" s="19"/>
      <c r="DQ494" s="192"/>
      <c r="DR494" s="192"/>
      <c r="DS494" s="192"/>
      <c r="DT494" s="191"/>
      <c r="DU494" s="193"/>
      <c r="DV494" s="192"/>
      <c r="DW494" s="192"/>
      <c r="DX494" s="192"/>
      <c r="DY494" s="191"/>
      <c r="DZ494" s="19"/>
      <c r="EA494" s="192"/>
      <c r="EB494" s="192"/>
      <c r="EC494" s="192"/>
      <c r="ED494" s="191"/>
      <c r="EE494" s="193"/>
      <c r="EF494" s="192"/>
      <c r="EG494" s="192"/>
      <c r="EH494" s="192"/>
      <c r="EI494" s="191"/>
      <c r="EJ494" s="19"/>
      <c r="EK494" s="192"/>
      <c r="EL494" s="192"/>
      <c r="EM494" s="192"/>
      <c r="EN494" s="191"/>
      <c r="EO494" s="193"/>
      <c r="EP494" s="192"/>
      <c r="EQ494" s="192"/>
      <c r="ER494" s="192"/>
      <c r="ES494" s="191"/>
      <c r="ET494" s="19"/>
      <c r="EU494" s="192"/>
      <c r="EV494" s="192"/>
      <c r="EW494" s="192"/>
      <c r="EX494" s="191"/>
      <c r="EY494" s="193"/>
      <c r="EZ494" s="192"/>
      <c r="FA494" s="192"/>
      <c r="FB494" s="192"/>
      <c r="FC494" s="191"/>
      <c r="FL494" s="273">
        <f t="shared" ca="1" si="23"/>
        <v>116</v>
      </c>
    </row>
    <row r="495" spans="1:168" ht="16.5" thickBot="1">
      <c r="A495" s="197"/>
      <c r="B495" s="306"/>
      <c r="C495" s="310"/>
      <c r="D495" s="307" t="s">
        <v>271</v>
      </c>
      <c r="E495" s="307" t="s">
        <v>271</v>
      </c>
      <c r="F495" s="308"/>
      <c r="G495" s="343" t="str">
        <f t="shared" si="21"/>
        <v xml:space="preserve"> </v>
      </c>
      <c r="H495" s="307"/>
      <c r="I495" s="309" t="e">
        <f t="shared" si="22"/>
        <v>#N/A</v>
      </c>
      <c r="J495" s="307"/>
      <c r="K495" s="307"/>
      <c r="L495" s="310"/>
      <c r="M495" s="310"/>
      <c r="N495" s="310"/>
      <c r="O495" s="310"/>
      <c r="P495" s="310"/>
      <c r="Q495" s="310"/>
      <c r="R495" s="310"/>
      <c r="S495" s="310"/>
      <c r="T495" s="310"/>
      <c r="U495" s="307"/>
      <c r="V495" s="307"/>
      <c r="W495" s="311"/>
      <c r="X495" s="307"/>
      <c r="Y495" s="307"/>
      <c r="Z495" s="307"/>
      <c r="AA495" s="307"/>
      <c r="AB495" s="311"/>
      <c r="AC495" s="307"/>
      <c r="AD495" s="307"/>
      <c r="AE495" s="307"/>
      <c r="AF495" s="307"/>
      <c r="AG495" s="310"/>
      <c r="AH495" s="307"/>
      <c r="AI495" s="310"/>
      <c r="AJ495" s="307"/>
      <c r="AK495" s="307"/>
      <c r="AL495" s="307"/>
      <c r="AM495" s="308"/>
      <c r="AN495" s="311"/>
      <c r="AO495" s="307"/>
      <c r="AP495" s="307"/>
      <c r="AQ495" s="308"/>
      <c r="AR495" s="307"/>
      <c r="AS495" s="307"/>
      <c r="AT495" s="307"/>
      <c r="AU495" s="310"/>
      <c r="AV495" s="308"/>
      <c r="AW495" s="312"/>
      <c r="AX495" s="308"/>
      <c r="AY495" s="307"/>
      <c r="AZ495" s="307"/>
      <c r="BA495" s="307"/>
      <c r="BB495" s="307"/>
      <c r="BC495" s="308"/>
      <c r="BD495" s="308"/>
      <c r="BE495" s="313"/>
      <c r="BF495" s="307"/>
      <c r="BG495" s="310"/>
      <c r="BH495" s="307"/>
      <c r="BI495" s="307"/>
      <c r="BJ495" s="310"/>
      <c r="BK495" s="307"/>
      <c r="BL495" s="307"/>
      <c r="BM495" s="310"/>
      <c r="BN495" s="307"/>
      <c r="BO495" s="310"/>
      <c r="BP495" s="307"/>
      <c r="BQ495" s="307"/>
      <c r="BR495" s="307"/>
      <c r="BS495" s="307"/>
      <c r="BT495" s="307"/>
      <c r="BU495" s="310"/>
      <c r="BV495" s="307"/>
      <c r="BW495" s="308"/>
      <c r="BX495" s="311"/>
      <c r="BY495" s="307"/>
      <c r="BZ495" s="307"/>
      <c r="CA495" s="310"/>
      <c r="CB495" s="307"/>
      <c r="CC495" s="307"/>
      <c r="CD495" s="307"/>
      <c r="CE495" s="308"/>
      <c r="CF495" s="308"/>
      <c r="CG495" s="307"/>
      <c r="CH495" s="307"/>
      <c r="CI495" s="307"/>
      <c r="CJ495" s="307"/>
      <c r="CK495" s="314"/>
      <c r="CL495" s="310"/>
      <c r="CM495" s="310"/>
      <c r="CN495" s="307"/>
      <c r="CO495" s="307"/>
      <c r="CP495" s="307"/>
      <c r="CQ495" s="315"/>
      <c r="CR495" s="315"/>
      <c r="CS495" s="315"/>
      <c r="CT495" s="315"/>
      <c r="CU495" s="307"/>
      <c r="CV495" s="217"/>
      <c r="CW495" s="192"/>
      <c r="CX495" s="192"/>
      <c r="CY495" s="192"/>
      <c r="CZ495" s="191"/>
      <c r="DA495" s="193"/>
      <c r="DB495" s="192"/>
      <c r="DC495" s="192"/>
      <c r="DD495" s="192"/>
      <c r="DE495" s="191"/>
      <c r="DF495" s="19"/>
      <c r="DG495" s="192"/>
      <c r="DH495" s="192"/>
      <c r="DI495" s="192"/>
      <c r="DJ495" s="191"/>
      <c r="DK495" s="193"/>
      <c r="DL495" s="192"/>
      <c r="DM495" s="192"/>
      <c r="DN495" s="192"/>
      <c r="DO495" s="191"/>
      <c r="DP495" s="19"/>
      <c r="DQ495" s="192"/>
      <c r="DR495" s="192"/>
      <c r="DS495" s="192"/>
      <c r="DT495" s="191"/>
      <c r="DU495" s="193"/>
      <c r="DV495" s="192"/>
      <c r="DW495" s="192"/>
      <c r="DX495" s="192"/>
      <c r="DY495" s="191"/>
      <c r="DZ495" s="19"/>
      <c r="EA495" s="192"/>
      <c r="EB495" s="192"/>
      <c r="EC495" s="192"/>
      <c r="ED495" s="191"/>
      <c r="EE495" s="193"/>
      <c r="EF495" s="192"/>
      <c r="EG495" s="192"/>
      <c r="EH495" s="192"/>
      <c r="EI495" s="191"/>
      <c r="EJ495" s="19"/>
      <c r="EK495" s="192"/>
      <c r="EL495" s="192"/>
      <c r="EM495" s="192"/>
      <c r="EN495" s="191"/>
      <c r="EO495" s="193"/>
      <c r="EP495" s="192"/>
      <c r="EQ495" s="192"/>
      <c r="ER495" s="192"/>
      <c r="ES495" s="191"/>
      <c r="ET495" s="19"/>
      <c r="EU495" s="192"/>
      <c r="EV495" s="192"/>
      <c r="EW495" s="192"/>
      <c r="EX495" s="191"/>
      <c r="EY495" s="193"/>
      <c r="EZ495" s="192"/>
      <c r="FA495" s="192"/>
      <c r="FB495" s="192"/>
      <c r="FC495" s="191"/>
      <c r="FL495" s="273">
        <f t="shared" ca="1" si="23"/>
        <v>116</v>
      </c>
    </row>
    <row r="496" spans="1:168" ht="16.5" thickBot="1">
      <c r="A496" s="197"/>
      <c r="B496" s="306"/>
      <c r="C496" s="310"/>
      <c r="D496" s="307" t="s">
        <v>271</v>
      </c>
      <c r="E496" s="307" t="s">
        <v>271</v>
      </c>
      <c r="F496" s="308"/>
      <c r="G496" s="343" t="str">
        <f t="shared" si="21"/>
        <v xml:space="preserve"> </v>
      </c>
      <c r="H496" s="307"/>
      <c r="I496" s="309" t="e">
        <f t="shared" si="22"/>
        <v>#N/A</v>
      </c>
      <c r="J496" s="307"/>
      <c r="K496" s="307"/>
      <c r="L496" s="310"/>
      <c r="M496" s="310"/>
      <c r="N496" s="310"/>
      <c r="O496" s="310"/>
      <c r="P496" s="310"/>
      <c r="Q496" s="310"/>
      <c r="R496" s="310"/>
      <c r="S496" s="310"/>
      <c r="T496" s="310"/>
      <c r="U496" s="307"/>
      <c r="V496" s="307"/>
      <c r="W496" s="311"/>
      <c r="X496" s="307"/>
      <c r="Y496" s="307"/>
      <c r="Z496" s="307"/>
      <c r="AA496" s="307"/>
      <c r="AB496" s="311"/>
      <c r="AC496" s="307"/>
      <c r="AD496" s="307"/>
      <c r="AE496" s="307"/>
      <c r="AF496" s="307"/>
      <c r="AG496" s="310"/>
      <c r="AH496" s="307"/>
      <c r="AI496" s="310"/>
      <c r="AJ496" s="307"/>
      <c r="AK496" s="307"/>
      <c r="AL496" s="307"/>
      <c r="AM496" s="308"/>
      <c r="AN496" s="311"/>
      <c r="AO496" s="307"/>
      <c r="AP496" s="307"/>
      <c r="AQ496" s="308"/>
      <c r="AR496" s="307"/>
      <c r="AS496" s="307"/>
      <c r="AT496" s="307"/>
      <c r="AU496" s="310"/>
      <c r="AV496" s="308"/>
      <c r="AW496" s="312"/>
      <c r="AX496" s="308"/>
      <c r="AY496" s="307"/>
      <c r="AZ496" s="307"/>
      <c r="BA496" s="307"/>
      <c r="BB496" s="307"/>
      <c r="BC496" s="308"/>
      <c r="BD496" s="308"/>
      <c r="BE496" s="313"/>
      <c r="BF496" s="307"/>
      <c r="BG496" s="310"/>
      <c r="BH496" s="307"/>
      <c r="BI496" s="307"/>
      <c r="BJ496" s="310"/>
      <c r="BK496" s="307"/>
      <c r="BL496" s="307"/>
      <c r="BM496" s="310"/>
      <c r="BN496" s="307"/>
      <c r="BO496" s="310"/>
      <c r="BP496" s="307"/>
      <c r="BQ496" s="307"/>
      <c r="BR496" s="307"/>
      <c r="BS496" s="307"/>
      <c r="BT496" s="307"/>
      <c r="BU496" s="310"/>
      <c r="BV496" s="307"/>
      <c r="BW496" s="308"/>
      <c r="BX496" s="311"/>
      <c r="BY496" s="307"/>
      <c r="BZ496" s="307"/>
      <c r="CA496" s="310"/>
      <c r="CB496" s="307"/>
      <c r="CC496" s="307"/>
      <c r="CD496" s="307"/>
      <c r="CE496" s="308"/>
      <c r="CF496" s="308"/>
      <c r="CG496" s="307"/>
      <c r="CH496" s="307"/>
      <c r="CI496" s="307"/>
      <c r="CJ496" s="307"/>
      <c r="CK496" s="314"/>
      <c r="CL496" s="310"/>
      <c r="CM496" s="310"/>
      <c r="CN496" s="307"/>
      <c r="CO496" s="307"/>
      <c r="CP496" s="307"/>
      <c r="CQ496" s="315"/>
      <c r="CR496" s="315"/>
      <c r="CS496" s="315"/>
      <c r="CT496" s="315"/>
      <c r="CU496" s="307"/>
      <c r="CV496" s="217"/>
      <c r="CW496" s="192"/>
      <c r="CX496" s="192"/>
      <c r="CY496" s="192"/>
      <c r="CZ496" s="191"/>
      <c r="DA496" s="193"/>
      <c r="DB496" s="192"/>
      <c r="DC496" s="192"/>
      <c r="DD496" s="192"/>
      <c r="DE496" s="191"/>
      <c r="DF496" s="19"/>
      <c r="DG496" s="192"/>
      <c r="DH496" s="192"/>
      <c r="DI496" s="192"/>
      <c r="DJ496" s="191"/>
      <c r="DK496" s="193"/>
      <c r="DL496" s="192"/>
      <c r="DM496" s="192"/>
      <c r="DN496" s="192"/>
      <c r="DO496" s="191"/>
      <c r="DP496" s="19"/>
      <c r="DQ496" s="192"/>
      <c r="DR496" s="192"/>
      <c r="DS496" s="192"/>
      <c r="DT496" s="191"/>
      <c r="DU496" s="193"/>
      <c r="DV496" s="192"/>
      <c r="DW496" s="192"/>
      <c r="DX496" s="192"/>
      <c r="DY496" s="191"/>
      <c r="DZ496" s="19"/>
      <c r="EA496" s="192"/>
      <c r="EB496" s="192"/>
      <c r="EC496" s="192"/>
      <c r="ED496" s="191"/>
      <c r="EE496" s="193"/>
      <c r="EF496" s="192"/>
      <c r="EG496" s="192"/>
      <c r="EH496" s="192"/>
      <c r="EI496" s="191"/>
      <c r="EJ496" s="19"/>
      <c r="EK496" s="192"/>
      <c r="EL496" s="192"/>
      <c r="EM496" s="192"/>
      <c r="EN496" s="191"/>
      <c r="EO496" s="193"/>
      <c r="EP496" s="192"/>
      <c r="EQ496" s="192"/>
      <c r="ER496" s="192"/>
      <c r="ES496" s="191"/>
      <c r="ET496" s="19"/>
      <c r="EU496" s="192"/>
      <c r="EV496" s="192"/>
      <c r="EW496" s="192"/>
      <c r="EX496" s="191"/>
      <c r="EY496" s="193"/>
      <c r="EZ496" s="192"/>
      <c r="FA496" s="192"/>
      <c r="FB496" s="192"/>
      <c r="FC496" s="191"/>
      <c r="FL496" s="273">
        <f t="shared" ca="1" si="23"/>
        <v>116</v>
      </c>
    </row>
    <row r="497" spans="1:168" ht="16.5" thickBot="1">
      <c r="A497" s="197"/>
      <c r="B497" s="306"/>
      <c r="C497" s="310"/>
      <c r="D497" s="307" t="s">
        <v>271</v>
      </c>
      <c r="E497" s="307" t="s">
        <v>271</v>
      </c>
      <c r="F497" s="308"/>
      <c r="G497" s="343" t="str">
        <f t="shared" si="21"/>
        <v xml:space="preserve"> </v>
      </c>
      <c r="H497" s="307"/>
      <c r="I497" s="309" t="e">
        <f t="shared" si="22"/>
        <v>#N/A</v>
      </c>
      <c r="J497" s="307"/>
      <c r="K497" s="307"/>
      <c r="L497" s="310"/>
      <c r="M497" s="310"/>
      <c r="N497" s="310"/>
      <c r="O497" s="310"/>
      <c r="P497" s="310"/>
      <c r="Q497" s="310"/>
      <c r="R497" s="310"/>
      <c r="S497" s="310"/>
      <c r="T497" s="310"/>
      <c r="U497" s="307"/>
      <c r="V497" s="307"/>
      <c r="W497" s="311"/>
      <c r="X497" s="307"/>
      <c r="Y497" s="307"/>
      <c r="Z497" s="307"/>
      <c r="AA497" s="307"/>
      <c r="AB497" s="311"/>
      <c r="AC497" s="307"/>
      <c r="AD497" s="307"/>
      <c r="AE497" s="307"/>
      <c r="AF497" s="307"/>
      <c r="AG497" s="310"/>
      <c r="AH497" s="307"/>
      <c r="AI497" s="310"/>
      <c r="AJ497" s="307"/>
      <c r="AK497" s="307"/>
      <c r="AL497" s="307"/>
      <c r="AM497" s="308"/>
      <c r="AN497" s="311"/>
      <c r="AO497" s="307"/>
      <c r="AP497" s="307"/>
      <c r="AQ497" s="308"/>
      <c r="AR497" s="307"/>
      <c r="AS497" s="307"/>
      <c r="AT497" s="307"/>
      <c r="AU497" s="310"/>
      <c r="AV497" s="308"/>
      <c r="AW497" s="312"/>
      <c r="AX497" s="308"/>
      <c r="AY497" s="307"/>
      <c r="AZ497" s="307"/>
      <c r="BA497" s="307"/>
      <c r="BB497" s="307"/>
      <c r="BC497" s="308"/>
      <c r="BD497" s="308"/>
      <c r="BE497" s="313"/>
      <c r="BF497" s="307"/>
      <c r="BG497" s="310"/>
      <c r="BH497" s="307"/>
      <c r="BI497" s="307"/>
      <c r="BJ497" s="310"/>
      <c r="BK497" s="307"/>
      <c r="BL497" s="307"/>
      <c r="BM497" s="310"/>
      <c r="BN497" s="307"/>
      <c r="BO497" s="310"/>
      <c r="BP497" s="307"/>
      <c r="BQ497" s="307"/>
      <c r="BR497" s="307"/>
      <c r="BS497" s="307"/>
      <c r="BT497" s="307"/>
      <c r="BU497" s="310"/>
      <c r="BV497" s="307"/>
      <c r="BW497" s="308"/>
      <c r="BX497" s="311"/>
      <c r="BY497" s="307"/>
      <c r="BZ497" s="307"/>
      <c r="CA497" s="310"/>
      <c r="CB497" s="307"/>
      <c r="CC497" s="307"/>
      <c r="CD497" s="307"/>
      <c r="CE497" s="308"/>
      <c r="CF497" s="308"/>
      <c r="CG497" s="307"/>
      <c r="CH497" s="307"/>
      <c r="CI497" s="307"/>
      <c r="CJ497" s="307"/>
      <c r="CK497" s="314"/>
      <c r="CL497" s="310"/>
      <c r="CM497" s="310"/>
      <c r="CN497" s="307"/>
      <c r="CO497" s="307"/>
      <c r="CP497" s="307"/>
      <c r="CQ497" s="315"/>
      <c r="CR497" s="315"/>
      <c r="CS497" s="315"/>
      <c r="CT497" s="315"/>
      <c r="CU497" s="307"/>
      <c r="CV497" s="217"/>
      <c r="CW497" s="192"/>
      <c r="CX497" s="192"/>
      <c r="CY497" s="192"/>
      <c r="CZ497" s="191"/>
      <c r="DA497" s="193"/>
      <c r="DB497" s="192"/>
      <c r="DC497" s="192"/>
      <c r="DD497" s="192"/>
      <c r="DE497" s="191"/>
      <c r="DF497" s="19"/>
      <c r="DG497" s="192"/>
      <c r="DH497" s="192"/>
      <c r="DI497" s="192"/>
      <c r="DJ497" s="191"/>
      <c r="DK497" s="193"/>
      <c r="DL497" s="192"/>
      <c r="DM497" s="192"/>
      <c r="DN497" s="192"/>
      <c r="DO497" s="191"/>
      <c r="DP497" s="19"/>
      <c r="DQ497" s="192"/>
      <c r="DR497" s="192"/>
      <c r="DS497" s="192"/>
      <c r="DT497" s="191"/>
      <c r="DU497" s="193"/>
      <c r="DV497" s="192"/>
      <c r="DW497" s="192"/>
      <c r="DX497" s="192"/>
      <c r="DY497" s="191"/>
      <c r="DZ497" s="19"/>
      <c r="EA497" s="192"/>
      <c r="EB497" s="192"/>
      <c r="EC497" s="192"/>
      <c r="ED497" s="191"/>
      <c r="EE497" s="193"/>
      <c r="EF497" s="192"/>
      <c r="EG497" s="192"/>
      <c r="EH497" s="192"/>
      <c r="EI497" s="191"/>
      <c r="EJ497" s="19"/>
      <c r="EK497" s="192"/>
      <c r="EL497" s="192"/>
      <c r="EM497" s="192"/>
      <c r="EN497" s="191"/>
      <c r="EO497" s="193"/>
      <c r="EP497" s="192"/>
      <c r="EQ497" s="192"/>
      <c r="ER497" s="192"/>
      <c r="ES497" s="191"/>
      <c r="ET497" s="19"/>
      <c r="EU497" s="192"/>
      <c r="EV497" s="192"/>
      <c r="EW497" s="192"/>
      <c r="EX497" s="191"/>
      <c r="EY497" s="193"/>
      <c r="EZ497" s="192"/>
      <c r="FA497" s="192"/>
      <c r="FB497" s="192"/>
      <c r="FC497" s="191"/>
      <c r="FL497" s="273">
        <f t="shared" ca="1" si="23"/>
        <v>116</v>
      </c>
    </row>
    <row r="498" spans="1:168" ht="16.5" thickBot="1">
      <c r="A498" s="197"/>
      <c r="B498" s="306"/>
      <c r="C498" s="310"/>
      <c r="D498" s="307" t="s">
        <v>271</v>
      </c>
      <c r="E498" s="307" t="s">
        <v>271</v>
      </c>
      <c r="F498" s="308"/>
      <c r="G498" s="343" t="str">
        <f t="shared" si="21"/>
        <v xml:space="preserve"> </v>
      </c>
      <c r="H498" s="307"/>
      <c r="I498" s="309" t="e">
        <f t="shared" si="22"/>
        <v>#N/A</v>
      </c>
      <c r="J498" s="307"/>
      <c r="K498" s="307"/>
      <c r="L498" s="310"/>
      <c r="M498" s="310"/>
      <c r="N498" s="310"/>
      <c r="O498" s="310"/>
      <c r="P498" s="310"/>
      <c r="Q498" s="310"/>
      <c r="R498" s="310"/>
      <c r="S498" s="310"/>
      <c r="T498" s="310"/>
      <c r="U498" s="307"/>
      <c r="V498" s="307"/>
      <c r="W498" s="311"/>
      <c r="X498" s="307"/>
      <c r="Y498" s="307"/>
      <c r="Z498" s="307"/>
      <c r="AA498" s="307"/>
      <c r="AB498" s="311"/>
      <c r="AC498" s="307"/>
      <c r="AD498" s="307"/>
      <c r="AE498" s="307"/>
      <c r="AF498" s="307"/>
      <c r="AG498" s="310"/>
      <c r="AH498" s="307"/>
      <c r="AI498" s="310"/>
      <c r="AJ498" s="307"/>
      <c r="AK498" s="307"/>
      <c r="AL498" s="307"/>
      <c r="AM498" s="308"/>
      <c r="AN498" s="311"/>
      <c r="AO498" s="307"/>
      <c r="AP498" s="307"/>
      <c r="AQ498" s="308"/>
      <c r="AR498" s="307"/>
      <c r="AS498" s="307"/>
      <c r="AT498" s="307"/>
      <c r="AU498" s="310"/>
      <c r="AV498" s="308"/>
      <c r="AW498" s="312"/>
      <c r="AX498" s="308"/>
      <c r="AY498" s="307"/>
      <c r="AZ498" s="307"/>
      <c r="BA498" s="307"/>
      <c r="BB498" s="307"/>
      <c r="BC498" s="308"/>
      <c r="BD498" s="308"/>
      <c r="BE498" s="313"/>
      <c r="BF498" s="307"/>
      <c r="BG498" s="310"/>
      <c r="BH498" s="307"/>
      <c r="BI498" s="307"/>
      <c r="BJ498" s="310"/>
      <c r="BK498" s="307"/>
      <c r="BL498" s="307"/>
      <c r="BM498" s="310"/>
      <c r="BN498" s="307"/>
      <c r="BO498" s="310"/>
      <c r="BP498" s="307"/>
      <c r="BQ498" s="307"/>
      <c r="BR498" s="307"/>
      <c r="BS498" s="307"/>
      <c r="BT498" s="307"/>
      <c r="BU498" s="310"/>
      <c r="BV498" s="307"/>
      <c r="BW498" s="308"/>
      <c r="BX498" s="311"/>
      <c r="BY498" s="307"/>
      <c r="BZ498" s="307"/>
      <c r="CA498" s="310"/>
      <c r="CB498" s="307"/>
      <c r="CC498" s="307"/>
      <c r="CD498" s="307"/>
      <c r="CE498" s="308"/>
      <c r="CF498" s="308"/>
      <c r="CG498" s="307"/>
      <c r="CH498" s="307"/>
      <c r="CI498" s="307"/>
      <c r="CJ498" s="307"/>
      <c r="CK498" s="314"/>
      <c r="CL498" s="310"/>
      <c r="CM498" s="310"/>
      <c r="CN498" s="307"/>
      <c r="CO498" s="307"/>
      <c r="CP498" s="307"/>
      <c r="CQ498" s="315"/>
      <c r="CR498" s="315"/>
      <c r="CS498" s="315"/>
      <c r="CT498" s="315"/>
      <c r="CU498" s="307"/>
      <c r="CV498" s="217"/>
      <c r="CW498" s="192"/>
      <c r="CX498" s="192"/>
      <c r="CY498" s="192"/>
      <c r="CZ498" s="191"/>
      <c r="DA498" s="193"/>
      <c r="DB498" s="192"/>
      <c r="DC498" s="192"/>
      <c r="DD498" s="192"/>
      <c r="DE498" s="191"/>
      <c r="DF498" s="19"/>
      <c r="DG498" s="192"/>
      <c r="DH498" s="192"/>
      <c r="DI498" s="192"/>
      <c r="DJ498" s="191"/>
      <c r="DK498" s="193"/>
      <c r="DL498" s="192"/>
      <c r="DM498" s="192"/>
      <c r="DN498" s="192"/>
      <c r="DO498" s="191"/>
      <c r="DP498" s="19"/>
      <c r="DQ498" s="192"/>
      <c r="DR498" s="192"/>
      <c r="DS498" s="192"/>
      <c r="DT498" s="191"/>
      <c r="DU498" s="193"/>
      <c r="DV498" s="192"/>
      <c r="DW498" s="192"/>
      <c r="DX498" s="192"/>
      <c r="DY498" s="191"/>
      <c r="DZ498" s="19"/>
      <c r="EA498" s="192"/>
      <c r="EB498" s="192"/>
      <c r="EC498" s="192"/>
      <c r="ED498" s="191"/>
      <c r="EE498" s="193"/>
      <c r="EF498" s="192"/>
      <c r="EG498" s="192"/>
      <c r="EH498" s="192"/>
      <c r="EI498" s="191"/>
      <c r="EJ498" s="19"/>
      <c r="EK498" s="192"/>
      <c r="EL498" s="192"/>
      <c r="EM498" s="192"/>
      <c r="EN498" s="191"/>
      <c r="EO498" s="193"/>
      <c r="EP498" s="192"/>
      <c r="EQ498" s="192"/>
      <c r="ER498" s="192"/>
      <c r="ES498" s="191"/>
      <c r="ET498" s="19"/>
      <c r="EU498" s="192"/>
      <c r="EV498" s="192"/>
      <c r="EW498" s="192"/>
      <c r="EX498" s="191"/>
      <c r="EY498" s="193"/>
      <c r="EZ498" s="192"/>
      <c r="FA498" s="192"/>
      <c r="FB498" s="192"/>
      <c r="FC498" s="191"/>
      <c r="FL498" s="273">
        <f t="shared" ca="1" si="23"/>
        <v>116</v>
      </c>
    </row>
    <row r="499" spans="1:168" ht="16.5" thickBot="1">
      <c r="A499" s="197"/>
      <c r="B499" s="306"/>
      <c r="C499" s="310"/>
      <c r="D499" s="307" t="s">
        <v>271</v>
      </c>
      <c r="E499" s="307" t="s">
        <v>271</v>
      </c>
      <c r="F499" s="308"/>
      <c r="G499" s="343" t="str">
        <f t="shared" si="21"/>
        <v xml:space="preserve"> </v>
      </c>
      <c r="H499" s="307"/>
      <c r="I499" s="309" t="e">
        <f t="shared" si="22"/>
        <v>#N/A</v>
      </c>
      <c r="J499" s="307"/>
      <c r="K499" s="307"/>
      <c r="L499" s="310"/>
      <c r="M499" s="310"/>
      <c r="N499" s="310"/>
      <c r="O499" s="310"/>
      <c r="P499" s="310"/>
      <c r="Q499" s="310"/>
      <c r="R499" s="310"/>
      <c r="S499" s="310"/>
      <c r="T499" s="310"/>
      <c r="U499" s="307"/>
      <c r="V499" s="307"/>
      <c r="W499" s="311"/>
      <c r="X499" s="307"/>
      <c r="Y499" s="307"/>
      <c r="Z499" s="307"/>
      <c r="AA499" s="307"/>
      <c r="AB499" s="311"/>
      <c r="AC499" s="307"/>
      <c r="AD499" s="307"/>
      <c r="AE499" s="307"/>
      <c r="AF499" s="307"/>
      <c r="AG499" s="310"/>
      <c r="AH499" s="307"/>
      <c r="AI499" s="310"/>
      <c r="AJ499" s="307"/>
      <c r="AK499" s="307"/>
      <c r="AL499" s="307"/>
      <c r="AM499" s="308"/>
      <c r="AN499" s="311"/>
      <c r="AO499" s="307"/>
      <c r="AP499" s="307"/>
      <c r="AQ499" s="308"/>
      <c r="AR499" s="307"/>
      <c r="AS499" s="307"/>
      <c r="AT499" s="307"/>
      <c r="AU499" s="310"/>
      <c r="AV499" s="308"/>
      <c r="AW499" s="312"/>
      <c r="AX499" s="308"/>
      <c r="AY499" s="307"/>
      <c r="AZ499" s="307"/>
      <c r="BA499" s="307"/>
      <c r="BB499" s="307"/>
      <c r="BC499" s="308"/>
      <c r="BD499" s="308"/>
      <c r="BE499" s="313"/>
      <c r="BF499" s="307"/>
      <c r="BG499" s="310"/>
      <c r="BH499" s="307"/>
      <c r="BI499" s="307"/>
      <c r="BJ499" s="310"/>
      <c r="BK499" s="307"/>
      <c r="BL499" s="307"/>
      <c r="BM499" s="310"/>
      <c r="BN499" s="307"/>
      <c r="BO499" s="310"/>
      <c r="BP499" s="307"/>
      <c r="BQ499" s="307"/>
      <c r="BR499" s="307"/>
      <c r="BS499" s="307"/>
      <c r="BT499" s="307"/>
      <c r="BU499" s="310"/>
      <c r="BV499" s="307"/>
      <c r="BW499" s="308"/>
      <c r="BX499" s="311"/>
      <c r="BY499" s="307"/>
      <c r="BZ499" s="307"/>
      <c r="CA499" s="310"/>
      <c r="CB499" s="307"/>
      <c r="CC499" s="307"/>
      <c r="CD499" s="307"/>
      <c r="CE499" s="308"/>
      <c r="CF499" s="308"/>
      <c r="CG499" s="307"/>
      <c r="CH499" s="307"/>
      <c r="CI499" s="307"/>
      <c r="CJ499" s="307"/>
      <c r="CK499" s="314"/>
      <c r="CL499" s="310"/>
      <c r="CM499" s="310"/>
      <c r="CN499" s="307"/>
      <c r="CO499" s="307"/>
      <c r="CP499" s="307"/>
      <c r="CQ499" s="315"/>
      <c r="CR499" s="315"/>
      <c r="CS499" s="315"/>
      <c r="CT499" s="315"/>
      <c r="CU499" s="307"/>
      <c r="CV499" s="217"/>
      <c r="CW499" s="192"/>
      <c r="CX499" s="192"/>
      <c r="CY499" s="192"/>
      <c r="CZ499" s="191"/>
      <c r="DA499" s="193"/>
      <c r="DB499" s="192"/>
      <c r="DC499" s="192"/>
      <c r="DD499" s="192"/>
      <c r="DE499" s="191"/>
      <c r="DF499" s="19"/>
      <c r="DG499" s="192"/>
      <c r="DH499" s="192"/>
      <c r="DI499" s="192"/>
      <c r="DJ499" s="191"/>
      <c r="DK499" s="193"/>
      <c r="DL499" s="192"/>
      <c r="DM499" s="192"/>
      <c r="DN499" s="192"/>
      <c r="DO499" s="191"/>
      <c r="DP499" s="19"/>
      <c r="DQ499" s="192"/>
      <c r="DR499" s="192"/>
      <c r="DS499" s="192"/>
      <c r="DT499" s="191"/>
      <c r="DU499" s="193"/>
      <c r="DV499" s="192"/>
      <c r="DW499" s="192"/>
      <c r="DX499" s="192"/>
      <c r="DY499" s="191"/>
      <c r="DZ499" s="19"/>
      <c r="EA499" s="192"/>
      <c r="EB499" s="192"/>
      <c r="EC499" s="192"/>
      <c r="ED499" s="191"/>
      <c r="EE499" s="193"/>
      <c r="EF499" s="192"/>
      <c r="EG499" s="192"/>
      <c r="EH499" s="192"/>
      <c r="EI499" s="191"/>
      <c r="EJ499" s="19"/>
      <c r="EK499" s="192"/>
      <c r="EL499" s="192"/>
      <c r="EM499" s="192"/>
      <c r="EN499" s="191"/>
      <c r="EO499" s="193"/>
      <c r="EP499" s="192"/>
      <c r="EQ499" s="192"/>
      <c r="ER499" s="192"/>
      <c r="ES499" s="191"/>
      <c r="ET499" s="19"/>
      <c r="EU499" s="192"/>
      <c r="EV499" s="192"/>
      <c r="EW499" s="192"/>
      <c r="EX499" s="191"/>
      <c r="EY499" s="193"/>
      <c r="EZ499" s="192"/>
      <c r="FA499" s="192"/>
      <c r="FB499" s="192"/>
      <c r="FC499" s="191"/>
      <c r="FL499" s="273">
        <f t="shared" ca="1" si="23"/>
        <v>116</v>
      </c>
    </row>
    <row r="500" spans="1:168" ht="16.5" thickBot="1">
      <c r="A500" s="197"/>
      <c r="B500" s="306"/>
      <c r="C500" s="310"/>
      <c r="D500" s="307" t="s">
        <v>271</v>
      </c>
      <c r="E500" s="307" t="s">
        <v>271</v>
      </c>
      <c r="F500" s="308"/>
      <c r="G500" s="343" t="str">
        <f t="shared" si="21"/>
        <v xml:space="preserve"> </v>
      </c>
      <c r="H500" s="307"/>
      <c r="I500" s="309" t="e">
        <f t="shared" si="22"/>
        <v>#N/A</v>
      </c>
      <c r="J500" s="307"/>
      <c r="K500" s="307"/>
      <c r="L500" s="310"/>
      <c r="M500" s="310"/>
      <c r="N500" s="310"/>
      <c r="O500" s="310"/>
      <c r="P500" s="310"/>
      <c r="Q500" s="310"/>
      <c r="R500" s="310"/>
      <c r="S500" s="310"/>
      <c r="T500" s="310"/>
      <c r="U500" s="307"/>
      <c r="V500" s="307"/>
      <c r="W500" s="311"/>
      <c r="X500" s="307"/>
      <c r="Y500" s="307"/>
      <c r="Z500" s="307"/>
      <c r="AA500" s="307"/>
      <c r="AB500" s="311"/>
      <c r="AC500" s="307"/>
      <c r="AD500" s="307"/>
      <c r="AE500" s="307"/>
      <c r="AF500" s="307"/>
      <c r="AG500" s="310"/>
      <c r="AH500" s="307"/>
      <c r="AI500" s="310"/>
      <c r="AJ500" s="307"/>
      <c r="AK500" s="307"/>
      <c r="AL500" s="307"/>
      <c r="AM500" s="308"/>
      <c r="AN500" s="311"/>
      <c r="AO500" s="307"/>
      <c r="AP500" s="307"/>
      <c r="AQ500" s="308"/>
      <c r="AR500" s="307"/>
      <c r="AS500" s="307"/>
      <c r="AT500" s="307"/>
      <c r="AU500" s="310"/>
      <c r="AV500" s="308"/>
      <c r="AW500" s="312"/>
      <c r="AX500" s="308"/>
      <c r="AY500" s="307"/>
      <c r="AZ500" s="307"/>
      <c r="BA500" s="307"/>
      <c r="BB500" s="307"/>
      <c r="BC500" s="308"/>
      <c r="BD500" s="308"/>
      <c r="BE500" s="313"/>
      <c r="BF500" s="307"/>
      <c r="BG500" s="310"/>
      <c r="BH500" s="307"/>
      <c r="BI500" s="307"/>
      <c r="BJ500" s="310"/>
      <c r="BK500" s="307"/>
      <c r="BL500" s="307"/>
      <c r="BM500" s="310"/>
      <c r="BN500" s="307"/>
      <c r="BO500" s="310"/>
      <c r="BP500" s="307"/>
      <c r="BQ500" s="307"/>
      <c r="BR500" s="307"/>
      <c r="BS500" s="307"/>
      <c r="BT500" s="307"/>
      <c r="BU500" s="310"/>
      <c r="BV500" s="307"/>
      <c r="BW500" s="308"/>
      <c r="BX500" s="311"/>
      <c r="BY500" s="307"/>
      <c r="BZ500" s="307"/>
      <c r="CA500" s="310"/>
      <c r="CB500" s="307"/>
      <c r="CC500" s="307"/>
      <c r="CD500" s="307"/>
      <c r="CE500" s="308"/>
      <c r="CF500" s="308"/>
      <c r="CG500" s="307"/>
      <c r="CH500" s="307"/>
      <c r="CI500" s="307"/>
      <c r="CJ500" s="307"/>
      <c r="CK500" s="314"/>
      <c r="CL500" s="310"/>
      <c r="CM500" s="310"/>
      <c r="CN500" s="307"/>
      <c r="CO500" s="307"/>
      <c r="CP500" s="307"/>
      <c r="CQ500" s="315"/>
      <c r="CR500" s="315"/>
      <c r="CS500" s="315"/>
      <c r="CT500" s="315"/>
      <c r="CU500" s="307"/>
      <c r="CV500" s="217"/>
      <c r="CW500" s="192"/>
      <c r="CX500" s="192"/>
      <c r="CY500" s="192"/>
      <c r="CZ500" s="191"/>
      <c r="DA500" s="193"/>
      <c r="DB500" s="192"/>
      <c r="DC500" s="192"/>
      <c r="DD500" s="192"/>
      <c r="DE500" s="191"/>
      <c r="DF500" s="19"/>
      <c r="DG500" s="192"/>
      <c r="DH500" s="192"/>
      <c r="DI500" s="192"/>
      <c r="DJ500" s="191"/>
      <c r="DK500" s="193"/>
      <c r="DL500" s="192"/>
      <c r="DM500" s="192"/>
      <c r="DN500" s="192"/>
      <c r="DO500" s="191"/>
      <c r="DP500" s="19"/>
      <c r="DQ500" s="192"/>
      <c r="DR500" s="192"/>
      <c r="DS500" s="192"/>
      <c r="DT500" s="191"/>
      <c r="DU500" s="193"/>
      <c r="DV500" s="192"/>
      <c r="DW500" s="192"/>
      <c r="DX500" s="192"/>
      <c r="DY500" s="191"/>
      <c r="DZ500" s="19"/>
      <c r="EA500" s="192"/>
      <c r="EB500" s="192"/>
      <c r="EC500" s="192"/>
      <c r="ED500" s="191"/>
      <c r="EE500" s="193"/>
      <c r="EF500" s="192"/>
      <c r="EG500" s="192"/>
      <c r="EH500" s="192"/>
      <c r="EI500" s="191"/>
      <c r="EJ500" s="19"/>
      <c r="EK500" s="192"/>
      <c r="EL500" s="192"/>
      <c r="EM500" s="192"/>
      <c r="EN500" s="191"/>
      <c r="EO500" s="193"/>
      <c r="EP500" s="192"/>
      <c r="EQ500" s="192"/>
      <c r="ER500" s="192"/>
      <c r="ES500" s="191"/>
      <c r="ET500" s="19"/>
      <c r="EU500" s="192"/>
      <c r="EV500" s="192"/>
      <c r="EW500" s="192"/>
      <c r="EX500" s="191"/>
      <c r="EY500" s="193"/>
      <c r="EZ500" s="192"/>
      <c r="FA500" s="192"/>
      <c r="FB500" s="192"/>
      <c r="FC500" s="191"/>
      <c r="FL500" s="273">
        <f t="shared" ca="1" si="23"/>
        <v>116</v>
      </c>
    </row>
    <row r="501" spans="1:168" ht="16.5" thickBot="1">
      <c r="A501" s="197"/>
      <c r="B501" s="306"/>
      <c r="C501" s="310"/>
      <c r="D501" s="307" t="s">
        <v>271</v>
      </c>
      <c r="E501" s="307" t="s">
        <v>271</v>
      </c>
      <c r="F501" s="308"/>
      <c r="G501" s="343" t="str">
        <f t="shared" si="21"/>
        <v xml:space="preserve"> </v>
      </c>
      <c r="H501" s="307"/>
      <c r="I501" s="309" t="e">
        <f t="shared" si="22"/>
        <v>#N/A</v>
      </c>
      <c r="J501" s="307"/>
      <c r="K501" s="307"/>
      <c r="L501" s="310"/>
      <c r="M501" s="310"/>
      <c r="N501" s="310"/>
      <c r="O501" s="310"/>
      <c r="P501" s="310"/>
      <c r="Q501" s="310"/>
      <c r="R501" s="310"/>
      <c r="S501" s="310"/>
      <c r="T501" s="310"/>
      <c r="U501" s="307"/>
      <c r="V501" s="307"/>
      <c r="W501" s="311"/>
      <c r="X501" s="307"/>
      <c r="Y501" s="307"/>
      <c r="Z501" s="307"/>
      <c r="AA501" s="307"/>
      <c r="AB501" s="311"/>
      <c r="AC501" s="307"/>
      <c r="AD501" s="307"/>
      <c r="AE501" s="307"/>
      <c r="AF501" s="307"/>
      <c r="AG501" s="310"/>
      <c r="AH501" s="307"/>
      <c r="AI501" s="310"/>
      <c r="AJ501" s="307"/>
      <c r="AK501" s="307"/>
      <c r="AL501" s="307"/>
      <c r="AM501" s="308"/>
      <c r="AN501" s="311"/>
      <c r="AO501" s="307"/>
      <c r="AP501" s="307"/>
      <c r="AQ501" s="308"/>
      <c r="AR501" s="307"/>
      <c r="AS501" s="307"/>
      <c r="AT501" s="307"/>
      <c r="AU501" s="310"/>
      <c r="AV501" s="308"/>
      <c r="AW501" s="312"/>
      <c r="AX501" s="308"/>
      <c r="AY501" s="307"/>
      <c r="AZ501" s="307"/>
      <c r="BA501" s="307"/>
      <c r="BB501" s="307"/>
      <c r="BC501" s="308"/>
      <c r="BD501" s="308"/>
      <c r="BE501" s="313"/>
      <c r="BF501" s="307"/>
      <c r="BG501" s="310"/>
      <c r="BH501" s="307"/>
      <c r="BI501" s="307"/>
      <c r="BJ501" s="310"/>
      <c r="BK501" s="307"/>
      <c r="BL501" s="307"/>
      <c r="BM501" s="310"/>
      <c r="BN501" s="307"/>
      <c r="BO501" s="310"/>
      <c r="BP501" s="307"/>
      <c r="BQ501" s="307"/>
      <c r="BR501" s="307"/>
      <c r="BS501" s="307"/>
      <c r="BT501" s="307"/>
      <c r="BU501" s="310"/>
      <c r="BV501" s="307"/>
      <c r="BW501" s="308"/>
      <c r="BX501" s="311"/>
      <c r="BY501" s="307"/>
      <c r="BZ501" s="307"/>
      <c r="CA501" s="310"/>
      <c r="CB501" s="307"/>
      <c r="CC501" s="307"/>
      <c r="CD501" s="307"/>
      <c r="CE501" s="308"/>
      <c r="CF501" s="308"/>
      <c r="CG501" s="307"/>
      <c r="CH501" s="307"/>
      <c r="CI501" s="307"/>
      <c r="CJ501" s="307"/>
      <c r="CK501" s="314"/>
      <c r="CL501" s="310"/>
      <c r="CM501" s="310"/>
      <c r="CN501" s="307"/>
      <c r="CO501" s="307"/>
      <c r="CP501" s="307"/>
      <c r="CQ501" s="315"/>
      <c r="CR501" s="315"/>
      <c r="CS501" s="315"/>
      <c r="CT501" s="315"/>
      <c r="CU501" s="307"/>
      <c r="CV501" s="217"/>
      <c r="CW501" s="192"/>
      <c r="CX501" s="192"/>
      <c r="CY501" s="192"/>
      <c r="CZ501" s="191"/>
      <c r="DA501" s="193"/>
      <c r="DB501" s="192"/>
      <c r="DC501" s="192"/>
      <c r="DD501" s="192"/>
      <c r="DE501" s="191"/>
      <c r="DF501" s="19"/>
      <c r="DG501" s="192"/>
      <c r="DH501" s="192"/>
      <c r="DI501" s="192"/>
      <c r="DJ501" s="191"/>
      <c r="DK501" s="193"/>
      <c r="DL501" s="192"/>
      <c r="DM501" s="192"/>
      <c r="DN501" s="192"/>
      <c r="DO501" s="191"/>
      <c r="DP501" s="19"/>
      <c r="DQ501" s="192"/>
      <c r="DR501" s="192"/>
      <c r="DS501" s="192"/>
      <c r="DT501" s="191"/>
      <c r="DU501" s="193"/>
      <c r="DV501" s="192"/>
      <c r="DW501" s="192"/>
      <c r="DX501" s="192"/>
      <c r="DY501" s="191"/>
      <c r="DZ501" s="19"/>
      <c r="EA501" s="192"/>
      <c r="EB501" s="192"/>
      <c r="EC501" s="192"/>
      <c r="ED501" s="191"/>
      <c r="EE501" s="193"/>
      <c r="EF501" s="192"/>
      <c r="EG501" s="192"/>
      <c r="EH501" s="192"/>
      <c r="EI501" s="191"/>
      <c r="EJ501" s="19"/>
      <c r="EK501" s="192"/>
      <c r="EL501" s="192"/>
      <c r="EM501" s="192"/>
      <c r="EN501" s="191"/>
      <c r="EO501" s="193"/>
      <c r="EP501" s="192"/>
      <c r="EQ501" s="192"/>
      <c r="ER501" s="192"/>
      <c r="ES501" s="191"/>
      <c r="ET501" s="19"/>
      <c r="EU501" s="192"/>
      <c r="EV501" s="192"/>
      <c r="EW501" s="192"/>
      <c r="EX501" s="191"/>
      <c r="EY501" s="193"/>
      <c r="EZ501" s="192"/>
      <c r="FA501" s="192"/>
      <c r="FB501" s="192"/>
      <c r="FC501" s="191"/>
      <c r="FL501" s="273">
        <f t="shared" ca="1" si="23"/>
        <v>116</v>
      </c>
    </row>
    <row r="502" spans="1:168" ht="16.5" thickBot="1">
      <c r="A502" s="197"/>
      <c r="B502" s="306"/>
      <c r="C502" s="310"/>
      <c r="D502" s="307" t="s">
        <v>271</v>
      </c>
      <c r="E502" s="307" t="s">
        <v>271</v>
      </c>
      <c r="F502" s="308"/>
      <c r="G502" s="343" t="str">
        <f t="shared" si="21"/>
        <v xml:space="preserve"> </v>
      </c>
      <c r="H502" s="307"/>
      <c r="I502" s="309" t="e">
        <f t="shared" si="22"/>
        <v>#N/A</v>
      </c>
      <c r="J502" s="307"/>
      <c r="K502" s="307"/>
      <c r="L502" s="310"/>
      <c r="M502" s="310"/>
      <c r="N502" s="310"/>
      <c r="O502" s="310"/>
      <c r="P502" s="310"/>
      <c r="Q502" s="310"/>
      <c r="R502" s="310"/>
      <c r="S502" s="310"/>
      <c r="T502" s="310"/>
      <c r="U502" s="307"/>
      <c r="V502" s="307"/>
      <c r="W502" s="311"/>
      <c r="X502" s="307"/>
      <c r="Y502" s="307"/>
      <c r="Z502" s="307"/>
      <c r="AA502" s="307"/>
      <c r="AB502" s="311"/>
      <c r="AC502" s="307"/>
      <c r="AD502" s="307"/>
      <c r="AE502" s="307"/>
      <c r="AF502" s="307"/>
      <c r="AG502" s="310"/>
      <c r="AH502" s="307"/>
      <c r="AI502" s="310"/>
      <c r="AJ502" s="307"/>
      <c r="AK502" s="307"/>
      <c r="AL502" s="307"/>
      <c r="AM502" s="308"/>
      <c r="AN502" s="311"/>
      <c r="AO502" s="307"/>
      <c r="AP502" s="307"/>
      <c r="AQ502" s="308"/>
      <c r="AR502" s="307"/>
      <c r="AS502" s="307"/>
      <c r="AT502" s="307"/>
      <c r="AU502" s="310"/>
      <c r="AV502" s="308"/>
      <c r="AW502" s="312"/>
      <c r="AX502" s="308"/>
      <c r="AY502" s="307"/>
      <c r="AZ502" s="307"/>
      <c r="BA502" s="307"/>
      <c r="BB502" s="307"/>
      <c r="BC502" s="308"/>
      <c r="BD502" s="308"/>
      <c r="BE502" s="313"/>
      <c r="BF502" s="307"/>
      <c r="BG502" s="310"/>
      <c r="BH502" s="307"/>
      <c r="BI502" s="307"/>
      <c r="BJ502" s="310"/>
      <c r="BK502" s="307"/>
      <c r="BL502" s="307"/>
      <c r="BM502" s="310"/>
      <c r="BN502" s="307"/>
      <c r="BO502" s="310"/>
      <c r="BP502" s="307"/>
      <c r="BQ502" s="307"/>
      <c r="BR502" s="307"/>
      <c r="BS502" s="307"/>
      <c r="BT502" s="307"/>
      <c r="BU502" s="310"/>
      <c r="BV502" s="307"/>
      <c r="BW502" s="308"/>
      <c r="BX502" s="311"/>
      <c r="BY502" s="307"/>
      <c r="BZ502" s="307"/>
      <c r="CA502" s="310"/>
      <c r="CB502" s="307"/>
      <c r="CC502" s="307"/>
      <c r="CD502" s="307"/>
      <c r="CE502" s="308"/>
      <c r="CF502" s="308"/>
      <c r="CG502" s="307"/>
      <c r="CH502" s="307"/>
      <c r="CI502" s="307"/>
      <c r="CJ502" s="307"/>
      <c r="CK502" s="314"/>
      <c r="CL502" s="310"/>
      <c r="CM502" s="310"/>
      <c r="CN502" s="307"/>
      <c r="CO502" s="307"/>
      <c r="CP502" s="307"/>
      <c r="CQ502" s="315"/>
      <c r="CR502" s="315"/>
      <c r="CS502" s="315"/>
      <c r="CT502" s="315"/>
      <c r="CU502" s="307"/>
      <c r="CV502" s="217"/>
      <c r="CW502" s="192"/>
      <c r="CX502" s="192"/>
      <c r="CY502" s="192"/>
      <c r="CZ502" s="191"/>
      <c r="DA502" s="193"/>
      <c r="DB502" s="192"/>
      <c r="DC502" s="192"/>
      <c r="DD502" s="192"/>
      <c r="DE502" s="191"/>
      <c r="DF502" s="19"/>
      <c r="DG502" s="192"/>
      <c r="DH502" s="192"/>
      <c r="DI502" s="192"/>
      <c r="DJ502" s="191"/>
      <c r="DK502" s="193"/>
      <c r="DL502" s="192"/>
      <c r="DM502" s="192"/>
      <c r="DN502" s="192"/>
      <c r="DO502" s="191"/>
      <c r="DP502" s="19"/>
      <c r="DQ502" s="192"/>
      <c r="DR502" s="192"/>
      <c r="DS502" s="192"/>
      <c r="DT502" s="191"/>
      <c r="DU502" s="193"/>
      <c r="DV502" s="192"/>
      <c r="DW502" s="192"/>
      <c r="DX502" s="192"/>
      <c r="DY502" s="191"/>
      <c r="DZ502" s="19"/>
      <c r="EA502" s="192"/>
      <c r="EB502" s="192"/>
      <c r="EC502" s="192"/>
      <c r="ED502" s="191"/>
      <c r="EE502" s="193"/>
      <c r="EF502" s="192"/>
      <c r="EG502" s="192"/>
      <c r="EH502" s="192"/>
      <c r="EI502" s="191"/>
      <c r="EJ502" s="19"/>
      <c r="EK502" s="192"/>
      <c r="EL502" s="192"/>
      <c r="EM502" s="192"/>
      <c r="EN502" s="191"/>
      <c r="EO502" s="193"/>
      <c r="EP502" s="192"/>
      <c r="EQ502" s="192"/>
      <c r="ER502" s="192"/>
      <c r="ES502" s="191"/>
      <c r="ET502" s="19"/>
      <c r="EU502" s="192"/>
      <c r="EV502" s="192"/>
      <c r="EW502" s="192"/>
      <c r="EX502" s="191"/>
      <c r="EY502" s="193"/>
      <c r="EZ502" s="192"/>
      <c r="FA502" s="192"/>
      <c r="FB502" s="192"/>
      <c r="FC502" s="191"/>
      <c r="FL502" s="273">
        <f t="shared" ca="1" si="23"/>
        <v>116</v>
      </c>
    </row>
    <row r="503" spans="1:168" ht="16.5" thickBot="1">
      <c r="A503" s="197"/>
      <c r="B503" s="306"/>
      <c r="C503" s="310"/>
      <c r="D503" s="307" t="s">
        <v>271</v>
      </c>
      <c r="E503" s="307" t="s">
        <v>271</v>
      </c>
      <c r="F503" s="308"/>
      <c r="G503" s="343" t="str">
        <f t="shared" si="21"/>
        <v xml:space="preserve"> </v>
      </c>
      <c r="H503" s="307"/>
      <c r="I503" s="309" t="e">
        <f t="shared" si="22"/>
        <v>#N/A</v>
      </c>
      <c r="J503" s="307"/>
      <c r="K503" s="307"/>
      <c r="L503" s="310"/>
      <c r="M503" s="310"/>
      <c r="N503" s="310"/>
      <c r="O503" s="310"/>
      <c r="P503" s="310"/>
      <c r="Q503" s="310"/>
      <c r="R503" s="310"/>
      <c r="S503" s="310"/>
      <c r="T503" s="310"/>
      <c r="U503" s="307"/>
      <c r="V503" s="307"/>
      <c r="W503" s="311"/>
      <c r="X503" s="307"/>
      <c r="Y503" s="307"/>
      <c r="Z503" s="307"/>
      <c r="AA503" s="307"/>
      <c r="AB503" s="311"/>
      <c r="AC503" s="307"/>
      <c r="AD503" s="307"/>
      <c r="AE503" s="307"/>
      <c r="AF503" s="307"/>
      <c r="AG503" s="310"/>
      <c r="AH503" s="307"/>
      <c r="AI503" s="310"/>
      <c r="AJ503" s="307"/>
      <c r="AK503" s="307"/>
      <c r="AL503" s="307"/>
      <c r="AM503" s="308"/>
      <c r="AN503" s="311"/>
      <c r="AO503" s="307"/>
      <c r="AP503" s="307"/>
      <c r="AQ503" s="308"/>
      <c r="AR503" s="307"/>
      <c r="AS503" s="307"/>
      <c r="AT503" s="307"/>
      <c r="AU503" s="310"/>
      <c r="AV503" s="308"/>
      <c r="AW503" s="312"/>
      <c r="AX503" s="308"/>
      <c r="AY503" s="307"/>
      <c r="AZ503" s="307"/>
      <c r="BA503" s="307"/>
      <c r="BB503" s="307"/>
      <c r="BC503" s="308"/>
      <c r="BD503" s="308"/>
      <c r="BE503" s="313"/>
      <c r="BF503" s="307"/>
      <c r="BG503" s="310"/>
      <c r="BH503" s="307"/>
      <c r="BI503" s="307"/>
      <c r="BJ503" s="310"/>
      <c r="BK503" s="307"/>
      <c r="BL503" s="307"/>
      <c r="BM503" s="310"/>
      <c r="BN503" s="307"/>
      <c r="BO503" s="310"/>
      <c r="BP503" s="307"/>
      <c r="BQ503" s="307"/>
      <c r="BR503" s="307"/>
      <c r="BS503" s="307"/>
      <c r="BT503" s="307"/>
      <c r="BU503" s="310"/>
      <c r="BV503" s="307"/>
      <c r="BW503" s="308"/>
      <c r="BX503" s="311"/>
      <c r="BY503" s="307"/>
      <c r="BZ503" s="307"/>
      <c r="CA503" s="310"/>
      <c r="CB503" s="307"/>
      <c r="CC503" s="307"/>
      <c r="CD503" s="307"/>
      <c r="CE503" s="308"/>
      <c r="CF503" s="308"/>
      <c r="CG503" s="307"/>
      <c r="CH503" s="307"/>
      <c r="CI503" s="307"/>
      <c r="CJ503" s="307"/>
      <c r="CK503" s="314"/>
      <c r="CL503" s="310"/>
      <c r="CM503" s="310"/>
      <c r="CN503" s="307"/>
      <c r="CO503" s="307"/>
      <c r="CP503" s="307"/>
      <c r="CQ503" s="315"/>
      <c r="CR503" s="315"/>
      <c r="CS503" s="315"/>
      <c r="CT503" s="315"/>
      <c r="CU503" s="307"/>
      <c r="CV503" s="217"/>
      <c r="CW503" s="192"/>
      <c r="CX503" s="192"/>
      <c r="CY503" s="192"/>
      <c r="CZ503" s="191"/>
      <c r="DA503" s="193"/>
      <c r="DB503" s="192"/>
      <c r="DC503" s="192"/>
      <c r="DD503" s="192"/>
      <c r="DE503" s="191"/>
      <c r="DF503" s="19"/>
      <c r="DG503" s="192"/>
      <c r="DH503" s="192"/>
      <c r="DI503" s="192"/>
      <c r="DJ503" s="191"/>
      <c r="DK503" s="193"/>
      <c r="DL503" s="192"/>
      <c r="DM503" s="192"/>
      <c r="DN503" s="192"/>
      <c r="DO503" s="191"/>
      <c r="DP503" s="19"/>
      <c r="DQ503" s="192"/>
      <c r="DR503" s="192"/>
      <c r="DS503" s="192"/>
      <c r="DT503" s="191"/>
      <c r="DU503" s="193"/>
      <c r="DV503" s="192"/>
      <c r="DW503" s="192"/>
      <c r="DX503" s="192"/>
      <c r="DY503" s="191"/>
      <c r="DZ503" s="19"/>
      <c r="EA503" s="192"/>
      <c r="EB503" s="192"/>
      <c r="EC503" s="192"/>
      <c r="ED503" s="191"/>
      <c r="EE503" s="193"/>
      <c r="EF503" s="192"/>
      <c r="EG503" s="192"/>
      <c r="EH503" s="192"/>
      <c r="EI503" s="191"/>
      <c r="EJ503" s="19"/>
      <c r="EK503" s="192"/>
      <c r="EL503" s="192"/>
      <c r="EM503" s="192"/>
      <c r="EN503" s="191"/>
      <c r="EO503" s="193"/>
      <c r="EP503" s="192"/>
      <c r="EQ503" s="192"/>
      <c r="ER503" s="192"/>
      <c r="ES503" s="191"/>
      <c r="ET503" s="19"/>
      <c r="EU503" s="192"/>
      <c r="EV503" s="192"/>
      <c r="EW503" s="192"/>
      <c r="EX503" s="191"/>
      <c r="EY503" s="193"/>
      <c r="EZ503" s="192"/>
      <c r="FA503" s="192"/>
      <c r="FB503" s="192"/>
      <c r="FC503" s="191"/>
      <c r="FL503" s="273">
        <f t="shared" ca="1" si="23"/>
        <v>116</v>
      </c>
    </row>
    <row r="504" spans="1:168" ht="16.5" thickBot="1">
      <c r="A504" s="197"/>
      <c r="B504" s="306"/>
      <c r="C504" s="310"/>
      <c r="D504" s="307" t="s">
        <v>271</v>
      </c>
      <c r="E504" s="307" t="s">
        <v>271</v>
      </c>
      <c r="F504" s="308"/>
      <c r="G504" s="343" t="str">
        <f t="shared" si="21"/>
        <v xml:space="preserve"> </v>
      </c>
      <c r="H504" s="307"/>
      <c r="I504" s="309" t="e">
        <f t="shared" si="22"/>
        <v>#N/A</v>
      </c>
      <c r="J504" s="307"/>
      <c r="K504" s="307"/>
      <c r="L504" s="310"/>
      <c r="M504" s="310"/>
      <c r="N504" s="310"/>
      <c r="O504" s="310"/>
      <c r="P504" s="310"/>
      <c r="Q504" s="310"/>
      <c r="R504" s="310"/>
      <c r="S504" s="310"/>
      <c r="T504" s="310"/>
      <c r="U504" s="307"/>
      <c r="V504" s="307"/>
      <c r="W504" s="311"/>
      <c r="X504" s="307"/>
      <c r="Y504" s="307"/>
      <c r="Z504" s="307"/>
      <c r="AA504" s="307"/>
      <c r="AB504" s="311"/>
      <c r="AC504" s="307"/>
      <c r="AD504" s="307"/>
      <c r="AE504" s="307"/>
      <c r="AF504" s="307"/>
      <c r="AG504" s="310"/>
      <c r="AH504" s="307"/>
      <c r="AI504" s="310"/>
      <c r="AJ504" s="307"/>
      <c r="AK504" s="307"/>
      <c r="AL504" s="307"/>
      <c r="AM504" s="308"/>
      <c r="AN504" s="311"/>
      <c r="AO504" s="307"/>
      <c r="AP504" s="307"/>
      <c r="AQ504" s="308"/>
      <c r="AR504" s="307"/>
      <c r="AS504" s="307"/>
      <c r="AT504" s="307"/>
      <c r="AU504" s="310"/>
      <c r="AV504" s="308"/>
      <c r="AW504" s="312"/>
      <c r="AX504" s="308"/>
      <c r="AY504" s="307"/>
      <c r="AZ504" s="307"/>
      <c r="BA504" s="307"/>
      <c r="BB504" s="307"/>
      <c r="BC504" s="308"/>
      <c r="BD504" s="308"/>
      <c r="BE504" s="313"/>
      <c r="BF504" s="307"/>
      <c r="BG504" s="310"/>
      <c r="BH504" s="307"/>
      <c r="BI504" s="307"/>
      <c r="BJ504" s="310"/>
      <c r="BK504" s="307"/>
      <c r="BL504" s="307"/>
      <c r="BM504" s="310"/>
      <c r="BN504" s="307"/>
      <c r="BO504" s="310"/>
      <c r="BP504" s="307"/>
      <c r="BQ504" s="307"/>
      <c r="BR504" s="307"/>
      <c r="BS504" s="307"/>
      <c r="BT504" s="307"/>
      <c r="BU504" s="310"/>
      <c r="BV504" s="307"/>
      <c r="BW504" s="308"/>
      <c r="BX504" s="311"/>
      <c r="BY504" s="307"/>
      <c r="BZ504" s="307"/>
      <c r="CA504" s="310"/>
      <c r="CB504" s="307"/>
      <c r="CC504" s="307"/>
      <c r="CD504" s="307"/>
      <c r="CE504" s="308"/>
      <c r="CF504" s="308"/>
      <c r="CG504" s="307"/>
      <c r="CH504" s="307"/>
      <c r="CI504" s="307"/>
      <c r="CJ504" s="307"/>
      <c r="CK504" s="314"/>
      <c r="CL504" s="310"/>
      <c r="CM504" s="310"/>
      <c r="CN504" s="307"/>
      <c r="CO504" s="307"/>
      <c r="CP504" s="307"/>
      <c r="CQ504" s="315"/>
      <c r="CR504" s="315"/>
      <c r="CS504" s="315"/>
      <c r="CT504" s="315"/>
      <c r="CU504" s="307"/>
      <c r="CV504" s="217"/>
      <c r="CW504" s="192"/>
      <c r="CX504" s="192"/>
      <c r="CY504" s="192"/>
      <c r="CZ504" s="191"/>
      <c r="DA504" s="193"/>
      <c r="DB504" s="192"/>
      <c r="DC504" s="192"/>
      <c r="DD504" s="192"/>
      <c r="DE504" s="191"/>
      <c r="DF504" s="19"/>
      <c r="DG504" s="192"/>
      <c r="DH504" s="192"/>
      <c r="DI504" s="192"/>
      <c r="DJ504" s="191"/>
      <c r="DK504" s="193"/>
      <c r="DL504" s="192"/>
      <c r="DM504" s="192"/>
      <c r="DN504" s="192"/>
      <c r="DO504" s="191"/>
      <c r="DP504" s="19"/>
      <c r="DQ504" s="192"/>
      <c r="DR504" s="192"/>
      <c r="DS504" s="192"/>
      <c r="DT504" s="191"/>
      <c r="DU504" s="193"/>
      <c r="DV504" s="192"/>
      <c r="DW504" s="192"/>
      <c r="DX504" s="192"/>
      <c r="DY504" s="191"/>
      <c r="DZ504" s="19"/>
      <c r="EA504" s="192"/>
      <c r="EB504" s="192"/>
      <c r="EC504" s="192"/>
      <c r="ED504" s="191"/>
      <c r="EE504" s="193"/>
      <c r="EF504" s="192"/>
      <c r="EG504" s="192"/>
      <c r="EH504" s="192"/>
      <c r="EI504" s="191"/>
      <c r="EJ504" s="19"/>
      <c r="EK504" s="192"/>
      <c r="EL504" s="192"/>
      <c r="EM504" s="192"/>
      <c r="EN504" s="191"/>
      <c r="EO504" s="193"/>
      <c r="EP504" s="192"/>
      <c r="EQ504" s="192"/>
      <c r="ER504" s="192"/>
      <c r="ES504" s="191"/>
      <c r="ET504" s="19"/>
      <c r="EU504" s="192"/>
      <c r="EV504" s="192"/>
      <c r="EW504" s="192"/>
      <c r="EX504" s="191"/>
      <c r="EY504" s="193"/>
      <c r="EZ504" s="192"/>
      <c r="FA504" s="192"/>
      <c r="FB504" s="192"/>
      <c r="FC504" s="191"/>
      <c r="FL504" s="273">
        <f t="shared" ca="1" si="23"/>
        <v>116</v>
      </c>
    </row>
    <row r="505" spans="1:168" ht="16.5" thickBot="1">
      <c r="A505" s="197"/>
      <c r="B505" s="306"/>
      <c r="C505" s="310"/>
      <c r="D505" s="307" t="s">
        <v>271</v>
      </c>
      <c r="E505" s="307" t="s">
        <v>271</v>
      </c>
      <c r="F505" s="308"/>
      <c r="G505" s="343" t="str">
        <f t="shared" si="21"/>
        <v xml:space="preserve"> </v>
      </c>
      <c r="H505" s="307"/>
      <c r="I505" s="309" t="e">
        <f t="shared" si="22"/>
        <v>#N/A</v>
      </c>
      <c r="J505" s="307"/>
      <c r="K505" s="307"/>
      <c r="L505" s="310"/>
      <c r="M505" s="310"/>
      <c r="N505" s="310"/>
      <c r="O505" s="310"/>
      <c r="P505" s="310"/>
      <c r="Q505" s="310"/>
      <c r="R505" s="310"/>
      <c r="S505" s="310"/>
      <c r="T505" s="310"/>
      <c r="U505" s="307"/>
      <c r="V505" s="307"/>
      <c r="W505" s="311"/>
      <c r="X505" s="307"/>
      <c r="Y505" s="307"/>
      <c r="Z505" s="307"/>
      <c r="AA505" s="307"/>
      <c r="AB505" s="311"/>
      <c r="AC505" s="307"/>
      <c r="AD505" s="307"/>
      <c r="AE505" s="307"/>
      <c r="AF505" s="307"/>
      <c r="AG505" s="310"/>
      <c r="AH505" s="307"/>
      <c r="AI505" s="310"/>
      <c r="AJ505" s="307"/>
      <c r="AK505" s="307"/>
      <c r="AL505" s="307"/>
      <c r="AM505" s="308"/>
      <c r="AN505" s="311"/>
      <c r="AO505" s="307"/>
      <c r="AP505" s="307"/>
      <c r="AQ505" s="308"/>
      <c r="AR505" s="307"/>
      <c r="AS505" s="307"/>
      <c r="AT505" s="307"/>
      <c r="AU505" s="310"/>
      <c r="AV505" s="308"/>
      <c r="AW505" s="312"/>
      <c r="AX505" s="308"/>
      <c r="AY505" s="307"/>
      <c r="AZ505" s="307"/>
      <c r="BA505" s="307"/>
      <c r="BB505" s="307"/>
      <c r="BC505" s="308"/>
      <c r="BD505" s="308"/>
      <c r="BE505" s="313"/>
      <c r="BF505" s="307"/>
      <c r="BG505" s="310"/>
      <c r="BH505" s="307"/>
      <c r="BI505" s="307"/>
      <c r="BJ505" s="310"/>
      <c r="BK505" s="307"/>
      <c r="BL505" s="307"/>
      <c r="BM505" s="310"/>
      <c r="BN505" s="307"/>
      <c r="BO505" s="310"/>
      <c r="BP505" s="307"/>
      <c r="BQ505" s="307"/>
      <c r="BR505" s="307"/>
      <c r="BS505" s="307"/>
      <c r="BT505" s="307"/>
      <c r="BU505" s="310"/>
      <c r="BV505" s="307"/>
      <c r="BW505" s="308"/>
      <c r="BX505" s="311"/>
      <c r="BY505" s="307"/>
      <c r="BZ505" s="307"/>
      <c r="CA505" s="310"/>
      <c r="CB505" s="307"/>
      <c r="CC505" s="307"/>
      <c r="CD505" s="307"/>
      <c r="CE505" s="308"/>
      <c r="CF505" s="308"/>
      <c r="CG505" s="307"/>
      <c r="CH505" s="307"/>
      <c r="CI505" s="307"/>
      <c r="CJ505" s="307"/>
      <c r="CK505" s="314"/>
      <c r="CL505" s="310"/>
      <c r="CM505" s="310"/>
      <c r="CN505" s="307"/>
      <c r="CO505" s="307"/>
      <c r="CP505" s="307"/>
      <c r="CQ505" s="315"/>
      <c r="CR505" s="315"/>
      <c r="CS505" s="315"/>
      <c r="CT505" s="315"/>
      <c r="CU505" s="307"/>
      <c r="CV505" s="217"/>
      <c r="CW505" s="192"/>
      <c r="CX505" s="192"/>
      <c r="CY505" s="192"/>
      <c r="CZ505" s="191"/>
      <c r="DA505" s="193"/>
      <c r="DB505" s="192"/>
      <c r="DC505" s="192"/>
      <c r="DD505" s="192"/>
      <c r="DE505" s="191"/>
      <c r="DF505" s="19"/>
      <c r="DG505" s="192"/>
      <c r="DH505" s="192"/>
      <c r="DI505" s="192"/>
      <c r="DJ505" s="191"/>
      <c r="DK505" s="193"/>
      <c r="DL505" s="192"/>
      <c r="DM505" s="192"/>
      <c r="DN505" s="192"/>
      <c r="DO505" s="191"/>
      <c r="DP505" s="19"/>
      <c r="DQ505" s="192"/>
      <c r="DR505" s="192"/>
      <c r="DS505" s="192"/>
      <c r="DT505" s="191"/>
      <c r="DU505" s="193"/>
      <c r="DV505" s="192"/>
      <c r="DW505" s="192"/>
      <c r="DX505" s="192"/>
      <c r="DY505" s="191"/>
      <c r="DZ505" s="19"/>
      <c r="EA505" s="192"/>
      <c r="EB505" s="192"/>
      <c r="EC505" s="192"/>
      <c r="ED505" s="191"/>
      <c r="EE505" s="193"/>
      <c r="EF505" s="192"/>
      <c r="EG505" s="192"/>
      <c r="EH505" s="192"/>
      <c r="EI505" s="191"/>
      <c r="EJ505" s="19"/>
      <c r="EK505" s="192"/>
      <c r="EL505" s="192"/>
      <c r="EM505" s="192"/>
      <c r="EN505" s="191"/>
      <c r="EO505" s="193"/>
      <c r="EP505" s="192"/>
      <c r="EQ505" s="192"/>
      <c r="ER505" s="192"/>
      <c r="ES505" s="191"/>
      <c r="ET505" s="19"/>
      <c r="EU505" s="192"/>
      <c r="EV505" s="192"/>
      <c r="EW505" s="192"/>
      <c r="EX505" s="191"/>
      <c r="EY505" s="193"/>
      <c r="EZ505" s="192"/>
      <c r="FA505" s="192"/>
      <c r="FB505" s="192"/>
      <c r="FC505" s="191"/>
      <c r="FL505" s="273">
        <f t="shared" ca="1" si="23"/>
        <v>116</v>
      </c>
    </row>
    <row r="506" spans="1:168" ht="16.5" thickBot="1">
      <c r="A506" s="197"/>
      <c r="B506" s="306"/>
      <c r="C506" s="310"/>
      <c r="D506" s="307" t="s">
        <v>271</v>
      </c>
      <c r="E506" s="307" t="s">
        <v>271</v>
      </c>
      <c r="F506" s="308"/>
      <c r="G506" s="343" t="str">
        <f t="shared" si="21"/>
        <v xml:space="preserve"> </v>
      </c>
      <c r="H506" s="307"/>
      <c r="I506" s="309" t="e">
        <f t="shared" si="22"/>
        <v>#N/A</v>
      </c>
      <c r="J506" s="307"/>
      <c r="K506" s="307"/>
      <c r="L506" s="310"/>
      <c r="M506" s="310"/>
      <c r="N506" s="310"/>
      <c r="O506" s="310"/>
      <c r="P506" s="310"/>
      <c r="Q506" s="310"/>
      <c r="R506" s="310"/>
      <c r="S506" s="310"/>
      <c r="T506" s="310"/>
      <c r="U506" s="307"/>
      <c r="V506" s="307"/>
      <c r="W506" s="311"/>
      <c r="X506" s="307"/>
      <c r="Y506" s="307"/>
      <c r="Z506" s="307"/>
      <c r="AA506" s="307"/>
      <c r="AB506" s="311"/>
      <c r="AC506" s="307"/>
      <c r="AD506" s="307"/>
      <c r="AE506" s="307"/>
      <c r="AF506" s="307"/>
      <c r="AG506" s="310"/>
      <c r="AH506" s="307"/>
      <c r="AI506" s="310"/>
      <c r="AJ506" s="307"/>
      <c r="AK506" s="307"/>
      <c r="AL506" s="307"/>
      <c r="AM506" s="308"/>
      <c r="AN506" s="311"/>
      <c r="AO506" s="307"/>
      <c r="AP506" s="307"/>
      <c r="AQ506" s="308"/>
      <c r="AR506" s="307"/>
      <c r="AS506" s="307"/>
      <c r="AT506" s="307"/>
      <c r="AU506" s="310"/>
      <c r="AV506" s="308"/>
      <c r="AW506" s="312"/>
      <c r="AX506" s="308"/>
      <c r="AY506" s="307"/>
      <c r="AZ506" s="307"/>
      <c r="BA506" s="307"/>
      <c r="BB506" s="307"/>
      <c r="BC506" s="308"/>
      <c r="BD506" s="308"/>
      <c r="BE506" s="313"/>
      <c r="BF506" s="307"/>
      <c r="BG506" s="310"/>
      <c r="BH506" s="307"/>
      <c r="BI506" s="307"/>
      <c r="BJ506" s="310"/>
      <c r="BK506" s="307"/>
      <c r="BL506" s="307"/>
      <c r="BM506" s="310"/>
      <c r="BN506" s="307"/>
      <c r="BO506" s="310"/>
      <c r="BP506" s="307"/>
      <c r="BQ506" s="307"/>
      <c r="BR506" s="307"/>
      <c r="BS506" s="307"/>
      <c r="BT506" s="307"/>
      <c r="BU506" s="310"/>
      <c r="BV506" s="307"/>
      <c r="BW506" s="308"/>
      <c r="BX506" s="311"/>
      <c r="BY506" s="307"/>
      <c r="BZ506" s="307"/>
      <c r="CA506" s="310"/>
      <c r="CB506" s="307"/>
      <c r="CC506" s="307"/>
      <c r="CD506" s="307"/>
      <c r="CE506" s="308"/>
      <c r="CF506" s="308"/>
      <c r="CG506" s="307"/>
      <c r="CH506" s="307"/>
      <c r="CI506" s="307"/>
      <c r="CJ506" s="307"/>
      <c r="CK506" s="314"/>
      <c r="CL506" s="310"/>
      <c r="CM506" s="310"/>
      <c r="CN506" s="307"/>
      <c r="CO506" s="307"/>
      <c r="CP506" s="307"/>
      <c r="CQ506" s="315"/>
      <c r="CR506" s="315"/>
      <c r="CS506" s="315"/>
      <c r="CT506" s="315"/>
      <c r="CU506" s="307"/>
      <c r="CV506" s="217"/>
      <c r="CW506" s="192"/>
      <c r="CX506" s="192"/>
      <c r="CY506" s="192"/>
      <c r="CZ506" s="191"/>
      <c r="DA506" s="193"/>
      <c r="DB506" s="192"/>
      <c r="DC506" s="192"/>
      <c r="DD506" s="192"/>
      <c r="DE506" s="191"/>
      <c r="DF506" s="19"/>
      <c r="DG506" s="192"/>
      <c r="DH506" s="192"/>
      <c r="DI506" s="192"/>
      <c r="DJ506" s="191"/>
      <c r="DK506" s="193"/>
      <c r="DL506" s="192"/>
      <c r="DM506" s="192"/>
      <c r="DN506" s="192"/>
      <c r="DO506" s="191"/>
      <c r="DP506" s="19"/>
      <c r="DQ506" s="192"/>
      <c r="DR506" s="192"/>
      <c r="DS506" s="192"/>
      <c r="DT506" s="191"/>
      <c r="DU506" s="193"/>
      <c r="DV506" s="192"/>
      <c r="DW506" s="192"/>
      <c r="DX506" s="192"/>
      <c r="DY506" s="191"/>
      <c r="DZ506" s="19"/>
      <c r="EA506" s="192"/>
      <c r="EB506" s="192"/>
      <c r="EC506" s="192"/>
      <c r="ED506" s="191"/>
      <c r="EE506" s="193"/>
      <c r="EF506" s="192"/>
      <c r="EG506" s="192"/>
      <c r="EH506" s="192"/>
      <c r="EI506" s="191"/>
      <c r="EJ506" s="19"/>
      <c r="EK506" s="192"/>
      <c r="EL506" s="192"/>
      <c r="EM506" s="192"/>
      <c r="EN506" s="191"/>
      <c r="EO506" s="193"/>
      <c r="EP506" s="192"/>
      <c r="EQ506" s="192"/>
      <c r="ER506" s="192"/>
      <c r="ES506" s="191"/>
      <c r="ET506" s="19"/>
      <c r="EU506" s="192"/>
      <c r="EV506" s="192"/>
      <c r="EW506" s="192"/>
      <c r="EX506" s="191"/>
      <c r="EY506" s="193"/>
      <c r="EZ506" s="192"/>
      <c r="FA506" s="192"/>
      <c r="FB506" s="192"/>
      <c r="FC506" s="191"/>
      <c r="FL506" s="273">
        <f t="shared" ca="1" si="23"/>
        <v>116</v>
      </c>
    </row>
    <row r="507" spans="1:168" ht="16.5" thickBot="1">
      <c r="A507" s="197"/>
      <c r="B507" s="306"/>
      <c r="C507" s="310"/>
      <c r="D507" s="307" t="s">
        <v>271</v>
      </c>
      <c r="E507" s="307" t="s">
        <v>271</v>
      </c>
      <c r="F507" s="308"/>
      <c r="G507" s="343" t="str">
        <f t="shared" si="21"/>
        <v xml:space="preserve"> </v>
      </c>
      <c r="H507" s="307"/>
      <c r="I507" s="309" t="e">
        <f t="shared" si="22"/>
        <v>#N/A</v>
      </c>
      <c r="J507" s="307"/>
      <c r="K507" s="307"/>
      <c r="L507" s="310"/>
      <c r="M507" s="310"/>
      <c r="N507" s="310"/>
      <c r="O507" s="310"/>
      <c r="P507" s="310"/>
      <c r="Q507" s="310"/>
      <c r="R507" s="310"/>
      <c r="S507" s="310"/>
      <c r="T507" s="310"/>
      <c r="U507" s="307"/>
      <c r="V507" s="307"/>
      <c r="W507" s="311"/>
      <c r="X507" s="307"/>
      <c r="Y507" s="307"/>
      <c r="Z507" s="307"/>
      <c r="AA507" s="307"/>
      <c r="AB507" s="311"/>
      <c r="AC507" s="307"/>
      <c r="AD507" s="307"/>
      <c r="AE507" s="307"/>
      <c r="AF507" s="307"/>
      <c r="AG507" s="310"/>
      <c r="AH507" s="307"/>
      <c r="AI507" s="310"/>
      <c r="AJ507" s="307"/>
      <c r="AK507" s="307"/>
      <c r="AL507" s="307"/>
      <c r="AM507" s="308"/>
      <c r="AN507" s="311"/>
      <c r="AO507" s="307"/>
      <c r="AP507" s="307"/>
      <c r="AQ507" s="308"/>
      <c r="AR507" s="307"/>
      <c r="AS507" s="307"/>
      <c r="AT507" s="307"/>
      <c r="AU507" s="310"/>
      <c r="AV507" s="308"/>
      <c r="AW507" s="312"/>
      <c r="AX507" s="308"/>
      <c r="AY507" s="307"/>
      <c r="AZ507" s="307"/>
      <c r="BA507" s="307"/>
      <c r="BB507" s="307"/>
      <c r="BC507" s="308"/>
      <c r="BD507" s="308"/>
      <c r="BE507" s="313"/>
      <c r="BF507" s="307"/>
      <c r="BG507" s="310"/>
      <c r="BH507" s="307"/>
      <c r="BI507" s="307"/>
      <c r="BJ507" s="310"/>
      <c r="BK507" s="307"/>
      <c r="BL507" s="307"/>
      <c r="BM507" s="310"/>
      <c r="BN507" s="307"/>
      <c r="BO507" s="310"/>
      <c r="BP507" s="307"/>
      <c r="BQ507" s="307"/>
      <c r="BR507" s="307"/>
      <c r="BS507" s="307"/>
      <c r="BT507" s="307"/>
      <c r="BU507" s="310"/>
      <c r="BV507" s="307"/>
      <c r="BW507" s="308"/>
      <c r="BX507" s="311"/>
      <c r="BY507" s="307"/>
      <c r="BZ507" s="307"/>
      <c r="CA507" s="310"/>
      <c r="CB507" s="307"/>
      <c r="CC507" s="307"/>
      <c r="CD507" s="307"/>
      <c r="CE507" s="308"/>
      <c r="CF507" s="308"/>
      <c r="CG507" s="307"/>
      <c r="CH507" s="307"/>
      <c r="CI507" s="307"/>
      <c r="CJ507" s="307"/>
      <c r="CK507" s="314"/>
      <c r="CL507" s="310"/>
      <c r="CM507" s="310"/>
      <c r="CN507" s="307"/>
      <c r="CO507" s="307"/>
      <c r="CP507" s="307"/>
      <c r="CQ507" s="315"/>
      <c r="CR507" s="315"/>
      <c r="CS507" s="315"/>
      <c r="CT507" s="315"/>
      <c r="CU507" s="307"/>
      <c r="CV507" s="217"/>
      <c r="CW507" s="192"/>
      <c r="CX507" s="192"/>
      <c r="CY507" s="192"/>
      <c r="CZ507" s="191"/>
      <c r="DA507" s="193"/>
      <c r="DB507" s="192"/>
      <c r="DC507" s="192"/>
      <c r="DD507" s="192"/>
      <c r="DE507" s="191"/>
      <c r="DF507" s="19"/>
      <c r="DG507" s="192"/>
      <c r="DH507" s="192"/>
      <c r="DI507" s="192"/>
      <c r="DJ507" s="191"/>
      <c r="DK507" s="193"/>
      <c r="DL507" s="192"/>
      <c r="DM507" s="192"/>
      <c r="DN507" s="192"/>
      <c r="DO507" s="191"/>
      <c r="DP507" s="19"/>
      <c r="DQ507" s="192"/>
      <c r="DR507" s="192"/>
      <c r="DS507" s="192"/>
      <c r="DT507" s="191"/>
      <c r="DU507" s="193"/>
      <c r="DV507" s="192"/>
      <c r="DW507" s="192"/>
      <c r="DX507" s="192"/>
      <c r="DY507" s="191"/>
      <c r="DZ507" s="19"/>
      <c r="EA507" s="192"/>
      <c r="EB507" s="192"/>
      <c r="EC507" s="192"/>
      <c r="ED507" s="191"/>
      <c r="EE507" s="193"/>
      <c r="EF507" s="192"/>
      <c r="EG507" s="192"/>
      <c r="EH507" s="192"/>
      <c r="EI507" s="191"/>
      <c r="EJ507" s="19"/>
      <c r="EK507" s="192"/>
      <c r="EL507" s="192"/>
      <c r="EM507" s="192"/>
      <c r="EN507" s="191"/>
      <c r="EO507" s="193"/>
      <c r="EP507" s="192"/>
      <c r="EQ507" s="192"/>
      <c r="ER507" s="192"/>
      <c r="ES507" s="191"/>
      <c r="ET507" s="19"/>
      <c r="EU507" s="192"/>
      <c r="EV507" s="192"/>
      <c r="EW507" s="192"/>
      <c r="EX507" s="191"/>
      <c r="EY507" s="193"/>
      <c r="EZ507" s="192"/>
      <c r="FA507" s="192"/>
      <c r="FB507" s="192"/>
      <c r="FC507" s="191"/>
      <c r="FL507" s="273">
        <f t="shared" ca="1" si="23"/>
        <v>116</v>
      </c>
    </row>
    <row r="508" spans="1:168" ht="16.5" thickBot="1">
      <c r="A508" s="197"/>
      <c r="B508" s="306"/>
      <c r="C508" s="310"/>
      <c r="D508" s="307" t="s">
        <v>271</v>
      </c>
      <c r="E508" s="307" t="s">
        <v>271</v>
      </c>
      <c r="F508" s="308"/>
      <c r="G508" s="343" t="str">
        <f t="shared" si="21"/>
        <v xml:space="preserve"> </v>
      </c>
      <c r="H508" s="307"/>
      <c r="I508" s="309" t="e">
        <f t="shared" si="22"/>
        <v>#N/A</v>
      </c>
      <c r="J508" s="307"/>
      <c r="K508" s="307"/>
      <c r="L508" s="310"/>
      <c r="M508" s="310"/>
      <c r="N508" s="310"/>
      <c r="O508" s="310"/>
      <c r="P508" s="310"/>
      <c r="Q508" s="310"/>
      <c r="R508" s="310"/>
      <c r="S508" s="310"/>
      <c r="T508" s="310"/>
      <c r="U508" s="307"/>
      <c r="V508" s="307"/>
      <c r="W508" s="311"/>
      <c r="X508" s="307"/>
      <c r="Y508" s="307"/>
      <c r="Z508" s="307"/>
      <c r="AA508" s="307"/>
      <c r="AB508" s="311"/>
      <c r="AC508" s="307"/>
      <c r="AD508" s="307"/>
      <c r="AE508" s="307"/>
      <c r="AF508" s="307"/>
      <c r="AG508" s="310"/>
      <c r="AH508" s="307"/>
      <c r="AI508" s="310"/>
      <c r="AJ508" s="307"/>
      <c r="AK508" s="307"/>
      <c r="AL508" s="307"/>
      <c r="AM508" s="308"/>
      <c r="AN508" s="311"/>
      <c r="AO508" s="307"/>
      <c r="AP508" s="307"/>
      <c r="AQ508" s="308"/>
      <c r="AR508" s="307"/>
      <c r="AS508" s="307"/>
      <c r="AT508" s="307"/>
      <c r="AU508" s="310"/>
      <c r="AV508" s="308"/>
      <c r="AW508" s="312"/>
      <c r="AX508" s="308"/>
      <c r="AY508" s="307"/>
      <c r="AZ508" s="307"/>
      <c r="BA508" s="307"/>
      <c r="BB508" s="307"/>
      <c r="BC508" s="308"/>
      <c r="BD508" s="308"/>
      <c r="BE508" s="313"/>
      <c r="BF508" s="307"/>
      <c r="BG508" s="310"/>
      <c r="BH508" s="307"/>
      <c r="BI508" s="307"/>
      <c r="BJ508" s="310"/>
      <c r="BK508" s="307"/>
      <c r="BL508" s="307"/>
      <c r="BM508" s="310"/>
      <c r="BN508" s="307"/>
      <c r="BO508" s="310"/>
      <c r="BP508" s="307"/>
      <c r="BQ508" s="307"/>
      <c r="BR508" s="307"/>
      <c r="BS508" s="307"/>
      <c r="BT508" s="307"/>
      <c r="BU508" s="310"/>
      <c r="BV508" s="307"/>
      <c r="BW508" s="308"/>
      <c r="BX508" s="311"/>
      <c r="BY508" s="307"/>
      <c r="BZ508" s="307"/>
      <c r="CA508" s="310"/>
      <c r="CB508" s="307"/>
      <c r="CC508" s="307"/>
      <c r="CD508" s="307"/>
      <c r="CE508" s="308"/>
      <c r="CF508" s="308"/>
      <c r="CG508" s="307"/>
      <c r="CH508" s="307"/>
      <c r="CI508" s="307"/>
      <c r="CJ508" s="307"/>
      <c r="CK508" s="314"/>
      <c r="CL508" s="310"/>
      <c r="CM508" s="310"/>
      <c r="CN508" s="307"/>
      <c r="CO508" s="307"/>
      <c r="CP508" s="307"/>
      <c r="CQ508" s="315"/>
      <c r="CR508" s="315"/>
      <c r="CS508" s="315"/>
      <c r="CT508" s="315"/>
      <c r="CU508" s="307"/>
      <c r="CV508" s="217"/>
      <c r="CW508" s="192"/>
      <c r="CX508" s="192"/>
      <c r="CY508" s="192"/>
      <c r="CZ508" s="191"/>
      <c r="DA508" s="193"/>
      <c r="DB508" s="192"/>
      <c r="DC508" s="192"/>
      <c r="DD508" s="192"/>
      <c r="DE508" s="191"/>
      <c r="DF508" s="19"/>
      <c r="DG508" s="192"/>
      <c r="DH508" s="192"/>
      <c r="DI508" s="192"/>
      <c r="DJ508" s="191"/>
      <c r="DK508" s="193"/>
      <c r="DL508" s="192"/>
      <c r="DM508" s="192"/>
      <c r="DN508" s="192"/>
      <c r="DO508" s="191"/>
      <c r="DP508" s="19"/>
      <c r="DQ508" s="192"/>
      <c r="DR508" s="192"/>
      <c r="DS508" s="192"/>
      <c r="DT508" s="191"/>
      <c r="DU508" s="193"/>
      <c r="DV508" s="192"/>
      <c r="DW508" s="192"/>
      <c r="DX508" s="192"/>
      <c r="DY508" s="191"/>
      <c r="DZ508" s="19"/>
      <c r="EA508" s="192"/>
      <c r="EB508" s="192"/>
      <c r="EC508" s="192"/>
      <c r="ED508" s="191"/>
      <c r="EE508" s="193"/>
      <c r="EF508" s="192"/>
      <c r="EG508" s="192"/>
      <c r="EH508" s="192"/>
      <c r="EI508" s="191"/>
      <c r="EJ508" s="19"/>
      <c r="EK508" s="192"/>
      <c r="EL508" s="192"/>
      <c r="EM508" s="192"/>
      <c r="EN508" s="191"/>
      <c r="EO508" s="193"/>
      <c r="EP508" s="192"/>
      <c r="EQ508" s="192"/>
      <c r="ER508" s="192"/>
      <c r="ES508" s="191"/>
      <c r="ET508" s="19"/>
      <c r="EU508" s="192"/>
      <c r="EV508" s="192"/>
      <c r="EW508" s="192"/>
      <c r="EX508" s="191"/>
      <c r="EY508" s="193"/>
      <c r="EZ508" s="192"/>
      <c r="FA508" s="192"/>
      <c r="FB508" s="192"/>
      <c r="FC508" s="191"/>
      <c r="FL508" s="273">
        <f t="shared" ca="1" si="23"/>
        <v>116</v>
      </c>
    </row>
    <row r="509" spans="1:168" ht="16.5" thickBot="1">
      <c r="A509" s="197"/>
      <c r="B509" s="306"/>
      <c r="C509" s="310"/>
      <c r="D509" s="307" t="s">
        <v>271</v>
      </c>
      <c r="E509" s="307" t="s">
        <v>271</v>
      </c>
      <c r="F509" s="308"/>
      <c r="G509" s="343" t="str">
        <f t="shared" si="21"/>
        <v xml:space="preserve"> </v>
      </c>
      <c r="H509" s="307"/>
      <c r="I509" s="309" t="e">
        <f t="shared" si="22"/>
        <v>#N/A</v>
      </c>
      <c r="J509" s="307"/>
      <c r="K509" s="307"/>
      <c r="L509" s="310"/>
      <c r="M509" s="310"/>
      <c r="N509" s="310"/>
      <c r="O509" s="310"/>
      <c r="P509" s="310"/>
      <c r="Q509" s="310"/>
      <c r="R509" s="310"/>
      <c r="S509" s="310"/>
      <c r="T509" s="310"/>
      <c r="U509" s="307"/>
      <c r="V509" s="307"/>
      <c r="W509" s="311"/>
      <c r="X509" s="307"/>
      <c r="Y509" s="307"/>
      <c r="Z509" s="307"/>
      <c r="AA509" s="307"/>
      <c r="AB509" s="311"/>
      <c r="AC509" s="307"/>
      <c r="AD509" s="307"/>
      <c r="AE509" s="307"/>
      <c r="AF509" s="307"/>
      <c r="AG509" s="310"/>
      <c r="AH509" s="307"/>
      <c r="AI509" s="310"/>
      <c r="AJ509" s="307"/>
      <c r="AK509" s="307"/>
      <c r="AL509" s="307"/>
      <c r="AM509" s="308"/>
      <c r="AN509" s="311"/>
      <c r="AO509" s="307"/>
      <c r="AP509" s="307"/>
      <c r="AQ509" s="308"/>
      <c r="AR509" s="307"/>
      <c r="AS509" s="307"/>
      <c r="AT509" s="307"/>
      <c r="AU509" s="310"/>
      <c r="AV509" s="308"/>
      <c r="AW509" s="312"/>
      <c r="AX509" s="308"/>
      <c r="AY509" s="307"/>
      <c r="AZ509" s="307"/>
      <c r="BA509" s="307"/>
      <c r="BB509" s="307"/>
      <c r="BC509" s="308"/>
      <c r="BD509" s="308"/>
      <c r="BE509" s="313"/>
      <c r="BF509" s="307"/>
      <c r="BG509" s="310"/>
      <c r="BH509" s="307"/>
      <c r="BI509" s="307"/>
      <c r="BJ509" s="310"/>
      <c r="BK509" s="307"/>
      <c r="BL509" s="307"/>
      <c r="BM509" s="310"/>
      <c r="BN509" s="307"/>
      <c r="BO509" s="310"/>
      <c r="BP509" s="307"/>
      <c r="BQ509" s="307"/>
      <c r="BR509" s="307"/>
      <c r="BS509" s="307"/>
      <c r="BT509" s="307"/>
      <c r="BU509" s="310"/>
      <c r="BV509" s="307"/>
      <c r="BW509" s="308"/>
      <c r="BX509" s="311"/>
      <c r="BY509" s="307"/>
      <c r="BZ509" s="307"/>
      <c r="CA509" s="310"/>
      <c r="CB509" s="307"/>
      <c r="CC509" s="307"/>
      <c r="CD509" s="307"/>
      <c r="CE509" s="308"/>
      <c r="CF509" s="308"/>
      <c r="CG509" s="307"/>
      <c r="CH509" s="307"/>
      <c r="CI509" s="307"/>
      <c r="CJ509" s="307"/>
      <c r="CK509" s="314"/>
      <c r="CL509" s="310"/>
      <c r="CM509" s="310"/>
      <c r="CN509" s="307"/>
      <c r="CO509" s="307"/>
      <c r="CP509" s="307"/>
      <c r="CQ509" s="315"/>
      <c r="CR509" s="315"/>
      <c r="CS509" s="315"/>
      <c r="CT509" s="315"/>
      <c r="CU509" s="307"/>
      <c r="CV509" s="217"/>
      <c r="CW509" s="192"/>
      <c r="CX509" s="192"/>
      <c r="CY509" s="192"/>
      <c r="CZ509" s="191"/>
      <c r="DA509" s="193"/>
      <c r="DB509" s="192"/>
      <c r="DC509" s="192"/>
      <c r="DD509" s="192"/>
      <c r="DE509" s="191"/>
      <c r="DF509" s="19"/>
      <c r="DG509" s="192"/>
      <c r="DH509" s="192"/>
      <c r="DI509" s="192"/>
      <c r="DJ509" s="191"/>
      <c r="DK509" s="193"/>
      <c r="DL509" s="192"/>
      <c r="DM509" s="192"/>
      <c r="DN509" s="192"/>
      <c r="DO509" s="191"/>
      <c r="DP509" s="19"/>
      <c r="DQ509" s="192"/>
      <c r="DR509" s="192"/>
      <c r="DS509" s="192"/>
      <c r="DT509" s="191"/>
      <c r="DU509" s="193"/>
      <c r="DV509" s="192"/>
      <c r="DW509" s="192"/>
      <c r="DX509" s="192"/>
      <c r="DY509" s="191"/>
      <c r="DZ509" s="19"/>
      <c r="EA509" s="192"/>
      <c r="EB509" s="192"/>
      <c r="EC509" s="192"/>
      <c r="ED509" s="191"/>
      <c r="EE509" s="193"/>
      <c r="EF509" s="192"/>
      <c r="EG509" s="192"/>
      <c r="EH509" s="192"/>
      <c r="EI509" s="191"/>
      <c r="EJ509" s="19"/>
      <c r="EK509" s="192"/>
      <c r="EL509" s="192"/>
      <c r="EM509" s="192"/>
      <c r="EN509" s="191"/>
      <c r="EO509" s="193"/>
      <c r="EP509" s="192"/>
      <c r="EQ509" s="192"/>
      <c r="ER509" s="192"/>
      <c r="ES509" s="191"/>
      <c r="ET509" s="19"/>
      <c r="EU509" s="192"/>
      <c r="EV509" s="192"/>
      <c r="EW509" s="192"/>
      <c r="EX509" s="191"/>
      <c r="EY509" s="193"/>
      <c r="EZ509" s="192"/>
      <c r="FA509" s="192"/>
      <c r="FB509" s="192"/>
      <c r="FC509" s="191"/>
      <c r="FL509" s="273">
        <f t="shared" ca="1" si="23"/>
        <v>116</v>
      </c>
    </row>
    <row r="510" spans="1:168" ht="16.5" thickBot="1">
      <c r="A510" s="197"/>
      <c r="B510" s="306"/>
      <c r="C510" s="310"/>
      <c r="D510" s="307" t="s">
        <v>271</v>
      </c>
      <c r="E510" s="307" t="s">
        <v>271</v>
      </c>
      <c r="F510" s="308"/>
      <c r="G510" s="343" t="str">
        <f t="shared" si="21"/>
        <v xml:space="preserve"> </v>
      </c>
      <c r="H510" s="307"/>
      <c r="I510" s="309" t="e">
        <f t="shared" si="22"/>
        <v>#N/A</v>
      </c>
      <c r="J510" s="307"/>
      <c r="K510" s="307"/>
      <c r="L510" s="310"/>
      <c r="M510" s="310"/>
      <c r="N510" s="310"/>
      <c r="O510" s="310"/>
      <c r="P510" s="310"/>
      <c r="Q510" s="310"/>
      <c r="R510" s="310"/>
      <c r="S510" s="310"/>
      <c r="T510" s="310"/>
      <c r="U510" s="307"/>
      <c r="V510" s="307"/>
      <c r="W510" s="311"/>
      <c r="X510" s="307"/>
      <c r="Y510" s="307"/>
      <c r="Z510" s="307"/>
      <c r="AA510" s="307"/>
      <c r="AB510" s="311"/>
      <c r="AC510" s="307"/>
      <c r="AD510" s="307"/>
      <c r="AE510" s="307"/>
      <c r="AF510" s="307"/>
      <c r="AG510" s="310"/>
      <c r="AH510" s="307"/>
      <c r="AI510" s="310"/>
      <c r="AJ510" s="307"/>
      <c r="AK510" s="307"/>
      <c r="AL510" s="307"/>
      <c r="AM510" s="308"/>
      <c r="AN510" s="311"/>
      <c r="AO510" s="307"/>
      <c r="AP510" s="307"/>
      <c r="AQ510" s="308"/>
      <c r="AR510" s="307"/>
      <c r="AS510" s="307"/>
      <c r="AT510" s="307"/>
      <c r="AU510" s="310"/>
      <c r="AV510" s="308"/>
      <c r="AW510" s="312"/>
      <c r="AX510" s="308"/>
      <c r="AY510" s="307"/>
      <c r="AZ510" s="307"/>
      <c r="BA510" s="307"/>
      <c r="BB510" s="307"/>
      <c r="BC510" s="308"/>
      <c r="BD510" s="308"/>
      <c r="BE510" s="313"/>
      <c r="BF510" s="307"/>
      <c r="BG510" s="310"/>
      <c r="BH510" s="307"/>
      <c r="BI510" s="307"/>
      <c r="BJ510" s="310"/>
      <c r="BK510" s="307"/>
      <c r="BL510" s="307"/>
      <c r="BM510" s="310"/>
      <c r="BN510" s="307"/>
      <c r="BO510" s="310"/>
      <c r="BP510" s="307"/>
      <c r="BQ510" s="307"/>
      <c r="BR510" s="307"/>
      <c r="BS510" s="307"/>
      <c r="BT510" s="307"/>
      <c r="BU510" s="310"/>
      <c r="BV510" s="307"/>
      <c r="BW510" s="308"/>
      <c r="BX510" s="311"/>
      <c r="BY510" s="307"/>
      <c r="BZ510" s="307"/>
      <c r="CA510" s="310"/>
      <c r="CB510" s="307"/>
      <c r="CC510" s="307"/>
      <c r="CD510" s="307"/>
      <c r="CE510" s="308"/>
      <c r="CF510" s="308"/>
      <c r="CG510" s="307"/>
      <c r="CH510" s="307"/>
      <c r="CI510" s="307"/>
      <c r="CJ510" s="307"/>
      <c r="CK510" s="314"/>
      <c r="CL510" s="310"/>
      <c r="CM510" s="310"/>
      <c r="CN510" s="307"/>
      <c r="CO510" s="307"/>
      <c r="CP510" s="307"/>
      <c r="CQ510" s="315"/>
      <c r="CR510" s="315"/>
      <c r="CS510" s="315"/>
      <c r="CT510" s="315"/>
      <c r="CU510" s="307"/>
      <c r="CV510" s="217"/>
      <c r="CW510" s="192"/>
      <c r="CX510" s="192"/>
      <c r="CY510" s="192"/>
      <c r="CZ510" s="191"/>
      <c r="DA510" s="193"/>
      <c r="DB510" s="192"/>
      <c r="DC510" s="192"/>
      <c r="DD510" s="192"/>
      <c r="DE510" s="191"/>
      <c r="DF510" s="19"/>
      <c r="DG510" s="192"/>
      <c r="DH510" s="192"/>
      <c r="DI510" s="192"/>
      <c r="DJ510" s="191"/>
      <c r="DK510" s="193"/>
      <c r="DL510" s="192"/>
      <c r="DM510" s="192"/>
      <c r="DN510" s="192"/>
      <c r="DO510" s="191"/>
      <c r="DP510" s="19"/>
      <c r="DQ510" s="192"/>
      <c r="DR510" s="192"/>
      <c r="DS510" s="192"/>
      <c r="DT510" s="191"/>
      <c r="DU510" s="193"/>
      <c r="DV510" s="192"/>
      <c r="DW510" s="192"/>
      <c r="DX510" s="192"/>
      <c r="DY510" s="191"/>
      <c r="DZ510" s="19"/>
      <c r="EA510" s="192"/>
      <c r="EB510" s="192"/>
      <c r="EC510" s="192"/>
      <c r="ED510" s="191"/>
      <c r="EE510" s="193"/>
      <c r="EF510" s="192"/>
      <c r="EG510" s="192"/>
      <c r="EH510" s="192"/>
      <c r="EI510" s="191"/>
      <c r="EJ510" s="19"/>
      <c r="EK510" s="192"/>
      <c r="EL510" s="192"/>
      <c r="EM510" s="192"/>
      <c r="EN510" s="191"/>
      <c r="EO510" s="193"/>
      <c r="EP510" s="192"/>
      <c r="EQ510" s="192"/>
      <c r="ER510" s="192"/>
      <c r="ES510" s="191"/>
      <c r="ET510" s="19"/>
      <c r="EU510" s="192"/>
      <c r="EV510" s="192"/>
      <c r="EW510" s="192"/>
      <c r="EX510" s="191"/>
      <c r="EY510" s="193"/>
      <c r="EZ510" s="192"/>
      <c r="FA510" s="192"/>
      <c r="FB510" s="192"/>
      <c r="FC510" s="191"/>
      <c r="FL510" s="273">
        <f t="shared" ca="1" si="23"/>
        <v>116</v>
      </c>
    </row>
    <row r="511" spans="1:168" ht="16.5" thickBot="1">
      <c r="A511" s="197"/>
      <c r="B511" s="306"/>
      <c r="C511" s="310"/>
      <c r="D511" s="307" t="s">
        <v>271</v>
      </c>
      <c r="E511" s="307" t="s">
        <v>271</v>
      </c>
      <c r="F511" s="308"/>
      <c r="G511" s="343" t="str">
        <f t="shared" si="21"/>
        <v xml:space="preserve"> </v>
      </c>
      <c r="H511" s="307"/>
      <c r="I511" s="309" t="e">
        <f t="shared" si="22"/>
        <v>#N/A</v>
      </c>
      <c r="J511" s="307"/>
      <c r="K511" s="307"/>
      <c r="L511" s="310"/>
      <c r="M511" s="310"/>
      <c r="N511" s="310"/>
      <c r="O511" s="310"/>
      <c r="P511" s="310"/>
      <c r="Q511" s="310"/>
      <c r="R511" s="310"/>
      <c r="S511" s="310"/>
      <c r="T511" s="310"/>
      <c r="U511" s="307"/>
      <c r="V511" s="307"/>
      <c r="W511" s="311"/>
      <c r="X511" s="307"/>
      <c r="Y511" s="307"/>
      <c r="Z511" s="307"/>
      <c r="AA511" s="307"/>
      <c r="AB511" s="311"/>
      <c r="AC511" s="307"/>
      <c r="AD511" s="307"/>
      <c r="AE511" s="307"/>
      <c r="AF511" s="307"/>
      <c r="AG511" s="310"/>
      <c r="AH511" s="307"/>
      <c r="AI511" s="310"/>
      <c r="AJ511" s="307"/>
      <c r="AK511" s="307"/>
      <c r="AL511" s="307"/>
      <c r="AM511" s="308"/>
      <c r="AN511" s="311"/>
      <c r="AO511" s="307"/>
      <c r="AP511" s="307"/>
      <c r="AQ511" s="308"/>
      <c r="AR511" s="307"/>
      <c r="AS511" s="307"/>
      <c r="AT511" s="307"/>
      <c r="AU511" s="310"/>
      <c r="AV511" s="308"/>
      <c r="AW511" s="312"/>
      <c r="AX511" s="308"/>
      <c r="AY511" s="307"/>
      <c r="AZ511" s="307"/>
      <c r="BA511" s="307"/>
      <c r="BB511" s="307"/>
      <c r="BC511" s="308"/>
      <c r="BD511" s="308"/>
      <c r="BE511" s="313"/>
      <c r="BF511" s="307"/>
      <c r="BG511" s="310"/>
      <c r="BH511" s="307"/>
      <c r="BI511" s="307"/>
      <c r="BJ511" s="310"/>
      <c r="BK511" s="307"/>
      <c r="BL511" s="307"/>
      <c r="BM511" s="310"/>
      <c r="BN511" s="307"/>
      <c r="BO511" s="310"/>
      <c r="BP511" s="307"/>
      <c r="BQ511" s="307"/>
      <c r="BR511" s="307"/>
      <c r="BS511" s="307"/>
      <c r="BT511" s="307"/>
      <c r="BU511" s="310"/>
      <c r="BV511" s="307"/>
      <c r="BW511" s="308"/>
      <c r="BX511" s="311"/>
      <c r="BY511" s="307"/>
      <c r="BZ511" s="307"/>
      <c r="CA511" s="310"/>
      <c r="CB511" s="307"/>
      <c r="CC511" s="307"/>
      <c r="CD511" s="307"/>
      <c r="CE511" s="308"/>
      <c r="CF511" s="308"/>
      <c r="CG511" s="307"/>
      <c r="CH511" s="307"/>
      <c r="CI511" s="307"/>
      <c r="CJ511" s="307"/>
      <c r="CK511" s="314"/>
      <c r="CL511" s="310"/>
      <c r="CM511" s="310"/>
      <c r="CN511" s="307"/>
      <c r="CO511" s="307"/>
      <c r="CP511" s="307"/>
      <c r="CQ511" s="315"/>
      <c r="CR511" s="315"/>
      <c r="CS511" s="315"/>
      <c r="CT511" s="315"/>
      <c r="CU511" s="307"/>
      <c r="CV511" s="217"/>
      <c r="CW511" s="192"/>
      <c r="CX511" s="192"/>
      <c r="CY511" s="192"/>
      <c r="CZ511" s="191"/>
      <c r="DA511" s="193"/>
      <c r="DB511" s="192"/>
      <c r="DC511" s="192"/>
      <c r="DD511" s="192"/>
      <c r="DE511" s="191"/>
      <c r="DF511" s="19"/>
      <c r="DG511" s="192"/>
      <c r="DH511" s="192"/>
      <c r="DI511" s="192"/>
      <c r="DJ511" s="191"/>
      <c r="DK511" s="193"/>
      <c r="DL511" s="192"/>
      <c r="DM511" s="192"/>
      <c r="DN511" s="192"/>
      <c r="DO511" s="191"/>
      <c r="DP511" s="19"/>
      <c r="DQ511" s="192"/>
      <c r="DR511" s="192"/>
      <c r="DS511" s="192"/>
      <c r="DT511" s="191"/>
      <c r="DU511" s="193"/>
      <c r="DV511" s="192"/>
      <c r="DW511" s="192"/>
      <c r="DX511" s="192"/>
      <c r="DY511" s="191"/>
      <c r="DZ511" s="19"/>
      <c r="EA511" s="192"/>
      <c r="EB511" s="192"/>
      <c r="EC511" s="192"/>
      <c r="ED511" s="191"/>
      <c r="EE511" s="193"/>
      <c r="EF511" s="192"/>
      <c r="EG511" s="192"/>
      <c r="EH511" s="192"/>
      <c r="EI511" s="191"/>
      <c r="EJ511" s="19"/>
      <c r="EK511" s="192"/>
      <c r="EL511" s="192"/>
      <c r="EM511" s="192"/>
      <c r="EN511" s="191"/>
      <c r="EO511" s="193"/>
      <c r="EP511" s="192"/>
      <c r="EQ511" s="192"/>
      <c r="ER511" s="192"/>
      <c r="ES511" s="191"/>
      <c r="ET511" s="19"/>
      <c r="EU511" s="192"/>
      <c r="EV511" s="192"/>
      <c r="EW511" s="192"/>
      <c r="EX511" s="191"/>
      <c r="EY511" s="193"/>
      <c r="EZ511" s="192"/>
      <c r="FA511" s="192"/>
      <c r="FB511" s="192"/>
      <c r="FC511" s="191"/>
      <c r="FL511" s="273">
        <f t="shared" ca="1" si="23"/>
        <v>116</v>
      </c>
    </row>
    <row r="512" spans="1:168" ht="16.5" thickBot="1">
      <c r="A512" s="197"/>
      <c r="B512" s="306"/>
      <c r="C512" s="310"/>
      <c r="D512" s="307" t="s">
        <v>271</v>
      </c>
      <c r="E512" s="307" t="s">
        <v>271</v>
      </c>
      <c r="F512" s="308"/>
      <c r="G512" s="343" t="str">
        <f t="shared" si="21"/>
        <v xml:space="preserve"> </v>
      </c>
      <c r="H512" s="307"/>
      <c r="I512" s="309" t="e">
        <f t="shared" si="22"/>
        <v>#N/A</v>
      </c>
      <c r="J512" s="307"/>
      <c r="K512" s="307"/>
      <c r="L512" s="310"/>
      <c r="M512" s="310"/>
      <c r="N512" s="310"/>
      <c r="O512" s="310"/>
      <c r="P512" s="310"/>
      <c r="Q512" s="310"/>
      <c r="R512" s="310"/>
      <c r="S512" s="310"/>
      <c r="T512" s="310"/>
      <c r="U512" s="307"/>
      <c r="V512" s="307"/>
      <c r="W512" s="311"/>
      <c r="X512" s="307"/>
      <c r="Y512" s="307"/>
      <c r="Z512" s="307"/>
      <c r="AA512" s="307"/>
      <c r="AB512" s="311"/>
      <c r="AC512" s="307"/>
      <c r="AD512" s="307"/>
      <c r="AE512" s="307"/>
      <c r="AF512" s="307"/>
      <c r="AG512" s="310"/>
      <c r="AH512" s="307"/>
      <c r="AI512" s="310"/>
      <c r="AJ512" s="307"/>
      <c r="AK512" s="307"/>
      <c r="AL512" s="307"/>
      <c r="AM512" s="308"/>
      <c r="AN512" s="311"/>
      <c r="AO512" s="307"/>
      <c r="AP512" s="307"/>
      <c r="AQ512" s="308"/>
      <c r="AR512" s="307"/>
      <c r="AS512" s="307"/>
      <c r="AT512" s="307"/>
      <c r="AU512" s="310"/>
      <c r="AV512" s="308"/>
      <c r="AW512" s="312"/>
      <c r="AX512" s="308"/>
      <c r="AY512" s="307"/>
      <c r="AZ512" s="307"/>
      <c r="BA512" s="307"/>
      <c r="BB512" s="307"/>
      <c r="BC512" s="308"/>
      <c r="BD512" s="308"/>
      <c r="BE512" s="313"/>
      <c r="BF512" s="307"/>
      <c r="BG512" s="310"/>
      <c r="BH512" s="307"/>
      <c r="BI512" s="307"/>
      <c r="BJ512" s="310"/>
      <c r="BK512" s="307"/>
      <c r="BL512" s="307"/>
      <c r="BM512" s="310"/>
      <c r="BN512" s="307"/>
      <c r="BO512" s="310"/>
      <c r="BP512" s="307"/>
      <c r="BQ512" s="307"/>
      <c r="BR512" s="307"/>
      <c r="BS512" s="307"/>
      <c r="BT512" s="307"/>
      <c r="BU512" s="310"/>
      <c r="BV512" s="307"/>
      <c r="BW512" s="308"/>
      <c r="BX512" s="311"/>
      <c r="BY512" s="307"/>
      <c r="BZ512" s="307"/>
      <c r="CA512" s="310"/>
      <c r="CB512" s="307"/>
      <c r="CC512" s="307"/>
      <c r="CD512" s="307"/>
      <c r="CE512" s="308"/>
      <c r="CF512" s="308"/>
      <c r="CG512" s="307"/>
      <c r="CH512" s="307"/>
      <c r="CI512" s="307"/>
      <c r="CJ512" s="307"/>
      <c r="CK512" s="314"/>
      <c r="CL512" s="310"/>
      <c r="CM512" s="310"/>
      <c r="CN512" s="307"/>
      <c r="CO512" s="307"/>
      <c r="CP512" s="307"/>
      <c r="CQ512" s="315"/>
      <c r="CR512" s="315"/>
      <c r="CS512" s="315"/>
      <c r="CT512" s="315"/>
      <c r="CU512" s="307"/>
      <c r="CV512" s="217"/>
      <c r="CW512" s="192"/>
      <c r="CX512" s="192"/>
      <c r="CY512" s="192"/>
      <c r="CZ512" s="191"/>
      <c r="DA512" s="193"/>
      <c r="DB512" s="192"/>
      <c r="DC512" s="192"/>
      <c r="DD512" s="192"/>
      <c r="DE512" s="191"/>
      <c r="DF512" s="19"/>
      <c r="DG512" s="192"/>
      <c r="DH512" s="192"/>
      <c r="DI512" s="192"/>
      <c r="DJ512" s="191"/>
      <c r="DK512" s="193"/>
      <c r="DL512" s="192"/>
      <c r="DM512" s="192"/>
      <c r="DN512" s="192"/>
      <c r="DO512" s="191"/>
      <c r="DP512" s="19"/>
      <c r="DQ512" s="192"/>
      <c r="DR512" s="192"/>
      <c r="DS512" s="192"/>
      <c r="DT512" s="191"/>
      <c r="DU512" s="193"/>
      <c r="DV512" s="192"/>
      <c r="DW512" s="192"/>
      <c r="DX512" s="192"/>
      <c r="DY512" s="191"/>
      <c r="DZ512" s="19"/>
      <c r="EA512" s="192"/>
      <c r="EB512" s="192"/>
      <c r="EC512" s="192"/>
      <c r="ED512" s="191"/>
      <c r="EE512" s="193"/>
      <c r="EF512" s="192"/>
      <c r="EG512" s="192"/>
      <c r="EH512" s="192"/>
      <c r="EI512" s="191"/>
      <c r="EJ512" s="19"/>
      <c r="EK512" s="192"/>
      <c r="EL512" s="192"/>
      <c r="EM512" s="192"/>
      <c r="EN512" s="191"/>
      <c r="EO512" s="193"/>
      <c r="EP512" s="192"/>
      <c r="EQ512" s="192"/>
      <c r="ER512" s="192"/>
      <c r="ES512" s="191"/>
      <c r="ET512" s="19"/>
      <c r="EU512" s="192"/>
      <c r="EV512" s="192"/>
      <c r="EW512" s="192"/>
      <c r="EX512" s="191"/>
      <c r="EY512" s="193"/>
      <c r="EZ512" s="192"/>
      <c r="FA512" s="192"/>
      <c r="FB512" s="192"/>
      <c r="FC512" s="191"/>
      <c r="FL512" s="273">
        <f t="shared" ca="1" si="23"/>
        <v>116</v>
      </c>
    </row>
    <row r="513" spans="1:168" ht="16.5" thickBot="1">
      <c r="A513" s="197"/>
      <c r="B513" s="306"/>
      <c r="C513" s="310"/>
      <c r="D513" s="307" t="s">
        <v>271</v>
      </c>
      <c r="E513" s="307" t="s">
        <v>271</v>
      </c>
      <c r="F513" s="308"/>
      <c r="G513" s="343" t="str">
        <f t="shared" si="21"/>
        <v xml:space="preserve"> </v>
      </c>
      <c r="H513" s="307"/>
      <c r="I513" s="309" t="e">
        <f t="shared" si="22"/>
        <v>#N/A</v>
      </c>
      <c r="J513" s="307"/>
      <c r="K513" s="307"/>
      <c r="L513" s="310"/>
      <c r="M513" s="310"/>
      <c r="N513" s="310"/>
      <c r="O513" s="310"/>
      <c r="P513" s="310"/>
      <c r="Q513" s="310"/>
      <c r="R513" s="310"/>
      <c r="S513" s="310"/>
      <c r="T513" s="310"/>
      <c r="U513" s="307"/>
      <c r="V513" s="307"/>
      <c r="W513" s="311"/>
      <c r="X513" s="307"/>
      <c r="Y513" s="307"/>
      <c r="Z513" s="307"/>
      <c r="AA513" s="307"/>
      <c r="AB513" s="311"/>
      <c r="AC513" s="307"/>
      <c r="AD513" s="307"/>
      <c r="AE513" s="307"/>
      <c r="AF513" s="307"/>
      <c r="AG513" s="310"/>
      <c r="AH513" s="307"/>
      <c r="AI513" s="310"/>
      <c r="AJ513" s="307"/>
      <c r="AK513" s="307"/>
      <c r="AL513" s="307"/>
      <c r="AM513" s="308"/>
      <c r="AN513" s="311"/>
      <c r="AO513" s="307"/>
      <c r="AP513" s="307"/>
      <c r="AQ513" s="308"/>
      <c r="AR513" s="307"/>
      <c r="AS513" s="307"/>
      <c r="AT513" s="307"/>
      <c r="AU513" s="310"/>
      <c r="AV513" s="308"/>
      <c r="AW513" s="312"/>
      <c r="AX513" s="308"/>
      <c r="AY513" s="307"/>
      <c r="AZ513" s="307"/>
      <c r="BA513" s="307"/>
      <c r="BB513" s="307"/>
      <c r="BC513" s="308"/>
      <c r="BD513" s="308"/>
      <c r="BE513" s="313"/>
      <c r="BF513" s="307"/>
      <c r="BG513" s="310"/>
      <c r="BH513" s="307"/>
      <c r="BI513" s="307"/>
      <c r="BJ513" s="310"/>
      <c r="BK513" s="307"/>
      <c r="BL513" s="307"/>
      <c r="BM513" s="310"/>
      <c r="BN513" s="307"/>
      <c r="BO513" s="310"/>
      <c r="BP513" s="307"/>
      <c r="BQ513" s="307"/>
      <c r="BR513" s="307"/>
      <c r="BS513" s="307"/>
      <c r="BT513" s="307"/>
      <c r="BU513" s="310"/>
      <c r="BV513" s="307"/>
      <c r="BW513" s="308"/>
      <c r="BX513" s="311"/>
      <c r="BY513" s="307"/>
      <c r="BZ513" s="307"/>
      <c r="CA513" s="310"/>
      <c r="CB513" s="307"/>
      <c r="CC513" s="307"/>
      <c r="CD513" s="307"/>
      <c r="CE513" s="308"/>
      <c r="CF513" s="308"/>
      <c r="CG513" s="307"/>
      <c r="CH513" s="307"/>
      <c r="CI513" s="307"/>
      <c r="CJ513" s="307"/>
      <c r="CK513" s="314"/>
      <c r="CL513" s="310"/>
      <c r="CM513" s="310"/>
      <c r="CN513" s="307"/>
      <c r="CO513" s="307"/>
      <c r="CP513" s="307"/>
      <c r="CQ513" s="315"/>
      <c r="CR513" s="315"/>
      <c r="CS513" s="315"/>
      <c r="CT513" s="315"/>
      <c r="CU513" s="307"/>
      <c r="CV513" s="217"/>
      <c r="CW513" s="192"/>
      <c r="CX513" s="192"/>
      <c r="CY513" s="192"/>
      <c r="CZ513" s="191"/>
      <c r="DA513" s="193"/>
      <c r="DB513" s="192"/>
      <c r="DC513" s="192"/>
      <c r="DD513" s="192"/>
      <c r="DE513" s="191"/>
      <c r="DF513" s="19"/>
      <c r="DG513" s="192"/>
      <c r="DH513" s="192"/>
      <c r="DI513" s="192"/>
      <c r="DJ513" s="191"/>
      <c r="DK513" s="193"/>
      <c r="DL513" s="192"/>
      <c r="DM513" s="192"/>
      <c r="DN513" s="192"/>
      <c r="DO513" s="191"/>
      <c r="DP513" s="19"/>
      <c r="DQ513" s="192"/>
      <c r="DR513" s="192"/>
      <c r="DS513" s="192"/>
      <c r="DT513" s="191"/>
      <c r="DU513" s="193"/>
      <c r="DV513" s="192"/>
      <c r="DW513" s="192"/>
      <c r="DX513" s="192"/>
      <c r="DY513" s="191"/>
      <c r="DZ513" s="19"/>
      <c r="EA513" s="192"/>
      <c r="EB513" s="192"/>
      <c r="EC513" s="192"/>
      <c r="ED513" s="191"/>
      <c r="EE513" s="193"/>
      <c r="EF513" s="192"/>
      <c r="EG513" s="192"/>
      <c r="EH513" s="192"/>
      <c r="EI513" s="191"/>
      <c r="EJ513" s="19"/>
      <c r="EK513" s="192"/>
      <c r="EL513" s="192"/>
      <c r="EM513" s="192"/>
      <c r="EN513" s="191"/>
      <c r="EO513" s="193"/>
      <c r="EP513" s="192"/>
      <c r="EQ513" s="192"/>
      <c r="ER513" s="192"/>
      <c r="ES513" s="191"/>
      <c r="ET513" s="19"/>
      <c r="EU513" s="192"/>
      <c r="EV513" s="192"/>
      <c r="EW513" s="192"/>
      <c r="EX513" s="191"/>
      <c r="EY513" s="193"/>
      <c r="EZ513" s="192"/>
      <c r="FA513" s="192"/>
      <c r="FB513" s="192"/>
      <c r="FC513" s="191"/>
      <c r="FL513" s="273">
        <f t="shared" ca="1" si="23"/>
        <v>116</v>
      </c>
    </row>
    <row r="514" spans="1:168" ht="16.5" thickBot="1">
      <c r="A514" s="197"/>
      <c r="B514" s="306"/>
      <c r="C514" s="310"/>
      <c r="D514" s="307" t="s">
        <v>271</v>
      </c>
      <c r="E514" s="307" t="s">
        <v>271</v>
      </c>
      <c r="F514" s="308"/>
      <c r="G514" s="343" t="str">
        <f t="shared" si="21"/>
        <v xml:space="preserve"> </v>
      </c>
      <c r="H514" s="307"/>
      <c r="I514" s="309" t="e">
        <f t="shared" si="22"/>
        <v>#N/A</v>
      </c>
      <c r="J514" s="307"/>
      <c r="K514" s="307"/>
      <c r="L514" s="310"/>
      <c r="M514" s="310"/>
      <c r="N514" s="310"/>
      <c r="O514" s="310"/>
      <c r="P514" s="310"/>
      <c r="Q514" s="310"/>
      <c r="R514" s="310"/>
      <c r="S514" s="310"/>
      <c r="T514" s="310"/>
      <c r="U514" s="307"/>
      <c r="V514" s="307"/>
      <c r="W514" s="311"/>
      <c r="X514" s="307"/>
      <c r="Y514" s="307"/>
      <c r="Z514" s="307"/>
      <c r="AA514" s="307"/>
      <c r="AB514" s="311"/>
      <c r="AC514" s="307"/>
      <c r="AD514" s="307"/>
      <c r="AE514" s="307"/>
      <c r="AF514" s="307"/>
      <c r="AG514" s="310"/>
      <c r="AH514" s="307"/>
      <c r="AI514" s="310"/>
      <c r="AJ514" s="307"/>
      <c r="AK514" s="307"/>
      <c r="AL514" s="307"/>
      <c r="AM514" s="308"/>
      <c r="AN514" s="311"/>
      <c r="AO514" s="307"/>
      <c r="AP514" s="307"/>
      <c r="AQ514" s="308"/>
      <c r="AR514" s="307"/>
      <c r="AS514" s="307"/>
      <c r="AT514" s="307"/>
      <c r="AU514" s="310"/>
      <c r="AV514" s="308"/>
      <c r="AW514" s="312"/>
      <c r="AX514" s="308"/>
      <c r="AY514" s="307"/>
      <c r="AZ514" s="307"/>
      <c r="BA514" s="307"/>
      <c r="BB514" s="307"/>
      <c r="BC514" s="308"/>
      <c r="BD514" s="308"/>
      <c r="BE514" s="313"/>
      <c r="BF514" s="307"/>
      <c r="BG514" s="310"/>
      <c r="BH514" s="307"/>
      <c r="BI514" s="307"/>
      <c r="BJ514" s="310"/>
      <c r="BK514" s="307"/>
      <c r="BL514" s="307"/>
      <c r="BM514" s="310"/>
      <c r="BN514" s="307"/>
      <c r="BO514" s="310"/>
      <c r="BP514" s="307"/>
      <c r="BQ514" s="307"/>
      <c r="BR514" s="307"/>
      <c r="BS514" s="307"/>
      <c r="BT514" s="307"/>
      <c r="BU514" s="310"/>
      <c r="BV514" s="307"/>
      <c r="BW514" s="308"/>
      <c r="BX514" s="311"/>
      <c r="BY514" s="307"/>
      <c r="BZ514" s="307"/>
      <c r="CA514" s="310"/>
      <c r="CB514" s="307"/>
      <c r="CC514" s="307"/>
      <c r="CD514" s="307"/>
      <c r="CE514" s="308"/>
      <c r="CF514" s="308"/>
      <c r="CG514" s="307"/>
      <c r="CH514" s="307"/>
      <c r="CI514" s="307"/>
      <c r="CJ514" s="307"/>
      <c r="CK514" s="314"/>
      <c r="CL514" s="310"/>
      <c r="CM514" s="310"/>
      <c r="CN514" s="307"/>
      <c r="CO514" s="307"/>
      <c r="CP514" s="307"/>
      <c r="CQ514" s="315"/>
      <c r="CR514" s="315"/>
      <c r="CS514" s="315"/>
      <c r="CT514" s="315"/>
      <c r="CU514" s="307"/>
      <c r="CV514" s="217"/>
      <c r="CW514" s="192"/>
      <c r="CX514" s="192"/>
      <c r="CY514" s="192"/>
      <c r="CZ514" s="191"/>
      <c r="DA514" s="193"/>
      <c r="DB514" s="192"/>
      <c r="DC514" s="192"/>
      <c r="DD514" s="192"/>
      <c r="DE514" s="191"/>
      <c r="DF514" s="19"/>
      <c r="DG514" s="192"/>
      <c r="DH514" s="192"/>
      <c r="DI514" s="192"/>
      <c r="DJ514" s="191"/>
      <c r="DK514" s="193"/>
      <c r="DL514" s="192"/>
      <c r="DM514" s="192"/>
      <c r="DN514" s="192"/>
      <c r="DO514" s="191"/>
      <c r="DP514" s="19"/>
      <c r="DQ514" s="192"/>
      <c r="DR514" s="192"/>
      <c r="DS514" s="192"/>
      <c r="DT514" s="191"/>
      <c r="DU514" s="193"/>
      <c r="DV514" s="192"/>
      <c r="DW514" s="192"/>
      <c r="DX514" s="192"/>
      <c r="DY514" s="191"/>
      <c r="DZ514" s="19"/>
      <c r="EA514" s="192"/>
      <c r="EB514" s="192"/>
      <c r="EC514" s="192"/>
      <c r="ED514" s="191"/>
      <c r="EE514" s="193"/>
      <c r="EF514" s="192"/>
      <c r="EG514" s="192"/>
      <c r="EH514" s="192"/>
      <c r="EI514" s="191"/>
      <c r="EJ514" s="19"/>
      <c r="EK514" s="192"/>
      <c r="EL514" s="192"/>
      <c r="EM514" s="192"/>
      <c r="EN514" s="191"/>
      <c r="EO514" s="193"/>
      <c r="EP514" s="192"/>
      <c r="EQ514" s="192"/>
      <c r="ER514" s="192"/>
      <c r="ES514" s="191"/>
      <c r="ET514" s="19"/>
      <c r="EU514" s="192"/>
      <c r="EV514" s="192"/>
      <c r="EW514" s="192"/>
      <c r="EX514" s="191"/>
      <c r="EY514" s="193"/>
      <c r="EZ514" s="192"/>
      <c r="FA514" s="192"/>
      <c r="FB514" s="192"/>
      <c r="FC514" s="191"/>
      <c r="FL514" s="273">
        <f t="shared" ca="1" si="23"/>
        <v>116</v>
      </c>
    </row>
    <row r="515" spans="1:168" ht="16.5" thickBot="1">
      <c r="A515" s="197"/>
      <c r="B515" s="306"/>
      <c r="C515" s="310"/>
      <c r="D515" s="307" t="s">
        <v>271</v>
      </c>
      <c r="E515" s="307" t="s">
        <v>271</v>
      </c>
      <c r="F515" s="308"/>
      <c r="G515" s="343" t="str">
        <f t="shared" si="21"/>
        <v xml:space="preserve"> </v>
      </c>
      <c r="H515" s="307"/>
      <c r="I515" s="309" t="e">
        <f t="shared" si="22"/>
        <v>#N/A</v>
      </c>
      <c r="J515" s="307"/>
      <c r="K515" s="307"/>
      <c r="L515" s="310"/>
      <c r="M515" s="310"/>
      <c r="N515" s="310"/>
      <c r="O515" s="310"/>
      <c r="P515" s="310"/>
      <c r="Q515" s="310"/>
      <c r="R515" s="310"/>
      <c r="S515" s="310"/>
      <c r="T515" s="310"/>
      <c r="U515" s="307"/>
      <c r="V515" s="307"/>
      <c r="W515" s="311"/>
      <c r="X515" s="307"/>
      <c r="Y515" s="307"/>
      <c r="Z515" s="307"/>
      <c r="AA515" s="307"/>
      <c r="AB515" s="311"/>
      <c r="AC515" s="307"/>
      <c r="AD515" s="307"/>
      <c r="AE515" s="307"/>
      <c r="AF515" s="307"/>
      <c r="AG515" s="310"/>
      <c r="AH515" s="307"/>
      <c r="AI515" s="310"/>
      <c r="AJ515" s="307"/>
      <c r="AK515" s="307"/>
      <c r="AL515" s="307"/>
      <c r="AM515" s="308"/>
      <c r="AN515" s="311"/>
      <c r="AO515" s="307"/>
      <c r="AP515" s="307"/>
      <c r="AQ515" s="308"/>
      <c r="AR515" s="307"/>
      <c r="AS515" s="307"/>
      <c r="AT515" s="307"/>
      <c r="AU515" s="310"/>
      <c r="AV515" s="308"/>
      <c r="AW515" s="312"/>
      <c r="AX515" s="308"/>
      <c r="AY515" s="307"/>
      <c r="AZ515" s="307"/>
      <c r="BA515" s="307"/>
      <c r="BB515" s="307"/>
      <c r="BC515" s="308"/>
      <c r="BD515" s="308"/>
      <c r="BE515" s="313"/>
      <c r="BF515" s="307"/>
      <c r="BG515" s="310"/>
      <c r="BH515" s="307"/>
      <c r="BI515" s="307"/>
      <c r="BJ515" s="310"/>
      <c r="BK515" s="307"/>
      <c r="BL515" s="307"/>
      <c r="BM515" s="310"/>
      <c r="BN515" s="307"/>
      <c r="BO515" s="310"/>
      <c r="BP515" s="307"/>
      <c r="BQ515" s="307"/>
      <c r="BR515" s="307"/>
      <c r="BS515" s="307"/>
      <c r="BT515" s="307"/>
      <c r="BU515" s="310"/>
      <c r="BV515" s="307"/>
      <c r="BW515" s="308"/>
      <c r="BX515" s="311"/>
      <c r="BY515" s="307"/>
      <c r="BZ515" s="307"/>
      <c r="CA515" s="310"/>
      <c r="CB515" s="307"/>
      <c r="CC515" s="307"/>
      <c r="CD515" s="307"/>
      <c r="CE515" s="308"/>
      <c r="CF515" s="308"/>
      <c r="CG515" s="307"/>
      <c r="CH515" s="307"/>
      <c r="CI515" s="307"/>
      <c r="CJ515" s="307"/>
      <c r="CK515" s="314"/>
      <c r="CL515" s="310"/>
      <c r="CM515" s="310"/>
      <c r="CN515" s="307"/>
      <c r="CO515" s="307"/>
      <c r="CP515" s="307"/>
      <c r="CQ515" s="315"/>
      <c r="CR515" s="315"/>
      <c r="CS515" s="315"/>
      <c r="CT515" s="315"/>
      <c r="CU515" s="307"/>
      <c r="CV515" s="217"/>
      <c r="CW515" s="192"/>
      <c r="CX515" s="192"/>
      <c r="CY515" s="192"/>
      <c r="CZ515" s="191"/>
      <c r="DA515" s="193"/>
      <c r="DB515" s="192"/>
      <c r="DC515" s="192"/>
      <c r="DD515" s="192"/>
      <c r="DE515" s="191"/>
      <c r="DF515" s="19"/>
      <c r="DG515" s="192"/>
      <c r="DH515" s="192"/>
      <c r="DI515" s="192"/>
      <c r="DJ515" s="191"/>
      <c r="DK515" s="193"/>
      <c r="DL515" s="192"/>
      <c r="DM515" s="192"/>
      <c r="DN515" s="192"/>
      <c r="DO515" s="191"/>
      <c r="DP515" s="19"/>
      <c r="DQ515" s="192"/>
      <c r="DR515" s="192"/>
      <c r="DS515" s="192"/>
      <c r="DT515" s="191"/>
      <c r="DU515" s="193"/>
      <c r="DV515" s="192"/>
      <c r="DW515" s="192"/>
      <c r="DX515" s="192"/>
      <c r="DY515" s="191"/>
      <c r="DZ515" s="19"/>
      <c r="EA515" s="192"/>
      <c r="EB515" s="192"/>
      <c r="EC515" s="192"/>
      <c r="ED515" s="191"/>
      <c r="EE515" s="193"/>
      <c r="EF515" s="192"/>
      <c r="EG515" s="192"/>
      <c r="EH515" s="192"/>
      <c r="EI515" s="191"/>
      <c r="EJ515" s="19"/>
      <c r="EK515" s="192"/>
      <c r="EL515" s="192"/>
      <c r="EM515" s="192"/>
      <c r="EN515" s="191"/>
      <c r="EO515" s="193"/>
      <c r="EP515" s="192"/>
      <c r="EQ515" s="192"/>
      <c r="ER515" s="192"/>
      <c r="ES515" s="191"/>
      <c r="ET515" s="19"/>
      <c r="EU515" s="192"/>
      <c r="EV515" s="192"/>
      <c r="EW515" s="192"/>
      <c r="EX515" s="191"/>
      <c r="EY515" s="193"/>
      <c r="EZ515" s="192"/>
      <c r="FA515" s="192"/>
      <c r="FB515" s="192"/>
      <c r="FC515" s="191"/>
      <c r="FL515" s="273">
        <f t="shared" ca="1" si="23"/>
        <v>116</v>
      </c>
    </row>
    <row r="516" spans="1:168" ht="16.5" thickBot="1">
      <c r="A516" s="197"/>
      <c r="B516" s="306"/>
      <c r="C516" s="310"/>
      <c r="D516" s="307" t="s">
        <v>271</v>
      </c>
      <c r="E516" s="307" t="s">
        <v>271</v>
      </c>
      <c r="F516" s="308"/>
      <c r="G516" s="343" t="str">
        <f t="shared" si="21"/>
        <v xml:space="preserve"> </v>
      </c>
      <c r="H516" s="307"/>
      <c r="I516" s="309" t="e">
        <f t="shared" si="22"/>
        <v>#N/A</v>
      </c>
      <c r="J516" s="307"/>
      <c r="K516" s="307"/>
      <c r="L516" s="310"/>
      <c r="M516" s="310"/>
      <c r="N516" s="310"/>
      <c r="O516" s="310"/>
      <c r="P516" s="310"/>
      <c r="Q516" s="310"/>
      <c r="R516" s="310"/>
      <c r="S516" s="310"/>
      <c r="T516" s="310"/>
      <c r="U516" s="307"/>
      <c r="V516" s="307"/>
      <c r="W516" s="311"/>
      <c r="X516" s="307"/>
      <c r="Y516" s="307"/>
      <c r="Z516" s="307"/>
      <c r="AA516" s="307"/>
      <c r="AB516" s="311"/>
      <c r="AC516" s="307"/>
      <c r="AD516" s="307"/>
      <c r="AE516" s="307"/>
      <c r="AF516" s="307"/>
      <c r="AG516" s="310"/>
      <c r="AH516" s="307"/>
      <c r="AI516" s="310"/>
      <c r="AJ516" s="307"/>
      <c r="AK516" s="307"/>
      <c r="AL516" s="307"/>
      <c r="AM516" s="308"/>
      <c r="AN516" s="311"/>
      <c r="AO516" s="307"/>
      <c r="AP516" s="307"/>
      <c r="AQ516" s="308"/>
      <c r="AR516" s="307"/>
      <c r="AS516" s="307"/>
      <c r="AT516" s="307"/>
      <c r="AU516" s="310"/>
      <c r="AV516" s="308"/>
      <c r="AW516" s="312"/>
      <c r="AX516" s="308"/>
      <c r="AY516" s="307"/>
      <c r="AZ516" s="307"/>
      <c r="BA516" s="307"/>
      <c r="BB516" s="307"/>
      <c r="BC516" s="308"/>
      <c r="BD516" s="308"/>
      <c r="BE516" s="313"/>
      <c r="BF516" s="307"/>
      <c r="BG516" s="310"/>
      <c r="BH516" s="307"/>
      <c r="BI516" s="307"/>
      <c r="BJ516" s="310"/>
      <c r="BK516" s="307"/>
      <c r="BL516" s="307"/>
      <c r="BM516" s="310"/>
      <c r="BN516" s="307"/>
      <c r="BO516" s="310"/>
      <c r="BP516" s="307"/>
      <c r="BQ516" s="307"/>
      <c r="BR516" s="307"/>
      <c r="BS516" s="307"/>
      <c r="BT516" s="307"/>
      <c r="BU516" s="310"/>
      <c r="BV516" s="307"/>
      <c r="BW516" s="308"/>
      <c r="BX516" s="311"/>
      <c r="BY516" s="307"/>
      <c r="BZ516" s="307"/>
      <c r="CA516" s="310"/>
      <c r="CB516" s="307"/>
      <c r="CC516" s="307"/>
      <c r="CD516" s="307"/>
      <c r="CE516" s="308"/>
      <c r="CF516" s="308"/>
      <c r="CG516" s="307"/>
      <c r="CH516" s="307"/>
      <c r="CI516" s="307"/>
      <c r="CJ516" s="307"/>
      <c r="CK516" s="314"/>
      <c r="CL516" s="310"/>
      <c r="CM516" s="310"/>
      <c r="CN516" s="307"/>
      <c r="CO516" s="307"/>
      <c r="CP516" s="307"/>
      <c r="CQ516" s="315"/>
      <c r="CR516" s="315"/>
      <c r="CS516" s="315"/>
      <c r="CT516" s="315"/>
      <c r="CU516" s="307"/>
      <c r="CV516" s="217"/>
      <c r="CW516" s="192"/>
      <c r="CX516" s="192"/>
      <c r="CY516" s="192"/>
      <c r="CZ516" s="191"/>
      <c r="DA516" s="193"/>
      <c r="DB516" s="192"/>
      <c r="DC516" s="192"/>
      <c r="DD516" s="192"/>
      <c r="DE516" s="191"/>
      <c r="DF516" s="19"/>
      <c r="DG516" s="192"/>
      <c r="DH516" s="192"/>
      <c r="DI516" s="192"/>
      <c r="DJ516" s="191"/>
      <c r="DK516" s="193"/>
      <c r="DL516" s="192"/>
      <c r="DM516" s="192"/>
      <c r="DN516" s="192"/>
      <c r="DO516" s="191"/>
      <c r="DP516" s="19"/>
      <c r="DQ516" s="192"/>
      <c r="DR516" s="192"/>
      <c r="DS516" s="192"/>
      <c r="DT516" s="191"/>
      <c r="DU516" s="193"/>
      <c r="DV516" s="192"/>
      <c r="DW516" s="192"/>
      <c r="DX516" s="192"/>
      <c r="DY516" s="191"/>
      <c r="DZ516" s="19"/>
      <c r="EA516" s="192"/>
      <c r="EB516" s="192"/>
      <c r="EC516" s="192"/>
      <c r="ED516" s="191"/>
      <c r="EE516" s="193"/>
      <c r="EF516" s="192"/>
      <c r="EG516" s="192"/>
      <c r="EH516" s="192"/>
      <c r="EI516" s="191"/>
      <c r="EJ516" s="19"/>
      <c r="EK516" s="192"/>
      <c r="EL516" s="192"/>
      <c r="EM516" s="192"/>
      <c r="EN516" s="191"/>
      <c r="EO516" s="193"/>
      <c r="EP516" s="192"/>
      <c r="EQ516" s="192"/>
      <c r="ER516" s="192"/>
      <c r="ES516" s="191"/>
      <c r="ET516" s="19"/>
      <c r="EU516" s="192"/>
      <c r="EV516" s="192"/>
      <c r="EW516" s="192"/>
      <c r="EX516" s="191"/>
      <c r="EY516" s="193"/>
      <c r="EZ516" s="192"/>
      <c r="FA516" s="192"/>
      <c r="FB516" s="192"/>
      <c r="FC516" s="191"/>
      <c r="FL516" s="273">
        <f t="shared" ca="1" si="23"/>
        <v>116</v>
      </c>
    </row>
    <row r="517" spans="1:168" ht="16.5" thickBot="1">
      <c r="A517" s="197"/>
      <c r="B517" s="306"/>
      <c r="C517" s="310"/>
      <c r="D517" s="307" t="s">
        <v>271</v>
      </c>
      <c r="E517" s="307" t="s">
        <v>271</v>
      </c>
      <c r="F517" s="308"/>
      <c r="G517" s="343" t="str">
        <f t="shared" ref="G517:G527" si="24">IF(F517=0," ",IF(F517&gt;0,FL517))</f>
        <v xml:space="preserve"> </v>
      </c>
      <c r="H517" s="307"/>
      <c r="I517" s="309" t="e">
        <f t="shared" ref="I517:I527" si="25">VLOOKUP(J517,$FH$5:$FI$32,2)</f>
        <v>#N/A</v>
      </c>
      <c r="J517" s="307"/>
      <c r="K517" s="307"/>
      <c r="L517" s="310"/>
      <c r="M517" s="310"/>
      <c r="N517" s="310"/>
      <c r="O517" s="310"/>
      <c r="P517" s="310"/>
      <c r="Q517" s="310"/>
      <c r="R517" s="310"/>
      <c r="S517" s="310"/>
      <c r="T517" s="310"/>
      <c r="U517" s="307"/>
      <c r="V517" s="307"/>
      <c r="W517" s="311"/>
      <c r="X517" s="307"/>
      <c r="Y517" s="307"/>
      <c r="Z517" s="307"/>
      <c r="AA517" s="307"/>
      <c r="AB517" s="311"/>
      <c r="AC517" s="307"/>
      <c r="AD517" s="307"/>
      <c r="AE517" s="307"/>
      <c r="AF517" s="307"/>
      <c r="AG517" s="310"/>
      <c r="AH517" s="307"/>
      <c r="AI517" s="310"/>
      <c r="AJ517" s="307"/>
      <c r="AK517" s="307"/>
      <c r="AL517" s="307"/>
      <c r="AM517" s="308"/>
      <c r="AN517" s="311"/>
      <c r="AO517" s="307"/>
      <c r="AP517" s="307"/>
      <c r="AQ517" s="308"/>
      <c r="AR517" s="307"/>
      <c r="AS517" s="307"/>
      <c r="AT517" s="307"/>
      <c r="AU517" s="310"/>
      <c r="AV517" s="308"/>
      <c r="AW517" s="312"/>
      <c r="AX517" s="308"/>
      <c r="AY517" s="307"/>
      <c r="AZ517" s="307"/>
      <c r="BA517" s="307"/>
      <c r="BB517" s="307"/>
      <c r="BC517" s="308"/>
      <c r="BD517" s="308"/>
      <c r="BE517" s="313"/>
      <c r="BF517" s="307"/>
      <c r="BG517" s="310"/>
      <c r="BH517" s="307"/>
      <c r="BI517" s="307"/>
      <c r="BJ517" s="310"/>
      <c r="BK517" s="307"/>
      <c r="BL517" s="307"/>
      <c r="BM517" s="310"/>
      <c r="BN517" s="307"/>
      <c r="BO517" s="310"/>
      <c r="BP517" s="307"/>
      <c r="BQ517" s="307"/>
      <c r="BR517" s="307"/>
      <c r="BS517" s="307"/>
      <c r="BT517" s="307"/>
      <c r="BU517" s="310"/>
      <c r="BV517" s="307"/>
      <c r="BW517" s="308"/>
      <c r="BX517" s="311"/>
      <c r="BY517" s="307"/>
      <c r="BZ517" s="307"/>
      <c r="CA517" s="310"/>
      <c r="CB517" s="307"/>
      <c r="CC517" s="307"/>
      <c r="CD517" s="307"/>
      <c r="CE517" s="308"/>
      <c r="CF517" s="308"/>
      <c r="CG517" s="307"/>
      <c r="CH517" s="307"/>
      <c r="CI517" s="307"/>
      <c r="CJ517" s="307"/>
      <c r="CK517" s="314"/>
      <c r="CL517" s="310"/>
      <c r="CM517" s="310"/>
      <c r="CN517" s="307"/>
      <c r="CO517" s="307"/>
      <c r="CP517" s="307"/>
      <c r="CQ517" s="315"/>
      <c r="CR517" s="315"/>
      <c r="CS517" s="315"/>
      <c r="CT517" s="315"/>
      <c r="CU517" s="307"/>
      <c r="CV517" s="217"/>
      <c r="CW517" s="192"/>
      <c r="CX517" s="192"/>
      <c r="CY517" s="192"/>
      <c r="CZ517" s="191"/>
      <c r="DA517" s="193"/>
      <c r="DB517" s="192"/>
      <c r="DC517" s="192"/>
      <c r="DD517" s="192"/>
      <c r="DE517" s="191"/>
      <c r="DF517" s="19"/>
      <c r="DG517" s="192"/>
      <c r="DH517" s="192"/>
      <c r="DI517" s="192"/>
      <c r="DJ517" s="191"/>
      <c r="DK517" s="193"/>
      <c r="DL517" s="192"/>
      <c r="DM517" s="192"/>
      <c r="DN517" s="192"/>
      <c r="DO517" s="191"/>
      <c r="DP517" s="19"/>
      <c r="DQ517" s="192"/>
      <c r="DR517" s="192"/>
      <c r="DS517" s="192"/>
      <c r="DT517" s="191"/>
      <c r="DU517" s="193"/>
      <c r="DV517" s="192"/>
      <c r="DW517" s="192"/>
      <c r="DX517" s="192"/>
      <c r="DY517" s="191"/>
      <c r="DZ517" s="19"/>
      <c r="EA517" s="192"/>
      <c r="EB517" s="192"/>
      <c r="EC517" s="192"/>
      <c r="ED517" s="191"/>
      <c r="EE517" s="193"/>
      <c r="EF517" s="192"/>
      <c r="EG517" s="192"/>
      <c r="EH517" s="192"/>
      <c r="EI517" s="191"/>
      <c r="EJ517" s="19"/>
      <c r="EK517" s="192"/>
      <c r="EL517" s="192"/>
      <c r="EM517" s="192"/>
      <c r="EN517" s="191"/>
      <c r="EO517" s="193"/>
      <c r="EP517" s="192"/>
      <c r="EQ517" s="192"/>
      <c r="ER517" s="192"/>
      <c r="ES517" s="191"/>
      <c r="ET517" s="19"/>
      <c r="EU517" s="192"/>
      <c r="EV517" s="192"/>
      <c r="EW517" s="192"/>
      <c r="EX517" s="191"/>
      <c r="EY517" s="193"/>
      <c r="EZ517" s="192"/>
      <c r="FA517" s="192"/>
      <c r="FB517" s="192"/>
      <c r="FC517" s="191"/>
      <c r="FL517" s="273">
        <f t="shared" ca="1" si="23"/>
        <v>116</v>
      </c>
    </row>
    <row r="518" spans="1:168" ht="16.5" thickBot="1">
      <c r="A518" s="197"/>
      <c r="B518" s="306"/>
      <c r="C518" s="310"/>
      <c r="D518" s="307" t="s">
        <v>271</v>
      </c>
      <c r="E518" s="307" t="s">
        <v>271</v>
      </c>
      <c r="F518" s="308"/>
      <c r="G518" s="343" t="str">
        <f t="shared" si="24"/>
        <v xml:space="preserve"> </v>
      </c>
      <c r="H518" s="307"/>
      <c r="I518" s="309" t="e">
        <f t="shared" si="25"/>
        <v>#N/A</v>
      </c>
      <c r="J518" s="307"/>
      <c r="K518" s="307"/>
      <c r="L518" s="310"/>
      <c r="M518" s="310"/>
      <c r="N518" s="310"/>
      <c r="O518" s="310"/>
      <c r="P518" s="310"/>
      <c r="Q518" s="310"/>
      <c r="R518" s="310"/>
      <c r="S518" s="310"/>
      <c r="T518" s="310"/>
      <c r="U518" s="307"/>
      <c r="V518" s="307"/>
      <c r="W518" s="311"/>
      <c r="X518" s="307"/>
      <c r="Y518" s="307"/>
      <c r="Z518" s="307"/>
      <c r="AA518" s="307"/>
      <c r="AB518" s="311"/>
      <c r="AC518" s="307"/>
      <c r="AD518" s="307"/>
      <c r="AE518" s="307"/>
      <c r="AF518" s="307"/>
      <c r="AG518" s="310"/>
      <c r="AH518" s="307"/>
      <c r="AI518" s="310"/>
      <c r="AJ518" s="307"/>
      <c r="AK518" s="307"/>
      <c r="AL518" s="307"/>
      <c r="AM518" s="308"/>
      <c r="AN518" s="311"/>
      <c r="AO518" s="307"/>
      <c r="AP518" s="307"/>
      <c r="AQ518" s="308"/>
      <c r="AR518" s="307"/>
      <c r="AS518" s="307"/>
      <c r="AT518" s="307"/>
      <c r="AU518" s="310"/>
      <c r="AV518" s="308"/>
      <c r="AW518" s="312"/>
      <c r="AX518" s="308"/>
      <c r="AY518" s="307"/>
      <c r="AZ518" s="307"/>
      <c r="BA518" s="307"/>
      <c r="BB518" s="307"/>
      <c r="BC518" s="308"/>
      <c r="BD518" s="308"/>
      <c r="BE518" s="313"/>
      <c r="BF518" s="307"/>
      <c r="BG518" s="310"/>
      <c r="BH518" s="307"/>
      <c r="BI518" s="307"/>
      <c r="BJ518" s="310"/>
      <c r="BK518" s="307"/>
      <c r="BL518" s="307"/>
      <c r="BM518" s="310"/>
      <c r="BN518" s="307"/>
      <c r="BO518" s="310"/>
      <c r="BP518" s="307"/>
      <c r="BQ518" s="307"/>
      <c r="BR518" s="307"/>
      <c r="BS518" s="307"/>
      <c r="BT518" s="307"/>
      <c r="BU518" s="310"/>
      <c r="BV518" s="307"/>
      <c r="BW518" s="308"/>
      <c r="BX518" s="311"/>
      <c r="BY518" s="307"/>
      <c r="BZ518" s="307"/>
      <c r="CA518" s="310"/>
      <c r="CB518" s="307"/>
      <c r="CC518" s="307"/>
      <c r="CD518" s="307"/>
      <c r="CE518" s="308"/>
      <c r="CF518" s="308"/>
      <c r="CG518" s="307"/>
      <c r="CH518" s="307"/>
      <c r="CI518" s="307"/>
      <c r="CJ518" s="307"/>
      <c r="CK518" s="314"/>
      <c r="CL518" s="310"/>
      <c r="CM518" s="310"/>
      <c r="CN518" s="307"/>
      <c r="CO518" s="307"/>
      <c r="CP518" s="307"/>
      <c r="CQ518" s="315"/>
      <c r="CR518" s="315"/>
      <c r="CS518" s="315"/>
      <c r="CT518" s="315"/>
      <c r="CU518" s="307"/>
      <c r="CV518" s="217"/>
      <c r="CW518" s="192"/>
      <c r="CX518" s="192"/>
      <c r="CY518" s="192"/>
      <c r="CZ518" s="191"/>
      <c r="DA518" s="193"/>
      <c r="DB518" s="192"/>
      <c r="DC518" s="192"/>
      <c r="DD518" s="192"/>
      <c r="DE518" s="191"/>
      <c r="DF518" s="19"/>
      <c r="DG518" s="192"/>
      <c r="DH518" s="192"/>
      <c r="DI518" s="192"/>
      <c r="DJ518" s="191"/>
      <c r="DK518" s="193"/>
      <c r="DL518" s="192"/>
      <c r="DM518" s="192"/>
      <c r="DN518" s="192"/>
      <c r="DO518" s="191"/>
      <c r="DP518" s="19"/>
      <c r="DQ518" s="192"/>
      <c r="DR518" s="192"/>
      <c r="DS518" s="192"/>
      <c r="DT518" s="191"/>
      <c r="DU518" s="193"/>
      <c r="DV518" s="192"/>
      <c r="DW518" s="192"/>
      <c r="DX518" s="192"/>
      <c r="DY518" s="191"/>
      <c r="DZ518" s="19"/>
      <c r="EA518" s="192"/>
      <c r="EB518" s="192"/>
      <c r="EC518" s="192"/>
      <c r="ED518" s="191"/>
      <c r="EE518" s="193"/>
      <c r="EF518" s="192"/>
      <c r="EG518" s="192"/>
      <c r="EH518" s="192"/>
      <c r="EI518" s="191"/>
      <c r="EJ518" s="19"/>
      <c r="EK518" s="192"/>
      <c r="EL518" s="192"/>
      <c r="EM518" s="192"/>
      <c r="EN518" s="191"/>
      <c r="EO518" s="193"/>
      <c r="EP518" s="192"/>
      <c r="EQ518" s="192"/>
      <c r="ER518" s="192"/>
      <c r="ES518" s="191"/>
      <c r="ET518" s="19"/>
      <c r="EU518" s="192"/>
      <c r="EV518" s="192"/>
      <c r="EW518" s="192"/>
      <c r="EX518" s="191"/>
      <c r="EY518" s="193"/>
      <c r="EZ518" s="192"/>
      <c r="FA518" s="192"/>
      <c r="FB518" s="192"/>
      <c r="FC518" s="191"/>
      <c r="FL518" s="273">
        <f t="shared" ref="FL518:FL527" ca="1" si="26">YEAR($FL$3)-YEAR(F518)-1+IF(DATE(1901,MONTH(F518),DAY(F518))-DATE(1901,MONTH($FL$3),DAY($FL$3))&lt;=0,1,0)</f>
        <v>116</v>
      </c>
    </row>
    <row r="519" spans="1:168" ht="16.5" thickBot="1">
      <c r="A519" s="197"/>
      <c r="B519" s="306"/>
      <c r="C519" s="310"/>
      <c r="D519" s="307" t="s">
        <v>271</v>
      </c>
      <c r="E519" s="307" t="s">
        <v>271</v>
      </c>
      <c r="F519" s="308"/>
      <c r="G519" s="343" t="str">
        <f t="shared" si="24"/>
        <v xml:space="preserve"> </v>
      </c>
      <c r="H519" s="307"/>
      <c r="I519" s="309" t="e">
        <f t="shared" si="25"/>
        <v>#N/A</v>
      </c>
      <c r="J519" s="307"/>
      <c r="K519" s="307"/>
      <c r="L519" s="310"/>
      <c r="M519" s="310"/>
      <c r="N519" s="310"/>
      <c r="O519" s="310"/>
      <c r="P519" s="310"/>
      <c r="Q519" s="310"/>
      <c r="R519" s="310"/>
      <c r="S519" s="310"/>
      <c r="T519" s="310"/>
      <c r="U519" s="307"/>
      <c r="V519" s="307"/>
      <c r="W519" s="311"/>
      <c r="X519" s="307"/>
      <c r="Y519" s="307"/>
      <c r="Z519" s="307"/>
      <c r="AA519" s="307"/>
      <c r="AB519" s="311"/>
      <c r="AC519" s="307"/>
      <c r="AD519" s="307"/>
      <c r="AE519" s="307"/>
      <c r="AF519" s="307"/>
      <c r="AG519" s="310"/>
      <c r="AH519" s="307"/>
      <c r="AI519" s="310"/>
      <c r="AJ519" s="307"/>
      <c r="AK519" s="307"/>
      <c r="AL519" s="307"/>
      <c r="AM519" s="308"/>
      <c r="AN519" s="311"/>
      <c r="AO519" s="307"/>
      <c r="AP519" s="307"/>
      <c r="AQ519" s="308"/>
      <c r="AR519" s="307"/>
      <c r="AS519" s="307"/>
      <c r="AT519" s="307"/>
      <c r="AU519" s="310"/>
      <c r="AV519" s="308"/>
      <c r="AW519" s="312"/>
      <c r="AX519" s="308"/>
      <c r="AY519" s="307"/>
      <c r="AZ519" s="307"/>
      <c r="BA519" s="307"/>
      <c r="BB519" s="307"/>
      <c r="BC519" s="308"/>
      <c r="BD519" s="308"/>
      <c r="BE519" s="313"/>
      <c r="BF519" s="307"/>
      <c r="BG519" s="310"/>
      <c r="BH519" s="307"/>
      <c r="BI519" s="307"/>
      <c r="BJ519" s="310"/>
      <c r="BK519" s="307"/>
      <c r="BL519" s="307"/>
      <c r="BM519" s="310"/>
      <c r="BN519" s="307"/>
      <c r="BO519" s="310"/>
      <c r="BP519" s="307"/>
      <c r="BQ519" s="307"/>
      <c r="BR519" s="307"/>
      <c r="BS519" s="307"/>
      <c r="BT519" s="307"/>
      <c r="BU519" s="310"/>
      <c r="BV519" s="307"/>
      <c r="BW519" s="308"/>
      <c r="BX519" s="311"/>
      <c r="BY519" s="307"/>
      <c r="BZ519" s="307"/>
      <c r="CA519" s="310"/>
      <c r="CB519" s="307"/>
      <c r="CC519" s="307"/>
      <c r="CD519" s="307"/>
      <c r="CE519" s="308"/>
      <c r="CF519" s="308"/>
      <c r="CG519" s="307"/>
      <c r="CH519" s="307"/>
      <c r="CI519" s="307"/>
      <c r="CJ519" s="307"/>
      <c r="CK519" s="314"/>
      <c r="CL519" s="310"/>
      <c r="CM519" s="310"/>
      <c r="CN519" s="307"/>
      <c r="CO519" s="307"/>
      <c r="CP519" s="307"/>
      <c r="CQ519" s="315"/>
      <c r="CR519" s="315"/>
      <c r="CS519" s="315"/>
      <c r="CT519" s="315"/>
      <c r="CU519" s="307"/>
      <c r="CV519" s="217"/>
      <c r="CW519" s="192"/>
      <c r="CX519" s="192"/>
      <c r="CY519" s="192"/>
      <c r="CZ519" s="191"/>
      <c r="DA519" s="193"/>
      <c r="DB519" s="192"/>
      <c r="DC519" s="192"/>
      <c r="DD519" s="192"/>
      <c r="DE519" s="191"/>
      <c r="DF519" s="19"/>
      <c r="DG519" s="192"/>
      <c r="DH519" s="192"/>
      <c r="DI519" s="192"/>
      <c r="DJ519" s="191"/>
      <c r="DK519" s="193"/>
      <c r="DL519" s="192"/>
      <c r="DM519" s="192"/>
      <c r="DN519" s="192"/>
      <c r="DO519" s="191"/>
      <c r="DP519" s="19"/>
      <c r="DQ519" s="192"/>
      <c r="DR519" s="192"/>
      <c r="DS519" s="192"/>
      <c r="DT519" s="191"/>
      <c r="DU519" s="193"/>
      <c r="DV519" s="192"/>
      <c r="DW519" s="192"/>
      <c r="DX519" s="192"/>
      <c r="DY519" s="191"/>
      <c r="DZ519" s="19"/>
      <c r="EA519" s="192"/>
      <c r="EB519" s="192"/>
      <c r="EC519" s="192"/>
      <c r="ED519" s="191"/>
      <c r="EE519" s="193"/>
      <c r="EF519" s="192"/>
      <c r="EG519" s="192"/>
      <c r="EH519" s="192"/>
      <c r="EI519" s="191"/>
      <c r="EJ519" s="19"/>
      <c r="EK519" s="192"/>
      <c r="EL519" s="192"/>
      <c r="EM519" s="192"/>
      <c r="EN519" s="191"/>
      <c r="EO519" s="193"/>
      <c r="EP519" s="192"/>
      <c r="EQ519" s="192"/>
      <c r="ER519" s="192"/>
      <c r="ES519" s="191"/>
      <c r="ET519" s="19"/>
      <c r="EU519" s="192"/>
      <c r="EV519" s="192"/>
      <c r="EW519" s="192"/>
      <c r="EX519" s="191"/>
      <c r="EY519" s="193"/>
      <c r="EZ519" s="192"/>
      <c r="FA519" s="192"/>
      <c r="FB519" s="192"/>
      <c r="FC519" s="191"/>
      <c r="FL519" s="273">
        <f t="shared" ca="1" si="26"/>
        <v>116</v>
      </c>
    </row>
    <row r="520" spans="1:168" ht="16.5" thickBot="1">
      <c r="A520" s="197"/>
      <c r="B520" s="306"/>
      <c r="C520" s="310"/>
      <c r="D520" s="307" t="s">
        <v>271</v>
      </c>
      <c r="E520" s="307" t="s">
        <v>271</v>
      </c>
      <c r="F520" s="308"/>
      <c r="G520" s="343" t="str">
        <f t="shared" si="24"/>
        <v xml:space="preserve"> </v>
      </c>
      <c r="H520" s="307"/>
      <c r="I520" s="309" t="e">
        <f t="shared" si="25"/>
        <v>#N/A</v>
      </c>
      <c r="J520" s="307"/>
      <c r="K520" s="307"/>
      <c r="L520" s="310"/>
      <c r="M520" s="310"/>
      <c r="N520" s="310"/>
      <c r="O520" s="310"/>
      <c r="P520" s="310"/>
      <c r="Q520" s="310"/>
      <c r="R520" s="310"/>
      <c r="S520" s="310"/>
      <c r="T520" s="310"/>
      <c r="U520" s="307"/>
      <c r="V520" s="307"/>
      <c r="W520" s="311"/>
      <c r="X520" s="307"/>
      <c r="Y520" s="307"/>
      <c r="Z520" s="307"/>
      <c r="AA520" s="307"/>
      <c r="AB520" s="311"/>
      <c r="AC520" s="307"/>
      <c r="AD520" s="307"/>
      <c r="AE520" s="307"/>
      <c r="AF520" s="307"/>
      <c r="AG520" s="310"/>
      <c r="AH520" s="307"/>
      <c r="AI520" s="310"/>
      <c r="AJ520" s="307"/>
      <c r="AK520" s="307"/>
      <c r="AL520" s="307"/>
      <c r="AM520" s="308"/>
      <c r="AN520" s="311"/>
      <c r="AO520" s="307"/>
      <c r="AP520" s="307"/>
      <c r="AQ520" s="308"/>
      <c r="AR520" s="307"/>
      <c r="AS520" s="307"/>
      <c r="AT520" s="307"/>
      <c r="AU520" s="310"/>
      <c r="AV520" s="308"/>
      <c r="AW520" s="312"/>
      <c r="AX520" s="308"/>
      <c r="AY520" s="307"/>
      <c r="AZ520" s="307"/>
      <c r="BA520" s="307"/>
      <c r="BB520" s="307"/>
      <c r="BC520" s="308"/>
      <c r="BD520" s="308"/>
      <c r="BE520" s="313"/>
      <c r="BF520" s="307"/>
      <c r="BG520" s="310"/>
      <c r="BH520" s="307"/>
      <c r="BI520" s="307"/>
      <c r="BJ520" s="310"/>
      <c r="BK520" s="307"/>
      <c r="BL520" s="307"/>
      <c r="BM520" s="310"/>
      <c r="BN520" s="307"/>
      <c r="BO520" s="310"/>
      <c r="BP520" s="307"/>
      <c r="BQ520" s="307"/>
      <c r="BR520" s="307"/>
      <c r="BS520" s="307"/>
      <c r="BT520" s="307"/>
      <c r="BU520" s="310"/>
      <c r="BV520" s="307"/>
      <c r="BW520" s="308"/>
      <c r="BX520" s="311"/>
      <c r="BY520" s="307"/>
      <c r="BZ520" s="307"/>
      <c r="CA520" s="310"/>
      <c r="CB520" s="307"/>
      <c r="CC520" s="307"/>
      <c r="CD520" s="307"/>
      <c r="CE520" s="308"/>
      <c r="CF520" s="308"/>
      <c r="CG520" s="307"/>
      <c r="CH520" s="307"/>
      <c r="CI520" s="307"/>
      <c r="CJ520" s="307"/>
      <c r="CK520" s="314"/>
      <c r="CL520" s="310"/>
      <c r="CM520" s="310"/>
      <c r="CN520" s="307"/>
      <c r="CO520" s="307"/>
      <c r="CP520" s="307"/>
      <c r="CQ520" s="315"/>
      <c r="CR520" s="315"/>
      <c r="CS520" s="315"/>
      <c r="CT520" s="315"/>
      <c r="CU520" s="307"/>
      <c r="CV520" s="217"/>
      <c r="CW520" s="192"/>
      <c r="CX520" s="192"/>
      <c r="CY520" s="192"/>
      <c r="CZ520" s="191"/>
      <c r="DA520" s="193"/>
      <c r="DB520" s="192"/>
      <c r="DC520" s="192"/>
      <c r="DD520" s="192"/>
      <c r="DE520" s="191"/>
      <c r="DF520" s="19"/>
      <c r="DG520" s="192"/>
      <c r="DH520" s="192"/>
      <c r="DI520" s="192"/>
      <c r="DJ520" s="191"/>
      <c r="DK520" s="193"/>
      <c r="DL520" s="192"/>
      <c r="DM520" s="192"/>
      <c r="DN520" s="192"/>
      <c r="DO520" s="191"/>
      <c r="DP520" s="19"/>
      <c r="DQ520" s="192"/>
      <c r="DR520" s="192"/>
      <c r="DS520" s="192"/>
      <c r="DT520" s="191"/>
      <c r="DU520" s="193"/>
      <c r="DV520" s="192"/>
      <c r="DW520" s="192"/>
      <c r="DX520" s="192"/>
      <c r="DY520" s="191"/>
      <c r="DZ520" s="19"/>
      <c r="EA520" s="192"/>
      <c r="EB520" s="192"/>
      <c r="EC520" s="192"/>
      <c r="ED520" s="191"/>
      <c r="EE520" s="193"/>
      <c r="EF520" s="192"/>
      <c r="EG520" s="192"/>
      <c r="EH520" s="192"/>
      <c r="EI520" s="191"/>
      <c r="EJ520" s="19"/>
      <c r="EK520" s="192"/>
      <c r="EL520" s="192"/>
      <c r="EM520" s="192"/>
      <c r="EN520" s="191"/>
      <c r="EO520" s="193"/>
      <c r="EP520" s="192"/>
      <c r="EQ520" s="192"/>
      <c r="ER520" s="192"/>
      <c r="ES520" s="191"/>
      <c r="ET520" s="19"/>
      <c r="EU520" s="192"/>
      <c r="EV520" s="192"/>
      <c r="EW520" s="192"/>
      <c r="EX520" s="191"/>
      <c r="EY520" s="193"/>
      <c r="EZ520" s="192"/>
      <c r="FA520" s="192"/>
      <c r="FB520" s="192"/>
      <c r="FC520" s="191"/>
      <c r="FL520" s="273">
        <f t="shared" ca="1" si="26"/>
        <v>116</v>
      </c>
    </row>
    <row r="521" spans="1:168" ht="16.5" thickBot="1">
      <c r="A521" s="197"/>
      <c r="B521" s="306"/>
      <c r="C521" s="310"/>
      <c r="D521" s="307" t="s">
        <v>271</v>
      </c>
      <c r="E521" s="307" t="s">
        <v>271</v>
      </c>
      <c r="F521" s="308"/>
      <c r="G521" s="343" t="str">
        <f t="shared" si="24"/>
        <v xml:space="preserve"> </v>
      </c>
      <c r="H521" s="307"/>
      <c r="I521" s="309" t="e">
        <f t="shared" si="25"/>
        <v>#N/A</v>
      </c>
      <c r="J521" s="307"/>
      <c r="K521" s="307"/>
      <c r="L521" s="310"/>
      <c r="M521" s="310"/>
      <c r="N521" s="310"/>
      <c r="O521" s="310"/>
      <c r="P521" s="310"/>
      <c r="Q521" s="310"/>
      <c r="R521" s="310"/>
      <c r="S521" s="310"/>
      <c r="T521" s="310"/>
      <c r="U521" s="307"/>
      <c r="V521" s="307"/>
      <c r="W521" s="311"/>
      <c r="X521" s="307"/>
      <c r="Y521" s="307"/>
      <c r="Z521" s="307"/>
      <c r="AA521" s="307"/>
      <c r="AB521" s="311"/>
      <c r="AC521" s="307"/>
      <c r="AD521" s="307"/>
      <c r="AE521" s="307"/>
      <c r="AF521" s="307"/>
      <c r="AG521" s="310"/>
      <c r="AH521" s="307"/>
      <c r="AI521" s="310"/>
      <c r="AJ521" s="307"/>
      <c r="AK521" s="307"/>
      <c r="AL521" s="307"/>
      <c r="AM521" s="308"/>
      <c r="AN521" s="311"/>
      <c r="AO521" s="307"/>
      <c r="AP521" s="307"/>
      <c r="AQ521" s="308"/>
      <c r="AR521" s="307"/>
      <c r="AS521" s="307"/>
      <c r="AT521" s="307"/>
      <c r="AU521" s="310"/>
      <c r="AV521" s="308"/>
      <c r="AW521" s="312"/>
      <c r="AX521" s="308"/>
      <c r="AY521" s="307"/>
      <c r="AZ521" s="307"/>
      <c r="BA521" s="307"/>
      <c r="BB521" s="307"/>
      <c r="BC521" s="308"/>
      <c r="BD521" s="308"/>
      <c r="BE521" s="313"/>
      <c r="BF521" s="307"/>
      <c r="BG521" s="310"/>
      <c r="BH521" s="307"/>
      <c r="BI521" s="307"/>
      <c r="BJ521" s="310"/>
      <c r="BK521" s="307"/>
      <c r="BL521" s="307"/>
      <c r="BM521" s="310"/>
      <c r="BN521" s="307"/>
      <c r="BO521" s="310"/>
      <c r="BP521" s="307"/>
      <c r="BQ521" s="307"/>
      <c r="BR521" s="307"/>
      <c r="BS521" s="307"/>
      <c r="BT521" s="307"/>
      <c r="BU521" s="310"/>
      <c r="BV521" s="307"/>
      <c r="BW521" s="308"/>
      <c r="BX521" s="311"/>
      <c r="BY521" s="307"/>
      <c r="BZ521" s="307"/>
      <c r="CA521" s="310"/>
      <c r="CB521" s="307"/>
      <c r="CC521" s="307"/>
      <c r="CD521" s="307"/>
      <c r="CE521" s="308"/>
      <c r="CF521" s="308"/>
      <c r="CG521" s="307"/>
      <c r="CH521" s="307"/>
      <c r="CI521" s="307"/>
      <c r="CJ521" s="307"/>
      <c r="CK521" s="314"/>
      <c r="CL521" s="310"/>
      <c r="CM521" s="310"/>
      <c r="CN521" s="307"/>
      <c r="CO521" s="307"/>
      <c r="CP521" s="307"/>
      <c r="CQ521" s="315"/>
      <c r="CR521" s="315"/>
      <c r="CS521" s="315"/>
      <c r="CT521" s="315"/>
      <c r="CU521" s="307"/>
      <c r="CV521" s="217"/>
      <c r="CW521" s="192"/>
      <c r="CX521" s="192"/>
      <c r="CY521" s="192"/>
      <c r="CZ521" s="191"/>
      <c r="DA521" s="193"/>
      <c r="DB521" s="192"/>
      <c r="DC521" s="192"/>
      <c r="DD521" s="192"/>
      <c r="DE521" s="191"/>
      <c r="DF521" s="19"/>
      <c r="DG521" s="192"/>
      <c r="DH521" s="192"/>
      <c r="DI521" s="192"/>
      <c r="DJ521" s="191"/>
      <c r="DK521" s="193"/>
      <c r="DL521" s="192"/>
      <c r="DM521" s="192"/>
      <c r="DN521" s="192"/>
      <c r="DO521" s="191"/>
      <c r="DP521" s="19"/>
      <c r="DQ521" s="192"/>
      <c r="DR521" s="192"/>
      <c r="DS521" s="192"/>
      <c r="DT521" s="191"/>
      <c r="DU521" s="193"/>
      <c r="DV521" s="192"/>
      <c r="DW521" s="192"/>
      <c r="DX521" s="192"/>
      <c r="DY521" s="191"/>
      <c r="DZ521" s="19"/>
      <c r="EA521" s="192"/>
      <c r="EB521" s="192"/>
      <c r="EC521" s="192"/>
      <c r="ED521" s="191"/>
      <c r="EE521" s="193"/>
      <c r="EF521" s="192"/>
      <c r="EG521" s="192"/>
      <c r="EH521" s="192"/>
      <c r="EI521" s="191"/>
      <c r="EJ521" s="19"/>
      <c r="EK521" s="192"/>
      <c r="EL521" s="192"/>
      <c r="EM521" s="192"/>
      <c r="EN521" s="191"/>
      <c r="EO521" s="193"/>
      <c r="EP521" s="192"/>
      <c r="EQ521" s="192"/>
      <c r="ER521" s="192"/>
      <c r="ES521" s="191"/>
      <c r="ET521" s="19"/>
      <c r="EU521" s="192"/>
      <c r="EV521" s="192"/>
      <c r="EW521" s="192"/>
      <c r="EX521" s="191"/>
      <c r="EY521" s="193"/>
      <c r="EZ521" s="192"/>
      <c r="FA521" s="192"/>
      <c r="FB521" s="192"/>
      <c r="FC521" s="191"/>
      <c r="FL521" s="273">
        <f t="shared" ca="1" si="26"/>
        <v>116</v>
      </c>
    </row>
    <row r="522" spans="1:168" ht="16.5" thickBot="1">
      <c r="A522" s="197"/>
      <c r="B522" s="306"/>
      <c r="C522" s="310"/>
      <c r="D522" s="307" t="s">
        <v>271</v>
      </c>
      <c r="E522" s="307" t="s">
        <v>271</v>
      </c>
      <c r="F522" s="308"/>
      <c r="G522" s="343" t="str">
        <f t="shared" si="24"/>
        <v xml:space="preserve"> </v>
      </c>
      <c r="H522" s="307"/>
      <c r="I522" s="309" t="e">
        <f t="shared" si="25"/>
        <v>#N/A</v>
      </c>
      <c r="J522" s="307"/>
      <c r="K522" s="307"/>
      <c r="L522" s="310"/>
      <c r="M522" s="310"/>
      <c r="N522" s="310"/>
      <c r="O522" s="310"/>
      <c r="P522" s="310"/>
      <c r="Q522" s="310"/>
      <c r="R522" s="310"/>
      <c r="S522" s="310"/>
      <c r="T522" s="310"/>
      <c r="U522" s="307"/>
      <c r="V522" s="307"/>
      <c r="W522" s="311"/>
      <c r="X522" s="307"/>
      <c r="Y522" s="307"/>
      <c r="Z522" s="307"/>
      <c r="AA522" s="307"/>
      <c r="AB522" s="311"/>
      <c r="AC522" s="307"/>
      <c r="AD522" s="307"/>
      <c r="AE522" s="307"/>
      <c r="AF522" s="307"/>
      <c r="AG522" s="310"/>
      <c r="AH522" s="307"/>
      <c r="AI522" s="310"/>
      <c r="AJ522" s="307"/>
      <c r="AK522" s="307"/>
      <c r="AL522" s="307"/>
      <c r="AM522" s="308"/>
      <c r="AN522" s="311"/>
      <c r="AO522" s="307"/>
      <c r="AP522" s="307"/>
      <c r="AQ522" s="308"/>
      <c r="AR522" s="307"/>
      <c r="AS522" s="307"/>
      <c r="AT522" s="307"/>
      <c r="AU522" s="310"/>
      <c r="AV522" s="308"/>
      <c r="AW522" s="312"/>
      <c r="AX522" s="308"/>
      <c r="AY522" s="307"/>
      <c r="AZ522" s="307"/>
      <c r="BA522" s="307"/>
      <c r="BB522" s="307"/>
      <c r="BC522" s="308"/>
      <c r="BD522" s="308"/>
      <c r="BE522" s="313"/>
      <c r="BF522" s="307"/>
      <c r="BG522" s="310"/>
      <c r="BH522" s="307"/>
      <c r="BI522" s="307"/>
      <c r="BJ522" s="310"/>
      <c r="BK522" s="307"/>
      <c r="BL522" s="307"/>
      <c r="BM522" s="310"/>
      <c r="BN522" s="307"/>
      <c r="BO522" s="310"/>
      <c r="BP522" s="307"/>
      <c r="BQ522" s="307"/>
      <c r="BR522" s="307"/>
      <c r="BS522" s="307"/>
      <c r="BT522" s="307"/>
      <c r="BU522" s="310"/>
      <c r="BV522" s="307"/>
      <c r="BW522" s="308"/>
      <c r="BX522" s="311"/>
      <c r="BY522" s="307"/>
      <c r="BZ522" s="307"/>
      <c r="CA522" s="310"/>
      <c r="CB522" s="307"/>
      <c r="CC522" s="307"/>
      <c r="CD522" s="307"/>
      <c r="CE522" s="308"/>
      <c r="CF522" s="308"/>
      <c r="CG522" s="307"/>
      <c r="CH522" s="307"/>
      <c r="CI522" s="307"/>
      <c r="CJ522" s="307"/>
      <c r="CK522" s="314"/>
      <c r="CL522" s="310"/>
      <c r="CM522" s="310"/>
      <c r="CN522" s="307"/>
      <c r="CO522" s="307"/>
      <c r="CP522" s="307"/>
      <c r="CQ522" s="315"/>
      <c r="CR522" s="315"/>
      <c r="CS522" s="315"/>
      <c r="CT522" s="315"/>
      <c r="CU522" s="307"/>
      <c r="CV522" s="217"/>
      <c r="CW522" s="192"/>
      <c r="CX522" s="192"/>
      <c r="CY522" s="192"/>
      <c r="CZ522" s="191"/>
      <c r="DA522" s="193"/>
      <c r="DB522" s="192"/>
      <c r="DC522" s="192"/>
      <c r="DD522" s="192"/>
      <c r="DE522" s="191"/>
      <c r="DF522" s="19"/>
      <c r="DG522" s="192"/>
      <c r="DH522" s="192"/>
      <c r="DI522" s="192"/>
      <c r="DJ522" s="191"/>
      <c r="DK522" s="193"/>
      <c r="DL522" s="192"/>
      <c r="DM522" s="192"/>
      <c r="DN522" s="192"/>
      <c r="DO522" s="191"/>
      <c r="DP522" s="19"/>
      <c r="DQ522" s="192"/>
      <c r="DR522" s="192"/>
      <c r="DS522" s="192"/>
      <c r="DT522" s="191"/>
      <c r="DU522" s="193"/>
      <c r="DV522" s="192"/>
      <c r="DW522" s="192"/>
      <c r="DX522" s="192"/>
      <c r="DY522" s="191"/>
      <c r="DZ522" s="19"/>
      <c r="EA522" s="192"/>
      <c r="EB522" s="192"/>
      <c r="EC522" s="192"/>
      <c r="ED522" s="191"/>
      <c r="EE522" s="193"/>
      <c r="EF522" s="192"/>
      <c r="EG522" s="192"/>
      <c r="EH522" s="192"/>
      <c r="EI522" s="191"/>
      <c r="EJ522" s="19"/>
      <c r="EK522" s="192"/>
      <c r="EL522" s="192"/>
      <c r="EM522" s="192"/>
      <c r="EN522" s="191"/>
      <c r="EO522" s="193"/>
      <c r="EP522" s="192"/>
      <c r="EQ522" s="192"/>
      <c r="ER522" s="192"/>
      <c r="ES522" s="191"/>
      <c r="ET522" s="19"/>
      <c r="EU522" s="192"/>
      <c r="EV522" s="192"/>
      <c r="EW522" s="192"/>
      <c r="EX522" s="191"/>
      <c r="EY522" s="193"/>
      <c r="EZ522" s="192"/>
      <c r="FA522" s="192"/>
      <c r="FB522" s="192"/>
      <c r="FC522" s="191"/>
      <c r="FL522" s="273">
        <f t="shared" ca="1" si="26"/>
        <v>116</v>
      </c>
    </row>
    <row r="523" spans="1:168" ht="16.5" thickBot="1">
      <c r="A523" s="197"/>
      <c r="B523" s="306"/>
      <c r="C523" s="310"/>
      <c r="D523" s="307" t="s">
        <v>271</v>
      </c>
      <c r="E523" s="307" t="s">
        <v>271</v>
      </c>
      <c r="F523" s="308"/>
      <c r="G523" s="343" t="str">
        <f t="shared" si="24"/>
        <v xml:space="preserve"> </v>
      </c>
      <c r="H523" s="307"/>
      <c r="I523" s="309" t="e">
        <f t="shared" si="25"/>
        <v>#N/A</v>
      </c>
      <c r="J523" s="307"/>
      <c r="K523" s="307"/>
      <c r="L523" s="310"/>
      <c r="M523" s="310"/>
      <c r="N523" s="310"/>
      <c r="O523" s="310"/>
      <c r="P523" s="310"/>
      <c r="Q523" s="310"/>
      <c r="R523" s="310"/>
      <c r="S523" s="310"/>
      <c r="T523" s="310"/>
      <c r="U523" s="307"/>
      <c r="V523" s="307"/>
      <c r="W523" s="311"/>
      <c r="X523" s="307"/>
      <c r="Y523" s="307"/>
      <c r="Z523" s="307"/>
      <c r="AA523" s="307"/>
      <c r="AB523" s="311"/>
      <c r="AC523" s="307"/>
      <c r="AD523" s="307"/>
      <c r="AE523" s="307"/>
      <c r="AF523" s="307"/>
      <c r="AG523" s="310"/>
      <c r="AH523" s="307"/>
      <c r="AI523" s="310"/>
      <c r="AJ523" s="307"/>
      <c r="AK523" s="307"/>
      <c r="AL523" s="307"/>
      <c r="AM523" s="308"/>
      <c r="AN523" s="311"/>
      <c r="AO523" s="307"/>
      <c r="AP523" s="307"/>
      <c r="AQ523" s="308"/>
      <c r="AR523" s="307"/>
      <c r="AS523" s="307"/>
      <c r="AT523" s="307"/>
      <c r="AU523" s="310"/>
      <c r="AV523" s="308"/>
      <c r="AW523" s="312"/>
      <c r="AX523" s="308"/>
      <c r="AY523" s="307"/>
      <c r="AZ523" s="307"/>
      <c r="BA523" s="307"/>
      <c r="BB523" s="307"/>
      <c r="BC523" s="308"/>
      <c r="BD523" s="308"/>
      <c r="BE523" s="313"/>
      <c r="BF523" s="307"/>
      <c r="BG523" s="310"/>
      <c r="BH523" s="307"/>
      <c r="BI523" s="307"/>
      <c r="BJ523" s="310"/>
      <c r="BK523" s="307"/>
      <c r="BL523" s="307"/>
      <c r="BM523" s="310"/>
      <c r="BN523" s="307"/>
      <c r="BO523" s="310"/>
      <c r="BP523" s="307"/>
      <c r="BQ523" s="307"/>
      <c r="BR523" s="307"/>
      <c r="BS523" s="307"/>
      <c r="BT523" s="307"/>
      <c r="BU523" s="310"/>
      <c r="BV523" s="307"/>
      <c r="BW523" s="308"/>
      <c r="BX523" s="311"/>
      <c r="BY523" s="307"/>
      <c r="BZ523" s="307"/>
      <c r="CA523" s="310"/>
      <c r="CB523" s="307"/>
      <c r="CC523" s="307"/>
      <c r="CD523" s="307"/>
      <c r="CE523" s="308"/>
      <c r="CF523" s="308"/>
      <c r="CG523" s="307"/>
      <c r="CH523" s="307"/>
      <c r="CI523" s="307"/>
      <c r="CJ523" s="307"/>
      <c r="CK523" s="314"/>
      <c r="CL523" s="310"/>
      <c r="CM523" s="310"/>
      <c r="CN523" s="307"/>
      <c r="CO523" s="307"/>
      <c r="CP523" s="307"/>
      <c r="CQ523" s="315"/>
      <c r="CR523" s="315"/>
      <c r="CS523" s="315"/>
      <c r="CT523" s="315"/>
      <c r="CU523" s="307"/>
      <c r="CV523" s="217"/>
      <c r="CW523" s="192"/>
      <c r="CX523" s="192"/>
      <c r="CY523" s="192"/>
      <c r="CZ523" s="191"/>
      <c r="DA523" s="193"/>
      <c r="DB523" s="192"/>
      <c r="DC523" s="192"/>
      <c r="DD523" s="192"/>
      <c r="DE523" s="191"/>
      <c r="DF523" s="19"/>
      <c r="DG523" s="192"/>
      <c r="DH523" s="192"/>
      <c r="DI523" s="192"/>
      <c r="DJ523" s="191"/>
      <c r="DK523" s="193"/>
      <c r="DL523" s="192"/>
      <c r="DM523" s="192"/>
      <c r="DN523" s="192"/>
      <c r="DO523" s="191"/>
      <c r="DP523" s="19"/>
      <c r="DQ523" s="192"/>
      <c r="DR523" s="192"/>
      <c r="DS523" s="192"/>
      <c r="DT523" s="191"/>
      <c r="DU523" s="193"/>
      <c r="DV523" s="192"/>
      <c r="DW523" s="192"/>
      <c r="DX523" s="192"/>
      <c r="DY523" s="191"/>
      <c r="DZ523" s="19"/>
      <c r="EA523" s="192"/>
      <c r="EB523" s="192"/>
      <c r="EC523" s="192"/>
      <c r="ED523" s="191"/>
      <c r="EE523" s="193"/>
      <c r="EF523" s="192"/>
      <c r="EG523" s="192"/>
      <c r="EH523" s="192"/>
      <c r="EI523" s="191"/>
      <c r="EJ523" s="19"/>
      <c r="EK523" s="192"/>
      <c r="EL523" s="192"/>
      <c r="EM523" s="192"/>
      <c r="EN523" s="191"/>
      <c r="EO523" s="193"/>
      <c r="EP523" s="192"/>
      <c r="EQ523" s="192"/>
      <c r="ER523" s="192"/>
      <c r="ES523" s="191"/>
      <c r="ET523" s="19"/>
      <c r="EU523" s="192"/>
      <c r="EV523" s="192"/>
      <c r="EW523" s="192"/>
      <c r="EX523" s="191"/>
      <c r="EY523" s="193"/>
      <c r="EZ523" s="192"/>
      <c r="FA523" s="192"/>
      <c r="FB523" s="192"/>
      <c r="FC523" s="191"/>
      <c r="FL523" s="273">
        <f t="shared" ca="1" si="26"/>
        <v>116</v>
      </c>
    </row>
    <row r="524" spans="1:168" ht="16.5" thickBot="1">
      <c r="A524" s="197"/>
      <c r="B524" s="306"/>
      <c r="C524" s="310"/>
      <c r="D524" s="307" t="s">
        <v>271</v>
      </c>
      <c r="E524" s="307" t="s">
        <v>271</v>
      </c>
      <c r="F524" s="308"/>
      <c r="G524" s="343" t="str">
        <f t="shared" si="24"/>
        <v xml:space="preserve"> </v>
      </c>
      <c r="H524" s="307"/>
      <c r="I524" s="309" t="e">
        <f t="shared" si="25"/>
        <v>#N/A</v>
      </c>
      <c r="J524" s="307"/>
      <c r="K524" s="307"/>
      <c r="L524" s="310"/>
      <c r="M524" s="310"/>
      <c r="N524" s="310"/>
      <c r="O524" s="310"/>
      <c r="P524" s="310"/>
      <c r="Q524" s="310"/>
      <c r="R524" s="310"/>
      <c r="S524" s="310"/>
      <c r="T524" s="310"/>
      <c r="U524" s="307"/>
      <c r="V524" s="307"/>
      <c r="W524" s="311"/>
      <c r="X524" s="307"/>
      <c r="Y524" s="307"/>
      <c r="Z524" s="307"/>
      <c r="AA524" s="307"/>
      <c r="AB524" s="311"/>
      <c r="AC524" s="307"/>
      <c r="AD524" s="307"/>
      <c r="AE524" s="307"/>
      <c r="AF524" s="307"/>
      <c r="AG524" s="310"/>
      <c r="AH524" s="307"/>
      <c r="AI524" s="310"/>
      <c r="AJ524" s="307"/>
      <c r="AK524" s="307"/>
      <c r="AL524" s="307"/>
      <c r="AM524" s="308"/>
      <c r="AN524" s="311"/>
      <c r="AO524" s="307"/>
      <c r="AP524" s="307"/>
      <c r="AQ524" s="308"/>
      <c r="AR524" s="307"/>
      <c r="AS524" s="307"/>
      <c r="AT524" s="307"/>
      <c r="AU524" s="310"/>
      <c r="AV524" s="308"/>
      <c r="AW524" s="312"/>
      <c r="AX524" s="308"/>
      <c r="AY524" s="307"/>
      <c r="AZ524" s="307"/>
      <c r="BA524" s="307"/>
      <c r="BB524" s="307"/>
      <c r="BC524" s="308"/>
      <c r="BD524" s="308"/>
      <c r="BE524" s="313"/>
      <c r="BF524" s="307"/>
      <c r="BG524" s="310"/>
      <c r="BH524" s="307"/>
      <c r="BI524" s="307"/>
      <c r="BJ524" s="310"/>
      <c r="BK524" s="307"/>
      <c r="BL524" s="307"/>
      <c r="BM524" s="310"/>
      <c r="BN524" s="307"/>
      <c r="BO524" s="310"/>
      <c r="BP524" s="307"/>
      <c r="BQ524" s="307"/>
      <c r="BR524" s="307"/>
      <c r="BS524" s="307"/>
      <c r="BT524" s="307"/>
      <c r="BU524" s="310"/>
      <c r="BV524" s="307"/>
      <c r="BW524" s="308"/>
      <c r="BX524" s="311"/>
      <c r="BY524" s="307"/>
      <c r="BZ524" s="307"/>
      <c r="CA524" s="310"/>
      <c r="CB524" s="307"/>
      <c r="CC524" s="307"/>
      <c r="CD524" s="307"/>
      <c r="CE524" s="308"/>
      <c r="CF524" s="308"/>
      <c r="CG524" s="307"/>
      <c r="CH524" s="307"/>
      <c r="CI524" s="307"/>
      <c r="CJ524" s="307"/>
      <c r="CK524" s="314"/>
      <c r="CL524" s="310"/>
      <c r="CM524" s="310"/>
      <c r="CN524" s="307"/>
      <c r="CO524" s="307"/>
      <c r="CP524" s="307"/>
      <c r="CQ524" s="315"/>
      <c r="CR524" s="315"/>
      <c r="CS524" s="315"/>
      <c r="CT524" s="315"/>
      <c r="CU524" s="307"/>
      <c r="CV524" s="217"/>
      <c r="CW524" s="192"/>
      <c r="CX524" s="192"/>
      <c r="CY524" s="192"/>
      <c r="CZ524" s="191"/>
      <c r="DA524" s="193"/>
      <c r="DB524" s="192"/>
      <c r="DC524" s="192"/>
      <c r="DD524" s="192"/>
      <c r="DE524" s="191"/>
      <c r="DF524" s="19"/>
      <c r="DG524" s="192"/>
      <c r="DH524" s="192"/>
      <c r="DI524" s="192"/>
      <c r="DJ524" s="191"/>
      <c r="DK524" s="193"/>
      <c r="DL524" s="192"/>
      <c r="DM524" s="192"/>
      <c r="DN524" s="192"/>
      <c r="DO524" s="191"/>
      <c r="DP524" s="19"/>
      <c r="DQ524" s="192"/>
      <c r="DR524" s="192"/>
      <c r="DS524" s="192"/>
      <c r="DT524" s="191"/>
      <c r="DU524" s="193"/>
      <c r="DV524" s="192"/>
      <c r="DW524" s="192"/>
      <c r="DX524" s="192"/>
      <c r="DY524" s="191"/>
      <c r="DZ524" s="19"/>
      <c r="EA524" s="192"/>
      <c r="EB524" s="192"/>
      <c r="EC524" s="192"/>
      <c r="ED524" s="191"/>
      <c r="EE524" s="193"/>
      <c r="EF524" s="192"/>
      <c r="EG524" s="192"/>
      <c r="EH524" s="192"/>
      <c r="EI524" s="191"/>
      <c r="EJ524" s="19"/>
      <c r="EK524" s="192"/>
      <c r="EL524" s="192"/>
      <c r="EM524" s="192"/>
      <c r="EN524" s="191"/>
      <c r="EO524" s="193"/>
      <c r="EP524" s="192"/>
      <c r="EQ524" s="192"/>
      <c r="ER524" s="192"/>
      <c r="ES524" s="191"/>
      <c r="ET524" s="19"/>
      <c r="EU524" s="192"/>
      <c r="EV524" s="192"/>
      <c r="EW524" s="192"/>
      <c r="EX524" s="191"/>
      <c r="EY524" s="193"/>
      <c r="EZ524" s="192"/>
      <c r="FA524" s="192"/>
      <c r="FB524" s="192"/>
      <c r="FC524" s="191"/>
      <c r="FL524" s="273">
        <f t="shared" ca="1" si="26"/>
        <v>116</v>
      </c>
    </row>
    <row r="525" spans="1:168" ht="16.5" thickBot="1">
      <c r="A525" s="197"/>
      <c r="B525" s="306"/>
      <c r="C525" s="310"/>
      <c r="D525" s="307" t="s">
        <v>271</v>
      </c>
      <c r="E525" s="307" t="s">
        <v>271</v>
      </c>
      <c r="F525" s="308"/>
      <c r="G525" s="343" t="str">
        <f t="shared" si="24"/>
        <v xml:space="preserve"> </v>
      </c>
      <c r="H525" s="307"/>
      <c r="I525" s="309" t="e">
        <f t="shared" si="25"/>
        <v>#N/A</v>
      </c>
      <c r="J525" s="307"/>
      <c r="K525" s="307"/>
      <c r="L525" s="310"/>
      <c r="M525" s="310"/>
      <c r="N525" s="310"/>
      <c r="O525" s="310"/>
      <c r="P525" s="310"/>
      <c r="Q525" s="310"/>
      <c r="R525" s="310"/>
      <c r="S525" s="310"/>
      <c r="T525" s="310"/>
      <c r="U525" s="307"/>
      <c r="V525" s="307"/>
      <c r="W525" s="311"/>
      <c r="X525" s="307"/>
      <c r="Y525" s="307"/>
      <c r="Z525" s="307"/>
      <c r="AA525" s="307"/>
      <c r="AB525" s="311"/>
      <c r="AC525" s="307"/>
      <c r="AD525" s="307"/>
      <c r="AE525" s="307"/>
      <c r="AF525" s="307"/>
      <c r="AG525" s="310"/>
      <c r="AH525" s="307"/>
      <c r="AI525" s="310"/>
      <c r="AJ525" s="307"/>
      <c r="AK525" s="307"/>
      <c r="AL525" s="307"/>
      <c r="AM525" s="308"/>
      <c r="AN525" s="311"/>
      <c r="AO525" s="307"/>
      <c r="AP525" s="307"/>
      <c r="AQ525" s="308"/>
      <c r="AR525" s="307"/>
      <c r="AS525" s="307"/>
      <c r="AT525" s="307"/>
      <c r="AU525" s="310"/>
      <c r="AV525" s="308"/>
      <c r="AW525" s="312"/>
      <c r="AX525" s="308"/>
      <c r="AY525" s="307"/>
      <c r="AZ525" s="307"/>
      <c r="BA525" s="307"/>
      <c r="BB525" s="307"/>
      <c r="BC525" s="308"/>
      <c r="BD525" s="308"/>
      <c r="BE525" s="313"/>
      <c r="BF525" s="307"/>
      <c r="BG525" s="310"/>
      <c r="BH525" s="307"/>
      <c r="BI525" s="307"/>
      <c r="BJ525" s="310"/>
      <c r="BK525" s="307"/>
      <c r="BL525" s="307"/>
      <c r="BM525" s="310"/>
      <c r="BN525" s="307"/>
      <c r="BO525" s="310"/>
      <c r="BP525" s="307"/>
      <c r="BQ525" s="307"/>
      <c r="BR525" s="307"/>
      <c r="BS525" s="307"/>
      <c r="BT525" s="307"/>
      <c r="BU525" s="310"/>
      <c r="BV525" s="307"/>
      <c r="BW525" s="308"/>
      <c r="BX525" s="311"/>
      <c r="BY525" s="307"/>
      <c r="BZ525" s="307"/>
      <c r="CA525" s="310"/>
      <c r="CB525" s="307"/>
      <c r="CC525" s="307"/>
      <c r="CD525" s="307"/>
      <c r="CE525" s="308"/>
      <c r="CF525" s="308"/>
      <c r="CG525" s="307"/>
      <c r="CH525" s="307"/>
      <c r="CI525" s="307"/>
      <c r="CJ525" s="307"/>
      <c r="CK525" s="314"/>
      <c r="CL525" s="310"/>
      <c r="CM525" s="310"/>
      <c r="CN525" s="307"/>
      <c r="CO525" s="307"/>
      <c r="CP525" s="307"/>
      <c r="CQ525" s="315"/>
      <c r="CR525" s="315"/>
      <c r="CS525" s="315"/>
      <c r="CT525" s="315"/>
      <c r="CU525" s="307"/>
      <c r="CV525" s="217"/>
      <c r="CW525" s="192"/>
      <c r="CX525" s="192"/>
      <c r="CY525" s="192"/>
      <c r="CZ525" s="191"/>
      <c r="DA525" s="193"/>
      <c r="DB525" s="192"/>
      <c r="DC525" s="192"/>
      <c r="DD525" s="192"/>
      <c r="DE525" s="191"/>
      <c r="DF525" s="19"/>
      <c r="DG525" s="192"/>
      <c r="DH525" s="192"/>
      <c r="DI525" s="192"/>
      <c r="DJ525" s="191"/>
      <c r="DK525" s="193"/>
      <c r="DL525" s="192"/>
      <c r="DM525" s="192"/>
      <c r="DN525" s="192"/>
      <c r="DO525" s="191"/>
      <c r="DP525" s="19"/>
      <c r="DQ525" s="192"/>
      <c r="DR525" s="192"/>
      <c r="DS525" s="192"/>
      <c r="DT525" s="191"/>
      <c r="DU525" s="193"/>
      <c r="DV525" s="192"/>
      <c r="DW525" s="192"/>
      <c r="DX525" s="192"/>
      <c r="DY525" s="191"/>
      <c r="DZ525" s="19"/>
      <c r="EA525" s="192"/>
      <c r="EB525" s="192"/>
      <c r="EC525" s="192"/>
      <c r="ED525" s="191"/>
      <c r="EE525" s="193"/>
      <c r="EF525" s="192"/>
      <c r="EG525" s="192"/>
      <c r="EH525" s="192"/>
      <c r="EI525" s="191"/>
      <c r="EJ525" s="19"/>
      <c r="EK525" s="192"/>
      <c r="EL525" s="192"/>
      <c r="EM525" s="192"/>
      <c r="EN525" s="191"/>
      <c r="EO525" s="193"/>
      <c r="EP525" s="192"/>
      <c r="EQ525" s="192"/>
      <c r="ER525" s="192"/>
      <c r="ES525" s="191"/>
      <c r="ET525" s="19"/>
      <c r="EU525" s="192"/>
      <c r="EV525" s="192"/>
      <c r="EW525" s="192"/>
      <c r="EX525" s="191"/>
      <c r="EY525" s="193"/>
      <c r="EZ525" s="192"/>
      <c r="FA525" s="192"/>
      <c r="FB525" s="192"/>
      <c r="FC525" s="191"/>
      <c r="FL525" s="273">
        <f t="shared" ca="1" si="26"/>
        <v>116</v>
      </c>
    </row>
    <row r="526" spans="1:168" ht="16.5" thickBot="1">
      <c r="A526" s="197"/>
      <c r="B526" s="306"/>
      <c r="C526" s="310"/>
      <c r="D526" s="307" t="s">
        <v>271</v>
      </c>
      <c r="E526" s="307" t="s">
        <v>271</v>
      </c>
      <c r="F526" s="308"/>
      <c r="G526" s="343" t="str">
        <f t="shared" si="24"/>
        <v xml:space="preserve"> </v>
      </c>
      <c r="H526" s="307"/>
      <c r="I526" s="309" t="e">
        <f t="shared" si="25"/>
        <v>#N/A</v>
      </c>
      <c r="J526" s="307"/>
      <c r="K526" s="307"/>
      <c r="L526" s="310"/>
      <c r="M526" s="310"/>
      <c r="N526" s="310"/>
      <c r="O526" s="310"/>
      <c r="P526" s="310"/>
      <c r="Q526" s="310"/>
      <c r="R526" s="310"/>
      <c r="S526" s="310"/>
      <c r="T526" s="310"/>
      <c r="U526" s="307"/>
      <c r="V526" s="307"/>
      <c r="W526" s="311"/>
      <c r="X526" s="307"/>
      <c r="Y526" s="307"/>
      <c r="Z526" s="307"/>
      <c r="AA526" s="307"/>
      <c r="AB526" s="311"/>
      <c r="AC526" s="307"/>
      <c r="AD526" s="307"/>
      <c r="AE526" s="307"/>
      <c r="AF526" s="307"/>
      <c r="AG526" s="310"/>
      <c r="AH526" s="307"/>
      <c r="AI526" s="310"/>
      <c r="AJ526" s="307"/>
      <c r="AK526" s="307"/>
      <c r="AL526" s="307"/>
      <c r="AM526" s="308"/>
      <c r="AN526" s="311"/>
      <c r="AO526" s="307"/>
      <c r="AP526" s="307"/>
      <c r="AQ526" s="308"/>
      <c r="AR526" s="307"/>
      <c r="AS526" s="307"/>
      <c r="AT526" s="307"/>
      <c r="AU526" s="310"/>
      <c r="AV526" s="308"/>
      <c r="AW526" s="312"/>
      <c r="AX526" s="308"/>
      <c r="AY526" s="307"/>
      <c r="AZ526" s="307"/>
      <c r="BA526" s="307"/>
      <c r="BB526" s="307"/>
      <c r="BC526" s="308"/>
      <c r="BD526" s="308"/>
      <c r="BE526" s="313"/>
      <c r="BF526" s="307"/>
      <c r="BG526" s="310"/>
      <c r="BH526" s="307"/>
      <c r="BI526" s="307"/>
      <c r="BJ526" s="310"/>
      <c r="BK526" s="307"/>
      <c r="BL526" s="307"/>
      <c r="BM526" s="310"/>
      <c r="BN526" s="307"/>
      <c r="BO526" s="310"/>
      <c r="BP526" s="307"/>
      <c r="BQ526" s="307"/>
      <c r="BR526" s="307"/>
      <c r="BS526" s="307"/>
      <c r="BT526" s="307"/>
      <c r="BU526" s="310"/>
      <c r="BV526" s="307"/>
      <c r="BW526" s="308"/>
      <c r="BX526" s="311"/>
      <c r="BY526" s="307"/>
      <c r="BZ526" s="307"/>
      <c r="CA526" s="310"/>
      <c r="CB526" s="307"/>
      <c r="CC526" s="307"/>
      <c r="CD526" s="307"/>
      <c r="CE526" s="308"/>
      <c r="CF526" s="308"/>
      <c r="CG526" s="307"/>
      <c r="CH526" s="307"/>
      <c r="CI526" s="307"/>
      <c r="CJ526" s="307"/>
      <c r="CK526" s="314"/>
      <c r="CL526" s="310"/>
      <c r="CM526" s="310"/>
      <c r="CN526" s="307"/>
      <c r="CO526" s="307"/>
      <c r="CP526" s="307"/>
      <c r="CQ526" s="315"/>
      <c r="CR526" s="315"/>
      <c r="CS526" s="315"/>
      <c r="CT526" s="315"/>
      <c r="CU526" s="307"/>
      <c r="CV526" s="217"/>
      <c r="CW526" s="192"/>
      <c r="CX526" s="192"/>
      <c r="CY526" s="192"/>
      <c r="CZ526" s="191"/>
      <c r="DA526" s="193"/>
      <c r="DB526" s="192"/>
      <c r="DC526" s="192"/>
      <c r="DD526" s="192"/>
      <c r="DE526" s="191"/>
      <c r="DF526" s="19"/>
      <c r="DG526" s="192"/>
      <c r="DH526" s="192"/>
      <c r="DI526" s="192"/>
      <c r="DJ526" s="191"/>
      <c r="DK526" s="193"/>
      <c r="DL526" s="192"/>
      <c r="DM526" s="192"/>
      <c r="DN526" s="192"/>
      <c r="DO526" s="191"/>
      <c r="DP526" s="19"/>
      <c r="DQ526" s="192"/>
      <c r="DR526" s="192"/>
      <c r="DS526" s="192"/>
      <c r="DT526" s="191"/>
      <c r="DU526" s="193"/>
      <c r="DV526" s="192"/>
      <c r="DW526" s="192"/>
      <c r="DX526" s="192"/>
      <c r="DY526" s="191"/>
      <c r="DZ526" s="19"/>
      <c r="EA526" s="192"/>
      <c r="EB526" s="192"/>
      <c r="EC526" s="192"/>
      <c r="ED526" s="191"/>
      <c r="EE526" s="193"/>
      <c r="EF526" s="192"/>
      <c r="EG526" s="192"/>
      <c r="EH526" s="192"/>
      <c r="EI526" s="191"/>
      <c r="EJ526" s="19"/>
      <c r="EK526" s="192"/>
      <c r="EL526" s="192"/>
      <c r="EM526" s="192"/>
      <c r="EN526" s="191"/>
      <c r="EO526" s="193"/>
      <c r="EP526" s="192"/>
      <c r="EQ526" s="192"/>
      <c r="ER526" s="192"/>
      <c r="ES526" s="191"/>
      <c r="ET526" s="19"/>
      <c r="EU526" s="192"/>
      <c r="EV526" s="192"/>
      <c r="EW526" s="192"/>
      <c r="EX526" s="191"/>
      <c r="EY526" s="193"/>
      <c r="EZ526" s="192"/>
      <c r="FA526" s="192"/>
      <c r="FB526" s="192"/>
      <c r="FC526" s="191"/>
      <c r="FL526" s="273">
        <f t="shared" ca="1" si="26"/>
        <v>116</v>
      </c>
    </row>
    <row r="527" spans="1:168" ht="16.5" thickBot="1">
      <c r="A527" s="197"/>
      <c r="B527" s="306"/>
      <c r="C527" s="310"/>
      <c r="D527" s="307" t="s">
        <v>271</v>
      </c>
      <c r="E527" s="307" t="s">
        <v>271</v>
      </c>
      <c r="F527" s="308"/>
      <c r="G527" s="343" t="str">
        <f t="shared" si="24"/>
        <v xml:space="preserve"> </v>
      </c>
      <c r="H527" s="307"/>
      <c r="I527" s="309" t="e">
        <f t="shared" si="25"/>
        <v>#N/A</v>
      </c>
      <c r="J527" s="307"/>
      <c r="K527" s="307"/>
      <c r="L527" s="310"/>
      <c r="M527" s="310"/>
      <c r="N527" s="310"/>
      <c r="O527" s="310"/>
      <c r="P527" s="310"/>
      <c r="Q527" s="310"/>
      <c r="R527" s="310"/>
      <c r="S527" s="310"/>
      <c r="T527" s="310"/>
      <c r="U527" s="307"/>
      <c r="V527" s="307"/>
      <c r="W527" s="311"/>
      <c r="X527" s="307"/>
      <c r="Y527" s="307"/>
      <c r="Z527" s="307"/>
      <c r="AA527" s="307"/>
      <c r="AB527" s="311"/>
      <c r="AC527" s="307"/>
      <c r="AD527" s="307"/>
      <c r="AE527" s="307"/>
      <c r="AF527" s="307"/>
      <c r="AG527" s="310"/>
      <c r="AH527" s="307"/>
      <c r="AI527" s="310"/>
      <c r="AJ527" s="307"/>
      <c r="AK527" s="307"/>
      <c r="AL527" s="307"/>
      <c r="AM527" s="308"/>
      <c r="AN527" s="311"/>
      <c r="AO527" s="307"/>
      <c r="AP527" s="307"/>
      <c r="AQ527" s="308"/>
      <c r="AR527" s="307"/>
      <c r="AS527" s="307"/>
      <c r="AT527" s="307"/>
      <c r="AU527" s="310"/>
      <c r="AV527" s="308"/>
      <c r="AW527" s="312"/>
      <c r="AX527" s="308"/>
      <c r="AY527" s="307"/>
      <c r="AZ527" s="307"/>
      <c r="BA527" s="307"/>
      <c r="BB527" s="307"/>
      <c r="BC527" s="308"/>
      <c r="BD527" s="308"/>
      <c r="BE527" s="313"/>
      <c r="BF527" s="307"/>
      <c r="BG527" s="310"/>
      <c r="BH527" s="307"/>
      <c r="BI527" s="307"/>
      <c r="BJ527" s="310"/>
      <c r="BK527" s="307"/>
      <c r="BL527" s="307"/>
      <c r="BM527" s="310"/>
      <c r="BN527" s="307"/>
      <c r="BO527" s="310"/>
      <c r="BP527" s="307"/>
      <c r="BQ527" s="307"/>
      <c r="BR527" s="307"/>
      <c r="BS527" s="307"/>
      <c r="BT527" s="307"/>
      <c r="BU527" s="310"/>
      <c r="BV527" s="307"/>
      <c r="BW527" s="308"/>
      <c r="BX527" s="311"/>
      <c r="BY527" s="307"/>
      <c r="BZ527" s="307"/>
      <c r="CA527" s="310"/>
      <c r="CB527" s="307"/>
      <c r="CC527" s="307"/>
      <c r="CD527" s="307"/>
      <c r="CE527" s="308"/>
      <c r="CF527" s="308"/>
      <c r="CG527" s="307"/>
      <c r="CH527" s="307"/>
      <c r="CI527" s="307"/>
      <c r="CJ527" s="307"/>
      <c r="CK527" s="314"/>
      <c r="CL527" s="310"/>
      <c r="CM527" s="310"/>
      <c r="CN527" s="307"/>
      <c r="CO527" s="307"/>
      <c r="CP527" s="307"/>
      <c r="CQ527" s="315"/>
      <c r="CR527" s="315"/>
      <c r="CS527" s="315"/>
      <c r="CT527" s="315"/>
      <c r="CU527" s="307"/>
      <c r="CV527" s="217"/>
      <c r="CW527" s="192"/>
      <c r="CX527" s="192"/>
      <c r="CY527" s="192"/>
      <c r="CZ527" s="191"/>
      <c r="DA527" s="193"/>
      <c r="DB527" s="192"/>
      <c r="DC527" s="192"/>
      <c r="DD527" s="192"/>
      <c r="DE527" s="191"/>
      <c r="DF527" s="19"/>
      <c r="DG527" s="192"/>
      <c r="DH527" s="192"/>
      <c r="DI527" s="192"/>
      <c r="DJ527" s="191"/>
      <c r="DK527" s="193"/>
      <c r="DL527" s="192"/>
      <c r="DM527" s="192"/>
      <c r="DN527" s="192"/>
      <c r="DO527" s="191"/>
      <c r="DP527" s="19"/>
      <c r="DQ527" s="192"/>
      <c r="DR527" s="192"/>
      <c r="DS527" s="192"/>
      <c r="DT527" s="191"/>
      <c r="DU527" s="193"/>
      <c r="DV527" s="192"/>
      <c r="DW527" s="192"/>
      <c r="DX527" s="192"/>
      <c r="DY527" s="191"/>
      <c r="DZ527" s="19"/>
      <c r="EA527" s="192"/>
      <c r="EB527" s="192"/>
      <c r="EC527" s="192"/>
      <c r="ED527" s="191"/>
      <c r="EE527" s="193"/>
      <c r="EF527" s="192"/>
      <c r="EG527" s="192"/>
      <c r="EH527" s="192"/>
      <c r="EI527" s="191"/>
      <c r="EJ527" s="19"/>
      <c r="EK527" s="192"/>
      <c r="EL527" s="192"/>
      <c r="EM527" s="192"/>
      <c r="EN527" s="191"/>
      <c r="EO527" s="193"/>
      <c r="EP527" s="192"/>
      <c r="EQ527" s="192"/>
      <c r="ER527" s="192"/>
      <c r="ES527" s="191"/>
      <c r="ET527" s="19"/>
      <c r="EU527" s="192"/>
      <c r="EV527" s="192"/>
      <c r="EW527" s="192"/>
      <c r="EX527" s="191"/>
      <c r="EY527" s="193"/>
      <c r="EZ527" s="192"/>
      <c r="FA527" s="192"/>
      <c r="FB527" s="192"/>
      <c r="FC527" s="191"/>
      <c r="FL527" s="273">
        <f t="shared" ca="1" si="26"/>
        <v>116</v>
      </c>
    </row>
    <row r="528" spans="1:168">
      <c r="A528" s="197"/>
      <c r="B528" s="1"/>
      <c r="C528" s="1"/>
      <c r="D528" s="1"/>
      <c r="E528" s="1"/>
      <c r="F528" s="1"/>
      <c r="G528" s="3"/>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255"/>
      <c r="AX528" s="1"/>
      <c r="AY528" s="1"/>
      <c r="AZ528" s="1"/>
      <c r="BA528" s="1"/>
      <c r="BB528" s="1"/>
      <c r="BC528" s="1"/>
      <c r="BD528" s="1"/>
      <c r="BE528" s="1"/>
      <c r="BF528" s="1"/>
      <c r="BG528" s="1"/>
      <c r="BH528" s="1"/>
      <c r="BI528" s="1"/>
      <c r="BJ528" s="1"/>
      <c r="BK528" s="1"/>
      <c r="BL528" s="1"/>
      <c r="BM528" s="1"/>
      <c r="BN528" s="1"/>
      <c r="BO528" s="1"/>
      <c r="BP528" s="1"/>
      <c r="BQ528" s="1"/>
      <c r="BR528" s="1"/>
      <c r="BS528" s="1"/>
      <c r="BT528" s="1"/>
      <c r="BU528" s="1"/>
      <c r="BV528" s="1"/>
      <c r="BW528" s="1"/>
      <c r="BX528" s="1"/>
      <c r="BY528" s="1"/>
      <c r="BZ528" s="1"/>
      <c r="CA528" s="1"/>
      <c r="CB528" s="1"/>
      <c r="CC528" s="1"/>
      <c r="CD528" s="1"/>
      <c r="CE528" s="1"/>
      <c r="CF528" s="1"/>
      <c r="CG528" s="1"/>
      <c r="CH528" s="1"/>
      <c r="CI528" s="1"/>
      <c r="CJ528" s="1"/>
      <c r="CK528" s="1"/>
      <c r="CL528" s="1"/>
      <c r="CM528" s="1"/>
      <c r="CN528" s="1"/>
      <c r="CO528" s="1"/>
      <c r="CP528" s="1"/>
      <c r="CQ528" s="1"/>
      <c r="CR528" s="1"/>
      <c r="CS528" s="1"/>
      <c r="CT528" s="1"/>
      <c r="CU528" s="1"/>
    </row>
    <row r="529" spans="1:99">
      <c r="A529" s="197"/>
      <c r="B529" s="1"/>
      <c r="C529" s="1"/>
      <c r="D529" s="1"/>
      <c r="E529" s="1"/>
      <c r="F529" s="1"/>
      <c r="G529" s="3"/>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c r="BJ529" s="1"/>
      <c r="BK529" s="1"/>
      <c r="BL529" s="1"/>
      <c r="BM529" s="1"/>
      <c r="BN529" s="1"/>
      <c r="BO529" s="1"/>
      <c r="BP529" s="1"/>
      <c r="BQ529" s="1"/>
      <c r="BR529" s="1"/>
      <c r="BS529" s="1"/>
      <c r="BT529" s="1"/>
      <c r="BU529" s="1"/>
      <c r="BV529" s="1"/>
      <c r="BW529" s="1"/>
      <c r="BX529" s="1"/>
      <c r="BY529" s="1"/>
      <c r="BZ529" s="1"/>
      <c r="CA529" s="1"/>
      <c r="CB529" s="1"/>
      <c r="CC529" s="1"/>
      <c r="CD529" s="1"/>
      <c r="CE529" s="1"/>
      <c r="CF529" s="1"/>
      <c r="CG529" s="1"/>
      <c r="CH529" s="1"/>
      <c r="CI529" s="1"/>
      <c r="CJ529" s="1"/>
      <c r="CK529" s="1"/>
      <c r="CL529" s="1"/>
      <c r="CM529" s="1"/>
      <c r="CN529" s="1"/>
      <c r="CO529" s="1"/>
      <c r="CP529" s="1"/>
      <c r="CQ529" s="1"/>
      <c r="CR529" s="1"/>
      <c r="CS529" s="1"/>
      <c r="CT529" s="1"/>
      <c r="CU529" s="1"/>
    </row>
    <row r="530" spans="1:99">
      <c r="A530" s="197"/>
      <c r="B530" s="1"/>
      <c r="C530" s="1"/>
      <c r="D530" s="1"/>
      <c r="E530" s="1"/>
      <c r="F530" s="1"/>
      <c r="G530" s="3"/>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c r="BJ530" s="1"/>
      <c r="BK530" s="1"/>
      <c r="BL530" s="1"/>
      <c r="BM530" s="1"/>
      <c r="BN530" s="1"/>
      <c r="BO530" s="1"/>
      <c r="BP530" s="1"/>
      <c r="BQ530" s="1"/>
      <c r="BR530" s="1"/>
      <c r="BS530" s="1"/>
      <c r="BT530" s="1"/>
      <c r="BU530" s="1"/>
      <c r="BV530" s="1"/>
      <c r="BW530" s="1"/>
      <c r="BX530" s="1"/>
      <c r="BY530" s="1"/>
      <c r="BZ530" s="1"/>
      <c r="CA530" s="1"/>
      <c r="CB530" s="1"/>
      <c r="CC530" s="1"/>
      <c r="CD530" s="1"/>
      <c r="CE530" s="1"/>
      <c r="CF530" s="1"/>
      <c r="CG530" s="1"/>
      <c r="CH530" s="1"/>
      <c r="CI530" s="1"/>
      <c r="CJ530" s="1"/>
      <c r="CK530" s="1"/>
      <c r="CL530" s="1"/>
      <c r="CM530" s="1"/>
      <c r="CN530" s="1"/>
      <c r="CO530" s="1"/>
      <c r="CP530" s="1"/>
      <c r="CQ530" s="1"/>
      <c r="CR530" s="1"/>
      <c r="CS530" s="1"/>
      <c r="CT530" s="1"/>
      <c r="CU530" s="1"/>
    </row>
    <row r="531" spans="1:99">
      <c r="A531" s="197"/>
      <c r="B531" s="1"/>
      <c r="C531" s="1"/>
      <c r="D531" s="1"/>
      <c r="E531" s="1"/>
      <c r="F531" s="1"/>
      <c r="G531" s="3"/>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c r="BJ531" s="1"/>
      <c r="BK531" s="1"/>
      <c r="BL531" s="1"/>
      <c r="BM531" s="1"/>
      <c r="BN531" s="1"/>
      <c r="BO531" s="1"/>
      <c r="BP531" s="1"/>
      <c r="BQ531" s="1"/>
      <c r="BR531" s="1"/>
      <c r="BS531" s="1"/>
      <c r="BT531" s="1"/>
      <c r="BU531" s="1"/>
      <c r="BV531" s="1"/>
      <c r="BW531" s="1"/>
      <c r="BX531" s="1"/>
      <c r="BY531" s="1"/>
      <c r="BZ531" s="1"/>
      <c r="CA531" s="1"/>
      <c r="CB531" s="1"/>
      <c r="CC531" s="1"/>
      <c r="CD531" s="1"/>
      <c r="CE531" s="1"/>
      <c r="CF531" s="1"/>
      <c r="CG531" s="1"/>
      <c r="CH531" s="1"/>
      <c r="CI531" s="1"/>
      <c r="CJ531" s="1"/>
      <c r="CK531" s="1"/>
      <c r="CL531" s="1"/>
      <c r="CM531" s="1"/>
      <c r="CN531" s="1"/>
      <c r="CO531" s="1"/>
      <c r="CP531" s="1"/>
      <c r="CQ531" s="1"/>
      <c r="CR531" s="1"/>
      <c r="CS531" s="1"/>
      <c r="CT531" s="1"/>
      <c r="CU531" s="1"/>
    </row>
    <row r="532" spans="1:99">
      <c r="A532" s="197"/>
      <c r="B532" s="1"/>
      <c r="C532" s="1"/>
      <c r="D532" s="1"/>
      <c r="E532" s="1"/>
      <c r="F532" s="1"/>
      <c r="G532" s="3"/>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c r="BJ532" s="1"/>
      <c r="BK532" s="1"/>
      <c r="BL532" s="1"/>
      <c r="BM532" s="1"/>
      <c r="BN532" s="1"/>
      <c r="BO532" s="1"/>
      <c r="BP532" s="1"/>
      <c r="BQ532" s="1"/>
      <c r="BR532" s="1"/>
      <c r="BS532" s="1"/>
      <c r="BT532" s="1"/>
      <c r="BU532" s="1"/>
      <c r="BV532" s="1"/>
      <c r="BW532" s="1"/>
      <c r="BX532" s="1"/>
      <c r="BY532" s="1"/>
      <c r="BZ532" s="1"/>
      <c r="CA532" s="1"/>
      <c r="CB532" s="1"/>
      <c r="CC532" s="1"/>
      <c r="CD532" s="1"/>
      <c r="CE532" s="1"/>
      <c r="CF532" s="1"/>
      <c r="CG532" s="1"/>
      <c r="CH532" s="1"/>
      <c r="CI532" s="1"/>
      <c r="CJ532" s="1"/>
      <c r="CK532" s="1"/>
      <c r="CL532" s="1"/>
      <c r="CM532" s="1"/>
      <c r="CN532" s="1"/>
      <c r="CO532" s="1"/>
      <c r="CP532" s="1"/>
      <c r="CQ532" s="1"/>
      <c r="CR532" s="1"/>
      <c r="CS532" s="1"/>
      <c r="CT532" s="1"/>
      <c r="CU532" s="1"/>
    </row>
    <row r="533" spans="1:99">
      <c r="A533" s="197"/>
      <c r="B533" s="1"/>
      <c r="C533" s="1"/>
      <c r="D533" s="1"/>
      <c r="E533" s="1"/>
      <c r="F533" s="1"/>
      <c r="G533" s="3"/>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c r="BJ533" s="1"/>
      <c r="BK533" s="1"/>
      <c r="BL533" s="1"/>
      <c r="BM533" s="1"/>
      <c r="BN533" s="1"/>
      <c r="BO533" s="1"/>
      <c r="BP533" s="1"/>
      <c r="BQ533" s="1"/>
      <c r="BR533" s="1"/>
      <c r="BS533" s="1"/>
      <c r="BT533" s="1"/>
      <c r="BU533" s="1"/>
      <c r="BV533" s="1"/>
      <c r="BW533" s="1"/>
      <c r="BX533" s="1"/>
      <c r="BY533" s="1"/>
      <c r="BZ533" s="1"/>
      <c r="CA533" s="1"/>
      <c r="CB533" s="1"/>
      <c r="CC533" s="1"/>
      <c r="CD533" s="1"/>
      <c r="CE533" s="1"/>
      <c r="CF533" s="1"/>
      <c r="CG533" s="1"/>
      <c r="CH533" s="1"/>
      <c r="CI533" s="1"/>
      <c r="CJ533" s="1"/>
      <c r="CK533" s="1"/>
      <c r="CL533" s="1"/>
      <c r="CM533" s="1"/>
      <c r="CN533" s="1"/>
      <c r="CO533" s="1"/>
      <c r="CP533" s="1"/>
      <c r="CQ533" s="1"/>
      <c r="CR533" s="1"/>
      <c r="CS533" s="1"/>
      <c r="CT533" s="1"/>
      <c r="CU533" s="1"/>
    </row>
    <row r="534" spans="1:99">
      <c r="A534" s="197"/>
      <c r="B534" s="1"/>
      <c r="C534" s="1"/>
      <c r="D534" s="1"/>
      <c r="E534" s="1"/>
      <c r="F534" s="1"/>
      <c r="G534" s="3"/>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c r="BJ534" s="1"/>
      <c r="BK534" s="1"/>
      <c r="BL534" s="1"/>
      <c r="BM534" s="1"/>
      <c r="BN534" s="1"/>
      <c r="BO534" s="1"/>
      <c r="BP534" s="1"/>
      <c r="BQ534" s="1"/>
      <c r="BR534" s="1"/>
      <c r="BS534" s="1"/>
      <c r="BT534" s="1"/>
      <c r="BU534" s="1"/>
      <c r="BV534" s="1"/>
      <c r="BW534" s="1"/>
      <c r="BX534" s="1"/>
      <c r="BY534" s="1"/>
      <c r="BZ534" s="1"/>
      <c r="CA534" s="1"/>
      <c r="CB534" s="1"/>
      <c r="CC534" s="1"/>
      <c r="CD534" s="1"/>
      <c r="CE534" s="1"/>
      <c r="CF534" s="1"/>
      <c r="CG534" s="1"/>
      <c r="CH534" s="1"/>
      <c r="CI534" s="1"/>
      <c r="CJ534" s="1"/>
      <c r="CK534" s="1"/>
      <c r="CL534" s="1"/>
      <c r="CM534" s="1"/>
      <c r="CN534" s="1"/>
      <c r="CO534" s="1"/>
      <c r="CP534" s="1"/>
      <c r="CQ534" s="1"/>
      <c r="CR534" s="1"/>
      <c r="CS534" s="1"/>
      <c r="CT534" s="1"/>
      <c r="CU534" s="1"/>
    </row>
    <row r="535" spans="1:99">
      <c r="A535" s="197"/>
      <c r="B535" s="1"/>
      <c r="C535" s="1"/>
      <c r="D535" s="1"/>
      <c r="E535" s="1"/>
      <c r="F535" s="1"/>
      <c r="G535" s="3"/>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c r="BJ535" s="1"/>
      <c r="BK535" s="1"/>
      <c r="BL535" s="1"/>
      <c r="BM535" s="1"/>
      <c r="BN535" s="1"/>
      <c r="BO535" s="1"/>
      <c r="BP535" s="1"/>
      <c r="BQ535" s="1"/>
      <c r="BR535" s="1"/>
      <c r="BS535" s="1"/>
      <c r="BT535" s="1"/>
      <c r="BU535" s="1"/>
      <c r="BV535" s="1"/>
      <c r="BW535" s="1"/>
      <c r="BX535" s="1"/>
      <c r="BY535" s="1"/>
      <c r="BZ535" s="1"/>
      <c r="CA535" s="1"/>
      <c r="CB535" s="1"/>
      <c r="CC535" s="1"/>
      <c r="CD535" s="1"/>
      <c r="CE535" s="1"/>
      <c r="CF535" s="1"/>
      <c r="CG535" s="1"/>
      <c r="CH535" s="1"/>
      <c r="CI535" s="1"/>
      <c r="CJ535" s="1"/>
      <c r="CK535" s="1"/>
      <c r="CL535" s="1"/>
      <c r="CM535" s="1"/>
      <c r="CN535" s="1"/>
      <c r="CO535" s="1"/>
      <c r="CP535" s="1"/>
      <c r="CQ535" s="1"/>
      <c r="CR535" s="1"/>
      <c r="CS535" s="1"/>
      <c r="CT535" s="1"/>
      <c r="CU535" s="1"/>
    </row>
    <row r="536" spans="1:99">
      <c r="A536" s="197"/>
      <c r="B536" s="1"/>
      <c r="C536" s="1"/>
      <c r="D536" s="1"/>
      <c r="E536" s="1"/>
      <c r="F536" s="1"/>
      <c r="G536" s="3"/>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c r="BJ536" s="1"/>
      <c r="BK536" s="1"/>
      <c r="BL536" s="1"/>
      <c r="BM536" s="1"/>
      <c r="BN536" s="1"/>
      <c r="BO536" s="1"/>
      <c r="BP536" s="1"/>
      <c r="BQ536" s="1"/>
      <c r="BR536" s="1"/>
      <c r="BS536" s="1"/>
      <c r="BT536" s="1"/>
      <c r="BU536" s="1"/>
      <c r="BV536" s="1"/>
      <c r="BW536" s="1"/>
      <c r="BX536" s="1"/>
      <c r="BY536" s="1"/>
      <c r="BZ536" s="1"/>
      <c r="CA536" s="1"/>
      <c r="CB536" s="1"/>
      <c r="CC536" s="1"/>
      <c r="CD536" s="1"/>
      <c r="CE536" s="1"/>
      <c r="CF536" s="1"/>
      <c r="CG536" s="1"/>
      <c r="CH536" s="1"/>
      <c r="CI536" s="1"/>
      <c r="CJ536" s="1"/>
      <c r="CK536" s="1"/>
      <c r="CL536" s="1"/>
      <c r="CM536" s="1"/>
      <c r="CN536" s="1"/>
      <c r="CO536" s="1"/>
      <c r="CP536" s="1"/>
      <c r="CQ536" s="1"/>
      <c r="CR536" s="1"/>
      <c r="CS536" s="1"/>
      <c r="CT536" s="1"/>
      <c r="CU536" s="1"/>
    </row>
    <row r="537" spans="1:99">
      <c r="A537" s="197"/>
      <c r="B537" s="1"/>
      <c r="C537" s="1"/>
      <c r="D537" s="1"/>
      <c r="E537" s="1"/>
      <c r="F537" s="1"/>
      <c r="G537" s="3"/>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c r="BJ537" s="1"/>
      <c r="BK537" s="1"/>
      <c r="BL537" s="1"/>
      <c r="BM537" s="1"/>
      <c r="BN537" s="1"/>
      <c r="BO537" s="1"/>
      <c r="BP537" s="1"/>
      <c r="BQ537" s="1"/>
      <c r="BR537" s="1"/>
      <c r="BS537" s="1"/>
      <c r="BT537" s="1"/>
      <c r="BU537" s="1"/>
      <c r="BV537" s="1"/>
      <c r="BW537" s="1"/>
      <c r="BX537" s="1"/>
      <c r="BY537" s="1"/>
      <c r="BZ537" s="1"/>
      <c r="CA537" s="1"/>
      <c r="CB537" s="1"/>
      <c r="CC537" s="1"/>
      <c r="CD537" s="1"/>
      <c r="CE537" s="1"/>
      <c r="CF537" s="1"/>
      <c r="CG537" s="1"/>
      <c r="CH537" s="1"/>
      <c r="CI537" s="1"/>
      <c r="CJ537" s="1"/>
      <c r="CK537" s="1"/>
      <c r="CL537" s="1"/>
      <c r="CM537" s="1"/>
      <c r="CN537" s="1"/>
      <c r="CO537" s="1"/>
      <c r="CP537" s="1"/>
      <c r="CQ537" s="1"/>
      <c r="CR537" s="1"/>
      <c r="CS537" s="1"/>
      <c r="CT537" s="1"/>
      <c r="CU537" s="1"/>
    </row>
    <row r="538" spans="1:99">
      <c r="A538" s="197"/>
      <c r="B538" s="1"/>
      <c r="C538" s="1"/>
      <c r="D538" s="1"/>
      <c r="E538" s="1"/>
      <c r="F538" s="1"/>
      <c r="G538" s="3"/>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c r="BJ538" s="1"/>
      <c r="BK538" s="1"/>
      <c r="BL538" s="1"/>
      <c r="BM538" s="1"/>
      <c r="BN538" s="1"/>
      <c r="BO538" s="1"/>
      <c r="BP538" s="1"/>
      <c r="BQ538" s="1"/>
      <c r="BR538" s="1"/>
      <c r="BS538" s="1"/>
      <c r="BT538" s="1"/>
      <c r="BU538" s="1"/>
      <c r="BV538" s="1"/>
      <c r="BW538" s="1"/>
      <c r="BX538" s="1"/>
      <c r="BY538" s="1"/>
      <c r="BZ538" s="1"/>
      <c r="CA538" s="1"/>
      <c r="CB538" s="1"/>
      <c r="CC538" s="1"/>
      <c r="CD538" s="1"/>
      <c r="CE538" s="1"/>
      <c r="CF538" s="1"/>
      <c r="CG538" s="1"/>
      <c r="CH538" s="1"/>
      <c r="CI538" s="1"/>
      <c r="CJ538" s="1"/>
      <c r="CK538" s="1"/>
      <c r="CL538" s="1"/>
      <c r="CM538" s="1"/>
      <c r="CN538" s="1"/>
      <c r="CO538" s="1"/>
      <c r="CP538" s="1"/>
      <c r="CQ538" s="1"/>
      <c r="CR538" s="1"/>
      <c r="CS538" s="1"/>
      <c r="CT538" s="1"/>
      <c r="CU538" s="1"/>
    </row>
    <row r="539" spans="1:99">
      <c r="A539" s="197"/>
      <c r="B539" s="1"/>
      <c r="C539" s="1"/>
      <c r="D539" s="1"/>
      <c r="E539" s="1"/>
      <c r="F539" s="1"/>
      <c r="G539" s="3"/>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c r="BJ539" s="1"/>
      <c r="BK539" s="1"/>
      <c r="BL539" s="1"/>
      <c r="BM539" s="1"/>
      <c r="BN539" s="1"/>
      <c r="BO539" s="1"/>
      <c r="BP539" s="1"/>
      <c r="BQ539" s="1"/>
      <c r="BR539" s="1"/>
      <c r="BS539" s="1"/>
      <c r="BT539" s="1"/>
      <c r="BU539" s="1"/>
      <c r="BV539" s="1"/>
      <c r="BW539" s="1"/>
      <c r="BX539" s="1"/>
      <c r="BY539" s="1"/>
      <c r="BZ539" s="1"/>
      <c r="CA539" s="1"/>
      <c r="CB539" s="1"/>
      <c r="CC539" s="1"/>
      <c r="CD539" s="1"/>
      <c r="CE539" s="1"/>
      <c r="CF539" s="1"/>
      <c r="CG539" s="1"/>
      <c r="CH539" s="1"/>
      <c r="CI539" s="1"/>
      <c r="CJ539" s="1"/>
      <c r="CK539" s="1"/>
      <c r="CL539" s="1"/>
      <c r="CM539" s="1"/>
      <c r="CN539" s="1"/>
      <c r="CO539" s="1"/>
      <c r="CP539" s="1"/>
      <c r="CQ539" s="1"/>
      <c r="CR539" s="1"/>
      <c r="CS539" s="1"/>
      <c r="CT539" s="1"/>
      <c r="CU539" s="1"/>
    </row>
    <row r="540" spans="1:99">
      <c r="A540" s="197"/>
      <c r="B540" s="1"/>
      <c r="C540" s="1"/>
      <c r="D540" s="1"/>
      <c r="E540" s="1"/>
      <c r="F540" s="1"/>
      <c r="G540" s="3"/>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c r="BJ540" s="1"/>
      <c r="BK540" s="1"/>
      <c r="BL540" s="1"/>
      <c r="BM540" s="1"/>
      <c r="BN540" s="1"/>
      <c r="BO540" s="1"/>
      <c r="BP540" s="1"/>
      <c r="BQ540" s="1"/>
      <c r="BR540" s="1"/>
      <c r="BS540" s="1"/>
      <c r="BT540" s="1"/>
      <c r="BU540" s="1"/>
      <c r="BV540" s="1"/>
      <c r="BW540" s="1"/>
      <c r="BX540" s="1"/>
      <c r="BY540" s="1"/>
      <c r="BZ540" s="1"/>
      <c r="CA540" s="1"/>
      <c r="CB540" s="1"/>
      <c r="CC540" s="1"/>
      <c r="CD540" s="1"/>
      <c r="CE540" s="1"/>
      <c r="CF540" s="1"/>
      <c r="CG540" s="1"/>
      <c r="CH540" s="1"/>
      <c r="CI540" s="1"/>
      <c r="CJ540" s="1"/>
      <c r="CK540" s="1"/>
      <c r="CL540" s="1"/>
      <c r="CM540" s="1"/>
      <c r="CN540" s="1"/>
      <c r="CO540" s="1"/>
      <c r="CP540" s="1"/>
      <c r="CQ540" s="1"/>
      <c r="CR540" s="1"/>
      <c r="CS540" s="1"/>
      <c r="CT540" s="1"/>
      <c r="CU540" s="1"/>
    </row>
    <row r="541" spans="1:99">
      <c r="A541" s="197"/>
      <c r="B541" s="1"/>
      <c r="C541" s="1"/>
      <c r="D541" s="1"/>
      <c r="E541" s="1"/>
      <c r="F541" s="1"/>
      <c r="G541" s="3"/>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c r="BJ541" s="1"/>
      <c r="BK541" s="1"/>
      <c r="BL541" s="1"/>
      <c r="BM541" s="1"/>
      <c r="BN541" s="1"/>
      <c r="BO541" s="1"/>
      <c r="BP541" s="1"/>
      <c r="BQ541" s="1"/>
      <c r="BR541" s="1"/>
      <c r="BS541" s="1"/>
      <c r="BT541" s="1"/>
      <c r="BU541" s="1"/>
      <c r="BV541" s="1"/>
      <c r="BW541" s="1"/>
      <c r="BX541" s="1"/>
      <c r="BY541" s="1"/>
      <c r="BZ541" s="1"/>
      <c r="CA541" s="1"/>
      <c r="CB541" s="1"/>
      <c r="CC541" s="1"/>
      <c r="CD541" s="1"/>
      <c r="CE541" s="1"/>
      <c r="CF541" s="1"/>
      <c r="CG541" s="1"/>
      <c r="CH541" s="1"/>
      <c r="CI541" s="1"/>
      <c r="CJ541" s="1"/>
      <c r="CK541" s="1"/>
      <c r="CL541" s="1"/>
      <c r="CM541" s="1"/>
      <c r="CN541" s="1"/>
      <c r="CO541" s="1"/>
      <c r="CP541" s="1"/>
      <c r="CQ541" s="1"/>
      <c r="CR541" s="1"/>
      <c r="CS541" s="1"/>
      <c r="CT541" s="1"/>
      <c r="CU541" s="1"/>
    </row>
    <row r="542" spans="1:99">
      <c r="A542" s="197"/>
      <c r="B542" s="1"/>
      <c r="C542" s="1"/>
      <c r="D542" s="1"/>
      <c r="E542" s="1"/>
      <c r="F542" s="1"/>
      <c r="G542" s="3"/>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c r="BJ542" s="1"/>
      <c r="BK542" s="1"/>
      <c r="BL542" s="1"/>
      <c r="BM542" s="1"/>
      <c r="BN542" s="1"/>
      <c r="BO542" s="1"/>
      <c r="BP542" s="1"/>
      <c r="BQ542" s="1"/>
      <c r="BR542" s="1"/>
      <c r="BS542" s="1"/>
      <c r="BT542" s="1"/>
      <c r="BU542" s="1"/>
      <c r="BV542" s="1"/>
      <c r="BW542" s="1"/>
      <c r="BX542" s="1"/>
      <c r="BY542" s="1"/>
      <c r="BZ542" s="1"/>
      <c r="CA542" s="1"/>
      <c r="CB542" s="1"/>
      <c r="CC542" s="1"/>
      <c r="CD542" s="1"/>
      <c r="CE542" s="1"/>
      <c r="CF542" s="1"/>
      <c r="CG542" s="1"/>
      <c r="CH542" s="1"/>
      <c r="CI542" s="1"/>
      <c r="CJ542" s="1"/>
      <c r="CK542" s="1"/>
      <c r="CL542" s="1"/>
      <c r="CM542" s="1"/>
      <c r="CN542" s="1"/>
      <c r="CO542" s="1"/>
      <c r="CP542" s="1"/>
      <c r="CQ542" s="1"/>
      <c r="CR542" s="1"/>
      <c r="CS542" s="1"/>
      <c r="CT542" s="1"/>
      <c r="CU542" s="1"/>
    </row>
    <row r="543" spans="1:99">
      <c r="A543" s="197"/>
      <c r="B543" s="1"/>
      <c r="C543" s="1"/>
      <c r="D543" s="1"/>
      <c r="E543" s="1"/>
      <c r="F543" s="1"/>
      <c r="G543" s="3"/>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c r="BJ543" s="1"/>
      <c r="BK543" s="1"/>
      <c r="BL543" s="1"/>
      <c r="BM543" s="1"/>
      <c r="BN543" s="1"/>
      <c r="BO543" s="1"/>
      <c r="BP543" s="1"/>
      <c r="BQ543" s="1"/>
      <c r="BR543" s="1"/>
      <c r="BS543" s="1"/>
      <c r="BT543" s="1"/>
      <c r="BU543" s="1"/>
      <c r="BV543" s="1"/>
      <c r="BW543" s="1"/>
      <c r="BX543" s="1"/>
      <c r="BY543" s="1"/>
      <c r="BZ543" s="1"/>
      <c r="CA543" s="1"/>
      <c r="CB543" s="1"/>
      <c r="CC543" s="1"/>
      <c r="CD543" s="1"/>
      <c r="CE543" s="1"/>
      <c r="CF543" s="1"/>
      <c r="CG543" s="1"/>
      <c r="CH543" s="1"/>
      <c r="CI543" s="1"/>
      <c r="CJ543" s="1"/>
      <c r="CK543" s="1"/>
      <c r="CL543" s="1"/>
      <c r="CM543" s="1"/>
      <c r="CN543" s="1"/>
      <c r="CO543" s="1"/>
      <c r="CP543" s="1"/>
      <c r="CQ543" s="1"/>
      <c r="CR543" s="1"/>
      <c r="CS543" s="1"/>
      <c r="CT543" s="1"/>
      <c r="CU543" s="1"/>
    </row>
    <row r="544" spans="1:99">
      <c r="A544" s="197"/>
      <c r="B544" s="1"/>
      <c r="C544" s="1"/>
      <c r="D544" s="1"/>
      <c r="E544" s="1"/>
      <c r="F544" s="1"/>
      <c r="G544" s="3"/>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c r="BJ544" s="1"/>
      <c r="BK544" s="1"/>
      <c r="BL544" s="1"/>
      <c r="BM544" s="1"/>
      <c r="BN544" s="1"/>
      <c r="BO544" s="1"/>
      <c r="BP544" s="1"/>
      <c r="BQ544" s="1"/>
      <c r="BR544" s="1"/>
      <c r="BS544" s="1"/>
      <c r="BT544" s="1"/>
      <c r="BU544" s="1"/>
      <c r="BV544" s="1"/>
      <c r="BW544" s="1"/>
      <c r="BX544" s="1"/>
      <c r="BY544" s="1"/>
      <c r="BZ544" s="1"/>
      <c r="CA544" s="1"/>
      <c r="CB544" s="1"/>
      <c r="CC544" s="1"/>
      <c r="CD544" s="1"/>
      <c r="CE544" s="1"/>
      <c r="CF544" s="1"/>
      <c r="CG544" s="1"/>
      <c r="CH544" s="1"/>
      <c r="CI544" s="1"/>
      <c r="CJ544" s="1"/>
      <c r="CK544" s="1"/>
      <c r="CL544" s="1"/>
      <c r="CM544" s="1"/>
      <c r="CN544" s="1"/>
      <c r="CO544" s="1"/>
      <c r="CP544" s="1"/>
      <c r="CQ544" s="1"/>
      <c r="CR544" s="1"/>
      <c r="CS544" s="1"/>
      <c r="CT544" s="1"/>
      <c r="CU544" s="1"/>
    </row>
    <row r="545" spans="1:99">
      <c r="A545" s="197"/>
      <c r="B545" s="1"/>
      <c r="C545" s="1"/>
      <c r="D545" s="1"/>
      <c r="E545" s="1"/>
      <c r="F545" s="1"/>
      <c r="G545" s="3"/>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c r="BJ545" s="1"/>
      <c r="BK545" s="1"/>
      <c r="BL545" s="1"/>
      <c r="BM545" s="1"/>
      <c r="BN545" s="1"/>
      <c r="BO545" s="1"/>
      <c r="BP545" s="1"/>
      <c r="BQ545" s="1"/>
      <c r="BR545" s="1"/>
      <c r="BS545" s="1"/>
      <c r="BT545" s="1"/>
      <c r="BU545" s="1"/>
      <c r="BV545" s="1"/>
      <c r="BW545" s="1"/>
      <c r="BX545" s="1"/>
      <c r="BY545" s="1"/>
      <c r="BZ545" s="1"/>
      <c r="CA545" s="1"/>
      <c r="CB545" s="1"/>
      <c r="CC545" s="1"/>
      <c r="CD545" s="1"/>
      <c r="CE545" s="1"/>
      <c r="CF545" s="1"/>
      <c r="CG545" s="1"/>
      <c r="CH545" s="1"/>
      <c r="CI545" s="1"/>
      <c r="CJ545" s="1"/>
      <c r="CK545" s="1"/>
      <c r="CL545" s="1"/>
      <c r="CM545" s="1"/>
      <c r="CN545" s="1"/>
      <c r="CO545" s="1"/>
      <c r="CP545" s="1"/>
      <c r="CQ545" s="1"/>
      <c r="CR545" s="1"/>
      <c r="CS545" s="1"/>
      <c r="CT545" s="1"/>
      <c r="CU545" s="1"/>
    </row>
    <row r="546" spans="1:99">
      <c r="A546" s="197"/>
      <c r="B546" s="1"/>
      <c r="C546" s="1"/>
      <c r="D546" s="1"/>
      <c r="E546" s="1"/>
      <c r="F546" s="1"/>
      <c r="G546" s="3"/>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c r="BJ546" s="1"/>
      <c r="BK546" s="1"/>
      <c r="BL546" s="1"/>
      <c r="BM546" s="1"/>
      <c r="BN546" s="1"/>
      <c r="BO546" s="1"/>
      <c r="BP546" s="1"/>
      <c r="BQ546" s="1"/>
      <c r="BR546" s="1"/>
      <c r="BS546" s="1"/>
      <c r="BT546" s="1"/>
      <c r="BU546" s="1"/>
      <c r="BV546" s="1"/>
      <c r="BW546" s="1"/>
      <c r="BX546" s="1"/>
      <c r="BY546" s="1"/>
      <c r="BZ546" s="1"/>
      <c r="CA546" s="1"/>
      <c r="CB546" s="1"/>
      <c r="CC546" s="1"/>
      <c r="CD546" s="1"/>
      <c r="CE546" s="1"/>
      <c r="CF546" s="1"/>
      <c r="CG546" s="1"/>
      <c r="CH546" s="1"/>
      <c r="CI546" s="1"/>
      <c r="CJ546" s="1"/>
      <c r="CK546" s="1"/>
      <c r="CL546" s="1"/>
      <c r="CM546" s="1"/>
      <c r="CN546" s="1"/>
      <c r="CO546" s="1"/>
      <c r="CP546" s="1"/>
      <c r="CQ546" s="1"/>
      <c r="CR546" s="1"/>
      <c r="CS546" s="1"/>
      <c r="CT546" s="1"/>
      <c r="CU546" s="1"/>
    </row>
    <row r="547" spans="1:99">
      <c r="A547" s="197"/>
      <c r="B547" s="1"/>
      <c r="C547" s="1"/>
      <c r="D547" s="1"/>
      <c r="E547" s="1"/>
      <c r="F547" s="1"/>
      <c r="G547" s="3"/>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c r="BJ547" s="1"/>
      <c r="BK547" s="1"/>
      <c r="BL547" s="1"/>
      <c r="BM547" s="1"/>
      <c r="BN547" s="1"/>
      <c r="BO547" s="1"/>
      <c r="BP547" s="1"/>
      <c r="BQ547" s="1"/>
      <c r="BR547" s="1"/>
      <c r="BS547" s="1"/>
      <c r="BT547" s="1"/>
      <c r="BU547" s="1"/>
      <c r="BV547" s="1"/>
      <c r="BW547" s="1"/>
      <c r="BX547" s="1"/>
      <c r="BY547" s="1"/>
      <c r="BZ547" s="1"/>
      <c r="CA547" s="1"/>
      <c r="CB547" s="1"/>
      <c r="CC547" s="1"/>
      <c r="CD547" s="1"/>
      <c r="CE547" s="1"/>
      <c r="CF547" s="1"/>
      <c r="CG547" s="1"/>
      <c r="CH547" s="1"/>
      <c r="CI547" s="1"/>
      <c r="CJ547" s="1"/>
      <c r="CK547" s="1"/>
      <c r="CL547" s="1"/>
      <c r="CM547" s="1"/>
      <c r="CN547" s="1"/>
      <c r="CO547" s="1"/>
      <c r="CP547" s="1"/>
      <c r="CQ547" s="1"/>
      <c r="CR547" s="1"/>
      <c r="CS547" s="1"/>
      <c r="CT547" s="1"/>
      <c r="CU547" s="1"/>
    </row>
    <row r="548" spans="1:99">
      <c r="A548" s="197"/>
      <c r="B548" s="1"/>
      <c r="C548" s="1"/>
      <c r="D548" s="1"/>
      <c r="E548" s="1"/>
      <c r="F548" s="1"/>
      <c r="G548" s="3"/>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c r="BJ548" s="1"/>
      <c r="BK548" s="1"/>
      <c r="BL548" s="1"/>
      <c r="BM548" s="1"/>
      <c r="BN548" s="1"/>
      <c r="BO548" s="1"/>
      <c r="BP548" s="1"/>
      <c r="BQ548" s="1"/>
      <c r="BR548" s="1"/>
      <c r="BS548" s="1"/>
      <c r="BT548" s="1"/>
      <c r="BU548" s="1"/>
      <c r="BV548" s="1"/>
      <c r="BW548" s="1"/>
      <c r="BX548" s="1"/>
      <c r="BY548" s="1"/>
      <c r="BZ548" s="1"/>
      <c r="CA548" s="1"/>
      <c r="CB548" s="1"/>
      <c r="CC548" s="1"/>
      <c r="CD548" s="1"/>
      <c r="CE548" s="1"/>
      <c r="CF548" s="1"/>
      <c r="CG548" s="1"/>
      <c r="CH548" s="1"/>
      <c r="CI548" s="1"/>
      <c r="CJ548" s="1"/>
      <c r="CK548" s="1"/>
      <c r="CL548" s="1"/>
      <c r="CM548" s="1"/>
      <c r="CN548" s="1"/>
      <c r="CO548" s="1"/>
      <c r="CP548" s="1"/>
      <c r="CQ548" s="1"/>
      <c r="CR548" s="1"/>
      <c r="CS548" s="1"/>
      <c r="CT548" s="1"/>
      <c r="CU548" s="1"/>
    </row>
    <row r="549" spans="1:99">
      <c r="A549" s="197"/>
      <c r="B549" s="1"/>
      <c r="C549" s="1"/>
      <c r="D549" s="1"/>
      <c r="E549" s="1"/>
      <c r="F549" s="1"/>
      <c r="G549" s="3"/>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c r="BJ549" s="1"/>
      <c r="BK549" s="1"/>
      <c r="BL549" s="1"/>
      <c r="BM549" s="1"/>
      <c r="BN549" s="1"/>
      <c r="BO549" s="1"/>
      <c r="BP549" s="1"/>
      <c r="BQ549" s="1"/>
      <c r="BR549" s="1"/>
      <c r="BS549" s="1"/>
      <c r="BT549" s="1"/>
      <c r="BU549" s="1"/>
      <c r="BV549" s="1"/>
      <c r="BW549" s="1"/>
      <c r="BX549" s="1"/>
      <c r="BY549" s="1"/>
      <c r="BZ549" s="1"/>
      <c r="CA549" s="1"/>
      <c r="CB549" s="1"/>
      <c r="CC549" s="1"/>
      <c r="CD549" s="1"/>
      <c r="CE549" s="1"/>
      <c r="CF549" s="1"/>
      <c r="CG549" s="1"/>
      <c r="CH549" s="1"/>
      <c r="CI549" s="1"/>
      <c r="CJ549" s="1"/>
      <c r="CK549" s="1"/>
      <c r="CL549" s="1"/>
      <c r="CM549" s="1"/>
      <c r="CN549" s="1"/>
      <c r="CO549" s="1"/>
      <c r="CP549" s="1"/>
      <c r="CQ549" s="1"/>
      <c r="CR549" s="1"/>
      <c r="CS549" s="1"/>
      <c r="CT549" s="1"/>
      <c r="CU549" s="1"/>
    </row>
    <row r="550" spans="1:99">
      <c r="A550" s="197"/>
      <c r="B550" s="1"/>
      <c r="C550" s="1"/>
      <c r="D550" s="1"/>
      <c r="E550" s="1"/>
      <c r="F550" s="1"/>
      <c r="G550" s="3"/>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c r="BJ550" s="1"/>
      <c r="BK550" s="1"/>
      <c r="BL550" s="1"/>
      <c r="BM550" s="1"/>
      <c r="BN550" s="1"/>
      <c r="BO550" s="1"/>
      <c r="BP550" s="1"/>
      <c r="BQ550" s="1"/>
      <c r="BR550" s="1"/>
      <c r="BS550" s="1"/>
      <c r="BT550" s="1"/>
      <c r="BU550" s="1"/>
      <c r="BV550" s="1"/>
      <c r="BW550" s="1"/>
      <c r="BX550" s="1"/>
      <c r="BY550" s="1"/>
      <c r="BZ550" s="1"/>
      <c r="CA550" s="1"/>
      <c r="CB550" s="1"/>
      <c r="CC550" s="1"/>
      <c r="CD550" s="1"/>
      <c r="CE550" s="1"/>
      <c r="CF550" s="1"/>
      <c r="CG550" s="1"/>
      <c r="CH550" s="1"/>
      <c r="CI550" s="1"/>
      <c r="CJ550" s="1"/>
      <c r="CK550" s="1"/>
      <c r="CL550" s="1"/>
      <c r="CM550" s="1"/>
      <c r="CN550" s="1"/>
      <c r="CO550" s="1"/>
      <c r="CP550" s="1"/>
      <c r="CQ550" s="1"/>
      <c r="CR550" s="1"/>
      <c r="CS550" s="1"/>
      <c r="CT550" s="1"/>
      <c r="CU550" s="1"/>
    </row>
    <row r="551" spans="1:99">
      <c r="A551" s="197"/>
      <c r="B551" s="1"/>
      <c r="C551" s="1"/>
      <c r="D551" s="1"/>
      <c r="E551" s="1"/>
      <c r="F551" s="1"/>
      <c r="G551" s="3"/>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c r="BJ551" s="1"/>
      <c r="BK551" s="1"/>
      <c r="BL551" s="1"/>
      <c r="BM551" s="1"/>
      <c r="BN551" s="1"/>
      <c r="BO551" s="1"/>
      <c r="BP551" s="1"/>
      <c r="BQ551" s="1"/>
      <c r="BR551" s="1"/>
      <c r="BS551" s="1"/>
      <c r="BT551" s="1"/>
      <c r="BU551" s="1"/>
      <c r="BV551" s="1"/>
      <c r="BW551" s="1"/>
      <c r="BX551" s="1"/>
      <c r="BY551" s="1"/>
      <c r="BZ551" s="1"/>
      <c r="CA551" s="1"/>
      <c r="CB551" s="1"/>
      <c r="CC551" s="1"/>
      <c r="CD551" s="1"/>
      <c r="CE551" s="1"/>
      <c r="CF551" s="1"/>
      <c r="CG551" s="1"/>
      <c r="CH551" s="1"/>
      <c r="CI551" s="1"/>
      <c r="CJ551" s="1"/>
      <c r="CK551" s="1"/>
      <c r="CL551" s="1"/>
      <c r="CM551" s="1"/>
      <c r="CN551" s="1"/>
      <c r="CO551" s="1"/>
      <c r="CP551" s="1"/>
      <c r="CQ551" s="1"/>
      <c r="CR551" s="1"/>
      <c r="CS551" s="1"/>
      <c r="CT551" s="1"/>
      <c r="CU551" s="1"/>
    </row>
    <row r="552" spans="1:99">
      <c r="A552" s="197"/>
      <c r="B552" s="1"/>
      <c r="C552" s="1"/>
      <c r="D552" s="1"/>
      <c r="E552" s="1"/>
      <c r="F552" s="1"/>
      <c r="G552" s="3"/>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c r="BJ552" s="1"/>
      <c r="BK552" s="1"/>
      <c r="BL552" s="1"/>
      <c r="BM552" s="1"/>
      <c r="BN552" s="1"/>
      <c r="BO552" s="1"/>
      <c r="BP552" s="1"/>
      <c r="BQ552" s="1"/>
      <c r="BR552" s="1"/>
      <c r="BS552" s="1"/>
      <c r="BT552" s="1"/>
      <c r="BU552" s="1"/>
      <c r="BV552" s="1"/>
      <c r="BW552" s="1"/>
      <c r="BX552" s="1"/>
      <c r="BY552" s="1"/>
      <c r="BZ552" s="1"/>
      <c r="CA552" s="1"/>
      <c r="CB552" s="1"/>
      <c r="CC552" s="1"/>
      <c r="CD552" s="1"/>
      <c r="CE552" s="1"/>
      <c r="CF552" s="1"/>
      <c r="CG552" s="1"/>
      <c r="CH552" s="1"/>
      <c r="CI552" s="1"/>
      <c r="CJ552" s="1"/>
      <c r="CK552" s="1"/>
      <c r="CL552" s="1"/>
      <c r="CM552" s="1"/>
      <c r="CN552" s="1"/>
      <c r="CO552" s="1"/>
      <c r="CP552" s="1"/>
      <c r="CQ552" s="1"/>
      <c r="CR552" s="1"/>
      <c r="CS552" s="1"/>
      <c r="CT552" s="1"/>
      <c r="CU552" s="1"/>
    </row>
    <row r="553" spans="1:99">
      <c r="A553" s="197"/>
      <c r="B553" s="1"/>
      <c r="C553" s="1"/>
      <c r="D553" s="1"/>
      <c r="E553" s="1"/>
      <c r="F553" s="1"/>
      <c r="G553" s="3"/>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c r="BE553" s="1"/>
      <c r="BF553" s="1"/>
      <c r="BG553" s="1"/>
      <c r="BH553" s="1"/>
      <c r="BI553" s="1"/>
      <c r="BJ553" s="1"/>
      <c r="BK553" s="1"/>
      <c r="BL553" s="1"/>
      <c r="BM553" s="1"/>
      <c r="BN553" s="1"/>
      <c r="BO553" s="1"/>
      <c r="BP553" s="1"/>
      <c r="BQ553" s="1"/>
      <c r="BR553" s="1"/>
      <c r="BS553" s="1"/>
      <c r="BT553" s="1"/>
      <c r="BU553" s="1"/>
      <c r="BV553" s="1"/>
      <c r="BW553" s="1"/>
      <c r="BX553" s="1"/>
      <c r="BY553" s="1"/>
      <c r="BZ553" s="1"/>
      <c r="CA553" s="1"/>
      <c r="CB553" s="1"/>
      <c r="CC553" s="1"/>
      <c r="CD553" s="1"/>
      <c r="CE553" s="1"/>
      <c r="CF553" s="1"/>
      <c r="CG553" s="1"/>
      <c r="CH553" s="1"/>
      <c r="CI553" s="1"/>
      <c r="CJ553" s="1"/>
      <c r="CK553" s="1"/>
      <c r="CL553" s="1"/>
      <c r="CM553" s="1"/>
      <c r="CN553" s="1"/>
      <c r="CO553" s="1"/>
      <c r="CP553" s="1"/>
      <c r="CQ553" s="1"/>
      <c r="CR553" s="1"/>
      <c r="CS553" s="1"/>
      <c r="CT553" s="1"/>
      <c r="CU553" s="1"/>
    </row>
    <row r="554" spans="1:99">
      <c r="A554" s="197"/>
      <c r="B554" s="1"/>
      <c r="C554" s="1"/>
      <c r="D554" s="1"/>
      <c r="E554" s="1"/>
      <c r="F554" s="1"/>
      <c r="G554" s="3"/>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c r="BE554" s="1"/>
      <c r="BF554" s="1"/>
      <c r="BG554" s="1"/>
      <c r="BH554" s="1"/>
      <c r="BI554" s="1"/>
      <c r="BJ554" s="1"/>
      <c r="BK554" s="1"/>
      <c r="BL554" s="1"/>
      <c r="BM554" s="1"/>
      <c r="BN554" s="1"/>
      <c r="BO554" s="1"/>
      <c r="BP554" s="1"/>
      <c r="BQ554" s="1"/>
      <c r="BR554" s="1"/>
      <c r="BS554" s="1"/>
      <c r="BT554" s="1"/>
      <c r="BU554" s="1"/>
      <c r="BV554" s="1"/>
      <c r="BW554" s="1"/>
      <c r="BX554" s="1"/>
      <c r="BY554" s="1"/>
      <c r="BZ554" s="1"/>
      <c r="CA554" s="1"/>
      <c r="CB554" s="1"/>
      <c r="CC554" s="1"/>
      <c r="CD554" s="1"/>
      <c r="CE554" s="1"/>
      <c r="CF554" s="1"/>
      <c r="CG554" s="1"/>
      <c r="CH554" s="1"/>
      <c r="CI554" s="1"/>
      <c r="CJ554" s="1"/>
      <c r="CK554" s="1"/>
      <c r="CL554" s="1"/>
      <c r="CM554" s="1"/>
      <c r="CN554" s="1"/>
      <c r="CO554" s="1"/>
      <c r="CP554" s="1"/>
      <c r="CQ554" s="1"/>
      <c r="CR554" s="1"/>
      <c r="CS554" s="1"/>
      <c r="CT554" s="1"/>
      <c r="CU554" s="1"/>
    </row>
    <row r="555" spans="1:99">
      <c r="A555" s="197"/>
      <c r="B555" s="1"/>
      <c r="C555" s="1"/>
      <c r="D555" s="1"/>
      <c r="E555" s="1"/>
      <c r="F555" s="1"/>
      <c r="G555" s="3"/>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c r="BE555" s="1"/>
      <c r="BF555" s="1"/>
      <c r="BG555" s="1"/>
      <c r="BH555" s="1"/>
      <c r="BI555" s="1"/>
      <c r="BJ555" s="1"/>
      <c r="BK555" s="1"/>
      <c r="BL555" s="1"/>
      <c r="BM555" s="1"/>
      <c r="BN555" s="1"/>
      <c r="BO555" s="1"/>
      <c r="BP555" s="1"/>
      <c r="BQ555" s="1"/>
      <c r="BR555" s="1"/>
      <c r="BS555" s="1"/>
      <c r="BT555" s="1"/>
      <c r="BU555" s="1"/>
      <c r="BV555" s="1"/>
      <c r="BW555" s="1"/>
      <c r="BX555" s="1"/>
      <c r="BY555" s="1"/>
      <c r="BZ555" s="1"/>
      <c r="CA555" s="1"/>
      <c r="CB555" s="1"/>
      <c r="CC555" s="1"/>
      <c r="CD555" s="1"/>
      <c r="CE555" s="1"/>
      <c r="CF555" s="1"/>
      <c r="CG555" s="1"/>
      <c r="CH555" s="1"/>
      <c r="CI555" s="1"/>
      <c r="CJ555" s="1"/>
      <c r="CK555" s="1"/>
      <c r="CL555" s="1"/>
      <c r="CM555" s="1"/>
      <c r="CN555" s="1"/>
      <c r="CO555" s="1"/>
      <c r="CP555" s="1"/>
      <c r="CQ555" s="1"/>
      <c r="CR555" s="1"/>
      <c r="CS555" s="1"/>
      <c r="CT555" s="1"/>
      <c r="CU555" s="1"/>
    </row>
    <row r="556" spans="1:99">
      <c r="A556" s="197"/>
      <c r="B556" s="1"/>
      <c r="C556" s="1"/>
      <c r="D556" s="1"/>
      <c r="E556" s="1"/>
      <c r="F556" s="1"/>
      <c r="G556" s="3"/>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c r="BE556" s="1"/>
      <c r="BF556" s="1"/>
      <c r="BG556" s="1"/>
      <c r="BH556" s="1"/>
      <c r="BI556" s="1"/>
      <c r="BJ556" s="1"/>
      <c r="BK556" s="1"/>
      <c r="BL556" s="1"/>
      <c r="BM556" s="1"/>
      <c r="BN556" s="1"/>
      <c r="BO556" s="1"/>
      <c r="BP556" s="1"/>
      <c r="BQ556" s="1"/>
      <c r="BR556" s="1"/>
      <c r="BS556" s="1"/>
      <c r="BT556" s="1"/>
      <c r="BU556" s="1"/>
      <c r="BV556" s="1"/>
      <c r="BW556" s="1"/>
      <c r="BX556" s="1"/>
      <c r="BY556" s="1"/>
      <c r="BZ556" s="1"/>
      <c r="CA556" s="1"/>
      <c r="CB556" s="1"/>
      <c r="CC556" s="1"/>
      <c r="CD556" s="1"/>
      <c r="CE556" s="1"/>
      <c r="CF556" s="1"/>
      <c r="CG556" s="1"/>
      <c r="CH556" s="1"/>
      <c r="CI556" s="1"/>
      <c r="CJ556" s="1"/>
      <c r="CK556" s="1"/>
      <c r="CL556" s="1"/>
      <c r="CM556" s="1"/>
      <c r="CN556" s="1"/>
      <c r="CO556" s="1"/>
      <c r="CP556" s="1"/>
      <c r="CQ556" s="1"/>
      <c r="CR556" s="1"/>
      <c r="CS556" s="1"/>
      <c r="CT556" s="1"/>
      <c r="CU556" s="1"/>
    </row>
    <row r="557" spans="1:99">
      <c r="A557" s="197"/>
      <c r="B557" s="1"/>
      <c r="C557" s="1"/>
      <c r="D557" s="1"/>
      <c r="E557" s="1"/>
      <c r="F557" s="1"/>
      <c r="G557" s="3"/>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c r="BF557" s="1"/>
      <c r="BG557" s="1"/>
      <c r="BH557" s="1"/>
      <c r="BI557" s="1"/>
      <c r="BJ557" s="1"/>
      <c r="BK557" s="1"/>
      <c r="BL557" s="1"/>
      <c r="BM557" s="1"/>
      <c r="BN557" s="1"/>
      <c r="BO557" s="1"/>
      <c r="BP557" s="1"/>
      <c r="BQ557" s="1"/>
      <c r="BR557" s="1"/>
      <c r="BS557" s="1"/>
      <c r="BT557" s="1"/>
      <c r="BU557" s="1"/>
      <c r="BV557" s="1"/>
      <c r="BW557" s="1"/>
      <c r="BX557" s="1"/>
      <c r="BY557" s="1"/>
      <c r="BZ557" s="1"/>
      <c r="CA557" s="1"/>
      <c r="CB557" s="1"/>
      <c r="CC557" s="1"/>
      <c r="CD557" s="1"/>
      <c r="CE557" s="1"/>
      <c r="CF557" s="1"/>
      <c r="CG557" s="1"/>
      <c r="CH557" s="1"/>
      <c r="CI557" s="1"/>
      <c r="CJ557" s="1"/>
      <c r="CK557" s="1"/>
      <c r="CL557" s="1"/>
      <c r="CM557" s="1"/>
      <c r="CN557" s="1"/>
      <c r="CO557" s="1"/>
      <c r="CP557" s="1"/>
      <c r="CQ557" s="1"/>
      <c r="CR557" s="1"/>
      <c r="CS557" s="1"/>
      <c r="CT557" s="1"/>
      <c r="CU557" s="1"/>
    </row>
    <row r="558" spans="1:99">
      <c r="A558" s="197"/>
      <c r="B558" s="1"/>
      <c r="C558" s="1"/>
      <c r="D558" s="1"/>
      <c r="E558" s="1"/>
      <c r="F558" s="1"/>
      <c r="G558" s="3"/>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c r="BE558" s="1"/>
      <c r="BF558" s="1"/>
      <c r="BG558" s="1"/>
      <c r="BH558" s="1"/>
      <c r="BI558" s="1"/>
      <c r="BJ558" s="1"/>
      <c r="BK558" s="1"/>
      <c r="BL558" s="1"/>
      <c r="BM558" s="1"/>
      <c r="BN558" s="1"/>
      <c r="BO558" s="1"/>
      <c r="BP558" s="1"/>
      <c r="BQ558" s="1"/>
      <c r="BR558" s="1"/>
      <c r="BS558" s="1"/>
      <c r="BT558" s="1"/>
      <c r="BU558" s="1"/>
      <c r="BV558" s="1"/>
      <c r="BW558" s="1"/>
      <c r="BX558" s="1"/>
      <c r="BY558" s="1"/>
      <c r="BZ558" s="1"/>
      <c r="CA558" s="1"/>
      <c r="CB558" s="1"/>
      <c r="CC558" s="1"/>
      <c r="CD558" s="1"/>
      <c r="CE558" s="1"/>
      <c r="CF558" s="1"/>
      <c r="CG558" s="1"/>
      <c r="CH558" s="1"/>
      <c r="CI558" s="1"/>
      <c r="CJ558" s="1"/>
      <c r="CK558" s="1"/>
      <c r="CL558" s="1"/>
      <c r="CM558" s="1"/>
      <c r="CN558" s="1"/>
      <c r="CO558" s="1"/>
      <c r="CP558" s="1"/>
      <c r="CQ558" s="1"/>
      <c r="CR558" s="1"/>
      <c r="CS558" s="1"/>
      <c r="CT558" s="1"/>
      <c r="CU558" s="1"/>
    </row>
    <row r="559" spans="1:99">
      <c r="A559" s="197"/>
      <c r="B559" s="1"/>
      <c r="C559" s="1"/>
      <c r="D559" s="1"/>
      <c r="E559" s="1"/>
      <c r="F559" s="1"/>
      <c r="G559" s="3"/>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c r="BF559" s="1"/>
      <c r="BG559" s="1"/>
      <c r="BH559" s="1"/>
      <c r="BI559" s="1"/>
      <c r="BJ559" s="1"/>
      <c r="BK559" s="1"/>
      <c r="BL559" s="1"/>
      <c r="BM559" s="1"/>
      <c r="BN559" s="1"/>
      <c r="BO559" s="1"/>
      <c r="BP559" s="1"/>
      <c r="BQ559" s="1"/>
      <c r="BR559" s="1"/>
      <c r="BS559" s="1"/>
      <c r="BT559" s="1"/>
      <c r="BU559" s="1"/>
      <c r="BV559" s="1"/>
      <c r="BW559" s="1"/>
      <c r="BX559" s="1"/>
      <c r="BY559" s="1"/>
      <c r="BZ559" s="1"/>
      <c r="CA559" s="1"/>
      <c r="CB559" s="1"/>
      <c r="CC559" s="1"/>
      <c r="CD559" s="1"/>
      <c r="CE559" s="1"/>
      <c r="CF559" s="1"/>
      <c r="CG559" s="1"/>
      <c r="CH559" s="1"/>
      <c r="CI559" s="1"/>
      <c r="CJ559" s="1"/>
      <c r="CK559" s="1"/>
      <c r="CL559" s="1"/>
      <c r="CM559" s="1"/>
      <c r="CN559" s="1"/>
      <c r="CO559" s="1"/>
      <c r="CP559" s="1"/>
      <c r="CQ559" s="1"/>
      <c r="CR559" s="1"/>
      <c r="CS559" s="1"/>
      <c r="CT559" s="1"/>
      <c r="CU559" s="1"/>
    </row>
    <row r="560" spans="1:99">
      <c r="A560" s="197"/>
      <c r="B560" s="1"/>
      <c r="C560" s="1"/>
      <c r="D560" s="1"/>
      <c r="E560" s="1"/>
      <c r="F560" s="1"/>
      <c r="G560" s="3"/>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c r="BE560" s="1"/>
      <c r="BF560" s="1"/>
      <c r="BG560" s="1"/>
      <c r="BH560" s="1"/>
      <c r="BI560" s="1"/>
      <c r="BJ560" s="1"/>
      <c r="BK560" s="1"/>
      <c r="BL560" s="1"/>
      <c r="BM560" s="1"/>
      <c r="BN560" s="1"/>
      <c r="BO560" s="1"/>
      <c r="BP560" s="1"/>
      <c r="BQ560" s="1"/>
      <c r="BR560" s="1"/>
      <c r="BS560" s="1"/>
      <c r="BT560" s="1"/>
      <c r="BU560" s="1"/>
      <c r="BV560" s="1"/>
      <c r="BW560" s="1"/>
      <c r="BX560" s="1"/>
      <c r="BY560" s="1"/>
      <c r="BZ560" s="1"/>
      <c r="CA560" s="1"/>
      <c r="CB560" s="1"/>
      <c r="CC560" s="1"/>
      <c r="CD560" s="1"/>
      <c r="CE560" s="1"/>
      <c r="CF560" s="1"/>
      <c r="CG560" s="1"/>
      <c r="CH560" s="1"/>
      <c r="CI560" s="1"/>
      <c r="CJ560" s="1"/>
      <c r="CK560" s="1"/>
      <c r="CL560" s="1"/>
      <c r="CM560" s="1"/>
      <c r="CN560" s="1"/>
      <c r="CO560" s="1"/>
      <c r="CP560" s="1"/>
      <c r="CQ560" s="1"/>
      <c r="CR560" s="1"/>
      <c r="CS560" s="1"/>
      <c r="CT560" s="1"/>
      <c r="CU560" s="1"/>
    </row>
    <row r="561" spans="1:99">
      <c r="A561" s="197"/>
      <c r="B561" s="1"/>
      <c r="C561" s="1"/>
      <c r="D561" s="1"/>
      <c r="E561" s="1"/>
      <c r="F561" s="1"/>
      <c r="G561" s="3"/>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c r="BF561" s="1"/>
      <c r="BG561" s="1"/>
      <c r="BH561" s="1"/>
      <c r="BI561" s="1"/>
      <c r="BJ561" s="1"/>
      <c r="BK561" s="1"/>
      <c r="BL561" s="1"/>
      <c r="BM561" s="1"/>
      <c r="BN561" s="1"/>
      <c r="BO561" s="1"/>
      <c r="BP561" s="1"/>
      <c r="BQ561" s="1"/>
      <c r="BR561" s="1"/>
      <c r="BS561" s="1"/>
      <c r="BT561" s="1"/>
      <c r="BU561" s="1"/>
      <c r="BV561" s="1"/>
      <c r="BW561" s="1"/>
      <c r="BX561" s="1"/>
      <c r="BY561" s="1"/>
      <c r="BZ561" s="1"/>
      <c r="CA561" s="1"/>
      <c r="CB561" s="1"/>
      <c r="CC561" s="1"/>
      <c r="CD561" s="1"/>
      <c r="CE561" s="1"/>
      <c r="CF561" s="1"/>
      <c r="CG561" s="1"/>
      <c r="CH561" s="1"/>
      <c r="CI561" s="1"/>
      <c r="CJ561" s="1"/>
      <c r="CK561" s="1"/>
      <c r="CL561" s="1"/>
      <c r="CM561" s="1"/>
      <c r="CN561" s="1"/>
      <c r="CO561" s="1"/>
      <c r="CP561" s="1"/>
      <c r="CQ561" s="1"/>
      <c r="CR561" s="1"/>
      <c r="CS561" s="1"/>
      <c r="CT561" s="1"/>
      <c r="CU561" s="1"/>
    </row>
    <row r="562" spans="1:99">
      <c r="A562" s="197"/>
      <c r="B562" s="1"/>
      <c r="C562" s="1"/>
      <c r="D562" s="1"/>
      <c r="E562" s="1"/>
      <c r="F562" s="1"/>
      <c r="G562" s="3"/>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c r="BE562" s="1"/>
      <c r="BF562" s="1"/>
      <c r="BG562" s="1"/>
      <c r="BH562" s="1"/>
      <c r="BI562" s="1"/>
      <c r="BJ562" s="1"/>
      <c r="BK562" s="1"/>
      <c r="BL562" s="1"/>
      <c r="BM562" s="1"/>
      <c r="BN562" s="1"/>
      <c r="BO562" s="1"/>
      <c r="BP562" s="1"/>
      <c r="BQ562" s="1"/>
      <c r="BR562" s="1"/>
      <c r="BS562" s="1"/>
      <c r="BT562" s="1"/>
      <c r="BU562" s="1"/>
      <c r="BV562" s="1"/>
      <c r="BW562" s="1"/>
      <c r="BX562" s="1"/>
      <c r="BY562" s="1"/>
      <c r="BZ562" s="1"/>
      <c r="CA562" s="1"/>
      <c r="CB562" s="1"/>
      <c r="CC562" s="1"/>
      <c r="CD562" s="1"/>
      <c r="CE562" s="1"/>
      <c r="CF562" s="1"/>
      <c r="CG562" s="1"/>
      <c r="CH562" s="1"/>
      <c r="CI562" s="1"/>
      <c r="CJ562" s="1"/>
      <c r="CK562" s="1"/>
      <c r="CL562" s="1"/>
      <c r="CM562" s="1"/>
      <c r="CN562" s="1"/>
      <c r="CO562" s="1"/>
      <c r="CP562" s="1"/>
      <c r="CQ562" s="1"/>
      <c r="CR562" s="1"/>
      <c r="CS562" s="1"/>
      <c r="CT562" s="1"/>
      <c r="CU562" s="1"/>
    </row>
    <row r="563" spans="1:99">
      <c r="A563" s="197"/>
      <c r="B563" s="1"/>
      <c r="C563" s="1"/>
      <c r="D563" s="1"/>
      <c r="E563" s="1"/>
      <c r="F563" s="1"/>
      <c r="G563" s="3"/>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c r="BE563" s="1"/>
      <c r="BF563" s="1"/>
      <c r="BG563" s="1"/>
      <c r="BH563" s="1"/>
      <c r="BI563" s="1"/>
      <c r="BJ563" s="1"/>
      <c r="BK563" s="1"/>
      <c r="BL563" s="1"/>
      <c r="BM563" s="1"/>
      <c r="BN563" s="1"/>
      <c r="BO563" s="1"/>
      <c r="BP563" s="1"/>
      <c r="BQ563" s="1"/>
      <c r="BR563" s="1"/>
      <c r="BS563" s="1"/>
      <c r="BT563" s="1"/>
      <c r="BU563" s="1"/>
      <c r="BV563" s="1"/>
      <c r="BW563" s="1"/>
      <c r="BX563" s="1"/>
      <c r="BY563" s="1"/>
      <c r="BZ563" s="1"/>
      <c r="CA563" s="1"/>
      <c r="CB563" s="1"/>
      <c r="CC563" s="1"/>
      <c r="CD563" s="1"/>
      <c r="CE563" s="1"/>
      <c r="CF563" s="1"/>
      <c r="CG563" s="1"/>
      <c r="CH563" s="1"/>
      <c r="CI563" s="1"/>
      <c r="CJ563" s="1"/>
      <c r="CK563" s="1"/>
      <c r="CL563" s="1"/>
      <c r="CM563" s="1"/>
      <c r="CN563" s="1"/>
      <c r="CO563" s="1"/>
      <c r="CP563" s="1"/>
      <c r="CQ563" s="1"/>
      <c r="CR563" s="1"/>
      <c r="CS563" s="1"/>
      <c r="CT563" s="1"/>
      <c r="CU563" s="1"/>
    </row>
    <row r="564" spans="1:99">
      <c r="A564" s="197"/>
      <c r="B564" s="1"/>
      <c r="C564" s="1"/>
      <c r="D564" s="1"/>
      <c r="E564" s="1"/>
      <c r="F564" s="1"/>
      <c r="G564" s="3"/>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c r="BF564" s="1"/>
      <c r="BG564" s="1"/>
      <c r="BH564" s="1"/>
      <c r="BI564" s="1"/>
      <c r="BJ564" s="1"/>
      <c r="BK564" s="1"/>
      <c r="BL564" s="1"/>
      <c r="BM564" s="1"/>
      <c r="BN564" s="1"/>
      <c r="BO564" s="1"/>
      <c r="BP564" s="1"/>
      <c r="BQ564" s="1"/>
      <c r="BR564" s="1"/>
      <c r="BS564" s="1"/>
      <c r="BT564" s="1"/>
      <c r="BU564" s="1"/>
      <c r="BV564" s="1"/>
      <c r="BW564" s="1"/>
      <c r="BX564" s="1"/>
      <c r="BY564" s="1"/>
      <c r="BZ564" s="1"/>
      <c r="CA564" s="1"/>
      <c r="CB564" s="1"/>
      <c r="CC564" s="1"/>
      <c r="CD564" s="1"/>
      <c r="CE564" s="1"/>
      <c r="CF564" s="1"/>
      <c r="CG564" s="1"/>
      <c r="CH564" s="1"/>
      <c r="CI564" s="1"/>
      <c r="CJ564" s="1"/>
      <c r="CK564" s="1"/>
      <c r="CL564" s="1"/>
      <c r="CM564" s="1"/>
      <c r="CN564" s="1"/>
      <c r="CO564" s="1"/>
      <c r="CP564" s="1"/>
      <c r="CQ564" s="1"/>
      <c r="CR564" s="1"/>
      <c r="CS564" s="1"/>
      <c r="CT564" s="1"/>
      <c r="CU564" s="1"/>
    </row>
    <row r="565" spans="1:99">
      <c r="A565" s="197"/>
      <c r="B565" s="1"/>
      <c r="C565" s="1"/>
      <c r="D565" s="1"/>
      <c r="E565" s="1"/>
      <c r="F565" s="1"/>
      <c r="G565" s="3"/>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c r="BF565" s="1"/>
      <c r="BG565" s="1"/>
      <c r="BH565" s="1"/>
      <c r="BI565" s="1"/>
      <c r="BJ565" s="1"/>
      <c r="BK565" s="1"/>
      <c r="BL565" s="1"/>
      <c r="BM565" s="1"/>
      <c r="BN565" s="1"/>
      <c r="BO565" s="1"/>
      <c r="BP565" s="1"/>
      <c r="BQ565" s="1"/>
      <c r="BR565" s="1"/>
      <c r="BS565" s="1"/>
      <c r="BT565" s="1"/>
      <c r="BU565" s="1"/>
      <c r="BV565" s="1"/>
      <c r="BW565" s="1"/>
      <c r="BX565" s="1"/>
      <c r="BY565" s="1"/>
      <c r="BZ565" s="1"/>
      <c r="CA565" s="1"/>
      <c r="CB565" s="1"/>
      <c r="CC565" s="1"/>
      <c r="CD565" s="1"/>
      <c r="CE565" s="1"/>
      <c r="CF565" s="1"/>
      <c r="CG565" s="1"/>
      <c r="CH565" s="1"/>
      <c r="CI565" s="1"/>
      <c r="CJ565" s="1"/>
      <c r="CK565" s="1"/>
      <c r="CL565" s="1"/>
      <c r="CM565" s="1"/>
      <c r="CN565" s="1"/>
      <c r="CO565" s="1"/>
      <c r="CP565" s="1"/>
      <c r="CQ565" s="1"/>
      <c r="CR565" s="1"/>
      <c r="CS565" s="1"/>
      <c r="CT565" s="1"/>
      <c r="CU565" s="1"/>
    </row>
    <row r="566" spans="1:99">
      <c r="A566" s="197"/>
      <c r="B566" s="1"/>
      <c r="C566" s="1"/>
      <c r="D566" s="1"/>
      <c r="E566" s="1"/>
      <c r="F566" s="1"/>
      <c r="G566" s="3"/>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c r="BF566" s="1"/>
      <c r="BG566" s="1"/>
      <c r="BH566" s="1"/>
      <c r="BI566" s="1"/>
      <c r="BJ566" s="1"/>
      <c r="BK566" s="1"/>
      <c r="BL566" s="1"/>
      <c r="BM566" s="1"/>
      <c r="BN566" s="1"/>
      <c r="BO566" s="1"/>
      <c r="BP566" s="1"/>
      <c r="BQ566" s="1"/>
      <c r="BR566" s="1"/>
      <c r="BS566" s="1"/>
      <c r="BT566" s="1"/>
      <c r="BU566" s="1"/>
      <c r="BV566" s="1"/>
      <c r="BW566" s="1"/>
      <c r="BX566" s="1"/>
      <c r="BY566" s="1"/>
      <c r="BZ566" s="1"/>
      <c r="CA566" s="1"/>
      <c r="CB566" s="1"/>
      <c r="CC566" s="1"/>
      <c r="CD566" s="1"/>
      <c r="CE566" s="1"/>
      <c r="CF566" s="1"/>
      <c r="CG566" s="1"/>
      <c r="CH566" s="1"/>
      <c r="CI566" s="1"/>
      <c r="CJ566" s="1"/>
      <c r="CK566" s="1"/>
      <c r="CL566" s="1"/>
      <c r="CM566" s="1"/>
      <c r="CN566" s="1"/>
      <c r="CO566" s="1"/>
      <c r="CP566" s="1"/>
      <c r="CQ566" s="1"/>
      <c r="CR566" s="1"/>
      <c r="CS566" s="1"/>
      <c r="CT566" s="1"/>
      <c r="CU566" s="1"/>
    </row>
    <row r="567" spans="1:99">
      <c r="B567" s="1"/>
      <c r="C567" s="1"/>
      <c r="D567" s="1"/>
      <c r="E567" s="1"/>
      <c r="F567" s="1"/>
      <c r="G567" s="3"/>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c r="BE567" s="1"/>
      <c r="BF567" s="1"/>
      <c r="BG567" s="1"/>
      <c r="BH567" s="1"/>
      <c r="BI567" s="1"/>
      <c r="BJ567" s="1"/>
      <c r="BK567" s="1"/>
      <c r="BL567" s="1"/>
      <c r="BM567" s="1"/>
      <c r="BN567" s="1"/>
      <c r="BO567" s="1"/>
      <c r="BP567" s="1"/>
      <c r="BQ567" s="1"/>
      <c r="BR567" s="1"/>
      <c r="BS567" s="1"/>
      <c r="BT567" s="1"/>
      <c r="BU567" s="1"/>
      <c r="BV567" s="1"/>
      <c r="BW567" s="1"/>
      <c r="BX567" s="1"/>
      <c r="BY567" s="1"/>
      <c r="BZ567" s="1"/>
      <c r="CA567" s="1"/>
      <c r="CB567" s="1"/>
      <c r="CC567" s="1"/>
      <c r="CD567" s="1"/>
      <c r="CE567" s="1"/>
      <c r="CF567" s="1"/>
      <c r="CG567" s="1"/>
      <c r="CH567" s="1"/>
      <c r="CI567" s="1"/>
      <c r="CJ567" s="1"/>
      <c r="CK567" s="1"/>
      <c r="CL567" s="1"/>
      <c r="CM567" s="1"/>
      <c r="CN567" s="1"/>
      <c r="CO567" s="1"/>
      <c r="CP567" s="1"/>
      <c r="CQ567" s="1"/>
      <c r="CR567" s="1"/>
      <c r="CS567" s="1"/>
      <c r="CT567" s="1"/>
      <c r="CU567" s="1"/>
    </row>
    <row r="568" spans="1:99">
      <c r="B568" s="1"/>
      <c r="C568" s="1"/>
      <c r="D568" s="1"/>
      <c r="E568" s="1"/>
      <c r="F568" s="1"/>
      <c r="G568" s="3"/>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c r="BF568" s="1"/>
      <c r="BG568" s="1"/>
      <c r="BH568" s="1"/>
      <c r="BI568" s="1"/>
      <c r="BJ568" s="1"/>
      <c r="BK568" s="1"/>
      <c r="BL568" s="1"/>
      <c r="BM568" s="1"/>
      <c r="BN568" s="1"/>
      <c r="BO568" s="1"/>
      <c r="BP568" s="1"/>
      <c r="BQ568" s="1"/>
      <c r="BR568" s="1"/>
      <c r="BS568" s="1"/>
      <c r="BT568" s="1"/>
      <c r="BU568" s="1"/>
      <c r="BV568" s="1"/>
      <c r="BW568" s="1"/>
      <c r="BX568" s="1"/>
      <c r="BY568" s="1"/>
      <c r="BZ568" s="1"/>
      <c r="CA568" s="1"/>
      <c r="CB568" s="1"/>
      <c r="CC568" s="1"/>
      <c r="CD568" s="1"/>
      <c r="CE568" s="1"/>
      <c r="CF568" s="1"/>
      <c r="CG568" s="1"/>
      <c r="CH568" s="1"/>
      <c r="CI568" s="1"/>
      <c r="CJ568" s="1"/>
      <c r="CK568" s="1"/>
      <c r="CL568" s="1"/>
      <c r="CM568" s="1"/>
      <c r="CN568" s="1"/>
      <c r="CO568" s="1"/>
      <c r="CP568" s="1"/>
      <c r="CQ568" s="1"/>
      <c r="CR568" s="1"/>
      <c r="CS568" s="1"/>
      <c r="CT568" s="1"/>
      <c r="CU568" s="1"/>
    </row>
    <row r="569" spans="1:99">
      <c r="B569" s="1"/>
      <c r="C569" s="1"/>
      <c r="D569" s="1"/>
      <c r="E569" s="1"/>
      <c r="F569" s="1"/>
      <c r="G569" s="3"/>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c r="BF569" s="1"/>
      <c r="BG569" s="1"/>
      <c r="BH569" s="1"/>
      <c r="BI569" s="1"/>
      <c r="BJ569" s="1"/>
      <c r="BK569" s="1"/>
      <c r="BL569" s="1"/>
      <c r="BM569" s="1"/>
      <c r="BN569" s="1"/>
      <c r="BO569" s="1"/>
      <c r="BP569" s="1"/>
      <c r="BQ569" s="1"/>
      <c r="BR569" s="1"/>
      <c r="BS569" s="1"/>
      <c r="BT569" s="1"/>
      <c r="BU569" s="1"/>
      <c r="BV569" s="1"/>
      <c r="BW569" s="1"/>
      <c r="BX569" s="1"/>
      <c r="BY569" s="1"/>
      <c r="BZ569" s="1"/>
      <c r="CA569" s="1"/>
      <c r="CB569" s="1"/>
      <c r="CC569" s="1"/>
      <c r="CD569" s="1"/>
      <c r="CE569" s="1"/>
      <c r="CF569" s="1"/>
      <c r="CG569" s="1"/>
      <c r="CH569" s="1"/>
      <c r="CI569" s="1"/>
      <c r="CJ569" s="1"/>
      <c r="CK569" s="1"/>
      <c r="CL569" s="1"/>
      <c r="CM569" s="1"/>
      <c r="CN569" s="1"/>
      <c r="CO569" s="1"/>
      <c r="CP569" s="1"/>
      <c r="CQ569" s="1"/>
      <c r="CR569" s="1"/>
      <c r="CS569" s="1"/>
      <c r="CT569" s="1"/>
      <c r="CU569" s="1"/>
    </row>
    <row r="570" spans="1:99">
      <c r="B570" s="1"/>
      <c r="C570" s="1"/>
      <c r="D570" s="1"/>
      <c r="E570" s="1"/>
      <c r="F570" s="1"/>
      <c r="G570" s="3"/>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c r="BF570" s="1"/>
      <c r="BG570" s="1"/>
      <c r="BH570" s="1"/>
      <c r="BI570" s="1"/>
      <c r="BJ570" s="1"/>
      <c r="BK570" s="1"/>
      <c r="BL570" s="1"/>
      <c r="BM570" s="1"/>
      <c r="BN570" s="1"/>
      <c r="BO570" s="1"/>
      <c r="BP570" s="1"/>
      <c r="BQ570" s="1"/>
      <c r="BR570" s="1"/>
      <c r="BS570" s="1"/>
      <c r="BT570" s="1"/>
      <c r="BU570" s="1"/>
      <c r="BV570" s="1"/>
      <c r="BW570" s="1"/>
      <c r="BX570" s="1"/>
      <c r="BY570" s="1"/>
      <c r="BZ570" s="1"/>
      <c r="CA570" s="1"/>
      <c r="CB570" s="1"/>
      <c r="CC570" s="1"/>
      <c r="CD570" s="1"/>
      <c r="CE570" s="1"/>
      <c r="CF570" s="1"/>
      <c r="CG570" s="1"/>
      <c r="CH570" s="1"/>
      <c r="CI570" s="1"/>
      <c r="CJ570" s="1"/>
      <c r="CK570" s="1"/>
      <c r="CL570" s="1"/>
      <c r="CM570" s="1"/>
      <c r="CN570" s="1"/>
      <c r="CO570" s="1"/>
      <c r="CP570" s="1"/>
      <c r="CQ570" s="1"/>
      <c r="CR570" s="1"/>
      <c r="CS570" s="1"/>
      <c r="CT570" s="1"/>
      <c r="CU570" s="1"/>
    </row>
    <row r="571" spans="1:99">
      <c r="B571" s="1"/>
      <c r="C571" s="1"/>
      <c r="D571" s="1"/>
      <c r="E571" s="1"/>
      <c r="F571" s="1"/>
      <c r="G571" s="3"/>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c r="BE571" s="1"/>
      <c r="BF571" s="1"/>
      <c r="BG571" s="1"/>
      <c r="BH571" s="1"/>
      <c r="BI571" s="1"/>
      <c r="BJ571" s="1"/>
      <c r="BK571" s="1"/>
      <c r="BL571" s="1"/>
      <c r="BM571" s="1"/>
      <c r="BN571" s="1"/>
      <c r="BO571" s="1"/>
      <c r="BP571" s="1"/>
      <c r="BQ571" s="1"/>
      <c r="BR571" s="1"/>
      <c r="BS571" s="1"/>
      <c r="BT571" s="1"/>
      <c r="BU571" s="1"/>
      <c r="BV571" s="1"/>
      <c r="BW571" s="1"/>
      <c r="BX571" s="1"/>
      <c r="BY571" s="1"/>
      <c r="BZ571" s="1"/>
      <c r="CA571" s="1"/>
      <c r="CB571" s="1"/>
      <c r="CC571" s="1"/>
      <c r="CD571" s="1"/>
      <c r="CE571" s="1"/>
      <c r="CF571" s="1"/>
      <c r="CG571" s="1"/>
      <c r="CH571" s="1"/>
      <c r="CI571" s="1"/>
      <c r="CJ571" s="1"/>
      <c r="CK571" s="1"/>
      <c r="CL571" s="1"/>
      <c r="CM571" s="1"/>
      <c r="CN571" s="1"/>
      <c r="CO571" s="1"/>
      <c r="CP571" s="1"/>
      <c r="CQ571" s="1"/>
      <c r="CR571" s="1"/>
      <c r="CS571" s="1"/>
      <c r="CT571" s="1"/>
      <c r="CU571" s="1"/>
    </row>
    <row r="572" spans="1:99">
      <c r="B572" s="1"/>
      <c r="C572" s="1"/>
      <c r="D572" s="1"/>
      <c r="E572" s="1"/>
      <c r="F572" s="1"/>
      <c r="G572" s="3"/>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c r="BF572" s="1"/>
      <c r="BG572" s="1"/>
      <c r="BH572" s="1"/>
      <c r="BI572" s="1"/>
      <c r="BJ572" s="1"/>
      <c r="BK572" s="1"/>
      <c r="BL572" s="1"/>
      <c r="BM572" s="1"/>
      <c r="BN572" s="1"/>
      <c r="BO572" s="1"/>
      <c r="BP572" s="1"/>
      <c r="BQ572" s="1"/>
      <c r="BR572" s="1"/>
      <c r="BS572" s="1"/>
      <c r="BT572" s="1"/>
      <c r="BU572" s="1"/>
      <c r="BV572" s="1"/>
      <c r="BW572" s="1"/>
      <c r="BX572" s="1"/>
      <c r="BY572" s="1"/>
      <c r="BZ572" s="1"/>
      <c r="CA572" s="1"/>
      <c r="CB572" s="1"/>
      <c r="CC572" s="1"/>
      <c r="CD572" s="1"/>
      <c r="CE572" s="1"/>
      <c r="CF572" s="1"/>
      <c r="CG572" s="1"/>
      <c r="CH572" s="1"/>
      <c r="CI572" s="1"/>
      <c r="CJ572" s="1"/>
      <c r="CK572" s="1"/>
      <c r="CL572" s="1"/>
      <c r="CM572" s="1"/>
      <c r="CN572" s="1"/>
      <c r="CO572" s="1"/>
      <c r="CP572" s="1"/>
      <c r="CQ572" s="1"/>
      <c r="CR572" s="1"/>
      <c r="CS572" s="1"/>
      <c r="CT572" s="1"/>
      <c r="CU572" s="1"/>
    </row>
    <row r="573" spans="1:99">
      <c r="B573" s="1"/>
      <c r="C573" s="1"/>
      <c r="D573" s="1"/>
      <c r="E573" s="1"/>
      <c r="F573" s="1"/>
      <c r="G573" s="3"/>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c r="BE573" s="1"/>
      <c r="BF573" s="1"/>
      <c r="BG573" s="1"/>
      <c r="BH573" s="1"/>
      <c r="BI573" s="1"/>
      <c r="BJ573" s="1"/>
      <c r="BK573" s="1"/>
      <c r="BL573" s="1"/>
      <c r="BM573" s="1"/>
      <c r="BN573" s="1"/>
      <c r="BO573" s="1"/>
      <c r="BP573" s="1"/>
      <c r="BQ573" s="1"/>
      <c r="BR573" s="1"/>
      <c r="BS573" s="1"/>
      <c r="BT573" s="1"/>
      <c r="BU573" s="1"/>
      <c r="BV573" s="1"/>
      <c r="BW573" s="1"/>
      <c r="BX573" s="1"/>
      <c r="BY573" s="1"/>
      <c r="BZ573" s="1"/>
      <c r="CA573" s="1"/>
      <c r="CB573" s="1"/>
      <c r="CC573" s="1"/>
      <c r="CD573" s="1"/>
      <c r="CE573" s="1"/>
      <c r="CF573" s="1"/>
      <c r="CG573" s="1"/>
      <c r="CH573" s="1"/>
      <c r="CI573" s="1"/>
      <c r="CJ573" s="1"/>
      <c r="CK573" s="1"/>
      <c r="CL573" s="1"/>
      <c r="CM573" s="1"/>
      <c r="CN573" s="1"/>
      <c r="CO573" s="1"/>
      <c r="CP573" s="1"/>
      <c r="CQ573" s="1"/>
      <c r="CR573" s="1"/>
      <c r="CS573" s="1"/>
      <c r="CT573" s="1"/>
      <c r="CU573" s="1"/>
    </row>
    <row r="574" spans="1:99">
      <c r="B574" s="1"/>
      <c r="C574" s="1"/>
      <c r="D574" s="1"/>
      <c r="E574" s="1"/>
      <c r="F574" s="1"/>
      <c r="G574" s="3"/>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c r="BE574" s="1"/>
      <c r="BF574" s="1"/>
      <c r="BG574" s="1"/>
      <c r="BH574" s="1"/>
      <c r="BI574" s="1"/>
      <c r="BJ574" s="1"/>
      <c r="BK574" s="1"/>
      <c r="BL574" s="1"/>
      <c r="BM574" s="1"/>
      <c r="BN574" s="1"/>
      <c r="BO574" s="1"/>
      <c r="BP574" s="1"/>
      <c r="BQ574" s="1"/>
      <c r="BR574" s="1"/>
      <c r="BS574" s="1"/>
      <c r="BT574" s="1"/>
      <c r="BU574" s="1"/>
      <c r="BV574" s="1"/>
      <c r="BW574" s="1"/>
      <c r="BX574" s="1"/>
      <c r="BY574" s="1"/>
      <c r="BZ574" s="1"/>
      <c r="CA574" s="1"/>
      <c r="CB574" s="1"/>
      <c r="CC574" s="1"/>
      <c r="CD574" s="1"/>
      <c r="CE574" s="1"/>
      <c r="CF574" s="1"/>
      <c r="CG574" s="1"/>
      <c r="CH574" s="1"/>
      <c r="CI574" s="1"/>
      <c r="CJ574" s="1"/>
      <c r="CK574" s="1"/>
      <c r="CL574" s="1"/>
      <c r="CM574" s="1"/>
      <c r="CN574" s="1"/>
      <c r="CO574" s="1"/>
      <c r="CP574" s="1"/>
      <c r="CQ574" s="1"/>
      <c r="CR574" s="1"/>
      <c r="CS574" s="1"/>
      <c r="CT574" s="1"/>
      <c r="CU574" s="1"/>
    </row>
    <row r="575" spans="1:99">
      <c r="B575" s="1"/>
      <c r="C575" s="1"/>
      <c r="D575" s="1"/>
      <c r="E575" s="1"/>
      <c r="F575" s="1"/>
      <c r="G575" s="3"/>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c r="BE575" s="1"/>
      <c r="BF575" s="1"/>
      <c r="BG575" s="1"/>
      <c r="BH575" s="1"/>
      <c r="BI575" s="1"/>
      <c r="BJ575" s="1"/>
      <c r="BK575" s="1"/>
      <c r="BL575" s="1"/>
      <c r="BM575" s="1"/>
      <c r="BN575" s="1"/>
      <c r="BO575" s="1"/>
      <c r="BP575" s="1"/>
      <c r="BQ575" s="1"/>
      <c r="BR575" s="1"/>
      <c r="BS575" s="1"/>
      <c r="BT575" s="1"/>
      <c r="BU575" s="1"/>
      <c r="BV575" s="1"/>
      <c r="BW575" s="1"/>
      <c r="BX575" s="1"/>
      <c r="BY575" s="1"/>
      <c r="BZ575" s="1"/>
      <c r="CA575" s="1"/>
      <c r="CB575" s="1"/>
      <c r="CC575" s="1"/>
      <c r="CD575" s="1"/>
      <c r="CE575" s="1"/>
      <c r="CF575" s="1"/>
      <c r="CG575" s="1"/>
      <c r="CH575" s="1"/>
      <c r="CI575" s="1"/>
      <c r="CJ575" s="1"/>
      <c r="CK575" s="1"/>
      <c r="CL575" s="1"/>
      <c r="CM575" s="1"/>
      <c r="CN575" s="1"/>
      <c r="CO575" s="1"/>
      <c r="CP575" s="1"/>
      <c r="CQ575" s="1"/>
      <c r="CR575" s="1"/>
      <c r="CS575" s="1"/>
      <c r="CT575" s="1"/>
      <c r="CU575" s="1"/>
    </row>
    <row r="576" spans="1:99">
      <c r="B576" s="1"/>
      <c r="C576" s="1"/>
      <c r="D576" s="1"/>
      <c r="E576" s="1"/>
      <c r="F576" s="1"/>
      <c r="G576" s="3"/>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c r="BE576" s="1"/>
      <c r="BF576" s="1"/>
      <c r="BG576" s="1"/>
      <c r="BH576" s="1"/>
      <c r="BI576" s="1"/>
      <c r="BJ576" s="1"/>
      <c r="BK576" s="1"/>
      <c r="BL576" s="1"/>
      <c r="BM576" s="1"/>
      <c r="BN576" s="1"/>
      <c r="BO576" s="1"/>
      <c r="BP576" s="1"/>
      <c r="BQ576" s="1"/>
      <c r="BR576" s="1"/>
      <c r="BS576" s="1"/>
      <c r="BT576" s="1"/>
      <c r="BU576" s="1"/>
      <c r="BV576" s="1"/>
      <c r="BW576" s="1"/>
      <c r="BX576" s="1"/>
      <c r="BY576" s="1"/>
      <c r="BZ576" s="1"/>
      <c r="CA576" s="1"/>
      <c r="CB576" s="1"/>
      <c r="CC576" s="1"/>
      <c r="CD576" s="1"/>
      <c r="CE576" s="1"/>
      <c r="CF576" s="1"/>
      <c r="CG576" s="1"/>
      <c r="CH576" s="1"/>
      <c r="CI576" s="1"/>
      <c r="CJ576" s="1"/>
      <c r="CK576" s="1"/>
      <c r="CL576" s="1"/>
      <c r="CM576" s="1"/>
      <c r="CN576" s="1"/>
      <c r="CO576" s="1"/>
      <c r="CP576" s="1"/>
      <c r="CQ576" s="1"/>
      <c r="CR576" s="1"/>
      <c r="CS576" s="1"/>
      <c r="CT576" s="1"/>
      <c r="CU576" s="1"/>
    </row>
    <row r="577" spans="2:99">
      <c r="B577" s="1"/>
      <c r="C577" s="1"/>
      <c r="D577" s="1"/>
      <c r="E577" s="1"/>
      <c r="F577" s="1"/>
      <c r="G577" s="3"/>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c r="BE577" s="1"/>
      <c r="BF577" s="1"/>
      <c r="BG577" s="1"/>
      <c r="BH577" s="1"/>
      <c r="BI577" s="1"/>
      <c r="BJ577" s="1"/>
      <c r="BK577" s="1"/>
      <c r="BL577" s="1"/>
      <c r="BM577" s="1"/>
      <c r="BN577" s="1"/>
      <c r="BO577" s="1"/>
      <c r="BP577" s="1"/>
      <c r="BQ577" s="1"/>
      <c r="BR577" s="1"/>
      <c r="BS577" s="1"/>
      <c r="BT577" s="1"/>
      <c r="BU577" s="1"/>
      <c r="BV577" s="1"/>
      <c r="BW577" s="1"/>
      <c r="BX577" s="1"/>
      <c r="BY577" s="1"/>
      <c r="BZ577" s="1"/>
      <c r="CA577" s="1"/>
      <c r="CB577" s="1"/>
      <c r="CC577" s="1"/>
      <c r="CD577" s="1"/>
      <c r="CE577" s="1"/>
      <c r="CF577" s="1"/>
      <c r="CG577" s="1"/>
      <c r="CH577" s="1"/>
      <c r="CI577" s="1"/>
      <c r="CJ577" s="1"/>
      <c r="CK577" s="1"/>
      <c r="CL577" s="1"/>
      <c r="CM577" s="1"/>
      <c r="CN577" s="1"/>
      <c r="CO577" s="1"/>
      <c r="CP577" s="1"/>
      <c r="CQ577" s="1"/>
      <c r="CR577" s="1"/>
      <c r="CS577" s="1"/>
      <c r="CT577" s="1"/>
      <c r="CU577" s="1"/>
    </row>
    <row r="578" spans="2:99">
      <c r="B578" s="1"/>
      <c r="C578" s="1"/>
      <c r="D578" s="1"/>
      <c r="E578" s="1"/>
      <c r="F578" s="1"/>
      <c r="G578" s="3"/>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c r="BF578" s="1"/>
      <c r="BG578" s="1"/>
      <c r="BH578" s="1"/>
      <c r="BI578" s="1"/>
      <c r="BJ578" s="1"/>
      <c r="BK578" s="1"/>
      <c r="BL578" s="1"/>
      <c r="BM578" s="1"/>
      <c r="BN578" s="1"/>
      <c r="BO578" s="1"/>
      <c r="BP578" s="1"/>
      <c r="BQ578" s="1"/>
      <c r="BR578" s="1"/>
      <c r="BS578" s="1"/>
      <c r="BT578" s="1"/>
      <c r="BU578" s="1"/>
      <c r="BV578" s="1"/>
      <c r="BW578" s="1"/>
      <c r="BX578" s="1"/>
      <c r="BY578" s="1"/>
      <c r="BZ578" s="1"/>
      <c r="CA578" s="1"/>
      <c r="CB578" s="1"/>
      <c r="CC578" s="1"/>
      <c r="CD578" s="1"/>
      <c r="CE578" s="1"/>
      <c r="CF578" s="1"/>
      <c r="CG578" s="1"/>
      <c r="CH578" s="1"/>
      <c r="CI578" s="1"/>
      <c r="CJ578" s="1"/>
      <c r="CK578" s="1"/>
      <c r="CL578" s="1"/>
      <c r="CM578" s="1"/>
      <c r="CN578" s="1"/>
      <c r="CO578" s="1"/>
      <c r="CP578" s="1"/>
      <c r="CQ578" s="1"/>
      <c r="CR578" s="1"/>
      <c r="CS578" s="1"/>
      <c r="CT578" s="1"/>
      <c r="CU578" s="1"/>
    </row>
    <row r="579" spans="2:99">
      <c r="B579" s="1"/>
      <c r="C579" s="1"/>
      <c r="D579" s="1"/>
      <c r="E579" s="1"/>
      <c r="F579" s="1"/>
      <c r="G579" s="3"/>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c r="BE579" s="1"/>
      <c r="BF579" s="1"/>
      <c r="BG579" s="1"/>
      <c r="BH579" s="1"/>
      <c r="BI579" s="1"/>
      <c r="BJ579" s="1"/>
      <c r="BK579" s="1"/>
      <c r="BL579" s="1"/>
      <c r="BM579" s="1"/>
      <c r="BN579" s="1"/>
      <c r="BO579" s="1"/>
      <c r="BP579" s="1"/>
      <c r="BQ579" s="1"/>
      <c r="BR579" s="1"/>
      <c r="BS579" s="1"/>
      <c r="BT579" s="1"/>
      <c r="BU579" s="1"/>
      <c r="BV579" s="1"/>
      <c r="BW579" s="1"/>
      <c r="BX579" s="1"/>
      <c r="BY579" s="1"/>
      <c r="BZ579" s="1"/>
      <c r="CA579" s="1"/>
      <c r="CB579" s="1"/>
      <c r="CC579" s="1"/>
      <c r="CD579" s="1"/>
      <c r="CE579" s="1"/>
      <c r="CF579" s="1"/>
      <c r="CG579" s="1"/>
      <c r="CH579" s="1"/>
      <c r="CI579" s="1"/>
      <c r="CJ579" s="1"/>
      <c r="CK579" s="1"/>
      <c r="CL579" s="1"/>
      <c r="CM579" s="1"/>
      <c r="CN579" s="1"/>
      <c r="CO579" s="1"/>
      <c r="CP579" s="1"/>
      <c r="CQ579" s="1"/>
      <c r="CR579" s="1"/>
      <c r="CS579" s="1"/>
      <c r="CT579" s="1"/>
      <c r="CU579" s="1"/>
    </row>
    <row r="580" spans="2:99">
      <c r="B580" s="1"/>
      <c r="C580" s="1"/>
      <c r="D580" s="1"/>
      <c r="E580" s="1"/>
      <c r="F580" s="1"/>
      <c r="G580" s="3"/>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c r="BE580" s="1"/>
      <c r="BF580" s="1"/>
      <c r="BG580" s="1"/>
      <c r="BH580" s="1"/>
      <c r="BI580" s="1"/>
      <c r="BJ580" s="1"/>
      <c r="BK580" s="1"/>
      <c r="BL580" s="1"/>
      <c r="BM580" s="1"/>
      <c r="BN580" s="1"/>
      <c r="BO580" s="1"/>
      <c r="BP580" s="1"/>
      <c r="BQ580" s="1"/>
      <c r="BR580" s="1"/>
      <c r="BS580" s="1"/>
      <c r="BT580" s="1"/>
      <c r="BU580" s="1"/>
      <c r="BV580" s="1"/>
      <c r="BW580" s="1"/>
      <c r="BX580" s="1"/>
      <c r="BY580" s="1"/>
      <c r="BZ580" s="1"/>
      <c r="CA580" s="1"/>
      <c r="CB580" s="1"/>
      <c r="CC580" s="1"/>
      <c r="CD580" s="1"/>
      <c r="CE580" s="1"/>
      <c r="CF580" s="1"/>
      <c r="CG580" s="1"/>
      <c r="CH580" s="1"/>
      <c r="CI580" s="1"/>
      <c r="CJ580" s="1"/>
      <c r="CK580" s="1"/>
      <c r="CL580" s="1"/>
      <c r="CM580" s="1"/>
      <c r="CN580" s="1"/>
      <c r="CO580" s="1"/>
      <c r="CP580" s="1"/>
      <c r="CQ580" s="1"/>
      <c r="CR580" s="1"/>
      <c r="CS580" s="1"/>
      <c r="CT580" s="1"/>
      <c r="CU580" s="1"/>
    </row>
    <row r="581" spans="2:99">
      <c r="B581" s="1"/>
      <c r="C581" s="1"/>
      <c r="D581" s="1"/>
      <c r="E581" s="1"/>
      <c r="F581" s="1"/>
      <c r="G581" s="3"/>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c r="BE581" s="1"/>
      <c r="BF581" s="1"/>
      <c r="BG581" s="1"/>
      <c r="BH581" s="1"/>
      <c r="BI581" s="1"/>
      <c r="BJ581" s="1"/>
      <c r="BK581" s="1"/>
      <c r="BL581" s="1"/>
      <c r="BM581" s="1"/>
      <c r="BN581" s="1"/>
      <c r="BO581" s="1"/>
      <c r="BP581" s="1"/>
      <c r="BQ581" s="1"/>
      <c r="BR581" s="1"/>
      <c r="BS581" s="1"/>
      <c r="BT581" s="1"/>
      <c r="BU581" s="1"/>
      <c r="BV581" s="1"/>
      <c r="BW581" s="1"/>
      <c r="BX581" s="1"/>
      <c r="BY581" s="1"/>
      <c r="BZ581" s="1"/>
      <c r="CA581" s="1"/>
      <c r="CB581" s="1"/>
      <c r="CC581" s="1"/>
      <c r="CD581" s="1"/>
      <c r="CE581" s="1"/>
      <c r="CF581" s="1"/>
      <c r="CG581" s="1"/>
      <c r="CH581" s="1"/>
      <c r="CI581" s="1"/>
      <c r="CJ581" s="1"/>
      <c r="CK581" s="1"/>
      <c r="CL581" s="1"/>
      <c r="CM581" s="1"/>
      <c r="CN581" s="1"/>
      <c r="CO581" s="1"/>
      <c r="CP581" s="1"/>
      <c r="CQ581" s="1"/>
      <c r="CR581" s="1"/>
      <c r="CS581" s="1"/>
      <c r="CT581" s="1"/>
      <c r="CU581" s="1"/>
    </row>
    <row r="582" spans="2:99">
      <c r="B582" s="1"/>
      <c r="C582" s="1"/>
      <c r="D582" s="1"/>
      <c r="E582" s="1"/>
      <c r="F582" s="1"/>
      <c r="G582" s="3"/>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c r="BE582" s="1"/>
      <c r="BF582" s="1"/>
      <c r="BG582" s="1"/>
      <c r="BH582" s="1"/>
      <c r="BI582" s="1"/>
      <c r="BJ582" s="1"/>
      <c r="BK582" s="1"/>
      <c r="BL582" s="1"/>
      <c r="BM582" s="1"/>
      <c r="BN582" s="1"/>
      <c r="BO582" s="1"/>
      <c r="BP582" s="1"/>
      <c r="BQ582" s="1"/>
      <c r="BR582" s="1"/>
      <c r="BS582" s="1"/>
      <c r="BT582" s="1"/>
      <c r="BU582" s="1"/>
      <c r="BV582" s="1"/>
      <c r="BW582" s="1"/>
      <c r="BX582" s="1"/>
      <c r="BY582" s="1"/>
      <c r="BZ582" s="1"/>
      <c r="CA582" s="1"/>
      <c r="CB582" s="1"/>
      <c r="CC582" s="1"/>
      <c r="CD582" s="1"/>
      <c r="CE582" s="1"/>
      <c r="CF582" s="1"/>
      <c r="CG582" s="1"/>
      <c r="CH582" s="1"/>
      <c r="CI582" s="1"/>
      <c r="CJ582" s="1"/>
      <c r="CK582" s="1"/>
      <c r="CL582" s="1"/>
      <c r="CM582" s="1"/>
      <c r="CN582" s="1"/>
      <c r="CO582" s="1"/>
      <c r="CP582" s="1"/>
      <c r="CQ582" s="1"/>
      <c r="CR582" s="1"/>
      <c r="CS582" s="1"/>
      <c r="CT582" s="1"/>
      <c r="CU582" s="1"/>
    </row>
    <row r="583" spans="2:99">
      <c r="B583" s="1"/>
      <c r="C583" s="1"/>
      <c r="D583" s="1"/>
      <c r="E583" s="1"/>
      <c r="F583" s="1"/>
      <c r="G583" s="3"/>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c r="BE583" s="1"/>
      <c r="BF583" s="1"/>
      <c r="BG583" s="1"/>
      <c r="BH583" s="1"/>
      <c r="BI583" s="1"/>
      <c r="BJ583" s="1"/>
      <c r="BK583" s="1"/>
      <c r="BL583" s="1"/>
      <c r="BM583" s="1"/>
      <c r="BN583" s="1"/>
      <c r="BO583" s="1"/>
      <c r="BP583" s="1"/>
      <c r="BQ583" s="1"/>
      <c r="BR583" s="1"/>
      <c r="BS583" s="1"/>
      <c r="BT583" s="1"/>
      <c r="BU583" s="1"/>
      <c r="BV583" s="1"/>
      <c r="BW583" s="1"/>
      <c r="BX583" s="1"/>
      <c r="BY583" s="1"/>
      <c r="BZ583" s="1"/>
      <c r="CA583" s="1"/>
      <c r="CB583" s="1"/>
      <c r="CC583" s="1"/>
      <c r="CD583" s="1"/>
      <c r="CE583" s="1"/>
      <c r="CF583" s="1"/>
      <c r="CG583" s="1"/>
      <c r="CH583" s="1"/>
      <c r="CI583" s="1"/>
      <c r="CJ583" s="1"/>
      <c r="CK583" s="1"/>
      <c r="CL583" s="1"/>
      <c r="CM583" s="1"/>
      <c r="CN583" s="1"/>
      <c r="CO583" s="1"/>
      <c r="CP583" s="1"/>
      <c r="CQ583" s="1"/>
      <c r="CR583" s="1"/>
      <c r="CS583" s="1"/>
      <c r="CT583" s="1"/>
      <c r="CU583" s="1"/>
    </row>
    <row r="584" spans="2:99">
      <c r="B584" s="1"/>
      <c r="C584" s="1"/>
      <c r="D584" s="1"/>
      <c r="E584" s="1"/>
      <c r="F584" s="1"/>
      <c r="G584" s="3"/>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c r="BE584" s="1"/>
      <c r="BF584" s="1"/>
      <c r="BG584" s="1"/>
      <c r="BH584" s="1"/>
      <c r="BI584" s="1"/>
      <c r="BJ584" s="1"/>
      <c r="BK584" s="1"/>
      <c r="BL584" s="1"/>
      <c r="BM584" s="1"/>
      <c r="BN584" s="1"/>
      <c r="BO584" s="1"/>
      <c r="BP584" s="1"/>
      <c r="BQ584" s="1"/>
      <c r="BR584" s="1"/>
      <c r="BS584" s="1"/>
      <c r="BT584" s="1"/>
      <c r="BU584" s="1"/>
      <c r="BV584" s="1"/>
      <c r="BW584" s="1"/>
      <c r="BX584" s="1"/>
      <c r="BY584" s="1"/>
      <c r="BZ584" s="1"/>
      <c r="CA584" s="1"/>
      <c r="CB584" s="1"/>
      <c r="CC584" s="1"/>
      <c r="CD584" s="1"/>
      <c r="CE584" s="1"/>
      <c r="CF584" s="1"/>
      <c r="CG584" s="1"/>
      <c r="CH584" s="1"/>
      <c r="CI584" s="1"/>
      <c r="CJ584" s="1"/>
      <c r="CK584" s="1"/>
      <c r="CL584" s="1"/>
      <c r="CM584" s="1"/>
      <c r="CN584" s="1"/>
      <c r="CO584" s="1"/>
      <c r="CP584" s="1"/>
      <c r="CQ584" s="1"/>
      <c r="CR584" s="1"/>
      <c r="CS584" s="1"/>
      <c r="CT584" s="1"/>
      <c r="CU584" s="1"/>
    </row>
    <row r="585" spans="2:99">
      <c r="B585" s="1"/>
      <c r="C585" s="1"/>
      <c r="D585" s="1"/>
      <c r="E585" s="1"/>
      <c r="F585" s="1"/>
      <c r="G585" s="3"/>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c r="BE585" s="1"/>
      <c r="BF585" s="1"/>
      <c r="BG585" s="1"/>
      <c r="BH585" s="1"/>
      <c r="BI585" s="1"/>
      <c r="BJ585" s="1"/>
      <c r="BK585" s="1"/>
      <c r="BL585" s="1"/>
      <c r="BM585" s="1"/>
      <c r="BN585" s="1"/>
      <c r="BO585" s="1"/>
      <c r="BP585" s="1"/>
      <c r="BQ585" s="1"/>
      <c r="BR585" s="1"/>
      <c r="BS585" s="1"/>
      <c r="BT585" s="1"/>
      <c r="BU585" s="1"/>
      <c r="BV585" s="1"/>
      <c r="BW585" s="1"/>
      <c r="BX585" s="1"/>
      <c r="BY585" s="1"/>
      <c r="BZ585" s="1"/>
      <c r="CA585" s="1"/>
      <c r="CB585" s="1"/>
      <c r="CC585" s="1"/>
      <c r="CD585" s="1"/>
      <c r="CE585" s="1"/>
      <c r="CF585" s="1"/>
      <c r="CG585" s="1"/>
      <c r="CH585" s="1"/>
      <c r="CI585" s="1"/>
      <c r="CJ585" s="1"/>
      <c r="CK585" s="1"/>
      <c r="CL585" s="1"/>
      <c r="CM585" s="1"/>
      <c r="CN585" s="1"/>
      <c r="CO585" s="1"/>
      <c r="CP585" s="1"/>
      <c r="CQ585" s="1"/>
      <c r="CR585" s="1"/>
      <c r="CS585" s="1"/>
      <c r="CT585" s="1"/>
      <c r="CU585" s="1"/>
    </row>
    <row r="586" spans="2:99">
      <c r="B586" s="1"/>
      <c r="C586" s="1"/>
      <c r="D586" s="1"/>
      <c r="E586" s="1"/>
      <c r="F586" s="1"/>
      <c r="G586" s="3"/>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c r="BE586" s="1"/>
      <c r="BF586" s="1"/>
      <c r="BG586" s="1"/>
      <c r="BH586" s="1"/>
      <c r="BI586" s="1"/>
      <c r="BJ586" s="1"/>
      <c r="BK586" s="1"/>
      <c r="BL586" s="1"/>
      <c r="BM586" s="1"/>
      <c r="BN586" s="1"/>
      <c r="BO586" s="1"/>
      <c r="BP586" s="1"/>
      <c r="BQ586" s="1"/>
      <c r="BR586" s="1"/>
      <c r="BS586" s="1"/>
      <c r="BT586" s="1"/>
      <c r="BU586" s="1"/>
      <c r="BV586" s="1"/>
      <c r="BW586" s="1"/>
      <c r="BX586" s="1"/>
      <c r="BY586" s="1"/>
      <c r="BZ586" s="1"/>
      <c r="CA586" s="1"/>
      <c r="CB586" s="1"/>
      <c r="CC586" s="1"/>
      <c r="CD586" s="1"/>
      <c r="CE586" s="1"/>
      <c r="CF586" s="1"/>
      <c r="CG586" s="1"/>
      <c r="CH586" s="1"/>
      <c r="CI586" s="1"/>
      <c r="CJ586" s="1"/>
      <c r="CK586" s="1"/>
      <c r="CL586" s="1"/>
      <c r="CM586" s="1"/>
      <c r="CN586" s="1"/>
      <c r="CO586" s="1"/>
      <c r="CP586" s="1"/>
      <c r="CQ586" s="1"/>
      <c r="CR586" s="1"/>
      <c r="CS586" s="1"/>
      <c r="CT586" s="1"/>
      <c r="CU586" s="1"/>
    </row>
    <row r="587" spans="2:99">
      <c r="B587" s="1"/>
      <c r="C587" s="1"/>
      <c r="D587" s="1"/>
      <c r="E587" s="1"/>
      <c r="F587" s="1"/>
      <c r="G587" s="3"/>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c r="BE587" s="1"/>
      <c r="BF587" s="1"/>
      <c r="BG587" s="1"/>
      <c r="BH587" s="1"/>
      <c r="BI587" s="1"/>
      <c r="BJ587" s="1"/>
      <c r="BK587" s="1"/>
      <c r="BL587" s="1"/>
      <c r="BM587" s="1"/>
      <c r="BN587" s="1"/>
      <c r="BO587" s="1"/>
      <c r="BP587" s="1"/>
      <c r="BQ587" s="1"/>
      <c r="BR587" s="1"/>
      <c r="BS587" s="1"/>
      <c r="BT587" s="1"/>
      <c r="BU587" s="1"/>
      <c r="BV587" s="1"/>
      <c r="BW587" s="1"/>
      <c r="BX587" s="1"/>
      <c r="BY587" s="1"/>
      <c r="BZ587" s="1"/>
      <c r="CA587" s="1"/>
      <c r="CB587" s="1"/>
      <c r="CC587" s="1"/>
      <c r="CD587" s="1"/>
      <c r="CE587" s="1"/>
      <c r="CF587" s="1"/>
      <c r="CG587" s="1"/>
      <c r="CH587" s="1"/>
      <c r="CI587" s="1"/>
      <c r="CJ587" s="1"/>
      <c r="CK587" s="1"/>
      <c r="CL587" s="1"/>
      <c r="CM587" s="1"/>
      <c r="CN587" s="1"/>
      <c r="CO587" s="1"/>
      <c r="CP587" s="1"/>
      <c r="CQ587" s="1"/>
      <c r="CR587" s="1"/>
      <c r="CS587" s="1"/>
      <c r="CT587" s="1"/>
      <c r="CU587" s="1"/>
    </row>
    <row r="588" spans="2:99">
      <c r="B588" s="1"/>
      <c r="C588" s="1"/>
      <c r="D588" s="1"/>
      <c r="E588" s="1"/>
      <c r="F588" s="1"/>
      <c r="G588" s="3"/>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c r="BF588" s="1"/>
      <c r="BG588" s="1"/>
      <c r="BH588" s="1"/>
      <c r="BI588" s="1"/>
      <c r="BJ588" s="1"/>
      <c r="BK588" s="1"/>
      <c r="BL588" s="1"/>
      <c r="BM588" s="1"/>
      <c r="BN588" s="1"/>
      <c r="BO588" s="1"/>
      <c r="BP588" s="1"/>
      <c r="BQ588" s="1"/>
      <c r="BR588" s="1"/>
      <c r="BS588" s="1"/>
      <c r="BT588" s="1"/>
      <c r="BU588" s="1"/>
      <c r="BV588" s="1"/>
      <c r="BW588" s="1"/>
      <c r="BX588" s="1"/>
      <c r="BY588" s="1"/>
      <c r="BZ588" s="1"/>
      <c r="CA588" s="1"/>
      <c r="CB588" s="1"/>
      <c r="CC588" s="1"/>
      <c r="CD588" s="1"/>
      <c r="CE588" s="1"/>
      <c r="CF588" s="1"/>
      <c r="CG588" s="1"/>
      <c r="CH588" s="1"/>
      <c r="CI588" s="1"/>
      <c r="CJ588" s="1"/>
      <c r="CK588" s="1"/>
      <c r="CL588" s="1"/>
      <c r="CM588" s="1"/>
      <c r="CN588" s="1"/>
      <c r="CO588" s="1"/>
      <c r="CP588" s="1"/>
      <c r="CQ588" s="1"/>
      <c r="CR588" s="1"/>
      <c r="CS588" s="1"/>
      <c r="CT588" s="1"/>
      <c r="CU588" s="1"/>
    </row>
    <row r="589" spans="2:99">
      <c r="B589" s="1"/>
      <c r="C589" s="1"/>
      <c r="D589" s="1"/>
      <c r="E589" s="1"/>
      <c r="F589" s="1"/>
      <c r="G589" s="3"/>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c r="BE589" s="1"/>
      <c r="BF589" s="1"/>
      <c r="BG589" s="1"/>
      <c r="BH589" s="1"/>
      <c r="BI589" s="1"/>
      <c r="BJ589" s="1"/>
      <c r="BK589" s="1"/>
      <c r="BL589" s="1"/>
      <c r="BM589" s="1"/>
      <c r="BN589" s="1"/>
      <c r="BO589" s="1"/>
      <c r="BP589" s="1"/>
      <c r="BQ589" s="1"/>
      <c r="BR589" s="1"/>
      <c r="BS589" s="1"/>
      <c r="BT589" s="1"/>
      <c r="BU589" s="1"/>
      <c r="BV589" s="1"/>
      <c r="BW589" s="1"/>
      <c r="BX589" s="1"/>
      <c r="BY589" s="1"/>
      <c r="BZ589" s="1"/>
      <c r="CA589" s="1"/>
      <c r="CB589" s="1"/>
      <c r="CC589" s="1"/>
      <c r="CD589" s="1"/>
      <c r="CE589" s="1"/>
      <c r="CF589" s="1"/>
      <c r="CG589" s="1"/>
      <c r="CH589" s="1"/>
      <c r="CI589" s="1"/>
      <c r="CJ589" s="1"/>
      <c r="CK589" s="1"/>
      <c r="CL589" s="1"/>
      <c r="CM589" s="1"/>
      <c r="CN589" s="1"/>
      <c r="CO589" s="1"/>
      <c r="CP589" s="1"/>
      <c r="CQ589" s="1"/>
      <c r="CR589" s="1"/>
      <c r="CS589" s="1"/>
      <c r="CT589" s="1"/>
      <c r="CU589" s="1"/>
    </row>
    <row r="590" spans="2:99">
      <c r="B590" s="1"/>
      <c r="C590" s="1"/>
      <c r="D590" s="1"/>
      <c r="E590" s="1"/>
      <c r="F590" s="1"/>
      <c r="G590" s="3"/>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c r="BF590" s="1"/>
      <c r="BG590" s="1"/>
      <c r="BH590" s="1"/>
      <c r="BI590" s="1"/>
      <c r="BJ590" s="1"/>
      <c r="BK590" s="1"/>
      <c r="BL590" s="1"/>
      <c r="BM590" s="1"/>
      <c r="BN590" s="1"/>
      <c r="BO590" s="1"/>
      <c r="BP590" s="1"/>
      <c r="BQ590" s="1"/>
      <c r="BR590" s="1"/>
      <c r="BS590" s="1"/>
      <c r="BT590" s="1"/>
      <c r="BU590" s="1"/>
      <c r="BV590" s="1"/>
      <c r="BW590" s="1"/>
      <c r="BX590" s="1"/>
      <c r="BY590" s="1"/>
      <c r="BZ590" s="1"/>
      <c r="CA590" s="1"/>
      <c r="CB590" s="1"/>
      <c r="CC590" s="1"/>
      <c r="CD590" s="1"/>
      <c r="CE590" s="1"/>
      <c r="CF590" s="1"/>
      <c r="CG590" s="1"/>
      <c r="CH590" s="1"/>
      <c r="CI590" s="1"/>
      <c r="CJ590" s="1"/>
      <c r="CK590" s="1"/>
      <c r="CL590" s="1"/>
      <c r="CM590" s="1"/>
      <c r="CN590" s="1"/>
      <c r="CO590" s="1"/>
      <c r="CP590" s="1"/>
      <c r="CQ590" s="1"/>
      <c r="CR590" s="1"/>
      <c r="CS590" s="1"/>
      <c r="CT590" s="1"/>
      <c r="CU590" s="1"/>
    </row>
    <row r="591" spans="2:99">
      <c r="B591" s="1"/>
      <c r="C591" s="1"/>
      <c r="D591" s="1"/>
      <c r="E591" s="1"/>
      <c r="F591" s="1"/>
      <c r="G591" s="3"/>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c r="BF591" s="1"/>
      <c r="BG591" s="1"/>
      <c r="BH591" s="1"/>
      <c r="BI591" s="1"/>
      <c r="BJ591" s="1"/>
      <c r="BK591" s="1"/>
      <c r="BL591" s="1"/>
      <c r="BM591" s="1"/>
      <c r="BN591" s="1"/>
      <c r="BO591" s="1"/>
      <c r="BP591" s="1"/>
      <c r="BQ591" s="1"/>
      <c r="BR591" s="1"/>
      <c r="BS591" s="1"/>
      <c r="BT591" s="1"/>
      <c r="BU591" s="1"/>
      <c r="BV591" s="1"/>
      <c r="BW591" s="1"/>
      <c r="BX591" s="1"/>
      <c r="BY591" s="1"/>
      <c r="BZ591" s="1"/>
      <c r="CA591" s="1"/>
      <c r="CB591" s="1"/>
      <c r="CC591" s="1"/>
      <c r="CD591" s="1"/>
      <c r="CE591" s="1"/>
      <c r="CF591" s="1"/>
      <c r="CG591" s="1"/>
      <c r="CH591" s="1"/>
      <c r="CI591" s="1"/>
      <c r="CJ591" s="1"/>
      <c r="CK591" s="1"/>
      <c r="CL591" s="1"/>
      <c r="CM591" s="1"/>
      <c r="CN591" s="1"/>
      <c r="CO591" s="1"/>
      <c r="CP591" s="1"/>
      <c r="CQ591" s="1"/>
      <c r="CR591" s="1"/>
      <c r="CS591" s="1"/>
      <c r="CT591" s="1"/>
      <c r="CU591" s="1"/>
    </row>
    <row r="592" spans="2:99">
      <c r="B592" s="1"/>
      <c r="C592" s="1"/>
      <c r="D592" s="1"/>
      <c r="E592" s="1"/>
      <c r="F592" s="1"/>
      <c r="G592" s="3"/>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c r="BF592" s="1"/>
      <c r="BG592" s="1"/>
      <c r="BH592" s="1"/>
      <c r="BI592" s="1"/>
      <c r="BJ592" s="1"/>
      <c r="BK592" s="1"/>
      <c r="BL592" s="1"/>
      <c r="BM592" s="1"/>
      <c r="BN592" s="1"/>
      <c r="BO592" s="1"/>
      <c r="BP592" s="1"/>
      <c r="BQ592" s="1"/>
      <c r="BR592" s="1"/>
      <c r="BS592" s="1"/>
      <c r="BT592" s="1"/>
      <c r="BU592" s="1"/>
      <c r="BV592" s="1"/>
      <c r="BW592" s="1"/>
      <c r="BX592" s="1"/>
      <c r="BY592" s="1"/>
      <c r="BZ592" s="1"/>
      <c r="CA592" s="1"/>
      <c r="CB592" s="1"/>
      <c r="CC592" s="1"/>
      <c r="CD592" s="1"/>
      <c r="CE592" s="1"/>
      <c r="CF592" s="1"/>
      <c r="CG592" s="1"/>
      <c r="CH592" s="1"/>
      <c r="CI592" s="1"/>
      <c r="CJ592" s="1"/>
      <c r="CK592" s="1"/>
      <c r="CL592" s="1"/>
      <c r="CM592" s="1"/>
      <c r="CN592" s="1"/>
      <c r="CO592" s="1"/>
      <c r="CP592" s="1"/>
      <c r="CQ592" s="1"/>
      <c r="CR592" s="1"/>
      <c r="CS592" s="1"/>
      <c r="CT592" s="1"/>
      <c r="CU592" s="1"/>
    </row>
    <row r="593" spans="2:99">
      <c r="B593" s="1"/>
      <c r="C593" s="1"/>
      <c r="D593" s="1"/>
      <c r="E593" s="1"/>
      <c r="F593" s="1"/>
      <c r="G593" s="3"/>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c r="BF593" s="1"/>
      <c r="BG593" s="1"/>
      <c r="BH593" s="1"/>
      <c r="BI593" s="1"/>
      <c r="BJ593" s="1"/>
      <c r="BK593" s="1"/>
      <c r="BL593" s="1"/>
      <c r="BM593" s="1"/>
      <c r="BN593" s="1"/>
      <c r="BO593" s="1"/>
      <c r="BP593" s="1"/>
      <c r="BQ593" s="1"/>
      <c r="BR593" s="1"/>
      <c r="BS593" s="1"/>
      <c r="BT593" s="1"/>
      <c r="BU593" s="1"/>
      <c r="BV593" s="1"/>
      <c r="BW593" s="1"/>
      <c r="BX593" s="1"/>
      <c r="BY593" s="1"/>
      <c r="BZ593" s="1"/>
      <c r="CA593" s="1"/>
      <c r="CB593" s="1"/>
      <c r="CC593" s="1"/>
      <c r="CD593" s="1"/>
      <c r="CE593" s="1"/>
      <c r="CF593" s="1"/>
      <c r="CG593" s="1"/>
      <c r="CH593" s="1"/>
      <c r="CI593" s="1"/>
      <c r="CJ593" s="1"/>
      <c r="CK593" s="1"/>
      <c r="CL593" s="1"/>
      <c r="CM593" s="1"/>
      <c r="CN593" s="1"/>
      <c r="CO593" s="1"/>
      <c r="CP593" s="1"/>
      <c r="CQ593" s="1"/>
      <c r="CR593" s="1"/>
      <c r="CS593" s="1"/>
      <c r="CT593" s="1"/>
      <c r="CU593" s="1"/>
    </row>
    <row r="594" spans="2:99">
      <c r="B594" s="1"/>
      <c r="C594" s="1"/>
      <c r="D594" s="1"/>
      <c r="E594" s="1"/>
      <c r="F594" s="1"/>
      <c r="G594" s="3"/>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c r="BF594" s="1"/>
      <c r="BG594" s="1"/>
      <c r="BH594" s="1"/>
      <c r="BI594" s="1"/>
      <c r="BJ594" s="1"/>
      <c r="BK594" s="1"/>
      <c r="BL594" s="1"/>
      <c r="BM594" s="1"/>
      <c r="BN594" s="1"/>
      <c r="BO594" s="1"/>
      <c r="BP594" s="1"/>
      <c r="BQ594" s="1"/>
      <c r="BR594" s="1"/>
      <c r="BS594" s="1"/>
      <c r="BT594" s="1"/>
      <c r="BU594" s="1"/>
      <c r="BV594" s="1"/>
      <c r="BW594" s="1"/>
      <c r="BX594" s="1"/>
      <c r="BY594" s="1"/>
      <c r="BZ594" s="1"/>
      <c r="CA594" s="1"/>
      <c r="CB594" s="1"/>
      <c r="CC594" s="1"/>
      <c r="CD594" s="1"/>
      <c r="CE594" s="1"/>
      <c r="CF594" s="1"/>
      <c r="CG594" s="1"/>
      <c r="CH594" s="1"/>
      <c r="CI594" s="1"/>
      <c r="CJ594" s="1"/>
      <c r="CK594" s="1"/>
      <c r="CL594" s="1"/>
      <c r="CM594" s="1"/>
      <c r="CN594" s="1"/>
      <c r="CO594" s="1"/>
      <c r="CP594" s="1"/>
      <c r="CQ594" s="1"/>
      <c r="CR594" s="1"/>
      <c r="CS594" s="1"/>
      <c r="CT594" s="1"/>
      <c r="CU594" s="1"/>
    </row>
    <row r="595" spans="2:99">
      <c r="B595" s="1"/>
      <c r="C595" s="1"/>
      <c r="D595" s="1"/>
      <c r="E595" s="1"/>
      <c r="F595" s="1"/>
      <c r="G595" s="3"/>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c r="BF595" s="1"/>
      <c r="BG595" s="1"/>
      <c r="BH595" s="1"/>
      <c r="BI595" s="1"/>
      <c r="BJ595" s="1"/>
      <c r="BK595" s="1"/>
      <c r="BL595" s="1"/>
      <c r="BM595" s="1"/>
      <c r="BN595" s="1"/>
      <c r="BO595" s="1"/>
      <c r="BP595" s="1"/>
      <c r="BQ595" s="1"/>
      <c r="BR595" s="1"/>
      <c r="BS595" s="1"/>
      <c r="BT595" s="1"/>
      <c r="BU595" s="1"/>
      <c r="BV595" s="1"/>
      <c r="BW595" s="1"/>
      <c r="BX595" s="1"/>
      <c r="BY595" s="1"/>
      <c r="BZ595" s="1"/>
      <c r="CA595" s="1"/>
      <c r="CB595" s="1"/>
      <c r="CC595" s="1"/>
      <c r="CD595" s="1"/>
      <c r="CE595" s="1"/>
      <c r="CF595" s="1"/>
      <c r="CG595" s="1"/>
      <c r="CH595" s="1"/>
      <c r="CI595" s="1"/>
      <c r="CJ595" s="1"/>
      <c r="CK595" s="1"/>
      <c r="CL595" s="1"/>
      <c r="CM595" s="1"/>
      <c r="CN595" s="1"/>
      <c r="CO595" s="1"/>
      <c r="CP595" s="1"/>
      <c r="CQ595" s="1"/>
      <c r="CR595" s="1"/>
      <c r="CS595" s="1"/>
      <c r="CT595" s="1"/>
      <c r="CU595" s="1"/>
    </row>
    <row r="596" spans="2:99">
      <c r="B596" s="1"/>
      <c r="C596" s="1"/>
      <c r="D596" s="1"/>
      <c r="E596" s="1"/>
      <c r="F596" s="1"/>
      <c r="G596" s="3"/>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c r="BF596" s="1"/>
      <c r="BG596" s="1"/>
      <c r="BH596" s="1"/>
      <c r="BI596" s="1"/>
      <c r="BJ596" s="1"/>
      <c r="BK596" s="1"/>
      <c r="BL596" s="1"/>
      <c r="BM596" s="1"/>
      <c r="BN596" s="1"/>
      <c r="BO596" s="1"/>
      <c r="BP596" s="1"/>
      <c r="BQ596" s="1"/>
      <c r="BR596" s="1"/>
      <c r="BS596" s="1"/>
      <c r="BT596" s="1"/>
      <c r="BU596" s="1"/>
      <c r="BV596" s="1"/>
      <c r="BW596" s="1"/>
      <c r="BX596" s="1"/>
      <c r="BY596" s="1"/>
      <c r="BZ596" s="1"/>
      <c r="CA596" s="1"/>
      <c r="CB596" s="1"/>
      <c r="CC596" s="1"/>
      <c r="CD596" s="1"/>
      <c r="CE596" s="1"/>
      <c r="CF596" s="1"/>
      <c r="CG596" s="1"/>
      <c r="CH596" s="1"/>
      <c r="CI596" s="1"/>
      <c r="CJ596" s="1"/>
      <c r="CK596" s="1"/>
      <c r="CL596" s="1"/>
      <c r="CM596" s="1"/>
      <c r="CN596" s="1"/>
      <c r="CO596" s="1"/>
      <c r="CP596" s="1"/>
      <c r="CQ596" s="1"/>
      <c r="CR596" s="1"/>
      <c r="CS596" s="1"/>
      <c r="CT596" s="1"/>
      <c r="CU596" s="1"/>
    </row>
    <row r="597" spans="2:99">
      <c r="B597" s="1"/>
      <c r="C597" s="1"/>
      <c r="D597" s="1"/>
      <c r="E597" s="1"/>
      <c r="F597" s="1"/>
      <c r="G597" s="3"/>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c r="BF597" s="1"/>
      <c r="BG597" s="1"/>
      <c r="BH597" s="1"/>
      <c r="BI597" s="1"/>
      <c r="BJ597" s="1"/>
      <c r="BK597" s="1"/>
      <c r="BL597" s="1"/>
      <c r="BM597" s="1"/>
      <c r="BN597" s="1"/>
      <c r="BO597" s="1"/>
      <c r="BP597" s="1"/>
      <c r="BQ597" s="1"/>
      <c r="BR597" s="1"/>
      <c r="BS597" s="1"/>
      <c r="BT597" s="1"/>
      <c r="BU597" s="1"/>
      <c r="BV597" s="1"/>
      <c r="BW597" s="1"/>
      <c r="BX597" s="1"/>
      <c r="BY597" s="1"/>
      <c r="BZ597" s="1"/>
      <c r="CA597" s="1"/>
      <c r="CB597" s="1"/>
      <c r="CC597" s="1"/>
      <c r="CD597" s="1"/>
      <c r="CE597" s="1"/>
      <c r="CF597" s="1"/>
      <c r="CG597" s="1"/>
      <c r="CH597" s="1"/>
      <c r="CI597" s="1"/>
      <c r="CJ597" s="1"/>
      <c r="CK597" s="1"/>
      <c r="CL597" s="1"/>
      <c r="CM597" s="1"/>
      <c r="CN597" s="1"/>
      <c r="CO597" s="1"/>
      <c r="CP597" s="1"/>
      <c r="CQ597" s="1"/>
      <c r="CR597" s="1"/>
      <c r="CS597" s="1"/>
      <c r="CT597" s="1"/>
      <c r="CU597" s="1"/>
    </row>
    <row r="598" spans="2:99">
      <c r="B598" s="1"/>
      <c r="C598" s="1"/>
      <c r="D598" s="1"/>
      <c r="E598" s="1"/>
      <c r="F598" s="1"/>
      <c r="G598" s="3"/>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c r="BE598" s="1"/>
      <c r="BF598" s="1"/>
      <c r="BG598" s="1"/>
      <c r="BH598" s="1"/>
      <c r="BI598" s="1"/>
      <c r="BJ598" s="1"/>
      <c r="BK598" s="1"/>
      <c r="BL598" s="1"/>
      <c r="BM598" s="1"/>
      <c r="BN598" s="1"/>
      <c r="BO598" s="1"/>
      <c r="BP598" s="1"/>
      <c r="BQ598" s="1"/>
      <c r="BR598" s="1"/>
      <c r="BS598" s="1"/>
      <c r="BT598" s="1"/>
      <c r="BU598" s="1"/>
      <c r="BV598" s="1"/>
      <c r="BW598" s="1"/>
      <c r="BX598" s="1"/>
      <c r="BY598" s="1"/>
      <c r="BZ598" s="1"/>
      <c r="CA598" s="1"/>
      <c r="CB598" s="1"/>
      <c r="CC598" s="1"/>
      <c r="CD598" s="1"/>
      <c r="CE598" s="1"/>
      <c r="CF598" s="1"/>
      <c r="CG598" s="1"/>
      <c r="CH598" s="1"/>
      <c r="CI598" s="1"/>
      <c r="CJ598" s="1"/>
      <c r="CK598" s="1"/>
      <c r="CL598" s="1"/>
      <c r="CM598" s="1"/>
      <c r="CN598" s="1"/>
      <c r="CO598" s="1"/>
      <c r="CP598" s="1"/>
      <c r="CQ598" s="1"/>
      <c r="CR598" s="1"/>
      <c r="CS598" s="1"/>
      <c r="CT598" s="1"/>
      <c r="CU598" s="1"/>
    </row>
    <row r="599" spans="2:99">
      <c r="B599" s="1"/>
      <c r="C599" s="1"/>
      <c r="D599" s="1"/>
      <c r="E599" s="1"/>
      <c r="F599" s="1"/>
      <c r="G599" s="3"/>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c r="BF599" s="1"/>
      <c r="BG599" s="1"/>
      <c r="BH599" s="1"/>
      <c r="BI599" s="1"/>
      <c r="BJ599" s="1"/>
      <c r="BK599" s="1"/>
      <c r="BL599" s="1"/>
      <c r="BM599" s="1"/>
      <c r="BN599" s="1"/>
      <c r="BO599" s="1"/>
      <c r="BP599" s="1"/>
      <c r="BQ599" s="1"/>
      <c r="BR599" s="1"/>
      <c r="BS599" s="1"/>
      <c r="BT599" s="1"/>
      <c r="BU599" s="1"/>
      <c r="BV599" s="1"/>
      <c r="BW599" s="1"/>
      <c r="BX599" s="1"/>
      <c r="BY599" s="1"/>
      <c r="BZ599" s="1"/>
      <c r="CA599" s="1"/>
      <c r="CB599" s="1"/>
      <c r="CC599" s="1"/>
      <c r="CD599" s="1"/>
      <c r="CE599" s="1"/>
      <c r="CF599" s="1"/>
      <c r="CG599" s="1"/>
      <c r="CH599" s="1"/>
      <c r="CI599" s="1"/>
      <c r="CJ599" s="1"/>
      <c r="CK599" s="1"/>
      <c r="CL599" s="1"/>
      <c r="CM599" s="1"/>
      <c r="CN599" s="1"/>
      <c r="CO599" s="1"/>
      <c r="CP599" s="1"/>
      <c r="CQ599" s="1"/>
      <c r="CR599" s="1"/>
      <c r="CS599" s="1"/>
      <c r="CT599" s="1"/>
      <c r="CU599" s="1"/>
    </row>
    <row r="600" spans="2:99">
      <c r="B600" s="1"/>
      <c r="C600" s="1"/>
      <c r="D600" s="1"/>
      <c r="E600" s="1"/>
      <c r="F600" s="1"/>
      <c r="G600" s="3"/>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c r="BE600" s="1"/>
      <c r="BF600" s="1"/>
      <c r="BG600" s="1"/>
      <c r="BH600" s="1"/>
      <c r="BI600" s="1"/>
      <c r="BJ600" s="1"/>
      <c r="BK600" s="1"/>
      <c r="BL600" s="1"/>
      <c r="BM600" s="1"/>
      <c r="BN600" s="1"/>
      <c r="BO600" s="1"/>
      <c r="BP600" s="1"/>
      <c r="BQ600" s="1"/>
      <c r="BR600" s="1"/>
      <c r="BS600" s="1"/>
      <c r="BT600" s="1"/>
      <c r="BU600" s="1"/>
      <c r="BV600" s="1"/>
      <c r="BW600" s="1"/>
      <c r="BX600" s="1"/>
      <c r="BY600" s="1"/>
      <c r="BZ600" s="1"/>
      <c r="CA600" s="1"/>
      <c r="CB600" s="1"/>
      <c r="CC600" s="1"/>
      <c r="CD600" s="1"/>
      <c r="CE600" s="1"/>
      <c r="CF600" s="1"/>
      <c r="CG600" s="1"/>
      <c r="CH600" s="1"/>
      <c r="CI600" s="1"/>
      <c r="CJ600" s="1"/>
      <c r="CK600" s="1"/>
      <c r="CL600" s="1"/>
      <c r="CM600" s="1"/>
      <c r="CN600" s="1"/>
      <c r="CO600" s="1"/>
      <c r="CP600" s="1"/>
      <c r="CQ600" s="1"/>
      <c r="CR600" s="1"/>
      <c r="CS600" s="1"/>
      <c r="CT600" s="1"/>
      <c r="CU600" s="1"/>
    </row>
    <row r="601" spans="2:99">
      <c r="B601" s="1"/>
      <c r="C601" s="1"/>
      <c r="D601" s="1"/>
      <c r="E601" s="1"/>
      <c r="F601" s="1"/>
      <c r="G601" s="3"/>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c r="BF601" s="1"/>
      <c r="BG601" s="1"/>
      <c r="BH601" s="1"/>
      <c r="BI601" s="1"/>
      <c r="BJ601" s="1"/>
      <c r="BK601" s="1"/>
      <c r="BL601" s="1"/>
      <c r="BM601" s="1"/>
      <c r="BN601" s="1"/>
      <c r="BO601" s="1"/>
      <c r="BP601" s="1"/>
      <c r="BQ601" s="1"/>
      <c r="BR601" s="1"/>
      <c r="BS601" s="1"/>
      <c r="BT601" s="1"/>
      <c r="BU601" s="1"/>
      <c r="BV601" s="1"/>
      <c r="BW601" s="1"/>
      <c r="BX601" s="1"/>
      <c r="BY601" s="1"/>
      <c r="BZ601" s="1"/>
      <c r="CA601" s="1"/>
      <c r="CB601" s="1"/>
      <c r="CC601" s="1"/>
      <c r="CD601" s="1"/>
      <c r="CE601" s="1"/>
      <c r="CF601" s="1"/>
      <c r="CG601" s="1"/>
      <c r="CH601" s="1"/>
      <c r="CI601" s="1"/>
      <c r="CJ601" s="1"/>
      <c r="CK601" s="1"/>
      <c r="CL601" s="1"/>
      <c r="CM601" s="1"/>
      <c r="CN601" s="1"/>
      <c r="CO601" s="1"/>
      <c r="CP601" s="1"/>
      <c r="CQ601" s="1"/>
      <c r="CR601" s="1"/>
      <c r="CS601" s="1"/>
      <c r="CT601" s="1"/>
      <c r="CU601" s="1"/>
    </row>
    <row r="602" spans="2:99">
      <c r="B602" s="1"/>
      <c r="C602" s="1"/>
      <c r="D602" s="1"/>
      <c r="E602" s="1"/>
      <c r="F602" s="1"/>
      <c r="G602" s="3"/>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c r="BF602" s="1"/>
      <c r="BG602" s="1"/>
      <c r="BH602" s="1"/>
      <c r="BI602" s="1"/>
      <c r="BJ602" s="1"/>
      <c r="BK602" s="1"/>
      <c r="BL602" s="1"/>
      <c r="BM602" s="1"/>
      <c r="BN602" s="1"/>
      <c r="BO602" s="1"/>
      <c r="BP602" s="1"/>
      <c r="BQ602" s="1"/>
      <c r="BR602" s="1"/>
      <c r="BS602" s="1"/>
      <c r="BT602" s="1"/>
      <c r="BU602" s="1"/>
      <c r="BV602" s="1"/>
      <c r="BW602" s="1"/>
      <c r="BX602" s="1"/>
      <c r="BY602" s="1"/>
      <c r="BZ602" s="1"/>
      <c r="CA602" s="1"/>
      <c r="CB602" s="1"/>
      <c r="CC602" s="1"/>
      <c r="CD602" s="1"/>
      <c r="CE602" s="1"/>
      <c r="CF602" s="1"/>
      <c r="CG602" s="1"/>
      <c r="CH602" s="1"/>
      <c r="CI602" s="1"/>
      <c r="CJ602" s="1"/>
      <c r="CK602" s="1"/>
      <c r="CL602" s="1"/>
      <c r="CM602" s="1"/>
      <c r="CN602" s="1"/>
      <c r="CO602" s="1"/>
      <c r="CP602" s="1"/>
      <c r="CQ602" s="1"/>
      <c r="CR602" s="1"/>
      <c r="CS602" s="1"/>
      <c r="CT602" s="1"/>
      <c r="CU602" s="1"/>
    </row>
    <row r="603" spans="2:99">
      <c r="B603" s="1"/>
      <c r="C603" s="1"/>
      <c r="D603" s="1"/>
      <c r="E603" s="1"/>
      <c r="F603" s="1"/>
      <c r="G603" s="3"/>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c r="BF603" s="1"/>
      <c r="BG603" s="1"/>
      <c r="BH603" s="1"/>
      <c r="BI603" s="1"/>
      <c r="BJ603" s="1"/>
      <c r="BK603" s="1"/>
      <c r="BL603" s="1"/>
      <c r="BM603" s="1"/>
      <c r="BN603" s="1"/>
      <c r="BO603" s="1"/>
      <c r="BP603" s="1"/>
      <c r="BQ603" s="1"/>
      <c r="BR603" s="1"/>
      <c r="BS603" s="1"/>
      <c r="BT603" s="1"/>
      <c r="BU603" s="1"/>
      <c r="BV603" s="1"/>
      <c r="BW603" s="1"/>
      <c r="BX603" s="1"/>
      <c r="BY603" s="1"/>
      <c r="BZ603" s="1"/>
      <c r="CA603" s="1"/>
      <c r="CB603" s="1"/>
      <c r="CC603" s="1"/>
      <c r="CD603" s="1"/>
      <c r="CE603" s="1"/>
      <c r="CF603" s="1"/>
      <c r="CG603" s="1"/>
      <c r="CH603" s="1"/>
      <c r="CI603" s="1"/>
      <c r="CJ603" s="1"/>
      <c r="CK603" s="1"/>
      <c r="CL603" s="1"/>
      <c r="CM603" s="1"/>
      <c r="CN603" s="1"/>
      <c r="CO603" s="1"/>
      <c r="CP603" s="1"/>
      <c r="CQ603" s="1"/>
      <c r="CR603" s="1"/>
      <c r="CS603" s="1"/>
      <c r="CT603" s="1"/>
      <c r="CU603" s="1"/>
    </row>
    <row r="604" spans="2:99">
      <c r="B604" s="1"/>
      <c r="C604" s="1"/>
      <c r="D604" s="1"/>
      <c r="E604" s="1"/>
      <c r="F604" s="1"/>
      <c r="G604" s="3"/>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c r="BE604" s="1"/>
      <c r="BF604" s="1"/>
      <c r="BG604" s="1"/>
      <c r="BH604" s="1"/>
      <c r="BI604" s="1"/>
      <c r="BJ604" s="1"/>
      <c r="BK604" s="1"/>
      <c r="BL604" s="1"/>
      <c r="BM604" s="1"/>
      <c r="BN604" s="1"/>
      <c r="BO604" s="1"/>
      <c r="BP604" s="1"/>
      <c r="BQ604" s="1"/>
      <c r="BR604" s="1"/>
      <c r="BS604" s="1"/>
      <c r="BT604" s="1"/>
      <c r="BU604" s="1"/>
      <c r="BV604" s="1"/>
      <c r="BW604" s="1"/>
      <c r="BX604" s="1"/>
      <c r="BY604" s="1"/>
      <c r="BZ604" s="1"/>
      <c r="CA604" s="1"/>
      <c r="CB604" s="1"/>
      <c r="CC604" s="1"/>
      <c r="CD604" s="1"/>
      <c r="CE604" s="1"/>
      <c r="CF604" s="1"/>
      <c r="CG604" s="1"/>
      <c r="CH604" s="1"/>
      <c r="CI604" s="1"/>
      <c r="CJ604" s="1"/>
      <c r="CK604" s="1"/>
      <c r="CL604" s="1"/>
      <c r="CM604" s="1"/>
      <c r="CN604" s="1"/>
      <c r="CO604" s="1"/>
      <c r="CP604" s="1"/>
      <c r="CQ604" s="1"/>
      <c r="CR604" s="1"/>
      <c r="CS604" s="1"/>
      <c r="CT604" s="1"/>
      <c r="CU604" s="1"/>
    </row>
    <row r="605" spans="2:99">
      <c r="B605" s="1"/>
      <c r="C605" s="1"/>
      <c r="D605" s="1"/>
      <c r="E605" s="1"/>
      <c r="F605" s="1"/>
      <c r="G605" s="3"/>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c r="BE605" s="1"/>
      <c r="BF605" s="1"/>
      <c r="BG605" s="1"/>
      <c r="BH605" s="1"/>
      <c r="BI605" s="1"/>
      <c r="BJ605" s="1"/>
      <c r="BK605" s="1"/>
      <c r="BL605" s="1"/>
      <c r="BM605" s="1"/>
      <c r="BN605" s="1"/>
      <c r="BO605" s="1"/>
      <c r="BP605" s="1"/>
      <c r="BQ605" s="1"/>
      <c r="BR605" s="1"/>
      <c r="BS605" s="1"/>
      <c r="BT605" s="1"/>
      <c r="BU605" s="1"/>
      <c r="BV605" s="1"/>
      <c r="BW605" s="1"/>
      <c r="BX605" s="1"/>
      <c r="BY605" s="1"/>
      <c r="BZ605" s="1"/>
      <c r="CA605" s="1"/>
      <c r="CB605" s="1"/>
      <c r="CC605" s="1"/>
      <c r="CD605" s="1"/>
      <c r="CE605" s="1"/>
      <c r="CF605" s="1"/>
      <c r="CG605" s="1"/>
      <c r="CH605" s="1"/>
      <c r="CI605" s="1"/>
      <c r="CJ605" s="1"/>
      <c r="CK605" s="1"/>
      <c r="CL605" s="1"/>
      <c r="CM605" s="1"/>
      <c r="CN605" s="1"/>
      <c r="CO605" s="1"/>
      <c r="CP605" s="1"/>
      <c r="CQ605" s="1"/>
      <c r="CR605" s="1"/>
      <c r="CS605" s="1"/>
      <c r="CT605" s="1"/>
      <c r="CU605" s="1"/>
    </row>
    <row r="606" spans="2:99">
      <c r="B606" s="1"/>
      <c r="C606" s="1"/>
      <c r="D606" s="1"/>
      <c r="E606" s="1"/>
      <c r="F606" s="1"/>
      <c r="G606" s="3"/>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c r="BE606" s="1"/>
      <c r="BF606" s="1"/>
      <c r="BG606" s="1"/>
      <c r="BH606" s="1"/>
      <c r="BI606" s="1"/>
      <c r="BJ606" s="1"/>
      <c r="BK606" s="1"/>
      <c r="BL606" s="1"/>
      <c r="BM606" s="1"/>
      <c r="BN606" s="1"/>
      <c r="BO606" s="1"/>
      <c r="BP606" s="1"/>
      <c r="BQ606" s="1"/>
      <c r="BR606" s="1"/>
      <c r="BS606" s="1"/>
      <c r="BT606" s="1"/>
      <c r="BU606" s="1"/>
      <c r="BV606" s="1"/>
      <c r="BW606" s="1"/>
      <c r="BX606" s="1"/>
      <c r="BY606" s="1"/>
      <c r="BZ606" s="1"/>
      <c r="CA606" s="1"/>
      <c r="CB606" s="1"/>
      <c r="CC606" s="1"/>
      <c r="CD606" s="1"/>
      <c r="CE606" s="1"/>
      <c r="CF606" s="1"/>
      <c r="CG606" s="1"/>
      <c r="CH606" s="1"/>
      <c r="CI606" s="1"/>
      <c r="CJ606" s="1"/>
      <c r="CK606" s="1"/>
      <c r="CL606" s="1"/>
      <c r="CM606" s="1"/>
      <c r="CN606" s="1"/>
      <c r="CO606" s="1"/>
      <c r="CP606" s="1"/>
      <c r="CQ606" s="1"/>
      <c r="CR606" s="1"/>
      <c r="CS606" s="1"/>
      <c r="CT606" s="1"/>
      <c r="CU606" s="1"/>
    </row>
    <row r="607" spans="2:99">
      <c r="B607" s="1"/>
      <c r="C607" s="1"/>
      <c r="D607" s="1"/>
      <c r="E607" s="1"/>
      <c r="F607" s="1"/>
      <c r="G607" s="3"/>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c r="BF607" s="1"/>
      <c r="BG607" s="1"/>
      <c r="BH607" s="1"/>
      <c r="BI607" s="1"/>
      <c r="BJ607" s="1"/>
      <c r="BK607" s="1"/>
      <c r="BL607" s="1"/>
      <c r="BM607" s="1"/>
      <c r="BN607" s="1"/>
      <c r="BO607" s="1"/>
      <c r="BP607" s="1"/>
      <c r="BQ607" s="1"/>
      <c r="BR607" s="1"/>
      <c r="BS607" s="1"/>
      <c r="BT607" s="1"/>
      <c r="BU607" s="1"/>
      <c r="BV607" s="1"/>
      <c r="BW607" s="1"/>
      <c r="BX607" s="1"/>
      <c r="BY607" s="1"/>
      <c r="BZ607" s="1"/>
      <c r="CA607" s="1"/>
      <c r="CB607" s="1"/>
      <c r="CC607" s="1"/>
      <c r="CD607" s="1"/>
      <c r="CE607" s="1"/>
      <c r="CF607" s="1"/>
      <c r="CG607" s="1"/>
      <c r="CH607" s="1"/>
      <c r="CI607" s="1"/>
      <c r="CJ607" s="1"/>
      <c r="CK607" s="1"/>
      <c r="CL607" s="1"/>
      <c r="CM607" s="1"/>
      <c r="CN607" s="1"/>
      <c r="CO607" s="1"/>
      <c r="CP607" s="1"/>
      <c r="CQ607" s="1"/>
      <c r="CR607" s="1"/>
      <c r="CS607" s="1"/>
      <c r="CT607" s="1"/>
      <c r="CU607" s="1"/>
    </row>
    <row r="608" spans="2:99">
      <c r="B608" s="1"/>
      <c r="C608" s="1"/>
      <c r="D608" s="1"/>
      <c r="E608" s="1"/>
      <c r="F608" s="1"/>
      <c r="G608" s="3"/>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c r="BF608" s="1"/>
      <c r="BG608" s="1"/>
      <c r="BH608" s="1"/>
      <c r="BI608" s="1"/>
      <c r="BJ608" s="1"/>
      <c r="BK608" s="1"/>
      <c r="BL608" s="1"/>
      <c r="BM608" s="1"/>
      <c r="BN608" s="1"/>
      <c r="BO608" s="1"/>
      <c r="BP608" s="1"/>
      <c r="BQ608" s="1"/>
      <c r="BR608" s="1"/>
      <c r="BS608" s="1"/>
      <c r="BT608" s="1"/>
      <c r="BU608" s="1"/>
      <c r="BV608" s="1"/>
      <c r="BW608" s="1"/>
      <c r="BX608" s="1"/>
      <c r="BY608" s="1"/>
      <c r="BZ608" s="1"/>
      <c r="CA608" s="1"/>
      <c r="CB608" s="1"/>
      <c r="CC608" s="1"/>
      <c r="CD608" s="1"/>
      <c r="CE608" s="1"/>
      <c r="CF608" s="1"/>
      <c r="CG608" s="1"/>
      <c r="CH608" s="1"/>
      <c r="CI608" s="1"/>
      <c r="CJ608" s="1"/>
      <c r="CK608" s="1"/>
      <c r="CL608" s="1"/>
      <c r="CM608" s="1"/>
      <c r="CN608" s="1"/>
      <c r="CO608" s="1"/>
      <c r="CP608" s="1"/>
      <c r="CQ608" s="1"/>
      <c r="CR608" s="1"/>
      <c r="CS608" s="1"/>
      <c r="CT608" s="1"/>
      <c r="CU608" s="1"/>
    </row>
    <row r="609" spans="2:99">
      <c r="B609" s="1"/>
      <c r="C609" s="1"/>
      <c r="D609" s="1"/>
      <c r="E609" s="1"/>
      <c r="F609" s="1"/>
      <c r="G609" s="3"/>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c r="BF609" s="1"/>
      <c r="BG609" s="1"/>
      <c r="BH609" s="1"/>
      <c r="BI609" s="1"/>
      <c r="BJ609" s="1"/>
      <c r="BK609" s="1"/>
      <c r="BL609" s="1"/>
      <c r="BM609" s="1"/>
      <c r="BN609" s="1"/>
      <c r="BO609" s="1"/>
      <c r="BP609" s="1"/>
      <c r="BQ609" s="1"/>
      <c r="BR609" s="1"/>
      <c r="BS609" s="1"/>
      <c r="BT609" s="1"/>
      <c r="BU609" s="1"/>
      <c r="BV609" s="1"/>
      <c r="BW609" s="1"/>
      <c r="BX609" s="1"/>
      <c r="BY609" s="1"/>
      <c r="BZ609" s="1"/>
      <c r="CA609" s="1"/>
      <c r="CB609" s="1"/>
      <c r="CC609" s="1"/>
      <c r="CD609" s="1"/>
      <c r="CE609" s="1"/>
      <c r="CF609" s="1"/>
      <c r="CG609" s="1"/>
      <c r="CH609" s="1"/>
      <c r="CI609" s="1"/>
      <c r="CJ609" s="1"/>
      <c r="CK609" s="1"/>
      <c r="CL609" s="1"/>
      <c r="CM609" s="1"/>
      <c r="CN609" s="1"/>
      <c r="CO609" s="1"/>
      <c r="CP609" s="1"/>
      <c r="CQ609" s="1"/>
      <c r="CR609" s="1"/>
      <c r="CS609" s="1"/>
      <c r="CT609" s="1"/>
      <c r="CU609" s="1"/>
    </row>
    <row r="610" spans="2:99">
      <c r="B610" s="1"/>
      <c r="C610" s="1"/>
      <c r="D610" s="1"/>
      <c r="E610" s="1"/>
      <c r="F610" s="1"/>
      <c r="G610" s="3"/>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c r="BF610" s="1"/>
      <c r="BG610" s="1"/>
      <c r="BH610" s="1"/>
      <c r="BI610" s="1"/>
      <c r="BJ610" s="1"/>
      <c r="BK610" s="1"/>
      <c r="BL610" s="1"/>
      <c r="BM610" s="1"/>
      <c r="BN610" s="1"/>
      <c r="BO610" s="1"/>
      <c r="BP610" s="1"/>
      <c r="BQ610" s="1"/>
      <c r="BR610" s="1"/>
      <c r="BS610" s="1"/>
      <c r="BT610" s="1"/>
      <c r="BU610" s="1"/>
      <c r="BV610" s="1"/>
      <c r="BW610" s="1"/>
      <c r="BX610" s="1"/>
      <c r="BY610" s="1"/>
      <c r="BZ610" s="1"/>
      <c r="CA610" s="1"/>
      <c r="CB610" s="1"/>
      <c r="CC610" s="1"/>
      <c r="CD610" s="1"/>
      <c r="CE610" s="1"/>
      <c r="CF610" s="1"/>
      <c r="CG610" s="1"/>
      <c r="CH610" s="1"/>
      <c r="CI610" s="1"/>
      <c r="CJ610" s="1"/>
      <c r="CK610" s="1"/>
      <c r="CL610" s="1"/>
      <c r="CM610" s="1"/>
      <c r="CN610" s="1"/>
      <c r="CO610" s="1"/>
      <c r="CP610" s="1"/>
      <c r="CQ610" s="1"/>
      <c r="CR610" s="1"/>
      <c r="CS610" s="1"/>
      <c r="CT610" s="1"/>
      <c r="CU610" s="1"/>
    </row>
    <row r="611" spans="2:99">
      <c r="B611" s="1"/>
      <c r="C611" s="1"/>
      <c r="D611" s="1"/>
      <c r="E611" s="1"/>
      <c r="F611" s="1"/>
      <c r="G611" s="3"/>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c r="BE611" s="1"/>
      <c r="BF611" s="1"/>
      <c r="BG611" s="1"/>
      <c r="BH611" s="1"/>
      <c r="BI611" s="1"/>
      <c r="BJ611" s="1"/>
      <c r="BK611" s="1"/>
      <c r="BL611" s="1"/>
      <c r="BM611" s="1"/>
      <c r="BN611" s="1"/>
      <c r="BO611" s="1"/>
      <c r="BP611" s="1"/>
      <c r="BQ611" s="1"/>
      <c r="BR611" s="1"/>
      <c r="BS611" s="1"/>
      <c r="BT611" s="1"/>
      <c r="BU611" s="1"/>
      <c r="BV611" s="1"/>
      <c r="BW611" s="1"/>
      <c r="BX611" s="1"/>
      <c r="BY611" s="1"/>
      <c r="BZ611" s="1"/>
      <c r="CA611" s="1"/>
      <c r="CB611" s="1"/>
      <c r="CC611" s="1"/>
      <c r="CD611" s="1"/>
      <c r="CE611" s="1"/>
      <c r="CF611" s="1"/>
      <c r="CG611" s="1"/>
      <c r="CH611" s="1"/>
      <c r="CI611" s="1"/>
      <c r="CJ611" s="1"/>
      <c r="CK611" s="1"/>
      <c r="CL611" s="1"/>
      <c r="CM611" s="1"/>
      <c r="CN611" s="1"/>
      <c r="CO611" s="1"/>
      <c r="CP611" s="1"/>
      <c r="CQ611" s="1"/>
      <c r="CR611" s="1"/>
      <c r="CS611" s="1"/>
      <c r="CT611" s="1"/>
      <c r="CU611" s="1"/>
    </row>
    <row r="612" spans="2:99">
      <c r="B612" s="1"/>
      <c r="C612" s="1"/>
      <c r="D612" s="1"/>
      <c r="E612" s="1"/>
      <c r="F612" s="1"/>
      <c r="G612" s="3"/>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c r="BE612" s="1"/>
      <c r="BF612" s="1"/>
      <c r="BG612" s="1"/>
      <c r="BH612" s="1"/>
      <c r="BI612" s="1"/>
      <c r="BJ612" s="1"/>
      <c r="BK612" s="1"/>
      <c r="BL612" s="1"/>
      <c r="BM612" s="1"/>
      <c r="BN612" s="1"/>
      <c r="BO612" s="1"/>
      <c r="BP612" s="1"/>
      <c r="BQ612" s="1"/>
      <c r="BR612" s="1"/>
      <c r="BS612" s="1"/>
      <c r="BT612" s="1"/>
      <c r="BU612" s="1"/>
      <c r="BV612" s="1"/>
      <c r="BW612" s="1"/>
      <c r="BX612" s="1"/>
      <c r="BY612" s="1"/>
      <c r="BZ612" s="1"/>
      <c r="CA612" s="1"/>
      <c r="CB612" s="1"/>
      <c r="CC612" s="1"/>
      <c r="CD612" s="1"/>
      <c r="CE612" s="1"/>
      <c r="CF612" s="1"/>
      <c r="CG612" s="1"/>
      <c r="CH612" s="1"/>
      <c r="CI612" s="1"/>
      <c r="CJ612" s="1"/>
      <c r="CK612" s="1"/>
      <c r="CL612" s="1"/>
      <c r="CM612" s="1"/>
      <c r="CN612" s="1"/>
      <c r="CO612" s="1"/>
      <c r="CP612" s="1"/>
      <c r="CQ612" s="1"/>
      <c r="CR612" s="1"/>
      <c r="CS612" s="1"/>
      <c r="CT612" s="1"/>
      <c r="CU612" s="1"/>
    </row>
    <row r="613" spans="2:99">
      <c r="B613" s="1"/>
      <c r="C613" s="1"/>
      <c r="D613" s="1"/>
      <c r="E613" s="1"/>
      <c r="F613" s="1"/>
      <c r="G613" s="3"/>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c r="BF613" s="1"/>
      <c r="BG613" s="1"/>
      <c r="BH613" s="1"/>
      <c r="BI613" s="1"/>
      <c r="BJ613" s="1"/>
      <c r="BK613" s="1"/>
      <c r="BL613" s="1"/>
      <c r="BM613" s="1"/>
      <c r="BN613" s="1"/>
      <c r="BO613" s="1"/>
      <c r="BP613" s="1"/>
      <c r="BQ613" s="1"/>
      <c r="BR613" s="1"/>
      <c r="BS613" s="1"/>
      <c r="BT613" s="1"/>
      <c r="BU613" s="1"/>
      <c r="BV613" s="1"/>
      <c r="BW613" s="1"/>
      <c r="BX613" s="1"/>
      <c r="BY613" s="1"/>
      <c r="BZ613" s="1"/>
      <c r="CA613" s="1"/>
      <c r="CB613" s="1"/>
      <c r="CC613" s="1"/>
      <c r="CD613" s="1"/>
      <c r="CE613" s="1"/>
      <c r="CF613" s="1"/>
      <c r="CG613" s="1"/>
      <c r="CH613" s="1"/>
      <c r="CI613" s="1"/>
      <c r="CJ613" s="1"/>
      <c r="CK613" s="1"/>
      <c r="CL613" s="1"/>
      <c r="CM613" s="1"/>
      <c r="CN613" s="1"/>
      <c r="CO613" s="1"/>
      <c r="CP613" s="1"/>
      <c r="CQ613" s="1"/>
      <c r="CR613" s="1"/>
      <c r="CS613" s="1"/>
      <c r="CT613" s="1"/>
      <c r="CU613" s="1"/>
    </row>
    <row r="614" spans="2:99">
      <c r="B614" s="1"/>
      <c r="C614" s="1"/>
      <c r="D614" s="1"/>
      <c r="E614" s="1"/>
      <c r="F614" s="1"/>
      <c r="G614" s="3"/>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c r="BE614" s="1"/>
      <c r="BF614" s="1"/>
      <c r="BG614" s="1"/>
      <c r="BH614" s="1"/>
      <c r="BI614" s="1"/>
      <c r="BJ614" s="1"/>
      <c r="BK614" s="1"/>
      <c r="BL614" s="1"/>
      <c r="BM614" s="1"/>
      <c r="BN614" s="1"/>
      <c r="BO614" s="1"/>
      <c r="BP614" s="1"/>
      <c r="BQ614" s="1"/>
      <c r="BR614" s="1"/>
      <c r="BS614" s="1"/>
      <c r="BT614" s="1"/>
      <c r="BU614" s="1"/>
      <c r="BV614" s="1"/>
      <c r="BW614" s="1"/>
      <c r="BX614" s="1"/>
      <c r="BY614" s="1"/>
      <c r="BZ614" s="1"/>
      <c r="CA614" s="1"/>
      <c r="CB614" s="1"/>
      <c r="CC614" s="1"/>
      <c r="CD614" s="1"/>
      <c r="CE614" s="1"/>
      <c r="CF614" s="1"/>
      <c r="CG614" s="1"/>
      <c r="CH614" s="1"/>
      <c r="CI614" s="1"/>
      <c r="CJ614" s="1"/>
      <c r="CK614" s="1"/>
      <c r="CL614" s="1"/>
      <c r="CM614" s="1"/>
      <c r="CN614" s="1"/>
      <c r="CO614" s="1"/>
      <c r="CP614" s="1"/>
      <c r="CQ614" s="1"/>
      <c r="CR614" s="1"/>
      <c r="CS614" s="1"/>
      <c r="CT614" s="1"/>
      <c r="CU614" s="1"/>
    </row>
    <row r="615" spans="2:99">
      <c r="B615" s="1"/>
      <c r="C615" s="1"/>
      <c r="D615" s="1"/>
      <c r="E615" s="1"/>
      <c r="F615" s="1"/>
      <c r="G615" s="3"/>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c r="BE615" s="1"/>
      <c r="BF615" s="1"/>
      <c r="BG615" s="1"/>
      <c r="BH615" s="1"/>
      <c r="BI615" s="1"/>
      <c r="BJ615" s="1"/>
      <c r="BK615" s="1"/>
      <c r="BL615" s="1"/>
      <c r="BM615" s="1"/>
      <c r="BN615" s="1"/>
      <c r="BO615" s="1"/>
      <c r="BP615" s="1"/>
      <c r="BQ615" s="1"/>
      <c r="BR615" s="1"/>
      <c r="BS615" s="1"/>
      <c r="BT615" s="1"/>
      <c r="BU615" s="1"/>
      <c r="BV615" s="1"/>
      <c r="BW615" s="1"/>
      <c r="BX615" s="1"/>
      <c r="BY615" s="1"/>
      <c r="BZ615" s="1"/>
      <c r="CA615" s="1"/>
      <c r="CB615" s="1"/>
      <c r="CC615" s="1"/>
      <c r="CD615" s="1"/>
      <c r="CE615" s="1"/>
      <c r="CF615" s="1"/>
      <c r="CG615" s="1"/>
      <c r="CH615" s="1"/>
      <c r="CI615" s="1"/>
      <c r="CJ615" s="1"/>
      <c r="CK615" s="1"/>
      <c r="CL615" s="1"/>
      <c r="CM615" s="1"/>
      <c r="CN615" s="1"/>
      <c r="CO615" s="1"/>
      <c r="CP615" s="1"/>
      <c r="CQ615" s="1"/>
      <c r="CR615" s="1"/>
      <c r="CS615" s="1"/>
      <c r="CT615" s="1"/>
      <c r="CU615" s="1"/>
    </row>
    <row r="616" spans="2:99">
      <c r="B616" s="1"/>
      <c r="C616" s="1"/>
      <c r="D616" s="1"/>
      <c r="E616" s="1"/>
      <c r="F616" s="1"/>
      <c r="G616" s="3"/>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c r="BF616" s="1"/>
      <c r="BG616" s="1"/>
      <c r="BH616" s="1"/>
      <c r="BI616" s="1"/>
      <c r="BJ616" s="1"/>
      <c r="BK616" s="1"/>
      <c r="BL616" s="1"/>
      <c r="BM616" s="1"/>
      <c r="BN616" s="1"/>
      <c r="BO616" s="1"/>
      <c r="BP616" s="1"/>
      <c r="BQ616" s="1"/>
      <c r="BR616" s="1"/>
      <c r="BS616" s="1"/>
      <c r="BT616" s="1"/>
      <c r="BU616" s="1"/>
      <c r="BV616" s="1"/>
      <c r="BW616" s="1"/>
      <c r="BX616" s="1"/>
      <c r="BY616" s="1"/>
      <c r="BZ616" s="1"/>
      <c r="CA616" s="1"/>
      <c r="CB616" s="1"/>
      <c r="CC616" s="1"/>
      <c r="CD616" s="1"/>
      <c r="CE616" s="1"/>
      <c r="CF616" s="1"/>
      <c r="CG616" s="1"/>
      <c r="CH616" s="1"/>
      <c r="CI616" s="1"/>
      <c r="CJ616" s="1"/>
      <c r="CK616" s="1"/>
      <c r="CL616" s="1"/>
      <c r="CM616" s="1"/>
      <c r="CN616" s="1"/>
      <c r="CO616" s="1"/>
      <c r="CP616" s="1"/>
      <c r="CQ616" s="1"/>
      <c r="CR616" s="1"/>
      <c r="CS616" s="1"/>
      <c r="CT616" s="1"/>
      <c r="CU616" s="1"/>
    </row>
    <row r="617" spans="2:99">
      <c r="B617" s="1"/>
      <c r="C617" s="1"/>
      <c r="D617" s="1"/>
      <c r="E617" s="1"/>
      <c r="F617" s="1"/>
      <c r="G617" s="3"/>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c r="BE617" s="1"/>
      <c r="BF617" s="1"/>
      <c r="BG617" s="1"/>
      <c r="BH617" s="1"/>
      <c r="BI617" s="1"/>
      <c r="BJ617" s="1"/>
      <c r="BK617" s="1"/>
      <c r="BL617" s="1"/>
      <c r="BM617" s="1"/>
      <c r="BN617" s="1"/>
      <c r="BO617" s="1"/>
      <c r="BP617" s="1"/>
      <c r="BQ617" s="1"/>
      <c r="BR617" s="1"/>
      <c r="BS617" s="1"/>
      <c r="BT617" s="1"/>
      <c r="BU617" s="1"/>
      <c r="BV617" s="1"/>
      <c r="BW617" s="1"/>
      <c r="BX617" s="1"/>
      <c r="BY617" s="1"/>
      <c r="BZ617" s="1"/>
      <c r="CA617" s="1"/>
      <c r="CB617" s="1"/>
      <c r="CC617" s="1"/>
      <c r="CD617" s="1"/>
      <c r="CE617" s="1"/>
      <c r="CF617" s="1"/>
      <c r="CG617" s="1"/>
      <c r="CH617" s="1"/>
      <c r="CI617" s="1"/>
      <c r="CJ617" s="1"/>
      <c r="CK617" s="1"/>
      <c r="CL617" s="1"/>
      <c r="CM617" s="1"/>
      <c r="CN617" s="1"/>
      <c r="CO617" s="1"/>
      <c r="CP617" s="1"/>
      <c r="CQ617" s="1"/>
      <c r="CR617" s="1"/>
      <c r="CS617" s="1"/>
      <c r="CT617" s="1"/>
      <c r="CU617" s="1"/>
    </row>
    <row r="618" spans="2:99">
      <c r="B618" s="1"/>
      <c r="C618" s="1"/>
      <c r="D618" s="1"/>
      <c r="E618" s="1"/>
      <c r="F618" s="1"/>
      <c r="G618" s="3"/>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c r="BF618" s="1"/>
      <c r="BG618" s="1"/>
      <c r="BH618" s="1"/>
      <c r="BI618" s="1"/>
      <c r="BJ618" s="1"/>
      <c r="BK618" s="1"/>
      <c r="BL618" s="1"/>
      <c r="BM618" s="1"/>
      <c r="BN618" s="1"/>
      <c r="BO618" s="1"/>
      <c r="BP618" s="1"/>
      <c r="BQ618" s="1"/>
      <c r="BR618" s="1"/>
      <c r="BS618" s="1"/>
      <c r="BT618" s="1"/>
      <c r="BU618" s="1"/>
      <c r="BV618" s="1"/>
      <c r="BW618" s="1"/>
      <c r="BX618" s="1"/>
      <c r="BY618" s="1"/>
      <c r="BZ618" s="1"/>
      <c r="CA618" s="1"/>
      <c r="CB618" s="1"/>
      <c r="CC618" s="1"/>
      <c r="CD618" s="1"/>
      <c r="CE618" s="1"/>
      <c r="CF618" s="1"/>
      <c r="CG618" s="1"/>
      <c r="CH618" s="1"/>
      <c r="CI618" s="1"/>
      <c r="CJ618" s="1"/>
      <c r="CK618" s="1"/>
      <c r="CL618" s="1"/>
      <c r="CM618" s="1"/>
      <c r="CN618" s="1"/>
      <c r="CO618" s="1"/>
      <c r="CP618" s="1"/>
      <c r="CQ618" s="1"/>
      <c r="CR618" s="1"/>
      <c r="CS618" s="1"/>
      <c r="CT618" s="1"/>
      <c r="CU618" s="1"/>
    </row>
    <row r="619" spans="2:99">
      <c r="B619" s="1"/>
      <c r="C619" s="1"/>
      <c r="D619" s="1"/>
      <c r="E619" s="1"/>
      <c r="F619" s="1"/>
      <c r="G619" s="3"/>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c r="BF619" s="1"/>
      <c r="BG619" s="1"/>
      <c r="BH619" s="1"/>
      <c r="BI619" s="1"/>
      <c r="BJ619" s="1"/>
      <c r="BK619" s="1"/>
      <c r="BL619" s="1"/>
      <c r="BM619" s="1"/>
      <c r="BN619" s="1"/>
      <c r="BO619" s="1"/>
      <c r="BP619" s="1"/>
      <c r="BQ619" s="1"/>
      <c r="BR619" s="1"/>
      <c r="BS619" s="1"/>
      <c r="BT619" s="1"/>
      <c r="BU619" s="1"/>
      <c r="BV619" s="1"/>
      <c r="BW619" s="1"/>
      <c r="BX619" s="1"/>
      <c r="BY619" s="1"/>
      <c r="BZ619" s="1"/>
      <c r="CA619" s="1"/>
      <c r="CB619" s="1"/>
      <c r="CC619" s="1"/>
      <c r="CD619" s="1"/>
      <c r="CE619" s="1"/>
      <c r="CF619" s="1"/>
      <c r="CG619" s="1"/>
      <c r="CH619" s="1"/>
      <c r="CI619" s="1"/>
      <c r="CJ619" s="1"/>
      <c r="CK619" s="1"/>
      <c r="CL619" s="1"/>
      <c r="CM619" s="1"/>
      <c r="CN619" s="1"/>
      <c r="CO619" s="1"/>
      <c r="CP619" s="1"/>
      <c r="CQ619" s="1"/>
      <c r="CR619" s="1"/>
      <c r="CS619" s="1"/>
      <c r="CT619" s="1"/>
      <c r="CU619" s="1"/>
    </row>
    <row r="620" spans="2:99">
      <c r="B620" s="1"/>
      <c r="C620" s="1"/>
      <c r="D620" s="1"/>
      <c r="E620" s="1"/>
      <c r="F620" s="1"/>
      <c r="G620" s="3"/>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c r="BE620" s="1"/>
      <c r="BF620" s="1"/>
      <c r="BG620" s="1"/>
      <c r="BH620" s="1"/>
      <c r="BI620" s="1"/>
      <c r="BJ620" s="1"/>
      <c r="BK620" s="1"/>
      <c r="BL620" s="1"/>
      <c r="BM620" s="1"/>
      <c r="BN620" s="1"/>
      <c r="BO620" s="1"/>
      <c r="BP620" s="1"/>
      <c r="BQ620" s="1"/>
      <c r="BR620" s="1"/>
      <c r="BS620" s="1"/>
      <c r="BT620" s="1"/>
      <c r="BU620" s="1"/>
      <c r="BV620" s="1"/>
      <c r="BW620" s="1"/>
      <c r="BX620" s="1"/>
      <c r="BY620" s="1"/>
      <c r="BZ620" s="1"/>
      <c r="CA620" s="1"/>
      <c r="CB620" s="1"/>
      <c r="CC620" s="1"/>
      <c r="CD620" s="1"/>
      <c r="CE620" s="1"/>
      <c r="CF620" s="1"/>
      <c r="CG620" s="1"/>
      <c r="CH620" s="1"/>
      <c r="CI620" s="1"/>
      <c r="CJ620" s="1"/>
      <c r="CK620" s="1"/>
      <c r="CL620" s="1"/>
      <c r="CM620" s="1"/>
      <c r="CN620" s="1"/>
      <c r="CO620" s="1"/>
      <c r="CP620" s="1"/>
      <c r="CQ620" s="1"/>
      <c r="CR620" s="1"/>
      <c r="CS620" s="1"/>
      <c r="CT620" s="1"/>
      <c r="CU620" s="1"/>
    </row>
    <row r="621" spans="2:99">
      <c r="B621" s="1"/>
      <c r="C621" s="1"/>
      <c r="D621" s="1"/>
      <c r="E621" s="1"/>
      <c r="F621" s="1"/>
      <c r="G621" s="3"/>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c r="BF621" s="1"/>
      <c r="BG621" s="1"/>
      <c r="BH621" s="1"/>
      <c r="BI621" s="1"/>
      <c r="BJ621" s="1"/>
      <c r="BK621" s="1"/>
      <c r="BL621" s="1"/>
      <c r="BM621" s="1"/>
      <c r="BN621" s="1"/>
      <c r="BO621" s="1"/>
      <c r="BP621" s="1"/>
      <c r="BQ621" s="1"/>
      <c r="BR621" s="1"/>
      <c r="BS621" s="1"/>
      <c r="BT621" s="1"/>
      <c r="BU621" s="1"/>
      <c r="BV621" s="1"/>
      <c r="BW621" s="1"/>
      <c r="BX621" s="1"/>
      <c r="BY621" s="1"/>
      <c r="BZ621" s="1"/>
      <c r="CA621" s="1"/>
      <c r="CB621" s="1"/>
      <c r="CC621" s="1"/>
      <c r="CD621" s="1"/>
      <c r="CE621" s="1"/>
      <c r="CF621" s="1"/>
      <c r="CG621" s="1"/>
      <c r="CH621" s="1"/>
      <c r="CI621" s="1"/>
      <c r="CJ621" s="1"/>
      <c r="CK621" s="1"/>
      <c r="CL621" s="1"/>
      <c r="CM621" s="1"/>
      <c r="CN621" s="1"/>
      <c r="CO621" s="1"/>
      <c r="CP621" s="1"/>
      <c r="CQ621" s="1"/>
      <c r="CR621" s="1"/>
      <c r="CS621" s="1"/>
      <c r="CT621" s="1"/>
      <c r="CU621" s="1"/>
    </row>
    <row r="622" spans="2:99">
      <c r="B622" s="1"/>
      <c r="C622" s="1"/>
      <c r="D622" s="1"/>
      <c r="E622" s="1"/>
      <c r="F622" s="1"/>
      <c r="G622" s="3"/>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c r="BE622" s="1"/>
      <c r="BF622" s="1"/>
      <c r="BG622" s="1"/>
      <c r="BH622" s="1"/>
      <c r="BI622" s="1"/>
      <c r="BJ622" s="1"/>
      <c r="BK622" s="1"/>
      <c r="BL622" s="1"/>
      <c r="BM622" s="1"/>
      <c r="BN622" s="1"/>
      <c r="BO622" s="1"/>
      <c r="BP622" s="1"/>
      <c r="BQ622" s="1"/>
      <c r="BR622" s="1"/>
      <c r="BS622" s="1"/>
      <c r="BT622" s="1"/>
      <c r="BU622" s="1"/>
      <c r="BV622" s="1"/>
      <c r="BW622" s="1"/>
      <c r="BX622" s="1"/>
      <c r="BY622" s="1"/>
      <c r="BZ622" s="1"/>
      <c r="CA622" s="1"/>
      <c r="CB622" s="1"/>
      <c r="CC622" s="1"/>
      <c r="CD622" s="1"/>
      <c r="CE622" s="1"/>
      <c r="CF622" s="1"/>
      <c r="CG622" s="1"/>
      <c r="CH622" s="1"/>
      <c r="CI622" s="1"/>
      <c r="CJ622" s="1"/>
      <c r="CK622" s="1"/>
      <c r="CL622" s="1"/>
      <c r="CM622" s="1"/>
      <c r="CN622" s="1"/>
      <c r="CO622" s="1"/>
      <c r="CP622" s="1"/>
      <c r="CQ622" s="1"/>
      <c r="CR622" s="1"/>
      <c r="CS622" s="1"/>
      <c r="CT622" s="1"/>
      <c r="CU622" s="1"/>
    </row>
    <row r="623" spans="2:99">
      <c r="B623" s="1"/>
      <c r="C623" s="1"/>
      <c r="D623" s="1"/>
      <c r="E623" s="1"/>
      <c r="F623" s="1"/>
      <c r="G623" s="3"/>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c r="BF623" s="1"/>
      <c r="BG623" s="1"/>
      <c r="BH623" s="1"/>
      <c r="BI623" s="1"/>
      <c r="BJ623" s="1"/>
      <c r="BK623" s="1"/>
      <c r="BL623" s="1"/>
      <c r="BM623" s="1"/>
      <c r="BN623" s="1"/>
      <c r="BO623" s="1"/>
      <c r="BP623" s="1"/>
      <c r="BQ623" s="1"/>
      <c r="BR623" s="1"/>
      <c r="BS623" s="1"/>
      <c r="BT623" s="1"/>
      <c r="BU623" s="1"/>
      <c r="BV623" s="1"/>
      <c r="BW623" s="1"/>
      <c r="BX623" s="1"/>
      <c r="BY623" s="1"/>
      <c r="BZ623" s="1"/>
      <c r="CA623" s="1"/>
      <c r="CB623" s="1"/>
      <c r="CC623" s="1"/>
      <c r="CD623" s="1"/>
      <c r="CE623" s="1"/>
      <c r="CF623" s="1"/>
      <c r="CG623" s="1"/>
      <c r="CH623" s="1"/>
      <c r="CI623" s="1"/>
      <c r="CJ623" s="1"/>
      <c r="CK623" s="1"/>
      <c r="CL623" s="1"/>
      <c r="CM623" s="1"/>
      <c r="CN623" s="1"/>
      <c r="CO623" s="1"/>
      <c r="CP623" s="1"/>
      <c r="CQ623" s="1"/>
      <c r="CR623" s="1"/>
      <c r="CS623" s="1"/>
      <c r="CT623" s="1"/>
      <c r="CU623" s="1"/>
    </row>
    <row r="624" spans="2:99">
      <c r="B624" s="1"/>
      <c r="C624" s="1"/>
      <c r="D624" s="1"/>
      <c r="E624" s="1"/>
      <c r="F624" s="1"/>
      <c r="G624" s="3"/>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c r="BE624" s="1"/>
      <c r="BF624" s="1"/>
      <c r="BG624" s="1"/>
      <c r="BH624" s="1"/>
      <c r="BI624" s="1"/>
      <c r="BJ624" s="1"/>
      <c r="BK624" s="1"/>
      <c r="BL624" s="1"/>
      <c r="BM624" s="1"/>
      <c r="BN624" s="1"/>
      <c r="BO624" s="1"/>
      <c r="BP624" s="1"/>
      <c r="BQ624" s="1"/>
      <c r="BR624" s="1"/>
      <c r="BS624" s="1"/>
      <c r="BT624" s="1"/>
      <c r="BU624" s="1"/>
      <c r="BV624" s="1"/>
      <c r="BW624" s="1"/>
      <c r="BX624" s="1"/>
      <c r="BY624" s="1"/>
      <c r="BZ624" s="1"/>
      <c r="CA624" s="1"/>
      <c r="CB624" s="1"/>
      <c r="CC624" s="1"/>
      <c r="CD624" s="1"/>
      <c r="CE624" s="1"/>
      <c r="CF624" s="1"/>
      <c r="CG624" s="1"/>
      <c r="CH624" s="1"/>
      <c r="CI624" s="1"/>
      <c r="CJ624" s="1"/>
      <c r="CK624" s="1"/>
      <c r="CL624" s="1"/>
      <c r="CM624" s="1"/>
      <c r="CN624" s="1"/>
      <c r="CO624" s="1"/>
      <c r="CP624" s="1"/>
      <c r="CQ624" s="1"/>
      <c r="CR624" s="1"/>
      <c r="CS624" s="1"/>
      <c r="CT624" s="1"/>
      <c r="CU624" s="1"/>
    </row>
    <row r="625" spans="2:99">
      <c r="B625" s="1"/>
      <c r="C625" s="1"/>
      <c r="D625" s="1"/>
      <c r="E625" s="1"/>
      <c r="F625" s="1"/>
      <c r="G625" s="3"/>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c r="BF625" s="1"/>
      <c r="BG625" s="1"/>
      <c r="BH625" s="1"/>
      <c r="BI625" s="1"/>
      <c r="BJ625" s="1"/>
      <c r="BK625" s="1"/>
      <c r="BL625" s="1"/>
      <c r="BM625" s="1"/>
      <c r="BN625" s="1"/>
      <c r="BO625" s="1"/>
      <c r="BP625" s="1"/>
      <c r="BQ625" s="1"/>
      <c r="BR625" s="1"/>
      <c r="BS625" s="1"/>
      <c r="BT625" s="1"/>
      <c r="BU625" s="1"/>
      <c r="BV625" s="1"/>
      <c r="BW625" s="1"/>
      <c r="BX625" s="1"/>
      <c r="BY625" s="1"/>
      <c r="BZ625" s="1"/>
      <c r="CA625" s="1"/>
      <c r="CB625" s="1"/>
      <c r="CC625" s="1"/>
      <c r="CD625" s="1"/>
      <c r="CE625" s="1"/>
      <c r="CF625" s="1"/>
      <c r="CG625" s="1"/>
      <c r="CH625" s="1"/>
      <c r="CI625" s="1"/>
      <c r="CJ625" s="1"/>
      <c r="CK625" s="1"/>
      <c r="CL625" s="1"/>
      <c r="CM625" s="1"/>
      <c r="CN625" s="1"/>
      <c r="CO625" s="1"/>
      <c r="CP625" s="1"/>
      <c r="CQ625" s="1"/>
      <c r="CR625" s="1"/>
      <c r="CS625" s="1"/>
      <c r="CT625" s="1"/>
      <c r="CU625" s="1"/>
    </row>
    <row r="626" spans="2:99">
      <c r="B626" s="1"/>
      <c r="C626" s="1"/>
      <c r="D626" s="1"/>
      <c r="E626" s="1"/>
      <c r="F626" s="1"/>
      <c r="G626" s="3"/>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c r="BE626" s="1"/>
      <c r="BF626" s="1"/>
      <c r="BG626" s="1"/>
      <c r="BH626" s="1"/>
      <c r="BI626" s="1"/>
      <c r="BJ626" s="1"/>
      <c r="BK626" s="1"/>
      <c r="BL626" s="1"/>
      <c r="BM626" s="1"/>
      <c r="BN626" s="1"/>
      <c r="BO626" s="1"/>
      <c r="BP626" s="1"/>
      <c r="BQ626" s="1"/>
      <c r="BR626" s="1"/>
      <c r="BS626" s="1"/>
      <c r="BT626" s="1"/>
      <c r="BU626" s="1"/>
      <c r="BV626" s="1"/>
      <c r="BW626" s="1"/>
      <c r="BX626" s="1"/>
      <c r="BY626" s="1"/>
      <c r="BZ626" s="1"/>
      <c r="CA626" s="1"/>
      <c r="CB626" s="1"/>
      <c r="CC626" s="1"/>
      <c r="CD626" s="1"/>
      <c r="CE626" s="1"/>
      <c r="CF626" s="1"/>
      <c r="CG626" s="1"/>
      <c r="CH626" s="1"/>
      <c r="CI626" s="1"/>
      <c r="CJ626" s="1"/>
      <c r="CK626" s="1"/>
      <c r="CL626" s="1"/>
      <c r="CM626" s="1"/>
      <c r="CN626" s="1"/>
      <c r="CO626" s="1"/>
      <c r="CP626" s="1"/>
      <c r="CQ626" s="1"/>
      <c r="CR626" s="1"/>
      <c r="CS626" s="1"/>
      <c r="CT626" s="1"/>
      <c r="CU626" s="1"/>
    </row>
    <row r="627" spans="2:99">
      <c r="B627" s="1"/>
      <c r="C627" s="1"/>
      <c r="D627" s="1"/>
      <c r="E627" s="1"/>
      <c r="F627" s="1"/>
      <c r="G627" s="3"/>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c r="BP627" s="1"/>
      <c r="BQ627" s="1"/>
      <c r="BR627" s="1"/>
      <c r="BS627" s="1"/>
      <c r="BT627" s="1"/>
      <c r="BU627" s="1"/>
      <c r="BV627" s="1"/>
      <c r="BW627" s="1"/>
      <c r="BX627" s="1"/>
      <c r="BY627" s="1"/>
      <c r="BZ627" s="1"/>
      <c r="CA627" s="1"/>
      <c r="CB627" s="1"/>
      <c r="CC627" s="1"/>
      <c r="CD627" s="1"/>
      <c r="CE627" s="1"/>
      <c r="CF627" s="1"/>
      <c r="CG627" s="1"/>
      <c r="CH627" s="1"/>
      <c r="CI627" s="1"/>
      <c r="CJ627" s="1"/>
      <c r="CK627" s="1"/>
      <c r="CL627" s="1"/>
      <c r="CM627" s="1"/>
      <c r="CN627" s="1"/>
      <c r="CO627" s="1"/>
      <c r="CP627" s="1"/>
      <c r="CQ627" s="1"/>
      <c r="CR627" s="1"/>
      <c r="CS627" s="1"/>
      <c r="CT627" s="1"/>
      <c r="CU627" s="1"/>
    </row>
    <row r="628" spans="2:99">
      <c r="B628" s="1"/>
      <c r="C628" s="1"/>
      <c r="D628" s="1"/>
      <c r="E628" s="1"/>
      <c r="F628" s="1"/>
      <c r="G628" s="3"/>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c r="BP628" s="1"/>
      <c r="BQ628" s="1"/>
      <c r="BR628" s="1"/>
      <c r="BS628" s="1"/>
      <c r="BT628" s="1"/>
      <c r="BU628" s="1"/>
      <c r="BV628" s="1"/>
      <c r="BW628" s="1"/>
      <c r="BX628" s="1"/>
      <c r="BY628" s="1"/>
      <c r="BZ628" s="1"/>
      <c r="CA628" s="1"/>
      <c r="CB628" s="1"/>
      <c r="CC628" s="1"/>
      <c r="CD628" s="1"/>
      <c r="CE628" s="1"/>
      <c r="CF628" s="1"/>
      <c r="CG628" s="1"/>
      <c r="CH628" s="1"/>
      <c r="CI628" s="1"/>
      <c r="CJ628" s="1"/>
      <c r="CK628" s="1"/>
      <c r="CL628" s="1"/>
      <c r="CM628" s="1"/>
      <c r="CN628" s="1"/>
      <c r="CO628" s="1"/>
      <c r="CP628" s="1"/>
      <c r="CQ628" s="1"/>
      <c r="CR628" s="1"/>
      <c r="CS628" s="1"/>
      <c r="CT628" s="1"/>
      <c r="CU628" s="1"/>
    </row>
    <row r="629" spans="2:99">
      <c r="B629" s="1"/>
      <c r="C629" s="1"/>
      <c r="D629" s="1"/>
      <c r="E629" s="1"/>
      <c r="F629" s="1"/>
      <c r="G629" s="3"/>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c r="BP629" s="1"/>
      <c r="BQ629" s="1"/>
      <c r="BR629" s="1"/>
      <c r="BS629" s="1"/>
      <c r="BT629" s="1"/>
      <c r="BU629" s="1"/>
      <c r="BV629" s="1"/>
      <c r="BW629" s="1"/>
      <c r="BX629" s="1"/>
      <c r="BY629" s="1"/>
      <c r="BZ629" s="1"/>
      <c r="CA629" s="1"/>
      <c r="CB629" s="1"/>
      <c r="CC629" s="1"/>
      <c r="CD629" s="1"/>
      <c r="CE629" s="1"/>
      <c r="CF629" s="1"/>
      <c r="CG629" s="1"/>
      <c r="CH629" s="1"/>
      <c r="CI629" s="1"/>
      <c r="CJ629" s="1"/>
      <c r="CK629" s="1"/>
      <c r="CL629" s="1"/>
      <c r="CM629" s="1"/>
      <c r="CN629" s="1"/>
      <c r="CO629" s="1"/>
      <c r="CP629" s="1"/>
      <c r="CQ629" s="1"/>
      <c r="CR629" s="1"/>
      <c r="CS629" s="1"/>
      <c r="CT629" s="1"/>
      <c r="CU629" s="1"/>
    </row>
    <row r="630" spans="2:99">
      <c r="B630" s="1"/>
      <c r="C630" s="1"/>
      <c r="D630" s="1"/>
      <c r="E630" s="1"/>
      <c r="F630" s="1"/>
      <c r="G630" s="3"/>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c r="BP630" s="1"/>
      <c r="BQ630" s="1"/>
      <c r="BR630" s="1"/>
      <c r="BS630" s="1"/>
      <c r="BT630" s="1"/>
      <c r="BU630" s="1"/>
      <c r="BV630" s="1"/>
      <c r="BW630" s="1"/>
      <c r="BX630" s="1"/>
      <c r="BY630" s="1"/>
      <c r="BZ630" s="1"/>
      <c r="CA630" s="1"/>
      <c r="CB630" s="1"/>
      <c r="CC630" s="1"/>
      <c r="CD630" s="1"/>
      <c r="CE630" s="1"/>
      <c r="CF630" s="1"/>
      <c r="CG630" s="1"/>
      <c r="CH630" s="1"/>
      <c r="CI630" s="1"/>
      <c r="CJ630" s="1"/>
      <c r="CK630" s="1"/>
      <c r="CL630" s="1"/>
      <c r="CM630" s="1"/>
      <c r="CN630" s="1"/>
      <c r="CO630" s="1"/>
      <c r="CP630" s="1"/>
      <c r="CQ630" s="1"/>
      <c r="CR630" s="1"/>
      <c r="CS630" s="1"/>
      <c r="CT630" s="1"/>
      <c r="CU630" s="1"/>
    </row>
    <row r="631" spans="2:99">
      <c r="B631" s="1"/>
      <c r="C631" s="1"/>
      <c r="D631" s="1"/>
      <c r="E631" s="1"/>
      <c r="F631" s="1"/>
      <c r="G631" s="3"/>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c r="BP631" s="1"/>
      <c r="BQ631" s="1"/>
      <c r="BR631" s="1"/>
      <c r="BS631" s="1"/>
      <c r="BT631" s="1"/>
      <c r="BU631" s="1"/>
      <c r="BV631" s="1"/>
      <c r="BW631" s="1"/>
      <c r="BX631" s="1"/>
      <c r="BY631" s="1"/>
      <c r="BZ631" s="1"/>
      <c r="CA631" s="1"/>
      <c r="CB631" s="1"/>
      <c r="CC631" s="1"/>
      <c r="CD631" s="1"/>
      <c r="CE631" s="1"/>
      <c r="CF631" s="1"/>
      <c r="CG631" s="1"/>
      <c r="CH631" s="1"/>
      <c r="CI631" s="1"/>
      <c r="CJ631" s="1"/>
      <c r="CK631" s="1"/>
      <c r="CL631" s="1"/>
      <c r="CM631" s="1"/>
      <c r="CN631" s="1"/>
      <c r="CO631" s="1"/>
      <c r="CP631" s="1"/>
      <c r="CQ631" s="1"/>
      <c r="CR631" s="1"/>
      <c r="CS631" s="1"/>
      <c r="CT631" s="1"/>
      <c r="CU631" s="1"/>
    </row>
    <row r="632" spans="2:99">
      <c r="B632" s="1"/>
      <c r="C632" s="1"/>
      <c r="D632" s="1"/>
      <c r="E632" s="1"/>
      <c r="F632" s="1"/>
      <c r="G632" s="3"/>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c r="BP632" s="1"/>
      <c r="BQ632" s="1"/>
      <c r="BR632" s="1"/>
      <c r="BS632" s="1"/>
      <c r="BT632" s="1"/>
      <c r="BU632" s="1"/>
      <c r="BV632" s="1"/>
      <c r="BW632" s="1"/>
      <c r="BX632" s="1"/>
      <c r="BY632" s="1"/>
      <c r="BZ632" s="1"/>
      <c r="CA632" s="1"/>
      <c r="CB632" s="1"/>
      <c r="CC632" s="1"/>
      <c r="CD632" s="1"/>
      <c r="CE632" s="1"/>
      <c r="CF632" s="1"/>
      <c r="CG632" s="1"/>
      <c r="CH632" s="1"/>
      <c r="CI632" s="1"/>
      <c r="CJ632" s="1"/>
      <c r="CK632" s="1"/>
      <c r="CL632" s="1"/>
      <c r="CM632" s="1"/>
      <c r="CN632" s="1"/>
      <c r="CO632" s="1"/>
      <c r="CP632" s="1"/>
      <c r="CQ632" s="1"/>
      <c r="CR632" s="1"/>
      <c r="CS632" s="1"/>
      <c r="CT632" s="1"/>
      <c r="CU632" s="1"/>
    </row>
    <row r="633" spans="2:99">
      <c r="B633" s="1"/>
      <c r="C633" s="1"/>
      <c r="D633" s="1"/>
      <c r="E633" s="1"/>
      <c r="F633" s="1"/>
      <c r="G633" s="3"/>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c r="BP633" s="1"/>
      <c r="BQ633" s="1"/>
      <c r="BR633" s="1"/>
      <c r="BS633" s="1"/>
      <c r="BT633" s="1"/>
      <c r="BU633" s="1"/>
      <c r="BV633" s="1"/>
      <c r="BW633" s="1"/>
      <c r="BX633" s="1"/>
      <c r="BY633" s="1"/>
      <c r="BZ633" s="1"/>
      <c r="CA633" s="1"/>
      <c r="CB633" s="1"/>
      <c r="CC633" s="1"/>
      <c r="CD633" s="1"/>
      <c r="CE633" s="1"/>
      <c r="CF633" s="1"/>
      <c r="CG633" s="1"/>
      <c r="CH633" s="1"/>
      <c r="CI633" s="1"/>
      <c r="CJ633" s="1"/>
      <c r="CK633" s="1"/>
      <c r="CL633" s="1"/>
      <c r="CM633" s="1"/>
      <c r="CN633" s="1"/>
      <c r="CO633" s="1"/>
      <c r="CP633" s="1"/>
      <c r="CQ633" s="1"/>
      <c r="CR633" s="1"/>
      <c r="CS633" s="1"/>
      <c r="CT633" s="1"/>
      <c r="CU633" s="1"/>
    </row>
    <row r="634" spans="2:99">
      <c r="B634" s="1"/>
      <c r="C634" s="1"/>
      <c r="D634" s="1"/>
      <c r="E634" s="1"/>
      <c r="F634" s="1"/>
      <c r="G634" s="3"/>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c r="BP634" s="1"/>
      <c r="BQ634" s="1"/>
      <c r="BR634" s="1"/>
      <c r="BS634" s="1"/>
      <c r="BT634" s="1"/>
      <c r="BU634" s="1"/>
      <c r="BV634" s="1"/>
      <c r="BW634" s="1"/>
      <c r="BX634" s="1"/>
      <c r="BY634" s="1"/>
      <c r="BZ634" s="1"/>
      <c r="CA634" s="1"/>
      <c r="CB634" s="1"/>
      <c r="CC634" s="1"/>
      <c r="CD634" s="1"/>
      <c r="CE634" s="1"/>
      <c r="CF634" s="1"/>
      <c r="CG634" s="1"/>
      <c r="CH634" s="1"/>
      <c r="CI634" s="1"/>
      <c r="CJ634" s="1"/>
      <c r="CK634" s="1"/>
      <c r="CL634" s="1"/>
      <c r="CM634" s="1"/>
      <c r="CN634" s="1"/>
      <c r="CO634" s="1"/>
      <c r="CP634" s="1"/>
      <c r="CQ634" s="1"/>
      <c r="CR634" s="1"/>
      <c r="CS634" s="1"/>
      <c r="CT634" s="1"/>
      <c r="CU634" s="1"/>
    </row>
    <row r="635" spans="2:99">
      <c r="B635" s="1"/>
      <c r="C635" s="1"/>
      <c r="D635" s="1"/>
      <c r="E635" s="1"/>
      <c r="F635" s="1"/>
      <c r="G635" s="3"/>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c r="BP635" s="1"/>
      <c r="BQ635" s="1"/>
      <c r="BR635" s="1"/>
      <c r="BS635" s="1"/>
      <c r="BT635" s="1"/>
      <c r="BU635" s="1"/>
      <c r="BV635" s="1"/>
      <c r="BW635" s="1"/>
      <c r="BX635" s="1"/>
      <c r="BY635" s="1"/>
      <c r="BZ635" s="1"/>
      <c r="CA635" s="1"/>
      <c r="CB635" s="1"/>
      <c r="CC635" s="1"/>
      <c r="CD635" s="1"/>
      <c r="CE635" s="1"/>
      <c r="CF635" s="1"/>
      <c r="CG635" s="1"/>
      <c r="CH635" s="1"/>
      <c r="CI635" s="1"/>
      <c r="CJ635" s="1"/>
      <c r="CK635" s="1"/>
      <c r="CL635" s="1"/>
      <c r="CM635" s="1"/>
      <c r="CN635" s="1"/>
      <c r="CO635" s="1"/>
      <c r="CP635" s="1"/>
      <c r="CQ635" s="1"/>
      <c r="CR635" s="1"/>
      <c r="CS635" s="1"/>
      <c r="CT635" s="1"/>
      <c r="CU635" s="1"/>
    </row>
    <row r="636" spans="2:99">
      <c r="B636" s="1"/>
      <c r="C636" s="1"/>
      <c r="D636" s="1"/>
      <c r="E636" s="1"/>
      <c r="F636" s="1"/>
      <c r="G636" s="3"/>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c r="BP636" s="1"/>
      <c r="BQ636" s="1"/>
      <c r="BR636" s="1"/>
      <c r="BS636" s="1"/>
      <c r="BT636" s="1"/>
      <c r="BU636" s="1"/>
      <c r="BV636" s="1"/>
      <c r="BW636" s="1"/>
      <c r="BX636" s="1"/>
      <c r="BY636" s="1"/>
      <c r="BZ636" s="1"/>
      <c r="CA636" s="1"/>
      <c r="CB636" s="1"/>
      <c r="CC636" s="1"/>
      <c r="CD636" s="1"/>
      <c r="CE636" s="1"/>
      <c r="CF636" s="1"/>
      <c r="CG636" s="1"/>
      <c r="CH636" s="1"/>
      <c r="CI636" s="1"/>
      <c r="CJ636" s="1"/>
      <c r="CK636" s="1"/>
      <c r="CL636" s="1"/>
      <c r="CM636" s="1"/>
      <c r="CN636" s="1"/>
      <c r="CO636" s="1"/>
      <c r="CP636" s="1"/>
      <c r="CQ636" s="1"/>
      <c r="CR636" s="1"/>
      <c r="CS636" s="1"/>
      <c r="CT636" s="1"/>
      <c r="CU636" s="1"/>
    </row>
    <row r="637" spans="2:99">
      <c r="B637" s="1"/>
      <c r="C637" s="1"/>
      <c r="D637" s="1"/>
      <c r="E637" s="1"/>
      <c r="F637" s="1"/>
      <c r="G637" s="3"/>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c r="BP637" s="1"/>
      <c r="BQ637" s="1"/>
      <c r="BR637" s="1"/>
      <c r="BS637" s="1"/>
      <c r="BT637" s="1"/>
      <c r="BU637" s="1"/>
      <c r="BV637" s="1"/>
      <c r="BW637" s="1"/>
      <c r="BX637" s="1"/>
      <c r="BY637" s="1"/>
      <c r="BZ637" s="1"/>
      <c r="CA637" s="1"/>
      <c r="CB637" s="1"/>
      <c r="CC637" s="1"/>
      <c r="CD637" s="1"/>
      <c r="CE637" s="1"/>
      <c r="CF637" s="1"/>
      <c r="CG637" s="1"/>
      <c r="CH637" s="1"/>
      <c r="CI637" s="1"/>
      <c r="CJ637" s="1"/>
      <c r="CK637" s="1"/>
      <c r="CL637" s="1"/>
      <c r="CM637" s="1"/>
      <c r="CN637" s="1"/>
      <c r="CO637" s="1"/>
      <c r="CP637" s="1"/>
      <c r="CQ637" s="1"/>
      <c r="CR637" s="1"/>
      <c r="CS637" s="1"/>
      <c r="CT637" s="1"/>
      <c r="CU637" s="1"/>
    </row>
    <row r="638" spans="2:99">
      <c r="B638" s="1"/>
      <c r="C638" s="1"/>
      <c r="D638" s="1"/>
      <c r="E638" s="1"/>
      <c r="F638" s="1"/>
      <c r="G638" s="3"/>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c r="BP638" s="1"/>
      <c r="BQ638" s="1"/>
      <c r="BR638" s="1"/>
      <c r="BS638" s="1"/>
      <c r="BT638" s="1"/>
      <c r="BU638" s="1"/>
      <c r="BV638" s="1"/>
      <c r="BW638" s="1"/>
      <c r="BX638" s="1"/>
      <c r="BY638" s="1"/>
      <c r="BZ638" s="1"/>
      <c r="CA638" s="1"/>
      <c r="CB638" s="1"/>
      <c r="CC638" s="1"/>
      <c r="CD638" s="1"/>
      <c r="CE638" s="1"/>
      <c r="CF638" s="1"/>
      <c r="CG638" s="1"/>
      <c r="CH638" s="1"/>
      <c r="CI638" s="1"/>
      <c r="CJ638" s="1"/>
      <c r="CK638" s="1"/>
      <c r="CL638" s="1"/>
      <c r="CM638" s="1"/>
      <c r="CN638" s="1"/>
      <c r="CO638" s="1"/>
      <c r="CP638" s="1"/>
      <c r="CQ638" s="1"/>
      <c r="CR638" s="1"/>
      <c r="CS638" s="1"/>
      <c r="CT638" s="1"/>
      <c r="CU638" s="1"/>
    </row>
    <row r="639" spans="2:99">
      <c r="B639" s="1"/>
      <c r="C639" s="1"/>
      <c r="D639" s="1"/>
      <c r="E639" s="1"/>
      <c r="F639" s="1"/>
      <c r="G639" s="3"/>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c r="BP639" s="1"/>
      <c r="BQ639" s="1"/>
      <c r="BR639" s="1"/>
      <c r="BS639" s="1"/>
      <c r="BT639" s="1"/>
      <c r="BU639" s="1"/>
      <c r="BV639" s="1"/>
      <c r="BW639" s="1"/>
      <c r="BX639" s="1"/>
      <c r="BY639" s="1"/>
      <c r="BZ639" s="1"/>
      <c r="CA639" s="1"/>
      <c r="CB639" s="1"/>
      <c r="CC639" s="1"/>
      <c r="CD639" s="1"/>
      <c r="CE639" s="1"/>
      <c r="CF639" s="1"/>
      <c r="CG639" s="1"/>
      <c r="CH639" s="1"/>
      <c r="CI639" s="1"/>
      <c r="CJ639" s="1"/>
      <c r="CK639" s="1"/>
      <c r="CL639" s="1"/>
      <c r="CM639" s="1"/>
      <c r="CN639" s="1"/>
      <c r="CO639" s="1"/>
      <c r="CP639" s="1"/>
      <c r="CQ639" s="1"/>
      <c r="CR639" s="1"/>
      <c r="CS639" s="1"/>
      <c r="CT639" s="1"/>
      <c r="CU639" s="1"/>
    </row>
    <row r="640" spans="2:99">
      <c r="B640" s="1"/>
      <c r="C640" s="1"/>
      <c r="D640" s="1"/>
      <c r="E640" s="1"/>
      <c r="F640" s="1"/>
      <c r="G640" s="3"/>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c r="BP640" s="1"/>
      <c r="BQ640" s="1"/>
      <c r="BR640" s="1"/>
      <c r="BS640" s="1"/>
      <c r="BT640" s="1"/>
      <c r="BU640" s="1"/>
      <c r="BV640" s="1"/>
      <c r="BW640" s="1"/>
      <c r="BX640" s="1"/>
      <c r="BY640" s="1"/>
      <c r="BZ640" s="1"/>
      <c r="CA640" s="1"/>
      <c r="CB640" s="1"/>
      <c r="CC640" s="1"/>
      <c r="CD640" s="1"/>
      <c r="CE640" s="1"/>
      <c r="CF640" s="1"/>
      <c r="CG640" s="1"/>
      <c r="CH640" s="1"/>
      <c r="CI640" s="1"/>
      <c r="CJ640" s="1"/>
      <c r="CK640" s="1"/>
      <c r="CL640" s="1"/>
      <c r="CM640" s="1"/>
      <c r="CN640" s="1"/>
      <c r="CO640" s="1"/>
      <c r="CP640" s="1"/>
      <c r="CQ640" s="1"/>
      <c r="CR640" s="1"/>
      <c r="CS640" s="1"/>
      <c r="CT640" s="1"/>
      <c r="CU640" s="1"/>
    </row>
    <row r="641" spans="2:99">
      <c r="B641" s="1"/>
      <c r="C641" s="1"/>
      <c r="D641" s="1"/>
      <c r="E641" s="1"/>
      <c r="F641" s="1"/>
      <c r="G641" s="3"/>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c r="BP641" s="1"/>
      <c r="BQ641" s="1"/>
      <c r="BR641" s="1"/>
      <c r="BS641" s="1"/>
      <c r="BT641" s="1"/>
      <c r="BU641" s="1"/>
      <c r="BV641" s="1"/>
      <c r="BW641" s="1"/>
      <c r="BX641" s="1"/>
      <c r="BY641" s="1"/>
      <c r="BZ641" s="1"/>
      <c r="CA641" s="1"/>
      <c r="CB641" s="1"/>
      <c r="CC641" s="1"/>
      <c r="CD641" s="1"/>
      <c r="CE641" s="1"/>
      <c r="CF641" s="1"/>
      <c r="CG641" s="1"/>
      <c r="CH641" s="1"/>
      <c r="CI641" s="1"/>
      <c r="CJ641" s="1"/>
      <c r="CK641" s="1"/>
      <c r="CL641" s="1"/>
      <c r="CM641" s="1"/>
      <c r="CN641" s="1"/>
      <c r="CO641" s="1"/>
      <c r="CP641" s="1"/>
      <c r="CQ641" s="1"/>
      <c r="CR641" s="1"/>
      <c r="CS641" s="1"/>
      <c r="CT641" s="1"/>
      <c r="CU641" s="1"/>
    </row>
    <row r="642" spans="2:99">
      <c r="B642" s="1"/>
      <c r="C642" s="1"/>
      <c r="D642" s="1"/>
      <c r="E642" s="1"/>
      <c r="F642" s="1"/>
      <c r="G642" s="3"/>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c r="BP642" s="1"/>
      <c r="BQ642" s="1"/>
      <c r="BR642" s="1"/>
      <c r="BS642" s="1"/>
      <c r="BT642" s="1"/>
      <c r="BU642" s="1"/>
      <c r="BV642" s="1"/>
      <c r="BW642" s="1"/>
      <c r="BX642" s="1"/>
      <c r="BY642" s="1"/>
      <c r="BZ642" s="1"/>
      <c r="CA642" s="1"/>
      <c r="CB642" s="1"/>
      <c r="CC642" s="1"/>
      <c r="CD642" s="1"/>
      <c r="CE642" s="1"/>
      <c r="CF642" s="1"/>
      <c r="CG642" s="1"/>
      <c r="CH642" s="1"/>
      <c r="CI642" s="1"/>
      <c r="CJ642" s="1"/>
      <c r="CK642" s="1"/>
      <c r="CL642" s="1"/>
      <c r="CM642" s="1"/>
      <c r="CN642" s="1"/>
      <c r="CO642" s="1"/>
      <c r="CP642" s="1"/>
      <c r="CQ642" s="1"/>
      <c r="CR642" s="1"/>
      <c r="CS642" s="1"/>
      <c r="CT642" s="1"/>
      <c r="CU642" s="1"/>
    </row>
    <row r="643" spans="2:99">
      <c r="B643" s="1"/>
      <c r="C643" s="1"/>
      <c r="D643" s="1"/>
      <c r="E643" s="1"/>
      <c r="F643" s="1"/>
      <c r="G643" s="3"/>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c r="BP643" s="1"/>
      <c r="BQ643" s="1"/>
      <c r="BR643" s="1"/>
      <c r="BS643" s="1"/>
      <c r="BT643" s="1"/>
      <c r="BU643" s="1"/>
      <c r="BV643" s="1"/>
      <c r="BW643" s="1"/>
      <c r="BX643" s="1"/>
      <c r="BY643" s="1"/>
      <c r="BZ643" s="1"/>
      <c r="CA643" s="1"/>
      <c r="CB643" s="1"/>
      <c r="CC643" s="1"/>
      <c r="CD643" s="1"/>
      <c r="CE643" s="1"/>
      <c r="CF643" s="1"/>
      <c r="CG643" s="1"/>
      <c r="CH643" s="1"/>
      <c r="CI643" s="1"/>
      <c r="CJ643" s="1"/>
      <c r="CK643" s="1"/>
      <c r="CL643" s="1"/>
      <c r="CM643" s="1"/>
      <c r="CN643" s="1"/>
      <c r="CO643" s="1"/>
      <c r="CP643" s="1"/>
      <c r="CQ643" s="1"/>
      <c r="CR643" s="1"/>
      <c r="CS643" s="1"/>
      <c r="CT643" s="1"/>
      <c r="CU643" s="1"/>
    </row>
    <row r="644" spans="2:99">
      <c r="B644" s="1"/>
      <c r="C644" s="1"/>
      <c r="D644" s="1"/>
      <c r="E644" s="1"/>
      <c r="F644" s="1"/>
      <c r="G644" s="3"/>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c r="BP644" s="1"/>
      <c r="BQ644" s="1"/>
      <c r="BR644" s="1"/>
      <c r="BS644" s="1"/>
      <c r="BT644" s="1"/>
      <c r="BU644" s="1"/>
      <c r="BV644" s="1"/>
      <c r="BW644" s="1"/>
      <c r="BX644" s="1"/>
      <c r="BY644" s="1"/>
      <c r="BZ644" s="1"/>
      <c r="CA644" s="1"/>
      <c r="CB644" s="1"/>
      <c r="CC644" s="1"/>
      <c r="CD644" s="1"/>
      <c r="CE644" s="1"/>
      <c r="CF644" s="1"/>
      <c r="CG644" s="1"/>
      <c r="CH644" s="1"/>
      <c r="CI644" s="1"/>
      <c r="CJ644" s="1"/>
      <c r="CK644" s="1"/>
      <c r="CL644" s="1"/>
      <c r="CM644" s="1"/>
      <c r="CN644" s="1"/>
      <c r="CO644" s="1"/>
      <c r="CP644" s="1"/>
      <c r="CQ644" s="1"/>
      <c r="CR644" s="1"/>
      <c r="CS644" s="1"/>
      <c r="CT644" s="1"/>
      <c r="CU644" s="1"/>
    </row>
    <row r="645" spans="2:99">
      <c r="B645" s="1"/>
      <c r="C645" s="1"/>
      <c r="D645" s="1"/>
      <c r="E645" s="1"/>
      <c r="F645" s="1"/>
      <c r="G645" s="3"/>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c r="BP645" s="1"/>
      <c r="BQ645" s="1"/>
      <c r="BR645" s="1"/>
      <c r="BS645" s="1"/>
      <c r="BT645" s="1"/>
      <c r="BU645" s="1"/>
      <c r="BV645" s="1"/>
      <c r="BW645" s="1"/>
      <c r="BX645" s="1"/>
      <c r="BY645" s="1"/>
      <c r="BZ645" s="1"/>
      <c r="CA645" s="1"/>
      <c r="CB645" s="1"/>
      <c r="CC645" s="1"/>
      <c r="CD645" s="1"/>
      <c r="CE645" s="1"/>
      <c r="CF645" s="1"/>
      <c r="CG645" s="1"/>
      <c r="CH645" s="1"/>
      <c r="CI645" s="1"/>
      <c r="CJ645" s="1"/>
      <c r="CK645" s="1"/>
      <c r="CL645" s="1"/>
      <c r="CM645" s="1"/>
      <c r="CN645" s="1"/>
      <c r="CO645" s="1"/>
      <c r="CP645" s="1"/>
      <c r="CQ645" s="1"/>
      <c r="CR645" s="1"/>
      <c r="CS645" s="1"/>
      <c r="CT645" s="1"/>
      <c r="CU645" s="1"/>
    </row>
    <row r="646" spans="2:99">
      <c r="B646" s="1"/>
      <c r="C646" s="1"/>
      <c r="D646" s="1"/>
      <c r="E646" s="1"/>
      <c r="F646" s="1"/>
      <c r="G646" s="3"/>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c r="BP646" s="1"/>
      <c r="BQ646" s="1"/>
      <c r="BR646" s="1"/>
      <c r="BS646" s="1"/>
      <c r="BT646" s="1"/>
      <c r="BU646" s="1"/>
      <c r="BV646" s="1"/>
      <c r="BW646" s="1"/>
      <c r="BX646" s="1"/>
      <c r="BY646" s="1"/>
      <c r="BZ646" s="1"/>
      <c r="CA646" s="1"/>
      <c r="CB646" s="1"/>
      <c r="CC646" s="1"/>
      <c r="CD646" s="1"/>
      <c r="CE646" s="1"/>
      <c r="CF646" s="1"/>
      <c r="CG646" s="1"/>
      <c r="CH646" s="1"/>
      <c r="CI646" s="1"/>
      <c r="CJ646" s="1"/>
      <c r="CK646" s="1"/>
      <c r="CL646" s="1"/>
      <c r="CM646" s="1"/>
      <c r="CN646" s="1"/>
      <c r="CO646" s="1"/>
      <c r="CP646" s="1"/>
      <c r="CQ646" s="1"/>
      <c r="CR646" s="1"/>
      <c r="CS646" s="1"/>
      <c r="CT646" s="1"/>
      <c r="CU646" s="1"/>
    </row>
    <row r="647" spans="2:99">
      <c r="B647" s="1"/>
      <c r="C647" s="1"/>
      <c r="D647" s="1"/>
      <c r="E647" s="1"/>
      <c r="F647" s="1"/>
      <c r="G647" s="3"/>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c r="BP647" s="1"/>
      <c r="BQ647" s="1"/>
      <c r="BR647" s="1"/>
      <c r="BS647" s="1"/>
      <c r="BT647" s="1"/>
      <c r="BU647" s="1"/>
      <c r="BV647" s="1"/>
      <c r="BW647" s="1"/>
      <c r="BX647" s="1"/>
      <c r="BY647" s="1"/>
      <c r="BZ647" s="1"/>
      <c r="CA647" s="1"/>
      <c r="CB647" s="1"/>
      <c r="CC647" s="1"/>
      <c r="CD647" s="1"/>
      <c r="CE647" s="1"/>
      <c r="CF647" s="1"/>
      <c r="CG647" s="1"/>
      <c r="CH647" s="1"/>
      <c r="CI647" s="1"/>
      <c r="CJ647" s="1"/>
      <c r="CK647" s="1"/>
      <c r="CL647" s="1"/>
      <c r="CM647" s="1"/>
      <c r="CN647" s="1"/>
      <c r="CO647" s="1"/>
      <c r="CP647" s="1"/>
      <c r="CQ647" s="1"/>
      <c r="CR647" s="1"/>
      <c r="CS647" s="1"/>
      <c r="CT647" s="1"/>
      <c r="CU647" s="1"/>
    </row>
    <row r="648" spans="2:99">
      <c r="B648" s="1"/>
      <c r="C648" s="1"/>
      <c r="D648" s="1"/>
      <c r="E648" s="1"/>
      <c r="F648" s="1"/>
      <c r="G648" s="3"/>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c r="BP648" s="1"/>
      <c r="BQ648" s="1"/>
      <c r="BR648" s="1"/>
      <c r="BS648" s="1"/>
      <c r="BT648" s="1"/>
      <c r="BU648" s="1"/>
      <c r="BV648" s="1"/>
      <c r="BW648" s="1"/>
      <c r="BX648" s="1"/>
      <c r="BY648" s="1"/>
      <c r="BZ648" s="1"/>
      <c r="CA648" s="1"/>
      <c r="CB648" s="1"/>
      <c r="CC648" s="1"/>
      <c r="CD648" s="1"/>
      <c r="CE648" s="1"/>
      <c r="CF648" s="1"/>
      <c r="CG648" s="1"/>
      <c r="CH648" s="1"/>
      <c r="CI648" s="1"/>
      <c r="CJ648" s="1"/>
      <c r="CK648" s="1"/>
      <c r="CL648" s="1"/>
      <c r="CM648" s="1"/>
      <c r="CN648" s="1"/>
      <c r="CO648" s="1"/>
      <c r="CP648" s="1"/>
      <c r="CQ648" s="1"/>
      <c r="CR648" s="1"/>
      <c r="CS648" s="1"/>
      <c r="CT648" s="1"/>
      <c r="CU648" s="1"/>
    </row>
    <row r="649" spans="2:99">
      <c r="B649" s="1"/>
      <c r="C649" s="1"/>
      <c r="D649" s="1"/>
      <c r="E649" s="1"/>
      <c r="F649" s="1"/>
      <c r="G649" s="3"/>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c r="BP649" s="1"/>
      <c r="BQ649" s="1"/>
      <c r="BR649" s="1"/>
      <c r="BS649" s="1"/>
      <c r="BT649" s="1"/>
      <c r="BU649" s="1"/>
      <c r="BV649" s="1"/>
      <c r="BW649" s="1"/>
      <c r="BX649" s="1"/>
      <c r="BY649" s="1"/>
      <c r="BZ649" s="1"/>
      <c r="CA649" s="1"/>
      <c r="CB649" s="1"/>
      <c r="CC649" s="1"/>
      <c r="CD649" s="1"/>
      <c r="CE649" s="1"/>
      <c r="CF649" s="1"/>
      <c r="CG649" s="1"/>
      <c r="CH649" s="1"/>
      <c r="CI649" s="1"/>
      <c r="CJ649" s="1"/>
      <c r="CK649" s="1"/>
      <c r="CL649" s="1"/>
      <c r="CM649" s="1"/>
      <c r="CN649" s="1"/>
      <c r="CO649" s="1"/>
      <c r="CP649" s="1"/>
      <c r="CQ649" s="1"/>
      <c r="CR649" s="1"/>
      <c r="CS649" s="1"/>
      <c r="CT649" s="1"/>
      <c r="CU649" s="1"/>
    </row>
    <row r="650" spans="2:99">
      <c r="B650" s="1"/>
      <c r="C650" s="1"/>
      <c r="D650" s="1"/>
      <c r="E650" s="1"/>
      <c r="F650" s="1"/>
      <c r="G650" s="3"/>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c r="BP650" s="1"/>
      <c r="BQ650" s="1"/>
      <c r="BR650" s="1"/>
      <c r="BS650" s="1"/>
      <c r="BT650" s="1"/>
      <c r="BU650" s="1"/>
      <c r="BV650" s="1"/>
      <c r="BW650" s="1"/>
      <c r="BX650" s="1"/>
      <c r="BY650" s="1"/>
      <c r="BZ650" s="1"/>
      <c r="CA650" s="1"/>
      <c r="CB650" s="1"/>
      <c r="CC650" s="1"/>
      <c r="CD650" s="1"/>
      <c r="CE650" s="1"/>
      <c r="CF650" s="1"/>
      <c r="CG650" s="1"/>
      <c r="CH650" s="1"/>
      <c r="CI650" s="1"/>
      <c r="CJ650" s="1"/>
      <c r="CK650" s="1"/>
      <c r="CL650" s="1"/>
      <c r="CM650" s="1"/>
      <c r="CN650" s="1"/>
      <c r="CO650" s="1"/>
      <c r="CP650" s="1"/>
      <c r="CQ650" s="1"/>
      <c r="CR650" s="1"/>
      <c r="CS650" s="1"/>
      <c r="CT650" s="1"/>
      <c r="CU650" s="1"/>
    </row>
    <row r="651" spans="2:99">
      <c r="B651" s="1"/>
      <c r="C651" s="1"/>
      <c r="D651" s="1"/>
      <c r="E651" s="1"/>
      <c r="F651" s="1"/>
      <c r="G651" s="3"/>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c r="BP651" s="1"/>
      <c r="BQ651" s="1"/>
      <c r="BR651" s="1"/>
      <c r="BS651" s="1"/>
      <c r="BT651" s="1"/>
      <c r="BU651" s="1"/>
      <c r="BV651" s="1"/>
      <c r="BW651" s="1"/>
      <c r="BX651" s="1"/>
      <c r="BY651" s="1"/>
      <c r="BZ651" s="1"/>
      <c r="CA651" s="1"/>
      <c r="CB651" s="1"/>
      <c r="CC651" s="1"/>
      <c r="CD651" s="1"/>
      <c r="CE651" s="1"/>
      <c r="CF651" s="1"/>
      <c r="CG651" s="1"/>
      <c r="CH651" s="1"/>
      <c r="CI651" s="1"/>
      <c r="CJ651" s="1"/>
      <c r="CK651" s="1"/>
      <c r="CL651" s="1"/>
      <c r="CM651" s="1"/>
      <c r="CN651" s="1"/>
      <c r="CO651" s="1"/>
      <c r="CP651" s="1"/>
      <c r="CQ651" s="1"/>
      <c r="CR651" s="1"/>
      <c r="CS651" s="1"/>
      <c r="CT651" s="1"/>
      <c r="CU651" s="1"/>
    </row>
    <row r="652" spans="2:99">
      <c r="B652" s="1"/>
      <c r="C652" s="1"/>
      <c r="D652" s="1"/>
      <c r="E652" s="1"/>
      <c r="F652" s="1"/>
      <c r="G652" s="3"/>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c r="BP652" s="1"/>
      <c r="BQ652" s="1"/>
      <c r="BR652" s="1"/>
      <c r="BS652" s="1"/>
      <c r="BT652" s="1"/>
      <c r="BU652" s="1"/>
      <c r="BV652" s="1"/>
      <c r="BW652" s="1"/>
      <c r="BX652" s="1"/>
      <c r="BY652" s="1"/>
      <c r="BZ652" s="1"/>
      <c r="CA652" s="1"/>
      <c r="CB652" s="1"/>
      <c r="CC652" s="1"/>
      <c r="CD652" s="1"/>
      <c r="CE652" s="1"/>
      <c r="CF652" s="1"/>
      <c r="CG652" s="1"/>
      <c r="CH652" s="1"/>
      <c r="CI652" s="1"/>
      <c r="CJ652" s="1"/>
      <c r="CK652" s="1"/>
      <c r="CL652" s="1"/>
      <c r="CM652" s="1"/>
      <c r="CN652" s="1"/>
      <c r="CO652" s="1"/>
      <c r="CP652" s="1"/>
      <c r="CQ652" s="1"/>
      <c r="CR652" s="1"/>
      <c r="CS652" s="1"/>
      <c r="CT652" s="1"/>
      <c r="CU652" s="1"/>
    </row>
    <row r="653" spans="2:99">
      <c r="B653" s="1"/>
      <c r="C653" s="1"/>
      <c r="D653" s="1"/>
      <c r="E653" s="1"/>
      <c r="F653" s="1"/>
      <c r="G653" s="3"/>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c r="BP653" s="1"/>
      <c r="BQ653" s="1"/>
      <c r="BR653" s="1"/>
      <c r="BS653" s="1"/>
      <c r="BT653" s="1"/>
      <c r="BU653" s="1"/>
      <c r="BV653" s="1"/>
      <c r="BW653" s="1"/>
      <c r="BX653" s="1"/>
      <c r="BY653" s="1"/>
      <c r="BZ653" s="1"/>
      <c r="CA653" s="1"/>
      <c r="CB653" s="1"/>
      <c r="CC653" s="1"/>
      <c r="CD653" s="1"/>
      <c r="CE653" s="1"/>
      <c r="CF653" s="1"/>
      <c r="CG653" s="1"/>
      <c r="CH653" s="1"/>
      <c r="CI653" s="1"/>
      <c r="CJ653" s="1"/>
      <c r="CK653" s="1"/>
      <c r="CL653" s="1"/>
      <c r="CM653" s="1"/>
      <c r="CN653" s="1"/>
      <c r="CO653" s="1"/>
      <c r="CP653" s="1"/>
      <c r="CQ653" s="1"/>
      <c r="CR653" s="1"/>
      <c r="CS653" s="1"/>
      <c r="CT653" s="1"/>
      <c r="CU653" s="1"/>
    </row>
    <row r="654" spans="2:99">
      <c r="B654" s="1"/>
      <c r="C654" s="1"/>
      <c r="D654" s="1"/>
      <c r="E654" s="1"/>
      <c r="F654" s="1"/>
      <c r="G654" s="3"/>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c r="BP654" s="1"/>
      <c r="BQ654" s="1"/>
      <c r="BR654" s="1"/>
      <c r="BS654" s="1"/>
      <c r="BT654" s="1"/>
      <c r="BU654" s="1"/>
      <c r="BV654" s="1"/>
      <c r="BW654" s="1"/>
      <c r="BX654" s="1"/>
      <c r="BY654" s="1"/>
      <c r="BZ654" s="1"/>
      <c r="CA654" s="1"/>
      <c r="CB654" s="1"/>
      <c r="CC654" s="1"/>
      <c r="CD654" s="1"/>
      <c r="CE654" s="1"/>
      <c r="CF654" s="1"/>
      <c r="CG654" s="1"/>
      <c r="CH654" s="1"/>
      <c r="CI654" s="1"/>
      <c r="CJ654" s="1"/>
      <c r="CK654" s="1"/>
      <c r="CL654" s="1"/>
      <c r="CM654" s="1"/>
      <c r="CN654" s="1"/>
      <c r="CO654" s="1"/>
      <c r="CP654" s="1"/>
      <c r="CQ654" s="1"/>
      <c r="CR654" s="1"/>
      <c r="CS654" s="1"/>
      <c r="CT654" s="1"/>
      <c r="CU654" s="1"/>
    </row>
    <row r="655" spans="2:99">
      <c r="B655" s="1"/>
      <c r="C655" s="1"/>
      <c r="D655" s="1"/>
      <c r="E655" s="1"/>
      <c r="F655" s="1"/>
      <c r="G655" s="3"/>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c r="BP655" s="1"/>
      <c r="BQ655" s="1"/>
      <c r="BR655" s="1"/>
      <c r="BS655" s="1"/>
      <c r="BT655" s="1"/>
      <c r="BU655" s="1"/>
      <c r="BV655" s="1"/>
      <c r="BW655" s="1"/>
      <c r="BX655" s="1"/>
      <c r="BY655" s="1"/>
      <c r="BZ655" s="1"/>
      <c r="CA655" s="1"/>
      <c r="CB655" s="1"/>
      <c r="CC655" s="1"/>
      <c r="CD655" s="1"/>
      <c r="CE655" s="1"/>
      <c r="CF655" s="1"/>
      <c r="CG655" s="1"/>
      <c r="CH655" s="1"/>
      <c r="CI655" s="1"/>
      <c r="CJ655" s="1"/>
      <c r="CK655" s="1"/>
      <c r="CL655" s="1"/>
      <c r="CM655" s="1"/>
      <c r="CN655" s="1"/>
      <c r="CO655" s="1"/>
      <c r="CP655" s="1"/>
      <c r="CQ655" s="1"/>
      <c r="CR655" s="1"/>
      <c r="CS655" s="1"/>
      <c r="CT655" s="1"/>
      <c r="CU655" s="1"/>
    </row>
    <row r="656" spans="2:99">
      <c r="B656" s="1"/>
      <c r="C656" s="1"/>
      <c r="D656" s="1"/>
      <c r="E656" s="1"/>
      <c r="F656" s="1"/>
      <c r="G656" s="3"/>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c r="BP656" s="1"/>
      <c r="BQ656" s="1"/>
      <c r="BR656" s="1"/>
      <c r="BS656" s="1"/>
      <c r="BT656" s="1"/>
      <c r="BU656" s="1"/>
      <c r="BV656" s="1"/>
      <c r="BW656" s="1"/>
      <c r="BX656" s="1"/>
      <c r="BY656" s="1"/>
      <c r="BZ656" s="1"/>
      <c r="CA656" s="1"/>
      <c r="CB656" s="1"/>
      <c r="CC656" s="1"/>
      <c r="CD656" s="1"/>
      <c r="CE656" s="1"/>
      <c r="CF656" s="1"/>
      <c r="CG656" s="1"/>
      <c r="CH656" s="1"/>
      <c r="CI656" s="1"/>
      <c r="CJ656" s="1"/>
      <c r="CK656" s="1"/>
      <c r="CL656" s="1"/>
      <c r="CM656" s="1"/>
      <c r="CN656" s="1"/>
      <c r="CO656" s="1"/>
      <c r="CP656" s="1"/>
      <c r="CQ656" s="1"/>
      <c r="CR656" s="1"/>
      <c r="CS656" s="1"/>
      <c r="CT656" s="1"/>
      <c r="CU656" s="1"/>
    </row>
    <row r="657" spans="2:99">
      <c r="B657" s="1"/>
      <c r="C657" s="1"/>
      <c r="D657" s="1"/>
      <c r="E657" s="1"/>
      <c r="F657" s="1"/>
      <c r="G657" s="3"/>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c r="BP657" s="1"/>
      <c r="BQ657" s="1"/>
      <c r="BR657" s="1"/>
      <c r="BS657" s="1"/>
      <c r="BT657" s="1"/>
      <c r="BU657" s="1"/>
      <c r="BV657" s="1"/>
      <c r="BW657" s="1"/>
      <c r="BX657" s="1"/>
      <c r="BY657" s="1"/>
      <c r="BZ657" s="1"/>
      <c r="CA657" s="1"/>
      <c r="CB657" s="1"/>
      <c r="CC657" s="1"/>
      <c r="CD657" s="1"/>
      <c r="CE657" s="1"/>
      <c r="CF657" s="1"/>
      <c r="CG657" s="1"/>
      <c r="CH657" s="1"/>
      <c r="CI657" s="1"/>
      <c r="CJ657" s="1"/>
      <c r="CK657" s="1"/>
      <c r="CL657" s="1"/>
      <c r="CM657" s="1"/>
      <c r="CN657" s="1"/>
      <c r="CO657" s="1"/>
      <c r="CP657" s="1"/>
      <c r="CQ657" s="1"/>
      <c r="CR657" s="1"/>
      <c r="CS657" s="1"/>
      <c r="CT657" s="1"/>
      <c r="CU657" s="1"/>
    </row>
    <row r="658" spans="2:99">
      <c r="B658" s="1"/>
      <c r="C658" s="1"/>
      <c r="D658" s="1"/>
      <c r="E658" s="1"/>
      <c r="F658" s="1"/>
      <c r="G658" s="3"/>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c r="BP658" s="1"/>
      <c r="BQ658" s="1"/>
      <c r="BR658" s="1"/>
      <c r="BS658" s="1"/>
      <c r="BT658" s="1"/>
      <c r="BU658" s="1"/>
      <c r="BV658" s="1"/>
      <c r="BW658" s="1"/>
      <c r="BX658" s="1"/>
      <c r="BY658" s="1"/>
      <c r="BZ658" s="1"/>
      <c r="CA658" s="1"/>
      <c r="CB658" s="1"/>
      <c r="CC658" s="1"/>
      <c r="CD658" s="1"/>
      <c r="CE658" s="1"/>
      <c r="CF658" s="1"/>
      <c r="CG658" s="1"/>
      <c r="CH658" s="1"/>
      <c r="CI658" s="1"/>
      <c r="CJ658" s="1"/>
      <c r="CK658" s="1"/>
      <c r="CL658" s="1"/>
      <c r="CM658" s="1"/>
      <c r="CN658" s="1"/>
      <c r="CO658" s="1"/>
      <c r="CP658" s="1"/>
      <c r="CQ658" s="1"/>
      <c r="CR658" s="1"/>
      <c r="CS658" s="1"/>
      <c r="CT658" s="1"/>
      <c r="CU658" s="1"/>
    </row>
    <row r="659" spans="2:99">
      <c r="B659" s="1"/>
      <c r="C659" s="1"/>
      <c r="D659" s="1"/>
      <c r="E659" s="1"/>
      <c r="F659" s="1"/>
      <c r="G659" s="3"/>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c r="BP659" s="1"/>
      <c r="BQ659" s="1"/>
      <c r="BR659" s="1"/>
      <c r="BS659" s="1"/>
      <c r="BT659" s="1"/>
      <c r="BU659" s="1"/>
      <c r="BV659" s="1"/>
      <c r="BW659" s="1"/>
      <c r="BX659" s="1"/>
      <c r="BY659" s="1"/>
      <c r="BZ659" s="1"/>
      <c r="CA659" s="1"/>
      <c r="CB659" s="1"/>
      <c r="CC659" s="1"/>
      <c r="CD659" s="1"/>
      <c r="CE659" s="1"/>
      <c r="CF659" s="1"/>
      <c r="CG659" s="1"/>
      <c r="CH659" s="1"/>
      <c r="CI659" s="1"/>
      <c r="CJ659" s="1"/>
      <c r="CK659" s="1"/>
      <c r="CL659" s="1"/>
      <c r="CM659" s="1"/>
      <c r="CN659" s="1"/>
      <c r="CO659" s="1"/>
      <c r="CP659" s="1"/>
      <c r="CQ659" s="1"/>
      <c r="CR659" s="1"/>
      <c r="CS659" s="1"/>
      <c r="CT659" s="1"/>
      <c r="CU659" s="1"/>
    </row>
    <row r="660" spans="2:99">
      <c r="B660" s="1"/>
      <c r="C660" s="1"/>
      <c r="D660" s="1"/>
      <c r="E660" s="1"/>
      <c r="F660" s="1"/>
      <c r="G660" s="3"/>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c r="BP660" s="1"/>
      <c r="BQ660" s="1"/>
      <c r="BR660" s="1"/>
      <c r="BS660" s="1"/>
      <c r="BT660" s="1"/>
      <c r="BU660" s="1"/>
      <c r="BV660" s="1"/>
      <c r="BW660" s="1"/>
      <c r="BX660" s="1"/>
      <c r="BY660" s="1"/>
      <c r="BZ660" s="1"/>
      <c r="CA660" s="1"/>
      <c r="CB660" s="1"/>
      <c r="CC660" s="1"/>
      <c r="CD660" s="1"/>
      <c r="CE660" s="1"/>
      <c r="CF660" s="1"/>
      <c r="CG660" s="1"/>
      <c r="CH660" s="1"/>
      <c r="CI660" s="1"/>
      <c r="CJ660" s="1"/>
      <c r="CK660" s="1"/>
      <c r="CL660" s="1"/>
      <c r="CM660" s="1"/>
      <c r="CN660" s="1"/>
      <c r="CO660" s="1"/>
      <c r="CP660" s="1"/>
      <c r="CQ660" s="1"/>
      <c r="CR660" s="1"/>
      <c r="CS660" s="1"/>
      <c r="CT660" s="1"/>
      <c r="CU660" s="1"/>
    </row>
    <row r="661" spans="2:99">
      <c r="B661" s="1"/>
      <c r="C661" s="1"/>
      <c r="D661" s="1"/>
      <c r="E661" s="1"/>
      <c r="F661" s="1"/>
      <c r="G661" s="3"/>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c r="BP661" s="1"/>
      <c r="BQ661" s="1"/>
      <c r="BR661" s="1"/>
      <c r="BS661" s="1"/>
      <c r="BT661" s="1"/>
      <c r="BU661" s="1"/>
      <c r="BV661" s="1"/>
      <c r="BW661" s="1"/>
      <c r="BX661" s="1"/>
      <c r="BY661" s="1"/>
      <c r="BZ661" s="1"/>
      <c r="CA661" s="1"/>
      <c r="CB661" s="1"/>
      <c r="CC661" s="1"/>
      <c r="CD661" s="1"/>
      <c r="CE661" s="1"/>
      <c r="CF661" s="1"/>
      <c r="CG661" s="1"/>
      <c r="CH661" s="1"/>
      <c r="CI661" s="1"/>
      <c r="CJ661" s="1"/>
      <c r="CK661" s="1"/>
      <c r="CL661" s="1"/>
      <c r="CM661" s="1"/>
      <c r="CN661" s="1"/>
      <c r="CO661" s="1"/>
      <c r="CP661" s="1"/>
      <c r="CQ661" s="1"/>
      <c r="CR661" s="1"/>
      <c r="CS661" s="1"/>
      <c r="CT661" s="1"/>
      <c r="CU661" s="1"/>
    </row>
    <row r="662" spans="2:99">
      <c r="B662" s="1"/>
      <c r="C662" s="1"/>
      <c r="D662" s="1"/>
      <c r="E662" s="1"/>
      <c r="F662" s="1"/>
      <c r="G662" s="3"/>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c r="BP662" s="1"/>
      <c r="BQ662" s="1"/>
      <c r="BR662" s="1"/>
      <c r="BS662" s="1"/>
      <c r="BT662" s="1"/>
      <c r="BU662" s="1"/>
      <c r="BV662" s="1"/>
      <c r="BW662" s="1"/>
      <c r="BX662" s="1"/>
      <c r="BY662" s="1"/>
      <c r="BZ662" s="1"/>
      <c r="CA662" s="1"/>
      <c r="CB662" s="1"/>
      <c r="CC662" s="1"/>
      <c r="CD662" s="1"/>
      <c r="CE662" s="1"/>
      <c r="CF662" s="1"/>
      <c r="CG662" s="1"/>
      <c r="CH662" s="1"/>
      <c r="CI662" s="1"/>
      <c r="CJ662" s="1"/>
      <c r="CK662" s="1"/>
      <c r="CL662" s="1"/>
      <c r="CM662" s="1"/>
      <c r="CN662" s="1"/>
      <c r="CO662" s="1"/>
      <c r="CP662" s="1"/>
      <c r="CQ662" s="1"/>
      <c r="CR662" s="1"/>
      <c r="CS662" s="1"/>
      <c r="CT662" s="1"/>
      <c r="CU662" s="1"/>
    </row>
    <row r="663" spans="2:99">
      <c r="B663" s="1"/>
      <c r="C663" s="1"/>
      <c r="D663" s="1"/>
      <c r="E663" s="1"/>
      <c r="F663" s="1"/>
      <c r="G663" s="3"/>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c r="BP663" s="1"/>
      <c r="BQ663" s="1"/>
      <c r="BR663" s="1"/>
      <c r="BS663" s="1"/>
      <c r="BT663" s="1"/>
      <c r="BU663" s="1"/>
      <c r="BV663" s="1"/>
      <c r="BW663" s="1"/>
      <c r="BX663" s="1"/>
      <c r="BY663" s="1"/>
      <c r="BZ663" s="1"/>
      <c r="CA663" s="1"/>
      <c r="CB663" s="1"/>
      <c r="CC663" s="1"/>
      <c r="CD663" s="1"/>
      <c r="CE663" s="1"/>
      <c r="CF663" s="1"/>
      <c r="CG663" s="1"/>
      <c r="CH663" s="1"/>
      <c r="CI663" s="1"/>
      <c r="CJ663" s="1"/>
      <c r="CK663" s="1"/>
      <c r="CL663" s="1"/>
      <c r="CM663" s="1"/>
      <c r="CN663" s="1"/>
      <c r="CO663" s="1"/>
      <c r="CP663" s="1"/>
      <c r="CQ663" s="1"/>
      <c r="CR663" s="1"/>
      <c r="CS663" s="1"/>
      <c r="CT663" s="1"/>
      <c r="CU663" s="1"/>
    </row>
    <row r="664" spans="2:99">
      <c r="B664" s="1"/>
      <c r="C664" s="1"/>
      <c r="D664" s="1"/>
      <c r="E664" s="1"/>
      <c r="F664" s="1"/>
      <c r="G664" s="3"/>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c r="BP664" s="1"/>
      <c r="BQ664" s="1"/>
      <c r="BR664" s="1"/>
      <c r="BS664" s="1"/>
      <c r="BT664" s="1"/>
      <c r="BU664" s="1"/>
      <c r="BV664" s="1"/>
      <c r="BW664" s="1"/>
      <c r="BX664" s="1"/>
      <c r="BY664" s="1"/>
      <c r="BZ664" s="1"/>
      <c r="CA664" s="1"/>
      <c r="CB664" s="1"/>
      <c r="CC664" s="1"/>
      <c r="CD664" s="1"/>
      <c r="CE664" s="1"/>
      <c r="CF664" s="1"/>
      <c r="CG664" s="1"/>
      <c r="CH664" s="1"/>
      <c r="CI664" s="1"/>
      <c r="CJ664" s="1"/>
      <c r="CK664" s="1"/>
      <c r="CL664" s="1"/>
      <c r="CM664" s="1"/>
      <c r="CN664" s="1"/>
      <c r="CO664" s="1"/>
      <c r="CP664" s="1"/>
      <c r="CQ664" s="1"/>
      <c r="CR664" s="1"/>
      <c r="CS664" s="1"/>
      <c r="CT664" s="1"/>
      <c r="CU664" s="1"/>
    </row>
    <row r="665" spans="2:99">
      <c r="B665" s="1"/>
      <c r="C665" s="1"/>
      <c r="D665" s="1"/>
      <c r="E665" s="1"/>
      <c r="F665" s="1"/>
      <c r="G665" s="3"/>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c r="BP665" s="1"/>
      <c r="BQ665" s="1"/>
      <c r="BR665" s="1"/>
      <c r="BS665" s="1"/>
      <c r="BT665" s="1"/>
      <c r="BU665" s="1"/>
      <c r="BV665" s="1"/>
      <c r="BW665" s="1"/>
      <c r="BX665" s="1"/>
      <c r="BY665" s="1"/>
      <c r="BZ665" s="1"/>
      <c r="CA665" s="1"/>
      <c r="CB665" s="1"/>
      <c r="CC665" s="1"/>
      <c r="CD665" s="1"/>
      <c r="CE665" s="1"/>
      <c r="CF665" s="1"/>
      <c r="CG665" s="1"/>
      <c r="CH665" s="1"/>
      <c r="CI665" s="1"/>
      <c r="CJ665" s="1"/>
      <c r="CK665" s="1"/>
      <c r="CL665" s="1"/>
      <c r="CM665" s="1"/>
      <c r="CN665" s="1"/>
      <c r="CO665" s="1"/>
      <c r="CP665" s="1"/>
      <c r="CQ665" s="1"/>
      <c r="CR665" s="1"/>
      <c r="CS665" s="1"/>
      <c r="CT665" s="1"/>
      <c r="CU665" s="1"/>
    </row>
    <row r="666" spans="2:99">
      <c r="B666" s="1"/>
      <c r="C666" s="1"/>
      <c r="D666" s="1"/>
      <c r="E666" s="1"/>
      <c r="F666" s="1"/>
      <c r="G666" s="3"/>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c r="BP666" s="1"/>
      <c r="BQ666" s="1"/>
      <c r="BR666" s="1"/>
      <c r="BS666" s="1"/>
      <c r="BT666" s="1"/>
      <c r="BU666" s="1"/>
      <c r="BV666" s="1"/>
      <c r="BW666" s="1"/>
      <c r="BX666" s="1"/>
      <c r="BY666" s="1"/>
      <c r="BZ666" s="1"/>
      <c r="CA666" s="1"/>
      <c r="CB666" s="1"/>
      <c r="CC666" s="1"/>
      <c r="CD666" s="1"/>
      <c r="CE666" s="1"/>
      <c r="CF666" s="1"/>
      <c r="CG666" s="1"/>
      <c r="CH666" s="1"/>
      <c r="CI666" s="1"/>
      <c r="CJ666" s="1"/>
      <c r="CK666" s="1"/>
      <c r="CL666" s="1"/>
      <c r="CM666" s="1"/>
      <c r="CN666" s="1"/>
      <c r="CO666" s="1"/>
      <c r="CP666" s="1"/>
      <c r="CQ666" s="1"/>
      <c r="CR666" s="1"/>
      <c r="CS666" s="1"/>
      <c r="CT666" s="1"/>
      <c r="CU666" s="1"/>
    </row>
    <row r="667" spans="2:99">
      <c r="B667" s="1"/>
      <c r="C667" s="1"/>
      <c r="D667" s="1"/>
      <c r="E667" s="1"/>
      <c r="F667" s="1"/>
      <c r="G667" s="3"/>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c r="BP667" s="1"/>
      <c r="BQ667" s="1"/>
      <c r="BR667" s="1"/>
      <c r="BS667" s="1"/>
      <c r="BT667" s="1"/>
      <c r="BU667" s="1"/>
      <c r="BV667" s="1"/>
      <c r="BW667" s="1"/>
      <c r="BX667" s="1"/>
      <c r="BY667" s="1"/>
      <c r="BZ667" s="1"/>
      <c r="CA667" s="1"/>
      <c r="CB667" s="1"/>
      <c r="CC667" s="1"/>
      <c r="CD667" s="1"/>
      <c r="CE667" s="1"/>
      <c r="CF667" s="1"/>
      <c r="CG667" s="1"/>
      <c r="CH667" s="1"/>
      <c r="CI667" s="1"/>
      <c r="CJ667" s="1"/>
      <c r="CK667" s="1"/>
      <c r="CL667" s="1"/>
      <c r="CM667" s="1"/>
      <c r="CN667" s="1"/>
      <c r="CO667" s="1"/>
      <c r="CP667" s="1"/>
      <c r="CQ667" s="1"/>
      <c r="CR667" s="1"/>
      <c r="CS667" s="1"/>
      <c r="CT667" s="1"/>
      <c r="CU667" s="1"/>
    </row>
    <row r="668" spans="2:99">
      <c r="B668" s="1"/>
      <c r="C668" s="1"/>
      <c r="D668" s="1"/>
      <c r="E668" s="1"/>
      <c r="F668" s="1"/>
      <c r="G668" s="3"/>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c r="BP668" s="1"/>
      <c r="BQ668" s="1"/>
      <c r="BR668" s="1"/>
      <c r="BS668" s="1"/>
      <c r="BT668" s="1"/>
      <c r="BU668" s="1"/>
      <c r="BV668" s="1"/>
      <c r="BW668" s="1"/>
      <c r="BX668" s="1"/>
      <c r="BY668" s="1"/>
      <c r="BZ668" s="1"/>
      <c r="CA668" s="1"/>
      <c r="CB668" s="1"/>
      <c r="CC668" s="1"/>
      <c r="CD668" s="1"/>
      <c r="CE668" s="1"/>
      <c r="CF668" s="1"/>
      <c r="CG668" s="1"/>
      <c r="CH668" s="1"/>
      <c r="CI668" s="1"/>
      <c r="CJ668" s="1"/>
      <c r="CK668" s="1"/>
      <c r="CL668" s="1"/>
      <c r="CM668" s="1"/>
      <c r="CN668" s="1"/>
      <c r="CO668" s="1"/>
      <c r="CP668" s="1"/>
      <c r="CQ668" s="1"/>
      <c r="CR668" s="1"/>
      <c r="CS668" s="1"/>
      <c r="CT668" s="1"/>
      <c r="CU668" s="1"/>
    </row>
    <row r="669" spans="2:99">
      <c r="B669" s="1"/>
      <c r="C669" s="1"/>
      <c r="D669" s="1"/>
      <c r="E669" s="1"/>
      <c r="F669" s="1"/>
      <c r="G669" s="3"/>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c r="BP669" s="1"/>
      <c r="BQ669" s="1"/>
      <c r="BR669" s="1"/>
      <c r="BS669" s="1"/>
      <c r="BT669" s="1"/>
      <c r="BU669" s="1"/>
      <c r="BV669" s="1"/>
      <c r="BW669" s="1"/>
      <c r="BX669" s="1"/>
      <c r="BY669" s="1"/>
      <c r="BZ669" s="1"/>
      <c r="CA669" s="1"/>
      <c r="CB669" s="1"/>
      <c r="CC669" s="1"/>
      <c r="CD669" s="1"/>
      <c r="CE669" s="1"/>
      <c r="CF669" s="1"/>
      <c r="CG669" s="1"/>
      <c r="CH669" s="1"/>
      <c r="CI669" s="1"/>
      <c r="CJ669" s="1"/>
      <c r="CK669" s="1"/>
      <c r="CL669" s="1"/>
      <c r="CM669" s="1"/>
      <c r="CN669" s="1"/>
      <c r="CO669" s="1"/>
      <c r="CP669" s="1"/>
      <c r="CQ669" s="1"/>
      <c r="CR669" s="1"/>
      <c r="CS669" s="1"/>
      <c r="CT669" s="1"/>
      <c r="CU669" s="1"/>
    </row>
    <row r="670" spans="2:99">
      <c r="B670" s="1"/>
      <c r="C670" s="1"/>
      <c r="D670" s="1"/>
      <c r="E670" s="1"/>
      <c r="F670" s="1"/>
      <c r="G670" s="3"/>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c r="BP670" s="1"/>
      <c r="BQ670" s="1"/>
      <c r="BR670" s="1"/>
      <c r="BS670" s="1"/>
      <c r="BT670" s="1"/>
      <c r="BU670" s="1"/>
      <c r="BV670" s="1"/>
      <c r="BW670" s="1"/>
      <c r="BX670" s="1"/>
      <c r="BY670" s="1"/>
      <c r="BZ670" s="1"/>
      <c r="CA670" s="1"/>
      <c r="CB670" s="1"/>
      <c r="CC670" s="1"/>
      <c r="CD670" s="1"/>
      <c r="CE670" s="1"/>
      <c r="CF670" s="1"/>
      <c r="CG670" s="1"/>
      <c r="CH670" s="1"/>
      <c r="CI670" s="1"/>
      <c r="CJ670" s="1"/>
      <c r="CK670" s="1"/>
      <c r="CL670" s="1"/>
      <c r="CM670" s="1"/>
      <c r="CN670" s="1"/>
      <c r="CO670" s="1"/>
      <c r="CP670" s="1"/>
      <c r="CQ670" s="1"/>
      <c r="CR670" s="1"/>
      <c r="CS670" s="1"/>
      <c r="CT670" s="1"/>
      <c r="CU670" s="1"/>
    </row>
    <row r="671" spans="2:99">
      <c r="B671" s="1"/>
      <c r="C671" s="1"/>
      <c r="D671" s="1"/>
      <c r="E671" s="1"/>
      <c r="F671" s="1"/>
      <c r="G671" s="3"/>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c r="BP671" s="1"/>
      <c r="BQ671" s="1"/>
      <c r="BR671" s="1"/>
      <c r="BS671" s="1"/>
      <c r="BT671" s="1"/>
      <c r="BU671" s="1"/>
      <c r="BV671" s="1"/>
      <c r="BW671" s="1"/>
      <c r="BX671" s="1"/>
      <c r="BY671" s="1"/>
      <c r="BZ671" s="1"/>
      <c r="CA671" s="1"/>
      <c r="CB671" s="1"/>
      <c r="CC671" s="1"/>
      <c r="CD671" s="1"/>
      <c r="CE671" s="1"/>
      <c r="CF671" s="1"/>
      <c r="CG671" s="1"/>
      <c r="CH671" s="1"/>
      <c r="CI671" s="1"/>
      <c r="CJ671" s="1"/>
      <c r="CK671" s="1"/>
      <c r="CL671" s="1"/>
      <c r="CM671" s="1"/>
      <c r="CN671" s="1"/>
      <c r="CO671" s="1"/>
      <c r="CP671" s="1"/>
      <c r="CQ671" s="1"/>
      <c r="CR671" s="1"/>
      <c r="CS671" s="1"/>
      <c r="CT671" s="1"/>
      <c r="CU671" s="1"/>
    </row>
    <row r="672" spans="2:99">
      <c r="B672" s="1"/>
      <c r="C672" s="1"/>
      <c r="D672" s="1"/>
      <c r="E672" s="1"/>
      <c r="F672" s="1"/>
      <c r="G672" s="3"/>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c r="BP672" s="1"/>
      <c r="BQ672" s="1"/>
      <c r="BR672" s="1"/>
      <c r="BS672" s="1"/>
      <c r="BT672" s="1"/>
      <c r="BU672" s="1"/>
      <c r="BV672" s="1"/>
      <c r="BW672" s="1"/>
      <c r="BX672" s="1"/>
      <c r="BY672" s="1"/>
      <c r="BZ672" s="1"/>
      <c r="CA672" s="1"/>
      <c r="CB672" s="1"/>
      <c r="CC672" s="1"/>
      <c r="CD672" s="1"/>
      <c r="CE672" s="1"/>
      <c r="CF672" s="1"/>
      <c r="CG672" s="1"/>
      <c r="CH672" s="1"/>
      <c r="CI672" s="1"/>
      <c r="CJ672" s="1"/>
      <c r="CK672" s="1"/>
      <c r="CL672" s="1"/>
      <c r="CM672" s="1"/>
      <c r="CN672" s="1"/>
      <c r="CO672" s="1"/>
      <c r="CP672" s="1"/>
      <c r="CQ672" s="1"/>
      <c r="CR672" s="1"/>
      <c r="CS672" s="1"/>
      <c r="CT672" s="1"/>
      <c r="CU672" s="1"/>
    </row>
    <row r="673" spans="2:99">
      <c r="B673" s="1"/>
      <c r="C673" s="1"/>
      <c r="D673" s="1"/>
      <c r="E673" s="1"/>
      <c r="F673" s="1"/>
      <c r="G673" s="3"/>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c r="BP673" s="1"/>
      <c r="BQ673" s="1"/>
      <c r="BR673" s="1"/>
      <c r="BS673" s="1"/>
      <c r="BT673" s="1"/>
      <c r="BU673" s="1"/>
      <c r="BV673" s="1"/>
      <c r="BW673" s="1"/>
      <c r="BX673" s="1"/>
      <c r="BY673" s="1"/>
      <c r="BZ673" s="1"/>
      <c r="CA673" s="1"/>
      <c r="CB673" s="1"/>
      <c r="CC673" s="1"/>
      <c r="CD673" s="1"/>
      <c r="CE673" s="1"/>
      <c r="CF673" s="1"/>
      <c r="CG673" s="1"/>
      <c r="CH673" s="1"/>
      <c r="CI673" s="1"/>
      <c r="CJ673" s="1"/>
      <c r="CK673" s="1"/>
      <c r="CL673" s="1"/>
      <c r="CM673" s="1"/>
      <c r="CN673" s="1"/>
      <c r="CO673" s="1"/>
      <c r="CP673" s="1"/>
      <c r="CQ673" s="1"/>
      <c r="CR673" s="1"/>
      <c r="CS673" s="1"/>
      <c r="CT673" s="1"/>
      <c r="CU673" s="1"/>
    </row>
    <row r="674" spans="2:99">
      <c r="B674" s="1"/>
      <c r="C674" s="1"/>
      <c r="D674" s="1"/>
      <c r="E674" s="1"/>
      <c r="F674" s="1"/>
      <c r="G674" s="3"/>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c r="BP674" s="1"/>
      <c r="BQ674" s="1"/>
      <c r="BR674" s="1"/>
      <c r="BS674" s="1"/>
      <c r="BT674" s="1"/>
      <c r="BU674" s="1"/>
      <c r="BV674" s="1"/>
      <c r="BW674" s="1"/>
      <c r="BX674" s="1"/>
      <c r="BY674" s="1"/>
      <c r="BZ674" s="1"/>
      <c r="CA674" s="1"/>
      <c r="CB674" s="1"/>
      <c r="CC674" s="1"/>
      <c r="CD674" s="1"/>
      <c r="CE674" s="1"/>
      <c r="CF674" s="1"/>
      <c r="CG674" s="1"/>
      <c r="CH674" s="1"/>
      <c r="CI674" s="1"/>
      <c r="CJ674" s="1"/>
      <c r="CK674" s="1"/>
      <c r="CL674" s="1"/>
      <c r="CM674" s="1"/>
      <c r="CN674" s="1"/>
      <c r="CO674" s="1"/>
      <c r="CP674" s="1"/>
      <c r="CQ674" s="1"/>
      <c r="CR674" s="1"/>
      <c r="CS674" s="1"/>
      <c r="CT674" s="1"/>
      <c r="CU674" s="1"/>
    </row>
    <row r="675" spans="2:99">
      <c r="B675" s="1"/>
      <c r="C675" s="1"/>
      <c r="D675" s="1"/>
      <c r="E675" s="1"/>
      <c r="F675" s="1"/>
      <c r="G675" s="3"/>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c r="BP675" s="1"/>
      <c r="BQ675" s="1"/>
      <c r="BR675" s="1"/>
      <c r="BS675" s="1"/>
      <c r="BT675" s="1"/>
      <c r="BU675" s="1"/>
      <c r="BV675" s="1"/>
      <c r="BW675" s="1"/>
      <c r="BX675" s="1"/>
      <c r="BY675" s="1"/>
      <c r="BZ675" s="1"/>
      <c r="CA675" s="1"/>
      <c r="CB675" s="1"/>
      <c r="CC675" s="1"/>
      <c r="CD675" s="1"/>
      <c r="CE675" s="1"/>
      <c r="CF675" s="1"/>
      <c r="CG675" s="1"/>
      <c r="CH675" s="1"/>
      <c r="CI675" s="1"/>
      <c r="CJ675" s="1"/>
      <c r="CK675" s="1"/>
      <c r="CL675" s="1"/>
      <c r="CM675" s="1"/>
      <c r="CN675" s="1"/>
      <c r="CO675" s="1"/>
      <c r="CP675" s="1"/>
      <c r="CQ675" s="1"/>
      <c r="CR675" s="1"/>
      <c r="CS675" s="1"/>
      <c r="CT675" s="1"/>
      <c r="CU675" s="1"/>
    </row>
    <row r="676" spans="2:99">
      <c r="B676" s="1"/>
      <c r="C676" s="1"/>
      <c r="D676" s="1"/>
      <c r="E676" s="1"/>
      <c r="F676" s="1"/>
      <c r="G676" s="3"/>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c r="BP676" s="1"/>
      <c r="BQ676" s="1"/>
      <c r="BR676" s="1"/>
      <c r="BS676" s="1"/>
      <c r="BT676" s="1"/>
      <c r="BU676" s="1"/>
      <c r="BV676" s="1"/>
      <c r="BW676" s="1"/>
      <c r="BX676" s="1"/>
      <c r="BY676" s="1"/>
      <c r="BZ676" s="1"/>
      <c r="CA676" s="1"/>
      <c r="CB676" s="1"/>
      <c r="CC676" s="1"/>
      <c r="CD676" s="1"/>
      <c r="CE676" s="1"/>
      <c r="CF676" s="1"/>
      <c r="CG676" s="1"/>
      <c r="CH676" s="1"/>
      <c r="CI676" s="1"/>
      <c r="CJ676" s="1"/>
      <c r="CK676" s="1"/>
      <c r="CL676" s="1"/>
      <c r="CM676" s="1"/>
      <c r="CN676" s="1"/>
      <c r="CO676" s="1"/>
      <c r="CP676" s="1"/>
      <c r="CQ676" s="1"/>
      <c r="CR676" s="1"/>
      <c r="CS676" s="1"/>
      <c r="CT676" s="1"/>
      <c r="CU676" s="1"/>
    </row>
    <row r="677" spans="2:99">
      <c r="B677" s="1"/>
      <c r="C677" s="1"/>
      <c r="D677" s="1"/>
      <c r="E677" s="1"/>
      <c r="F677" s="1"/>
      <c r="G677" s="3"/>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c r="BP677" s="1"/>
      <c r="BQ677" s="1"/>
      <c r="BR677" s="1"/>
      <c r="BS677" s="1"/>
      <c r="BT677" s="1"/>
      <c r="BU677" s="1"/>
      <c r="BV677" s="1"/>
      <c r="BW677" s="1"/>
      <c r="BX677" s="1"/>
      <c r="BY677" s="1"/>
      <c r="BZ677" s="1"/>
      <c r="CA677" s="1"/>
      <c r="CB677" s="1"/>
      <c r="CC677" s="1"/>
      <c r="CD677" s="1"/>
      <c r="CE677" s="1"/>
      <c r="CF677" s="1"/>
      <c r="CG677" s="1"/>
      <c r="CH677" s="1"/>
      <c r="CI677" s="1"/>
      <c r="CJ677" s="1"/>
      <c r="CK677" s="1"/>
      <c r="CL677" s="1"/>
      <c r="CM677" s="1"/>
      <c r="CN677" s="1"/>
      <c r="CO677" s="1"/>
      <c r="CP677" s="1"/>
      <c r="CQ677" s="1"/>
      <c r="CR677" s="1"/>
      <c r="CS677" s="1"/>
      <c r="CT677" s="1"/>
      <c r="CU677" s="1"/>
    </row>
    <row r="678" spans="2:99">
      <c r="B678" s="1"/>
      <c r="C678" s="1"/>
      <c r="D678" s="1"/>
      <c r="E678" s="1"/>
      <c r="F678" s="1"/>
      <c r="G678" s="3"/>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c r="BP678" s="1"/>
      <c r="BQ678" s="1"/>
      <c r="BR678" s="1"/>
      <c r="BS678" s="1"/>
      <c r="BT678" s="1"/>
      <c r="BU678" s="1"/>
      <c r="BV678" s="1"/>
      <c r="BW678" s="1"/>
      <c r="BX678" s="1"/>
      <c r="BY678" s="1"/>
      <c r="BZ678" s="1"/>
      <c r="CA678" s="1"/>
      <c r="CB678" s="1"/>
      <c r="CC678" s="1"/>
      <c r="CD678" s="1"/>
      <c r="CE678" s="1"/>
      <c r="CF678" s="1"/>
      <c r="CG678" s="1"/>
      <c r="CH678" s="1"/>
      <c r="CI678" s="1"/>
      <c r="CJ678" s="1"/>
      <c r="CK678" s="1"/>
      <c r="CL678" s="1"/>
      <c r="CM678" s="1"/>
      <c r="CN678" s="1"/>
      <c r="CO678" s="1"/>
      <c r="CP678" s="1"/>
      <c r="CQ678" s="1"/>
      <c r="CR678" s="1"/>
      <c r="CS678" s="1"/>
      <c r="CT678" s="1"/>
      <c r="CU678" s="1"/>
    </row>
    <row r="679" spans="2:99">
      <c r="B679" s="1"/>
      <c r="C679" s="1"/>
      <c r="D679" s="1"/>
      <c r="E679" s="1"/>
      <c r="F679" s="1"/>
      <c r="G679" s="3"/>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c r="BP679" s="1"/>
      <c r="BQ679" s="1"/>
      <c r="BR679" s="1"/>
      <c r="BS679" s="1"/>
      <c r="BT679" s="1"/>
      <c r="BU679" s="1"/>
      <c r="BV679" s="1"/>
      <c r="BW679" s="1"/>
      <c r="BX679" s="1"/>
      <c r="BY679" s="1"/>
      <c r="BZ679" s="1"/>
      <c r="CA679" s="1"/>
      <c r="CB679" s="1"/>
      <c r="CC679" s="1"/>
      <c r="CD679" s="1"/>
      <c r="CE679" s="1"/>
      <c r="CF679" s="1"/>
      <c r="CG679" s="1"/>
      <c r="CH679" s="1"/>
      <c r="CI679" s="1"/>
      <c r="CJ679" s="1"/>
      <c r="CK679" s="1"/>
      <c r="CL679" s="1"/>
      <c r="CM679" s="1"/>
      <c r="CN679" s="1"/>
      <c r="CO679" s="1"/>
      <c r="CP679" s="1"/>
      <c r="CQ679" s="1"/>
      <c r="CR679" s="1"/>
      <c r="CS679" s="1"/>
      <c r="CT679" s="1"/>
      <c r="CU679" s="1"/>
    </row>
    <row r="680" spans="2:99">
      <c r="B680" s="1"/>
      <c r="C680" s="1"/>
      <c r="D680" s="1"/>
      <c r="E680" s="1"/>
      <c r="F680" s="1"/>
      <c r="G680" s="3"/>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c r="BP680" s="1"/>
      <c r="BQ680" s="1"/>
      <c r="BR680" s="1"/>
      <c r="BS680" s="1"/>
      <c r="BT680" s="1"/>
      <c r="BU680" s="1"/>
      <c r="BV680" s="1"/>
      <c r="BW680" s="1"/>
      <c r="BX680" s="1"/>
      <c r="BY680" s="1"/>
      <c r="BZ680" s="1"/>
      <c r="CA680" s="1"/>
      <c r="CB680" s="1"/>
      <c r="CC680" s="1"/>
      <c r="CD680" s="1"/>
      <c r="CE680" s="1"/>
      <c r="CF680" s="1"/>
      <c r="CG680" s="1"/>
      <c r="CH680" s="1"/>
      <c r="CI680" s="1"/>
      <c r="CJ680" s="1"/>
      <c r="CK680" s="1"/>
      <c r="CL680" s="1"/>
      <c r="CM680" s="1"/>
      <c r="CN680" s="1"/>
      <c r="CO680" s="1"/>
      <c r="CP680" s="1"/>
      <c r="CQ680" s="1"/>
      <c r="CR680" s="1"/>
      <c r="CS680" s="1"/>
      <c r="CT680" s="1"/>
      <c r="CU680" s="1"/>
    </row>
    <row r="681" spans="2:99">
      <c r="B681" s="1"/>
      <c r="C681" s="1"/>
      <c r="D681" s="1"/>
      <c r="E681" s="1"/>
      <c r="F681" s="1"/>
      <c r="G681" s="3"/>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c r="BP681" s="1"/>
      <c r="BQ681" s="1"/>
      <c r="BR681" s="1"/>
      <c r="BS681" s="1"/>
      <c r="BT681" s="1"/>
      <c r="BU681" s="1"/>
      <c r="BV681" s="1"/>
      <c r="BW681" s="1"/>
      <c r="BX681" s="1"/>
      <c r="BY681" s="1"/>
      <c r="BZ681" s="1"/>
      <c r="CA681" s="1"/>
      <c r="CB681" s="1"/>
      <c r="CC681" s="1"/>
      <c r="CD681" s="1"/>
      <c r="CE681" s="1"/>
      <c r="CF681" s="1"/>
      <c r="CG681" s="1"/>
      <c r="CH681" s="1"/>
      <c r="CI681" s="1"/>
      <c r="CJ681" s="1"/>
      <c r="CK681" s="1"/>
      <c r="CL681" s="1"/>
      <c r="CM681" s="1"/>
      <c r="CN681" s="1"/>
      <c r="CO681" s="1"/>
      <c r="CP681" s="1"/>
      <c r="CQ681" s="1"/>
      <c r="CR681" s="1"/>
      <c r="CS681" s="1"/>
      <c r="CT681" s="1"/>
      <c r="CU681" s="1"/>
    </row>
    <row r="682" spans="2:99">
      <c r="B682" s="1"/>
      <c r="C682" s="1"/>
      <c r="D682" s="1"/>
      <c r="E682" s="1"/>
      <c r="F682" s="1"/>
      <c r="G682" s="3"/>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c r="BP682" s="1"/>
      <c r="BQ682" s="1"/>
      <c r="BR682" s="1"/>
      <c r="BS682" s="1"/>
      <c r="BT682" s="1"/>
      <c r="BU682" s="1"/>
      <c r="BV682" s="1"/>
      <c r="BW682" s="1"/>
      <c r="BX682" s="1"/>
      <c r="BY682" s="1"/>
      <c r="BZ682" s="1"/>
      <c r="CA682" s="1"/>
      <c r="CB682" s="1"/>
      <c r="CC682" s="1"/>
      <c r="CD682" s="1"/>
      <c r="CE682" s="1"/>
      <c r="CF682" s="1"/>
      <c r="CG682" s="1"/>
      <c r="CH682" s="1"/>
      <c r="CI682" s="1"/>
      <c r="CJ682" s="1"/>
      <c r="CK682" s="1"/>
      <c r="CL682" s="1"/>
      <c r="CM682" s="1"/>
      <c r="CN682" s="1"/>
      <c r="CO682" s="1"/>
      <c r="CP682" s="1"/>
      <c r="CQ682" s="1"/>
      <c r="CR682" s="1"/>
      <c r="CS682" s="1"/>
      <c r="CT682" s="1"/>
      <c r="CU682" s="1"/>
    </row>
    <row r="683" spans="2:99">
      <c r="B683" s="1"/>
      <c r="C683" s="1"/>
      <c r="D683" s="1"/>
      <c r="E683" s="1"/>
      <c r="F683" s="1"/>
      <c r="G683" s="3"/>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c r="BP683" s="1"/>
      <c r="BQ683" s="1"/>
      <c r="BR683" s="1"/>
      <c r="BS683" s="1"/>
      <c r="BT683" s="1"/>
      <c r="BU683" s="1"/>
      <c r="BV683" s="1"/>
      <c r="BW683" s="1"/>
      <c r="BX683" s="1"/>
      <c r="BY683" s="1"/>
      <c r="BZ683" s="1"/>
      <c r="CA683" s="1"/>
      <c r="CB683" s="1"/>
      <c r="CC683" s="1"/>
      <c r="CD683" s="1"/>
      <c r="CE683" s="1"/>
      <c r="CF683" s="1"/>
      <c r="CG683" s="1"/>
      <c r="CH683" s="1"/>
      <c r="CI683" s="1"/>
      <c r="CJ683" s="1"/>
      <c r="CK683" s="1"/>
      <c r="CL683" s="1"/>
      <c r="CM683" s="1"/>
      <c r="CN683" s="1"/>
      <c r="CO683" s="1"/>
      <c r="CP683" s="1"/>
      <c r="CQ683" s="1"/>
      <c r="CR683" s="1"/>
      <c r="CS683" s="1"/>
      <c r="CT683" s="1"/>
      <c r="CU683" s="1"/>
    </row>
    <row r="684" spans="2:99">
      <c r="B684" s="1"/>
      <c r="C684" s="1"/>
      <c r="D684" s="1"/>
      <c r="E684" s="1"/>
      <c r="F684" s="1"/>
      <c r="G684" s="3"/>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c r="BP684" s="1"/>
      <c r="BQ684" s="1"/>
      <c r="BR684" s="1"/>
      <c r="BS684" s="1"/>
      <c r="BT684" s="1"/>
      <c r="BU684" s="1"/>
      <c r="BV684" s="1"/>
      <c r="BW684" s="1"/>
      <c r="BX684" s="1"/>
      <c r="BY684" s="1"/>
      <c r="BZ684" s="1"/>
      <c r="CA684" s="1"/>
      <c r="CB684" s="1"/>
      <c r="CC684" s="1"/>
      <c r="CD684" s="1"/>
      <c r="CE684" s="1"/>
      <c r="CF684" s="1"/>
      <c r="CG684" s="1"/>
      <c r="CH684" s="1"/>
      <c r="CI684" s="1"/>
      <c r="CJ684" s="1"/>
      <c r="CK684" s="1"/>
      <c r="CL684" s="1"/>
      <c r="CM684" s="1"/>
      <c r="CN684" s="1"/>
      <c r="CO684" s="1"/>
      <c r="CP684" s="1"/>
      <c r="CQ684" s="1"/>
      <c r="CR684" s="1"/>
      <c r="CS684" s="1"/>
      <c r="CT684" s="1"/>
      <c r="CU684" s="1"/>
    </row>
    <row r="685" spans="2:99">
      <c r="B685" s="1"/>
      <c r="C685" s="1"/>
      <c r="D685" s="1"/>
      <c r="E685" s="1"/>
      <c r="F685" s="1"/>
      <c r="G685" s="3"/>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c r="BP685" s="1"/>
      <c r="BQ685" s="1"/>
      <c r="BR685" s="1"/>
      <c r="BS685" s="1"/>
      <c r="BT685" s="1"/>
      <c r="BU685" s="1"/>
      <c r="BV685" s="1"/>
      <c r="BW685" s="1"/>
      <c r="BX685" s="1"/>
      <c r="BY685" s="1"/>
      <c r="BZ685" s="1"/>
      <c r="CA685" s="1"/>
      <c r="CB685" s="1"/>
      <c r="CC685" s="1"/>
      <c r="CD685" s="1"/>
      <c r="CE685" s="1"/>
      <c r="CF685" s="1"/>
      <c r="CG685" s="1"/>
      <c r="CH685" s="1"/>
      <c r="CI685" s="1"/>
      <c r="CJ685" s="1"/>
      <c r="CK685" s="1"/>
      <c r="CL685" s="1"/>
      <c r="CM685" s="1"/>
      <c r="CN685" s="1"/>
      <c r="CO685" s="1"/>
      <c r="CP685" s="1"/>
      <c r="CQ685" s="1"/>
      <c r="CR685" s="1"/>
      <c r="CS685" s="1"/>
      <c r="CT685" s="1"/>
      <c r="CU685" s="1"/>
    </row>
    <row r="686" spans="2:99">
      <c r="B686" s="1"/>
      <c r="C686" s="1"/>
      <c r="D686" s="1"/>
      <c r="E686" s="1"/>
      <c r="F686" s="1"/>
      <c r="G686" s="3"/>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c r="BP686" s="1"/>
      <c r="BQ686" s="1"/>
      <c r="BR686" s="1"/>
      <c r="BS686" s="1"/>
      <c r="BT686" s="1"/>
      <c r="BU686" s="1"/>
      <c r="BV686" s="1"/>
      <c r="BW686" s="1"/>
      <c r="BX686" s="1"/>
      <c r="BY686" s="1"/>
      <c r="BZ686" s="1"/>
      <c r="CA686" s="1"/>
      <c r="CB686" s="1"/>
      <c r="CC686" s="1"/>
      <c r="CD686" s="1"/>
      <c r="CE686" s="1"/>
      <c r="CF686" s="1"/>
      <c r="CG686" s="1"/>
      <c r="CH686" s="1"/>
      <c r="CI686" s="1"/>
      <c r="CJ686" s="1"/>
      <c r="CK686" s="1"/>
      <c r="CL686" s="1"/>
      <c r="CM686" s="1"/>
      <c r="CN686" s="1"/>
      <c r="CO686" s="1"/>
      <c r="CP686" s="1"/>
      <c r="CQ686" s="1"/>
      <c r="CR686" s="1"/>
      <c r="CS686" s="1"/>
      <c r="CT686" s="1"/>
      <c r="CU686" s="1"/>
    </row>
    <row r="687" spans="2:99">
      <c r="B687" s="1"/>
      <c r="C687" s="1"/>
      <c r="D687" s="1"/>
      <c r="E687" s="1"/>
      <c r="F687" s="1"/>
      <c r="G687" s="3"/>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c r="BP687" s="1"/>
      <c r="BQ687" s="1"/>
      <c r="BR687" s="1"/>
      <c r="BS687" s="1"/>
      <c r="BT687" s="1"/>
      <c r="BU687" s="1"/>
      <c r="BV687" s="1"/>
      <c r="BW687" s="1"/>
      <c r="BX687" s="1"/>
      <c r="BY687" s="1"/>
      <c r="BZ687" s="1"/>
      <c r="CA687" s="1"/>
      <c r="CB687" s="1"/>
      <c r="CC687" s="1"/>
      <c r="CD687" s="1"/>
      <c r="CE687" s="1"/>
      <c r="CF687" s="1"/>
      <c r="CG687" s="1"/>
      <c r="CH687" s="1"/>
      <c r="CI687" s="1"/>
      <c r="CJ687" s="1"/>
      <c r="CK687" s="1"/>
      <c r="CL687" s="1"/>
      <c r="CM687" s="1"/>
      <c r="CN687" s="1"/>
      <c r="CO687" s="1"/>
      <c r="CP687" s="1"/>
      <c r="CQ687" s="1"/>
      <c r="CR687" s="1"/>
      <c r="CS687" s="1"/>
      <c r="CT687" s="1"/>
      <c r="CU687" s="1"/>
    </row>
    <row r="688" spans="2:99">
      <c r="B688" s="1"/>
      <c r="C688" s="1"/>
      <c r="D688" s="1"/>
      <c r="E688" s="1"/>
      <c r="F688" s="1"/>
      <c r="G688" s="3"/>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c r="BP688" s="1"/>
      <c r="BQ688" s="1"/>
      <c r="BR688" s="1"/>
      <c r="BS688" s="1"/>
      <c r="BT688" s="1"/>
      <c r="BU688" s="1"/>
      <c r="BV688" s="1"/>
      <c r="BW688" s="1"/>
      <c r="BX688" s="1"/>
      <c r="BY688" s="1"/>
      <c r="BZ688" s="1"/>
      <c r="CA688" s="1"/>
      <c r="CB688" s="1"/>
      <c r="CC688" s="1"/>
      <c r="CD688" s="1"/>
      <c r="CE688" s="1"/>
      <c r="CF688" s="1"/>
      <c r="CG688" s="1"/>
      <c r="CH688" s="1"/>
      <c r="CI688" s="1"/>
      <c r="CJ688" s="1"/>
      <c r="CK688" s="1"/>
      <c r="CL688" s="1"/>
      <c r="CM688" s="1"/>
      <c r="CN688" s="1"/>
      <c r="CO688" s="1"/>
      <c r="CP688" s="1"/>
      <c r="CQ688" s="1"/>
      <c r="CR688" s="1"/>
      <c r="CS688" s="1"/>
      <c r="CT688" s="1"/>
      <c r="CU688" s="1"/>
    </row>
    <row r="689" spans="2:99">
      <c r="B689" s="1"/>
      <c r="C689" s="1"/>
      <c r="D689" s="1"/>
      <c r="E689" s="1"/>
      <c r="F689" s="1"/>
      <c r="G689" s="3"/>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c r="BP689" s="1"/>
      <c r="BQ689" s="1"/>
      <c r="BR689" s="1"/>
      <c r="BS689" s="1"/>
      <c r="BT689" s="1"/>
      <c r="BU689" s="1"/>
      <c r="BV689" s="1"/>
      <c r="BW689" s="1"/>
      <c r="BX689" s="1"/>
      <c r="BY689" s="1"/>
      <c r="BZ689" s="1"/>
      <c r="CA689" s="1"/>
      <c r="CB689" s="1"/>
      <c r="CC689" s="1"/>
      <c r="CD689" s="1"/>
      <c r="CE689" s="1"/>
      <c r="CF689" s="1"/>
      <c r="CG689" s="1"/>
      <c r="CH689" s="1"/>
      <c r="CI689" s="1"/>
      <c r="CJ689" s="1"/>
      <c r="CK689" s="1"/>
      <c r="CL689" s="1"/>
      <c r="CM689" s="1"/>
      <c r="CN689" s="1"/>
      <c r="CO689" s="1"/>
      <c r="CP689" s="1"/>
      <c r="CQ689" s="1"/>
      <c r="CR689" s="1"/>
      <c r="CS689" s="1"/>
      <c r="CT689" s="1"/>
      <c r="CU689" s="1"/>
    </row>
    <row r="690" spans="2:99">
      <c r="B690" s="1"/>
      <c r="C690" s="1"/>
      <c r="D690" s="1"/>
      <c r="E690" s="1"/>
      <c r="F690" s="1"/>
      <c r="G690" s="3"/>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c r="BP690" s="1"/>
      <c r="BQ690" s="1"/>
      <c r="BR690" s="1"/>
      <c r="BS690" s="1"/>
      <c r="BT690" s="1"/>
      <c r="BU690" s="1"/>
      <c r="BV690" s="1"/>
      <c r="BW690" s="1"/>
      <c r="BX690" s="1"/>
      <c r="BY690" s="1"/>
      <c r="BZ690" s="1"/>
      <c r="CA690" s="1"/>
      <c r="CB690" s="1"/>
      <c r="CC690" s="1"/>
      <c r="CD690" s="1"/>
      <c r="CE690" s="1"/>
      <c r="CF690" s="1"/>
      <c r="CG690" s="1"/>
      <c r="CH690" s="1"/>
      <c r="CI690" s="1"/>
      <c r="CJ690" s="1"/>
      <c r="CK690" s="1"/>
      <c r="CL690" s="1"/>
      <c r="CM690" s="1"/>
      <c r="CN690" s="1"/>
      <c r="CO690" s="1"/>
      <c r="CP690" s="1"/>
      <c r="CQ690" s="1"/>
      <c r="CR690" s="1"/>
      <c r="CS690" s="1"/>
      <c r="CT690" s="1"/>
      <c r="CU690" s="1"/>
    </row>
    <row r="691" spans="2:99">
      <c r="B691" s="1"/>
      <c r="C691" s="1"/>
      <c r="D691" s="1"/>
      <c r="E691" s="1"/>
      <c r="F691" s="1"/>
      <c r="G691" s="3"/>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c r="BP691" s="1"/>
      <c r="BQ691" s="1"/>
      <c r="BR691" s="1"/>
      <c r="BS691" s="1"/>
      <c r="BT691" s="1"/>
      <c r="BU691" s="1"/>
      <c r="BV691" s="1"/>
      <c r="BW691" s="1"/>
      <c r="BX691" s="1"/>
      <c r="BY691" s="1"/>
      <c r="BZ691" s="1"/>
      <c r="CA691" s="1"/>
      <c r="CB691" s="1"/>
      <c r="CC691" s="1"/>
      <c r="CD691" s="1"/>
      <c r="CE691" s="1"/>
      <c r="CF691" s="1"/>
      <c r="CG691" s="1"/>
      <c r="CH691" s="1"/>
      <c r="CI691" s="1"/>
      <c r="CJ691" s="1"/>
      <c r="CK691" s="1"/>
      <c r="CL691" s="1"/>
      <c r="CM691" s="1"/>
      <c r="CN691" s="1"/>
      <c r="CO691" s="1"/>
      <c r="CP691" s="1"/>
      <c r="CQ691" s="1"/>
      <c r="CR691" s="1"/>
      <c r="CS691" s="1"/>
      <c r="CT691" s="1"/>
      <c r="CU691" s="1"/>
    </row>
    <row r="692" spans="2:99">
      <c r="B692" s="1"/>
      <c r="C692" s="1"/>
      <c r="D692" s="1"/>
      <c r="E692" s="1"/>
      <c r="F692" s="1"/>
      <c r="G692" s="3"/>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c r="BP692" s="1"/>
      <c r="BQ692" s="1"/>
      <c r="BR692" s="1"/>
      <c r="BS692" s="1"/>
      <c r="BT692" s="1"/>
      <c r="BU692" s="1"/>
      <c r="BV692" s="1"/>
      <c r="BW692" s="1"/>
      <c r="BX692" s="1"/>
      <c r="BY692" s="1"/>
      <c r="BZ692" s="1"/>
      <c r="CA692" s="1"/>
      <c r="CB692" s="1"/>
      <c r="CC692" s="1"/>
      <c r="CD692" s="1"/>
      <c r="CE692" s="1"/>
      <c r="CF692" s="1"/>
      <c r="CG692" s="1"/>
      <c r="CH692" s="1"/>
      <c r="CI692" s="1"/>
      <c r="CJ692" s="1"/>
      <c r="CK692" s="1"/>
      <c r="CL692" s="1"/>
      <c r="CM692" s="1"/>
      <c r="CN692" s="1"/>
      <c r="CO692" s="1"/>
      <c r="CP692" s="1"/>
      <c r="CQ692" s="1"/>
      <c r="CR692" s="1"/>
      <c r="CS692" s="1"/>
      <c r="CT692" s="1"/>
      <c r="CU692" s="1"/>
    </row>
    <row r="693" spans="2:99">
      <c r="B693" s="1"/>
      <c r="C693" s="1"/>
      <c r="D693" s="1"/>
      <c r="E693" s="1"/>
      <c r="F693" s="1"/>
      <c r="G693" s="3"/>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c r="BP693" s="1"/>
      <c r="BQ693" s="1"/>
      <c r="BR693" s="1"/>
      <c r="BS693" s="1"/>
      <c r="BT693" s="1"/>
      <c r="BU693" s="1"/>
      <c r="BV693" s="1"/>
      <c r="BW693" s="1"/>
      <c r="BX693" s="1"/>
      <c r="BY693" s="1"/>
      <c r="BZ693" s="1"/>
      <c r="CA693" s="1"/>
      <c r="CB693" s="1"/>
      <c r="CC693" s="1"/>
      <c r="CD693" s="1"/>
      <c r="CE693" s="1"/>
      <c r="CF693" s="1"/>
      <c r="CG693" s="1"/>
      <c r="CH693" s="1"/>
      <c r="CI693" s="1"/>
      <c r="CJ693" s="1"/>
      <c r="CK693" s="1"/>
      <c r="CL693" s="1"/>
      <c r="CM693" s="1"/>
      <c r="CN693" s="1"/>
      <c r="CO693" s="1"/>
      <c r="CP693" s="1"/>
      <c r="CQ693" s="1"/>
      <c r="CR693" s="1"/>
      <c r="CS693" s="1"/>
      <c r="CT693" s="1"/>
      <c r="CU693" s="1"/>
    </row>
    <row r="694" spans="2:99">
      <c r="B694" s="1"/>
      <c r="C694" s="1"/>
      <c r="D694" s="1"/>
      <c r="E694" s="1"/>
      <c r="F694" s="1"/>
      <c r="G694" s="3"/>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c r="BP694" s="1"/>
      <c r="BQ694" s="1"/>
      <c r="BR694" s="1"/>
      <c r="BS694" s="1"/>
      <c r="BT694" s="1"/>
      <c r="BU694" s="1"/>
      <c r="BV694" s="1"/>
      <c r="BW694" s="1"/>
      <c r="BX694" s="1"/>
      <c r="BY694" s="1"/>
      <c r="BZ694" s="1"/>
      <c r="CA694" s="1"/>
      <c r="CB694" s="1"/>
      <c r="CC694" s="1"/>
      <c r="CD694" s="1"/>
      <c r="CE694" s="1"/>
      <c r="CF694" s="1"/>
      <c r="CG694" s="1"/>
      <c r="CH694" s="1"/>
      <c r="CI694" s="1"/>
      <c r="CJ694" s="1"/>
      <c r="CK694" s="1"/>
      <c r="CL694" s="1"/>
      <c r="CM694" s="1"/>
      <c r="CN694" s="1"/>
      <c r="CO694" s="1"/>
      <c r="CP694" s="1"/>
      <c r="CQ694" s="1"/>
      <c r="CR694" s="1"/>
      <c r="CS694" s="1"/>
      <c r="CT694" s="1"/>
      <c r="CU694" s="1"/>
    </row>
    <row r="695" spans="2:99">
      <c r="B695" s="1"/>
      <c r="C695" s="1"/>
      <c r="D695" s="1"/>
      <c r="E695" s="1"/>
      <c r="F695" s="1"/>
      <c r="G695" s="3"/>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c r="BP695" s="1"/>
      <c r="BQ695" s="1"/>
      <c r="BR695" s="1"/>
      <c r="BS695" s="1"/>
      <c r="BT695" s="1"/>
      <c r="BU695" s="1"/>
      <c r="BV695" s="1"/>
      <c r="BW695" s="1"/>
      <c r="BX695" s="1"/>
      <c r="BY695" s="1"/>
      <c r="BZ695" s="1"/>
      <c r="CA695" s="1"/>
      <c r="CB695" s="1"/>
      <c r="CC695" s="1"/>
      <c r="CD695" s="1"/>
      <c r="CE695" s="1"/>
      <c r="CF695" s="1"/>
      <c r="CG695" s="1"/>
      <c r="CH695" s="1"/>
      <c r="CI695" s="1"/>
      <c r="CJ695" s="1"/>
      <c r="CK695" s="1"/>
      <c r="CL695" s="1"/>
      <c r="CM695" s="1"/>
      <c r="CN695" s="1"/>
      <c r="CO695" s="1"/>
      <c r="CP695" s="1"/>
      <c r="CQ695" s="1"/>
      <c r="CR695" s="1"/>
      <c r="CS695" s="1"/>
      <c r="CT695" s="1"/>
      <c r="CU695" s="1"/>
    </row>
    <row r="696" spans="2:99">
      <c r="B696" s="1"/>
      <c r="C696" s="1"/>
      <c r="D696" s="1"/>
      <c r="E696" s="1"/>
      <c r="F696" s="1"/>
      <c r="G696" s="3"/>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c r="BP696" s="1"/>
      <c r="BQ696" s="1"/>
      <c r="BR696" s="1"/>
      <c r="BS696" s="1"/>
      <c r="BT696" s="1"/>
      <c r="BU696" s="1"/>
      <c r="BV696" s="1"/>
      <c r="BW696" s="1"/>
      <c r="BX696" s="1"/>
      <c r="BY696" s="1"/>
      <c r="BZ696" s="1"/>
      <c r="CA696" s="1"/>
      <c r="CB696" s="1"/>
      <c r="CC696" s="1"/>
      <c r="CD696" s="1"/>
      <c r="CE696" s="1"/>
      <c r="CF696" s="1"/>
      <c r="CG696" s="1"/>
      <c r="CH696" s="1"/>
      <c r="CI696" s="1"/>
      <c r="CJ696" s="1"/>
      <c r="CK696" s="1"/>
      <c r="CL696" s="1"/>
      <c r="CM696" s="1"/>
      <c r="CN696" s="1"/>
      <c r="CO696" s="1"/>
      <c r="CP696" s="1"/>
      <c r="CQ696" s="1"/>
      <c r="CR696" s="1"/>
      <c r="CS696" s="1"/>
      <c r="CT696" s="1"/>
      <c r="CU696" s="1"/>
    </row>
    <row r="697" spans="2:99">
      <c r="B697" s="1"/>
      <c r="C697" s="1"/>
      <c r="D697" s="1"/>
      <c r="E697" s="1"/>
      <c r="F697" s="1"/>
      <c r="G697" s="3"/>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c r="BP697" s="1"/>
      <c r="BQ697" s="1"/>
      <c r="BR697" s="1"/>
      <c r="BS697" s="1"/>
      <c r="BT697" s="1"/>
      <c r="BU697" s="1"/>
      <c r="BV697" s="1"/>
      <c r="BW697" s="1"/>
      <c r="BX697" s="1"/>
      <c r="BY697" s="1"/>
      <c r="BZ697" s="1"/>
      <c r="CA697" s="1"/>
      <c r="CB697" s="1"/>
      <c r="CC697" s="1"/>
      <c r="CD697" s="1"/>
      <c r="CE697" s="1"/>
      <c r="CF697" s="1"/>
      <c r="CG697" s="1"/>
      <c r="CH697" s="1"/>
      <c r="CI697" s="1"/>
      <c r="CJ697" s="1"/>
      <c r="CK697" s="1"/>
      <c r="CL697" s="1"/>
      <c r="CM697" s="1"/>
      <c r="CN697" s="1"/>
      <c r="CO697" s="1"/>
      <c r="CP697" s="1"/>
      <c r="CQ697" s="1"/>
      <c r="CR697" s="1"/>
      <c r="CS697" s="1"/>
      <c r="CT697" s="1"/>
      <c r="CU697" s="1"/>
    </row>
    <row r="698" spans="2:99">
      <c r="B698" s="1"/>
      <c r="C698" s="1"/>
      <c r="D698" s="1"/>
      <c r="E698" s="1"/>
      <c r="F698" s="1"/>
      <c r="G698" s="3"/>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c r="BP698" s="1"/>
      <c r="BQ698" s="1"/>
      <c r="BR698" s="1"/>
      <c r="BS698" s="1"/>
      <c r="BT698" s="1"/>
      <c r="BU698" s="1"/>
      <c r="BV698" s="1"/>
      <c r="BW698" s="1"/>
      <c r="BX698" s="1"/>
      <c r="BY698" s="1"/>
      <c r="BZ698" s="1"/>
      <c r="CA698" s="1"/>
      <c r="CB698" s="1"/>
      <c r="CC698" s="1"/>
      <c r="CD698" s="1"/>
      <c r="CE698" s="1"/>
      <c r="CF698" s="1"/>
      <c r="CG698" s="1"/>
      <c r="CH698" s="1"/>
      <c r="CI698" s="1"/>
      <c r="CJ698" s="1"/>
      <c r="CK698" s="1"/>
      <c r="CL698" s="1"/>
      <c r="CM698" s="1"/>
      <c r="CN698" s="1"/>
      <c r="CO698" s="1"/>
      <c r="CP698" s="1"/>
      <c r="CQ698" s="1"/>
      <c r="CR698" s="1"/>
      <c r="CS698" s="1"/>
      <c r="CT698" s="1"/>
      <c r="CU698" s="1"/>
    </row>
  </sheetData>
  <sheetProtection password="CEBA" sheet="1"/>
  <mergeCells count="1">
    <mergeCell ref="CQ2:CU2"/>
  </mergeCells>
  <phoneticPr fontId="0" type="noConversion"/>
  <dataValidations xWindow="308" yWindow="365" count="13">
    <dataValidation allowBlank="1" showInputMessage="1" showErrorMessage="1" promptTitle="N° DA EMPRESA" prompt="Digite o n° da empresa que o trabalhador está locado_x000a_" sqref="C5:C10"/>
    <dataValidation type="textLength" operator="lessThan" allowBlank="1" showInputMessage="1" showErrorMessage="1" promptTitle="COMO DIGITAR A DATA" prompt="DIGITE A DATA_x000a_  DD/MM/AAAA" sqref="CE5:CF527 G5:G527">
      <formula1>9</formula1>
    </dataValidation>
    <dataValidation type="list" allowBlank="1" showInputMessage="1" showErrorMessage="1" sqref="D5:E527">
      <formula1>$FF$5:$FF$20</formula1>
    </dataValidation>
    <dataValidation type="list" allowBlank="1" showInputMessage="1" showErrorMessage="1" sqref="CU5:CU527">
      <formula1>$FG$5:$FG$12</formula1>
    </dataValidation>
    <dataValidation type="textLength" operator="lessThan" allowBlank="1" showInputMessage="1" showErrorMessage="1" promptTitle="DIGITAR O Nº DO CPF" prompt="Sem ponto ou virgula" sqref="AX5:BD5">
      <formula1>12</formula1>
    </dataValidation>
    <dataValidation type="textLength" operator="lessThan" allowBlank="1" showInputMessage="1" showErrorMessage="1" promptTitle="DIGITAR O Nº DO CPF" prompt="Sem ponto ou virgula_x000a__x000a_máximo de nº permitido 11" sqref="AW528">
      <formula1>12</formula1>
    </dataValidation>
    <dataValidation type="list" allowBlank="1" showInputMessage="1" showErrorMessage="1" sqref="J5:J527">
      <formula1>$FH$5:$FH$32</formula1>
    </dataValidation>
    <dataValidation type="list" allowBlank="1" showInputMessage="1" showErrorMessage="1" sqref="L5:L527">
      <formula1>$FJ$5:$FJ$7</formula1>
    </dataValidation>
    <dataValidation type="list" allowBlank="1" showInputMessage="1" showErrorMessage="1" sqref="M5:M527">
      <formula1>$FJ$8:$FJ$15</formula1>
    </dataValidation>
    <dataValidation type="textLength" operator="lessThan" allowBlank="1" showInputMessage="1" showErrorMessage="1" promptTitle="COMO DIGITAR A DATA" prompt="DIGITE A DATA_x000a_  DD/MM/AAAA_x000a__x000a_Para limpar esta célula use DELETE" sqref="F5:F527">
      <formula1>9</formula1>
    </dataValidation>
    <dataValidation type="textLength" operator="lessThan" allowBlank="1" showInputMessage="1" showErrorMessage="1" promptTitle="NOME DO FUNCIONÁRIO" prompt="COMPRIMENTO DO TEXTO MÁXIMO 35_x000a_ LETRAS_x000a_" sqref="B5:B527">
      <formula1>36</formula1>
    </dataValidation>
    <dataValidation type="textLength" operator="lessThan" allowBlank="1" showInputMessage="1" showErrorMessage="1" promptTitle="DIGITAR O Nº DO CPF" prompt="Sem ponto, virgula, barra ou hífen_x000a__x000a_nº máximo permitido  (11)_x000a_" sqref="AW5:AW527">
      <formula1>12</formula1>
    </dataValidation>
    <dataValidation type="textLength" operator="lessThan" allowBlank="1" showInputMessage="1" showErrorMessage="1" errorTitle="NÚMERO DO PIS/PASEP" error="HOUVE EXCESSO DE N° AO DIGITAR O DOCUMENTO" promptTitle="DIGITAR O Nº DO PIS/PASEP" prompt="Sem ponto , virgula, barra ou hífen_x000a__x000a_Nº máximo  permitido (11)" sqref="BE5:BE527">
      <formula1>12</formula1>
    </dataValidation>
  </dataValidations>
  <pageMargins left="0.78740157499999996" right="0.78740157499999996" top="0.984251969" bottom="0.984251969" header="0.49212598499999999" footer="0.49212598499999999"/>
  <pageSetup paperSize="9" scale="95" orientation="landscape" horizontalDpi="360" verticalDpi="360" r:id="rId1"/>
  <headerFooter alignWithMargins="0"/>
  <legacyDrawing r:id="rId2"/>
</worksheet>
</file>

<file path=xl/worksheets/sheet5.xml><?xml version="1.0" encoding="utf-8"?>
<worksheet xmlns="http://schemas.openxmlformats.org/spreadsheetml/2006/main" xmlns:r="http://schemas.openxmlformats.org/officeDocument/2006/relationships">
  <sheetPr codeName="Plan6"/>
  <dimension ref="A1:Y172"/>
  <sheetViews>
    <sheetView topLeftCell="A2" workbookViewId="0">
      <selection activeCell="E5" sqref="E5"/>
    </sheetView>
  </sheetViews>
  <sheetFormatPr defaultColWidth="0" defaultRowHeight="12.75"/>
  <cols>
    <col min="1" max="1" width="0.140625" customWidth="1"/>
    <col min="2" max="2" width="36.85546875" customWidth="1"/>
    <col min="3" max="3" width="34.42578125" customWidth="1"/>
    <col min="4" max="4" width="11" customWidth="1"/>
    <col min="5" max="5" width="26.85546875" customWidth="1"/>
    <col min="6" max="6" width="28.85546875" customWidth="1"/>
    <col min="7" max="7" width="32.5703125" customWidth="1"/>
    <col min="8" max="8" width="16.5703125" hidden="1" customWidth="1"/>
    <col min="9" max="9" width="4.85546875" customWidth="1"/>
    <col min="10" max="10" width="12" customWidth="1"/>
    <col min="11" max="11" width="9.28515625" customWidth="1"/>
    <col min="12" max="12" width="17.140625" customWidth="1"/>
    <col min="13" max="13" width="15.85546875" customWidth="1"/>
    <col min="14" max="14" width="0.28515625" hidden="1" customWidth="1"/>
    <col min="15" max="15" width="20.28515625" customWidth="1"/>
    <col min="16" max="16" width="21.5703125" customWidth="1"/>
    <col min="17" max="17" width="23.7109375" customWidth="1"/>
    <col min="18" max="18" width="28.7109375" customWidth="1"/>
    <col min="19" max="19" width="3.28515625" hidden="1" customWidth="1"/>
    <col min="20" max="20" width="12.140625" hidden="1" customWidth="1"/>
    <col min="21" max="21" width="17.5703125" hidden="1" customWidth="1"/>
    <col min="22" max="22" width="12.85546875" hidden="1" customWidth="1"/>
    <col min="23" max="23" width="6.85546875" hidden="1" customWidth="1"/>
    <col min="24" max="24" width="4.28515625" hidden="1" customWidth="1"/>
    <col min="25" max="25" width="40.42578125" hidden="1" customWidth="1"/>
  </cols>
  <sheetData>
    <row r="1" spans="1:24" ht="15" hidden="1" customHeight="1" thickBot="1">
      <c r="A1" s="169"/>
      <c r="B1" s="264">
        <v>2</v>
      </c>
      <c r="C1" s="265">
        <v>3</v>
      </c>
      <c r="D1" s="265">
        <v>4</v>
      </c>
      <c r="E1" s="265">
        <v>5</v>
      </c>
      <c r="F1" s="265">
        <v>6</v>
      </c>
      <c r="G1" s="265">
        <v>7</v>
      </c>
      <c r="H1" s="265">
        <v>8</v>
      </c>
      <c r="I1" s="265">
        <v>8</v>
      </c>
      <c r="J1" s="265">
        <v>10</v>
      </c>
      <c r="K1" s="265">
        <v>11</v>
      </c>
      <c r="L1" s="265">
        <v>12</v>
      </c>
      <c r="M1" s="265">
        <v>13</v>
      </c>
      <c r="N1" s="265">
        <v>14</v>
      </c>
      <c r="O1" s="265">
        <v>15</v>
      </c>
      <c r="P1" s="265">
        <v>16</v>
      </c>
      <c r="Q1" s="265">
        <v>17</v>
      </c>
      <c r="R1" s="265">
        <v>18</v>
      </c>
      <c r="S1" s="16">
        <v>19</v>
      </c>
      <c r="T1" s="16"/>
      <c r="U1" s="16"/>
      <c r="V1" s="16"/>
    </row>
    <row r="2" spans="1:24" ht="37.5" customHeight="1" thickTop="1" thickBot="1">
      <c r="A2" s="262"/>
      <c r="B2" s="268" t="s">
        <v>383</v>
      </c>
      <c r="C2" s="268" t="s">
        <v>13</v>
      </c>
      <c r="D2" s="267" t="s">
        <v>14</v>
      </c>
      <c r="E2" s="268" t="s">
        <v>15</v>
      </c>
      <c r="F2" s="268" t="s">
        <v>210</v>
      </c>
      <c r="G2" s="268" t="s">
        <v>68</v>
      </c>
      <c r="H2" s="266" t="s">
        <v>16</v>
      </c>
      <c r="I2" s="268" t="s">
        <v>17</v>
      </c>
      <c r="J2" s="268" t="s">
        <v>18</v>
      </c>
      <c r="K2" s="268" t="s">
        <v>19</v>
      </c>
      <c r="L2" s="268" t="s">
        <v>20</v>
      </c>
      <c r="M2" s="268" t="s">
        <v>21</v>
      </c>
      <c r="N2" s="267" t="s">
        <v>22</v>
      </c>
      <c r="O2" s="268" t="s">
        <v>191</v>
      </c>
      <c r="P2" s="268" t="s">
        <v>23</v>
      </c>
      <c r="Q2" s="268" t="s">
        <v>24</v>
      </c>
      <c r="R2" s="347" t="s">
        <v>25</v>
      </c>
      <c r="S2" s="263" t="s">
        <v>192</v>
      </c>
      <c r="T2" s="195" t="s">
        <v>193</v>
      </c>
      <c r="U2" s="195" t="s">
        <v>194</v>
      </c>
      <c r="V2" s="195" t="s">
        <v>195</v>
      </c>
    </row>
    <row r="3" spans="1:24" ht="15.75" hidden="1" customHeight="1">
      <c r="A3" s="328">
        <v>1</v>
      </c>
      <c r="B3" s="327" t="s">
        <v>271</v>
      </c>
      <c r="C3" s="327" t="s">
        <v>271</v>
      </c>
      <c r="D3" s="327" t="s">
        <v>271</v>
      </c>
      <c r="E3" s="327" t="s">
        <v>271</v>
      </c>
      <c r="F3" s="327" t="s">
        <v>271</v>
      </c>
      <c r="G3" s="327" t="s">
        <v>271</v>
      </c>
      <c r="H3" s="327" t="s">
        <v>271</v>
      </c>
      <c r="I3" s="327" t="s">
        <v>271</v>
      </c>
      <c r="J3" s="327" t="s">
        <v>271</v>
      </c>
      <c r="K3" s="327" t="s">
        <v>271</v>
      </c>
      <c r="L3" s="327" t="s">
        <v>271</v>
      </c>
      <c r="M3" s="327" t="s">
        <v>271</v>
      </c>
      <c r="N3" s="327" t="s">
        <v>271</v>
      </c>
      <c r="O3" s="327" t="s">
        <v>271</v>
      </c>
      <c r="P3" s="327" t="s">
        <v>271</v>
      </c>
      <c r="Q3" s="327" t="s">
        <v>271</v>
      </c>
      <c r="R3" s="327" t="s">
        <v>271</v>
      </c>
      <c r="S3" s="223"/>
      <c r="T3" s="223"/>
      <c r="U3" s="223"/>
      <c r="V3" s="223"/>
    </row>
    <row r="4" spans="1:24" ht="15.75">
      <c r="A4" s="329">
        <v>2</v>
      </c>
      <c r="B4" s="306" t="s">
        <v>392</v>
      </c>
      <c r="C4" s="306" t="s">
        <v>393</v>
      </c>
      <c r="D4" s="316">
        <v>10</v>
      </c>
      <c r="E4" s="306" t="s">
        <v>394</v>
      </c>
      <c r="F4" s="306" t="s">
        <v>395</v>
      </c>
      <c r="G4" s="306" t="s">
        <v>396</v>
      </c>
      <c r="H4" s="306" t="str">
        <f t="shared" ref="H4:H35" si="0">VLOOKUP(I4,W4:X31,2)</f>
        <v>SÃO PAULO</v>
      </c>
      <c r="I4" s="306" t="s">
        <v>397</v>
      </c>
      <c r="J4" s="317">
        <v>19013221</v>
      </c>
      <c r="K4" s="306" t="s">
        <v>398</v>
      </c>
      <c r="L4" s="318">
        <v>1839024755</v>
      </c>
      <c r="M4" s="318"/>
      <c r="N4" s="306"/>
      <c r="O4" s="319">
        <v>55683486000100</v>
      </c>
      <c r="P4" s="320" t="s">
        <v>399</v>
      </c>
      <c r="Q4" s="316" t="s">
        <v>400</v>
      </c>
      <c r="R4" s="320" t="s">
        <v>401</v>
      </c>
      <c r="S4" s="224" t="s">
        <v>164</v>
      </c>
      <c r="T4" s="225">
        <v>237</v>
      </c>
      <c r="U4" s="225" t="s">
        <v>196</v>
      </c>
      <c r="V4" s="225" t="s">
        <v>197</v>
      </c>
      <c r="W4" s="253"/>
      <c r="X4" s="253"/>
    </row>
    <row r="5" spans="1:24" ht="15.75">
      <c r="A5" s="330">
        <v>3</v>
      </c>
      <c r="B5" s="306"/>
      <c r="C5" s="306"/>
      <c r="D5" s="321"/>
      <c r="E5" s="306"/>
      <c r="F5" s="306"/>
      <c r="G5" s="306"/>
      <c r="H5" s="306" t="e">
        <f t="shared" si="0"/>
        <v>#N/A</v>
      </c>
      <c r="I5" s="306"/>
      <c r="J5" s="317"/>
      <c r="K5" s="306"/>
      <c r="L5" s="318"/>
      <c r="M5" s="318"/>
      <c r="N5" s="306"/>
      <c r="O5" s="319"/>
      <c r="P5" s="320"/>
      <c r="Q5" s="316"/>
      <c r="R5" s="320"/>
      <c r="S5" s="227" t="s">
        <v>271</v>
      </c>
      <c r="T5" s="227" t="s">
        <v>271</v>
      </c>
      <c r="U5" s="227" t="s">
        <v>271</v>
      </c>
      <c r="V5" s="227" t="s">
        <v>271</v>
      </c>
      <c r="W5" s="253" t="s">
        <v>293</v>
      </c>
      <c r="X5" s="253" t="s">
        <v>294</v>
      </c>
    </row>
    <row r="6" spans="1:24" ht="15.75">
      <c r="A6" s="329">
        <v>4</v>
      </c>
      <c r="B6" s="306"/>
      <c r="C6" s="306"/>
      <c r="D6" s="321"/>
      <c r="E6" s="306"/>
      <c r="F6" s="306"/>
      <c r="G6" s="306"/>
      <c r="H6" s="306" t="e">
        <f t="shared" si="0"/>
        <v>#N/A</v>
      </c>
      <c r="I6" s="306"/>
      <c r="J6" s="317"/>
      <c r="K6" s="306"/>
      <c r="L6" s="318" t="s">
        <v>271</v>
      </c>
      <c r="M6" s="318"/>
      <c r="N6" s="306"/>
      <c r="O6" s="319"/>
      <c r="P6" s="320"/>
      <c r="Q6" s="316"/>
      <c r="R6" s="320"/>
      <c r="S6" s="226" t="s">
        <v>271</v>
      </c>
      <c r="T6" s="226" t="s">
        <v>271</v>
      </c>
      <c r="U6" s="228" t="s">
        <v>271</v>
      </c>
      <c r="V6" s="226" t="s">
        <v>271</v>
      </c>
      <c r="W6" s="253" t="s">
        <v>295</v>
      </c>
      <c r="X6" s="253" t="s">
        <v>296</v>
      </c>
    </row>
    <row r="7" spans="1:24" ht="15.75">
      <c r="A7" s="330">
        <v>5</v>
      </c>
      <c r="B7" s="306"/>
      <c r="C7" s="306"/>
      <c r="D7" s="321"/>
      <c r="E7" s="306"/>
      <c r="F7" s="306"/>
      <c r="G7" s="306"/>
      <c r="H7" s="306" t="e">
        <f t="shared" si="0"/>
        <v>#N/A</v>
      </c>
      <c r="I7" s="306"/>
      <c r="J7" s="317"/>
      <c r="K7" s="306"/>
      <c r="L7" s="318"/>
      <c r="M7" s="318"/>
      <c r="N7" s="306"/>
      <c r="O7" s="319"/>
      <c r="P7" s="320"/>
      <c r="Q7" s="316"/>
      <c r="R7" s="320" t="s">
        <v>271</v>
      </c>
      <c r="S7" s="224" t="s">
        <v>271</v>
      </c>
      <c r="T7" s="224" t="s">
        <v>271</v>
      </c>
      <c r="U7" s="224" t="s">
        <v>271</v>
      </c>
      <c r="V7" s="224" t="s">
        <v>271</v>
      </c>
      <c r="W7" s="253" t="s">
        <v>297</v>
      </c>
      <c r="X7" s="253" t="s">
        <v>298</v>
      </c>
    </row>
    <row r="8" spans="1:24" ht="15.75">
      <c r="A8" s="329">
        <v>6</v>
      </c>
      <c r="B8" s="306"/>
      <c r="C8" s="306"/>
      <c r="D8" s="321"/>
      <c r="E8" s="306"/>
      <c r="F8" s="306"/>
      <c r="G8" s="306"/>
      <c r="H8" s="306" t="e">
        <f t="shared" si="0"/>
        <v>#N/A</v>
      </c>
      <c r="I8" s="306"/>
      <c r="J8" s="317"/>
      <c r="K8" s="306"/>
      <c r="L8" s="318"/>
      <c r="M8" s="318"/>
      <c r="N8" s="322"/>
      <c r="O8" s="319"/>
      <c r="P8" s="320"/>
      <c r="Q8" s="316"/>
      <c r="R8" s="320"/>
      <c r="S8" s="224" t="s">
        <v>271</v>
      </c>
      <c r="T8" s="227" t="s">
        <v>271</v>
      </c>
      <c r="U8" s="224" t="s">
        <v>271</v>
      </c>
      <c r="V8" s="227" t="s">
        <v>271</v>
      </c>
      <c r="W8" s="253" t="s">
        <v>299</v>
      </c>
      <c r="X8" s="253" t="s">
        <v>300</v>
      </c>
    </row>
    <row r="9" spans="1:24" ht="15.75">
      <c r="A9" s="330">
        <v>7</v>
      </c>
      <c r="B9" s="306"/>
      <c r="C9" s="306"/>
      <c r="D9" s="321"/>
      <c r="E9" s="306"/>
      <c r="F9" s="306"/>
      <c r="G9" s="306"/>
      <c r="H9" s="306" t="e">
        <f t="shared" si="0"/>
        <v>#N/A</v>
      </c>
      <c r="I9" s="306"/>
      <c r="J9" s="317"/>
      <c r="K9" s="306"/>
      <c r="L9" s="318"/>
      <c r="M9" s="318"/>
      <c r="N9" s="306"/>
      <c r="O9" s="319"/>
      <c r="P9" s="320"/>
      <c r="Q9" s="316"/>
      <c r="R9" s="320"/>
      <c r="S9" s="227" t="s">
        <v>271</v>
      </c>
      <c r="T9" s="227" t="s">
        <v>271</v>
      </c>
      <c r="U9" s="227" t="s">
        <v>271</v>
      </c>
      <c r="V9" s="227" t="s">
        <v>271</v>
      </c>
      <c r="W9" s="253" t="s">
        <v>301</v>
      </c>
      <c r="X9" s="253" t="s">
        <v>302</v>
      </c>
    </row>
    <row r="10" spans="1:24" ht="15.75">
      <c r="A10" s="329">
        <v>8</v>
      </c>
      <c r="B10" s="306"/>
      <c r="C10" s="306"/>
      <c r="D10" s="321"/>
      <c r="E10" s="306"/>
      <c r="F10" s="306"/>
      <c r="G10" s="306"/>
      <c r="H10" s="306" t="e">
        <f t="shared" si="0"/>
        <v>#N/A</v>
      </c>
      <c r="I10" s="306"/>
      <c r="J10" s="317"/>
      <c r="K10" s="306"/>
      <c r="L10" s="318"/>
      <c r="M10" s="318"/>
      <c r="N10" s="306"/>
      <c r="O10" s="319"/>
      <c r="P10" s="320"/>
      <c r="Q10" s="316"/>
      <c r="R10" s="320"/>
      <c r="S10" s="227" t="s">
        <v>271</v>
      </c>
      <c r="T10" s="227" t="s">
        <v>271</v>
      </c>
      <c r="U10" s="227" t="s">
        <v>271</v>
      </c>
      <c r="V10" s="227" t="s">
        <v>271</v>
      </c>
      <c r="W10" s="253" t="s">
        <v>303</v>
      </c>
      <c r="X10" s="253" t="s">
        <v>304</v>
      </c>
    </row>
    <row r="11" spans="1:24" ht="15.75">
      <c r="A11" s="330">
        <v>9</v>
      </c>
      <c r="B11" s="306"/>
      <c r="C11" s="306"/>
      <c r="D11" s="321"/>
      <c r="E11" s="306"/>
      <c r="F11" s="306"/>
      <c r="G11" s="306"/>
      <c r="H11" s="306" t="e">
        <f t="shared" si="0"/>
        <v>#N/A</v>
      </c>
      <c r="I11" s="306"/>
      <c r="J11" s="317"/>
      <c r="K11" s="306"/>
      <c r="L11" s="318"/>
      <c r="M11" s="318"/>
      <c r="N11" s="306"/>
      <c r="O11" s="319"/>
      <c r="P11" s="320"/>
      <c r="Q11" s="316"/>
      <c r="R11" s="320"/>
      <c r="S11" s="227" t="s">
        <v>271</v>
      </c>
      <c r="T11" s="227" t="s">
        <v>271</v>
      </c>
      <c r="U11" s="227" t="s">
        <v>271</v>
      </c>
      <c r="V11" s="227" t="s">
        <v>271</v>
      </c>
      <c r="W11" s="253" t="s">
        <v>305</v>
      </c>
      <c r="X11" s="253" t="s">
        <v>306</v>
      </c>
    </row>
    <row r="12" spans="1:24" ht="15.75">
      <c r="A12" s="329">
        <v>10</v>
      </c>
      <c r="B12" s="306"/>
      <c r="C12" s="306"/>
      <c r="D12" s="321"/>
      <c r="E12" s="306"/>
      <c r="F12" s="306"/>
      <c r="G12" s="306"/>
      <c r="H12" s="306" t="e">
        <f t="shared" si="0"/>
        <v>#N/A</v>
      </c>
      <c r="I12" s="306"/>
      <c r="J12" s="317"/>
      <c r="K12" s="306"/>
      <c r="L12" s="318"/>
      <c r="M12" s="318"/>
      <c r="N12" s="306"/>
      <c r="O12" s="319"/>
      <c r="P12" s="320"/>
      <c r="Q12" s="316"/>
      <c r="R12" s="320"/>
      <c r="S12" s="227" t="s">
        <v>271</v>
      </c>
      <c r="T12" s="227" t="s">
        <v>271</v>
      </c>
      <c r="U12" s="227" t="s">
        <v>271</v>
      </c>
      <c r="V12" s="227" t="s">
        <v>271</v>
      </c>
      <c r="W12" s="253" t="s">
        <v>307</v>
      </c>
      <c r="X12" s="253" t="s">
        <v>308</v>
      </c>
    </row>
    <row r="13" spans="1:24" ht="15.75">
      <c r="A13" s="330">
        <v>11</v>
      </c>
      <c r="B13" s="306"/>
      <c r="C13" s="306"/>
      <c r="D13" s="321"/>
      <c r="E13" s="306"/>
      <c r="F13" s="306"/>
      <c r="G13" s="306"/>
      <c r="H13" s="306" t="e">
        <f t="shared" si="0"/>
        <v>#N/A</v>
      </c>
      <c r="I13" s="306"/>
      <c r="J13" s="317"/>
      <c r="K13" s="306"/>
      <c r="L13" s="318"/>
      <c r="M13" s="318"/>
      <c r="N13" s="306"/>
      <c r="O13" s="319"/>
      <c r="P13" s="320"/>
      <c r="Q13" s="316"/>
      <c r="R13" s="320"/>
      <c r="S13" s="227" t="s">
        <v>271</v>
      </c>
      <c r="T13" s="227" t="s">
        <v>271</v>
      </c>
      <c r="U13" s="227" t="s">
        <v>271</v>
      </c>
      <c r="V13" s="227" t="s">
        <v>271</v>
      </c>
      <c r="W13" s="253" t="s">
        <v>309</v>
      </c>
      <c r="X13" s="253" t="s">
        <v>310</v>
      </c>
    </row>
    <row r="14" spans="1:24" ht="15.75">
      <c r="A14" s="329">
        <v>12</v>
      </c>
      <c r="B14" s="306"/>
      <c r="C14" s="306"/>
      <c r="D14" s="321"/>
      <c r="E14" s="306"/>
      <c r="F14" s="306"/>
      <c r="G14" s="306"/>
      <c r="H14" s="306" t="e">
        <f t="shared" si="0"/>
        <v>#N/A</v>
      </c>
      <c r="I14" s="306"/>
      <c r="J14" s="317"/>
      <c r="K14" s="306"/>
      <c r="L14" s="318"/>
      <c r="M14" s="318"/>
      <c r="N14" s="306"/>
      <c r="O14" s="319"/>
      <c r="P14" s="320"/>
      <c r="Q14" s="316"/>
      <c r="R14" s="320"/>
      <c r="S14" s="227" t="s">
        <v>271</v>
      </c>
      <c r="T14" s="227" t="s">
        <v>271</v>
      </c>
      <c r="U14" s="227" t="s">
        <v>271</v>
      </c>
      <c r="V14" s="227" t="s">
        <v>271</v>
      </c>
      <c r="W14" s="253" t="s">
        <v>311</v>
      </c>
      <c r="X14" s="253" t="s">
        <v>312</v>
      </c>
    </row>
    <row r="15" spans="1:24" ht="15.75">
      <c r="A15" s="330">
        <v>13</v>
      </c>
      <c r="B15" s="306"/>
      <c r="C15" s="306"/>
      <c r="D15" s="321"/>
      <c r="E15" s="306"/>
      <c r="F15" s="306"/>
      <c r="G15" s="306"/>
      <c r="H15" s="306" t="e">
        <f t="shared" si="0"/>
        <v>#N/A</v>
      </c>
      <c r="I15" s="306"/>
      <c r="J15" s="317"/>
      <c r="K15" s="306"/>
      <c r="L15" s="318"/>
      <c r="M15" s="318"/>
      <c r="N15" s="306"/>
      <c r="O15" s="319"/>
      <c r="P15" s="320"/>
      <c r="Q15" s="316"/>
      <c r="R15" s="320"/>
      <c r="S15" s="227" t="s">
        <v>271</v>
      </c>
      <c r="T15" s="227" t="s">
        <v>271</v>
      </c>
      <c r="U15" s="227" t="s">
        <v>271</v>
      </c>
      <c r="V15" s="227" t="s">
        <v>271</v>
      </c>
      <c r="W15" s="253" t="s">
        <v>313</v>
      </c>
      <c r="X15" s="253" t="s">
        <v>314</v>
      </c>
    </row>
    <row r="16" spans="1:24" ht="15.75">
      <c r="A16" s="329">
        <v>14</v>
      </c>
      <c r="B16" s="306"/>
      <c r="C16" s="306"/>
      <c r="D16" s="321"/>
      <c r="E16" s="306"/>
      <c r="F16" s="306"/>
      <c r="G16" s="306"/>
      <c r="H16" s="306" t="e">
        <f t="shared" si="0"/>
        <v>#N/A</v>
      </c>
      <c r="I16" s="306"/>
      <c r="J16" s="317"/>
      <c r="K16" s="306"/>
      <c r="L16" s="318"/>
      <c r="M16" s="318"/>
      <c r="N16" s="323"/>
      <c r="O16" s="319"/>
      <c r="P16" s="320"/>
      <c r="Q16" s="316"/>
      <c r="R16" s="320"/>
      <c r="S16" s="227" t="s">
        <v>271</v>
      </c>
      <c r="T16" s="227" t="s">
        <v>271</v>
      </c>
      <c r="U16" s="227" t="s">
        <v>271</v>
      </c>
      <c r="V16" s="227" t="s">
        <v>271</v>
      </c>
      <c r="W16" s="253" t="s">
        <v>315</v>
      </c>
      <c r="X16" s="253" t="s">
        <v>316</v>
      </c>
    </row>
    <row r="17" spans="1:24" ht="15.75">
      <c r="A17" s="330">
        <v>15</v>
      </c>
      <c r="B17" s="306"/>
      <c r="C17" s="306"/>
      <c r="D17" s="321"/>
      <c r="E17" s="306"/>
      <c r="F17" s="306"/>
      <c r="G17" s="306"/>
      <c r="H17" s="306" t="e">
        <f t="shared" si="0"/>
        <v>#N/A</v>
      </c>
      <c r="I17" s="306"/>
      <c r="J17" s="317"/>
      <c r="K17" s="306"/>
      <c r="L17" s="318"/>
      <c r="M17" s="318"/>
      <c r="N17" s="306"/>
      <c r="O17" s="319"/>
      <c r="P17" s="320"/>
      <c r="Q17" s="316"/>
      <c r="R17" s="320"/>
      <c r="S17" s="229"/>
      <c r="T17" s="229"/>
      <c r="U17" s="229"/>
      <c r="V17" s="229"/>
      <c r="W17" s="253" t="s">
        <v>317</v>
      </c>
      <c r="X17" s="253" t="s">
        <v>318</v>
      </c>
    </row>
    <row r="18" spans="1:24" ht="15.75">
      <c r="A18" s="329">
        <v>16</v>
      </c>
      <c r="B18" s="306"/>
      <c r="C18" s="306"/>
      <c r="D18" s="321"/>
      <c r="E18" s="306"/>
      <c r="F18" s="306"/>
      <c r="G18" s="306"/>
      <c r="H18" s="306" t="e">
        <f t="shared" si="0"/>
        <v>#N/A</v>
      </c>
      <c r="I18" s="306"/>
      <c r="J18" s="317"/>
      <c r="K18" s="306"/>
      <c r="L18" s="318"/>
      <c r="M18" s="318"/>
      <c r="N18" s="324"/>
      <c r="O18" s="319"/>
      <c r="P18" s="320"/>
      <c r="Q18" s="316"/>
      <c r="R18" s="320"/>
      <c r="S18" s="227" t="s">
        <v>271</v>
      </c>
      <c r="T18" s="227" t="s">
        <v>271</v>
      </c>
      <c r="U18" s="227" t="s">
        <v>271</v>
      </c>
      <c r="V18" s="227" t="s">
        <v>271</v>
      </c>
      <c r="W18" s="253" t="s">
        <v>319</v>
      </c>
      <c r="X18" s="253" t="s">
        <v>320</v>
      </c>
    </row>
    <row r="19" spans="1:24" ht="15.75">
      <c r="A19" s="330">
        <v>17</v>
      </c>
      <c r="B19" s="306"/>
      <c r="C19" s="306"/>
      <c r="D19" s="321"/>
      <c r="E19" s="306"/>
      <c r="F19" s="306"/>
      <c r="G19" s="306"/>
      <c r="H19" s="306" t="e">
        <f t="shared" si="0"/>
        <v>#N/A</v>
      </c>
      <c r="I19" s="306"/>
      <c r="J19" s="317"/>
      <c r="K19" s="306"/>
      <c r="L19" s="318"/>
      <c r="M19" s="318"/>
      <c r="N19" s="324"/>
      <c r="O19" s="319"/>
      <c r="P19" s="320"/>
      <c r="Q19" s="316"/>
      <c r="R19" s="320"/>
      <c r="S19" s="227" t="s">
        <v>271</v>
      </c>
      <c r="T19" s="227" t="s">
        <v>271</v>
      </c>
      <c r="U19" s="227" t="s">
        <v>271</v>
      </c>
      <c r="V19" s="227" t="s">
        <v>271</v>
      </c>
      <c r="W19" s="253" t="s">
        <v>321</v>
      </c>
      <c r="X19" s="253" t="s">
        <v>322</v>
      </c>
    </row>
    <row r="20" spans="1:24" ht="15.75">
      <c r="A20" s="329">
        <v>18</v>
      </c>
      <c r="B20" s="306"/>
      <c r="C20" s="306"/>
      <c r="D20" s="321"/>
      <c r="E20" s="306"/>
      <c r="F20" s="306"/>
      <c r="G20" s="306"/>
      <c r="H20" s="306" t="e">
        <f t="shared" si="0"/>
        <v>#N/A</v>
      </c>
      <c r="I20" s="306"/>
      <c r="J20" s="317"/>
      <c r="K20" s="306"/>
      <c r="L20" s="318"/>
      <c r="M20" s="318"/>
      <c r="N20" s="306"/>
      <c r="O20" s="319"/>
      <c r="P20" s="320"/>
      <c r="Q20" s="316"/>
      <c r="R20" s="320"/>
      <c r="S20" s="226" t="s">
        <v>271</v>
      </c>
      <c r="T20" s="226" t="s">
        <v>271</v>
      </c>
      <c r="U20" s="226" t="s">
        <v>271</v>
      </c>
      <c r="V20" s="226" t="s">
        <v>271</v>
      </c>
      <c r="W20" s="253" t="s">
        <v>323</v>
      </c>
      <c r="X20" s="253" t="s">
        <v>324</v>
      </c>
    </row>
    <row r="21" spans="1:24" ht="15.75">
      <c r="A21" s="330">
        <v>19</v>
      </c>
      <c r="B21" s="306"/>
      <c r="C21" s="306"/>
      <c r="D21" s="321"/>
      <c r="E21" s="306"/>
      <c r="F21" s="306"/>
      <c r="G21" s="306"/>
      <c r="H21" s="306" t="e">
        <f t="shared" si="0"/>
        <v>#N/A</v>
      </c>
      <c r="I21" s="306"/>
      <c r="J21" s="317"/>
      <c r="K21" s="306"/>
      <c r="L21" s="318"/>
      <c r="M21" s="318"/>
      <c r="N21" s="325"/>
      <c r="O21" s="319"/>
      <c r="P21" s="320"/>
      <c r="Q21" s="316"/>
      <c r="R21" s="320"/>
      <c r="S21" s="224" t="s">
        <v>271</v>
      </c>
      <c r="T21" s="224" t="s">
        <v>271</v>
      </c>
      <c r="U21" s="224" t="s">
        <v>271</v>
      </c>
      <c r="V21" s="224" t="s">
        <v>271</v>
      </c>
      <c r="W21" s="253" t="s">
        <v>325</v>
      </c>
      <c r="X21" s="253" t="s">
        <v>326</v>
      </c>
    </row>
    <row r="22" spans="1:24" ht="15.75">
      <c r="A22" s="329">
        <v>20</v>
      </c>
      <c r="B22" s="306"/>
      <c r="C22" s="306"/>
      <c r="D22" s="321"/>
      <c r="E22" s="306"/>
      <c r="F22" s="306"/>
      <c r="G22" s="306"/>
      <c r="H22" s="306" t="e">
        <f t="shared" si="0"/>
        <v>#N/A</v>
      </c>
      <c r="I22" s="306"/>
      <c r="J22" s="317"/>
      <c r="K22" s="306"/>
      <c r="L22" s="318"/>
      <c r="M22" s="318"/>
      <c r="N22" s="325"/>
      <c r="O22" s="319"/>
      <c r="P22" s="320"/>
      <c r="Q22" s="316"/>
      <c r="R22" s="320"/>
      <c r="S22" s="230"/>
      <c r="T22" s="230"/>
      <c r="U22" s="230"/>
      <c r="V22" s="230"/>
      <c r="W22" s="253" t="s">
        <v>327</v>
      </c>
      <c r="X22" s="253" t="s">
        <v>328</v>
      </c>
    </row>
    <row r="23" spans="1:24" ht="15.75">
      <c r="A23" s="253"/>
      <c r="B23" s="306"/>
      <c r="C23" s="306"/>
      <c r="D23" s="321"/>
      <c r="E23" s="306"/>
      <c r="F23" s="306"/>
      <c r="G23" s="306"/>
      <c r="H23" s="306" t="e">
        <f t="shared" si="0"/>
        <v>#N/A</v>
      </c>
      <c r="I23" s="306"/>
      <c r="J23" s="317"/>
      <c r="K23" s="306"/>
      <c r="L23" s="318"/>
      <c r="M23" s="318"/>
      <c r="N23" s="326"/>
      <c r="O23" s="319"/>
      <c r="P23" s="320"/>
      <c r="Q23" s="316"/>
      <c r="R23" s="320"/>
      <c r="W23" s="253" t="s">
        <v>329</v>
      </c>
      <c r="X23" s="253" t="s">
        <v>330</v>
      </c>
    </row>
    <row r="24" spans="1:24" ht="15.75">
      <c r="A24" s="253"/>
      <c r="B24" s="306"/>
      <c r="C24" s="306"/>
      <c r="D24" s="321"/>
      <c r="E24" s="306"/>
      <c r="F24" s="306"/>
      <c r="G24" s="306"/>
      <c r="H24" s="306" t="e">
        <f t="shared" si="0"/>
        <v>#N/A</v>
      </c>
      <c r="I24" s="306"/>
      <c r="J24" s="317"/>
      <c r="K24" s="306"/>
      <c r="L24" s="318"/>
      <c r="M24" s="318"/>
      <c r="N24" s="326"/>
      <c r="O24" s="319"/>
      <c r="P24" s="320"/>
      <c r="Q24" s="316"/>
      <c r="R24" s="320"/>
      <c r="W24" s="253" t="s">
        <v>331</v>
      </c>
      <c r="X24" s="253" t="s">
        <v>332</v>
      </c>
    </row>
    <row r="25" spans="1:24" ht="15.75">
      <c r="A25" s="253"/>
      <c r="B25" s="306"/>
      <c r="C25" s="306"/>
      <c r="D25" s="321"/>
      <c r="E25" s="306"/>
      <c r="F25" s="306"/>
      <c r="G25" s="306"/>
      <c r="H25" s="306" t="e">
        <f t="shared" si="0"/>
        <v>#N/A</v>
      </c>
      <c r="I25" s="306"/>
      <c r="J25" s="317"/>
      <c r="K25" s="306"/>
      <c r="L25" s="318"/>
      <c r="M25" s="318"/>
      <c r="N25" s="326"/>
      <c r="O25" s="319"/>
      <c r="P25" s="320"/>
      <c r="Q25" s="316"/>
      <c r="R25" s="320"/>
      <c r="W25" s="253" t="s">
        <v>333</v>
      </c>
      <c r="X25" s="253" t="s">
        <v>334</v>
      </c>
    </row>
    <row r="26" spans="1:24" ht="15.75">
      <c r="A26" s="253"/>
      <c r="B26" s="306"/>
      <c r="C26" s="306"/>
      <c r="D26" s="321"/>
      <c r="E26" s="306"/>
      <c r="F26" s="306"/>
      <c r="G26" s="306"/>
      <c r="H26" s="306" t="e">
        <f t="shared" si="0"/>
        <v>#N/A</v>
      </c>
      <c r="I26" s="306"/>
      <c r="J26" s="317"/>
      <c r="K26" s="306"/>
      <c r="L26" s="318"/>
      <c r="M26" s="318"/>
      <c r="N26" s="326"/>
      <c r="O26" s="319"/>
      <c r="P26" s="320"/>
      <c r="Q26" s="316"/>
      <c r="R26" s="320"/>
      <c r="W26" s="253" t="s">
        <v>335</v>
      </c>
      <c r="X26" s="253" t="s">
        <v>336</v>
      </c>
    </row>
    <row r="27" spans="1:24" ht="15.75">
      <c r="A27" s="253"/>
      <c r="B27" s="306"/>
      <c r="C27" s="306"/>
      <c r="D27" s="321"/>
      <c r="E27" s="306"/>
      <c r="F27" s="306"/>
      <c r="G27" s="306"/>
      <c r="H27" s="306" t="e">
        <f t="shared" si="0"/>
        <v>#N/A</v>
      </c>
      <c r="I27" s="306"/>
      <c r="J27" s="317"/>
      <c r="K27" s="306"/>
      <c r="L27" s="318"/>
      <c r="M27" s="318"/>
      <c r="N27" s="326"/>
      <c r="O27" s="319"/>
      <c r="P27" s="320"/>
      <c r="Q27" s="316"/>
      <c r="R27" s="320"/>
      <c r="W27" s="253" t="s">
        <v>337</v>
      </c>
      <c r="X27" s="253" t="s">
        <v>338</v>
      </c>
    </row>
    <row r="28" spans="1:24" ht="15.75">
      <c r="A28" s="253"/>
      <c r="B28" s="306"/>
      <c r="C28" s="306"/>
      <c r="D28" s="321"/>
      <c r="E28" s="306"/>
      <c r="F28" s="306"/>
      <c r="G28" s="306"/>
      <c r="H28" s="306" t="e">
        <f t="shared" si="0"/>
        <v>#N/A</v>
      </c>
      <c r="I28" s="306"/>
      <c r="J28" s="317"/>
      <c r="K28" s="306"/>
      <c r="L28" s="318"/>
      <c r="M28" s="318"/>
      <c r="N28" s="326"/>
      <c r="O28" s="319"/>
      <c r="P28" s="320"/>
      <c r="Q28" s="316"/>
      <c r="R28" s="320"/>
      <c r="W28" s="253" t="s">
        <v>339</v>
      </c>
      <c r="X28" s="253" t="s">
        <v>340</v>
      </c>
    </row>
    <row r="29" spans="1:24" ht="15.75">
      <c r="A29" s="253"/>
      <c r="B29" s="306"/>
      <c r="C29" s="306"/>
      <c r="D29" s="321"/>
      <c r="E29" s="306"/>
      <c r="F29" s="306"/>
      <c r="G29" s="306"/>
      <c r="H29" s="306" t="e">
        <f t="shared" si="0"/>
        <v>#N/A</v>
      </c>
      <c r="I29" s="306"/>
      <c r="J29" s="317"/>
      <c r="K29" s="306"/>
      <c r="L29" s="318"/>
      <c r="M29" s="318"/>
      <c r="N29" s="326"/>
      <c r="O29" s="319"/>
      <c r="P29" s="320"/>
      <c r="Q29" s="316"/>
      <c r="R29" s="320"/>
      <c r="W29" s="253" t="s">
        <v>341</v>
      </c>
      <c r="X29" s="253" t="s">
        <v>342</v>
      </c>
    </row>
    <row r="30" spans="1:24" ht="15.75">
      <c r="A30" s="253"/>
      <c r="B30" s="306"/>
      <c r="C30" s="306"/>
      <c r="D30" s="321"/>
      <c r="E30" s="306"/>
      <c r="F30" s="306"/>
      <c r="G30" s="306"/>
      <c r="H30" s="306" t="e">
        <f t="shared" si="0"/>
        <v>#N/A</v>
      </c>
      <c r="I30" s="306"/>
      <c r="J30" s="317"/>
      <c r="K30" s="306"/>
      <c r="L30" s="318"/>
      <c r="M30" s="318"/>
      <c r="N30" s="326"/>
      <c r="O30" s="319"/>
      <c r="P30" s="320"/>
      <c r="Q30" s="316"/>
      <c r="R30" s="320"/>
      <c r="W30" s="253" t="s">
        <v>134</v>
      </c>
      <c r="X30" s="253" t="s">
        <v>133</v>
      </c>
    </row>
    <row r="31" spans="1:24" ht="15.75">
      <c r="A31" s="253"/>
      <c r="B31" s="306"/>
      <c r="C31" s="306"/>
      <c r="D31" s="321"/>
      <c r="E31" s="306"/>
      <c r="F31" s="306"/>
      <c r="G31" s="306"/>
      <c r="H31" s="306" t="e">
        <f t="shared" si="0"/>
        <v>#N/A</v>
      </c>
      <c r="I31" s="306"/>
      <c r="J31" s="317"/>
      <c r="K31" s="306"/>
      <c r="L31" s="318"/>
      <c r="M31" s="318"/>
      <c r="N31" s="326"/>
      <c r="O31" s="319"/>
      <c r="P31" s="320"/>
      <c r="Q31" s="316"/>
      <c r="R31" s="320"/>
      <c r="W31" s="253" t="s">
        <v>343</v>
      </c>
      <c r="X31" s="253" t="s">
        <v>344</v>
      </c>
    </row>
    <row r="32" spans="1:24" ht="15.75">
      <c r="A32" s="253"/>
      <c r="B32" s="306"/>
      <c r="C32" s="306"/>
      <c r="D32" s="321"/>
      <c r="E32" s="306"/>
      <c r="F32" s="306"/>
      <c r="G32" s="306"/>
      <c r="H32" s="306" t="e">
        <f t="shared" si="0"/>
        <v>#N/A</v>
      </c>
      <c r="I32" s="306"/>
      <c r="J32" s="317"/>
      <c r="K32" s="306"/>
      <c r="L32" s="318"/>
      <c r="M32" s="318"/>
      <c r="N32" s="326"/>
      <c r="O32" s="319"/>
      <c r="P32" s="320"/>
      <c r="Q32" s="316"/>
      <c r="R32" s="320"/>
    </row>
    <row r="33" spans="1:18" ht="15.75">
      <c r="A33" s="253"/>
      <c r="B33" s="306"/>
      <c r="C33" s="306"/>
      <c r="D33" s="321"/>
      <c r="E33" s="306"/>
      <c r="F33" s="306"/>
      <c r="G33" s="306"/>
      <c r="H33" s="306" t="e">
        <f t="shared" si="0"/>
        <v>#N/A</v>
      </c>
      <c r="I33" s="306"/>
      <c r="J33" s="317"/>
      <c r="K33" s="306"/>
      <c r="L33" s="318"/>
      <c r="M33" s="318"/>
      <c r="N33" s="326"/>
      <c r="O33" s="319"/>
      <c r="P33" s="320"/>
      <c r="Q33" s="316"/>
      <c r="R33" s="320"/>
    </row>
    <row r="34" spans="1:18" ht="15.75">
      <c r="A34" s="253"/>
      <c r="B34" s="306"/>
      <c r="C34" s="306"/>
      <c r="D34" s="321"/>
      <c r="E34" s="306"/>
      <c r="F34" s="306"/>
      <c r="G34" s="306"/>
      <c r="H34" s="306" t="e">
        <f t="shared" si="0"/>
        <v>#N/A</v>
      </c>
      <c r="I34" s="306"/>
      <c r="J34" s="317"/>
      <c r="K34" s="306"/>
      <c r="L34" s="318"/>
      <c r="M34" s="318"/>
      <c r="N34" s="326"/>
      <c r="O34" s="319"/>
      <c r="P34" s="320"/>
      <c r="Q34" s="316"/>
      <c r="R34" s="320"/>
    </row>
    <row r="35" spans="1:18" ht="15.75">
      <c r="A35" s="253"/>
      <c r="B35" s="306"/>
      <c r="C35" s="306"/>
      <c r="D35" s="321"/>
      <c r="E35" s="306"/>
      <c r="F35" s="306"/>
      <c r="G35" s="306"/>
      <c r="H35" s="306" t="e">
        <f t="shared" si="0"/>
        <v>#N/A</v>
      </c>
      <c r="I35" s="306"/>
      <c r="J35" s="317"/>
      <c r="K35" s="306"/>
      <c r="L35" s="318"/>
      <c r="M35" s="318"/>
      <c r="N35" s="326"/>
      <c r="O35" s="319"/>
      <c r="P35" s="320"/>
      <c r="Q35" s="316"/>
      <c r="R35" s="320"/>
    </row>
    <row r="36" spans="1:18" ht="15.75">
      <c r="A36" s="253"/>
      <c r="B36" s="306"/>
      <c r="C36" s="306"/>
      <c r="D36" s="321"/>
      <c r="E36" s="306"/>
      <c r="F36" s="306"/>
      <c r="G36" s="306"/>
      <c r="H36" s="306" t="e">
        <f t="shared" ref="H36:H55" si="1">VLOOKUP(I36,W36:X63,2)</f>
        <v>#N/A</v>
      </c>
      <c r="I36" s="306"/>
      <c r="J36" s="317"/>
      <c r="K36" s="306"/>
      <c r="L36" s="318"/>
      <c r="M36" s="318"/>
      <c r="N36" s="326"/>
      <c r="O36" s="319"/>
      <c r="P36" s="320"/>
      <c r="Q36" s="316"/>
      <c r="R36" s="320"/>
    </row>
    <row r="37" spans="1:18" ht="15.75">
      <c r="A37" s="253"/>
      <c r="B37" s="306"/>
      <c r="C37" s="306"/>
      <c r="D37" s="321"/>
      <c r="E37" s="306"/>
      <c r="F37" s="306"/>
      <c r="G37" s="306"/>
      <c r="H37" s="306" t="e">
        <f t="shared" si="1"/>
        <v>#N/A</v>
      </c>
      <c r="I37" s="306"/>
      <c r="J37" s="317"/>
      <c r="K37" s="306"/>
      <c r="L37" s="318"/>
      <c r="M37" s="318"/>
      <c r="N37" s="326"/>
      <c r="O37" s="319"/>
      <c r="P37" s="320"/>
      <c r="Q37" s="316"/>
      <c r="R37" s="320"/>
    </row>
    <row r="38" spans="1:18" ht="15.75">
      <c r="A38" s="253"/>
      <c r="B38" s="306"/>
      <c r="C38" s="306"/>
      <c r="D38" s="321"/>
      <c r="E38" s="306"/>
      <c r="F38" s="306"/>
      <c r="G38" s="306"/>
      <c r="H38" s="306" t="e">
        <f t="shared" si="1"/>
        <v>#N/A</v>
      </c>
      <c r="I38" s="306"/>
      <c r="J38" s="317"/>
      <c r="K38" s="306"/>
      <c r="L38" s="318"/>
      <c r="M38" s="318"/>
      <c r="N38" s="326"/>
      <c r="O38" s="319"/>
      <c r="P38" s="320"/>
      <c r="Q38" s="316"/>
      <c r="R38" s="320"/>
    </row>
    <row r="39" spans="1:18" ht="15.75">
      <c r="A39" s="253"/>
      <c r="B39" s="306"/>
      <c r="C39" s="306"/>
      <c r="D39" s="321"/>
      <c r="E39" s="306"/>
      <c r="F39" s="306"/>
      <c r="G39" s="306"/>
      <c r="H39" s="306" t="e">
        <f t="shared" si="1"/>
        <v>#N/A</v>
      </c>
      <c r="I39" s="306"/>
      <c r="J39" s="317"/>
      <c r="K39" s="306"/>
      <c r="L39" s="318"/>
      <c r="M39" s="318"/>
      <c r="N39" s="326"/>
      <c r="O39" s="319"/>
      <c r="P39" s="320"/>
      <c r="Q39" s="316"/>
      <c r="R39" s="320"/>
    </row>
    <row r="40" spans="1:18" ht="15.75">
      <c r="A40" s="253"/>
      <c r="B40" s="306"/>
      <c r="C40" s="306"/>
      <c r="D40" s="321"/>
      <c r="E40" s="306"/>
      <c r="F40" s="306"/>
      <c r="G40" s="306"/>
      <c r="H40" s="306" t="e">
        <f t="shared" si="1"/>
        <v>#N/A</v>
      </c>
      <c r="I40" s="306"/>
      <c r="J40" s="317"/>
      <c r="K40" s="306"/>
      <c r="L40" s="318"/>
      <c r="M40" s="318"/>
      <c r="N40" s="326"/>
      <c r="O40" s="319"/>
      <c r="P40" s="320"/>
      <c r="Q40" s="316"/>
      <c r="R40" s="320"/>
    </row>
    <row r="41" spans="1:18" ht="15.75">
      <c r="A41" s="253"/>
      <c r="B41" s="306"/>
      <c r="C41" s="306"/>
      <c r="D41" s="321"/>
      <c r="E41" s="306"/>
      <c r="F41" s="306"/>
      <c r="G41" s="306"/>
      <c r="H41" s="306" t="e">
        <f t="shared" si="1"/>
        <v>#N/A</v>
      </c>
      <c r="I41" s="306"/>
      <c r="J41" s="317"/>
      <c r="K41" s="306"/>
      <c r="L41" s="318"/>
      <c r="M41" s="318"/>
      <c r="N41" s="326"/>
      <c r="O41" s="319"/>
      <c r="P41" s="320"/>
      <c r="Q41" s="316"/>
      <c r="R41" s="320"/>
    </row>
    <row r="42" spans="1:18" ht="15.75">
      <c r="A42" s="253"/>
      <c r="B42" s="306"/>
      <c r="C42" s="306"/>
      <c r="D42" s="321"/>
      <c r="E42" s="306"/>
      <c r="F42" s="306"/>
      <c r="G42" s="306"/>
      <c r="H42" s="306" t="e">
        <f t="shared" si="1"/>
        <v>#N/A</v>
      </c>
      <c r="I42" s="306"/>
      <c r="J42" s="317"/>
      <c r="K42" s="306"/>
      <c r="L42" s="318"/>
      <c r="M42" s="318"/>
      <c r="N42" s="326"/>
      <c r="O42" s="319"/>
      <c r="P42" s="320"/>
      <c r="Q42" s="316"/>
      <c r="R42" s="320"/>
    </row>
    <row r="43" spans="1:18" ht="15.75">
      <c r="A43" s="253"/>
      <c r="B43" s="306"/>
      <c r="C43" s="306"/>
      <c r="D43" s="321"/>
      <c r="E43" s="306"/>
      <c r="F43" s="306"/>
      <c r="G43" s="306"/>
      <c r="H43" s="306" t="e">
        <f t="shared" si="1"/>
        <v>#N/A</v>
      </c>
      <c r="I43" s="306"/>
      <c r="J43" s="317"/>
      <c r="K43" s="306"/>
      <c r="L43" s="318"/>
      <c r="M43" s="318"/>
      <c r="N43" s="326"/>
      <c r="O43" s="319"/>
      <c r="P43" s="320"/>
      <c r="Q43" s="316"/>
      <c r="R43" s="320"/>
    </row>
    <row r="44" spans="1:18" ht="15.75">
      <c r="A44" s="253"/>
      <c r="B44" s="306"/>
      <c r="C44" s="306"/>
      <c r="D44" s="321"/>
      <c r="E44" s="306"/>
      <c r="F44" s="306"/>
      <c r="G44" s="306"/>
      <c r="H44" s="306" t="e">
        <f t="shared" si="1"/>
        <v>#N/A</v>
      </c>
      <c r="I44" s="306"/>
      <c r="J44" s="317"/>
      <c r="K44" s="306"/>
      <c r="L44" s="318"/>
      <c r="M44" s="318"/>
      <c r="N44" s="326"/>
      <c r="O44" s="319"/>
      <c r="P44" s="320"/>
      <c r="Q44" s="316"/>
      <c r="R44" s="320"/>
    </row>
    <row r="45" spans="1:18" ht="15.75">
      <c r="A45" s="253"/>
      <c r="B45" s="306"/>
      <c r="C45" s="306"/>
      <c r="D45" s="321"/>
      <c r="E45" s="306"/>
      <c r="F45" s="306"/>
      <c r="G45" s="306"/>
      <c r="H45" s="306" t="e">
        <f t="shared" si="1"/>
        <v>#N/A</v>
      </c>
      <c r="I45" s="306"/>
      <c r="J45" s="317"/>
      <c r="K45" s="306"/>
      <c r="L45" s="318"/>
      <c r="M45" s="318"/>
      <c r="N45" s="326"/>
      <c r="O45" s="319"/>
      <c r="P45" s="320"/>
      <c r="Q45" s="316"/>
      <c r="R45" s="320"/>
    </row>
    <row r="46" spans="1:18" ht="15.75">
      <c r="A46" s="253"/>
      <c r="B46" s="306"/>
      <c r="C46" s="306"/>
      <c r="D46" s="321"/>
      <c r="E46" s="306"/>
      <c r="F46" s="306"/>
      <c r="G46" s="306"/>
      <c r="H46" s="306" t="e">
        <f t="shared" si="1"/>
        <v>#N/A</v>
      </c>
      <c r="I46" s="306"/>
      <c r="J46" s="317"/>
      <c r="K46" s="306"/>
      <c r="L46" s="318"/>
      <c r="M46" s="318"/>
      <c r="N46" s="326"/>
      <c r="O46" s="319"/>
      <c r="P46" s="320"/>
      <c r="Q46" s="316"/>
      <c r="R46" s="320"/>
    </row>
    <row r="47" spans="1:18" ht="15.75">
      <c r="A47" s="253"/>
      <c r="B47" s="306"/>
      <c r="C47" s="306"/>
      <c r="D47" s="321"/>
      <c r="E47" s="306"/>
      <c r="F47" s="306"/>
      <c r="G47" s="306"/>
      <c r="H47" s="306" t="e">
        <f t="shared" si="1"/>
        <v>#N/A</v>
      </c>
      <c r="I47" s="306"/>
      <c r="J47" s="317"/>
      <c r="K47" s="306"/>
      <c r="L47" s="318"/>
      <c r="M47" s="318"/>
      <c r="N47" s="326"/>
      <c r="O47" s="319"/>
      <c r="P47" s="320"/>
      <c r="Q47" s="316"/>
      <c r="R47" s="320"/>
    </row>
    <row r="48" spans="1:18" ht="15.75">
      <c r="A48" s="253"/>
      <c r="B48" s="306"/>
      <c r="C48" s="306"/>
      <c r="D48" s="321"/>
      <c r="E48" s="306"/>
      <c r="F48" s="306"/>
      <c r="G48" s="306"/>
      <c r="H48" s="306" t="e">
        <f t="shared" si="1"/>
        <v>#N/A</v>
      </c>
      <c r="I48" s="306"/>
      <c r="J48" s="317"/>
      <c r="K48" s="306"/>
      <c r="L48" s="318"/>
      <c r="M48" s="318"/>
      <c r="N48" s="326"/>
      <c r="O48" s="319"/>
      <c r="P48" s="320"/>
      <c r="Q48" s="316"/>
      <c r="R48" s="320"/>
    </row>
    <row r="49" spans="1:18" ht="15.75">
      <c r="A49" s="253"/>
      <c r="B49" s="306"/>
      <c r="C49" s="306"/>
      <c r="D49" s="321"/>
      <c r="E49" s="306"/>
      <c r="F49" s="306"/>
      <c r="G49" s="306"/>
      <c r="H49" s="306" t="e">
        <f t="shared" si="1"/>
        <v>#N/A</v>
      </c>
      <c r="I49" s="306"/>
      <c r="J49" s="317"/>
      <c r="K49" s="306"/>
      <c r="L49" s="318"/>
      <c r="M49" s="318"/>
      <c r="N49" s="326"/>
      <c r="O49" s="319"/>
      <c r="P49" s="320"/>
      <c r="Q49" s="316"/>
      <c r="R49" s="320"/>
    </row>
    <row r="50" spans="1:18" ht="15.75">
      <c r="A50" s="253"/>
      <c r="B50" s="306"/>
      <c r="C50" s="306"/>
      <c r="D50" s="321"/>
      <c r="E50" s="306"/>
      <c r="F50" s="306"/>
      <c r="G50" s="306"/>
      <c r="H50" s="306" t="e">
        <f t="shared" si="1"/>
        <v>#N/A</v>
      </c>
      <c r="I50" s="306"/>
      <c r="J50" s="317"/>
      <c r="K50" s="306"/>
      <c r="L50" s="318"/>
      <c r="M50" s="318"/>
      <c r="N50" s="326"/>
      <c r="O50" s="319"/>
      <c r="P50" s="320"/>
      <c r="Q50" s="316"/>
      <c r="R50" s="320"/>
    </row>
    <row r="51" spans="1:18" ht="15.75">
      <c r="A51" s="253"/>
      <c r="B51" s="306"/>
      <c r="C51" s="306"/>
      <c r="D51" s="321"/>
      <c r="E51" s="306"/>
      <c r="F51" s="306"/>
      <c r="G51" s="306"/>
      <c r="H51" s="306" t="e">
        <f t="shared" si="1"/>
        <v>#N/A</v>
      </c>
      <c r="I51" s="306"/>
      <c r="J51" s="317"/>
      <c r="K51" s="306"/>
      <c r="L51" s="318"/>
      <c r="M51" s="318"/>
      <c r="N51" s="326"/>
      <c r="O51" s="319"/>
      <c r="P51" s="320"/>
      <c r="Q51" s="316"/>
      <c r="R51" s="320"/>
    </row>
    <row r="52" spans="1:18" ht="15.75">
      <c r="A52" s="253"/>
      <c r="B52" s="306"/>
      <c r="C52" s="306"/>
      <c r="D52" s="321"/>
      <c r="E52" s="306"/>
      <c r="F52" s="306"/>
      <c r="G52" s="306"/>
      <c r="H52" s="306" t="e">
        <f t="shared" si="1"/>
        <v>#N/A</v>
      </c>
      <c r="I52" s="306"/>
      <c r="J52" s="317"/>
      <c r="K52" s="306"/>
      <c r="L52" s="318"/>
      <c r="M52" s="318"/>
      <c r="N52" s="326"/>
      <c r="O52" s="319"/>
      <c r="P52" s="320"/>
      <c r="Q52" s="316"/>
      <c r="R52" s="320"/>
    </row>
    <row r="53" spans="1:18" ht="15.75">
      <c r="A53" s="253"/>
      <c r="B53" s="306"/>
      <c r="C53" s="306"/>
      <c r="D53" s="321"/>
      <c r="E53" s="306"/>
      <c r="F53" s="306"/>
      <c r="G53" s="306"/>
      <c r="H53" s="306" t="e">
        <f t="shared" si="1"/>
        <v>#N/A</v>
      </c>
      <c r="I53" s="306"/>
      <c r="J53" s="317"/>
      <c r="K53" s="306"/>
      <c r="L53" s="318"/>
      <c r="M53" s="318"/>
      <c r="N53" s="326"/>
      <c r="O53" s="319"/>
      <c r="P53" s="320"/>
      <c r="Q53" s="316"/>
      <c r="R53" s="320"/>
    </row>
    <row r="54" spans="1:18" ht="15.75">
      <c r="A54" s="253"/>
      <c r="B54" s="306"/>
      <c r="C54" s="306"/>
      <c r="D54" s="321"/>
      <c r="E54" s="306"/>
      <c r="F54" s="306"/>
      <c r="G54" s="306"/>
      <c r="H54" s="306" t="e">
        <f t="shared" si="1"/>
        <v>#N/A</v>
      </c>
      <c r="I54" s="306"/>
      <c r="J54" s="317"/>
      <c r="K54" s="306"/>
      <c r="L54" s="318"/>
      <c r="M54" s="318"/>
      <c r="N54" s="326"/>
      <c r="O54" s="319"/>
      <c r="P54" s="320"/>
      <c r="Q54" s="316"/>
      <c r="R54" s="320"/>
    </row>
    <row r="55" spans="1:18" ht="15.75">
      <c r="A55" s="253"/>
      <c r="B55" s="306"/>
      <c r="C55" s="306"/>
      <c r="D55" s="321"/>
      <c r="E55" s="306"/>
      <c r="F55" s="306"/>
      <c r="G55" s="306"/>
      <c r="H55" s="306" t="e">
        <f t="shared" si="1"/>
        <v>#N/A</v>
      </c>
      <c r="I55" s="306"/>
      <c r="J55" s="317"/>
      <c r="K55" s="306"/>
      <c r="L55" s="318"/>
      <c r="M55" s="318"/>
      <c r="N55" s="326"/>
      <c r="O55" s="319"/>
      <c r="P55" s="320"/>
      <c r="Q55" s="316"/>
      <c r="R55" s="320"/>
    </row>
    <row r="56" spans="1:18">
      <c r="A56" s="253"/>
    </row>
    <row r="57" spans="1:18">
      <c r="A57" s="253"/>
    </row>
    <row r="58" spans="1:18">
      <c r="A58" s="253"/>
    </row>
    <row r="59" spans="1:18">
      <c r="A59" s="253"/>
    </row>
    <row r="60" spans="1:18">
      <c r="A60" s="253"/>
    </row>
    <row r="61" spans="1:18">
      <c r="A61" s="253"/>
    </row>
    <row r="62" spans="1:18">
      <c r="A62" s="253"/>
    </row>
    <row r="63" spans="1:18">
      <c r="A63" s="253"/>
    </row>
    <row r="64" spans="1:18">
      <c r="A64" s="253"/>
    </row>
    <row r="65" spans="1:1">
      <c r="A65" s="253"/>
    </row>
    <row r="66" spans="1:1">
      <c r="A66" s="253"/>
    </row>
    <row r="67" spans="1:1">
      <c r="A67" s="253"/>
    </row>
    <row r="68" spans="1:1">
      <c r="A68" s="253"/>
    </row>
    <row r="69" spans="1:1">
      <c r="A69" s="253"/>
    </row>
    <row r="70" spans="1:1">
      <c r="A70" s="253"/>
    </row>
    <row r="71" spans="1:1">
      <c r="A71" s="253"/>
    </row>
    <row r="72" spans="1:1">
      <c r="A72" s="253"/>
    </row>
    <row r="73" spans="1:1">
      <c r="A73" s="253"/>
    </row>
    <row r="74" spans="1:1">
      <c r="A74" s="253"/>
    </row>
    <row r="75" spans="1:1">
      <c r="A75" s="253"/>
    </row>
    <row r="76" spans="1:1">
      <c r="A76" s="253"/>
    </row>
    <row r="77" spans="1:1">
      <c r="A77" s="253"/>
    </row>
    <row r="78" spans="1:1">
      <c r="A78" s="253"/>
    </row>
    <row r="79" spans="1:1">
      <c r="A79" s="253"/>
    </row>
    <row r="80" spans="1:1">
      <c r="A80" s="253"/>
    </row>
    <row r="81" spans="1:1">
      <c r="A81" s="253"/>
    </row>
    <row r="82" spans="1:1">
      <c r="A82" s="253"/>
    </row>
    <row r="83" spans="1:1">
      <c r="A83" s="253"/>
    </row>
    <row r="84" spans="1:1">
      <c r="A84" s="253"/>
    </row>
    <row r="85" spans="1:1">
      <c r="A85" s="253"/>
    </row>
    <row r="86" spans="1:1">
      <c r="A86" s="253"/>
    </row>
    <row r="87" spans="1:1">
      <c r="A87" s="253"/>
    </row>
    <row r="88" spans="1:1">
      <c r="A88" s="253"/>
    </row>
    <row r="89" spans="1:1">
      <c r="A89" s="253"/>
    </row>
    <row r="90" spans="1:1">
      <c r="A90" s="253"/>
    </row>
    <row r="91" spans="1:1">
      <c r="A91" s="253"/>
    </row>
    <row r="92" spans="1:1">
      <c r="A92" s="253"/>
    </row>
    <row r="93" spans="1:1">
      <c r="A93" s="253"/>
    </row>
    <row r="94" spans="1:1">
      <c r="A94" s="253"/>
    </row>
    <row r="95" spans="1:1">
      <c r="A95" s="253"/>
    </row>
    <row r="96" spans="1:1">
      <c r="A96" s="253"/>
    </row>
    <row r="97" spans="1:1">
      <c r="A97" s="253"/>
    </row>
    <row r="98" spans="1:1">
      <c r="A98" s="253"/>
    </row>
    <row r="99" spans="1:1">
      <c r="A99" s="253"/>
    </row>
    <row r="100" spans="1:1">
      <c r="A100" s="253"/>
    </row>
    <row r="101" spans="1:1">
      <c r="A101" s="253"/>
    </row>
    <row r="102" spans="1:1">
      <c r="A102" s="253"/>
    </row>
    <row r="103" spans="1:1">
      <c r="A103" s="253"/>
    </row>
    <row r="104" spans="1:1">
      <c r="A104" s="253"/>
    </row>
    <row r="105" spans="1:1">
      <c r="A105" s="253"/>
    </row>
    <row r="106" spans="1:1">
      <c r="A106" s="253"/>
    </row>
    <row r="107" spans="1:1">
      <c r="A107" s="253"/>
    </row>
    <row r="108" spans="1:1">
      <c r="A108" s="253"/>
    </row>
    <row r="109" spans="1:1">
      <c r="A109" s="253"/>
    </row>
    <row r="110" spans="1:1">
      <c r="A110" s="253"/>
    </row>
    <row r="111" spans="1:1">
      <c r="A111" s="253"/>
    </row>
    <row r="112" spans="1:1">
      <c r="A112" s="253"/>
    </row>
    <row r="113" spans="1:1">
      <c r="A113" s="253"/>
    </row>
    <row r="114" spans="1:1">
      <c r="A114" s="253"/>
    </row>
    <row r="115" spans="1:1">
      <c r="A115" s="253"/>
    </row>
    <row r="116" spans="1:1">
      <c r="A116" s="253"/>
    </row>
    <row r="117" spans="1:1">
      <c r="A117" s="253"/>
    </row>
    <row r="118" spans="1:1">
      <c r="A118" s="253"/>
    </row>
    <row r="119" spans="1:1">
      <c r="A119" s="253"/>
    </row>
    <row r="120" spans="1:1">
      <c r="A120" s="253"/>
    </row>
    <row r="121" spans="1:1">
      <c r="A121" s="253"/>
    </row>
    <row r="122" spans="1:1">
      <c r="A122" s="253"/>
    </row>
    <row r="123" spans="1:1">
      <c r="A123" s="253"/>
    </row>
    <row r="124" spans="1:1">
      <c r="A124" s="253"/>
    </row>
    <row r="125" spans="1:1">
      <c r="A125" s="253"/>
    </row>
    <row r="126" spans="1:1">
      <c r="A126" s="253"/>
    </row>
    <row r="127" spans="1:1">
      <c r="A127" s="253"/>
    </row>
    <row r="128" spans="1:1">
      <c r="A128" s="253"/>
    </row>
    <row r="129" spans="1:1">
      <c r="A129" s="253"/>
    </row>
    <row r="130" spans="1:1">
      <c r="A130" s="253"/>
    </row>
    <row r="131" spans="1:1">
      <c r="A131" s="253"/>
    </row>
    <row r="132" spans="1:1">
      <c r="A132" s="253"/>
    </row>
    <row r="133" spans="1:1">
      <c r="A133" s="253"/>
    </row>
    <row r="134" spans="1:1">
      <c r="A134" s="253"/>
    </row>
    <row r="135" spans="1:1">
      <c r="A135" s="253"/>
    </row>
    <row r="136" spans="1:1">
      <c r="A136" s="253"/>
    </row>
    <row r="137" spans="1:1">
      <c r="A137" s="253"/>
    </row>
    <row r="138" spans="1:1">
      <c r="A138" s="253"/>
    </row>
    <row r="139" spans="1:1">
      <c r="A139" s="253"/>
    </row>
    <row r="140" spans="1:1">
      <c r="A140" s="253"/>
    </row>
    <row r="141" spans="1:1">
      <c r="A141" s="253"/>
    </row>
    <row r="142" spans="1:1">
      <c r="A142" s="253"/>
    </row>
    <row r="143" spans="1:1">
      <c r="A143" s="253"/>
    </row>
    <row r="144" spans="1:1">
      <c r="A144" s="253"/>
    </row>
    <row r="145" spans="1:1">
      <c r="A145" s="253"/>
    </row>
    <row r="146" spans="1:1">
      <c r="A146" s="253"/>
    </row>
    <row r="147" spans="1:1">
      <c r="A147" s="253"/>
    </row>
    <row r="148" spans="1:1">
      <c r="A148" s="253"/>
    </row>
    <row r="149" spans="1:1">
      <c r="A149" s="253"/>
    </row>
    <row r="150" spans="1:1">
      <c r="A150" s="253"/>
    </row>
    <row r="151" spans="1:1">
      <c r="A151" s="253"/>
    </row>
    <row r="152" spans="1:1">
      <c r="A152" s="253"/>
    </row>
    <row r="153" spans="1:1">
      <c r="A153" s="253"/>
    </row>
    <row r="154" spans="1:1">
      <c r="A154" s="253"/>
    </row>
    <row r="155" spans="1:1">
      <c r="A155" s="253"/>
    </row>
    <row r="156" spans="1:1">
      <c r="A156" s="253"/>
    </row>
    <row r="157" spans="1:1">
      <c r="A157" s="253"/>
    </row>
    <row r="158" spans="1:1">
      <c r="A158" s="253"/>
    </row>
    <row r="159" spans="1:1">
      <c r="A159" s="253"/>
    </row>
    <row r="160" spans="1:1">
      <c r="A160" s="253"/>
    </row>
    <row r="161" spans="1:1">
      <c r="A161" s="253"/>
    </row>
    <row r="162" spans="1:1">
      <c r="A162" s="253"/>
    </row>
    <row r="163" spans="1:1">
      <c r="A163" s="253"/>
    </row>
    <row r="164" spans="1:1">
      <c r="A164" s="253"/>
    </row>
    <row r="165" spans="1:1">
      <c r="A165" s="253"/>
    </row>
    <row r="166" spans="1:1">
      <c r="A166" s="253"/>
    </row>
    <row r="167" spans="1:1">
      <c r="A167" s="253"/>
    </row>
    <row r="168" spans="1:1">
      <c r="A168" s="253"/>
    </row>
    <row r="169" spans="1:1">
      <c r="A169" s="253"/>
    </row>
    <row r="170" spans="1:1">
      <c r="A170" s="253"/>
    </row>
    <row r="171" spans="1:1">
      <c r="A171" s="253"/>
    </row>
    <row r="172" spans="1:1">
      <c r="A172" s="253"/>
    </row>
  </sheetData>
  <sheetProtection password="CEBA" sheet="1" objects="1" scenarios="1"/>
  <phoneticPr fontId="0" type="noConversion"/>
  <dataValidations xWindow="850" yWindow="186" count="37">
    <dataValidation allowBlank="1" showInputMessage="1" showErrorMessage="1" prompt="NOME DA EMPRESA_x000a__x000a_" sqref="H4:H55"/>
    <dataValidation type="textLength" operator="lessThan" allowBlank="1" showInputMessage="1" showErrorMessage="1" promptTitle="ENDEREÇO DA EMPRESA" prompt="COMPRIMENTO DO TEXTO MÁXIMO 30 LETRAS_x000a_" sqref="C5:C55">
      <formula1>31</formula1>
    </dataValidation>
    <dataValidation type="textLength" operator="lessThan" allowBlank="1" showInputMessage="1" showErrorMessage="1" promptTitle="Nº DA EMPRESA" prompt="COMPRIMENTO DO TEXTO 7 NÚMEROS" sqref="D5:D55">
      <formula1>8</formula1>
    </dataValidation>
    <dataValidation allowBlank="1" showInputMessage="1" showErrorMessage="1" prompt="NOME CONTRIBUINTE" sqref="S4:V4"/>
    <dataValidation allowBlank="1" showInputMessage="1" showErrorMessage="1" prompt="ENDEREÇO_x000a_" sqref="S5:V5"/>
    <dataValidation allowBlank="1" showInputMessage="1" showErrorMessage="1" prompt="NÚMERO " sqref="S6:V6"/>
    <dataValidation allowBlank="1" showInputMessage="1" showErrorMessage="1" prompt="COMPLEMENTO" sqref="S7:V7"/>
    <dataValidation allowBlank="1" showInputMessage="1" showErrorMessage="1" prompt="BAIRRO" sqref="S8:V8"/>
    <dataValidation allowBlank="1" showInputMessage="1" showErrorMessage="1" prompt="CIDADE" sqref="S9:V9"/>
    <dataValidation allowBlank="1" showInputMessage="1" showErrorMessage="1" prompt="ESTADO" sqref="S10:V10"/>
    <dataValidation allowBlank="1" showInputMessage="1" showErrorMessage="1" prompt="UF" sqref="S11:V11"/>
    <dataValidation allowBlank="1" showInputMessage="1" showErrorMessage="1" prompt="CEP" sqref="S12:V12"/>
    <dataValidation allowBlank="1" showInputMessage="1" showErrorMessage="1" prompt="PAÍS" sqref="S13:V13"/>
    <dataValidation allowBlank="1" showInputMessage="1" showErrorMessage="1" prompt="TELEFONE" sqref="S14:V14"/>
    <dataValidation allowBlank="1" showInputMessage="1" showErrorMessage="1" prompt="FAX" sqref="S15:V15"/>
    <dataValidation allowBlank="1" showInputMessage="1" showErrorMessage="1" prompt="CELULAR" sqref="S16:V16"/>
    <dataValidation allowBlank="1" showInputMessage="1" showErrorMessage="1" prompt="E-MAIL" sqref="S17:V17"/>
    <dataValidation allowBlank="1" showInputMessage="1" showErrorMessage="1" prompt="CPF" sqref="S18:V18"/>
    <dataValidation allowBlank="1" showInputMessage="1" showErrorMessage="1" prompt="RG N°/ÓRGÃO EMISSOR/UF_x000a_" sqref="S19:V19"/>
    <dataValidation allowBlank="1" showInputMessage="1" showErrorMessage="1" prompt="N° PIS" sqref="S20:V20"/>
    <dataValidation allowBlank="1" showInputMessage="1" showErrorMessage="1" prompt="INSCRIÇÃO NO INSS" sqref="S21:V21"/>
    <dataValidation type="list" allowBlank="1" showInputMessage="1" showErrorMessage="1" prompt="NOME DA EMPRESA_x000a__x000a_" sqref="I4:I55">
      <formula1>$W$4:$W$31</formula1>
    </dataValidation>
    <dataValidation type="textLength" operator="lessThan" allowBlank="1" showInputMessage="1" showErrorMessage="1" promptTitle="COMPRIMENTO DO TEXTO" prompt="MÁXIMO DE LETRAS 15" sqref="R4:R55">
      <formula1>16</formula1>
    </dataValidation>
    <dataValidation type="textLength" operator="lessThan" allowBlank="1" showInputMessage="1" showErrorMessage="1" promptTitle="NOME DA EMPRESA" prompt="COMPRIMENTO DO TEXTO MÁXIMO 35_x000a_ LETRAS_x000a_" sqref="B6:B55">
      <formula1>36</formula1>
    </dataValidation>
    <dataValidation type="textLength" operator="lessThan" allowBlank="1" showInputMessage="1" showErrorMessage="1" promptTitle="COMPLEMENTO DO ENDEREÇO" prompt="COMPRIMENTO DO TEXTO MÁXIMO 20 LETRAS" sqref="E5:E55">
      <formula1>21</formula1>
    </dataValidation>
    <dataValidation type="textLength" operator="lessThan" allowBlank="1" showInputMessage="1" showErrorMessage="1" promptTitle="BAIRRO DA EMPRESA" prompt="COMPRIMENTO DO TEXTO MÁXIMO 20 LETRAS" sqref="F5:F55">
      <formula1>21</formula1>
    </dataValidation>
    <dataValidation type="textLength" operator="lessThan" allowBlank="1" showInputMessage="1" showErrorMessage="1" promptTitle="CIDADE DE LOCALIZAÇÃO DA EMPRESA" prompt="COMPRIMENTO DO TEXTO MÁXIMO 20 LETRAS" sqref="G5:G55">
      <formula1>21</formula1>
    </dataValidation>
    <dataValidation type="textLength" operator="equal" allowBlank="1" showInputMessage="1" showErrorMessage="1" promptTitle="DIGTE O Nº DO CEP" prompt="SEM PONTO, VIRGULA OU HÍFEN_x000a__x000a_8 NÚMEROS (MÍNIMO/MÁXIMO)" sqref="J4:J55">
      <formula1>8</formula1>
    </dataValidation>
    <dataValidation type="textLength" operator="lessThan" allowBlank="1" showInputMessage="1" showErrorMessage="1" promptTitle="NÚMERO DO TELEFONE" prompt="Digete o número do DDD depois o nº do telefone (SEM PONTO, VIRGULA OU HÍFEN)_x000a_Exemplo:- 01839024755  ficará assim  (018) 3902-4755_x000a_" sqref="L4:L55">
      <formula1>11</formula1>
    </dataValidation>
    <dataValidation type="textLength" operator="lessThan" allowBlank="1" showInputMessage="1" showErrorMessage="1" promptTitle="NÚMERO DO FAX" prompt="Digete o número do DDD depois o nº do FAX (SEM PONTO, VIRGULA OU HÍFEN)_x000a_Exemplo:- 01839024755  ficará assim  (018) 3902-4755_x000a_" sqref="M4:M55">
      <formula1>11</formula1>
    </dataValidation>
    <dataValidation type="textLength" operator="lessThan" allowBlank="1" showInputMessage="1" showErrorMessage="1" error="MÁXIMO DE LETRAS PERMITIDO NA CÉLULA 25" promptTitle="ENDEREÇO DA EMPRESA" prompt="COMPRIMENTO DO TEXTO MÁXIMO 30 LETRAS_x000a_" sqref="C4">
      <formula1>31</formula1>
    </dataValidation>
    <dataValidation type="textLength" operator="lessThan" allowBlank="1" showInputMessage="1" showErrorMessage="1" errorTitle="MÁXIMO DE LETRAS NO TEXTO" error="MÁXIMO DE LETRAS PERMITIDO NO TEXTO 35" promptTitle="NOME DA EMPRESA" prompt="COMPRIMENTO DO TEXTO MÁXIMO 35_x000a_ LETRAS_x000a_" sqref="B4:B5">
      <formula1>36</formula1>
    </dataValidation>
    <dataValidation type="textLength" operator="lessThan" allowBlank="1" showInputMessage="1" showErrorMessage="1" error="MÁXIMO DE NÚMERO PERMITIDO DO TEXTO 7" promptTitle="Nº DA EMPRESA" prompt="COMPRIMENTO DO TEXTO 7 NÚMEROS" sqref="D4">
      <formula1>8</formula1>
    </dataValidation>
    <dataValidation type="textLength" operator="lessThan" allowBlank="1" showInputMessage="1" showErrorMessage="1" errorTitle="MÁXIMO DE LETRASW" error="MÁXIMO DE LETRAS PERMITIDO PARA O  TEXTO  20" promptTitle="COMPLEMENTO DO ENDEREÇO" prompt="COMPRIMENTO DO TEXTO MÁXIMO 20 LETRAS" sqref="E4">
      <formula1>21</formula1>
    </dataValidation>
    <dataValidation type="textLength" operator="lessThan" allowBlank="1" showInputMessage="1" showErrorMessage="1" errorTitle="MÁXIMO DE LETRAS PERMITDA" error="MÁXIMO DE LETRAS PERMITIDO PARA O TEXTO 20" promptTitle="BAIRRO DA EMPRESA" prompt="COMPRIMENTO DO TEXTO MÁXIMO 20 LETRAS" sqref="F4">
      <formula1>21</formula1>
    </dataValidation>
    <dataValidation type="textLength" operator="lessThan" allowBlank="1" showInputMessage="1" showErrorMessage="1" errorTitle="MÁXIMO DE LETRAS PERMITIDO" error="MÁXIMO DE LETRAS PERMITIDO PARA O TEXTO 20." promptTitle="CIDADE DE LOCALIZAÇÃO DA EMPRESA" prompt="COMPRIMENTO DO TEXTO MÁXIMO 20 LETRAS" sqref="G4">
      <formula1>21</formula1>
    </dataValidation>
    <dataValidation type="textLength" operator="lessThanOrEqual" allowBlank="1" showInputMessage="1" showErrorMessage="1" errorTitle="NÚMERO DO CNPJ" error="HOUVE EXCESSO NO NÚMERO DE DIGITO DESTE DOCUMENTO" promptTitle="DIGTE O Nº DO CNPJ" prompt="Sem ponto, virgula, barra ou hífen_x000a__x000a_comprimento do texto máximo de  14_x000a_" sqref="O4:O55">
      <formula1>14</formula1>
    </dataValidation>
  </dataValidations>
  <pageMargins left="0.78740157499999996" right="0.78740157499999996" top="0.984251969" bottom="0.984251969" header="0.49212598499999999" footer="0.49212598499999999"/>
  <pageSetup paperSize="9" scale="95" orientation="landscape" horizontalDpi="360" verticalDpi="360" r:id="rId1"/>
  <headerFooter alignWithMargins="0"/>
  <legacyDrawing r:id="rId2"/>
</worksheet>
</file>

<file path=xl/worksheets/sheet6.xml><?xml version="1.0" encoding="utf-8"?>
<worksheet xmlns="http://schemas.openxmlformats.org/spreadsheetml/2006/main" xmlns:r="http://schemas.openxmlformats.org/officeDocument/2006/relationships">
  <sheetPr codeName="Plan3"/>
  <dimension ref="A1:AC3015"/>
  <sheetViews>
    <sheetView zoomScaleNormal="100" workbookViewId="0">
      <pane xSplit="9" ySplit="4" topLeftCell="X5" activePane="bottomRight" state="frozen"/>
      <selection pane="topRight" activeCell="J1" sqref="J1"/>
      <selection pane="bottomLeft" activeCell="A5" sqref="A5"/>
      <selection pane="bottomRight" activeCell="AF15" sqref="AF15"/>
    </sheetView>
  </sheetViews>
  <sheetFormatPr defaultRowHeight="12.75"/>
  <cols>
    <col min="1" max="1" width="10.7109375" customWidth="1"/>
    <col min="2" max="2" width="10.28515625" customWidth="1"/>
    <col min="3" max="3" width="11" customWidth="1"/>
    <col min="4" max="4" width="9" customWidth="1"/>
    <col min="5" max="5" width="10.7109375" customWidth="1"/>
    <col min="6" max="6" width="11" customWidth="1"/>
    <col min="7" max="7" width="12.7109375" customWidth="1"/>
    <col min="8" max="8" width="16.28515625" customWidth="1"/>
    <col min="9" max="9" width="12" customWidth="1"/>
    <col min="10" max="10" width="2.85546875" customWidth="1"/>
    <col min="11" max="11" width="13.28515625" hidden="1" customWidth="1"/>
    <col min="12" max="14" width="9.85546875" hidden="1" customWidth="1"/>
    <col min="15" max="15" width="6.42578125" hidden="1" customWidth="1"/>
    <col min="16" max="16" width="9.85546875" hidden="1" customWidth="1"/>
    <col min="17" max="17" width="8" hidden="1" customWidth="1"/>
    <col min="18" max="18" width="10.85546875" hidden="1" customWidth="1"/>
    <col min="19" max="19" width="8.28515625" style="257" hidden="1" customWidth="1"/>
    <col min="20" max="20" width="5.85546875" style="358" hidden="1" customWidth="1"/>
    <col min="21" max="21" width="8" style="358" hidden="1" customWidth="1"/>
    <col min="22" max="22" width="7.28515625" style="358" hidden="1" customWidth="1"/>
    <col min="23" max="23" width="7.5703125" hidden="1" customWidth="1"/>
    <col min="24" max="24" width="13.140625" hidden="1" customWidth="1"/>
    <col min="25" max="25" width="8" hidden="1" customWidth="1"/>
    <col min="26" max="26" width="8.28515625" hidden="1" customWidth="1"/>
    <col min="27" max="27" width="7.7109375" hidden="1" customWidth="1"/>
    <col min="28" max="28" width="12.28515625" hidden="1" customWidth="1"/>
    <col min="29" max="29" width="12.140625" hidden="1" customWidth="1"/>
    <col min="30" max="30" width="11.42578125" customWidth="1"/>
    <col min="31" max="54" width="9.140625" customWidth="1"/>
  </cols>
  <sheetData>
    <row r="1" spans="1:29" ht="1.5" customHeight="1" thickBot="1"/>
    <row r="2" spans="1:29" ht="21" customHeight="1" thickTop="1">
      <c r="A2" s="331"/>
      <c r="B2" s="332"/>
      <c r="C2" s="994" t="s">
        <v>384</v>
      </c>
      <c r="D2" s="994"/>
      <c r="E2" s="994"/>
      <c r="F2" s="994"/>
      <c r="G2" s="994"/>
      <c r="H2" s="994"/>
      <c r="I2" s="995"/>
      <c r="J2" s="1"/>
      <c r="K2" s="288">
        <f>IF(K3=1,L3/3,IF(K3=2,0))</f>
        <v>0</v>
      </c>
      <c r="L2" s="289">
        <f>VLOOKUP(I8,M2:N6,2)</f>
        <v>5</v>
      </c>
      <c r="M2" s="296">
        <v>0</v>
      </c>
      <c r="N2" s="296">
        <v>5</v>
      </c>
      <c r="P2" s="284">
        <f>VLOOKUP(K8,Q2:R22,2)</f>
        <v>364</v>
      </c>
      <c r="Q2" s="756">
        <v>2004</v>
      </c>
      <c r="R2" s="756">
        <v>365</v>
      </c>
      <c r="T2" s="359"/>
      <c r="U2" s="360"/>
      <c r="V2" s="360"/>
    </row>
    <row r="3" spans="1:29" ht="18" customHeight="1">
      <c r="A3" s="1003" t="s">
        <v>201</v>
      </c>
      <c r="B3" s="1004"/>
      <c r="C3" s="1004"/>
      <c r="D3" s="1004"/>
      <c r="E3" s="1004"/>
      <c r="F3" s="1005"/>
      <c r="G3" s="210">
        <v>2</v>
      </c>
      <c r="H3" s="42"/>
      <c r="I3" s="248"/>
      <c r="K3" s="290">
        <v>2</v>
      </c>
      <c r="L3" s="291">
        <f>IF(L2=5,30,IF(L2=14,24,IF(L2=23,18,IF(L2=32,12,IF(L2=0,0)))))</f>
        <v>30</v>
      </c>
      <c r="M3" s="297">
        <v>6</v>
      </c>
      <c r="N3" s="297">
        <v>14</v>
      </c>
      <c r="P3" s="285"/>
      <c r="Q3" s="283">
        <v>2005</v>
      </c>
      <c r="R3" s="283">
        <v>364</v>
      </c>
      <c r="S3" s="357">
        <v>40179</v>
      </c>
      <c r="T3" s="359" t="str">
        <f t="shared" ref="T3:T36" si="0">TEXT(S3,"dddd")</f>
        <v>sexta-feira</v>
      </c>
      <c r="U3" s="361">
        <v>40179</v>
      </c>
      <c r="V3" s="360" t="str">
        <f t="shared" ref="V3:V40" si="1">TEXT(U3,"dddd")</f>
        <v>sexta-feira</v>
      </c>
    </row>
    <row r="4" spans="1:29" ht="17.25" customHeight="1">
      <c r="A4" s="999" t="s">
        <v>275</v>
      </c>
      <c r="B4" s="1000"/>
      <c r="C4" s="1000"/>
      <c r="D4" s="1000"/>
      <c r="E4" s="1000"/>
      <c r="F4" s="1001"/>
      <c r="G4" s="210">
        <v>2</v>
      </c>
      <c r="H4" s="42"/>
      <c r="I4" s="131"/>
      <c r="K4" s="292"/>
      <c r="L4" s="293"/>
      <c r="M4" s="297">
        <v>15</v>
      </c>
      <c r="N4" s="297">
        <v>23</v>
      </c>
      <c r="P4" s="285"/>
      <c r="Q4" s="283">
        <v>2006</v>
      </c>
      <c r="R4" s="283">
        <v>364</v>
      </c>
      <c r="S4" s="357">
        <v>40180</v>
      </c>
      <c r="T4" s="359" t="str">
        <f t="shared" si="0"/>
        <v>sábado</v>
      </c>
      <c r="U4" s="361">
        <v>40180</v>
      </c>
      <c r="V4" s="360" t="str">
        <f t="shared" si="1"/>
        <v>sábado</v>
      </c>
    </row>
    <row r="5" spans="1:29" ht="21.75" customHeight="1">
      <c r="A5" s="260"/>
      <c r="B5" s="259"/>
      <c r="C5" s="259"/>
      <c r="D5" s="259"/>
      <c r="E5" s="259"/>
      <c r="F5" s="259"/>
      <c r="G5" s="948" t="s">
        <v>365</v>
      </c>
      <c r="H5" s="949"/>
      <c r="I5" s="277"/>
      <c r="K5" s="292"/>
      <c r="L5" s="294"/>
      <c r="M5" s="297">
        <v>24</v>
      </c>
      <c r="N5" s="297">
        <v>32</v>
      </c>
      <c r="P5" s="285"/>
      <c r="Q5" s="283">
        <v>2007</v>
      </c>
      <c r="R5" s="283">
        <v>364</v>
      </c>
      <c r="S5" s="357">
        <v>40181</v>
      </c>
      <c r="T5" s="359" t="str">
        <f t="shared" si="0"/>
        <v>domingo</v>
      </c>
      <c r="U5" s="361">
        <v>40181</v>
      </c>
      <c r="V5" s="360" t="str">
        <f t="shared" si="1"/>
        <v>domingo</v>
      </c>
    </row>
    <row r="6" spans="1:29" ht="22.5" customHeight="1">
      <c r="A6" s="999" t="s">
        <v>363</v>
      </c>
      <c r="B6" s="1000"/>
      <c r="C6" s="1000"/>
      <c r="D6" s="1001"/>
      <c r="E6" s="277">
        <v>0</v>
      </c>
      <c r="F6" s="1002" t="s">
        <v>364</v>
      </c>
      <c r="G6" s="1000"/>
      <c r="H6" s="1001"/>
      <c r="I6" s="278"/>
      <c r="K6" s="292"/>
      <c r="L6" s="295"/>
      <c r="M6" s="297">
        <v>33</v>
      </c>
      <c r="N6" s="297">
        <v>0</v>
      </c>
      <c r="P6" s="285"/>
      <c r="Q6" s="756">
        <v>2008</v>
      </c>
      <c r="R6" s="756">
        <v>365</v>
      </c>
      <c r="S6" s="357">
        <v>40182</v>
      </c>
      <c r="T6" s="359" t="str">
        <f t="shared" si="0"/>
        <v>segunda-feira</v>
      </c>
      <c r="U6" s="361">
        <v>40182</v>
      </c>
      <c r="V6" s="360" t="str">
        <f t="shared" si="1"/>
        <v>segunda-feira</v>
      </c>
    </row>
    <row r="7" spans="1:29" ht="22.5" customHeight="1">
      <c r="A7" s="950" t="s">
        <v>4</v>
      </c>
      <c r="B7" s="951"/>
      <c r="C7" s="951"/>
      <c r="D7" s="952"/>
      <c r="E7" s="208">
        <v>41288</v>
      </c>
      <c r="F7" s="209">
        <f>IF(E7=0," ",IF(E7&gt;0,E7+M35))</f>
        <v>41652</v>
      </c>
      <c r="G7" s="1006" t="s">
        <v>10</v>
      </c>
      <c r="H7" s="1007"/>
      <c r="I7" s="1008"/>
      <c r="K7" s="1009" t="s">
        <v>381</v>
      </c>
      <c r="L7" s="1010"/>
      <c r="M7" s="1010"/>
      <c r="N7" s="1011"/>
      <c r="P7" s="285"/>
      <c r="Q7" s="283">
        <v>2009</v>
      </c>
      <c r="R7" s="283">
        <v>364</v>
      </c>
      <c r="S7" s="357">
        <v>40183</v>
      </c>
      <c r="T7" s="359" t="str">
        <f t="shared" si="0"/>
        <v>terça-feira</v>
      </c>
      <c r="U7" s="361">
        <v>40183</v>
      </c>
      <c r="V7" s="360" t="str">
        <f t="shared" si="1"/>
        <v>terça-feira</v>
      </c>
      <c r="Z7">
        <f>DAY(E7-1)</f>
        <v>13</v>
      </c>
      <c r="AC7" s="274"/>
    </row>
    <row r="8" spans="1:29" ht="22.5" customHeight="1">
      <c r="A8" s="996" t="s">
        <v>360</v>
      </c>
      <c r="B8" s="997"/>
      <c r="C8" s="997"/>
      <c r="D8" s="998"/>
      <c r="E8" s="231">
        <f>IF(K3=1,L3-K2,IF(K3=2,L3))</f>
        <v>30</v>
      </c>
      <c r="F8" s="963" t="s">
        <v>358</v>
      </c>
      <c r="G8" s="964"/>
      <c r="H8" s="965"/>
      <c r="I8" s="460">
        <v>0</v>
      </c>
      <c r="K8" s="298">
        <f>YEAR(E7)</f>
        <v>2013</v>
      </c>
      <c r="L8" s="356">
        <f>YEAR(F7)</f>
        <v>2014</v>
      </c>
      <c r="M8" s="301">
        <f ca="1">VLOOKUP(G3,FUNC!3:4500,7)</f>
        <v>81</v>
      </c>
      <c r="N8" s="287" t="s">
        <v>367</v>
      </c>
      <c r="P8" s="285"/>
      <c r="Q8" s="283">
        <v>2010</v>
      </c>
      <c r="R8" s="283">
        <v>364</v>
      </c>
      <c r="S8" s="357">
        <v>40184</v>
      </c>
      <c r="T8" s="359" t="str">
        <f t="shared" si="0"/>
        <v>quarta-feira</v>
      </c>
      <c r="U8" s="361">
        <v>40184</v>
      </c>
      <c r="V8" s="360" t="str">
        <f t="shared" si="1"/>
        <v>quarta-feira</v>
      </c>
    </row>
    <row r="9" spans="1:29" ht="22.5" customHeight="1" thickBot="1">
      <c r="A9" s="953" t="s">
        <v>359</v>
      </c>
      <c r="B9" s="954"/>
      <c r="C9" s="954"/>
      <c r="D9" s="955"/>
      <c r="E9" s="231">
        <f>IF(K3=1,K2,IF(K3=2,K2))</f>
        <v>0</v>
      </c>
      <c r="F9" s="213" t="s">
        <v>7</v>
      </c>
      <c r="G9" s="212" t="str">
        <f>IF(E10=0," ",IF(E9&gt;0,I10+1,IF(E9=0," ")))</f>
        <v xml:space="preserve"> </v>
      </c>
      <c r="H9" s="214" t="s">
        <v>8</v>
      </c>
      <c r="I9" s="252" t="str">
        <f>IF(E10=0," ",IF(E9&gt;0,G9+E9-1,IF(E9=0," ")))</f>
        <v xml:space="preserve"> </v>
      </c>
      <c r="K9" s="299" t="s">
        <v>382</v>
      </c>
      <c r="L9" s="302">
        <f>IF(M9=0,0,IF(M9=1,DAY(I10-DAY(K10))))</f>
        <v>0</v>
      </c>
      <c r="M9" s="303">
        <f>IF(E10&gt;=K10,1,IF(E10&lt;K10,0))</f>
        <v>0</v>
      </c>
      <c r="P9" s="285"/>
      <c r="Q9" s="283">
        <v>2011</v>
      </c>
      <c r="R9" s="283">
        <v>364</v>
      </c>
      <c r="S9" s="357">
        <v>40185</v>
      </c>
      <c r="T9" s="359" t="str">
        <f t="shared" si="0"/>
        <v>quinta-feira</v>
      </c>
      <c r="U9" s="361">
        <v>40185</v>
      </c>
      <c r="V9" s="360" t="str">
        <f t="shared" si="1"/>
        <v>quinta-feira</v>
      </c>
      <c r="AA9">
        <f>IF(G9=0,0,IF(G9&gt;0,E9))</f>
        <v>0</v>
      </c>
      <c r="AB9" s="368">
        <f>IF(G9=" ",0,IF(AA9=0,0,IF(AA9&gt;0,I9-G9+1)))</f>
        <v>0</v>
      </c>
    </row>
    <row r="10" spans="1:29" ht="22.5" customHeight="1">
      <c r="A10" s="950" t="s">
        <v>361</v>
      </c>
      <c r="B10" s="951"/>
      <c r="C10" s="951"/>
      <c r="D10" s="952"/>
      <c r="E10" s="208">
        <v>41731</v>
      </c>
      <c r="F10" s="956" t="s">
        <v>1</v>
      </c>
      <c r="G10" s="951"/>
      <c r="H10" s="952"/>
      <c r="I10" s="249">
        <f>IF(E10=0," ",IF(E10&gt;0,E10+E8-1))</f>
        <v>41760</v>
      </c>
      <c r="K10" s="300">
        <f>F7+365</f>
        <v>42017</v>
      </c>
      <c r="L10" s="302">
        <f>IF(M9=0,0,IF(E9=0,0,IF(E9&gt;0,E9)))</f>
        <v>0</v>
      </c>
      <c r="M10" s="302">
        <f>SUM(L9:L10)</f>
        <v>0</v>
      </c>
      <c r="P10" s="285"/>
      <c r="Q10" s="756">
        <v>2012</v>
      </c>
      <c r="R10" s="756">
        <v>365</v>
      </c>
      <c r="S10" s="357">
        <v>40186</v>
      </c>
      <c r="T10" s="359" t="str">
        <f t="shared" si="0"/>
        <v>sexta-feira</v>
      </c>
      <c r="U10" s="361">
        <v>40186</v>
      </c>
      <c r="V10" s="360" t="str">
        <f t="shared" si="1"/>
        <v>sexta-feira</v>
      </c>
      <c r="W10" s="1029" t="s">
        <v>409</v>
      </c>
      <c r="X10" s="1030"/>
      <c r="AA10" s="457">
        <f>IF(E10="","0",IF(E10&gt;0,E8))</f>
        <v>30</v>
      </c>
      <c r="AB10" s="368">
        <f>IF(E10="",0,IF(AA10=0,0,IF(AA10&gt;0,I10-E10+1)))</f>
        <v>30</v>
      </c>
    </row>
    <row r="11" spans="1:29" ht="14.25" customHeight="1">
      <c r="A11" s="974" t="s">
        <v>3</v>
      </c>
      <c r="B11" s="975"/>
      <c r="C11" s="975"/>
      <c r="D11" s="976"/>
      <c r="E11" s="966">
        <v>41698</v>
      </c>
      <c r="F11" s="957" t="s">
        <v>374</v>
      </c>
      <c r="G11" s="958"/>
      <c r="H11" s="959"/>
      <c r="I11" s="251" t="s">
        <v>9</v>
      </c>
      <c r="K11" s="305">
        <f>K10+E8+E9</f>
        <v>42047</v>
      </c>
      <c r="L11">
        <f>MONTH(K10)</f>
        <v>1</v>
      </c>
      <c r="P11" s="285"/>
      <c r="Q11" s="283">
        <v>2013</v>
      </c>
      <c r="R11" s="283">
        <v>364</v>
      </c>
      <c r="S11" s="357">
        <v>40187</v>
      </c>
      <c r="T11" s="359" t="str">
        <f t="shared" si="0"/>
        <v>sábado</v>
      </c>
      <c r="U11" s="361">
        <v>40187</v>
      </c>
      <c r="V11" s="360" t="str">
        <f t="shared" si="1"/>
        <v>sábado</v>
      </c>
      <c r="W11" s="362">
        <f>E10-30</f>
        <v>41701</v>
      </c>
      <c r="X11" s="363">
        <f>IF(W12="sábado",W11-1,IF(W12="domingo",W11-2,IF(W12&lt;&gt;"domingo",W11)))</f>
        <v>41701</v>
      </c>
    </row>
    <row r="12" spans="1:29" ht="12" customHeight="1" thickBot="1">
      <c r="A12" s="977"/>
      <c r="B12" s="978"/>
      <c r="C12" s="978"/>
      <c r="D12" s="979"/>
      <c r="E12" s="967"/>
      <c r="F12" s="960"/>
      <c r="G12" s="961"/>
      <c r="H12" s="962"/>
      <c r="I12" s="250">
        <f>X11</f>
        <v>41701</v>
      </c>
      <c r="K12" s="274"/>
      <c r="P12" s="285"/>
      <c r="Q12" s="283">
        <v>2014</v>
      </c>
      <c r="R12" s="283">
        <v>364</v>
      </c>
      <c r="S12" s="357">
        <v>40188</v>
      </c>
      <c r="T12" s="359" t="str">
        <f t="shared" si="0"/>
        <v>domingo</v>
      </c>
      <c r="U12" s="361">
        <v>40188</v>
      </c>
      <c r="V12" s="360" t="str">
        <f t="shared" si="1"/>
        <v>domingo</v>
      </c>
      <c r="W12" s="1031" t="str">
        <f>VLOOKUP(W11,U3:V2193,2)</f>
        <v>segunda-feira</v>
      </c>
      <c r="X12" s="1032"/>
    </row>
    <row r="13" spans="1:29" ht="15.75" customHeight="1">
      <c r="A13" s="980" t="s">
        <v>5</v>
      </c>
      <c r="B13" s="981"/>
      <c r="C13" s="981"/>
      <c r="D13" s="982"/>
      <c r="E13" s="966">
        <v>41726</v>
      </c>
      <c r="F13" s="968" t="str">
        <f>RECIBO!$B$62</f>
        <v>OBS:- O empregado deverá dar quitado do recibo de férias, pelo menos 2 (dois) dias antes do período de gozo de férias</v>
      </c>
      <c r="G13" s="969"/>
      <c r="H13" s="970"/>
      <c r="I13" s="251" t="s">
        <v>9</v>
      </c>
      <c r="K13" s="273">
        <f>K11-K10</f>
        <v>30</v>
      </c>
      <c r="P13" s="285"/>
      <c r="Q13" s="283">
        <v>2015</v>
      </c>
      <c r="R13" s="283">
        <v>364</v>
      </c>
      <c r="S13" s="357">
        <v>40189</v>
      </c>
      <c r="T13" s="359" t="str">
        <f t="shared" si="0"/>
        <v>segunda-feira</v>
      </c>
      <c r="U13" s="361">
        <v>40189</v>
      </c>
      <c r="V13" s="360" t="str">
        <f t="shared" si="1"/>
        <v>segunda-feira</v>
      </c>
      <c r="W13" s="1033" t="s">
        <v>410</v>
      </c>
      <c r="X13" s="1034"/>
    </row>
    <row r="14" spans="1:29" ht="23.25" customHeight="1">
      <c r="A14" s="983"/>
      <c r="B14" s="984"/>
      <c r="C14" s="984"/>
      <c r="D14" s="985"/>
      <c r="E14" s="967"/>
      <c r="F14" s="971"/>
      <c r="G14" s="972"/>
      <c r="H14" s="973"/>
      <c r="I14" s="250">
        <f>X14</f>
        <v>41729</v>
      </c>
      <c r="P14" s="286"/>
      <c r="Q14" s="756">
        <v>2016</v>
      </c>
      <c r="R14" s="756">
        <v>365</v>
      </c>
      <c r="S14" s="357">
        <v>40190</v>
      </c>
      <c r="T14" s="359" t="str">
        <f t="shared" si="0"/>
        <v>terça-feira</v>
      </c>
      <c r="U14" s="361">
        <v>40190</v>
      </c>
      <c r="V14" s="360" t="str">
        <f t="shared" si="1"/>
        <v>terça-feira</v>
      </c>
      <c r="W14" s="364">
        <f>E10-2</f>
        <v>41729</v>
      </c>
      <c r="X14" s="365">
        <f>IF(W15="sábado",W14-1,IF(W15="domingo",W14-2,IF(W15&lt;&gt;"domingo",W14)))</f>
        <v>41729</v>
      </c>
    </row>
    <row r="15" spans="1:29" ht="24" customHeight="1" thickBot="1">
      <c r="A15" s="989" t="s">
        <v>2</v>
      </c>
      <c r="B15" s="990"/>
      <c r="C15" s="990"/>
      <c r="D15" s="991"/>
      <c r="E15" s="271">
        <f>IF(I10=" "," ",IF(I10&gt;0,I10+1))</f>
        <v>41761</v>
      </c>
      <c r="F15" s="986" t="s">
        <v>376</v>
      </c>
      <c r="G15" s="987"/>
      <c r="H15" s="987"/>
      <c r="I15" s="988"/>
      <c r="Q15" s="283">
        <v>2017</v>
      </c>
      <c r="R15" s="283">
        <v>364</v>
      </c>
      <c r="S15" s="357">
        <v>40191</v>
      </c>
      <c r="T15" s="359" t="str">
        <f t="shared" si="0"/>
        <v>quarta-feira</v>
      </c>
      <c r="U15" s="361">
        <v>40191</v>
      </c>
      <c r="V15" s="360" t="str">
        <f t="shared" si="1"/>
        <v>quarta-feira</v>
      </c>
      <c r="W15" s="1035" t="str">
        <f>VLOOKUP(W14,$U$3:$V$2193,2)</f>
        <v>segunda-feira</v>
      </c>
      <c r="X15" s="1036"/>
    </row>
    <row r="16" spans="1:29" ht="13.5" thickBot="1">
      <c r="A16" s="953" t="s">
        <v>6</v>
      </c>
      <c r="B16" s="954"/>
      <c r="C16" s="954"/>
      <c r="D16" s="955"/>
      <c r="E16" s="966"/>
      <c r="F16" s="1053" t="s">
        <v>375</v>
      </c>
      <c r="G16" s="1054"/>
      <c r="H16" s="1055"/>
      <c r="I16" s="251" t="s">
        <v>9</v>
      </c>
      <c r="Q16" s="283">
        <v>2018</v>
      </c>
      <c r="R16" s="283">
        <v>364</v>
      </c>
      <c r="S16" s="357">
        <v>40192</v>
      </c>
      <c r="T16" s="359" t="str">
        <f t="shared" si="0"/>
        <v>quinta-feira</v>
      </c>
      <c r="U16" s="361">
        <v>40192</v>
      </c>
      <c r="V16" s="360" t="str">
        <f t="shared" si="1"/>
        <v>quinta-feira</v>
      </c>
      <c r="W16" s="1049" t="s">
        <v>411</v>
      </c>
      <c r="X16" s="1050"/>
    </row>
    <row r="17" spans="1:24" ht="15.75" customHeight="1" thickBot="1">
      <c r="A17" s="1059"/>
      <c r="B17" s="1060"/>
      <c r="C17" s="1060"/>
      <c r="D17" s="1061"/>
      <c r="E17" s="967"/>
      <c r="F17" s="1056"/>
      <c r="G17" s="1057"/>
      <c r="H17" s="1058"/>
      <c r="I17" s="250">
        <f>X17</f>
        <v>41635</v>
      </c>
      <c r="Q17" s="283">
        <v>2019</v>
      </c>
      <c r="R17" s="283">
        <v>364</v>
      </c>
      <c r="S17" s="357">
        <v>40193</v>
      </c>
      <c r="T17" s="359" t="str">
        <f t="shared" si="0"/>
        <v>sexta-feira</v>
      </c>
      <c r="U17" s="361">
        <v>40193</v>
      </c>
      <c r="V17" s="360" t="str">
        <f t="shared" si="1"/>
        <v>sexta-feira</v>
      </c>
      <c r="W17" s="366">
        <f>IF(F7=" "," ",IF(F7&gt;0,F7-15))</f>
        <v>41637</v>
      </c>
      <c r="X17" s="367">
        <f>IF(W18="sábado",W17-1,IF(W18="domingo",W17-2,IF(W18&lt;&gt;"domingo",W17)))</f>
        <v>41635</v>
      </c>
    </row>
    <row r="18" spans="1:24" ht="28.5" customHeight="1" thickBot="1">
      <c r="A18" s="1067" t="s">
        <v>198</v>
      </c>
      <c r="B18" s="1068"/>
      <c r="C18" s="1068"/>
      <c r="D18" s="1069"/>
      <c r="E18" s="208"/>
      <c r="F18" s="1064" t="s">
        <v>362</v>
      </c>
      <c r="G18" s="1065"/>
      <c r="H18" s="1065"/>
      <c r="I18" s="1066"/>
      <c r="K18" s="1012" t="s">
        <v>91</v>
      </c>
      <c r="L18" s="1013"/>
      <c r="M18" s="1014" t="s">
        <v>280</v>
      </c>
      <c r="N18" s="1015"/>
      <c r="O18" s="1062" t="s">
        <v>281</v>
      </c>
      <c r="P18" s="1063"/>
      <c r="Q18" s="756">
        <v>2020</v>
      </c>
      <c r="R18" s="756">
        <v>365</v>
      </c>
      <c r="S18" s="357">
        <v>40194</v>
      </c>
      <c r="T18" s="359" t="str">
        <f t="shared" si="0"/>
        <v>sábado</v>
      </c>
      <c r="U18" s="361">
        <v>40194</v>
      </c>
      <c r="V18" s="360" t="str">
        <f t="shared" si="1"/>
        <v>sábado</v>
      </c>
      <c r="W18" s="1051" t="str">
        <f>VLOOKUP(W17,$U$3:$V$2193,2)</f>
        <v>domingo</v>
      </c>
      <c r="X18" s="1052"/>
    </row>
    <row r="19" spans="1:24" ht="19.5" customHeight="1">
      <c r="A19" s="1016" t="s">
        <v>357</v>
      </c>
      <c r="B19" s="1017"/>
      <c r="C19" s="1017"/>
      <c r="D19" s="1017"/>
      <c r="E19" s="1018"/>
      <c r="F19" s="992">
        <f>RECIBO!AH29</f>
        <v>1000</v>
      </c>
      <c r="G19" s="993"/>
      <c r="H19" s="269"/>
      <c r="I19" s="270"/>
      <c r="J19" s="232"/>
      <c r="K19" s="424" t="b">
        <v>1</v>
      </c>
      <c r="L19" s="236">
        <f>IF(K19=TRUE,$F$19,IF(K19=FALSE,0))</f>
        <v>1000</v>
      </c>
      <c r="M19" s="424" t="b">
        <v>1</v>
      </c>
      <c r="N19" s="280">
        <f>IF(M19=TRUE,$F$19,IF(M19=FALSE,0))</f>
        <v>1000</v>
      </c>
      <c r="O19" s="425" t="b">
        <v>1</v>
      </c>
      <c r="P19" s="282">
        <f>IF(O19=TRUE,$F19,IF(O19=FALSE,0))</f>
        <v>1000</v>
      </c>
      <c r="Q19" s="283">
        <v>2021</v>
      </c>
      <c r="R19" s="283">
        <v>364</v>
      </c>
      <c r="S19" s="357">
        <v>40195</v>
      </c>
      <c r="T19" s="359" t="str">
        <f t="shared" si="0"/>
        <v>domingo</v>
      </c>
      <c r="U19" s="361">
        <v>40195</v>
      </c>
      <c r="V19" s="360" t="str">
        <f t="shared" si="1"/>
        <v>domingo</v>
      </c>
    </row>
    <row r="20" spans="1:24" ht="19.5" customHeight="1">
      <c r="A20" s="1016" t="s">
        <v>277</v>
      </c>
      <c r="B20" s="1017"/>
      <c r="C20" s="1017"/>
      <c r="D20" s="1017"/>
      <c r="E20" s="1018"/>
      <c r="F20" s="992">
        <f>RECIBO!AH30</f>
        <v>333.33</v>
      </c>
      <c r="G20" s="993"/>
      <c r="H20" s="269"/>
      <c r="I20" s="270"/>
      <c r="J20" s="232"/>
      <c r="K20" s="424" t="b">
        <v>1</v>
      </c>
      <c r="L20" s="236">
        <f t="shared" ref="L20:L27" si="2">IF(K20=TRUE,F20,IF(K20=FALSE,0))</f>
        <v>333.33</v>
      </c>
      <c r="M20" s="424" t="b">
        <v>1</v>
      </c>
      <c r="N20" s="280">
        <f t="shared" ref="N20:N27" si="3">IF(M20=TRUE,$F20,IF(M20=FALSE,0))</f>
        <v>333.33</v>
      </c>
      <c r="O20" s="424" t="b">
        <v>1</v>
      </c>
      <c r="P20" s="282">
        <f t="shared" ref="P20:P27" si="4">IF(O20=TRUE,$F20,IF(O20=FALSE,0))</f>
        <v>333.33</v>
      </c>
      <c r="Q20" s="283">
        <v>2022</v>
      </c>
      <c r="R20" s="283">
        <v>364</v>
      </c>
      <c r="S20" s="357">
        <v>40196</v>
      </c>
      <c r="T20" s="359" t="str">
        <f t="shared" si="0"/>
        <v>segunda-feira</v>
      </c>
      <c r="U20" s="361">
        <v>40196</v>
      </c>
      <c r="V20" s="360" t="str">
        <f t="shared" si="1"/>
        <v>segunda-feira</v>
      </c>
    </row>
    <row r="21" spans="1:24" ht="19.5" customHeight="1">
      <c r="A21" s="1016" t="s">
        <v>379</v>
      </c>
      <c r="B21" s="1017"/>
      <c r="C21" s="1017"/>
      <c r="D21" s="1017"/>
      <c r="E21" s="1018"/>
      <c r="F21" s="992">
        <f>RECIBO!AH31</f>
        <v>0</v>
      </c>
      <c r="G21" s="993"/>
      <c r="H21" s="269"/>
      <c r="I21" s="270"/>
      <c r="J21" s="232"/>
      <c r="K21" s="235" t="b">
        <v>0</v>
      </c>
      <c r="L21" s="236">
        <f t="shared" si="2"/>
        <v>0</v>
      </c>
      <c r="M21" s="279" t="b">
        <v>0</v>
      </c>
      <c r="N21" s="280">
        <f t="shared" si="3"/>
        <v>0</v>
      </c>
      <c r="O21" s="281" t="b">
        <v>0</v>
      </c>
      <c r="P21" s="282">
        <f t="shared" si="4"/>
        <v>0</v>
      </c>
      <c r="Q21" s="283">
        <v>2023</v>
      </c>
      <c r="R21" s="283">
        <v>364</v>
      </c>
      <c r="S21" s="357">
        <v>40197</v>
      </c>
      <c r="T21" s="359" t="str">
        <f t="shared" si="0"/>
        <v>terça-feira</v>
      </c>
      <c r="U21" s="361">
        <v>40197</v>
      </c>
      <c r="V21" s="360" t="str">
        <f t="shared" si="1"/>
        <v>terça-feira</v>
      </c>
    </row>
    <row r="22" spans="1:24" ht="19.5" customHeight="1">
      <c r="A22" s="1016" t="s">
        <v>278</v>
      </c>
      <c r="B22" s="1017"/>
      <c r="C22" s="1017"/>
      <c r="D22" s="1017"/>
      <c r="E22" s="1018"/>
      <c r="F22" s="992">
        <f>RECIBO!AH32</f>
        <v>0</v>
      </c>
      <c r="G22" s="993"/>
      <c r="H22" s="269"/>
      <c r="I22" s="270"/>
      <c r="J22" s="232"/>
      <c r="K22" s="235" t="b">
        <v>0</v>
      </c>
      <c r="L22" s="236">
        <f t="shared" si="2"/>
        <v>0</v>
      </c>
      <c r="M22" s="279" t="b">
        <v>0</v>
      </c>
      <c r="N22" s="280">
        <f t="shared" si="3"/>
        <v>0</v>
      </c>
      <c r="O22" s="281" t="b">
        <v>0</v>
      </c>
      <c r="P22" s="282">
        <f t="shared" si="4"/>
        <v>0</v>
      </c>
      <c r="Q22" s="756">
        <v>2024</v>
      </c>
      <c r="R22" s="756">
        <v>365</v>
      </c>
      <c r="S22" s="357">
        <v>40198</v>
      </c>
      <c r="T22" s="359" t="str">
        <f t="shared" si="0"/>
        <v>quarta-feira</v>
      </c>
      <c r="U22" s="361">
        <v>40198</v>
      </c>
      <c r="V22" s="360" t="str">
        <f t="shared" si="1"/>
        <v>quarta-feira</v>
      </c>
    </row>
    <row r="23" spans="1:24" ht="19.5" customHeight="1">
      <c r="A23" s="1041" t="s">
        <v>109</v>
      </c>
      <c r="B23" s="1042"/>
      <c r="C23" s="1042"/>
      <c r="D23" s="1042"/>
      <c r="E23" s="1043"/>
      <c r="F23" s="1025">
        <v>0</v>
      </c>
      <c r="G23" s="1026"/>
      <c r="H23" s="269"/>
      <c r="I23" s="270"/>
      <c r="J23" s="234"/>
      <c r="K23" s="423" t="b">
        <v>0</v>
      </c>
      <c r="L23" s="236">
        <f t="shared" si="2"/>
        <v>0</v>
      </c>
      <c r="M23" s="424" t="b">
        <v>0</v>
      </c>
      <c r="N23" s="280">
        <f t="shared" si="3"/>
        <v>0</v>
      </c>
      <c r="O23" s="420" t="b">
        <v>1</v>
      </c>
      <c r="P23" s="282">
        <f t="shared" si="4"/>
        <v>0</v>
      </c>
      <c r="Q23" s="234"/>
      <c r="S23" s="357">
        <v>40199</v>
      </c>
      <c r="T23" s="359" t="str">
        <f t="shared" si="0"/>
        <v>quinta-feira</v>
      </c>
      <c r="U23" s="361">
        <v>40199</v>
      </c>
      <c r="V23" s="360" t="str">
        <f t="shared" si="1"/>
        <v>quinta-feira</v>
      </c>
    </row>
    <row r="24" spans="1:24" ht="19.5" customHeight="1">
      <c r="A24" s="1016" t="s">
        <v>378</v>
      </c>
      <c r="B24" s="1017"/>
      <c r="C24" s="1017"/>
      <c r="D24" s="1017"/>
      <c r="E24" s="1018"/>
      <c r="F24" s="1025"/>
      <c r="G24" s="1026"/>
      <c r="H24" s="269"/>
      <c r="I24" s="270"/>
      <c r="K24" s="235" t="b">
        <v>0</v>
      </c>
      <c r="L24" s="236">
        <f t="shared" si="2"/>
        <v>0</v>
      </c>
      <c r="M24" s="279" t="b">
        <v>0</v>
      </c>
      <c r="N24" s="280">
        <f t="shared" si="3"/>
        <v>0</v>
      </c>
      <c r="O24" s="281" t="b">
        <v>0</v>
      </c>
      <c r="P24" s="282">
        <f t="shared" si="4"/>
        <v>0</v>
      </c>
      <c r="S24" s="357">
        <v>40200</v>
      </c>
      <c r="T24" s="359" t="str">
        <f t="shared" si="0"/>
        <v>sexta-feira</v>
      </c>
      <c r="U24" s="361">
        <v>40200</v>
      </c>
      <c r="V24" s="360" t="str">
        <f t="shared" si="1"/>
        <v>sexta-feira</v>
      </c>
    </row>
    <row r="25" spans="1:24" ht="19.5" customHeight="1">
      <c r="A25" s="1016" t="s">
        <v>447</v>
      </c>
      <c r="B25" s="1017"/>
      <c r="C25" s="1017"/>
      <c r="D25" s="1017"/>
      <c r="E25" s="1018"/>
      <c r="F25" s="992">
        <f>F24/3</f>
        <v>0</v>
      </c>
      <c r="G25" s="993"/>
      <c r="H25" s="269"/>
      <c r="I25" s="270"/>
      <c r="K25" s="235" t="b">
        <v>0</v>
      </c>
      <c r="L25" s="236">
        <f t="shared" si="2"/>
        <v>0</v>
      </c>
      <c r="M25" s="279" t="b">
        <v>0</v>
      </c>
      <c r="N25" s="280">
        <f t="shared" si="3"/>
        <v>0</v>
      </c>
      <c r="O25" s="281" t="b">
        <v>0</v>
      </c>
      <c r="P25" s="282">
        <f t="shared" si="4"/>
        <v>0</v>
      </c>
      <c r="S25" s="357">
        <v>40201</v>
      </c>
      <c r="T25" s="359" t="str">
        <f t="shared" si="0"/>
        <v>sábado</v>
      </c>
      <c r="U25" s="361">
        <v>40201</v>
      </c>
      <c r="V25" s="360" t="str">
        <f t="shared" si="1"/>
        <v>sábado</v>
      </c>
    </row>
    <row r="26" spans="1:24" ht="18.75" customHeight="1">
      <c r="A26" s="1019"/>
      <c r="B26" s="1020"/>
      <c r="C26" s="1020"/>
      <c r="D26" s="1020"/>
      <c r="E26" s="1021"/>
      <c r="F26" s="1025">
        <v>0</v>
      </c>
      <c r="G26" s="1026"/>
      <c r="H26" s="275"/>
      <c r="I26" s="276"/>
      <c r="K26" s="235" t="b">
        <v>1</v>
      </c>
      <c r="L26" s="236">
        <f t="shared" si="2"/>
        <v>0</v>
      </c>
      <c r="M26" s="279" t="b">
        <v>1</v>
      </c>
      <c r="N26" s="280">
        <f t="shared" si="3"/>
        <v>0</v>
      </c>
      <c r="O26" s="281" t="b">
        <v>1</v>
      </c>
      <c r="P26" s="282">
        <f t="shared" si="4"/>
        <v>0</v>
      </c>
      <c r="S26" s="357">
        <v>40202</v>
      </c>
      <c r="T26" s="359" t="str">
        <f t="shared" si="0"/>
        <v>domingo</v>
      </c>
      <c r="U26" s="361">
        <v>40202</v>
      </c>
      <c r="V26" s="360" t="str">
        <f t="shared" si="1"/>
        <v>domingo</v>
      </c>
    </row>
    <row r="27" spans="1:24" ht="1.5" hidden="1" customHeight="1">
      <c r="A27" s="1022"/>
      <c r="B27" s="1023"/>
      <c r="C27" s="1023"/>
      <c r="D27" s="1023"/>
      <c r="E27" s="1024"/>
      <c r="F27" s="1027">
        <v>0</v>
      </c>
      <c r="G27" s="1028"/>
      <c r="H27" s="275"/>
      <c r="I27" s="276"/>
      <c r="K27" s="235" t="b">
        <v>0</v>
      </c>
      <c r="L27" s="236">
        <f t="shared" si="2"/>
        <v>0</v>
      </c>
      <c r="M27" s="279" t="b">
        <v>0</v>
      </c>
      <c r="N27" s="280">
        <f t="shared" si="3"/>
        <v>0</v>
      </c>
      <c r="O27" s="281" t="b">
        <v>1</v>
      </c>
      <c r="P27" s="282">
        <f t="shared" si="4"/>
        <v>0</v>
      </c>
      <c r="S27" s="357">
        <v>40203</v>
      </c>
      <c r="T27" s="359" t="str">
        <f t="shared" si="0"/>
        <v>segunda-feira</v>
      </c>
      <c r="U27" s="361">
        <v>40203</v>
      </c>
      <c r="V27" s="360" t="str">
        <f t="shared" si="1"/>
        <v>segunda-feira</v>
      </c>
    </row>
    <row r="28" spans="1:24" ht="18">
      <c r="A28" s="1046"/>
      <c r="B28" s="1047"/>
      <c r="C28" s="1047"/>
      <c r="D28" s="1047"/>
      <c r="E28" s="1047"/>
      <c r="F28" s="1047"/>
      <c r="G28" s="1047"/>
      <c r="H28" s="1047"/>
      <c r="I28" s="1048"/>
      <c r="K28" s="235" t="s">
        <v>279</v>
      </c>
      <c r="L28" s="236">
        <f>SUM(L19:L27)</f>
        <v>1333.33</v>
      </c>
      <c r="M28" s="279"/>
      <c r="N28" s="280">
        <f>SUM(N19:N27)</f>
        <v>1333.33</v>
      </c>
      <c r="O28" s="281"/>
      <c r="P28" s="282">
        <f>SUM(P19:P27)</f>
        <v>1333.33</v>
      </c>
      <c r="S28" s="357">
        <v>40204</v>
      </c>
      <c r="T28" s="359" t="str">
        <f t="shared" si="0"/>
        <v>terça-feira</v>
      </c>
      <c r="U28" s="361">
        <v>40204</v>
      </c>
      <c r="V28" s="360" t="str">
        <f t="shared" si="1"/>
        <v>terça-feira</v>
      </c>
    </row>
    <row r="29" spans="1:24">
      <c r="A29" s="1019"/>
      <c r="B29" s="1020"/>
      <c r="C29" s="1020"/>
      <c r="D29" s="1020"/>
      <c r="E29" s="1021"/>
      <c r="F29" s="1025">
        <v>0</v>
      </c>
      <c r="G29" s="1026"/>
      <c r="H29" s="1037" t="s">
        <v>380</v>
      </c>
      <c r="I29" s="1038"/>
      <c r="K29" s="438" t="s">
        <v>439</v>
      </c>
      <c r="L29" s="437">
        <f>IF(L28&gt;=TB!E13,TB!E13,IF(L28&lt;TB!E13,DADOS!L28))</f>
        <v>1333.33</v>
      </c>
      <c r="N29" s="280">
        <f>(RECIBO!H44*TB!G29)+(RECIBO!Q43)</f>
        <v>479.42</v>
      </c>
      <c r="O29" t="s">
        <v>440</v>
      </c>
      <c r="S29" s="357">
        <v>40205</v>
      </c>
      <c r="T29" s="359" t="str">
        <f t="shared" si="0"/>
        <v>quarta-feira</v>
      </c>
      <c r="U29" s="361">
        <v>40205</v>
      </c>
      <c r="V29" s="360" t="str">
        <f t="shared" si="1"/>
        <v>quarta-feira</v>
      </c>
    </row>
    <row r="30" spans="1:24">
      <c r="A30" s="1019"/>
      <c r="B30" s="1020"/>
      <c r="C30" s="1020"/>
      <c r="D30" s="1020"/>
      <c r="E30" s="1021"/>
      <c r="F30" s="1025">
        <v>0</v>
      </c>
      <c r="G30" s="1026"/>
      <c r="H30" s="1037"/>
      <c r="I30" s="1038"/>
      <c r="N30" s="439">
        <f>IF(TB!K19=1,TB!G18,IF(TB!K19=2,0))</f>
        <v>0</v>
      </c>
      <c r="O30" t="s">
        <v>441</v>
      </c>
      <c r="S30" s="357">
        <v>40206</v>
      </c>
      <c r="T30" s="359" t="str">
        <f t="shared" si="0"/>
        <v>quinta-feira</v>
      </c>
      <c r="U30" s="361">
        <v>40206</v>
      </c>
      <c r="V30" s="360" t="str">
        <f t="shared" si="1"/>
        <v>quinta-feira</v>
      </c>
    </row>
    <row r="31" spans="1:24">
      <c r="A31" s="1019"/>
      <c r="B31" s="1020"/>
      <c r="C31" s="1020"/>
      <c r="D31" s="1020"/>
      <c r="E31" s="1021"/>
      <c r="F31" s="1025">
        <v>0</v>
      </c>
      <c r="G31" s="1026"/>
      <c r="H31" s="1037"/>
      <c r="I31" s="1038"/>
      <c r="N31" s="440">
        <f>IF(N28-N29-N30&lt;0,0,IF(N28-N29-N30&gt;0,N28-N29-N30))</f>
        <v>853.91</v>
      </c>
      <c r="S31" s="357">
        <v>40207</v>
      </c>
      <c r="T31" s="359" t="str">
        <f t="shared" si="0"/>
        <v>sexta-feira</v>
      </c>
      <c r="U31" s="361">
        <v>40207</v>
      </c>
      <c r="V31" s="360" t="str">
        <f t="shared" si="1"/>
        <v>sexta-feira</v>
      </c>
    </row>
    <row r="32" spans="1:24" ht="13.5" thickBot="1">
      <c r="A32" s="945" t="str">
        <f>IF(TB!K19=1,"Pensão Alimentícia",IF(TB!K19=2, "  "))</f>
        <v>Pensão Alimentícia</v>
      </c>
      <c r="B32" s="946"/>
      <c r="C32" s="946" t="str">
        <f>IF(TB!K19=1,"Férias",IF(TB!K19=2, "  "))</f>
        <v>Férias</v>
      </c>
      <c r="D32" s="946"/>
      <c r="E32" s="947"/>
      <c r="F32" s="1044">
        <f>IF(TB!K19=1,TB!G18,IF(TB!K19=2,0))</f>
        <v>0</v>
      </c>
      <c r="G32" s="1045"/>
      <c r="H32" s="1039"/>
      <c r="I32" s="1040"/>
      <c r="N32" s="427"/>
      <c r="S32" s="357">
        <v>40208</v>
      </c>
      <c r="T32" s="359" t="str">
        <f t="shared" si="0"/>
        <v>sábado</v>
      </c>
      <c r="U32" s="361">
        <v>40208</v>
      </c>
      <c r="V32" s="360" t="str">
        <f t="shared" si="1"/>
        <v>sábado</v>
      </c>
    </row>
    <row r="33" spans="13:22" ht="13.5" thickTop="1">
      <c r="N33" s="428"/>
      <c r="S33" s="357">
        <v>40209</v>
      </c>
      <c r="T33" s="359" t="str">
        <f t="shared" si="0"/>
        <v>domingo</v>
      </c>
      <c r="U33" s="361">
        <v>40209</v>
      </c>
      <c r="V33" s="360" t="str">
        <f t="shared" si="1"/>
        <v>domingo</v>
      </c>
    </row>
    <row r="34" spans="13:22">
      <c r="S34" s="357">
        <v>40544</v>
      </c>
      <c r="T34" s="359" t="str">
        <f t="shared" si="0"/>
        <v>sábado</v>
      </c>
      <c r="U34" s="361">
        <v>40210</v>
      </c>
      <c r="V34" s="360" t="str">
        <f t="shared" si="1"/>
        <v>segunda-feira</v>
      </c>
    </row>
    <row r="35" spans="13:22">
      <c r="M35" s="762">
        <f>VLOOKUP(E7,N35:P59,3)</f>
        <v>364</v>
      </c>
      <c r="N35" s="757">
        <v>37987</v>
      </c>
      <c r="O35" s="757">
        <v>38018</v>
      </c>
      <c r="P35" s="758">
        <v>365</v>
      </c>
      <c r="S35" s="357">
        <v>40545</v>
      </c>
      <c r="T35" s="359" t="str">
        <f t="shared" si="0"/>
        <v>domingo</v>
      </c>
      <c r="U35" s="361">
        <v>40211</v>
      </c>
      <c r="V35" s="360" t="str">
        <f t="shared" si="1"/>
        <v>terça-feira</v>
      </c>
    </row>
    <row r="36" spans="13:22">
      <c r="N36" s="759">
        <v>38047</v>
      </c>
      <c r="O36" s="759">
        <v>38322</v>
      </c>
      <c r="P36" s="760">
        <v>364</v>
      </c>
      <c r="S36" s="357">
        <v>40546</v>
      </c>
      <c r="T36" s="359" t="str">
        <f t="shared" si="0"/>
        <v>segunda-feira</v>
      </c>
      <c r="U36" s="361">
        <v>40212</v>
      </c>
      <c r="V36" s="360" t="str">
        <f t="shared" si="1"/>
        <v>quarta-feira</v>
      </c>
    </row>
    <row r="37" spans="13:22">
      <c r="N37" s="759">
        <v>38353</v>
      </c>
      <c r="O37" s="759">
        <v>38687</v>
      </c>
      <c r="P37" s="760">
        <v>364</v>
      </c>
      <c r="S37" s="357">
        <v>40547</v>
      </c>
      <c r="T37" s="359" t="str">
        <f t="shared" ref="T37:T100" si="5">TEXT(S37,"dddd")</f>
        <v>terça-feira</v>
      </c>
      <c r="U37" s="361">
        <v>40213</v>
      </c>
      <c r="V37" s="360" t="str">
        <f t="shared" si="1"/>
        <v>quinta-feira</v>
      </c>
    </row>
    <row r="38" spans="13:22">
      <c r="N38" s="759">
        <v>38718</v>
      </c>
      <c r="O38" s="759">
        <v>39052</v>
      </c>
      <c r="P38" s="760">
        <v>364</v>
      </c>
      <c r="S38" s="357">
        <v>40548</v>
      </c>
      <c r="T38" s="359" t="str">
        <f t="shared" si="5"/>
        <v>quarta-feira</v>
      </c>
      <c r="U38" s="361">
        <v>40214</v>
      </c>
      <c r="V38" s="360" t="str">
        <f t="shared" si="1"/>
        <v>sexta-feira</v>
      </c>
    </row>
    <row r="39" spans="13:22">
      <c r="N39" s="759">
        <v>39083</v>
      </c>
      <c r="O39" s="759">
        <v>39114</v>
      </c>
      <c r="P39" s="760">
        <v>364</v>
      </c>
      <c r="S39" s="357">
        <v>40549</v>
      </c>
      <c r="T39" s="359" t="str">
        <f t="shared" si="5"/>
        <v>quinta-feira</v>
      </c>
      <c r="U39" s="361">
        <v>40215</v>
      </c>
      <c r="V39" s="360" t="str">
        <f t="shared" si="1"/>
        <v>sábado</v>
      </c>
    </row>
    <row r="40" spans="13:22">
      <c r="N40" s="757">
        <v>39142</v>
      </c>
      <c r="O40" s="757">
        <v>39417</v>
      </c>
      <c r="P40" s="758">
        <v>365</v>
      </c>
      <c r="S40" s="357">
        <v>40550</v>
      </c>
      <c r="T40" s="359" t="str">
        <f t="shared" si="5"/>
        <v>sexta-feira</v>
      </c>
      <c r="U40" s="361">
        <v>40216</v>
      </c>
      <c r="V40" s="360" t="str">
        <f t="shared" si="1"/>
        <v>domingo</v>
      </c>
    </row>
    <row r="41" spans="13:22">
      <c r="N41" s="757">
        <v>39448</v>
      </c>
      <c r="O41" s="757">
        <v>39479</v>
      </c>
      <c r="P41" s="758">
        <v>365</v>
      </c>
      <c r="S41" s="357">
        <v>40551</v>
      </c>
      <c r="T41" s="359" t="str">
        <f t="shared" si="5"/>
        <v>sábado</v>
      </c>
      <c r="U41" s="361">
        <v>40217</v>
      </c>
      <c r="V41" s="360" t="str">
        <f t="shared" ref="V41:V104" si="6">TEXT(U41,"dddd")</f>
        <v>segunda-feira</v>
      </c>
    </row>
    <row r="42" spans="13:22">
      <c r="N42" s="759">
        <v>39508</v>
      </c>
      <c r="O42" s="759">
        <v>39783</v>
      </c>
      <c r="P42" s="760">
        <v>364</v>
      </c>
      <c r="S42" s="357">
        <v>40552</v>
      </c>
      <c r="T42" s="359" t="str">
        <f t="shared" si="5"/>
        <v>domingo</v>
      </c>
      <c r="U42" s="361">
        <v>40218</v>
      </c>
      <c r="V42" s="360" t="str">
        <f t="shared" si="6"/>
        <v>terça-feira</v>
      </c>
    </row>
    <row r="43" spans="13:22">
      <c r="N43" s="759">
        <v>39814</v>
      </c>
      <c r="O43" s="759">
        <v>40148</v>
      </c>
      <c r="P43" s="760">
        <v>364</v>
      </c>
      <c r="S43" s="357">
        <v>40553</v>
      </c>
      <c r="T43" s="359" t="str">
        <f t="shared" si="5"/>
        <v>segunda-feira</v>
      </c>
      <c r="U43" s="361">
        <v>40219</v>
      </c>
      <c r="V43" s="360" t="str">
        <f t="shared" si="6"/>
        <v>quarta-feira</v>
      </c>
    </row>
    <row r="44" spans="13:22">
      <c r="N44" s="759">
        <v>40179</v>
      </c>
      <c r="O44" s="759">
        <v>40513</v>
      </c>
      <c r="P44" s="760">
        <v>364</v>
      </c>
      <c r="S44" s="357">
        <v>40554</v>
      </c>
      <c r="T44" s="359" t="str">
        <f t="shared" si="5"/>
        <v>terça-feira</v>
      </c>
      <c r="U44" s="361">
        <v>40220</v>
      </c>
      <c r="V44" s="360" t="str">
        <f t="shared" si="6"/>
        <v>quinta-feira</v>
      </c>
    </row>
    <row r="45" spans="13:22">
      <c r="N45" s="759">
        <v>40544</v>
      </c>
      <c r="O45" s="761">
        <v>40575</v>
      </c>
      <c r="P45" s="760">
        <v>364</v>
      </c>
      <c r="S45" s="357">
        <v>40555</v>
      </c>
      <c r="T45" s="359" t="str">
        <f t="shared" si="5"/>
        <v>quarta-feira</v>
      </c>
      <c r="U45" s="361">
        <v>40221</v>
      </c>
      <c r="V45" s="360" t="str">
        <f t="shared" si="6"/>
        <v>sexta-feira</v>
      </c>
    </row>
    <row r="46" spans="13:22">
      <c r="N46" s="757">
        <v>40603</v>
      </c>
      <c r="O46" s="757">
        <v>40878</v>
      </c>
      <c r="P46" s="758">
        <v>365</v>
      </c>
      <c r="S46" s="357">
        <v>40556</v>
      </c>
      <c r="T46" s="359" t="str">
        <f t="shared" si="5"/>
        <v>quinta-feira</v>
      </c>
      <c r="U46" s="361">
        <v>40222</v>
      </c>
      <c r="V46" s="360" t="str">
        <f t="shared" si="6"/>
        <v>sábado</v>
      </c>
    </row>
    <row r="47" spans="13:22">
      <c r="N47" s="757">
        <v>40909</v>
      </c>
      <c r="O47" s="757">
        <v>40940</v>
      </c>
      <c r="P47" s="758">
        <v>365</v>
      </c>
      <c r="S47" s="357">
        <v>40557</v>
      </c>
      <c r="T47" s="359" t="str">
        <f t="shared" si="5"/>
        <v>sexta-feira</v>
      </c>
      <c r="U47" s="361">
        <v>40223</v>
      </c>
      <c r="V47" s="360" t="str">
        <f t="shared" si="6"/>
        <v>domingo</v>
      </c>
    </row>
    <row r="48" spans="13:22">
      <c r="N48" s="759">
        <v>40969</v>
      </c>
      <c r="O48" s="759">
        <v>41244</v>
      </c>
      <c r="P48" s="760">
        <v>364</v>
      </c>
      <c r="S48" s="357">
        <v>40558</v>
      </c>
      <c r="T48" s="359" t="str">
        <f t="shared" si="5"/>
        <v>sábado</v>
      </c>
      <c r="U48" s="361">
        <v>40224</v>
      </c>
      <c r="V48" s="360" t="str">
        <f t="shared" si="6"/>
        <v>segunda-feira</v>
      </c>
    </row>
    <row r="49" spans="14:22">
      <c r="N49" s="759">
        <v>41275</v>
      </c>
      <c r="O49" s="759">
        <v>41609</v>
      </c>
      <c r="P49" s="760">
        <v>364</v>
      </c>
      <c r="S49" s="357">
        <v>40559</v>
      </c>
      <c r="T49" s="359" t="str">
        <f t="shared" si="5"/>
        <v>domingo</v>
      </c>
      <c r="U49" s="361">
        <v>40225</v>
      </c>
      <c r="V49" s="360" t="str">
        <f t="shared" si="6"/>
        <v>terça-feira</v>
      </c>
    </row>
    <row r="50" spans="14:22">
      <c r="N50" s="759">
        <v>41640</v>
      </c>
      <c r="O50" s="759">
        <v>41974</v>
      </c>
      <c r="P50" s="760">
        <v>364</v>
      </c>
      <c r="S50" s="357">
        <v>40560</v>
      </c>
      <c r="T50" s="359" t="str">
        <f t="shared" si="5"/>
        <v>segunda-feira</v>
      </c>
      <c r="U50" s="361">
        <v>40226</v>
      </c>
      <c r="V50" s="360" t="str">
        <f t="shared" si="6"/>
        <v>quarta-feira</v>
      </c>
    </row>
    <row r="51" spans="14:22">
      <c r="N51" s="759">
        <v>42005</v>
      </c>
      <c r="O51" s="761">
        <v>42036</v>
      </c>
      <c r="P51" s="760">
        <v>364</v>
      </c>
      <c r="S51" s="357">
        <v>40561</v>
      </c>
      <c r="T51" s="359" t="str">
        <f t="shared" si="5"/>
        <v>terça-feira</v>
      </c>
      <c r="U51" s="361">
        <v>40227</v>
      </c>
      <c r="V51" s="360" t="str">
        <f t="shared" si="6"/>
        <v>quinta-feira</v>
      </c>
    </row>
    <row r="52" spans="14:22">
      <c r="N52" s="757">
        <v>42064</v>
      </c>
      <c r="O52" s="757">
        <v>42339</v>
      </c>
      <c r="P52" s="758">
        <v>365</v>
      </c>
      <c r="S52" s="357">
        <v>40562</v>
      </c>
      <c r="T52" s="359" t="str">
        <f t="shared" si="5"/>
        <v>quarta-feira</v>
      </c>
      <c r="U52" s="361">
        <v>40228</v>
      </c>
      <c r="V52" s="360" t="str">
        <f t="shared" si="6"/>
        <v>sexta-feira</v>
      </c>
    </row>
    <row r="53" spans="14:22">
      <c r="N53" s="757">
        <v>42370</v>
      </c>
      <c r="O53" s="757">
        <v>42401</v>
      </c>
      <c r="P53" s="758">
        <v>365</v>
      </c>
      <c r="S53" s="357">
        <v>40563</v>
      </c>
      <c r="T53" s="359" t="str">
        <f t="shared" si="5"/>
        <v>quinta-feira</v>
      </c>
      <c r="U53" s="361">
        <v>40229</v>
      </c>
      <c r="V53" s="360" t="str">
        <f t="shared" si="6"/>
        <v>sábado</v>
      </c>
    </row>
    <row r="54" spans="14:22">
      <c r="N54" s="759">
        <v>42430</v>
      </c>
      <c r="O54" s="759">
        <v>42705</v>
      </c>
      <c r="P54" s="760">
        <v>364</v>
      </c>
      <c r="S54" s="357">
        <v>40564</v>
      </c>
      <c r="T54" s="359" t="str">
        <f t="shared" si="5"/>
        <v>sexta-feira</v>
      </c>
      <c r="U54" s="361">
        <v>40230</v>
      </c>
      <c r="V54" s="360" t="str">
        <f t="shared" si="6"/>
        <v>domingo</v>
      </c>
    </row>
    <row r="55" spans="14:22">
      <c r="N55" s="759">
        <v>42736</v>
      </c>
      <c r="O55" s="759">
        <v>43070</v>
      </c>
      <c r="P55" s="760">
        <v>364</v>
      </c>
      <c r="S55" s="357">
        <v>40565</v>
      </c>
      <c r="T55" s="359" t="str">
        <f t="shared" si="5"/>
        <v>sábado</v>
      </c>
      <c r="U55" s="361">
        <v>40231</v>
      </c>
      <c r="V55" s="360" t="str">
        <f t="shared" si="6"/>
        <v>segunda-feira</v>
      </c>
    </row>
    <row r="56" spans="14:22">
      <c r="N56" s="759">
        <v>43101</v>
      </c>
      <c r="O56" s="759">
        <v>43435</v>
      </c>
      <c r="P56" s="760">
        <v>364</v>
      </c>
      <c r="S56" s="357">
        <v>40566</v>
      </c>
      <c r="T56" s="359" t="str">
        <f t="shared" si="5"/>
        <v>domingo</v>
      </c>
      <c r="U56" s="361">
        <v>40232</v>
      </c>
      <c r="V56" s="360" t="str">
        <f t="shared" si="6"/>
        <v>terça-feira</v>
      </c>
    </row>
    <row r="57" spans="14:22">
      <c r="N57" s="759">
        <v>43466</v>
      </c>
      <c r="O57" s="761">
        <v>43497</v>
      </c>
      <c r="P57" s="760">
        <v>364</v>
      </c>
      <c r="S57" s="357">
        <v>40567</v>
      </c>
      <c r="T57" s="359" t="str">
        <f t="shared" si="5"/>
        <v>segunda-feira</v>
      </c>
      <c r="U57" s="361">
        <v>40233</v>
      </c>
      <c r="V57" s="360" t="str">
        <f t="shared" si="6"/>
        <v>quarta-feira</v>
      </c>
    </row>
    <row r="58" spans="14:22">
      <c r="N58" s="757">
        <v>43525</v>
      </c>
      <c r="O58" s="757">
        <v>43800</v>
      </c>
      <c r="P58" s="758">
        <v>365</v>
      </c>
      <c r="S58" s="357">
        <v>40568</v>
      </c>
      <c r="T58" s="359" t="str">
        <f t="shared" si="5"/>
        <v>terça-feira</v>
      </c>
      <c r="U58" s="361">
        <v>40234</v>
      </c>
      <c r="V58" s="360" t="str">
        <f t="shared" si="6"/>
        <v>quinta-feira</v>
      </c>
    </row>
    <row r="59" spans="14:22">
      <c r="N59" s="757">
        <v>43831</v>
      </c>
      <c r="O59" s="757">
        <v>43862</v>
      </c>
      <c r="P59" s="758">
        <v>365</v>
      </c>
      <c r="S59" s="357">
        <v>40569</v>
      </c>
      <c r="T59" s="359" t="str">
        <f t="shared" si="5"/>
        <v>quarta-feira</v>
      </c>
      <c r="U59" s="361">
        <v>40235</v>
      </c>
      <c r="V59" s="360" t="str">
        <f t="shared" si="6"/>
        <v>sexta-feira</v>
      </c>
    </row>
    <row r="60" spans="14:22">
      <c r="N60" s="759">
        <v>43891</v>
      </c>
      <c r="O60" s="759">
        <v>44166</v>
      </c>
      <c r="P60" s="760">
        <v>364</v>
      </c>
      <c r="S60" s="357">
        <v>40570</v>
      </c>
      <c r="T60" s="359" t="str">
        <f t="shared" si="5"/>
        <v>quinta-feira</v>
      </c>
      <c r="U60" s="361">
        <v>40236</v>
      </c>
      <c r="V60" s="360" t="str">
        <f t="shared" si="6"/>
        <v>sábado</v>
      </c>
    </row>
    <row r="61" spans="14:22">
      <c r="N61" s="759">
        <v>44197</v>
      </c>
      <c r="O61" s="759">
        <v>44531</v>
      </c>
      <c r="P61" s="760">
        <v>364</v>
      </c>
      <c r="S61" s="357">
        <v>40571</v>
      </c>
      <c r="T61" s="359" t="str">
        <f t="shared" si="5"/>
        <v>sexta-feira</v>
      </c>
      <c r="U61" s="361">
        <v>40237</v>
      </c>
      <c r="V61" s="360" t="str">
        <f t="shared" si="6"/>
        <v>domingo</v>
      </c>
    </row>
    <row r="62" spans="14:22">
      <c r="N62" s="759">
        <v>44562</v>
      </c>
      <c r="O62" s="759">
        <v>44896</v>
      </c>
      <c r="P62" s="760">
        <v>364</v>
      </c>
      <c r="S62" s="357">
        <v>40572</v>
      </c>
      <c r="T62" s="359" t="str">
        <f t="shared" si="5"/>
        <v>sábado</v>
      </c>
      <c r="U62" s="361">
        <v>40238</v>
      </c>
      <c r="V62" s="360" t="str">
        <f t="shared" si="6"/>
        <v>segunda-feira</v>
      </c>
    </row>
    <row r="63" spans="14:22">
      <c r="N63" s="759">
        <v>44927</v>
      </c>
      <c r="O63" s="761">
        <v>44958</v>
      </c>
      <c r="P63" s="760">
        <v>364</v>
      </c>
      <c r="S63" s="357">
        <v>40573</v>
      </c>
      <c r="T63" s="359" t="str">
        <f t="shared" si="5"/>
        <v>domingo</v>
      </c>
      <c r="U63" s="361">
        <v>40239</v>
      </c>
      <c r="V63" s="360" t="str">
        <f t="shared" si="6"/>
        <v>terça-feira</v>
      </c>
    </row>
    <row r="64" spans="14:22">
      <c r="N64" s="757">
        <v>44986</v>
      </c>
      <c r="O64" s="757">
        <v>45261</v>
      </c>
      <c r="P64" s="758">
        <v>365</v>
      </c>
      <c r="S64" s="357">
        <v>40574</v>
      </c>
      <c r="T64" s="359" t="str">
        <f t="shared" si="5"/>
        <v>segunda-feira</v>
      </c>
      <c r="U64" s="361">
        <v>40240</v>
      </c>
      <c r="V64" s="360" t="str">
        <f t="shared" si="6"/>
        <v>quarta-feira</v>
      </c>
    </row>
    <row r="65" spans="14:22">
      <c r="N65" s="757">
        <v>45292</v>
      </c>
      <c r="O65" s="757">
        <v>45323</v>
      </c>
      <c r="P65" s="758">
        <v>365</v>
      </c>
      <c r="S65" s="357">
        <v>40909</v>
      </c>
      <c r="T65" s="359" t="str">
        <f t="shared" si="5"/>
        <v>domingo</v>
      </c>
      <c r="U65" s="361">
        <v>40241</v>
      </c>
      <c r="V65" s="360" t="str">
        <f t="shared" si="6"/>
        <v>quinta-feira</v>
      </c>
    </row>
    <row r="66" spans="14:22">
      <c r="S66" s="357">
        <v>40910</v>
      </c>
      <c r="T66" s="359" t="str">
        <f t="shared" si="5"/>
        <v>segunda-feira</v>
      </c>
      <c r="U66" s="361">
        <v>40242</v>
      </c>
      <c r="V66" s="360" t="str">
        <f t="shared" si="6"/>
        <v>sexta-feira</v>
      </c>
    </row>
    <row r="67" spans="14:22">
      <c r="S67" s="357">
        <v>40911</v>
      </c>
      <c r="T67" s="359" t="str">
        <f t="shared" si="5"/>
        <v>terça-feira</v>
      </c>
      <c r="U67" s="361">
        <v>40243</v>
      </c>
      <c r="V67" s="360" t="str">
        <f t="shared" si="6"/>
        <v>sábado</v>
      </c>
    </row>
    <row r="68" spans="14:22">
      <c r="S68" s="357">
        <v>40912</v>
      </c>
      <c r="T68" s="359" t="str">
        <f t="shared" si="5"/>
        <v>quarta-feira</v>
      </c>
      <c r="U68" s="361">
        <v>40244</v>
      </c>
      <c r="V68" s="360" t="str">
        <f t="shared" si="6"/>
        <v>domingo</v>
      </c>
    </row>
    <row r="69" spans="14:22">
      <c r="S69" s="357">
        <v>40913</v>
      </c>
      <c r="T69" s="359" t="str">
        <f t="shared" si="5"/>
        <v>quinta-feira</v>
      </c>
      <c r="U69" s="361">
        <v>40245</v>
      </c>
      <c r="V69" s="360" t="str">
        <f t="shared" si="6"/>
        <v>segunda-feira</v>
      </c>
    </row>
    <row r="70" spans="14:22">
      <c r="S70" s="357">
        <v>40914</v>
      </c>
      <c r="T70" s="359" t="str">
        <f t="shared" si="5"/>
        <v>sexta-feira</v>
      </c>
      <c r="U70" s="361">
        <v>40246</v>
      </c>
      <c r="V70" s="360" t="str">
        <f t="shared" si="6"/>
        <v>terça-feira</v>
      </c>
    </row>
    <row r="71" spans="14:22">
      <c r="S71" s="357">
        <v>40915</v>
      </c>
      <c r="T71" s="359" t="str">
        <f t="shared" si="5"/>
        <v>sábado</v>
      </c>
      <c r="U71" s="361">
        <v>40247</v>
      </c>
      <c r="V71" s="360" t="str">
        <f t="shared" si="6"/>
        <v>quarta-feira</v>
      </c>
    </row>
    <row r="72" spans="14:22">
      <c r="S72" s="357">
        <v>40916</v>
      </c>
      <c r="T72" s="359" t="str">
        <f t="shared" si="5"/>
        <v>domingo</v>
      </c>
      <c r="U72" s="361">
        <v>40248</v>
      </c>
      <c r="V72" s="360" t="str">
        <f t="shared" si="6"/>
        <v>quinta-feira</v>
      </c>
    </row>
    <row r="73" spans="14:22">
      <c r="S73" s="357">
        <v>40917</v>
      </c>
      <c r="T73" s="359" t="str">
        <f t="shared" si="5"/>
        <v>segunda-feira</v>
      </c>
      <c r="U73" s="361">
        <v>40249</v>
      </c>
      <c r="V73" s="360" t="str">
        <f t="shared" si="6"/>
        <v>sexta-feira</v>
      </c>
    </row>
    <row r="74" spans="14:22">
      <c r="S74" s="357">
        <v>40918</v>
      </c>
      <c r="T74" s="359" t="str">
        <f t="shared" si="5"/>
        <v>terça-feira</v>
      </c>
      <c r="U74" s="361">
        <v>40250</v>
      </c>
      <c r="V74" s="360" t="str">
        <f t="shared" si="6"/>
        <v>sábado</v>
      </c>
    </row>
    <row r="75" spans="14:22">
      <c r="S75" s="357">
        <v>40919</v>
      </c>
      <c r="T75" s="359" t="str">
        <f t="shared" si="5"/>
        <v>quarta-feira</v>
      </c>
      <c r="U75" s="361">
        <v>40251</v>
      </c>
      <c r="V75" s="360" t="str">
        <f t="shared" si="6"/>
        <v>domingo</v>
      </c>
    </row>
    <row r="76" spans="14:22">
      <c r="S76" s="357">
        <v>40920</v>
      </c>
      <c r="T76" s="359" t="str">
        <f t="shared" si="5"/>
        <v>quinta-feira</v>
      </c>
      <c r="U76" s="361">
        <v>40252</v>
      </c>
      <c r="V76" s="360" t="str">
        <f t="shared" si="6"/>
        <v>segunda-feira</v>
      </c>
    </row>
    <row r="77" spans="14:22">
      <c r="S77" s="357">
        <v>40921</v>
      </c>
      <c r="T77" s="359" t="str">
        <f t="shared" si="5"/>
        <v>sexta-feira</v>
      </c>
      <c r="U77" s="361">
        <v>40253</v>
      </c>
      <c r="V77" s="360" t="str">
        <f t="shared" si="6"/>
        <v>terça-feira</v>
      </c>
    </row>
    <row r="78" spans="14:22">
      <c r="S78" s="357">
        <v>40922</v>
      </c>
      <c r="T78" s="359" t="str">
        <f t="shared" si="5"/>
        <v>sábado</v>
      </c>
      <c r="U78" s="361">
        <v>40254</v>
      </c>
      <c r="V78" s="360" t="str">
        <f t="shared" si="6"/>
        <v>quarta-feira</v>
      </c>
    </row>
    <row r="79" spans="14:22">
      <c r="S79" s="357">
        <v>40923</v>
      </c>
      <c r="T79" s="359" t="str">
        <f t="shared" si="5"/>
        <v>domingo</v>
      </c>
      <c r="U79" s="361">
        <v>40255</v>
      </c>
      <c r="V79" s="360" t="str">
        <f t="shared" si="6"/>
        <v>quinta-feira</v>
      </c>
    </row>
    <row r="80" spans="14:22">
      <c r="S80" s="357">
        <v>40924</v>
      </c>
      <c r="T80" s="359" t="str">
        <f t="shared" si="5"/>
        <v>segunda-feira</v>
      </c>
      <c r="U80" s="361">
        <v>40256</v>
      </c>
      <c r="V80" s="360" t="str">
        <f t="shared" si="6"/>
        <v>sexta-feira</v>
      </c>
    </row>
    <row r="81" spans="19:22">
      <c r="S81" s="357">
        <v>40925</v>
      </c>
      <c r="T81" s="359" t="str">
        <f t="shared" si="5"/>
        <v>terça-feira</v>
      </c>
      <c r="U81" s="361">
        <v>40257</v>
      </c>
      <c r="V81" s="360" t="str">
        <f t="shared" si="6"/>
        <v>sábado</v>
      </c>
    </row>
    <row r="82" spans="19:22">
      <c r="S82" s="357">
        <v>40926</v>
      </c>
      <c r="T82" s="359" t="str">
        <f t="shared" si="5"/>
        <v>quarta-feira</v>
      </c>
      <c r="U82" s="361">
        <v>40258</v>
      </c>
      <c r="V82" s="360" t="str">
        <f t="shared" si="6"/>
        <v>domingo</v>
      </c>
    </row>
    <row r="83" spans="19:22">
      <c r="S83" s="357">
        <v>40927</v>
      </c>
      <c r="T83" s="359" t="str">
        <f t="shared" si="5"/>
        <v>quinta-feira</v>
      </c>
      <c r="U83" s="361">
        <v>40259</v>
      </c>
      <c r="V83" s="360" t="str">
        <f t="shared" si="6"/>
        <v>segunda-feira</v>
      </c>
    </row>
    <row r="84" spans="19:22">
      <c r="S84" s="357">
        <v>40928</v>
      </c>
      <c r="T84" s="359" t="str">
        <f t="shared" si="5"/>
        <v>sexta-feira</v>
      </c>
      <c r="U84" s="361">
        <v>40260</v>
      </c>
      <c r="V84" s="360" t="str">
        <f t="shared" si="6"/>
        <v>terça-feira</v>
      </c>
    </row>
    <row r="85" spans="19:22">
      <c r="S85" s="357">
        <v>40929</v>
      </c>
      <c r="T85" s="359" t="str">
        <f t="shared" si="5"/>
        <v>sábado</v>
      </c>
      <c r="U85" s="361">
        <v>40261</v>
      </c>
      <c r="V85" s="360" t="str">
        <f t="shared" si="6"/>
        <v>quarta-feira</v>
      </c>
    </row>
    <row r="86" spans="19:22">
      <c r="S86" s="357">
        <v>40930</v>
      </c>
      <c r="T86" s="359" t="str">
        <f t="shared" si="5"/>
        <v>domingo</v>
      </c>
      <c r="U86" s="361">
        <v>40262</v>
      </c>
      <c r="V86" s="360" t="str">
        <f t="shared" si="6"/>
        <v>quinta-feira</v>
      </c>
    </row>
    <row r="87" spans="19:22">
      <c r="S87" s="357">
        <v>40931</v>
      </c>
      <c r="T87" s="359" t="str">
        <f t="shared" si="5"/>
        <v>segunda-feira</v>
      </c>
      <c r="U87" s="361">
        <v>40263</v>
      </c>
      <c r="V87" s="360" t="str">
        <f t="shared" si="6"/>
        <v>sexta-feira</v>
      </c>
    </row>
    <row r="88" spans="19:22">
      <c r="S88" s="357">
        <v>40932</v>
      </c>
      <c r="T88" s="359" t="str">
        <f t="shared" si="5"/>
        <v>terça-feira</v>
      </c>
      <c r="U88" s="361">
        <v>40264</v>
      </c>
      <c r="V88" s="360" t="str">
        <f t="shared" si="6"/>
        <v>sábado</v>
      </c>
    </row>
    <row r="89" spans="19:22">
      <c r="S89" s="357">
        <v>40933</v>
      </c>
      <c r="T89" s="359" t="str">
        <f t="shared" si="5"/>
        <v>quarta-feira</v>
      </c>
      <c r="U89" s="361">
        <v>40265</v>
      </c>
      <c r="V89" s="360" t="str">
        <f t="shared" si="6"/>
        <v>domingo</v>
      </c>
    </row>
    <row r="90" spans="19:22">
      <c r="S90" s="357">
        <v>40934</v>
      </c>
      <c r="T90" s="359" t="str">
        <f t="shared" si="5"/>
        <v>quinta-feira</v>
      </c>
      <c r="U90" s="361">
        <v>40266</v>
      </c>
      <c r="V90" s="360" t="str">
        <f t="shared" si="6"/>
        <v>segunda-feira</v>
      </c>
    </row>
    <row r="91" spans="19:22">
      <c r="S91" s="357">
        <v>40935</v>
      </c>
      <c r="T91" s="359" t="str">
        <f t="shared" si="5"/>
        <v>sexta-feira</v>
      </c>
      <c r="U91" s="361">
        <v>40267</v>
      </c>
      <c r="V91" s="360" t="str">
        <f t="shared" si="6"/>
        <v>terça-feira</v>
      </c>
    </row>
    <row r="92" spans="19:22">
      <c r="S92" s="357">
        <v>40936</v>
      </c>
      <c r="T92" s="359" t="str">
        <f t="shared" si="5"/>
        <v>sábado</v>
      </c>
      <c r="U92" s="361">
        <v>40268</v>
      </c>
      <c r="V92" s="360" t="str">
        <f t="shared" si="6"/>
        <v>quarta-feira</v>
      </c>
    </row>
    <row r="93" spans="19:22">
      <c r="S93" s="357">
        <v>40937</v>
      </c>
      <c r="T93" s="359" t="str">
        <f t="shared" si="5"/>
        <v>domingo</v>
      </c>
      <c r="U93" s="361">
        <v>40269</v>
      </c>
      <c r="V93" s="360" t="str">
        <f t="shared" si="6"/>
        <v>quinta-feira</v>
      </c>
    </row>
    <row r="94" spans="19:22">
      <c r="S94" s="357">
        <v>40938</v>
      </c>
      <c r="T94" s="359" t="str">
        <f t="shared" si="5"/>
        <v>segunda-feira</v>
      </c>
      <c r="U94" s="361">
        <v>40270</v>
      </c>
      <c r="V94" s="360" t="str">
        <f t="shared" si="6"/>
        <v>sexta-feira</v>
      </c>
    </row>
    <row r="95" spans="19:22">
      <c r="S95" s="357">
        <v>40939</v>
      </c>
      <c r="T95" s="359" t="str">
        <f t="shared" si="5"/>
        <v>terça-feira</v>
      </c>
      <c r="U95" s="361">
        <v>40271</v>
      </c>
      <c r="V95" s="360" t="str">
        <f t="shared" si="6"/>
        <v>sábado</v>
      </c>
    </row>
    <row r="96" spans="19:22">
      <c r="S96" s="357">
        <v>41275</v>
      </c>
      <c r="T96" s="359" t="str">
        <f t="shared" si="5"/>
        <v>terça-feira</v>
      </c>
      <c r="U96" s="361">
        <v>40272</v>
      </c>
      <c r="V96" s="360" t="str">
        <f t="shared" si="6"/>
        <v>domingo</v>
      </c>
    </row>
    <row r="97" spans="19:22">
      <c r="S97" s="357">
        <v>41276</v>
      </c>
      <c r="T97" s="359" t="str">
        <f t="shared" si="5"/>
        <v>quarta-feira</v>
      </c>
      <c r="U97" s="361">
        <v>40273</v>
      </c>
      <c r="V97" s="360" t="str">
        <f t="shared" si="6"/>
        <v>segunda-feira</v>
      </c>
    </row>
    <row r="98" spans="19:22">
      <c r="S98" s="357">
        <v>41277</v>
      </c>
      <c r="T98" s="359" t="str">
        <f t="shared" si="5"/>
        <v>quinta-feira</v>
      </c>
      <c r="U98" s="361">
        <v>40274</v>
      </c>
      <c r="V98" s="360" t="str">
        <f t="shared" si="6"/>
        <v>terça-feira</v>
      </c>
    </row>
    <row r="99" spans="19:22">
      <c r="S99" s="357">
        <v>41278</v>
      </c>
      <c r="T99" s="359" t="str">
        <f t="shared" si="5"/>
        <v>sexta-feira</v>
      </c>
      <c r="U99" s="361">
        <v>40275</v>
      </c>
      <c r="V99" s="360" t="str">
        <f t="shared" si="6"/>
        <v>quarta-feira</v>
      </c>
    </row>
    <row r="100" spans="19:22">
      <c r="S100" s="357">
        <v>41279</v>
      </c>
      <c r="T100" s="359" t="str">
        <f t="shared" si="5"/>
        <v>sábado</v>
      </c>
      <c r="U100" s="361">
        <v>40276</v>
      </c>
      <c r="V100" s="360" t="str">
        <f t="shared" si="6"/>
        <v>quinta-feira</v>
      </c>
    </row>
    <row r="101" spans="19:22">
      <c r="S101" s="357">
        <v>41280</v>
      </c>
      <c r="T101" s="359" t="str">
        <f t="shared" ref="T101:T158" si="7">TEXT(S101,"dddd")</f>
        <v>domingo</v>
      </c>
      <c r="U101" s="361">
        <v>40277</v>
      </c>
      <c r="V101" s="360" t="str">
        <f t="shared" si="6"/>
        <v>sexta-feira</v>
      </c>
    </row>
    <row r="102" spans="19:22">
      <c r="S102" s="357">
        <v>41281</v>
      </c>
      <c r="T102" s="359" t="str">
        <f t="shared" si="7"/>
        <v>segunda-feira</v>
      </c>
      <c r="U102" s="361">
        <v>40278</v>
      </c>
      <c r="V102" s="360" t="str">
        <f t="shared" si="6"/>
        <v>sábado</v>
      </c>
    </row>
    <row r="103" spans="19:22">
      <c r="S103" s="357">
        <v>41282</v>
      </c>
      <c r="T103" s="359" t="str">
        <f t="shared" si="7"/>
        <v>terça-feira</v>
      </c>
      <c r="U103" s="361">
        <v>40279</v>
      </c>
      <c r="V103" s="360" t="str">
        <f t="shared" si="6"/>
        <v>domingo</v>
      </c>
    </row>
    <row r="104" spans="19:22">
      <c r="S104" s="357">
        <v>41283</v>
      </c>
      <c r="T104" s="359" t="str">
        <f t="shared" si="7"/>
        <v>quarta-feira</v>
      </c>
      <c r="U104" s="361">
        <v>40280</v>
      </c>
      <c r="V104" s="360" t="str">
        <f t="shared" si="6"/>
        <v>segunda-feira</v>
      </c>
    </row>
    <row r="105" spans="19:22">
      <c r="S105" s="357">
        <v>41284</v>
      </c>
      <c r="T105" s="359" t="str">
        <f t="shared" si="7"/>
        <v>quinta-feira</v>
      </c>
      <c r="U105" s="361">
        <v>40281</v>
      </c>
      <c r="V105" s="360" t="str">
        <f t="shared" ref="V105:V168" si="8">TEXT(U105,"dddd")</f>
        <v>terça-feira</v>
      </c>
    </row>
    <row r="106" spans="19:22">
      <c r="S106" s="357">
        <v>41285</v>
      </c>
      <c r="T106" s="359" t="str">
        <f t="shared" si="7"/>
        <v>sexta-feira</v>
      </c>
      <c r="U106" s="361">
        <v>40282</v>
      </c>
      <c r="V106" s="360" t="str">
        <f t="shared" si="8"/>
        <v>quarta-feira</v>
      </c>
    </row>
    <row r="107" spans="19:22">
      <c r="S107" s="357">
        <v>41286</v>
      </c>
      <c r="T107" s="359" t="str">
        <f t="shared" si="7"/>
        <v>sábado</v>
      </c>
      <c r="U107" s="361">
        <v>40283</v>
      </c>
      <c r="V107" s="360" t="str">
        <f t="shared" si="8"/>
        <v>quinta-feira</v>
      </c>
    </row>
    <row r="108" spans="19:22">
      <c r="S108" s="357">
        <v>41287</v>
      </c>
      <c r="T108" s="359" t="str">
        <f t="shared" si="7"/>
        <v>domingo</v>
      </c>
      <c r="U108" s="361">
        <v>40284</v>
      </c>
      <c r="V108" s="360" t="str">
        <f t="shared" si="8"/>
        <v>sexta-feira</v>
      </c>
    </row>
    <row r="109" spans="19:22">
      <c r="S109" s="357">
        <v>41288</v>
      </c>
      <c r="T109" s="359" t="str">
        <f t="shared" si="7"/>
        <v>segunda-feira</v>
      </c>
      <c r="U109" s="361">
        <v>40285</v>
      </c>
      <c r="V109" s="360" t="str">
        <f t="shared" si="8"/>
        <v>sábado</v>
      </c>
    </row>
    <row r="110" spans="19:22">
      <c r="S110" s="357">
        <v>41289</v>
      </c>
      <c r="T110" s="359" t="str">
        <f t="shared" si="7"/>
        <v>terça-feira</v>
      </c>
      <c r="U110" s="361">
        <v>40286</v>
      </c>
      <c r="V110" s="360" t="str">
        <f t="shared" si="8"/>
        <v>domingo</v>
      </c>
    </row>
    <row r="111" spans="19:22">
      <c r="S111" s="357">
        <v>41290</v>
      </c>
      <c r="T111" s="359" t="str">
        <f t="shared" si="7"/>
        <v>quarta-feira</v>
      </c>
      <c r="U111" s="361">
        <v>40287</v>
      </c>
      <c r="V111" s="360" t="str">
        <f t="shared" si="8"/>
        <v>segunda-feira</v>
      </c>
    </row>
    <row r="112" spans="19:22">
      <c r="S112" s="357">
        <v>41291</v>
      </c>
      <c r="T112" s="359" t="str">
        <f t="shared" si="7"/>
        <v>quinta-feira</v>
      </c>
      <c r="U112" s="361">
        <v>40288</v>
      </c>
      <c r="V112" s="360" t="str">
        <f t="shared" si="8"/>
        <v>terça-feira</v>
      </c>
    </row>
    <row r="113" spans="19:22">
      <c r="S113" s="357">
        <v>41292</v>
      </c>
      <c r="T113" s="359" t="str">
        <f t="shared" si="7"/>
        <v>sexta-feira</v>
      </c>
      <c r="U113" s="361">
        <v>40289</v>
      </c>
      <c r="V113" s="360" t="str">
        <f t="shared" si="8"/>
        <v>quarta-feira</v>
      </c>
    </row>
    <row r="114" spans="19:22">
      <c r="S114" s="357">
        <v>41293</v>
      </c>
      <c r="T114" s="359" t="str">
        <f t="shared" si="7"/>
        <v>sábado</v>
      </c>
      <c r="U114" s="361">
        <v>40290</v>
      </c>
      <c r="V114" s="360" t="str">
        <f t="shared" si="8"/>
        <v>quinta-feira</v>
      </c>
    </row>
    <row r="115" spans="19:22">
      <c r="S115" s="357">
        <v>41294</v>
      </c>
      <c r="T115" s="359" t="str">
        <f t="shared" si="7"/>
        <v>domingo</v>
      </c>
      <c r="U115" s="361">
        <v>40291</v>
      </c>
      <c r="V115" s="360" t="str">
        <f t="shared" si="8"/>
        <v>sexta-feira</v>
      </c>
    </row>
    <row r="116" spans="19:22">
      <c r="S116" s="357">
        <v>41295</v>
      </c>
      <c r="T116" s="359" t="str">
        <f t="shared" si="7"/>
        <v>segunda-feira</v>
      </c>
      <c r="U116" s="361">
        <v>40292</v>
      </c>
      <c r="V116" s="360" t="str">
        <f t="shared" si="8"/>
        <v>sábado</v>
      </c>
    </row>
    <row r="117" spans="19:22">
      <c r="S117" s="357">
        <v>41296</v>
      </c>
      <c r="T117" s="359" t="str">
        <f t="shared" si="7"/>
        <v>terça-feira</v>
      </c>
      <c r="U117" s="361">
        <v>40293</v>
      </c>
      <c r="V117" s="360" t="str">
        <f t="shared" si="8"/>
        <v>domingo</v>
      </c>
    </row>
    <row r="118" spans="19:22">
      <c r="S118" s="357">
        <v>41297</v>
      </c>
      <c r="T118" s="359" t="str">
        <f t="shared" si="7"/>
        <v>quarta-feira</v>
      </c>
      <c r="U118" s="361">
        <v>40294</v>
      </c>
      <c r="V118" s="360" t="str">
        <f t="shared" si="8"/>
        <v>segunda-feira</v>
      </c>
    </row>
    <row r="119" spans="19:22">
      <c r="S119" s="357">
        <v>41298</v>
      </c>
      <c r="T119" s="359" t="str">
        <f t="shared" si="7"/>
        <v>quinta-feira</v>
      </c>
      <c r="U119" s="361">
        <v>40295</v>
      </c>
      <c r="V119" s="360" t="str">
        <f t="shared" si="8"/>
        <v>terça-feira</v>
      </c>
    </row>
    <row r="120" spans="19:22">
      <c r="S120" s="357">
        <v>41299</v>
      </c>
      <c r="T120" s="359" t="str">
        <f t="shared" si="7"/>
        <v>sexta-feira</v>
      </c>
      <c r="U120" s="361">
        <v>40296</v>
      </c>
      <c r="V120" s="360" t="str">
        <f t="shared" si="8"/>
        <v>quarta-feira</v>
      </c>
    </row>
    <row r="121" spans="19:22">
      <c r="S121" s="357">
        <v>41300</v>
      </c>
      <c r="T121" s="359" t="str">
        <f t="shared" si="7"/>
        <v>sábado</v>
      </c>
      <c r="U121" s="361">
        <v>40297</v>
      </c>
      <c r="V121" s="360" t="str">
        <f t="shared" si="8"/>
        <v>quinta-feira</v>
      </c>
    </row>
    <row r="122" spans="19:22">
      <c r="S122" s="357">
        <v>41301</v>
      </c>
      <c r="T122" s="359" t="str">
        <f t="shared" si="7"/>
        <v>domingo</v>
      </c>
      <c r="U122" s="361">
        <v>40298</v>
      </c>
      <c r="V122" s="360" t="str">
        <f t="shared" si="8"/>
        <v>sexta-feira</v>
      </c>
    </row>
    <row r="123" spans="19:22">
      <c r="S123" s="357">
        <v>41302</v>
      </c>
      <c r="T123" s="359" t="str">
        <f t="shared" si="7"/>
        <v>segunda-feira</v>
      </c>
      <c r="U123" s="361">
        <v>40299</v>
      </c>
      <c r="V123" s="360" t="str">
        <f t="shared" si="8"/>
        <v>sábado</v>
      </c>
    </row>
    <row r="124" spans="19:22">
      <c r="S124" s="357">
        <v>41303</v>
      </c>
      <c r="T124" s="359" t="str">
        <f t="shared" si="7"/>
        <v>terça-feira</v>
      </c>
      <c r="U124" s="361">
        <v>40300</v>
      </c>
      <c r="V124" s="360" t="str">
        <f t="shared" si="8"/>
        <v>domingo</v>
      </c>
    </row>
    <row r="125" spans="19:22">
      <c r="S125" s="357">
        <v>41304</v>
      </c>
      <c r="T125" s="359" t="str">
        <f t="shared" si="7"/>
        <v>quarta-feira</v>
      </c>
      <c r="U125" s="361">
        <v>40301</v>
      </c>
      <c r="V125" s="360" t="str">
        <f t="shared" si="8"/>
        <v>segunda-feira</v>
      </c>
    </row>
    <row r="126" spans="19:22">
      <c r="S126" s="357">
        <v>41305</v>
      </c>
      <c r="T126" s="359" t="str">
        <f t="shared" si="7"/>
        <v>quinta-feira</v>
      </c>
      <c r="U126" s="361">
        <v>40302</v>
      </c>
      <c r="V126" s="360" t="str">
        <f t="shared" si="8"/>
        <v>terça-feira</v>
      </c>
    </row>
    <row r="127" spans="19:22">
      <c r="S127" s="357">
        <v>41640</v>
      </c>
      <c r="T127" s="359" t="str">
        <f t="shared" si="7"/>
        <v>quarta-feira</v>
      </c>
      <c r="U127" s="361">
        <v>40303</v>
      </c>
      <c r="V127" s="360" t="str">
        <f t="shared" si="8"/>
        <v>quarta-feira</v>
      </c>
    </row>
    <row r="128" spans="19:22">
      <c r="S128" s="357">
        <v>41641</v>
      </c>
      <c r="T128" s="359" t="str">
        <f t="shared" si="7"/>
        <v>quinta-feira</v>
      </c>
      <c r="U128" s="361">
        <v>40304</v>
      </c>
      <c r="V128" s="360" t="str">
        <f t="shared" si="8"/>
        <v>quinta-feira</v>
      </c>
    </row>
    <row r="129" spans="19:22">
      <c r="S129" s="357">
        <v>41642</v>
      </c>
      <c r="T129" s="359" t="str">
        <f t="shared" si="7"/>
        <v>sexta-feira</v>
      </c>
      <c r="U129" s="361">
        <v>40305</v>
      </c>
      <c r="V129" s="360" t="str">
        <f t="shared" si="8"/>
        <v>sexta-feira</v>
      </c>
    </row>
    <row r="130" spans="19:22">
      <c r="S130" s="357">
        <v>41643</v>
      </c>
      <c r="T130" s="359" t="str">
        <f t="shared" si="7"/>
        <v>sábado</v>
      </c>
      <c r="U130" s="361">
        <v>40306</v>
      </c>
      <c r="V130" s="360" t="str">
        <f t="shared" si="8"/>
        <v>sábado</v>
      </c>
    </row>
    <row r="131" spans="19:22">
      <c r="S131" s="357">
        <v>41644</v>
      </c>
      <c r="T131" s="359" t="str">
        <f t="shared" si="7"/>
        <v>domingo</v>
      </c>
      <c r="U131" s="361">
        <v>40307</v>
      </c>
      <c r="V131" s="360" t="str">
        <f t="shared" si="8"/>
        <v>domingo</v>
      </c>
    </row>
    <row r="132" spans="19:22">
      <c r="S132" s="357">
        <v>41645</v>
      </c>
      <c r="T132" s="359" t="str">
        <f t="shared" si="7"/>
        <v>segunda-feira</v>
      </c>
      <c r="U132" s="361">
        <v>40308</v>
      </c>
      <c r="V132" s="360" t="str">
        <f t="shared" si="8"/>
        <v>segunda-feira</v>
      </c>
    </row>
    <row r="133" spans="19:22">
      <c r="S133" s="357">
        <v>41646</v>
      </c>
      <c r="T133" s="359" t="str">
        <f t="shared" si="7"/>
        <v>terça-feira</v>
      </c>
      <c r="U133" s="361">
        <v>40309</v>
      </c>
      <c r="V133" s="360" t="str">
        <f t="shared" si="8"/>
        <v>terça-feira</v>
      </c>
    </row>
    <row r="134" spans="19:22">
      <c r="S134" s="357">
        <v>41647</v>
      </c>
      <c r="T134" s="359" t="str">
        <f t="shared" si="7"/>
        <v>quarta-feira</v>
      </c>
      <c r="U134" s="361">
        <v>40310</v>
      </c>
      <c r="V134" s="360" t="str">
        <f t="shared" si="8"/>
        <v>quarta-feira</v>
      </c>
    </row>
    <row r="135" spans="19:22">
      <c r="S135" s="357">
        <v>41648</v>
      </c>
      <c r="T135" s="359" t="str">
        <f t="shared" si="7"/>
        <v>quinta-feira</v>
      </c>
      <c r="U135" s="361">
        <v>40311</v>
      </c>
      <c r="V135" s="360" t="str">
        <f t="shared" si="8"/>
        <v>quinta-feira</v>
      </c>
    </row>
    <row r="136" spans="19:22">
      <c r="S136" s="357">
        <v>41649</v>
      </c>
      <c r="T136" s="359" t="str">
        <f t="shared" si="7"/>
        <v>sexta-feira</v>
      </c>
      <c r="U136" s="361">
        <v>40312</v>
      </c>
      <c r="V136" s="360" t="str">
        <f t="shared" si="8"/>
        <v>sexta-feira</v>
      </c>
    </row>
    <row r="137" spans="19:22">
      <c r="S137" s="357">
        <v>41650</v>
      </c>
      <c r="T137" s="359" t="str">
        <f t="shared" si="7"/>
        <v>sábado</v>
      </c>
      <c r="U137" s="361">
        <v>40313</v>
      </c>
      <c r="V137" s="360" t="str">
        <f t="shared" si="8"/>
        <v>sábado</v>
      </c>
    </row>
    <row r="138" spans="19:22">
      <c r="S138" s="357">
        <v>41651</v>
      </c>
      <c r="T138" s="359" t="str">
        <f t="shared" si="7"/>
        <v>domingo</v>
      </c>
      <c r="U138" s="361">
        <v>40314</v>
      </c>
      <c r="V138" s="360" t="str">
        <f t="shared" si="8"/>
        <v>domingo</v>
      </c>
    </row>
    <row r="139" spans="19:22">
      <c r="S139" s="357">
        <v>41652</v>
      </c>
      <c r="T139" s="359" t="str">
        <f t="shared" si="7"/>
        <v>segunda-feira</v>
      </c>
      <c r="U139" s="361">
        <v>40315</v>
      </c>
      <c r="V139" s="360" t="str">
        <f t="shared" si="8"/>
        <v>segunda-feira</v>
      </c>
    </row>
    <row r="140" spans="19:22">
      <c r="S140" s="357">
        <v>41653</v>
      </c>
      <c r="T140" s="359" t="str">
        <f t="shared" si="7"/>
        <v>terça-feira</v>
      </c>
      <c r="U140" s="361">
        <v>40316</v>
      </c>
      <c r="V140" s="360" t="str">
        <f t="shared" si="8"/>
        <v>terça-feira</v>
      </c>
    </row>
    <row r="141" spans="19:22">
      <c r="S141" s="357">
        <v>41654</v>
      </c>
      <c r="T141" s="359" t="str">
        <f t="shared" si="7"/>
        <v>quarta-feira</v>
      </c>
      <c r="U141" s="361">
        <v>40317</v>
      </c>
      <c r="V141" s="360" t="str">
        <f t="shared" si="8"/>
        <v>quarta-feira</v>
      </c>
    </row>
    <row r="142" spans="19:22">
      <c r="S142" s="357">
        <v>41655</v>
      </c>
      <c r="T142" s="359" t="str">
        <f t="shared" si="7"/>
        <v>quinta-feira</v>
      </c>
      <c r="U142" s="361">
        <v>40318</v>
      </c>
      <c r="V142" s="360" t="str">
        <f t="shared" si="8"/>
        <v>quinta-feira</v>
      </c>
    </row>
    <row r="143" spans="19:22">
      <c r="S143" s="357">
        <v>41656</v>
      </c>
      <c r="T143" s="359" t="str">
        <f t="shared" si="7"/>
        <v>sexta-feira</v>
      </c>
      <c r="U143" s="361">
        <v>40319</v>
      </c>
      <c r="V143" s="360" t="str">
        <f t="shared" si="8"/>
        <v>sexta-feira</v>
      </c>
    </row>
    <row r="144" spans="19:22">
      <c r="S144" s="357">
        <v>41657</v>
      </c>
      <c r="T144" s="359" t="str">
        <f t="shared" si="7"/>
        <v>sábado</v>
      </c>
      <c r="U144" s="361">
        <v>40320</v>
      </c>
      <c r="V144" s="360" t="str">
        <f t="shared" si="8"/>
        <v>sábado</v>
      </c>
    </row>
    <row r="145" spans="19:22">
      <c r="S145" s="357">
        <v>41658</v>
      </c>
      <c r="T145" s="359" t="str">
        <f t="shared" si="7"/>
        <v>domingo</v>
      </c>
      <c r="U145" s="361">
        <v>40321</v>
      </c>
      <c r="V145" s="360" t="str">
        <f t="shared" si="8"/>
        <v>domingo</v>
      </c>
    </row>
    <row r="146" spans="19:22">
      <c r="S146" s="357">
        <v>41659</v>
      </c>
      <c r="T146" s="359" t="str">
        <f t="shared" si="7"/>
        <v>segunda-feira</v>
      </c>
      <c r="U146" s="361">
        <v>40322</v>
      </c>
      <c r="V146" s="360" t="str">
        <f t="shared" si="8"/>
        <v>segunda-feira</v>
      </c>
    </row>
    <row r="147" spans="19:22">
      <c r="S147" s="357">
        <v>41660</v>
      </c>
      <c r="T147" s="359" t="str">
        <f t="shared" si="7"/>
        <v>terça-feira</v>
      </c>
      <c r="U147" s="361">
        <v>40323</v>
      </c>
      <c r="V147" s="360" t="str">
        <f t="shared" si="8"/>
        <v>terça-feira</v>
      </c>
    </row>
    <row r="148" spans="19:22">
      <c r="S148" s="357">
        <v>41661</v>
      </c>
      <c r="T148" s="359" t="str">
        <f t="shared" si="7"/>
        <v>quarta-feira</v>
      </c>
      <c r="U148" s="361">
        <v>40324</v>
      </c>
      <c r="V148" s="360" t="str">
        <f t="shared" si="8"/>
        <v>quarta-feira</v>
      </c>
    </row>
    <row r="149" spans="19:22">
      <c r="S149" s="357">
        <v>41662</v>
      </c>
      <c r="T149" s="359" t="str">
        <f t="shared" si="7"/>
        <v>quinta-feira</v>
      </c>
      <c r="U149" s="361">
        <v>40325</v>
      </c>
      <c r="V149" s="360" t="str">
        <f t="shared" si="8"/>
        <v>quinta-feira</v>
      </c>
    </row>
    <row r="150" spans="19:22">
      <c r="S150" s="357">
        <v>41663</v>
      </c>
      <c r="T150" s="359" t="str">
        <f t="shared" si="7"/>
        <v>sexta-feira</v>
      </c>
      <c r="U150" s="361">
        <v>40326</v>
      </c>
      <c r="V150" s="360" t="str">
        <f t="shared" si="8"/>
        <v>sexta-feira</v>
      </c>
    </row>
    <row r="151" spans="19:22">
      <c r="S151" s="357">
        <v>41664</v>
      </c>
      <c r="T151" s="359" t="str">
        <f t="shared" si="7"/>
        <v>sábado</v>
      </c>
      <c r="U151" s="361">
        <v>40327</v>
      </c>
      <c r="V151" s="360" t="str">
        <f t="shared" si="8"/>
        <v>sábado</v>
      </c>
    </row>
    <row r="152" spans="19:22">
      <c r="S152" s="357">
        <v>41665</v>
      </c>
      <c r="T152" s="359" t="str">
        <f t="shared" si="7"/>
        <v>domingo</v>
      </c>
      <c r="U152" s="361">
        <v>40328</v>
      </c>
      <c r="V152" s="360" t="str">
        <f t="shared" si="8"/>
        <v>domingo</v>
      </c>
    </row>
    <row r="153" spans="19:22">
      <c r="S153" s="357">
        <v>41666</v>
      </c>
      <c r="T153" s="359" t="str">
        <f t="shared" si="7"/>
        <v>segunda-feira</v>
      </c>
      <c r="U153" s="361">
        <v>40329</v>
      </c>
      <c r="V153" s="360" t="str">
        <f t="shared" si="8"/>
        <v>segunda-feira</v>
      </c>
    </row>
    <row r="154" spans="19:22">
      <c r="S154" s="357">
        <v>41667</v>
      </c>
      <c r="T154" s="359" t="str">
        <f t="shared" si="7"/>
        <v>terça-feira</v>
      </c>
      <c r="U154" s="361">
        <v>40330</v>
      </c>
      <c r="V154" s="360" t="str">
        <f t="shared" si="8"/>
        <v>terça-feira</v>
      </c>
    </row>
    <row r="155" spans="19:22">
      <c r="S155" s="357">
        <v>41668</v>
      </c>
      <c r="T155" s="359" t="str">
        <f t="shared" si="7"/>
        <v>quarta-feira</v>
      </c>
      <c r="U155" s="361">
        <v>40331</v>
      </c>
      <c r="V155" s="360" t="str">
        <f t="shared" si="8"/>
        <v>quarta-feira</v>
      </c>
    </row>
    <row r="156" spans="19:22">
      <c r="S156" s="357">
        <v>41669</v>
      </c>
      <c r="T156" s="359" t="str">
        <f t="shared" si="7"/>
        <v>quinta-feira</v>
      </c>
      <c r="U156" s="361">
        <v>40332</v>
      </c>
      <c r="V156" s="360" t="str">
        <f t="shared" si="8"/>
        <v>quinta-feira</v>
      </c>
    </row>
    <row r="157" spans="19:22">
      <c r="S157" s="357">
        <v>41670</v>
      </c>
      <c r="T157" s="359" t="str">
        <f t="shared" si="7"/>
        <v>sexta-feira</v>
      </c>
      <c r="U157" s="361">
        <v>40333</v>
      </c>
      <c r="V157" s="360" t="str">
        <f t="shared" si="8"/>
        <v>sexta-feira</v>
      </c>
    </row>
    <row r="158" spans="19:22">
      <c r="S158" s="357">
        <v>41671</v>
      </c>
      <c r="T158" s="359" t="str">
        <f t="shared" si="7"/>
        <v>sábado</v>
      </c>
      <c r="U158" s="361">
        <v>40334</v>
      </c>
      <c r="V158" s="360" t="str">
        <f t="shared" si="8"/>
        <v>sábado</v>
      </c>
    </row>
    <row r="159" spans="19:22">
      <c r="S159" s="357">
        <v>41672</v>
      </c>
      <c r="T159" s="359" t="str">
        <f t="shared" ref="T159:T188" si="9">TEXT(S159,"dddd")</f>
        <v>domingo</v>
      </c>
      <c r="U159" s="361">
        <v>40335</v>
      </c>
      <c r="V159" s="360" t="str">
        <f t="shared" si="8"/>
        <v>domingo</v>
      </c>
    </row>
    <row r="160" spans="19:22">
      <c r="S160" s="357">
        <v>41673</v>
      </c>
      <c r="T160" s="359" t="str">
        <f t="shared" si="9"/>
        <v>segunda-feira</v>
      </c>
      <c r="U160" s="361">
        <v>40336</v>
      </c>
      <c r="V160" s="360" t="str">
        <f t="shared" si="8"/>
        <v>segunda-feira</v>
      </c>
    </row>
    <row r="161" spans="19:22">
      <c r="S161" s="357">
        <v>41674</v>
      </c>
      <c r="T161" s="359" t="str">
        <f t="shared" si="9"/>
        <v>terça-feira</v>
      </c>
      <c r="U161" s="361">
        <v>40337</v>
      </c>
      <c r="V161" s="360" t="str">
        <f t="shared" si="8"/>
        <v>terça-feira</v>
      </c>
    </row>
    <row r="162" spans="19:22">
      <c r="S162" s="357">
        <v>41675</v>
      </c>
      <c r="T162" s="359" t="str">
        <f t="shared" si="9"/>
        <v>quarta-feira</v>
      </c>
      <c r="U162" s="361">
        <v>40338</v>
      </c>
      <c r="V162" s="360" t="str">
        <f t="shared" si="8"/>
        <v>quarta-feira</v>
      </c>
    </row>
    <row r="163" spans="19:22">
      <c r="S163" s="357">
        <v>41676</v>
      </c>
      <c r="T163" s="359" t="str">
        <f t="shared" si="9"/>
        <v>quinta-feira</v>
      </c>
      <c r="U163" s="361">
        <v>40339</v>
      </c>
      <c r="V163" s="360" t="str">
        <f t="shared" si="8"/>
        <v>quinta-feira</v>
      </c>
    </row>
    <row r="164" spans="19:22">
      <c r="S164" s="357">
        <v>41677</v>
      </c>
      <c r="T164" s="359" t="str">
        <f t="shared" si="9"/>
        <v>sexta-feira</v>
      </c>
      <c r="U164" s="361">
        <v>40340</v>
      </c>
      <c r="V164" s="360" t="str">
        <f t="shared" si="8"/>
        <v>sexta-feira</v>
      </c>
    </row>
    <row r="165" spans="19:22">
      <c r="S165" s="357">
        <v>41678</v>
      </c>
      <c r="T165" s="359" t="str">
        <f t="shared" si="9"/>
        <v>sábado</v>
      </c>
      <c r="U165" s="361">
        <v>40341</v>
      </c>
      <c r="V165" s="360" t="str">
        <f t="shared" si="8"/>
        <v>sábado</v>
      </c>
    </row>
    <row r="166" spans="19:22">
      <c r="S166" s="357">
        <v>41679</v>
      </c>
      <c r="T166" s="359" t="str">
        <f t="shared" si="9"/>
        <v>domingo</v>
      </c>
      <c r="U166" s="361">
        <v>40342</v>
      </c>
      <c r="V166" s="360" t="str">
        <f t="shared" si="8"/>
        <v>domingo</v>
      </c>
    </row>
    <row r="167" spans="19:22">
      <c r="S167" s="357">
        <v>41680</v>
      </c>
      <c r="T167" s="359" t="str">
        <f t="shared" si="9"/>
        <v>segunda-feira</v>
      </c>
      <c r="U167" s="361">
        <v>40343</v>
      </c>
      <c r="V167" s="360" t="str">
        <f t="shared" si="8"/>
        <v>segunda-feira</v>
      </c>
    </row>
    <row r="168" spans="19:22">
      <c r="S168" s="357">
        <v>41681</v>
      </c>
      <c r="T168" s="359" t="str">
        <f t="shared" si="9"/>
        <v>terça-feira</v>
      </c>
      <c r="U168" s="361">
        <v>40344</v>
      </c>
      <c r="V168" s="360" t="str">
        <f t="shared" si="8"/>
        <v>terça-feira</v>
      </c>
    </row>
    <row r="169" spans="19:22">
      <c r="S169" s="357">
        <v>41682</v>
      </c>
      <c r="T169" s="359" t="str">
        <f t="shared" si="9"/>
        <v>quarta-feira</v>
      </c>
      <c r="U169" s="361">
        <v>40345</v>
      </c>
      <c r="V169" s="360" t="str">
        <f t="shared" ref="V169:V232" si="10">TEXT(U169,"dddd")</f>
        <v>quarta-feira</v>
      </c>
    </row>
    <row r="170" spans="19:22">
      <c r="S170" s="357">
        <v>41683</v>
      </c>
      <c r="T170" s="359" t="str">
        <f t="shared" si="9"/>
        <v>quinta-feira</v>
      </c>
      <c r="U170" s="361">
        <v>40346</v>
      </c>
      <c r="V170" s="360" t="str">
        <f t="shared" si="10"/>
        <v>quinta-feira</v>
      </c>
    </row>
    <row r="171" spans="19:22">
      <c r="S171" s="357">
        <v>41684</v>
      </c>
      <c r="T171" s="359" t="str">
        <f t="shared" si="9"/>
        <v>sexta-feira</v>
      </c>
      <c r="U171" s="361">
        <v>40347</v>
      </c>
      <c r="V171" s="360" t="str">
        <f t="shared" si="10"/>
        <v>sexta-feira</v>
      </c>
    </row>
    <row r="172" spans="19:22">
      <c r="S172" s="357">
        <v>41685</v>
      </c>
      <c r="T172" s="359" t="str">
        <f t="shared" si="9"/>
        <v>sábado</v>
      </c>
      <c r="U172" s="361">
        <v>40348</v>
      </c>
      <c r="V172" s="360" t="str">
        <f t="shared" si="10"/>
        <v>sábado</v>
      </c>
    </row>
    <row r="173" spans="19:22">
      <c r="S173" s="357">
        <v>41686</v>
      </c>
      <c r="T173" s="359" t="str">
        <f t="shared" si="9"/>
        <v>domingo</v>
      </c>
      <c r="U173" s="361">
        <v>40349</v>
      </c>
      <c r="V173" s="360" t="str">
        <f t="shared" si="10"/>
        <v>domingo</v>
      </c>
    </row>
    <row r="174" spans="19:22">
      <c r="S174" s="357">
        <v>41687</v>
      </c>
      <c r="T174" s="359" t="str">
        <f t="shared" si="9"/>
        <v>segunda-feira</v>
      </c>
      <c r="U174" s="361">
        <v>40350</v>
      </c>
      <c r="V174" s="360" t="str">
        <f t="shared" si="10"/>
        <v>segunda-feira</v>
      </c>
    </row>
    <row r="175" spans="19:22">
      <c r="S175" s="357">
        <v>41688</v>
      </c>
      <c r="T175" s="359" t="str">
        <f t="shared" si="9"/>
        <v>terça-feira</v>
      </c>
      <c r="U175" s="361">
        <v>40351</v>
      </c>
      <c r="V175" s="360" t="str">
        <f t="shared" si="10"/>
        <v>terça-feira</v>
      </c>
    </row>
    <row r="176" spans="19:22">
      <c r="S176" s="357">
        <v>41689</v>
      </c>
      <c r="T176" s="359" t="str">
        <f t="shared" si="9"/>
        <v>quarta-feira</v>
      </c>
      <c r="U176" s="361">
        <v>40352</v>
      </c>
      <c r="V176" s="360" t="str">
        <f t="shared" si="10"/>
        <v>quarta-feira</v>
      </c>
    </row>
    <row r="177" spans="19:22">
      <c r="S177" s="357">
        <v>41690</v>
      </c>
      <c r="T177" s="359" t="str">
        <f t="shared" si="9"/>
        <v>quinta-feira</v>
      </c>
      <c r="U177" s="361">
        <v>40353</v>
      </c>
      <c r="V177" s="360" t="str">
        <f t="shared" si="10"/>
        <v>quinta-feira</v>
      </c>
    </row>
    <row r="178" spans="19:22">
      <c r="S178" s="357">
        <v>41691</v>
      </c>
      <c r="T178" s="359" t="str">
        <f t="shared" si="9"/>
        <v>sexta-feira</v>
      </c>
      <c r="U178" s="361">
        <v>40354</v>
      </c>
      <c r="V178" s="360" t="str">
        <f t="shared" si="10"/>
        <v>sexta-feira</v>
      </c>
    </row>
    <row r="179" spans="19:22">
      <c r="S179" s="357">
        <v>41692</v>
      </c>
      <c r="T179" s="359" t="str">
        <f t="shared" si="9"/>
        <v>sábado</v>
      </c>
      <c r="U179" s="361">
        <v>40355</v>
      </c>
      <c r="V179" s="360" t="str">
        <f t="shared" si="10"/>
        <v>sábado</v>
      </c>
    </row>
    <row r="180" spans="19:22">
      <c r="S180" s="357">
        <v>41693</v>
      </c>
      <c r="T180" s="359" t="str">
        <f t="shared" si="9"/>
        <v>domingo</v>
      </c>
      <c r="U180" s="361">
        <v>40356</v>
      </c>
      <c r="V180" s="360" t="str">
        <f t="shared" si="10"/>
        <v>domingo</v>
      </c>
    </row>
    <row r="181" spans="19:22">
      <c r="S181" s="357">
        <v>41694</v>
      </c>
      <c r="T181" s="359" t="str">
        <f t="shared" si="9"/>
        <v>segunda-feira</v>
      </c>
      <c r="U181" s="361">
        <v>40357</v>
      </c>
      <c r="V181" s="360" t="str">
        <f t="shared" si="10"/>
        <v>segunda-feira</v>
      </c>
    </row>
    <row r="182" spans="19:22">
      <c r="S182" s="357">
        <v>41695</v>
      </c>
      <c r="T182" s="359" t="str">
        <f t="shared" si="9"/>
        <v>terça-feira</v>
      </c>
      <c r="U182" s="361">
        <v>40358</v>
      </c>
      <c r="V182" s="360" t="str">
        <f t="shared" si="10"/>
        <v>terça-feira</v>
      </c>
    </row>
    <row r="183" spans="19:22">
      <c r="S183" s="357">
        <v>41696</v>
      </c>
      <c r="T183" s="359" t="str">
        <f t="shared" si="9"/>
        <v>quarta-feira</v>
      </c>
      <c r="U183" s="361">
        <v>40359</v>
      </c>
      <c r="V183" s="360" t="str">
        <f t="shared" si="10"/>
        <v>quarta-feira</v>
      </c>
    </row>
    <row r="184" spans="19:22">
      <c r="S184" s="357">
        <v>41697</v>
      </c>
      <c r="T184" s="359" t="str">
        <f t="shared" si="9"/>
        <v>quinta-feira</v>
      </c>
      <c r="U184" s="361">
        <v>40360</v>
      </c>
      <c r="V184" s="360" t="str">
        <f t="shared" si="10"/>
        <v>quinta-feira</v>
      </c>
    </row>
    <row r="185" spans="19:22">
      <c r="S185" s="357">
        <v>41698</v>
      </c>
      <c r="T185" s="359" t="str">
        <f t="shared" si="9"/>
        <v>sexta-feira</v>
      </c>
      <c r="U185" s="361">
        <v>40361</v>
      </c>
      <c r="V185" s="360" t="str">
        <f t="shared" si="10"/>
        <v>sexta-feira</v>
      </c>
    </row>
    <row r="186" spans="19:22">
      <c r="S186" s="357">
        <v>41699</v>
      </c>
      <c r="T186" s="359" t="str">
        <f t="shared" si="9"/>
        <v>sábado</v>
      </c>
      <c r="U186" s="361">
        <v>40362</v>
      </c>
      <c r="V186" s="360" t="str">
        <f t="shared" si="10"/>
        <v>sábado</v>
      </c>
    </row>
    <row r="187" spans="19:22">
      <c r="S187" s="357">
        <v>41700</v>
      </c>
      <c r="T187" s="359" t="str">
        <f t="shared" si="9"/>
        <v>domingo</v>
      </c>
      <c r="U187" s="361">
        <v>40363</v>
      </c>
      <c r="V187" s="360" t="str">
        <f t="shared" si="10"/>
        <v>domingo</v>
      </c>
    </row>
    <row r="188" spans="19:22">
      <c r="S188" s="357">
        <v>41701</v>
      </c>
      <c r="T188" s="359" t="str">
        <f t="shared" si="9"/>
        <v>segunda-feira</v>
      </c>
      <c r="U188" s="361">
        <v>40364</v>
      </c>
      <c r="V188" s="360" t="str">
        <f t="shared" si="10"/>
        <v>segunda-feira</v>
      </c>
    </row>
    <row r="189" spans="19:22">
      <c r="S189" s="357">
        <v>41702</v>
      </c>
      <c r="T189" s="359" t="str">
        <f t="shared" ref="T189:T200" si="11">TEXT(S189,"dddd")</f>
        <v>terça-feira</v>
      </c>
      <c r="U189" s="361">
        <v>40365</v>
      </c>
      <c r="V189" s="360" t="str">
        <f t="shared" si="10"/>
        <v>terça-feira</v>
      </c>
    </row>
    <row r="190" spans="19:22">
      <c r="S190" s="357">
        <v>41703</v>
      </c>
      <c r="T190" s="359" t="str">
        <f t="shared" si="11"/>
        <v>quarta-feira</v>
      </c>
      <c r="U190" s="361">
        <v>40366</v>
      </c>
      <c r="V190" s="360" t="str">
        <f t="shared" si="10"/>
        <v>quarta-feira</v>
      </c>
    </row>
    <row r="191" spans="19:22">
      <c r="S191" s="357">
        <v>41704</v>
      </c>
      <c r="T191" s="359" t="str">
        <f t="shared" si="11"/>
        <v>quinta-feira</v>
      </c>
      <c r="U191" s="361">
        <v>40367</v>
      </c>
      <c r="V191" s="360" t="str">
        <f t="shared" si="10"/>
        <v>quinta-feira</v>
      </c>
    </row>
    <row r="192" spans="19:22">
      <c r="S192" s="357">
        <v>41705</v>
      </c>
      <c r="T192" s="359" t="str">
        <f t="shared" si="11"/>
        <v>sexta-feira</v>
      </c>
      <c r="U192" s="361">
        <v>40368</v>
      </c>
      <c r="V192" s="360" t="str">
        <f t="shared" si="10"/>
        <v>sexta-feira</v>
      </c>
    </row>
    <row r="193" spans="19:22">
      <c r="S193" s="357">
        <v>41706</v>
      </c>
      <c r="T193" s="359" t="str">
        <f t="shared" si="11"/>
        <v>sábado</v>
      </c>
      <c r="U193" s="361">
        <v>40369</v>
      </c>
      <c r="V193" s="360" t="str">
        <f t="shared" si="10"/>
        <v>sábado</v>
      </c>
    </row>
    <row r="194" spans="19:22">
      <c r="S194" s="357">
        <v>41707</v>
      </c>
      <c r="T194" s="359" t="str">
        <f t="shared" si="11"/>
        <v>domingo</v>
      </c>
      <c r="U194" s="361">
        <v>40370</v>
      </c>
      <c r="V194" s="360" t="str">
        <f t="shared" si="10"/>
        <v>domingo</v>
      </c>
    </row>
    <row r="195" spans="19:22">
      <c r="S195" s="357">
        <v>41708</v>
      </c>
      <c r="T195" s="359" t="str">
        <f t="shared" si="11"/>
        <v>segunda-feira</v>
      </c>
      <c r="U195" s="361">
        <v>40371</v>
      </c>
      <c r="V195" s="360" t="str">
        <f t="shared" si="10"/>
        <v>segunda-feira</v>
      </c>
    </row>
    <row r="196" spans="19:22">
      <c r="S196" s="357">
        <v>41709</v>
      </c>
      <c r="T196" s="359" t="str">
        <f t="shared" si="11"/>
        <v>terça-feira</v>
      </c>
      <c r="U196" s="361">
        <v>40372</v>
      </c>
      <c r="V196" s="360" t="str">
        <f t="shared" si="10"/>
        <v>terça-feira</v>
      </c>
    </row>
    <row r="197" spans="19:22">
      <c r="S197" s="357">
        <v>41710</v>
      </c>
      <c r="T197" s="359" t="str">
        <f t="shared" si="11"/>
        <v>quarta-feira</v>
      </c>
      <c r="U197" s="361">
        <v>40373</v>
      </c>
      <c r="V197" s="360" t="str">
        <f t="shared" si="10"/>
        <v>quarta-feira</v>
      </c>
    </row>
    <row r="198" spans="19:22">
      <c r="S198" s="357">
        <v>41711</v>
      </c>
      <c r="T198" s="359" t="str">
        <f t="shared" si="11"/>
        <v>quinta-feira</v>
      </c>
      <c r="U198" s="361">
        <v>40374</v>
      </c>
      <c r="V198" s="360" t="str">
        <f t="shared" si="10"/>
        <v>quinta-feira</v>
      </c>
    </row>
    <row r="199" spans="19:22">
      <c r="S199" s="357">
        <v>41712</v>
      </c>
      <c r="T199" s="359" t="str">
        <f t="shared" si="11"/>
        <v>sexta-feira</v>
      </c>
      <c r="U199" s="361">
        <v>40375</v>
      </c>
      <c r="V199" s="360" t="str">
        <f t="shared" si="10"/>
        <v>sexta-feira</v>
      </c>
    </row>
    <row r="200" spans="19:22">
      <c r="S200" s="357">
        <v>41713</v>
      </c>
      <c r="T200" s="359" t="str">
        <f t="shared" si="11"/>
        <v>sábado</v>
      </c>
      <c r="U200" s="361">
        <v>40376</v>
      </c>
      <c r="V200" s="360" t="str">
        <f t="shared" si="10"/>
        <v>sábado</v>
      </c>
    </row>
    <row r="201" spans="19:22">
      <c r="S201" s="357">
        <v>41714</v>
      </c>
      <c r="T201" s="359" t="str">
        <f t="shared" ref="T201:T227" si="12">TEXT(S201,"dddd")</f>
        <v>domingo</v>
      </c>
      <c r="U201" s="361">
        <v>40377</v>
      </c>
      <c r="V201" s="360" t="str">
        <f t="shared" si="10"/>
        <v>domingo</v>
      </c>
    </row>
    <row r="202" spans="19:22">
      <c r="S202" s="357">
        <v>41715</v>
      </c>
      <c r="T202" s="359" t="str">
        <f t="shared" si="12"/>
        <v>segunda-feira</v>
      </c>
      <c r="U202" s="361">
        <v>40378</v>
      </c>
      <c r="V202" s="360" t="str">
        <f t="shared" si="10"/>
        <v>segunda-feira</v>
      </c>
    </row>
    <row r="203" spans="19:22">
      <c r="S203" s="357">
        <v>41716</v>
      </c>
      <c r="T203" s="359" t="str">
        <f t="shared" si="12"/>
        <v>terça-feira</v>
      </c>
      <c r="U203" s="361">
        <v>40379</v>
      </c>
      <c r="V203" s="360" t="str">
        <f t="shared" si="10"/>
        <v>terça-feira</v>
      </c>
    </row>
    <row r="204" spans="19:22">
      <c r="S204" s="357">
        <v>41717</v>
      </c>
      <c r="T204" s="359" t="str">
        <f t="shared" si="12"/>
        <v>quarta-feira</v>
      </c>
      <c r="U204" s="361">
        <v>40380</v>
      </c>
      <c r="V204" s="360" t="str">
        <f t="shared" si="10"/>
        <v>quarta-feira</v>
      </c>
    </row>
    <row r="205" spans="19:22">
      <c r="S205" s="357">
        <v>41718</v>
      </c>
      <c r="T205" s="359" t="str">
        <f t="shared" si="12"/>
        <v>quinta-feira</v>
      </c>
      <c r="U205" s="361">
        <v>40381</v>
      </c>
      <c r="V205" s="360" t="str">
        <f t="shared" si="10"/>
        <v>quinta-feira</v>
      </c>
    </row>
    <row r="206" spans="19:22">
      <c r="S206" s="357">
        <v>41719</v>
      </c>
      <c r="T206" s="359" t="str">
        <f t="shared" si="12"/>
        <v>sexta-feira</v>
      </c>
      <c r="U206" s="361">
        <v>40382</v>
      </c>
      <c r="V206" s="360" t="str">
        <f t="shared" si="10"/>
        <v>sexta-feira</v>
      </c>
    </row>
    <row r="207" spans="19:22">
      <c r="S207" s="357">
        <v>41720</v>
      </c>
      <c r="T207" s="359" t="str">
        <f t="shared" si="12"/>
        <v>sábado</v>
      </c>
      <c r="U207" s="361">
        <v>40383</v>
      </c>
      <c r="V207" s="360" t="str">
        <f t="shared" si="10"/>
        <v>sábado</v>
      </c>
    </row>
    <row r="208" spans="19:22">
      <c r="S208" s="357">
        <v>41721</v>
      </c>
      <c r="T208" s="359" t="str">
        <f t="shared" si="12"/>
        <v>domingo</v>
      </c>
      <c r="U208" s="361">
        <v>40384</v>
      </c>
      <c r="V208" s="360" t="str">
        <f t="shared" si="10"/>
        <v>domingo</v>
      </c>
    </row>
    <row r="209" spans="19:22">
      <c r="S209" s="357">
        <v>41722</v>
      </c>
      <c r="T209" s="359" t="str">
        <f t="shared" si="12"/>
        <v>segunda-feira</v>
      </c>
      <c r="U209" s="361">
        <v>40385</v>
      </c>
      <c r="V209" s="360" t="str">
        <f t="shared" si="10"/>
        <v>segunda-feira</v>
      </c>
    </row>
    <row r="210" spans="19:22">
      <c r="S210" s="357">
        <v>41723</v>
      </c>
      <c r="T210" s="359" t="str">
        <f t="shared" si="12"/>
        <v>terça-feira</v>
      </c>
      <c r="U210" s="361">
        <v>40386</v>
      </c>
      <c r="V210" s="360" t="str">
        <f t="shared" si="10"/>
        <v>terça-feira</v>
      </c>
    </row>
    <row r="211" spans="19:22">
      <c r="S211" s="357">
        <v>41724</v>
      </c>
      <c r="T211" s="359" t="str">
        <f t="shared" si="12"/>
        <v>quarta-feira</v>
      </c>
      <c r="U211" s="361">
        <v>40387</v>
      </c>
      <c r="V211" s="360" t="str">
        <f t="shared" si="10"/>
        <v>quarta-feira</v>
      </c>
    </row>
    <row r="212" spans="19:22">
      <c r="S212" s="357">
        <v>41725</v>
      </c>
      <c r="T212" s="359" t="str">
        <f t="shared" si="12"/>
        <v>quinta-feira</v>
      </c>
      <c r="U212" s="361">
        <v>40388</v>
      </c>
      <c r="V212" s="360" t="str">
        <f t="shared" si="10"/>
        <v>quinta-feira</v>
      </c>
    </row>
    <row r="213" spans="19:22">
      <c r="S213" s="357">
        <v>41726</v>
      </c>
      <c r="T213" s="359" t="str">
        <f t="shared" si="12"/>
        <v>sexta-feira</v>
      </c>
      <c r="U213" s="361">
        <v>40389</v>
      </c>
      <c r="V213" s="360" t="str">
        <f t="shared" si="10"/>
        <v>sexta-feira</v>
      </c>
    </row>
    <row r="214" spans="19:22">
      <c r="S214" s="357">
        <v>41727</v>
      </c>
      <c r="T214" s="359" t="str">
        <f t="shared" si="12"/>
        <v>sábado</v>
      </c>
      <c r="U214" s="361">
        <v>40390</v>
      </c>
      <c r="V214" s="360" t="str">
        <f t="shared" si="10"/>
        <v>sábado</v>
      </c>
    </row>
    <row r="215" spans="19:22">
      <c r="S215" s="357">
        <v>41728</v>
      </c>
      <c r="T215" s="359" t="str">
        <f t="shared" si="12"/>
        <v>domingo</v>
      </c>
      <c r="U215" s="361">
        <v>40391</v>
      </c>
      <c r="V215" s="360" t="str">
        <f t="shared" si="10"/>
        <v>domingo</v>
      </c>
    </row>
    <row r="216" spans="19:22">
      <c r="S216" s="357">
        <v>41729</v>
      </c>
      <c r="T216" s="359" t="str">
        <f t="shared" si="12"/>
        <v>segunda-feira</v>
      </c>
      <c r="U216" s="361">
        <v>40392</v>
      </c>
      <c r="V216" s="360" t="str">
        <f t="shared" si="10"/>
        <v>segunda-feira</v>
      </c>
    </row>
    <row r="217" spans="19:22">
      <c r="S217" s="357">
        <v>41730</v>
      </c>
      <c r="T217" s="359" t="str">
        <f t="shared" si="12"/>
        <v>terça-feira</v>
      </c>
      <c r="U217" s="361">
        <v>40393</v>
      </c>
      <c r="V217" s="360" t="str">
        <f t="shared" si="10"/>
        <v>terça-feira</v>
      </c>
    </row>
    <row r="218" spans="19:22">
      <c r="S218" s="357">
        <v>41731</v>
      </c>
      <c r="T218" s="359" t="str">
        <f t="shared" si="12"/>
        <v>quarta-feira</v>
      </c>
      <c r="U218" s="361">
        <v>40394</v>
      </c>
      <c r="V218" s="360" t="str">
        <f t="shared" si="10"/>
        <v>quarta-feira</v>
      </c>
    </row>
    <row r="219" spans="19:22">
      <c r="S219" s="357">
        <v>41732</v>
      </c>
      <c r="T219" s="359" t="str">
        <f t="shared" si="12"/>
        <v>quinta-feira</v>
      </c>
      <c r="U219" s="361">
        <v>40395</v>
      </c>
      <c r="V219" s="360" t="str">
        <f t="shared" si="10"/>
        <v>quinta-feira</v>
      </c>
    </row>
    <row r="220" spans="19:22">
      <c r="S220" s="357">
        <v>41733</v>
      </c>
      <c r="T220" s="359" t="str">
        <f t="shared" si="12"/>
        <v>sexta-feira</v>
      </c>
      <c r="U220" s="361">
        <v>40396</v>
      </c>
      <c r="V220" s="360" t="str">
        <f t="shared" si="10"/>
        <v>sexta-feira</v>
      </c>
    </row>
    <row r="221" spans="19:22">
      <c r="S221" s="357">
        <v>41734</v>
      </c>
      <c r="T221" s="359" t="str">
        <f t="shared" si="12"/>
        <v>sábado</v>
      </c>
      <c r="U221" s="361">
        <v>40397</v>
      </c>
      <c r="V221" s="360" t="str">
        <f t="shared" si="10"/>
        <v>sábado</v>
      </c>
    </row>
    <row r="222" spans="19:22">
      <c r="S222" s="357">
        <v>41735</v>
      </c>
      <c r="T222" s="359" t="str">
        <f t="shared" si="12"/>
        <v>domingo</v>
      </c>
      <c r="U222" s="361">
        <v>40398</v>
      </c>
      <c r="V222" s="360" t="str">
        <f t="shared" si="10"/>
        <v>domingo</v>
      </c>
    </row>
    <row r="223" spans="19:22">
      <c r="S223" s="357">
        <v>41736</v>
      </c>
      <c r="T223" s="359" t="str">
        <f t="shared" si="12"/>
        <v>segunda-feira</v>
      </c>
      <c r="U223" s="361">
        <v>40399</v>
      </c>
      <c r="V223" s="360" t="str">
        <f t="shared" si="10"/>
        <v>segunda-feira</v>
      </c>
    </row>
    <row r="224" spans="19:22">
      <c r="S224" s="357">
        <v>41737</v>
      </c>
      <c r="T224" s="359" t="str">
        <f t="shared" si="12"/>
        <v>terça-feira</v>
      </c>
      <c r="U224" s="361">
        <v>40400</v>
      </c>
      <c r="V224" s="360" t="str">
        <f t="shared" si="10"/>
        <v>terça-feira</v>
      </c>
    </row>
    <row r="225" spans="19:22">
      <c r="S225" s="357">
        <v>41738</v>
      </c>
      <c r="T225" s="359" t="str">
        <f t="shared" si="12"/>
        <v>quarta-feira</v>
      </c>
      <c r="U225" s="361">
        <v>40401</v>
      </c>
      <c r="V225" s="360" t="str">
        <f t="shared" si="10"/>
        <v>quarta-feira</v>
      </c>
    </row>
    <row r="226" spans="19:22">
      <c r="S226" s="357">
        <v>41739</v>
      </c>
      <c r="T226" s="359" t="str">
        <f t="shared" si="12"/>
        <v>quinta-feira</v>
      </c>
      <c r="U226" s="361">
        <v>40402</v>
      </c>
      <c r="V226" s="360" t="str">
        <f t="shared" si="10"/>
        <v>quinta-feira</v>
      </c>
    </row>
    <row r="227" spans="19:22">
      <c r="S227" s="357">
        <v>41740</v>
      </c>
      <c r="T227" s="359" t="str">
        <f t="shared" si="12"/>
        <v>sexta-feira</v>
      </c>
      <c r="U227" s="361">
        <v>40403</v>
      </c>
      <c r="V227" s="360" t="str">
        <f t="shared" si="10"/>
        <v>sexta-feira</v>
      </c>
    </row>
    <row r="228" spans="19:22">
      <c r="S228" s="357">
        <v>41741</v>
      </c>
      <c r="T228" s="359" t="str">
        <f t="shared" ref="T228:T291" si="13">TEXT(S228,"dddd")</f>
        <v>sábado</v>
      </c>
      <c r="U228" s="361">
        <v>40404</v>
      </c>
      <c r="V228" s="360" t="str">
        <f t="shared" si="10"/>
        <v>sábado</v>
      </c>
    </row>
    <row r="229" spans="19:22">
      <c r="S229" s="357">
        <v>41742</v>
      </c>
      <c r="T229" s="359" t="str">
        <f t="shared" si="13"/>
        <v>domingo</v>
      </c>
      <c r="U229" s="361">
        <v>40405</v>
      </c>
      <c r="V229" s="360" t="str">
        <f t="shared" si="10"/>
        <v>domingo</v>
      </c>
    </row>
    <row r="230" spans="19:22">
      <c r="S230" s="357">
        <v>41743</v>
      </c>
      <c r="T230" s="359" t="str">
        <f t="shared" si="13"/>
        <v>segunda-feira</v>
      </c>
      <c r="U230" s="361">
        <v>40406</v>
      </c>
      <c r="V230" s="360" t="str">
        <f t="shared" si="10"/>
        <v>segunda-feira</v>
      </c>
    </row>
    <row r="231" spans="19:22">
      <c r="S231" s="357">
        <v>41744</v>
      </c>
      <c r="T231" s="359" t="str">
        <f t="shared" si="13"/>
        <v>terça-feira</v>
      </c>
      <c r="U231" s="361">
        <v>40407</v>
      </c>
      <c r="V231" s="360" t="str">
        <f t="shared" si="10"/>
        <v>terça-feira</v>
      </c>
    </row>
    <row r="232" spans="19:22">
      <c r="S232" s="357">
        <v>41745</v>
      </c>
      <c r="T232" s="359" t="str">
        <f t="shared" si="13"/>
        <v>quarta-feira</v>
      </c>
      <c r="U232" s="361">
        <v>40408</v>
      </c>
      <c r="V232" s="360" t="str">
        <f t="shared" si="10"/>
        <v>quarta-feira</v>
      </c>
    </row>
    <row r="233" spans="19:22">
      <c r="S233" s="357">
        <v>41746</v>
      </c>
      <c r="T233" s="359" t="str">
        <f t="shared" si="13"/>
        <v>quinta-feira</v>
      </c>
      <c r="U233" s="361">
        <v>40409</v>
      </c>
      <c r="V233" s="360" t="str">
        <f t="shared" ref="V233:V296" si="14">TEXT(U233,"dddd")</f>
        <v>quinta-feira</v>
      </c>
    </row>
    <row r="234" spans="19:22">
      <c r="S234" s="357">
        <v>41747</v>
      </c>
      <c r="T234" s="359" t="str">
        <f t="shared" si="13"/>
        <v>sexta-feira</v>
      </c>
      <c r="U234" s="361">
        <v>40410</v>
      </c>
      <c r="V234" s="360" t="str">
        <f t="shared" si="14"/>
        <v>sexta-feira</v>
      </c>
    </row>
    <row r="235" spans="19:22">
      <c r="S235" s="357">
        <v>41748</v>
      </c>
      <c r="T235" s="359" t="str">
        <f t="shared" si="13"/>
        <v>sábado</v>
      </c>
      <c r="U235" s="361">
        <v>40411</v>
      </c>
      <c r="V235" s="360" t="str">
        <f t="shared" si="14"/>
        <v>sábado</v>
      </c>
    </row>
    <row r="236" spans="19:22">
      <c r="S236" s="357">
        <v>41749</v>
      </c>
      <c r="T236" s="359" t="str">
        <f t="shared" si="13"/>
        <v>domingo</v>
      </c>
      <c r="U236" s="361">
        <v>40412</v>
      </c>
      <c r="V236" s="360" t="str">
        <f t="shared" si="14"/>
        <v>domingo</v>
      </c>
    </row>
    <row r="237" spans="19:22">
      <c r="S237" s="357">
        <v>41750</v>
      </c>
      <c r="T237" s="359" t="str">
        <f t="shared" si="13"/>
        <v>segunda-feira</v>
      </c>
      <c r="U237" s="361">
        <v>40413</v>
      </c>
      <c r="V237" s="360" t="str">
        <f t="shared" si="14"/>
        <v>segunda-feira</v>
      </c>
    </row>
    <row r="238" spans="19:22">
      <c r="S238" s="357">
        <v>41751</v>
      </c>
      <c r="T238" s="359" t="str">
        <f t="shared" si="13"/>
        <v>terça-feira</v>
      </c>
      <c r="U238" s="361">
        <v>40414</v>
      </c>
      <c r="V238" s="360" t="str">
        <f t="shared" si="14"/>
        <v>terça-feira</v>
      </c>
    </row>
    <row r="239" spans="19:22">
      <c r="S239" s="357">
        <v>41752</v>
      </c>
      <c r="T239" s="359" t="str">
        <f t="shared" si="13"/>
        <v>quarta-feira</v>
      </c>
      <c r="U239" s="361">
        <v>40415</v>
      </c>
      <c r="V239" s="360" t="str">
        <f t="shared" si="14"/>
        <v>quarta-feira</v>
      </c>
    </row>
    <row r="240" spans="19:22">
      <c r="S240" s="357">
        <v>41753</v>
      </c>
      <c r="T240" s="359" t="str">
        <f t="shared" si="13"/>
        <v>quinta-feira</v>
      </c>
      <c r="U240" s="361">
        <v>40416</v>
      </c>
      <c r="V240" s="360" t="str">
        <f t="shared" si="14"/>
        <v>quinta-feira</v>
      </c>
    </row>
    <row r="241" spans="19:22">
      <c r="S241" s="357">
        <v>41754</v>
      </c>
      <c r="T241" s="359" t="str">
        <f t="shared" si="13"/>
        <v>sexta-feira</v>
      </c>
      <c r="U241" s="361">
        <v>40417</v>
      </c>
      <c r="V241" s="360" t="str">
        <f t="shared" si="14"/>
        <v>sexta-feira</v>
      </c>
    </row>
    <row r="242" spans="19:22">
      <c r="S242" s="357">
        <v>41755</v>
      </c>
      <c r="T242" s="359" t="str">
        <f t="shared" si="13"/>
        <v>sábado</v>
      </c>
      <c r="U242" s="361">
        <v>40418</v>
      </c>
      <c r="V242" s="360" t="str">
        <f t="shared" si="14"/>
        <v>sábado</v>
      </c>
    </row>
    <row r="243" spans="19:22">
      <c r="S243" s="357">
        <v>41756</v>
      </c>
      <c r="T243" s="359" t="str">
        <f t="shared" si="13"/>
        <v>domingo</v>
      </c>
      <c r="U243" s="361">
        <v>40419</v>
      </c>
      <c r="V243" s="360" t="str">
        <f t="shared" si="14"/>
        <v>domingo</v>
      </c>
    </row>
    <row r="244" spans="19:22">
      <c r="S244" s="357">
        <v>41757</v>
      </c>
      <c r="T244" s="359" t="str">
        <f t="shared" si="13"/>
        <v>segunda-feira</v>
      </c>
      <c r="U244" s="361">
        <v>40420</v>
      </c>
      <c r="V244" s="360" t="str">
        <f t="shared" si="14"/>
        <v>segunda-feira</v>
      </c>
    </row>
    <row r="245" spans="19:22">
      <c r="S245" s="357">
        <v>41758</v>
      </c>
      <c r="T245" s="359" t="str">
        <f t="shared" si="13"/>
        <v>terça-feira</v>
      </c>
      <c r="U245" s="361">
        <v>40421</v>
      </c>
      <c r="V245" s="360" t="str">
        <f t="shared" si="14"/>
        <v>terça-feira</v>
      </c>
    </row>
    <row r="246" spans="19:22">
      <c r="S246" s="357">
        <v>41759</v>
      </c>
      <c r="T246" s="359" t="str">
        <f t="shared" si="13"/>
        <v>quarta-feira</v>
      </c>
      <c r="U246" s="361">
        <v>40422</v>
      </c>
      <c r="V246" s="360" t="str">
        <f t="shared" si="14"/>
        <v>quarta-feira</v>
      </c>
    </row>
    <row r="247" spans="19:22">
      <c r="S247" s="357">
        <v>41760</v>
      </c>
      <c r="T247" s="359" t="str">
        <f t="shared" si="13"/>
        <v>quinta-feira</v>
      </c>
      <c r="U247" s="361">
        <v>40423</v>
      </c>
      <c r="V247" s="360" t="str">
        <f t="shared" si="14"/>
        <v>quinta-feira</v>
      </c>
    </row>
    <row r="248" spans="19:22">
      <c r="S248" s="357">
        <v>41761</v>
      </c>
      <c r="T248" s="359" t="str">
        <f t="shared" si="13"/>
        <v>sexta-feira</v>
      </c>
      <c r="U248" s="361">
        <v>40424</v>
      </c>
      <c r="V248" s="360" t="str">
        <f t="shared" si="14"/>
        <v>sexta-feira</v>
      </c>
    </row>
    <row r="249" spans="19:22">
      <c r="S249" s="357">
        <v>41762</v>
      </c>
      <c r="T249" s="359" t="str">
        <f t="shared" si="13"/>
        <v>sábado</v>
      </c>
      <c r="U249" s="361">
        <v>40425</v>
      </c>
      <c r="V249" s="360" t="str">
        <f t="shared" si="14"/>
        <v>sábado</v>
      </c>
    </row>
    <row r="250" spans="19:22">
      <c r="S250" s="357">
        <v>41763</v>
      </c>
      <c r="T250" s="359" t="str">
        <f t="shared" si="13"/>
        <v>domingo</v>
      </c>
      <c r="U250" s="361">
        <v>40426</v>
      </c>
      <c r="V250" s="360" t="str">
        <f t="shared" si="14"/>
        <v>domingo</v>
      </c>
    </row>
    <row r="251" spans="19:22">
      <c r="S251" s="357">
        <v>41764</v>
      </c>
      <c r="T251" s="359" t="str">
        <f t="shared" si="13"/>
        <v>segunda-feira</v>
      </c>
      <c r="U251" s="361">
        <v>40427</v>
      </c>
      <c r="V251" s="360" t="str">
        <f t="shared" si="14"/>
        <v>segunda-feira</v>
      </c>
    </row>
    <row r="252" spans="19:22">
      <c r="S252" s="357">
        <v>41765</v>
      </c>
      <c r="T252" s="359" t="str">
        <f t="shared" si="13"/>
        <v>terça-feira</v>
      </c>
      <c r="U252" s="361">
        <v>40428</v>
      </c>
      <c r="V252" s="360" t="str">
        <f t="shared" si="14"/>
        <v>terça-feira</v>
      </c>
    </row>
    <row r="253" spans="19:22">
      <c r="S253" s="357">
        <v>41766</v>
      </c>
      <c r="T253" s="359" t="str">
        <f t="shared" si="13"/>
        <v>quarta-feira</v>
      </c>
      <c r="U253" s="361">
        <v>40429</v>
      </c>
      <c r="V253" s="360" t="str">
        <f t="shared" si="14"/>
        <v>quarta-feira</v>
      </c>
    </row>
    <row r="254" spans="19:22">
      <c r="S254" s="357">
        <v>41767</v>
      </c>
      <c r="T254" s="359" t="str">
        <f t="shared" si="13"/>
        <v>quinta-feira</v>
      </c>
      <c r="U254" s="361">
        <v>40430</v>
      </c>
      <c r="V254" s="360" t="str">
        <f t="shared" si="14"/>
        <v>quinta-feira</v>
      </c>
    </row>
    <row r="255" spans="19:22">
      <c r="S255" s="357">
        <v>41768</v>
      </c>
      <c r="T255" s="359" t="str">
        <f t="shared" si="13"/>
        <v>sexta-feira</v>
      </c>
      <c r="U255" s="361">
        <v>40431</v>
      </c>
      <c r="V255" s="360" t="str">
        <f t="shared" si="14"/>
        <v>sexta-feira</v>
      </c>
    </row>
    <row r="256" spans="19:22">
      <c r="S256" s="357">
        <v>41769</v>
      </c>
      <c r="T256" s="359" t="str">
        <f t="shared" si="13"/>
        <v>sábado</v>
      </c>
      <c r="U256" s="361">
        <v>40432</v>
      </c>
      <c r="V256" s="360" t="str">
        <f t="shared" si="14"/>
        <v>sábado</v>
      </c>
    </row>
    <row r="257" spans="19:22">
      <c r="S257" s="357">
        <v>41770</v>
      </c>
      <c r="T257" s="359" t="str">
        <f t="shared" si="13"/>
        <v>domingo</v>
      </c>
      <c r="U257" s="361">
        <v>40433</v>
      </c>
      <c r="V257" s="360" t="str">
        <f t="shared" si="14"/>
        <v>domingo</v>
      </c>
    </row>
    <row r="258" spans="19:22">
      <c r="S258" s="357">
        <v>41771</v>
      </c>
      <c r="T258" s="359" t="str">
        <f t="shared" si="13"/>
        <v>segunda-feira</v>
      </c>
      <c r="U258" s="361">
        <v>40434</v>
      </c>
      <c r="V258" s="360" t="str">
        <f t="shared" si="14"/>
        <v>segunda-feira</v>
      </c>
    </row>
    <row r="259" spans="19:22">
      <c r="S259" s="357">
        <v>41772</v>
      </c>
      <c r="T259" s="359" t="str">
        <f t="shared" si="13"/>
        <v>terça-feira</v>
      </c>
      <c r="U259" s="361">
        <v>40435</v>
      </c>
      <c r="V259" s="360" t="str">
        <f t="shared" si="14"/>
        <v>terça-feira</v>
      </c>
    </row>
    <row r="260" spans="19:22">
      <c r="S260" s="357">
        <v>41773</v>
      </c>
      <c r="T260" s="359" t="str">
        <f t="shared" si="13"/>
        <v>quarta-feira</v>
      </c>
      <c r="U260" s="361">
        <v>40436</v>
      </c>
      <c r="V260" s="360" t="str">
        <f t="shared" si="14"/>
        <v>quarta-feira</v>
      </c>
    </row>
    <row r="261" spans="19:22">
      <c r="S261" s="357">
        <v>41774</v>
      </c>
      <c r="T261" s="359" t="str">
        <f t="shared" si="13"/>
        <v>quinta-feira</v>
      </c>
      <c r="U261" s="361">
        <v>40437</v>
      </c>
      <c r="V261" s="360" t="str">
        <f t="shared" si="14"/>
        <v>quinta-feira</v>
      </c>
    </row>
    <row r="262" spans="19:22">
      <c r="S262" s="357">
        <v>41775</v>
      </c>
      <c r="T262" s="359" t="str">
        <f t="shared" si="13"/>
        <v>sexta-feira</v>
      </c>
      <c r="U262" s="361">
        <v>40438</v>
      </c>
      <c r="V262" s="360" t="str">
        <f t="shared" si="14"/>
        <v>sexta-feira</v>
      </c>
    </row>
    <row r="263" spans="19:22">
      <c r="S263" s="357">
        <v>41776</v>
      </c>
      <c r="T263" s="359" t="str">
        <f t="shared" si="13"/>
        <v>sábado</v>
      </c>
      <c r="U263" s="361">
        <v>40439</v>
      </c>
      <c r="V263" s="360" t="str">
        <f t="shared" si="14"/>
        <v>sábado</v>
      </c>
    </row>
    <row r="264" spans="19:22">
      <c r="S264" s="357">
        <v>41777</v>
      </c>
      <c r="T264" s="359" t="str">
        <f t="shared" si="13"/>
        <v>domingo</v>
      </c>
      <c r="U264" s="361">
        <v>40440</v>
      </c>
      <c r="V264" s="360" t="str">
        <f t="shared" si="14"/>
        <v>domingo</v>
      </c>
    </row>
    <row r="265" spans="19:22">
      <c r="S265" s="357">
        <v>41778</v>
      </c>
      <c r="T265" s="359" t="str">
        <f t="shared" si="13"/>
        <v>segunda-feira</v>
      </c>
      <c r="U265" s="361">
        <v>40441</v>
      </c>
      <c r="V265" s="360" t="str">
        <f t="shared" si="14"/>
        <v>segunda-feira</v>
      </c>
    </row>
    <row r="266" spans="19:22">
      <c r="S266" s="357">
        <v>41779</v>
      </c>
      <c r="T266" s="359" t="str">
        <f t="shared" si="13"/>
        <v>terça-feira</v>
      </c>
      <c r="U266" s="361">
        <v>40442</v>
      </c>
      <c r="V266" s="360" t="str">
        <f t="shared" si="14"/>
        <v>terça-feira</v>
      </c>
    </row>
    <row r="267" spans="19:22">
      <c r="S267" s="357">
        <v>41780</v>
      </c>
      <c r="T267" s="359" t="str">
        <f t="shared" si="13"/>
        <v>quarta-feira</v>
      </c>
      <c r="U267" s="361">
        <v>40443</v>
      </c>
      <c r="V267" s="360" t="str">
        <f t="shared" si="14"/>
        <v>quarta-feira</v>
      </c>
    </row>
    <row r="268" spans="19:22">
      <c r="S268" s="357">
        <v>41781</v>
      </c>
      <c r="T268" s="359" t="str">
        <f t="shared" si="13"/>
        <v>quinta-feira</v>
      </c>
      <c r="U268" s="361">
        <v>40444</v>
      </c>
      <c r="V268" s="360" t="str">
        <f t="shared" si="14"/>
        <v>quinta-feira</v>
      </c>
    </row>
    <row r="269" spans="19:22">
      <c r="S269" s="357">
        <v>41782</v>
      </c>
      <c r="T269" s="359" t="str">
        <f t="shared" si="13"/>
        <v>sexta-feira</v>
      </c>
      <c r="U269" s="361">
        <v>40445</v>
      </c>
      <c r="V269" s="360" t="str">
        <f t="shared" si="14"/>
        <v>sexta-feira</v>
      </c>
    </row>
    <row r="270" spans="19:22">
      <c r="S270" s="357">
        <v>41783</v>
      </c>
      <c r="T270" s="359" t="str">
        <f t="shared" si="13"/>
        <v>sábado</v>
      </c>
      <c r="U270" s="361">
        <v>40446</v>
      </c>
      <c r="V270" s="360" t="str">
        <f t="shared" si="14"/>
        <v>sábado</v>
      </c>
    </row>
    <row r="271" spans="19:22">
      <c r="S271" s="357">
        <v>41784</v>
      </c>
      <c r="T271" s="359" t="str">
        <f t="shared" si="13"/>
        <v>domingo</v>
      </c>
      <c r="U271" s="361">
        <v>40447</v>
      </c>
      <c r="V271" s="360" t="str">
        <f t="shared" si="14"/>
        <v>domingo</v>
      </c>
    </row>
    <row r="272" spans="19:22">
      <c r="S272" s="357">
        <v>41785</v>
      </c>
      <c r="T272" s="359" t="str">
        <f t="shared" si="13"/>
        <v>segunda-feira</v>
      </c>
      <c r="U272" s="361">
        <v>40448</v>
      </c>
      <c r="V272" s="360" t="str">
        <f t="shared" si="14"/>
        <v>segunda-feira</v>
      </c>
    </row>
    <row r="273" spans="19:22">
      <c r="S273" s="357">
        <v>41786</v>
      </c>
      <c r="T273" s="359" t="str">
        <f t="shared" si="13"/>
        <v>terça-feira</v>
      </c>
      <c r="U273" s="361">
        <v>40449</v>
      </c>
      <c r="V273" s="360" t="str">
        <f t="shared" si="14"/>
        <v>terça-feira</v>
      </c>
    </row>
    <row r="274" spans="19:22">
      <c r="S274" s="357">
        <v>41787</v>
      </c>
      <c r="T274" s="359" t="str">
        <f t="shared" si="13"/>
        <v>quarta-feira</v>
      </c>
      <c r="U274" s="361">
        <v>40450</v>
      </c>
      <c r="V274" s="360" t="str">
        <f t="shared" si="14"/>
        <v>quarta-feira</v>
      </c>
    </row>
    <row r="275" spans="19:22">
      <c r="S275" s="357">
        <v>41788</v>
      </c>
      <c r="T275" s="359" t="str">
        <f t="shared" si="13"/>
        <v>quinta-feira</v>
      </c>
      <c r="U275" s="361">
        <v>40451</v>
      </c>
      <c r="V275" s="360" t="str">
        <f t="shared" si="14"/>
        <v>quinta-feira</v>
      </c>
    </row>
    <row r="276" spans="19:22">
      <c r="S276" s="357">
        <v>41789</v>
      </c>
      <c r="T276" s="359" t="str">
        <f t="shared" si="13"/>
        <v>sexta-feira</v>
      </c>
      <c r="U276" s="361">
        <v>40452</v>
      </c>
      <c r="V276" s="360" t="str">
        <f t="shared" si="14"/>
        <v>sexta-feira</v>
      </c>
    </row>
    <row r="277" spans="19:22">
      <c r="S277" s="357">
        <v>41790</v>
      </c>
      <c r="T277" s="359" t="str">
        <f t="shared" si="13"/>
        <v>sábado</v>
      </c>
      <c r="U277" s="361">
        <v>40453</v>
      </c>
      <c r="V277" s="360" t="str">
        <f t="shared" si="14"/>
        <v>sábado</v>
      </c>
    </row>
    <row r="278" spans="19:22">
      <c r="S278" s="357">
        <v>41791</v>
      </c>
      <c r="T278" s="359" t="str">
        <f t="shared" si="13"/>
        <v>domingo</v>
      </c>
      <c r="U278" s="361">
        <v>40454</v>
      </c>
      <c r="V278" s="360" t="str">
        <f t="shared" si="14"/>
        <v>domingo</v>
      </c>
    </row>
    <row r="279" spans="19:22">
      <c r="S279" s="357">
        <v>41792</v>
      </c>
      <c r="T279" s="359" t="str">
        <f t="shared" si="13"/>
        <v>segunda-feira</v>
      </c>
      <c r="U279" s="361">
        <v>40455</v>
      </c>
      <c r="V279" s="360" t="str">
        <f t="shared" si="14"/>
        <v>segunda-feira</v>
      </c>
    </row>
    <row r="280" spans="19:22">
      <c r="S280" s="357">
        <v>41793</v>
      </c>
      <c r="T280" s="359" t="str">
        <f t="shared" si="13"/>
        <v>terça-feira</v>
      </c>
      <c r="U280" s="361">
        <v>40456</v>
      </c>
      <c r="V280" s="360" t="str">
        <f t="shared" si="14"/>
        <v>terça-feira</v>
      </c>
    </row>
    <row r="281" spans="19:22">
      <c r="S281" s="357">
        <v>41794</v>
      </c>
      <c r="T281" s="359" t="str">
        <f t="shared" si="13"/>
        <v>quarta-feira</v>
      </c>
      <c r="U281" s="361">
        <v>40457</v>
      </c>
      <c r="V281" s="360" t="str">
        <f t="shared" si="14"/>
        <v>quarta-feira</v>
      </c>
    </row>
    <row r="282" spans="19:22">
      <c r="S282" s="357">
        <v>41795</v>
      </c>
      <c r="T282" s="359" t="str">
        <f t="shared" si="13"/>
        <v>quinta-feira</v>
      </c>
      <c r="U282" s="361">
        <v>40458</v>
      </c>
      <c r="V282" s="360" t="str">
        <f t="shared" si="14"/>
        <v>quinta-feira</v>
      </c>
    </row>
    <row r="283" spans="19:22">
      <c r="S283" s="357">
        <v>41796</v>
      </c>
      <c r="T283" s="359" t="str">
        <f t="shared" si="13"/>
        <v>sexta-feira</v>
      </c>
      <c r="U283" s="361">
        <v>40459</v>
      </c>
      <c r="V283" s="360" t="str">
        <f t="shared" si="14"/>
        <v>sexta-feira</v>
      </c>
    </row>
    <row r="284" spans="19:22">
      <c r="S284" s="357">
        <v>41797</v>
      </c>
      <c r="T284" s="359" t="str">
        <f t="shared" si="13"/>
        <v>sábado</v>
      </c>
      <c r="U284" s="361">
        <v>40460</v>
      </c>
      <c r="V284" s="360" t="str">
        <f t="shared" si="14"/>
        <v>sábado</v>
      </c>
    </row>
    <row r="285" spans="19:22">
      <c r="S285" s="357">
        <v>41798</v>
      </c>
      <c r="T285" s="359" t="str">
        <f t="shared" si="13"/>
        <v>domingo</v>
      </c>
      <c r="U285" s="361">
        <v>40461</v>
      </c>
      <c r="V285" s="360" t="str">
        <f t="shared" si="14"/>
        <v>domingo</v>
      </c>
    </row>
    <row r="286" spans="19:22">
      <c r="S286" s="357">
        <v>41799</v>
      </c>
      <c r="T286" s="359" t="str">
        <f t="shared" si="13"/>
        <v>segunda-feira</v>
      </c>
      <c r="U286" s="361">
        <v>40462</v>
      </c>
      <c r="V286" s="360" t="str">
        <f t="shared" si="14"/>
        <v>segunda-feira</v>
      </c>
    </row>
    <row r="287" spans="19:22">
      <c r="S287" s="357">
        <v>41800</v>
      </c>
      <c r="T287" s="359" t="str">
        <f t="shared" si="13"/>
        <v>terça-feira</v>
      </c>
      <c r="U287" s="361">
        <v>40463</v>
      </c>
      <c r="V287" s="360" t="str">
        <f t="shared" si="14"/>
        <v>terça-feira</v>
      </c>
    </row>
    <row r="288" spans="19:22">
      <c r="S288" s="357">
        <v>41801</v>
      </c>
      <c r="T288" s="359" t="str">
        <f t="shared" si="13"/>
        <v>quarta-feira</v>
      </c>
      <c r="U288" s="361">
        <v>40464</v>
      </c>
      <c r="V288" s="360" t="str">
        <f t="shared" si="14"/>
        <v>quarta-feira</v>
      </c>
    </row>
    <row r="289" spans="19:22">
      <c r="S289" s="357">
        <v>41802</v>
      </c>
      <c r="T289" s="359" t="str">
        <f t="shared" si="13"/>
        <v>quinta-feira</v>
      </c>
      <c r="U289" s="361">
        <v>40465</v>
      </c>
      <c r="V289" s="360" t="str">
        <f t="shared" si="14"/>
        <v>quinta-feira</v>
      </c>
    </row>
    <row r="290" spans="19:22">
      <c r="S290" s="357">
        <v>41803</v>
      </c>
      <c r="T290" s="359" t="str">
        <f t="shared" si="13"/>
        <v>sexta-feira</v>
      </c>
      <c r="U290" s="361">
        <v>40466</v>
      </c>
      <c r="V290" s="360" t="str">
        <f t="shared" si="14"/>
        <v>sexta-feira</v>
      </c>
    </row>
    <row r="291" spans="19:22">
      <c r="S291" s="357">
        <v>41804</v>
      </c>
      <c r="T291" s="359" t="str">
        <f t="shared" si="13"/>
        <v>sábado</v>
      </c>
      <c r="U291" s="361">
        <v>40467</v>
      </c>
      <c r="V291" s="360" t="str">
        <f t="shared" si="14"/>
        <v>sábado</v>
      </c>
    </row>
    <row r="292" spans="19:22">
      <c r="S292" s="357">
        <v>41805</v>
      </c>
      <c r="T292" s="359" t="str">
        <f t="shared" ref="T292:T310" si="15">TEXT(S292,"dddd")</f>
        <v>domingo</v>
      </c>
      <c r="U292" s="361">
        <v>40468</v>
      </c>
      <c r="V292" s="360" t="str">
        <f t="shared" si="14"/>
        <v>domingo</v>
      </c>
    </row>
    <row r="293" spans="19:22">
      <c r="S293" s="357">
        <v>41806</v>
      </c>
      <c r="T293" s="359" t="str">
        <f t="shared" si="15"/>
        <v>segunda-feira</v>
      </c>
      <c r="U293" s="361">
        <v>40469</v>
      </c>
      <c r="V293" s="360" t="str">
        <f t="shared" si="14"/>
        <v>segunda-feira</v>
      </c>
    </row>
    <row r="294" spans="19:22">
      <c r="S294" s="357">
        <v>41807</v>
      </c>
      <c r="T294" s="359" t="str">
        <f t="shared" si="15"/>
        <v>terça-feira</v>
      </c>
      <c r="U294" s="361">
        <v>40470</v>
      </c>
      <c r="V294" s="360" t="str">
        <f t="shared" si="14"/>
        <v>terça-feira</v>
      </c>
    </row>
    <row r="295" spans="19:22">
      <c r="S295" s="357">
        <v>41808</v>
      </c>
      <c r="T295" s="359" t="str">
        <f t="shared" si="15"/>
        <v>quarta-feira</v>
      </c>
      <c r="U295" s="361">
        <v>40471</v>
      </c>
      <c r="V295" s="360" t="str">
        <f t="shared" si="14"/>
        <v>quarta-feira</v>
      </c>
    </row>
    <row r="296" spans="19:22">
      <c r="S296" s="357">
        <v>41809</v>
      </c>
      <c r="T296" s="359" t="str">
        <f t="shared" si="15"/>
        <v>quinta-feira</v>
      </c>
      <c r="U296" s="361">
        <v>40472</v>
      </c>
      <c r="V296" s="360" t="str">
        <f t="shared" si="14"/>
        <v>quinta-feira</v>
      </c>
    </row>
    <row r="297" spans="19:22">
      <c r="S297" s="357">
        <v>41810</v>
      </c>
      <c r="T297" s="359" t="str">
        <f t="shared" si="15"/>
        <v>sexta-feira</v>
      </c>
      <c r="U297" s="361">
        <v>40473</v>
      </c>
      <c r="V297" s="360" t="str">
        <f t="shared" ref="V297:V360" si="16">TEXT(U297,"dddd")</f>
        <v>sexta-feira</v>
      </c>
    </row>
    <row r="298" spans="19:22">
      <c r="S298" s="357">
        <v>41811</v>
      </c>
      <c r="T298" s="359" t="str">
        <f t="shared" si="15"/>
        <v>sábado</v>
      </c>
      <c r="U298" s="361">
        <v>40474</v>
      </c>
      <c r="V298" s="360" t="str">
        <f t="shared" si="16"/>
        <v>sábado</v>
      </c>
    </row>
    <row r="299" spans="19:22">
      <c r="S299" s="357">
        <v>41812</v>
      </c>
      <c r="T299" s="359" t="str">
        <f t="shared" si="15"/>
        <v>domingo</v>
      </c>
      <c r="U299" s="361">
        <v>40475</v>
      </c>
      <c r="V299" s="360" t="str">
        <f t="shared" si="16"/>
        <v>domingo</v>
      </c>
    </row>
    <row r="300" spans="19:22">
      <c r="S300" s="357">
        <v>41813</v>
      </c>
      <c r="T300" s="359" t="str">
        <f t="shared" si="15"/>
        <v>segunda-feira</v>
      </c>
      <c r="U300" s="361">
        <v>40476</v>
      </c>
      <c r="V300" s="360" t="str">
        <f t="shared" si="16"/>
        <v>segunda-feira</v>
      </c>
    </row>
    <row r="301" spans="19:22">
      <c r="S301" s="357">
        <v>41814</v>
      </c>
      <c r="T301" s="359" t="str">
        <f t="shared" si="15"/>
        <v>terça-feira</v>
      </c>
      <c r="U301" s="361">
        <v>40477</v>
      </c>
      <c r="V301" s="360" t="str">
        <f t="shared" si="16"/>
        <v>terça-feira</v>
      </c>
    </row>
    <row r="302" spans="19:22">
      <c r="S302" s="357">
        <v>41815</v>
      </c>
      <c r="T302" s="359" t="str">
        <f t="shared" si="15"/>
        <v>quarta-feira</v>
      </c>
      <c r="U302" s="361">
        <v>40478</v>
      </c>
      <c r="V302" s="360" t="str">
        <f t="shared" si="16"/>
        <v>quarta-feira</v>
      </c>
    </row>
    <row r="303" spans="19:22">
      <c r="S303" s="357">
        <v>41816</v>
      </c>
      <c r="T303" s="359" t="str">
        <f t="shared" si="15"/>
        <v>quinta-feira</v>
      </c>
      <c r="U303" s="361">
        <v>40479</v>
      </c>
      <c r="V303" s="360" t="str">
        <f t="shared" si="16"/>
        <v>quinta-feira</v>
      </c>
    </row>
    <row r="304" spans="19:22">
      <c r="S304" s="357">
        <v>41817</v>
      </c>
      <c r="T304" s="359" t="str">
        <f t="shared" si="15"/>
        <v>sexta-feira</v>
      </c>
      <c r="U304" s="361">
        <v>40480</v>
      </c>
      <c r="V304" s="360" t="str">
        <f t="shared" si="16"/>
        <v>sexta-feira</v>
      </c>
    </row>
    <row r="305" spans="19:22">
      <c r="S305" s="357">
        <v>41818</v>
      </c>
      <c r="T305" s="359" t="str">
        <f t="shared" si="15"/>
        <v>sábado</v>
      </c>
      <c r="U305" s="361">
        <v>40481</v>
      </c>
      <c r="V305" s="360" t="str">
        <f t="shared" si="16"/>
        <v>sábado</v>
      </c>
    </row>
    <row r="306" spans="19:22">
      <c r="S306" s="357">
        <v>41819</v>
      </c>
      <c r="T306" s="359" t="str">
        <f t="shared" si="15"/>
        <v>domingo</v>
      </c>
      <c r="U306" s="361">
        <v>40482</v>
      </c>
      <c r="V306" s="360" t="str">
        <f t="shared" si="16"/>
        <v>domingo</v>
      </c>
    </row>
    <row r="307" spans="19:22">
      <c r="S307" s="357">
        <v>41820</v>
      </c>
      <c r="T307" s="359" t="str">
        <f t="shared" si="15"/>
        <v>segunda-feira</v>
      </c>
      <c r="U307" s="361">
        <v>40483</v>
      </c>
      <c r="V307" s="360" t="str">
        <f t="shared" si="16"/>
        <v>segunda-feira</v>
      </c>
    </row>
    <row r="308" spans="19:22">
      <c r="S308" s="357">
        <v>41821</v>
      </c>
      <c r="T308" s="359" t="str">
        <f t="shared" si="15"/>
        <v>terça-feira</v>
      </c>
      <c r="U308" s="361">
        <v>40484</v>
      </c>
      <c r="V308" s="360" t="str">
        <f t="shared" si="16"/>
        <v>terça-feira</v>
      </c>
    </row>
    <row r="309" spans="19:22">
      <c r="S309" s="357">
        <v>41822</v>
      </c>
      <c r="T309" s="359" t="str">
        <f t="shared" si="15"/>
        <v>quarta-feira</v>
      </c>
      <c r="U309" s="361">
        <v>40485</v>
      </c>
      <c r="V309" s="360" t="str">
        <f t="shared" si="16"/>
        <v>quarta-feira</v>
      </c>
    </row>
    <row r="310" spans="19:22">
      <c r="S310" s="357">
        <v>41823</v>
      </c>
      <c r="T310" s="359" t="str">
        <f t="shared" si="15"/>
        <v>quinta-feira</v>
      </c>
      <c r="U310" s="361">
        <v>40486</v>
      </c>
      <c r="V310" s="360" t="str">
        <f t="shared" si="16"/>
        <v>quinta-feira</v>
      </c>
    </row>
    <row r="311" spans="19:22">
      <c r="S311" s="357">
        <v>41824</v>
      </c>
      <c r="T311" s="359" t="str">
        <f t="shared" ref="T311:T374" si="17">TEXT(S311,"dddd")</f>
        <v>sexta-feira</v>
      </c>
      <c r="U311" s="361">
        <v>40487</v>
      </c>
      <c r="V311" s="360" t="str">
        <f t="shared" si="16"/>
        <v>sexta-feira</v>
      </c>
    </row>
    <row r="312" spans="19:22">
      <c r="S312" s="357">
        <v>41825</v>
      </c>
      <c r="T312" s="359" t="str">
        <f t="shared" si="17"/>
        <v>sábado</v>
      </c>
      <c r="U312" s="361">
        <v>40488</v>
      </c>
      <c r="V312" s="360" t="str">
        <f t="shared" si="16"/>
        <v>sábado</v>
      </c>
    </row>
    <row r="313" spans="19:22">
      <c r="S313" s="357">
        <v>41826</v>
      </c>
      <c r="T313" s="359" t="str">
        <f t="shared" si="17"/>
        <v>domingo</v>
      </c>
      <c r="U313" s="361">
        <v>40489</v>
      </c>
      <c r="V313" s="360" t="str">
        <f t="shared" si="16"/>
        <v>domingo</v>
      </c>
    </row>
    <row r="314" spans="19:22">
      <c r="S314" s="357">
        <v>41827</v>
      </c>
      <c r="T314" s="359" t="str">
        <f t="shared" si="17"/>
        <v>segunda-feira</v>
      </c>
      <c r="U314" s="361">
        <v>40490</v>
      </c>
      <c r="V314" s="360" t="str">
        <f t="shared" si="16"/>
        <v>segunda-feira</v>
      </c>
    </row>
    <row r="315" spans="19:22">
      <c r="S315" s="357">
        <v>41828</v>
      </c>
      <c r="T315" s="359" t="str">
        <f t="shared" si="17"/>
        <v>terça-feira</v>
      </c>
      <c r="U315" s="361">
        <v>40491</v>
      </c>
      <c r="V315" s="360" t="str">
        <f t="shared" si="16"/>
        <v>terça-feira</v>
      </c>
    </row>
    <row r="316" spans="19:22">
      <c r="S316" s="357">
        <v>41829</v>
      </c>
      <c r="T316" s="359" t="str">
        <f t="shared" si="17"/>
        <v>quarta-feira</v>
      </c>
      <c r="U316" s="361">
        <v>40492</v>
      </c>
      <c r="V316" s="360" t="str">
        <f t="shared" si="16"/>
        <v>quarta-feira</v>
      </c>
    </row>
    <row r="317" spans="19:22">
      <c r="S317" s="357">
        <v>41830</v>
      </c>
      <c r="T317" s="359" t="str">
        <f t="shared" si="17"/>
        <v>quinta-feira</v>
      </c>
      <c r="U317" s="361">
        <v>40493</v>
      </c>
      <c r="V317" s="360" t="str">
        <f t="shared" si="16"/>
        <v>quinta-feira</v>
      </c>
    </row>
    <row r="318" spans="19:22">
      <c r="S318" s="357">
        <v>41831</v>
      </c>
      <c r="T318" s="359" t="str">
        <f t="shared" si="17"/>
        <v>sexta-feira</v>
      </c>
      <c r="U318" s="361">
        <v>40494</v>
      </c>
      <c r="V318" s="360" t="str">
        <f t="shared" si="16"/>
        <v>sexta-feira</v>
      </c>
    </row>
    <row r="319" spans="19:22">
      <c r="S319" s="357">
        <v>41832</v>
      </c>
      <c r="T319" s="359" t="str">
        <f t="shared" si="17"/>
        <v>sábado</v>
      </c>
      <c r="U319" s="361">
        <v>40495</v>
      </c>
      <c r="V319" s="360" t="str">
        <f t="shared" si="16"/>
        <v>sábado</v>
      </c>
    </row>
    <row r="320" spans="19:22">
      <c r="S320" s="357">
        <v>41833</v>
      </c>
      <c r="T320" s="359" t="str">
        <f t="shared" si="17"/>
        <v>domingo</v>
      </c>
      <c r="U320" s="361">
        <v>40496</v>
      </c>
      <c r="V320" s="360" t="str">
        <f t="shared" si="16"/>
        <v>domingo</v>
      </c>
    </row>
    <row r="321" spans="19:22">
      <c r="S321" s="357">
        <v>41834</v>
      </c>
      <c r="T321" s="359" t="str">
        <f t="shared" si="17"/>
        <v>segunda-feira</v>
      </c>
      <c r="U321" s="361">
        <v>40497</v>
      </c>
      <c r="V321" s="360" t="str">
        <f t="shared" si="16"/>
        <v>segunda-feira</v>
      </c>
    </row>
    <row r="322" spans="19:22">
      <c r="S322" s="357">
        <v>41835</v>
      </c>
      <c r="T322" s="359" t="str">
        <f t="shared" si="17"/>
        <v>terça-feira</v>
      </c>
      <c r="U322" s="361">
        <v>40498</v>
      </c>
      <c r="V322" s="360" t="str">
        <f t="shared" si="16"/>
        <v>terça-feira</v>
      </c>
    </row>
    <row r="323" spans="19:22">
      <c r="S323" s="357">
        <v>41836</v>
      </c>
      <c r="T323" s="359" t="str">
        <f t="shared" si="17"/>
        <v>quarta-feira</v>
      </c>
      <c r="U323" s="361">
        <v>40499</v>
      </c>
      <c r="V323" s="360" t="str">
        <f t="shared" si="16"/>
        <v>quarta-feira</v>
      </c>
    </row>
    <row r="324" spans="19:22">
      <c r="S324" s="357">
        <v>41837</v>
      </c>
      <c r="T324" s="359" t="str">
        <f t="shared" si="17"/>
        <v>quinta-feira</v>
      </c>
      <c r="U324" s="361">
        <v>40500</v>
      </c>
      <c r="V324" s="360" t="str">
        <f t="shared" si="16"/>
        <v>quinta-feira</v>
      </c>
    </row>
    <row r="325" spans="19:22">
      <c r="S325" s="357">
        <v>41838</v>
      </c>
      <c r="T325" s="359" t="str">
        <f t="shared" si="17"/>
        <v>sexta-feira</v>
      </c>
      <c r="U325" s="361">
        <v>40501</v>
      </c>
      <c r="V325" s="360" t="str">
        <f t="shared" si="16"/>
        <v>sexta-feira</v>
      </c>
    </row>
    <row r="326" spans="19:22">
      <c r="S326" s="357">
        <v>41839</v>
      </c>
      <c r="T326" s="359" t="str">
        <f t="shared" si="17"/>
        <v>sábado</v>
      </c>
      <c r="U326" s="361">
        <v>40502</v>
      </c>
      <c r="V326" s="360" t="str">
        <f t="shared" si="16"/>
        <v>sábado</v>
      </c>
    </row>
    <row r="327" spans="19:22">
      <c r="S327" s="357">
        <v>41840</v>
      </c>
      <c r="T327" s="359" t="str">
        <f t="shared" si="17"/>
        <v>domingo</v>
      </c>
      <c r="U327" s="361">
        <v>40503</v>
      </c>
      <c r="V327" s="360" t="str">
        <f t="shared" si="16"/>
        <v>domingo</v>
      </c>
    </row>
    <row r="328" spans="19:22">
      <c r="S328" s="357">
        <v>41841</v>
      </c>
      <c r="T328" s="359" t="str">
        <f t="shared" si="17"/>
        <v>segunda-feira</v>
      </c>
      <c r="U328" s="361">
        <v>40504</v>
      </c>
      <c r="V328" s="360" t="str">
        <f t="shared" si="16"/>
        <v>segunda-feira</v>
      </c>
    </row>
    <row r="329" spans="19:22">
      <c r="S329" s="357">
        <v>41842</v>
      </c>
      <c r="T329" s="359" t="str">
        <f t="shared" si="17"/>
        <v>terça-feira</v>
      </c>
      <c r="U329" s="361">
        <v>40505</v>
      </c>
      <c r="V329" s="360" t="str">
        <f t="shared" si="16"/>
        <v>terça-feira</v>
      </c>
    </row>
    <row r="330" spans="19:22">
      <c r="S330" s="357">
        <v>41843</v>
      </c>
      <c r="T330" s="359" t="str">
        <f t="shared" si="17"/>
        <v>quarta-feira</v>
      </c>
      <c r="U330" s="361">
        <v>40506</v>
      </c>
      <c r="V330" s="360" t="str">
        <f t="shared" si="16"/>
        <v>quarta-feira</v>
      </c>
    </row>
    <row r="331" spans="19:22">
      <c r="S331" s="357">
        <v>41844</v>
      </c>
      <c r="T331" s="359" t="str">
        <f t="shared" si="17"/>
        <v>quinta-feira</v>
      </c>
      <c r="U331" s="361">
        <v>40507</v>
      </c>
      <c r="V331" s="360" t="str">
        <f t="shared" si="16"/>
        <v>quinta-feira</v>
      </c>
    </row>
    <row r="332" spans="19:22">
      <c r="S332" s="357">
        <v>41845</v>
      </c>
      <c r="T332" s="359" t="str">
        <f t="shared" si="17"/>
        <v>sexta-feira</v>
      </c>
      <c r="U332" s="361">
        <v>40508</v>
      </c>
      <c r="V332" s="360" t="str">
        <f t="shared" si="16"/>
        <v>sexta-feira</v>
      </c>
    </row>
    <row r="333" spans="19:22">
      <c r="S333" s="357">
        <v>41846</v>
      </c>
      <c r="T333" s="359" t="str">
        <f t="shared" si="17"/>
        <v>sábado</v>
      </c>
      <c r="U333" s="361">
        <v>40509</v>
      </c>
      <c r="V333" s="360" t="str">
        <f t="shared" si="16"/>
        <v>sábado</v>
      </c>
    </row>
    <row r="334" spans="19:22">
      <c r="S334" s="357">
        <v>41847</v>
      </c>
      <c r="T334" s="359" t="str">
        <f t="shared" si="17"/>
        <v>domingo</v>
      </c>
      <c r="U334" s="361">
        <v>40510</v>
      </c>
      <c r="V334" s="360" t="str">
        <f t="shared" si="16"/>
        <v>domingo</v>
      </c>
    </row>
    <row r="335" spans="19:22">
      <c r="S335" s="357">
        <v>41848</v>
      </c>
      <c r="T335" s="359" t="str">
        <f t="shared" si="17"/>
        <v>segunda-feira</v>
      </c>
      <c r="U335" s="361">
        <v>40511</v>
      </c>
      <c r="V335" s="360" t="str">
        <f t="shared" si="16"/>
        <v>segunda-feira</v>
      </c>
    </row>
    <row r="336" spans="19:22">
      <c r="S336" s="357">
        <v>41849</v>
      </c>
      <c r="T336" s="359" t="str">
        <f t="shared" si="17"/>
        <v>terça-feira</v>
      </c>
      <c r="U336" s="361">
        <v>40512</v>
      </c>
      <c r="V336" s="360" t="str">
        <f t="shared" si="16"/>
        <v>terça-feira</v>
      </c>
    </row>
    <row r="337" spans="19:22">
      <c r="S337" s="357">
        <v>41850</v>
      </c>
      <c r="T337" s="359" t="str">
        <f t="shared" si="17"/>
        <v>quarta-feira</v>
      </c>
      <c r="U337" s="361">
        <v>40513</v>
      </c>
      <c r="V337" s="360" t="str">
        <f t="shared" si="16"/>
        <v>quarta-feira</v>
      </c>
    </row>
    <row r="338" spans="19:22">
      <c r="S338" s="357">
        <v>41851</v>
      </c>
      <c r="T338" s="359" t="str">
        <f t="shared" si="17"/>
        <v>quinta-feira</v>
      </c>
      <c r="U338" s="361">
        <v>40514</v>
      </c>
      <c r="V338" s="360" t="str">
        <f t="shared" si="16"/>
        <v>quinta-feira</v>
      </c>
    </row>
    <row r="339" spans="19:22">
      <c r="S339" s="357">
        <v>41852</v>
      </c>
      <c r="T339" s="359" t="str">
        <f t="shared" si="17"/>
        <v>sexta-feira</v>
      </c>
      <c r="U339" s="361">
        <v>40515</v>
      </c>
      <c r="V339" s="360" t="str">
        <f t="shared" si="16"/>
        <v>sexta-feira</v>
      </c>
    </row>
    <row r="340" spans="19:22">
      <c r="S340" s="357">
        <v>41853</v>
      </c>
      <c r="T340" s="359" t="str">
        <f t="shared" si="17"/>
        <v>sábado</v>
      </c>
      <c r="U340" s="361">
        <v>40516</v>
      </c>
      <c r="V340" s="360" t="str">
        <f t="shared" si="16"/>
        <v>sábado</v>
      </c>
    </row>
    <row r="341" spans="19:22">
      <c r="S341" s="357">
        <v>41854</v>
      </c>
      <c r="T341" s="359" t="str">
        <f t="shared" si="17"/>
        <v>domingo</v>
      </c>
      <c r="U341" s="361">
        <v>40517</v>
      </c>
      <c r="V341" s="360" t="str">
        <f t="shared" si="16"/>
        <v>domingo</v>
      </c>
    </row>
    <row r="342" spans="19:22">
      <c r="S342" s="357">
        <v>41855</v>
      </c>
      <c r="T342" s="359" t="str">
        <f t="shared" si="17"/>
        <v>segunda-feira</v>
      </c>
      <c r="U342" s="361">
        <v>40518</v>
      </c>
      <c r="V342" s="360" t="str">
        <f t="shared" si="16"/>
        <v>segunda-feira</v>
      </c>
    </row>
    <row r="343" spans="19:22">
      <c r="S343" s="357">
        <v>41856</v>
      </c>
      <c r="T343" s="359" t="str">
        <f t="shared" si="17"/>
        <v>terça-feira</v>
      </c>
      <c r="U343" s="361">
        <v>40519</v>
      </c>
      <c r="V343" s="360" t="str">
        <f t="shared" si="16"/>
        <v>terça-feira</v>
      </c>
    </row>
    <row r="344" spans="19:22">
      <c r="S344" s="357">
        <v>41857</v>
      </c>
      <c r="T344" s="359" t="str">
        <f t="shared" si="17"/>
        <v>quarta-feira</v>
      </c>
      <c r="U344" s="361">
        <v>40520</v>
      </c>
      <c r="V344" s="360" t="str">
        <f t="shared" si="16"/>
        <v>quarta-feira</v>
      </c>
    </row>
    <row r="345" spans="19:22">
      <c r="S345" s="357">
        <v>41858</v>
      </c>
      <c r="T345" s="359" t="str">
        <f t="shared" si="17"/>
        <v>quinta-feira</v>
      </c>
      <c r="U345" s="361">
        <v>40521</v>
      </c>
      <c r="V345" s="360" t="str">
        <f t="shared" si="16"/>
        <v>quinta-feira</v>
      </c>
    </row>
    <row r="346" spans="19:22">
      <c r="S346" s="357">
        <v>41859</v>
      </c>
      <c r="T346" s="359" t="str">
        <f t="shared" si="17"/>
        <v>sexta-feira</v>
      </c>
      <c r="U346" s="361">
        <v>40522</v>
      </c>
      <c r="V346" s="360" t="str">
        <f t="shared" si="16"/>
        <v>sexta-feira</v>
      </c>
    </row>
    <row r="347" spans="19:22">
      <c r="S347" s="357">
        <v>41860</v>
      </c>
      <c r="T347" s="359" t="str">
        <f t="shared" si="17"/>
        <v>sábado</v>
      </c>
      <c r="U347" s="361">
        <v>40523</v>
      </c>
      <c r="V347" s="360" t="str">
        <f t="shared" si="16"/>
        <v>sábado</v>
      </c>
    </row>
    <row r="348" spans="19:22">
      <c r="S348" s="357">
        <v>41861</v>
      </c>
      <c r="T348" s="359" t="str">
        <f t="shared" si="17"/>
        <v>domingo</v>
      </c>
      <c r="U348" s="361">
        <v>40524</v>
      </c>
      <c r="V348" s="360" t="str">
        <f t="shared" si="16"/>
        <v>domingo</v>
      </c>
    </row>
    <row r="349" spans="19:22">
      <c r="S349" s="357">
        <v>41862</v>
      </c>
      <c r="T349" s="359" t="str">
        <f t="shared" si="17"/>
        <v>segunda-feira</v>
      </c>
      <c r="U349" s="361">
        <v>40525</v>
      </c>
      <c r="V349" s="360" t="str">
        <f t="shared" si="16"/>
        <v>segunda-feira</v>
      </c>
    </row>
    <row r="350" spans="19:22">
      <c r="S350" s="357">
        <v>41863</v>
      </c>
      <c r="T350" s="359" t="str">
        <f t="shared" si="17"/>
        <v>terça-feira</v>
      </c>
      <c r="U350" s="361">
        <v>40526</v>
      </c>
      <c r="V350" s="360" t="str">
        <f t="shared" si="16"/>
        <v>terça-feira</v>
      </c>
    </row>
    <row r="351" spans="19:22">
      <c r="S351" s="357">
        <v>41864</v>
      </c>
      <c r="T351" s="359" t="str">
        <f t="shared" si="17"/>
        <v>quarta-feira</v>
      </c>
      <c r="U351" s="361">
        <v>40527</v>
      </c>
      <c r="V351" s="360" t="str">
        <f t="shared" si="16"/>
        <v>quarta-feira</v>
      </c>
    </row>
    <row r="352" spans="19:22">
      <c r="S352" s="357">
        <v>41865</v>
      </c>
      <c r="T352" s="359" t="str">
        <f t="shared" si="17"/>
        <v>quinta-feira</v>
      </c>
      <c r="U352" s="361">
        <v>40528</v>
      </c>
      <c r="V352" s="360" t="str">
        <f t="shared" si="16"/>
        <v>quinta-feira</v>
      </c>
    </row>
    <row r="353" spans="19:22">
      <c r="S353" s="357">
        <v>41866</v>
      </c>
      <c r="T353" s="359" t="str">
        <f t="shared" si="17"/>
        <v>sexta-feira</v>
      </c>
      <c r="U353" s="361">
        <v>40529</v>
      </c>
      <c r="V353" s="360" t="str">
        <f t="shared" si="16"/>
        <v>sexta-feira</v>
      </c>
    </row>
    <row r="354" spans="19:22">
      <c r="S354" s="357">
        <v>41867</v>
      </c>
      <c r="T354" s="359" t="str">
        <f t="shared" si="17"/>
        <v>sábado</v>
      </c>
      <c r="U354" s="361">
        <v>40530</v>
      </c>
      <c r="V354" s="360" t="str">
        <f t="shared" si="16"/>
        <v>sábado</v>
      </c>
    </row>
    <row r="355" spans="19:22">
      <c r="S355" s="357">
        <v>41868</v>
      </c>
      <c r="T355" s="359" t="str">
        <f t="shared" si="17"/>
        <v>domingo</v>
      </c>
      <c r="U355" s="361">
        <v>40531</v>
      </c>
      <c r="V355" s="360" t="str">
        <f t="shared" si="16"/>
        <v>domingo</v>
      </c>
    </row>
    <row r="356" spans="19:22">
      <c r="S356" s="357">
        <v>41869</v>
      </c>
      <c r="T356" s="359" t="str">
        <f t="shared" si="17"/>
        <v>segunda-feira</v>
      </c>
      <c r="U356" s="361">
        <v>40532</v>
      </c>
      <c r="V356" s="360" t="str">
        <f t="shared" si="16"/>
        <v>segunda-feira</v>
      </c>
    </row>
    <row r="357" spans="19:22">
      <c r="S357" s="357">
        <v>41870</v>
      </c>
      <c r="T357" s="359" t="str">
        <f t="shared" si="17"/>
        <v>terça-feira</v>
      </c>
      <c r="U357" s="361">
        <v>40533</v>
      </c>
      <c r="V357" s="360" t="str">
        <f t="shared" si="16"/>
        <v>terça-feira</v>
      </c>
    </row>
    <row r="358" spans="19:22">
      <c r="S358" s="357">
        <v>41871</v>
      </c>
      <c r="T358" s="359" t="str">
        <f t="shared" si="17"/>
        <v>quarta-feira</v>
      </c>
      <c r="U358" s="361">
        <v>40534</v>
      </c>
      <c r="V358" s="360" t="str">
        <f t="shared" si="16"/>
        <v>quarta-feira</v>
      </c>
    </row>
    <row r="359" spans="19:22">
      <c r="S359" s="357">
        <v>41872</v>
      </c>
      <c r="T359" s="359" t="str">
        <f t="shared" si="17"/>
        <v>quinta-feira</v>
      </c>
      <c r="U359" s="361">
        <v>40535</v>
      </c>
      <c r="V359" s="360" t="str">
        <f t="shared" si="16"/>
        <v>quinta-feira</v>
      </c>
    </row>
    <row r="360" spans="19:22">
      <c r="S360" s="357">
        <v>41873</v>
      </c>
      <c r="T360" s="359" t="str">
        <f t="shared" si="17"/>
        <v>sexta-feira</v>
      </c>
      <c r="U360" s="361">
        <v>40536</v>
      </c>
      <c r="V360" s="360" t="str">
        <f t="shared" si="16"/>
        <v>sexta-feira</v>
      </c>
    </row>
    <row r="361" spans="19:22">
      <c r="S361" s="357">
        <v>41874</v>
      </c>
      <c r="T361" s="359" t="str">
        <f t="shared" si="17"/>
        <v>sábado</v>
      </c>
      <c r="U361" s="361">
        <v>40537</v>
      </c>
      <c r="V361" s="360" t="str">
        <f t="shared" ref="V361:V424" si="18">TEXT(U361,"dddd")</f>
        <v>sábado</v>
      </c>
    </row>
    <row r="362" spans="19:22">
      <c r="S362" s="357">
        <v>41875</v>
      </c>
      <c r="T362" s="359" t="str">
        <f t="shared" si="17"/>
        <v>domingo</v>
      </c>
      <c r="U362" s="361">
        <v>40538</v>
      </c>
      <c r="V362" s="360" t="str">
        <f t="shared" si="18"/>
        <v>domingo</v>
      </c>
    </row>
    <row r="363" spans="19:22">
      <c r="S363" s="357">
        <v>41876</v>
      </c>
      <c r="T363" s="359" t="str">
        <f t="shared" si="17"/>
        <v>segunda-feira</v>
      </c>
      <c r="U363" s="361">
        <v>40539</v>
      </c>
      <c r="V363" s="360" t="str">
        <f t="shared" si="18"/>
        <v>segunda-feira</v>
      </c>
    </row>
    <row r="364" spans="19:22">
      <c r="S364" s="357">
        <v>41877</v>
      </c>
      <c r="T364" s="359" t="str">
        <f t="shared" si="17"/>
        <v>terça-feira</v>
      </c>
      <c r="U364" s="361">
        <v>40540</v>
      </c>
      <c r="V364" s="360" t="str">
        <f t="shared" si="18"/>
        <v>terça-feira</v>
      </c>
    </row>
    <row r="365" spans="19:22">
      <c r="S365" s="357">
        <v>41878</v>
      </c>
      <c r="T365" s="359" t="str">
        <f t="shared" si="17"/>
        <v>quarta-feira</v>
      </c>
      <c r="U365" s="361">
        <v>40541</v>
      </c>
      <c r="V365" s="360" t="str">
        <f t="shared" si="18"/>
        <v>quarta-feira</v>
      </c>
    </row>
    <row r="366" spans="19:22">
      <c r="S366" s="357">
        <v>41879</v>
      </c>
      <c r="T366" s="359" t="str">
        <f t="shared" si="17"/>
        <v>quinta-feira</v>
      </c>
      <c r="U366" s="361">
        <v>40542</v>
      </c>
      <c r="V366" s="360" t="str">
        <f t="shared" si="18"/>
        <v>quinta-feira</v>
      </c>
    </row>
    <row r="367" spans="19:22">
      <c r="S367" s="357">
        <v>41880</v>
      </c>
      <c r="T367" s="359" t="str">
        <f t="shared" si="17"/>
        <v>sexta-feira</v>
      </c>
      <c r="U367" s="361">
        <v>40543</v>
      </c>
      <c r="V367" s="360" t="str">
        <f t="shared" si="18"/>
        <v>sexta-feira</v>
      </c>
    </row>
    <row r="368" spans="19:22">
      <c r="S368" s="357">
        <v>41881</v>
      </c>
      <c r="T368" s="359" t="str">
        <f t="shared" si="17"/>
        <v>sábado</v>
      </c>
      <c r="U368" s="361">
        <v>40544</v>
      </c>
      <c r="V368" s="360" t="str">
        <f t="shared" si="18"/>
        <v>sábado</v>
      </c>
    </row>
    <row r="369" spans="19:22">
      <c r="S369" s="357">
        <v>41882</v>
      </c>
      <c r="T369" s="359" t="str">
        <f t="shared" si="17"/>
        <v>domingo</v>
      </c>
      <c r="U369" s="361">
        <v>40545</v>
      </c>
      <c r="V369" s="360" t="str">
        <f t="shared" si="18"/>
        <v>domingo</v>
      </c>
    </row>
    <row r="370" spans="19:22">
      <c r="S370" s="357">
        <v>41883</v>
      </c>
      <c r="T370" s="359" t="str">
        <f t="shared" si="17"/>
        <v>segunda-feira</v>
      </c>
      <c r="U370" s="361">
        <v>40546</v>
      </c>
      <c r="V370" s="360" t="str">
        <f t="shared" si="18"/>
        <v>segunda-feira</v>
      </c>
    </row>
    <row r="371" spans="19:22">
      <c r="S371" s="357">
        <v>41884</v>
      </c>
      <c r="T371" s="359" t="str">
        <f t="shared" si="17"/>
        <v>terça-feira</v>
      </c>
      <c r="U371" s="361">
        <v>40547</v>
      </c>
      <c r="V371" s="360" t="str">
        <f t="shared" si="18"/>
        <v>terça-feira</v>
      </c>
    </row>
    <row r="372" spans="19:22">
      <c r="S372" s="357">
        <v>41885</v>
      </c>
      <c r="T372" s="359" t="str">
        <f t="shared" si="17"/>
        <v>quarta-feira</v>
      </c>
      <c r="U372" s="361">
        <v>40548</v>
      </c>
      <c r="V372" s="360" t="str">
        <f t="shared" si="18"/>
        <v>quarta-feira</v>
      </c>
    </row>
    <row r="373" spans="19:22">
      <c r="S373" s="357">
        <v>41886</v>
      </c>
      <c r="T373" s="359" t="str">
        <f t="shared" si="17"/>
        <v>quinta-feira</v>
      </c>
      <c r="U373" s="361">
        <v>40549</v>
      </c>
      <c r="V373" s="360" t="str">
        <f t="shared" si="18"/>
        <v>quinta-feira</v>
      </c>
    </row>
    <row r="374" spans="19:22">
      <c r="S374" s="357">
        <v>41887</v>
      </c>
      <c r="T374" s="359" t="str">
        <f t="shared" si="17"/>
        <v>sexta-feira</v>
      </c>
      <c r="U374" s="361">
        <v>40550</v>
      </c>
      <c r="V374" s="360" t="str">
        <f t="shared" si="18"/>
        <v>sexta-feira</v>
      </c>
    </row>
    <row r="375" spans="19:22">
      <c r="S375" s="357">
        <v>41888</v>
      </c>
      <c r="T375" s="359" t="str">
        <f t="shared" ref="T375:T438" si="19">TEXT(S375,"dddd")</f>
        <v>sábado</v>
      </c>
      <c r="U375" s="361">
        <v>40551</v>
      </c>
      <c r="V375" s="360" t="str">
        <f t="shared" si="18"/>
        <v>sábado</v>
      </c>
    </row>
    <row r="376" spans="19:22">
      <c r="S376" s="357">
        <v>41889</v>
      </c>
      <c r="T376" s="359" t="str">
        <f t="shared" si="19"/>
        <v>domingo</v>
      </c>
      <c r="U376" s="361">
        <v>40552</v>
      </c>
      <c r="V376" s="360" t="str">
        <f t="shared" si="18"/>
        <v>domingo</v>
      </c>
    </row>
    <row r="377" spans="19:22">
      <c r="S377" s="357">
        <v>41890</v>
      </c>
      <c r="T377" s="359" t="str">
        <f t="shared" si="19"/>
        <v>segunda-feira</v>
      </c>
      <c r="U377" s="361">
        <v>40553</v>
      </c>
      <c r="V377" s="360" t="str">
        <f t="shared" si="18"/>
        <v>segunda-feira</v>
      </c>
    </row>
    <row r="378" spans="19:22">
      <c r="S378" s="357">
        <v>41891</v>
      </c>
      <c r="T378" s="359" t="str">
        <f t="shared" si="19"/>
        <v>terça-feira</v>
      </c>
      <c r="U378" s="361">
        <v>40554</v>
      </c>
      <c r="V378" s="360" t="str">
        <f t="shared" si="18"/>
        <v>terça-feira</v>
      </c>
    </row>
    <row r="379" spans="19:22">
      <c r="S379" s="357">
        <v>41892</v>
      </c>
      <c r="T379" s="359" t="str">
        <f t="shared" si="19"/>
        <v>quarta-feira</v>
      </c>
      <c r="U379" s="361">
        <v>40555</v>
      </c>
      <c r="V379" s="360" t="str">
        <f t="shared" si="18"/>
        <v>quarta-feira</v>
      </c>
    </row>
    <row r="380" spans="19:22">
      <c r="S380" s="357">
        <v>41893</v>
      </c>
      <c r="T380" s="359" t="str">
        <f t="shared" si="19"/>
        <v>quinta-feira</v>
      </c>
      <c r="U380" s="361">
        <v>40556</v>
      </c>
      <c r="V380" s="360" t="str">
        <f t="shared" si="18"/>
        <v>quinta-feira</v>
      </c>
    </row>
    <row r="381" spans="19:22">
      <c r="S381" s="357">
        <v>41894</v>
      </c>
      <c r="T381" s="359" t="str">
        <f t="shared" si="19"/>
        <v>sexta-feira</v>
      </c>
      <c r="U381" s="361">
        <v>40557</v>
      </c>
      <c r="V381" s="360" t="str">
        <f t="shared" si="18"/>
        <v>sexta-feira</v>
      </c>
    </row>
    <row r="382" spans="19:22">
      <c r="S382" s="357">
        <v>41895</v>
      </c>
      <c r="T382" s="359" t="str">
        <f t="shared" si="19"/>
        <v>sábado</v>
      </c>
      <c r="U382" s="361">
        <v>40558</v>
      </c>
      <c r="V382" s="360" t="str">
        <f t="shared" si="18"/>
        <v>sábado</v>
      </c>
    </row>
    <row r="383" spans="19:22">
      <c r="S383" s="357">
        <v>41896</v>
      </c>
      <c r="T383" s="359" t="str">
        <f t="shared" si="19"/>
        <v>domingo</v>
      </c>
      <c r="U383" s="361">
        <v>40559</v>
      </c>
      <c r="V383" s="360" t="str">
        <f t="shared" si="18"/>
        <v>domingo</v>
      </c>
    </row>
    <row r="384" spans="19:22">
      <c r="S384" s="357">
        <v>41897</v>
      </c>
      <c r="T384" s="359" t="str">
        <f t="shared" si="19"/>
        <v>segunda-feira</v>
      </c>
      <c r="U384" s="361">
        <v>40560</v>
      </c>
      <c r="V384" s="360" t="str">
        <f t="shared" si="18"/>
        <v>segunda-feira</v>
      </c>
    </row>
    <row r="385" spans="19:22">
      <c r="S385" s="357">
        <v>41898</v>
      </c>
      <c r="T385" s="359" t="str">
        <f t="shared" si="19"/>
        <v>terça-feira</v>
      </c>
      <c r="U385" s="361">
        <v>40561</v>
      </c>
      <c r="V385" s="360" t="str">
        <f t="shared" si="18"/>
        <v>terça-feira</v>
      </c>
    </row>
    <row r="386" spans="19:22">
      <c r="S386" s="357">
        <v>41899</v>
      </c>
      <c r="T386" s="359" t="str">
        <f t="shared" si="19"/>
        <v>quarta-feira</v>
      </c>
      <c r="U386" s="361">
        <v>40562</v>
      </c>
      <c r="V386" s="360" t="str">
        <f t="shared" si="18"/>
        <v>quarta-feira</v>
      </c>
    </row>
    <row r="387" spans="19:22">
      <c r="S387" s="357">
        <v>41900</v>
      </c>
      <c r="T387" s="359" t="str">
        <f t="shared" si="19"/>
        <v>quinta-feira</v>
      </c>
      <c r="U387" s="361">
        <v>40563</v>
      </c>
      <c r="V387" s="360" t="str">
        <f t="shared" si="18"/>
        <v>quinta-feira</v>
      </c>
    </row>
    <row r="388" spans="19:22">
      <c r="S388" s="357">
        <v>41901</v>
      </c>
      <c r="T388" s="359" t="str">
        <f t="shared" si="19"/>
        <v>sexta-feira</v>
      </c>
      <c r="U388" s="361">
        <v>40564</v>
      </c>
      <c r="V388" s="360" t="str">
        <f t="shared" si="18"/>
        <v>sexta-feira</v>
      </c>
    </row>
    <row r="389" spans="19:22">
      <c r="S389" s="357">
        <v>41902</v>
      </c>
      <c r="T389" s="359" t="str">
        <f t="shared" si="19"/>
        <v>sábado</v>
      </c>
      <c r="U389" s="361">
        <v>40565</v>
      </c>
      <c r="V389" s="360" t="str">
        <f t="shared" si="18"/>
        <v>sábado</v>
      </c>
    </row>
    <row r="390" spans="19:22">
      <c r="S390" s="357">
        <v>41903</v>
      </c>
      <c r="T390" s="359" t="str">
        <f t="shared" si="19"/>
        <v>domingo</v>
      </c>
      <c r="U390" s="361">
        <v>40566</v>
      </c>
      <c r="V390" s="360" t="str">
        <f t="shared" si="18"/>
        <v>domingo</v>
      </c>
    </row>
    <row r="391" spans="19:22">
      <c r="S391" s="357">
        <v>41904</v>
      </c>
      <c r="T391" s="359" t="str">
        <f t="shared" si="19"/>
        <v>segunda-feira</v>
      </c>
      <c r="U391" s="361">
        <v>40567</v>
      </c>
      <c r="V391" s="360" t="str">
        <f t="shared" si="18"/>
        <v>segunda-feira</v>
      </c>
    </row>
    <row r="392" spans="19:22">
      <c r="S392" s="357">
        <v>41905</v>
      </c>
      <c r="T392" s="359" t="str">
        <f t="shared" si="19"/>
        <v>terça-feira</v>
      </c>
      <c r="U392" s="361">
        <v>40568</v>
      </c>
      <c r="V392" s="360" t="str">
        <f t="shared" si="18"/>
        <v>terça-feira</v>
      </c>
    </row>
    <row r="393" spans="19:22">
      <c r="S393" s="357">
        <v>41906</v>
      </c>
      <c r="T393" s="359" t="str">
        <f t="shared" si="19"/>
        <v>quarta-feira</v>
      </c>
      <c r="U393" s="361">
        <v>40569</v>
      </c>
      <c r="V393" s="360" t="str">
        <f t="shared" si="18"/>
        <v>quarta-feira</v>
      </c>
    </row>
    <row r="394" spans="19:22">
      <c r="S394" s="357">
        <v>41907</v>
      </c>
      <c r="T394" s="359" t="str">
        <f t="shared" si="19"/>
        <v>quinta-feira</v>
      </c>
      <c r="U394" s="361">
        <v>40570</v>
      </c>
      <c r="V394" s="360" t="str">
        <f t="shared" si="18"/>
        <v>quinta-feira</v>
      </c>
    </row>
    <row r="395" spans="19:22">
      <c r="S395" s="357">
        <v>41908</v>
      </c>
      <c r="T395" s="359" t="str">
        <f t="shared" si="19"/>
        <v>sexta-feira</v>
      </c>
      <c r="U395" s="361">
        <v>40571</v>
      </c>
      <c r="V395" s="360" t="str">
        <f t="shared" si="18"/>
        <v>sexta-feira</v>
      </c>
    </row>
    <row r="396" spans="19:22">
      <c r="S396" s="357">
        <v>41909</v>
      </c>
      <c r="T396" s="359" t="str">
        <f t="shared" si="19"/>
        <v>sábado</v>
      </c>
      <c r="U396" s="361">
        <v>40572</v>
      </c>
      <c r="V396" s="360" t="str">
        <f t="shared" si="18"/>
        <v>sábado</v>
      </c>
    </row>
    <row r="397" spans="19:22">
      <c r="S397" s="357">
        <v>41910</v>
      </c>
      <c r="T397" s="359" t="str">
        <f t="shared" si="19"/>
        <v>domingo</v>
      </c>
      <c r="U397" s="361">
        <v>40573</v>
      </c>
      <c r="V397" s="360" t="str">
        <f t="shared" si="18"/>
        <v>domingo</v>
      </c>
    </row>
    <row r="398" spans="19:22">
      <c r="S398" s="357">
        <v>41911</v>
      </c>
      <c r="T398" s="359" t="str">
        <f t="shared" si="19"/>
        <v>segunda-feira</v>
      </c>
      <c r="U398" s="361">
        <v>40574</v>
      </c>
      <c r="V398" s="360" t="str">
        <f t="shared" si="18"/>
        <v>segunda-feira</v>
      </c>
    </row>
    <row r="399" spans="19:22">
      <c r="S399" s="357">
        <v>41912</v>
      </c>
      <c r="T399" s="359" t="str">
        <f t="shared" si="19"/>
        <v>terça-feira</v>
      </c>
      <c r="U399" s="361">
        <v>40575</v>
      </c>
      <c r="V399" s="360" t="str">
        <f t="shared" si="18"/>
        <v>terça-feira</v>
      </c>
    </row>
    <row r="400" spans="19:22">
      <c r="S400" s="357">
        <v>41913</v>
      </c>
      <c r="T400" s="359" t="str">
        <f t="shared" si="19"/>
        <v>quarta-feira</v>
      </c>
      <c r="U400" s="361">
        <v>40576</v>
      </c>
      <c r="V400" s="360" t="str">
        <f t="shared" si="18"/>
        <v>quarta-feira</v>
      </c>
    </row>
    <row r="401" spans="19:22">
      <c r="S401" s="357">
        <v>41914</v>
      </c>
      <c r="T401" s="359" t="str">
        <f t="shared" si="19"/>
        <v>quinta-feira</v>
      </c>
      <c r="U401" s="361">
        <v>40577</v>
      </c>
      <c r="V401" s="360" t="str">
        <f t="shared" si="18"/>
        <v>quinta-feira</v>
      </c>
    </row>
    <row r="402" spans="19:22">
      <c r="S402" s="357">
        <v>41915</v>
      </c>
      <c r="T402" s="359" t="str">
        <f t="shared" si="19"/>
        <v>sexta-feira</v>
      </c>
      <c r="U402" s="361">
        <v>40578</v>
      </c>
      <c r="V402" s="360" t="str">
        <f t="shared" si="18"/>
        <v>sexta-feira</v>
      </c>
    </row>
    <row r="403" spans="19:22">
      <c r="S403" s="357">
        <v>41916</v>
      </c>
      <c r="T403" s="359" t="str">
        <f t="shared" si="19"/>
        <v>sábado</v>
      </c>
      <c r="U403" s="361">
        <v>40579</v>
      </c>
      <c r="V403" s="360" t="str">
        <f t="shared" si="18"/>
        <v>sábado</v>
      </c>
    </row>
    <row r="404" spans="19:22">
      <c r="S404" s="357">
        <v>41917</v>
      </c>
      <c r="T404" s="359" t="str">
        <f t="shared" si="19"/>
        <v>domingo</v>
      </c>
      <c r="U404" s="361">
        <v>40580</v>
      </c>
      <c r="V404" s="360" t="str">
        <f t="shared" si="18"/>
        <v>domingo</v>
      </c>
    </row>
    <row r="405" spans="19:22">
      <c r="S405" s="357">
        <v>41918</v>
      </c>
      <c r="T405" s="359" t="str">
        <f t="shared" si="19"/>
        <v>segunda-feira</v>
      </c>
      <c r="U405" s="361">
        <v>40581</v>
      </c>
      <c r="V405" s="360" t="str">
        <f t="shared" si="18"/>
        <v>segunda-feira</v>
      </c>
    </row>
    <row r="406" spans="19:22">
      <c r="S406" s="357">
        <v>41919</v>
      </c>
      <c r="T406" s="359" t="str">
        <f t="shared" si="19"/>
        <v>terça-feira</v>
      </c>
      <c r="U406" s="361">
        <v>40582</v>
      </c>
      <c r="V406" s="360" t="str">
        <f t="shared" si="18"/>
        <v>terça-feira</v>
      </c>
    </row>
    <row r="407" spans="19:22">
      <c r="S407" s="357">
        <v>41920</v>
      </c>
      <c r="T407" s="359" t="str">
        <f t="shared" si="19"/>
        <v>quarta-feira</v>
      </c>
      <c r="U407" s="361">
        <v>40583</v>
      </c>
      <c r="V407" s="360" t="str">
        <f t="shared" si="18"/>
        <v>quarta-feira</v>
      </c>
    </row>
    <row r="408" spans="19:22">
      <c r="S408" s="357">
        <v>41921</v>
      </c>
      <c r="T408" s="359" t="str">
        <f t="shared" si="19"/>
        <v>quinta-feira</v>
      </c>
      <c r="U408" s="361">
        <v>40584</v>
      </c>
      <c r="V408" s="360" t="str">
        <f t="shared" si="18"/>
        <v>quinta-feira</v>
      </c>
    </row>
    <row r="409" spans="19:22">
      <c r="S409" s="357">
        <v>41922</v>
      </c>
      <c r="T409" s="359" t="str">
        <f t="shared" si="19"/>
        <v>sexta-feira</v>
      </c>
      <c r="U409" s="361">
        <v>40585</v>
      </c>
      <c r="V409" s="360" t="str">
        <f t="shared" si="18"/>
        <v>sexta-feira</v>
      </c>
    </row>
    <row r="410" spans="19:22">
      <c r="S410" s="357">
        <v>41923</v>
      </c>
      <c r="T410" s="359" t="str">
        <f t="shared" si="19"/>
        <v>sábado</v>
      </c>
      <c r="U410" s="361">
        <v>40586</v>
      </c>
      <c r="V410" s="360" t="str">
        <f t="shared" si="18"/>
        <v>sábado</v>
      </c>
    </row>
    <row r="411" spans="19:22">
      <c r="S411" s="357">
        <v>41924</v>
      </c>
      <c r="T411" s="359" t="str">
        <f t="shared" si="19"/>
        <v>domingo</v>
      </c>
      <c r="U411" s="361">
        <v>40587</v>
      </c>
      <c r="V411" s="360" t="str">
        <f t="shared" si="18"/>
        <v>domingo</v>
      </c>
    </row>
    <row r="412" spans="19:22">
      <c r="S412" s="357">
        <v>41925</v>
      </c>
      <c r="T412" s="359" t="str">
        <f t="shared" si="19"/>
        <v>segunda-feira</v>
      </c>
      <c r="U412" s="361">
        <v>40588</v>
      </c>
      <c r="V412" s="360" t="str">
        <f t="shared" si="18"/>
        <v>segunda-feira</v>
      </c>
    </row>
    <row r="413" spans="19:22">
      <c r="S413" s="357">
        <v>41926</v>
      </c>
      <c r="T413" s="359" t="str">
        <f t="shared" si="19"/>
        <v>terça-feira</v>
      </c>
      <c r="U413" s="361">
        <v>40589</v>
      </c>
      <c r="V413" s="360" t="str">
        <f t="shared" si="18"/>
        <v>terça-feira</v>
      </c>
    </row>
    <row r="414" spans="19:22">
      <c r="S414" s="357">
        <v>41927</v>
      </c>
      <c r="T414" s="359" t="str">
        <f t="shared" si="19"/>
        <v>quarta-feira</v>
      </c>
      <c r="U414" s="361">
        <v>40590</v>
      </c>
      <c r="V414" s="360" t="str">
        <f t="shared" si="18"/>
        <v>quarta-feira</v>
      </c>
    </row>
    <row r="415" spans="19:22">
      <c r="S415" s="357">
        <v>41928</v>
      </c>
      <c r="T415" s="359" t="str">
        <f t="shared" si="19"/>
        <v>quinta-feira</v>
      </c>
      <c r="U415" s="361">
        <v>40591</v>
      </c>
      <c r="V415" s="360" t="str">
        <f t="shared" si="18"/>
        <v>quinta-feira</v>
      </c>
    </row>
    <row r="416" spans="19:22">
      <c r="S416" s="357">
        <v>41929</v>
      </c>
      <c r="T416" s="359" t="str">
        <f t="shared" si="19"/>
        <v>sexta-feira</v>
      </c>
      <c r="U416" s="361">
        <v>40592</v>
      </c>
      <c r="V416" s="360" t="str">
        <f t="shared" si="18"/>
        <v>sexta-feira</v>
      </c>
    </row>
    <row r="417" spans="19:22">
      <c r="S417" s="357">
        <v>41930</v>
      </c>
      <c r="T417" s="359" t="str">
        <f t="shared" si="19"/>
        <v>sábado</v>
      </c>
      <c r="U417" s="361">
        <v>40593</v>
      </c>
      <c r="V417" s="360" t="str">
        <f t="shared" si="18"/>
        <v>sábado</v>
      </c>
    </row>
    <row r="418" spans="19:22">
      <c r="S418" s="357">
        <v>41931</v>
      </c>
      <c r="T418" s="359" t="str">
        <f t="shared" si="19"/>
        <v>domingo</v>
      </c>
      <c r="U418" s="361">
        <v>40594</v>
      </c>
      <c r="V418" s="360" t="str">
        <f t="shared" si="18"/>
        <v>domingo</v>
      </c>
    </row>
    <row r="419" spans="19:22">
      <c r="S419" s="357">
        <v>41932</v>
      </c>
      <c r="T419" s="359" t="str">
        <f t="shared" si="19"/>
        <v>segunda-feira</v>
      </c>
      <c r="U419" s="361">
        <v>40595</v>
      </c>
      <c r="V419" s="360" t="str">
        <f t="shared" si="18"/>
        <v>segunda-feira</v>
      </c>
    </row>
    <row r="420" spans="19:22">
      <c r="S420" s="357">
        <v>41933</v>
      </c>
      <c r="T420" s="359" t="str">
        <f t="shared" si="19"/>
        <v>terça-feira</v>
      </c>
      <c r="U420" s="361">
        <v>40596</v>
      </c>
      <c r="V420" s="360" t="str">
        <f t="shared" si="18"/>
        <v>terça-feira</v>
      </c>
    </row>
    <row r="421" spans="19:22">
      <c r="S421" s="357">
        <v>41934</v>
      </c>
      <c r="T421" s="359" t="str">
        <f t="shared" si="19"/>
        <v>quarta-feira</v>
      </c>
      <c r="U421" s="361">
        <v>40597</v>
      </c>
      <c r="V421" s="360" t="str">
        <f t="shared" si="18"/>
        <v>quarta-feira</v>
      </c>
    </row>
    <row r="422" spans="19:22">
      <c r="S422" s="357">
        <v>41935</v>
      </c>
      <c r="T422" s="359" t="str">
        <f t="shared" si="19"/>
        <v>quinta-feira</v>
      </c>
      <c r="U422" s="361">
        <v>40598</v>
      </c>
      <c r="V422" s="360" t="str">
        <f t="shared" si="18"/>
        <v>quinta-feira</v>
      </c>
    </row>
    <row r="423" spans="19:22">
      <c r="S423" s="357">
        <v>41936</v>
      </c>
      <c r="T423" s="359" t="str">
        <f t="shared" si="19"/>
        <v>sexta-feira</v>
      </c>
      <c r="U423" s="361">
        <v>40599</v>
      </c>
      <c r="V423" s="360" t="str">
        <f t="shared" si="18"/>
        <v>sexta-feira</v>
      </c>
    </row>
    <row r="424" spans="19:22">
      <c r="S424" s="357">
        <v>41937</v>
      </c>
      <c r="T424" s="359" t="str">
        <f t="shared" si="19"/>
        <v>sábado</v>
      </c>
      <c r="U424" s="361">
        <v>40600</v>
      </c>
      <c r="V424" s="360" t="str">
        <f t="shared" si="18"/>
        <v>sábado</v>
      </c>
    </row>
    <row r="425" spans="19:22">
      <c r="S425" s="357">
        <v>41938</v>
      </c>
      <c r="T425" s="359" t="str">
        <f t="shared" si="19"/>
        <v>domingo</v>
      </c>
      <c r="U425" s="361">
        <v>40601</v>
      </c>
      <c r="V425" s="360" t="str">
        <f t="shared" ref="V425:V488" si="20">TEXT(U425,"dddd")</f>
        <v>domingo</v>
      </c>
    </row>
    <row r="426" spans="19:22">
      <c r="S426" s="357">
        <v>41939</v>
      </c>
      <c r="T426" s="359" t="str">
        <f t="shared" si="19"/>
        <v>segunda-feira</v>
      </c>
      <c r="U426" s="361">
        <v>40602</v>
      </c>
      <c r="V426" s="360" t="str">
        <f t="shared" si="20"/>
        <v>segunda-feira</v>
      </c>
    </row>
    <row r="427" spans="19:22">
      <c r="S427" s="357">
        <v>41940</v>
      </c>
      <c r="T427" s="359" t="str">
        <f t="shared" si="19"/>
        <v>terça-feira</v>
      </c>
      <c r="U427" s="361">
        <v>40603</v>
      </c>
      <c r="V427" s="360" t="str">
        <f t="shared" si="20"/>
        <v>terça-feira</v>
      </c>
    </row>
    <row r="428" spans="19:22">
      <c r="S428" s="357">
        <v>41941</v>
      </c>
      <c r="T428" s="359" t="str">
        <f t="shared" si="19"/>
        <v>quarta-feira</v>
      </c>
      <c r="U428" s="361">
        <v>40604</v>
      </c>
      <c r="V428" s="360" t="str">
        <f t="shared" si="20"/>
        <v>quarta-feira</v>
      </c>
    </row>
    <row r="429" spans="19:22">
      <c r="S429" s="357">
        <v>41942</v>
      </c>
      <c r="T429" s="359" t="str">
        <f t="shared" si="19"/>
        <v>quinta-feira</v>
      </c>
      <c r="U429" s="361">
        <v>40605</v>
      </c>
      <c r="V429" s="360" t="str">
        <f t="shared" si="20"/>
        <v>quinta-feira</v>
      </c>
    </row>
    <row r="430" spans="19:22">
      <c r="S430" s="357">
        <v>41943</v>
      </c>
      <c r="T430" s="359" t="str">
        <f t="shared" si="19"/>
        <v>sexta-feira</v>
      </c>
      <c r="U430" s="361">
        <v>40606</v>
      </c>
      <c r="V430" s="360" t="str">
        <f t="shared" si="20"/>
        <v>sexta-feira</v>
      </c>
    </row>
    <row r="431" spans="19:22">
      <c r="S431" s="357">
        <v>41944</v>
      </c>
      <c r="T431" s="359" t="str">
        <f t="shared" si="19"/>
        <v>sábado</v>
      </c>
      <c r="U431" s="361">
        <v>40607</v>
      </c>
      <c r="V431" s="360" t="str">
        <f t="shared" si="20"/>
        <v>sábado</v>
      </c>
    </row>
    <row r="432" spans="19:22">
      <c r="S432" s="357">
        <v>41945</v>
      </c>
      <c r="T432" s="359" t="str">
        <f t="shared" si="19"/>
        <v>domingo</v>
      </c>
      <c r="U432" s="361">
        <v>40608</v>
      </c>
      <c r="V432" s="360" t="str">
        <f t="shared" si="20"/>
        <v>domingo</v>
      </c>
    </row>
    <row r="433" spans="19:22">
      <c r="S433" s="357">
        <v>41946</v>
      </c>
      <c r="T433" s="359" t="str">
        <f t="shared" si="19"/>
        <v>segunda-feira</v>
      </c>
      <c r="U433" s="361">
        <v>40609</v>
      </c>
      <c r="V433" s="360" t="str">
        <f t="shared" si="20"/>
        <v>segunda-feira</v>
      </c>
    </row>
    <row r="434" spans="19:22">
      <c r="S434" s="357">
        <v>41947</v>
      </c>
      <c r="T434" s="359" t="str">
        <f t="shared" si="19"/>
        <v>terça-feira</v>
      </c>
      <c r="U434" s="361">
        <v>40610</v>
      </c>
      <c r="V434" s="360" t="str">
        <f t="shared" si="20"/>
        <v>terça-feira</v>
      </c>
    </row>
    <row r="435" spans="19:22">
      <c r="S435" s="357">
        <v>41948</v>
      </c>
      <c r="T435" s="359" t="str">
        <f t="shared" si="19"/>
        <v>quarta-feira</v>
      </c>
      <c r="U435" s="361">
        <v>40611</v>
      </c>
      <c r="V435" s="360" t="str">
        <f t="shared" si="20"/>
        <v>quarta-feira</v>
      </c>
    </row>
    <row r="436" spans="19:22">
      <c r="S436" s="357">
        <v>41949</v>
      </c>
      <c r="T436" s="359" t="str">
        <f t="shared" si="19"/>
        <v>quinta-feira</v>
      </c>
      <c r="U436" s="361">
        <v>40612</v>
      </c>
      <c r="V436" s="360" t="str">
        <f t="shared" si="20"/>
        <v>quinta-feira</v>
      </c>
    </row>
    <row r="437" spans="19:22">
      <c r="S437" s="357">
        <v>41950</v>
      </c>
      <c r="T437" s="359" t="str">
        <f t="shared" si="19"/>
        <v>sexta-feira</v>
      </c>
      <c r="U437" s="361">
        <v>40613</v>
      </c>
      <c r="V437" s="360" t="str">
        <f t="shared" si="20"/>
        <v>sexta-feira</v>
      </c>
    </row>
    <row r="438" spans="19:22">
      <c r="S438" s="357">
        <v>41951</v>
      </c>
      <c r="T438" s="359" t="str">
        <f t="shared" si="19"/>
        <v>sábado</v>
      </c>
      <c r="U438" s="361">
        <v>40614</v>
      </c>
      <c r="V438" s="360" t="str">
        <f t="shared" si="20"/>
        <v>sábado</v>
      </c>
    </row>
    <row r="439" spans="19:22">
      <c r="S439" s="357">
        <v>41952</v>
      </c>
      <c r="T439" s="359" t="str">
        <f t="shared" ref="T439:T502" si="21">TEXT(S439,"dddd")</f>
        <v>domingo</v>
      </c>
      <c r="U439" s="361">
        <v>40615</v>
      </c>
      <c r="V439" s="360" t="str">
        <f t="shared" si="20"/>
        <v>domingo</v>
      </c>
    </row>
    <row r="440" spans="19:22">
      <c r="S440" s="357">
        <v>41953</v>
      </c>
      <c r="T440" s="359" t="str">
        <f t="shared" si="21"/>
        <v>segunda-feira</v>
      </c>
      <c r="U440" s="361">
        <v>40616</v>
      </c>
      <c r="V440" s="360" t="str">
        <f t="shared" si="20"/>
        <v>segunda-feira</v>
      </c>
    </row>
    <row r="441" spans="19:22">
      <c r="S441" s="357">
        <v>41954</v>
      </c>
      <c r="T441" s="359" t="str">
        <f t="shared" si="21"/>
        <v>terça-feira</v>
      </c>
      <c r="U441" s="361">
        <v>40617</v>
      </c>
      <c r="V441" s="360" t="str">
        <f t="shared" si="20"/>
        <v>terça-feira</v>
      </c>
    </row>
    <row r="442" spans="19:22">
      <c r="S442" s="357">
        <v>41955</v>
      </c>
      <c r="T442" s="359" t="str">
        <f t="shared" si="21"/>
        <v>quarta-feira</v>
      </c>
      <c r="U442" s="361">
        <v>40618</v>
      </c>
      <c r="V442" s="360" t="str">
        <f t="shared" si="20"/>
        <v>quarta-feira</v>
      </c>
    </row>
    <row r="443" spans="19:22">
      <c r="S443" s="357">
        <v>41956</v>
      </c>
      <c r="T443" s="359" t="str">
        <f t="shared" si="21"/>
        <v>quinta-feira</v>
      </c>
      <c r="U443" s="361">
        <v>40619</v>
      </c>
      <c r="V443" s="360" t="str">
        <f t="shared" si="20"/>
        <v>quinta-feira</v>
      </c>
    </row>
    <row r="444" spans="19:22">
      <c r="S444" s="357">
        <v>41957</v>
      </c>
      <c r="T444" s="359" t="str">
        <f t="shared" si="21"/>
        <v>sexta-feira</v>
      </c>
      <c r="U444" s="361">
        <v>40620</v>
      </c>
      <c r="V444" s="360" t="str">
        <f t="shared" si="20"/>
        <v>sexta-feira</v>
      </c>
    </row>
    <row r="445" spans="19:22">
      <c r="S445" s="357">
        <v>41958</v>
      </c>
      <c r="T445" s="359" t="str">
        <f t="shared" si="21"/>
        <v>sábado</v>
      </c>
      <c r="U445" s="361">
        <v>40621</v>
      </c>
      <c r="V445" s="360" t="str">
        <f t="shared" si="20"/>
        <v>sábado</v>
      </c>
    </row>
    <row r="446" spans="19:22">
      <c r="S446" s="357">
        <v>41959</v>
      </c>
      <c r="T446" s="359" t="str">
        <f t="shared" si="21"/>
        <v>domingo</v>
      </c>
      <c r="U446" s="361">
        <v>40622</v>
      </c>
      <c r="V446" s="360" t="str">
        <f t="shared" si="20"/>
        <v>domingo</v>
      </c>
    </row>
    <row r="447" spans="19:22">
      <c r="S447" s="357">
        <v>41960</v>
      </c>
      <c r="T447" s="359" t="str">
        <f t="shared" si="21"/>
        <v>segunda-feira</v>
      </c>
      <c r="U447" s="361">
        <v>40623</v>
      </c>
      <c r="V447" s="360" t="str">
        <f t="shared" si="20"/>
        <v>segunda-feira</v>
      </c>
    </row>
    <row r="448" spans="19:22">
      <c r="S448" s="357">
        <v>41961</v>
      </c>
      <c r="T448" s="359" t="str">
        <f t="shared" si="21"/>
        <v>terça-feira</v>
      </c>
      <c r="U448" s="361">
        <v>40624</v>
      </c>
      <c r="V448" s="360" t="str">
        <f t="shared" si="20"/>
        <v>terça-feira</v>
      </c>
    </row>
    <row r="449" spans="19:22">
      <c r="S449" s="357">
        <v>41962</v>
      </c>
      <c r="T449" s="359" t="str">
        <f t="shared" si="21"/>
        <v>quarta-feira</v>
      </c>
      <c r="U449" s="361">
        <v>40625</v>
      </c>
      <c r="V449" s="360" t="str">
        <f t="shared" si="20"/>
        <v>quarta-feira</v>
      </c>
    </row>
    <row r="450" spans="19:22">
      <c r="S450" s="357">
        <v>41963</v>
      </c>
      <c r="T450" s="359" t="str">
        <f t="shared" si="21"/>
        <v>quinta-feira</v>
      </c>
      <c r="U450" s="361">
        <v>40626</v>
      </c>
      <c r="V450" s="360" t="str">
        <f t="shared" si="20"/>
        <v>quinta-feira</v>
      </c>
    </row>
    <row r="451" spans="19:22">
      <c r="S451" s="357">
        <v>41964</v>
      </c>
      <c r="T451" s="359" t="str">
        <f t="shared" si="21"/>
        <v>sexta-feira</v>
      </c>
      <c r="U451" s="361">
        <v>40627</v>
      </c>
      <c r="V451" s="360" t="str">
        <f t="shared" si="20"/>
        <v>sexta-feira</v>
      </c>
    </row>
    <row r="452" spans="19:22">
      <c r="S452" s="357">
        <v>41965</v>
      </c>
      <c r="T452" s="359" t="str">
        <f t="shared" si="21"/>
        <v>sábado</v>
      </c>
      <c r="U452" s="361">
        <v>40628</v>
      </c>
      <c r="V452" s="360" t="str">
        <f t="shared" si="20"/>
        <v>sábado</v>
      </c>
    </row>
    <row r="453" spans="19:22">
      <c r="S453" s="357">
        <v>41966</v>
      </c>
      <c r="T453" s="359" t="str">
        <f t="shared" si="21"/>
        <v>domingo</v>
      </c>
      <c r="U453" s="361">
        <v>40629</v>
      </c>
      <c r="V453" s="360" t="str">
        <f t="shared" si="20"/>
        <v>domingo</v>
      </c>
    </row>
    <row r="454" spans="19:22">
      <c r="S454" s="357">
        <v>41967</v>
      </c>
      <c r="T454" s="359" t="str">
        <f t="shared" si="21"/>
        <v>segunda-feira</v>
      </c>
      <c r="U454" s="361">
        <v>40630</v>
      </c>
      <c r="V454" s="360" t="str">
        <f t="shared" si="20"/>
        <v>segunda-feira</v>
      </c>
    </row>
    <row r="455" spans="19:22">
      <c r="S455" s="357">
        <v>41968</v>
      </c>
      <c r="T455" s="359" t="str">
        <f t="shared" si="21"/>
        <v>terça-feira</v>
      </c>
      <c r="U455" s="361">
        <v>40631</v>
      </c>
      <c r="V455" s="360" t="str">
        <f t="shared" si="20"/>
        <v>terça-feira</v>
      </c>
    </row>
    <row r="456" spans="19:22">
      <c r="S456" s="357">
        <v>41969</v>
      </c>
      <c r="T456" s="359" t="str">
        <f t="shared" si="21"/>
        <v>quarta-feira</v>
      </c>
      <c r="U456" s="361">
        <v>40632</v>
      </c>
      <c r="V456" s="360" t="str">
        <f t="shared" si="20"/>
        <v>quarta-feira</v>
      </c>
    </row>
    <row r="457" spans="19:22">
      <c r="S457" s="357">
        <v>41970</v>
      </c>
      <c r="T457" s="359" t="str">
        <f t="shared" si="21"/>
        <v>quinta-feira</v>
      </c>
      <c r="U457" s="361">
        <v>40633</v>
      </c>
      <c r="V457" s="360" t="str">
        <f t="shared" si="20"/>
        <v>quinta-feira</v>
      </c>
    </row>
    <row r="458" spans="19:22">
      <c r="S458" s="357">
        <v>41971</v>
      </c>
      <c r="T458" s="359" t="str">
        <f t="shared" si="21"/>
        <v>sexta-feira</v>
      </c>
      <c r="U458" s="361">
        <v>40634</v>
      </c>
      <c r="V458" s="360" t="str">
        <f t="shared" si="20"/>
        <v>sexta-feira</v>
      </c>
    </row>
    <row r="459" spans="19:22">
      <c r="S459" s="357">
        <v>41972</v>
      </c>
      <c r="T459" s="359" t="str">
        <f t="shared" si="21"/>
        <v>sábado</v>
      </c>
      <c r="U459" s="361">
        <v>40635</v>
      </c>
      <c r="V459" s="360" t="str">
        <f t="shared" si="20"/>
        <v>sábado</v>
      </c>
    </row>
    <row r="460" spans="19:22">
      <c r="S460" s="357">
        <v>41973</v>
      </c>
      <c r="T460" s="359" t="str">
        <f t="shared" si="21"/>
        <v>domingo</v>
      </c>
      <c r="U460" s="361">
        <v>40636</v>
      </c>
      <c r="V460" s="360" t="str">
        <f t="shared" si="20"/>
        <v>domingo</v>
      </c>
    </row>
    <row r="461" spans="19:22">
      <c r="S461" s="357">
        <v>41974</v>
      </c>
      <c r="T461" s="359" t="str">
        <f t="shared" si="21"/>
        <v>segunda-feira</v>
      </c>
      <c r="U461" s="361">
        <v>40637</v>
      </c>
      <c r="V461" s="360" t="str">
        <f t="shared" si="20"/>
        <v>segunda-feira</v>
      </c>
    </row>
    <row r="462" spans="19:22">
      <c r="S462" s="357">
        <v>41975</v>
      </c>
      <c r="T462" s="359" t="str">
        <f t="shared" si="21"/>
        <v>terça-feira</v>
      </c>
      <c r="U462" s="361">
        <v>40638</v>
      </c>
      <c r="V462" s="360" t="str">
        <f t="shared" si="20"/>
        <v>terça-feira</v>
      </c>
    </row>
    <row r="463" spans="19:22">
      <c r="S463" s="357">
        <v>41976</v>
      </c>
      <c r="T463" s="359" t="str">
        <f t="shared" si="21"/>
        <v>quarta-feira</v>
      </c>
      <c r="U463" s="361">
        <v>40639</v>
      </c>
      <c r="V463" s="360" t="str">
        <f t="shared" si="20"/>
        <v>quarta-feira</v>
      </c>
    </row>
    <row r="464" spans="19:22">
      <c r="S464" s="357">
        <v>41977</v>
      </c>
      <c r="T464" s="359" t="str">
        <f t="shared" si="21"/>
        <v>quinta-feira</v>
      </c>
      <c r="U464" s="361">
        <v>40640</v>
      </c>
      <c r="V464" s="360" t="str">
        <f t="shared" si="20"/>
        <v>quinta-feira</v>
      </c>
    </row>
    <row r="465" spans="19:22">
      <c r="S465" s="357">
        <v>41978</v>
      </c>
      <c r="T465" s="359" t="str">
        <f t="shared" si="21"/>
        <v>sexta-feira</v>
      </c>
      <c r="U465" s="361">
        <v>40641</v>
      </c>
      <c r="V465" s="360" t="str">
        <f t="shared" si="20"/>
        <v>sexta-feira</v>
      </c>
    </row>
    <row r="466" spans="19:22">
      <c r="S466" s="357">
        <v>41979</v>
      </c>
      <c r="T466" s="359" t="str">
        <f t="shared" si="21"/>
        <v>sábado</v>
      </c>
      <c r="U466" s="361">
        <v>40642</v>
      </c>
      <c r="V466" s="360" t="str">
        <f t="shared" si="20"/>
        <v>sábado</v>
      </c>
    </row>
    <row r="467" spans="19:22">
      <c r="S467" s="357">
        <v>41980</v>
      </c>
      <c r="T467" s="359" t="str">
        <f t="shared" si="21"/>
        <v>domingo</v>
      </c>
      <c r="U467" s="361">
        <v>40643</v>
      </c>
      <c r="V467" s="360" t="str">
        <f t="shared" si="20"/>
        <v>domingo</v>
      </c>
    </row>
    <row r="468" spans="19:22">
      <c r="S468" s="357">
        <v>41981</v>
      </c>
      <c r="T468" s="359" t="str">
        <f t="shared" si="21"/>
        <v>segunda-feira</v>
      </c>
      <c r="U468" s="361">
        <v>40644</v>
      </c>
      <c r="V468" s="360" t="str">
        <f t="shared" si="20"/>
        <v>segunda-feira</v>
      </c>
    </row>
    <row r="469" spans="19:22">
      <c r="S469" s="357">
        <v>41982</v>
      </c>
      <c r="T469" s="359" t="str">
        <f t="shared" si="21"/>
        <v>terça-feira</v>
      </c>
      <c r="U469" s="361">
        <v>40645</v>
      </c>
      <c r="V469" s="360" t="str">
        <f t="shared" si="20"/>
        <v>terça-feira</v>
      </c>
    </row>
    <row r="470" spans="19:22">
      <c r="S470" s="357">
        <v>41983</v>
      </c>
      <c r="T470" s="359" t="str">
        <f t="shared" si="21"/>
        <v>quarta-feira</v>
      </c>
      <c r="U470" s="361">
        <v>40646</v>
      </c>
      <c r="V470" s="360" t="str">
        <f t="shared" si="20"/>
        <v>quarta-feira</v>
      </c>
    </row>
    <row r="471" spans="19:22">
      <c r="S471" s="357">
        <v>41984</v>
      </c>
      <c r="T471" s="359" t="str">
        <f t="shared" si="21"/>
        <v>quinta-feira</v>
      </c>
      <c r="U471" s="361">
        <v>40647</v>
      </c>
      <c r="V471" s="360" t="str">
        <f t="shared" si="20"/>
        <v>quinta-feira</v>
      </c>
    </row>
    <row r="472" spans="19:22">
      <c r="S472" s="357">
        <v>41985</v>
      </c>
      <c r="T472" s="359" t="str">
        <f t="shared" si="21"/>
        <v>sexta-feira</v>
      </c>
      <c r="U472" s="361">
        <v>40648</v>
      </c>
      <c r="V472" s="360" t="str">
        <f t="shared" si="20"/>
        <v>sexta-feira</v>
      </c>
    </row>
    <row r="473" spans="19:22">
      <c r="S473" s="357">
        <v>41986</v>
      </c>
      <c r="T473" s="359" t="str">
        <f t="shared" si="21"/>
        <v>sábado</v>
      </c>
      <c r="U473" s="361">
        <v>40649</v>
      </c>
      <c r="V473" s="360" t="str">
        <f t="shared" si="20"/>
        <v>sábado</v>
      </c>
    </row>
    <row r="474" spans="19:22">
      <c r="S474" s="357">
        <v>41987</v>
      </c>
      <c r="T474" s="359" t="str">
        <f t="shared" si="21"/>
        <v>domingo</v>
      </c>
      <c r="U474" s="361">
        <v>40650</v>
      </c>
      <c r="V474" s="360" t="str">
        <f t="shared" si="20"/>
        <v>domingo</v>
      </c>
    </row>
    <row r="475" spans="19:22">
      <c r="S475" s="357">
        <v>41988</v>
      </c>
      <c r="T475" s="359" t="str">
        <f t="shared" si="21"/>
        <v>segunda-feira</v>
      </c>
      <c r="U475" s="361">
        <v>40651</v>
      </c>
      <c r="V475" s="360" t="str">
        <f t="shared" si="20"/>
        <v>segunda-feira</v>
      </c>
    </row>
    <row r="476" spans="19:22">
      <c r="S476" s="357">
        <v>41989</v>
      </c>
      <c r="T476" s="359" t="str">
        <f t="shared" si="21"/>
        <v>terça-feira</v>
      </c>
      <c r="U476" s="361">
        <v>40652</v>
      </c>
      <c r="V476" s="360" t="str">
        <f t="shared" si="20"/>
        <v>terça-feira</v>
      </c>
    </row>
    <row r="477" spans="19:22">
      <c r="S477" s="357">
        <v>41990</v>
      </c>
      <c r="T477" s="359" t="str">
        <f t="shared" si="21"/>
        <v>quarta-feira</v>
      </c>
      <c r="U477" s="361">
        <v>40653</v>
      </c>
      <c r="V477" s="360" t="str">
        <f t="shared" si="20"/>
        <v>quarta-feira</v>
      </c>
    </row>
    <row r="478" spans="19:22">
      <c r="S478" s="357">
        <v>41991</v>
      </c>
      <c r="T478" s="359" t="str">
        <f t="shared" si="21"/>
        <v>quinta-feira</v>
      </c>
      <c r="U478" s="361">
        <v>40654</v>
      </c>
      <c r="V478" s="360" t="str">
        <f t="shared" si="20"/>
        <v>quinta-feira</v>
      </c>
    </row>
    <row r="479" spans="19:22">
      <c r="S479" s="357">
        <v>41992</v>
      </c>
      <c r="T479" s="359" t="str">
        <f t="shared" si="21"/>
        <v>sexta-feira</v>
      </c>
      <c r="U479" s="361">
        <v>40655</v>
      </c>
      <c r="V479" s="360" t="str">
        <f t="shared" si="20"/>
        <v>sexta-feira</v>
      </c>
    </row>
    <row r="480" spans="19:22">
      <c r="S480" s="357">
        <v>41993</v>
      </c>
      <c r="T480" s="359" t="str">
        <f t="shared" si="21"/>
        <v>sábado</v>
      </c>
      <c r="U480" s="361">
        <v>40656</v>
      </c>
      <c r="V480" s="360" t="str">
        <f t="shared" si="20"/>
        <v>sábado</v>
      </c>
    </row>
    <row r="481" spans="19:22">
      <c r="S481" s="357">
        <v>41994</v>
      </c>
      <c r="T481" s="359" t="str">
        <f t="shared" si="21"/>
        <v>domingo</v>
      </c>
      <c r="U481" s="361">
        <v>40657</v>
      </c>
      <c r="V481" s="360" t="str">
        <f t="shared" si="20"/>
        <v>domingo</v>
      </c>
    </row>
    <row r="482" spans="19:22">
      <c r="S482" s="357">
        <v>41995</v>
      </c>
      <c r="T482" s="359" t="str">
        <f t="shared" si="21"/>
        <v>segunda-feira</v>
      </c>
      <c r="U482" s="361">
        <v>40658</v>
      </c>
      <c r="V482" s="360" t="str">
        <f t="shared" si="20"/>
        <v>segunda-feira</v>
      </c>
    </row>
    <row r="483" spans="19:22">
      <c r="S483" s="357">
        <v>41996</v>
      </c>
      <c r="T483" s="359" t="str">
        <f t="shared" si="21"/>
        <v>terça-feira</v>
      </c>
      <c r="U483" s="361">
        <v>40659</v>
      </c>
      <c r="V483" s="360" t="str">
        <f t="shared" si="20"/>
        <v>terça-feira</v>
      </c>
    </row>
    <row r="484" spans="19:22">
      <c r="S484" s="357">
        <v>41997</v>
      </c>
      <c r="T484" s="359" t="str">
        <f t="shared" si="21"/>
        <v>quarta-feira</v>
      </c>
      <c r="U484" s="361">
        <v>40660</v>
      </c>
      <c r="V484" s="360" t="str">
        <f t="shared" si="20"/>
        <v>quarta-feira</v>
      </c>
    </row>
    <row r="485" spans="19:22">
      <c r="S485" s="357">
        <v>41998</v>
      </c>
      <c r="T485" s="359" t="str">
        <f t="shared" si="21"/>
        <v>quinta-feira</v>
      </c>
      <c r="U485" s="361">
        <v>40661</v>
      </c>
      <c r="V485" s="360" t="str">
        <f t="shared" si="20"/>
        <v>quinta-feira</v>
      </c>
    </row>
    <row r="486" spans="19:22">
      <c r="S486" s="357">
        <v>41999</v>
      </c>
      <c r="T486" s="359" t="str">
        <f t="shared" si="21"/>
        <v>sexta-feira</v>
      </c>
      <c r="U486" s="361">
        <v>40662</v>
      </c>
      <c r="V486" s="360" t="str">
        <f t="shared" si="20"/>
        <v>sexta-feira</v>
      </c>
    </row>
    <row r="487" spans="19:22">
      <c r="S487" s="357">
        <v>42000</v>
      </c>
      <c r="T487" s="359" t="str">
        <f t="shared" si="21"/>
        <v>sábado</v>
      </c>
      <c r="U487" s="361">
        <v>40663</v>
      </c>
      <c r="V487" s="360" t="str">
        <f t="shared" si="20"/>
        <v>sábado</v>
      </c>
    </row>
    <row r="488" spans="19:22">
      <c r="S488" s="357">
        <v>42001</v>
      </c>
      <c r="T488" s="359" t="str">
        <f t="shared" si="21"/>
        <v>domingo</v>
      </c>
      <c r="U488" s="361">
        <v>40664</v>
      </c>
      <c r="V488" s="360" t="str">
        <f t="shared" si="20"/>
        <v>domingo</v>
      </c>
    </row>
    <row r="489" spans="19:22">
      <c r="S489" s="357">
        <v>42002</v>
      </c>
      <c r="T489" s="359" t="str">
        <f t="shared" si="21"/>
        <v>segunda-feira</v>
      </c>
      <c r="U489" s="361">
        <v>40665</v>
      </c>
      <c r="V489" s="360" t="str">
        <f t="shared" ref="V489:V552" si="22">TEXT(U489,"dddd")</f>
        <v>segunda-feira</v>
      </c>
    </row>
    <row r="490" spans="19:22">
      <c r="S490" s="357">
        <v>42003</v>
      </c>
      <c r="T490" s="359" t="str">
        <f t="shared" si="21"/>
        <v>terça-feira</v>
      </c>
      <c r="U490" s="361">
        <v>40666</v>
      </c>
      <c r="V490" s="360" t="str">
        <f t="shared" si="22"/>
        <v>terça-feira</v>
      </c>
    </row>
    <row r="491" spans="19:22">
      <c r="S491" s="357">
        <v>42004</v>
      </c>
      <c r="T491" s="359" t="str">
        <f t="shared" si="21"/>
        <v>quarta-feira</v>
      </c>
      <c r="U491" s="361">
        <v>40667</v>
      </c>
      <c r="V491" s="360" t="str">
        <f t="shared" si="22"/>
        <v>quarta-feira</v>
      </c>
    </row>
    <row r="492" spans="19:22">
      <c r="S492" s="357">
        <v>42005</v>
      </c>
      <c r="T492" s="359" t="str">
        <f t="shared" si="21"/>
        <v>quinta-feira</v>
      </c>
      <c r="U492" s="361">
        <v>40668</v>
      </c>
      <c r="V492" s="360" t="str">
        <f t="shared" si="22"/>
        <v>quinta-feira</v>
      </c>
    </row>
    <row r="493" spans="19:22">
      <c r="S493" s="357">
        <v>42006</v>
      </c>
      <c r="T493" s="359" t="str">
        <f t="shared" si="21"/>
        <v>sexta-feira</v>
      </c>
      <c r="U493" s="361">
        <v>40669</v>
      </c>
      <c r="V493" s="360" t="str">
        <f t="shared" si="22"/>
        <v>sexta-feira</v>
      </c>
    </row>
    <row r="494" spans="19:22">
      <c r="S494" s="357">
        <v>42007</v>
      </c>
      <c r="T494" s="359" t="str">
        <f t="shared" si="21"/>
        <v>sábado</v>
      </c>
      <c r="U494" s="361">
        <v>40670</v>
      </c>
      <c r="V494" s="360" t="str">
        <f t="shared" si="22"/>
        <v>sábado</v>
      </c>
    </row>
    <row r="495" spans="19:22">
      <c r="S495" s="357">
        <v>42008</v>
      </c>
      <c r="T495" s="359" t="str">
        <f t="shared" si="21"/>
        <v>domingo</v>
      </c>
      <c r="U495" s="361">
        <v>40671</v>
      </c>
      <c r="V495" s="360" t="str">
        <f t="shared" si="22"/>
        <v>domingo</v>
      </c>
    </row>
    <row r="496" spans="19:22">
      <c r="S496" s="357">
        <v>42009</v>
      </c>
      <c r="T496" s="359" t="str">
        <f t="shared" si="21"/>
        <v>segunda-feira</v>
      </c>
      <c r="U496" s="361">
        <v>40672</v>
      </c>
      <c r="V496" s="360" t="str">
        <f t="shared" si="22"/>
        <v>segunda-feira</v>
      </c>
    </row>
    <row r="497" spans="19:22">
      <c r="S497" s="357">
        <v>42010</v>
      </c>
      <c r="T497" s="359" t="str">
        <f t="shared" si="21"/>
        <v>terça-feira</v>
      </c>
      <c r="U497" s="361">
        <v>40673</v>
      </c>
      <c r="V497" s="360" t="str">
        <f t="shared" si="22"/>
        <v>terça-feira</v>
      </c>
    </row>
    <row r="498" spans="19:22">
      <c r="S498" s="357">
        <v>42011</v>
      </c>
      <c r="T498" s="359" t="str">
        <f t="shared" si="21"/>
        <v>quarta-feira</v>
      </c>
      <c r="U498" s="361">
        <v>40674</v>
      </c>
      <c r="V498" s="360" t="str">
        <f t="shared" si="22"/>
        <v>quarta-feira</v>
      </c>
    </row>
    <row r="499" spans="19:22">
      <c r="S499" s="357">
        <v>42012</v>
      </c>
      <c r="T499" s="359" t="str">
        <f t="shared" si="21"/>
        <v>quinta-feira</v>
      </c>
      <c r="U499" s="361">
        <v>40675</v>
      </c>
      <c r="V499" s="360" t="str">
        <f t="shared" si="22"/>
        <v>quinta-feira</v>
      </c>
    </row>
    <row r="500" spans="19:22">
      <c r="S500" s="357">
        <v>42013</v>
      </c>
      <c r="T500" s="359" t="str">
        <f t="shared" si="21"/>
        <v>sexta-feira</v>
      </c>
      <c r="U500" s="361">
        <v>40676</v>
      </c>
      <c r="V500" s="360" t="str">
        <f t="shared" si="22"/>
        <v>sexta-feira</v>
      </c>
    </row>
    <row r="501" spans="19:22">
      <c r="S501" s="357">
        <v>42014</v>
      </c>
      <c r="T501" s="359" t="str">
        <f t="shared" si="21"/>
        <v>sábado</v>
      </c>
      <c r="U501" s="361">
        <v>40677</v>
      </c>
      <c r="V501" s="360" t="str">
        <f t="shared" si="22"/>
        <v>sábado</v>
      </c>
    </row>
    <row r="502" spans="19:22">
      <c r="S502" s="357">
        <v>42015</v>
      </c>
      <c r="T502" s="359" t="str">
        <f t="shared" si="21"/>
        <v>domingo</v>
      </c>
      <c r="U502" s="361">
        <v>40678</v>
      </c>
      <c r="V502" s="360" t="str">
        <f t="shared" si="22"/>
        <v>domingo</v>
      </c>
    </row>
    <row r="503" spans="19:22">
      <c r="S503" s="357">
        <v>42016</v>
      </c>
      <c r="T503" s="359" t="str">
        <f t="shared" ref="T503:T566" si="23">TEXT(S503,"dddd")</f>
        <v>segunda-feira</v>
      </c>
      <c r="U503" s="361">
        <v>40679</v>
      </c>
      <c r="V503" s="360" t="str">
        <f t="shared" si="22"/>
        <v>segunda-feira</v>
      </c>
    </row>
    <row r="504" spans="19:22">
      <c r="S504" s="357">
        <v>42017</v>
      </c>
      <c r="T504" s="359" t="str">
        <f t="shared" si="23"/>
        <v>terça-feira</v>
      </c>
      <c r="U504" s="361">
        <v>40680</v>
      </c>
      <c r="V504" s="360" t="str">
        <f t="shared" si="22"/>
        <v>terça-feira</v>
      </c>
    </row>
    <row r="505" spans="19:22">
      <c r="S505" s="357">
        <v>42018</v>
      </c>
      <c r="T505" s="359" t="str">
        <f t="shared" si="23"/>
        <v>quarta-feira</v>
      </c>
      <c r="U505" s="361">
        <v>40681</v>
      </c>
      <c r="V505" s="360" t="str">
        <f t="shared" si="22"/>
        <v>quarta-feira</v>
      </c>
    </row>
    <row r="506" spans="19:22">
      <c r="S506" s="357">
        <v>42019</v>
      </c>
      <c r="T506" s="359" t="str">
        <f t="shared" si="23"/>
        <v>quinta-feira</v>
      </c>
      <c r="U506" s="361">
        <v>40682</v>
      </c>
      <c r="V506" s="360" t="str">
        <f t="shared" si="22"/>
        <v>quinta-feira</v>
      </c>
    </row>
    <row r="507" spans="19:22">
      <c r="S507" s="357">
        <v>42020</v>
      </c>
      <c r="T507" s="359" t="str">
        <f t="shared" si="23"/>
        <v>sexta-feira</v>
      </c>
      <c r="U507" s="361">
        <v>40683</v>
      </c>
      <c r="V507" s="360" t="str">
        <f t="shared" si="22"/>
        <v>sexta-feira</v>
      </c>
    </row>
    <row r="508" spans="19:22">
      <c r="S508" s="357">
        <v>42021</v>
      </c>
      <c r="T508" s="359" t="str">
        <f t="shared" si="23"/>
        <v>sábado</v>
      </c>
      <c r="U508" s="361">
        <v>40684</v>
      </c>
      <c r="V508" s="360" t="str">
        <f t="shared" si="22"/>
        <v>sábado</v>
      </c>
    </row>
    <row r="509" spans="19:22">
      <c r="S509" s="357">
        <v>42022</v>
      </c>
      <c r="T509" s="359" t="str">
        <f t="shared" si="23"/>
        <v>domingo</v>
      </c>
      <c r="U509" s="361">
        <v>40685</v>
      </c>
      <c r="V509" s="360" t="str">
        <f t="shared" si="22"/>
        <v>domingo</v>
      </c>
    </row>
    <row r="510" spans="19:22">
      <c r="S510" s="357">
        <v>42023</v>
      </c>
      <c r="T510" s="359" t="str">
        <f t="shared" si="23"/>
        <v>segunda-feira</v>
      </c>
      <c r="U510" s="361">
        <v>40686</v>
      </c>
      <c r="V510" s="360" t="str">
        <f t="shared" si="22"/>
        <v>segunda-feira</v>
      </c>
    </row>
    <row r="511" spans="19:22">
      <c r="S511" s="357">
        <v>42024</v>
      </c>
      <c r="T511" s="359" t="str">
        <f t="shared" si="23"/>
        <v>terça-feira</v>
      </c>
      <c r="U511" s="361">
        <v>40687</v>
      </c>
      <c r="V511" s="360" t="str">
        <f t="shared" si="22"/>
        <v>terça-feira</v>
      </c>
    </row>
    <row r="512" spans="19:22">
      <c r="S512" s="357">
        <v>42025</v>
      </c>
      <c r="T512" s="359" t="str">
        <f t="shared" si="23"/>
        <v>quarta-feira</v>
      </c>
      <c r="U512" s="361">
        <v>40688</v>
      </c>
      <c r="V512" s="360" t="str">
        <f t="shared" si="22"/>
        <v>quarta-feira</v>
      </c>
    </row>
    <row r="513" spans="19:22">
      <c r="S513" s="357">
        <v>42026</v>
      </c>
      <c r="T513" s="359" t="str">
        <f t="shared" si="23"/>
        <v>quinta-feira</v>
      </c>
      <c r="U513" s="361">
        <v>40689</v>
      </c>
      <c r="V513" s="360" t="str">
        <f t="shared" si="22"/>
        <v>quinta-feira</v>
      </c>
    </row>
    <row r="514" spans="19:22">
      <c r="S514" s="357">
        <v>42027</v>
      </c>
      <c r="T514" s="359" t="str">
        <f t="shared" si="23"/>
        <v>sexta-feira</v>
      </c>
      <c r="U514" s="361">
        <v>40690</v>
      </c>
      <c r="V514" s="360" t="str">
        <f t="shared" si="22"/>
        <v>sexta-feira</v>
      </c>
    </row>
    <row r="515" spans="19:22">
      <c r="S515" s="357">
        <v>42028</v>
      </c>
      <c r="T515" s="359" t="str">
        <f t="shared" si="23"/>
        <v>sábado</v>
      </c>
      <c r="U515" s="361">
        <v>40691</v>
      </c>
      <c r="V515" s="360" t="str">
        <f t="shared" si="22"/>
        <v>sábado</v>
      </c>
    </row>
    <row r="516" spans="19:22">
      <c r="S516" s="357">
        <v>42029</v>
      </c>
      <c r="T516" s="359" t="str">
        <f t="shared" si="23"/>
        <v>domingo</v>
      </c>
      <c r="U516" s="361">
        <v>40692</v>
      </c>
      <c r="V516" s="360" t="str">
        <f t="shared" si="22"/>
        <v>domingo</v>
      </c>
    </row>
    <row r="517" spans="19:22">
      <c r="S517" s="357">
        <v>42030</v>
      </c>
      <c r="T517" s="359" t="str">
        <f t="shared" si="23"/>
        <v>segunda-feira</v>
      </c>
      <c r="U517" s="361">
        <v>40693</v>
      </c>
      <c r="V517" s="360" t="str">
        <f t="shared" si="22"/>
        <v>segunda-feira</v>
      </c>
    </row>
    <row r="518" spans="19:22">
      <c r="S518" s="357">
        <v>42031</v>
      </c>
      <c r="T518" s="359" t="str">
        <f t="shared" si="23"/>
        <v>terça-feira</v>
      </c>
      <c r="U518" s="361">
        <v>40694</v>
      </c>
      <c r="V518" s="360" t="str">
        <f t="shared" si="22"/>
        <v>terça-feira</v>
      </c>
    </row>
    <row r="519" spans="19:22">
      <c r="S519" s="357">
        <v>42032</v>
      </c>
      <c r="T519" s="359" t="str">
        <f t="shared" si="23"/>
        <v>quarta-feira</v>
      </c>
      <c r="U519" s="361">
        <v>40695</v>
      </c>
      <c r="V519" s="360" t="str">
        <f t="shared" si="22"/>
        <v>quarta-feira</v>
      </c>
    </row>
    <row r="520" spans="19:22">
      <c r="S520" s="357">
        <v>42033</v>
      </c>
      <c r="T520" s="359" t="str">
        <f t="shared" si="23"/>
        <v>quinta-feira</v>
      </c>
      <c r="U520" s="361">
        <v>40696</v>
      </c>
      <c r="V520" s="360" t="str">
        <f t="shared" si="22"/>
        <v>quinta-feira</v>
      </c>
    </row>
    <row r="521" spans="19:22">
      <c r="S521" s="357">
        <v>42034</v>
      </c>
      <c r="T521" s="359" t="str">
        <f t="shared" si="23"/>
        <v>sexta-feira</v>
      </c>
      <c r="U521" s="361">
        <v>40697</v>
      </c>
      <c r="V521" s="360" t="str">
        <f t="shared" si="22"/>
        <v>sexta-feira</v>
      </c>
    </row>
    <row r="522" spans="19:22">
      <c r="S522" s="357">
        <v>42035</v>
      </c>
      <c r="T522" s="359" t="str">
        <f t="shared" si="23"/>
        <v>sábado</v>
      </c>
      <c r="U522" s="361">
        <v>40698</v>
      </c>
      <c r="V522" s="360" t="str">
        <f t="shared" si="22"/>
        <v>sábado</v>
      </c>
    </row>
    <row r="523" spans="19:22">
      <c r="S523" s="357">
        <v>42036</v>
      </c>
      <c r="T523" s="359" t="str">
        <f t="shared" si="23"/>
        <v>domingo</v>
      </c>
      <c r="U523" s="361">
        <v>40699</v>
      </c>
      <c r="V523" s="360" t="str">
        <f t="shared" si="22"/>
        <v>domingo</v>
      </c>
    </row>
    <row r="524" spans="19:22">
      <c r="S524" s="357">
        <v>42037</v>
      </c>
      <c r="T524" s="359" t="str">
        <f t="shared" si="23"/>
        <v>segunda-feira</v>
      </c>
      <c r="U524" s="361">
        <v>40700</v>
      </c>
      <c r="V524" s="360" t="str">
        <f t="shared" si="22"/>
        <v>segunda-feira</v>
      </c>
    </row>
    <row r="525" spans="19:22">
      <c r="S525" s="357">
        <v>42038</v>
      </c>
      <c r="T525" s="359" t="str">
        <f t="shared" si="23"/>
        <v>terça-feira</v>
      </c>
      <c r="U525" s="361">
        <v>40701</v>
      </c>
      <c r="V525" s="360" t="str">
        <f t="shared" si="22"/>
        <v>terça-feira</v>
      </c>
    </row>
    <row r="526" spans="19:22">
      <c r="S526" s="357">
        <v>42039</v>
      </c>
      <c r="T526" s="359" t="str">
        <f t="shared" si="23"/>
        <v>quarta-feira</v>
      </c>
      <c r="U526" s="361">
        <v>40702</v>
      </c>
      <c r="V526" s="360" t="str">
        <f t="shared" si="22"/>
        <v>quarta-feira</v>
      </c>
    </row>
    <row r="527" spans="19:22">
      <c r="S527" s="357">
        <v>42040</v>
      </c>
      <c r="T527" s="359" t="str">
        <f t="shared" si="23"/>
        <v>quinta-feira</v>
      </c>
      <c r="U527" s="361">
        <v>40703</v>
      </c>
      <c r="V527" s="360" t="str">
        <f t="shared" si="22"/>
        <v>quinta-feira</v>
      </c>
    </row>
    <row r="528" spans="19:22">
      <c r="S528" s="357">
        <v>42041</v>
      </c>
      <c r="T528" s="359" t="str">
        <f t="shared" si="23"/>
        <v>sexta-feira</v>
      </c>
      <c r="U528" s="361">
        <v>40704</v>
      </c>
      <c r="V528" s="360" t="str">
        <f t="shared" si="22"/>
        <v>sexta-feira</v>
      </c>
    </row>
    <row r="529" spans="19:22">
      <c r="S529" s="357">
        <v>42042</v>
      </c>
      <c r="T529" s="359" t="str">
        <f t="shared" si="23"/>
        <v>sábado</v>
      </c>
      <c r="U529" s="361">
        <v>40705</v>
      </c>
      <c r="V529" s="360" t="str">
        <f t="shared" si="22"/>
        <v>sábado</v>
      </c>
    </row>
    <row r="530" spans="19:22">
      <c r="S530" s="357">
        <v>42043</v>
      </c>
      <c r="T530" s="359" t="str">
        <f t="shared" si="23"/>
        <v>domingo</v>
      </c>
      <c r="U530" s="361">
        <v>40706</v>
      </c>
      <c r="V530" s="360" t="str">
        <f t="shared" si="22"/>
        <v>domingo</v>
      </c>
    </row>
    <row r="531" spans="19:22">
      <c r="S531" s="357">
        <v>42044</v>
      </c>
      <c r="T531" s="359" t="str">
        <f t="shared" si="23"/>
        <v>segunda-feira</v>
      </c>
      <c r="U531" s="361">
        <v>40707</v>
      </c>
      <c r="V531" s="360" t="str">
        <f t="shared" si="22"/>
        <v>segunda-feira</v>
      </c>
    </row>
    <row r="532" spans="19:22">
      <c r="S532" s="357">
        <v>42045</v>
      </c>
      <c r="T532" s="359" t="str">
        <f t="shared" si="23"/>
        <v>terça-feira</v>
      </c>
      <c r="U532" s="361">
        <v>40708</v>
      </c>
      <c r="V532" s="360" t="str">
        <f t="shared" si="22"/>
        <v>terça-feira</v>
      </c>
    </row>
    <row r="533" spans="19:22">
      <c r="S533" s="357">
        <v>42046</v>
      </c>
      <c r="T533" s="359" t="str">
        <f t="shared" si="23"/>
        <v>quarta-feira</v>
      </c>
      <c r="U533" s="361">
        <v>40709</v>
      </c>
      <c r="V533" s="360" t="str">
        <f t="shared" si="22"/>
        <v>quarta-feira</v>
      </c>
    </row>
    <row r="534" spans="19:22">
      <c r="S534" s="357">
        <v>42047</v>
      </c>
      <c r="T534" s="359" t="str">
        <f t="shared" si="23"/>
        <v>quinta-feira</v>
      </c>
      <c r="U534" s="361">
        <v>40710</v>
      </c>
      <c r="V534" s="360" t="str">
        <f t="shared" si="22"/>
        <v>quinta-feira</v>
      </c>
    </row>
    <row r="535" spans="19:22">
      <c r="S535" s="357">
        <v>42048</v>
      </c>
      <c r="T535" s="359" t="str">
        <f t="shared" si="23"/>
        <v>sexta-feira</v>
      </c>
      <c r="U535" s="361">
        <v>40711</v>
      </c>
      <c r="V535" s="360" t="str">
        <f t="shared" si="22"/>
        <v>sexta-feira</v>
      </c>
    </row>
    <row r="536" spans="19:22">
      <c r="S536" s="357">
        <v>42049</v>
      </c>
      <c r="T536" s="359" t="str">
        <f t="shared" si="23"/>
        <v>sábado</v>
      </c>
      <c r="U536" s="361">
        <v>40712</v>
      </c>
      <c r="V536" s="360" t="str">
        <f t="shared" si="22"/>
        <v>sábado</v>
      </c>
    </row>
    <row r="537" spans="19:22">
      <c r="S537" s="357">
        <v>42050</v>
      </c>
      <c r="T537" s="359" t="str">
        <f t="shared" si="23"/>
        <v>domingo</v>
      </c>
      <c r="U537" s="361">
        <v>40713</v>
      </c>
      <c r="V537" s="360" t="str">
        <f t="shared" si="22"/>
        <v>domingo</v>
      </c>
    </row>
    <row r="538" spans="19:22">
      <c r="S538" s="357">
        <v>42051</v>
      </c>
      <c r="T538" s="359" t="str">
        <f t="shared" si="23"/>
        <v>segunda-feira</v>
      </c>
      <c r="U538" s="361">
        <v>40714</v>
      </c>
      <c r="V538" s="360" t="str">
        <f t="shared" si="22"/>
        <v>segunda-feira</v>
      </c>
    </row>
    <row r="539" spans="19:22">
      <c r="S539" s="357">
        <v>42052</v>
      </c>
      <c r="T539" s="359" t="str">
        <f t="shared" si="23"/>
        <v>terça-feira</v>
      </c>
      <c r="U539" s="361">
        <v>40715</v>
      </c>
      <c r="V539" s="360" t="str">
        <f t="shared" si="22"/>
        <v>terça-feira</v>
      </c>
    </row>
    <row r="540" spans="19:22">
      <c r="S540" s="357">
        <v>42053</v>
      </c>
      <c r="T540" s="359" t="str">
        <f t="shared" si="23"/>
        <v>quarta-feira</v>
      </c>
      <c r="U540" s="361">
        <v>40716</v>
      </c>
      <c r="V540" s="360" t="str">
        <f t="shared" si="22"/>
        <v>quarta-feira</v>
      </c>
    </row>
    <row r="541" spans="19:22">
      <c r="S541" s="357">
        <v>42054</v>
      </c>
      <c r="T541" s="359" t="str">
        <f t="shared" si="23"/>
        <v>quinta-feira</v>
      </c>
      <c r="U541" s="361">
        <v>40717</v>
      </c>
      <c r="V541" s="360" t="str">
        <f t="shared" si="22"/>
        <v>quinta-feira</v>
      </c>
    </row>
    <row r="542" spans="19:22">
      <c r="S542" s="357">
        <v>42055</v>
      </c>
      <c r="T542" s="359" t="str">
        <f t="shared" si="23"/>
        <v>sexta-feira</v>
      </c>
      <c r="U542" s="361">
        <v>40718</v>
      </c>
      <c r="V542" s="360" t="str">
        <f t="shared" si="22"/>
        <v>sexta-feira</v>
      </c>
    </row>
    <row r="543" spans="19:22">
      <c r="S543" s="357">
        <v>42056</v>
      </c>
      <c r="T543" s="359" t="str">
        <f t="shared" si="23"/>
        <v>sábado</v>
      </c>
      <c r="U543" s="361">
        <v>40719</v>
      </c>
      <c r="V543" s="360" t="str">
        <f t="shared" si="22"/>
        <v>sábado</v>
      </c>
    </row>
    <row r="544" spans="19:22">
      <c r="S544" s="357">
        <v>42057</v>
      </c>
      <c r="T544" s="359" t="str">
        <f t="shared" si="23"/>
        <v>domingo</v>
      </c>
      <c r="U544" s="361">
        <v>40720</v>
      </c>
      <c r="V544" s="360" t="str">
        <f t="shared" si="22"/>
        <v>domingo</v>
      </c>
    </row>
    <row r="545" spans="19:22">
      <c r="S545" s="357">
        <v>42058</v>
      </c>
      <c r="T545" s="359" t="str">
        <f t="shared" si="23"/>
        <v>segunda-feira</v>
      </c>
      <c r="U545" s="361">
        <v>40721</v>
      </c>
      <c r="V545" s="360" t="str">
        <f t="shared" si="22"/>
        <v>segunda-feira</v>
      </c>
    </row>
    <row r="546" spans="19:22">
      <c r="S546" s="357">
        <v>42059</v>
      </c>
      <c r="T546" s="359" t="str">
        <f t="shared" si="23"/>
        <v>terça-feira</v>
      </c>
      <c r="U546" s="361">
        <v>40722</v>
      </c>
      <c r="V546" s="360" t="str">
        <f t="shared" si="22"/>
        <v>terça-feira</v>
      </c>
    </row>
    <row r="547" spans="19:22">
      <c r="S547" s="357">
        <v>42060</v>
      </c>
      <c r="T547" s="359" t="str">
        <f t="shared" si="23"/>
        <v>quarta-feira</v>
      </c>
      <c r="U547" s="361">
        <v>40723</v>
      </c>
      <c r="V547" s="360" t="str">
        <f t="shared" si="22"/>
        <v>quarta-feira</v>
      </c>
    </row>
    <row r="548" spans="19:22">
      <c r="S548" s="357">
        <v>42061</v>
      </c>
      <c r="T548" s="359" t="str">
        <f t="shared" si="23"/>
        <v>quinta-feira</v>
      </c>
      <c r="U548" s="361">
        <v>40724</v>
      </c>
      <c r="V548" s="360" t="str">
        <f t="shared" si="22"/>
        <v>quinta-feira</v>
      </c>
    </row>
    <row r="549" spans="19:22">
      <c r="S549" s="357">
        <v>42062</v>
      </c>
      <c r="T549" s="359" t="str">
        <f t="shared" si="23"/>
        <v>sexta-feira</v>
      </c>
      <c r="U549" s="361">
        <v>40725</v>
      </c>
      <c r="V549" s="360" t="str">
        <f t="shared" si="22"/>
        <v>sexta-feira</v>
      </c>
    </row>
    <row r="550" spans="19:22">
      <c r="S550" s="357">
        <v>42063</v>
      </c>
      <c r="T550" s="359" t="str">
        <f t="shared" si="23"/>
        <v>sábado</v>
      </c>
      <c r="U550" s="361">
        <v>40726</v>
      </c>
      <c r="V550" s="360" t="str">
        <f t="shared" si="22"/>
        <v>sábado</v>
      </c>
    </row>
    <row r="551" spans="19:22">
      <c r="S551" s="357">
        <v>42064</v>
      </c>
      <c r="T551" s="359" t="str">
        <f t="shared" si="23"/>
        <v>domingo</v>
      </c>
      <c r="U551" s="361">
        <v>40727</v>
      </c>
      <c r="V551" s="360" t="str">
        <f t="shared" si="22"/>
        <v>domingo</v>
      </c>
    </row>
    <row r="552" spans="19:22">
      <c r="S552" s="357">
        <v>42065</v>
      </c>
      <c r="T552" s="359" t="str">
        <f t="shared" si="23"/>
        <v>segunda-feira</v>
      </c>
      <c r="U552" s="361">
        <v>40728</v>
      </c>
      <c r="V552" s="360" t="str">
        <f t="shared" si="22"/>
        <v>segunda-feira</v>
      </c>
    </row>
    <row r="553" spans="19:22">
      <c r="S553" s="357">
        <v>42066</v>
      </c>
      <c r="T553" s="359" t="str">
        <f t="shared" si="23"/>
        <v>terça-feira</v>
      </c>
      <c r="U553" s="361">
        <v>40729</v>
      </c>
      <c r="V553" s="360" t="str">
        <f t="shared" ref="V553:V616" si="24">TEXT(U553,"dddd")</f>
        <v>terça-feira</v>
      </c>
    </row>
    <row r="554" spans="19:22">
      <c r="S554" s="357">
        <v>42067</v>
      </c>
      <c r="T554" s="359" t="str">
        <f t="shared" si="23"/>
        <v>quarta-feira</v>
      </c>
      <c r="U554" s="361">
        <v>40730</v>
      </c>
      <c r="V554" s="360" t="str">
        <f t="shared" si="24"/>
        <v>quarta-feira</v>
      </c>
    </row>
    <row r="555" spans="19:22">
      <c r="S555" s="357">
        <v>42068</v>
      </c>
      <c r="T555" s="359" t="str">
        <f t="shared" si="23"/>
        <v>quinta-feira</v>
      </c>
      <c r="U555" s="361">
        <v>40731</v>
      </c>
      <c r="V555" s="360" t="str">
        <f t="shared" si="24"/>
        <v>quinta-feira</v>
      </c>
    </row>
    <row r="556" spans="19:22">
      <c r="S556" s="357">
        <v>42069</v>
      </c>
      <c r="T556" s="359" t="str">
        <f t="shared" si="23"/>
        <v>sexta-feira</v>
      </c>
      <c r="U556" s="361">
        <v>40732</v>
      </c>
      <c r="V556" s="360" t="str">
        <f t="shared" si="24"/>
        <v>sexta-feira</v>
      </c>
    </row>
    <row r="557" spans="19:22">
      <c r="S557" s="357">
        <v>42070</v>
      </c>
      <c r="T557" s="359" t="str">
        <f t="shared" si="23"/>
        <v>sábado</v>
      </c>
      <c r="U557" s="361">
        <v>40733</v>
      </c>
      <c r="V557" s="360" t="str">
        <f t="shared" si="24"/>
        <v>sábado</v>
      </c>
    </row>
    <row r="558" spans="19:22">
      <c r="S558" s="357">
        <v>42071</v>
      </c>
      <c r="T558" s="359" t="str">
        <f t="shared" si="23"/>
        <v>domingo</v>
      </c>
      <c r="U558" s="361">
        <v>40734</v>
      </c>
      <c r="V558" s="360" t="str">
        <f t="shared" si="24"/>
        <v>domingo</v>
      </c>
    </row>
    <row r="559" spans="19:22">
      <c r="S559" s="357">
        <v>42072</v>
      </c>
      <c r="T559" s="359" t="str">
        <f t="shared" si="23"/>
        <v>segunda-feira</v>
      </c>
      <c r="U559" s="361">
        <v>40735</v>
      </c>
      <c r="V559" s="360" t="str">
        <f t="shared" si="24"/>
        <v>segunda-feira</v>
      </c>
    </row>
    <row r="560" spans="19:22">
      <c r="S560" s="357">
        <v>42073</v>
      </c>
      <c r="T560" s="359" t="str">
        <f t="shared" si="23"/>
        <v>terça-feira</v>
      </c>
      <c r="U560" s="361">
        <v>40736</v>
      </c>
      <c r="V560" s="360" t="str">
        <f t="shared" si="24"/>
        <v>terça-feira</v>
      </c>
    </row>
    <row r="561" spans="19:22">
      <c r="S561" s="357">
        <v>42074</v>
      </c>
      <c r="T561" s="359" t="str">
        <f t="shared" si="23"/>
        <v>quarta-feira</v>
      </c>
      <c r="U561" s="361">
        <v>40737</v>
      </c>
      <c r="V561" s="360" t="str">
        <f t="shared" si="24"/>
        <v>quarta-feira</v>
      </c>
    </row>
    <row r="562" spans="19:22">
      <c r="S562" s="357">
        <v>42075</v>
      </c>
      <c r="T562" s="359" t="str">
        <f t="shared" si="23"/>
        <v>quinta-feira</v>
      </c>
      <c r="U562" s="361">
        <v>40738</v>
      </c>
      <c r="V562" s="360" t="str">
        <f t="shared" si="24"/>
        <v>quinta-feira</v>
      </c>
    </row>
    <row r="563" spans="19:22">
      <c r="S563" s="357">
        <v>42076</v>
      </c>
      <c r="T563" s="359" t="str">
        <f t="shared" si="23"/>
        <v>sexta-feira</v>
      </c>
      <c r="U563" s="361">
        <v>40739</v>
      </c>
      <c r="V563" s="360" t="str">
        <f t="shared" si="24"/>
        <v>sexta-feira</v>
      </c>
    </row>
    <row r="564" spans="19:22">
      <c r="S564" s="357">
        <v>42077</v>
      </c>
      <c r="T564" s="359" t="str">
        <f t="shared" si="23"/>
        <v>sábado</v>
      </c>
      <c r="U564" s="361">
        <v>40740</v>
      </c>
      <c r="V564" s="360" t="str">
        <f t="shared" si="24"/>
        <v>sábado</v>
      </c>
    </row>
    <row r="565" spans="19:22">
      <c r="S565" s="357">
        <v>42078</v>
      </c>
      <c r="T565" s="359" t="str">
        <f t="shared" si="23"/>
        <v>domingo</v>
      </c>
      <c r="U565" s="361">
        <v>40741</v>
      </c>
      <c r="V565" s="360" t="str">
        <f t="shared" si="24"/>
        <v>domingo</v>
      </c>
    </row>
    <row r="566" spans="19:22">
      <c r="S566" s="357">
        <v>42079</v>
      </c>
      <c r="T566" s="359" t="str">
        <f t="shared" si="23"/>
        <v>segunda-feira</v>
      </c>
      <c r="U566" s="361">
        <v>40742</v>
      </c>
      <c r="V566" s="360" t="str">
        <f t="shared" si="24"/>
        <v>segunda-feira</v>
      </c>
    </row>
    <row r="567" spans="19:22">
      <c r="S567" s="357">
        <v>42080</v>
      </c>
      <c r="T567" s="359" t="str">
        <f t="shared" ref="T567:T630" si="25">TEXT(S567,"dddd")</f>
        <v>terça-feira</v>
      </c>
      <c r="U567" s="361">
        <v>40743</v>
      </c>
      <c r="V567" s="360" t="str">
        <f t="shared" si="24"/>
        <v>terça-feira</v>
      </c>
    </row>
    <row r="568" spans="19:22">
      <c r="S568" s="357">
        <v>42081</v>
      </c>
      <c r="T568" s="359" t="str">
        <f t="shared" si="25"/>
        <v>quarta-feira</v>
      </c>
      <c r="U568" s="361">
        <v>40744</v>
      </c>
      <c r="V568" s="360" t="str">
        <f t="shared" si="24"/>
        <v>quarta-feira</v>
      </c>
    </row>
    <row r="569" spans="19:22">
      <c r="S569" s="357">
        <v>42082</v>
      </c>
      <c r="T569" s="359" t="str">
        <f t="shared" si="25"/>
        <v>quinta-feira</v>
      </c>
      <c r="U569" s="361">
        <v>40745</v>
      </c>
      <c r="V569" s="360" t="str">
        <f t="shared" si="24"/>
        <v>quinta-feira</v>
      </c>
    </row>
    <row r="570" spans="19:22">
      <c r="S570" s="357">
        <v>42083</v>
      </c>
      <c r="T570" s="359" t="str">
        <f t="shared" si="25"/>
        <v>sexta-feira</v>
      </c>
      <c r="U570" s="361">
        <v>40746</v>
      </c>
      <c r="V570" s="360" t="str">
        <f t="shared" si="24"/>
        <v>sexta-feira</v>
      </c>
    </row>
    <row r="571" spans="19:22">
      <c r="S571" s="357">
        <v>42084</v>
      </c>
      <c r="T571" s="359" t="str">
        <f t="shared" si="25"/>
        <v>sábado</v>
      </c>
      <c r="U571" s="361">
        <v>40747</v>
      </c>
      <c r="V571" s="360" t="str">
        <f t="shared" si="24"/>
        <v>sábado</v>
      </c>
    </row>
    <row r="572" spans="19:22">
      <c r="S572" s="357">
        <v>42085</v>
      </c>
      <c r="T572" s="359" t="str">
        <f t="shared" si="25"/>
        <v>domingo</v>
      </c>
      <c r="U572" s="361">
        <v>40748</v>
      </c>
      <c r="V572" s="360" t="str">
        <f t="shared" si="24"/>
        <v>domingo</v>
      </c>
    </row>
    <row r="573" spans="19:22">
      <c r="S573" s="357">
        <v>42086</v>
      </c>
      <c r="T573" s="359" t="str">
        <f t="shared" si="25"/>
        <v>segunda-feira</v>
      </c>
      <c r="U573" s="361">
        <v>40749</v>
      </c>
      <c r="V573" s="360" t="str">
        <f t="shared" si="24"/>
        <v>segunda-feira</v>
      </c>
    </row>
    <row r="574" spans="19:22">
      <c r="S574" s="357">
        <v>42087</v>
      </c>
      <c r="T574" s="359" t="str">
        <f t="shared" si="25"/>
        <v>terça-feira</v>
      </c>
      <c r="U574" s="361">
        <v>40750</v>
      </c>
      <c r="V574" s="360" t="str">
        <f t="shared" si="24"/>
        <v>terça-feira</v>
      </c>
    </row>
    <row r="575" spans="19:22">
      <c r="S575" s="357">
        <v>42088</v>
      </c>
      <c r="T575" s="359" t="str">
        <f t="shared" si="25"/>
        <v>quarta-feira</v>
      </c>
      <c r="U575" s="361">
        <v>40751</v>
      </c>
      <c r="V575" s="360" t="str">
        <f t="shared" si="24"/>
        <v>quarta-feira</v>
      </c>
    </row>
    <row r="576" spans="19:22">
      <c r="S576" s="357">
        <v>42089</v>
      </c>
      <c r="T576" s="359" t="str">
        <f t="shared" si="25"/>
        <v>quinta-feira</v>
      </c>
      <c r="U576" s="361">
        <v>40752</v>
      </c>
      <c r="V576" s="360" t="str">
        <f t="shared" si="24"/>
        <v>quinta-feira</v>
      </c>
    </row>
    <row r="577" spans="19:22">
      <c r="S577" s="357">
        <v>42090</v>
      </c>
      <c r="T577" s="359" t="str">
        <f t="shared" si="25"/>
        <v>sexta-feira</v>
      </c>
      <c r="U577" s="361">
        <v>40753</v>
      </c>
      <c r="V577" s="360" t="str">
        <f t="shared" si="24"/>
        <v>sexta-feira</v>
      </c>
    </row>
    <row r="578" spans="19:22">
      <c r="S578" s="357">
        <v>42091</v>
      </c>
      <c r="T578" s="359" t="str">
        <f t="shared" si="25"/>
        <v>sábado</v>
      </c>
      <c r="U578" s="361">
        <v>40754</v>
      </c>
      <c r="V578" s="360" t="str">
        <f t="shared" si="24"/>
        <v>sábado</v>
      </c>
    </row>
    <row r="579" spans="19:22">
      <c r="S579" s="357">
        <v>42092</v>
      </c>
      <c r="T579" s="359" t="str">
        <f t="shared" si="25"/>
        <v>domingo</v>
      </c>
      <c r="U579" s="361">
        <v>40755</v>
      </c>
      <c r="V579" s="360" t="str">
        <f t="shared" si="24"/>
        <v>domingo</v>
      </c>
    </row>
    <row r="580" spans="19:22">
      <c r="S580" s="357">
        <v>42093</v>
      </c>
      <c r="T580" s="359" t="str">
        <f t="shared" si="25"/>
        <v>segunda-feira</v>
      </c>
      <c r="U580" s="361">
        <v>40756</v>
      </c>
      <c r="V580" s="360" t="str">
        <f t="shared" si="24"/>
        <v>segunda-feira</v>
      </c>
    </row>
    <row r="581" spans="19:22">
      <c r="S581" s="357">
        <v>42094</v>
      </c>
      <c r="T581" s="359" t="str">
        <f t="shared" si="25"/>
        <v>terça-feira</v>
      </c>
      <c r="U581" s="361">
        <v>40757</v>
      </c>
      <c r="V581" s="360" t="str">
        <f t="shared" si="24"/>
        <v>terça-feira</v>
      </c>
    </row>
    <row r="582" spans="19:22">
      <c r="S582" s="357">
        <v>42095</v>
      </c>
      <c r="T582" s="359" t="str">
        <f t="shared" si="25"/>
        <v>quarta-feira</v>
      </c>
      <c r="U582" s="361">
        <v>40758</v>
      </c>
      <c r="V582" s="360" t="str">
        <f t="shared" si="24"/>
        <v>quarta-feira</v>
      </c>
    </row>
    <row r="583" spans="19:22">
      <c r="S583" s="357">
        <v>42096</v>
      </c>
      <c r="T583" s="359" t="str">
        <f t="shared" si="25"/>
        <v>quinta-feira</v>
      </c>
      <c r="U583" s="361">
        <v>40759</v>
      </c>
      <c r="V583" s="360" t="str">
        <f t="shared" si="24"/>
        <v>quinta-feira</v>
      </c>
    </row>
    <row r="584" spans="19:22">
      <c r="S584" s="357">
        <v>42097</v>
      </c>
      <c r="T584" s="359" t="str">
        <f t="shared" si="25"/>
        <v>sexta-feira</v>
      </c>
      <c r="U584" s="361">
        <v>40760</v>
      </c>
      <c r="V584" s="360" t="str">
        <f t="shared" si="24"/>
        <v>sexta-feira</v>
      </c>
    </row>
    <row r="585" spans="19:22">
      <c r="S585" s="357">
        <v>42098</v>
      </c>
      <c r="T585" s="359" t="str">
        <f t="shared" si="25"/>
        <v>sábado</v>
      </c>
      <c r="U585" s="361">
        <v>40761</v>
      </c>
      <c r="V585" s="360" t="str">
        <f t="shared" si="24"/>
        <v>sábado</v>
      </c>
    </row>
    <row r="586" spans="19:22">
      <c r="S586" s="357">
        <v>42099</v>
      </c>
      <c r="T586" s="359" t="str">
        <f t="shared" si="25"/>
        <v>domingo</v>
      </c>
      <c r="U586" s="361">
        <v>40762</v>
      </c>
      <c r="V586" s="360" t="str">
        <f t="shared" si="24"/>
        <v>domingo</v>
      </c>
    </row>
    <row r="587" spans="19:22">
      <c r="S587" s="357">
        <v>42100</v>
      </c>
      <c r="T587" s="359" t="str">
        <f t="shared" si="25"/>
        <v>segunda-feira</v>
      </c>
      <c r="U587" s="361">
        <v>40763</v>
      </c>
      <c r="V587" s="360" t="str">
        <f t="shared" si="24"/>
        <v>segunda-feira</v>
      </c>
    </row>
    <row r="588" spans="19:22">
      <c r="S588" s="357">
        <v>42101</v>
      </c>
      <c r="T588" s="359" t="str">
        <f t="shared" si="25"/>
        <v>terça-feira</v>
      </c>
      <c r="U588" s="361">
        <v>40764</v>
      </c>
      <c r="V588" s="360" t="str">
        <f t="shared" si="24"/>
        <v>terça-feira</v>
      </c>
    </row>
    <row r="589" spans="19:22">
      <c r="S589" s="357">
        <v>42102</v>
      </c>
      <c r="T589" s="359" t="str">
        <f t="shared" si="25"/>
        <v>quarta-feira</v>
      </c>
      <c r="U589" s="361">
        <v>40765</v>
      </c>
      <c r="V589" s="360" t="str">
        <f t="shared" si="24"/>
        <v>quarta-feira</v>
      </c>
    </row>
    <row r="590" spans="19:22">
      <c r="S590" s="357">
        <v>42103</v>
      </c>
      <c r="T590" s="359" t="str">
        <f t="shared" si="25"/>
        <v>quinta-feira</v>
      </c>
      <c r="U590" s="361">
        <v>40766</v>
      </c>
      <c r="V590" s="360" t="str">
        <f t="shared" si="24"/>
        <v>quinta-feira</v>
      </c>
    </row>
    <row r="591" spans="19:22">
      <c r="S591" s="357">
        <v>42104</v>
      </c>
      <c r="T591" s="359" t="str">
        <f t="shared" si="25"/>
        <v>sexta-feira</v>
      </c>
      <c r="U591" s="361">
        <v>40767</v>
      </c>
      <c r="V591" s="360" t="str">
        <f t="shared" si="24"/>
        <v>sexta-feira</v>
      </c>
    </row>
    <row r="592" spans="19:22">
      <c r="S592" s="357">
        <v>42105</v>
      </c>
      <c r="T592" s="359" t="str">
        <f t="shared" si="25"/>
        <v>sábado</v>
      </c>
      <c r="U592" s="361">
        <v>40768</v>
      </c>
      <c r="V592" s="360" t="str">
        <f t="shared" si="24"/>
        <v>sábado</v>
      </c>
    </row>
    <row r="593" spans="19:22">
      <c r="S593" s="357">
        <v>42106</v>
      </c>
      <c r="T593" s="359" t="str">
        <f t="shared" si="25"/>
        <v>domingo</v>
      </c>
      <c r="U593" s="361">
        <v>40769</v>
      </c>
      <c r="V593" s="360" t="str">
        <f t="shared" si="24"/>
        <v>domingo</v>
      </c>
    </row>
    <row r="594" spans="19:22">
      <c r="S594" s="357">
        <v>42107</v>
      </c>
      <c r="T594" s="359" t="str">
        <f t="shared" si="25"/>
        <v>segunda-feira</v>
      </c>
      <c r="U594" s="361">
        <v>40770</v>
      </c>
      <c r="V594" s="360" t="str">
        <f t="shared" si="24"/>
        <v>segunda-feira</v>
      </c>
    </row>
    <row r="595" spans="19:22">
      <c r="S595" s="357">
        <v>42108</v>
      </c>
      <c r="T595" s="359" t="str">
        <f t="shared" si="25"/>
        <v>terça-feira</v>
      </c>
      <c r="U595" s="361">
        <v>40771</v>
      </c>
      <c r="V595" s="360" t="str">
        <f t="shared" si="24"/>
        <v>terça-feira</v>
      </c>
    </row>
    <row r="596" spans="19:22">
      <c r="S596" s="357">
        <v>42109</v>
      </c>
      <c r="T596" s="359" t="str">
        <f t="shared" si="25"/>
        <v>quarta-feira</v>
      </c>
      <c r="U596" s="361">
        <v>40772</v>
      </c>
      <c r="V596" s="360" t="str">
        <f t="shared" si="24"/>
        <v>quarta-feira</v>
      </c>
    </row>
    <row r="597" spans="19:22">
      <c r="S597" s="357">
        <v>42110</v>
      </c>
      <c r="T597" s="359" t="str">
        <f t="shared" si="25"/>
        <v>quinta-feira</v>
      </c>
      <c r="U597" s="361">
        <v>40773</v>
      </c>
      <c r="V597" s="360" t="str">
        <f t="shared" si="24"/>
        <v>quinta-feira</v>
      </c>
    </row>
    <row r="598" spans="19:22">
      <c r="S598" s="357">
        <v>42111</v>
      </c>
      <c r="T598" s="359" t="str">
        <f t="shared" si="25"/>
        <v>sexta-feira</v>
      </c>
      <c r="U598" s="361">
        <v>40774</v>
      </c>
      <c r="V598" s="360" t="str">
        <f t="shared" si="24"/>
        <v>sexta-feira</v>
      </c>
    </row>
    <row r="599" spans="19:22">
      <c r="S599" s="357">
        <v>42112</v>
      </c>
      <c r="T599" s="359" t="str">
        <f t="shared" si="25"/>
        <v>sábado</v>
      </c>
      <c r="U599" s="361">
        <v>40775</v>
      </c>
      <c r="V599" s="360" t="str">
        <f t="shared" si="24"/>
        <v>sábado</v>
      </c>
    </row>
    <row r="600" spans="19:22">
      <c r="S600" s="357">
        <v>42113</v>
      </c>
      <c r="T600" s="359" t="str">
        <f t="shared" si="25"/>
        <v>domingo</v>
      </c>
      <c r="U600" s="361">
        <v>40776</v>
      </c>
      <c r="V600" s="360" t="str">
        <f t="shared" si="24"/>
        <v>domingo</v>
      </c>
    </row>
    <row r="601" spans="19:22">
      <c r="S601" s="357">
        <v>42114</v>
      </c>
      <c r="T601" s="359" t="str">
        <f t="shared" si="25"/>
        <v>segunda-feira</v>
      </c>
      <c r="U601" s="361">
        <v>40777</v>
      </c>
      <c r="V601" s="360" t="str">
        <f t="shared" si="24"/>
        <v>segunda-feira</v>
      </c>
    </row>
    <row r="602" spans="19:22">
      <c r="S602" s="357">
        <v>42115</v>
      </c>
      <c r="T602" s="359" t="str">
        <f t="shared" si="25"/>
        <v>terça-feira</v>
      </c>
      <c r="U602" s="361">
        <v>40778</v>
      </c>
      <c r="V602" s="360" t="str">
        <f t="shared" si="24"/>
        <v>terça-feira</v>
      </c>
    </row>
    <row r="603" spans="19:22">
      <c r="S603" s="357">
        <v>42116</v>
      </c>
      <c r="T603" s="359" t="str">
        <f t="shared" si="25"/>
        <v>quarta-feira</v>
      </c>
      <c r="U603" s="361">
        <v>40779</v>
      </c>
      <c r="V603" s="360" t="str">
        <f t="shared" si="24"/>
        <v>quarta-feira</v>
      </c>
    </row>
    <row r="604" spans="19:22">
      <c r="S604" s="357">
        <v>42117</v>
      </c>
      <c r="T604" s="359" t="str">
        <f t="shared" si="25"/>
        <v>quinta-feira</v>
      </c>
      <c r="U604" s="361">
        <v>40780</v>
      </c>
      <c r="V604" s="360" t="str">
        <f t="shared" si="24"/>
        <v>quinta-feira</v>
      </c>
    </row>
    <row r="605" spans="19:22">
      <c r="S605" s="357">
        <v>42118</v>
      </c>
      <c r="T605" s="359" t="str">
        <f t="shared" si="25"/>
        <v>sexta-feira</v>
      </c>
      <c r="U605" s="361">
        <v>40781</v>
      </c>
      <c r="V605" s="360" t="str">
        <f t="shared" si="24"/>
        <v>sexta-feira</v>
      </c>
    </row>
    <row r="606" spans="19:22">
      <c r="S606" s="357">
        <v>42119</v>
      </c>
      <c r="T606" s="359" t="str">
        <f t="shared" si="25"/>
        <v>sábado</v>
      </c>
      <c r="U606" s="361">
        <v>40782</v>
      </c>
      <c r="V606" s="360" t="str">
        <f t="shared" si="24"/>
        <v>sábado</v>
      </c>
    </row>
    <row r="607" spans="19:22">
      <c r="S607" s="357">
        <v>42120</v>
      </c>
      <c r="T607" s="359" t="str">
        <f t="shared" si="25"/>
        <v>domingo</v>
      </c>
      <c r="U607" s="361">
        <v>40783</v>
      </c>
      <c r="V607" s="360" t="str">
        <f t="shared" si="24"/>
        <v>domingo</v>
      </c>
    </row>
    <row r="608" spans="19:22">
      <c r="S608" s="357">
        <v>42121</v>
      </c>
      <c r="T608" s="359" t="str">
        <f t="shared" si="25"/>
        <v>segunda-feira</v>
      </c>
      <c r="U608" s="361">
        <v>40784</v>
      </c>
      <c r="V608" s="360" t="str">
        <f t="shared" si="24"/>
        <v>segunda-feira</v>
      </c>
    </row>
    <row r="609" spans="19:22">
      <c r="S609" s="357">
        <v>42122</v>
      </c>
      <c r="T609" s="359" t="str">
        <f t="shared" si="25"/>
        <v>terça-feira</v>
      </c>
      <c r="U609" s="361">
        <v>40785</v>
      </c>
      <c r="V609" s="360" t="str">
        <f t="shared" si="24"/>
        <v>terça-feira</v>
      </c>
    </row>
    <row r="610" spans="19:22">
      <c r="S610" s="357">
        <v>42123</v>
      </c>
      <c r="T610" s="359" t="str">
        <f t="shared" si="25"/>
        <v>quarta-feira</v>
      </c>
      <c r="U610" s="361">
        <v>40786</v>
      </c>
      <c r="V610" s="360" t="str">
        <f t="shared" si="24"/>
        <v>quarta-feira</v>
      </c>
    </row>
    <row r="611" spans="19:22">
      <c r="S611" s="357">
        <v>42124</v>
      </c>
      <c r="T611" s="359" t="str">
        <f t="shared" si="25"/>
        <v>quinta-feira</v>
      </c>
      <c r="U611" s="361">
        <v>40787</v>
      </c>
      <c r="V611" s="360" t="str">
        <f t="shared" si="24"/>
        <v>quinta-feira</v>
      </c>
    </row>
    <row r="612" spans="19:22">
      <c r="S612" s="357">
        <v>42125</v>
      </c>
      <c r="T612" s="359" t="str">
        <f t="shared" si="25"/>
        <v>sexta-feira</v>
      </c>
      <c r="U612" s="361">
        <v>40788</v>
      </c>
      <c r="V612" s="360" t="str">
        <f t="shared" si="24"/>
        <v>sexta-feira</v>
      </c>
    </row>
    <row r="613" spans="19:22">
      <c r="S613" s="357">
        <v>42126</v>
      </c>
      <c r="T613" s="359" t="str">
        <f t="shared" si="25"/>
        <v>sábado</v>
      </c>
      <c r="U613" s="361">
        <v>40789</v>
      </c>
      <c r="V613" s="360" t="str">
        <f t="shared" si="24"/>
        <v>sábado</v>
      </c>
    </row>
    <row r="614" spans="19:22">
      <c r="S614" s="357">
        <v>42127</v>
      </c>
      <c r="T614" s="359" t="str">
        <f t="shared" si="25"/>
        <v>domingo</v>
      </c>
      <c r="U614" s="361">
        <v>40790</v>
      </c>
      <c r="V614" s="360" t="str">
        <f t="shared" si="24"/>
        <v>domingo</v>
      </c>
    </row>
    <row r="615" spans="19:22">
      <c r="S615" s="357">
        <v>42128</v>
      </c>
      <c r="T615" s="359" t="str">
        <f t="shared" si="25"/>
        <v>segunda-feira</v>
      </c>
      <c r="U615" s="361">
        <v>40791</v>
      </c>
      <c r="V615" s="360" t="str">
        <f t="shared" si="24"/>
        <v>segunda-feira</v>
      </c>
    </row>
    <row r="616" spans="19:22">
      <c r="S616" s="357">
        <v>42129</v>
      </c>
      <c r="T616" s="359" t="str">
        <f t="shared" si="25"/>
        <v>terça-feira</v>
      </c>
      <c r="U616" s="361">
        <v>40792</v>
      </c>
      <c r="V616" s="360" t="str">
        <f t="shared" si="24"/>
        <v>terça-feira</v>
      </c>
    </row>
    <row r="617" spans="19:22">
      <c r="S617" s="357">
        <v>42130</v>
      </c>
      <c r="T617" s="359" t="str">
        <f t="shared" si="25"/>
        <v>quarta-feira</v>
      </c>
      <c r="U617" s="361">
        <v>40793</v>
      </c>
      <c r="V617" s="360" t="str">
        <f t="shared" ref="V617:V680" si="26">TEXT(U617,"dddd")</f>
        <v>quarta-feira</v>
      </c>
    </row>
    <row r="618" spans="19:22">
      <c r="S618" s="357">
        <v>42131</v>
      </c>
      <c r="T618" s="359" t="str">
        <f t="shared" si="25"/>
        <v>quinta-feira</v>
      </c>
      <c r="U618" s="361">
        <v>40794</v>
      </c>
      <c r="V618" s="360" t="str">
        <f t="shared" si="26"/>
        <v>quinta-feira</v>
      </c>
    </row>
    <row r="619" spans="19:22">
      <c r="S619" s="357">
        <v>42132</v>
      </c>
      <c r="T619" s="359" t="str">
        <f t="shared" si="25"/>
        <v>sexta-feira</v>
      </c>
      <c r="U619" s="361">
        <v>40795</v>
      </c>
      <c r="V619" s="360" t="str">
        <f t="shared" si="26"/>
        <v>sexta-feira</v>
      </c>
    </row>
    <row r="620" spans="19:22">
      <c r="S620" s="357">
        <v>42133</v>
      </c>
      <c r="T620" s="359" t="str">
        <f t="shared" si="25"/>
        <v>sábado</v>
      </c>
      <c r="U620" s="361">
        <v>40796</v>
      </c>
      <c r="V620" s="360" t="str">
        <f t="shared" si="26"/>
        <v>sábado</v>
      </c>
    </row>
    <row r="621" spans="19:22">
      <c r="S621" s="357">
        <v>42134</v>
      </c>
      <c r="T621" s="359" t="str">
        <f t="shared" si="25"/>
        <v>domingo</v>
      </c>
      <c r="U621" s="361">
        <v>40797</v>
      </c>
      <c r="V621" s="360" t="str">
        <f t="shared" si="26"/>
        <v>domingo</v>
      </c>
    </row>
    <row r="622" spans="19:22">
      <c r="S622" s="357">
        <v>42135</v>
      </c>
      <c r="T622" s="359" t="str">
        <f t="shared" si="25"/>
        <v>segunda-feira</v>
      </c>
      <c r="U622" s="361">
        <v>40798</v>
      </c>
      <c r="V622" s="360" t="str">
        <f t="shared" si="26"/>
        <v>segunda-feira</v>
      </c>
    </row>
    <row r="623" spans="19:22">
      <c r="S623" s="357">
        <v>42136</v>
      </c>
      <c r="T623" s="359" t="str">
        <f t="shared" si="25"/>
        <v>terça-feira</v>
      </c>
      <c r="U623" s="361">
        <v>40799</v>
      </c>
      <c r="V623" s="360" t="str">
        <f t="shared" si="26"/>
        <v>terça-feira</v>
      </c>
    </row>
    <row r="624" spans="19:22">
      <c r="S624" s="357">
        <v>42137</v>
      </c>
      <c r="T624" s="359" t="str">
        <f t="shared" si="25"/>
        <v>quarta-feira</v>
      </c>
      <c r="U624" s="361">
        <v>40800</v>
      </c>
      <c r="V624" s="360" t="str">
        <f t="shared" si="26"/>
        <v>quarta-feira</v>
      </c>
    </row>
    <row r="625" spans="19:22">
      <c r="S625" s="357">
        <v>42138</v>
      </c>
      <c r="T625" s="359" t="str">
        <f t="shared" si="25"/>
        <v>quinta-feira</v>
      </c>
      <c r="U625" s="361">
        <v>40801</v>
      </c>
      <c r="V625" s="360" t="str">
        <f t="shared" si="26"/>
        <v>quinta-feira</v>
      </c>
    </row>
    <row r="626" spans="19:22">
      <c r="S626" s="357">
        <v>42139</v>
      </c>
      <c r="T626" s="359" t="str">
        <f t="shared" si="25"/>
        <v>sexta-feira</v>
      </c>
      <c r="U626" s="361">
        <v>40802</v>
      </c>
      <c r="V626" s="360" t="str">
        <f t="shared" si="26"/>
        <v>sexta-feira</v>
      </c>
    </row>
    <row r="627" spans="19:22">
      <c r="S627" s="357">
        <v>42140</v>
      </c>
      <c r="T627" s="359" t="str">
        <f t="shared" si="25"/>
        <v>sábado</v>
      </c>
      <c r="U627" s="361">
        <v>40803</v>
      </c>
      <c r="V627" s="360" t="str">
        <f t="shared" si="26"/>
        <v>sábado</v>
      </c>
    </row>
    <row r="628" spans="19:22">
      <c r="S628" s="357">
        <v>42141</v>
      </c>
      <c r="T628" s="359" t="str">
        <f t="shared" si="25"/>
        <v>domingo</v>
      </c>
      <c r="U628" s="361">
        <v>40804</v>
      </c>
      <c r="V628" s="360" t="str">
        <f t="shared" si="26"/>
        <v>domingo</v>
      </c>
    </row>
    <row r="629" spans="19:22">
      <c r="S629" s="357">
        <v>42142</v>
      </c>
      <c r="T629" s="359" t="str">
        <f t="shared" si="25"/>
        <v>segunda-feira</v>
      </c>
      <c r="U629" s="361">
        <v>40805</v>
      </c>
      <c r="V629" s="360" t="str">
        <f t="shared" si="26"/>
        <v>segunda-feira</v>
      </c>
    </row>
    <row r="630" spans="19:22">
      <c r="S630" s="357">
        <v>42143</v>
      </c>
      <c r="T630" s="359" t="str">
        <f t="shared" si="25"/>
        <v>terça-feira</v>
      </c>
      <c r="U630" s="361">
        <v>40806</v>
      </c>
      <c r="V630" s="360" t="str">
        <f t="shared" si="26"/>
        <v>terça-feira</v>
      </c>
    </row>
    <row r="631" spans="19:22">
      <c r="S631" s="357">
        <v>42144</v>
      </c>
      <c r="T631" s="359" t="str">
        <f t="shared" ref="T631:T694" si="27">TEXT(S631,"dddd")</f>
        <v>quarta-feira</v>
      </c>
      <c r="U631" s="361">
        <v>40807</v>
      </c>
      <c r="V631" s="360" t="str">
        <f t="shared" si="26"/>
        <v>quarta-feira</v>
      </c>
    </row>
    <row r="632" spans="19:22">
      <c r="S632" s="357">
        <v>42145</v>
      </c>
      <c r="T632" s="359" t="str">
        <f t="shared" si="27"/>
        <v>quinta-feira</v>
      </c>
      <c r="U632" s="361">
        <v>40808</v>
      </c>
      <c r="V632" s="360" t="str">
        <f t="shared" si="26"/>
        <v>quinta-feira</v>
      </c>
    </row>
    <row r="633" spans="19:22">
      <c r="S633" s="357">
        <v>42146</v>
      </c>
      <c r="T633" s="359" t="str">
        <f t="shared" si="27"/>
        <v>sexta-feira</v>
      </c>
      <c r="U633" s="361">
        <v>40809</v>
      </c>
      <c r="V633" s="360" t="str">
        <f t="shared" si="26"/>
        <v>sexta-feira</v>
      </c>
    </row>
    <row r="634" spans="19:22">
      <c r="S634" s="357">
        <v>42147</v>
      </c>
      <c r="T634" s="359" t="str">
        <f t="shared" si="27"/>
        <v>sábado</v>
      </c>
      <c r="U634" s="361">
        <v>40810</v>
      </c>
      <c r="V634" s="360" t="str">
        <f t="shared" si="26"/>
        <v>sábado</v>
      </c>
    </row>
    <row r="635" spans="19:22">
      <c r="S635" s="357">
        <v>42148</v>
      </c>
      <c r="T635" s="359" t="str">
        <f t="shared" si="27"/>
        <v>domingo</v>
      </c>
      <c r="U635" s="361">
        <v>40811</v>
      </c>
      <c r="V635" s="360" t="str">
        <f t="shared" si="26"/>
        <v>domingo</v>
      </c>
    </row>
    <row r="636" spans="19:22">
      <c r="S636" s="357">
        <v>42149</v>
      </c>
      <c r="T636" s="359" t="str">
        <f t="shared" si="27"/>
        <v>segunda-feira</v>
      </c>
      <c r="U636" s="361">
        <v>40812</v>
      </c>
      <c r="V636" s="360" t="str">
        <f t="shared" si="26"/>
        <v>segunda-feira</v>
      </c>
    </row>
    <row r="637" spans="19:22">
      <c r="S637" s="357">
        <v>42150</v>
      </c>
      <c r="T637" s="359" t="str">
        <f t="shared" si="27"/>
        <v>terça-feira</v>
      </c>
      <c r="U637" s="361">
        <v>40813</v>
      </c>
      <c r="V637" s="360" t="str">
        <f t="shared" si="26"/>
        <v>terça-feira</v>
      </c>
    </row>
    <row r="638" spans="19:22">
      <c r="S638" s="357">
        <v>42151</v>
      </c>
      <c r="T638" s="359" t="str">
        <f t="shared" si="27"/>
        <v>quarta-feira</v>
      </c>
      <c r="U638" s="361">
        <v>40814</v>
      </c>
      <c r="V638" s="360" t="str">
        <f t="shared" si="26"/>
        <v>quarta-feira</v>
      </c>
    </row>
    <row r="639" spans="19:22">
      <c r="S639" s="357">
        <v>42152</v>
      </c>
      <c r="T639" s="359" t="str">
        <f t="shared" si="27"/>
        <v>quinta-feira</v>
      </c>
      <c r="U639" s="361">
        <v>40815</v>
      </c>
      <c r="V639" s="360" t="str">
        <f t="shared" si="26"/>
        <v>quinta-feira</v>
      </c>
    </row>
    <row r="640" spans="19:22">
      <c r="S640" s="357">
        <v>42153</v>
      </c>
      <c r="T640" s="359" t="str">
        <f t="shared" si="27"/>
        <v>sexta-feira</v>
      </c>
      <c r="U640" s="361">
        <v>40816</v>
      </c>
      <c r="V640" s="360" t="str">
        <f t="shared" si="26"/>
        <v>sexta-feira</v>
      </c>
    </row>
    <row r="641" spans="19:22">
      <c r="S641" s="357">
        <v>42154</v>
      </c>
      <c r="T641" s="359" t="str">
        <f t="shared" si="27"/>
        <v>sábado</v>
      </c>
      <c r="U641" s="361">
        <v>40817</v>
      </c>
      <c r="V641" s="360" t="str">
        <f t="shared" si="26"/>
        <v>sábado</v>
      </c>
    </row>
    <row r="642" spans="19:22">
      <c r="S642" s="357">
        <v>42155</v>
      </c>
      <c r="T642" s="359" t="str">
        <f t="shared" si="27"/>
        <v>domingo</v>
      </c>
      <c r="U642" s="361">
        <v>40818</v>
      </c>
      <c r="V642" s="360" t="str">
        <f t="shared" si="26"/>
        <v>domingo</v>
      </c>
    </row>
    <row r="643" spans="19:22">
      <c r="S643" s="357">
        <v>42156</v>
      </c>
      <c r="T643" s="359" t="str">
        <f t="shared" si="27"/>
        <v>segunda-feira</v>
      </c>
      <c r="U643" s="361">
        <v>40819</v>
      </c>
      <c r="V643" s="360" t="str">
        <f t="shared" si="26"/>
        <v>segunda-feira</v>
      </c>
    </row>
    <row r="644" spans="19:22">
      <c r="S644" s="357">
        <v>42157</v>
      </c>
      <c r="T644" s="359" t="str">
        <f t="shared" si="27"/>
        <v>terça-feira</v>
      </c>
      <c r="U644" s="361">
        <v>40820</v>
      </c>
      <c r="V644" s="360" t="str">
        <f t="shared" si="26"/>
        <v>terça-feira</v>
      </c>
    </row>
    <row r="645" spans="19:22">
      <c r="S645" s="357">
        <v>42158</v>
      </c>
      <c r="T645" s="359" t="str">
        <f t="shared" si="27"/>
        <v>quarta-feira</v>
      </c>
      <c r="U645" s="361">
        <v>40821</v>
      </c>
      <c r="V645" s="360" t="str">
        <f t="shared" si="26"/>
        <v>quarta-feira</v>
      </c>
    </row>
    <row r="646" spans="19:22">
      <c r="S646" s="357">
        <v>42159</v>
      </c>
      <c r="T646" s="359" t="str">
        <f t="shared" si="27"/>
        <v>quinta-feira</v>
      </c>
      <c r="U646" s="361">
        <v>40822</v>
      </c>
      <c r="V646" s="360" t="str">
        <f t="shared" si="26"/>
        <v>quinta-feira</v>
      </c>
    </row>
    <row r="647" spans="19:22">
      <c r="S647" s="357">
        <v>42160</v>
      </c>
      <c r="T647" s="359" t="str">
        <f t="shared" si="27"/>
        <v>sexta-feira</v>
      </c>
      <c r="U647" s="361">
        <v>40823</v>
      </c>
      <c r="V647" s="360" t="str">
        <f t="shared" si="26"/>
        <v>sexta-feira</v>
      </c>
    </row>
    <row r="648" spans="19:22">
      <c r="S648" s="357">
        <v>42161</v>
      </c>
      <c r="T648" s="359" t="str">
        <f t="shared" si="27"/>
        <v>sábado</v>
      </c>
      <c r="U648" s="361">
        <v>40824</v>
      </c>
      <c r="V648" s="360" t="str">
        <f t="shared" si="26"/>
        <v>sábado</v>
      </c>
    </row>
    <row r="649" spans="19:22">
      <c r="S649" s="357">
        <v>42162</v>
      </c>
      <c r="T649" s="359" t="str">
        <f t="shared" si="27"/>
        <v>domingo</v>
      </c>
      <c r="U649" s="361">
        <v>40825</v>
      </c>
      <c r="V649" s="360" t="str">
        <f t="shared" si="26"/>
        <v>domingo</v>
      </c>
    </row>
    <row r="650" spans="19:22">
      <c r="S650" s="357">
        <v>42163</v>
      </c>
      <c r="T650" s="359" t="str">
        <f t="shared" si="27"/>
        <v>segunda-feira</v>
      </c>
      <c r="U650" s="361">
        <v>40826</v>
      </c>
      <c r="V650" s="360" t="str">
        <f t="shared" si="26"/>
        <v>segunda-feira</v>
      </c>
    </row>
    <row r="651" spans="19:22">
      <c r="S651" s="357">
        <v>42164</v>
      </c>
      <c r="T651" s="359" t="str">
        <f t="shared" si="27"/>
        <v>terça-feira</v>
      </c>
      <c r="U651" s="361">
        <v>40827</v>
      </c>
      <c r="V651" s="360" t="str">
        <f t="shared" si="26"/>
        <v>terça-feira</v>
      </c>
    </row>
    <row r="652" spans="19:22">
      <c r="S652" s="357">
        <v>42165</v>
      </c>
      <c r="T652" s="359" t="str">
        <f t="shared" si="27"/>
        <v>quarta-feira</v>
      </c>
      <c r="U652" s="361">
        <v>40828</v>
      </c>
      <c r="V652" s="360" t="str">
        <f t="shared" si="26"/>
        <v>quarta-feira</v>
      </c>
    </row>
    <row r="653" spans="19:22">
      <c r="S653" s="357">
        <v>42166</v>
      </c>
      <c r="T653" s="359" t="str">
        <f t="shared" si="27"/>
        <v>quinta-feira</v>
      </c>
      <c r="U653" s="361">
        <v>40829</v>
      </c>
      <c r="V653" s="360" t="str">
        <f t="shared" si="26"/>
        <v>quinta-feira</v>
      </c>
    </row>
    <row r="654" spans="19:22">
      <c r="S654" s="357">
        <v>42167</v>
      </c>
      <c r="T654" s="359" t="str">
        <f t="shared" si="27"/>
        <v>sexta-feira</v>
      </c>
      <c r="U654" s="361">
        <v>40830</v>
      </c>
      <c r="V654" s="360" t="str">
        <f t="shared" si="26"/>
        <v>sexta-feira</v>
      </c>
    </row>
    <row r="655" spans="19:22">
      <c r="S655" s="357">
        <v>42168</v>
      </c>
      <c r="T655" s="359" t="str">
        <f t="shared" si="27"/>
        <v>sábado</v>
      </c>
      <c r="U655" s="361">
        <v>40831</v>
      </c>
      <c r="V655" s="360" t="str">
        <f t="shared" si="26"/>
        <v>sábado</v>
      </c>
    </row>
    <row r="656" spans="19:22">
      <c r="S656" s="357">
        <v>42169</v>
      </c>
      <c r="T656" s="359" t="str">
        <f t="shared" si="27"/>
        <v>domingo</v>
      </c>
      <c r="U656" s="361">
        <v>40832</v>
      </c>
      <c r="V656" s="360" t="str">
        <f t="shared" si="26"/>
        <v>domingo</v>
      </c>
    </row>
    <row r="657" spans="19:22">
      <c r="S657" s="357">
        <v>42170</v>
      </c>
      <c r="T657" s="359" t="str">
        <f t="shared" si="27"/>
        <v>segunda-feira</v>
      </c>
      <c r="U657" s="361">
        <v>40833</v>
      </c>
      <c r="V657" s="360" t="str">
        <f t="shared" si="26"/>
        <v>segunda-feira</v>
      </c>
    </row>
    <row r="658" spans="19:22">
      <c r="S658" s="357">
        <v>42171</v>
      </c>
      <c r="T658" s="359" t="str">
        <f t="shared" si="27"/>
        <v>terça-feira</v>
      </c>
      <c r="U658" s="361">
        <v>40834</v>
      </c>
      <c r="V658" s="360" t="str">
        <f t="shared" si="26"/>
        <v>terça-feira</v>
      </c>
    </row>
    <row r="659" spans="19:22">
      <c r="S659" s="357">
        <v>42172</v>
      </c>
      <c r="T659" s="359" t="str">
        <f t="shared" si="27"/>
        <v>quarta-feira</v>
      </c>
      <c r="U659" s="361">
        <v>40835</v>
      </c>
      <c r="V659" s="360" t="str">
        <f t="shared" si="26"/>
        <v>quarta-feira</v>
      </c>
    </row>
    <row r="660" spans="19:22">
      <c r="S660" s="357">
        <v>42173</v>
      </c>
      <c r="T660" s="359" t="str">
        <f t="shared" si="27"/>
        <v>quinta-feira</v>
      </c>
      <c r="U660" s="361">
        <v>40836</v>
      </c>
      <c r="V660" s="360" t="str">
        <f t="shared" si="26"/>
        <v>quinta-feira</v>
      </c>
    </row>
    <row r="661" spans="19:22">
      <c r="S661" s="357">
        <v>42174</v>
      </c>
      <c r="T661" s="359" t="str">
        <f t="shared" si="27"/>
        <v>sexta-feira</v>
      </c>
      <c r="U661" s="361">
        <v>40837</v>
      </c>
      <c r="V661" s="360" t="str">
        <f t="shared" si="26"/>
        <v>sexta-feira</v>
      </c>
    </row>
    <row r="662" spans="19:22">
      <c r="S662" s="357">
        <v>42175</v>
      </c>
      <c r="T662" s="359" t="str">
        <f t="shared" si="27"/>
        <v>sábado</v>
      </c>
      <c r="U662" s="361">
        <v>40838</v>
      </c>
      <c r="V662" s="360" t="str">
        <f t="shared" si="26"/>
        <v>sábado</v>
      </c>
    </row>
    <row r="663" spans="19:22">
      <c r="S663" s="357">
        <v>42176</v>
      </c>
      <c r="T663" s="359" t="str">
        <f t="shared" si="27"/>
        <v>domingo</v>
      </c>
      <c r="U663" s="361">
        <v>40839</v>
      </c>
      <c r="V663" s="360" t="str">
        <f t="shared" si="26"/>
        <v>domingo</v>
      </c>
    </row>
    <row r="664" spans="19:22">
      <c r="S664" s="357">
        <v>42177</v>
      </c>
      <c r="T664" s="359" t="str">
        <f t="shared" si="27"/>
        <v>segunda-feira</v>
      </c>
      <c r="U664" s="361">
        <v>40840</v>
      </c>
      <c r="V664" s="360" t="str">
        <f t="shared" si="26"/>
        <v>segunda-feira</v>
      </c>
    </row>
    <row r="665" spans="19:22">
      <c r="S665" s="357">
        <v>42178</v>
      </c>
      <c r="T665" s="359" t="str">
        <f t="shared" si="27"/>
        <v>terça-feira</v>
      </c>
      <c r="U665" s="361">
        <v>40841</v>
      </c>
      <c r="V665" s="360" t="str">
        <f t="shared" si="26"/>
        <v>terça-feira</v>
      </c>
    </row>
    <row r="666" spans="19:22">
      <c r="S666" s="357">
        <v>42179</v>
      </c>
      <c r="T666" s="359" t="str">
        <f t="shared" si="27"/>
        <v>quarta-feira</v>
      </c>
      <c r="U666" s="361">
        <v>40842</v>
      </c>
      <c r="V666" s="360" t="str">
        <f t="shared" si="26"/>
        <v>quarta-feira</v>
      </c>
    </row>
    <row r="667" spans="19:22">
      <c r="S667" s="357">
        <v>42180</v>
      </c>
      <c r="T667" s="359" t="str">
        <f t="shared" si="27"/>
        <v>quinta-feira</v>
      </c>
      <c r="U667" s="361">
        <v>40843</v>
      </c>
      <c r="V667" s="360" t="str">
        <f t="shared" si="26"/>
        <v>quinta-feira</v>
      </c>
    </row>
    <row r="668" spans="19:22">
      <c r="S668" s="357">
        <v>42181</v>
      </c>
      <c r="T668" s="359" t="str">
        <f t="shared" si="27"/>
        <v>sexta-feira</v>
      </c>
      <c r="U668" s="361">
        <v>40844</v>
      </c>
      <c r="V668" s="360" t="str">
        <f t="shared" si="26"/>
        <v>sexta-feira</v>
      </c>
    </row>
    <row r="669" spans="19:22">
      <c r="S669" s="357">
        <v>42182</v>
      </c>
      <c r="T669" s="359" t="str">
        <f t="shared" si="27"/>
        <v>sábado</v>
      </c>
      <c r="U669" s="361">
        <v>40845</v>
      </c>
      <c r="V669" s="360" t="str">
        <f t="shared" si="26"/>
        <v>sábado</v>
      </c>
    </row>
    <row r="670" spans="19:22">
      <c r="S670" s="357">
        <v>42183</v>
      </c>
      <c r="T670" s="359" t="str">
        <f t="shared" si="27"/>
        <v>domingo</v>
      </c>
      <c r="U670" s="361">
        <v>40846</v>
      </c>
      <c r="V670" s="360" t="str">
        <f t="shared" si="26"/>
        <v>domingo</v>
      </c>
    </row>
    <row r="671" spans="19:22">
      <c r="S671" s="357">
        <v>42184</v>
      </c>
      <c r="T671" s="359" t="str">
        <f t="shared" si="27"/>
        <v>segunda-feira</v>
      </c>
      <c r="U671" s="361">
        <v>40847</v>
      </c>
      <c r="V671" s="360" t="str">
        <f t="shared" si="26"/>
        <v>segunda-feira</v>
      </c>
    </row>
    <row r="672" spans="19:22">
      <c r="S672" s="357">
        <v>42185</v>
      </c>
      <c r="T672" s="359" t="str">
        <f t="shared" si="27"/>
        <v>terça-feira</v>
      </c>
      <c r="U672" s="361">
        <v>40848</v>
      </c>
      <c r="V672" s="360" t="str">
        <f t="shared" si="26"/>
        <v>terça-feira</v>
      </c>
    </row>
    <row r="673" spans="19:22">
      <c r="S673" s="357">
        <v>42186</v>
      </c>
      <c r="T673" s="359" t="str">
        <f t="shared" si="27"/>
        <v>quarta-feira</v>
      </c>
      <c r="U673" s="361">
        <v>40849</v>
      </c>
      <c r="V673" s="360" t="str">
        <f t="shared" si="26"/>
        <v>quarta-feira</v>
      </c>
    </row>
    <row r="674" spans="19:22">
      <c r="S674" s="357">
        <v>42187</v>
      </c>
      <c r="T674" s="359" t="str">
        <f t="shared" si="27"/>
        <v>quinta-feira</v>
      </c>
      <c r="U674" s="361">
        <v>40850</v>
      </c>
      <c r="V674" s="360" t="str">
        <f t="shared" si="26"/>
        <v>quinta-feira</v>
      </c>
    </row>
    <row r="675" spans="19:22">
      <c r="S675" s="357">
        <v>42188</v>
      </c>
      <c r="T675" s="359" t="str">
        <f t="shared" si="27"/>
        <v>sexta-feira</v>
      </c>
      <c r="U675" s="361">
        <v>40851</v>
      </c>
      <c r="V675" s="360" t="str">
        <f t="shared" si="26"/>
        <v>sexta-feira</v>
      </c>
    </row>
    <row r="676" spans="19:22">
      <c r="S676" s="357">
        <v>42189</v>
      </c>
      <c r="T676" s="359" t="str">
        <f t="shared" si="27"/>
        <v>sábado</v>
      </c>
      <c r="U676" s="361">
        <v>40852</v>
      </c>
      <c r="V676" s="360" t="str">
        <f t="shared" si="26"/>
        <v>sábado</v>
      </c>
    </row>
    <row r="677" spans="19:22">
      <c r="S677" s="357">
        <v>42190</v>
      </c>
      <c r="T677" s="359" t="str">
        <f t="shared" si="27"/>
        <v>domingo</v>
      </c>
      <c r="U677" s="361">
        <v>40853</v>
      </c>
      <c r="V677" s="360" t="str">
        <f t="shared" si="26"/>
        <v>domingo</v>
      </c>
    </row>
    <row r="678" spans="19:22">
      <c r="S678" s="357">
        <v>42191</v>
      </c>
      <c r="T678" s="359" t="str">
        <f t="shared" si="27"/>
        <v>segunda-feira</v>
      </c>
      <c r="U678" s="361">
        <v>40854</v>
      </c>
      <c r="V678" s="360" t="str">
        <f t="shared" si="26"/>
        <v>segunda-feira</v>
      </c>
    </row>
    <row r="679" spans="19:22">
      <c r="S679" s="357">
        <v>42192</v>
      </c>
      <c r="T679" s="359" t="str">
        <f t="shared" si="27"/>
        <v>terça-feira</v>
      </c>
      <c r="U679" s="361">
        <v>40855</v>
      </c>
      <c r="V679" s="360" t="str">
        <f t="shared" si="26"/>
        <v>terça-feira</v>
      </c>
    </row>
    <row r="680" spans="19:22">
      <c r="S680" s="357">
        <v>42193</v>
      </c>
      <c r="T680" s="359" t="str">
        <f t="shared" si="27"/>
        <v>quarta-feira</v>
      </c>
      <c r="U680" s="361">
        <v>40856</v>
      </c>
      <c r="V680" s="360" t="str">
        <f t="shared" si="26"/>
        <v>quarta-feira</v>
      </c>
    </row>
    <row r="681" spans="19:22">
      <c r="S681" s="357">
        <v>42194</v>
      </c>
      <c r="T681" s="359" t="str">
        <f t="shared" si="27"/>
        <v>quinta-feira</v>
      </c>
      <c r="U681" s="361">
        <v>40857</v>
      </c>
      <c r="V681" s="360" t="str">
        <f t="shared" ref="V681:V744" si="28">TEXT(U681,"dddd")</f>
        <v>quinta-feira</v>
      </c>
    </row>
    <row r="682" spans="19:22">
      <c r="S682" s="357">
        <v>42195</v>
      </c>
      <c r="T682" s="359" t="str">
        <f t="shared" si="27"/>
        <v>sexta-feira</v>
      </c>
      <c r="U682" s="361">
        <v>40858</v>
      </c>
      <c r="V682" s="360" t="str">
        <f t="shared" si="28"/>
        <v>sexta-feira</v>
      </c>
    </row>
    <row r="683" spans="19:22">
      <c r="S683" s="357">
        <v>42196</v>
      </c>
      <c r="T683" s="359" t="str">
        <f t="shared" si="27"/>
        <v>sábado</v>
      </c>
      <c r="U683" s="361">
        <v>40859</v>
      </c>
      <c r="V683" s="360" t="str">
        <f t="shared" si="28"/>
        <v>sábado</v>
      </c>
    </row>
    <row r="684" spans="19:22">
      <c r="S684" s="357">
        <v>42197</v>
      </c>
      <c r="T684" s="359" t="str">
        <f t="shared" si="27"/>
        <v>domingo</v>
      </c>
      <c r="U684" s="361">
        <v>40860</v>
      </c>
      <c r="V684" s="360" t="str">
        <f t="shared" si="28"/>
        <v>domingo</v>
      </c>
    </row>
    <row r="685" spans="19:22">
      <c r="S685" s="357">
        <v>42198</v>
      </c>
      <c r="T685" s="359" t="str">
        <f t="shared" si="27"/>
        <v>segunda-feira</v>
      </c>
      <c r="U685" s="361">
        <v>40861</v>
      </c>
      <c r="V685" s="360" t="str">
        <f t="shared" si="28"/>
        <v>segunda-feira</v>
      </c>
    </row>
    <row r="686" spans="19:22">
      <c r="S686" s="357">
        <v>42199</v>
      </c>
      <c r="T686" s="359" t="str">
        <f t="shared" si="27"/>
        <v>terça-feira</v>
      </c>
      <c r="U686" s="361">
        <v>40862</v>
      </c>
      <c r="V686" s="360" t="str">
        <f t="shared" si="28"/>
        <v>terça-feira</v>
      </c>
    </row>
    <row r="687" spans="19:22">
      <c r="S687" s="357">
        <v>42200</v>
      </c>
      <c r="T687" s="359" t="str">
        <f t="shared" si="27"/>
        <v>quarta-feira</v>
      </c>
      <c r="U687" s="361">
        <v>40863</v>
      </c>
      <c r="V687" s="360" t="str">
        <f t="shared" si="28"/>
        <v>quarta-feira</v>
      </c>
    </row>
    <row r="688" spans="19:22">
      <c r="S688" s="357">
        <v>42201</v>
      </c>
      <c r="T688" s="359" t="str">
        <f t="shared" si="27"/>
        <v>quinta-feira</v>
      </c>
      <c r="U688" s="361">
        <v>40864</v>
      </c>
      <c r="V688" s="360" t="str">
        <f t="shared" si="28"/>
        <v>quinta-feira</v>
      </c>
    </row>
    <row r="689" spans="19:22">
      <c r="S689" s="357">
        <v>42202</v>
      </c>
      <c r="T689" s="359" t="str">
        <f t="shared" si="27"/>
        <v>sexta-feira</v>
      </c>
      <c r="U689" s="361">
        <v>40865</v>
      </c>
      <c r="V689" s="360" t="str">
        <f t="shared" si="28"/>
        <v>sexta-feira</v>
      </c>
    </row>
    <row r="690" spans="19:22">
      <c r="S690" s="357">
        <v>42203</v>
      </c>
      <c r="T690" s="359" t="str">
        <f t="shared" si="27"/>
        <v>sábado</v>
      </c>
      <c r="U690" s="361">
        <v>40866</v>
      </c>
      <c r="V690" s="360" t="str">
        <f t="shared" si="28"/>
        <v>sábado</v>
      </c>
    </row>
    <row r="691" spans="19:22">
      <c r="S691" s="357">
        <v>42204</v>
      </c>
      <c r="T691" s="359" t="str">
        <f t="shared" si="27"/>
        <v>domingo</v>
      </c>
      <c r="U691" s="361">
        <v>40867</v>
      </c>
      <c r="V691" s="360" t="str">
        <f t="shared" si="28"/>
        <v>domingo</v>
      </c>
    </row>
    <row r="692" spans="19:22">
      <c r="S692" s="357">
        <v>42205</v>
      </c>
      <c r="T692" s="359" t="str">
        <f t="shared" si="27"/>
        <v>segunda-feira</v>
      </c>
      <c r="U692" s="361">
        <v>40868</v>
      </c>
      <c r="V692" s="360" t="str">
        <f t="shared" si="28"/>
        <v>segunda-feira</v>
      </c>
    </row>
    <row r="693" spans="19:22">
      <c r="S693" s="357">
        <v>42206</v>
      </c>
      <c r="T693" s="359" t="str">
        <f t="shared" si="27"/>
        <v>terça-feira</v>
      </c>
      <c r="U693" s="361">
        <v>40869</v>
      </c>
      <c r="V693" s="360" t="str">
        <f t="shared" si="28"/>
        <v>terça-feira</v>
      </c>
    </row>
    <row r="694" spans="19:22">
      <c r="S694" s="357">
        <v>42207</v>
      </c>
      <c r="T694" s="359" t="str">
        <f t="shared" si="27"/>
        <v>quarta-feira</v>
      </c>
      <c r="U694" s="361">
        <v>40870</v>
      </c>
      <c r="V694" s="360" t="str">
        <f t="shared" si="28"/>
        <v>quarta-feira</v>
      </c>
    </row>
    <row r="695" spans="19:22">
      <c r="S695" s="357">
        <v>42208</v>
      </c>
      <c r="T695" s="359" t="str">
        <f t="shared" ref="T695:T758" si="29">TEXT(S695,"dddd")</f>
        <v>quinta-feira</v>
      </c>
      <c r="U695" s="361">
        <v>40871</v>
      </c>
      <c r="V695" s="360" t="str">
        <f t="shared" si="28"/>
        <v>quinta-feira</v>
      </c>
    </row>
    <row r="696" spans="19:22">
      <c r="S696" s="357">
        <v>42209</v>
      </c>
      <c r="T696" s="359" t="str">
        <f t="shared" si="29"/>
        <v>sexta-feira</v>
      </c>
      <c r="U696" s="361">
        <v>40872</v>
      </c>
      <c r="V696" s="360" t="str">
        <f t="shared" si="28"/>
        <v>sexta-feira</v>
      </c>
    </row>
    <row r="697" spans="19:22">
      <c r="S697" s="357">
        <v>42210</v>
      </c>
      <c r="T697" s="359" t="str">
        <f t="shared" si="29"/>
        <v>sábado</v>
      </c>
      <c r="U697" s="361">
        <v>40873</v>
      </c>
      <c r="V697" s="360" t="str">
        <f t="shared" si="28"/>
        <v>sábado</v>
      </c>
    </row>
    <row r="698" spans="19:22">
      <c r="S698" s="357">
        <v>42211</v>
      </c>
      <c r="T698" s="359" t="str">
        <f t="shared" si="29"/>
        <v>domingo</v>
      </c>
      <c r="U698" s="361">
        <v>40874</v>
      </c>
      <c r="V698" s="360" t="str">
        <f t="shared" si="28"/>
        <v>domingo</v>
      </c>
    </row>
    <row r="699" spans="19:22">
      <c r="S699" s="357">
        <v>42212</v>
      </c>
      <c r="T699" s="359" t="str">
        <f t="shared" si="29"/>
        <v>segunda-feira</v>
      </c>
      <c r="U699" s="361">
        <v>40875</v>
      </c>
      <c r="V699" s="360" t="str">
        <f t="shared" si="28"/>
        <v>segunda-feira</v>
      </c>
    </row>
    <row r="700" spans="19:22">
      <c r="S700" s="357">
        <v>42213</v>
      </c>
      <c r="T700" s="359" t="str">
        <f t="shared" si="29"/>
        <v>terça-feira</v>
      </c>
      <c r="U700" s="361">
        <v>40876</v>
      </c>
      <c r="V700" s="360" t="str">
        <f t="shared" si="28"/>
        <v>terça-feira</v>
      </c>
    </row>
    <row r="701" spans="19:22">
      <c r="S701" s="357">
        <v>42214</v>
      </c>
      <c r="T701" s="359" t="str">
        <f t="shared" si="29"/>
        <v>quarta-feira</v>
      </c>
      <c r="U701" s="361">
        <v>40877</v>
      </c>
      <c r="V701" s="360" t="str">
        <f t="shared" si="28"/>
        <v>quarta-feira</v>
      </c>
    </row>
    <row r="702" spans="19:22">
      <c r="S702" s="357">
        <v>42215</v>
      </c>
      <c r="T702" s="359" t="str">
        <f t="shared" si="29"/>
        <v>quinta-feira</v>
      </c>
      <c r="U702" s="361">
        <v>40878</v>
      </c>
      <c r="V702" s="360" t="str">
        <f t="shared" si="28"/>
        <v>quinta-feira</v>
      </c>
    </row>
    <row r="703" spans="19:22">
      <c r="S703" s="357">
        <v>42216</v>
      </c>
      <c r="T703" s="359" t="str">
        <f t="shared" si="29"/>
        <v>sexta-feira</v>
      </c>
      <c r="U703" s="361">
        <v>40879</v>
      </c>
      <c r="V703" s="360" t="str">
        <f t="shared" si="28"/>
        <v>sexta-feira</v>
      </c>
    </row>
    <row r="704" spans="19:22">
      <c r="S704" s="357">
        <v>42217</v>
      </c>
      <c r="T704" s="359" t="str">
        <f t="shared" si="29"/>
        <v>sábado</v>
      </c>
      <c r="U704" s="361">
        <v>40880</v>
      </c>
      <c r="V704" s="360" t="str">
        <f t="shared" si="28"/>
        <v>sábado</v>
      </c>
    </row>
    <row r="705" spans="19:22">
      <c r="S705" s="357">
        <v>42218</v>
      </c>
      <c r="T705" s="359" t="str">
        <f t="shared" si="29"/>
        <v>domingo</v>
      </c>
      <c r="U705" s="361">
        <v>40881</v>
      </c>
      <c r="V705" s="360" t="str">
        <f t="shared" si="28"/>
        <v>domingo</v>
      </c>
    </row>
    <row r="706" spans="19:22">
      <c r="S706" s="357">
        <v>42219</v>
      </c>
      <c r="T706" s="359" t="str">
        <f t="shared" si="29"/>
        <v>segunda-feira</v>
      </c>
      <c r="U706" s="361">
        <v>40882</v>
      </c>
      <c r="V706" s="360" t="str">
        <f t="shared" si="28"/>
        <v>segunda-feira</v>
      </c>
    </row>
    <row r="707" spans="19:22">
      <c r="S707" s="357">
        <v>42220</v>
      </c>
      <c r="T707" s="359" t="str">
        <f t="shared" si="29"/>
        <v>terça-feira</v>
      </c>
      <c r="U707" s="361">
        <v>40883</v>
      </c>
      <c r="V707" s="360" t="str">
        <f t="shared" si="28"/>
        <v>terça-feira</v>
      </c>
    </row>
    <row r="708" spans="19:22">
      <c r="S708" s="357">
        <v>42221</v>
      </c>
      <c r="T708" s="359" t="str">
        <f t="shared" si="29"/>
        <v>quarta-feira</v>
      </c>
      <c r="U708" s="361">
        <v>40884</v>
      </c>
      <c r="V708" s="360" t="str">
        <f t="shared" si="28"/>
        <v>quarta-feira</v>
      </c>
    </row>
    <row r="709" spans="19:22">
      <c r="S709" s="357">
        <v>42222</v>
      </c>
      <c r="T709" s="359" t="str">
        <f t="shared" si="29"/>
        <v>quinta-feira</v>
      </c>
      <c r="U709" s="361">
        <v>40885</v>
      </c>
      <c r="V709" s="360" t="str">
        <f t="shared" si="28"/>
        <v>quinta-feira</v>
      </c>
    </row>
    <row r="710" spans="19:22">
      <c r="S710" s="357">
        <v>42223</v>
      </c>
      <c r="T710" s="359" t="str">
        <f t="shared" si="29"/>
        <v>sexta-feira</v>
      </c>
      <c r="U710" s="361">
        <v>40886</v>
      </c>
      <c r="V710" s="360" t="str">
        <f t="shared" si="28"/>
        <v>sexta-feira</v>
      </c>
    </row>
    <row r="711" spans="19:22">
      <c r="S711" s="357">
        <v>42224</v>
      </c>
      <c r="T711" s="359" t="str">
        <f t="shared" si="29"/>
        <v>sábado</v>
      </c>
      <c r="U711" s="361">
        <v>40887</v>
      </c>
      <c r="V711" s="360" t="str">
        <f t="shared" si="28"/>
        <v>sábado</v>
      </c>
    </row>
    <row r="712" spans="19:22">
      <c r="S712" s="357">
        <v>42225</v>
      </c>
      <c r="T712" s="359" t="str">
        <f t="shared" si="29"/>
        <v>domingo</v>
      </c>
      <c r="U712" s="361">
        <v>40888</v>
      </c>
      <c r="V712" s="360" t="str">
        <f t="shared" si="28"/>
        <v>domingo</v>
      </c>
    </row>
    <row r="713" spans="19:22">
      <c r="S713" s="357">
        <v>42226</v>
      </c>
      <c r="T713" s="359" t="str">
        <f t="shared" si="29"/>
        <v>segunda-feira</v>
      </c>
      <c r="U713" s="361">
        <v>40889</v>
      </c>
      <c r="V713" s="360" t="str">
        <f t="shared" si="28"/>
        <v>segunda-feira</v>
      </c>
    </row>
    <row r="714" spans="19:22">
      <c r="S714" s="357">
        <v>42227</v>
      </c>
      <c r="T714" s="359" t="str">
        <f t="shared" si="29"/>
        <v>terça-feira</v>
      </c>
      <c r="U714" s="361">
        <v>40890</v>
      </c>
      <c r="V714" s="360" t="str">
        <f t="shared" si="28"/>
        <v>terça-feira</v>
      </c>
    </row>
    <row r="715" spans="19:22">
      <c r="S715" s="357">
        <v>42228</v>
      </c>
      <c r="T715" s="359" t="str">
        <f t="shared" si="29"/>
        <v>quarta-feira</v>
      </c>
      <c r="U715" s="361">
        <v>40891</v>
      </c>
      <c r="V715" s="360" t="str">
        <f t="shared" si="28"/>
        <v>quarta-feira</v>
      </c>
    </row>
    <row r="716" spans="19:22">
      <c r="S716" s="357">
        <v>42229</v>
      </c>
      <c r="T716" s="359" t="str">
        <f t="shared" si="29"/>
        <v>quinta-feira</v>
      </c>
      <c r="U716" s="361">
        <v>40892</v>
      </c>
      <c r="V716" s="360" t="str">
        <f t="shared" si="28"/>
        <v>quinta-feira</v>
      </c>
    </row>
    <row r="717" spans="19:22">
      <c r="S717" s="357">
        <v>42230</v>
      </c>
      <c r="T717" s="359" t="str">
        <f t="shared" si="29"/>
        <v>sexta-feira</v>
      </c>
      <c r="U717" s="361">
        <v>40893</v>
      </c>
      <c r="V717" s="360" t="str">
        <f t="shared" si="28"/>
        <v>sexta-feira</v>
      </c>
    </row>
    <row r="718" spans="19:22">
      <c r="S718" s="357">
        <v>42231</v>
      </c>
      <c r="T718" s="359" t="str">
        <f t="shared" si="29"/>
        <v>sábado</v>
      </c>
      <c r="U718" s="361">
        <v>40894</v>
      </c>
      <c r="V718" s="360" t="str">
        <f t="shared" si="28"/>
        <v>sábado</v>
      </c>
    </row>
    <row r="719" spans="19:22">
      <c r="S719" s="357">
        <v>42232</v>
      </c>
      <c r="T719" s="359" t="str">
        <f t="shared" si="29"/>
        <v>domingo</v>
      </c>
      <c r="U719" s="361">
        <v>40895</v>
      </c>
      <c r="V719" s="360" t="str">
        <f t="shared" si="28"/>
        <v>domingo</v>
      </c>
    </row>
    <row r="720" spans="19:22">
      <c r="S720" s="357">
        <v>42233</v>
      </c>
      <c r="T720" s="359" t="str">
        <f t="shared" si="29"/>
        <v>segunda-feira</v>
      </c>
      <c r="U720" s="361">
        <v>40896</v>
      </c>
      <c r="V720" s="360" t="str">
        <f t="shared" si="28"/>
        <v>segunda-feira</v>
      </c>
    </row>
    <row r="721" spans="19:22">
      <c r="S721" s="357">
        <v>42234</v>
      </c>
      <c r="T721" s="359" t="str">
        <f t="shared" si="29"/>
        <v>terça-feira</v>
      </c>
      <c r="U721" s="361">
        <v>40897</v>
      </c>
      <c r="V721" s="360" t="str">
        <f t="shared" si="28"/>
        <v>terça-feira</v>
      </c>
    </row>
    <row r="722" spans="19:22">
      <c r="S722" s="357">
        <v>42235</v>
      </c>
      <c r="T722" s="359" t="str">
        <f t="shared" si="29"/>
        <v>quarta-feira</v>
      </c>
      <c r="U722" s="361">
        <v>40898</v>
      </c>
      <c r="V722" s="360" t="str">
        <f t="shared" si="28"/>
        <v>quarta-feira</v>
      </c>
    </row>
    <row r="723" spans="19:22">
      <c r="S723" s="357">
        <v>42236</v>
      </c>
      <c r="T723" s="359" t="str">
        <f t="shared" si="29"/>
        <v>quinta-feira</v>
      </c>
      <c r="U723" s="361">
        <v>40899</v>
      </c>
      <c r="V723" s="360" t="str">
        <f t="shared" si="28"/>
        <v>quinta-feira</v>
      </c>
    </row>
    <row r="724" spans="19:22">
      <c r="S724" s="357">
        <v>42237</v>
      </c>
      <c r="T724" s="359" t="str">
        <f t="shared" si="29"/>
        <v>sexta-feira</v>
      </c>
      <c r="U724" s="361">
        <v>40900</v>
      </c>
      <c r="V724" s="360" t="str">
        <f t="shared" si="28"/>
        <v>sexta-feira</v>
      </c>
    </row>
    <row r="725" spans="19:22">
      <c r="S725" s="357">
        <v>42238</v>
      </c>
      <c r="T725" s="359" t="str">
        <f t="shared" si="29"/>
        <v>sábado</v>
      </c>
      <c r="U725" s="361">
        <v>40901</v>
      </c>
      <c r="V725" s="360" t="str">
        <f t="shared" si="28"/>
        <v>sábado</v>
      </c>
    </row>
    <row r="726" spans="19:22">
      <c r="S726" s="357">
        <v>42239</v>
      </c>
      <c r="T726" s="359" t="str">
        <f t="shared" si="29"/>
        <v>domingo</v>
      </c>
      <c r="U726" s="361">
        <v>40902</v>
      </c>
      <c r="V726" s="360" t="str">
        <f t="shared" si="28"/>
        <v>domingo</v>
      </c>
    </row>
    <row r="727" spans="19:22">
      <c r="S727" s="357">
        <v>42240</v>
      </c>
      <c r="T727" s="359" t="str">
        <f t="shared" si="29"/>
        <v>segunda-feira</v>
      </c>
      <c r="U727" s="361">
        <v>40903</v>
      </c>
      <c r="V727" s="360" t="str">
        <f t="shared" si="28"/>
        <v>segunda-feira</v>
      </c>
    </row>
    <row r="728" spans="19:22">
      <c r="S728" s="357">
        <v>42241</v>
      </c>
      <c r="T728" s="359" t="str">
        <f t="shared" si="29"/>
        <v>terça-feira</v>
      </c>
      <c r="U728" s="361">
        <v>40904</v>
      </c>
      <c r="V728" s="360" t="str">
        <f t="shared" si="28"/>
        <v>terça-feira</v>
      </c>
    </row>
    <row r="729" spans="19:22">
      <c r="S729" s="357">
        <v>42242</v>
      </c>
      <c r="T729" s="359" t="str">
        <f t="shared" si="29"/>
        <v>quarta-feira</v>
      </c>
      <c r="U729" s="361">
        <v>40905</v>
      </c>
      <c r="V729" s="360" t="str">
        <f t="shared" si="28"/>
        <v>quarta-feira</v>
      </c>
    </row>
    <row r="730" spans="19:22">
      <c r="S730" s="357">
        <v>42243</v>
      </c>
      <c r="T730" s="359" t="str">
        <f t="shared" si="29"/>
        <v>quinta-feira</v>
      </c>
      <c r="U730" s="361">
        <v>40906</v>
      </c>
      <c r="V730" s="360" t="str">
        <f t="shared" si="28"/>
        <v>quinta-feira</v>
      </c>
    </row>
    <row r="731" spans="19:22">
      <c r="S731" s="357">
        <v>42244</v>
      </c>
      <c r="T731" s="359" t="str">
        <f t="shared" si="29"/>
        <v>sexta-feira</v>
      </c>
      <c r="U731" s="361">
        <v>40907</v>
      </c>
      <c r="V731" s="360" t="str">
        <f t="shared" si="28"/>
        <v>sexta-feira</v>
      </c>
    </row>
    <row r="732" spans="19:22">
      <c r="S732" s="357">
        <v>42245</v>
      </c>
      <c r="T732" s="359" t="str">
        <f t="shared" si="29"/>
        <v>sábado</v>
      </c>
      <c r="U732" s="361">
        <v>40908</v>
      </c>
      <c r="V732" s="360" t="str">
        <f t="shared" si="28"/>
        <v>sábado</v>
      </c>
    </row>
    <row r="733" spans="19:22">
      <c r="S733" s="357">
        <v>42246</v>
      </c>
      <c r="T733" s="359" t="str">
        <f t="shared" si="29"/>
        <v>domingo</v>
      </c>
      <c r="U733" s="361">
        <v>40909</v>
      </c>
      <c r="V733" s="360" t="str">
        <f t="shared" si="28"/>
        <v>domingo</v>
      </c>
    </row>
    <row r="734" spans="19:22">
      <c r="S734" s="357">
        <v>42247</v>
      </c>
      <c r="T734" s="359" t="str">
        <f t="shared" si="29"/>
        <v>segunda-feira</v>
      </c>
      <c r="U734" s="361">
        <v>40910</v>
      </c>
      <c r="V734" s="360" t="str">
        <f t="shared" si="28"/>
        <v>segunda-feira</v>
      </c>
    </row>
    <row r="735" spans="19:22">
      <c r="S735" s="357">
        <v>42248</v>
      </c>
      <c r="T735" s="359" t="str">
        <f t="shared" si="29"/>
        <v>terça-feira</v>
      </c>
      <c r="U735" s="361">
        <v>40911</v>
      </c>
      <c r="V735" s="360" t="str">
        <f t="shared" si="28"/>
        <v>terça-feira</v>
      </c>
    </row>
    <row r="736" spans="19:22">
      <c r="S736" s="357">
        <v>42249</v>
      </c>
      <c r="T736" s="359" t="str">
        <f t="shared" si="29"/>
        <v>quarta-feira</v>
      </c>
      <c r="U736" s="361">
        <v>40912</v>
      </c>
      <c r="V736" s="360" t="str">
        <f t="shared" si="28"/>
        <v>quarta-feira</v>
      </c>
    </row>
    <row r="737" spans="19:22">
      <c r="S737" s="357">
        <v>42250</v>
      </c>
      <c r="T737" s="359" t="str">
        <f t="shared" si="29"/>
        <v>quinta-feira</v>
      </c>
      <c r="U737" s="361">
        <v>40913</v>
      </c>
      <c r="V737" s="360" t="str">
        <f t="shared" si="28"/>
        <v>quinta-feira</v>
      </c>
    </row>
    <row r="738" spans="19:22">
      <c r="S738" s="357">
        <v>42251</v>
      </c>
      <c r="T738" s="359" t="str">
        <f t="shared" si="29"/>
        <v>sexta-feira</v>
      </c>
      <c r="U738" s="361">
        <v>40914</v>
      </c>
      <c r="V738" s="360" t="str">
        <f t="shared" si="28"/>
        <v>sexta-feira</v>
      </c>
    </row>
    <row r="739" spans="19:22">
      <c r="S739" s="357">
        <v>42252</v>
      </c>
      <c r="T739" s="359" t="str">
        <f t="shared" si="29"/>
        <v>sábado</v>
      </c>
      <c r="U739" s="361">
        <v>40915</v>
      </c>
      <c r="V739" s="360" t="str">
        <f t="shared" si="28"/>
        <v>sábado</v>
      </c>
    </row>
    <row r="740" spans="19:22">
      <c r="S740" s="357">
        <v>42253</v>
      </c>
      <c r="T740" s="359" t="str">
        <f t="shared" si="29"/>
        <v>domingo</v>
      </c>
      <c r="U740" s="361">
        <v>40916</v>
      </c>
      <c r="V740" s="360" t="str">
        <f t="shared" si="28"/>
        <v>domingo</v>
      </c>
    </row>
    <row r="741" spans="19:22">
      <c r="S741" s="357">
        <v>42254</v>
      </c>
      <c r="T741" s="359" t="str">
        <f t="shared" si="29"/>
        <v>segunda-feira</v>
      </c>
      <c r="U741" s="361">
        <v>40917</v>
      </c>
      <c r="V741" s="360" t="str">
        <f t="shared" si="28"/>
        <v>segunda-feira</v>
      </c>
    </row>
    <row r="742" spans="19:22">
      <c r="S742" s="357">
        <v>42255</v>
      </c>
      <c r="T742" s="359" t="str">
        <f t="shared" si="29"/>
        <v>terça-feira</v>
      </c>
      <c r="U742" s="361">
        <v>40918</v>
      </c>
      <c r="V742" s="360" t="str">
        <f t="shared" si="28"/>
        <v>terça-feira</v>
      </c>
    </row>
    <row r="743" spans="19:22">
      <c r="S743" s="357">
        <v>42256</v>
      </c>
      <c r="T743" s="359" t="str">
        <f t="shared" si="29"/>
        <v>quarta-feira</v>
      </c>
      <c r="U743" s="361">
        <v>40919</v>
      </c>
      <c r="V743" s="360" t="str">
        <f t="shared" si="28"/>
        <v>quarta-feira</v>
      </c>
    </row>
    <row r="744" spans="19:22">
      <c r="S744" s="357">
        <v>42257</v>
      </c>
      <c r="T744" s="359" t="str">
        <f t="shared" si="29"/>
        <v>quinta-feira</v>
      </c>
      <c r="U744" s="361">
        <v>40920</v>
      </c>
      <c r="V744" s="360" t="str">
        <f t="shared" si="28"/>
        <v>quinta-feira</v>
      </c>
    </row>
    <row r="745" spans="19:22">
      <c r="S745" s="357">
        <v>42258</v>
      </c>
      <c r="T745" s="359" t="str">
        <f t="shared" si="29"/>
        <v>sexta-feira</v>
      </c>
      <c r="U745" s="361">
        <v>40921</v>
      </c>
      <c r="V745" s="360" t="str">
        <f t="shared" ref="V745:V808" si="30">TEXT(U745,"dddd")</f>
        <v>sexta-feira</v>
      </c>
    </row>
    <row r="746" spans="19:22">
      <c r="S746" s="357">
        <v>42259</v>
      </c>
      <c r="T746" s="359" t="str">
        <f t="shared" si="29"/>
        <v>sábado</v>
      </c>
      <c r="U746" s="361">
        <v>40922</v>
      </c>
      <c r="V746" s="360" t="str">
        <f t="shared" si="30"/>
        <v>sábado</v>
      </c>
    </row>
    <row r="747" spans="19:22">
      <c r="S747" s="357">
        <v>42260</v>
      </c>
      <c r="T747" s="359" t="str">
        <f t="shared" si="29"/>
        <v>domingo</v>
      </c>
      <c r="U747" s="361">
        <v>40923</v>
      </c>
      <c r="V747" s="360" t="str">
        <f t="shared" si="30"/>
        <v>domingo</v>
      </c>
    </row>
    <row r="748" spans="19:22">
      <c r="S748" s="357">
        <v>42261</v>
      </c>
      <c r="T748" s="359" t="str">
        <f t="shared" si="29"/>
        <v>segunda-feira</v>
      </c>
      <c r="U748" s="361">
        <v>40924</v>
      </c>
      <c r="V748" s="360" t="str">
        <f t="shared" si="30"/>
        <v>segunda-feira</v>
      </c>
    </row>
    <row r="749" spans="19:22">
      <c r="S749" s="357">
        <v>42262</v>
      </c>
      <c r="T749" s="359" t="str">
        <f t="shared" si="29"/>
        <v>terça-feira</v>
      </c>
      <c r="U749" s="361">
        <v>40925</v>
      </c>
      <c r="V749" s="360" t="str">
        <f t="shared" si="30"/>
        <v>terça-feira</v>
      </c>
    </row>
    <row r="750" spans="19:22">
      <c r="S750" s="357">
        <v>42263</v>
      </c>
      <c r="T750" s="359" t="str">
        <f t="shared" si="29"/>
        <v>quarta-feira</v>
      </c>
      <c r="U750" s="361">
        <v>40926</v>
      </c>
      <c r="V750" s="360" t="str">
        <f t="shared" si="30"/>
        <v>quarta-feira</v>
      </c>
    </row>
    <row r="751" spans="19:22">
      <c r="S751" s="357">
        <v>42264</v>
      </c>
      <c r="T751" s="359" t="str">
        <f t="shared" si="29"/>
        <v>quinta-feira</v>
      </c>
      <c r="U751" s="361">
        <v>40927</v>
      </c>
      <c r="V751" s="360" t="str">
        <f t="shared" si="30"/>
        <v>quinta-feira</v>
      </c>
    </row>
    <row r="752" spans="19:22">
      <c r="S752" s="357">
        <v>42265</v>
      </c>
      <c r="T752" s="359" t="str">
        <f t="shared" si="29"/>
        <v>sexta-feira</v>
      </c>
      <c r="U752" s="361">
        <v>40928</v>
      </c>
      <c r="V752" s="360" t="str">
        <f t="shared" si="30"/>
        <v>sexta-feira</v>
      </c>
    </row>
    <row r="753" spans="19:22">
      <c r="S753" s="357">
        <v>42266</v>
      </c>
      <c r="T753" s="359" t="str">
        <f t="shared" si="29"/>
        <v>sábado</v>
      </c>
      <c r="U753" s="361">
        <v>40929</v>
      </c>
      <c r="V753" s="360" t="str">
        <f t="shared" si="30"/>
        <v>sábado</v>
      </c>
    </row>
    <row r="754" spans="19:22">
      <c r="S754" s="357">
        <v>42267</v>
      </c>
      <c r="T754" s="359" t="str">
        <f t="shared" si="29"/>
        <v>domingo</v>
      </c>
      <c r="U754" s="361">
        <v>40930</v>
      </c>
      <c r="V754" s="360" t="str">
        <f t="shared" si="30"/>
        <v>domingo</v>
      </c>
    </row>
    <row r="755" spans="19:22">
      <c r="S755" s="357">
        <v>42268</v>
      </c>
      <c r="T755" s="359" t="str">
        <f t="shared" si="29"/>
        <v>segunda-feira</v>
      </c>
      <c r="U755" s="361">
        <v>40931</v>
      </c>
      <c r="V755" s="360" t="str">
        <f t="shared" si="30"/>
        <v>segunda-feira</v>
      </c>
    </row>
    <row r="756" spans="19:22">
      <c r="S756" s="357">
        <v>42269</v>
      </c>
      <c r="T756" s="359" t="str">
        <f t="shared" si="29"/>
        <v>terça-feira</v>
      </c>
      <c r="U756" s="361">
        <v>40932</v>
      </c>
      <c r="V756" s="360" t="str">
        <f t="shared" si="30"/>
        <v>terça-feira</v>
      </c>
    </row>
    <row r="757" spans="19:22">
      <c r="S757" s="357">
        <v>42270</v>
      </c>
      <c r="T757" s="359" t="str">
        <f t="shared" si="29"/>
        <v>quarta-feira</v>
      </c>
      <c r="U757" s="361">
        <v>40933</v>
      </c>
      <c r="V757" s="360" t="str">
        <f t="shared" si="30"/>
        <v>quarta-feira</v>
      </c>
    </row>
    <row r="758" spans="19:22">
      <c r="S758" s="357">
        <v>42271</v>
      </c>
      <c r="T758" s="359" t="str">
        <f t="shared" si="29"/>
        <v>quinta-feira</v>
      </c>
      <c r="U758" s="361">
        <v>40934</v>
      </c>
      <c r="V758" s="360" t="str">
        <f t="shared" si="30"/>
        <v>quinta-feira</v>
      </c>
    </row>
    <row r="759" spans="19:22">
      <c r="S759" s="357">
        <v>42272</v>
      </c>
      <c r="T759" s="359" t="str">
        <f t="shared" ref="T759:T822" si="31">TEXT(S759,"dddd")</f>
        <v>sexta-feira</v>
      </c>
      <c r="U759" s="361">
        <v>40935</v>
      </c>
      <c r="V759" s="360" t="str">
        <f t="shared" si="30"/>
        <v>sexta-feira</v>
      </c>
    </row>
    <row r="760" spans="19:22">
      <c r="S760" s="357">
        <v>42273</v>
      </c>
      <c r="T760" s="359" t="str">
        <f t="shared" si="31"/>
        <v>sábado</v>
      </c>
      <c r="U760" s="361">
        <v>40936</v>
      </c>
      <c r="V760" s="360" t="str">
        <f t="shared" si="30"/>
        <v>sábado</v>
      </c>
    </row>
    <row r="761" spans="19:22">
      <c r="S761" s="357">
        <v>42274</v>
      </c>
      <c r="T761" s="359" t="str">
        <f t="shared" si="31"/>
        <v>domingo</v>
      </c>
      <c r="U761" s="361">
        <v>40937</v>
      </c>
      <c r="V761" s="360" t="str">
        <f t="shared" si="30"/>
        <v>domingo</v>
      </c>
    </row>
    <row r="762" spans="19:22">
      <c r="S762" s="357">
        <v>42275</v>
      </c>
      <c r="T762" s="359" t="str">
        <f t="shared" si="31"/>
        <v>segunda-feira</v>
      </c>
      <c r="U762" s="361">
        <v>40938</v>
      </c>
      <c r="V762" s="360" t="str">
        <f t="shared" si="30"/>
        <v>segunda-feira</v>
      </c>
    </row>
    <row r="763" spans="19:22">
      <c r="S763" s="357">
        <v>42276</v>
      </c>
      <c r="T763" s="359" t="str">
        <f t="shared" si="31"/>
        <v>terça-feira</v>
      </c>
      <c r="U763" s="361">
        <v>40939</v>
      </c>
      <c r="V763" s="360" t="str">
        <f t="shared" si="30"/>
        <v>terça-feira</v>
      </c>
    </row>
    <row r="764" spans="19:22">
      <c r="S764" s="357">
        <v>42277</v>
      </c>
      <c r="T764" s="359" t="str">
        <f t="shared" si="31"/>
        <v>quarta-feira</v>
      </c>
      <c r="U764" s="361">
        <v>40940</v>
      </c>
      <c r="V764" s="360" t="str">
        <f t="shared" si="30"/>
        <v>quarta-feira</v>
      </c>
    </row>
    <row r="765" spans="19:22">
      <c r="S765" s="357">
        <v>42278</v>
      </c>
      <c r="T765" s="359" t="str">
        <f t="shared" si="31"/>
        <v>quinta-feira</v>
      </c>
      <c r="U765" s="361">
        <v>40941</v>
      </c>
      <c r="V765" s="360" t="str">
        <f t="shared" si="30"/>
        <v>quinta-feira</v>
      </c>
    </row>
    <row r="766" spans="19:22">
      <c r="S766" s="357">
        <v>42279</v>
      </c>
      <c r="T766" s="359" t="str">
        <f t="shared" si="31"/>
        <v>sexta-feira</v>
      </c>
      <c r="U766" s="361">
        <v>40942</v>
      </c>
      <c r="V766" s="360" t="str">
        <f t="shared" si="30"/>
        <v>sexta-feira</v>
      </c>
    </row>
    <row r="767" spans="19:22">
      <c r="S767" s="357">
        <v>42280</v>
      </c>
      <c r="T767" s="359" t="str">
        <f t="shared" si="31"/>
        <v>sábado</v>
      </c>
      <c r="U767" s="361">
        <v>40943</v>
      </c>
      <c r="V767" s="360" t="str">
        <f t="shared" si="30"/>
        <v>sábado</v>
      </c>
    </row>
    <row r="768" spans="19:22">
      <c r="S768" s="357">
        <v>42281</v>
      </c>
      <c r="T768" s="359" t="str">
        <f t="shared" si="31"/>
        <v>domingo</v>
      </c>
      <c r="U768" s="361">
        <v>40944</v>
      </c>
      <c r="V768" s="360" t="str">
        <f t="shared" si="30"/>
        <v>domingo</v>
      </c>
    </row>
    <row r="769" spans="19:22">
      <c r="S769" s="357">
        <v>42282</v>
      </c>
      <c r="T769" s="359" t="str">
        <f t="shared" si="31"/>
        <v>segunda-feira</v>
      </c>
      <c r="U769" s="361">
        <v>40945</v>
      </c>
      <c r="V769" s="360" t="str">
        <f t="shared" si="30"/>
        <v>segunda-feira</v>
      </c>
    </row>
    <row r="770" spans="19:22">
      <c r="S770" s="357">
        <v>42283</v>
      </c>
      <c r="T770" s="359" t="str">
        <f t="shared" si="31"/>
        <v>terça-feira</v>
      </c>
      <c r="U770" s="361">
        <v>40946</v>
      </c>
      <c r="V770" s="360" t="str">
        <f t="shared" si="30"/>
        <v>terça-feira</v>
      </c>
    </row>
    <row r="771" spans="19:22">
      <c r="S771" s="357">
        <v>42284</v>
      </c>
      <c r="T771" s="359" t="str">
        <f t="shared" si="31"/>
        <v>quarta-feira</v>
      </c>
      <c r="U771" s="361">
        <v>40947</v>
      </c>
      <c r="V771" s="360" t="str">
        <f t="shared" si="30"/>
        <v>quarta-feira</v>
      </c>
    </row>
    <row r="772" spans="19:22">
      <c r="S772" s="357">
        <v>42285</v>
      </c>
      <c r="T772" s="359" t="str">
        <f t="shared" si="31"/>
        <v>quinta-feira</v>
      </c>
      <c r="U772" s="361">
        <v>40948</v>
      </c>
      <c r="V772" s="360" t="str">
        <f t="shared" si="30"/>
        <v>quinta-feira</v>
      </c>
    </row>
    <row r="773" spans="19:22">
      <c r="S773" s="357">
        <v>42286</v>
      </c>
      <c r="T773" s="359" t="str">
        <f t="shared" si="31"/>
        <v>sexta-feira</v>
      </c>
      <c r="U773" s="361">
        <v>40949</v>
      </c>
      <c r="V773" s="360" t="str">
        <f t="shared" si="30"/>
        <v>sexta-feira</v>
      </c>
    </row>
    <row r="774" spans="19:22">
      <c r="S774" s="357">
        <v>42287</v>
      </c>
      <c r="T774" s="359" t="str">
        <f t="shared" si="31"/>
        <v>sábado</v>
      </c>
      <c r="U774" s="361">
        <v>40950</v>
      </c>
      <c r="V774" s="360" t="str">
        <f t="shared" si="30"/>
        <v>sábado</v>
      </c>
    </row>
    <row r="775" spans="19:22">
      <c r="S775" s="357">
        <v>42288</v>
      </c>
      <c r="T775" s="359" t="str">
        <f t="shared" si="31"/>
        <v>domingo</v>
      </c>
      <c r="U775" s="361">
        <v>40951</v>
      </c>
      <c r="V775" s="360" t="str">
        <f t="shared" si="30"/>
        <v>domingo</v>
      </c>
    </row>
    <row r="776" spans="19:22">
      <c r="S776" s="357">
        <v>42289</v>
      </c>
      <c r="T776" s="359" t="str">
        <f t="shared" si="31"/>
        <v>segunda-feira</v>
      </c>
      <c r="U776" s="361">
        <v>40952</v>
      </c>
      <c r="V776" s="360" t="str">
        <f t="shared" si="30"/>
        <v>segunda-feira</v>
      </c>
    </row>
    <row r="777" spans="19:22">
      <c r="S777" s="357">
        <v>42290</v>
      </c>
      <c r="T777" s="359" t="str">
        <f t="shared" si="31"/>
        <v>terça-feira</v>
      </c>
      <c r="U777" s="361">
        <v>40953</v>
      </c>
      <c r="V777" s="360" t="str">
        <f t="shared" si="30"/>
        <v>terça-feira</v>
      </c>
    </row>
    <row r="778" spans="19:22">
      <c r="S778" s="357">
        <v>42291</v>
      </c>
      <c r="T778" s="359" t="str">
        <f t="shared" si="31"/>
        <v>quarta-feira</v>
      </c>
      <c r="U778" s="361">
        <v>40954</v>
      </c>
      <c r="V778" s="360" t="str">
        <f t="shared" si="30"/>
        <v>quarta-feira</v>
      </c>
    </row>
    <row r="779" spans="19:22">
      <c r="S779" s="357">
        <v>42292</v>
      </c>
      <c r="T779" s="359" t="str">
        <f t="shared" si="31"/>
        <v>quinta-feira</v>
      </c>
      <c r="U779" s="361">
        <v>40955</v>
      </c>
      <c r="V779" s="360" t="str">
        <f t="shared" si="30"/>
        <v>quinta-feira</v>
      </c>
    </row>
    <row r="780" spans="19:22">
      <c r="S780" s="357">
        <v>42293</v>
      </c>
      <c r="T780" s="359" t="str">
        <f t="shared" si="31"/>
        <v>sexta-feira</v>
      </c>
      <c r="U780" s="361">
        <v>40956</v>
      </c>
      <c r="V780" s="360" t="str">
        <f t="shared" si="30"/>
        <v>sexta-feira</v>
      </c>
    </row>
    <row r="781" spans="19:22">
      <c r="S781" s="357">
        <v>42294</v>
      </c>
      <c r="T781" s="359" t="str">
        <f t="shared" si="31"/>
        <v>sábado</v>
      </c>
      <c r="U781" s="361">
        <v>40957</v>
      </c>
      <c r="V781" s="360" t="str">
        <f t="shared" si="30"/>
        <v>sábado</v>
      </c>
    </row>
    <row r="782" spans="19:22">
      <c r="S782" s="357">
        <v>42295</v>
      </c>
      <c r="T782" s="359" t="str">
        <f t="shared" si="31"/>
        <v>domingo</v>
      </c>
      <c r="U782" s="361">
        <v>40958</v>
      </c>
      <c r="V782" s="360" t="str">
        <f t="shared" si="30"/>
        <v>domingo</v>
      </c>
    </row>
    <row r="783" spans="19:22">
      <c r="S783" s="357">
        <v>42296</v>
      </c>
      <c r="T783" s="359" t="str">
        <f t="shared" si="31"/>
        <v>segunda-feira</v>
      </c>
      <c r="U783" s="361">
        <v>40959</v>
      </c>
      <c r="V783" s="360" t="str">
        <f t="shared" si="30"/>
        <v>segunda-feira</v>
      </c>
    </row>
    <row r="784" spans="19:22">
      <c r="S784" s="357">
        <v>42297</v>
      </c>
      <c r="T784" s="359" t="str">
        <f t="shared" si="31"/>
        <v>terça-feira</v>
      </c>
      <c r="U784" s="361">
        <v>40960</v>
      </c>
      <c r="V784" s="360" t="str">
        <f t="shared" si="30"/>
        <v>terça-feira</v>
      </c>
    </row>
    <row r="785" spans="19:22">
      <c r="S785" s="357">
        <v>42298</v>
      </c>
      <c r="T785" s="359" t="str">
        <f t="shared" si="31"/>
        <v>quarta-feira</v>
      </c>
      <c r="U785" s="361">
        <v>40961</v>
      </c>
      <c r="V785" s="360" t="str">
        <f t="shared" si="30"/>
        <v>quarta-feira</v>
      </c>
    </row>
    <row r="786" spans="19:22">
      <c r="S786" s="357">
        <v>42299</v>
      </c>
      <c r="T786" s="359" t="str">
        <f t="shared" si="31"/>
        <v>quinta-feira</v>
      </c>
      <c r="U786" s="361">
        <v>40962</v>
      </c>
      <c r="V786" s="360" t="str">
        <f t="shared" si="30"/>
        <v>quinta-feira</v>
      </c>
    </row>
    <row r="787" spans="19:22">
      <c r="S787" s="357">
        <v>42300</v>
      </c>
      <c r="T787" s="359" t="str">
        <f t="shared" si="31"/>
        <v>sexta-feira</v>
      </c>
      <c r="U787" s="361">
        <v>40963</v>
      </c>
      <c r="V787" s="360" t="str">
        <f t="shared" si="30"/>
        <v>sexta-feira</v>
      </c>
    </row>
    <row r="788" spans="19:22">
      <c r="S788" s="357">
        <v>42301</v>
      </c>
      <c r="T788" s="359" t="str">
        <f t="shared" si="31"/>
        <v>sábado</v>
      </c>
      <c r="U788" s="361">
        <v>40964</v>
      </c>
      <c r="V788" s="360" t="str">
        <f t="shared" si="30"/>
        <v>sábado</v>
      </c>
    </row>
    <row r="789" spans="19:22">
      <c r="S789" s="357">
        <v>42302</v>
      </c>
      <c r="T789" s="359" t="str">
        <f t="shared" si="31"/>
        <v>domingo</v>
      </c>
      <c r="U789" s="361">
        <v>40965</v>
      </c>
      <c r="V789" s="360" t="str">
        <f t="shared" si="30"/>
        <v>domingo</v>
      </c>
    </row>
    <row r="790" spans="19:22">
      <c r="S790" s="357">
        <v>42303</v>
      </c>
      <c r="T790" s="359" t="str">
        <f t="shared" si="31"/>
        <v>segunda-feira</v>
      </c>
      <c r="U790" s="361">
        <v>40966</v>
      </c>
      <c r="V790" s="360" t="str">
        <f t="shared" si="30"/>
        <v>segunda-feira</v>
      </c>
    </row>
    <row r="791" spans="19:22">
      <c r="S791" s="357">
        <v>42304</v>
      </c>
      <c r="T791" s="359" t="str">
        <f t="shared" si="31"/>
        <v>terça-feira</v>
      </c>
      <c r="U791" s="361">
        <v>40967</v>
      </c>
      <c r="V791" s="360" t="str">
        <f t="shared" si="30"/>
        <v>terça-feira</v>
      </c>
    </row>
    <row r="792" spans="19:22">
      <c r="S792" s="357">
        <v>42305</v>
      </c>
      <c r="T792" s="359" t="str">
        <f t="shared" si="31"/>
        <v>quarta-feira</v>
      </c>
      <c r="U792" s="361">
        <v>40968</v>
      </c>
      <c r="V792" s="360" t="str">
        <f t="shared" si="30"/>
        <v>quarta-feira</v>
      </c>
    </row>
    <row r="793" spans="19:22">
      <c r="S793" s="357">
        <v>42306</v>
      </c>
      <c r="T793" s="359" t="str">
        <f t="shared" si="31"/>
        <v>quinta-feira</v>
      </c>
      <c r="U793" s="361">
        <v>40969</v>
      </c>
      <c r="V793" s="360" t="str">
        <f t="shared" si="30"/>
        <v>quinta-feira</v>
      </c>
    </row>
    <row r="794" spans="19:22">
      <c r="S794" s="357">
        <v>42307</v>
      </c>
      <c r="T794" s="359" t="str">
        <f t="shared" si="31"/>
        <v>sexta-feira</v>
      </c>
      <c r="U794" s="361">
        <v>40970</v>
      </c>
      <c r="V794" s="360" t="str">
        <f t="shared" si="30"/>
        <v>sexta-feira</v>
      </c>
    </row>
    <row r="795" spans="19:22">
      <c r="S795" s="357">
        <v>42308</v>
      </c>
      <c r="T795" s="359" t="str">
        <f t="shared" si="31"/>
        <v>sábado</v>
      </c>
      <c r="U795" s="361">
        <v>40971</v>
      </c>
      <c r="V795" s="360" t="str">
        <f t="shared" si="30"/>
        <v>sábado</v>
      </c>
    </row>
    <row r="796" spans="19:22">
      <c r="S796" s="357">
        <v>42309</v>
      </c>
      <c r="T796" s="359" t="str">
        <f t="shared" si="31"/>
        <v>domingo</v>
      </c>
      <c r="U796" s="361">
        <v>40972</v>
      </c>
      <c r="V796" s="360" t="str">
        <f t="shared" si="30"/>
        <v>domingo</v>
      </c>
    </row>
    <row r="797" spans="19:22">
      <c r="S797" s="357">
        <v>42310</v>
      </c>
      <c r="T797" s="359" t="str">
        <f t="shared" si="31"/>
        <v>segunda-feira</v>
      </c>
      <c r="U797" s="361">
        <v>40973</v>
      </c>
      <c r="V797" s="360" t="str">
        <f t="shared" si="30"/>
        <v>segunda-feira</v>
      </c>
    </row>
    <row r="798" spans="19:22">
      <c r="S798" s="357">
        <v>42311</v>
      </c>
      <c r="T798" s="359" t="str">
        <f t="shared" si="31"/>
        <v>terça-feira</v>
      </c>
      <c r="U798" s="361">
        <v>40974</v>
      </c>
      <c r="V798" s="360" t="str">
        <f t="shared" si="30"/>
        <v>terça-feira</v>
      </c>
    </row>
    <row r="799" spans="19:22">
      <c r="S799" s="357">
        <v>42312</v>
      </c>
      <c r="T799" s="359" t="str">
        <f t="shared" si="31"/>
        <v>quarta-feira</v>
      </c>
      <c r="U799" s="361">
        <v>40975</v>
      </c>
      <c r="V799" s="360" t="str">
        <f t="shared" si="30"/>
        <v>quarta-feira</v>
      </c>
    </row>
    <row r="800" spans="19:22">
      <c r="S800" s="357">
        <v>42313</v>
      </c>
      <c r="T800" s="359" t="str">
        <f t="shared" si="31"/>
        <v>quinta-feira</v>
      </c>
      <c r="U800" s="361">
        <v>40976</v>
      </c>
      <c r="V800" s="360" t="str">
        <f t="shared" si="30"/>
        <v>quinta-feira</v>
      </c>
    </row>
    <row r="801" spans="19:22">
      <c r="S801" s="357">
        <v>42314</v>
      </c>
      <c r="T801" s="359" t="str">
        <f t="shared" si="31"/>
        <v>sexta-feira</v>
      </c>
      <c r="U801" s="361">
        <v>40977</v>
      </c>
      <c r="V801" s="360" t="str">
        <f t="shared" si="30"/>
        <v>sexta-feira</v>
      </c>
    </row>
    <row r="802" spans="19:22">
      <c r="S802" s="357">
        <v>42315</v>
      </c>
      <c r="T802" s="359" t="str">
        <f t="shared" si="31"/>
        <v>sábado</v>
      </c>
      <c r="U802" s="361">
        <v>40978</v>
      </c>
      <c r="V802" s="360" t="str">
        <f t="shared" si="30"/>
        <v>sábado</v>
      </c>
    </row>
    <row r="803" spans="19:22">
      <c r="S803" s="357">
        <v>42316</v>
      </c>
      <c r="T803" s="359" t="str">
        <f t="shared" si="31"/>
        <v>domingo</v>
      </c>
      <c r="U803" s="361">
        <v>40979</v>
      </c>
      <c r="V803" s="360" t="str">
        <f t="shared" si="30"/>
        <v>domingo</v>
      </c>
    </row>
    <row r="804" spans="19:22">
      <c r="S804" s="357">
        <v>42317</v>
      </c>
      <c r="T804" s="359" t="str">
        <f t="shared" si="31"/>
        <v>segunda-feira</v>
      </c>
      <c r="U804" s="361">
        <v>40980</v>
      </c>
      <c r="V804" s="360" t="str">
        <f t="shared" si="30"/>
        <v>segunda-feira</v>
      </c>
    </row>
    <row r="805" spans="19:22">
      <c r="S805" s="357">
        <v>42318</v>
      </c>
      <c r="T805" s="359" t="str">
        <f t="shared" si="31"/>
        <v>terça-feira</v>
      </c>
      <c r="U805" s="361">
        <v>40981</v>
      </c>
      <c r="V805" s="360" t="str">
        <f t="shared" si="30"/>
        <v>terça-feira</v>
      </c>
    </row>
    <row r="806" spans="19:22">
      <c r="S806" s="357">
        <v>42319</v>
      </c>
      <c r="T806" s="359" t="str">
        <f t="shared" si="31"/>
        <v>quarta-feira</v>
      </c>
      <c r="U806" s="361">
        <v>40982</v>
      </c>
      <c r="V806" s="360" t="str">
        <f t="shared" si="30"/>
        <v>quarta-feira</v>
      </c>
    </row>
    <row r="807" spans="19:22">
      <c r="S807" s="357">
        <v>42320</v>
      </c>
      <c r="T807" s="359" t="str">
        <f t="shared" si="31"/>
        <v>quinta-feira</v>
      </c>
      <c r="U807" s="361">
        <v>40983</v>
      </c>
      <c r="V807" s="360" t="str">
        <f t="shared" si="30"/>
        <v>quinta-feira</v>
      </c>
    </row>
    <row r="808" spans="19:22">
      <c r="S808" s="357">
        <v>42321</v>
      </c>
      <c r="T808" s="359" t="str">
        <f t="shared" si="31"/>
        <v>sexta-feira</v>
      </c>
      <c r="U808" s="361">
        <v>40984</v>
      </c>
      <c r="V808" s="360" t="str">
        <f t="shared" si="30"/>
        <v>sexta-feira</v>
      </c>
    </row>
    <row r="809" spans="19:22">
      <c r="S809" s="357">
        <v>42322</v>
      </c>
      <c r="T809" s="359" t="str">
        <f t="shared" si="31"/>
        <v>sábado</v>
      </c>
      <c r="U809" s="361">
        <v>40985</v>
      </c>
      <c r="V809" s="360" t="str">
        <f t="shared" ref="V809:V872" si="32">TEXT(U809,"dddd")</f>
        <v>sábado</v>
      </c>
    </row>
    <row r="810" spans="19:22">
      <c r="S810" s="357">
        <v>42323</v>
      </c>
      <c r="T810" s="359" t="str">
        <f t="shared" si="31"/>
        <v>domingo</v>
      </c>
      <c r="U810" s="361">
        <v>40986</v>
      </c>
      <c r="V810" s="360" t="str">
        <f t="shared" si="32"/>
        <v>domingo</v>
      </c>
    </row>
    <row r="811" spans="19:22">
      <c r="S811" s="357">
        <v>42324</v>
      </c>
      <c r="T811" s="359" t="str">
        <f t="shared" si="31"/>
        <v>segunda-feira</v>
      </c>
      <c r="U811" s="361">
        <v>40987</v>
      </c>
      <c r="V811" s="360" t="str">
        <f t="shared" si="32"/>
        <v>segunda-feira</v>
      </c>
    </row>
    <row r="812" spans="19:22">
      <c r="S812" s="357">
        <v>42325</v>
      </c>
      <c r="T812" s="359" t="str">
        <f t="shared" si="31"/>
        <v>terça-feira</v>
      </c>
      <c r="U812" s="361">
        <v>40988</v>
      </c>
      <c r="V812" s="360" t="str">
        <f t="shared" si="32"/>
        <v>terça-feira</v>
      </c>
    </row>
    <row r="813" spans="19:22">
      <c r="S813" s="357">
        <v>42326</v>
      </c>
      <c r="T813" s="359" t="str">
        <f t="shared" si="31"/>
        <v>quarta-feira</v>
      </c>
      <c r="U813" s="361">
        <v>40989</v>
      </c>
      <c r="V813" s="360" t="str">
        <f t="shared" si="32"/>
        <v>quarta-feira</v>
      </c>
    </row>
    <row r="814" spans="19:22">
      <c r="S814" s="357">
        <v>42327</v>
      </c>
      <c r="T814" s="359" t="str">
        <f t="shared" si="31"/>
        <v>quinta-feira</v>
      </c>
      <c r="U814" s="361">
        <v>40990</v>
      </c>
      <c r="V814" s="360" t="str">
        <f t="shared" si="32"/>
        <v>quinta-feira</v>
      </c>
    </row>
    <row r="815" spans="19:22">
      <c r="S815" s="357">
        <v>42328</v>
      </c>
      <c r="T815" s="359" t="str">
        <f t="shared" si="31"/>
        <v>sexta-feira</v>
      </c>
      <c r="U815" s="361">
        <v>40991</v>
      </c>
      <c r="V815" s="360" t="str">
        <f t="shared" si="32"/>
        <v>sexta-feira</v>
      </c>
    </row>
    <row r="816" spans="19:22">
      <c r="S816" s="357">
        <v>42329</v>
      </c>
      <c r="T816" s="359" t="str">
        <f t="shared" si="31"/>
        <v>sábado</v>
      </c>
      <c r="U816" s="361">
        <v>40992</v>
      </c>
      <c r="V816" s="360" t="str">
        <f t="shared" si="32"/>
        <v>sábado</v>
      </c>
    </row>
    <row r="817" spans="19:22">
      <c r="S817" s="357">
        <v>42330</v>
      </c>
      <c r="T817" s="359" t="str">
        <f t="shared" si="31"/>
        <v>domingo</v>
      </c>
      <c r="U817" s="361">
        <v>40993</v>
      </c>
      <c r="V817" s="360" t="str">
        <f t="shared" si="32"/>
        <v>domingo</v>
      </c>
    </row>
    <row r="818" spans="19:22">
      <c r="S818" s="357">
        <v>42331</v>
      </c>
      <c r="T818" s="359" t="str">
        <f t="shared" si="31"/>
        <v>segunda-feira</v>
      </c>
      <c r="U818" s="361">
        <v>40994</v>
      </c>
      <c r="V818" s="360" t="str">
        <f t="shared" si="32"/>
        <v>segunda-feira</v>
      </c>
    </row>
    <row r="819" spans="19:22">
      <c r="S819" s="357">
        <v>42332</v>
      </c>
      <c r="T819" s="359" t="str">
        <f t="shared" si="31"/>
        <v>terça-feira</v>
      </c>
      <c r="U819" s="361">
        <v>40995</v>
      </c>
      <c r="V819" s="360" t="str">
        <f t="shared" si="32"/>
        <v>terça-feira</v>
      </c>
    </row>
    <row r="820" spans="19:22">
      <c r="S820" s="357">
        <v>42333</v>
      </c>
      <c r="T820" s="359" t="str">
        <f t="shared" si="31"/>
        <v>quarta-feira</v>
      </c>
      <c r="U820" s="361">
        <v>40996</v>
      </c>
      <c r="V820" s="360" t="str">
        <f t="shared" si="32"/>
        <v>quarta-feira</v>
      </c>
    </row>
    <row r="821" spans="19:22">
      <c r="S821" s="357">
        <v>42334</v>
      </c>
      <c r="T821" s="359" t="str">
        <f t="shared" si="31"/>
        <v>quinta-feira</v>
      </c>
      <c r="U821" s="361">
        <v>40997</v>
      </c>
      <c r="V821" s="360" t="str">
        <f t="shared" si="32"/>
        <v>quinta-feira</v>
      </c>
    </row>
    <row r="822" spans="19:22">
      <c r="S822" s="357">
        <v>42335</v>
      </c>
      <c r="T822" s="359" t="str">
        <f t="shared" si="31"/>
        <v>sexta-feira</v>
      </c>
      <c r="U822" s="361">
        <v>40998</v>
      </c>
      <c r="V822" s="360" t="str">
        <f t="shared" si="32"/>
        <v>sexta-feira</v>
      </c>
    </row>
    <row r="823" spans="19:22">
      <c r="S823" s="357">
        <v>42336</v>
      </c>
      <c r="T823" s="359" t="str">
        <f t="shared" ref="T823:T886" si="33">TEXT(S823,"dddd")</f>
        <v>sábado</v>
      </c>
      <c r="U823" s="361">
        <v>40999</v>
      </c>
      <c r="V823" s="360" t="str">
        <f t="shared" si="32"/>
        <v>sábado</v>
      </c>
    </row>
    <row r="824" spans="19:22">
      <c r="S824" s="357">
        <v>42337</v>
      </c>
      <c r="T824" s="359" t="str">
        <f t="shared" si="33"/>
        <v>domingo</v>
      </c>
      <c r="U824" s="361">
        <v>41000</v>
      </c>
      <c r="V824" s="360" t="str">
        <f t="shared" si="32"/>
        <v>domingo</v>
      </c>
    </row>
    <row r="825" spans="19:22">
      <c r="S825" s="357">
        <v>42338</v>
      </c>
      <c r="T825" s="359" t="str">
        <f t="shared" si="33"/>
        <v>segunda-feira</v>
      </c>
      <c r="U825" s="361">
        <v>41001</v>
      </c>
      <c r="V825" s="360" t="str">
        <f t="shared" si="32"/>
        <v>segunda-feira</v>
      </c>
    </row>
    <row r="826" spans="19:22">
      <c r="S826" s="357">
        <v>42339</v>
      </c>
      <c r="T826" s="359" t="str">
        <f t="shared" si="33"/>
        <v>terça-feira</v>
      </c>
      <c r="U826" s="361">
        <v>41002</v>
      </c>
      <c r="V826" s="360" t="str">
        <f t="shared" si="32"/>
        <v>terça-feira</v>
      </c>
    </row>
    <row r="827" spans="19:22">
      <c r="S827" s="357">
        <v>42340</v>
      </c>
      <c r="T827" s="359" t="str">
        <f t="shared" si="33"/>
        <v>quarta-feira</v>
      </c>
      <c r="U827" s="361">
        <v>41003</v>
      </c>
      <c r="V827" s="360" t="str">
        <f t="shared" si="32"/>
        <v>quarta-feira</v>
      </c>
    </row>
    <row r="828" spans="19:22">
      <c r="S828" s="357">
        <v>42341</v>
      </c>
      <c r="T828" s="359" t="str">
        <f t="shared" si="33"/>
        <v>quinta-feira</v>
      </c>
      <c r="U828" s="361">
        <v>41004</v>
      </c>
      <c r="V828" s="360" t="str">
        <f t="shared" si="32"/>
        <v>quinta-feira</v>
      </c>
    </row>
    <row r="829" spans="19:22">
      <c r="S829" s="357">
        <v>42342</v>
      </c>
      <c r="T829" s="359" t="str">
        <f t="shared" si="33"/>
        <v>sexta-feira</v>
      </c>
      <c r="U829" s="361">
        <v>41005</v>
      </c>
      <c r="V829" s="360" t="str">
        <f t="shared" si="32"/>
        <v>sexta-feira</v>
      </c>
    </row>
    <row r="830" spans="19:22">
      <c r="S830" s="357">
        <v>42343</v>
      </c>
      <c r="T830" s="359" t="str">
        <f t="shared" si="33"/>
        <v>sábado</v>
      </c>
      <c r="U830" s="361">
        <v>41006</v>
      </c>
      <c r="V830" s="360" t="str">
        <f t="shared" si="32"/>
        <v>sábado</v>
      </c>
    </row>
    <row r="831" spans="19:22">
      <c r="S831" s="357">
        <v>42344</v>
      </c>
      <c r="T831" s="359" t="str">
        <f t="shared" si="33"/>
        <v>domingo</v>
      </c>
      <c r="U831" s="361">
        <v>41007</v>
      </c>
      <c r="V831" s="360" t="str">
        <f t="shared" si="32"/>
        <v>domingo</v>
      </c>
    </row>
    <row r="832" spans="19:22">
      <c r="S832" s="357">
        <v>42345</v>
      </c>
      <c r="T832" s="359" t="str">
        <f t="shared" si="33"/>
        <v>segunda-feira</v>
      </c>
      <c r="U832" s="361">
        <v>41008</v>
      </c>
      <c r="V832" s="360" t="str">
        <f t="shared" si="32"/>
        <v>segunda-feira</v>
      </c>
    </row>
    <row r="833" spans="19:22">
      <c r="S833" s="357">
        <v>42346</v>
      </c>
      <c r="T833" s="359" t="str">
        <f t="shared" si="33"/>
        <v>terça-feira</v>
      </c>
      <c r="U833" s="361">
        <v>41009</v>
      </c>
      <c r="V833" s="360" t="str">
        <f t="shared" si="32"/>
        <v>terça-feira</v>
      </c>
    </row>
    <row r="834" spans="19:22">
      <c r="S834" s="357">
        <v>42347</v>
      </c>
      <c r="T834" s="359" t="str">
        <f t="shared" si="33"/>
        <v>quarta-feira</v>
      </c>
      <c r="U834" s="361">
        <v>41010</v>
      </c>
      <c r="V834" s="360" t="str">
        <f t="shared" si="32"/>
        <v>quarta-feira</v>
      </c>
    </row>
    <row r="835" spans="19:22">
      <c r="S835" s="357">
        <v>42348</v>
      </c>
      <c r="T835" s="359" t="str">
        <f t="shared" si="33"/>
        <v>quinta-feira</v>
      </c>
      <c r="U835" s="361">
        <v>41011</v>
      </c>
      <c r="V835" s="360" t="str">
        <f t="shared" si="32"/>
        <v>quinta-feira</v>
      </c>
    </row>
    <row r="836" spans="19:22">
      <c r="S836" s="357">
        <v>42349</v>
      </c>
      <c r="T836" s="359" t="str">
        <f t="shared" si="33"/>
        <v>sexta-feira</v>
      </c>
      <c r="U836" s="361">
        <v>41012</v>
      </c>
      <c r="V836" s="360" t="str">
        <f t="shared" si="32"/>
        <v>sexta-feira</v>
      </c>
    </row>
    <row r="837" spans="19:22">
      <c r="S837" s="357">
        <v>42350</v>
      </c>
      <c r="T837" s="359" t="str">
        <f t="shared" si="33"/>
        <v>sábado</v>
      </c>
      <c r="U837" s="361">
        <v>41013</v>
      </c>
      <c r="V837" s="360" t="str">
        <f t="shared" si="32"/>
        <v>sábado</v>
      </c>
    </row>
    <row r="838" spans="19:22">
      <c r="S838" s="357">
        <v>42351</v>
      </c>
      <c r="T838" s="359" t="str">
        <f t="shared" si="33"/>
        <v>domingo</v>
      </c>
      <c r="U838" s="361">
        <v>41014</v>
      </c>
      <c r="V838" s="360" t="str">
        <f t="shared" si="32"/>
        <v>domingo</v>
      </c>
    </row>
    <row r="839" spans="19:22">
      <c r="S839" s="357">
        <v>42352</v>
      </c>
      <c r="T839" s="359" t="str">
        <f t="shared" si="33"/>
        <v>segunda-feira</v>
      </c>
      <c r="U839" s="361">
        <v>41015</v>
      </c>
      <c r="V839" s="360" t="str">
        <f t="shared" si="32"/>
        <v>segunda-feira</v>
      </c>
    </row>
    <row r="840" spans="19:22">
      <c r="S840" s="357">
        <v>42353</v>
      </c>
      <c r="T840" s="359" t="str">
        <f t="shared" si="33"/>
        <v>terça-feira</v>
      </c>
      <c r="U840" s="361">
        <v>41016</v>
      </c>
      <c r="V840" s="360" t="str">
        <f t="shared" si="32"/>
        <v>terça-feira</v>
      </c>
    </row>
    <row r="841" spans="19:22">
      <c r="S841" s="357">
        <v>42354</v>
      </c>
      <c r="T841" s="359" t="str">
        <f t="shared" si="33"/>
        <v>quarta-feira</v>
      </c>
      <c r="U841" s="361">
        <v>41017</v>
      </c>
      <c r="V841" s="360" t="str">
        <f t="shared" si="32"/>
        <v>quarta-feira</v>
      </c>
    </row>
    <row r="842" spans="19:22">
      <c r="S842" s="357">
        <v>42355</v>
      </c>
      <c r="T842" s="359" t="str">
        <f t="shared" si="33"/>
        <v>quinta-feira</v>
      </c>
      <c r="U842" s="361">
        <v>41018</v>
      </c>
      <c r="V842" s="360" t="str">
        <f t="shared" si="32"/>
        <v>quinta-feira</v>
      </c>
    </row>
    <row r="843" spans="19:22">
      <c r="S843" s="357">
        <v>42356</v>
      </c>
      <c r="T843" s="359" t="str">
        <f t="shared" si="33"/>
        <v>sexta-feira</v>
      </c>
      <c r="U843" s="361">
        <v>41019</v>
      </c>
      <c r="V843" s="360" t="str">
        <f t="shared" si="32"/>
        <v>sexta-feira</v>
      </c>
    </row>
    <row r="844" spans="19:22">
      <c r="S844" s="357">
        <v>42357</v>
      </c>
      <c r="T844" s="359" t="str">
        <f t="shared" si="33"/>
        <v>sábado</v>
      </c>
      <c r="U844" s="361">
        <v>41020</v>
      </c>
      <c r="V844" s="360" t="str">
        <f t="shared" si="32"/>
        <v>sábado</v>
      </c>
    </row>
    <row r="845" spans="19:22">
      <c r="S845" s="357">
        <v>42358</v>
      </c>
      <c r="T845" s="359" t="str">
        <f t="shared" si="33"/>
        <v>domingo</v>
      </c>
      <c r="U845" s="361">
        <v>41021</v>
      </c>
      <c r="V845" s="360" t="str">
        <f t="shared" si="32"/>
        <v>domingo</v>
      </c>
    </row>
    <row r="846" spans="19:22">
      <c r="S846" s="357">
        <v>42359</v>
      </c>
      <c r="T846" s="359" t="str">
        <f t="shared" si="33"/>
        <v>segunda-feira</v>
      </c>
      <c r="U846" s="361">
        <v>41022</v>
      </c>
      <c r="V846" s="360" t="str">
        <f t="shared" si="32"/>
        <v>segunda-feira</v>
      </c>
    </row>
    <row r="847" spans="19:22">
      <c r="S847" s="357">
        <v>42360</v>
      </c>
      <c r="T847" s="359" t="str">
        <f t="shared" si="33"/>
        <v>terça-feira</v>
      </c>
      <c r="U847" s="361">
        <v>41023</v>
      </c>
      <c r="V847" s="360" t="str">
        <f t="shared" si="32"/>
        <v>terça-feira</v>
      </c>
    </row>
    <row r="848" spans="19:22">
      <c r="S848" s="357">
        <v>42361</v>
      </c>
      <c r="T848" s="359" t="str">
        <f t="shared" si="33"/>
        <v>quarta-feira</v>
      </c>
      <c r="U848" s="361">
        <v>41024</v>
      </c>
      <c r="V848" s="360" t="str">
        <f t="shared" si="32"/>
        <v>quarta-feira</v>
      </c>
    </row>
    <row r="849" spans="19:22">
      <c r="S849" s="357">
        <v>42362</v>
      </c>
      <c r="T849" s="359" t="str">
        <f t="shared" si="33"/>
        <v>quinta-feira</v>
      </c>
      <c r="U849" s="361">
        <v>41025</v>
      </c>
      <c r="V849" s="360" t="str">
        <f t="shared" si="32"/>
        <v>quinta-feira</v>
      </c>
    </row>
    <row r="850" spans="19:22">
      <c r="S850" s="357">
        <v>42363</v>
      </c>
      <c r="T850" s="359" t="str">
        <f t="shared" si="33"/>
        <v>sexta-feira</v>
      </c>
      <c r="U850" s="361">
        <v>41026</v>
      </c>
      <c r="V850" s="360" t="str">
        <f t="shared" si="32"/>
        <v>sexta-feira</v>
      </c>
    </row>
    <row r="851" spans="19:22">
      <c r="S851" s="357">
        <v>42364</v>
      </c>
      <c r="T851" s="359" t="str">
        <f t="shared" si="33"/>
        <v>sábado</v>
      </c>
      <c r="U851" s="361">
        <v>41027</v>
      </c>
      <c r="V851" s="360" t="str">
        <f t="shared" si="32"/>
        <v>sábado</v>
      </c>
    </row>
    <row r="852" spans="19:22">
      <c r="S852" s="357">
        <v>42365</v>
      </c>
      <c r="T852" s="359" t="str">
        <f t="shared" si="33"/>
        <v>domingo</v>
      </c>
      <c r="U852" s="361">
        <v>41028</v>
      </c>
      <c r="V852" s="360" t="str">
        <f t="shared" si="32"/>
        <v>domingo</v>
      </c>
    </row>
    <row r="853" spans="19:22">
      <c r="S853" s="357">
        <v>42366</v>
      </c>
      <c r="T853" s="359" t="str">
        <f t="shared" si="33"/>
        <v>segunda-feira</v>
      </c>
      <c r="U853" s="361">
        <v>41029</v>
      </c>
      <c r="V853" s="360" t="str">
        <f t="shared" si="32"/>
        <v>segunda-feira</v>
      </c>
    </row>
    <row r="854" spans="19:22">
      <c r="S854" s="357">
        <v>42367</v>
      </c>
      <c r="T854" s="359" t="str">
        <f t="shared" si="33"/>
        <v>terça-feira</v>
      </c>
      <c r="U854" s="361">
        <v>41030</v>
      </c>
      <c r="V854" s="360" t="str">
        <f t="shared" si="32"/>
        <v>terça-feira</v>
      </c>
    </row>
    <row r="855" spans="19:22">
      <c r="S855" s="357">
        <v>42368</v>
      </c>
      <c r="T855" s="359" t="str">
        <f t="shared" si="33"/>
        <v>quarta-feira</v>
      </c>
      <c r="U855" s="361">
        <v>41031</v>
      </c>
      <c r="V855" s="360" t="str">
        <f t="shared" si="32"/>
        <v>quarta-feira</v>
      </c>
    </row>
    <row r="856" spans="19:22">
      <c r="S856" s="357">
        <v>42369</v>
      </c>
      <c r="T856" s="359" t="str">
        <f t="shared" si="33"/>
        <v>quinta-feira</v>
      </c>
      <c r="U856" s="361">
        <v>41032</v>
      </c>
      <c r="V856" s="360" t="str">
        <f t="shared" si="32"/>
        <v>quinta-feira</v>
      </c>
    </row>
    <row r="857" spans="19:22">
      <c r="S857" s="357">
        <v>42370</v>
      </c>
      <c r="T857" s="359" t="str">
        <f t="shared" si="33"/>
        <v>sexta-feira</v>
      </c>
      <c r="U857" s="361">
        <v>41033</v>
      </c>
      <c r="V857" s="360" t="str">
        <f t="shared" si="32"/>
        <v>sexta-feira</v>
      </c>
    </row>
    <row r="858" spans="19:22">
      <c r="S858" s="357">
        <v>42371</v>
      </c>
      <c r="T858" s="359" t="str">
        <f t="shared" si="33"/>
        <v>sábado</v>
      </c>
      <c r="U858" s="361">
        <v>41034</v>
      </c>
      <c r="V858" s="360" t="str">
        <f t="shared" si="32"/>
        <v>sábado</v>
      </c>
    </row>
    <row r="859" spans="19:22">
      <c r="S859" s="357">
        <v>42372</v>
      </c>
      <c r="T859" s="359" t="str">
        <f t="shared" si="33"/>
        <v>domingo</v>
      </c>
      <c r="U859" s="361">
        <v>41035</v>
      </c>
      <c r="V859" s="360" t="str">
        <f t="shared" si="32"/>
        <v>domingo</v>
      </c>
    </row>
    <row r="860" spans="19:22">
      <c r="S860" s="357">
        <v>42373</v>
      </c>
      <c r="T860" s="359" t="str">
        <f t="shared" si="33"/>
        <v>segunda-feira</v>
      </c>
      <c r="U860" s="361">
        <v>41036</v>
      </c>
      <c r="V860" s="360" t="str">
        <f t="shared" si="32"/>
        <v>segunda-feira</v>
      </c>
    </row>
    <row r="861" spans="19:22">
      <c r="S861" s="357">
        <v>42374</v>
      </c>
      <c r="T861" s="359" t="str">
        <f t="shared" si="33"/>
        <v>terça-feira</v>
      </c>
      <c r="U861" s="361">
        <v>41037</v>
      </c>
      <c r="V861" s="360" t="str">
        <f t="shared" si="32"/>
        <v>terça-feira</v>
      </c>
    </row>
    <row r="862" spans="19:22">
      <c r="S862" s="357">
        <v>42375</v>
      </c>
      <c r="T862" s="359" t="str">
        <f t="shared" si="33"/>
        <v>quarta-feira</v>
      </c>
      <c r="U862" s="361">
        <v>41038</v>
      </c>
      <c r="V862" s="360" t="str">
        <f t="shared" si="32"/>
        <v>quarta-feira</v>
      </c>
    </row>
    <row r="863" spans="19:22">
      <c r="S863" s="357">
        <v>42376</v>
      </c>
      <c r="T863" s="359" t="str">
        <f t="shared" si="33"/>
        <v>quinta-feira</v>
      </c>
      <c r="U863" s="361">
        <v>41039</v>
      </c>
      <c r="V863" s="360" t="str">
        <f t="shared" si="32"/>
        <v>quinta-feira</v>
      </c>
    </row>
    <row r="864" spans="19:22">
      <c r="S864" s="357">
        <v>42377</v>
      </c>
      <c r="T864" s="359" t="str">
        <f t="shared" si="33"/>
        <v>sexta-feira</v>
      </c>
      <c r="U864" s="361">
        <v>41040</v>
      </c>
      <c r="V864" s="360" t="str">
        <f t="shared" si="32"/>
        <v>sexta-feira</v>
      </c>
    </row>
    <row r="865" spans="19:22">
      <c r="S865" s="357">
        <v>42378</v>
      </c>
      <c r="T865" s="359" t="str">
        <f t="shared" si="33"/>
        <v>sábado</v>
      </c>
      <c r="U865" s="361">
        <v>41041</v>
      </c>
      <c r="V865" s="360" t="str">
        <f t="shared" si="32"/>
        <v>sábado</v>
      </c>
    </row>
    <row r="866" spans="19:22">
      <c r="S866" s="357">
        <v>42379</v>
      </c>
      <c r="T866" s="359" t="str">
        <f t="shared" si="33"/>
        <v>domingo</v>
      </c>
      <c r="U866" s="361">
        <v>41042</v>
      </c>
      <c r="V866" s="360" t="str">
        <f t="shared" si="32"/>
        <v>domingo</v>
      </c>
    </row>
    <row r="867" spans="19:22">
      <c r="S867" s="357">
        <v>42380</v>
      </c>
      <c r="T867" s="359" t="str">
        <f t="shared" si="33"/>
        <v>segunda-feira</v>
      </c>
      <c r="U867" s="361">
        <v>41043</v>
      </c>
      <c r="V867" s="360" t="str">
        <f t="shared" si="32"/>
        <v>segunda-feira</v>
      </c>
    </row>
    <row r="868" spans="19:22">
      <c r="S868" s="357">
        <v>42381</v>
      </c>
      <c r="T868" s="359" t="str">
        <f t="shared" si="33"/>
        <v>terça-feira</v>
      </c>
      <c r="U868" s="361">
        <v>41044</v>
      </c>
      <c r="V868" s="360" t="str">
        <f t="shared" si="32"/>
        <v>terça-feira</v>
      </c>
    </row>
    <row r="869" spans="19:22">
      <c r="S869" s="357">
        <v>42382</v>
      </c>
      <c r="T869" s="359" t="str">
        <f t="shared" si="33"/>
        <v>quarta-feira</v>
      </c>
      <c r="U869" s="361">
        <v>41045</v>
      </c>
      <c r="V869" s="360" t="str">
        <f t="shared" si="32"/>
        <v>quarta-feira</v>
      </c>
    </row>
    <row r="870" spans="19:22">
      <c r="S870" s="357">
        <v>42383</v>
      </c>
      <c r="T870" s="359" t="str">
        <f t="shared" si="33"/>
        <v>quinta-feira</v>
      </c>
      <c r="U870" s="361">
        <v>41046</v>
      </c>
      <c r="V870" s="360" t="str">
        <f t="shared" si="32"/>
        <v>quinta-feira</v>
      </c>
    </row>
    <row r="871" spans="19:22">
      <c r="S871" s="357">
        <v>42384</v>
      </c>
      <c r="T871" s="359" t="str">
        <f t="shared" si="33"/>
        <v>sexta-feira</v>
      </c>
      <c r="U871" s="361">
        <v>41047</v>
      </c>
      <c r="V871" s="360" t="str">
        <f t="shared" si="32"/>
        <v>sexta-feira</v>
      </c>
    </row>
    <row r="872" spans="19:22">
      <c r="S872" s="357">
        <v>42385</v>
      </c>
      <c r="T872" s="359" t="str">
        <f t="shared" si="33"/>
        <v>sábado</v>
      </c>
      <c r="U872" s="361">
        <v>41048</v>
      </c>
      <c r="V872" s="360" t="str">
        <f t="shared" si="32"/>
        <v>sábado</v>
      </c>
    </row>
    <row r="873" spans="19:22">
      <c r="S873" s="357">
        <v>42386</v>
      </c>
      <c r="T873" s="359" t="str">
        <f t="shared" si="33"/>
        <v>domingo</v>
      </c>
      <c r="U873" s="361">
        <v>41049</v>
      </c>
      <c r="V873" s="360" t="str">
        <f t="shared" ref="V873:V936" si="34">TEXT(U873,"dddd")</f>
        <v>domingo</v>
      </c>
    </row>
    <row r="874" spans="19:22">
      <c r="S874" s="357">
        <v>42387</v>
      </c>
      <c r="T874" s="359" t="str">
        <f t="shared" si="33"/>
        <v>segunda-feira</v>
      </c>
      <c r="U874" s="361">
        <v>41050</v>
      </c>
      <c r="V874" s="360" t="str">
        <f t="shared" si="34"/>
        <v>segunda-feira</v>
      </c>
    </row>
    <row r="875" spans="19:22">
      <c r="S875" s="357">
        <v>42388</v>
      </c>
      <c r="T875" s="359" t="str">
        <f t="shared" si="33"/>
        <v>terça-feira</v>
      </c>
      <c r="U875" s="361">
        <v>41051</v>
      </c>
      <c r="V875" s="360" t="str">
        <f t="shared" si="34"/>
        <v>terça-feira</v>
      </c>
    </row>
    <row r="876" spans="19:22">
      <c r="S876" s="357">
        <v>42389</v>
      </c>
      <c r="T876" s="359" t="str">
        <f t="shared" si="33"/>
        <v>quarta-feira</v>
      </c>
      <c r="U876" s="361">
        <v>41052</v>
      </c>
      <c r="V876" s="360" t="str">
        <f t="shared" si="34"/>
        <v>quarta-feira</v>
      </c>
    </row>
    <row r="877" spans="19:22">
      <c r="S877" s="357">
        <v>42390</v>
      </c>
      <c r="T877" s="359" t="str">
        <f t="shared" si="33"/>
        <v>quinta-feira</v>
      </c>
      <c r="U877" s="361">
        <v>41053</v>
      </c>
      <c r="V877" s="360" t="str">
        <f t="shared" si="34"/>
        <v>quinta-feira</v>
      </c>
    </row>
    <row r="878" spans="19:22">
      <c r="S878" s="357">
        <v>42391</v>
      </c>
      <c r="T878" s="359" t="str">
        <f t="shared" si="33"/>
        <v>sexta-feira</v>
      </c>
      <c r="U878" s="361">
        <v>41054</v>
      </c>
      <c r="V878" s="360" t="str">
        <f t="shared" si="34"/>
        <v>sexta-feira</v>
      </c>
    </row>
    <row r="879" spans="19:22">
      <c r="S879" s="357">
        <v>42392</v>
      </c>
      <c r="T879" s="359" t="str">
        <f t="shared" si="33"/>
        <v>sábado</v>
      </c>
      <c r="U879" s="361">
        <v>41055</v>
      </c>
      <c r="V879" s="360" t="str">
        <f t="shared" si="34"/>
        <v>sábado</v>
      </c>
    </row>
    <row r="880" spans="19:22">
      <c r="S880" s="357">
        <v>42393</v>
      </c>
      <c r="T880" s="359" t="str">
        <f t="shared" si="33"/>
        <v>domingo</v>
      </c>
      <c r="U880" s="361">
        <v>41056</v>
      </c>
      <c r="V880" s="360" t="str">
        <f t="shared" si="34"/>
        <v>domingo</v>
      </c>
    </row>
    <row r="881" spans="19:22">
      <c r="S881" s="357">
        <v>42394</v>
      </c>
      <c r="T881" s="359" t="str">
        <f t="shared" si="33"/>
        <v>segunda-feira</v>
      </c>
      <c r="U881" s="361">
        <v>41057</v>
      </c>
      <c r="V881" s="360" t="str">
        <f t="shared" si="34"/>
        <v>segunda-feira</v>
      </c>
    </row>
    <row r="882" spans="19:22">
      <c r="S882" s="357">
        <v>42395</v>
      </c>
      <c r="T882" s="359" t="str">
        <f t="shared" si="33"/>
        <v>terça-feira</v>
      </c>
      <c r="U882" s="361">
        <v>41058</v>
      </c>
      <c r="V882" s="360" t="str">
        <f t="shared" si="34"/>
        <v>terça-feira</v>
      </c>
    </row>
    <row r="883" spans="19:22">
      <c r="S883" s="357">
        <v>42396</v>
      </c>
      <c r="T883" s="359" t="str">
        <f t="shared" si="33"/>
        <v>quarta-feira</v>
      </c>
      <c r="U883" s="361">
        <v>41059</v>
      </c>
      <c r="V883" s="360" t="str">
        <f t="shared" si="34"/>
        <v>quarta-feira</v>
      </c>
    </row>
    <row r="884" spans="19:22">
      <c r="S884" s="357">
        <v>42397</v>
      </c>
      <c r="T884" s="359" t="str">
        <f t="shared" si="33"/>
        <v>quinta-feira</v>
      </c>
      <c r="U884" s="361">
        <v>41060</v>
      </c>
      <c r="V884" s="360" t="str">
        <f t="shared" si="34"/>
        <v>quinta-feira</v>
      </c>
    </row>
    <row r="885" spans="19:22">
      <c r="S885" s="357">
        <v>42398</v>
      </c>
      <c r="T885" s="359" t="str">
        <f t="shared" si="33"/>
        <v>sexta-feira</v>
      </c>
      <c r="U885" s="361">
        <v>41061</v>
      </c>
      <c r="V885" s="360" t="str">
        <f t="shared" si="34"/>
        <v>sexta-feira</v>
      </c>
    </row>
    <row r="886" spans="19:22">
      <c r="S886" s="357">
        <v>42399</v>
      </c>
      <c r="T886" s="359" t="str">
        <f t="shared" si="33"/>
        <v>sábado</v>
      </c>
      <c r="U886" s="361">
        <v>41062</v>
      </c>
      <c r="V886" s="360" t="str">
        <f t="shared" si="34"/>
        <v>sábado</v>
      </c>
    </row>
    <row r="887" spans="19:22">
      <c r="S887" s="357">
        <v>42400</v>
      </c>
      <c r="T887" s="359" t="str">
        <f t="shared" ref="T887:T950" si="35">TEXT(S887,"dddd")</f>
        <v>domingo</v>
      </c>
      <c r="U887" s="361">
        <v>41063</v>
      </c>
      <c r="V887" s="360" t="str">
        <f t="shared" si="34"/>
        <v>domingo</v>
      </c>
    </row>
    <row r="888" spans="19:22">
      <c r="S888" s="357">
        <v>42401</v>
      </c>
      <c r="T888" s="359" t="str">
        <f t="shared" si="35"/>
        <v>segunda-feira</v>
      </c>
      <c r="U888" s="361">
        <v>41064</v>
      </c>
      <c r="V888" s="360" t="str">
        <f t="shared" si="34"/>
        <v>segunda-feira</v>
      </c>
    </row>
    <row r="889" spans="19:22">
      <c r="S889" s="357">
        <v>42402</v>
      </c>
      <c r="T889" s="359" t="str">
        <f t="shared" si="35"/>
        <v>terça-feira</v>
      </c>
      <c r="U889" s="361">
        <v>41065</v>
      </c>
      <c r="V889" s="360" t="str">
        <f t="shared" si="34"/>
        <v>terça-feira</v>
      </c>
    </row>
    <row r="890" spans="19:22">
      <c r="S890" s="357">
        <v>42403</v>
      </c>
      <c r="T890" s="359" t="str">
        <f t="shared" si="35"/>
        <v>quarta-feira</v>
      </c>
      <c r="U890" s="361">
        <v>41066</v>
      </c>
      <c r="V890" s="360" t="str">
        <f t="shared" si="34"/>
        <v>quarta-feira</v>
      </c>
    </row>
    <row r="891" spans="19:22">
      <c r="S891" s="357">
        <v>42404</v>
      </c>
      <c r="T891" s="359" t="str">
        <f t="shared" si="35"/>
        <v>quinta-feira</v>
      </c>
      <c r="U891" s="361">
        <v>41067</v>
      </c>
      <c r="V891" s="360" t="str">
        <f t="shared" si="34"/>
        <v>quinta-feira</v>
      </c>
    </row>
    <row r="892" spans="19:22">
      <c r="S892" s="357">
        <v>42405</v>
      </c>
      <c r="T892" s="359" t="str">
        <f t="shared" si="35"/>
        <v>sexta-feira</v>
      </c>
      <c r="U892" s="361">
        <v>41068</v>
      </c>
      <c r="V892" s="360" t="str">
        <f t="shared" si="34"/>
        <v>sexta-feira</v>
      </c>
    </row>
    <row r="893" spans="19:22">
      <c r="S893" s="357">
        <v>42406</v>
      </c>
      <c r="T893" s="359" t="str">
        <f t="shared" si="35"/>
        <v>sábado</v>
      </c>
      <c r="U893" s="361">
        <v>41069</v>
      </c>
      <c r="V893" s="360" t="str">
        <f t="shared" si="34"/>
        <v>sábado</v>
      </c>
    </row>
    <row r="894" spans="19:22">
      <c r="S894" s="357">
        <v>42407</v>
      </c>
      <c r="T894" s="359" t="str">
        <f t="shared" si="35"/>
        <v>domingo</v>
      </c>
      <c r="U894" s="361">
        <v>41070</v>
      </c>
      <c r="V894" s="360" t="str">
        <f t="shared" si="34"/>
        <v>domingo</v>
      </c>
    </row>
    <row r="895" spans="19:22">
      <c r="S895" s="357">
        <v>42408</v>
      </c>
      <c r="T895" s="359" t="str">
        <f t="shared" si="35"/>
        <v>segunda-feira</v>
      </c>
      <c r="U895" s="361">
        <v>41071</v>
      </c>
      <c r="V895" s="360" t="str">
        <f t="shared" si="34"/>
        <v>segunda-feira</v>
      </c>
    </row>
    <row r="896" spans="19:22">
      <c r="S896" s="357">
        <v>42409</v>
      </c>
      <c r="T896" s="359" t="str">
        <f t="shared" si="35"/>
        <v>terça-feira</v>
      </c>
      <c r="U896" s="361">
        <v>41072</v>
      </c>
      <c r="V896" s="360" t="str">
        <f t="shared" si="34"/>
        <v>terça-feira</v>
      </c>
    </row>
    <row r="897" spans="19:22">
      <c r="S897" s="357">
        <v>42410</v>
      </c>
      <c r="T897" s="359" t="str">
        <f t="shared" si="35"/>
        <v>quarta-feira</v>
      </c>
      <c r="U897" s="361">
        <v>41073</v>
      </c>
      <c r="V897" s="360" t="str">
        <f t="shared" si="34"/>
        <v>quarta-feira</v>
      </c>
    </row>
    <row r="898" spans="19:22">
      <c r="S898" s="357">
        <v>42411</v>
      </c>
      <c r="T898" s="359" t="str">
        <f t="shared" si="35"/>
        <v>quinta-feira</v>
      </c>
      <c r="U898" s="361">
        <v>41074</v>
      </c>
      <c r="V898" s="360" t="str">
        <f t="shared" si="34"/>
        <v>quinta-feira</v>
      </c>
    </row>
    <row r="899" spans="19:22">
      <c r="S899" s="357">
        <v>42412</v>
      </c>
      <c r="T899" s="359" t="str">
        <f t="shared" si="35"/>
        <v>sexta-feira</v>
      </c>
      <c r="U899" s="361">
        <v>41075</v>
      </c>
      <c r="V899" s="360" t="str">
        <f t="shared" si="34"/>
        <v>sexta-feira</v>
      </c>
    </row>
    <row r="900" spans="19:22">
      <c r="S900" s="357">
        <v>42413</v>
      </c>
      <c r="T900" s="359" t="str">
        <f t="shared" si="35"/>
        <v>sábado</v>
      </c>
      <c r="U900" s="361">
        <v>41076</v>
      </c>
      <c r="V900" s="360" t="str">
        <f t="shared" si="34"/>
        <v>sábado</v>
      </c>
    </row>
    <row r="901" spans="19:22">
      <c r="S901" s="357">
        <v>42414</v>
      </c>
      <c r="T901" s="359" t="str">
        <f t="shared" si="35"/>
        <v>domingo</v>
      </c>
      <c r="U901" s="361">
        <v>41077</v>
      </c>
      <c r="V901" s="360" t="str">
        <f t="shared" si="34"/>
        <v>domingo</v>
      </c>
    </row>
    <row r="902" spans="19:22">
      <c r="S902" s="357">
        <v>42415</v>
      </c>
      <c r="T902" s="359" t="str">
        <f t="shared" si="35"/>
        <v>segunda-feira</v>
      </c>
      <c r="U902" s="361">
        <v>41078</v>
      </c>
      <c r="V902" s="360" t="str">
        <f t="shared" si="34"/>
        <v>segunda-feira</v>
      </c>
    </row>
    <row r="903" spans="19:22">
      <c r="S903" s="357">
        <v>42416</v>
      </c>
      <c r="T903" s="359" t="str">
        <f t="shared" si="35"/>
        <v>terça-feira</v>
      </c>
      <c r="U903" s="361">
        <v>41079</v>
      </c>
      <c r="V903" s="360" t="str">
        <f t="shared" si="34"/>
        <v>terça-feira</v>
      </c>
    </row>
    <row r="904" spans="19:22">
      <c r="S904" s="357">
        <v>42417</v>
      </c>
      <c r="T904" s="359" t="str">
        <f t="shared" si="35"/>
        <v>quarta-feira</v>
      </c>
      <c r="U904" s="361">
        <v>41080</v>
      </c>
      <c r="V904" s="360" t="str">
        <f t="shared" si="34"/>
        <v>quarta-feira</v>
      </c>
    </row>
    <row r="905" spans="19:22">
      <c r="S905" s="357">
        <v>42418</v>
      </c>
      <c r="T905" s="359" t="str">
        <f t="shared" si="35"/>
        <v>quinta-feira</v>
      </c>
      <c r="U905" s="361">
        <v>41081</v>
      </c>
      <c r="V905" s="360" t="str">
        <f t="shared" si="34"/>
        <v>quinta-feira</v>
      </c>
    </row>
    <row r="906" spans="19:22">
      <c r="S906" s="357">
        <v>42419</v>
      </c>
      <c r="T906" s="359" t="str">
        <f t="shared" si="35"/>
        <v>sexta-feira</v>
      </c>
      <c r="U906" s="361">
        <v>41082</v>
      </c>
      <c r="V906" s="360" t="str">
        <f t="shared" si="34"/>
        <v>sexta-feira</v>
      </c>
    </row>
    <row r="907" spans="19:22">
      <c r="S907" s="357">
        <v>42420</v>
      </c>
      <c r="T907" s="359" t="str">
        <f t="shared" si="35"/>
        <v>sábado</v>
      </c>
      <c r="U907" s="361">
        <v>41083</v>
      </c>
      <c r="V907" s="360" t="str">
        <f t="shared" si="34"/>
        <v>sábado</v>
      </c>
    </row>
    <row r="908" spans="19:22">
      <c r="S908" s="357">
        <v>42421</v>
      </c>
      <c r="T908" s="359" t="str">
        <f t="shared" si="35"/>
        <v>domingo</v>
      </c>
      <c r="U908" s="361">
        <v>41084</v>
      </c>
      <c r="V908" s="360" t="str">
        <f t="shared" si="34"/>
        <v>domingo</v>
      </c>
    </row>
    <row r="909" spans="19:22">
      <c r="S909" s="357">
        <v>42422</v>
      </c>
      <c r="T909" s="359" t="str">
        <f t="shared" si="35"/>
        <v>segunda-feira</v>
      </c>
      <c r="U909" s="361">
        <v>41085</v>
      </c>
      <c r="V909" s="360" t="str">
        <f t="shared" si="34"/>
        <v>segunda-feira</v>
      </c>
    </row>
    <row r="910" spans="19:22">
      <c r="S910" s="357">
        <v>42423</v>
      </c>
      <c r="T910" s="359" t="str">
        <f t="shared" si="35"/>
        <v>terça-feira</v>
      </c>
      <c r="U910" s="361">
        <v>41086</v>
      </c>
      <c r="V910" s="360" t="str">
        <f t="shared" si="34"/>
        <v>terça-feira</v>
      </c>
    </row>
    <row r="911" spans="19:22">
      <c r="S911" s="357">
        <v>42424</v>
      </c>
      <c r="T911" s="359" t="str">
        <f t="shared" si="35"/>
        <v>quarta-feira</v>
      </c>
      <c r="U911" s="361">
        <v>41087</v>
      </c>
      <c r="V911" s="360" t="str">
        <f t="shared" si="34"/>
        <v>quarta-feira</v>
      </c>
    </row>
    <row r="912" spans="19:22">
      <c r="S912" s="357">
        <v>42425</v>
      </c>
      <c r="T912" s="359" t="str">
        <f t="shared" si="35"/>
        <v>quinta-feira</v>
      </c>
      <c r="U912" s="361">
        <v>41088</v>
      </c>
      <c r="V912" s="360" t="str">
        <f t="shared" si="34"/>
        <v>quinta-feira</v>
      </c>
    </row>
    <row r="913" spans="19:22">
      <c r="S913" s="357">
        <v>42426</v>
      </c>
      <c r="T913" s="359" t="str">
        <f t="shared" si="35"/>
        <v>sexta-feira</v>
      </c>
      <c r="U913" s="361">
        <v>41089</v>
      </c>
      <c r="V913" s="360" t="str">
        <f t="shared" si="34"/>
        <v>sexta-feira</v>
      </c>
    </row>
    <row r="914" spans="19:22">
      <c r="S914" s="357">
        <v>42427</v>
      </c>
      <c r="T914" s="359" t="str">
        <f t="shared" si="35"/>
        <v>sábado</v>
      </c>
      <c r="U914" s="361">
        <v>41090</v>
      </c>
      <c r="V914" s="360" t="str">
        <f t="shared" si="34"/>
        <v>sábado</v>
      </c>
    </row>
    <row r="915" spans="19:22">
      <c r="S915" s="357">
        <v>42428</v>
      </c>
      <c r="T915" s="359" t="str">
        <f t="shared" si="35"/>
        <v>domingo</v>
      </c>
      <c r="U915" s="361">
        <v>41091</v>
      </c>
      <c r="V915" s="360" t="str">
        <f t="shared" si="34"/>
        <v>domingo</v>
      </c>
    </row>
    <row r="916" spans="19:22">
      <c r="S916" s="357">
        <v>42429</v>
      </c>
      <c r="T916" s="359" t="str">
        <f t="shared" si="35"/>
        <v>segunda-feira</v>
      </c>
      <c r="U916" s="361">
        <v>41092</v>
      </c>
      <c r="V916" s="360" t="str">
        <f t="shared" si="34"/>
        <v>segunda-feira</v>
      </c>
    </row>
    <row r="917" spans="19:22">
      <c r="S917" s="357">
        <v>42430</v>
      </c>
      <c r="T917" s="359" t="str">
        <f t="shared" si="35"/>
        <v>terça-feira</v>
      </c>
      <c r="U917" s="361">
        <v>41093</v>
      </c>
      <c r="V917" s="360" t="str">
        <f t="shared" si="34"/>
        <v>terça-feira</v>
      </c>
    </row>
    <row r="918" spans="19:22">
      <c r="S918" s="357">
        <v>42431</v>
      </c>
      <c r="T918" s="359" t="str">
        <f t="shared" si="35"/>
        <v>quarta-feira</v>
      </c>
      <c r="U918" s="361">
        <v>41094</v>
      </c>
      <c r="V918" s="360" t="str">
        <f t="shared" si="34"/>
        <v>quarta-feira</v>
      </c>
    </row>
    <row r="919" spans="19:22">
      <c r="S919" s="357">
        <v>42432</v>
      </c>
      <c r="T919" s="359" t="str">
        <f t="shared" si="35"/>
        <v>quinta-feira</v>
      </c>
      <c r="U919" s="361">
        <v>41095</v>
      </c>
      <c r="V919" s="360" t="str">
        <f t="shared" si="34"/>
        <v>quinta-feira</v>
      </c>
    </row>
    <row r="920" spans="19:22">
      <c r="S920" s="357">
        <v>42433</v>
      </c>
      <c r="T920" s="359" t="str">
        <f t="shared" si="35"/>
        <v>sexta-feira</v>
      </c>
      <c r="U920" s="361">
        <v>41096</v>
      </c>
      <c r="V920" s="360" t="str">
        <f t="shared" si="34"/>
        <v>sexta-feira</v>
      </c>
    </row>
    <row r="921" spans="19:22">
      <c r="S921" s="357">
        <v>42434</v>
      </c>
      <c r="T921" s="359" t="str">
        <f t="shared" si="35"/>
        <v>sábado</v>
      </c>
      <c r="U921" s="361">
        <v>41097</v>
      </c>
      <c r="V921" s="360" t="str">
        <f t="shared" si="34"/>
        <v>sábado</v>
      </c>
    </row>
    <row r="922" spans="19:22">
      <c r="S922" s="357">
        <v>42435</v>
      </c>
      <c r="T922" s="359" t="str">
        <f t="shared" si="35"/>
        <v>domingo</v>
      </c>
      <c r="U922" s="361">
        <v>41098</v>
      </c>
      <c r="V922" s="360" t="str">
        <f t="shared" si="34"/>
        <v>domingo</v>
      </c>
    </row>
    <row r="923" spans="19:22">
      <c r="S923" s="357">
        <v>42436</v>
      </c>
      <c r="T923" s="359" t="str">
        <f t="shared" si="35"/>
        <v>segunda-feira</v>
      </c>
      <c r="U923" s="361">
        <v>41099</v>
      </c>
      <c r="V923" s="360" t="str">
        <f t="shared" si="34"/>
        <v>segunda-feira</v>
      </c>
    </row>
    <row r="924" spans="19:22">
      <c r="S924" s="357">
        <v>42437</v>
      </c>
      <c r="T924" s="359" t="str">
        <f t="shared" si="35"/>
        <v>terça-feira</v>
      </c>
      <c r="U924" s="361">
        <v>41100</v>
      </c>
      <c r="V924" s="360" t="str">
        <f t="shared" si="34"/>
        <v>terça-feira</v>
      </c>
    </row>
    <row r="925" spans="19:22">
      <c r="S925" s="357">
        <v>42438</v>
      </c>
      <c r="T925" s="359" t="str">
        <f t="shared" si="35"/>
        <v>quarta-feira</v>
      </c>
      <c r="U925" s="361">
        <v>41101</v>
      </c>
      <c r="V925" s="360" t="str">
        <f t="shared" si="34"/>
        <v>quarta-feira</v>
      </c>
    </row>
    <row r="926" spans="19:22">
      <c r="S926" s="357">
        <v>42439</v>
      </c>
      <c r="T926" s="359" t="str">
        <f t="shared" si="35"/>
        <v>quinta-feira</v>
      </c>
      <c r="U926" s="361">
        <v>41102</v>
      </c>
      <c r="V926" s="360" t="str">
        <f t="shared" si="34"/>
        <v>quinta-feira</v>
      </c>
    </row>
    <row r="927" spans="19:22">
      <c r="S927" s="357">
        <v>42440</v>
      </c>
      <c r="T927" s="359" t="str">
        <f t="shared" si="35"/>
        <v>sexta-feira</v>
      </c>
      <c r="U927" s="361">
        <v>41103</v>
      </c>
      <c r="V927" s="360" t="str">
        <f t="shared" si="34"/>
        <v>sexta-feira</v>
      </c>
    </row>
    <row r="928" spans="19:22">
      <c r="S928" s="357">
        <v>42441</v>
      </c>
      <c r="T928" s="359" t="str">
        <f t="shared" si="35"/>
        <v>sábado</v>
      </c>
      <c r="U928" s="361">
        <v>41104</v>
      </c>
      <c r="V928" s="360" t="str">
        <f t="shared" si="34"/>
        <v>sábado</v>
      </c>
    </row>
    <row r="929" spans="19:22">
      <c r="S929" s="357">
        <v>42442</v>
      </c>
      <c r="T929" s="359" t="str">
        <f t="shared" si="35"/>
        <v>domingo</v>
      </c>
      <c r="U929" s="361">
        <v>41105</v>
      </c>
      <c r="V929" s="360" t="str">
        <f t="shared" si="34"/>
        <v>domingo</v>
      </c>
    </row>
    <row r="930" spans="19:22">
      <c r="S930" s="357">
        <v>42443</v>
      </c>
      <c r="T930" s="359" t="str">
        <f t="shared" si="35"/>
        <v>segunda-feira</v>
      </c>
      <c r="U930" s="361">
        <v>41106</v>
      </c>
      <c r="V930" s="360" t="str">
        <f t="shared" si="34"/>
        <v>segunda-feira</v>
      </c>
    </row>
    <row r="931" spans="19:22">
      <c r="S931" s="357">
        <v>42444</v>
      </c>
      <c r="T931" s="359" t="str">
        <f t="shared" si="35"/>
        <v>terça-feira</v>
      </c>
      <c r="U931" s="361">
        <v>41107</v>
      </c>
      <c r="V931" s="360" t="str">
        <f t="shared" si="34"/>
        <v>terça-feira</v>
      </c>
    </row>
    <row r="932" spans="19:22">
      <c r="S932" s="357">
        <v>42445</v>
      </c>
      <c r="T932" s="359" t="str">
        <f t="shared" si="35"/>
        <v>quarta-feira</v>
      </c>
      <c r="U932" s="361">
        <v>41108</v>
      </c>
      <c r="V932" s="360" t="str">
        <f t="shared" si="34"/>
        <v>quarta-feira</v>
      </c>
    </row>
    <row r="933" spans="19:22">
      <c r="S933" s="357">
        <v>42446</v>
      </c>
      <c r="T933" s="359" t="str">
        <f t="shared" si="35"/>
        <v>quinta-feira</v>
      </c>
      <c r="U933" s="361">
        <v>41109</v>
      </c>
      <c r="V933" s="360" t="str">
        <f t="shared" si="34"/>
        <v>quinta-feira</v>
      </c>
    </row>
    <row r="934" spans="19:22">
      <c r="S934" s="357">
        <v>42447</v>
      </c>
      <c r="T934" s="359" t="str">
        <f t="shared" si="35"/>
        <v>sexta-feira</v>
      </c>
      <c r="U934" s="361">
        <v>41110</v>
      </c>
      <c r="V934" s="360" t="str">
        <f t="shared" si="34"/>
        <v>sexta-feira</v>
      </c>
    </row>
    <row r="935" spans="19:22">
      <c r="S935" s="357">
        <v>42448</v>
      </c>
      <c r="T935" s="359" t="str">
        <f t="shared" si="35"/>
        <v>sábado</v>
      </c>
      <c r="U935" s="361">
        <v>41111</v>
      </c>
      <c r="V935" s="360" t="str">
        <f t="shared" si="34"/>
        <v>sábado</v>
      </c>
    </row>
    <row r="936" spans="19:22">
      <c r="S936" s="357">
        <v>42449</v>
      </c>
      <c r="T936" s="359" t="str">
        <f t="shared" si="35"/>
        <v>domingo</v>
      </c>
      <c r="U936" s="361">
        <v>41112</v>
      </c>
      <c r="V936" s="360" t="str">
        <f t="shared" si="34"/>
        <v>domingo</v>
      </c>
    </row>
    <row r="937" spans="19:22">
      <c r="S937" s="357">
        <v>42450</v>
      </c>
      <c r="T937" s="359" t="str">
        <f t="shared" si="35"/>
        <v>segunda-feira</v>
      </c>
      <c r="U937" s="361">
        <v>41113</v>
      </c>
      <c r="V937" s="360" t="str">
        <f t="shared" ref="V937:V1000" si="36">TEXT(U937,"dddd")</f>
        <v>segunda-feira</v>
      </c>
    </row>
    <row r="938" spans="19:22">
      <c r="S938" s="357">
        <v>42451</v>
      </c>
      <c r="T938" s="359" t="str">
        <f t="shared" si="35"/>
        <v>terça-feira</v>
      </c>
      <c r="U938" s="361">
        <v>41114</v>
      </c>
      <c r="V938" s="360" t="str">
        <f t="shared" si="36"/>
        <v>terça-feira</v>
      </c>
    </row>
    <row r="939" spans="19:22">
      <c r="S939" s="357">
        <v>42452</v>
      </c>
      <c r="T939" s="359" t="str">
        <f t="shared" si="35"/>
        <v>quarta-feira</v>
      </c>
      <c r="U939" s="361">
        <v>41115</v>
      </c>
      <c r="V939" s="360" t="str">
        <f t="shared" si="36"/>
        <v>quarta-feira</v>
      </c>
    </row>
    <row r="940" spans="19:22">
      <c r="S940" s="357">
        <v>42453</v>
      </c>
      <c r="T940" s="359" t="str">
        <f t="shared" si="35"/>
        <v>quinta-feira</v>
      </c>
      <c r="U940" s="361">
        <v>41116</v>
      </c>
      <c r="V940" s="360" t="str">
        <f t="shared" si="36"/>
        <v>quinta-feira</v>
      </c>
    </row>
    <row r="941" spans="19:22">
      <c r="S941" s="357">
        <v>42454</v>
      </c>
      <c r="T941" s="359" t="str">
        <f t="shared" si="35"/>
        <v>sexta-feira</v>
      </c>
      <c r="U941" s="361">
        <v>41117</v>
      </c>
      <c r="V941" s="360" t="str">
        <f t="shared" si="36"/>
        <v>sexta-feira</v>
      </c>
    </row>
    <row r="942" spans="19:22">
      <c r="S942" s="357">
        <v>42455</v>
      </c>
      <c r="T942" s="359" t="str">
        <f t="shared" si="35"/>
        <v>sábado</v>
      </c>
      <c r="U942" s="361">
        <v>41118</v>
      </c>
      <c r="V942" s="360" t="str">
        <f t="shared" si="36"/>
        <v>sábado</v>
      </c>
    </row>
    <row r="943" spans="19:22">
      <c r="S943" s="357">
        <v>42456</v>
      </c>
      <c r="T943" s="359" t="str">
        <f t="shared" si="35"/>
        <v>domingo</v>
      </c>
      <c r="U943" s="361">
        <v>41119</v>
      </c>
      <c r="V943" s="360" t="str">
        <f t="shared" si="36"/>
        <v>domingo</v>
      </c>
    </row>
    <row r="944" spans="19:22">
      <c r="S944" s="357">
        <v>42457</v>
      </c>
      <c r="T944" s="359" t="str">
        <f t="shared" si="35"/>
        <v>segunda-feira</v>
      </c>
      <c r="U944" s="361">
        <v>41120</v>
      </c>
      <c r="V944" s="360" t="str">
        <f t="shared" si="36"/>
        <v>segunda-feira</v>
      </c>
    </row>
    <row r="945" spans="19:22">
      <c r="S945" s="357">
        <v>42458</v>
      </c>
      <c r="T945" s="359" t="str">
        <f t="shared" si="35"/>
        <v>terça-feira</v>
      </c>
      <c r="U945" s="361">
        <v>41121</v>
      </c>
      <c r="V945" s="360" t="str">
        <f t="shared" si="36"/>
        <v>terça-feira</v>
      </c>
    </row>
    <row r="946" spans="19:22">
      <c r="S946" s="357">
        <v>42459</v>
      </c>
      <c r="T946" s="359" t="str">
        <f t="shared" si="35"/>
        <v>quarta-feira</v>
      </c>
      <c r="U946" s="361">
        <v>41122</v>
      </c>
      <c r="V946" s="360" t="str">
        <f t="shared" si="36"/>
        <v>quarta-feira</v>
      </c>
    </row>
    <row r="947" spans="19:22">
      <c r="S947" s="357">
        <v>42460</v>
      </c>
      <c r="T947" s="359" t="str">
        <f t="shared" si="35"/>
        <v>quinta-feira</v>
      </c>
      <c r="U947" s="361">
        <v>41123</v>
      </c>
      <c r="V947" s="360" t="str">
        <f t="shared" si="36"/>
        <v>quinta-feira</v>
      </c>
    </row>
    <row r="948" spans="19:22">
      <c r="S948" s="357">
        <v>42461</v>
      </c>
      <c r="T948" s="359" t="str">
        <f t="shared" si="35"/>
        <v>sexta-feira</v>
      </c>
      <c r="U948" s="361">
        <v>41124</v>
      </c>
      <c r="V948" s="360" t="str">
        <f t="shared" si="36"/>
        <v>sexta-feira</v>
      </c>
    </row>
    <row r="949" spans="19:22">
      <c r="S949" s="357">
        <v>42462</v>
      </c>
      <c r="T949" s="359" t="str">
        <f t="shared" si="35"/>
        <v>sábado</v>
      </c>
      <c r="U949" s="361">
        <v>41125</v>
      </c>
      <c r="V949" s="360" t="str">
        <f t="shared" si="36"/>
        <v>sábado</v>
      </c>
    </row>
    <row r="950" spans="19:22">
      <c r="S950" s="357">
        <v>42463</v>
      </c>
      <c r="T950" s="359" t="str">
        <f t="shared" si="35"/>
        <v>domingo</v>
      </c>
      <c r="U950" s="361">
        <v>41126</v>
      </c>
      <c r="V950" s="360" t="str">
        <f t="shared" si="36"/>
        <v>domingo</v>
      </c>
    </row>
    <row r="951" spans="19:22">
      <c r="S951" s="357">
        <v>42464</v>
      </c>
      <c r="T951" s="359" t="str">
        <f t="shared" ref="T951:T1014" si="37">TEXT(S951,"dddd")</f>
        <v>segunda-feira</v>
      </c>
      <c r="U951" s="361">
        <v>41127</v>
      </c>
      <c r="V951" s="360" t="str">
        <f t="shared" si="36"/>
        <v>segunda-feira</v>
      </c>
    </row>
    <row r="952" spans="19:22">
      <c r="S952" s="357">
        <v>42465</v>
      </c>
      <c r="T952" s="359" t="str">
        <f t="shared" si="37"/>
        <v>terça-feira</v>
      </c>
      <c r="U952" s="361">
        <v>41128</v>
      </c>
      <c r="V952" s="360" t="str">
        <f t="shared" si="36"/>
        <v>terça-feira</v>
      </c>
    </row>
    <row r="953" spans="19:22">
      <c r="S953" s="357">
        <v>42466</v>
      </c>
      <c r="T953" s="359" t="str">
        <f t="shared" si="37"/>
        <v>quarta-feira</v>
      </c>
      <c r="U953" s="361">
        <v>41129</v>
      </c>
      <c r="V953" s="360" t="str">
        <f t="shared" si="36"/>
        <v>quarta-feira</v>
      </c>
    </row>
    <row r="954" spans="19:22">
      <c r="S954" s="357">
        <v>42467</v>
      </c>
      <c r="T954" s="359" t="str">
        <f t="shared" si="37"/>
        <v>quinta-feira</v>
      </c>
      <c r="U954" s="361">
        <v>41130</v>
      </c>
      <c r="V954" s="360" t="str">
        <f t="shared" si="36"/>
        <v>quinta-feira</v>
      </c>
    </row>
    <row r="955" spans="19:22">
      <c r="S955" s="357">
        <v>42468</v>
      </c>
      <c r="T955" s="359" t="str">
        <f t="shared" si="37"/>
        <v>sexta-feira</v>
      </c>
      <c r="U955" s="361">
        <v>41131</v>
      </c>
      <c r="V955" s="360" t="str">
        <f t="shared" si="36"/>
        <v>sexta-feira</v>
      </c>
    </row>
    <row r="956" spans="19:22">
      <c r="S956" s="357">
        <v>42469</v>
      </c>
      <c r="T956" s="359" t="str">
        <f t="shared" si="37"/>
        <v>sábado</v>
      </c>
      <c r="U956" s="361">
        <v>41132</v>
      </c>
      <c r="V956" s="360" t="str">
        <f t="shared" si="36"/>
        <v>sábado</v>
      </c>
    </row>
    <row r="957" spans="19:22">
      <c r="S957" s="357">
        <v>42470</v>
      </c>
      <c r="T957" s="359" t="str">
        <f t="shared" si="37"/>
        <v>domingo</v>
      </c>
      <c r="U957" s="361">
        <v>41133</v>
      </c>
      <c r="V957" s="360" t="str">
        <f t="shared" si="36"/>
        <v>domingo</v>
      </c>
    </row>
    <row r="958" spans="19:22">
      <c r="S958" s="357">
        <v>42471</v>
      </c>
      <c r="T958" s="359" t="str">
        <f t="shared" si="37"/>
        <v>segunda-feira</v>
      </c>
      <c r="U958" s="361">
        <v>41134</v>
      </c>
      <c r="V958" s="360" t="str">
        <f t="shared" si="36"/>
        <v>segunda-feira</v>
      </c>
    </row>
    <row r="959" spans="19:22">
      <c r="S959" s="357">
        <v>42472</v>
      </c>
      <c r="T959" s="359" t="str">
        <f t="shared" si="37"/>
        <v>terça-feira</v>
      </c>
      <c r="U959" s="361">
        <v>41135</v>
      </c>
      <c r="V959" s="360" t="str">
        <f t="shared" si="36"/>
        <v>terça-feira</v>
      </c>
    </row>
    <row r="960" spans="19:22">
      <c r="S960" s="357">
        <v>42473</v>
      </c>
      <c r="T960" s="359" t="str">
        <f t="shared" si="37"/>
        <v>quarta-feira</v>
      </c>
      <c r="U960" s="361">
        <v>41136</v>
      </c>
      <c r="V960" s="360" t="str">
        <f t="shared" si="36"/>
        <v>quarta-feira</v>
      </c>
    </row>
    <row r="961" spans="19:22">
      <c r="S961" s="357">
        <v>42474</v>
      </c>
      <c r="T961" s="359" t="str">
        <f t="shared" si="37"/>
        <v>quinta-feira</v>
      </c>
      <c r="U961" s="361">
        <v>41137</v>
      </c>
      <c r="V961" s="360" t="str">
        <f t="shared" si="36"/>
        <v>quinta-feira</v>
      </c>
    </row>
    <row r="962" spans="19:22">
      <c r="S962" s="357">
        <v>42475</v>
      </c>
      <c r="T962" s="359" t="str">
        <f t="shared" si="37"/>
        <v>sexta-feira</v>
      </c>
      <c r="U962" s="361">
        <v>41138</v>
      </c>
      <c r="V962" s="360" t="str">
        <f t="shared" si="36"/>
        <v>sexta-feira</v>
      </c>
    </row>
    <row r="963" spans="19:22">
      <c r="S963" s="357">
        <v>42476</v>
      </c>
      <c r="T963" s="359" t="str">
        <f t="shared" si="37"/>
        <v>sábado</v>
      </c>
      <c r="U963" s="361">
        <v>41139</v>
      </c>
      <c r="V963" s="360" t="str">
        <f t="shared" si="36"/>
        <v>sábado</v>
      </c>
    </row>
    <row r="964" spans="19:22">
      <c r="S964" s="357">
        <v>42477</v>
      </c>
      <c r="T964" s="359" t="str">
        <f t="shared" si="37"/>
        <v>domingo</v>
      </c>
      <c r="U964" s="361">
        <v>41140</v>
      </c>
      <c r="V964" s="360" t="str">
        <f t="shared" si="36"/>
        <v>domingo</v>
      </c>
    </row>
    <row r="965" spans="19:22">
      <c r="S965" s="357">
        <v>42478</v>
      </c>
      <c r="T965" s="359" t="str">
        <f t="shared" si="37"/>
        <v>segunda-feira</v>
      </c>
      <c r="U965" s="361">
        <v>41141</v>
      </c>
      <c r="V965" s="360" t="str">
        <f t="shared" si="36"/>
        <v>segunda-feira</v>
      </c>
    </row>
    <row r="966" spans="19:22">
      <c r="S966" s="357">
        <v>42479</v>
      </c>
      <c r="T966" s="359" t="str">
        <f t="shared" si="37"/>
        <v>terça-feira</v>
      </c>
      <c r="U966" s="361">
        <v>41142</v>
      </c>
      <c r="V966" s="360" t="str">
        <f t="shared" si="36"/>
        <v>terça-feira</v>
      </c>
    </row>
    <row r="967" spans="19:22">
      <c r="S967" s="357">
        <v>42480</v>
      </c>
      <c r="T967" s="359" t="str">
        <f t="shared" si="37"/>
        <v>quarta-feira</v>
      </c>
      <c r="U967" s="361">
        <v>41143</v>
      </c>
      <c r="V967" s="360" t="str">
        <f t="shared" si="36"/>
        <v>quarta-feira</v>
      </c>
    </row>
    <row r="968" spans="19:22">
      <c r="S968" s="357">
        <v>42481</v>
      </c>
      <c r="T968" s="359" t="str">
        <f t="shared" si="37"/>
        <v>quinta-feira</v>
      </c>
      <c r="U968" s="361">
        <v>41144</v>
      </c>
      <c r="V968" s="360" t="str">
        <f t="shared" si="36"/>
        <v>quinta-feira</v>
      </c>
    </row>
    <row r="969" spans="19:22">
      <c r="S969" s="357">
        <v>42482</v>
      </c>
      <c r="T969" s="359" t="str">
        <f t="shared" si="37"/>
        <v>sexta-feira</v>
      </c>
      <c r="U969" s="361">
        <v>41145</v>
      </c>
      <c r="V969" s="360" t="str">
        <f t="shared" si="36"/>
        <v>sexta-feira</v>
      </c>
    </row>
    <row r="970" spans="19:22">
      <c r="S970" s="357">
        <v>42483</v>
      </c>
      <c r="T970" s="359" t="str">
        <f t="shared" si="37"/>
        <v>sábado</v>
      </c>
      <c r="U970" s="361">
        <v>41146</v>
      </c>
      <c r="V970" s="360" t="str">
        <f t="shared" si="36"/>
        <v>sábado</v>
      </c>
    </row>
    <row r="971" spans="19:22">
      <c r="S971" s="357">
        <v>42484</v>
      </c>
      <c r="T971" s="359" t="str">
        <f t="shared" si="37"/>
        <v>domingo</v>
      </c>
      <c r="U971" s="361">
        <v>41147</v>
      </c>
      <c r="V971" s="360" t="str">
        <f t="shared" si="36"/>
        <v>domingo</v>
      </c>
    </row>
    <row r="972" spans="19:22">
      <c r="S972" s="357">
        <v>42485</v>
      </c>
      <c r="T972" s="359" t="str">
        <f t="shared" si="37"/>
        <v>segunda-feira</v>
      </c>
      <c r="U972" s="361">
        <v>41148</v>
      </c>
      <c r="V972" s="360" t="str">
        <f t="shared" si="36"/>
        <v>segunda-feira</v>
      </c>
    </row>
    <row r="973" spans="19:22">
      <c r="S973" s="357">
        <v>42486</v>
      </c>
      <c r="T973" s="359" t="str">
        <f t="shared" si="37"/>
        <v>terça-feira</v>
      </c>
      <c r="U973" s="361">
        <v>41149</v>
      </c>
      <c r="V973" s="360" t="str">
        <f t="shared" si="36"/>
        <v>terça-feira</v>
      </c>
    </row>
    <row r="974" spans="19:22">
      <c r="S974" s="357">
        <v>42487</v>
      </c>
      <c r="T974" s="359" t="str">
        <f t="shared" si="37"/>
        <v>quarta-feira</v>
      </c>
      <c r="U974" s="361">
        <v>41150</v>
      </c>
      <c r="V974" s="360" t="str">
        <f t="shared" si="36"/>
        <v>quarta-feira</v>
      </c>
    </row>
    <row r="975" spans="19:22">
      <c r="S975" s="357">
        <v>42488</v>
      </c>
      <c r="T975" s="359" t="str">
        <f t="shared" si="37"/>
        <v>quinta-feira</v>
      </c>
      <c r="U975" s="361">
        <v>41151</v>
      </c>
      <c r="V975" s="360" t="str">
        <f t="shared" si="36"/>
        <v>quinta-feira</v>
      </c>
    </row>
    <row r="976" spans="19:22">
      <c r="S976" s="357">
        <v>42489</v>
      </c>
      <c r="T976" s="359" t="str">
        <f t="shared" si="37"/>
        <v>sexta-feira</v>
      </c>
      <c r="U976" s="361">
        <v>41152</v>
      </c>
      <c r="V976" s="360" t="str">
        <f t="shared" si="36"/>
        <v>sexta-feira</v>
      </c>
    </row>
    <row r="977" spans="19:22">
      <c r="S977" s="357">
        <v>42490</v>
      </c>
      <c r="T977" s="359" t="str">
        <f t="shared" si="37"/>
        <v>sábado</v>
      </c>
      <c r="U977" s="361">
        <v>41153</v>
      </c>
      <c r="V977" s="360" t="str">
        <f t="shared" si="36"/>
        <v>sábado</v>
      </c>
    </row>
    <row r="978" spans="19:22">
      <c r="S978" s="357">
        <v>42491</v>
      </c>
      <c r="T978" s="359" t="str">
        <f t="shared" si="37"/>
        <v>domingo</v>
      </c>
      <c r="U978" s="361">
        <v>41154</v>
      </c>
      <c r="V978" s="360" t="str">
        <f t="shared" si="36"/>
        <v>domingo</v>
      </c>
    </row>
    <row r="979" spans="19:22">
      <c r="S979" s="357">
        <v>42492</v>
      </c>
      <c r="T979" s="359" t="str">
        <f t="shared" si="37"/>
        <v>segunda-feira</v>
      </c>
      <c r="U979" s="361">
        <v>41155</v>
      </c>
      <c r="V979" s="360" t="str">
        <f t="shared" si="36"/>
        <v>segunda-feira</v>
      </c>
    </row>
    <row r="980" spans="19:22">
      <c r="S980" s="357">
        <v>42493</v>
      </c>
      <c r="T980" s="359" t="str">
        <f t="shared" si="37"/>
        <v>terça-feira</v>
      </c>
      <c r="U980" s="361">
        <v>41156</v>
      </c>
      <c r="V980" s="360" t="str">
        <f t="shared" si="36"/>
        <v>terça-feira</v>
      </c>
    </row>
    <row r="981" spans="19:22">
      <c r="S981" s="357">
        <v>42494</v>
      </c>
      <c r="T981" s="359" t="str">
        <f t="shared" si="37"/>
        <v>quarta-feira</v>
      </c>
      <c r="U981" s="361">
        <v>41157</v>
      </c>
      <c r="V981" s="360" t="str">
        <f t="shared" si="36"/>
        <v>quarta-feira</v>
      </c>
    </row>
    <row r="982" spans="19:22">
      <c r="S982" s="357">
        <v>42495</v>
      </c>
      <c r="T982" s="359" t="str">
        <f t="shared" si="37"/>
        <v>quinta-feira</v>
      </c>
      <c r="U982" s="361">
        <v>41158</v>
      </c>
      <c r="V982" s="360" t="str">
        <f t="shared" si="36"/>
        <v>quinta-feira</v>
      </c>
    </row>
    <row r="983" spans="19:22">
      <c r="S983" s="357">
        <v>42496</v>
      </c>
      <c r="T983" s="359" t="str">
        <f t="shared" si="37"/>
        <v>sexta-feira</v>
      </c>
      <c r="U983" s="361">
        <v>41159</v>
      </c>
      <c r="V983" s="360" t="str">
        <f t="shared" si="36"/>
        <v>sexta-feira</v>
      </c>
    </row>
    <row r="984" spans="19:22">
      <c r="S984" s="357">
        <v>42497</v>
      </c>
      <c r="T984" s="359" t="str">
        <f t="shared" si="37"/>
        <v>sábado</v>
      </c>
      <c r="U984" s="361">
        <v>41160</v>
      </c>
      <c r="V984" s="360" t="str">
        <f t="shared" si="36"/>
        <v>sábado</v>
      </c>
    </row>
    <row r="985" spans="19:22">
      <c r="S985" s="357">
        <v>42498</v>
      </c>
      <c r="T985" s="359" t="str">
        <f t="shared" si="37"/>
        <v>domingo</v>
      </c>
      <c r="U985" s="361">
        <v>41161</v>
      </c>
      <c r="V985" s="360" t="str">
        <f t="shared" si="36"/>
        <v>domingo</v>
      </c>
    </row>
    <row r="986" spans="19:22">
      <c r="S986" s="357">
        <v>42499</v>
      </c>
      <c r="T986" s="359" t="str">
        <f t="shared" si="37"/>
        <v>segunda-feira</v>
      </c>
      <c r="U986" s="361">
        <v>41162</v>
      </c>
      <c r="V986" s="360" t="str">
        <f t="shared" si="36"/>
        <v>segunda-feira</v>
      </c>
    </row>
    <row r="987" spans="19:22">
      <c r="S987" s="357">
        <v>42500</v>
      </c>
      <c r="T987" s="359" t="str">
        <f t="shared" si="37"/>
        <v>terça-feira</v>
      </c>
      <c r="U987" s="361">
        <v>41163</v>
      </c>
      <c r="V987" s="360" t="str">
        <f t="shared" si="36"/>
        <v>terça-feira</v>
      </c>
    </row>
    <row r="988" spans="19:22">
      <c r="S988" s="357">
        <v>42501</v>
      </c>
      <c r="T988" s="359" t="str">
        <f t="shared" si="37"/>
        <v>quarta-feira</v>
      </c>
      <c r="U988" s="361">
        <v>41164</v>
      </c>
      <c r="V988" s="360" t="str">
        <f t="shared" si="36"/>
        <v>quarta-feira</v>
      </c>
    </row>
    <row r="989" spans="19:22">
      <c r="S989" s="357">
        <v>42502</v>
      </c>
      <c r="T989" s="359" t="str">
        <f t="shared" si="37"/>
        <v>quinta-feira</v>
      </c>
      <c r="U989" s="361">
        <v>41165</v>
      </c>
      <c r="V989" s="360" t="str">
        <f t="shared" si="36"/>
        <v>quinta-feira</v>
      </c>
    </row>
    <row r="990" spans="19:22">
      <c r="S990" s="357">
        <v>42503</v>
      </c>
      <c r="T990" s="359" t="str">
        <f t="shared" si="37"/>
        <v>sexta-feira</v>
      </c>
      <c r="U990" s="361">
        <v>41166</v>
      </c>
      <c r="V990" s="360" t="str">
        <f t="shared" si="36"/>
        <v>sexta-feira</v>
      </c>
    </row>
    <row r="991" spans="19:22">
      <c r="S991" s="357">
        <v>42504</v>
      </c>
      <c r="T991" s="359" t="str">
        <f t="shared" si="37"/>
        <v>sábado</v>
      </c>
      <c r="U991" s="361">
        <v>41167</v>
      </c>
      <c r="V991" s="360" t="str">
        <f t="shared" si="36"/>
        <v>sábado</v>
      </c>
    </row>
    <row r="992" spans="19:22">
      <c r="S992" s="357">
        <v>42505</v>
      </c>
      <c r="T992" s="359" t="str">
        <f t="shared" si="37"/>
        <v>domingo</v>
      </c>
      <c r="U992" s="361">
        <v>41168</v>
      </c>
      <c r="V992" s="360" t="str">
        <f t="shared" si="36"/>
        <v>domingo</v>
      </c>
    </row>
    <row r="993" spans="19:22">
      <c r="S993" s="357">
        <v>42506</v>
      </c>
      <c r="T993" s="359" t="str">
        <f t="shared" si="37"/>
        <v>segunda-feira</v>
      </c>
      <c r="U993" s="361">
        <v>41169</v>
      </c>
      <c r="V993" s="360" t="str">
        <f t="shared" si="36"/>
        <v>segunda-feira</v>
      </c>
    </row>
    <row r="994" spans="19:22">
      <c r="S994" s="357">
        <v>42507</v>
      </c>
      <c r="T994" s="359" t="str">
        <f t="shared" si="37"/>
        <v>terça-feira</v>
      </c>
      <c r="U994" s="361">
        <v>41170</v>
      </c>
      <c r="V994" s="360" t="str">
        <f t="shared" si="36"/>
        <v>terça-feira</v>
      </c>
    </row>
    <row r="995" spans="19:22">
      <c r="S995" s="357">
        <v>42508</v>
      </c>
      <c r="T995" s="359" t="str">
        <f t="shared" si="37"/>
        <v>quarta-feira</v>
      </c>
      <c r="U995" s="361">
        <v>41171</v>
      </c>
      <c r="V995" s="360" t="str">
        <f t="shared" si="36"/>
        <v>quarta-feira</v>
      </c>
    </row>
    <row r="996" spans="19:22">
      <c r="S996" s="357">
        <v>42509</v>
      </c>
      <c r="T996" s="359" t="str">
        <f t="shared" si="37"/>
        <v>quinta-feira</v>
      </c>
      <c r="U996" s="361">
        <v>41172</v>
      </c>
      <c r="V996" s="360" t="str">
        <f t="shared" si="36"/>
        <v>quinta-feira</v>
      </c>
    </row>
    <row r="997" spans="19:22">
      <c r="S997" s="357">
        <v>42510</v>
      </c>
      <c r="T997" s="359" t="str">
        <f t="shared" si="37"/>
        <v>sexta-feira</v>
      </c>
      <c r="U997" s="361">
        <v>41173</v>
      </c>
      <c r="V997" s="360" t="str">
        <f t="shared" si="36"/>
        <v>sexta-feira</v>
      </c>
    </row>
    <row r="998" spans="19:22">
      <c r="S998" s="357">
        <v>42511</v>
      </c>
      <c r="T998" s="359" t="str">
        <f t="shared" si="37"/>
        <v>sábado</v>
      </c>
      <c r="U998" s="361">
        <v>41174</v>
      </c>
      <c r="V998" s="360" t="str">
        <f t="shared" si="36"/>
        <v>sábado</v>
      </c>
    </row>
    <row r="999" spans="19:22">
      <c r="S999" s="357">
        <v>42512</v>
      </c>
      <c r="T999" s="359" t="str">
        <f t="shared" si="37"/>
        <v>domingo</v>
      </c>
      <c r="U999" s="361">
        <v>41175</v>
      </c>
      <c r="V999" s="360" t="str">
        <f t="shared" si="36"/>
        <v>domingo</v>
      </c>
    </row>
    <row r="1000" spans="19:22">
      <c r="S1000" s="357">
        <v>42513</v>
      </c>
      <c r="T1000" s="359" t="str">
        <f t="shared" si="37"/>
        <v>segunda-feira</v>
      </c>
      <c r="U1000" s="361">
        <v>41176</v>
      </c>
      <c r="V1000" s="360" t="str">
        <f t="shared" si="36"/>
        <v>segunda-feira</v>
      </c>
    </row>
    <row r="1001" spans="19:22">
      <c r="S1001" s="357">
        <v>42514</v>
      </c>
      <c r="T1001" s="359" t="str">
        <f t="shared" si="37"/>
        <v>terça-feira</v>
      </c>
      <c r="U1001" s="361">
        <v>41177</v>
      </c>
      <c r="V1001" s="360" t="str">
        <f t="shared" ref="V1001:V1064" si="38">TEXT(U1001,"dddd")</f>
        <v>terça-feira</v>
      </c>
    </row>
    <row r="1002" spans="19:22">
      <c r="S1002" s="357">
        <v>42515</v>
      </c>
      <c r="T1002" s="359" t="str">
        <f t="shared" si="37"/>
        <v>quarta-feira</v>
      </c>
      <c r="U1002" s="361">
        <v>41178</v>
      </c>
      <c r="V1002" s="360" t="str">
        <f t="shared" si="38"/>
        <v>quarta-feira</v>
      </c>
    </row>
    <row r="1003" spans="19:22">
      <c r="S1003" s="357">
        <v>42516</v>
      </c>
      <c r="T1003" s="359" t="str">
        <f t="shared" si="37"/>
        <v>quinta-feira</v>
      </c>
      <c r="U1003" s="361">
        <v>41179</v>
      </c>
      <c r="V1003" s="360" t="str">
        <f t="shared" si="38"/>
        <v>quinta-feira</v>
      </c>
    </row>
    <row r="1004" spans="19:22">
      <c r="S1004" s="357">
        <v>42517</v>
      </c>
      <c r="T1004" s="359" t="str">
        <f t="shared" si="37"/>
        <v>sexta-feira</v>
      </c>
      <c r="U1004" s="361">
        <v>41180</v>
      </c>
      <c r="V1004" s="360" t="str">
        <f t="shared" si="38"/>
        <v>sexta-feira</v>
      </c>
    </row>
    <row r="1005" spans="19:22">
      <c r="S1005" s="357">
        <v>42518</v>
      </c>
      <c r="T1005" s="359" t="str">
        <f t="shared" si="37"/>
        <v>sábado</v>
      </c>
      <c r="U1005" s="361">
        <v>41181</v>
      </c>
      <c r="V1005" s="360" t="str">
        <f t="shared" si="38"/>
        <v>sábado</v>
      </c>
    </row>
    <row r="1006" spans="19:22">
      <c r="S1006" s="357">
        <v>42519</v>
      </c>
      <c r="T1006" s="359" t="str">
        <f t="shared" si="37"/>
        <v>domingo</v>
      </c>
      <c r="U1006" s="361">
        <v>41182</v>
      </c>
      <c r="V1006" s="360" t="str">
        <f t="shared" si="38"/>
        <v>domingo</v>
      </c>
    </row>
    <row r="1007" spans="19:22">
      <c r="S1007" s="357">
        <v>42520</v>
      </c>
      <c r="T1007" s="359" t="str">
        <f t="shared" si="37"/>
        <v>segunda-feira</v>
      </c>
      <c r="U1007" s="361">
        <v>41183</v>
      </c>
      <c r="V1007" s="360" t="str">
        <f t="shared" si="38"/>
        <v>segunda-feira</v>
      </c>
    </row>
    <row r="1008" spans="19:22">
      <c r="S1008" s="357">
        <v>42521</v>
      </c>
      <c r="T1008" s="359" t="str">
        <f t="shared" si="37"/>
        <v>terça-feira</v>
      </c>
      <c r="U1008" s="361">
        <v>41184</v>
      </c>
      <c r="V1008" s="360" t="str">
        <f t="shared" si="38"/>
        <v>terça-feira</v>
      </c>
    </row>
    <row r="1009" spans="19:22">
      <c r="S1009" s="357">
        <v>42522</v>
      </c>
      <c r="T1009" s="359" t="str">
        <f t="shared" si="37"/>
        <v>quarta-feira</v>
      </c>
      <c r="U1009" s="361">
        <v>41185</v>
      </c>
      <c r="V1009" s="360" t="str">
        <f t="shared" si="38"/>
        <v>quarta-feira</v>
      </c>
    </row>
    <row r="1010" spans="19:22">
      <c r="S1010" s="357">
        <v>42523</v>
      </c>
      <c r="T1010" s="359" t="str">
        <f t="shared" si="37"/>
        <v>quinta-feira</v>
      </c>
      <c r="U1010" s="361">
        <v>41186</v>
      </c>
      <c r="V1010" s="360" t="str">
        <f t="shared" si="38"/>
        <v>quinta-feira</v>
      </c>
    </row>
    <row r="1011" spans="19:22">
      <c r="S1011" s="357">
        <v>42524</v>
      </c>
      <c r="T1011" s="359" t="str">
        <f t="shared" si="37"/>
        <v>sexta-feira</v>
      </c>
      <c r="U1011" s="361">
        <v>41187</v>
      </c>
      <c r="V1011" s="360" t="str">
        <f t="shared" si="38"/>
        <v>sexta-feira</v>
      </c>
    </row>
    <row r="1012" spans="19:22">
      <c r="S1012" s="357">
        <v>42525</v>
      </c>
      <c r="T1012" s="359" t="str">
        <f t="shared" si="37"/>
        <v>sábado</v>
      </c>
      <c r="U1012" s="361">
        <v>41188</v>
      </c>
      <c r="V1012" s="360" t="str">
        <f t="shared" si="38"/>
        <v>sábado</v>
      </c>
    </row>
    <row r="1013" spans="19:22">
      <c r="S1013" s="357">
        <v>42526</v>
      </c>
      <c r="T1013" s="359" t="str">
        <f t="shared" si="37"/>
        <v>domingo</v>
      </c>
      <c r="U1013" s="361">
        <v>41189</v>
      </c>
      <c r="V1013" s="360" t="str">
        <f t="shared" si="38"/>
        <v>domingo</v>
      </c>
    </row>
    <row r="1014" spans="19:22">
      <c r="S1014" s="357">
        <v>42527</v>
      </c>
      <c r="T1014" s="359" t="str">
        <f t="shared" si="37"/>
        <v>segunda-feira</v>
      </c>
      <c r="U1014" s="361">
        <v>41190</v>
      </c>
      <c r="V1014" s="360" t="str">
        <f t="shared" si="38"/>
        <v>segunda-feira</v>
      </c>
    </row>
    <row r="1015" spans="19:22">
      <c r="S1015" s="357">
        <v>42528</v>
      </c>
      <c r="T1015" s="359" t="str">
        <f t="shared" ref="T1015:T1078" si="39">TEXT(S1015,"dddd")</f>
        <v>terça-feira</v>
      </c>
      <c r="U1015" s="361">
        <v>41191</v>
      </c>
      <c r="V1015" s="360" t="str">
        <f t="shared" si="38"/>
        <v>terça-feira</v>
      </c>
    </row>
    <row r="1016" spans="19:22">
      <c r="S1016" s="357">
        <v>42529</v>
      </c>
      <c r="T1016" s="359" t="str">
        <f t="shared" si="39"/>
        <v>quarta-feira</v>
      </c>
      <c r="U1016" s="361">
        <v>41192</v>
      </c>
      <c r="V1016" s="360" t="str">
        <f t="shared" si="38"/>
        <v>quarta-feira</v>
      </c>
    </row>
    <row r="1017" spans="19:22">
      <c r="S1017" s="357">
        <v>42530</v>
      </c>
      <c r="T1017" s="359" t="str">
        <f t="shared" si="39"/>
        <v>quinta-feira</v>
      </c>
      <c r="U1017" s="361">
        <v>41193</v>
      </c>
      <c r="V1017" s="360" t="str">
        <f t="shared" si="38"/>
        <v>quinta-feira</v>
      </c>
    </row>
    <row r="1018" spans="19:22">
      <c r="S1018" s="357">
        <v>42531</v>
      </c>
      <c r="T1018" s="359" t="str">
        <f t="shared" si="39"/>
        <v>sexta-feira</v>
      </c>
      <c r="U1018" s="361">
        <v>41194</v>
      </c>
      <c r="V1018" s="360" t="str">
        <f t="shared" si="38"/>
        <v>sexta-feira</v>
      </c>
    </row>
    <row r="1019" spans="19:22">
      <c r="S1019" s="357">
        <v>42532</v>
      </c>
      <c r="T1019" s="359" t="str">
        <f t="shared" si="39"/>
        <v>sábado</v>
      </c>
      <c r="U1019" s="361">
        <v>41195</v>
      </c>
      <c r="V1019" s="360" t="str">
        <f t="shared" si="38"/>
        <v>sábado</v>
      </c>
    </row>
    <row r="1020" spans="19:22">
      <c r="S1020" s="357">
        <v>42533</v>
      </c>
      <c r="T1020" s="359" t="str">
        <f t="shared" si="39"/>
        <v>domingo</v>
      </c>
      <c r="U1020" s="361">
        <v>41196</v>
      </c>
      <c r="V1020" s="360" t="str">
        <f t="shared" si="38"/>
        <v>domingo</v>
      </c>
    </row>
    <row r="1021" spans="19:22">
      <c r="S1021" s="357">
        <v>42534</v>
      </c>
      <c r="T1021" s="359" t="str">
        <f t="shared" si="39"/>
        <v>segunda-feira</v>
      </c>
      <c r="U1021" s="361">
        <v>41197</v>
      </c>
      <c r="V1021" s="360" t="str">
        <f t="shared" si="38"/>
        <v>segunda-feira</v>
      </c>
    </row>
    <row r="1022" spans="19:22">
      <c r="S1022" s="357">
        <v>42535</v>
      </c>
      <c r="T1022" s="359" t="str">
        <f t="shared" si="39"/>
        <v>terça-feira</v>
      </c>
      <c r="U1022" s="361">
        <v>41198</v>
      </c>
      <c r="V1022" s="360" t="str">
        <f t="shared" si="38"/>
        <v>terça-feira</v>
      </c>
    </row>
    <row r="1023" spans="19:22">
      <c r="S1023" s="357">
        <v>42536</v>
      </c>
      <c r="T1023" s="359" t="str">
        <f t="shared" si="39"/>
        <v>quarta-feira</v>
      </c>
      <c r="U1023" s="361">
        <v>41199</v>
      </c>
      <c r="V1023" s="360" t="str">
        <f t="shared" si="38"/>
        <v>quarta-feira</v>
      </c>
    </row>
    <row r="1024" spans="19:22">
      <c r="S1024" s="357">
        <v>42537</v>
      </c>
      <c r="T1024" s="359" t="str">
        <f t="shared" si="39"/>
        <v>quinta-feira</v>
      </c>
      <c r="U1024" s="361">
        <v>41200</v>
      </c>
      <c r="V1024" s="360" t="str">
        <f t="shared" si="38"/>
        <v>quinta-feira</v>
      </c>
    </row>
    <row r="1025" spans="19:22">
      <c r="S1025" s="357">
        <v>42538</v>
      </c>
      <c r="T1025" s="359" t="str">
        <f t="shared" si="39"/>
        <v>sexta-feira</v>
      </c>
      <c r="U1025" s="361">
        <v>41201</v>
      </c>
      <c r="V1025" s="360" t="str">
        <f t="shared" si="38"/>
        <v>sexta-feira</v>
      </c>
    </row>
    <row r="1026" spans="19:22">
      <c r="S1026" s="357">
        <v>42539</v>
      </c>
      <c r="T1026" s="359" t="str">
        <f t="shared" si="39"/>
        <v>sábado</v>
      </c>
      <c r="U1026" s="361">
        <v>41202</v>
      </c>
      <c r="V1026" s="360" t="str">
        <f t="shared" si="38"/>
        <v>sábado</v>
      </c>
    </row>
    <row r="1027" spans="19:22">
      <c r="S1027" s="357">
        <v>42540</v>
      </c>
      <c r="T1027" s="359" t="str">
        <f t="shared" si="39"/>
        <v>domingo</v>
      </c>
      <c r="U1027" s="361">
        <v>41203</v>
      </c>
      <c r="V1027" s="360" t="str">
        <f t="shared" si="38"/>
        <v>domingo</v>
      </c>
    </row>
    <row r="1028" spans="19:22">
      <c r="S1028" s="357">
        <v>42541</v>
      </c>
      <c r="T1028" s="359" t="str">
        <f t="shared" si="39"/>
        <v>segunda-feira</v>
      </c>
      <c r="U1028" s="361">
        <v>41204</v>
      </c>
      <c r="V1028" s="360" t="str">
        <f t="shared" si="38"/>
        <v>segunda-feira</v>
      </c>
    </row>
    <row r="1029" spans="19:22">
      <c r="S1029" s="357">
        <v>42542</v>
      </c>
      <c r="T1029" s="359" t="str">
        <f t="shared" si="39"/>
        <v>terça-feira</v>
      </c>
      <c r="U1029" s="361">
        <v>41205</v>
      </c>
      <c r="V1029" s="360" t="str">
        <f t="shared" si="38"/>
        <v>terça-feira</v>
      </c>
    </row>
    <row r="1030" spans="19:22">
      <c r="S1030" s="357">
        <v>42543</v>
      </c>
      <c r="T1030" s="359" t="str">
        <f t="shared" si="39"/>
        <v>quarta-feira</v>
      </c>
      <c r="U1030" s="361">
        <v>41206</v>
      </c>
      <c r="V1030" s="360" t="str">
        <f t="shared" si="38"/>
        <v>quarta-feira</v>
      </c>
    </row>
    <row r="1031" spans="19:22">
      <c r="S1031" s="357">
        <v>42544</v>
      </c>
      <c r="T1031" s="359" t="str">
        <f t="shared" si="39"/>
        <v>quinta-feira</v>
      </c>
      <c r="U1031" s="361">
        <v>41207</v>
      </c>
      <c r="V1031" s="360" t="str">
        <f t="shared" si="38"/>
        <v>quinta-feira</v>
      </c>
    </row>
    <row r="1032" spans="19:22">
      <c r="S1032" s="357">
        <v>42545</v>
      </c>
      <c r="T1032" s="359" t="str">
        <f t="shared" si="39"/>
        <v>sexta-feira</v>
      </c>
      <c r="U1032" s="361">
        <v>41208</v>
      </c>
      <c r="V1032" s="360" t="str">
        <f t="shared" si="38"/>
        <v>sexta-feira</v>
      </c>
    </row>
    <row r="1033" spans="19:22">
      <c r="S1033" s="357">
        <v>42546</v>
      </c>
      <c r="T1033" s="359" t="str">
        <f t="shared" si="39"/>
        <v>sábado</v>
      </c>
      <c r="U1033" s="361">
        <v>41209</v>
      </c>
      <c r="V1033" s="360" t="str">
        <f t="shared" si="38"/>
        <v>sábado</v>
      </c>
    </row>
    <row r="1034" spans="19:22">
      <c r="S1034" s="357">
        <v>42547</v>
      </c>
      <c r="T1034" s="359" t="str">
        <f t="shared" si="39"/>
        <v>domingo</v>
      </c>
      <c r="U1034" s="361">
        <v>41210</v>
      </c>
      <c r="V1034" s="360" t="str">
        <f t="shared" si="38"/>
        <v>domingo</v>
      </c>
    </row>
    <row r="1035" spans="19:22">
      <c r="S1035" s="357">
        <v>42548</v>
      </c>
      <c r="T1035" s="359" t="str">
        <f t="shared" si="39"/>
        <v>segunda-feira</v>
      </c>
      <c r="U1035" s="361">
        <v>41211</v>
      </c>
      <c r="V1035" s="360" t="str">
        <f t="shared" si="38"/>
        <v>segunda-feira</v>
      </c>
    </row>
    <row r="1036" spans="19:22">
      <c r="S1036" s="357">
        <v>42549</v>
      </c>
      <c r="T1036" s="359" t="str">
        <f t="shared" si="39"/>
        <v>terça-feira</v>
      </c>
      <c r="U1036" s="361">
        <v>41212</v>
      </c>
      <c r="V1036" s="360" t="str">
        <f t="shared" si="38"/>
        <v>terça-feira</v>
      </c>
    </row>
    <row r="1037" spans="19:22">
      <c r="S1037" s="357">
        <v>42550</v>
      </c>
      <c r="T1037" s="359" t="str">
        <f t="shared" si="39"/>
        <v>quarta-feira</v>
      </c>
      <c r="U1037" s="361">
        <v>41213</v>
      </c>
      <c r="V1037" s="360" t="str">
        <f t="shared" si="38"/>
        <v>quarta-feira</v>
      </c>
    </row>
    <row r="1038" spans="19:22">
      <c r="S1038" s="357">
        <v>42551</v>
      </c>
      <c r="T1038" s="359" t="str">
        <f t="shared" si="39"/>
        <v>quinta-feira</v>
      </c>
      <c r="U1038" s="361">
        <v>41214</v>
      </c>
      <c r="V1038" s="360" t="str">
        <f t="shared" si="38"/>
        <v>quinta-feira</v>
      </c>
    </row>
    <row r="1039" spans="19:22">
      <c r="S1039" s="357">
        <v>42552</v>
      </c>
      <c r="T1039" s="359" t="str">
        <f t="shared" si="39"/>
        <v>sexta-feira</v>
      </c>
      <c r="U1039" s="361">
        <v>41215</v>
      </c>
      <c r="V1039" s="360" t="str">
        <f t="shared" si="38"/>
        <v>sexta-feira</v>
      </c>
    </row>
    <row r="1040" spans="19:22">
      <c r="S1040" s="357">
        <v>42553</v>
      </c>
      <c r="T1040" s="359" t="str">
        <f t="shared" si="39"/>
        <v>sábado</v>
      </c>
      <c r="U1040" s="361">
        <v>41216</v>
      </c>
      <c r="V1040" s="360" t="str">
        <f t="shared" si="38"/>
        <v>sábado</v>
      </c>
    </row>
    <row r="1041" spans="19:22">
      <c r="S1041" s="357">
        <v>42554</v>
      </c>
      <c r="T1041" s="359" t="str">
        <f t="shared" si="39"/>
        <v>domingo</v>
      </c>
      <c r="U1041" s="361">
        <v>41217</v>
      </c>
      <c r="V1041" s="360" t="str">
        <f t="shared" si="38"/>
        <v>domingo</v>
      </c>
    </row>
    <row r="1042" spans="19:22">
      <c r="S1042" s="357">
        <v>42555</v>
      </c>
      <c r="T1042" s="359" t="str">
        <f t="shared" si="39"/>
        <v>segunda-feira</v>
      </c>
      <c r="U1042" s="361">
        <v>41218</v>
      </c>
      <c r="V1042" s="360" t="str">
        <f t="shared" si="38"/>
        <v>segunda-feira</v>
      </c>
    </row>
    <row r="1043" spans="19:22">
      <c r="S1043" s="357">
        <v>42556</v>
      </c>
      <c r="T1043" s="359" t="str">
        <f t="shared" si="39"/>
        <v>terça-feira</v>
      </c>
      <c r="U1043" s="361">
        <v>41219</v>
      </c>
      <c r="V1043" s="360" t="str">
        <f t="shared" si="38"/>
        <v>terça-feira</v>
      </c>
    </row>
    <row r="1044" spans="19:22">
      <c r="S1044" s="357">
        <v>42557</v>
      </c>
      <c r="T1044" s="359" t="str">
        <f t="shared" si="39"/>
        <v>quarta-feira</v>
      </c>
      <c r="U1044" s="361">
        <v>41220</v>
      </c>
      <c r="V1044" s="360" t="str">
        <f t="shared" si="38"/>
        <v>quarta-feira</v>
      </c>
    </row>
    <row r="1045" spans="19:22">
      <c r="S1045" s="357">
        <v>42558</v>
      </c>
      <c r="T1045" s="359" t="str">
        <f t="shared" si="39"/>
        <v>quinta-feira</v>
      </c>
      <c r="U1045" s="361">
        <v>41221</v>
      </c>
      <c r="V1045" s="360" t="str">
        <f t="shared" si="38"/>
        <v>quinta-feira</v>
      </c>
    </row>
    <row r="1046" spans="19:22">
      <c r="S1046" s="357">
        <v>42559</v>
      </c>
      <c r="T1046" s="359" t="str">
        <f t="shared" si="39"/>
        <v>sexta-feira</v>
      </c>
      <c r="U1046" s="361">
        <v>41222</v>
      </c>
      <c r="V1046" s="360" t="str">
        <f t="shared" si="38"/>
        <v>sexta-feira</v>
      </c>
    </row>
    <row r="1047" spans="19:22">
      <c r="S1047" s="357">
        <v>42560</v>
      </c>
      <c r="T1047" s="359" t="str">
        <f t="shared" si="39"/>
        <v>sábado</v>
      </c>
      <c r="U1047" s="361">
        <v>41223</v>
      </c>
      <c r="V1047" s="360" t="str">
        <f t="shared" si="38"/>
        <v>sábado</v>
      </c>
    </row>
    <row r="1048" spans="19:22">
      <c r="S1048" s="357">
        <v>42561</v>
      </c>
      <c r="T1048" s="359" t="str">
        <f t="shared" si="39"/>
        <v>domingo</v>
      </c>
      <c r="U1048" s="361">
        <v>41224</v>
      </c>
      <c r="V1048" s="360" t="str">
        <f t="shared" si="38"/>
        <v>domingo</v>
      </c>
    </row>
    <row r="1049" spans="19:22">
      <c r="S1049" s="357">
        <v>42562</v>
      </c>
      <c r="T1049" s="359" t="str">
        <f t="shared" si="39"/>
        <v>segunda-feira</v>
      </c>
      <c r="U1049" s="361">
        <v>41225</v>
      </c>
      <c r="V1049" s="360" t="str">
        <f t="shared" si="38"/>
        <v>segunda-feira</v>
      </c>
    </row>
    <row r="1050" spans="19:22">
      <c r="S1050" s="357">
        <v>42563</v>
      </c>
      <c r="T1050" s="359" t="str">
        <f t="shared" si="39"/>
        <v>terça-feira</v>
      </c>
      <c r="U1050" s="361">
        <v>41226</v>
      </c>
      <c r="V1050" s="360" t="str">
        <f t="shared" si="38"/>
        <v>terça-feira</v>
      </c>
    </row>
    <row r="1051" spans="19:22">
      <c r="S1051" s="357">
        <v>42564</v>
      </c>
      <c r="T1051" s="359" t="str">
        <f t="shared" si="39"/>
        <v>quarta-feira</v>
      </c>
      <c r="U1051" s="361">
        <v>41227</v>
      </c>
      <c r="V1051" s="360" t="str">
        <f t="shared" si="38"/>
        <v>quarta-feira</v>
      </c>
    </row>
    <row r="1052" spans="19:22">
      <c r="S1052" s="357">
        <v>42565</v>
      </c>
      <c r="T1052" s="359" t="str">
        <f t="shared" si="39"/>
        <v>quinta-feira</v>
      </c>
      <c r="U1052" s="361">
        <v>41228</v>
      </c>
      <c r="V1052" s="360" t="str">
        <f t="shared" si="38"/>
        <v>quinta-feira</v>
      </c>
    </row>
    <row r="1053" spans="19:22">
      <c r="S1053" s="357">
        <v>42566</v>
      </c>
      <c r="T1053" s="359" t="str">
        <f t="shared" si="39"/>
        <v>sexta-feira</v>
      </c>
      <c r="U1053" s="361">
        <v>41229</v>
      </c>
      <c r="V1053" s="360" t="str">
        <f t="shared" si="38"/>
        <v>sexta-feira</v>
      </c>
    </row>
    <row r="1054" spans="19:22">
      <c r="S1054" s="357">
        <v>42567</v>
      </c>
      <c r="T1054" s="359" t="str">
        <f t="shared" si="39"/>
        <v>sábado</v>
      </c>
      <c r="U1054" s="361">
        <v>41230</v>
      </c>
      <c r="V1054" s="360" t="str">
        <f t="shared" si="38"/>
        <v>sábado</v>
      </c>
    </row>
    <row r="1055" spans="19:22">
      <c r="S1055" s="357">
        <v>42568</v>
      </c>
      <c r="T1055" s="359" t="str">
        <f t="shared" si="39"/>
        <v>domingo</v>
      </c>
      <c r="U1055" s="361">
        <v>41231</v>
      </c>
      <c r="V1055" s="360" t="str">
        <f t="shared" si="38"/>
        <v>domingo</v>
      </c>
    </row>
    <row r="1056" spans="19:22">
      <c r="S1056" s="357">
        <v>42569</v>
      </c>
      <c r="T1056" s="359" t="str">
        <f t="shared" si="39"/>
        <v>segunda-feira</v>
      </c>
      <c r="U1056" s="361">
        <v>41232</v>
      </c>
      <c r="V1056" s="360" t="str">
        <f t="shared" si="38"/>
        <v>segunda-feira</v>
      </c>
    </row>
    <row r="1057" spans="19:22">
      <c r="S1057" s="357">
        <v>42570</v>
      </c>
      <c r="T1057" s="359" t="str">
        <f t="shared" si="39"/>
        <v>terça-feira</v>
      </c>
      <c r="U1057" s="361">
        <v>41233</v>
      </c>
      <c r="V1057" s="360" t="str">
        <f t="shared" si="38"/>
        <v>terça-feira</v>
      </c>
    </row>
    <row r="1058" spans="19:22">
      <c r="S1058" s="357">
        <v>42571</v>
      </c>
      <c r="T1058" s="359" t="str">
        <f t="shared" si="39"/>
        <v>quarta-feira</v>
      </c>
      <c r="U1058" s="361">
        <v>41234</v>
      </c>
      <c r="V1058" s="360" t="str">
        <f t="shared" si="38"/>
        <v>quarta-feira</v>
      </c>
    </row>
    <row r="1059" spans="19:22">
      <c r="S1059" s="357">
        <v>42572</v>
      </c>
      <c r="T1059" s="359" t="str">
        <f t="shared" si="39"/>
        <v>quinta-feira</v>
      </c>
      <c r="U1059" s="361">
        <v>41235</v>
      </c>
      <c r="V1059" s="360" t="str">
        <f t="shared" si="38"/>
        <v>quinta-feira</v>
      </c>
    </row>
    <row r="1060" spans="19:22">
      <c r="S1060" s="357">
        <v>42573</v>
      </c>
      <c r="T1060" s="359" t="str">
        <f t="shared" si="39"/>
        <v>sexta-feira</v>
      </c>
      <c r="U1060" s="361">
        <v>41236</v>
      </c>
      <c r="V1060" s="360" t="str">
        <f t="shared" si="38"/>
        <v>sexta-feira</v>
      </c>
    </row>
    <row r="1061" spans="19:22">
      <c r="S1061" s="357">
        <v>42574</v>
      </c>
      <c r="T1061" s="359" t="str">
        <f t="shared" si="39"/>
        <v>sábado</v>
      </c>
      <c r="U1061" s="361">
        <v>41237</v>
      </c>
      <c r="V1061" s="360" t="str">
        <f t="shared" si="38"/>
        <v>sábado</v>
      </c>
    </row>
    <row r="1062" spans="19:22">
      <c r="S1062" s="357">
        <v>42575</v>
      </c>
      <c r="T1062" s="359" t="str">
        <f t="shared" si="39"/>
        <v>domingo</v>
      </c>
      <c r="U1062" s="361">
        <v>41238</v>
      </c>
      <c r="V1062" s="360" t="str">
        <f t="shared" si="38"/>
        <v>domingo</v>
      </c>
    </row>
    <row r="1063" spans="19:22">
      <c r="S1063" s="357">
        <v>42576</v>
      </c>
      <c r="T1063" s="359" t="str">
        <f t="shared" si="39"/>
        <v>segunda-feira</v>
      </c>
      <c r="U1063" s="361">
        <v>41239</v>
      </c>
      <c r="V1063" s="360" t="str">
        <f t="shared" si="38"/>
        <v>segunda-feira</v>
      </c>
    </row>
    <row r="1064" spans="19:22">
      <c r="S1064" s="357">
        <v>42577</v>
      </c>
      <c r="T1064" s="359" t="str">
        <f t="shared" si="39"/>
        <v>terça-feira</v>
      </c>
      <c r="U1064" s="361">
        <v>41240</v>
      </c>
      <c r="V1064" s="360" t="str">
        <f t="shared" si="38"/>
        <v>terça-feira</v>
      </c>
    </row>
    <row r="1065" spans="19:22">
      <c r="S1065" s="357">
        <v>42578</v>
      </c>
      <c r="T1065" s="359" t="str">
        <f t="shared" si="39"/>
        <v>quarta-feira</v>
      </c>
      <c r="U1065" s="361">
        <v>41241</v>
      </c>
      <c r="V1065" s="360" t="str">
        <f t="shared" ref="V1065:V1128" si="40">TEXT(U1065,"dddd")</f>
        <v>quarta-feira</v>
      </c>
    </row>
    <row r="1066" spans="19:22">
      <c r="S1066" s="357">
        <v>42579</v>
      </c>
      <c r="T1066" s="359" t="str">
        <f t="shared" si="39"/>
        <v>quinta-feira</v>
      </c>
      <c r="U1066" s="361">
        <v>41242</v>
      </c>
      <c r="V1066" s="360" t="str">
        <f t="shared" si="40"/>
        <v>quinta-feira</v>
      </c>
    </row>
    <row r="1067" spans="19:22">
      <c r="S1067" s="357">
        <v>42580</v>
      </c>
      <c r="T1067" s="359" t="str">
        <f t="shared" si="39"/>
        <v>sexta-feira</v>
      </c>
      <c r="U1067" s="361">
        <v>41243</v>
      </c>
      <c r="V1067" s="360" t="str">
        <f t="shared" si="40"/>
        <v>sexta-feira</v>
      </c>
    </row>
    <row r="1068" spans="19:22">
      <c r="S1068" s="357">
        <v>42581</v>
      </c>
      <c r="T1068" s="359" t="str">
        <f t="shared" si="39"/>
        <v>sábado</v>
      </c>
      <c r="U1068" s="361">
        <v>41244</v>
      </c>
      <c r="V1068" s="360" t="str">
        <f t="shared" si="40"/>
        <v>sábado</v>
      </c>
    </row>
    <row r="1069" spans="19:22">
      <c r="S1069" s="357">
        <v>42582</v>
      </c>
      <c r="T1069" s="359" t="str">
        <f t="shared" si="39"/>
        <v>domingo</v>
      </c>
      <c r="U1069" s="361">
        <v>41245</v>
      </c>
      <c r="V1069" s="360" t="str">
        <f t="shared" si="40"/>
        <v>domingo</v>
      </c>
    </row>
    <row r="1070" spans="19:22">
      <c r="S1070" s="357">
        <v>42583</v>
      </c>
      <c r="T1070" s="359" t="str">
        <f t="shared" si="39"/>
        <v>segunda-feira</v>
      </c>
      <c r="U1070" s="361">
        <v>41246</v>
      </c>
      <c r="V1070" s="360" t="str">
        <f t="shared" si="40"/>
        <v>segunda-feira</v>
      </c>
    </row>
    <row r="1071" spans="19:22">
      <c r="S1071" s="357">
        <v>42584</v>
      </c>
      <c r="T1071" s="359" t="str">
        <f t="shared" si="39"/>
        <v>terça-feira</v>
      </c>
      <c r="U1071" s="361">
        <v>41247</v>
      </c>
      <c r="V1071" s="360" t="str">
        <f t="shared" si="40"/>
        <v>terça-feira</v>
      </c>
    </row>
    <row r="1072" spans="19:22">
      <c r="S1072" s="357">
        <v>42585</v>
      </c>
      <c r="T1072" s="359" t="str">
        <f t="shared" si="39"/>
        <v>quarta-feira</v>
      </c>
      <c r="U1072" s="361">
        <v>41248</v>
      </c>
      <c r="V1072" s="360" t="str">
        <f t="shared" si="40"/>
        <v>quarta-feira</v>
      </c>
    </row>
    <row r="1073" spans="19:22">
      <c r="S1073" s="357">
        <v>42586</v>
      </c>
      <c r="T1073" s="359" t="str">
        <f t="shared" si="39"/>
        <v>quinta-feira</v>
      </c>
      <c r="U1073" s="361">
        <v>41249</v>
      </c>
      <c r="V1073" s="360" t="str">
        <f t="shared" si="40"/>
        <v>quinta-feira</v>
      </c>
    </row>
    <row r="1074" spans="19:22">
      <c r="S1074" s="357">
        <v>42587</v>
      </c>
      <c r="T1074" s="359" t="str">
        <f t="shared" si="39"/>
        <v>sexta-feira</v>
      </c>
      <c r="U1074" s="361">
        <v>41250</v>
      </c>
      <c r="V1074" s="360" t="str">
        <f t="shared" si="40"/>
        <v>sexta-feira</v>
      </c>
    </row>
    <row r="1075" spans="19:22">
      <c r="S1075" s="357">
        <v>42588</v>
      </c>
      <c r="T1075" s="359" t="str">
        <f t="shared" si="39"/>
        <v>sábado</v>
      </c>
      <c r="U1075" s="361">
        <v>41251</v>
      </c>
      <c r="V1075" s="360" t="str">
        <f t="shared" si="40"/>
        <v>sábado</v>
      </c>
    </row>
    <row r="1076" spans="19:22">
      <c r="S1076" s="357">
        <v>42589</v>
      </c>
      <c r="T1076" s="359" t="str">
        <f t="shared" si="39"/>
        <v>domingo</v>
      </c>
      <c r="U1076" s="361">
        <v>41252</v>
      </c>
      <c r="V1076" s="360" t="str">
        <f t="shared" si="40"/>
        <v>domingo</v>
      </c>
    </row>
    <row r="1077" spans="19:22">
      <c r="S1077" s="357">
        <v>42590</v>
      </c>
      <c r="T1077" s="359" t="str">
        <f t="shared" si="39"/>
        <v>segunda-feira</v>
      </c>
      <c r="U1077" s="361">
        <v>41253</v>
      </c>
      <c r="V1077" s="360" t="str">
        <f t="shared" si="40"/>
        <v>segunda-feira</v>
      </c>
    </row>
    <row r="1078" spans="19:22">
      <c r="S1078" s="357">
        <v>42591</v>
      </c>
      <c r="T1078" s="359" t="str">
        <f t="shared" si="39"/>
        <v>terça-feira</v>
      </c>
      <c r="U1078" s="361">
        <v>41254</v>
      </c>
      <c r="V1078" s="360" t="str">
        <f t="shared" si="40"/>
        <v>terça-feira</v>
      </c>
    </row>
    <row r="1079" spans="19:22">
      <c r="S1079" s="357">
        <v>42592</v>
      </c>
      <c r="T1079" s="359" t="str">
        <f t="shared" ref="T1079:T1142" si="41">TEXT(S1079,"dddd")</f>
        <v>quarta-feira</v>
      </c>
      <c r="U1079" s="361">
        <v>41255</v>
      </c>
      <c r="V1079" s="360" t="str">
        <f t="shared" si="40"/>
        <v>quarta-feira</v>
      </c>
    </row>
    <row r="1080" spans="19:22">
      <c r="S1080" s="357">
        <v>42593</v>
      </c>
      <c r="T1080" s="359" t="str">
        <f t="shared" si="41"/>
        <v>quinta-feira</v>
      </c>
      <c r="U1080" s="361">
        <v>41256</v>
      </c>
      <c r="V1080" s="360" t="str">
        <f t="shared" si="40"/>
        <v>quinta-feira</v>
      </c>
    </row>
    <row r="1081" spans="19:22">
      <c r="S1081" s="357">
        <v>42594</v>
      </c>
      <c r="T1081" s="359" t="str">
        <f t="shared" si="41"/>
        <v>sexta-feira</v>
      </c>
      <c r="U1081" s="361">
        <v>41257</v>
      </c>
      <c r="V1081" s="360" t="str">
        <f t="shared" si="40"/>
        <v>sexta-feira</v>
      </c>
    </row>
    <row r="1082" spans="19:22">
      <c r="S1082" s="357">
        <v>42595</v>
      </c>
      <c r="T1082" s="359" t="str">
        <f t="shared" si="41"/>
        <v>sábado</v>
      </c>
      <c r="U1082" s="361">
        <v>41258</v>
      </c>
      <c r="V1082" s="360" t="str">
        <f t="shared" si="40"/>
        <v>sábado</v>
      </c>
    </row>
    <row r="1083" spans="19:22">
      <c r="S1083" s="357">
        <v>42596</v>
      </c>
      <c r="T1083" s="359" t="str">
        <f t="shared" si="41"/>
        <v>domingo</v>
      </c>
      <c r="U1083" s="361">
        <v>41259</v>
      </c>
      <c r="V1083" s="360" t="str">
        <f t="shared" si="40"/>
        <v>domingo</v>
      </c>
    </row>
    <row r="1084" spans="19:22">
      <c r="S1084" s="357">
        <v>42597</v>
      </c>
      <c r="T1084" s="359" t="str">
        <f t="shared" si="41"/>
        <v>segunda-feira</v>
      </c>
      <c r="U1084" s="361">
        <v>41260</v>
      </c>
      <c r="V1084" s="360" t="str">
        <f t="shared" si="40"/>
        <v>segunda-feira</v>
      </c>
    </row>
    <row r="1085" spans="19:22">
      <c r="S1085" s="357">
        <v>42598</v>
      </c>
      <c r="T1085" s="359" t="str">
        <f t="shared" si="41"/>
        <v>terça-feira</v>
      </c>
      <c r="U1085" s="361">
        <v>41261</v>
      </c>
      <c r="V1085" s="360" t="str">
        <f t="shared" si="40"/>
        <v>terça-feira</v>
      </c>
    </row>
    <row r="1086" spans="19:22">
      <c r="S1086" s="357">
        <v>42599</v>
      </c>
      <c r="T1086" s="359" t="str">
        <f t="shared" si="41"/>
        <v>quarta-feira</v>
      </c>
      <c r="U1086" s="361">
        <v>41262</v>
      </c>
      <c r="V1086" s="360" t="str">
        <f t="shared" si="40"/>
        <v>quarta-feira</v>
      </c>
    </row>
    <row r="1087" spans="19:22">
      <c r="S1087" s="357">
        <v>42600</v>
      </c>
      <c r="T1087" s="359" t="str">
        <f t="shared" si="41"/>
        <v>quinta-feira</v>
      </c>
      <c r="U1087" s="361">
        <v>41263</v>
      </c>
      <c r="V1087" s="360" t="str">
        <f t="shared" si="40"/>
        <v>quinta-feira</v>
      </c>
    </row>
    <row r="1088" spans="19:22">
      <c r="S1088" s="357">
        <v>42601</v>
      </c>
      <c r="T1088" s="359" t="str">
        <f t="shared" si="41"/>
        <v>sexta-feira</v>
      </c>
      <c r="U1088" s="361">
        <v>41264</v>
      </c>
      <c r="V1088" s="360" t="str">
        <f t="shared" si="40"/>
        <v>sexta-feira</v>
      </c>
    </row>
    <row r="1089" spans="19:22">
      <c r="S1089" s="357">
        <v>42602</v>
      </c>
      <c r="T1089" s="359" t="str">
        <f t="shared" si="41"/>
        <v>sábado</v>
      </c>
      <c r="U1089" s="361">
        <v>41265</v>
      </c>
      <c r="V1089" s="360" t="str">
        <f t="shared" si="40"/>
        <v>sábado</v>
      </c>
    </row>
    <row r="1090" spans="19:22">
      <c r="S1090" s="357">
        <v>42603</v>
      </c>
      <c r="T1090" s="359" t="str">
        <f t="shared" si="41"/>
        <v>domingo</v>
      </c>
      <c r="U1090" s="361">
        <v>41266</v>
      </c>
      <c r="V1090" s="360" t="str">
        <f t="shared" si="40"/>
        <v>domingo</v>
      </c>
    </row>
    <row r="1091" spans="19:22">
      <c r="S1091" s="357">
        <v>42604</v>
      </c>
      <c r="T1091" s="359" t="str">
        <f t="shared" si="41"/>
        <v>segunda-feira</v>
      </c>
      <c r="U1091" s="361">
        <v>41267</v>
      </c>
      <c r="V1091" s="360" t="str">
        <f t="shared" si="40"/>
        <v>segunda-feira</v>
      </c>
    </row>
    <row r="1092" spans="19:22">
      <c r="S1092" s="357">
        <v>42605</v>
      </c>
      <c r="T1092" s="359" t="str">
        <f t="shared" si="41"/>
        <v>terça-feira</v>
      </c>
      <c r="U1092" s="361">
        <v>41268</v>
      </c>
      <c r="V1092" s="360" t="str">
        <f t="shared" si="40"/>
        <v>terça-feira</v>
      </c>
    </row>
    <row r="1093" spans="19:22">
      <c r="S1093" s="357">
        <v>42606</v>
      </c>
      <c r="T1093" s="359" t="str">
        <f t="shared" si="41"/>
        <v>quarta-feira</v>
      </c>
      <c r="U1093" s="361">
        <v>41269</v>
      </c>
      <c r="V1093" s="360" t="str">
        <f t="shared" si="40"/>
        <v>quarta-feira</v>
      </c>
    </row>
    <row r="1094" spans="19:22">
      <c r="S1094" s="357">
        <v>42607</v>
      </c>
      <c r="T1094" s="359" t="str">
        <f t="shared" si="41"/>
        <v>quinta-feira</v>
      </c>
      <c r="U1094" s="361">
        <v>41270</v>
      </c>
      <c r="V1094" s="360" t="str">
        <f t="shared" si="40"/>
        <v>quinta-feira</v>
      </c>
    </row>
    <row r="1095" spans="19:22">
      <c r="S1095" s="357">
        <v>42608</v>
      </c>
      <c r="T1095" s="359" t="str">
        <f t="shared" si="41"/>
        <v>sexta-feira</v>
      </c>
      <c r="U1095" s="361">
        <v>41271</v>
      </c>
      <c r="V1095" s="360" t="str">
        <f t="shared" si="40"/>
        <v>sexta-feira</v>
      </c>
    </row>
    <row r="1096" spans="19:22">
      <c r="S1096" s="357">
        <v>42609</v>
      </c>
      <c r="T1096" s="359" t="str">
        <f t="shared" si="41"/>
        <v>sábado</v>
      </c>
      <c r="U1096" s="361">
        <v>41272</v>
      </c>
      <c r="V1096" s="360" t="str">
        <f t="shared" si="40"/>
        <v>sábado</v>
      </c>
    </row>
    <row r="1097" spans="19:22">
      <c r="S1097" s="357">
        <v>42610</v>
      </c>
      <c r="T1097" s="359" t="str">
        <f t="shared" si="41"/>
        <v>domingo</v>
      </c>
      <c r="U1097" s="361">
        <v>41273</v>
      </c>
      <c r="V1097" s="360" t="str">
        <f t="shared" si="40"/>
        <v>domingo</v>
      </c>
    </row>
    <row r="1098" spans="19:22">
      <c r="S1098" s="357">
        <v>42611</v>
      </c>
      <c r="T1098" s="359" t="str">
        <f t="shared" si="41"/>
        <v>segunda-feira</v>
      </c>
      <c r="U1098" s="361">
        <v>41274</v>
      </c>
      <c r="V1098" s="360" t="str">
        <f t="shared" si="40"/>
        <v>segunda-feira</v>
      </c>
    </row>
    <row r="1099" spans="19:22">
      <c r="S1099" s="357">
        <v>42612</v>
      </c>
      <c r="T1099" s="359" t="str">
        <f t="shared" si="41"/>
        <v>terça-feira</v>
      </c>
      <c r="U1099" s="361">
        <v>41275</v>
      </c>
      <c r="V1099" s="360" t="str">
        <f t="shared" si="40"/>
        <v>terça-feira</v>
      </c>
    </row>
    <row r="1100" spans="19:22">
      <c r="S1100" s="357">
        <v>42613</v>
      </c>
      <c r="T1100" s="359" t="str">
        <f t="shared" si="41"/>
        <v>quarta-feira</v>
      </c>
      <c r="U1100" s="361">
        <v>41276</v>
      </c>
      <c r="V1100" s="360" t="str">
        <f t="shared" si="40"/>
        <v>quarta-feira</v>
      </c>
    </row>
    <row r="1101" spans="19:22">
      <c r="S1101" s="357">
        <v>42614</v>
      </c>
      <c r="T1101" s="359" t="str">
        <f t="shared" si="41"/>
        <v>quinta-feira</v>
      </c>
      <c r="U1101" s="361">
        <v>41277</v>
      </c>
      <c r="V1101" s="360" t="str">
        <f t="shared" si="40"/>
        <v>quinta-feira</v>
      </c>
    </row>
    <row r="1102" spans="19:22">
      <c r="S1102" s="357">
        <v>42615</v>
      </c>
      <c r="T1102" s="359" t="str">
        <f t="shared" si="41"/>
        <v>sexta-feira</v>
      </c>
      <c r="U1102" s="361">
        <v>41278</v>
      </c>
      <c r="V1102" s="360" t="str">
        <f t="shared" si="40"/>
        <v>sexta-feira</v>
      </c>
    </row>
    <row r="1103" spans="19:22">
      <c r="S1103" s="357">
        <v>42616</v>
      </c>
      <c r="T1103" s="359" t="str">
        <f t="shared" si="41"/>
        <v>sábado</v>
      </c>
      <c r="U1103" s="361">
        <v>41279</v>
      </c>
      <c r="V1103" s="360" t="str">
        <f t="shared" si="40"/>
        <v>sábado</v>
      </c>
    </row>
    <row r="1104" spans="19:22">
      <c r="S1104" s="357">
        <v>42617</v>
      </c>
      <c r="T1104" s="359" t="str">
        <f t="shared" si="41"/>
        <v>domingo</v>
      </c>
      <c r="U1104" s="361">
        <v>41280</v>
      </c>
      <c r="V1104" s="360" t="str">
        <f t="shared" si="40"/>
        <v>domingo</v>
      </c>
    </row>
    <row r="1105" spans="19:22">
      <c r="S1105" s="357">
        <v>42618</v>
      </c>
      <c r="T1105" s="359" t="str">
        <f t="shared" si="41"/>
        <v>segunda-feira</v>
      </c>
      <c r="U1105" s="361">
        <v>41281</v>
      </c>
      <c r="V1105" s="360" t="str">
        <f t="shared" si="40"/>
        <v>segunda-feira</v>
      </c>
    </row>
    <row r="1106" spans="19:22">
      <c r="S1106" s="357">
        <v>42619</v>
      </c>
      <c r="T1106" s="359" t="str">
        <f t="shared" si="41"/>
        <v>terça-feira</v>
      </c>
      <c r="U1106" s="361">
        <v>41282</v>
      </c>
      <c r="V1106" s="360" t="str">
        <f t="shared" si="40"/>
        <v>terça-feira</v>
      </c>
    </row>
    <row r="1107" spans="19:22">
      <c r="S1107" s="357">
        <v>42620</v>
      </c>
      <c r="T1107" s="359" t="str">
        <f t="shared" si="41"/>
        <v>quarta-feira</v>
      </c>
      <c r="U1107" s="361">
        <v>41283</v>
      </c>
      <c r="V1107" s="360" t="str">
        <f t="shared" si="40"/>
        <v>quarta-feira</v>
      </c>
    </row>
    <row r="1108" spans="19:22">
      <c r="S1108" s="357">
        <v>42621</v>
      </c>
      <c r="T1108" s="359" t="str">
        <f t="shared" si="41"/>
        <v>quinta-feira</v>
      </c>
      <c r="U1108" s="361">
        <v>41284</v>
      </c>
      <c r="V1108" s="360" t="str">
        <f t="shared" si="40"/>
        <v>quinta-feira</v>
      </c>
    </row>
    <row r="1109" spans="19:22">
      <c r="S1109" s="357">
        <v>42622</v>
      </c>
      <c r="T1109" s="359" t="str">
        <f t="shared" si="41"/>
        <v>sexta-feira</v>
      </c>
      <c r="U1109" s="361">
        <v>41285</v>
      </c>
      <c r="V1109" s="360" t="str">
        <f t="shared" si="40"/>
        <v>sexta-feira</v>
      </c>
    </row>
    <row r="1110" spans="19:22">
      <c r="S1110" s="357">
        <v>42623</v>
      </c>
      <c r="T1110" s="359" t="str">
        <f t="shared" si="41"/>
        <v>sábado</v>
      </c>
      <c r="U1110" s="361">
        <v>41286</v>
      </c>
      <c r="V1110" s="360" t="str">
        <f t="shared" si="40"/>
        <v>sábado</v>
      </c>
    </row>
    <row r="1111" spans="19:22">
      <c r="S1111" s="357">
        <v>42624</v>
      </c>
      <c r="T1111" s="359" t="str">
        <f t="shared" si="41"/>
        <v>domingo</v>
      </c>
      <c r="U1111" s="361">
        <v>41287</v>
      </c>
      <c r="V1111" s="360" t="str">
        <f t="shared" si="40"/>
        <v>domingo</v>
      </c>
    </row>
    <row r="1112" spans="19:22">
      <c r="S1112" s="357">
        <v>42625</v>
      </c>
      <c r="T1112" s="359" t="str">
        <f t="shared" si="41"/>
        <v>segunda-feira</v>
      </c>
      <c r="U1112" s="361">
        <v>41288</v>
      </c>
      <c r="V1112" s="360" t="str">
        <f t="shared" si="40"/>
        <v>segunda-feira</v>
      </c>
    </row>
    <row r="1113" spans="19:22">
      <c r="S1113" s="357">
        <v>42626</v>
      </c>
      <c r="T1113" s="359" t="str">
        <f t="shared" si="41"/>
        <v>terça-feira</v>
      </c>
      <c r="U1113" s="361">
        <v>41289</v>
      </c>
      <c r="V1113" s="360" t="str">
        <f t="shared" si="40"/>
        <v>terça-feira</v>
      </c>
    </row>
    <row r="1114" spans="19:22">
      <c r="S1114" s="357">
        <v>42627</v>
      </c>
      <c r="T1114" s="359" t="str">
        <f t="shared" si="41"/>
        <v>quarta-feira</v>
      </c>
      <c r="U1114" s="361">
        <v>41290</v>
      </c>
      <c r="V1114" s="360" t="str">
        <f t="shared" si="40"/>
        <v>quarta-feira</v>
      </c>
    </row>
    <row r="1115" spans="19:22">
      <c r="S1115" s="357">
        <v>42628</v>
      </c>
      <c r="T1115" s="359" t="str">
        <f t="shared" si="41"/>
        <v>quinta-feira</v>
      </c>
      <c r="U1115" s="361">
        <v>41291</v>
      </c>
      <c r="V1115" s="360" t="str">
        <f t="shared" si="40"/>
        <v>quinta-feira</v>
      </c>
    </row>
    <row r="1116" spans="19:22">
      <c r="S1116" s="357">
        <v>42629</v>
      </c>
      <c r="T1116" s="359" t="str">
        <f t="shared" si="41"/>
        <v>sexta-feira</v>
      </c>
      <c r="U1116" s="361">
        <v>41292</v>
      </c>
      <c r="V1116" s="360" t="str">
        <f t="shared" si="40"/>
        <v>sexta-feira</v>
      </c>
    </row>
    <row r="1117" spans="19:22">
      <c r="S1117" s="357">
        <v>42630</v>
      </c>
      <c r="T1117" s="359" t="str">
        <f t="shared" si="41"/>
        <v>sábado</v>
      </c>
      <c r="U1117" s="361">
        <v>41293</v>
      </c>
      <c r="V1117" s="360" t="str">
        <f t="shared" si="40"/>
        <v>sábado</v>
      </c>
    </row>
    <row r="1118" spans="19:22">
      <c r="S1118" s="357">
        <v>42631</v>
      </c>
      <c r="T1118" s="359" t="str">
        <f t="shared" si="41"/>
        <v>domingo</v>
      </c>
      <c r="U1118" s="361">
        <v>41294</v>
      </c>
      <c r="V1118" s="360" t="str">
        <f t="shared" si="40"/>
        <v>domingo</v>
      </c>
    </row>
    <row r="1119" spans="19:22">
      <c r="S1119" s="357">
        <v>42632</v>
      </c>
      <c r="T1119" s="359" t="str">
        <f t="shared" si="41"/>
        <v>segunda-feira</v>
      </c>
      <c r="U1119" s="361">
        <v>41295</v>
      </c>
      <c r="V1119" s="360" t="str">
        <f t="shared" si="40"/>
        <v>segunda-feira</v>
      </c>
    </row>
    <row r="1120" spans="19:22">
      <c r="S1120" s="357">
        <v>42633</v>
      </c>
      <c r="T1120" s="359" t="str">
        <f t="shared" si="41"/>
        <v>terça-feira</v>
      </c>
      <c r="U1120" s="361">
        <v>41296</v>
      </c>
      <c r="V1120" s="360" t="str">
        <f t="shared" si="40"/>
        <v>terça-feira</v>
      </c>
    </row>
    <row r="1121" spans="19:22">
      <c r="S1121" s="357">
        <v>42634</v>
      </c>
      <c r="T1121" s="359" t="str">
        <f t="shared" si="41"/>
        <v>quarta-feira</v>
      </c>
      <c r="U1121" s="361">
        <v>41297</v>
      </c>
      <c r="V1121" s="360" t="str">
        <f t="shared" si="40"/>
        <v>quarta-feira</v>
      </c>
    </row>
    <row r="1122" spans="19:22">
      <c r="S1122" s="357">
        <v>42635</v>
      </c>
      <c r="T1122" s="359" t="str">
        <f t="shared" si="41"/>
        <v>quinta-feira</v>
      </c>
      <c r="U1122" s="361">
        <v>41298</v>
      </c>
      <c r="V1122" s="360" t="str">
        <f t="shared" si="40"/>
        <v>quinta-feira</v>
      </c>
    </row>
    <row r="1123" spans="19:22">
      <c r="S1123" s="357">
        <v>42636</v>
      </c>
      <c r="T1123" s="359" t="str">
        <f t="shared" si="41"/>
        <v>sexta-feira</v>
      </c>
      <c r="U1123" s="361">
        <v>41299</v>
      </c>
      <c r="V1123" s="360" t="str">
        <f t="shared" si="40"/>
        <v>sexta-feira</v>
      </c>
    </row>
    <row r="1124" spans="19:22">
      <c r="S1124" s="357">
        <v>42637</v>
      </c>
      <c r="T1124" s="359" t="str">
        <f t="shared" si="41"/>
        <v>sábado</v>
      </c>
      <c r="U1124" s="361">
        <v>41300</v>
      </c>
      <c r="V1124" s="360" t="str">
        <f t="shared" si="40"/>
        <v>sábado</v>
      </c>
    </row>
    <row r="1125" spans="19:22">
      <c r="S1125" s="357">
        <v>42638</v>
      </c>
      <c r="T1125" s="359" t="str">
        <f t="shared" si="41"/>
        <v>domingo</v>
      </c>
      <c r="U1125" s="361">
        <v>41301</v>
      </c>
      <c r="V1125" s="360" t="str">
        <f t="shared" si="40"/>
        <v>domingo</v>
      </c>
    </row>
    <row r="1126" spans="19:22">
      <c r="S1126" s="357">
        <v>42639</v>
      </c>
      <c r="T1126" s="359" t="str">
        <f t="shared" si="41"/>
        <v>segunda-feira</v>
      </c>
      <c r="U1126" s="361">
        <v>41302</v>
      </c>
      <c r="V1126" s="360" t="str">
        <f t="shared" si="40"/>
        <v>segunda-feira</v>
      </c>
    </row>
    <row r="1127" spans="19:22">
      <c r="S1127" s="357">
        <v>42640</v>
      </c>
      <c r="T1127" s="359" t="str">
        <f t="shared" si="41"/>
        <v>terça-feira</v>
      </c>
      <c r="U1127" s="361">
        <v>41303</v>
      </c>
      <c r="V1127" s="360" t="str">
        <f t="shared" si="40"/>
        <v>terça-feira</v>
      </c>
    </row>
    <row r="1128" spans="19:22">
      <c r="S1128" s="357">
        <v>42641</v>
      </c>
      <c r="T1128" s="359" t="str">
        <f t="shared" si="41"/>
        <v>quarta-feira</v>
      </c>
      <c r="U1128" s="361">
        <v>41304</v>
      </c>
      <c r="V1128" s="360" t="str">
        <f t="shared" si="40"/>
        <v>quarta-feira</v>
      </c>
    </row>
    <row r="1129" spans="19:22">
      <c r="S1129" s="357">
        <v>42642</v>
      </c>
      <c r="T1129" s="359" t="str">
        <f t="shared" si="41"/>
        <v>quinta-feira</v>
      </c>
      <c r="U1129" s="361">
        <v>41305</v>
      </c>
      <c r="V1129" s="360" t="str">
        <f t="shared" ref="V1129:V1192" si="42">TEXT(U1129,"dddd")</f>
        <v>quinta-feira</v>
      </c>
    </row>
    <row r="1130" spans="19:22">
      <c r="S1130" s="357">
        <v>42643</v>
      </c>
      <c r="T1130" s="359" t="str">
        <f t="shared" si="41"/>
        <v>sexta-feira</v>
      </c>
      <c r="U1130" s="361">
        <v>41306</v>
      </c>
      <c r="V1130" s="360" t="str">
        <f t="shared" si="42"/>
        <v>sexta-feira</v>
      </c>
    </row>
    <row r="1131" spans="19:22">
      <c r="S1131" s="357">
        <v>42644</v>
      </c>
      <c r="T1131" s="359" t="str">
        <f t="shared" si="41"/>
        <v>sábado</v>
      </c>
      <c r="U1131" s="361">
        <v>41307</v>
      </c>
      <c r="V1131" s="360" t="str">
        <f t="shared" si="42"/>
        <v>sábado</v>
      </c>
    </row>
    <row r="1132" spans="19:22">
      <c r="S1132" s="357">
        <v>42645</v>
      </c>
      <c r="T1132" s="359" t="str">
        <f t="shared" si="41"/>
        <v>domingo</v>
      </c>
      <c r="U1132" s="361">
        <v>41308</v>
      </c>
      <c r="V1132" s="360" t="str">
        <f t="shared" si="42"/>
        <v>domingo</v>
      </c>
    </row>
    <row r="1133" spans="19:22">
      <c r="S1133" s="357">
        <v>42646</v>
      </c>
      <c r="T1133" s="359" t="str">
        <f t="shared" si="41"/>
        <v>segunda-feira</v>
      </c>
      <c r="U1133" s="361">
        <v>41309</v>
      </c>
      <c r="V1133" s="360" t="str">
        <f t="shared" si="42"/>
        <v>segunda-feira</v>
      </c>
    </row>
    <row r="1134" spans="19:22">
      <c r="S1134" s="357">
        <v>42647</v>
      </c>
      <c r="T1134" s="359" t="str">
        <f t="shared" si="41"/>
        <v>terça-feira</v>
      </c>
      <c r="U1134" s="361">
        <v>41310</v>
      </c>
      <c r="V1134" s="360" t="str">
        <f t="shared" si="42"/>
        <v>terça-feira</v>
      </c>
    </row>
    <row r="1135" spans="19:22">
      <c r="S1135" s="357">
        <v>42648</v>
      </c>
      <c r="T1135" s="359" t="str">
        <f t="shared" si="41"/>
        <v>quarta-feira</v>
      </c>
      <c r="U1135" s="361">
        <v>41311</v>
      </c>
      <c r="V1135" s="360" t="str">
        <f t="shared" si="42"/>
        <v>quarta-feira</v>
      </c>
    </row>
    <row r="1136" spans="19:22">
      <c r="S1136" s="357">
        <v>42649</v>
      </c>
      <c r="T1136" s="359" t="str">
        <f t="shared" si="41"/>
        <v>quinta-feira</v>
      </c>
      <c r="U1136" s="361">
        <v>41312</v>
      </c>
      <c r="V1136" s="360" t="str">
        <f t="shared" si="42"/>
        <v>quinta-feira</v>
      </c>
    </row>
    <row r="1137" spans="19:22">
      <c r="S1137" s="357">
        <v>42650</v>
      </c>
      <c r="T1137" s="359" t="str">
        <f t="shared" si="41"/>
        <v>sexta-feira</v>
      </c>
      <c r="U1137" s="361">
        <v>41313</v>
      </c>
      <c r="V1137" s="360" t="str">
        <f t="shared" si="42"/>
        <v>sexta-feira</v>
      </c>
    </row>
    <row r="1138" spans="19:22">
      <c r="S1138" s="357">
        <v>42651</v>
      </c>
      <c r="T1138" s="359" t="str">
        <f t="shared" si="41"/>
        <v>sábado</v>
      </c>
      <c r="U1138" s="361">
        <v>41314</v>
      </c>
      <c r="V1138" s="360" t="str">
        <f t="shared" si="42"/>
        <v>sábado</v>
      </c>
    </row>
    <row r="1139" spans="19:22">
      <c r="S1139" s="357">
        <v>42652</v>
      </c>
      <c r="T1139" s="359" t="str">
        <f t="shared" si="41"/>
        <v>domingo</v>
      </c>
      <c r="U1139" s="361">
        <v>41315</v>
      </c>
      <c r="V1139" s="360" t="str">
        <f t="shared" si="42"/>
        <v>domingo</v>
      </c>
    </row>
    <row r="1140" spans="19:22">
      <c r="S1140" s="357">
        <v>42653</v>
      </c>
      <c r="T1140" s="359" t="str">
        <f t="shared" si="41"/>
        <v>segunda-feira</v>
      </c>
      <c r="U1140" s="361">
        <v>41316</v>
      </c>
      <c r="V1140" s="360" t="str">
        <f t="shared" si="42"/>
        <v>segunda-feira</v>
      </c>
    </row>
    <row r="1141" spans="19:22">
      <c r="S1141" s="357">
        <v>42654</v>
      </c>
      <c r="T1141" s="359" t="str">
        <f t="shared" si="41"/>
        <v>terça-feira</v>
      </c>
      <c r="U1141" s="361">
        <v>41317</v>
      </c>
      <c r="V1141" s="360" t="str">
        <f t="shared" si="42"/>
        <v>terça-feira</v>
      </c>
    </row>
    <row r="1142" spans="19:22">
      <c r="S1142" s="357">
        <v>42655</v>
      </c>
      <c r="T1142" s="359" t="str">
        <f t="shared" si="41"/>
        <v>quarta-feira</v>
      </c>
      <c r="U1142" s="361">
        <v>41318</v>
      </c>
      <c r="V1142" s="360" t="str">
        <f t="shared" si="42"/>
        <v>quarta-feira</v>
      </c>
    </row>
    <row r="1143" spans="19:22">
      <c r="S1143" s="357">
        <v>42656</v>
      </c>
      <c r="T1143" s="359" t="str">
        <f t="shared" ref="T1143:T1206" si="43">TEXT(S1143,"dddd")</f>
        <v>quinta-feira</v>
      </c>
      <c r="U1143" s="361">
        <v>41319</v>
      </c>
      <c r="V1143" s="360" t="str">
        <f t="shared" si="42"/>
        <v>quinta-feira</v>
      </c>
    </row>
    <row r="1144" spans="19:22">
      <c r="S1144" s="357">
        <v>42657</v>
      </c>
      <c r="T1144" s="359" t="str">
        <f t="shared" si="43"/>
        <v>sexta-feira</v>
      </c>
      <c r="U1144" s="361">
        <v>41320</v>
      </c>
      <c r="V1144" s="360" t="str">
        <f t="shared" si="42"/>
        <v>sexta-feira</v>
      </c>
    </row>
    <row r="1145" spans="19:22">
      <c r="S1145" s="357">
        <v>42658</v>
      </c>
      <c r="T1145" s="359" t="str">
        <f t="shared" si="43"/>
        <v>sábado</v>
      </c>
      <c r="U1145" s="361">
        <v>41321</v>
      </c>
      <c r="V1145" s="360" t="str">
        <f t="shared" si="42"/>
        <v>sábado</v>
      </c>
    </row>
    <row r="1146" spans="19:22">
      <c r="S1146" s="357">
        <v>42659</v>
      </c>
      <c r="T1146" s="359" t="str">
        <f t="shared" si="43"/>
        <v>domingo</v>
      </c>
      <c r="U1146" s="361">
        <v>41322</v>
      </c>
      <c r="V1146" s="360" t="str">
        <f t="shared" si="42"/>
        <v>domingo</v>
      </c>
    </row>
    <row r="1147" spans="19:22">
      <c r="S1147" s="357">
        <v>42660</v>
      </c>
      <c r="T1147" s="359" t="str">
        <f t="shared" si="43"/>
        <v>segunda-feira</v>
      </c>
      <c r="U1147" s="361">
        <v>41323</v>
      </c>
      <c r="V1147" s="360" t="str">
        <f t="shared" si="42"/>
        <v>segunda-feira</v>
      </c>
    </row>
    <row r="1148" spans="19:22">
      <c r="S1148" s="357">
        <v>42661</v>
      </c>
      <c r="T1148" s="359" t="str">
        <f t="shared" si="43"/>
        <v>terça-feira</v>
      </c>
      <c r="U1148" s="361">
        <v>41324</v>
      </c>
      <c r="V1148" s="360" t="str">
        <f t="shared" si="42"/>
        <v>terça-feira</v>
      </c>
    </row>
    <row r="1149" spans="19:22">
      <c r="S1149" s="357">
        <v>42662</v>
      </c>
      <c r="T1149" s="359" t="str">
        <f t="shared" si="43"/>
        <v>quarta-feira</v>
      </c>
      <c r="U1149" s="361">
        <v>41325</v>
      </c>
      <c r="V1149" s="360" t="str">
        <f t="shared" si="42"/>
        <v>quarta-feira</v>
      </c>
    </row>
    <row r="1150" spans="19:22">
      <c r="S1150" s="357">
        <v>42663</v>
      </c>
      <c r="T1150" s="359" t="str">
        <f t="shared" si="43"/>
        <v>quinta-feira</v>
      </c>
      <c r="U1150" s="361">
        <v>41326</v>
      </c>
      <c r="V1150" s="360" t="str">
        <f t="shared" si="42"/>
        <v>quinta-feira</v>
      </c>
    </row>
    <row r="1151" spans="19:22">
      <c r="S1151" s="357">
        <v>42664</v>
      </c>
      <c r="T1151" s="359" t="str">
        <f t="shared" si="43"/>
        <v>sexta-feira</v>
      </c>
      <c r="U1151" s="361">
        <v>41327</v>
      </c>
      <c r="V1151" s="360" t="str">
        <f t="shared" si="42"/>
        <v>sexta-feira</v>
      </c>
    </row>
    <row r="1152" spans="19:22">
      <c r="S1152" s="357">
        <v>42665</v>
      </c>
      <c r="T1152" s="359" t="str">
        <f t="shared" si="43"/>
        <v>sábado</v>
      </c>
      <c r="U1152" s="361">
        <v>41328</v>
      </c>
      <c r="V1152" s="360" t="str">
        <f t="shared" si="42"/>
        <v>sábado</v>
      </c>
    </row>
    <row r="1153" spans="19:22">
      <c r="S1153" s="357">
        <v>42666</v>
      </c>
      <c r="T1153" s="359" t="str">
        <f t="shared" si="43"/>
        <v>domingo</v>
      </c>
      <c r="U1153" s="361">
        <v>41329</v>
      </c>
      <c r="V1153" s="360" t="str">
        <f t="shared" si="42"/>
        <v>domingo</v>
      </c>
    </row>
    <row r="1154" spans="19:22">
      <c r="S1154" s="357">
        <v>42667</v>
      </c>
      <c r="T1154" s="359" t="str">
        <f t="shared" si="43"/>
        <v>segunda-feira</v>
      </c>
      <c r="U1154" s="361">
        <v>41330</v>
      </c>
      <c r="V1154" s="360" t="str">
        <f t="shared" si="42"/>
        <v>segunda-feira</v>
      </c>
    </row>
    <row r="1155" spans="19:22">
      <c r="S1155" s="357">
        <v>42668</v>
      </c>
      <c r="T1155" s="359" t="str">
        <f t="shared" si="43"/>
        <v>terça-feira</v>
      </c>
      <c r="U1155" s="361">
        <v>41331</v>
      </c>
      <c r="V1155" s="360" t="str">
        <f t="shared" si="42"/>
        <v>terça-feira</v>
      </c>
    </row>
    <row r="1156" spans="19:22">
      <c r="S1156" s="357">
        <v>42669</v>
      </c>
      <c r="T1156" s="359" t="str">
        <f t="shared" si="43"/>
        <v>quarta-feira</v>
      </c>
      <c r="U1156" s="361">
        <v>41332</v>
      </c>
      <c r="V1156" s="360" t="str">
        <f t="shared" si="42"/>
        <v>quarta-feira</v>
      </c>
    </row>
    <row r="1157" spans="19:22">
      <c r="S1157" s="357">
        <v>42670</v>
      </c>
      <c r="T1157" s="359" t="str">
        <f t="shared" si="43"/>
        <v>quinta-feira</v>
      </c>
      <c r="U1157" s="361">
        <v>41333</v>
      </c>
      <c r="V1157" s="360" t="str">
        <f t="shared" si="42"/>
        <v>quinta-feira</v>
      </c>
    </row>
    <row r="1158" spans="19:22">
      <c r="S1158" s="357">
        <v>42671</v>
      </c>
      <c r="T1158" s="359" t="str">
        <f t="shared" si="43"/>
        <v>sexta-feira</v>
      </c>
      <c r="U1158" s="361">
        <v>41334</v>
      </c>
      <c r="V1158" s="360" t="str">
        <f t="shared" si="42"/>
        <v>sexta-feira</v>
      </c>
    </row>
    <row r="1159" spans="19:22">
      <c r="S1159" s="357">
        <v>42672</v>
      </c>
      <c r="T1159" s="359" t="str">
        <f t="shared" si="43"/>
        <v>sábado</v>
      </c>
      <c r="U1159" s="361">
        <v>41335</v>
      </c>
      <c r="V1159" s="360" t="str">
        <f t="shared" si="42"/>
        <v>sábado</v>
      </c>
    </row>
    <row r="1160" spans="19:22">
      <c r="S1160" s="357">
        <v>42673</v>
      </c>
      <c r="T1160" s="359" t="str">
        <f t="shared" si="43"/>
        <v>domingo</v>
      </c>
      <c r="U1160" s="361">
        <v>41336</v>
      </c>
      <c r="V1160" s="360" t="str">
        <f t="shared" si="42"/>
        <v>domingo</v>
      </c>
    </row>
    <row r="1161" spans="19:22">
      <c r="S1161" s="357">
        <v>42674</v>
      </c>
      <c r="T1161" s="359" t="str">
        <f t="shared" si="43"/>
        <v>segunda-feira</v>
      </c>
      <c r="U1161" s="361">
        <v>41337</v>
      </c>
      <c r="V1161" s="360" t="str">
        <f t="shared" si="42"/>
        <v>segunda-feira</v>
      </c>
    </row>
    <row r="1162" spans="19:22">
      <c r="S1162" s="357">
        <v>42675</v>
      </c>
      <c r="T1162" s="359" t="str">
        <f t="shared" si="43"/>
        <v>terça-feira</v>
      </c>
      <c r="U1162" s="361">
        <v>41338</v>
      </c>
      <c r="V1162" s="360" t="str">
        <f t="shared" si="42"/>
        <v>terça-feira</v>
      </c>
    </row>
    <row r="1163" spans="19:22">
      <c r="S1163" s="357">
        <v>42676</v>
      </c>
      <c r="T1163" s="359" t="str">
        <f t="shared" si="43"/>
        <v>quarta-feira</v>
      </c>
      <c r="U1163" s="361">
        <v>41339</v>
      </c>
      <c r="V1163" s="360" t="str">
        <f t="shared" si="42"/>
        <v>quarta-feira</v>
      </c>
    </row>
    <row r="1164" spans="19:22">
      <c r="S1164" s="357">
        <v>42677</v>
      </c>
      <c r="T1164" s="359" t="str">
        <f t="shared" si="43"/>
        <v>quinta-feira</v>
      </c>
      <c r="U1164" s="361">
        <v>41340</v>
      </c>
      <c r="V1164" s="360" t="str">
        <f t="shared" si="42"/>
        <v>quinta-feira</v>
      </c>
    </row>
    <row r="1165" spans="19:22">
      <c r="S1165" s="357">
        <v>42678</v>
      </c>
      <c r="T1165" s="359" t="str">
        <f t="shared" si="43"/>
        <v>sexta-feira</v>
      </c>
      <c r="U1165" s="361">
        <v>41341</v>
      </c>
      <c r="V1165" s="360" t="str">
        <f t="shared" si="42"/>
        <v>sexta-feira</v>
      </c>
    </row>
    <row r="1166" spans="19:22">
      <c r="S1166" s="357">
        <v>42679</v>
      </c>
      <c r="T1166" s="359" t="str">
        <f t="shared" si="43"/>
        <v>sábado</v>
      </c>
      <c r="U1166" s="361">
        <v>41342</v>
      </c>
      <c r="V1166" s="360" t="str">
        <f t="shared" si="42"/>
        <v>sábado</v>
      </c>
    </row>
    <row r="1167" spans="19:22">
      <c r="S1167" s="357">
        <v>42680</v>
      </c>
      <c r="T1167" s="359" t="str">
        <f t="shared" si="43"/>
        <v>domingo</v>
      </c>
      <c r="U1167" s="361">
        <v>41343</v>
      </c>
      <c r="V1167" s="360" t="str">
        <f t="shared" si="42"/>
        <v>domingo</v>
      </c>
    </row>
    <row r="1168" spans="19:22">
      <c r="S1168" s="357">
        <v>42681</v>
      </c>
      <c r="T1168" s="359" t="str">
        <f t="shared" si="43"/>
        <v>segunda-feira</v>
      </c>
      <c r="U1168" s="361">
        <v>41344</v>
      </c>
      <c r="V1168" s="360" t="str">
        <f t="shared" si="42"/>
        <v>segunda-feira</v>
      </c>
    </row>
    <row r="1169" spans="19:22">
      <c r="S1169" s="357">
        <v>42682</v>
      </c>
      <c r="T1169" s="359" t="str">
        <f t="shared" si="43"/>
        <v>terça-feira</v>
      </c>
      <c r="U1169" s="361">
        <v>41345</v>
      </c>
      <c r="V1169" s="360" t="str">
        <f t="shared" si="42"/>
        <v>terça-feira</v>
      </c>
    </row>
    <row r="1170" spans="19:22">
      <c r="S1170" s="357">
        <v>42683</v>
      </c>
      <c r="T1170" s="359" t="str">
        <f t="shared" si="43"/>
        <v>quarta-feira</v>
      </c>
      <c r="U1170" s="361">
        <v>41346</v>
      </c>
      <c r="V1170" s="360" t="str">
        <f t="shared" si="42"/>
        <v>quarta-feira</v>
      </c>
    </row>
    <row r="1171" spans="19:22">
      <c r="S1171" s="357">
        <v>42684</v>
      </c>
      <c r="T1171" s="359" t="str">
        <f t="shared" si="43"/>
        <v>quinta-feira</v>
      </c>
      <c r="U1171" s="361">
        <v>41347</v>
      </c>
      <c r="V1171" s="360" t="str">
        <f t="shared" si="42"/>
        <v>quinta-feira</v>
      </c>
    </row>
    <row r="1172" spans="19:22">
      <c r="S1172" s="357">
        <v>42685</v>
      </c>
      <c r="T1172" s="359" t="str">
        <f t="shared" si="43"/>
        <v>sexta-feira</v>
      </c>
      <c r="U1172" s="361">
        <v>41348</v>
      </c>
      <c r="V1172" s="360" t="str">
        <f t="shared" si="42"/>
        <v>sexta-feira</v>
      </c>
    </row>
    <row r="1173" spans="19:22">
      <c r="S1173" s="357">
        <v>42686</v>
      </c>
      <c r="T1173" s="359" t="str">
        <f t="shared" si="43"/>
        <v>sábado</v>
      </c>
      <c r="U1173" s="361">
        <v>41349</v>
      </c>
      <c r="V1173" s="360" t="str">
        <f t="shared" si="42"/>
        <v>sábado</v>
      </c>
    </row>
    <row r="1174" spans="19:22">
      <c r="S1174" s="357">
        <v>42687</v>
      </c>
      <c r="T1174" s="359" t="str">
        <f t="shared" si="43"/>
        <v>domingo</v>
      </c>
      <c r="U1174" s="361">
        <v>41350</v>
      </c>
      <c r="V1174" s="360" t="str">
        <f t="shared" si="42"/>
        <v>domingo</v>
      </c>
    </row>
    <row r="1175" spans="19:22">
      <c r="S1175" s="357">
        <v>42688</v>
      </c>
      <c r="T1175" s="359" t="str">
        <f t="shared" si="43"/>
        <v>segunda-feira</v>
      </c>
      <c r="U1175" s="361">
        <v>41351</v>
      </c>
      <c r="V1175" s="360" t="str">
        <f t="shared" si="42"/>
        <v>segunda-feira</v>
      </c>
    </row>
    <row r="1176" spans="19:22">
      <c r="S1176" s="357">
        <v>42689</v>
      </c>
      <c r="T1176" s="359" t="str">
        <f t="shared" si="43"/>
        <v>terça-feira</v>
      </c>
      <c r="U1176" s="361">
        <v>41352</v>
      </c>
      <c r="V1176" s="360" t="str">
        <f t="shared" si="42"/>
        <v>terça-feira</v>
      </c>
    </row>
    <row r="1177" spans="19:22">
      <c r="S1177" s="357">
        <v>42690</v>
      </c>
      <c r="T1177" s="359" t="str">
        <f t="shared" si="43"/>
        <v>quarta-feira</v>
      </c>
      <c r="U1177" s="361">
        <v>41353</v>
      </c>
      <c r="V1177" s="360" t="str">
        <f t="shared" si="42"/>
        <v>quarta-feira</v>
      </c>
    </row>
    <row r="1178" spans="19:22">
      <c r="S1178" s="357">
        <v>42691</v>
      </c>
      <c r="T1178" s="359" t="str">
        <f t="shared" si="43"/>
        <v>quinta-feira</v>
      </c>
      <c r="U1178" s="361">
        <v>41354</v>
      </c>
      <c r="V1178" s="360" t="str">
        <f t="shared" si="42"/>
        <v>quinta-feira</v>
      </c>
    </row>
    <row r="1179" spans="19:22">
      <c r="S1179" s="357">
        <v>42692</v>
      </c>
      <c r="T1179" s="359" t="str">
        <f t="shared" si="43"/>
        <v>sexta-feira</v>
      </c>
      <c r="U1179" s="361">
        <v>41355</v>
      </c>
      <c r="V1179" s="360" t="str">
        <f t="shared" si="42"/>
        <v>sexta-feira</v>
      </c>
    </row>
    <row r="1180" spans="19:22">
      <c r="S1180" s="357">
        <v>42693</v>
      </c>
      <c r="T1180" s="359" t="str">
        <f t="shared" si="43"/>
        <v>sábado</v>
      </c>
      <c r="U1180" s="361">
        <v>41356</v>
      </c>
      <c r="V1180" s="360" t="str">
        <f t="shared" si="42"/>
        <v>sábado</v>
      </c>
    </row>
    <row r="1181" spans="19:22">
      <c r="S1181" s="357">
        <v>42694</v>
      </c>
      <c r="T1181" s="359" t="str">
        <f t="shared" si="43"/>
        <v>domingo</v>
      </c>
      <c r="U1181" s="361">
        <v>41357</v>
      </c>
      <c r="V1181" s="360" t="str">
        <f t="shared" si="42"/>
        <v>domingo</v>
      </c>
    </row>
    <row r="1182" spans="19:22">
      <c r="S1182" s="357">
        <v>42695</v>
      </c>
      <c r="T1182" s="359" t="str">
        <f t="shared" si="43"/>
        <v>segunda-feira</v>
      </c>
      <c r="U1182" s="361">
        <v>41358</v>
      </c>
      <c r="V1182" s="360" t="str">
        <f t="shared" si="42"/>
        <v>segunda-feira</v>
      </c>
    </row>
    <row r="1183" spans="19:22">
      <c r="S1183" s="357">
        <v>42696</v>
      </c>
      <c r="T1183" s="359" t="str">
        <f t="shared" si="43"/>
        <v>terça-feira</v>
      </c>
      <c r="U1183" s="361">
        <v>41359</v>
      </c>
      <c r="V1183" s="360" t="str">
        <f t="shared" si="42"/>
        <v>terça-feira</v>
      </c>
    </row>
    <row r="1184" spans="19:22">
      <c r="S1184" s="357">
        <v>42697</v>
      </c>
      <c r="T1184" s="359" t="str">
        <f t="shared" si="43"/>
        <v>quarta-feira</v>
      </c>
      <c r="U1184" s="361">
        <v>41360</v>
      </c>
      <c r="V1184" s="360" t="str">
        <f t="shared" si="42"/>
        <v>quarta-feira</v>
      </c>
    </row>
    <row r="1185" spans="19:22">
      <c r="S1185" s="357">
        <v>42698</v>
      </c>
      <c r="T1185" s="359" t="str">
        <f t="shared" si="43"/>
        <v>quinta-feira</v>
      </c>
      <c r="U1185" s="361">
        <v>41361</v>
      </c>
      <c r="V1185" s="360" t="str">
        <f t="shared" si="42"/>
        <v>quinta-feira</v>
      </c>
    </row>
    <row r="1186" spans="19:22">
      <c r="S1186" s="357">
        <v>42699</v>
      </c>
      <c r="T1186" s="359" t="str">
        <f t="shared" si="43"/>
        <v>sexta-feira</v>
      </c>
      <c r="U1186" s="361">
        <v>41362</v>
      </c>
      <c r="V1186" s="360" t="str">
        <f t="shared" si="42"/>
        <v>sexta-feira</v>
      </c>
    </row>
    <row r="1187" spans="19:22">
      <c r="S1187" s="357">
        <v>42700</v>
      </c>
      <c r="T1187" s="359" t="str">
        <f t="shared" si="43"/>
        <v>sábado</v>
      </c>
      <c r="U1187" s="361">
        <v>41363</v>
      </c>
      <c r="V1187" s="360" t="str">
        <f t="shared" si="42"/>
        <v>sábado</v>
      </c>
    </row>
    <row r="1188" spans="19:22">
      <c r="S1188" s="357">
        <v>42701</v>
      </c>
      <c r="T1188" s="359" t="str">
        <f t="shared" si="43"/>
        <v>domingo</v>
      </c>
      <c r="U1188" s="361">
        <v>41364</v>
      </c>
      <c r="V1188" s="360" t="str">
        <f t="shared" si="42"/>
        <v>domingo</v>
      </c>
    </row>
    <row r="1189" spans="19:22">
      <c r="S1189" s="357">
        <v>42702</v>
      </c>
      <c r="T1189" s="359" t="str">
        <f t="shared" si="43"/>
        <v>segunda-feira</v>
      </c>
      <c r="U1189" s="361">
        <v>41365</v>
      </c>
      <c r="V1189" s="360" t="str">
        <f t="shared" si="42"/>
        <v>segunda-feira</v>
      </c>
    </row>
    <row r="1190" spans="19:22">
      <c r="S1190" s="357">
        <v>42703</v>
      </c>
      <c r="T1190" s="359" t="str">
        <f t="shared" si="43"/>
        <v>terça-feira</v>
      </c>
      <c r="U1190" s="361">
        <v>41366</v>
      </c>
      <c r="V1190" s="360" t="str">
        <f t="shared" si="42"/>
        <v>terça-feira</v>
      </c>
    </row>
    <row r="1191" spans="19:22">
      <c r="S1191" s="357">
        <v>42704</v>
      </c>
      <c r="T1191" s="359" t="str">
        <f t="shared" si="43"/>
        <v>quarta-feira</v>
      </c>
      <c r="U1191" s="361">
        <v>41367</v>
      </c>
      <c r="V1191" s="360" t="str">
        <f t="shared" si="42"/>
        <v>quarta-feira</v>
      </c>
    </row>
    <row r="1192" spans="19:22">
      <c r="S1192" s="357">
        <v>42705</v>
      </c>
      <c r="T1192" s="359" t="str">
        <f t="shared" si="43"/>
        <v>quinta-feira</v>
      </c>
      <c r="U1192" s="361">
        <v>41368</v>
      </c>
      <c r="V1192" s="360" t="str">
        <f t="shared" si="42"/>
        <v>quinta-feira</v>
      </c>
    </row>
    <row r="1193" spans="19:22">
      <c r="S1193" s="357">
        <v>42706</v>
      </c>
      <c r="T1193" s="359" t="str">
        <f t="shared" si="43"/>
        <v>sexta-feira</v>
      </c>
      <c r="U1193" s="361">
        <v>41369</v>
      </c>
      <c r="V1193" s="360" t="str">
        <f t="shared" ref="V1193:V1256" si="44">TEXT(U1193,"dddd")</f>
        <v>sexta-feira</v>
      </c>
    </row>
    <row r="1194" spans="19:22">
      <c r="S1194" s="357">
        <v>42707</v>
      </c>
      <c r="T1194" s="359" t="str">
        <f t="shared" si="43"/>
        <v>sábado</v>
      </c>
      <c r="U1194" s="361">
        <v>41370</v>
      </c>
      <c r="V1194" s="360" t="str">
        <f t="shared" si="44"/>
        <v>sábado</v>
      </c>
    </row>
    <row r="1195" spans="19:22">
      <c r="S1195" s="357">
        <v>42708</v>
      </c>
      <c r="T1195" s="359" t="str">
        <f t="shared" si="43"/>
        <v>domingo</v>
      </c>
      <c r="U1195" s="361">
        <v>41371</v>
      </c>
      <c r="V1195" s="360" t="str">
        <f t="shared" si="44"/>
        <v>domingo</v>
      </c>
    </row>
    <row r="1196" spans="19:22">
      <c r="S1196" s="357">
        <v>42709</v>
      </c>
      <c r="T1196" s="359" t="str">
        <f t="shared" si="43"/>
        <v>segunda-feira</v>
      </c>
      <c r="U1196" s="361">
        <v>41372</v>
      </c>
      <c r="V1196" s="360" t="str">
        <f t="shared" si="44"/>
        <v>segunda-feira</v>
      </c>
    </row>
    <row r="1197" spans="19:22">
      <c r="S1197" s="357">
        <v>42710</v>
      </c>
      <c r="T1197" s="359" t="str">
        <f t="shared" si="43"/>
        <v>terça-feira</v>
      </c>
      <c r="U1197" s="361">
        <v>41373</v>
      </c>
      <c r="V1197" s="360" t="str">
        <f t="shared" si="44"/>
        <v>terça-feira</v>
      </c>
    </row>
    <row r="1198" spans="19:22">
      <c r="S1198" s="357">
        <v>42711</v>
      </c>
      <c r="T1198" s="359" t="str">
        <f t="shared" si="43"/>
        <v>quarta-feira</v>
      </c>
      <c r="U1198" s="361">
        <v>41374</v>
      </c>
      <c r="V1198" s="360" t="str">
        <f t="shared" si="44"/>
        <v>quarta-feira</v>
      </c>
    </row>
    <row r="1199" spans="19:22">
      <c r="S1199" s="357">
        <v>42712</v>
      </c>
      <c r="T1199" s="359" t="str">
        <f t="shared" si="43"/>
        <v>quinta-feira</v>
      </c>
      <c r="U1199" s="361">
        <v>41375</v>
      </c>
      <c r="V1199" s="360" t="str">
        <f t="shared" si="44"/>
        <v>quinta-feira</v>
      </c>
    </row>
    <row r="1200" spans="19:22">
      <c r="S1200" s="357">
        <v>42713</v>
      </c>
      <c r="T1200" s="359" t="str">
        <f t="shared" si="43"/>
        <v>sexta-feira</v>
      </c>
      <c r="U1200" s="361">
        <v>41376</v>
      </c>
      <c r="V1200" s="360" t="str">
        <f t="shared" si="44"/>
        <v>sexta-feira</v>
      </c>
    </row>
    <row r="1201" spans="19:22">
      <c r="S1201" s="357">
        <v>42714</v>
      </c>
      <c r="T1201" s="359" t="str">
        <f t="shared" si="43"/>
        <v>sábado</v>
      </c>
      <c r="U1201" s="361">
        <v>41377</v>
      </c>
      <c r="V1201" s="360" t="str">
        <f t="shared" si="44"/>
        <v>sábado</v>
      </c>
    </row>
    <row r="1202" spans="19:22">
      <c r="S1202" s="357">
        <v>42715</v>
      </c>
      <c r="T1202" s="359" t="str">
        <f t="shared" si="43"/>
        <v>domingo</v>
      </c>
      <c r="U1202" s="361">
        <v>41378</v>
      </c>
      <c r="V1202" s="360" t="str">
        <f t="shared" si="44"/>
        <v>domingo</v>
      </c>
    </row>
    <row r="1203" spans="19:22">
      <c r="S1203" s="357">
        <v>42716</v>
      </c>
      <c r="T1203" s="359" t="str">
        <f t="shared" si="43"/>
        <v>segunda-feira</v>
      </c>
      <c r="U1203" s="361">
        <v>41379</v>
      </c>
      <c r="V1203" s="360" t="str">
        <f t="shared" si="44"/>
        <v>segunda-feira</v>
      </c>
    </row>
    <row r="1204" spans="19:22">
      <c r="S1204" s="357">
        <v>42717</v>
      </c>
      <c r="T1204" s="359" t="str">
        <f t="shared" si="43"/>
        <v>terça-feira</v>
      </c>
      <c r="U1204" s="361">
        <v>41380</v>
      </c>
      <c r="V1204" s="360" t="str">
        <f t="shared" si="44"/>
        <v>terça-feira</v>
      </c>
    </row>
    <row r="1205" spans="19:22">
      <c r="S1205" s="357">
        <v>42718</v>
      </c>
      <c r="T1205" s="359" t="str">
        <f t="shared" si="43"/>
        <v>quarta-feira</v>
      </c>
      <c r="U1205" s="361">
        <v>41381</v>
      </c>
      <c r="V1205" s="360" t="str">
        <f t="shared" si="44"/>
        <v>quarta-feira</v>
      </c>
    </row>
    <row r="1206" spans="19:22">
      <c r="S1206" s="357">
        <v>42719</v>
      </c>
      <c r="T1206" s="359" t="str">
        <f t="shared" si="43"/>
        <v>quinta-feira</v>
      </c>
      <c r="U1206" s="361">
        <v>41382</v>
      </c>
      <c r="V1206" s="360" t="str">
        <f t="shared" si="44"/>
        <v>quinta-feira</v>
      </c>
    </row>
    <row r="1207" spans="19:22">
      <c r="S1207" s="357">
        <v>42720</v>
      </c>
      <c r="T1207" s="359" t="str">
        <f t="shared" ref="T1207:T1270" si="45">TEXT(S1207,"dddd")</f>
        <v>sexta-feira</v>
      </c>
      <c r="U1207" s="361">
        <v>41383</v>
      </c>
      <c r="V1207" s="360" t="str">
        <f t="shared" si="44"/>
        <v>sexta-feira</v>
      </c>
    </row>
    <row r="1208" spans="19:22">
      <c r="S1208" s="357">
        <v>42721</v>
      </c>
      <c r="T1208" s="359" t="str">
        <f t="shared" si="45"/>
        <v>sábado</v>
      </c>
      <c r="U1208" s="361">
        <v>41384</v>
      </c>
      <c r="V1208" s="360" t="str">
        <f t="shared" si="44"/>
        <v>sábado</v>
      </c>
    </row>
    <row r="1209" spans="19:22">
      <c r="S1209" s="357">
        <v>42722</v>
      </c>
      <c r="T1209" s="359" t="str">
        <f t="shared" si="45"/>
        <v>domingo</v>
      </c>
      <c r="U1209" s="361">
        <v>41385</v>
      </c>
      <c r="V1209" s="360" t="str">
        <f t="shared" si="44"/>
        <v>domingo</v>
      </c>
    </row>
    <row r="1210" spans="19:22">
      <c r="S1210" s="357">
        <v>42723</v>
      </c>
      <c r="T1210" s="359" t="str">
        <f t="shared" si="45"/>
        <v>segunda-feira</v>
      </c>
      <c r="U1210" s="361">
        <v>41386</v>
      </c>
      <c r="V1210" s="360" t="str">
        <f t="shared" si="44"/>
        <v>segunda-feira</v>
      </c>
    </row>
    <row r="1211" spans="19:22">
      <c r="S1211" s="357">
        <v>42724</v>
      </c>
      <c r="T1211" s="359" t="str">
        <f t="shared" si="45"/>
        <v>terça-feira</v>
      </c>
      <c r="U1211" s="361">
        <v>41387</v>
      </c>
      <c r="V1211" s="360" t="str">
        <f t="shared" si="44"/>
        <v>terça-feira</v>
      </c>
    </row>
    <row r="1212" spans="19:22">
      <c r="S1212" s="357">
        <v>42725</v>
      </c>
      <c r="T1212" s="359" t="str">
        <f t="shared" si="45"/>
        <v>quarta-feira</v>
      </c>
      <c r="U1212" s="361">
        <v>41388</v>
      </c>
      <c r="V1212" s="360" t="str">
        <f t="shared" si="44"/>
        <v>quarta-feira</v>
      </c>
    </row>
    <row r="1213" spans="19:22">
      <c r="S1213" s="357">
        <v>42726</v>
      </c>
      <c r="T1213" s="359" t="str">
        <f t="shared" si="45"/>
        <v>quinta-feira</v>
      </c>
      <c r="U1213" s="361">
        <v>41389</v>
      </c>
      <c r="V1213" s="360" t="str">
        <f t="shared" si="44"/>
        <v>quinta-feira</v>
      </c>
    </row>
    <row r="1214" spans="19:22">
      <c r="S1214" s="357">
        <v>42727</v>
      </c>
      <c r="T1214" s="359" t="str">
        <f t="shared" si="45"/>
        <v>sexta-feira</v>
      </c>
      <c r="U1214" s="361">
        <v>41390</v>
      </c>
      <c r="V1214" s="360" t="str">
        <f t="shared" si="44"/>
        <v>sexta-feira</v>
      </c>
    </row>
    <row r="1215" spans="19:22">
      <c r="S1215" s="357">
        <v>42728</v>
      </c>
      <c r="T1215" s="359" t="str">
        <f t="shared" si="45"/>
        <v>sábado</v>
      </c>
      <c r="U1215" s="361">
        <v>41391</v>
      </c>
      <c r="V1215" s="360" t="str">
        <f t="shared" si="44"/>
        <v>sábado</v>
      </c>
    </row>
    <row r="1216" spans="19:22">
      <c r="S1216" s="357">
        <v>42729</v>
      </c>
      <c r="T1216" s="359" t="str">
        <f t="shared" si="45"/>
        <v>domingo</v>
      </c>
      <c r="U1216" s="361">
        <v>41392</v>
      </c>
      <c r="V1216" s="360" t="str">
        <f t="shared" si="44"/>
        <v>domingo</v>
      </c>
    </row>
    <row r="1217" spans="19:22">
      <c r="S1217" s="357">
        <v>42730</v>
      </c>
      <c r="T1217" s="359" t="str">
        <f t="shared" si="45"/>
        <v>segunda-feira</v>
      </c>
      <c r="U1217" s="361">
        <v>41393</v>
      </c>
      <c r="V1217" s="360" t="str">
        <f t="shared" si="44"/>
        <v>segunda-feira</v>
      </c>
    </row>
    <row r="1218" spans="19:22">
      <c r="S1218" s="357">
        <v>42731</v>
      </c>
      <c r="T1218" s="359" t="str">
        <f t="shared" si="45"/>
        <v>terça-feira</v>
      </c>
      <c r="U1218" s="361">
        <v>41394</v>
      </c>
      <c r="V1218" s="360" t="str">
        <f t="shared" si="44"/>
        <v>terça-feira</v>
      </c>
    </row>
    <row r="1219" spans="19:22">
      <c r="S1219" s="357">
        <v>42732</v>
      </c>
      <c r="T1219" s="359" t="str">
        <f t="shared" si="45"/>
        <v>quarta-feira</v>
      </c>
      <c r="U1219" s="361">
        <v>41395</v>
      </c>
      <c r="V1219" s="360" t="str">
        <f t="shared" si="44"/>
        <v>quarta-feira</v>
      </c>
    </row>
    <row r="1220" spans="19:22">
      <c r="S1220" s="357">
        <v>42733</v>
      </c>
      <c r="T1220" s="359" t="str">
        <f t="shared" si="45"/>
        <v>quinta-feira</v>
      </c>
      <c r="U1220" s="361">
        <v>41396</v>
      </c>
      <c r="V1220" s="360" t="str">
        <f t="shared" si="44"/>
        <v>quinta-feira</v>
      </c>
    </row>
    <row r="1221" spans="19:22">
      <c r="S1221" s="357">
        <v>42734</v>
      </c>
      <c r="T1221" s="359" t="str">
        <f t="shared" si="45"/>
        <v>sexta-feira</v>
      </c>
      <c r="U1221" s="361">
        <v>41397</v>
      </c>
      <c r="V1221" s="360" t="str">
        <f t="shared" si="44"/>
        <v>sexta-feira</v>
      </c>
    </row>
    <row r="1222" spans="19:22">
      <c r="S1222" s="357">
        <v>42735</v>
      </c>
      <c r="T1222" s="359" t="str">
        <f t="shared" si="45"/>
        <v>sábado</v>
      </c>
      <c r="U1222" s="361">
        <v>41398</v>
      </c>
      <c r="V1222" s="360" t="str">
        <f t="shared" si="44"/>
        <v>sábado</v>
      </c>
    </row>
    <row r="1223" spans="19:22">
      <c r="S1223" s="357">
        <v>42736</v>
      </c>
      <c r="T1223" s="359" t="str">
        <f t="shared" si="45"/>
        <v>domingo</v>
      </c>
      <c r="U1223" s="361">
        <v>41399</v>
      </c>
      <c r="V1223" s="360" t="str">
        <f t="shared" si="44"/>
        <v>domingo</v>
      </c>
    </row>
    <row r="1224" spans="19:22">
      <c r="S1224" s="357">
        <v>42737</v>
      </c>
      <c r="T1224" s="359" t="str">
        <f t="shared" si="45"/>
        <v>segunda-feira</v>
      </c>
      <c r="U1224" s="361">
        <v>41400</v>
      </c>
      <c r="V1224" s="360" t="str">
        <f t="shared" si="44"/>
        <v>segunda-feira</v>
      </c>
    </row>
    <row r="1225" spans="19:22">
      <c r="S1225" s="357">
        <v>42738</v>
      </c>
      <c r="T1225" s="359" t="str">
        <f t="shared" si="45"/>
        <v>terça-feira</v>
      </c>
      <c r="U1225" s="361">
        <v>41401</v>
      </c>
      <c r="V1225" s="360" t="str">
        <f t="shared" si="44"/>
        <v>terça-feira</v>
      </c>
    </row>
    <row r="1226" spans="19:22">
      <c r="S1226" s="357">
        <v>42739</v>
      </c>
      <c r="T1226" s="359" t="str">
        <f t="shared" si="45"/>
        <v>quarta-feira</v>
      </c>
      <c r="U1226" s="361">
        <v>41402</v>
      </c>
      <c r="V1226" s="360" t="str">
        <f t="shared" si="44"/>
        <v>quarta-feira</v>
      </c>
    </row>
    <row r="1227" spans="19:22">
      <c r="S1227" s="357">
        <v>42740</v>
      </c>
      <c r="T1227" s="359" t="str">
        <f t="shared" si="45"/>
        <v>quinta-feira</v>
      </c>
      <c r="U1227" s="361">
        <v>41403</v>
      </c>
      <c r="V1227" s="360" t="str">
        <f t="shared" si="44"/>
        <v>quinta-feira</v>
      </c>
    </row>
    <row r="1228" spans="19:22">
      <c r="S1228" s="357">
        <v>42741</v>
      </c>
      <c r="T1228" s="359" t="str">
        <f t="shared" si="45"/>
        <v>sexta-feira</v>
      </c>
      <c r="U1228" s="361">
        <v>41404</v>
      </c>
      <c r="V1228" s="360" t="str">
        <f t="shared" si="44"/>
        <v>sexta-feira</v>
      </c>
    </row>
    <row r="1229" spans="19:22">
      <c r="S1229" s="357">
        <v>42742</v>
      </c>
      <c r="T1229" s="359" t="str">
        <f t="shared" si="45"/>
        <v>sábado</v>
      </c>
      <c r="U1229" s="361">
        <v>41405</v>
      </c>
      <c r="V1229" s="360" t="str">
        <f t="shared" si="44"/>
        <v>sábado</v>
      </c>
    </row>
    <row r="1230" spans="19:22">
      <c r="S1230" s="357">
        <v>42743</v>
      </c>
      <c r="T1230" s="359" t="str">
        <f t="shared" si="45"/>
        <v>domingo</v>
      </c>
      <c r="U1230" s="361">
        <v>41406</v>
      </c>
      <c r="V1230" s="360" t="str">
        <f t="shared" si="44"/>
        <v>domingo</v>
      </c>
    </row>
    <row r="1231" spans="19:22">
      <c r="S1231" s="357">
        <v>42744</v>
      </c>
      <c r="T1231" s="359" t="str">
        <f t="shared" si="45"/>
        <v>segunda-feira</v>
      </c>
      <c r="U1231" s="361">
        <v>41407</v>
      </c>
      <c r="V1231" s="360" t="str">
        <f t="shared" si="44"/>
        <v>segunda-feira</v>
      </c>
    </row>
    <row r="1232" spans="19:22">
      <c r="S1232" s="357">
        <v>42745</v>
      </c>
      <c r="T1232" s="359" t="str">
        <f t="shared" si="45"/>
        <v>terça-feira</v>
      </c>
      <c r="U1232" s="361">
        <v>41408</v>
      </c>
      <c r="V1232" s="360" t="str">
        <f t="shared" si="44"/>
        <v>terça-feira</v>
      </c>
    </row>
    <row r="1233" spans="19:22">
      <c r="S1233" s="357">
        <v>42746</v>
      </c>
      <c r="T1233" s="359" t="str">
        <f t="shared" si="45"/>
        <v>quarta-feira</v>
      </c>
      <c r="U1233" s="361">
        <v>41409</v>
      </c>
      <c r="V1233" s="360" t="str">
        <f t="shared" si="44"/>
        <v>quarta-feira</v>
      </c>
    </row>
    <row r="1234" spans="19:22">
      <c r="S1234" s="357">
        <v>42747</v>
      </c>
      <c r="T1234" s="359" t="str">
        <f t="shared" si="45"/>
        <v>quinta-feira</v>
      </c>
      <c r="U1234" s="361">
        <v>41410</v>
      </c>
      <c r="V1234" s="360" t="str">
        <f t="shared" si="44"/>
        <v>quinta-feira</v>
      </c>
    </row>
    <row r="1235" spans="19:22">
      <c r="S1235" s="357">
        <v>42748</v>
      </c>
      <c r="T1235" s="359" t="str">
        <f t="shared" si="45"/>
        <v>sexta-feira</v>
      </c>
      <c r="U1235" s="361">
        <v>41411</v>
      </c>
      <c r="V1235" s="360" t="str">
        <f t="shared" si="44"/>
        <v>sexta-feira</v>
      </c>
    </row>
    <row r="1236" spans="19:22">
      <c r="S1236" s="357">
        <v>42749</v>
      </c>
      <c r="T1236" s="359" t="str">
        <f t="shared" si="45"/>
        <v>sábado</v>
      </c>
      <c r="U1236" s="361">
        <v>41412</v>
      </c>
      <c r="V1236" s="360" t="str">
        <f t="shared" si="44"/>
        <v>sábado</v>
      </c>
    </row>
    <row r="1237" spans="19:22">
      <c r="S1237" s="357">
        <v>42750</v>
      </c>
      <c r="T1237" s="359" t="str">
        <f t="shared" si="45"/>
        <v>domingo</v>
      </c>
      <c r="U1237" s="361">
        <v>41413</v>
      </c>
      <c r="V1237" s="360" t="str">
        <f t="shared" si="44"/>
        <v>domingo</v>
      </c>
    </row>
    <row r="1238" spans="19:22">
      <c r="S1238" s="357">
        <v>42751</v>
      </c>
      <c r="T1238" s="359" t="str">
        <f t="shared" si="45"/>
        <v>segunda-feira</v>
      </c>
      <c r="U1238" s="361">
        <v>41414</v>
      </c>
      <c r="V1238" s="360" t="str">
        <f t="shared" si="44"/>
        <v>segunda-feira</v>
      </c>
    </row>
    <row r="1239" spans="19:22">
      <c r="S1239" s="357">
        <v>42752</v>
      </c>
      <c r="T1239" s="359" t="str">
        <f t="shared" si="45"/>
        <v>terça-feira</v>
      </c>
      <c r="U1239" s="361">
        <v>41415</v>
      </c>
      <c r="V1239" s="360" t="str">
        <f t="shared" si="44"/>
        <v>terça-feira</v>
      </c>
    </row>
    <row r="1240" spans="19:22">
      <c r="S1240" s="357">
        <v>42753</v>
      </c>
      <c r="T1240" s="359" t="str">
        <f t="shared" si="45"/>
        <v>quarta-feira</v>
      </c>
      <c r="U1240" s="361">
        <v>41416</v>
      </c>
      <c r="V1240" s="360" t="str">
        <f t="shared" si="44"/>
        <v>quarta-feira</v>
      </c>
    </row>
    <row r="1241" spans="19:22">
      <c r="S1241" s="357">
        <v>42754</v>
      </c>
      <c r="T1241" s="359" t="str">
        <f t="shared" si="45"/>
        <v>quinta-feira</v>
      </c>
      <c r="U1241" s="361">
        <v>41417</v>
      </c>
      <c r="V1241" s="360" t="str">
        <f t="shared" si="44"/>
        <v>quinta-feira</v>
      </c>
    </row>
    <row r="1242" spans="19:22">
      <c r="S1242" s="357">
        <v>42755</v>
      </c>
      <c r="T1242" s="359" t="str">
        <f t="shared" si="45"/>
        <v>sexta-feira</v>
      </c>
      <c r="U1242" s="361">
        <v>41418</v>
      </c>
      <c r="V1242" s="360" t="str">
        <f t="shared" si="44"/>
        <v>sexta-feira</v>
      </c>
    </row>
    <row r="1243" spans="19:22">
      <c r="S1243" s="357">
        <v>42756</v>
      </c>
      <c r="T1243" s="359" t="str">
        <f t="shared" si="45"/>
        <v>sábado</v>
      </c>
      <c r="U1243" s="361">
        <v>41419</v>
      </c>
      <c r="V1243" s="360" t="str">
        <f t="shared" si="44"/>
        <v>sábado</v>
      </c>
    </row>
    <row r="1244" spans="19:22">
      <c r="S1244" s="357">
        <v>42757</v>
      </c>
      <c r="T1244" s="359" t="str">
        <f t="shared" si="45"/>
        <v>domingo</v>
      </c>
      <c r="U1244" s="361">
        <v>41420</v>
      </c>
      <c r="V1244" s="360" t="str">
        <f t="shared" si="44"/>
        <v>domingo</v>
      </c>
    </row>
    <row r="1245" spans="19:22">
      <c r="S1245" s="357">
        <v>42758</v>
      </c>
      <c r="T1245" s="359" t="str">
        <f t="shared" si="45"/>
        <v>segunda-feira</v>
      </c>
      <c r="U1245" s="361">
        <v>41421</v>
      </c>
      <c r="V1245" s="360" t="str">
        <f t="shared" si="44"/>
        <v>segunda-feira</v>
      </c>
    </row>
    <row r="1246" spans="19:22">
      <c r="S1246" s="357">
        <v>42759</v>
      </c>
      <c r="T1246" s="359" t="str">
        <f t="shared" si="45"/>
        <v>terça-feira</v>
      </c>
      <c r="U1246" s="361">
        <v>41422</v>
      </c>
      <c r="V1246" s="360" t="str">
        <f t="shared" si="44"/>
        <v>terça-feira</v>
      </c>
    </row>
    <row r="1247" spans="19:22">
      <c r="S1247" s="357">
        <v>42760</v>
      </c>
      <c r="T1247" s="359" t="str">
        <f t="shared" si="45"/>
        <v>quarta-feira</v>
      </c>
      <c r="U1247" s="361">
        <v>41423</v>
      </c>
      <c r="V1247" s="360" t="str">
        <f t="shared" si="44"/>
        <v>quarta-feira</v>
      </c>
    </row>
    <row r="1248" spans="19:22">
      <c r="S1248" s="357">
        <v>42761</v>
      </c>
      <c r="T1248" s="359" t="str">
        <f t="shared" si="45"/>
        <v>quinta-feira</v>
      </c>
      <c r="U1248" s="361">
        <v>41424</v>
      </c>
      <c r="V1248" s="360" t="str">
        <f t="shared" si="44"/>
        <v>quinta-feira</v>
      </c>
    </row>
    <row r="1249" spans="19:22">
      <c r="S1249" s="357">
        <v>42762</v>
      </c>
      <c r="T1249" s="359" t="str">
        <f t="shared" si="45"/>
        <v>sexta-feira</v>
      </c>
      <c r="U1249" s="361">
        <v>41425</v>
      </c>
      <c r="V1249" s="360" t="str">
        <f t="shared" si="44"/>
        <v>sexta-feira</v>
      </c>
    </row>
    <row r="1250" spans="19:22">
      <c r="S1250" s="357">
        <v>42763</v>
      </c>
      <c r="T1250" s="359" t="str">
        <f t="shared" si="45"/>
        <v>sábado</v>
      </c>
      <c r="U1250" s="361">
        <v>41426</v>
      </c>
      <c r="V1250" s="360" t="str">
        <f t="shared" si="44"/>
        <v>sábado</v>
      </c>
    </row>
    <row r="1251" spans="19:22">
      <c r="S1251" s="357">
        <v>42764</v>
      </c>
      <c r="T1251" s="359" t="str">
        <f t="shared" si="45"/>
        <v>domingo</v>
      </c>
      <c r="U1251" s="361">
        <v>41427</v>
      </c>
      <c r="V1251" s="360" t="str">
        <f t="shared" si="44"/>
        <v>domingo</v>
      </c>
    </row>
    <row r="1252" spans="19:22">
      <c r="S1252" s="357">
        <v>42765</v>
      </c>
      <c r="T1252" s="359" t="str">
        <f t="shared" si="45"/>
        <v>segunda-feira</v>
      </c>
      <c r="U1252" s="361">
        <v>41428</v>
      </c>
      <c r="V1252" s="360" t="str">
        <f t="shared" si="44"/>
        <v>segunda-feira</v>
      </c>
    </row>
    <row r="1253" spans="19:22">
      <c r="S1253" s="357">
        <v>42766</v>
      </c>
      <c r="T1253" s="359" t="str">
        <f t="shared" si="45"/>
        <v>terça-feira</v>
      </c>
      <c r="U1253" s="361">
        <v>41429</v>
      </c>
      <c r="V1253" s="360" t="str">
        <f t="shared" si="44"/>
        <v>terça-feira</v>
      </c>
    </row>
    <row r="1254" spans="19:22">
      <c r="S1254" s="357">
        <v>42767</v>
      </c>
      <c r="T1254" s="359" t="str">
        <f t="shared" si="45"/>
        <v>quarta-feira</v>
      </c>
      <c r="U1254" s="361">
        <v>41430</v>
      </c>
      <c r="V1254" s="360" t="str">
        <f t="shared" si="44"/>
        <v>quarta-feira</v>
      </c>
    </row>
    <row r="1255" spans="19:22">
      <c r="S1255" s="357">
        <v>42768</v>
      </c>
      <c r="T1255" s="359" t="str">
        <f t="shared" si="45"/>
        <v>quinta-feira</v>
      </c>
      <c r="U1255" s="361">
        <v>41431</v>
      </c>
      <c r="V1255" s="360" t="str">
        <f t="shared" si="44"/>
        <v>quinta-feira</v>
      </c>
    </row>
    <row r="1256" spans="19:22">
      <c r="S1256" s="357">
        <v>42769</v>
      </c>
      <c r="T1256" s="359" t="str">
        <f t="shared" si="45"/>
        <v>sexta-feira</v>
      </c>
      <c r="U1256" s="361">
        <v>41432</v>
      </c>
      <c r="V1256" s="360" t="str">
        <f t="shared" si="44"/>
        <v>sexta-feira</v>
      </c>
    </row>
    <row r="1257" spans="19:22">
      <c r="S1257" s="357">
        <v>42770</v>
      </c>
      <c r="T1257" s="359" t="str">
        <f t="shared" si="45"/>
        <v>sábado</v>
      </c>
      <c r="U1257" s="361">
        <v>41433</v>
      </c>
      <c r="V1257" s="360" t="str">
        <f t="shared" ref="V1257:V1320" si="46">TEXT(U1257,"dddd")</f>
        <v>sábado</v>
      </c>
    </row>
    <row r="1258" spans="19:22">
      <c r="S1258" s="357">
        <v>42771</v>
      </c>
      <c r="T1258" s="359" t="str">
        <f t="shared" si="45"/>
        <v>domingo</v>
      </c>
      <c r="U1258" s="361">
        <v>41434</v>
      </c>
      <c r="V1258" s="360" t="str">
        <f t="shared" si="46"/>
        <v>domingo</v>
      </c>
    </row>
    <row r="1259" spans="19:22">
      <c r="S1259" s="357">
        <v>42772</v>
      </c>
      <c r="T1259" s="359" t="str">
        <f t="shared" si="45"/>
        <v>segunda-feira</v>
      </c>
      <c r="U1259" s="361">
        <v>41435</v>
      </c>
      <c r="V1259" s="360" t="str">
        <f t="shared" si="46"/>
        <v>segunda-feira</v>
      </c>
    </row>
    <row r="1260" spans="19:22">
      <c r="S1260" s="357">
        <v>42773</v>
      </c>
      <c r="T1260" s="359" t="str">
        <f t="shared" si="45"/>
        <v>terça-feira</v>
      </c>
      <c r="U1260" s="361">
        <v>41436</v>
      </c>
      <c r="V1260" s="360" t="str">
        <f t="shared" si="46"/>
        <v>terça-feira</v>
      </c>
    </row>
    <row r="1261" spans="19:22">
      <c r="S1261" s="357">
        <v>42774</v>
      </c>
      <c r="T1261" s="359" t="str">
        <f t="shared" si="45"/>
        <v>quarta-feira</v>
      </c>
      <c r="U1261" s="361">
        <v>41437</v>
      </c>
      <c r="V1261" s="360" t="str">
        <f t="shared" si="46"/>
        <v>quarta-feira</v>
      </c>
    </row>
    <row r="1262" spans="19:22">
      <c r="S1262" s="357">
        <v>42775</v>
      </c>
      <c r="T1262" s="359" t="str">
        <f t="shared" si="45"/>
        <v>quinta-feira</v>
      </c>
      <c r="U1262" s="361">
        <v>41438</v>
      </c>
      <c r="V1262" s="360" t="str">
        <f t="shared" si="46"/>
        <v>quinta-feira</v>
      </c>
    </row>
    <row r="1263" spans="19:22">
      <c r="S1263" s="357">
        <v>42776</v>
      </c>
      <c r="T1263" s="359" t="str">
        <f t="shared" si="45"/>
        <v>sexta-feira</v>
      </c>
      <c r="U1263" s="361">
        <v>41439</v>
      </c>
      <c r="V1263" s="360" t="str">
        <f t="shared" si="46"/>
        <v>sexta-feira</v>
      </c>
    </row>
    <row r="1264" spans="19:22">
      <c r="S1264" s="357">
        <v>42777</v>
      </c>
      <c r="T1264" s="359" t="str">
        <f t="shared" si="45"/>
        <v>sábado</v>
      </c>
      <c r="U1264" s="361">
        <v>41440</v>
      </c>
      <c r="V1264" s="360" t="str">
        <f t="shared" si="46"/>
        <v>sábado</v>
      </c>
    </row>
    <row r="1265" spans="19:22">
      <c r="S1265" s="357">
        <v>42778</v>
      </c>
      <c r="T1265" s="359" t="str">
        <f t="shared" si="45"/>
        <v>domingo</v>
      </c>
      <c r="U1265" s="361">
        <v>41441</v>
      </c>
      <c r="V1265" s="360" t="str">
        <f t="shared" si="46"/>
        <v>domingo</v>
      </c>
    </row>
    <row r="1266" spans="19:22">
      <c r="S1266" s="357">
        <v>42779</v>
      </c>
      <c r="T1266" s="359" t="str">
        <f t="shared" si="45"/>
        <v>segunda-feira</v>
      </c>
      <c r="U1266" s="361">
        <v>41442</v>
      </c>
      <c r="V1266" s="360" t="str">
        <f t="shared" si="46"/>
        <v>segunda-feira</v>
      </c>
    </row>
    <row r="1267" spans="19:22">
      <c r="S1267" s="357">
        <v>42780</v>
      </c>
      <c r="T1267" s="359" t="str">
        <f t="shared" si="45"/>
        <v>terça-feira</v>
      </c>
      <c r="U1267" s="361">
        <v>41443</v>
      </c>
      <c r="V1267" s="360" t="str">
        <f t="shared" si="46"/>
        <v>terça-feira</v>
      </c>
    </row>
    <row r="1268" spans="19:22">
      <c r="S1268" s="357">
        <v>42781</v>
      </c>
      <c r="T1268" s="359" t="str">
        <f t="shared" si="45"/>
        <v>quarta-feira</v>
      </c>
      <c r="U1268" s="361">
        <v>41444</v>
      </c>
      <c r="V1268" s="360" t="str">
        <f t="shared" si="46"/>
        <v>quarta-feira</v>
      </c>
    </row>
    <row r="1269" spans="19:22">
      <c r="S1269" s="357">
        <v>42782</v>
      </c>
      <c r="T1269" s="359" t="str">
        <f t="shared" si="45"/>
        <v>quinta-feira</v>
      </c>
      <c r="U1269" s="361">
        <v>41445</v>
      </c>
      <c r="V1269" s="360" t="str">
        <f t="shared" si="46"/>
        <v>quinta-feira</v>
      </c>
    </row>
    <row r="1270" spans="19:22">
      <c r="S1270" s="357">
        <v>42783</v>
      </c>
      <c r="T1270" s="359" t="str">
        <f t="shared" si="45"/>
        <v>sexta-feira</v>
      </c>
      <c r="U1270" s="361">
        <v>41446</v>
      </c>
      <c r="V1270" s="360" t="str">
        <f t="shared" si="46"/>
        <v>sexta-feira</v>
      </c>
    </row>
    <row r="1271" spans="19:22">
      <c r="S1271" s="357">
        <v>42784</v>
      </c>
      <c r="T1271" s="359" t="str">
        <f t="shared" ref="T1271:T1334" si="47">TEXT(S1271,"dddd")</f>
        <v>sábado</v>
      </c>
      <c r="U1271" s="361">
        <v>41447</v>
      </c>
      <c r="V1271" s="360" t="str">
        <f t="shared" si="46"/>
        <v>sábado</v>
      </c>
    </row>
    <row r="1272" spans="19:22">
      <c r="S1272" s="357">
        <v>42785</v>
      </c>
      <c r="T1272" s="359" t="str">
        <f t="shared" si="47"/>
        <v>domingo</v>
      </c>
      <c r="U1272" s="361">
        <v>41448</v>
      </c>
      <c r="V1272" s="360" t="str">
        <f t="shared" si="46"/>
        <v>domingo</v>
      </c>
    </row>
    <row r="1273" spans="19:22">
      <c r="S1273" s="357">
        <v>42786</v>
      </c>
      <c r="T1273" s="359" t="str">
        <f t="shared" si="47"/>
        <v>segunda-feira</v>
      </c>
      <c r="U1273" s="361">
        <v>41449</v>
      </c>
      <c r="V1273" s="360" t="str">
        <f t="shared" si="46"/>
        <v>segunda-feira</v>
      </c>
    </row>
    <row r="1274" spans="19:22">
      <c r="S1274" s="357">
        <v>42787</v>
      </c>
      <c r="T1274" s="359" t="str">
        <f t="shared" si="47"/>
        <v>terça-feira</v>
      </c>
      <c r="U1274" s="361">
        <v>41450</v>
      </c>
      <c r="V1274" s="360" t="str">
        <f t="shared" si="46"/>
        <v>terça-feira</v>
      </c>
    </row>
    <row r="1275" spans="19:22">
      <c r="S1275" s="357">
        <v>42788</v>
      </c>
      <c r="T1275" s="359" t="str">
        <f t="shared" si="47"/>
        <v>quarta-feira</v>
      </c>
      <c r="U1275" s="361">
        <v>41451</v>
      </c>
      <c r="V1275" s="360" t="str">
        <f t="shared" si="46"/>
        <v>quarta-feira</v>
      </c>
    </row>
    <row r="1276" spans="19:22">
      <c r="S1276" s="357">
        <v>42789</v>
      </c>
      <c r="T1276" s="359" t="str">
        <f t="shared" si="47"/>
        <v>quinta-feira</v>
      </c>
      <c r="U1276" s="361">
        <v>41452</v>
      </c>
      <c r="V1276" s="360" t="str">
        <f t="shared" si="46"/>
        <v>quinta-feira</v>
      </c>
    </row>
    <row r="1277" spans="19:22">
      <c r="S1277" s="357">
        <v>42790</v>
      </c>
      <c r="T1277" s="359" t="str">
        <f t="shared" si="47"/>
        <v>sexta-feira</v>
      </c>
      <c r="U1277" s="361">
        <v>41453</v>
      </c>
      <c r="V1277" s="360" t="str">
        <f t="shared" si="46"/>
        <v>sexta-feira</v>
      </c>
    </row>
    <row r="1278" spans="19:22">
      <c r="S1278" s="357">
        <v>42791</v>
      </c>
      <c r="T1278" s="359" t="str">
        <f t="shared" si="47"/>
        <v>sábado</v>
      </c>
      <c r="U1278" s="361">
        <v>41454</v>
      </c>
      <c r="V1278" s="360" t="str">
        <f t="shared" si="46"/>
        <v>sábado</v>
      </c>
    </row>
    <row r="1279" spans="19:22">
      <c r="S1279" s="357">
        <v>42792</v>
      </c>
      <c r="T1279" s="359" t="str">
        <f t="shared" si="47"/>
        <v>domingo</v>
      </c>
      <c r="U1279" s="361">
        <v>41455</v>
      </c>
      <c r="V1279" s="360" t="str">
        <f t="shared" si="46"/>
        <v>domingo</v>
      </c>
    </row>
    <row r="1280" spans="19:22">
      <c r="S1280" s="357">
        <v>42793</v>
      </c>
      <c r="T1280" s="359" t="str">
        <f t="shared" si="47"/>
        <v>segunda-feira</v>
      </c>
      <c r="U1280" s="361">
        <v>41456</v>
      </c>
      <c r="V1280" s="360" t="str">
        <f t="shared" si="46"/>
        <v>segunda-feira</v>
      </c>
    </row>
    <row r="1281" spans="19:22">
      <c r="S1281" s="357">
        <v>42794</v>
      </c>
      <c r="T1281" s="359" t="str">
        <f t="shared" si="47"/>
        <v>terça-feira</v>
      </c>
      <c r="U1281" s="361">
        <v>41457</v>
      </c>
      <c r="V1281" s="360" t="str">
        <f t="shared" si="46"/>
        <v>terça-feira</v>
      </c>
    </row>
    <row r="1282" spans="19:22">
      <c r="S1282" s="357">
        <v>42795</v>
      </c>
      <c r="T1282" s="359" t="str">
        <f t="shared" si="47"/>
        <v>quarta-feira</v>
      </c>
      <c r="U1282" s="361">
        <v>41458</v>
      </c>
      <c r="V1282" s="360" t="str">
        <f t="shared" si="46"/>
        <v>quarta-feira</v>
      </c>
    </row>
    <row r="1283" spans="19:22">
      <c r="S1283" s="357">
        <v>42796</v>
      </c>
      <c r="T1283" s="359" t="str">
        <f t="shared" si="47"/>
        <v>quinta-feira</v>
      </c>
      <c r="U1283" s="361">
        <v>41459</v>
      </c>
      <c r="V1283" s="360" t="str">
        <f t="shared" si="46"/>
        <v>quinta-feira</v>
      </c>
    </row>
    <row r="1284" spans="19:22">
      <c r="S1284" s="357">
        <v>42797</v>
      </c>
      <c r="T1284" s="359" t="str">
        <f t="shared" si="47"/>
        <v>sexta-feira</v>
      </c>
      <c r="U1284" s="361">
        <v>41460</v>
      </c>
      <c r="V1284" s="360" t="str">
        <f t="shared" si="46"/>
        <v>sexta-feira</v>
      </c>
    </row>
    <row r="1285" spans="19:22">
      <c r="S1285" s="357">
        <v>42798</v>
      </c>
      <c r="T1285" s="359" t="str">
        <f t="shared" si="47"/>
        <v>sábado</v>
      </c>
      <c r="U1285" s="361">
        <v>41461</v>
      </c>
      <c r="V1285" s="360" t="str">
        <f t="shared" si="46"/>
        <v>sábado</v>
      </c>
    </row>
    <row r="1286" spans="19:22">
      <c r="S1286" s="357">
        <v>42799</v>
      </c>
      <c r="T1286" s="359" t="str">
        <f t="shared" si="47"/>
        <v>domingo</v>
      </c>
      <c r="U1286" s="361">
        <v>41462</v>
      </c>
      <c r="V1286" s="360" t="str">
        <f t="shared" si="46"/>
        <v>domingo</v>
      </c>
    </row>
    <row r="1287" spans="19:22">
      <c r="S1287" s="357">
        <v>42800</v>
      </c>
      <c r="T1287" s="359" t="str">
        <f t="shared" si="47"/>
        <v>segunda-feira</v>
      </c>
      <c r="U1287" s="361">
        <v>41463</v>
      </c>
      <c r="V1287" s="360" t="str">
        <f t="shared" si="46"/>
        <v>segunda-feira</v>
      </c>
    </row>
    <row r="1288" spans="19:22">
      <c r="S1288" s="357">
        <v>42801</v>
      </c>
      <c r="T1288" s="359" t="str">
        <f t="shared" si="47"/>
        <v>terça-feira</v>
      </c>
      <c r="U1288" s="361">
        <v>41464</v>
      </c>
      <c r="V1288" s="360" t="str">
        <f t="shared" si="46"/>
        <v>terça-feira</v>
      </c>
    </row>
    <row r="1289" spans="19:22">
      <c r="S1289" s="357">
        <v>42802</v>
      </c>
      <c r="T1289" s="359" t="str">
        <f t="shared" si="47"/>
        <v>quarta-feira</v>
      </c>
      <c r="U1289" s="361">
        <v>41465</v>
      </c>
      <c r="V1289" s="360" t="str">
        <f t="shared" si="46"/>
        <v>quarta-feira</v>
      </c>
    </row>
    <row r="1290" spans="19:22">
      <c r="S1290" s="357">
        <v>42803</v>
      </c>
      <c r="T1290" s="359" t="str">
        <f t="shared" si="47"/>
        <v>quinta-feira</v>
      </c>
      <c r="U1290" s="361">
        <v>41466</v>
      </c>
      <c r="V1290" s="360" t="str">
        <f t="shared" si="46"/>
        <v>quinta-feira</v>
      </c>
    </row>
    <row r="1291" spans="19:22">
      <c r="S1291" s="357">
        <v>42804</v>
      </c>
      <c r="T1291" s="359" t="str">
        <f t="shared" si="47"/>
        <v>sexta-feira</v>
      </c>
      <c r="U1291" s="361">
        <v>41467</v>
      </c>
      <c r="V1291" s="360" t="str">
        <f t="shared" si="46"/>
        <v>sexta-feira</v>
      </c>
    </row>
    <row r="1292" spans="19:22">
      <c r="S1292" s="357">
        <v>42805</v>
      </c>
      <c r="T1292" s="359" t="str">
        <f t="shared" si="47"/>
        <v>sábado</v>
      </c>
      <c r="U1292" s="361">
        <v>41468</v>
      </c>
      <c r="V1292" s="360" t="str">
        <f t="shared" si="46"/>
        <v>sábado</v>
      </c>
    </row>
    <row r="1293" spans="19:22">
      <c r="S1293" s="357">
        <v>42806</v>
      </c>
      <c r="T1293" s="359" t="str">
        <f t="shared" si="47"/>
        <v>domingo</v>
      </c>
      <c r="U1293" s="361">
        <v>41469</v>
      </c>
      <c r="V1293" s="360" t="str">
        <f t="shared" si="46"/>
        <v>domingo</v>
      </c>
    </row>
    <row r="1294" spans="19:22">
      <c r="S1294" s="357">
        <v>42807</v>
      </c>
      <c r="T1294" s="359" t="str">
        <f t="shared" si="47"/>
        <v>segunda-feira</v>
      </c>
      <c r="U1294" s="361">
        <v>41470</v>
      </c>
      <c r="V1294" s="360" t="str">
        <f t="shared" si="46"/>
        <v>segunda-feira</v>
      </c>
    </row>
    <row r="1295" spans="19:22">
      <c r="S1295" s="357">
        <v>42808</v>
      </c>
      <c r="T1295" s="359" t="str">
        <f t="shared" si="47"/>
        <v>terça-feira</v>
      </c>
      <c r="U1295" s="361">
        <v>41471</v>
      </c>
      <c r="V1295" s="360" t="str">
        <f t="shared" si="46"/>
        <v>terça-feira</v>
      </c>
    </row>
    <row r="1296" spans="19:22">
      <c r="S1296" s="357">
        <v>42809</v>
      </c>
      <c r="T1296" s="359" t="str">
        <f t="shared" si="47"/>
        <v>quarta-feira</v>
      </c>
      <c r="U1296" s="361">
        <v>41472</v>
      </c>
      <c r="V1296" s="360" t="str">
        <f t="shared" si="46"/>
        <v>quarta-feira</v>
      </c>
    </row>
    <row r="1297" spans="19:22">
      <c r="S1297" s="357">
        <v>42810</v>
      </c>
      <c r="T1297" s="359" t="str">
        <f t="shared" si="47"/>
        <v>quinta-feira</v>
      </c>
      <c r="U1297" s="361">
        <v>41473</v>
      </c>
      <c r="V1297" s="360" t="str">
        <f t="shared" si="46"/>
        <v>quinta-feira</v>
      </c>
    </row>
    <row r="1298" spans="19:22">
      <c r="S1298" s="357">
        <v>42811</v>
      </c>
      <c r="T1298" s="359" t="str">
        <f t="shared" si="47"/>
        <v>sexta-feira</v>
      </c>
      <c r="U1298" s="361">
        <v>41474</v>
      </c>
      <c r="V1298" s="360" t="str">
        <f t="shared" si="46"/>
        <v>sexta-feira</v>
      </c>
    </row>
    <row r="1299" spans="19:22">
      <c r="S1299" s="357">
        <v>42812</v>
      </c>
      <c r="T1299" s="359" t="str">
        <f t="shared" si="47"/>
        <v>sábado</v>
      </c>
      <c r="U1299" s="361">
        <v>41475</v>
      </c>
      <c r="V1299" s="360" t="str">
        <f t="shared" si="46"/>
        <v>sábado</v>
      </c>
    </row>
    <row r="1300" spans="19:22">
      <c r="S1300" s="357">
        <v>42813</v>
      </c>
      <c r="T1300" s="359" t="str">
        <f t="shared" si="47"/>
        <v>domingo</v>
      </c>
      <c r="U1300" s="361">
        <v>41476</v>
      </c>
      <c r="V1300" s="360" t="str">
        <f t="shared" si="46"/>
        <v>domingo</v>
      </c>
    </row>
    <row r="1301" spans="19:22">
      <c r="S1301" s="357">
        <v>42814</v>
      </c>
      <c r="T1301" s="359" t="str">
        <f t="shared" si="47"/>
        <v>segunda-feira</v>
      </c>
      <c r="U1301" s="361">
        <v>41477</v>
      </c>
      <c r="V1301" s="360" t="str">
        <f t="shared" si="46"/>
        <v>segunda-feira</v>
      </c>
    </row>
    <row r="1302" spans="19:22">
      <c r="S1302" s="357">
        <v>42815</v>
      </c>
      <c r="T1302" s="359" t="str">
        <f t="shared" si="47"/>
        <v>terça-feira</v>
      </c>
      <c r="U1302" s="361">
        <v>41478</v>
      </c>
      <c r="V1302" s="360" t="str">
        <f t="shared" si="46"/>
        <v>terça-feira</v>
      </c>
    </row>
    <row r="1303" spans="19:22">
      <c r="S1303" s="357">
        <v>42816</v>
      </c>
      <c r="T1303" s="359" t="str">
        <f t="shared" si="47"/>
        <v>quarta-feira</v>
      </c>
      <c r="U1303" s="361">
        <v>41479</v>
      </c>
      <c r="V1303" s="360" t="str">
        <f t="shared" si="46"/>
        <v>quarta-feira</v>
      </c>
    </row>
    <row r="1304" spans="19:22">
      <c r="S1304" s="357">
        <v>42817</v>
      </c>
      <c r="T1304" s="359" t="str">
        <f t="shared" si="47"/>
        <v>quinta-feira</v>
      </c>
      <c r="U1304" s="361">
        <v>41480</v>
      </c>
      <c r="V1304" s="360" t="str">
        <f t="shared" si="46"/>
        <v>quinta-feira</v>
      </c>
    </row>
    <row r="1305" spans="19:22">
      <c r="S1305" s="357">
        <v>42818</v>
      </c>
      <c r="T1305" s="359" t="str">
        <f t="shared" si="47"/>
        <v>sexta-feira</v>
      </c>
      <c r="U1305" s="361">
        <v>41481</v>
      </c>
      <c r="V1305" s="360" t="str">
        <f t="shared" si="46"/>
        <v>sexta-feira</v>
      </c>
    </row>
    <row r="1306" spans="19:22">
      <c r="S1306" s="357">
        <v>42819</v>
      </c>
      <c r="T1306" s="359" t="str">
        <f t="shared" si="47"/>
        <v>sábado</v>
      </c>
      <c r="U1306" s="361">
        <v>41482</v>
      </c>
      <c r="V1306" s="360" t="str">
        <f t="shared" si="46"/>
        <v>sábado</v>
      </c>
    </row>
    <row r="1307" spans="19:22">
      <c r="S1307" s="357">
        <v>42820</v>
      </c>
      <c r="T1307" s="359" t="str">
        <f t="shared" si="47"/>
        <v>domingo</v>
      </c>
      <c r="U1307" s="361">
        <v>41483</v>
      </c>
      <c r="V1307" s="360" t="str">
        <f t="shared" si="46"/>
        <v>domingo</v>
      </c>
    </row>
    <row r="1308" spans="19:22">
      <c r="S1308" s="357">
        <v>42821</v>
      </c>
      <c r="T1308" s="359" t="str">
        <f t="shared" si="47"/>
        <v>segunda-feira</v>
      </c>
      <c r="U1308" s="361">
        <v>41484</v>
      </c>
      <c r="V1308" s="360" t="str">
        <f t="shared" si="46"/>
        <v>segunda-feira</v>
      </c>
    </row>
    <row r="1309" spans="19:22">
      <c r="S1309" s="357">
        <v>42822</v>
      </c>
      <c r="T1309" s="359" t="str">
        <f t="shared" si="47"/>
        <v>terça-feira</v>
      </c>
      <c r="U1309" s="361">
        <v>41485</v>
      </c>
      <c r="V1309" s="360" t="str">
        <f t="shared" si="46"/>
        <v>terça-feira</v>
      </c>
    </row>
    <row r="1310" spans="19:22">
      <c r="S1310" s="357">
        <v>42823</v>
      </c>
      <c r="T1310" s="359" t="str">
        <f t="shared" si="47"/>
        <v>quarta-feira</v>
      </c>
      <c r="U1310" s="361">
        <v>41486</v>
      </c>
      <c r="V1310" s="360" t="str">
        <f t="shared" si="46"/>
        <v>quarta-feira</v>
      </c>
    </row>
    <row r="1311" spans="19:22">
      <c r="S1311" s="357">
        <v>42824</v>
      </c>
      <c r="T1311" s="359" t="str">
        <f t="shared" si="47"/>
        <v>quinta-feira</v>
      </c>
      <c r="U1311" s="361">
        <v>41487</v>
      </c>
      <c r="V1311" s="360" t="str">
        <f t="shared" si="46"/>
        <v>quinta-feira</v>
      </c>
    </row>
    <row r="1312" spans="19:22">
      <c r="S1312" s="357">
        <v>42825</v>
      </c>
      <c r="T1312" s="359" t="str">
        <f t="shared" si="47"/>
        <v>sexta-feira</v>
      </c>
      <c r="U1312" s="361">
        <v>41488</v>
      </c>
      <c r="V1312" s="360" t="str">
        <f t="shared" si="46"/>
        <v>sexta-feira</v>
      </c>
    </row>
    <row r="1313" spans="19:22">
      <c r="S1313" s="357">
        <v>42826</v>
      </c>
      <c r="T1313" s="359" t="str">
        <f t="shared" si="47"/>
        <v>sábado</v>
      </c>
      <c r="U1313" s="361">
        <v>41489</v>
      </c>
      <c r="V1313" s="360" t="str">
        <f t="shared" si="46"/>
        <v>sábado</v>
      </c>
    </row>
    <row r="1314" spans="19:22">
      <c r="S1314" s="357">
        <v>42827</v>
      </c>
      <c r="T1314" s="359" t="str">
        <f t="shared" si="47"/>
        <v>domingo</v>
      </c>
      <c r="U1314" s="361">
        <v>41490</v>
      </c>
      <c r="V1314" s="360" t="str">
        <f t="shared" si="46"/>
        <v>domingo</v>
      </c>
    </row>
    <row r="1315" spans="19:22">
      <c r="S1315" s="357">
        <v>42828</v>
      </c>
      <c r="T1315" s="359" t="str">
        <f t="shared" si="47"/>
        <v>segunda-feira</v>
      </c>
      <c r="U1315" s="361">
        <v>41491</v>
      </c>
      <c r="V1315" s="360" t="str">
        <f t="shared" si="46"/>
        <v>segunda-feira</v>
      </c>
    </row>
    <row r="1316" spans="19:22">
      <c r="S1316" s="357">
        <v>42829</v>
      </c>
      <c r="T1316" s="359" t="str">
        <f t="shared" si="47"/>
        <v>terça-feira</v>
      </c>
      <c r="U1316" s="361">
        <v>41492</v>
      </c>
      <c r="V1316" s="360" t="str">
        <f t="shared" si="46"/>
        <v>terça-feira</v>
      </c>
    </row>
    <row r="1317" spans="19:22">
      <c r="S1317" s="357">
        <v>42830</v>
      </c>
      <c r="T1317" s="359" t="str">
        <f t="shared" si="47"/>
        <v>quarta-feira</v>
      </c>
      <c r="U1317" s="361">
        <v>41493</v>
      </c>
      <c r="V1317" s="360" t="str">
        <f t="shared" si="46"/>
        <v>quarta-feira</v>
      </c>
    </row>
    <row r="1318" spans="19:22">
      <c r="S1318" s="357">
        <v>42831</v>
      </c>
      <c r="T1318" s="359" t="str">
        <f t="shared" si="47"/>
        <v>quinta-feira</v>
      </c>
      <c r="U1318" s="361">
        <v>41494</v>
      </c>
      <c r="V1318" s="360" t="str">
        <f t="shared" si="46"/>
        <v>quinta-feira</v>
      </c>
    </row>
    <row r="1319" spans="19:22">
      <c r="S1319" s="357">
        <v>42832</v>
      </c>
      <c r="T1319" s="359" t="str">
        <f t="shared" si="47"/>
        <v>sexta-feira</v>
      </c>
      <c r="U1319" s="361">
        <v>41495</v>
      </c>
      <c r="V1319" s="360" t="str">
        <f t="shared" si="46"/>
        <v>sexta-feira</v>
      </c>
    </row>
    <row r="1320" spans="19:22">
      <c r="S1320" s="357">
        <v>42833</v>
      </c>
      <c r="T1320" s="359" t="str">
        <f t="shared" si="47"/>
        <v>sábado</v>
      </c>
      <c r="U1320" s="361">
        <v>41496</v>
      </c>
      <c r="V1320" s="360" t="str">
        <f t="shared" si="46"/>
        <v>sábado</v>
      </c>
    </row>
    <row r="1321" spans="19:22">
      <c r="S1321" s="357">
        <v>42834</v>
      </c>
      <c r="T1321" s="359" t="str">
        <f t="shared" si="47"/>
        <v>domingo</v>
      </c>
      <c r="U1321" s="361">
        <v>41497</v>
      </c>
      <c r="V1321" s="360" t="str">
        <f t="shared" ref="V1321:V1384" si="48">TEXT(U1321,"dddd")</f>
        <v>domingo</v>
      </c>
    </row>
    <row r="1322" spans="19:22">
      <c r="S1322" s="357">
        <v>42835</v>
      </c>
      <c r="T1322" s="359" t="str">
        <f t="shared" si="47"/>
        <v>segunda-feira</v>
      </c>
      <c r="U1322" s="361">
        <v>41498</v>
      </c>
      <c r="V1322" s="360" t="str">
        <f t="shared" si="48"/>
        <v>segunda-feira</v>
      </c>
    </row>
    <row r="1323" spans="19:22">
      <c r="S1323" s="357">
        <v>42836</v>
      </c>
      <c r="T1323" s="359" t="str">
        <f t="shared" si="47"/>
        <v>terça-feira</v>
      </c>
      <c r="U1323" s="361">
        <v>41499</v>
      </c>
      <c r="V1323" s="360" t="str">
        <f t="shared" si="48"/>
        <v>terça-feira</v>
      </c>
    </row>
    <row r="1324" spans="19:22">
      <c r="S1324" s="357">
        <v>42837</v>
      </c>
      <c r="T1324" s="359" t="str">
        <f t="shared" si="47"/>
        <v>quarta-feira</v>
      </c>
      <c r="U1324" s="361">
        <v>41500</v>
      </c>
      <c r="V1324" s="360" t="str">
        <f t="shared" si="48"/>
        <v>quarta-feira</v>
      </c>
    </row>
    <row r="1325" spans="19:22">
      <c r="S1325" s="357">
        <v>42838</v>
      </c>
      <c r="T1325" s="359" t="str">
        <f t="shared" si="47"/>
        <v>quinta-feira</v>
      </c>
      <c r="U1325" s="361">
        <v>41501</v>
      </c>
      <c r="V1325" s="360" t="str">
        <f t="shared" si="48"/>
        <v>quinta-feira</v>
      </c>
    </row>
    <row r="1326" spans="19:22">
      <c r="S1326" s="357">
        <v>42839</v>
      </c>
      <c r="T1326" s="359" t="str">
        <f t="shared" si="47"/>
        <v>sexta-feira</v>
      </c>
      <c r="U1326" s="361">
        <v>41502</v>
      </c>
      <c r="V1326" s="360" t="str">
        <f t="shared" si="48"/>
        <v>sexta-feira</v>
      </c>
    </row>
    <row r="1327" spans="19:22">
      <c r="S1327" s="357">
        <v>42840</v>
      </c>
      <c r="T1327" s="359" t="str">
        <f t="shared" si="47"/>
        <v>sábado</v>
      </c>
      <c r="U1327" s="361">
        <v>41503</v>
      </c>
      <c r="V1327" s="360" t="str">
        <f t="shared" si="48"/>
        <v>sábado</v>
      </c>
    </row>
    <row r="1328" spans="19:22">
      <c r="S1328" s="357">
        <v>42841</v>
      </c>
      <c r="T1328" s="359" t="str">
        <f t="shared" si="47"/>
        <v>domingo</v>
      </c>
      <c r="U1328" s="361">
        <v>41504</v>
      </c>
      <c r="V1328" s="360" t="str">
        <f t="shared" si="48"/>
        <v>domingo</v>
      </c>
    </row>
    <row r="1329" spans="19:22">
      <c r="S1329" s="357">
        <v>42842</v>
      </c>
      <c r="T1329" s="359" t="str">
        <f t="shared" si="47"/>
        <v>segunda-feira</v>
      </c>
      <c r="U1329" s="361">
        <v>41505</v>
      </c>
      <c r="V1329" s="360" t="str">
        <f t="shared" si="48"/>
        <v>segunda-feira</v>
      </c>
    </row>
    <row r="1330" spans="19:22">
      <c r="S1330" s="357">
        <v>42843</v>
      </c>
      <c r="T1330" s="359" t="str">
        <f t="shared" si="47"/>
        <v>terça-feira</v>
      </c>
      <c r="U1330" s="361">
        <v>41506</v>
      </c>
      <c r="V1330" s="360" t="str">
        <f t="shared" si="48"/>
        <v>terça-feira</v>
      </c>
    </row>
    <row r="1331" spans="19:22">
      <c r="S1331" s="357">
        <v>42844</v>
      </c>
      <c r="T1331" s="359" t="str">
        <f t="shared" si="47"/>
        <v>quarta-feira</v>
      </c>
      <c r="U1331" s="361">
        <v>41507</v>
      </c>
      <c r="V1331" s="360" t="str">
        <f t="shared" si="48"/>
        <v>quarta-feira</v>
      </c>
    </row>
    <row r="1332" spans="19:22">
      <c r="S1332" s="357">
        <v>42845</v>
      </c>
      <c r="T1332" s="359" t="str">
        <f t="shared" si="47"/>
        <v>quinta-feira</v>
      </c>
      <c r="U1332" s="361">
        <v>41508</v>
      </c>
      <c r="V1332" s="360" t="str">
        <f t="shared" si="48"/>
        <v>quinta-feira</v>
      </c>
    </row>
    <row r="1333" spans="19:22">
      <c r="S1333" s="357">
        <v>42846</v>
      </c>
      <c r="T1333" s="359" t="str">
        <f t="shared" si="47"/>
        <v>sexta-feira</v>
      </c>
      <c r="U1333" s="361">
        <v>41509</v>
      </c>
      <c r="V1333" s="360" t="str">
        <f t="shared" si="48"/>
        <v>sexta-feira</v>
      </c>
    </row>
    <row r="1334" spans="19:22">
      <c r="S1334" s="357">
        <v>42847</v>
      </c>
      <c r="T1334" s="359" t="str">
        <f t="shared" si="47"/>
        <v>sábado</v>
      </c>
      <c r="U1334" s="361">
        <v>41510</v>
      </c>
      <c r="V1334" s="360" t="str">
        <f t="shared" si="48"/>
        <v>sábado</v>
      </c>
    </row>
    <row r="1335" spans="19:22">
      <c r="S1335" s="357">
        <v>42848</v>
      </c>
      <c r="T1335" s="359" t="str">
        <f t="shared" ref="T1335:T1398" si="49">TEXT(S1335,"dddd")</f>
        <v>domingo</v>
      </c>
      <c r="U1335" s="361">
        <v>41511</v>
      </c>
      <c r="V1335" s="360" t="str">
        <f t="shared" si="48"/>
        <v>domingo</v>
      </c>
    </row>
    <row r="1336" spans="19:22">
      <c r="S1336" s="357">
        <v>42849</v>
      </c>
      <c r="T1336" s="359" t="str">
        <f t="shared" si="49"/>
        <v>segunda-feira</v>
      </c>
      <c r="U1336" s="361">
        <v>41512</v>
      </c>
      <c r="V1336" s="360" t="str">
        <f t="shared" si="48"/>
        <v>segunda-feira</v>
      </c>
    </row>
    <row r="1337" spans="19:22">
      <c r="S1337" s="357">
        <v>42850</v>
      </c>
      <c r="T1337" s="359" t="str">
        <f t="shared" si="49"/>
        <v>terça-feira</v>
      </c>
      <c r="U1337" s="361">
        <v>41513</v>
      </c>
      <c r="V1337" s="360" t="str">
        <f t="shared" si="48"/>
        <v>terça-feira</v>
      </c>
    </row>
    <row r="1338" spans="19:22">
      <c r="S1338" s="357">
        <v>42851</v>
      </c>
      <c r="T1338" s="359" t="str">
        <f t="shared" si="49"/>
        <v>quarta-feira</v>
      </c>
      <c r="U1338" s="361">
        <v>41514</v>
      </c>
      <c r="V1338" s="360" t="str">
        <f t="shared" si="48"/>
        <v>quarta-feira</v>
      </c>
    </row>
    <row r="1339" spans="19:22">
      <c r="S1339" s="357">
        <v>42852</v>
      </c>
      <c r="T1339" s="359" t="str">
        <f t="shared" si="49"/>
        <v>quinta-feira</v>
      </c>
      <c r="U1339" s="361">
        <v>41515</v>
      </c>
      <c r="V1339" s="360" t="str">
        <f t="shared" si="48"/>
        <v>quinta-feira</v>
      </c>
    </row>
    <row r="1340" spans="19:22">
      <c r="S1340" s="357">
        <v>42853</v>
      </c>
      <c r="T1340" s="359" t="str">
        <f t="shared" si="49"/>
        <v>sexta-feira</v>
      </c>
      <c r="U1340" s="361">
        <v>41516</v>
      </c>
      <c r="V1340" s="360" t="str">
        <f t="shared" si="48"/>
        <v>sexta-feira</v>
      </c>
    </row>
    <row r="1341" spans="19:22">
      <c r="S1341" s="357">
        <v>42854</v>
      </c>
      <c r="T1341" s="359" t="str">
        <f t="shared" si="49"/>
        <v>sábado</v>
      </c>
      <c r="U1341" s="361">
        <v>41517</v>
      </c>
      <c r="V1341" s="360" t="str">
        <f t="shared" si="48"/>
        <v>sábado</v>
      </c>
    </row>
    <row r="1342" spans="19:22">
      <c r="S1342" s="357">
        <v>42855</v>
      </c>
      <c r="T1342" s="359" t="str">
        <f t="shared" si="49"/>
        <v>domingo</v>
      </c>
      <c r="U1342" s="361">
        <v>41518</v>
      </c>
      <c r="V1342" s="360" t="str">
        <f t="shared" si="48"/>
        <v>domingo</v>
      </c>
    </row>
    <row r="1343" spans="19:22">
      <c r="S1343" s="357">
        <v>42856</v>
      </c>
      <c r="T1343" s="359" t="str">
        <f t="shared" si="49"/>
        <v>segunda-feira</v>
      </c>
      <c r="U1343" s="361">
        <v>41519</v>
      </c>
      <c r="V1343" s="360" t="str">
        <f t="shared" si="48"/>
        <v>segunda-feira</v>
      </c>
    </row>
    <row r="1344" spans="19:22">
      <c r="S1344" s="357">
        <v>42857</v>
      </c>
      <c r="T1344" s="359" t="str">
        <f t="shared" si="49"/>
        <v>terça-feira</v>
      </c>
      <c r="U1344" s="361">
        <v>41520</v>
      </c>
      <c r="V1344" s="360" t="str">
        <f t="shared" si="48"/>
        <v>terça-feira</v>
      </c>
    </row>
    <row r="1345" spans="19:22">
      <c r="S1345" s="357">
        <v>42858</v>
      </c>
      <c r="T1345" s="359" t="str">
        <f t="shared" si="49"/>
        <v>quarta-feira</v>
      </c>
      <c r="U1345" s="361">
        <v>41521</v>
      </c>
      <c r="V1345" s="360" t="str">
        <f t="shared" si="48"/>
        <v>quarta-feira</v>
      </c>
    </row>
    <row r="1346" spans="19:22">
      <c r="S1346" s="357">
        <v>42859</v>
      </c>
      <c r="T1346" s="359" t="str">
        <f t="shared" si="49"/>
        <v>quinta-feira</v>
      </c>
      <c r="U1346" s="361">
        <v>41522</v>
      </c>
      <c r="V1346" s="360" t="str">
        <f t="shared" si="48"/>
        <v>quinta-feira</v>
      </c>
    </row>
    <row r="1347" spans="19:22">
      <c r="S1347" s="357">
        <v>42860</v>
      </c>
      <c r="T1347" s="359" t="str">
        <f t="shared" si="49"/>
        <v>sexta-feira</v>
      </c>
      <c r="U1347" s="361">
        <v>41523</v>
      </c>
      <c r="V1347" s="360" t="str">
        <f t="shared" si="48"/>
        <v>sexta-feira</v>
      </c>
    </row>
    <row r="1348" spans="19:22">
      <c r="S1348" s="357">
        <v>42861</v>
      </c>
      <c r="T1348" s="359" t="str">
        <f t="shared" si="49"/>
        <v>sábado</v>
      </c>
      <c r="U1348" s="361">
        <v>41524</v>
      </c>
      <c r="V1348" s="360" t="str">
        <f t="shared" si="48"/>
        <v>sábado</v>
      </c>
    </row>
    <row r="1349" spans="19:22">
      <c r="S1349" s="357">
        <v>42862</v>
      </c>
      <c r="T1349" s="359" t="str">
        <f t="shared" si="49"/>
        <v>domingo</v>
      </c>
      <c r="U1349" s="361">
        <v>41525</v>
      </c>
      <c r="V1349" s="360" t="str">
        <f t="shared" si="48"/>
        <v>domingo</v>
      </c>
    </row>
    <row r="1350" spans="19:22">
      <c r="S1350" s="357">
        <v>42863</v>
      </c>
      <c r="T1350" s="359" t="str">
        <f t="shared" si="49"/>
        <v>segunda-feira</v>
      </c>
      <c r="U1350" s="361">
        <v>41526</v>
      </c>
      <c r="V1350" s="360" t="str">
        <f t="shared" si="48"/>
        <v>segunda-feira</v>
      </c>
    </row>
    <row r="1351" spans="19:22">
      <c r="S1351" s="357">
        <v>42864</v>
      </c>
      <c r="T1351" s="359" t="str">
        <f t="shared" si="49"/>
        <v>terça-feira</v>
      </c>
      <c r="U1351" s="361">
        <v>41527</v>
      </c>
      <c r="V1351" s="360" t="str">
        <f t="shared" si="48"/>
        <v>terça-feira</v>
      </c>
    </row>
    <row r="1352" spans="19:22">
      <c r="S1352" s="357">
        <v>42865</v>
      </c>
      <c r="T1352" s="359" t="str">
        <f t="shared" si="49"/>
        <v>quarta-feira</v>
      </c>
      <c r="U1352" s="361">
        <v>41528</v>
      </c>
      <c r="V1352" s="360" t="str">
        <f t="shared" si="48"/>
        <v>quarta-feira</v>
      </c>
    </row>
    <row r="1353" spans="19:22">
      <c r="S1353" s="357">
        <v>42866</v>
      </c>
      <c r="T1353" s="359" t="str">
        <f t="shared" si="49"/>
        <v>quinta-feira</v>
      </c>
      <c r="U1353" s="361">
        <v>41529</v>
      </c>
      <c r="V1353" s="360" t="str">
        <f t="shared" si="48"/>
        <v>quinta-feira</v>
      </c>
    </row>
    <row r="1354" spans="19:22">
      <c r="S1354" s="357">
        <v>42867</v>
      </c>
      <c r="T1354" s="359" t="str">
        <f t="shared" si="49"/>
        <v>sexta-feira</v>
      </c>
      <c r="U1354" s="361">
        <v>41530</v>
      </c>
      <c r="V1354" s="360" t="str">
        <f t="shared" si="48"/>
        <v>sexta-feira</v>
      </c>
    </row>
    <row r="1355" spans="19:22">
      <c r="S1355" s="357">
        <v>42868</v>
      </c>
      <c r="T1355" s="359" t="str">
        <f t="shared" si="49"/>
        <v>sábado</v>
      </c>
      <c r="U1355" s="361">
        <v>41531</v>
      </c>
      <c r="V1355" s="360" t="str">
        <f t="shared" si="48"/>
        <v>sábado</v>
      </c>
    </row>
    <row r="1356" spans="19:22">
      <c r="S1356" s="357">
        <v>42869</v>
      </c>
      <c r="T1356" s="359" t="str">
        <f t="shared" si="49"/>
        <v>domingo</v>
      </c>
      <c r="U1356" s="361">
        <v>41532</v>
      </c>
      <c r="V1356" s="360" t="str">
        <f t="shared" si="48"/>
        <v>domingo</v>
      </c>
    </row>
    <row r="1357" spans="19:22">
      <c r="S1357" s="357">
        <v>42870</v>
      </c>
      <c r="T1357" s="359" t="str">
        <f t="shared" si="49"/>
        <v>segunda-feira</v>
      </c>
      <c r="U1357" s="361">
        <v>41533</v>
      </c>
      <c r="V1357" s="360" t="str">
        <f t="shared" si="48"/>
        <v>segunda-feira</v>
      </c>
    </row>
    <row r="1358" spans="19:22">
      <c r="S1358" s="357">
        <v>42871</v>
      </c>
      <c r="T1358" s="359" t="str">
        <f t="shared" si="49"/>
        <v>terça-feira</v>
      </c>
      <c r="U1358" s="361">
        <v>41534</v>
      </c>
      <c r="V1358" s="360" t="str">
        <f t="shared" si="48"/>
        <v>terça-feira</v>
      </c>
    </row>
    <row r="1359" spans="19:22">
      <c r="S1359" s="357">
        <v>42872</v>
      </c>
      <c r="T1359" s="359" t="str">
        <f t="shared" si="49"/>
        <v>quarta-feira</v>
      </c>
      <c r="U1359" s="361">
        <v>41535</v>
      </c>
      <c r="V1359" s="360" t="str">
        <f t="shared" si="48"/>
        <v>quarta-feira</v>
      </c>
    </row>
    <row r="1360" spans="19:22">
      <c r="S1360" s="357">
        <v>42873</v>
      </c>
      <c r="T1360" s="359" t="str">
        <f t="shared" si="49"/>
        <v>quinta-feira</v>
      </c>
      <c r="U1360" s="361">
        <v>41536</v>
      </c>
      <c r="V1360" s="360" t="str">
        <f t="shared" si="48"/>
        <v>quinta-feira</v>
      </c>
    </row>
    <row r="1361" spans="19:22">
      <c r="S1361" s="357">
        <v>42874</v>
      </c>
      <c r="T1361" s="359" t="str">
        <f t="shared" si="49"/>
        <v>sexta-feira</v>
      </c>
      <c r="U1361" s="361">
        <v>41537</v>
      </c>
      <c r="V1361" s="360" t="str">
        <f t="shared" si="48"/>
        <v>sexta-feira</v>
      </c>
    </row>
    <row r="1362" spans="19:22">
      <c r="S1362" s="357">
        <v>42875</v>
      </c>
      <c r="T1362" s="359" t="str">
        <f t="shared" si="49"/>
        <v>sábado</v>
      </c>
      <c r="U1362" s="361">
        <v>41538</v>
      </c>
      <c r="V1362" s="360" t="str">
        <f t="shared" si="48"/>
        <v>sábado</v>
      </c>
    </row>
    <row r="1363" spans="19:22">
      <c r="S1363" s="357">
        <v>42876</v>
      </c>
      <c r="T1363" s="359" t="str">
        <f t="shared" si="49"/>
        <v>domingo</v>
      </c>
      <c r="U1363" s="361">
        <v>41539</v>
      </c>
      <c r="V1363" s="360" t="str">
        <f t="shared" si="48"/>
        <v>domingo</v>
      </c>
    </row>
    <row r="1364" spans="19:22">
      <c r="S1364" s="357">
        <v>42877</v>
      </c>
      <c r="T1364" s="359" t="str">
        <f t="shared" si="49"/>
        <v>segunda-feira</v>
      </c>
      <c r="U1364" s="361">
        <v>41540</v>
      </c>
      <c r="V1364" s="360" t="str">
        <f t="shared" si="48"/>
        <v>segunda-feira</v>
      </c>
    </row>
    <row r="1365" spans="19:22">
      <c r="S1365" s="357">
        <v>42878</v>
      </c>
      <c r="T1365" s="359" t="str">
        <f t="shared" si="49"/>
        <v>terça-feira</v>
      </c>
      <c r="U1365" s="361">
        <v>41541</v>
      </c>
      <c r="V1365" s="360" t="str">
        <f t="shared" si="48"/>
        <v>terça-feira</v>
      </c>
    </row>
    <row r="1366" spans="19:22">
      <c r="S1366" s="357">
        <v>42879</v>
      </c>
      <c r="T1366" s="359" t="str">
        <f t="shared" si="49"/>
        <v>quarta-feira</v>
      </c>
      <c r="U1366" s="361">
        <v>41542</v>
      </c>
      <c r="V1366" s="360" t="str">
        <f t="shared" si="48"/>
        <v>quarta-feira</v>
      </c>
    </row>
    <row r="1367" spans="19:22">
      <c r="S1367" s="357">
        <v>42880</v>
      </c>
      <c r="T1367" s="359" t="str">
        <f t="shared" si="49"/>
        <v>quinta-feira</v>
      </c>
      <c r="U1367" s="361">
        <v>41543</v>
      </c>
      <c r="V1367" s="360" t="str">
        <f t="shared" si="48"/>
        <v>quinta-feira</v>
      </c>
    </row>
    <row r="1368" spans="19:22">
      <c r="S1368" s="357">
        <v>42881</v>
      </c>
      <c r="T1368" s="359" t="str">
        <f t="shared" si="49"/>
        <v>sexta-feira</v>
      </c>
      <c r="U1368" s="361">
        <v>41544</v>
      </c>
      <c r="V1368" s="360" t="str">
        <f t="shared" si="48"/>
        <v>sexta-feira</v>
      </c>
    </row>
    <row r="1369" spans="19:22">
      <c r="S1369" s="357">
        <v>42882</v>
      </c>
      <c r="T1369" s="359" t="str">
        <f t="shared" si="49"/>
        <v>sábado</v>
      </c>
      <c r="U1369" s="361">
        <v>41545</v>
      </c>
      <c r="V1369" s="360" t="str">
        <f t="shared" si="48"/>
        <v>sábado</v>
      </c>
    </row>
    <row r="1370" spans="19:22">
      <c r="S1370" s="357">
        <v>42883</v>
      </c>
      <c r="T1370" s="359" t="str">
        <f t="shared" si="49"/>
        <v>domingo</v>
      </c>
      <c r="U1370" s="361">
        <v>41546</v>
      </c>
      <c r="V1370" s="360" t="str">
        <f t="shared" si="48"/>
        <v>domingo</v>
      </c>
    </row>
    <row r="1371" spans="19:22">
      <c r="S1371" s="357">
        <v>42884</v>
      </c>
      <c r="T1371" s="359" t="str">
        <f t="shared" si="49"/>
        <v>segunda-feira</v>
      </c>
      <c r="U1371" s="361">
        <v>41547</v>
      </c>
      <c r="V1371" s="360" t="str">
        <f t="shared" si="48"/>
        <v>segunda-feira</v>
      </c>
    </row>
    <row r="1372" spans="19:22">
      <c r="S1372" s="357">
        <v>42885</v>
      </c>
      <c r="T1372" s="359" t="str">
        <f t="shared" si="49"/>
        <v>terça-feira</v>
      </c>
      <c r="U1372" s="361">
        <v>41548</v>
      </c>
      <c r="V1372" s="360" t="str">
        <f t="shared" si="48"/>
        <v>terça-feira</v>
      </c>
    </row>
    <row r="1373" spans="19:22">
      <c r="S1373" s="357">
        <v>42886</v>
      </c>
      <c r="T1373" s="359" t="str">
        <f t="shared" si="49"/>
        <v>quarta-feira</v>
      </c>
      <c r="U1373" s="361">
        <v>41549</v>
      </c>
      <c r="V1373" s="360" t="str">
        <f t="shared" si="48"/>
        <v>quarta-feira</v>
      </c>
    </row>
    <row r="1374" spans="19:22">
      <c r="S1374" s="357">
        <v>42887</v>
      </c>
      <c r="T1374" s="359" t="str">
        <f t="shared" si="49"/>
        <v>quinta-feira</v>
      </c>
      <c r="U1374" s="361">
        <v>41550</v>
      </c>
      <c r="V1374" s="360" t="str">
        <f t="shared" si="48"/>
        <v>quinta-feira</v>
      </c>
    </row>
    <row r="1375" spans="19:22">
      <c r="S1375" s="357">
        <v>42888</v>
      </c>
      <c r="T1375" s="359" t="str">
        <f t="shared" si="49"/>
        <v>sexta-feira</v>
      </c>
      <c r="U1375" s="361">
        <v>41551</v>
      </c>
      <c r="V1375" s="360" t="str">
        <f t="shared" si="48"/>
        <v>sexta-feira</v>
      </c>
    </row>
    <row r="1376" spans="19:22">
      <c r="S1376" s="357">
        <v>42889</v>
      </c>
      <c r="T1376" s="359" t="str">
        <f t="shared" si="49"/>
        <v>sábado</v>
      </c>
      <c r="U1376" s="361">
        <v>41552</v>
      </c>
      <c r="V1376" s="360" t="str">
        <f t="shared" si="48"/>
        <v>sábado</v>
      </c>
    </row>
    <row r="1377" spans="19:22">
      <c r="S1377" s="357">
        <v>42890</v>
      </c>
      <c r="T1377" s="359" t="str">
        <f t="shared" si="49"/>
        <v>domingo</v>
      </c>
      <c r="U1377" s="361">
        <v>41553</v>
      </c>
      <c r="V1377" s="360" t="str">
        <f t="shared" si="48"/>
        <v>domingo</v>
      </c>
    </row>
    <row r="1378" spans="19:22">
      <c r="S1378" s="357">
        <v>42891</v>
      </c>
      <c r="T1378" s="359" t="str">
        <f t="shared" si="49"/>
        <v>segunda-feira</v>
      </c>
      <c r="U1378" s="361">
        <v>41554</v>
      </c>
      <c r="V1378" s="360" t="str">
        <f t="shared" si="48"/>
        <v>segunda-feira</v>
      </c>
    </row>
    <row r="1379" spans="19:22">
      <c r="S1379" s="357">
        <v>42892</v>
      </c>
      <c r="T1379" s="359" t="str">
        <f t="shared" si="49"/>
        <v>terça-feira</v>
      </c>
      <c r="U1379" s="361">
        <v>41555</v>
      </c>
      <c r="V1379" s="360" t="str">
        <f t="shared" si="48"/>
        <v>terça-feira</v>
      </c>
    </row>
    <row r="1380" spans="19:22">
      <c r="S1380" s="357">
        <v>42893</v>
      </c>
      <c r="T1380" s="359" t="str">
        <f t="shared" si="49"/>
        <v>quarta-feira</v>
      </c>
      <c r="U1380" s="361">
        <v>41556</v>
      </c>
      <c r="V1380" s="360" t="str">
        <f t="shared" si="48"/>
        <v>quarta-feira</v>
      </c>
    </row>
    <row r="1381" spans="19:22">
      <c r="S1381" s="357">
        <v>42894</v>
      </c>
      <c r="T1381" s="359" t="str">
        <f t="shared" si="49"/>
        <v>quinta-feira</v>
      </c>
      <c r="U1381" s="361">
        <v>41557</v>
      </c>
      <c r="V1381" s="360" t="str">
        <f t="shared" si="48"/>
        <v>quinta-feira</v>
      </c>
    </row>
    <row r="1382" spans="19:22">
      <c r="S1382" s="357">
        <v>42895</v>
      </c>
      <c r="T1382" s="359" t="str">
        <f t="shared" si="49"/>
        <v>sexta-feira</v>
      </c>
      <c r="U1382" s="361">
        <v>41558</v>
      </c>
      <c r="V1382" s="360" t="str">
        <f t="shared" si="48"/>
        <v>sexta-feira</v>
      </c>
    </row>
    <row r="1383" spans="19:22">
      <c r="S1383" s="357">
        <v>42896</v>
      </c>
      <c r="T1383" s="359" t="str">
        <f t="shared" si="49"/>
        <v>sábado</v>
      </c>
      <c r="U1383" s="361">
        <v>41559</v>
      </c>
      <c r="V1383" s="360" t="str">
        <f t="shared" si="48"/>
        <v>sábado</v>
      </c>
    </row>
    <row r="1384" spans="19:22">
      <c r="S1384" s="357">
        <v>42897</v>
      </c>
      <c r="T1384" s="359" t="str">
        <f t="shared" si="49"/>
        <v>domingo</v>
      </c>
      <c r="U1384" s="361">
        <v>41560</v>
      </c>
      <c r="V1384" s="360" t="str">
        <f t="shared" si="48"/>
        <v>domingo</v>
      </c>
    </row>
    <row r="1385" spans="19:22">
      <c r="S1385" s="357">
        <v>42898</v>
      </c>
      <c r="T1385" s="359" t="str">
        <f t="shared" si="49"/>
        <v>segunda-feira</v>
      </c>
      <c r="U1385" s="361">
        <v>41561</v>
      </c>
      <c r="V1385" s="360" t="str">
        <f t="shared" ref="V1385:V1448" si="50">TEXT(U1385,"dddd")</f>
        <v>segunda-feira</v>
      </c>
    </row>
    <row r="1386" spans="19:22">
      <c r="S1386" s="357">
        <v>42899</v>
      </c>
      <c r="T1386" s="359" t="str">
        <f t="shared" si="49"/>
        <v>terça-feira</v>
      </c>
      <c r="U1386" s="361">
        <v>41562</v>
      </c>
      <c r="V1386" s="360" t="str">
        <f t="shared" si="50"/>
        <v>terça-feira</v>
      </c>
    </row>
    <row r="1387" spans="19:22">
      <c r="S1387" s="357">
        <v>42900</v>
      </c>
      <c r="T1387" s="359" t="str">
        <f t="shared" si="49"/>
        <v>quarta-feira</v>
      </c>
      <c r="U1387" s="361">
        <v>41563</v>
      </c>
      <c r="V1387" s="360" t="str">
        <f t="shared" si="50"/>
        <v>quarta-feira</v>
      </c>
    </row>
    <row r="1388" spans="19:22">
      <c r="S1388" s="357">
        <v>42901</v>
      </c>
      <c r="T1388" s="359" t="str">
        <f t="shared" si="49"/>
        <v>quinta-feira</v>
      </c>
      <c r="U1388" s="361">
        <v>41564</v>
      </c>
      <c r="V1388" s="360" t="str">
        <f t="shared" si="50"/>
        <v>quinta-feira</v>
      </c>
    </row>
    <row r="1389" spans="19:22">
      <c r="S1389" s="357">
        <v>42902</v>
      </c>
      <c r="T1389" s="359" t="str">
        <f t="shared" si="49"/>
        <v>sexta-feira</v>
      </c>
      <c r="U1389" s="361">
        <v>41565</v>
      </c>
      <c r="V1389" s="360" t="str">
        <f t="shared" si="50"/>
        <v>sexta-feira</v>
      </c>
    </row>
    <row r="1390" spans="19:22">
      <c r="S1390" s="357">
        <v>42903</v>
      </c>
      <c r="T1390" s="359" t="str">
        <f t="shared" si="49"/>
        <v>sábado</v>
      </c>
      <c r="U1390" s="361">
        <v>41566</v>
      </c>
      <c r="V1390" s="360" t="str">
        <f t="shared" si="50"/>
        <v>sábado</v>
      </c>
    </row>
    <row r="1391" spans="19:22">
      <c r="S1391" s="357">
        <v>42904</v>
      </c>
      <c r="T1391" s="359" t="str">
        <f t="shared" si="49"/>
        <v>domingo</v>
      </c>
      <c r="U1391" s="361">
        <v>41567</v>
      </c>
      <c r="V1391" s="360" t="str">
        <f t="shared" si="50"/>
        <v>domingo</v>
      </c>
    </row>
    <row r="1392" spans="19:22">
      <c r="S1392" s="357">
        <v>42905</v>
      </c>
      <c r="T1392" s="359" t="str">
        <f t="shared" si="49"/>
        <v>segunda-feira</v>
      </c>
      <c r="U1392" s="361">
        <v>41568</v>
      </c>
      <c r="V1392" s="360" t="str">
        <f t="shared" si="50"/>
        <v>segunda-feira</v>
      </c>
    </row>
    <row r="1393" spans="19:22">
      <c r="S1393" s="357">
        <v>42906</v>
      </c>
      <c r="T1393" s="359" t="str">
        <f t="shared" si="49"/>
        <v>terça-feira</v>
      </c>
      <c r="U1393" s="361">
        <v>41569</v>
      </c>
      <c r="V1393" s="360" t="str">
        <f t="shared" si="50"/>
        <v>terça-feira</v>
      </c>
    </row>
    <row r="1394" spans="19:22">
      <c r="S1394" s="357">
        <v>42907</v>
      </c>
      <c r="T1394" s="359" t="str">
        <f t="shared" si="49"/>
        <v>quarta-feira</v>
      </c>
      <c r="U1394" s="361">
        <v>41570</v>
      </c>
      <c r="V1394" s="360" t="str">
        <f t="shared" si="50"/>
        <v>quarta-feira</v>
      </c>
    </row>
    <row r="1395" spans="19:22">
      <c r="S1395" s="357">
        <v>42908</v>
      </c>
      <c r="T1395" s="359" t="str">
        <f t="shared" si="49"/>
        <v>quinta-feira</v>
      </c>
      <c r="U1395" s="361">
        <v>41571</v>
      </c>
      <c r="V1395" s="360" t="str">
        <f t="shared" si="50"/>
        <v>quinta-feira</v>
      </c>
    </row>
    <row r="1396" spans="19:22">
      <c r="S1396" s="357">
        <v>42909</v>
      </c>
      <c r="T1396" s="359" t="str">
        <f t="shared" si="49"/>
        <v>sexta-feira</v>
      </c>
      <c r="U1396" s="361">
        <v>41572</v>
      </c>
      <c r="V1396" s="360" t="str">
        <f t="shared" si="50"/>
        <v>sexta-feira</v>
      </c>
    </row>
    <row r="1397" spans="19:22">
      <c r="S1397" s="357">
        <v>42910</v>
      </c>
      <c r="T1397" s="359" t="str">
        <f t="shared" si="49"/>
        <v>sábado</v>
      </c>
      <c r="U1397" s="361">
        <v>41573</v>
      </c>
      <c r="V1397" s="360" t="str">
        <f t="shared" si="50"/>
        <v>sábado</v>
      </c>
    </row>
    <row r="1398" spans="19:22">
      <c r="S1398" s="357">
        <v>42911</v>
      </c>
      <c r="T1398" s="359" t="str">
        <f t="shared" si="49"/>
        <v>domingo</v>
      </c>
      <c r="U1398" s="361">
        <v>41574</v>
      </c>
      <c r="V1398" s="360" t="str">
        <f t="shared" si="50"/>
        <v>domingo</v>
      </c>
    </row>
    <row r="1399" spans="19:22">
      <c r="S1399" s="357">
        <v>42912</v>
      </c>
      <c r="T1399" s="359" t="str">
        <f t="shared" ref="T1399:T1462" si="51">TEXT(S1399,"dddd")</f>
        <v>segunda-feira</v>
      </c>
      <c r="U1399" s="361">
        <v>41575</v>
      </c>
      <c r="V1399" s="360" t="str">
        <f t="shared" si="50"/>
        <v>segunda-feira</v>
      </c>
    </row>
    <row r="1400" spans="19:22">
      <c r="S1400" s="357">
        <v>42913</v>
      </c>
      <c r="T1400" s="359" t="str">
        <f t="shared" si="51"/>
        <v>terça-feira</v>
      </c>
      <c r="U1400" s="361">
        <v>41576</v>
      </c>
      <c r="V1400" s="360" t="str">
        <f t="shared" si="50"/>
        <v>terça-feira</v>
      </c>
    </row>
    <row r="1401" spans="19:22">
      <c r="S1401" s="357">
        <v>42914</v>
      </c>
      <c r="T1401" s="359" t="str">
        <f t="shared" si="51"/>
        <v>quarta-feira</v>
      </c>
      <c r="U1401" s="361">
        <v>41577</v>
      </c>
      <c r="V1401" s="360" t="str">
        <f t="shared" si="50"/>
        <v>quarta-feira</v>
      </c>
    </row>
    <row r="1402" spans="19:22">
      <c r="S1402" s="357">
        <v>42915</v>
      </c>
      <c r="T1402" s="359" t="str">
        <f t="shared" si="51"/>
        <v>quinta-feira</v>
      </c>
      <c r="U1402" s="361">
        <v>41578</v>
      </c>
      <c r="V1402" s="360" t="str">
        <f t="shared" si="50"/>
        <v>quinta-feira</v>
      </c>
    </row>
    <row r="1403" spans="19:22">
      <c r="S1403" s="357">
        <v>42916</v>
      </c>
      <c r="T1403" s="359" t="str">
        <f t="shared" si="51"/>
        <v>sexta-feira</v>
      </c>
      <c r="U1403" s="361">
        <v>41579</v>
      </c>
      <c r="V1403" s="360" t="str">
        <f t="shared" si="50"/>
        <v>sexta-feira</v>
      </c>
    </row>
    <row r="1404" spans="19:22">
      <c r="S1404" s="357">
        <v>42917</v>
      </c>
      <c r="T1404" s="359" t="str">
        <f t="shared" si="51"/>
        <v>sábado</v>
      </c>
      <c r="U1404" s="361">
        <v>41580</v>
      </c>
      <c r="V1404" s="360" t="str">
        <f t="shared" si="50"/>
        <v>sábado</v>
      </c>
    </row>
    <row r="1405" spans="19:22">
      <c r="S1405" s="357">
        <v>42918</v>
      </c>
      <c r="T1405" s="359" t="str">
        <f t="shared" si="51"/>
        <v>domingo</v>
      </c>
      <c r="U1405" s="361">
        <v>41581</v>
      </c>
      <c r="V1405" s="360" t="str">
        <f t="shared" si="50"/>
        <v>domingo</v>
      </c>
    </row>
    <row r="1406" spans="19:22">
      <c r="S1406" s="357">
        <v>42919</v>
      </c>
      <c r="T1406" s="359" t="str">
        <f t="shared" si="51"/>
        <v>segunda-feira</v>
      </c>
      <c r="U1406" s="361">
        <v>41582</v>
      </c>
      <c r="V1406" s="360" t="str">
        <f t="shared" si="50"/>
        <v>segunda-feira</v>
      </c>
    </row>
    <row r="1407" spans="19:22">
      <c r="S1407" s="357">
        <v>42920</v>
      </c>
      <c r="T1407" s="359" t="str">
        <f t="shared" si="51"/>
        <v>terça-feira</v>
      </c>
      <c r="U1407" s="361">
        <v>41583</v>
      </c>
      <c r="V1407" s="360" t="str">
        <f t="shared" si="50"/>
        <v>terça-feira</v>
      </c>
    </row>
    <row r="1408" spans="19:22">
      <c r="S1408" s="357">
        <v>42921</v>
      </c>
      <c r="T1408" s="359" t="str">
        <f t="shared" si="51"/>
        <v>quarta-feira</v>
      </c>
      <c r="U1408" s="361">
        <v>41584</v>
      </c>
      <c r="V1408" s="360" t="str">
        <f t="shared" si="50"/>
        <v>quarta-feira</v>
      </c>
    </row>
    <row r="1409" spans="19:22">
      <c r="S1409" s="357">
        <v>42922</v>
      </c>
      <c r="T1409" s="359" t="str">
        <f t="shared" si="51"/>
        <v>quinta-feira</v>
      </c>
      <c r="U1409" s="361">
        <v>41585</v>
      </c>
      <c r="V1409" s="360" t="str">
        <f t="shared" si="50"/>
        <v>quinta-feira</v>
      </c>
    </row>
    <row r="1410" spans="19:22">
      <c r="S1410" s="357">
        <v>42923</v>
      </c>
      <c r="T1410" s="359" t="str">
        <f t="shared" si="51"/>
        <v>sexta-feira</v>
      </c>
      <c r="U1410" s="361">
        <v>41586</v>
      </c>
      <c r="V1410" s="360" t="str">
        <f t="shared" si="50"/>
        <v>sexta-feira</v>
      </c>
    </row>
    <row r="1411" spans="19:22">
      <c r="S1411" s="357">
        <v>42924</v>
      </c>
      <c r="T1411" s="359" t="str">
        <f t="shared" si="51"/>
        <v>sábado</v>
      </c>
      <c r="U1411" s="361">
        <v>41587</v>
      </c>
      <c r="V1411" s="360" t="str">
        <f t="shared" si="50"/>
        <v>sábado</v>
      </c>
    </row>
    <row r="1412" spans="19:22">
      <c r="S1412" s="357">
        <v>42925</v>
      </c>
      <c r="T1412" s="359" t="str">
        <f t="shared" si="51"/>
        <v>domingo</v>
      </c>
      <c r="U1412" s="361">
        <v>41588</v>
      </c>
      <c r="V1412" s="360" t="str">
        <f t="shared" si="50"/>
        <v>domingo</v>
      </c>
    </row>
    <row r="1413" spans="19:22">
      <c r="S1413" s="357">
        <v>42926</v>
      </c>
      <c r="T1413" s="359" t="str">
        <f t="shared" si="51"/>
        <v>segunda-feira</v>
      </c>
      <c r="U1413" s="361">
        <v>41589</v>
      </c>
      <c r="V1413" s="360" t="str">
        <f t="shared" si="50"/>
        <v>segunda-feira</v>
      </c>
    </row>
    <row r="1414" spans="19:22">
      <c r="S1414" s="357">
        <v>42927</v>
      </c>
      <c r="T1414" s="359" t="str">
        <f t="shared" si="51"/>
        <v>terça-feira</v>
      </c>
      <c r="U1414" s="361">
        <v>41590</v>
      </c>
      <c r="V1414" s="360" t="str">
        <f t="shared" si="50"/>
        <v>terça-feira</v>
      </c>
    </row>
    <row r="1415" spans="19:22">
      <c r="S1415" s="357">
        <v>42928</v>
      </c>
      <c r="T1415" s="359" t="str">
        <f t="shared" si="51"/>
        <v>quarta-feira</v>
      </c>
      <c r="U1415" s="361">
        <v>41591</v>
      </c>
      <c r="V1415" s="360" t="str">
        <f t="shared" si="50"/>
        <v>quarta-feira</v>
      </c>
    </row>
    <row r="1416" spans="19:22">
      <c r="S1416" s="357">
        <v>42929</v>
      </c>
      <c r="T1416" s="359" t="str">
        <f t="shared" si="51"/>
        <v>quinta-feira</v>
      </c>
      <c r="U1416" s="361">
        <v>41592</v>
      </c>
      <c r="V1416" s="360" t="str">
        <f t="shared" si="50"/>
        <v>quinta-feira</v>
      </c>
    </row>
    <row r="1417" spans="19:22">
      <c r="S1417" s="357">
        <v>42930</v>
      </c>
      <c r="T1417" s="359" t="str">
        <f t="shared" si="51"/>
        <v>sexta-feira</v>
      </c>
      <c r="U1417" s="361">
        <v>41593</v>
      </c>
      <c r="V1417" s="360" t="str">
        <f t="shared" si="50"/>
        <v>sexta-feira</v>
      </c>
    </row>
    <row r="1418" spans="19:22">
      <c r="S1418" s="357">
        <v>42931</v>
      </c>
      <c r="T1418" s="359" t="str">
        <f t="shared" si="51"/>
        <v>sábado</v>
      </c>
      <c r="U1418" s="361">
        <v>41594</v>
      </c>
      <c r="V1418" s="360" t="str">
        <f t="shared" si="50"/>
        <v>sábado</v>
      </c>
    </row>
    <row r="1419" spans="19:22">
      <c r="S1419" s="357">
        <v>42932</v>
      </c>
      <c r="T1419" s="359" t="str">
        <f t="shared" si="51"/>
        <v>domingo</v>
      </c>
      <c r="U1419" s="361">
        <v>41595</v>
      </c>
      <c r="V1419" s="360" t="str">
        <f t="shared" si="50"/>
        <v>domingo</v>
      </c>
    </row>
    <row r="1420" spans="19:22">
      <c r="S1420" s="357">
        <v>42933</v>
      </c>
      <c r="T1420" s="359" t="str">
        <f t="shared" si="51"/>
        <v>segunda-feira</v>
      </c>
      <c r="U1420" s="361">
        <v>41596</v>
      </c>
      <c r="V1420" s="360" t="str">
        <f t="shared" si="50"/>
        <v>segunda-feira</v>
      </c>
    </row>
    <row r="1421" spans="19:22">
      <c r="S1421" s="357">
        <v>42934</v>
      </c>
      <c r="T1421" s="359" t="str">
        <f t="shared" si="51"/>
        <v>terça-feira</v>
      </c>
      <c r="U1421" s="361">
        <v>41597</v>
      </c>
      <c r="V1421" s="360" t="str">
        <f t="shared" si="50"/>
        <v>terça-feira</v>
      </c>
    </row>
    <row r="1422" spans="19:22">
      <c r="S1422" s="357">
        <v>42935</v>
      </c>
      <c r="T1422" s="359" t="str">
        <f t="shared" si="51"/>
        <v>quarta-feira</v>
      </c>
      <c r="U1422" s="361">
        <v>41598</v>
      </c>
      <c r="V1422" s="360" t="str">
        <f t="shared" si="50"/>
        <v>quarta-feira</v>
      </c>
    </row>
    <row r="1423" spans="19:22">
      <c r="S1423" s="357">
        <v>42936</v>
      </c>
      <c r="T1423" s="359" t="str">
        <f t="shared" si="51"/>
        <v>quinta-feira</v>
      </c>
      <c r="U1423" s="361">
        <v>41599</v>
      </c>
      <c r="V1423" s="360" t="str">
        <f t="shared" si="50"/>
        <v>quinta-feira</v>
      </c>
    </row>
    <row r="1424" spans="19:22">
      <c r="S1424" s="357">
        <v>42937</v>
      </c>
      <c r="T1424" s="359" t="str">
        <f t="shared" si="51"/>
        <v>sexta-feira</v>
      </c>
      <c r="U1424" s="361">
        <v>41600</v>
      </c>
      <c r="V1424" s="360" t="str">
        <f t="shared" si="50"/>
        <v>sexta-feira</v>
      </c>
    </row>
    <row r="1425" spans="19:22">
      <c r="S1425" s="357">
        <v>42938</v>
      </c>
      <c r="T1425" s="359" t="str">
        <f t="shared" si="51"/>
        <v>sábado</v>
      </c>
      <c r="U1425" s="361">
        <v>41601</v>
      </c>
      <c r="V1425" s="360" t="str">
        <f t="shared" si="50"/>
        <v>sábado</v>
      </c>
    </row>
    <row r="1426" spans="19:22">
      <c r="S1426" s="357">
        <v>42939</v>
      </c>
      <c r="T1426" s="359" t="str">
        <f t="shared" si="51"/>
        <v>domingo</v>
      </c>
      <c r="U1426" s="361">
        <v>41602</v>
      </c>
      <c r="V1426" s="360" t="str">
        <f t="shared" si="50"/>
        <v>domingo</v>
      </c>
    </row>
    <row r="1427" spans="19:22">
      <c r="S1427" s="357">
        <v>42940</v>
      </c>
      <c r="T1427" s="359" t="str">
        <f t="shared" si="51"/>
        <v>segunda-feira</v>
      </c>
      <c r="U1427" s="361">
        <v>41603</v>
      </c>
      <c r="V1427" s="360" t="str">
        <f t="shared" si="50"/>
        <v>segunda-feira</v>
      </c>
    </row>
    <row r="1428" spans="19:22">
      <c r="S1428" s="357">
        <v>42941</v>
      </c>
      <c r="T1428" s="359" t="str">
        <f t="shared" si="51"/>
        <v>terça-feira</v>
      </c>
      <c r="U1428" s="361">
        <v>41604</v>
      </c>
      <c r="V1428" s="360" t="str">
        <f t="shared" si="50"/>
        <v>terça-feira</v>
      </c>
    </row>
    <row r="1429" spans="19:22">
      <c r="S1429" s="357">
        <v>42942</v>
      </c>
      <c r="T1429" s="359" t="str">
        <f t="shared" si="51"/>
        <v>quarta-feira</v>
      </c>
      <c r="U1429" s="361">
        <v>41605</v>
      </c>
      <c r="V1429" s="360" t="str">
        <f t="shared" si="50"/>
        <v>quarta-feira</v>
      </c>
    </row>
    <row r="1430" spans="19:22">
      <c r="S1430" s="357">
        <v>42943</v>
      </c>
      <c r="T1430" s="359" t="str">
        <f t="shared" si="51"/>
        <v>quinta-feira</v>
      </c>
      <c r="U1430" s="361">
        <v>41606</v>
      </c>
      <c r="V1430" s="360" t="str">
        <f t="shared" si="50"/>
        <v>quinta-feira</v>
      </c>
    </row>
    <row r="1431" spans="19:22">
      <c r="S1431" s="357">
        <v>42944</v>
      </c>
      <c r="T1431" s="359" t="str">
        <f t="shared" si="51"/>
        <v>sexta-feira</v>
      </c>
      <c r="U1431" s="361">
        <v>41607</v>
      </c>
      <c r="V1431" s="360" t="str">
        <f t="shared" si="50"/>
        <v>sexta-feira</v>
      </c>
    </row>
    <row r="1432" spans="19:22">
      <c r="S1432" s="357">
        <v>42945</v>
      </c>
      <c r="T1432" s="359" t="str">
        <f t="shared" si="51"/>
        <v>sábado</v>
      </c>
      <c r="U1432" s="361">
        <v>41608</v>
      </c>
      <c r="V1432" s="360" t="str">
        <f t="shared" si="50"/>
        <v>sábado</v>
      </c>
    </row>
    <row r="1433" spans="19:22">
      <c r="S1433" s="357">
        <v>42946</v>
      </c>
      <c r="T1433" s="359" t="str">
        <f t="shared" si="51"/>
        <v>domingo</v>
      </c>
      <c r="U1433" s="361">
        <v>41609</v>
      </c>
      <c r="V1433" s="360" t="str">
        <f t="shared" si="50"/>
        <v>domingo</v>
      </c>
    </row>
    <row r="1434" spans="19:22">
      <c r="S1434" s="357">
        <v>42947</v>
      </c>
      <c r="T1434" s="359" t="str">
        <f t="shared" si="51"/>
        <v>segunda-feira</v>
      </c>
      <c r="U1434" s="361">
        <v>41610</v>
      </c>
      <c r="V1434" s="360" t="str">
        <f t="shared" si="50"/>
        <v>segunda-feira</v>
      </c>
    </row>
    <row r="1435" spans="19:22">
      <c r="S1435" s="357">
        <v>42948</v>
      </c>
      <c r="T1435" s="359" t="str">
        <f t="shared" si="51"/>
        <v>terça-feira</v>
      </c>
      <c r="U1435" s="361">
        <v>41611</v>
      </c>
      <c r="V1435" s="360" t="str">
        <f t="shared" si="50"/>
        <v>terça-feira</v>
      </c>
    </row>
    <row r="1436" spans="19:22">
      <c r="S1436" s="357">
        <v>42949</v>
      </c>
      <c r="T1436" s="359" t="str">
        <f t="shared" si="51"/>
        <v>quarta-feira</v>
      </c>
      <c r="U1436" s="361">
        <v>41612</v>
      </c>
      <c r="V1436" s="360" t="str">
        <f t="shared" si="50"/>
        <v>quarta-feira</v>
      </c>
    </row>
    <row r="1437" spans="19:22">
      <c r="S1437" s="357">
        <v>42950</v>
      </c>
      <c r="T1437" s="359" t="str">
        <f t="shared" si="51"/>
        <v>quinta-feira</v>
      </c>
      <c r="U1437" s="361">
        <v>41613</v>
      </c>
      <c r="V1437" s="360" t="str">
        <f t="shared" si="50"/>
        <v>quinta-feira</v>
      </c>
    </row>
    <row r="1438" spans="19:22">
      <c r="S1438" s="357">
        <v>42951</v>
      </c>
      <c r="T1438" s="359" t="str">
        <f t="shared" si="51"/>
        <v>sexta-feira</v>
      </c>
      <c r="U1438" s="361">
        <v>41614</v>
      </c>
      <c r="V1438" s="360" t="str">
        <f t="shared" si="50"/>
        <v>sexta-feira</v>
      </c>
    </row>
    <row r="1439" spans="19:22">
      <c r="S1439" s="357">
        <v>42952</v>
      </c>
      <c r="T1439" s="359" t="str">
        <f t="shared" si="51"/>
        <v>sábado</v>
      </c>
      <c r="U1439" s="361">
        <v>41615</v>
      </c>
      <c r="V1439" s="360" t="str">
        <f t="shared" si="50"/>
        <v>sábado</v>
      </c>
    </row>
    <row r="1440" spans="19:22">
      <c r="S1440" s="357">
        <v>42953</v>
      </c>
      <c r="T1440" s="359" t="str">
        <f t="shared" si="51"/>
        <v>domingo</v>
      </c>
      <c r="U1440" s="361">
        <v>41616</v>
      </c>
      <c r="V1440" s="360" t="str">
        <f t="shared" si="50"/>
        <v>domingo</v>
      </c>
    </row>
    <row r="1441" spans="19:22">
      <c r="S1441" s="357">
        <v>42954</v>
      </c>
      <c r="T1441" s="359" t="str">
        <f t="shared" si="51"/>
        <v>segunda-feira</v>
      </c>
      <c r="U1441" s="361">
        <v>41617</v>
      </c>
      <c r="V1441" s="360" t="str">
        <f t="shared" si="50"/>
        <v>segunda-feira</v>
      </c>
    </row>
    <row r="1442" spans="19:22">
      <c r="S1442" s="357">
        <v>42955</v>
      </c>
      <c r="T1442" s="359" t="str">
        <f t="shared" si="51"/>
        <v>terça-feira</v>
      </c>
      <c r="U1442" s="361">
        <v>41618</v>
      </c>
      <c r="V1442" s="360" t="str">
        <f t="shared" si="50"/>
        <v>terça-feira</v>
      </c>
    </row>
    <row r="1443" spans="19:22">
      <c r="S1443" s="357">
        <v>42956</v>
      </c>
      <c r="T1443" s="359" t="str">
        <f t="shared" si="51"/>
        <v>quarta-feira</v>
      </c>
      <c r="U1443" s="361">
        <v>41619</v>
      </c>
      <c r="V1443" s="360" t="str">
        <f t="shared" si="50"/>
        <v>quarta-feira</v>
      </c>
    </row>
    <row r="1444" spans="19:22">
      <c r="S1444" s="357">
        <v>42957</v>
      </c>
      <c r="T1444" s="359" t="str">
        <f t="shared" si="51"/>
        <v>quinta-feira</v>
      </c>
      <c r="U1444" s="361">
        <v>41620</v>
      </c>
      <c r="V1444" s="360" t="str">
        <f t="shared" si="50"/>
        <v>quinta-feira</v>
      </c>
    </row>
    <row r="1445" spans="19:22">
      <c r="S1445" s="357">
        <v>42958</v>
      </c>
      <c r="T1445" s="359" t="str">
        <f t="shared" si="51"/>
        <v>sexta-feira</v>
      </c>
      <c r="U1445" s="361">
        <v>41621</v>
      </c>
      <c r="V1445" s="360" t="str">
        <f t="shared" si="50"/>
        <v>sexta-feira</v>
      </c>
    </row>
    <row r="1446" spans="19:22">
      <c r="S1446" s="357">
        <v>42959</v>
      </c>
      <c r="T1446" s="359" t="str">
        <f t="shared" si="51"/>
        <v>sábado</v>
      </c>
      <c r="U1446" s="361">
        <v>41622</v>
      </c>
      <c r="V1446" s="360" t="str">
        <f t="shared" si="50"/>
        <v>sábado</v>
      </c>
    </row>
    <row r="1447" spans="19:22">
      <c r="S1447" s="357">
        <v>42960</v>
      </c>
      <c r="T1447" s="359" t="str">
        <f t="shared" si="51"/>
        <v>domingo</v>
      </c>
      <c r="U1447" s="361">
        <v>41623</v>
      </c>
      <c r="V1447" s="360" t="str">
        <f t="shared" si="50"/>
        <v>domingo</v>
      </c>
    </row>
    <row r="1448" spans="19:22">
      <c r="S1448" s="357">
        <v>42961</v>
      </c>
      <c r="T1448" s="359" t="str">
        <f t="shared" si="51"/>
        <v>segunda-feira</v>
      </c>
      <c r="U1448" s="361">
        <v>41624</v>
      </c>
      <c r="V1448" s="360" t="str">
        <f t="shared" si="50"/>
        <v>segunda-feira</v>
      </c>
    </row>
    <row r="1449" spans="19:22">
      <c r="S1449" s="357">
        <v>42962</v>
      </c>
      <c r="T1449" s="359" t="str">
        <f t="shared" si="51"/>
        <v>terça-feira</v>
      </c>
      <c r="U1449" s="361">
        <v>41625</v>
      </c>
      <c r="V1449" s="360" t="str">
        <f t="shared" ref="V1449:V1512" si="52">TEXT(U1449,"dddd")</f>
        <v>terça-feira</v>
      </c>
    </row>
    <row r="1450" spans="19:22">
      <c r="S1450" s="357">
        <v>42963</v>
      </c>
      <c r="T1450" s="359" t="str">
        <f t="shared" si="51"/>
        <v>quarta-feira</v>
      </c>
      <c r="U1450" s="361">
        <v>41626</v>
      </c>
      <c r="V1450" s="360" t="str">
        <f t="shared" si="52"/>
        <v>quarta-feira</v>
      </c>
    </row>
    <row r="1451" spans="19:22">
      <c r="S1451" s="357">
        <v>42964</v>
      </c>
      <c r="T1451" s="359" t="str">
        <f t="shared" si="51"/>
        <v>quinta-feira</v>
      </c>
      <c r="U1451" s="361">
        <v>41627</v>
      </c>
      <c r="V1451" s="360" t="str">
        <f t="shared" si="52"/>
        <v>quinta-feira</v>
      </c>
    </row>
    <row r="1452" spans="19:22">
      <c r="S1452" s="357">
        <v>42965</v>
      </c>
      <c r="T1452" s="359" t="str">
        <f t="shared" si="51"/>
        <v>sexta-feira</v>
      </c>
      <c r="U1452" s="361">
        <v>41628</v>
      </c>
      <c r="V1452" s="360" t="str">
        <f t="shared" si="52"/>
        <v>sexta-feira</v>
      </c>
    </row>
    <row r="1453" spans="19:22">
      <c r="S1453" s="357">
        <v>42966</v>
      </c>
      <c r="T1453" s="359" t="str">
        <f t="shared" si="51"/>
        <v>sábado</v>
      </c>
      <c r="U1453" s="361">
        <v>41629</v>
      </c>
      <c r="V1453" s="360" t="str">
        <f t="shared" si="52"/>
        <v>sábado</v>
      </c>
    </row>
    <row r="1454" spans="19:22">
      <c r="S1454" s="357">
        <v>42967</v>
      </c>
      <c r="T1454" s="359" t="str">
        <f t="shared" si="51"/>
        <v>domingo</v>
      </c>
      <c r="U1454" s="361">
        <v>41630</v>
      </c>
      <c r="V1454" s="360" t="str">
        <f t="shared" si="52"/>
        <v>domingo</v>
      </c>
    </row>
    <row r="1455" spans="19:22">
      <c r="S1455" s="357">
        <v>42968</v>
      </c>
      <c r="T1455" s="359" t="str">
        <f t="shared" si="51"/>
        <v>segunda-feira</v>
      </c>
      <c r="U1455" s="361">
        <v>41631</v>
      </c>
      <c r="V1455" s="360" t="str">
        <f t="shared" si="52"/>
        <v>segunda-feira</v>
      </c>
    </row>
    <row r="1456" spans="19:22">
      <c r="S1456" s="357">
        <v>42969</v>
      </c>
      <c r="T1456" s="359" t="str">
        <f t="shared" si="51"/>
        <v>terça-feira</v>
      </c>
      <c r="U1456" s="361">
        <v>41632</v>
      </c>
      <c r="V1456" s="360" t="str">
        <f t="shared" si="52"/>
        <v>terça-feira</v>
      </c>
    </row>
    <row r="1457" spans="19:22">
      <c r="S1457" s="357">
        <v>42970</v>
      </c>
      <c r="T1457" s="359" t="str">
        <f t="shared" si="51"/>
        <v>quarta-feira</v>
      </c>
      <c r="U1457" s="361">
        <v>41633</v>
      </c>
      <c r="V1457" s="360" t="str">
        <f t="shared" si="52"/>
        <v>quarta-feira</v>
      </c>
    </row>
    <row r="1458" spans="19:22">
      <c r="S1458" s="357">
        <v>42971</v>
      </c>
      <c r="T1458" s="359" t="str">
        <f t="shared" si="51"/>
        <v>quinta-feira</v>
      </c>
      <c r="U1458" s="361">
        <v>41634</v>
      </c>
      <c r="V1458" s="360" t="str">
        <f t="shared" si="52"/>
        <v>quinta-feira</v>
      </c>
    </row>
    <row r="1459" spans="19:22">
      <c r="S1459" s="357">
        <v>42972</v>
      </c>
      <c r="T1459" s="359" t="str">
        <f t="shared" si="51"/>
        <v>sexta-feira</v>
      </c>
      <c r="U1459" s="361">
        <v>41635</v>
      </c>
      <c r="V1459" s="360" t="str">
        <f t="shared" si="52"/>
        <v>sexta-feira</v>
      </c>
    </row>
    <row r="1460" spans="19:22">
      <c r="S1460" s="357">
        <v>42973</v>
      </c>
      <c r="T1460" s="359" t="str">
        <f t="shared" si="51"/>
        <v>sábado</v>
      </c>
      <c r="U1460" s="361">
        <v>41636</v>
      </c>
      <c r="V1460" s="360" t="str">
        <f t="shared" si="52"/>
        <v>sábado</v>
      </c>
    </row>
    <row r="1461" spans="19:22">
      <c r="S1461" s="357">
        <v>42974</v>
      </c>
      <c r="T1461" s="359" t="str">
        <f t="shared" si="51"/>
        <v>domingo</v>
      </c>
      <c r="U1461" s="361">
        <v>41637</v>
      </c>
      <c r="V1461" s="360" t="str">
        <f t="shared" si="52"/>
        <v>domingo</v>
      </c>
    </row>
    <row r="1462" spans="19:22">
      <c r="S1462" s="357">
        <v>42975</v>
      </c>
      <c r="T1462" s="359" t="str">
        <f t="shared" si="51"/>
        <v>segunda-feira</v>
      </c>
      <c r="U1462" s="361">
        <v>41638</v>
      </c>
      <c r="V1462" s="360" t="str">
        <f t="shared" si="52"/>
        <v>segunda-feira</v>
      </c>
    </row>
    <row r="1463" spans="19:22">
      <c r="S1463" s="357">
        <v>42976</v>
      </c>
      <c r="T1463" s="359" t="str">
        <f t="shared" ref="T1463:T1526" si="53">TEXT(S1463,"dddd")</f>
        <v>terça-feira</v>
      </c>
      <c r="U1463" s="361">
        <v>41639</v>
      </c>
      <c r="V1463" s="360" t="str">
        <f t="shared" si="52"/>
        <v>terça-feira</v>
      </c>
    </row>
    <row r="1464" spans="19:22">
      <c r="S1464" s="357">
        <v>42977</v>
      </c>
      <c r="T1464" s="359" t="str">
        <f t="shared" si="53"/>
        <v>quarta-feira</v>
      </c>
      <c r="U1464" s="361">
        <v>41640</v>
      </c>
      <c r="V1464" s="360" t="str">
        <f t="shared" si="52"/>
        <v>quarta-feira</v>
      </c>
    </row>
    <row r="1465" spans="19:22">
      <c r="S1465" s="357">
        <v>42978</v>
      </c>
      <c r="T1465" s="359" t="str">
        <f t="shared" si="53"/>
        <v>quinta-feira</v>
      </c>
      <c r="U1465" s="361">
        <v>41641</v>
      </c>
      <c r="V1465" s="360" t="str">
        <f t="shared" si="52"/>
        <v>quinta-feira</v>
      </c>
    </row>
    <row r="1466" spans="19:22">
      <c r="S1466" s="357">
        <v>42979</v>
      </c>
      <c r="T1466" s="359" t="str">
        <f t="shared" si="53"/>
        <v>sexta-feira</v>
      </c>
      <c r="U1466" s="361">
        <v>41642</v>
      </c>
      <c r="V1466" s="360" t="str">
        <f t="shared" si="52"/>
        <v>sexta-feira</v>
      </c>
    </row>
    <row r="1467" spans="19:22">
      <c r="S1467" s="357">
        <v>42980</v>
      </c>
      <c r="T1467" s="359" t="str">
        <f t="shared" si="53"/>
        <v>sábado</v>
      </c>
      <c r="U1467" s="361">
        <v>41643</v>
      </c>
      <c r="V1467" s="360" t="str">
        <f t="shared" si="52"/>
        <v>sábado</v>
      </c>
    </row>
    <row r="1468" spans="19:22">
      <c r="S1468" s="357">
        <v>42981</v>
      </c>
      <c r="T1468" s="359" t="str">
        <f t="shared" si="53"/>
        <v>domingo</v>
      </c>
      <c r="U1468" s="361">
        <v>41644</v>
      </c>
      <c r="V1468" s="360" t="str">
        <f t="shared" si="52"/>
        <v>domingo</v>
      </c>
    </row>
    <row r="1469" spans="19:22">
      <c r="S1469" s="357">
        <v>42982</v>
      </c>
      <c r="T1469" s="359" t="str">
        <f t="shared" si="53"/>
        <v>segunda-feira</v>
      </c>
      <c r="U1469" s="361">
        <v>41645</v>
      </c>
      <c r="V1469" s="360" t="str">
        <f t="shared" si="52"/>
        <v>segunda-feira</v>
      </c>
    </row>
    <row r="1470" spans="19:22">
      <c r="S1470" s="357">
        <v>42983</v>
      </c>
      <c r="T1470" s="359" t="str">
        <f t="shared" si="53"/>
        <v>terça-feira</v>
      </c>
      <c r="U1470" s="361">
        <v>41646</v>
      </c>
      <c r="V1470" s="360" t="str">
        <f t="shared" si="52"/>
        <v>terça-feira</v>
      </c>
    </row>
    <row r="1471" spans="19:22">
      <c r="S1471" s="357">
        <v>42984</v>
      </c>
      <c r="T1471" s="359" t="str">
        <f t="shared" si="53"/>
        <v>quarta-feira</v>
      </c>
      <c r="U1471" s="361">
        <v>41647</v>
      </c>
      <c r="V1471" s="360" t="str">
        <f t="shared" si="52"/>
        <v>quarta-feira</v>
      </c>
    </row>
    <row r="1472" spans="19:22">
      <c r="S1472" s="357">
        <v>42985</v>
      </c>
      <c r="T1472" s="359" t="str">
        <f t="shared" si="53"/>
        <v>quinta-feira</v>
      </c>
      <c r="U1472" s="361">
        <v>41648</v>
      </c>
      <c r="V1472" s="360" t="str">
        <f t="shared" si="52"/>
        <v>quinta-feira</v>
      </c>
    </row>
    <row r="1473" spans="19:22">
      <c r="S1473" s="357">
        <v>42986</v>
      </c>
      <c r="T1473" s="359" t="str">
        <f t="shared" si="53"/>
        <v>sexta-feira</v>
      </c>
      <c r="U1473" s="361">
        <v>41649</v>
      </c>
      <c r="V1473" s="360" t="str">
        <f t="shared" si="52"/>
        <v>sexta-feira</v>
      </c>
    </row>
    <row r="1474" spans="19:22">
      <c r="S1474" s="357">
        <v>42987</v>
      </c>
      <c r="T1474" s="359" t="str">
        <f t="shared" si="53"/>
        <v>sábado</v>
      </c>
      <c r="U1474" s="361">
        <v>41650</v>
      </c>
      <c r="V1474" s="360" t="str">
        <f t="shared" si="52"/>
        <v>sábado</v>
      </c>
    </row>
    <row r="1475" spans="19:22">
      <c r="S1475" s="357">
        <v>42988</v>
      </c>
      <c r="T1475" s="359" t="str">
        <f t="shared" si="53"/>
        <v>domingo</v>
      </c>
      <c r="U1475" s="361">
        <v>41651</v>
      </c>
      <c r="V1475" s="360" t="str">
        <f t="shared" si="52"/>
        <v>domingo</v>
      </c>
    </row>
    <row r="1476" spans="19:22">
      <c r="S1476" s="357">
        <v>42989</v>
      </c>
      <c r="T1476" s="359" t="str">
        <f t="shared" si="53"/>
        <v>segunda-feira</v>
      </c>
      <c r="U1476" s="361">
        <v>41652</v>
      </c>
      <c r="V1476" s="360" t="str">
        <f t="shared" si="52"/>
        <v>segunda-feira</v>
      </c>
    </row>
    <row r="1477" spans="19:22">
      <c r="S1477" s="357">
        <v>42990</v>
      </c>
      <c r="T1477" s="359" t="str">
        <f t="shared" si="53"/>
        <v>terça-feira</v>
      </c>
      <c r="U1477" s="361">
        <v>41653</v>
      </c>
      <c r="V1477" s="360" t="str">
        <f t="shared" si="52"/>
        <v>terça-feira</v>
      </c>
    </row>
    <row r="1478" spans="19:22">
      <c r="S1478" s="357">
        <v>42991</v>
      </c>
      <c r="T1478" s="359" t="str">
        <f t="shared" si="53"/>
        <v>quarta-feira</v>
      </c>
      <c r="U1478" s="361">
        <v>41654</v>
      </c>
      <c r="V1478" s="360" t="str">
        <f t="shared" si="52"/>
        <v>quarta-feira</v>
      </c>
    </row>
    <row r="1479" spans="19:22">
      <c r="S1479" s="357">
        <v>42992</v>
      </c>
      <c r="T1479" s="359" t="str">
        <f t="shared" si="53"/>
        <v>quinta-feira</v>
      </c>
      <c r="U1479" s="361">
        <v>41655</v>
      </c>
      <c r="V1479" s="360" t="str">
        <f t="shared" si="52"/>
        <v>quinta-feira</v>
      </c>
    </row>
    <row r="1480" spans="19:22">
      <c r="S1480" s="357">
        <v>42993</v>
      </c>
      <c r="T1480" s="359" t="str">
        <f t="shared" si="53"/>
        <v>sexta-feira</v>
      </c>
      <c r="U1480" s="361">
        <v>41656</v>
      </c>
      <c r="V1480" s="360" t="str">
        <f t="shared" si="52"/>
        <v>sexta-feira</v>
      </c>
    </row>
    <row r="1481" spans="19:22">
      <c r="S1481" s="357">
        <v>42994</v>
      </c>
      <c r="T1481" s="359" t="str">
        <f t="shared" si="53"/>
        <v>sábado</v>
      </c>
      <c r="U1481" s="361">
        <v>41657</v>
      </c>
      <c r="V1481" s="360" t="str">
        <f t="shared" si="52"/>
        <v>sábado</v>
      </c>
    </row>
    <row r="1482" spans="19:22">
      <c r="S1482" s="357">
        <v>42995</v>
      </c>
      <c r="T1482" s="359" t="str">
        <f t="shared" si="53"/>
        <v>domingo</v>
      </c>
      <c r="U1482" s="361">
        <v>41658</v>
      </c>
      <c r="V1482" s="360" t="str">
        <f t="shared" si="52"/>
        <v>domingo</v>
      </c>
    </row>
    <row r="1483" spans="19:22">
      <c r="S1483" s="357">
        <v>42996</v>
      </c>
      <c r="T1483" s="359" t="str">
        <f t="shared" si="53"/>
        <v>segunda-feira</v>
      </c>
      <c r="U1483" s="361">
        <v>41659</v>
      </c>
      <c r="V1483" s="360" t="str">
        <f t="shared" si="52"/>
        <v>segunda-feira</v>
      </c>
    </row>
    <row r="1484" spans="19:22">
      <c r="S1484" s="357">
        <v>42997</v>
      </c>
      <c r="T1484" s="359" t="str">
        <f t="shared" si="53"/>
        <v>terça-feira</v>
      </c>
      <c r="U1484" s="361">
        <v>41660</v>
      </c>
      <c r="V1484" s="360" t="str">
        <f t="shared" si="52"/>
        <v>terça-feira</v>
      </c>
    </row>
    <row r="1485" spans="19:22">
      <c r="S1485" s="357">
        <v>42998</v>
      </c>
      <c r="T1485" s="359" t="str">
        <f t="shared" si="53"/>
        <v>quarta-feira</v>
      </c>
      <c r="U1485" s="361">
        <v>41661</v>
      </c>
      <c r="V1485" s="360" t="str">
        <f t="shared" si="52"/>
        <v>quarta-feira</v>
      </c>
    </row>
    <row r="1486" spans="19:22">
      <c r="S1486" s="357">
        <v>42999</v>
      </c>
      <c r="T1486" s="359" t="str">
        <f t="shared" si="53"/>
        <v>quinta-feira</v>
      </c>
      <c r="U1486" s="361">
        <v>41662</v>
      </c>
      <c r="V1486" s="360" t="str">
        <f t="shared" si="52"/>
        <v>quinta-feira</v>
      </c>
    </row>
    <row r="1487" spans="19:22">
      <c r="S1487" s="357">
        <v>43000</v>
      </c>
      <c r="T1487" s="359" t="str">
        <f t="shared" si="53"/>
        <v>sexta-feira</v>
      </c>
      <c r="U1487" s="361">
        <v>41663</v>
      </c>
      <c r="V1487" s="360" t="str">
        <f t="shared" si="52"/>
        <v>sexta-feira</v>
      </c>
    </row>
    <row r="1488" spans="19:22">
      <c r="S1488" s="357">
        <v>43001</v>
      </c>
      <c r="T1488" s="359" t="str">
        <f t="shared" si="53"/>
        <v>sábado</v>
      </c>
      <c r="U1488" s="361">
        <v>41664</v>
      </c>
      <c r="V1488" s="360" t="str">
        <f t="shared" si="52"/>
        <v>sábado</v>
      </c>
    </row>
    <row r="1489" spans="19:22">
      <c r="S1489" s="357">
        <v>43002</v>
      </c>
      <c r="T1489" s="359" t="str">
        <f t="shared" si="53"/>
        <v>domingo</v>
      </c>
      <c r="U1489" s="361">
        <v>41665</v>
      </c>
      <c r="V1489" s="360" t="str">
        <f t="shared" si="52"/>
        <v>domingo</v>
      </c>
    </row>
    <row r="1490" spans="19:22">
      <c r="S1490" s="357">
        <v>43003</v>
      </c>
      <c r="T1490" s="359" t="str">
        <f t="shared" si="53"/>
        <v>segunda-feira</v>
      </c>
      <c r="U1490" s="361">
        <v>41666</v>
      </c>
      <c r="V1490" s="360" t="str">
        <f t="shared" si="52"/>
        <v>segunda-feira</v>
      </c>
    </row>
    <row r="1491" spans="19:22">
      <c r="S1491" s="357">
        <v>43004</v>
      </c>
      <c r="T1491" s="359" t="str">
        <f t="shared" si="53"/>
        <v>terça-feira</v>
      </c>
      <c r="U1491" s="361">
        <v>41667</v>
      </c>
      <c r="V1491" s="360" t="str">
        <f t="shared" si="52"/>
        <v>terça-feira</v>
      </c>
    </row>
    <row r="1492" spans="19:22">
      <c r="S1492" s="357">
        <v>43005</v>
      </c>
      <c r="T1492" s="359" t="str">
        <f t="shared" si="53"/>
        <v>quarta-feira</v>
      </c>
      <c r="U1492" s="361">
        <v>41668</v>
      </c>
      <c r="V1492" s="360" t="str">
        <f t="shared" si="52"/>
        <v>quarta-feira</v>
      </c>
    </row>
    <row r="1493" spans="19:22">
      <c r="S1493" s="357">
        <v>43006</v>
      </c>
      <c r="T1493" s="359" t="str">
        <f t="shared" si="53"/>
        <v>quinta-feira</v>
      </c>
      <c r="U1493" s="361">
        <v>41669</v>
      </c>
      <c r="V1493" s="360" t="str">
        <f t="shared" si="52"/>
        <v>quinta-feira</v>
      </c>
    </row>
    <row r="1494" spans="19:22">
      <c r="S1494" s="357">
        <v>43007</v>
      </c>
      <c r="T1494" s="359" t="str">
        <f t="shared" si="53"/>
        <v>sexta-feira</v>
      </c>
      <c r="U1494" s="361">
        <v>41670</v>
      </c>
      <c r="V1494" s="360" t="str">
        <f t="shared" si="52"/>
        <v>sexta-feira</v>
      </c>
    </row>
    <row r="1495" spans="19:22">
      <c r="S1495" s="357">
        <v>43008</v>
      </c>
      <c r="T1495" s="359" t="str">
        <f t="shared" si="53"/>
        <v>sábado</v>
      </c>
      <c r="U1495" s="361">
        <v>41671</v>
      </c>
      <c r="V1495" s="360" t="str">
        <f t="shared" si="52"/>
        <v>sábado</v>
      </c>
    </row>
    <row r="1496" spans="19:22">
      <c r="S1496" s="357">
        <v>43009</v>
      </c>
      <c r="T1496" s="359" t="str">
        <f t="shared" si="53"/>
        <v>domingo</v>
      </c>
      <c r="U1496" s="361">
        <v>41672</v>
      </c>
      <c r="V1496" s="360" t="str">
        <f t="shared" si="52"/>
        <v>domingo</v>
      </c>
    </row>
    <row r="1497" spans="19:22">
      <c r="S1497" s="357">
        <v>43010</v>
      </c>
      <c r="T1497" s="359" t="str">
        <f t="shared" si="53"/>
        <v>segunda-feira</v>
      </c>
      <c r="U1497" s="361">
        <v>41673</v>
      </c>
      <c r="V1497" s="360" t="str">
        <f t="shared" si="52"/>
        <v>segunda-feira</v>
      </c>
    </row>
    <row r="1498" spans="19:22">
      <c r="S1498" s="357">
        <v>43011</v>
      </c>
      <c r="T1498" s="359" t="str">
        <f t="shared" si="53"/>
        <v>terça-feira</v>
      </c>
      <c r="U1498" s="361">
        <v>41674</v>
      </c>
      <c r="V1498" s="360" t="str">
        <f t="shared" si="52"/>
        <v>terça-feira</v>
      </c>
    </row>
    <row r="1499" spans="19:22">
      <c r="S1499" s="357">
        <v>43012</v>
      </c>
      <c r="T1499" s="359" t="str">
        <f t="shared" si="53"/>
        <v>quarta-feira</v>
      </c>
      <c r="U1499" s="361">
        <v>41675</v>
      </c>
      <c r="V1499" s="360" t="str">
        <f t="shared" si="52"/>
        <v>quarta-feira</v>
      </c>
    </row>
    <row r="1500" spans="19:22">
      <c r="S1500" s="357">
        <v>43013</v>
      </c>
      <c r="T1500" s="359" t="str">
        <f t="shared" si="53"/>
        <v>quinta-feira</v>
      </c>
      <c r="U1500" s="361">
        <v>41676</v>
      </c>
      <c r="V1500" s="360" t="str">
        <f t="shared" si="52"/>
        <v>quinta-feira</v>
      </c>
    </row>
    <row r="1501" spans="19:22">
      <c r="S1501" s="357">
        <v>43014</v>
      </c>
      <c r="T1501" s="359" t="str">
        <f t="shared" si="53"/>
        <v>sexta-feira</v>
      </c>
      <c r="U1501" s="361">
        <v>41677</v>
      </c>
      <c r="V1501" s="360" t="str">
        <f t="shared" si="52"/>
        <v>sexta-feira</v>
      </c>
    </row>
    <row r="1502" spans="19:22">
      <c r="S1502" s="357">
        <v>43015</v>
      </c>
      <c r="T1502" s="359" t="str">
        <f t="shared" si="53"/>
        <v>sábado</v>
      </c>
      <c r="U1502" s="361">
        <v>41678</v>
      </c>
      <c r="V1502" s="360" t="str">
        <f t="shared" si="52"/>
        <v>sábado</v>
      </c>
    </row>
    <row r="1503" spans="19:22">
      <c r="S1503" s="357">
        <v>43016</v>
      </c>
      <c r="T1503" s="359" t="str">
        <f t="shared" si="53"/>
        <v>domingo</v>
      </c>
      <c r="U1503" s="361">
        <v>41679</v>
      </c>
      <c r="V1503" s="360" t="str">
        <f t="shared" si="52"/>
        <v>domingo</v>
      </c>
    </row>
    <row r="1504" spans="19:22">
      <c r="S1504" s="357">
        <v>43017</v>
      </c>
      <c r="T1504" s="359" t="str">
        <f t="shared" si="53"/>
        <v>segunda-feira</v>
      </c>
      <c r="U1504" s="361">
        <v>41680</v>
      </c>
      <c r="V1504" s="360" t="str">
        <f t="shared" si="52"/>
        <v>segunda-feira</v>
      </c>
    </row>
    <row r="1505" spans="19:22">
      <c r="S1505" s="357">
        <v>43018</v>
      </c>
      <c r="T1505" s="359" t="str">
        <f t="shared" si="53"/>
        <v>terça-feira</v>
      </c>
      <c r="U1505" s="361">
        <v>41681</v>
      </c>
      <c r="V1505" s="360" t="str">
        <f t="shared" si="52"/>
        <v>terça-feira</v>
      </c>
    </row>
    <row r="1506" spans="19:22">
      <c r="S1506" s="357">
        <v>43019</v>
      </c>
      <c r="T1506" s="359" t="str">
        <f t="shared" si="53"/>
        <v>quarta-feira</v>
      </c>
      <c r="U1506" s="361">
        <v>41682</v>
      </c>
      <c r="V1506" s="360" t="str">
        <f t="shared" si="52"/>
        <v>quarta-feira</v>
      </c>
    </row>
    <row r="1507" spans="19:22">
      <c r="S1507" s="357">
        <v>43020</v>
      </c>
      <c r="T1507" s="359" t="str">
        <f t="shared" si="53"/>
        <v>quinta-feira</v>
      </c>
      <c r="U1507" s="361">
        <v>41683</v>
      </c>
      <c r="V1507" s="360" t="str">
        <f t="shared" si="52"/>
        <v>quinta-feira</v>
      </c>
    </row>
    <row r="1508" spans="19:22">
      <c r="S1508" s="357">
        <v>43021</v>
      </c>
      <c r="T1508" s="359" t="str">
        <f t="shared" si="53"/>
        <v>sexta-feira</v>
      </c>
      <c r="U1508" s="361">
        <v>41684</v>
      </c>
      <c r="V1508" s="360" t="str">
        <f t="shared" si="52"/>
        <v>sexta-feira</v>
      </c>
    </row>
    <row r="1509" spans="19:22">
      <c r="S1509" s="357">
        <v>43022</v>
      </c>
      <c r="T1509" s="359" t="str">
        <f t="shared" si="53"/>
        <v>sábado</v>
      </c>
      <c r="U1509" s="361">
        <v>41685</v>
      </c>
      <c r="V1509" s="360" t="str">
        <f t="shared" si="52"/>
        <v>sábado</v>
      </c>
    </row>
    <row r="1510" spans="19:22">
      <c r="S1510" s="357">
        <v>43023</v>
      </c>
      <c r="T1510" s="359" t="str">
        <f t="shared" si="53"/>
        <v>domingo</v>
      </c>
      <c r="U1510" s="361">
        <v>41686</v>
      </c>
      <c r="V1510" s="360" t="str">
        <f t="shared" si="52"/>
        <v>domingo</v>
      </c>
    </row>
    <row r="1511" spans="19:22">
      <c r="S1511" s="357">
        <v>43024</v>
      </c>
      <c r="T1511" s="359" t="str">
        <f t="shared" si="53"/>
        <v>segunda-feira</v>
      </c>
      <c r="U1511" s="361">
        <v>41687</v>
      </c>
      <c r="V1511" s="360" t="str">
        <f t="shared" si="52"/>
        <v>segunda-feira</v>
      </c>
    </row>
    <row r="1512" spans="19:22">
      <c r="S1512" s="357">
        <v>43025</v>
      </c>
      <c r="T1512" s="359" t="str">
        <f t="shared" si="53"/>
        <v>terça-feira</v>
      </c>
      <c r="U1512" s="361">
        <v>41688</v>
      </c>
      <c r="V1512" s="360" t="str">
        <f t="shared" si="52"/>
        <v>terça-feira</v>
      </c>
    </row>
    <row r="1513" spans="19:22">
      <c r="S1513" s="357">
        <v>43026</v>
      </c>
      <c r="T1513" s="359" t="str">
        <f t="shared" si="53"/>
        <v>quarta-feira</v>
      </c>
      <c r="U1513" s="361">
        <v>41689</v>
      </c>
      <c r="V1513" s="360" t="str">
        <f t="shared" ref="V1513:V1576" si="54">TEXT(U1513,"dddd")</f>
        <v>quarta-feira</v>
      </c>
    </row>
    <row r="1514" spans="19:22">
      <c r="S1514" s="357">
        <v>43027</v>
      </c>
      <c r="T1514" s="359" t="str">
        <f t="shared" si="53"/>
        <v>quinta-feira</v>
      </c>
      <c r="U1514" s="361">
        <v>41690</v>
      </c>
      <c r="V1514" s="360" t="str">
        <f t="shared" si="54"/>
        <v>quinta-feira</v>
      </c>
    </row>
    <row r="1515" spans="19:22">
      <c r="S1515" s="357">
        <v>43028</v>
      </c>
      <c r="T1515" s="359" t="str">
        <f t="shared" si="53"/>
        <v>sexta-feira</v>
      </c>
      <c r="U1515" s="361">
        <v>41691</v>
      </c>
      <c r="V1515" s="360" t="str">
        <f t="shared" si="54"/>
        <v>sexta-feira</v>
      </c>
    </row>
    <row r="1516" spans="19:22">
      <c r="S1516" s="357">
        <v>43029</v>
      </c>
      <c r="T1516" s="359" t="str">
        <f t="shared" si="53"/>
        <v>sábado</v>
      </c>
      <c r="U1516" s="361">
        <v>41692</v>
      </c>
      <c r="V1516" s="360" t="str">
        <f t="shared" si="54"/>
        <v>sábado</v>
      </c>
    </row>
    <row r="1517" spans="19:22">
      <c r="S1517" s="357">
        <v>43030</v>
      </c>
      <c r="T1517" s="359" t="str">
        <f t="shared" si="53"/>
        <v>domingo</v>
      </c>
      <c r="U1517" s="361">
        <v>41693</v>
      </c>
      <c r="V1517" s="360" t="str">
        <f t="shared" si="54"/>
        <v>domingo</v>
      </c>
    </row>
    <row r="1518" spans="19:22">
      <c r="S1518" s="357">
        <v>43031</v>
      </c>
      <c r="T1518" s="359" t="str">
        <f t="shared" si="53"/>
        <v>segunda-feira</v>
      </c>
      <c r="U1518" s="361">
        <v>41694</v>
      </c>
      <c r="V1518" s="360" t="str">
        <f t="shared" si="54"/>
        <v>segunda-feira</v>
      </c>
    </row>
    <row r="1519" spans="19:22">
      <c r="S1519" s="357">
        <v>43032</v>
      </c>
      <c r="T1519" s="359" t="str">
        <f t="shared" si="53"/>
        <v>terça-feira</v>
      </c>
      <c r="U1519" s="361">
        <v>41695</v>
      </c>
      <c r="V1519" s="360" t="str">
        <f t="shared" si="54"/>
        <v>terça-feira</v>
      </c>
    </row>
    <row r="1520" spans="19:22">
      <c r="S1520" s="357">
        <v>43033</v>
      </c>
      <c r="T1520" s="359" t="str">
        <f t="shared" si="53"/>
        <v>quarta-feira</v>
      </c>
      <c r="U1520" s="361">
        <v>41696</v>
      </c>
      <c r="V1520" s="360" t="str">
        <f t="shared" si="54"/>
        <v>quarta-feira</v>
      </c>
    </row>
    <row r="1521" spans="19:22">
      <c r="S1521" s="357">
        <v>43034</v>
      </c>
      <c r="T1521" s="359" t="str">
        <f t="shared" si="53"/>
        <v>quinta-feira</v>
      </c>
      <c r="U1521" s="361">
        <v>41697</v>
      </c>
      <c r="V1521" s="360" t="str">
        <f t="shared" si="54"/>
        <v>quinta-feira</v>
      </c>
    </row>
    <row r="1522" spans="19:22">
      <c r="S1522" s="357">
        <v>43035</v>
      </c>
      <c r="T1522" s="359" t="str">
        <f t="shared" si="53"/>
        <v>sexta-feira</v>
      </c>
      <c r="U1522" s="361">
        <v>41698</v>
      </c>
      <c r="V1522" s="360" t="str">
        <f t="shared" si="54"/>
        <v>sexta-feira</v>
      </c>
    </row>
    <row r="1523" spans="19:22">
      <c r="S1523" s="357">
        <v>43036</v>
      </c>
      <c r="T1523" s="359" t="str">
        <f t="shared" si="53"/>
        <v>sábado</v>
      </c>
      <c r="U1523" s="361">
        <v>41699</v>
      </c>
      <c r="V1523" s="360" t="str">
        <f t="shared" si="54"/>
        <v>sábado</v>
      </c>
    </row>
    <row r="1524" spans="19:22">
      <c r="S1524" s="357">
        <v>43037</v>
      </c>
      <c r="T1524" s="359" t="str">
        <f t="shared" si="53"/>
        <v>domingo</v>
      </c>
      <c r="U1524" s="361">
        <v>41700</v>
      </c>
      <c r="V1524" s="360" t="str">
        <f t="shared" si="54"/>
        <v>domingo</v>
      </c>
    </row>
    <row r="1525" spans="19:22">
      <c r="S1525" s="357">
        <v>43038</v>
      </c>
      <c r="T1525" s="359" t="str">
        <f t="shared" si="53"/>
        <v>segunda-feira</v>
      </c>
      <c r="U1525" s="361">
        <v>41701</v>
      </c>
      <c r="V1525" s="360" t="str">
        <f t="shared" si="54"/>
        <v>segunda-feira</v>
      </c>
    </row>
    <row r="1526" spans="19:22">
      <c r="S1526" s="357">
        <v>43039</v>
      </c>
      <c r="T1526" s="359" t="str">
        <f t="shared" si="53"/>
        <v>terça-feira</v>
      </c>
      <c r="U1526" s="361">
        <v>41702</v>
      </c>
      <c r="V1526" s="360" t="str">
        <f t="shared" si="54"/>
        <v>terça-feira</v>
      </c>
    </row>
    <row r="1527" spans="19:22">
      <c r="S1527" s="357">
        <v>43040</v>
      </c>
      <c r="T1527" s="359" t="str">
        <f t="shared" ref="T1527:T1590" si="55">TEXT(S1527,"dddd")</f>
        <v>quarta-feira</v>
      </c>
      <c r="U1527" s="361">
        <v>41703</v>
      </c>
      <c r="V1527" s="360" t="str">
        <f t="shared" si="54"/>
        <v>quarta-feira</v>
      </c>
    </row>
    <row r="1528" spans="19:22">
      <c r="S1528" s="357">
        <v>43041</v>
      </c>
      <c r="T1528" s="359" t="str">
        <f t="shared" si="55"/>
        <v>quinta-feira</v>
      </c>
      <c r="U1528" s="361">
        <v>41704</v>
      </c>
      <c r="V1528" s="360" t="str">
        <f t="shared" si="54"/>
        <v>quinta-feira</v>
      </c>
    </row>
    <row r="1529" spans="19:22">
      <c r="S1529" s="357">
        <v>43042</v>
      </c>
      <c r="T1529" s="359" t="str">
        <f t="shared" si="55"/>
        <v>sexta-feira</v>
      </c>
      <c r="U1529" s="361">
        <v>41705</v>
      </c>
      <c r="V1529" s="360" t="str">
        <f t="shared" si="54"/>
        <v>sexta-feira</v>
      </c>
    </row>
    <row r="1530" spans="19:22">
      <c r="S1530" s="357">
        <v>43043</v>
      </c>
      <c r="T1530" s="359" t="str">
        <f t="shared" si="55"/>
        <v>sábado</v>
      </c>
      <c r="U1530" s="361">
        <v>41706</v>
      </c>
      <c r="V1530" s="360" t="str">
        <f t="shared" si="54"/>
        <v>sábado</v>
      </c>
    </row>
    <row r="1531" spans="19:22">
      <c r="S1531" s="357">
        <v>43044</v>
      </c>
      <c r="T1531" s="359" t="str">
        <f t="shared" si="55"/>
        <v>domingo</v>
      </c>
      <c r="U1531" s="361">
        <v>41707</v>
      </c>
      <c r="V1531" s="360" t="str">
        <f t="shared" si="54"/>
        <v>domingo</v>
      </c>
    </row>
    <row r="1532" spans="19:22">
      <c r="S1532" s="357">
        <v>43045</v>
      </c>
      <c r="T1532" s="359" t="str">
        <f t="shared" si="55"/>
        <v>segunda-feira</v>
      </c>
      <c r="U1532" s="361">
        <v>41708</v>
      </c>
      <c r="V1532" s="360" t="str">
        <f t="shared" si="54"/>
        <v>segunda-feira</v>
      </c>
    </row>
    <row r="1533" spans="19:22">
      <c r="S1533" s="357">
        <v>43046</v>
      </c>
      <c r="T1533" s="359" t="str">
        <f t="shared" si="55"/>
        <v>terça-feira</v>
      </c>
      <c r="U1533" s="361">
        <v>41709</v>
      </c>
      <c r="V1533" s="360" t="str">
        <f t="shared" si="54"/>
        <v>terça-feira</v>
      </c>
    </row>
    <row r="1534" spans="19:22">
      <c r="S1534" s="357">
        <v>43047</v>
      </c>
      <c r="T1534" s="359" t="str">
        <f t="shared" si="55"/>
        <v>quarta-feira</v>
      </c>
      <c r="U1534" s="361">
        <v>41710</v>
      </c>
      <c r="V1534" s="360" t="str">
        <f t="shared" si="54"/>
        <v>quarta-feira</v>
      </c>
    </row>
    <row r="1535" spans="19:22">
      <c r="S1535" s="357">
        <v>43048</v>
      </c>
      <c r="T1535" s="359" t="str">
        <f t="shared" si="55"/>
        <v>quinta-feira</v>
      </c>
      <c r="U1535" s="361">
        <v>41711</v>
      </c>
      <c r="V1535" s="360" t="str">
        <f t="shared" si="54"/>
        <v>quinta-feira</v>
      </c>
    </row>
    <row r="1536" spans="19:22">
      <c r="S1536" s="357">
        <v>43049</v>
      </c>
      <c r="T1536" s="359" t="str">
        <f t="shared" si="55"/>
        <v>sexta-feira</v>
      </c>
      <c r="U1536" s="361">
        <v>41712</v>
      </c>
      <c r="V1536" s="360" t="str">
        <f t="shared" si="54"/>
        <v>sexta-feira</v>
      </c>
    </row>
    <row r="1537" spans="19:22">
      <c r="S1537" s="357">
        <v>43050</v>
      </c>
      <c r="T1537" s="359" t="str">
        <f t="shared" si="55"/>
        <v>sábado</v>
      </c>
      <c r="U1537" s="361">
        <v>41713</v>
      </c>
      <c r="V1537" s="360" t="str">
        <f t="shared" si="54"/>
        <v>sábado</v>
      </c>
    </row>
    <row r="1538" spans="19:22">
      <c r="S1538" s="357">
        <v>43051</v>
      </c>
      <c r="T1538" s="359" t="str">
        <f t="shared" si="55"/>
        <v>domingo</v>
      </c>
      <c r="U1538" s="361">
        <v>41714</v>
      </c>
      <c r="V1538" s="360" t="str">
        <f t="shared" si="54"/>
        <v>domingo</v>
      </c>
    </row>
    <row r="1539" spans="19:22">
      <c r="S1539" s="357">
        <v>43052</v>
      </c>
      <c r="T1539" s="359" t="str">
        <f t="shared" si="55"/>
        <v>segunda-feira</v>
      </c>
      <c r="U1539" s="361">
        <v>41715</v>
      </c>
      <c r="V1539" s="360" t="str">
        <f t="shared" si="54"/>
        <v>segunda-feira</v>
      </c>
    </row>
    <row r="1540" spans="19:22">
      <c r="S1540" s="357">
        <v>43053</v>
      </c>
      <c r="T1540" s="359" t="str">
        <f t="shared" si="55"/>
        <v>terça-feira</v>
      </c>
      <c r="U1540" s="361">
        <v>41716</v>
      </c>
      <c r="V1540" s="360" t="str">
        <f t="shared" si="54"/>
        <v>terça-feira</v>
      </c>
    </row>
    <row r="1541" spans="19:22">
      <c r="S1541" s="357">
        <v>43054</v>
      </c>
      <c r="T1541" s="359" t="str">
        <f t="shared" si="55"/>
        <v>quarta-feira</v>
      </c>
      <c r="U1541" s="361">
        <v>41717</v>
      </c>
      <c r="V1541" s="360" t="str">
        <f t="shared" si="54"/>
        <v>quarta-feira</v>
      </c>
    </row>
    <row r="1542" spans="19:22">
      <c r="S1542" s="357">
        <v>43055</v>
      </c>
      <c r="T1542" s="359" t="str">
        <f t="shared" si="55"/>
        <v>quinta-feira</v>
      </c>
      <c r="U1542" s="361">
        <v>41718</v>
      </c>
      <c r="V1542" s="360" t="str">
        <f t="shared" si="54"/>
        <v>quinta-feira</v>
      </c>
    </row>
    <row r="1543" spans="19:22">
      <c r="S1543" s="357">
        <v>43056</v>
      </c>
      <c r="T1543" s="359" t="str">
        <f t="shared" si="55"/>
        <v>sexta-feira</v>
      </c>
      <c r="U1543" s="361">
        <v>41719</v>
      </c>
      <c r="V1543" s="360" t="str">
        <f t="shared" si="54"/>
        <v>sexta-feira</v>
      </c>
    </row>
    <row r="1544" spans="19:22">
      <c r="S1544" s="357">
        <v>43057</v>
      </c>
      <c r="T1544" s="359" t="str">
        <f t="shared" si="55"/>
        <v>sábado</v>
      </c>
      <c r="U1544" s="361">
        <v>41720</v>
      </c>
      <c r="V1544" s="360" t="str">
        <f t="shared" si="54"/>
        <v>sábado</v>
      </c>
    </row>
    <row r="1545" spans="19:22">
      <c r="S1545" s="357">
        <v>43058</v>
      </c>
      <c r="T1545" s="359" t="str">
        <f t="shared" si="55"/>
        <v>domingo</v>
      </c>
      <c r="U1545" s="361">
        <v>41721</v>
      </c>
      <c r="V1545" s="360" t="str">
        <f t="shared" si="54"/>
        <v>domingo</v>
      </c>
    </row>
    <row r="1546" spans="19:22">
      <c r="S1546" s="357">
        <v>43059</v>
      </c>
      <c r="T1546" s="359" t="str">
        <f t="shared" si="55"/>
        <v>segunda-feira</v>
      </c>
      <c r="U1546" s="361">
        <v>41722</v>
      </c>
      <c r="V1546" s="360" t="str">
        <f t="shared" si="54"/>
        <v>segunda-feira</v>
      </c>
    </row>
    <row r="1547" spans="19:22">
      <c r="S1547" s="357">
        <v>43060</v>
      </c>
      <c r="T1547" s="359" t="str">
        <f t="shared" si="55"/>
        <v>terça-feira</v>
      </c>
      <c r="U1547" s="361">
        <v>41723</v>
      </c>
      <c r="V1547" s="360" t="str">
        <f t="shared" si="54"/>
        <v>terça-feira</v>
      </c>
    </row>
    <row r="1548" spans="19:22">
      <c r="S1548" s="357">
        <v>43061</v>
      </c>
      <c r="T1548" s="359" t="str">
        <f t="shared" si="55"/>
        <v>quarta-feira</v>
      </c>
      <c r="U1548" s="361">
        <v>41724</v>
      </c>
      <c r="V1548" s="360" t="str">
        <f t="shared" si="54"/>
        <v>quarta-feira</v>
      </c>
    </row>
    <row r="1549" spans="19:22">
      <c r="S1549" s="357">
        <v>43062</v>
      </c>
      <c r="T1549" s="359" t="str">
        <f t="shared" si="55"/>
        <v>quinta-feira</v>
      </c>
      <c r="U1549" s="361">
        <v>41725</v>
      </c>
      <c r="V1549" s="360" t="str">
        <f t="shared" si="54"/>
        <v>quinta-feira</v>
      </c>
    </row>
    <row r="1550" spans="19:22">
      <c r="S1550" s="357">
        <v>43063</v>
      </c>
      <c r="T1550" s="359" t="str">
        <f t="shared" si="55"/>
        <v>sexta-feira</v>
      </c>
      <c r="U1550" s="361">
        <v>41726</v>
      </c>
      <c r="V1550" s="360" t="str">
        <f t="shared" si="54"/>
        <v>sexta-feira</v>
      </c>
    </row>
    <row r="1551" spans="19:22">
      <c r="S1551" s="357">
        <v>43064</v>
      </c>
      <c r="T1551" s="359" t="str">
        <f t="shared" si="55"/>
        <v>sábado</v>
      </c>
      <c r="U1551" s="361">
        <v>41727</v>
      </c>
      <c r="V1551" s="360" t="str">
        <f t="shared" si="54"/>
        <v>sábado</v>
      </c>
    </row>
    <row r="1552" spans="19:22">
      <c r="S1552" s="357">
        <v>43065</v>
      </c>
      <c r="T1552" s="359" t="str">
        <f t="shared" si="55"/>
        <v>domingo</v>
      </c>
      <c r="U1552" s="361">
        <v>41728</v>
      </c>
      <c r="V1552" s="360" t="str">
        <f t="shared" si="54"/>
        <v>domingo</v>
      </c>
    </row>
    <row r="1553" spans="19:22">
      <c r="S1553" s="357">
        <v>43066</v>
      </c>
      <c r="T1553" s="359" t="str">
        <f t="shared" si="55"/>
        <v>segunda-feira</v>
      </c>
      <c r="U1553" s="361">
        <v>41729</v>
      </c>
      <c r="V1553" s="360" t="str">
        <f t="shared" si="54"/>
        <v>segunda-feira</v>
      </c>
    </row>
    <row r="1554" spans="19:22">
      <c r="S1554" s="357">
        <v>43067</v>
      </c>
      <c r="T1554" s="359" t="str">
        <f t="shared" si="55"/>
        <v>terça-feira</v>
      </c>
      <c r="U1554" s="361">
        <v>41730</v>
      </c>
      <c r="V1554" s="360" t="str">
        <f t="shared" si="54"/>
        <v>terça-feira</v>
      </c>
    </row>
    <row r="1555" spans="19:22">
      <c r="S1555" s="357">
        <v>43068</v>
      </c>
      <c r="T1555" s="359" t="str">
        <f t="shared" si="55"/>
        <v>quarta-feira</v>
      </c>
      <c r="U1555" s="361">
        <v>41731</v>
      </c>
      <c r="V1555" s="360" t="str">
        <f t="shared" si="54"/>
        <v>quarta-feira</v>
      </c>
    </row>
    <row r="1556" spans="19:22">
      <c r="S1556" s="357">
        <v>43069</v>
      </c>
      <c r="T1556" s="359" t="str">
        <f t="shared" si="55"/>
        <v>quinta-feira</v>
      </c>
      <c r="U1556" s="361">
        <v>41732</v>
      </c>
      <c r="V1556" s="360" t="str">
        <f t="shared" si="54"/>
        <v>quinta-feira</v>
      </c>
    </row>
    <row r="1557" spans="19:22">
      <c r="S1557" s="357">
        <v>43070</v>
      </c>
      <c r="T1557" s="359" t="str">
        <f t="shared" si="55"/>
        <v>sexta-feira</v>
      </c>
      <c r="U1557" s="361">
        <v>41733</v>
      </c>
      <c r="V1557" s="360" t="str">
        <f t="shared" si="54"/>
        <v>sexta-feira</v>
      </c>
    </row>
    <row r="1558" spans="19:22">
      <c r="S1558" s="357">
        <v>43071</v>
      </c>
      <c r="T1558" s="359" t="str">
        <f t="shared" si="55"/>
        <v>sábado</v>
      </c>
      <c r="U1558" s="361">
        <v>41734</v>
      </c>
      <c r="V1558" s="360" t="str">
        <f t="shared" si="54"/>
        <v>sábado</v>
      </c>
    </row>
    <row r="1559" spans="19:22">
      <c r="S1559" s="357">
        <v>43072</v>
      </c>
      <c r="T1559" s="359" t="str">
        <f t="shared" si="55"/>
        <v>domingo</v>
      </c>
      <c r="U1559" s="361">
        <v>41735</v>
      </c>
      <c r="V1559" s="360" t="str">
        <f t="shared" si="54"/>
        <v>domingo</v>
      </c>
    </row>
    <row r="1560" spans="19:22">
      <c r="S1560" s="357">
        <v>43073</v>
      </c>
      <c r="T1560" s="359" t="str">
        <f t="shared" si="55"/>
        <v>segunda-feira</v>
      </c>
      <c r="U1560" s="361">
        <v>41736</v>
      </c>
      <c r="V1560" s="360" t="str">
        <f t="shared" si="54"/>
        <v>segunda-feira</v>
      </c>
    </row>
    <row r="1561" spans="19:22">
      <c r="S1561" s="357">
        <v>43074</v>
      </c>
      <c r="T1561" s="359" t="str">
        <f t="shared" si="55"/>
        <v>terça-feira</v>
      </c>
      <c r="U1561" s="361">
        <v>41737</v>
      </c>
      <c r="V1561" s="360" t="str">
        <f t="shared" si="54"/>
        <v>terça-feira</v>
      </c>
    </row>
    <row r="1562" spans="19:22">
      <c r="S1562" s="357">
        <v>43075</v>
      </c>
      <c r="T1562" s="359" t="str">
        <f t="shared" si="55"/>
        <v>quarta-feira</v>
      </c>
      <c r="U1562" s="361">
        <v>41738</v>
      </c>
      <c r="V1562" s="360" t="str">
        <f t="shared" si="54"/>
        <v>quarta-feira</v>
      </c>
    </row>
    <row r="1563" spans="19:22">
      <c r="S1563" s="357">
        <v>43076</v>
      </c>
      <c r="T1563" s="359" t="str">
        <f t="shared" si="55"/>
        <v>quinta-feira</v>
      </c>
      <c r="U1563" s="361">
        <v>41739</v>
      </c>
      <c r="V1563" s="360" t="str">
        <f t="shared" si="54"/>
        <v>quinta-feira</v>
      </c>
    </row>
    <row r="1564" spans="19:22">
      <c r="S1564" s="357">
        <v>43077</v>
      </c>
      <c r="T1564" s="359" t="str">
        <f t="shared" si="55"/>
        <v>sexta-feira</v>
      </c>
      <c r="U1564" s="361">
        <v>41740</v>
      </c>
      <c r="V1564" s="360" t="str">
        <f t="shared" si="54"/>
        <v>sexta-feira</v>
      </c>
    </row>
    <row r="1565" spans="19:22">
      <c r="S1565" s="357">
        <v>43078</v>
      </c>
      <c r="T1565" s="359" t="str">
        <f t="shared" si="55"/>
        <v>sábado</v>
      </c>
      <c r="U1565" s="361">
        <v>41741</v>
      </c>
      <c r="V1565" s="360" t="str">
        <f t="shared" si="54"/>
        <v>sábado</v>
      </c>
    </row>
    <row r="1566" spans="19:22">
      <c r="S1566" s="357">
        <v>43079</v>
      </c>
      <c r="T1566" s="359" t="str">
        <f t="shared" si="55"/>
        <v>domingo</v>
      </c>
      <c r="U1566" s="361">
        <v>41742</v>
      </c>
      <c r="V1566" s="360" t="str">
        <f t="shared" si="54"/>
        <v>domingo</v>
      </c>
    </row>
    <row r="1567" spans="19:22">
      <c r="S1567" s="357">
        <v>43080</v>
      </c>
      <c r="T1567" s="359" t="str">
        <f t="shared" si="55"/>
        <v>segunda-feira</v>
      </c>
      <c r="U1567" s="361">
        <v>41743</v>
      </c>
      <c r="V1567" s="360" t="str">
        <f t="shared" si="54"/>
        <v>segunda-feira</v>
      </c>
    </row>
    <row r="1568" spans="19:22">
      <c r="S1568" s="357">
        <v>43081</v>
      </c>
      <c r="T1568" s="359" t="str">
        <f t="shared" si="55"/>
        <v>terça-feira</v>
      </c>
      <c r="U1568" s="361">
        <v>41744</v>
      </c>
      <c r="V1568" s="360" t="str">
        <f t="shared" si="54"/>
        <v>terça-feira</v>
      </c>
    </row>
    <row r="1569" spans="19:22">
      <c r="S1569" s="357">
        <v>43082</v>
      </c>
      <c r="T1569" s="359" t="str">
        <f t="shared" si="55"/>
        <v>quarta-feira</v>
      </c>
      <c r="U1569" s="361">
        <v>41745</v>
      </c>
      <c r="V1569" s="360" t="str">
        <f t="shared" si="54"/>
        <v>quarta-feira</v>
      </c>
    </row>
    <row r="1570" spans="19:22">
      <c r="S1570" s="357">
        <v>43083</v>
      </c>
      <c r="T1570" s="359" t="str">
        <f t="shared" si="55"/>
        <v>quinta-feira</v>
      </c>
      <c r="U1570" s="361">
        <v>41746</v>
      </c>
      <c r="V1570" s="360" t="str">
        <f t="shared" si="54"/>
        <v>quinta-feira</v>
      </c>
    </row>
    <row r="1571" spans="19:22">
      <c r="S1571" s="357">
        <v>43084</v>
      </c>
      <c r="T1571" s="359" t="str">
        <f t="shared" si="55"/>
        <v>sexta-feira</v>
      </c>
      <c r="U1571" s="361">
        <v>41747</v>
      </c>
      <c r="V1571" s="360" t="str">
        <f t="shared" si="54"/>
        <v>sexta-feira</v>
      </c>
    </row>
    <row r="1572" spans="19:22">
      <c r="S1572" s="357">
        <v>43085</v>
      </c>
      <c r="T1572" s="359" t="str">
        <f t="shared" si="55"/>
        <v>sábado</v>
      </c>
      <c r="U1572" s="361">
        <v>41748</v>
      </c>
      <c r="V1572" s="360" t="str">
        <f t="shared" si="54"/>
        <v>sábado</v>
      </c>
    </row>
    <row r="1573" spans="19:22">
      <c r="S1573" s="357">
        <v>43086</v>
      </c>
      <c r="T1573" s="359" t="str">
        <f t="shared" si="55"/>
        <v>domingo</v>
      </c>
      <c r="U1573" s="361">
        <v>41749</v>
      </c>
      <c r="V1573" s="360" t="str">
        <f t="shared" si="54"/>
        <v>domingo</v>
      </c>
    </row>
    <row r="1574" spans="19:22">
      <c r="S1574" s="357">
        <v>43087</v>
      </c>
      <c r="T1574" s="359" t="str">
        <f t="shared" si="55"/>
        <v>segunda-feira</v>
      </c>
      <c r="U1574" s="361">
        <v>41750</v>
      </c>
      <c r="V1574" s="360" t="str">
        <f t="shared" si="54"/>
        <v>segunda-feira</v>
      </c>
    </row>
    <row r="1575" spans="19:22">
      <c r="S1575" s="357">
        <v>43088</v>
      </c>
      <c r="T1575" s="359" t="str">
        <f t="shared" si="55"/>
        <v>terça-feira</v>
      </c>
      <c r="U1575" s="361">
        <v>41751</v>
      </c>
      <c r="V1575" s="360" t="str">
        <f t="shared" si="54"/>
        <v>terça-feira</v>
      </c>
    </row>
    <row r="1576" spans="19:22">
      <c r="S1576" s="357">
        <v>43089</v>
      </c>
      <c r="T1576" s="359" t="str">
        <f t="shared" si="55"/>
        <v>quarta-feira</v>
      </c>
      <c r="U1576" s="361">
        <v>41752</v>
      </c>
      <c r="V1576" s="360" t="str">
        <f t="shared" si="54"/>
        <v>quarta-feira</v>
      </c>
    </row>
    <row r="1577" spans="19:22">
      <c r="S1577" s="357">
        <v>43090</v>
      </c>
      <c r="T1577" s="359" t="str">
        <f t="shared" si="55"/>
        <v>quinta-feira</v>
      </c>
      <c r="U1577" s="361">
        <v>41753</v>
      </c>
      <c r="V1577" s="360" t="str">
        <f t="shared" ref="V1577:V1640" si="56">TEXT(U1577,"dddd")</f>
        <v>quinta-feira</v>
      </c>
    </row>
    <row r="1578" spans="19:22">
      <c r="S1578" s="357">
        <v>43091</v>
      </c>
      <c r="T1578" s="359" t="str">
        <f t="shared" si="55"/>
        <v>sexta-feira</v>
      </c>
      <c r="U1578" s="361">
        <v>41754</v>
      </c>
      <c r="V1578" s="360" t="str">
        <f t="shared" si="56"/>
        <v>sexta-feira</v>
      </c>
    </row>
    <row r="1579" spans="19:22">
      <c r="S1579" s="357">
        <v>43092</v>
      </c>
      <c r="T1579" s="359" t="str">
        <f t="shared" si="55"/>
        <v>sábado</v>
      </c>
      <c r="U1579" s="361">
        <v>41755</v>
      </c>
      <c r="V1579" s="360" t="str">
        <f t="shared" si="56"/>
        <v>sábado</v>
      </c>
    </row>
    <row r="1580" spans="19:22">
      <c r="S1580" s="357">
        <v>43093</v>
      </c>
      <c r="T1580" s="359" t="str">
        <f t="shared" si="55"/>
        <v>domingo</v>
      </c>
      <c r="U1580" s="361">
        <v>41756</v>
      </c>
      <c r="V1580" s="360" t="str">
        <f t="shared" si="56"/>
        <v>domingo</v>
      </c>
    </row>
    <row r="1581" spans="19:22">
      <c r="S1581" s="357">
        <v>43094</v>
      </c>
      <c r="T1581" s="359" t="str">
        <f t="shared" si="55"/>
        <v>segunda-feira</v>
      </c>
      <c r="U1581" s="361">
        <v>41757</v>
      </c>
      <c r="V1581" s="360" t="str">
        <f t="shared" si="56"/>
        <v>segunda-feira</v>
      </c>
    </row>
    <row r="1582" spans="19:22">
      <c r="S1582" s="357">
        <v>43095</v>
      </c>
      <c r="T1582" s="359" t="str">
        <f t="shared" si="55"/>
        <v>terça-feira</v>
      </c>
      <c r="U1582" s="361">
        <v>41758</v>
      </c>
      <c r="V1582" s="360" t="str">
        <f t="shared" si="56"/>
        <v>terça-feira</v>
      </c>
    </row>
    <row r="1583" spans="19:22">
      <c r="S1583" s="357">
        <v>43096</v>
      </c>
      <c r="T1583" s="359" t="str">
        <f t="shared" si="55"/>
        <v>quarta-feira</v>
      </c>
      <c r="U1583" s="361">
        <v>41759</v>
      </c>
      <c r="V1583" s="360" t="str">
        <f t="shared" si="56"/>
        <v>quarta-feira</v>
      </c>
    </row>
    <row r="1584" spans="19:22">
      <c r="S1584" s="357">
        <v>43097</v>
      </c>
      <c r="T1584" s="359" t="str">
        <f t="shared" si="55"/>
        <v>quinta-feira</v>
      </c>
      <c r="U1584" s="361">
        <v>41760</v>
      </c>
      <c r="V1584" s="360" t="str">
        <f t="shared" si="56"/>
        <v>quinta-feira</v>
      </c>
    </row>
    <row r="1585" spans="19:22">
      <c r="S1585" s="357">
        <v>43098</v>
      </c>
      <c r="T1585" s="359" t="str">
        <f t="shared" si="55"/>
        <v>sexta-feira</v>
      </c>
      <c r="U1585" s="361">
        <v>41761</v>
      </c>
      <c r="V1585" s="360" t="str">
        <f t="shared" si="56"/>
        <v>sexta-feira</v>
      </c>
    </row>
    <row r="1586" spans="19:22">
      <c r="S1586" s="357">
        <v>43099</v>
      </c>
      <c r="T1586" s="359" t="str">
        <f t="shared" si="55"/>
        <v>sábado</v>
      </c>
      <c r="U1586" s="361">
        <v>41762</v>
      </c>
      <c r="V1586" s="360" t="str">
        <f t="shared" si="56"/>
        <v>sábado</v>
      </c>
    </row>
    <row r="1587" spans="19:22">
      <c r="S1587" s="357">
        <v>43100</v>
      </c>
      <c r="T1587" s="359" t="str">
        <f t="shared" si="55"/>
        <v>domingo</v>
      </c>
      <c r="U1587" s="361">
        <v>41763</v>
      </c>
      <c r="V1587" s="360" t="str">
        <f t="shared" si="56"/>
        <v>domingo</v>
      </c>
    </row>
    <row r="1588" spans="19:22">
      <c r="S1588" s="357">
        <v>43101</v>
      </c>
      <c r="T1588" s="359" t="str">
        <f t="shared" si="55"/>
        <v>segunda-feira</v>
      </c>
      <c r="U1588" s="361">
        <v>41764</v>
      </c>
      <c r="V1588" s="360" t="str">
        <f t="shared" si="56"/>
        <v>segunda-feira</v>
      </c>
    </row>
    <row r="1589" spans="19:22">
      <c r="S1589" s="357">
        <v>43102</v>
      </c>
      <c r="T1589" s="359" t="str">
        <f t="shared" si="55"/>
        <v>terça-feira</v>
      </c>
      <c r="U1589" s="361">
        <v>41765</v>
      </c>
      <c r="V1589" s="360" t="str">
        <f t="shared" si="56"/>
        <v>terça-feira</v>
      </c>
    </row>
    <row r="1590" spans="19:22">
      <c r="S1590" s="357">
        <v>43103</v>
      </c>
      <c r="T1590" s="359" t="str">
        <f t="shared" si="55"/>
        <v>quarta-feira</v>
      </c>
      <c r="U1590" s="361">
        <v>41766</v>
      </c>
      <c r="V1590" s="360" t="str">
        <f t="shared" si="56"/>
        <v>quarta-feira</v>
      </c>
    </row>
    <row r="1591" spans="19:22">
      <c r="S1591" s="357">
        <v>43104</v>
      </c>
      <c r="T1591" s="359" t="str">
        <f t="shared" ref="T1591:T1654" si="57">TEXT(S1591,"dddd")</f>
        <v>quinta-feira</v>
      </c>
      <c r="U1591" s="361">
        <v>41767</v>
      </c>
      <c r="V1591" s="360" t="str">
        <f t="shared" si="56"/>
        <v>quinta-feira</v>
      </c>
    </row>
    <row r="1592" spans="19:22">
      <c r="S1592" s="357">
        <v>43105</v>
      </c>
      <c r="T1592" s="359" t="str">
        <f t="shared" si="57"/>
        <v>sexta-feira</v>
      </c>
      <c r="U1592" s="361">
        <v>41768</v>
      </c>
      <c r="V1592" s="360" t="str">
        <f t="shared" si="56"/>
        <v>sexta-feira</v>
      </c>
    </row>
    <row r="1593" spans="19:22">
      <c r="S1593" s="357">
        <v>43106</v>
      </c>
      <c r="T1593" s="359" t="str">
        <f t="shared" si="57"/>
        <v>sábado</v>
      </c>
      <c r="U1593" s="361">
        <v>41769</v>
      </c>
      <c r="V1593" s="360" t="str">
        <f t="shared" si="56"/>
        <v>sábado</v>
      </c>
    </row>
    <row r="1594" spans="19:22">
      <c r="S1594" s="357">
        <v>43107</v>
      </c>
      <c r="T1594" s="359" t="str">
        <f t="shared" si="57"/>
        <v>domingo</v>
      </c>
      <c r="U1594" s="361">
        <v>41770</v>
      </c>
      <c r="V1594" s="360" t="str">
        <f t="shared" si="56"/>
        <v>domingo</v>
      </c>
    </row>
    <row r="1595" spans="19:22">
      <c r="S1595" s="357">
        <v>43108</v>
      </c>
      <c r="T1595" s="359" t="str">
        <f t="shared" si="57"/>
        <v>segunda-feira</v>
      </c>
      <c r="U1595" s="361">
        <v>41771</v>
      </c>
      <c r="V1595" s="360" t="str">
        <f t="shared" si="56"/>
        <v>segunda-feira</v>
      </c>
    </row>
    <row r="1596" spans="19:22">
      <c r="S1596" s="357">
        <v>43109</v>
      </c>
      <c r="T1596" s="359" t="str">
        <f t="shared" si="57"/>
        <v>terça-feira</v>
      </c>
      <c r="U1596" s="361">
        <v>41772</v>
      </c>
      <c r="V1596" s="360" t="str">
        <f t="shared" si="56"/>
        <v>terça-feira</v>
      </c>
    </row>
    <row r="1597" spans="19:22">
      <c r="S1597" s="357">
        <v>43110</v>
      </c>
      <c r="T1597" s="359" t="str">
        <f t="shared" si="57"/>
        <v>quarta-feira</v>
      </c>
      <c r="U1597" s="361">
        <v>41773</v>
      </c>
      <c r="V1597" s="360" t="str">
        <f t="shared" si="56"/>
        <v>quarta-feira</v>
      </c>
    </row>
    <row r="1598" spans="19:22">
      <c r="S1598" s="357">
        <v>43111</v>
      </c>
      <c r="T1598" s="359" t="str">
        <f t="shared" si="57"/>
        <v>quinta-feira</v>
      </c>
      <c r="U1598" s="361">
        <v>41774</v>
      </c>
      <c r="V1598" s="360" t="str">
        <f t="shared" si="56"/>
        <v>quinta-feira</v>
      </c>
    </row>
    <row r="1599" spans="19:22">
      <c r="S1599" s="357">
        <v>43112</v>
      </c>
      <c r="T1599" s="359" t="str">
        <f t="shared" si="57"/>
        <v>sexta-feira</v>
      </c>
      <c r="U1599" s="361">
        <v>41775</v>
      </c>
      <c r="V1599" s="360" t="str">
        <f t="shared" si="56"/>
        <v>sexta-feira</v>
      </c>
    </row>
    <row r="1600" spans="19:22">
      <c r="S1600" s="357">
        <v>43113</v>
      </c>
      <c r="T1600" s="359" t="str">
        <f t="shared" si="57"/>
        <v>sábado</v>
      </c>
      <c r="U1600" s="361">
        <v>41776</v>
      </c>
      <c r="V1600" s="360" t="str">
        <f t="shared" si="56"/>
        <v>sábado</v>
      </c>
    </row>
    <row r="1601" spans="19:22">
      <c r="S1601" s="357">
        <v>43114</v>
      </c>
      <c r="T1601" s="359" t="str">
        <f t="shared" si="57"/>
        <v>domingo</v>
      </c>
      <c r="U1601" s="361">
        <v>41777</v>
      </c>
      <c r="V1601" s="360" t="str">
        <f t="shared" si="56"/>
        <v>domingo</v>
      </c>
    </row>
    <row r="1602" spans="19:22">
      <c r="S1602" s="357">
        <v>43115</v>
      </c>
      <c r="T1602" s="359" t="str">
        <f t="shared" si="57"/>
        <v>segunda-feira</v>
      </c>
      <c r="U1602" s="361">
        <v>41778</v>
      </c>
      <c r="V1602" s="360" t="str">
        <f t="shared" si="56"/>
        <v>segunda-feira</v>
      </c>
    </row>
    <row r="1603" spans="19:22">
      <c r="S1603" s="357">
        <v>43116</v>
      </c>
      <c r="T1603" s="359" t="str">
        <f t="shared" si="57"/>
        <v>terça-feira</v>
      </c>
      <c r="U1603" s="361">
        <v>41779</v>
      </c>
      <c r="V1603" s="360" t="str">
        <f t="shared" si="56"/>
        <v>terça-feira</v>
      </c>
    </row>
    <row r="1604" spans="19:22">
      <c r="S1604" s="357">
        <v>43117</v>
      </c>
      <c r="T1604" s="359" t="str">
        <f t="shared" si="57"/>
        <v>quarta-feira</v>
      </c>
      <c r="U1604" s="361">
        <v>41780</v>
      </c>
      <c r="V1604" s="360" t="str">
        <f t="shared" si="56"/>
        <v>quarta-feira</v>
      </c>
    </row>
    <row r="1605" spans="19:22">
      <c r="S1605" s="357">
        <v>43118</v>
      </c>
      <c r="T1605" s="359" t="str">
        <f t="shared" si="57"/>
        <v>quinta-feira</v>
      </c>
      <c r="U1605" s="361">
        <v>41781</v>
      </c>
      <c r="V1605" s="360" t="str">
        <f t="shared" si="56"/>
        <v>quinta-feira</v>
      </c>
    </row>
    <row r="1606" spans="19:22">
      <c r="S1606" s="357">
        <v>43119</v>
      </c>
      <c r="T1606" s="359" t="str">
        <f t="shared" si="57"/>
        <v>sexta-feira</v>
      </c>
      <c r="U1606" s="361">
        <v>41782</v>
      </c>
      <c r="V1606" s="360" t="str">
        <f t="shared" si="56"/>
        <v>sexta-feira</v>
      </c>
    </row>
    <row r="1607" spans="19:22">
      <c r="S1607" s="357">
        <v>43120</v>
      </c>
      <c r="T1607" s="359" t="str">
        <f t="shared" si="57"/>
        <v>sábado</v>
      </c>
      <c r="U1607" s="361">
        <v>41783</v>
      </c>
      <c r="V1607" s="360" t="str">
        <f t="shared" si="56"/>
        <v>sábado</v>
      </c>
    </row>
    <row r="1608" spans="19:22">
      <c r="S1608" s="357">
        <v>43121</v>
      </c>
      <c r="T1608" s="359" t="str">
        <f t="shared" si="57"/>
        <v>domingo</v>
      </c>
      <c r="U1608" s="361">
        <v>41784</v>
      </c>
      <c r="V1608" s="360" t="str">
        <f t="shared" si="56"/>
        <v>domingo</v>
      </c>
    </row>
    <row r="1609" spans="19:22">
      <c r="S1609" s="357">
        <v>43122</v>
      </c>
      <c r="T1609" s="359" t="str">
        <f t="shared" si="57"/>
        <v>segunda-feira</v>
      </c>
      <c r="U1609" s="361">
        <v>41785</v>
      </c>
      <c r="V1609" s="360" t="str">
        <f t="shared" si="56"/>
        <v>segunda-feira</v>
      </c>
    </row>
    <row r="1610" spans="19:22">
      <c r="S1610" s="357">
        <v>43123</v>
      </c>
      <c r="T1610" s="359" t="str">
        <f t="shared" si="57"/>
        <v>terça-feira</v>
      </c>
      <c r="U1610" s="361">
        <v>41786</v>
      </c>
      <c r="V1610" s="360" t="str">
        <f t="shared" si="56"/>
        <v>terça-feira</v>
      </c>
    </row>
    <row r="1611" spans="19:22">
      <c r="S1611" s="357">
        <v>43124</v>
      </c>
      <c r="T1611" s="359" t="str">
        <f t="shared" si="57"/>
        <v>quarta-feira</v>
      </c>
      <c r="U1611" s="361">
        <v>41787</v>
      </c>
      <c r="V1611" s="360" t="str">
        <f t="shared" si="56"/>
        <v>quarta-feira</v>
      </c>
    </row>
    <row r="1612" spans="19:22">
      <c r="S1612" s="357">
        <v>43125</v>
      </c>
      <c r="T1612" s="359" t="str">
        <f t="shared" si="57"/>
        <v>quinta-feira</v>
      </c>
      <c r="U1612" s="361">
        <v>41788</v>
      </c>
      <c r="V1612" s="360" t="str">
        <f t="shared" si="56"/>
        <v>quinta-feira</v>
      </c>
    </row>
    <row r="1613" spans="19:22">
      <c r="S1613" s="357">
        <v>43126</v>
      </c>
      <c r="T1613" s="359" t="str">
        <f t="shared" si="57"/>
        <v>sexta-feira</v>
      </c>
      <c r="U1613" s="361">
        <v>41789</v>
      </c>
      <c r="V1613" s="360" t="str">
        <f t="shared" si="56"/>
        <v>sexta-feira</v>
      </c>
    </row>
    <row r="1614" spans="19:22">
      <c r="S1614" s="357">
        <v>43127</v>
      </c>
      <c r="T1614" s="359" t="str">
        <f t="shared" si="57"/>
        <v>sábado</v>
      </c>
      <c r="U1614" s="361">
        <v>41790</v>
      </c>
      <c r="V1614" s="360" t="str">
        <f t="shared" si="56"/>
        <v>sábado</v>
      </c>
    </row>
    <row r="1615" spans="19:22">
      <c r="S1615" s="357">
        <v>43128</v>
      </c>
      <c r="T1615" s="359" t="str">
        <f t="shared" si="57"/>
        <v>domingo</v>
      </c>
      <c r="U1615" s="361">
        <v>41791</v>
      </c>
      <c r="V1615" s="360" t="str">
        <f t="shared" si="56"/>
        <v>domingo</v>
      </c>
    </row>
    <row r="1616" spans="19:22">
      <c r="S1616" s="357">
        <v>43129</v>
      </c>
      <c r="T1616" s="359" t="str">
        <f t="shared" si="57"/>
        <v>segunda-feira</v>
      </c>
      <c r="U1616" s="361">
        <v>41792</v>
      </c>
      <c r="V1616" s="360" t="str">
        <f t="shared" si="56"/>
        <v>segunda-feira</v>
      </c>
    </row>
    <row r="1617" spans="19:22">
      <c r="S1617" s="357">
        <v>43130</v>
      </c>
      <c r="T1617" s="359" t="str">
        <f t="shared" si="57"/>
        <v>terça-feira</v>
      </c>
      <c r="U1617" s="361">
        <v>41793</v>
      </c>
      <c r="V1617" s="360" t="str">
        <f t="shared" si="56"/>
        <v>terça-feira</v>
      </c>
    </row>
    <row r="1618" spans="19:22">
      <c r="S1618" s="357">
        <v>43131</v>
      </c>
      <c r="T1618" s="359" t="str">
        <f t="shared" si="57"/>
        <v>quarta-feira</v>
      </c>
      <c r="U1618" s="361">
        <v>41794</v>
      </c>
      <c r="V1618" s="360" t="str">
        <f t="shared" si="56"/>
        <v>quarta-feira</v>
      </c>
    </row>
    <row r="1619" spans="19:22">
      <c r="S1619" s="357">
        <v>43132</v>
      </c>
      <c r="T1619" s="359" t="str">
        <f t="shared" si="57"/>
        <v>quinta-feira</v>
      </c>
      <c r="U1619" s="361">
        <v>41795</v>
      </c>
      <c r="V1619" s="360" t="str">
        <f t="shared" si="56"/>
        <v>quinta-feira</v>
      </c>
    </row>
    <row r="1620" spans="19:22">
      <c r="S1620" s="357">
        <v>43133</v>
      </c>
      <c r="T1620" s="359" t="str">
        <f t="shared" si="57"/>
        <v>sexta-feira</v>
      </c>
      <c r="U1620" s="361">
        <v>41796</v>
      </c>
      <c r="V1620" s="360" t="str">
        <f t="shared" si="56"/>
        <v>sexta-feira</v>
      </c>
    </row>
    <row r="1621" spans="19:22">
      <c r="S1621" s="357">
        <v>43134</v>
      </c>
      <c r="T1621" s="359" t="str">
        <f t="shared" si="57"/>
        <v>sábado</v>
      </c>
      <c r="U1621" s="361">
        <v>41797</v>
      </c>
      <c r="V1621" s="360" t="str">
        <f t="shared" si="56"/>
        <v>sábado</v>
      </c>
    </row>
    <row r="1622" spans="19:22">
      <c r="S1622" s="357">
        <v>43135</v>
      </c>
      <c r="T1622" s="359" t="str">
        <f t="shared" si="57"/>
        <v>domingo</v>
      </c>
      <c r="U1622" s="361">
        <v>41798</v>
      </c>
      <c r="V1622" s="360" t="str">
        <f t="shared" si="56"/>
        <v>domingo</v>
      </c>
    </row>
    <row r="1623" spans="19:22">
      <c r="S1623" s="357">
        <v>43136</v>
      </c>
      <c r="T1623" s="359" t="str">
        <f t="shared" si="57"/>
        <v>segunda-feira</v>
      </c>
      <c r="U1623" s="361">
        <v>41799</v>
      </c>
      <c r="V1623" s="360" t="str">
        <f t="shared" si="56"/>
        <v>segunda-feira</v>
      </c>
    </row>
    <row r="1624" spans="19:22">
      <c r="S1624" s="357">
        <v>43137</v>
      </c>
      <c r="T1624" s="359" t="str">
        <f t="shared" si="57"/>
        <v>terça-feira</v>
      </c>
      <c r="U1624" s="361">
        <v>41800</v>
      </c>
      <c r="V1624" s="360" t="str">
        <f t="shared" si="56"/>
        <v>terça-feira</v>
      </c>
    </row>
    <row r="1625" spans="19:22">
      <c r="S1625" s="357">
        <v>43138</v>
      </c>
      <c r="T1625" s="359" t="str">
        <f t="shared" si="57"/>
        <v>quarta-feira</v>
      </c>
      <c r="U1625" s="361">
        <v>41801</v>
      </c>
      <c r="V1625" s="360" t="str">
        <f t="shared" si="56"/>
        <v>quarta-feira</v>
      </c>
    </row>
    <row r="1626" spans="19:22">
      <c r="S1626" s="357">
        <v>43139</v>
      </c>
      <c r="T1626" s="359" t="str">
        <f t="shared" si="57"/>
        <v>quinta-feira</v>
      </c>
      <c r="U1626" s="361">
        <v>41802</v>
      </c>
      <c r="V1626" s="360" t="str">
        <f t="shared" si="56"/>
        <v>quinta-feira</v>
      </c>
    </row>
    <row r="1627" spans="19:22">
      <c r="S1627" s="357">
        <v>43140</v>
      </c>
      <c r="T1627" s="359" t="str">
        <f t="shared" si="57"/>
        <v>sexta-feira</v>
      </c>
      <c r="U1627" s="361">
        <v>41803</v>
      </c>
      <c r="V1627" s="360" t="str">
        <f t="shared" si="56"/>
        <v>sexta-feira</v>
      </c>
    </row>
    <row r="1628" spans="19:22">
      <c r="S1628" s="357">
        <v>43141</v>
      </c>
      <c r="T1628" s="359" t="str">
        <f t="shared" si="57"/>
        <v>sábado</v>
      </c>
      <c r="U1628" s="361">
        <v>41804</v>
      </c>
      <c r="V1628" s="360" t="str">
        <f t="shared" si="56"/>
        <v>sábado</v>
      </c>
    </row>
    <row r="1629" spans="19:22">
      <c r="S1629" s="357">
        <v>43142</v>
      </c>
      <c r="T1629" s="359" t="str">
        <f t="shared" si="57"/>
        <v>domingo</v>
      </c>
      <c r="U1629" s="361">
        <v>41805</v>
      </c>
      <c r="V1629" s="360" t="str">
        <f t="shared" si="56"/>
        <v>domingo</v>
      </c>
    </row>
    <row r="1630" spans="19:22">
      <c r="S1630" s="357">
        <v>43143</v>
      </c>
      <c r="T1630" s="359" t="str">
        <f t="shared" si="57"/>
        <v>segunda-feira</v>
      </c>
      <c r="U1630" s="361">
        <v>41806</v>
      </c>
      <c r="V1630" s="360" t="str">
        <f t="shared" si="56"/>
        <v>segunda-feira</v>
      </c>
    </row>
    <row r="1631" spans="19:22">
      <c r="S1631" s="357">
        <v>43144</v>
      </c>
      <c r="T1631" s="359" t="str">
        <f t="shared" si="57"/>
        <v>terça-feira</v>
      </c>
      <c r="U1631" s="361">
        <v>41807</v>
      </c>
      <c r="V1631" s="360" t="str">
        <f t="shared" si="56"/>
        <v>terça-feira</v>
      </c>
    </row>
    <row r="1632" spans="19:22">
      <c r="S1632" s="357">
        <v>43145</v>
      </c>
      <c r="T1632" s="359" t="str">
        <f t="shared" si="57"/>
        <v>quarta-feira</v>
      </c>
      <c r="U1632" s="361">
        <v>41808</v>
      </c>
      <c r="V1632" s="360" t="str">
        <f t="shared" si="56"/>
        <v>quarta-feira</v>
      </c>
    </row>
    <row r="1633" spans="19:22">
      <c r="S1633" s="357">
        <v>43146</v>
      </c>
      <c r="T1633" s="359" t="str">
        <f t="shared" si="57"/>
        <v>quinta-feira</v>
      </c>
      <c r="U1633" s="361">
        <v>41809</v>
      </c>
      <c r="V1633" s="360" t="str">
        <f t="shared" si="56"/>
        <v>quinta-feira</v>
      </c>
    </row>
    <row r="1634" spans="19:22">
      <c r="S1634" s="357">
        <v>43147</v>
      </c>
      <c r="T1634" s="359" t="str">
        <f t="shared" si="57"/>
        <v>sexta-feira</v>
      </c>
      <c r="U1634" s="361">
        <v>41810</v>
      </c>
      <c r="V1634" s="360" t="str">
        <f t="shared" si="56"/>
        <v>sexta-feira</v>
      </c>
    </row>
    <row r="1635" spans="19:22">
      <c r="S1635" s="357">
        <v>43148</v>
      </c>
      <c r="T1635" s="359" t="str">
        <f t="shared" si="57"/>
        <v>sábado</v>
      </c>
      <c r="U1635" s="361">
        <v>41811</v>
      </c>
      <c r="V1635" s="360" t="str">
        <f t="shared" si="56"/>
        <v>sábado</v>
      </c>
    </row>
    <row r="1636" spans="19:22">
      <c r="S1636" s="357">
        <v>43149</v>
      </c>
      <c r="T1636" s="359" t="str">
        <f t="shared" si="57"/>
        <v>domingo</v>
      </c>
      <c r="U1636" s="361">
        <v>41812</v>
      </c>
      <c r="V1636" s="360" t="str">
        <f t="shared" si="56"/>
        <v>domingo</v>
      </c>
    </row>
    <row r="1637" spans="19:22">
      <c r="S1637" s="357">
        <v>43150</v>
      </c>
      <c r="T1637" s="359" t="str">
        <f t="shared" si="57"/>
        <v>segunda-feira</v>
      </c>
      <c r="U1637" s="361">
        <v>41813</v>
      </c>
      <c r="V1637" s="360" t="str">
        <f t="shared" si="56"/>
        <v>segunda-feira</v>
      </c>
    </row>
    <row r="1638" spans="19:22">
      <c r="S1638" s="357">
        <v>43151</v>
      </c>
      <c r="T1638" s="359" t="str">
        <f t="shared" si="57"/>
        <v>terça-feira</v>
      </c>
      <c r="U1638" s="361">
        <v>41814</v>
      </c>
      <c r="V1638" s="360" t="str">
        <f t="shared" si="56"/>
        <v>terça-feira</v>
      </c>
    </row>
    <row r="1639" spans="19:22">
      <c r="S1639" s="357">
        <v>43152</v>
      </c>
      <c r="T1639" s="359" t="str">
        <f t="shared" si="57"/>
        <v>quarta-feira</v>
      </c>
      <c r="U1639" s="361">
        <v>41815</v>
      </c>
      <c r="V1639" s="360" t="str">
        <f t="shared" si="56"/>
        <v>quarta-feira</v>
      </c>
    </row>
    <row r="1640" spans="19:22">
      <c r="S1640" s="357">
        <v>43153</v>
      </c>
      <c r="T1640" s="359" t="str">
        <f t="shared" si="57"/>
        <v>quinta-feira</v>
      </c>
      <c r="U1640" s="361">
        <v>41816</v>
      </c>
      <c r="V1640" s="360" t="str">
        <f t="shared" si="56"/>
        <v>quinta-feira</v>
      </c>
    </row>
    <row r="1641" spans="19:22">
      <c r="S1641" s="357">
        <v>43154</v>
      </c>
      <c r="T1641" s="359" t="str">
        <f t="shared" si="57"/>
        <v>sexta-feira</v>
      </c>
      <c r="U1641" s="361">
        <v>41817</v>
      </c>
      <c r="V1641" s="360" t="str">
        <f t="shared" ref="V1641:V1704" si="58">TEXT(U1641,"dddd")</f>
        <v>sexta-feira</v>
      </c>
    </row>
    <row r="1642" spans="19:22">
      <c r="S1642" s="357">
        <v>43155</v>
      </c>
      <c r="T1642" s="359" t="str">
        <f t="shared" si="57"/>
        <v>sábado</v>
      </c>
      <c r="U1642" s="361">
        <v>41818</v>
      </c>
      <c r="V1642" s="360" t="str">
        <f t="shared" si="58"/>
        <v>sábado</v>
      </c>
    </row>
    <row r="1643" spans="19:22">
      <c r="S1643" s="357">
        <v>43156</v>
      </c>
      <c r="T1643" s="359" t="str">
        <f t="shared" si="57"/>
        <v>domingo</v>
      </c>
      <c r="U1643" s="361">
        <v>41819</v>
      </c>
      <c r="V1643" s="360" t="str">
        <f t="shared" si="58"/>
        <v>domingo</v>
      </c>
    </row>
    <row r="1644" spans="19:22">
      <c r="S1644" s="357">
        <v>43157</v>
      </c>
      <c r="T1644" s="359" t="str">
        <f t="shared" si="57"/>
        <v>segunda-feira</v>
      </c>
      <c r="U1644" s="361">
        <v>41820</v>
      </c>
      <c r="V1644" s="360" t="str">
        <f t="shared" si="58"/>
        <v>segunda-feira</v>
      </c>
    </row>
    <row r="1645" spans="19:22">
      <c r="S1645" s="357">
        <v>43158</v>
      </c>
      <c r="T1645" s="359" t="str">
        <f t="shared" si="57"/>
        <v>terça-feira</v>
      </c>
      <c r="U1645" s="361">
        <v>41821</v>
      </c>
      <c r="V1645" s="360" t="str">
        <f t="shared" si="58"/>
        <v>terça-feira</v>
      </c>
    </row>
    <row r="1646" spans="19:22">
      <c r="S1646" s="357">
        <v>43159</v>
      </c>
      <c r="T1646" s="359" t="str">
        <f t="shared" si="57"/>
        <v>quarta-feira</v>
      </c>
      <c r="U1646" s="361">
        <v>41822</v>
      </c>
      <c r="V1646" s="360" t="str">
        <f t="shared" si="58"/>
        <v>quarta-feira</v>
      </c>
    </row>
    <row r="1647" spans="19:22">
      <c r="S1647" s="357">
        <v>43160</v>
      </c>
      <c r="T1647" s="359" t="str">
        <f t="shared" si="57"/>
        <v>quinta-feira</v>
      </c>
      <c r="U1647" s="361">
        <v>41823</v>
      </c>
      <c r="V1647" s="360" t="str">
        <f t="shared" si="58"/>
        <v>quinta-feira</v>
      </c>
    </row>
    <row r="1648" spans="19:22">
      <c r="S1648" s="357">
        <v>43161</v>
      </c>
      <c r="T1648" s="359" t="str">
        <f t="shared" si="57"/>
        <v>sexta-feira</v>
      </c>
      <c r="U1648" s="361">
        <v>41824</v>
      </c>
      <c r="V1648" s="360" t="str">
        <f t="shared" si="58"/>
        <v>sexta-feira</v>
      </c>
    </row>
    <row r="1649" spans="19:22">
      <c r="S1649" s="357">
        <v>43162</v>
      </c>
      <c r="T1649" s="359" t="str">
        <f t="shared" si="57"/>
        <v>sábado</v>
      </c>
      <c r="U1649" s="361">
        <v>41825</v>
      </c>
      <c r="V1649" s="360" t="str">
        <f t="shared" si="58"/>
        <v>sábado</v>
      </c>
    </row>
    <row r="1650" spans="19:22">
      <c r="S1650" s="357">
        <v>43163</v>
      </c>
      <c r="T1650" s="359" t="str">
        <f t="shared" si="57"/>
        <v>domingo</v>
      </c>
      <c r="U1650" s="361">
        <v>41826</v>
      </c>
      <c r="V1650" s="360" t="str">
        <f t="shared" si="58"/>
        <v>domingo</v>
      </c>
    </row>
    <row r="1651" spans="19:22">
      <c r="S1651" s="357">
        <v>43164</v>
      </c>
      <c r="T1651" s="359" t="str">
        <f t="shared" si="57"/>
        <v>segunda-feira</v>
      </c>
      <c r="U1651" s="361">
        <v>41827</v>
      </c>
      <c r="V1651" s="360" t="str">
        <f t="shared" si="58"/>
        <v>segunda-feira</v>
      </c>
    </row>
    <row r="1652" spans="19:22">
      <c r="S1652" s="357">
        <v>43165</v>
      </c>
      <c r="T1652" s="359" t="str">
        <f t="shared" si="57"/>
        <v>terça-feira</v>
      </c>
      <c r="U1652" s="361">
        <v>41828</v>
      </c>
      <c r="V1652" s="360" t="str">
        <f t="shared" si="58"/>
        <v>terça-feira</v>
      </c>
    </row>
    <row r="1653" spans="19:22">
      <c r="S1653" s="357">
        <v>43166</v>
      </c>
      <c r="T1653" s="359" t="str">
        <f t="shared" si="57"/>
        <v>quarta-feira</v>
      </c>
      <c r="U1653" s="361">
        <v>41829</v>
      </c>
      <c r="V1653" s="360" t="str">
        <f t="shared" si="58"/>
        <v>quarta-feira</v>
      </c>
    </row>
    <row r="1654" spans="19:22">
      <c r="S1654" s="357">
        <v>43167</v>
      </c>
      <c r="T1654" s="359" t="str">
        <f t="shared" si="57"/>
        <v>quinta-feira</v>
      </c>
      <c r="U1654" s="361">
        <v>41830</v>
      </c>
      <c r="V1654" s="360" t="str">
        <f t="shared" si="58"/>
        <v>quinta-feira</v>
      </c>
    </row>
    <row r="1655" spans="19:22">
      <c r="S1655" s="357">
        <v>43168</v>
      </c>
      <c r="T1655" s="359" t="str">
        <f t="shared" ref="T1655:T1718" si="59">TEXT(S1655,"dddd")</f>
        <v>sexta-feira</v>
      </c>
      <c r="U1655" s="361">
        <v>41831</v>
      </c>
      <c r="V1655" s="360" t="str">
        <f t="shared" si="58"/>
        <v>sexta-feira</v>
      </c>
    </row>
    <row r="1656" spans="19:22">
      <c r="S1656" s="357">
        <v>43169</v>
      </c>
      <c r="T1656" s="359" t="str">
        <f t="shared" si="59"/>
        <v>sábado</v>
      </c>
      <c r="U1656" s="361">
        <v>41832</v>
      </c>
      <c r="V1656" s="360" t="str">
        <f t="shared" si="58"/>
        <v>sábado</v>
      </c>
    </row>
    <row r="1657" spans="19:22">
      <c r="S1657" s="357">
        <v>43170</v>
      </c>
      <c r="T1657" s="359" t="str">
        <f t="shared" si="59"/>
        <v>domingo</v>
      </c>
      <c r="U1657" s="361">
        <v>41833</v>
      </c>
      <c r="V1657" s="360" t="str">
        <f t="shared" si="58"/>
        <v>domingo</v>
      </c>
    </row>
    <row r="1658" spans="19:22">
      <c r="S1658" s="357">
        <v>43171</v>
      </c>
      <c r="T1658" s="359" t="str">
        <f t="shared" si="59"/>
        <v>segunda-feira</v>
      </c>
      <c r="U1658" s="361">
        <v>41834</v>
      </c>
      <c r="V1658" s="360" t="str">
        <f t="shared" si="58"/>
        <v>segunda-feira</v>
      </c>
    </row>
    <row r="1659" spans="19:22">
      <c r="S1659" s="357">
        <v>43172</v>
      </c>
      <c r="T1659" s="359" t="str">
        <f t="shared" si="59"/>
        <v>terça-feira</v>
      </c>
      <c r="U1659" s="361">
        <v>41835</v>
      </c>
      <c r="V1659" s="360" t="str">
        <f t="shared" si="58"/>
        <v>terça-feira</v>
      </c>
    </row>
    <row r="1660" spans="19:22">
      <c r="S1660" s="357">
        <v>43173</v>
      </c>
      <c r="T1660" s="359" t="str">
        <f t="shared" si="59"/>
        <v>quarta-feira</v>
      </c>
      <c r="U1660" s="361">
        <v>41836</v>
      </c>
      <c r="V1660" s="360" t="str">
        <f t="shared" si="58"/>
        <v>quarta-feira</v>
      </c>
    </row>
    <row r="1661" spans="19:22">
      <c r="S1661" s="357">
        <v>43174</v>
      </c>
      <c r="T1661" s="359" t="str">
        <f t="shared" si="59"/>
        <v>quinta-feira</v>
      </c>
      <c r="U1661" s="361">
        <v>41837</v>
      </c>
      <c r="V1661" s="360" t="str">
        <f t="shared" si="58"/>
        <v>quinta-feira</v>
      </c>
    </row>
    <row r="1662" spans="19:22">
      <c r="S1662" s="357">
        <v>43175</v>
      </c>
      <c r="T1662" s="359" t="str">
        <f t="shared" si="59"/>
        <v>sexta-feira</v>
      </c>
      <c r="U1662" s="361">
        <v>41838</v>
      </c>
      <c r="V1662" s="360" t="str">
        <f t="shared" si="58"/>
        <v>sexta-feira</v>
      </c>
    </row>
    <row r="1663" spans="19:22">
      <c r="S1663" s="357">
        <v>43176</v>
      </c>
      <c r="T1663" s="359" t="str">
        <f t="shared" si="59"/>
        <v>sábado</v>
      </c>
      <c r="U1663" s="361">
        <v>41839</v>
      </c>
      <c r="V1663" s="360" t="str">
        <f t="shared" si="58"/>
        <v>sábado</v>
      </c>
    </row>
    <row r="1664" spans="19:22">
      <c r="S1664" s="357">
        <v>43177</v>
      </c>
      <c r="T1664" s="359" t="str">
        <f t="shared" si="59"/>
        <v>domingo</v>
      </c>
      <c r="U1664" s="361">
        <v>41840</v>
      </c>
      <c r="V1664" s="360" t="str">
        <f t="shared" si="58"/>
        <v>domingo</v>
      </c>
    </row>
    <row r="1665" spans="19:22">
      <c r="S1665" s="357">
        <v>43178</v>
      </c>
      <c r="T1665" s="359" t="str">
        <f t="shared" si="59"/>
        <v>segunda-feira</v>
      </c>
      <c r="U1665" s="361">
        <v>41841</v>
      </c>
      <c r="V1665" s="360" t="str">
        <f t="shared" si="58"/>
        <v>segunda-feira</v>
      </c>
    </row>
    <row r="1666" spans="19:22">
      <c r="S1666" s="357">
        <v>43179</v>
      </c>
      <c r="T1666" s="359" t="str">
        <f t="shared" si="59"/>
        <v>terça-feira</v>
      </c>
      <c r="U1666" s="361">
        <v>41842</v>
      </c>
      <c r="V1666" s="360" t="str">
        <f t="shared" si="58"/>
        <v>terça-feira</v>
      </c>
    </row>
    <row r="1667" spans="19:22">
      <c r="S1667" s="357">
        <v>43180</v>
      </c>
      <c r="T1667" s="359" t="str">
        <f t="shared" si="59"/>
        <v>quarta-feira</v>
      </c>
      <c r="U1667" s="361">
        <v>41843</v>
      </c>
      <c r="V1667" s="360" t="str">
        <f t="shared" si="58"/>
        <v>quarta-feira</v>
      </c>
    </row>
    <row r="1668" spans="19:22">
      <c r="S1668" s="357">
        <v>43181</v>
      </c>
      <c r="T1668" s="359" t="str">
        <f t="shared" si="59"/>
        <v>quinta-feira</v>
      </c>
      <c r="U1668" s="361">
        <v>41844</v>
      </c>
      <c r="V1668" s="360" t="str">
        <f t="shared" si="58"/>
        <v>quinta-feira</v>
      </c>
    </row>
    <row r="1669" spans="19:22">
      <c r="S1669" s="357">
        <v>43182</v>
      </c>
      <c r="T1669" s="359" t="str">
        <f t="shared" si="59"/>
        <v>sexta-feira</v>
      </c>
      <c r="U1669" s="361">
        <v>41845</v>
      </c>
      <c r="V1669" s="360" t="str">
        <f t="shared" si="58"/>
        <v>sexta-feira</v>
      </c>
    </row>
    <row r="1670" spans="19:22">
      <c r="S1670" s="357">
        <v>43183</v>
      </c>
      <c r="T1670" s="359" t="str">
        <f t="shared" si="59"/>
        <v>sábado</v>
      </c>
      <c r="U1670" s="361">
        <v>41846</v>
      </c>
      <c r="V1670" s="360" t="str">
        <f t="shared" si="58"/>
        <v>sábado</v>
      </c>
    </row>
    <row r="1671" spans="19:22">
      <c r="S1671" s="357">
        <v>43184</v>
      </c>
      <c r="T1671" s="359" t="str">
        <f t="shared" si="59"/>
        <v>domingo</v>
      </c>
      <c r="U1671" s="361">
        <v>41847</v>
      </c>
      <c r="V1671" s="360" t="str">
        <f t="shared" si="58"/>
        <v>domingo</v>
      </c>
    </row>
    <row r="1672" spans="19:22">
      <c r="S1672" s="357">
        <v>43185</v>
      </c>
      <c r="T1672" s="359" t="str">
        <f t="shared" si="59"/>
        <v>segunda-feira</v>
      </c>
      <c r="U1672" s="361">
        <v>41848</v>
      </c>
      <c r="V1672" s="360" t="str">
        <f t="shared" si="58"/>
        <v>segunda-feira</v>
      </c>
    </row>
    <row r="1673" spans="19:22">
      <c r="S1673" s="357">
        <v>43186</v>
      </c>
      <c r="T1673" s="359" t="str">
        <f t="shared" si="59"/>
        <v>terça-feira</v>
      </c>
      <c r="U1673" s="361">
        <v>41849</v>
      </c>
      <c r="V1673" s="360" t="str">
        <f t="shared" si="58"/>
        <v>terça-feira</v>
      </c>
    </row>
    <row r="1674" spans="19:22">
      <c r="S1674" s="357">
        <v>43187</v>
      </c>
      <c r="T1674" s="359" t="str">
        <f t="shared" si="59"/>
        <v>quarta-feira</v>
      </c>
      <c r="U1674" s="361">
        <v>41850</v>
      </c>
      <c r="V1674" s="360" t="str">
        <f t="shared" si="58"/>
        <v>quarta-feira</v>
      </c>
    </row>
    <row r="1675" spans="19:22">
      <c r="S1675" s="357">
        <v>43188</v>
      </c>
      <c r="T1675" s="359" t="str">
        <f t="shared" si="59"/>
        <v>quinta-feira</v>
      </c>
      <c r="U1675" s="361">
        <v>41851</v>
      </c>
      <c r="V1675" s="360" t="str">
        <f t="shared" si="58"/>
        <v>quinta-feira</v>
      </c>
    </row>
    <row r="1676" spans="19:22">
      <c r="S1676" s="357">
        <v>43189</v>
      </c>
      <c r="T1676" s="359" t="str">
        <f t="shared" si="59"/>
        <v>sexta-feira</v>
      </c>
      <c r="U1676" s="361">
        <v>41852</v>
      </c>
      <c r="V1676" s="360" t="str">
        <f t="shared" si="58"/>
        <v>sexta-feira</v>
      </c>
    </row>
    <row r="1677" spans="19:22">
      <c r="S1677" s="357">
        <v>43190</v>
      </c>
      <c r="T1677" s="359" t="str">
        <f t="shared" si="59"/>
        <v>sábado</v>
      </c>
      <c r="U1677" s="361">
        <v>41853</v>
      </c>
      <c r="V1677" s="360" t="str">
        <f t="shared" si="58"/>
        <v>sábado</v>
      </c>
    </row>
    <row r="1678" spans="19:22">
      <c r="S1678" s="357">
        <v>43191</v>
      </c>
      <c r="T1678" s="359" t="str">
        <f t="shared" si="59"/>
        <v>domingo</v>
      </c>
      <c r="U1678" s="361">
        <v>41854</v>
      </c>
      <c r="V1678" s="360" t="str">
        <f t="shared" si="58"/>
        <v>domingo</v>
      </c>
    </row>
    <row r="1679" spans="19:22">
      <c r="S1679" s="357">
        <v>43192</v>
      </c>
      <c r="T1679" s="359" t="str">
        <f t="shared" si="59"/>
        <v>segunda-feira</v>
      </c>
      <c r="U1679" s="361">
        <v>41855</v>
      </c>
      <c r="V1679" s="360" t="str">
        <f t="shared" si="58"/>
        <v>segunda-feira</v>
      </c>
    </row>
    <row r="1680" spans="19:22">
      <c r="S1680" s="357">
        <v>43193</v>
      </c>
      <c r="T1680" s="359" t="str">
        <f t="shared" si="59"/>
        <v>terça-feira</v>
      </c>
      <c r="U1680" s="361">
        <v>41856</v>
      </c>
      <c r="V1680" s="360" t="str">
        <f t="shared" si="58"/>
        <v>terça-feira</v>
      </c>
    </row>
    <row r="1681" spans="19:22">
      <c r="S1681" s="357">
        <v>43194</v>
      </c>
      <c r="T1681" s="359" t="str">
        <f t="shared" si="59"/>
        <v>quarta-feira</v>
      </c>
      <c r="U1681" s="361">
        <v>41857</v>
      </c>
      <c r="V1681" s="360" t="str">
        <f t="shared" si="58"/>
        <v>quarta-feira</v>
      </c>
    </row>
    <row r="1682" spans="19:22">
      <c r="S1682" s="357">
        <v>43195</v>
      </c>
      <c r="T1682" s="359" t="str">
        <f t="shared" si="59"/>
        <v>quinta-feira</v>
      </c>
      <c r="U1682" s="361">
        <v>41858</v>
      </c>
      <c r="V1682" s="360" t="str">
        <f t="shared" si="58"/>
        <v>quinta-feira</v>
      </c>
    </row>
    <row r="1683" spans="19:22">
      <c r="S1683" s="357">
        <v>43196</v>
      </c>
      <c r="T1683" s="359" t="str">
        <f t="shared" si="59"/>
        <v>sexta-feira</v>
      </c>
      <c r="U1683" s="361">
        <v>41859</v>
      </c>
      <c r="V1683" s="360" t="str">
        <f t="shared" si="58"/>
        <v>sexta-feira</v>
      </c>
    </row>
    <row r="1684" spans="19:22">
      <c r="S1684" s="357">
        <v>43197</v>
      </c>
      <c r="T1684" s="359" t="str">
        <f t="shared" si="59"/>
        <v>sábado</v>
      </c>
      <c r="U1684" s="361">
        <v>41860</v>
      </c>
      <c r="V1684" s="360" t="str">
        <f t="shared" si="58"/>
        <v>sábado</v>
      </c>
    </row>
    <row r="1685" spans="19:22">
      <c r="S1685" s="357">
        <v>43198</v>
      </c>
      <c r="T1685" s="359" t="str">
        <f t="shared" si="59"/>
        <v>domingo</v>
      </c>
      <c r="U1685" s="361">
        <v>41861</v>
      </c>
      <c r="V1685" s="360" t="str">
        <f t="shared" si="58"/>
        <v>domingo</v>
      </c>
    </row>
    <row r="1686" spans="19:22">
      <c r="S1686" s="357">
        <v>43199</v>
      </c>
      <c r="T1686" s="359" t="str">
        <f t="shared" si="59"/>
        <v>segunda-feira</v>
      </c>
      <c r="U1686" s="361">
        <v>41862</v>
      </c>
      <c r="V1686" s="360" t="str">
        <f t="shared" si="58"/>
        <v>segunda-feira</v>
      </c>
    </row>
    <row r="1687" spans="19:22">
      <c r="S1687" s="357">
        <v>43200</v>
      </c>
      <c r="T1687" s="359" t="str">
        <f t="shared" si="59"/>
        <v>terça-feira</v>
      </c>
      <c r="U1687" s="361">
        <v>41863</v>
      </c>
      <c r="V1687" s="360" t="str">
        <f t="shared" si="58"/>
        <v>terça-feira</v>
      </c>
    </row>
    <row r="1688" spans="19:22">
      <c r="S1688" s="357">
        <v>43201</v>
      </c>
      <c r="T1688" s="359" t="str">
        <f t="shared" si="59"/>
        <v>quarta-feira</v>
      </c>
      <c r="U1688" s="361">
        <v>41864</v>
      </c>
      <c r="V1688" s="360" t="str">
        <f t="shared" si="58"/>
        <v>quarta-feira</v>
      </c>
    </row>
    <row r="1689" spans="19:22">
      <c r="S1689" s="357">
        <v>43202</v>
      </c>
      <c r="T1689" s="359" t="str">
        <f t="shared" si="59"/>
        <v>quinta-feira</v>
      </c>
      <c r="U1689" s="361">
        <v>41865</v>
      </c>
      <c r="V1689" s="360" t="str">
        <f t="shared" si="58"/>
        <v>quinta-feira</v>
      </c>
    </row>
    <row r="1690" spans="19:22">
      <c r="S1690" s="357">
        <v>43203</v>
      </c>
      <c r="T1690" s="359" t="str">
        <f t="shared" si="59"/>
        <v>sexta-feira</v>
      </c>
      <c r="U1690" s="361">
        <v>41866</v>
      </c>
      <c r="V1690" s="360" t="str">
        <f t="shared" si="58"/>
        <v>sexta-feira</v>
      </c>
    </row>
    <row r="1691" spans="19:22">
      <c r="S1691" s="357">
        <v>43204</v>
      </c>
      <c r="T1691" s="359" t="str">
        <f t="shared" si="59"/>
        <v>sábado</v>
      </c>
      <c r="U1691" s="361">
        <v>41867</v>
      </c>
      <c r="V1691" s="360" t="str">
        <f t="shared" si="58"/>
        <v>sábado</v>
      </c>
    </row>
    <row r="1692" spans="19:22">
      <c r="S1692" s="357">
        <v>43205</v>
      </c>
      <c r="T1692" s="359" t="str">
        <f t="shared" si="59"/>
        <v>domingo</v>
      </c>
      <c r="U1692" s="361">
        <v>41868</v>
      </c>
      <c r="V1692" s="360" t="str">
        <f t="shared" si="58"/>
        <v>domingo</v>
      </c>
    </row>
    <row r="1693" spans="19:22">
      <c r="S1693" s="357">
        <v>43206</v>
      </c>
      <c r="T1693" s="359" t="str">
        <f t="shared" si="59"/>
        <v>segunda-feira</v>
      </c>
      <c r="U1693" s="361">
        <v>41869</v>
      </c>
      <c r="V1693" s="360" t="str">
        <f t="shared" si="58"/>
        <v>segunda-feira</v>
      </c>
    </row>
    <row r="1694" spans="19:22">
      <c r="S1694" s="357">
        <v>43207</v>
      </c>
      <c r="T1694" s="359" t="str">
        <f t="shared" si="59"/>
        <v>terça-feira</v>
      </c>
      <c r="U1694" s="361">
        <v>41870</v>
      </c>
      <c r="V1694" s="360" t="str">
        <f t="shared" si="58"/>
        <v>terça-feira</v>
      </c>
    </row>
    <row r="1695" spans="19:22">
      <c r="S1695" s="357">
        <v>43208</v>
      </c>
      <c r="T1695" s="359" t="str">
        <f t="shared" si="59"/>
        <v>quarta-feira</v>
      </c>
      <c r="U1695" s="361">
        <v>41871</v>
      </c>
      <c r="V1695" s="360" t="str">
        <f t="shared" si="58"/>
        <v>quarta-feira</v>
      </c>
    </row>
    <row r="1696" spans="19:22">
      <c r="S1696" s="357">
        <v>43209</v>
      </c>
      <c r="T1696" s="359" t="str">
        <f t="shared" si="59"/>
        <v>quinta-feira</v>
      </c>
      <c r="U1696" s="361">
        <v>41872</v>
      </c>
      <c r="V1696" s="360" t="str">
        <f t="shared" si="58"/>
        <v>quinta-feira</v>
      </c>
    </row>
    <row r="1697" spans="19:22">
      <c r="S1697" s="357">
        <v>43210</v>
      </c>
      <c r="T1697" s="359" t="str">
        <f t="shared" si="59"/>
        <v>sexta-feira</v>
      </c>
      <c r="U1697" s="361">
        <v>41873</v>
      </c>
      <c r="V1697" s="360" t="str">
        <f t="shared" si="58"/>
        <v>sexta-feira</v>
      </c>
    </row>
    <row r="1698" spans="19:22">
      <c r="S1698" s="357">
        <v>43211</v>
      </c>
      <c r="T1698" s="359" t="str">
        <f t="shared" si="59"/>
        <v>sábado</v>
      </c>
      <c r="U1698" s="361">
        <v>41874</v>
      </c>
      <c r="V1698" s="360" t="str">
        <f t="shared" si="58"/>
        <v>sábado</v>
      </c>
    </row>
    <row r="1699" spans="19:22">
      <c r="S1699" s="357">
        <v>43212</v>
      </c>
      <c r="T1699" s="359" t="str">
        <f t="shared" si="59"/>
        <v>domingo</v>
      </c>
      <c r="U1699" s="361">
        <v>41875</v>
      </c>
      <c r="V1699" s="360" t="str">
        <f t="shared" si="58"/>
        <v>domingo</v>
      </c>
    </row>
    <row r="1700" spans="19:22">
      <c r="S1700" s="357">
        <v>43213</v>
      </c>
      <c r="T1700" s="359" t="str">
        <f t="shared" si="59"/>
        <v>segunda-feira</v>
      </c>
      <c r="U1700" s="361">
        <v>41876</v>
      </c>
      <c r="V1700" s="360" t="str">
        <f t="shared" si="58"/>
        <v>segunda-feira</v>
      </c>
    </row>
    <row r="1701" spans="19:22">
      <c r="S1701" s="357">
        <v>43214</v>
      </c>
      <c r="T1701" s="359" t="str">
        <f t="shared" si="59"/>
        <v>terça-feira</v>
      </c>
      <c r="U1701" s="361">
        <v>41877</v>
      </c>
      <c r="V1701" s="360" t="str">
        <f t="shared" si="58"/>
        <v>terça-feira</v>
      </c>
    </row>
    <row r="1702" spans="19:22">
      <c r="S1702" s="357">
        <v>43215</v>
      </c>
      <c r="T1702" s="359" t="str">
        <f t="shared" si="59"/>
        <v>quarta-feira</v>
      </c>
      <c r="U1702" s="361">
        <v>41878</v>
      </c>
      <c r="V1702" s="360" t="str">
        <f t="shared" si="58"/>
        <v>quarta-feira</v>
      </c>
    </row>
    <row r="1703" spans="19:22">
      <c r="S1703" s="357">
        <v>43216</v>
      </c>
      <c r="T1703" s="359" t="str">
        <f t="shared" si="59"/>
        <v>quinta-feira</v>
      </c>
      <c r="U1703" s="361">
        <v>41879</v>
      </c>
      <c r="V1703" s="360" t="str">
        <f t="shared" si="58"/>
        <v>quinta-feira</v>
      </c>
    </row>
    <row r="1704" spans="19:22">
      <c r="S1704" s="357">
        <v>43217</v>
      </c>
      <c r="T1704" s="359" t="str">
        <f t="shared" si="59"/>
        <v>sexta-feira</v>
      </c>
      <c r="U1704" s="361">
        <v>41880</v>
      </c>
      <c r="V1704" s="360" t="str">
        <f t="shared" si="58"/>
        <v>sexta-feira</v>
      </c>
    </row>
    <row r="1705" spans="19:22">
      <c r="S1705" s="357">
        <v>43218</v>
      </c>
      <c r="T1705" s="359" t="str">
        <f t="shared" si="59"/>
        <v>sábado</v>
      </c>
      <c r="U1705" s="361">
        <v>41881</v>
      </c>
      <c r="V1705" s="360" t="str">
        <f t="shared" ref="V1705:V1768" si="60">TEXT(U1705,"dddd")</f>
        <v>sábado</v>
      </c>
    </row>
    <row r="1706" spans="19:22">
      <c r="S1706" s="357">
        <v>43219</v>
      </c>
      <c r="T1706" s="359" t="str">
        <f t="shared" si="59"/>
        <v>domingo</v>
      </c>
      <c r="U1706" s="361">
        <v>41882</v>
      </c>
      <c r="V1706" s="360" t="str">
        <f t="shared" si="60"/>
        <v>domingo</v>
      </c>
    </row>
    <row r="1707" spans="19:22">
      <c r="S1707" s="357">
        <v>43220</v>
      </c>
      <c r="T1707" s="359" t="str">
        <f t="shared" si="59"/>
        <v>segunda-feira</v>
      </c>
      <c r="U1707" s="361">
        <v>41883</v>
      </c>
      <c r="V1707" s="360" t="str">
        <f t="shared" si="60"/>
        <v>segunda-feira</v>
      </c>
    </row>
    <row r="1708" spans="19:22">
      <c r="S1708" s="357">
        <v>43221</v>
      </c>
      <c r="T1708" s="359" t="str">
        <f t="shared" si="59"/>
        <v>terça-feira</v>
      </c>
      <c r="U1708" s="361">
        <v>41884</v>
      </c>
      <c r="V1708" s="360" t="str">
        <f t="shared" si="60"/>
        <v>terça-feira</v>
      </c>
    </row>
    <row r="1709" spans="19:22">
      <c r="S1709" s="357">
        <v>43222</v>
      </c>
      <c r="T1709" s="359" t="str">
        <f t="shared" si="59"/>
        <v>quarta-feira</v>
      </c>
      <c r="U1709" s="361">
        <v>41885</v>
      </c>
      <c r="V1709" s="360" t="str">
        <f t="shared" si="60"/>
        <v>quarta-feira</v>
      </c>
    </row>
    <row r="1710" spans="19:22">
      <c r="S1710" s="357">
        <v>43223</v>
      </c>
      <c r="T1710" s="359" t="str">
        <f t="shared" si="59"/>
        <v>quinta-feira</v>
      </c>
      <c r="U1710" s="361">
        <v>41886</v>
      </c>
      <c r="V1710" s="360" t="str">
        <f t="shared" si="60"/>
        <v>quinta-feira</v>
      </c>
    </row>
    <row r="1711" spans="19:22">
      <c r="S1711" s="357">
        <v>43224</v>
      </c>
      <c r="T1711" s="359" t="str">
        <f t="shared" si="59"/>
        <v>sexta-feira</v>
      </c>
      <c r="U1711" s="361">
        <v>41887</v>
      </c>
      <c r="V1711" s="360" t="str">
        <f t="shared" si="60"/>
        <v>sexta-feira</v>
      </c>
    </row>
    <row r="1712" spans="19:22">
      <c r="S1712" s="357">
        <v>43225</v>
      </c>
      <c r="T1712" s="359" t="str">
        <f t="shared" si="59"/>
        <v>sábado</v>
      </c>
      <c r="U1712" s="361">
        <v>41888</v>
      </c>
      <c r="V1712" s="360" t="str">
        <f t="shared" si="60"/>
        <v>sábado</v>
      </c>
    </row>
    <row r="1713" spans="19:22">
      <c r="S1713" s="357">
        <v>43226</v>
      </c>
      <c r="T1713" s="359" t="str">
        <f t="shared" si="59"/>
        <v>domingo</v>
      </c>
      <c r="U1713" s="361">
        <v>41889</v>
      </c>
      <c r="V1713" s="360" t="str">
        <f t="shared" si="60"/>
        <v>domingo</v>
      </c>
    </row>
    <row r="1714" spans="19:22">
      <c r="S1714" s="357">
        <v>43227</v>
      </c>
      <c r="T1714" s="359" t="str">
        <f t="shared" si="59"/>
        <v>segunda-feira</v>
      </c>
      <c r="U1714" s="361">
        <v>41890</v>
      </c>
      <c r="V1714" s="360" t="str">
        <f t="shared" si="60"/>
        <v>segunda-feira</v>
      </c>
    </row>
    <row r="1715" spans="19:22">
      <c r="S1715" s="357">
        <v>43228</v>
      </c>
      <c r="T1715" s="359" t="str">
        <f t="shared" si="59"/>
        <v>terça-feira</v>
      </c>
      <c r="U1715" s="361">
        <v>41891</v>
      </c>
      <c r="V1715" s="360" t="str">
        <f t="shared" si="60"/>
        <v>terça-feira</v>
      </c>
    </row>
    <row r="1716" spans="19:22">
      <c r="S1716" s="357">
        <v>43229</v>
      </c>
      <c r="T1716" s="359" t="str">
        <f t="shared" si="59"/>
        <v>quarta-feira</v>
      </c>
      <c r="U1716" s="361">
        <v>41892</v>
      </c>
      <c r="V1716" s="360" t="str">
        <f t="shared" si="60"/>
        <v>quarta-feira</v>
      </c>
    </row>
    <row r="1717" spans="19:22">
      <c r="S1717" s="357">
        <v>43230</v>
      </c>
      <c r="T1717" s="359" t="str">
        <f t="shared" si="59"/>
        <v>quinta-feira</v>
      </c>
      <c r="U1717" s="361">
        <v>41893</v>
      </c>
      <c r="V1717" s="360" t="str">
        <f t="shared" si="60"/>
        <v>quinta-feira</v>
      </c>
    </row>
    <row r="1718" spans="19:22">
      <c r="S1718" s="357">
        <v>43231</v>
      </c>
      <c r="T1718" s="359" t="str">
        <f t="shared" si="59"/>
        <v>sexta-feira</v>
      </c>
      <c r="U1718" s="361">
        <v>41894</v>
      </c>
      <c r="V1718" s="360" t="str">
        <f t="shared" si="60"/>
        <v>sexta-feira</v>
      </c>
    </row>
    <row r="1719" spans="19:22">
      <c r="S1719" s="357">
        <v>43232</v>
      </c>
      <c r="T1719" s="359" t="str">
        <f t="shared" ref="T1719:T1782" si="61">TEXT(S1719,"dddd")</f>
        <v>sábado</v>
      </c>
      <c r="U1719" s="361">
        <v>41895</v>
      </c>
      <c r="V1719" s="360" t="str">
        <f t="shared" si="60"/>
        <v>sábado</v>
      </c>
    </row>
    <row r="1720" spans="19:22">
      <c r="S1720" s="357">
        <v>43233</v>
      </c>
      <c r="T1720" s="359" t="str">
        <f t="shared" si="61"/>
        <v>domingo</v>
      </c>
      <c r="U1720" s="361">
        <v>41896</v>
      </c>
      <c r="V1720" s="360" t="str">
        <f t="shared" si="60"/>
        <v>domingo</v>
      </c>
    </row>
    <row r="1721" spans="19:22">
      <c r="S1721" s="357">
        <v>43234</v>
      </c>
      <c r="T1721" s="359" t="str">
        <f t="shared" si="61"/>
        <v>segunda-feira</v>
      </c>
      <c r="U1721" s="361">
        <v>41897</v>
      </c>
      <c r="V1721" s="360" t="str">
        <f t="shared" si="60"/>
        <v>segunda-feira</v>
      </c>
    </row>
    <row r="1722" spans="19:22">
      <c r="S1722" s="357">
        <v>43235</v>
      </c>
      <c r="T1722" s="359" t="str">
        <f t="shared" si="61"/>
        <v>terça-feira</v>
      </c>
      <c r="U1722" s="361">
        <v>41898</v>
      </c>
      <c r="V1722" s="360" t="str">
        <f t="shared" si="60"/>
        <v>terça-feira</v>
      </c>
    </row>
    <row r="1723" spans="19:22">
      <c r="S1723" s="357">
        <v>43236</v>
      </c>
      <c r="T1723" s="359" t="str">
        <f t="shared" si="61"/>
        <v>quarta-feira</v>
      </c>
      <c r="U1723" s="361">
        <v>41899</v>
      </c>
      <c r="V1723" s="360" t="str">
        <f t="shared" si="60"/>
        <v>quarta-feira</v>
      </c>
    </row>
    <row r="1724" spans="19:22">
      <c r="S1724" s="357">
        <v>43237</v>
      </c>
      <c r="T1724" s="359" t="str">
        <f t="shared" si="61"/>
        <v>quinta-feira</v>
      </c>
      <c r="U1724" s="361">
        <v>41900</v>
      </c>
      <c r="V1724" s="360" t="str">
        <f t="shared" si="60"/>
        <v>quinta-feira</v>
      </c>
    </row>
    <row r="1725" spans="19:22">
      <c r="S1725" s="357">
        <v>43238</v>
      </c>
      <c r="T1725" s="359" t="str">
        <f t="shared" si="61"/>
        <v>sexta-feira</v>
      </c>
      <c r="U1725" s="361">
        <v>41901</v>
      </c>
      <c r="V1725" s="360" t="str">
        <f t="shared" si="60"/>
        <v>sexta-feira</v>
      </c>
    </row>
    <row r="1726" spans="19:22">
      <c r="S1726" s="357">
        <v>43239</v>
      </c>
      <c r="T1726" s="359" t="str">
        <f t="shared" si="61"/>
        <v>sábado</v>
      </c>
      <c r="U1726" s="361">
        <v>41902</v>
      </c>
      <c r="V1726" s="360" t="str">
        <f t="shared" si="60"/>
        <v>sábado</v>
      </c>
    </row>
    <row r="1727" spans="19:22">
      <c r="S1727" s="357">
        <v>43240</v>
      </c>
      <c r="T1727" s="359" t="str">
        <f t="shared" si="61"/>
        <v>domingo</v>
      </c>
      <c r="U1727" s="361">
        <v>41903</v>
      </c>
      <c r="V1727" s="360" t="str">
        <f t="shared" si="60"/>
        <v>domingo</v>
      </c>
    </row>
    <row r="1728" spans="19:22">
      <c r="S1728" s="357">
        <v>43241</v>
      </c>
      <c r="T1728" s="359" t="str">
        <f t="shared" si="61"/>
        <v>segunda-feira</v>
      </c>
      <c r="U1728" s="361">
        <v>41904</v>
      </c>
      <c r="V1728" s="360" t="str">
        <f t="shared" si="60"/>
        <v>segunda-feira</v>
      </c>
    </row>
    <row r="1729" spans="19:22">
      <c r="S1729" s="357">
        <v>43242</v>
      </c>
      <c r="T1729" s="359" t="str">
        <f t="shared" si="61"/>
        <v>terça-feira</v>
      </c>
      <c r="U1729" s="361">
        <v>41905</v>
      </c>
      <c r="V1729" s="360" t="str">
        <f t="shared" si="60"/>
        <v>terça-feira</v>
      </c>
    </row>
    <row r="1730" spans="19:22">
      <c r="S1730" s="357">
        <v>43243</v>
      </c>
      <c r="T1730" s="359" t="str">
        <f t="shared" si="61"/>
        <v>quarta-feira</v>
      </c>
      <c r="U1730" s="361">
        <v>41906</v>
      </c>
      <c r="V1730" s="360" t="str">
        <f t="shared" si="60"/>
        <v>quarta-feira</v>
      </c>
    </row>
    <row r="1731" spans="19:22">
      <c r="S1731" s="357">
        <v>43244</v>
      </c>
      <c r="T1731" s="359" t="str">
        <f t="shared" si="61"/>
        <v>quinta-feira</v>
      </c>
      <c r="U1731" s="361">
        <v>41907</v>
      </c>
      <c r="V1731" s="360" t="str">
        <f t="shared" si="60"/>
        <v>quinta-feira</v>
      </c>
    </row>
    <row r="1732" spans="19:22">
      <c r="S1732" s="357">
        <v>43245</v>
      </c>
      <c r="T1732" s="359" t="str">
        <f t="shared" si="61"/>
        <v>sexta-feira</v>
      </c>
      <c r="U1732" s="361">
        <v>41908</v>
      </c>
      <c r="V1732" s="360" t="str">
        <f t="shared" si="60"/>
        <v>sexta-feira</v>
      </c>
    </row>
    <row r="1733" spans="19:22">
      <c r="S1733" s="357">
        <v>43246</v>
      </c>
      <c r="T1733" s="359" t="str">
        <f t="shared" si="61"/>
        <v>sábado</v>
      </c>
      <c r="U1733" s="361">
        <v>41909</v>
      </c>
      <c r="V1733" s="360" t="str">
        <f t="shared" si="60"/>
        <v>sábado</v>
      </c>
    </row>
    <row r="1734" spans="19:22">
      <c r="S1734" s="357">
        <v>43247</v>
      </c>
      <c r="T1734" s="359" t="str">
        <f t="shared" si="61"/>
        <v>domingo</v>
      </c>
      <c r="U1734" s="361">
        <v>41910</v>
      </c>
      <c r="V1734" s="360" t="str">
        <f t="shared" si="60"/>
        <v>domingo</v>
      </c>
    </row>
    <row r="1735" spans="19:22">
      <c r="S1735" s="357">
        <v>43248</v>
      </c>
      <c r="T1735" s="359" t="str">
        <f t="shared" si="61"/>
        <v>segunda-feira</v>
      </c>
      <c r="U1735" s="361">
        <v>41911</v>
      </c>
      <c r="V1735" s="360" t="str">
        <f t="shared" si="60"/>
        <v>segunda-feira</v>
      </c>
    </row>
    <row r="1736" spans="19:22">
      <c r="S1736" s="357">
        <v>43249</v>
      </c>
      <c r="T1736" s="359" t="str">
        <f t="shared" si="61"/>
        <v>terça-feira</v>
      </c>
      <c r="U1736" s="361">
        <v>41912</v>
      </c>
      <c r="V1736" s="360" t="str">
        <f t="shared" si="60"/>
        <v>terça-feira</v>
      </c>
    </row>
    <row r="1737" spans="19:22">
      <c r="S1737" s="357">
        <v>43250</v>
      </c>
      <c r="T1737" s="359" t="str">
        <f t="shared" si="61"/>
        <v>quarta-feira</v>
      </c>
      <c r="U1737" s="361">
        <v>41913</v>
      </c>
      <c r="V1737" s="360" t="str">
        <f t="shared" si="60"/>
        <v>quarta-feira</v>
      </c>
    </row>
    <row r="1738" spans="19:22">
      <c r="S1738" s="357">
        <v>43251</v>
      </c>
      <c r="T1738" s="359" t="str">
        <f t="shared" si="61"/>
        <v>quinta-feira</v>
      </c>
      <c r="U1738" s="361">
        <v>41914</v>
      </c>
      <c r="V1738" s="360" t="str">
        <f t="shared" si="60"/>
        <v>quinta-feira</v>
      </c>
    </row>
    <row r="1739" spans="19:22">
      <c r="S1739" s="357">
        <v>43252</v>
      </c>
      <c r="T1739" s="359" t="str">
        <f t="shared" si="61"/>
        <v>sexta-feira</v>
      </c>
      <c r="U1739" s="361">
        <v>41915</v>
      </c>
      <c r="V1739" s="360" t="str">
        <f t="shared" si="60"/>
        <v>sexta-feira</v>
      </c>
    </row>
    <row r="1740" spans="19:22">
      <c r="S1740" s="357">
        <v>43253</v>
      </c>
      <c r="T1740" s="359" t="str">
        <f t="shared" si="61"/>
        <v>sábado</v>
      </c>
      <c r="U1740" s="361">
        <v>41916</v>
      </c>
      <c r="V1740" s="360" t="str">
        <f t="shared" si="60"/>
        <v>sábado</v>
      </c>
    </row>
    <row r="1741" spans="19:22">
      <c r="S1741" s="357">
        <v>43254</v>
      </c>
      <c r="T1741" s="359" t="str">
        <f t="shared" si="61"/>
        <v>domingo</v>
      </c>
      <c r="U1741" s="361">
        <v>41917</v>
      </c>
      <c r="V1741" s="360" t="str">
        <f t="shared" si="60"/>
        <v>domingo</v>
      </c>
    </row>
    <row r="1742" spans="19:22">
      <c r="S1742" s="357">
        <v>43255</v>
      </c>
      <c r="T1742" s="359" t="str">
        <f t="shared" si="61"/>
        <v>segunda-feira</v>
      </c>
      <c r="U1742" s="361">
        <v>41918</v>
      </c>
      <c r="V1742" s="360" t="str">
        <f t="shared" si="60"/>
        <v>segunda-feira</v>
      </c>
    </row>
    <row r="1743" spans="19:22">
      <c r="S1743" s="357">
        <v>43256</v>
      </c>
      <c r="T1743" s="359" t="str">
        <f t="shared" si="61"/>
        <v>terça-feira</v>
      </c>
      <c r="U1743" s="361">
        <v>41919</v>
      </c>
      <c r="V1743" s="360" t="str">
        <f t="shared" si="60"/>
        <v>terça-feira</v>
      </c>
    </row>
    <row r="1744" spans="19:22">
      <c r="S1744" s="357">
        <v>43257</v>
      </c>
      <c r="T1744" s="359" t="str">
        <f t="shared" si="61"/>
        <v>quarta-feira</v>
      </c>
      <c r="U1744" s="361">
        <v>41920</v>
      </c>
      <c r="V1744" s="360" t="str">
        <f t="shared" si="60"/>
        <v>quarta-feira</v>
      </c>
    </row>
    <row r="1745" spans="19:22">
      <c r="S1745" s="357">
        <v>43258</v>
      </c>
      <c r="T1745" s="359" t="str">
        <f t="shared" si="61"/>
        <v>quinta-feira</v>
      </c>
      <c r="U1745" s="361">
        <v>41921</v>
      </c>
      <c r="V1745" s="360" t="str">
        <f t="shared" si="60"/>
        <v>quinta-feira</v>
      </c>
    </row>
    <row r="1746" spans="19:22">
      <c r="S1746" s="357">
        <v>43259</v>
      </c>
      <c r="T1746" s="359" t="str">
        <f t="shared" si="61"/>
        <v>sexta-feira</v>
      </c>
      <c r="U1746" s="361">
        <v>41922</v>
      </c>
      <c r="V1746" s="360" t="str">
        <f t="shared" si="60"/>
        <v>sexta-feira</v>
      </c>
    </row>
    <row r="1747" spans="19:22">
      <c r="S1747" s="357">
        <v>43260</v>
      </c>
      <c r="T1747" s="359" t="str">
        <f t="shared" si="61"/>
        <v>sábado</v>
      </c>
      <c r="U1747" s="361">
        <v>41923</v>
      </c>
      <c r="V1747" s="360" t="str">
        <f t="shared" si="60"/>
        <v>sábado</v>
      </c>
    </row>
    <row r="1748" spans="19:22">
      <c r="S1748" s="357">
        <v>43261</v>
      </c>
      <c r="T1748" s="359" t="str">
        <f t="shared" si="61"/>
        <v>domingo</v>
      </c>
      <c r="U1748" s="361">
        <v>41924</v>
      </c>
      <c r="V1748" s="360" t="str">
        <f t="shared" si="60"/>
        <v>domingo</v>
      </c>
    </row>
    <row r="1749" spans="19:22">
      <c r="S1749" s="357">
        <v>43262</v>
      </c>
      <c r="T1749" s="359" t="str">
        <f t="shared" si="61"/>
        <v>segunda-feira</v>
      </c>
      <c r="U1749" s="361">
        <v>41925</v>
      </c>
      <c r="V1749" s="360" t="str">
        <f t="shared" si="60"/>
        <v>segunda-feira</v>
      </c>
    </row>
    <row r="1750" spans="19:22">
      <c r="S1750" s="357">
        <v>43263</v>
      </c>
      <c r="T1750" s="359" t="str">
        <f t="shared" si="61"/>
        <v>terça-feira</v>
      </c>
      <c r="U1750" s="361">
        <v>41926</v>
      </c>
      <c r="V1750" s="360" t="str">
        <f t="shared" si="60"/>
        <v>terça-feira</v>
      </c>
    </row>
    <row r="1751" spans="19:22">
      <c r="S1751" s="357">
        <v>43264</v>
      </c>
      <c r="T1751" s="359" t="str">
        <f t="shared" si="61"/>
        <v>quarta-feira</v>
      </c>
      <c r="U1751" s="361">
        <v>41927</v>
      </c>
      <c r="V1751" s="360" t="str">
        <f t="shared" si="60"/>
        <v>quarta-feira</v>
      </c>
    </row>
    <row r="1752" spans="19:22">
      <c r="S1752" s="357">
        <v>43265</v>
      </c>
      <c r="T1752" s="359" t="str">
        <f t="shared" si="61"/>
        <v>quinta-feira</v>
      </c>
      <c r="U1752" s="361">
        <v>41928</v>
      </c>
      <c r="V1752" s="360" t="str">
        <f t="shared" si="60"/>
        <v>quinta-feira</v>
      </c>
    </row>
    <row r="1753" spans="19:22">
      <c r="S1753" s="357">
        <v>43266</v>
      </c>
      <c r="T1753" s="359" t="str">
        <f t="shared" si="61"/>
        <v>sexta-feira</v>
      </c>
      <c r="U1753" s="361">
        <v>41929</v>
      </c>
      <c r="V1753" s="360" t="str">
        <f t="shared" si="60"/>
        <v>sexta-feira</v>
      </c>
    </row>
    <row r="1754" spans="19:22">
      <c r="S1754" s="357">
        <v>43267</v>
      </c>
      <c r="T1754" s="359" t="str">
        <f t="shared" si="61"/>
        <v>sábado</v>
      </c>
      <c r="U1754" s="361">
        <v>41930</v>
      </c>
      <c r="V1754" s="360" t="str">
        <f t="shared" si="60"/>
        <v>sábado</v>
      </c>
    </row>
    <row r="1755" spans="19:22">
      <c r="S1755" s="357">
        <v>43268</v>
      </c>
      <c r="T1755" s="359" t="str">
        <f t="shared" si="61"/>
        <v>domingo</v>
      </c>
      <c r="U1755" s="361">
        <v>41931</v>
      </c>
      <c r="V1755" s="360" t="str">
        <f t="shared" si="60"/>
        <v>domingo</v>
      </c>
    </row>
    <row r="1756" spans="19:22">
      <c r="S1756" s="357">
        <v>43269</v>
      </c>
      <c r="T1756" s="359" t="str">
        <f t="shared" si="61"/>
        <v>segunda-feira</v>
      </c>
      <c r="U1756" s="361">
        <v>41932</v>
      </c>
      <c r="V1756" s="360" t="str">
        <f t="shared" si="60"/>
        <v>segunda-feira</v>
      </c>
    </row>
    <row r="1757" spans="19:22">
      <c r="S1757" s="357">
        <v>43270</v>
      </c>
      <c r="T1757" s="359" t="str">
        <f t="shared" si="61"/>
        <v>terça-feira</v>
      </c>
      <c r="U1757" s="361">
        <v>41933</v>
      </c>
      <c r="V1757" s="360" t="str">
        <f t="shared" si="60"/>
        <v>terça-feira</v>
      </c>
    </row>
    <row r="1758" spans="19:22">
      <c r="S1758" s="357">
        <v>43271</v>
      </c>
      <c r="T1758" s="359" t="str">
        <f t="shared" si="61"/>
        <v>quarta-feira</v>
      </c>
      <c r="U1758" s="361">
        <v>41934</v>
      </c>
      <c r="V1758" s="360" t="str">
        <f t="shared" si="60"/>
        <v>quarta-feira</v>
      </c>
    </row>
    <row r="1759" spans="19:22">
      <c r="S1759" s="357">
        <v>43272</v>
      </c>
      <c r="T1759" s="359" t="str">
        <f t="shared" si="61"/>
        <v>quinta-feira</v>
      </c>
      <c r="U1759" s="361">
        <v>41935</v>
      </c>
      <c r="V1759" s="360" t="str">
        <f t="shared" si="60"/>
        <v>quinta-feira</v>
      </c>
    </row>
    <row r="1760" spans="19:22">
      <c r="S1760" s="357">
        <v>43273</v>
      </c>
      <c r="T1760" s="359" t="str">
        <f t="shared" si="61"/>
        <v>sexta-feira</v>
      </c>
      <c r="U1760" s="361">
        <v>41936</v>
      </c>
      <c r="V1760" s="360" t="str">
        <f t="shared" si="60"/>
        <v>sexta-feira</v>
      </c>
    </row>
    <row r="1761" spans="19:22">
      <c r="S1761" s="357">
        <v>43274</v>
      </c>
      <c r="T1761" s="359" t="str">
        <f t="shared" si="61"/>
        <v>sábado</v>
      </c>
      <c r="U1761" s="361">
        <v>41937</v>
      </c>
      <c r="V1761" s="360" t="str">
        <f t="shared" si="60"/>
        <v>sábado</v>
      </c>
    </row>
    <row r="1762" spans="19:22">
      <c r="S1762" s="357">
        <v>43275</v>
      </c>
      <c r="T1762" s="359" t="str">
        <f t="shared" si="61"/>
        <v>domingo</v>
      </c>
      <c r="U1762" s="361">
        <v>41938</v>
      </c>
      <c r="V1762" s="360" t="str">
        <f t="shared" si="60"/>
        <v>domingo</v>
      </c>
    </row>
    <row r="1763" spans="19:22">
      <c r="S1763" s="357">
        <v>43276</v>
      </c>
      <c r="T1763" s="359" t="str">
        <f t="shared" si="61"/>
        <v>segunda-feira</v>
      </c>
      <c r="U1763" s="361">
        <v>41939</v>
      </c>
      <c r="V1763" s="360" t="str">
        <f t="shared" si="60"/>
        <v>segunda-feira</v>
      </c>
    </row>
    <row r="1764" spans="19:22">
      <c r="S1764" s="357">
        <v>43277</v>
      </c>
      <c r="T1764" s="359" t="str">
        <f t="shared" si="61"/>
        <v>terça-feira</v>
      </c>
      <c r="U1764" s="361">
        <v>41940</v>
      </c>
      <c r="V1764" s="360" t="str">
        <f t="shared" si="60"/>
        <v>terça-feira</v>
      </c>
    </row>
    <row r="1765" spans="19:22">
      <c r="S1765" s="357">
        <v>43278</v>
      </c>
      <c r="T1765" s="359" t="str">
        <f t="shared" si="61"/>
        <v>quarta-feira</v>
      </c>
      <c r="U1765" s="361">
        <v>41941</v>
      </c>
      <c r="V1765" s="360" t="str">
        <f t="shared" si="60"/>
        <v>quarta-feira</v>
      </c>
    </row>
    <row r="1766" spans="19:22">
      <c r="S1766" s="357">
        <v>43279</v>
      </c>
      <c r="T1766" s="359" t="str">
        <f t="shared" si="61"/>
        <v>quinta-feira</v>
      </c>
      <c r="U1766" s="361">
        <v>41942</v>
      </c>
      <c r="V1766" s="360" t="str">
        <f t="shared" si="60"/>
        <v>quinta-feira</v>
      </c>
    </row>
    <row r="1767" spans="19:22">
      <c r="S1767" s="357">
        <v>43280</v>
      </c>
      <c r="T1767" s="359" t="str">
        <f t="shared" si="61"/>
        <v>sexta-feira</v>
      </c>
      <c r="U1767" s="361">
        <v>41943</v>
      </c>
      <c r="V1767" s="360" t="str">
        <f t="shared" si="60"/>
        <v>sexta-feira</v>
      </c>
    </row>
    <row r="1768" spans="19:22">
      <c r="S1768" s="357">
        <v>43281</v>
      </c>
      <c r="T1768" s="359" t="str">
        <f t="shared" si="61"/>
        <v>sábado</v>
      </c>
      <c r="U1768" s="361">
        <v>41944</v>
      </c>
      <c r="V1768" s="360" t="str">
        <f t="shared" si="60"/>
        <v>sábado</v>
      </c>
    </row>
    <row r="1769" spans="19:22">
      <c r="S1769" s="357">
        <v>43282</v>
      </c>
      <c r="T1769" s="359" t="str">
        <f t="shared" si="61"/>
        <v>domingo</v>
      </c>
      <c r="U1769" s="361">
        <v>41945</v>
      </c>
      <c r="V1769" s="360" t="str">
        <f t="shared" ref="V1769:V1832" si="62">TEXT(U1769,"dddd")</f>
        <v>domingo</v>
      </c>
    </row>
    <row r="1770" spans="19:22">
      <c r="S1770" s="357">
        <v>43283</v>
      </c>
      <c r="T1770" s="359" t="str">
        <f t="shared" si="61"/>
        <v>segunda-feira</v>
      </c>
      <c r="U1770" s="361">
        <v>41946</v>
      </c>
      <c r="V1770" s="360" t="str">
        <f t="shared" si="62"/>
        <v>segunda-feira</v>
      </c>
    </row>
    <row r="1771" spans="19:22">
      <c r="S1771" s="357">
        <v>43284</v>
      </c>
      <c r="T1771" s="359" t="str">
        <f t="shared" si="61"/>
        <v>terça-feira</v>
      </c>
      <c r="U1771" s="361">
        <v>41947</v>
      </c>
      <c r="V1771" s="360" t="str">
        <f t="shared" si="62"/>
        <v>terça-feira</v>
      </c>
    </row>
    <row r="1772" spans="19:22">
      <c r="S1772" s="357">
        <v>43285</v>
      </c>
      <c r="T1772" s="359" t="str">
        <f t="shared" si="61"/>
        <v>quarta-feira</v>
      </c>
      <c r="U1772" s="361">
        <v>41948</v>
      </c>
      <c r="V1772" s="360" t="str">
        <f t="shared" si="62"/>
        <v>quarta-feira</v>
      </c>
    </row>
    <row r="1773" spans="19:22">
      <c r="S1773" s="357">
        <v>43286</v>
      </c>
      <c r="T1773" s="359" t="str">
        <f t="shared" si="61"/>
        <v>quinta-feira</v>
      </c>
      <c r="U1773" s="361">
        <v>41949</v>
      </c>
      <c r="V1773" s="360" t="str">
        <f t="shared" si="62"/>
        <v>quinta-feira</v>
      </c>
    </row>
    <row r="1774" spans="19:22">
      <c r="S1774" s="357">
        <v>43287</v>
      </c>
      <c r="T1774" s="359" t="str">
        <f t="shared" si="61"/>
        <v>sexta-feira</v>
      </c>
      <c r="U1774" s="361">
        <v>41950</v>
      </c>
      <c r="V1774" s="360" t="str">
        <f t="shared" si="62"/>
        <v>sexta-feira</v>
      </c>
    </row>
    <row r="1775" spans="19:22">
      <c r="S1775" s="357">
        <v>43288</v>
      </c>
      <c r="T1775" s="359" t="str">
        <f t="shared" si="61"/>
        <v>sábado</v>
      </c>
      <c r="U1775" s="361">
        <v>41951</v>
      </c>
      <c r="V1775" s="360" t="str">
        <f t="shared" si="62"/>
        <v>sábado</v>
      </c>
    </row>
    <row r="1776" spans="19:22">
      <c r="S1776" s="357">
        <v>43289</v>
      </c>
      <c r="T1776" s="359" t="str">
        <f t="shared" si="61"/>
        <v>domingo</v>
      </c>
      <c r="U1776" s="361">
        <v>41952</v>
      </c>
      <c r="V1776" s="360" t="str">
        <f t="shared" si="62"/>
        <v>domingo</v>
      </c>
    </row>
    <row r="1777" spans="19:22">
      <c r="S1777" s="357">
        <v>43290</v>
      </c>
      <c r="T1777" s="359" t="str">
        <f t="shared" si="61"/>
        <v>segunda-feira</v>
      </c>
      <c r="U1777" s="361">
        <v>41953</v>
      </c>
      <c r="V1777" s="360" t="str">
        <f t="shared" si="62"/>
        <v>segunda-feira</v>
      </c>
    </row>
    <row r="1778" spans="19:22">
      <c r="S1778" s="357">
        <v>43291</v>
      </c>
      <c r="T1778" s="359" t="str">
        <f t="shared" si="61"/>
        <v>terça-feira</v>
      </c>
      <c r="U1778" s="361">
        <v>41954</v>
      </c>
      <c r="V1778" s="360" t="str">
        <f t="shared" si="62"/>
        <v>terça-feira</v>
      </c>
    </row>
    <row r="1779" spans="19:22">
      <c r="S1779" s="357">
        <v>43292</v>
      </c>
      <c r="T1779" s="359" t="str">
        <f t="shared" si="61"/>
        <v>quarta-feira</v>
      </c>
      <c r="U1779" s="361">
        <v>41955</v>
      </c>
      <c r="V1779" s="360" t="str">
        <f t="shared" si="62"/>
        <v>quarta-feira</v>
      </c>
    </row>
    <row r="1780" spans="19:22">
      <c r="S1780" s="357">
        <v>43293</v>
      </c>
      <c r="T1780" s="359" t="str">
        <f t="shared" si="61"/>
        <v>quinta-feira</v>
      </c>
      <c r="U1780" s="361">
        <v>41956</v>
      </c>
      <c r="V1780" s="360" t="str">
        <f t="shared" si="62"/>
        <v>quinta-feira</v>
      </c>
    </row>
    <row r="1781" spans="19:22">
      <c r="S1781" s="357">
        <v>43294</v>
      </c>
      <c r="T1781" s="359" t="str">
        <f t="shared" si="61"/>
        <v>sexta-feira</v>
      </c>
      <c r="U1781" s="361">
        <v>41957</v>
      </c>
      <c r="V1781" s="360" t="str">
        <f t="shared" si="62"/>
        <v>sexta-feira</v>
      </c>
    </row>
    <row r="1782" spans="19:22">
      <c r="S1782" s="357">
        <v>43295</v>
      </c>
      <c r="T1782" s="359" t="str">
        <f t="shared" si="61"/>
        <v>sábado</v>
      </c>
      <c r="U1782" s="361">
        <v>41958</v>
      </c>
      <c r="V1782" s="360" t="str">
        <f t="shared" si="62"/>
        <v>sábado</v>
      </c>
    </row>
    <row r="1783" spans="19:22">
      <c r="S1783" s="357">
        <v>43296</v>
      </c>
      <c r="T1783" s="359" t="str">
        <f t="shared" ref="T1783:T1846" si="63">TEXT(S1783,"dddd")</f>
        <v>domingo</v>
      </c>
      <c r="U1783" s="361">
        <v>41959</v>
      </c>
      <c r="V1783" s="360" t="str">
        <f t="shared" si="62"/>
        <v>domingo</v>
      </c>
    </row>
    <row r="1784" spans="19:22">
      <c r="S1784" s="357">
        <v>43297</v>
      </c>
      <c r="T1784" s="359" t="str">
        <f t="shared" si="63"/>
        <v>segunda-feira</v>
      </c>
      <c r="U1784" s="361">
        <v>41960</v>
      </c>
      <c r="V1784" s="360" t="str">
        <f t="shared" si="62"/>
        <v>segunda-feira</v>
      </c>
    </row>
    <row r="1785" spans="19:22">
      <c r="S1785" s="357">
        <v>43298</v>
      </c>
      <c r="T1785" s="359" t="str">
        <f t="shared" si="63"/>
        <v>terça-feira</v>
      </c>
      <c r="U1785" s="361">
        <v>41961</v>
      </c>
      <c r="V1785" s="360" t="str">
        <f t="shared" si="62"/>
        <v>terça-feira</v>
      </c>
    </row>
    <row r="1786" spans="19:22">
      <c r="S1786" s="357">
        <v>43299</v>
      </c>
      <c r="T1786" s="359" t="str">
        <f t="shared" si="63"/>
        <v>quarta-feira</v>
      </c>
      <c r="U1786" s="361">
        <v>41962</v>
      </c>
      <c r="V1786" s="360" t="str">
        <f t="shared" si="62"/>
        <v>quarta-feira</v>
      </c>
    </row>
    <row r="1787" spans="19:22">
      <c r="S1787" s="357">
        <v>43300</v>
      </c>
      <c r="T1787" s="359" t="str">
        <f t="shared" si="63"/>
        <v>quinta-feira</v>
      </c>
      <c r="U1787" s="361">
        <v>41963</v>
      </c>
      <c r="V1787" s="360" t="str">
        <f t="shared" si="62"/>
        <v>quinta-feira</v>
      </c>
    </row>
    <row r="1788" spans="19:22">
      <c r="S1788" s="357">
        <v>43301</v>
      </c>
      <c r="T1788" s="359" t="str">
        <f t="shared" si="63"/>
        <v>sexta-feira</v>
      </c>
      <c r="U1788" s="361">
        <v>41964</v>
      </c>
      <c r="V1788" s="360" t="str">
        <f t="shared" si="62"/>
        <v>sexta-feira</v>
      </c>
    </row>
    <row r="1789" spans="19:22">
      <c r="S1789" s="357">
        <v>43302</v>
      </c>
      <c r="T1789" s="359" t="str">
        <f t="shared" si="63"/>
        <v>sábado</v>
      </c>
      <c r="U1789" s="361">
        <v>41965</v>
      </c>
      <c r="V1789" s="360" t="str">
        <f t="shared" si="62"/>
        <v>sábado</v>
      </c>
    </row>
    <row r="1790" spans="19:22">
      <c r="S1790" s="357">
        <v>43303</v>
      </c>
      <c r="T1790" s="359" t="str">
        <f t="shared" si="63"/>
        <v>domingo</v>
      </c>
      <c r="U1790" s="361">
        <v>41966</v>
      </c>
      <c r="V1790" s="360" t="str">
        <f t="shared" si="62"/>
        <v>domingo</v>
      </c>
    </row>
    <row r="1791" spans="19:22">
      <c r="S1791" s="357">
        <v>43304</v>
      </c>
      <c r="T1791" s="359" t="str">
        <f t="shared" si="63"/>
        <v>segunda-feira</v>
      </c>
      <c r="U1791" s="361">
        <v>41967</v>
      </c>
      <c r="V1791" s="360" t="str">
        <f t="shared" si="62"/>
        <v>segunda-feira</v>
      </c>
    </row>
    <row r="1792" spans="19:22">
      <c r="S1792" s="357">
        <v>43305</v>
      </c>
      <c r="T1792" s="359" t="str">
        <f t="shared" si="63"/>
        <v>terça-feira</v>
      </c>
      <c r="U1792" s="361">
        <v>41968</v>
      </c>
      <c r="V1792" s="360" t="str">
        <f t="shared" si="62"/>
        <v>terça-feira</v>
      </c>
    </row>
    <row r="1793" spans="19:22">
      <c r="S1793" s="357">
        <v>43306</v>
      </c>
      <c r="T1793" s="359" t="str">
        <f t="shared" si="63"/>
        <v>quarta-feira</v>
      </c>
      <c r="U1793" s="361">
        <v>41969</v>
      </c>
      <c r="V1793" s="360" t="str">
        <f t="shared" si="62"/>
        <v>quarta-feira</v>
      </c>
    </row>
    <row r="1794" spans="19:22">
      <c r="S1794" s="357">
        <v>43307</v>
      </c>
      <c r="T1794" s="359" t="str">
        <f t="shared" si="63"/>
        <v>quinta-feira</v>
      </c>
      <c r="U1794" s="361">
        <v>41970</v>
      </c>
      <c r="V1794" s="360" t="str">
        <f t="shared" si="62"/>
        <v>quinta-feira</v>
      </c>
    </row>
    <row r="1795" spans="19:22">
      <c r="S1795" s="357">
        <v>43308</v>
      </c>
      <c r="T1795" s="359" t="str">
        <f t="shared" si="63"/>
        <v>sexta-feira</v>
      </c>
      <c r="U1795" s="361">
        <v>41971</v>
      </c>
      <c r="V1795" s="360" t="str">
        <f t="shared" si="62"/>
        <v>sexta-feira</v>
      </c>
    </row>
    <row r="1796" spans="19:22">
      <c r="S1796" s="357">
        <v>43309</v>
      </c>
      <c r="T1796" s="359" t="str">
        <f t="shared" si="63"/>
        <v>sábado</v>
      </c>
      <c r="U1796" s="361">
        <v>41972</v>
      </c>
      <c r="V1796" s="360" t="str">
        <f t="shared" si="62"/>
        <v>sábado</v>
      </c>
    </row>
    <row r="1797" spans="19:22">
      <c r="S1797" s="357">
        <v>43310</v>
      </c>
      <c r="T1797" s="359" t="str">
        <f t="shared" si="63"/>
        <v>domingo</v>
      </c>
      <c r="U1797" s="361">
        <v>41973</v>
      </c>
      <c r="V1797" s="360" t="str">
        <f t="shared" si="62"/>
        <v>domingo</v>
      </c>
    </row>
    <row r="1798" spans="19:22">
      <c r="S1798" s="357">
        <v>43311</v>
      </c>
      <c r="T1798" s="359" t="str">
        <f t="shared" si="63"/>
        <v>segunda-feira</v>
      </c>
      <c r="U1798" s="361">
        <v>41974</v>
      </c>
      <c r="V1798" s="360" t="str">
        <f t="shared" si="62"/>
        <v>segunda-feira</v>
      </c>
    </row>
    <row r="1799" spans="19:22">
      <c r="S1799" s="357">
        <v>43312</v>
      </c>
      <c r="T1799" s="359" t="str">
        <f t="shared" si="63"/>
        <v>terça-feira</v>
      </c>
      <c r="U1799" s="361">
        <v>41975</v>
      </c>
      <c r="V1799" s="360" t="str">
        <f t="shared" si="62"/>
        <v>terça-feira</v>
      </c>
    </row>
    <row r="1800" spans="19:22">
      <c r="S1800" s="357">
        <v>43313</v>
      </c>
      <c r="T1800" s="359" t="str">
        <f t="shared" si="63"/>
        <v>quarta-feira</v>
      </c>
      <c r="U1800" s="361">
        <v>41976</v>
      </c>
      <c r="V1800" s="360" t="str">
        <f t="shared" si="62"/>
        <v>quarta-feira</v>
      </c>
    </row>
    <row r="1801" spans="19:22">
      <c r="S1801" s="357">
        <v>43314</v>
      </c>
      <c r="T1801" s="359" t="str">
        <f t="shared" si="63"/>
        <v>quinta-feira</v>
      </c>
      <c r="U1801" s="361">
        <v>41977</v>
      </c>
      <c r="V1801" s="360" t="str">
        <f t="shared" si="62"/>
        <v>quinta-feira</v>
      </c>
    </row>
    <row r="1802" spans="19:22">
      <c r="S1802" s="357">
        <v>43315</v>
      </c>
      <c r="T1802" s="359" t="str">
        <f t="shared" si="63"/>
        <v>sexta-feira</v>
      </c>
      <c r="U1802" s="361">
        <v>41978</v>
      </c>
      <c r="V1802" s="360" t="str">
        <f t="shared" si="62"/>
        <v>sexta-feira</v>
      </c>
    </row>
    <row r="1803" spans="19:22">
      <c r="S1803" s="357">
        <v>43316</v>
      </c>
      <c r="T1803" s="359" t="str">
        <f t="shared" si="63"/>
        <v>sábado</v>
      </c>
      <c r="U1803" s="361">
        <v>41979</v>
      </c>
      <c r="V1803" s="360" t="str">
        <f t="shared" si="62"/>
        <v>sábado</v>
      </c>
    </row>
    <row r="1804" spans="19:22">
      <c r="S1804" s="357">
        <v>43317</v>
      </c>
      <c r="T1804" s="359" t="str">
        <f t="shared" si="63"/>
        <v>domingo</v>
      </c>
      <c r="U1804" s="361">
        <v>41980</v>
      </c>
      <c r="V1804" s="360" t="str">
        <f t="shared" si="62"/>
        <v>domingo</v>
      </c>
    </row>
    <row r="1805" spans="19:22">
      <c r="S1805" s="357">
        <v>43318</v>
      </c>
      <c r="T1805" s="359" t="str">
        <f t="shared" si="63"/>
        <v>segunda-feira</v>
      </c>
      <c r="U1805" s="361">
        <v>41981</v>
      </c>
      <c r="V1805" s="360" t="str">
        <f t="shared" si="62"/>
        <v>segunda-feira</v>
      </c>
    </row>
    <row r="1806" spans="19:22">
      <c r="S1806" s="357">
        <v>43319</v>
      </c>
      <c r="T1806" s="359" t="str">
        <f t="shared" si="63"/>
        <v>terça-feira</v>
      </c>
      <c r="U1806" s="361">
        <v>41982</v>
      </c>
      <c r="V1806" s="360" t="str">
        <f t="shared" si="62"/>
        <v>terça-feira</v>
      </c>
    </row>
    <row r="1807" spans="19:22">
      <c r="S1807" s="357">
        <v>43320</v>
      </c>
      <c r="T1807" s="359" t="str">
        <f t="shared" si="63"/>
        <v>quarta-feira</v>
      </c>
      <c r="U1807" s="361">
        <v>41983</v>
      </c>
      <c r="V1807" s="360" t="str">
        <f t="shared" si="62"/>
        <v>quarta-feira</v>
      </c>
    </row>
    <row r="1808" spans="19:22">
      <c r="S1808" s="357">
        <v>43321</v>
      </c>
      <c r="T1808" s="359" t="str">
        <f t="shared" si="63"/>
        <v>quinta-feira</v>
      </c>
      <c r="U1808" s="361">
        <v>41984</v>
      </c>
      <c r="V1808" s="360" t="str">
        <f t="shared" si="62"/>
        <v>quinta-feira</v>
      </c>
    </row>
    <row r="1809" spans="19:22">
      <c r="S1809" s="357">
        <v>43322</v>
      </c>
      <c r="T1809" s="359" t="str">
        <f t="shared" si="63"/>
        <v>sexta-feira</v>
      </c>
      <c r="U1809" s="361">
        <v>41985</v>
      </c>
      <c r="V1809" s="360" t="str">
        <f t="shared" si="62"/>
        <v>sexta-feira</v>
      </c>
    </row>
    <row r="1810" spans="19:22">
      <c r="S1810" s="357">
        <v>43323</v>
      </c>
      <c r="T1810" s="359" t="str">
        <f t="shared" si="63"/>
        <v>sábado</v>
      </c>
      <c r="U1810" s="361">
        <v>41986</v>
      </c>
      <c r="V1810" s="360" t="str">
        <f t="shared" si="62"/>
        <v>sábado</v>
      </c>
    </row>
    <row r="1811" spans="19:22">
      <c r="S1811" s="357">
        <v>43324</v>
      </c>
      <c r="T1811" s="359" t="str">
        <f t="shared" si="63"/>
        <v>domingo</v>
      </c>
      <c r="U1811" s="361">
        <v>41987</v>
      </c>
      <c r="V1811" s="360" t="str">
        <f t="shared" si="62"/>
        <v>domingo</v>
      </c>
    </row>
    <row r="1812" spans="19:22">
      <c r="S1812" s="357">
        <v>43325</v>
      </c>
      <c r="T1812" s="359" t="str">
        <f t="shared" si="63"/>
        <v>segunda-feira</v>
      </c>
      <c r="U1812" s="361">
        <v>41988</v>
      </c>
      <c r="V1812" s="360" t="str">
        <f t="shared" si="62"/>
        <v>segunda-feira</v>
      </c>
    </row>
    <row r="1813" spans="19:22">
      <c r="S1813" s="357">
        <v>43326</v>
      </c>
      <c r="T1813" s="359" t="str">
        <f t="shared" si="63"/>
        <v>terça-feira</v>
      </c>
      <c r="U1813" s="361">
        <v>41989</v>
      </c>
      <c r="V1813" s="360" t="str">
        <f t="shared" si="62"/>
        <v>terça-feira</v>
      </c>
    </row>
    <row r="1814" spans="19:22">
      <c r="S1814" s="357">
        <v>43327</v>
      </c>
      <c r="T1814" s="359" t="str">
        <f t="shared" si="63"/>
        <v>quarta-feira</v>
      </c>
      <c r="U1814" s="361">
        <v>41990</v>
      </c>
      <c r="V1814" s="360" t="str">
        <f t="shared" si="62"/>
        <v>quarta-feira</v>
      </c>
    </row>
    <row r="1815" spans="19:22">
      <c r="S1815" s="357">
        <v>43328</v>
      </c>
      <c r="T1815" s="359" t="str">
        <f t="shared" si="63"/>
        <v>quinta-feira</v>
      </c>
      <c r="U1815" s="361">
        <v>41991</v>
      </c>
      <c r="V1815" s="360" t="str">
        <f t="shared" si="62"/>
        <v>quinta-feira</v>
      </c>
    </row>
    <row r="1816" spans="19:22">
      <c r="S1816" s="357">
        <v>43329</v>
      </c>
      <c r="T1816" s="359" t="str">
        <f t="shared" si="63"/>
        <v>sexta-feira</v>
      </c>
      <c r="U1816" s="361">
        <v>41992</v>
      </c>
      <c r="V1816" s="360" t="str">
        <f t="shared" si="62"/>
        <v>sexta-feira</v>
      </c>
    </row>
    <row r="1817" spans="19:22">
      <c r="S1817" s="357">
        <v>43330</v>
      </c>
      <c r="T1817" s="359" t="str">
        <f t="shared" si="63"/>
        <v>sábado</v>
      </c>
      <c r="U1817" s="361">
        <v>41993</v>
      </c>
      <c r="V1817" s="360" t="str">
        <f t="shared" si="62"/>
        <v>sábado</v>
      </c>
    </row>
    <row r="1818" spans="19:22">
      <c r="S1818" s="357">
        <v>43331</v>
      </c>
      <c r="T1818" s="359" t="str">
        <f t="shared" si="63"/>
        <v>domingo</v>
      </c>
      <c r="U1818" s="361">
        <v>41994</v>
      </c>
      <c r="V1818" s="360" t="str">
        <f t="shared" si="62"/>
        <v>domingo</v>
      </c>
    </row>
    <row r="1819" spans="19:22">
      <c r="S1819" s="357">
        <v>43332</v>
      </c>
      <c r="T1819" s="359" t="str">
        <f t="shared" si="63"/>
        <v>segunda-feira</v>
      </c>
      <c r="U1819" s="361">
        <v>41995</v>
      </c>
      <c r="V1819" s="360" t="str">
        <f t="shared" si="62"/>
        <v>segunda-feira</v>
      </c>
    </row>
    <row r="1820" spans="19:22">
      <c r="S1820" s="357">
        <v>43333</v>
      </c>
      <c r="T1820" s="359" t="str">
        <f t="shared" si="63"/>
        <v>terça-feira</v>
      </c>
      <c r="U1820" s="361">
        <v>41996</v>
      </c>
      <c r="V1820" s="360" t="str">
        <f t="shared" si="62"/>
        <v>terça-feira</v>
      </c>
    </row>
    <row r="1821" spans="19:22">
      <c r="S1821" s="357">
        <v>43334</v>
      </c>
      <c r="T1821" s="359" t="str">
        <f t="shared" si="63"/>
        <v>quarta-feira</v>
      </c>
      <c r="U1821" s="361">
        <v>41997</v>
      </c>
      <c r="V1821" s="360" t="str">
        <f t="shared" si="62"/>
        <v>quarta-feira</v>
      </c>
    </row>
    <row r="1822" spans="19:22">
      <c r="S1822" s="357">
        <v>43335</v>
      </c>
      <c r="T1822" s="359" t="str">
        <f t="shared" si="63"/>
        <v>quinta-feira</v>
      </c>
      <c r="U1822" s="361">
        <v>41998</v>
      </c>
      <c r="V1822" s="360" t="str">
        <f t="shared" si="62"/>
        <v>quinta-feira</v>
      </c>
    </row>
    <row r="1823" spans="19:22">
      <c r="S1823" s="357">
        <v>43336</v>
      </c>
      <c r="T1823" s="359" t="str">
        <f t="shared" si="63"/>
        <v>sexta-feira</v>
      </c>
      <c r="U1823" s="361">
        <v>41999</v>
      </c>
      <c r="V1823" s="360" t="str">
        <f t="shared" si="62"/>
        <v>sexta-feira</v>
      </c>
    </row>
    <row r="1824" spans="19:22">
      <c r="S1824" s="357">
        <v>43337</v>
      </c>
      <c r="T1824" s="359" t="str">
        <f t="shared" si="63"/>
        <v>sábado</v>
      </c>
      <c r="U1824" s="361">
        <v>42000</v>
      </c>
      <c r="V1824" s="360" t="str">
        <f t="shared" si="62"/>
        <v>sábado</v>
      </c>
    </row>
    <row r="1825" spans="19:22">
      <c r="S1825" s="357">
        <v>43338</v>
      </c>
      <c r="T1825" s="359" t="str">
        <f t="shared" si="63"/>
        <v>domingo</v>
      </c>
      <c r="U1825" s="361">
        <v>42001</v>
      </c>
      <c r="V1825" s="360" t="str">
        <f t="shared" si="62"/>
        <v>domingo</v>
      </c>
    </row>
    <row r="1826" spans="19:22">
      <c r="S1826" s="357">
        <v>43339</v>
      </c>
      <c r="T1826" s="359" t="str">
        <f t="shared" si="63"/>
        <v>segunda-feira</v>
      </c>
      <c r="U1826" s="361">
        <v>42002</v>
      </c>
      <c r="V1826" s="360" t="str">
        <f t="shared" si="62"/>
        <v>segunda-feira</v>
      </c>
    </row>
    <row r="1827" spans="19:22">
      <c r="S1827" s="357">
        <v>43340</v>
      </c>
      <c r="T1827" s="359" t="str">
        <f t="shared" si="63"/>
        <v>terça-feira</v>
      </c>
      <c r="U1827" s="361">
        <v>42003</v>
      </c>
      <c r="V1827" s="360" t="str">
        <f t="shared" si="62"/>
        <v>terça-feira</v>
      </c>
    </row>
    <row r="1828" spans="19:22">
      <c r="S1828" s="357">
        <v>43341</v>
      </c>
      <c r="T1828" s="359" t="str">
        <f t="shared" si="63"/>
        <v>quarta-feira</v>
      </c>
      <c r="U1828" s="361">
        <v>42004</v>
      </c>
      <c r="V1828" s="360" t="str">
        <f t="shared" si="62"/>
        <v>quarta-feira</v>
      </c>
    </row>
    <row r="1829" spans="19:22">
      <c r="S1829" s="357">
        <v>43342</v>
      </c>
      <c r="T1829" s="359" t="str">
        <f t="shared" si="63"/>
        <v>quinta-feira</v>
      </c>
      <c r="U1829" s="361">
        <v>42005</v>
      </c>
      <c r="V1829" s="360" t="str">
        <f t="shared" si="62"/>
        <v>quinta-feira</v>
      </c>
    </row>
    <row r="1830" spans="19:22">
      <c r="S1830" s="357">
        <v>43343</v>
      </c>
      <c r="T1830" s="359" t="str">
        <f t="shared" si="63"/>
        <v>sexta-feira</v>
      </c>
      <c r="U1830" s="361">
        <v>42006</v>
      </c>
      <c r="V1830" s="360" t="str">
        <f t="shared" si="62"/>
        <v>sexta-feira</v>
      </c>
    </row>
    <row r="1831" spans="19:22">
      <c r="S1831" s="357">
        <v>43344</v>
      </c>
      <c r="T1831" s="359" t="str">
        <f t="shared" si="63"/>
        <v>sábado</v>
      </c>
      <c r="U1831" s="361">
        <v>42007</v>
      </c>
      <c r="V1831" s="360" t="str">
        <f t="shared" si="62"/>
        <v>sábado</v>
      </c>
    </row>
    <row r="1832" spans="19:22">
      <c r="S1832" s="357">
        <v>43345</v>
      </c>
      <c r="T1832" s="359" t="str">
        <f t="shared" si="63"/>
        <v>domingo</v>
      </c>
      <c r="U1832" s="361">
        <v>42008</v>
      </c>
      <c r="V1832" s="360" t="str">
        <f t="shared" si="62"/>
        <v>domingo</v>
      </c>
    </row>
    <row r="1833" spans="19:22">
      <c r="S1833" s="357">
        <v>43346</v>
      </c>
      <c r="T1833" s="359" t="str">
        <f t="shared" si="63"/>
        <v>segunda-feira</v>
      </c>
      <c r="U1833" s="361">
        <v>42009</v>
      </c>
      <c r="V1833" s="360" t="str">
        <f t="shared" ref="V1833:V1896" si="64">TEXT(U1833,"dddd")</f>
        <v>segunda-feira</v>
      </c>
    </row>
    <row r="1834" spans="19:22">
      <c r="S1834" s="357">
        <v>43347</v>
      </c>
      <c r="T1834" s="359" t="str">
        <f t="shared" si="63"/>
        <v>terça-feira</v>
      </c>
      <c r="U1834" s="361">
        <v>42010</v>
      </c>
      <c r="V1834" s="360" t="str">
        <f t="shared" si="64"/>
        <v>terça-feira</v>
      </c>
    </row>
    <row r="1835" spans="19:22">
      <c r="S1835" s="357">
        <v>43348</v>
      </c>
      <c r="T1835" s="359" t="str">
        <f t="shared" si="63"/>
        <v>quarta-feira</v>
      </c>
      <c r="U1835" s="361">
        <v>42011</v>
      </c>
      <c r="V1835" s="360" t="str">
        <f t="shared" si="64"/>
        <v>quarta-feira</v>
      </c>
    </row>
    <row r="1836" spans="19:22">
      <c r="S1836" s="357">
        <v>43349</v>
      </c>
      <c r="T1836" s="359" t="str">
        <f t="shared" si="63"/>
        <v>quinta-feira</v>
      </c>
      <c r="U1836" s="361">
        <v>42012</v>
      </c>
      <c r="V1836" s="360" t="str">
        <f t="shared" si="64"/>
        <v>quinta-feira</v>
      </c>
    </row>
    <row r="1837" spans="19:22">
      <c r="S1837" s="357">
        <v>43350</v>
      </c>
      <c r="T1837" s="359" t="str">
        <f t="shared" si="63"/>
        <v>sexta-feira</v>
      </c>
      <c r="U1837" s="361">
        <v>42013</v>
      </c>
      <c r="V1837" s="360" t="str">
        <f t="shared" si="64"/>
        <v>sexta-feira</v>
      </c>
    </row>
    <row r="1838" spans="19:22">
      <c r="S1838" s="357">
        <v>43351</v>
      </c>
      <c r="T1838" s="359" t="str">
        <f t="shared" si="63"/>
        <v>sábado</v>
      </c>
      <c r="U1838" s="361">
        <v>42014</v>
      </c>
      <c r="V1838" s="360" t="str">
        <f t="shared" si="64"/>
        <v>sábado</v>
      </c>
    </row>
    <row r="1839" spans="19:22">
      <c r="S1839" s="357">
        <v>43352</v>
      </c>
      <c r="T1839" s="359" t="str">
        <f t="shared" si="63"/>
        <v>domingo</v>
      </c>
      <c r="U1839" s="361">
        <v>42015</v>
      </c>
      <c r="V1839" s="360" t="str">
        <f t="shared" si="64"/>
        <v>domingo</v>
      </c>
    </row>
    <row r="1840" spans="19:22">
      <c r="S1840" s="357">
        <v>43353</v>
      </c>
      <c r="T1840" s="359" t="str">
        <f t="shared" si="63"/>
        <v>segunda-feira</v>
      </c>
      <c r="U1840" s="361">
        <v>42016</v>
      </c>
      <c r="V1840" s="360" t="str">
        <f t="shared" si="64"/>
        <v>segunda-feira</v>
      </c>
    </row>
    <row r="1841" spans="19:22">
      <c r="S1841" s="357">
        <v>43354</v>
      </c>
      <c r="T1841" s="359" t="str">
        <f t="shared" si="63"/>
        <v>terça-feira</v>
      </c>
      <c r="U1841" s="361">
        <v>42017</v>
      </c>
      <c r="V1841" s="360" t="str">
        <f t="shared" si="64"/>
        <v>terça-feira</v>
      </c>
    </row>
    <row r="1842" spans="19:22">
      <c r="S1842" s="357">
        <v>43355</v>
      </c>
      <c r="T1842" s="359" t="str">
        <f t="shared" si="63"/>
        <v>quarta-feira</v>
      </c>
      <c r="U1842" s="361">
        <v>42018</v>
      </c>
      <c r="V1842" s="360" t="str">
        <f t="shared" si="64"/>
        <v>quarta-feira</v>
      </c>
    </row>
    <row r="1843" spans="19:22">
      <c r="S1843" s="357">
        <v>43356</v>
      </c>
      <c r="T1843" s="359" t="str">
        <f t="shared" si="63"/>
        <v>quinta-feira</v>
      </c>
      <c r="U1843" s="361">
        <v>42019</v>
      </c>
      <c r="V1843" s="360" t="str">
        <f t="shared" si="64"/>
        <v>quinta-feira</v>
      </c>
    </row>
    <row r="1844" spans="19:22">
      <c r="S1844" s="357">
        <v>43357</v>
      </c>
      <c r="T1844" s="359" t="str">
        <f t="shared" si="63"/>
        <v>sexta-feira</v>
      </c>
      <c r="U1844" s="361">
        <v>42020</v>
      </c>
      <c r="V1844" s="360" t="str">
        <f t="shared" si="64"/>
        <v>sexta-feira</v>
      </c>
    </row>
    <row r="1845" spans="19:22">
      <c r="S1845" s="357">
        <v>43358</v>
      </c>
      <c r="T1845" s="359" t="str">
        <f t="shared" si="63"/>
        <v>sábado</v>
      </c>
      <c r="U1845" s="361">
        <v>42021</v>
      </c>
      <c r="V1845" s="360" t="str">
        <f t="shared" si="64"/>
        <v>sábado</v>
      </c>
    </row>
    <row r="1846" spans="19:22">
      <c r="S1846" s="357">
        <v>43359</v>
      </c>
      <c r="T1846" s="359" t="str">
        <f t="shared" si="63"/>
        <v>domingo</v>
      </c>
      <c r="U1846" s="361">
        <v>42022</v>
      </c>
      <c r="V1846" s="360" t="str">
        <f t="shared" si="64"/>
        <v>domingo</v>
      </c>
    </row>
    <row r="1847" spans="19:22">
      <c r="S1847" s="357">
        <v>43360</v>
      </c>
      <c r="T1847" s="359" t="str">
        <f t="shared" ref="T1847:T1910" si="65">TEXT(S1847,"dddd")</f>
        <v>segunda-feira</v>
      </c>
      <c r="U1847" s="361">
        <v>42023</v>
      </c>
      <c r="V1847" s="360" t="str">
        <f t="shared" si="64"/>
        <v>segunda-feira</v>
      </c>
    </row>
    <row r="1848" spans="19:22">
      <c r="S1848" s="357">
        <v>43361</v>
      </c>
      <c r="T1848" s="359" t="str">
        <f t="shared" si="65"/>
        <v>terça-feira</v>
      </c>
      <c r="U1848" s="361">
        <v>42024</v>
      </c>
      <c r="V1848" s="360" t="str">
        <f t="shared" si="64"/>
        <v>terça-feira</v>
      </c>
    </row>
    <row r="1849" spans="19:22">
      <c r="S1849" s="357">
        <v>43362</v>
      </c>
      <c r="T1849" s="359" t="str">
        <f t="shared" si="65"/>
        <v>quarta-feira</v>
      </c>
      <c r="U1849" s="361">
        <v>42025</v>
      </c>
      <c r="V1849" s="360" t="str">
        <f t="shared" si="64"/>
        <v>quarta-feira</v>
      </c>
    </row>
    <row r="1850" spans="19:22">
      <c r="S1850" s="357">
        <v>43363</v>
      </c>
      <c r="T1850" s="359" t="str">
        <f t="shared" si="65"/>
        <v>quinta-feira</v>
      </c>
      <c r="U1850" s="361">
        <v>42026</v>
      </c>
      <c r="V1850" s="360" t="str">
        <f t="shared" si="64"/>
        <v>quinta-feira</v>
      </c>
    </row>
    <row r="1851" spans="19:22">
      <c r="S1851" s="357">
        <v>43364</v>
      </c>
      <c r="T1851" s="359" t="str">
        <f t="shared" si="65"/>
        <v>sexta-feira</v>
      </c>
      <c r="U1851" s="361">
        <v>42027</v>
      </c>
      <c r="V1851" s="360" t="str">
        <f t="shared" si="64"/>
        <v>sexta-feira</v>
      </c>
    </row>
    <row r="1852" spans="19:22">
      <c r="S1852" s="357">
        <v>43365</v>
      </c>
      <c r="T1852" s="359" t="str">
        <f t="shared" si="65"/>
        <v>sábado</v>
      </c>
      <c r="U1852" s="361">
        <v>42028</v>
      </c>
      <c r="V1852" s="360" t="str">
        <f t="shared" si="64"/>
        <v>sábado</v>
      </c>
    </row>
    <row r="1853" spans="19:22">
      <c r="S1853" s="357">
        <v>43366</v>
      </c>
      <c r="T1853" s="359" t="str">
        <f t="shared" si="65"/>
        <v>domingo</v>
      </c>
      <c r="U1853" s="361">
        <v>42029</v>
      </c>
      <c r="V1853" s="360" t="str">
        <f t="shared" si="64"/>
        <v>domingo</v>
      </c>
    </row>
    <row r="1854" spans="19:22">
      <c r="S1854" s="357">
        <v>43367</v>
      </c>
      <c r="T1854" s="359" t="str">
        <f t="shared" si="65"/>
        <v>segunda-feira</v>
      </c>
      <c r="U1854" s="361">
        <v>42030</v>
      </c>
      <c r="V1854" s="360" t="str">
        <f t="shared" si="64"/>
        <v>segunda-feira</v>
      </c>
    </row>
    <row r="1855" spans="19:22">
      <c r="S1855" s="357">
        <v>43368</v>
      </c>
      <c r="T1855" s="359" t="str">
        <f t="shared" si="65"/>
        <v>terça-feira</v>
      </c>
      <c r="U1855" s="361">
        <v>42031</v>
      </c>
      <c r="V1855" s="360" t="str">
        <f t="shared" si="64"/>
        <v>terça-feira</v>
      </c>
    </row>
    <row r="1856" spans="19:22">
      <c r="S1856" s="357">
        <v>43369</v>
      </c>
      <c r="T1856" s="359" t="str">
        <f t="shared" si="65"/>
        <v>quarta-feira</v>
      </c>
      <c r="U1856" s="361">
        <v>42032</v>
      </c>
      <c r="V1856" s="360" t="str">
        <f t="shared" si="64"/>
        <v>quarta-feira</v>
      </c>
    </row>
    <row r="1857" spans="19:22">
      <c r="S1857" s="357">
        <v>43370</v>
      </c>
      <c r="T1857" s="359" t="str">
        <f t="shared" si="65"/>
        <v>quinta-feira</v>
      </c>
      <c r="U1857" s="361">
        <v>42033</v>
      </c>
      <c r="V1857" s="360" t="str">
        <f t="shared" si="64"/>
        <v>quinta-feira</v>
      </c>
    </row>
    <row r="1858" spans="19:22">
      <c r="S1858" s="357">
        <v>43371</v>
      </c>
      <c r="T1858" s="359" t="str">
        <f t="shared" si="65"/>
        <v>sexta-feira</v>
      </c>
      <c r="U1858" s="361">
        <v>42034</v>
      </c>
      <c r="V1858" s="360" t="str">
        <f t="shared" si="64"/>
        <v>sexta-feira</v>
      </c>
    </row>
    <row r="1859" spans="19:22">
      <c r="S1859" s="357">
        <v>43372</v>
      </c>
      <c r="T1859" s="359" t="str">
        <f t="shared" si="65"/>
        <v>sábado</v>
      </c>
      <c r="U1859" s="361">
        <v>42035</v>
      </c>
      <c r="V1859" s="360" t="str">
        <f t="shared" si="64"/>
        <v>sábado</v>
      </c>
    </row>
    <row r="1860" spans="19:22">
      <c r="S1860" s="357">
        <v>43373</v>
      </c>
      <c r="T1860" s="359" t="str">
        <f t="shared" si="65"/>
        <v>domingo</v>
      </c>
      <c r="U1860" s="361">
        <v>42036</v>
      </c>
      <c r="V1860" s="360" t="str">
        <f t="shared" si="64"/>
        <v>domingo</v>
      </c>
    </row>
    <row r="1861" spans="19:22">
      <c r="S1861" s="357">
        <v>43374</v>
      </c>
      <c r="T1861" s="359" t="str">
        <f t="shared" si="65"/>
        <v>segunda-feira</v>
      </c>
      <c r="U1861" s="361">
        <v>42037</v>
      </c>
      <c r="V1861" s="360" t="str">
        <f t="shared" si="64"/>
        <v>segunda-feira</v>
      </c>
    </row>
    <row r="1862" spans="19:22">
      <c r="S1862" s="357">
        <v>43375</v>
      </c>
      <c r="T1862" s="359" t="str">
        <f t="shared" si="65"/>
        <v>terça-feira</v>
      </c>
      <c r="U1862" s="361">
        <v>42038</v>
      </c>
      <c r="V1862" s="360" t="str">
        <f t="shared" si="64"/>
        <v>terça-feira</v>
      </c>
    </row>
    <row r="1863" spans="19:22">
      <c r="S1863" s="357">
        <v>43376</v>
      </c>
      <c r="T1863" s="359" t="str">
        <f t="shared" si="65"/>
        <v>quarta-feira</v>
      </c>
      <c r="U1863" s="361">
        <v>42039</v>
      </c>
      <c r="V1863" s="360" t="str">
        <f t="shared" si="64"/>
        <v>quarta-feira</v>
      </c>
    </row>
    <row r="1864" spans="19:22">
      <c r="S1864" s="357">
        <v>43377</v>
      </c>
      <c r="T1864" s="359" t="str">
        <f t="shared" si="65"/>
        <v>quinta-feira</v>
      </c>
      <c r="U1864" s="361">
        <v>42040</v>
      </c>
      <c r="V1864" s="360" t="str">
        <f t="shared" si="64"/>
        <v>quinta-feira</v>
      </c>
    </row>
    <row r="1865" spans="19:22">
      <c r="S1865" s="357">
        <v>43378</v>
      </c>
      <c r="T1865" s="359" t="str">
        <f t="shared" si="65"/>
        <v>sexta-feira</v>
      </c>
      <c r="U1865" s="361">
        <v>42041</v>
      </c>
      <c r="V1865" s="360" t="str">
        <f t="shared" si="64"/>
        <v>sexta-feira</v>
      </c>
    </row>
    <row r="1866" spans="19:22">
      <c r="S1866" s="357">
        <v>43379</v>
      </c>
      <c r="T1866" s="359" t="str">
        <f t="shared" si="65"/>
        <v>sábado</v>
      </c>
      <c r="U1866" s="361">
        <v>42042</v>
      </c>
      <c r="V1866" s="360" t="str">
        <f t="shared" si="64"/>
        <v>sábado</v>
      </c>
    </row>
    <row r="1867" spans="19:22">
      <c r="S1867" s="357">
        <v>43380</v>
      </c>
      <c r="T1867" s="359" t="str">
        <f t="shared" si="65"/>
        <v>domingo</v>
      </c>
      <c r="U1867" s="361">
        <v>42043</v>
      </c>
      <c r="V1867" s="360" t="str">
        <f t="shared" si="64"/>
        <v>domingo</v>
      </c>
    </row>
    <row r="1868" spans="19:22">
      <c r="S1868" s="357">
        <v>43381</v>
      </c>
      <c r="T1868" s="359" t="str">
        <f t="shared" si="65"/>
        <v>segunda-feira</v>
      </c>
      <c r="U1868" s="361">
        <v>42044</v>
      </c>
      <c r="V1868" s="360" t="str">
        <f t="shared" si="64"/>
        <v>segunda-feira</v>
      </c>
    </row>
    <row r="1869" spans="19:22">
      <c r="S1869" s="357">
        <v>43382</v>
      </c>
      <c r="T1869" s="359" t="str">
        <f t="shared" si="65"/>
        <v>terça-feira</v>
      </c>
      <c r="U1869" s="361">
        <v>42045</v>
      </c>
      <c r="V1869" s="360" t="str">
        <f t="shared" si="64"/>
        <v>terça-feira</v>
      </c>
    </row>
    <row r="1870" spans="19:22">
      <c r="S1870" s="357">
        <v>43383</v>
      </c>
      <c r="T1870" s="359" t="str">
        <f t="shared" si="65"/>
        <v>quarta-feira</v>
      </c>
      <c r="U1870" s="361">
        <v>42046</v>
      </c>
      <c r="V1870" s="360" t="str">
        <f t="shared" si="64"/>
        <v>quarta-feira</v>
      </c>
    </row>
    <row r="1871" spans="19:22">
      <c r="S1871" s="357">
        <v>43384</v>
      </c>
      <c r="T1871" s="359" t="str">
        <f t="shared" si="65"/>
        <v>quinta-feira</v>
      </c>
      <c r="U1871" s="361">
        <v>42047</v>
      </c>
      <c r="V1871" s="360" t="str">
        <f t="shared" si="64"/>
        <v>quinta-feira</v>
      </c>
    </row>
    <row r="1872" spans="19:22">
      <c r="S1872" s="357">
        <v>43385</v>
      </c>
      <c r="T1872" s="359" t="str">
        <f t="shared" si="65"/>
        <v>sexta-feira</v>
      </c>
      <c r="U1872" s="361">
        <v>42048</v>
      </c>
      <c r="V1872" s="360" t="str">
        <f t="shared" si="64"/>
        <v>sexta-feira</v>
      </c>
    </row>
    <row r="1873" spans="19:22">
      <c r="S1873" s="357">
        <v>43386</v>
      </c>
      <c r="T1873" s="359" t="str">
        <f t="shared" si="65"/>
        <v>sábado</v>
      </c>
      <c r="U1873" s="361">
        <v>42049</v>
      </c>
      <c r="V1873" s="360" t="str">
        <f t="shared" si="64"/>
        <v>sábado</v>
      </c>
    </row>
    <row r="1874" spans="19:22">
      <c r="S1874" s="357">
        <v>43387</v>
      </c>
      <c r="T1874" s="359" t="str">
        <f t="shared" si="65"/>
        <v>domingo</v>
      </c>
      <c r="U1874" s="361">
        <v>42050</v>
      </c>
      <c r="V1874" s="360" t="str">
        <f t="shared" si="64"/>
        <v>domingo</v>
      </c>
    </row>
    <row r="1875" spans="19:22">
      <c r="S1875" s="357">
        <v>43388</v>
      </c>
      <c r="T1875" s="359" t="str">
        <f t="shared" si="65"/>
        <v>segunda-feira</v>
      </c>
      <c r="U1875" s="361">
        <v>42051</v>
      </c>
      <c r="V1875" s="360" t="str">
        <f t="shared" si="64"/>
        <v>segunda-feira</v>
      </c>
    </row>
    <row r="1876" spans="19:22">
      <c r="S1876" s="357">
        <v>43389</v>
      </c>
      <c r="T1876" s="359" t="str">
        <f t="shared" si="65"/>
        <v>terça-feira</v>
      </c>
      <c r="U1876" s="361">
        <v>42052</v>
      </c>
      <c r="V1876" s="360" t="str">
        <f t="shared" si="64"/>
        <v>terça-feira</v>
      </c>
    </row>
    <row r="1877" spans="19:22">
      <c r="S1877" s="357">
        <v>43390</v>
      </c>
      <c r="T1877" s="359" t="str">
        <f t="shared" si="65"/>
        <v>quarta-feira</v>
      </c>
      <c r="U1877" s="361">
        <v>42053</v>
      </c>
      <c r="V1877" s="360" t="str">
        <f t="shared" si="64"/>
        <v>quarta-feira</v>
      </c>
    </row>
    <row r="1878" spans="19:22">
      <c r="S1878" s="357">
        <v>43391</v>
      </c>
      <c r="T1878" s="359" t="str">
        <f t="shared" si="65"/>
        <v>quinta-feira</v>
      </c>
      <c r="U1878" s="361">
        <v>42054</v>
      </c>
      <c r="V1878" s="360" t="str">
        <f t="shared" si="64"/>
        <v>quinta-feira</v>
      </c>
    </row>
    <row r="1879" spans="19:22">
      <c r="S1879" s="357">
        <v>43392</v>
      </c>
      <c r="T1879" s="359" t="str">
        <f t="shared" si="65"/>
        <v>sexta-feira</v>
      </c>
      <c r="U1879" s="361">
        <v>42055</v>
      </c>
      <c r="V1879" s="360" t="str">
        <f t="shared" si="64"/>
        <v>sexta-feira</v>
      </c>
    </row>
    <row r="1880" spans="19:22">
      <c r="S1880" s="357">
        <v>43393</v>
      </c>
      <c r="T1880" s="359" t="str">
        <f t="shared" si="65"/>
        <v>sábado</v>
      </c>
      <c r="U1880" s="361">
        <v>42056</v>
      </c>
      <c r="V1880" s="360" t="str">
        <f t="shared" si="64"/>
        <v>sábado</v>
      </c>
    </row>
    <row r="1881" spans="19:22">
      <c r="S1881" s="357">
        <v>43394</v>
      </c>
      <c r="T1881" s="359" t="str">
        <f t="shared" si="65"/>
        <v>domingo</v>
      </c>
      <c r="U1881" s="361">
        <v>42057</v>
      </c>
      <c r="V1881" s="360" t="str">
        <f t="shared" si="64"/>
        <v>domingo</v>
      </c>
    </row>
    <row r="1882" spans="19:22">
      <c r="S1882" s="357">
        <v>43395</v>
      </c>
      <c r="T1882" s="359" t="str">
        <f t="shared" si="65"/>
        <v>segunda-feira</v>
      </c>
      <c r="U1882" s="361">
        <v>42058</v>
      </c>
      <c r="V1882" s="360" t="str">
        <f t="shared" si="64"/>
        <v>segunda-feira</v>
      </c>
    </row>
    <row r="1883" spans="19:22">
      <c r="S1883" s="357">
        <v>43396</v>
      </c>
      <c r="T1883" s="359" t="str">
        <f t="shared" si="65"/>
        <v>terça-feira</v>
      </c>
      <c r="U1883" s="361">
        <v>42059</v>
      </c>
      <c r="V1883" s="360" t="str">
        <f t="shared" si="64"/>
        <v>terça-feira</v>
      </c>
    </row>
    <row r="1884" spans="19:22">
      <c r="S1884" s="357">
        <v>43397</v>
      </c>
      <c r="T1884" s="359" t="str">
        <f t="shared" si="65"/>
        <v>quarta-feira</v>
      </c>
      <c r="U1884" s="361">
        <v>42060</v>
      </c>
      <c r="V1884" s="360" t="str">
        <f t="shared" si="64"/>
        <v>quarta-feira</v>
      </c>
    </row>
    <row r="1885" spans="19:22">
      <c r="S1885" s="357">
        <v>43398</v>
      </c>
      <c r="T1885" s="359" t="str">
        <f t="shared" si="65"/>
        <v>quinta-feira</v>
      </c>
      <c r="U1885" s="361">
        <v>42061</v>
      </c>
      <c r="V1885" s="360" t="str">
        <f t="shared" si="64"/>
        <v>quinta-feira</v>
      </c>
    </row>
    <row r="1886" spans="19:22">
      <c r="S1886" s="357">
        <v>43399</v>
      </c>
      <c r="T1886" s="359" t="str">
        <f t="shared" si="65"/>
        <v>sexta-feira</v>
      </c>
      <c r="U1886" s="361">
        <v>42062</v>
      </c>
      <c r="V1886" s="360" t="str">
        <f t="shared" si="64"/>
        <v>sexta-feira</v>
      </c>
    </row>
    <row r="1887" spans="19:22">
      <c r="S1887" s="357">
        <v>43400</v>
      </c>
      <c r="T1887" s="359" t="str">
        <f t="shared" si="65"/>
        <v>sábado</v>
      </c>
      <c r="U1887" s="361">
        <v>42063</v>
      </c>
      <c r="V1887" s="360" t="str">
        <f t="shared" si="64"/>
        <v>sábado</v>
      </c>
    </row>
    <row r="1888" spans="19:22">
      <c r="S1888" s="357">
        <v>43401</v>
      </c>
      <c r="T1888" s="359" t="str">
        <f t="shared" si="65"/>
        <v>domingo</v>
      </c>
      <c r="U1888" s="361">
        <v>42064</v>
      </c>
      <c r="V1888" s="360" t="str">
        <f t="shared" si="64"/>
        <v>domingo</v>
      </c>
    </row>
    <row r="1889" spans="19:22">
      <c r="S1889" s="357">
        <v>43402</v>
      </c>
      <c r="T1889" s="359" t="str">
        <f t="shared" si="65"/>
        <v>segunda-feira</v>
      </c>
      <c r="U1889" s="361">
        <v>42065</v>
      </c>
      <c r="V1889" s="360" t="str">
        <f t="shared" si="64"/>
        <v>segunda-feira</v>
      </c>
    </row>
    <row r="1890" spans="19:22">
      <c r="S1890" s="357">
        <v>43403</v>
      </c>
      <c r="T1890" s="359" t="str">
        <f t="shared" si="65"/>
        <v>terça-feira</v>
      </c>
      <c r="U1890" s="361">
        <v>42066</v>
      </c>
      <c r="V1890" s="360" t="str">
        <f t="shared" si="64"/>
        <v>terça-feira</v>
      </c>
    </row>
    <row r="1891" spans="19:22">
      <c r="S1891" s="357">
        <v>43404</v>
      </c>
      <c r="T1891" s="359" t="str">
        <f t="shared" si="65"/>
        <v>quarta-feira</v>
      </c>
      <c r="U1891" s="361">
        <v>42067</v>
      </c>
      <c r="V1891" s="360" t="str">
        <f t="shared" si="64"/>
        <v>quarta-feira</v>
      </c>
    </row>
    <row r="1892" spans="19:22">
      <c r="S1892" s="357">
        <v>43405</v>
      </c>
      <c r="T1892" s="359" t="str">
        <f t="shared" si="65"/>
        <v>quinta-feira</v>
      </c>
      <c r="U1892" s="361">
        <v>42068</v>
      </c>
      <c r="V1892" s="360" t="str">
        <f t="shared" si="64"/>
        <v>quinta-feira</v>
      </c>
    </row>
    <row r="1893" spans="19:22">
      <c r="S1893" s="357">
        <v>43406</v>
      </c>
      <c r="T1893" s="359" t="str">
        <f t="shared" si="65"/>
        <v>sexta-feira</v>
      </c>
      <c r="U1893" s="361">
        <v>42069</v>
      </c>
      <c r="V1893" s="360" t="str">
        <f t="shared" si="64"/>
        <v>sexta-feira</v>
      </c>
    </row>
    <row r="1894" spans="19:22">
      <c r="S1894" s="357">
        <v>43407</v>
      </c>
      <c r="T1894" s="359" t="str">
        <f t="shared" si="65"/>
        <v>sábado</v>
      </c>
      <c r="U1894" s="361">
        <v>42070</v>
      </c>
      <c r="V1894" s="360" t="str">
        <f t="shared" si="64"/>
        <v>sábado</v>
      </c>
    </row>
    <row r="1895" spans="19:22">
      <c r="S1895" s="357">
        <v>43408</v>
      </c>
      <c r="T1895" s="359" t="str">
        <f t="shared" si="65"/>
        <v>domingo</v>
      </c>
      <c r="U1895" s="361">
        <v>42071</v>
      </c>
      <c r="V1895" s="360" t="str">
        <f t="shared" si="64"/>
        <v>domingo</v>
      </c>
    </row>
    <row r="1896" spans="19:22">
      <c r="S1896" s="357">
        <v>43409</v>
      </c>
      <c r="T1896" s="359" t="str">
        <f t="shared" si="65"/>
        <v>segunda-feira</v>
      </c>
      <c r="U1896" s="361">
        <v>42072</v>
      </c>
      <c r="V1896" s="360" t="str">
        <f t="shared" si="64"/>
        <v>segunda-feira</v>
      </c>
    </row>
    <row r="1897" spans="19:22">
      <c r="S1897" s="357">
        <v>43410</v>
      </c>
      <c r="T1897" s="359" t="str">
        <f t="shared" si="65"/>
        <v>terça-feira</v>
      </c>
      <c r="U1897" s="361">
        <v>42073</v>
      </c>
      <c r="V1897" s="360" t="str">
        <f t="shared" ref="V1897:V1960" si="66">TEXT(U1897,"dddd")</f>
        <v>terça-feira</v>
      </c>
    </row>
    <row r="1898" spans="19:22">
      <c r="S1898" s="357">
        <v>43411</v>
      </c>
      <c r="T1898" s="359" t="str">
        <f t="shared" si="65"/>
        <v>quarta-feira</v>
      </c>
      <c r="U1898" s="361">
        <v>42074</v>
      </c>
      <c r="V1898" s="360" t="str">
        <f t="shared" si="66"/>
        <v>quarta-feira</v>
      </c>
    </row>
    <row r="1899" spans="19:22">
      <c r="S1899" s="357">
        <v>43412</v>
      </c>
      <c r="T1899" s="359" t="str">
        <f t="shared" si="65"/>
        <v>quinta-feira</v>
      </c>
      <c r="U1899" s="361">
        <v>42075</v>
      </c>
      <c r="V1899" s="360" t="str">
        <f t="shared" si="66"/>
        <v>quinta-feira</v>
      </c>
    </row>
    <row r="1900" spans="19:22">
      <c r="S1900" s="357">
        <v>43413</v>
      </c>
      <c r="T1900" s="359" t="str">
        <f t="shared" si="65"/>
        <v>sexta-feira</v>
      </c>
      <c r="U1900" s="361">
        <v>42076</v>
      </c>
      <c r="V1900" s="360" t="str">
        <f t="shared" si="66"/>
        <v>sexta-feira</v>
      </c>
    </row>
    <row r="1901" spans="19:22">
      <c r="S1901" s="357">
        <v>43414</v>
      </c>
      <c r="T1901" s="359" t="str">
        <f t="shared" si="65"/>
        <v>sábado</v>
      </c>
      <c r="U1901" s="361">
        <v>42077</v>
      </c>
      <c r="V1901" s="360" t="str">
        <f t="shared" si="66"/>
        <v>sábado</v>
      </c>
    </row>
    <row r="1902" spans="19:22">
      <c r="S1902" s="357">
        <v>43415</v>
      </c>
      <c r="T1902" s="359" t="str">
        <f t="shared" si="65"/>
        <v>domingo</v>
      </c>
      <c r="U1902" s="361">
        <v>42078</v>
      </c>
      <c r="V1902" s="360" t="str">
        <f t="shared" si="66"/>
        <v>domingo</v>
      </c>
    </row>
    <row r="1903" spans="19:22">
      <c r="S1903" s="357">
        <v>43416</v>
      </c>
      <c r="T1903" s="359" t="str">
        <f t="shared" si="65"/>
        <v>segunda-feira</v>
      </c>
      <c r="U1903" s="361">
        <v>42079</v>
      </c>
      <c r="V1903" s="360" t="str">
        <f t="shared" si="66"/>
        <v>segunda-feira</v>
      </c>
    </row>
    <row r="1904" spans="19:22">
      <c r="S1904" s="357">
        <v>43417</v>
      </c>
      <c r="T1904" s="359" t="str">
        <f t="shared" si="65"/>
        <v>terça-feira</v>
      </c>
      <c r="U1904" s="361">
        <v>42080</v>
      </c>
      <c r="V1904" s="360" t="str">
        <f t="shared" si="66"/>
        <v>terça-feira</v>
      </c>
    </row>
    <row r="1905" spans="19:22">
      <c r="S1905" s="357">
        <v>43418</v>
      </c>
      <c r="T1905" s="359" t="str">
        <f t="shared" si="65"/>
        <v>quarta-feira</v>
      </c>
      <c r="U1905" s="361">
        <v>42081</v>
      </c>
      <c r="V1905" s="360" t="str">
        <f t="shared" si="66"/>
        <v>quarta-feira</v>
      </c>
    </row>
    <row r="1906" spans="19:22">
      <c r="S1906" s="357">
        <v>43419</v>
      </c>
      <c r="T1906" s="359" t="str">
        <f t="shared" si="65"/>
        <v>quinta-feira</v>
      </c>
      <c r="U1906" s="361">
        <v>42082</v>
      </c>
      <c r="V1906" s="360" t="str">
        <f t="shared" si="66"/>
        <v>quinta-feira</v>
      </c>
    </row>
    <row r="1907" spans="19:22">
      <c r="S1907" s="357">
        <v>43420</v>
      </c>
      <c r="T1907" s="359" t="str">
        <f t="shared" si="65"/>
        <v>sexta-feira</v>
      </c>
      <c r="U1907" s="361">
        <v>42083</v>
      </c>
      <c r="V1907" s="360" t="str">
        <f t="shared" si="66"/>
        <v>sexta-feira</v>
      </c>
    </row>
    <row r="1908" spans="19:22">
      <c r="S1908" s="357">
        <v>43421</v>
      </c>
      <c r="T1908" s="359" t="str">
        <f t="shared" si="65"/>
        <v>sábado</v>
      </c>
      <c r="U1908" s="361">
        <v>42084</v>
      </c>
      <c r="V1908" s="360" t="str">
        <f t="shared" si="66"/>
        <v>sábado</v>
      </c>
    </row>
    <row r="1909" spans="19:22">
      <c r="S1909" s="357">
        <v>43422</v>
      </c>
      <c r="T1909" s="359" t="str">
        <f t="shared" si="65"/>
        <v>domingo</v>
      </c>
      <c r="U1909" s="361">
        <v>42085</v>
      </c>
      <c r="V1909" s="360" t="str">
        <f t="shared" si="66"/>
        <v>domingo</v>
      </c>
    </row>
    <row r="1910" spans="19:22">
      <c r="S1910" s="357">
        <v>43423</v>
      </c>
      <c r="T1910" s="359" t="str">
        <f t="shared" si="65"/>
        <v>segunda-feira</v>
      </c>
      <c r="U1910" s="361">
        <v>42086</v>
      </c>
      <c r="V1910" s="360" t="str">
        <f t="shared" si="66"/>
        <v>segunda-feira</v>
      </c>
    </row>
    <row r="1911" spans="19:22">
      <c r="S1911" s="357">
        <v>43424</v>
      </c>
      <c r="T1911" s="359" t="str">
        <f t="shared" ref="T1911:T1974" si="67">TEXT(S1911,"dddd")</f>
        <v>terça-feira</v>
      </c>
      <c r="U1911" s="361">
        <v>42087</v>
      </c>
      <c r="V1911" s="360" t="str">
        <f t="shared" si="66"/>
        <v>terça-feira</v>
      </c>
    </row>
    <row r="1912" spans="19:22">
      <c r="S1912" s="357">
        <v>43425</v>
      </c>
      <c r="T1912" s="359" t="str">
        <f t="shared" si="67"/>
        <v>quarta-feira</v>
      </c>
      <c r="U1912" s="361">
        <v>42088</v>
      </c>
      <c r="V1912" s="360" t="str">
        <f t="shared" si="66"/>
        <v>quarta-feira</v>
      </c>
    </row>
    <row r="1913" spans="19:22">
      <c r="S1913" s="357">
        <v>43426</v>
      </c>
      <c r="T1913" s="359" t="str">
        <f t="shared" si="67"/>
        <v>quinta-feira</v>
      </c>
      <c r="U1913" s="361">
        <v>42089</v>
      </c>
      <c r="V1913" s="360" t="str">
        <f t="shared" si="66"/>
        <v>quinta-feira</v>
      </c>
    </row>
    <row r="1914" spans="19:22">
      <c r="S1914" s="357">
        <v>43427</v>
      </c>
      <c r="T1914" s="359" t="str">
        <f t="shared" si="67"/>
        <v>sexta-feira</v>
      </c>
      <c r="U1914" s="361">
        <v>42090</v>
      </c>
      <c r="V1914" s="360" t="str">
        <f t="shared" si="66"/>
        <v>sexta-feira</v>
      </c>
    </row>
    <row r="1915" spans="19:22">
      <c r="S1915" s="357">
        <v>43428</v>
      </c>
      <c r="T1915" s="359" t="str">
        <f t="shared" si="67"/>
        <v>sábado</v>
      </c>
      <c r="U1915" s="361">
        <v>42091</v>
      </c>
      <c r="V1915" s="360" t="str">
        <f t="shared" si="66"/>
        <v>sábado</v>
      </c>
    </row>
    <row r="1916" spans="19:22">
      <c r="S1916" s="357">
        <v>43429</v>
      </c>
      <c r="T1916" s="359" t="str">
        <f t="shared" si="67"/>
        <v>domingo</v>
      </c>
      <c r="U1916" s="361">
        <v>42092</v>
      </c>
      <c r="V1916" s="360" t="str">
        <f t="shared" si="66"/>
        <v>domingo</v>
      </c>
    </row>
    <row r="1917" spans="19:22">
      <c r="S1917" s="357">
        <v>43430</v>
      </c>
      <c r="T1917" s="359" t="str">
        <f t="shared" si="67"/>
        <v>segunda-feira</v>
      </c>
      <c r="U1917" s="361">
        <v>42093</v>
      </c>
      <c r="V1917" s="360" t="str">
        <f t="shared" si="66"/>
        <v>segunda-feira</v>
      </c>
    </row>
    <row r="1918" spans="19:22">
      <c r="S1918" s="357">
        <v>43431</v>
      </c>
      <c r="T1918" s="359" t="str">
        <f t="shared" si="67"/>
        <v>terça-feira</v>
      </c>
      <c r="U1918" s="361">
        <v>42094</v>
      </c>
      <c r="V1918" s="360" t="str">
        <f t="shared" si="66"/>
        <v>terça-feira</v>
      </c>
    </row>
    <row r="1919" spans="19:22">
      <c r="S1919" s="357">
        <v>43432</v>
      </c>
      <c r="T1919" s="359" t="str">
        <f t="shared" si="67"/>
        <v>quarta-feira</v>
      </c>
      <c r="U1919" s="361">
        <v>42095</v>
      </c>
      <c r="V1919" s="360" t="str">
        <f t="shared" si="66"/>
        <v>quarta-feira</v>
      </c>
    </row>
    <row r="1920" spans="19:22">
      <c r="S1920" s="357">
        <v>43433</v>
      </c>
      <c r="T1920" s="359" t="str">
        <f t="shared" si="67"/>
        <v>quinta-feira</v>
      </c>
      <c r="U1920" s="361">
        <v>42096</v>
      </c>
      <c r="V1920" s="360" t="str">
        <f t="shared" si="66"/>
        <v>quinta-feira</v>
      </c>
    </row>
    <row r="1921" spans="19:22">
      <c r="S1921" s="357">
        <v>43434</v>
      </c>
      <c r="T1921" s="359" t="str">
        <f t="shared" si="67"/>
        <v>sexta-feira</v>
      </c>
      <c r="U1921" s="361">
        <v>42097</v>
      </c>
      <c r="V1921" s="360" t="str">
        <f t="shared" si="66"/>
        <v>sexta-feira</v>
      </c>
    </row>
    <row r="1922" spans="19:22">
      <c r="S1922" s="357">
        <v>43435</v>
      </c>
      <c r="T1922" s="359" t="str">
        <f t="shared" si="67"/>
        <v>sábado</v>
      </c>
      <c r="U1922" s="361">
        <v>42098</v>
      </c>
      <c r="V1922" s="360" t="str">
        <f t="shared" si="66"/>
        <v>sábado</v>
      </c>
    </row>
    <row r="1923" spans="19:22">
      <c r="S1923" s="357">
        <v>43436</v>
      </c>
      <c r="T1923" s="359" t="str">
        <f t="shared" si="67"/>
        <v>domingo</v>
      </c>
      <c r="U1923" s="361">
        <v>42099</v>
      </c>
      <c r="V1923" s="360" t="str">
        <f t="shared" si="66"/>
        <v>domingo</v>
      </c>
    </row>
    <row r="1924" spans="19:22">
      <c r="S1924" s="357">
        <v>43437</v>
      </c>
      <c r="T1924" s="359" t="str">
        <f t="shared" si="67"/>
        <v>segunda-feira</v>
      </c>
      <c r="U1924" s="361">
        <v>42100</v>
      </c>
      <c r="V1924" s="360" t="str">
        <f t="shared" si="66"/>
        <v>segunda-feira</v>
      </c>
    </row>
    <row r="1925" spans="19:22">
      <c r="S1925" s="357">
        <v>43438</v>
      </c>
      <c r="T1925" s="359" t="str">
        <f t="shared" si="67"/>
        <v>terça-feira</v>
      </c>
      <c r="U1925" s="361">
        <v>42101</v>
      </c>
      <c r="V1925" s="360" t="str">
        <f t="shared" si="66"/>
        <v>terça-feira</v>
      </c>
    </row>
    <row r="1926" spans="19:22">
      <c r="S1926" s="357">
        <v>43439</v>
      </c>
      <c r="T1926" s="359" t="str">
        <f t="shared" si="67"/>
        <v>quarta-feira</v>
      </c>
      <c r="U1926" s="361">
        <v>42102</v>
      </c>
      <c r="V1926" s="360" t="str">
        <f t="shared" si="66"/>
        <v>quarta-feira</v>
      </c>
    </row>
    <row r="1927" spans="19:22">
      <c r="S1927" s="357">
        <v>43440</v>
      </c>
      <c r="T1927" s="359" t="str">
        <f t="shared" si="67"/>
        <v>quinta-feira</v>
      </c>
      <c r="U1927" s="361">
        <v>42103</v>
      </c>
      <c r="V1927" s="360" t="str">
        <f t="shared" si="66"/>
        <v>quinta-feira</v>
      </c>
    </row>
    <row r="1928" spans="19:22">
      <c r="S1928" s="357">
        <v>43441</v>
      </c>
      <c r="T1928" s="359" t="str">
        <f t="shared" si="67"/>
        <v>sexta-feira</v>
      </c>
      <c r="U1928" s="361">
        <v>42104</v>
      </c>
      <c r="V1928" s="360" t="str">
        <f t="shared" si="66"/>
        <v>sexta-feira</v>
      </c>
    </row>
    <row r="1929" spans="19:22">
      <c r="S1929" s="357">
        <v>43442</v>
      </c>
      <c r="T1929" s="359" t="str">
        <f t="shared" si="67"/>
        <v>sábado</v>
      </c>
      <c r="U1929" s="361">
        <v>42105</v>
      </c>
      <c r="V1929" s="360" t="str">
        <f t="shared" si="66"/>
        <v>sábado</v>
      </c>
    </row>
    <row r="1930" spans="19:22">
      <c r="S1930" s="357">
        <v>43443</v>
      </c>
      <c r="T1930" s="359" t="str">
        <f t="shared" si="67"/>
        <v>domingo</v>
      </c>
      <c r="U1930" s="361">
        <v>42106</v>
      </c>
      <c r="V1930" s="360" t="str">
        <f t="shared" si="66"/>
        <v>domingo</v>
      </c>
    </row>
    <row r="1931" spans="19:22">
      <c r="S1931" s="357">
        <v>43444</v>
      </c>
      <c r="T1931" s="359" t="str">
        <f t="shared" si="67"/>
        <v>segunda-feira</v>
      </c>
      <c r="U1931" s="361">
        <v>42107</v>
      </c>
      <c r="V1931" s="360" t="str">
        <f t="shared" si="66"/>
        <v>segunda-feira</v>
      </c>
    </row>
    <row r="1932" spans="19:22">
      <c r="S1932" s="357">
        <v>43445</v>
      </c>
      <c r="T1932" s="359" t="str">
        <f t="shared" si="67"/>
        <v>terça-feira</v>
      </c>
      <c r="U1932" s="361">
        <v>42108</v>
      </c>
      <c r="V1932" s="360" t="str">
        <f t="shared" si="66"/>
        <v>terça-feira</v>
      </c>
    </row>
    <row r="1933" spans="19:22">
      <c r="S1933" s="357">
        <v>43446</v>
      </c>
      <c r="T1933" s="359" t="str">
        <f t="shared" si="67"/>
        <v>quarta-feira</v>
      </c>
      <c r="U1933" s="361">
        <v>42109</v>
      </c>
      <c r="V1933" s="360" t="str">
        <f t="shared" si="66"/>
        <v>quarta-feira</v>
      </c>
    </row>
    <row r="1934" spans="19:22">
      <c r="S1934" s="357">
        <v>43447</v>
      </c>
      <c r="T1934" s="359" t="str">
        <f t="shared" si="67"/>
        <v>quinta-feira</v>
      </c>
      <c r="U1934" s="361">
        <v>42110</v>
      </c>
      <c r="V1934" s="360" t="str">
        <f t="shared" si="66"/>
        <v>quinta-feira</v>
      </c>
    </row>
    <row r="1935" spans="19:22">
      <c r="S1935" s="357">
        <v>43448</v>
      </c>
      <c r="T1935" s="359" t="str">
        <f t="shared" si="67"/>
        <v>sexta-feira</v>
      </c>
      <c r="U1935" s="361">
        <v>42111</v>
      </c>
      <c r="V1935" s="360" t="str">
        <f t="shared" si="66"/>
        <v>sexta-feira</v>
      </c>
    </row>
    <row r="1936" spans="19:22">
      <c r="S1936" s="357">
        <v>43449</v>
      </c>
      <c r="T1936" s="359" t="str">
        <f t="shared" si="67"/>
        <v>sábado</v>
      </c>
      <c r="U1936" s="361">
        <v>42112</v>
      </c>
      <c r="V1936" s="360" t="str">
        <f t="shared" si="66"/>
        <v>sábado</v>
      </c>
    </row>
    <row r="1937" spans="19:22">
      <c r="S1937" s="357">
        <v>43450</v>
      </c>
      <c r="T1937" s="359" t="str">
        <f t="shared" si="67"/>
        <v>domingo</v>
      </c>
      <c r="U1937" s="361">
        <v>42113</v>
      </c>
      <c r="V1937" s="360" t="str">
        <f t="shared" si="66"/>
        <v>domingo</v>
      </c>
    </row>
    <row r="1938" spans="19:22">
      <c r="S1938" s="357">
        <v>43451</v>
      </c>
      <c r="T1938" s="359" t="str">
        <f t="shared" si="67"/>
        <v>segunda-feira</v>
      </c>
      <c r="U1938" s="361">
        <v>42114</v>
      </c>
      <c r="V1938" s="360" t="str">
        <f t="shared" si="66"/>
        <v>segunda-feira</v>
      </c>
    </row>
    <row r="1939" spans="19:22">
      <c r="S1939" s="357">
        <v>43452</v>
      </c>
      <c r="T1939" s="359" t="str">
        <f t="shared" si="67"/>
        <v>terça-feira</v>
      </c>
      <c r="U1939" s="361">
        <v>42115</v>
      </c>
      <c r="V1939" s="360" t="str">
        <f t="shared" si="66"/>
        <v>terça-feira</v>
      </c>
    </row>
    <row r="1940" spans="19:22">
      <c r="S1940" s="357">
        <v>43453</v>
      </c>
      <c r="T1940" s="359" t="str">
        <f t="shared" si="67"/>
        <v>quarta-feira</v>
      </c>
      <c r="U1940" s="361">
        <v>42116</v>
      </c>
      <c r="V1940" s="360" t="str">
        <f t="shared" si="66"/>
        <v>quarta-feira</v>
      </c>
    </row>
    <row r="1941" spans="19:22">
      <c r="S1941" s="357">
        <v>43454</v>
      </c>
      <c r="T1941" s="359" t="str">
        <f t="shared" si="67"/>
        <v>quinta-feira</v>
      </c>
      <c r="U1941" s="361">
        <v>42117</v>
      </c>
      <c r="V1941" s="360" t="str">
        <f t="shared" si="66"/>
        <v>quinta-feira</v>
      </c>
    </row>
    <row r="1942" spans="19:22">
      <c r="S1942" s="357">
        <v>43455</v>
      </c>
      <c r="T1942" s="359" t="str">
        <f t="shared" si="67"/>
        <v>sexta-feira</v>
      </c>
      <c r="U1942" s="361">
        <v>42118</v>
      </c>
      <c r="V1942" s="360" t="str">
        <f t="shared" si="66"/>
        <v>sexta-feira</v>
      </c>
    </row>
    <row r="1943" spans="19:22">
      <c r="S1943" s="357">
        <v>43456</v>
      </c>
      <c r="T1943" s="359" t="str">
        <f t="shared" si="67"/>
        <v>sábado</v>
      </c>
      <c r="U1943" s="361">
        <v>42119</v>
      </c>
      <c r="V1943" s="360" t="str">
        <f t="shared" si="66"/>
        <v>sábado</v>
      </c>
    </row>
    <row r="1944" spans="19:22">
      <c r="S1944" s="357">
        <v>43457</v>
      </c>
      <c r="T1944" s="359" t="str">
        <f t="shared" si="67"/>
        <v>domingo</v>
      </c>
      <c r="U1944" s="361">
        <v>42120</v>
      </c>
      <c r="V1944" s="360" t="str">
        <f t="shared" si="66"/>
        <v>domingo</v>
      </c>
    </row>
    <row r="1945" spans="19:22">
      <c r="S1945" s="357">
        <v>43458</v>
      </c>
      <c r="T1945" s="359" t="str">
        <f t="shared" si="67"/>
        <v>segunda-feira</v>
      </c>
      <c r="U1945" s="361">
        <v>42121</v>
      </c>
      <c r="V1945" s="360" t="str">
        <f t="shared" si="66"/>
        <v>segunda-feira</v>
      </c>
    </row>
    <row r="1946" spans="19:22">
      <c r="S1946" s="357">
        <v>43459</v>
      </c>
      <c r="T1946" s="359" t="str">
        <f t="shared" si="67"/>
        <v>terça-feira</v>
      </c>
      <c r="U1946" s="361">
        <v>42122</v>
      </c>
      <c r="V1946" s="360" t="str">
        <f t="shared" si="66"/>
        <v>terça-feira</v>
      </c>
    </row>
    <row r="1947" spans="19:22">
      <c r="S1947" s="357">
        <v>43460</v>
      </c>
      <c r="T1947" s="359" t="str">
        <f t="shared" si="67"/>
        <v>quarta-feira</v>
      </c>
      <c r="U1947" s="361">
        <v>42123</v>
      </c>
      <c r="V1947" s="360" t="str">
        <f t="shared" si="66"/>
        <v>quarta-feira</v>
      </c>
    </row>
    <row r="1948" spans="19:22">
      <c r="S1948" s="357">
        <v>43461</v>
      </c>
      <c r="T1948" s="359" t="str">
        <f t="shared" si="67"/>
        <v>quinta-feira</v>
      </c>
      <c r="U1948" s="361">
        <v>42124</v>
      </c>
      <c r="V1948" s="360" t="str">
        <f t="shared" si="66"/>
        <v>quinta-feira</v>
      </c>
    </row>
    <row r="1949" spans="19:22">
      <c r="S1949" s="357">
        <v>43462</v>
      </c>
      <c r="T1949" s="359" t="str">
        <f t="shared" si="67"/>
        <v>sexta-feira</v>
      </c>
      <c r="U1949" s="361">
        <v>42125</v>
      </c>
      <c r="V1949" s="360" t="str">
        <f t="shared" si="66"/>
        <v>sexta-feira</v>
      </c>
    </row>
    <row r="1950" spans="19:22">
      <c r="S1950" s="357">
        <v>43463</v>
      </c>
      <c r="T1950" s="359" t="str">
        <f t="shared" si="67"/>
        <v>sábado</v>
      </c>
      <c r="U1950" s="361">
        <v>42126</v>
      </c>
      <c r="V1950" s="360" t="str">
        <f t="shared" si="66"/>
        <v>sábado</v>
      </c>
    </row>
    <row r="1951" spans="19:22">
      <c r="S1951" s="357">
        <v>43464</v>
      </c>
      <c r="T1951" s="359" t="str">
        <f t="shared" si="67"/>
        <v>domingo</v>
      </c>
      <c r="U1951" s="361">
        <v>42127</v>
      </c>
      <c r="V1951" s="360" t="str">
        <f t="shared" si="66"/>
        <v>domingo</v>
      </c>
    </row>
    <row r="1952" spans="19:22">
      <c r="S1952" s="357">
        <v>43465</v>
      </c>
      <c r="T1952" s="359" t="str">
        <f t="shared" si="67"/>
        <v>segunda-feira</v>
      </c>
      <c r="U1952" s="361">
        <v>42128</v>
      </c>
      <c r="V1952" s="360" t="str">
        <f t="shared" si="66"/>
        <v>segunda-feira</v>
      </c>
    </row>
    <row r="1953" spans="19:22">
      <c r="S1953" s="357">
        <v>43466</v>
      </c>
      <c r="T1953" s="359" t="str">
        <f t="shared" si="67"/>
        <v>terça-feira</v>
      </c>
      <c r="U1953" s="361">
        <v>42129</v>
      </c>
      <c r="V1953" s="360" t="str">
        <f t="shared" si="66"/>
        <v>terça-feira</v>
      </c>
    </row>
    <row r="1954" spans="19:22">
      <c r="S1954" s="357">
        <v>43467</v>
      </c>
      <c r="T1954" s="359" t="str">
        <f t="shared" si="67"/>
        <v>quarta-feira</v>
      </c>
      <c r="U1954" s="361">
        <v>42130</v>
      </c>
      <c r="V1954" s="360" t="str">
        <f t="shared" si="66"/>
        <v>quarta-feira</v>
      </c>
    </row>
    <row r="1955" spans="19:22">
      <c r="S1955" s="357">
        <v>43468</v>
      </c>
      <c r="T1955" s="359" t="str">
        <f t="shared" si="67"/>
        <v>quinta-feira</v>
      </c>
      <c r="U1955" s="361">
        <v>42131</v>
      </c>
      <c r="V1955" s="360" t="str">
        <f t="shared" si="66"/>
        <v>quinta-feira</v>
      </c>
    </row>
    <row r="1956" spans="19:22">
      <c r="S1956" s="357">
        <v>43469</v>
      </c>
      <c r="T1956" s="359" t="str">
        <f t="shared" si="67"/>
        <v>sexta-feira</v>
      </c>
      <c r="U1956" s="361">
        <v>42132</v>
      </c>
      <c r="V1956" s="360" t="str">
        <f t="shared" si="66"/>
        <v>sexta-feira</v>
      </c>
    </row>
    <row r="1957" spans="19:22">
      <c r="S1957" s="357">
        <v>43470</v>
      </c>
      <c r="T1957" s="359" t="str">
        <f t="shared" si="67"/>
        <v>sábado</v>
      </c>
      <c r="U1957" s="361">
        <v>42133</v>
      </c>
      <c r="V1957" s="360" t="str">
        <f t="shared" si="66"/>
        <v>sábado</v>
      </c>
    </row>
    <row r="1958" spans="19:22">
      <c r="S1958" s="357">
        <v>43471</v>
      </c>
      <c r="T1958" s="359" t="str">
        <f t="shared" si="67"/>
        <v>domingo</v>
      </c>
      <c r="U1958" s="361">
        <v>42134</v>
      </c>
      <c r="V1958" s="360" t="str">
        <f t="shared" si="66"/>
        <v>domingo</v>
      </c>
    </row>
    <row r="1959" spans="19:22">
      <c r="S1959" s="357">
        <v>43472</v>
      </c>
      <c r="T1959" s="359" t="str">
        <f t="shared" si="67"/>
        <v>segunda-feira</v>
      </c>
      <c r="U1959" s="361">
        <v>42135</v>
      </c>
      <c r="V1959" s="360" t="str">
        <f t="shared" si="66"/>
        <v>segunda-feira</v>
      </c>
    </row>
    <row r="1960" spans="19:22">
      <c r="S1960" s="357">
        <v>43473</v>
      </c>
      <c r="T1960" s="359" t="str">
        <f t="shared" si="67"/>
        <v>terça-feira</v>
      </c>
      <c r="U1960" s="361">
        <v>42136</v>
      </c>
      <c r="V1960" s="360" t="str">
        <f t="shared" si="66"/>
        <v>terça-feira</v>
      </c>
    </row>
    <row r="1961" spans="19:22">
      <c r="S1961" s="357">
        <v>43474</v>
      </c>
      <c r="T1961" s="359" t="str">
        <f t="shared" si="67"/>
        <v>quarta-feira</v>
      </c>
      <c r="U1961" s="361">
        <v>42137</v>
      </c>
      <c r="V1961" s="360" t="str">
        <f t="shared" ref="V1961:V2024" si="68">TEXT(U1961,"dddd")</f>
        <v>quarta-feira</v>
      </c>
    </row>
    <row r="1962" spans="19:22">
      <c r="S1962" s="357">
        <v>43475</v>
      </c>
      <c r="T1962" s="359" t="str">
        <f t="shared" si="67"/>
        <v>quinta-feira</v>
      </c>
      <c r="U1962" s="361">
        <v>42138</v>
      </c>
      <c r="V1962" s="360" t="str">
        <f t="shared" si="68"/>
        <v>quinta-feira</v>
      </c>
    </row>
    <row r="1963" spans="19:22">
      <c r="S1963" s="357">
        <v>43476</v>
      </c>
      <c r="T1963" s="359" t="str">
        <f t="shared" si="67"/>
        <v>sexta-feira</v>
      </c>
      <c r="U1963" s="361">
        <v>42139</v>
      </c>
      <c r="V1963" s="360" t="str">
        <f t="shared" si="68"/>
        <v>sexta-feira</v>
      </c>
    </row>
    <row r="1964" spans="19:22">
      <c r="S1964" s="357">
        <v>43477</v>
      </c>
      <c r="T1964" s="359" t="str">
        <f t="shared" si="67"/>
        <v>sábado</v>
      </c>
      <c r="U1964" s="361">
        <v>42140</v>
      </c>
      <c r="V1964" s="360" t="str">
        <f t="shared" si="68"/>
        <v>sábado</v>
      </c>
    </row>
    <row r="1965" spans="19:22">
      <c r="S1965" s="357">
        <v>43478</v>
      </c>
      <c r="T1965" s="359" t="str">
        <f t="shared" si="67"/>
        <v>domingo</v>
      </c>
      <c r="U1965" s="361">
        <v>42141</v>
      </c>
      <c r="V1965" s="360" t="str">
        <f t="shared" si="68"/>
        <v>domingo</v>
      </c>
    </row>
    <row r="1966" spans="19:22">
      <c r="S1966" s="357">
        <v>43479</v>
      </c>
      <c r="T1966" s="359" t="str">
        <f t="shared" si="67"/>
        <v>segunda-feira</v>
      </c>
      <c r="U1966" s="361">
        <v>42142</v>
      </c>
      <c r="V1966" s="360" t="str">
        <f t="shared" si="68"/>
        <v>segunda-feira</v>
      </c>
    </row>
    <row r="1967" spans="19:22">
      <c r="S1967" s="357">
        <v>43480</v>
      </c>
      <c r="T1967" s="359" t="str">
        <f t="shared" si="67"/>
        <v>terça-feira</v>
      </c>
      <c r="U1967" s="361">
        <v>42143</v>
      </c>
      <c r="V1967" s="360" t="str">
        <f t="shared" si="68"/>
        <v>terça-feira</v>
      </c>
    </row>
    <row r="1968" spans="19:22">
      <c r="S1968" s="357">
        <v>43481</v>
      </c>
      <c r="T1968" s="359" t="str">
        <f t="shared" si="67"/>
        <v>quarta-feira</v>
      </c>
      <c r="U1968" s="361">
        <v>42144</v>
      </c>
      <c r="V1968" s="360" t="str">
        <f t="shared" si="68"/>
        <v>quarta-feira</v>
      </c>
    </row>
    <row r="1969" spans="19:22">
      <c r="S1969" s="357">
        <v>43482</v>
      </c>
      <c r="T1969" s="359" t="str">
        <f t="shared" si="67"/>
        <v>quinta-feira</v>
      </c>
      <c r="U1969" s="361">
        <v>42145</v>
      </c>
      <c r="V1969" s="360" t="str">
        <f t="shared" si="68"/>
        <v>quinta-feira</v>
      </c>
    </row>
    <row r="1970" spans="19:22">
      <c r="S1970" s="357">
        <v>43483</v>
      </c>
      <c r="T1970" s="359" t="str">
        <f t="shared" si="67"/>
        <v>sexta-feira</v>
      </c>
      <c r="U1970" s="361">
        <v>42146</v>
      </c>
      <c r="V1970" s="360" t="str">
        <f t="shared" si="68"/>
        <v>sexta-feira</v>
      </c>
    </row>
    <row r="1971" spans="19:22">
      <c r="S1971" s="357">
        <v>43484</v>
      </c>
      <c r="T1971" s="359" t="str">
        <f t="shared" si="67"/>
        <v>sábado</v>
      </c>
      <c r="U1971" s="361">
        <v>42147</v>
      </c>
      <c r="V1971" s="360" t="str">
        <f t="shared" si="68"/>
        <v>sábado</v>
      </c>
    </row>
    <row r="1972" spans="19:22">
      <c r="S1972" s="357">
        <v>43485</v>
      </c>
      <c r="T1972" s="359" t="str">
        <f t="shared" si="67"/>
        <v>domingo</v>
      </c>
      <c r="U1972" s="361">
        <v>42148</v>
      </c>
      <c r="V1972" s="360" t="str">
        <f t="shared" si="68"/>
        <v>domingo</v>
      </c>
    </row>
    <row r="1973" spans="19:22">
      <c r="S1973" s="357">
        <v>43486</v>
      </c>
      <c r="T1973" s="359" t="str">
        <f t="shared" si="67"/>
        <v>segunda-feira</v>
      </c>
      <c r="U1973" s="361">
        <v>42149</v>
      </c>
      <c r="V1973" s="360" t="str">
        <f t="shared" si="68"/>
        <v>segunda-feira</v>
      </c>
    </row>
    <row r="1974" spans="19:22">
      <c r="S1974" s="357">
        <v>43487</v>
      </c>
      <c r="T1974" s="359" t="str">
        <f t="shared" si="67"/>
        <v>terça-feira</v>
      </c>
      <c r="U1974" s="361">
        <v>42150</v>
      </c>
      <c r="V1974" s="360" t="str">
        <f t="shared" si="68"/>
        <v>terça-feira</v>
      </c>
    </row>
    <row r="1975" spans="19:22">
      <c r="S1975" s="357">
        <v>43488</v>
      </c>
      <c r="T1975" s="359" t="str">
        <f t="shared" ref="T1975:T2038" si="69">TEXT(S1975,"dddd")</f>
        <v>quarta-feira</v>
      </c>
      <c r="U1975" s="361">
        <v>42151</v>
      </c>
      <c r="V1975" s="360" t="str">
        <f t="shared" si="68"/>
        <v>quarta-feira</v>
      </c>
    </row>
    <row r="1976" spans="19:22">
      <c r="S1976" s="357">
        <v>43489</v>
      </c>
      <c r="T1976" s="359" t="str">
        <f t="shared" si="69"/>
        <v>quinta-feira</v>
      </c>
      <c r="U1976" s="361">
        <v>42152</v>
      </c>
      <c r="V1976" s="360" t="str">
        <f t="shared" si="68"/>
        <v>quinta-feira</v>
      </c>
    </row>
    <row r="1977" spans="19:22">
      <c r="S1977" s="357">
        <v>43490</v>
      </c>
      <c r="T1977" s="359" t="str">
        <f t="shared" si="69"/>
        <v>sexta-feira</v>
      </c>
      <c r="U1977" s="361">
        <v>42153</v>
      </c>
      <c r="V1977" s="360" t="str">
        <f t="shared" si="68"/>
        <v>sexta-feira</v>
      </c>
    </row>
    <row r="1978" spans="19:22">
      <c r="S1978" s="357">
        <v>43491</v>
      </c>
      <c r="T1978" s="359" t="str">
        <f t="shared" si="69"/>
        <v>sábado</v>
      </c>
      <c r="U1978" s="361">
        <v>42154</v>
      </c>
      <c r="V1978" s="360" t="str">
        <f t="shared" si="68"/>
        <v>sábado</v>
      </c>
    </row>
    <row r="1979" spans="19:22">
      <c r="S1979" s="357">
        <v>43492</v>
      </c>
      <c r="T1979" s="359" t="str">
        <f t="shared" si="69"/>
        <v>domingo</v>
      </c>
      <c r="U1979" s="361">
        <v>42155</v>
      </c>
      <c r="V1979" s="360" t="str">
        <f t="shared" si="68"/>
        <v>domingo</v>
      </c>
    </row>
    <row r="1980" spans="19:22">
      <c r="S1980" s="357">
        <v>43493</v>
      </c>
      <c r="T1980" s="359" t="str">
        <f t="shared" si="69"/>
        <v>segunda-feira</v>
      </c>
      <c r="U1980" s="361">
        <v>42156</v>
      </c>
      <c r="V1980" s="360" t="str">
        <f t="shared" si="68"/>
        <v>segunda-feira</v>
      </c>
    </row>
    <row r="1981" spans="19:22">
      <c r="S1981" s="357">
        <v>43494</v>
      </c>
      <c r="T1981" s="359" t="str">
        <f t="shared" si="69"/>
        <v>terça-feira</v>
      </c>
      <c r="U1981" s="361">
        <v>42157</v>
      </c>
      <c r="V1981" s="360" t="str">
        <f t="shared" si="68"/>
        <v>terça-feira</v>
      </c>
    </row>
    <row r="1982" spans="19:22">
      <c r="S1982" s="357">
        <v>43495</v>
      </c>
      <c r="T1982" s="359" t="str">
        <f t="shared" si="69"/>
        <v>quarta-feira</v>
      </c>
      <c r="U1982" s="361">
        <v>42158</v>
      </c>
      <c r="V1982" s="360" t="str">
        <f t="shared" si="68"/>
        <v>quarta-feira</v>
      </c>
    </row>
    <row r="1983" spans="19:22">
      <c r="S1983" s="357">
        <v>43496</v>
      </c>
      <c r="T1983" s="359" t="str">
        <f t="shared" si="69"/>
        <v>quinta-feira</v>
      </c>
      <c r="U1983" s="361">
        <v>42159</v>
      </c>
      <c r="V1983" s="360" t="str">
        <f t="shared" si="68"/>
        <v>quinta-feira</v>
      </c>
    </row>
    <row r="1984" spans="19:22">
      <c r="S1984" s="357">
        <v>43497</v>
      </c>
      <c r="T1984" s="359" t="str">
        <f t="shared" si="69"/>
        <v>sexta-feira</v>
      </c>
      <c r="U1984" s="361">
        <v>42160</v>
      </c>
      <c r="V1984" s="360" t="str">
        <f t="shared" si="68"/>
        <v>sexta-feira</v>
      </c>
    </row>
    <row r="1985" spans="19:22">
      <c r="S1985" s="357">
        <v>43498</v>
      </c>
      <c r="T1985" s="359" t="str">
        <f t="shared" si="69"/>
        <v>sábado</v>
      </c>
      <c r="U1985" s="361">
        <v>42161</v>
      </c>
      <c r="V1985" s="360" t="str">
        <f t="shared" si="68"/>
        <v>sábado</v>
      </c>
    </row>
    <row r="1986" spans="19:22">
      <c r="S1986" s="357">
        <v>43499</v>
      </c>
      <c r="T1986" s="359" t="str">
        <f t="shared" si="69"/>
        <v>domingo</v>
      </c>
      <c r="U1986" s="361">
        <v>42162</v>
      </c>
      <c r="V1986" s="360" t="str">
        <f t="shared" si="68"/>
        <v>domingo</v>
      </c>
    </row>
    <row r="1987" spans="19:22">
      <c r="S1987" s="357">
        <v>43500</v>
      </c>
      <c r="T1987" s="359" t="str">
        <f t="shared" si="69"/>
        <v>segunda-feira</v>
      </c>
      <c r="U1987" s="361">
        <v>42163</v>
      </c>
      <c r="V1987" s="360" t="str">
        <f t="shared" si="68"/>
        <v>segunda-feira</v>
      </c>
    </row>
    <row r="1988" spans="19:22">
      <c r="S1988" s="357">
        <v>43501</v>
      </c>
      <c r="T1988" s="359" t="str">
        <f t="shared" si="69"/>
        <v>terça-feira</v>
      </c>
      <c r="U1988" s="361">
        <v>42164</v>
      </c>
      <c r="V1988" s="360" t="str">
        <f t="shared" si="68"/>
        <v>terça-feira</v>
      </c>
    </row>
    <row r="1989" spans="19:22">
      <c r="S1989" s="357">
        <v>43502</v>
      </c>
      <c r="T1989" s="359" t="str">
        <f t="shared" si="69"/>
        <v>quarta-feira</v>
      </c>
      <c r="U1989" s="361">
        <v>42165</v>
      </c>
      <c r="V1989" s="360" t="str">
        <f t="shared" si="68"/>
        <v>quarta-feira</v>
      </c>
    </row>
    <row r="1990" spans="19:22">
      <c r="S1990" s="357">
        <v>43503</v>
      </c>
      <c r="T1990" s="359" t="str">
        <f t="shared" si="69"/>
        <v>quinta-feira</v>
      </c>
      <c r="U1990" s="361">
        <v>42166</v>
      </c>
      <c r="V1990" s="360" t="str">
        <f t="shared" si="68"/>
        <v>quinta-feira</v>
      </c>
    </row>
    <row r="1991" spans="19:22">
      <c r="S1991" s="357">
        <v>43504</v>
      </c>
      <c r="T1991" s="359" t="str">
        <f t="shared" si="69"/>
        <v>sexta-feira</v>
      </c>
      <c r="U1991" s="361">
        <v>42167</v>
      </c>
      <c r="V1991" s="360" t="str">
        <f t="shared" si="68"/>
        <v>sexta-feira</v>
      </c>
    </row>
    <row r="1992" spans="19:22">
      <c r="S1992" s="357">
        <v>43505</v>
      </c>
      <c r="T1992" s="359" t="str">
        <f t="shared" si="69"/>
        <v>sábado</v>
      </c>
      <c r="U1992" s="361">
        <v>42168</v>
      </c>
      <c r="V1992" s="360" t="str">
        <f t="shared" si="68"/>
        <v>sábado</v>
      </c>
    </row>
    <row r="1993" spans="19:22">
      <c r="S1993" s="357">
        <v>43506</v>
      </c>
      <c r="T1993" s="359" t="str">
        <f t="shared" si="69"/>
        <v>domingo</v>
      </c>
      <c r="U1993" s="361">
        <v>42169</v>
      </c>
      <c r="V1993" s="360" t="str">
        <f t="shared" si="68"/>
        <v>domingo</v>
      </c>
    </row>
    <row r="1994" spans="19:22">
      <c r="S1994" s="357">
        <v>43507</v>
      </c>
      <c r="T1994" s="359" t="str">
        <f t="shared" si="69"/>
        <v>segunda-feira</v>
      </c>
      <c r="U1994" s="361">
        <v>42170</v>
      </c>
      <c r="V1994" s="360" t="str">
        <f t="shared" si="68"/>
        <v>segunda-feira</v>
      </c>
    </row>
    <row r="1995" spans="19:22">
      <c r="S1995" s="357">
        <v>43508</v>
      </c>
      <c r="T1995" s="359" t="str">
        <f t="shared" si="69"/>
        <v>terça-feira</v>
      </c>
      <c r="U1995" s="361">
        <v>42171</v>
      </c>
      <c r="V1995" s="360" t="str">
        <f t="shared" si="68"/>
        <v>terça-feira</v>
      </c>
    </row>
    <row r="1996" spans="19:22">
      <c r="S1996" s="357">
        <v>43509</v>
      </c>
      <c r="T1996" s="359" t="str">
        <f t="shared" si="69"/>
        <v>quarta-feira</v>
      </c>
      <c r="U1996" s="361">
        <v>42172</v>
      </c>
      <c r="V1996" s="360" t="str">
        <f t="shared" si="68"/>
        <v>quarta-feira</v>
      </c>
    </row>
    <row r="1997" spans="19:22">
      <c r="S1997" s="357">
        <v>43510</v>
      </c>
      <c r="T1997" s="359" t="str">
        <f t="shared" si="69"/>
        <v>quinta-feira</v>
      </c>
      <c r="U1997" s="361">
        <v>42173</v>
      </c>
      <c r="V1997" s="360" t="str">
        <f t="shared" si="68"/>
        <v>quinta-feira</v>
      </c>
    </row>
    <row r="1998" spans="19:22">
      <c r="S1998" s="357">
        <v>43511</v>
      </c>
      <c r="T1998" s="359" t="str">
        <f t="shared" si="69"/>
        <v>sexta-feira</v>
      </c>
      <c r="U1998" s="361">
        <v>42174</v>
      </c>
      <c r="V1998" s="360" t="str">
        <f t="shared" si="68"/>
        <v>sexta-feira</v>
      </c>
    </row>
    <row r="1999" spans="19:22">
      <c r="S1999" s="357">
        <v>43512</v>
      </c>
      <c r="T1999" s="359" t="str">
        <f t="shared" si="69"/>
        <v>sábado</v>
      </c>
      <c r="U1999" s="361">
        <v>42175</v>
      </c>
      <c r="V1999" s="360" t="str">
        <f t="shared" si="68"/>
        <v>sábado</v>
      </c>
    </row>
    <row r="2000" spans="19:22">
      <c r="S2000" s="357">
        <v>43513</v>
      </c>
      <c r="T2000" s="359" t="str">
        <f t="shared" si="69"/>
        <v>domingo</v>
      </c>
      <c r="U2000" s="361">
        <v>42176</v>
      </c>
      <c r="V2000" s="360" t="str">
        <f t="shared" si="68"/>
        <v>domingo</v>
      </c>
    </row>
    <row r="2001" spans="19:22">
      <c r="S2001" s="357">
        <v>43514</v>
      </c>
      <c r="T2001" s="359" t="str">
        <f t="shared" si="69"/>
        <v>segunda-feira</v>
      </c>
      <c r="U2001" s="361">
        <v>42177</v>
      </c>
      <c r="V2001" s="360" t="str">
        <f t="shared" si="68"/>
        <v>segunda-feira</v>
      </c>
    </row>
    <row r="2002" spans="19:22">
      <c r="S2002" s="357">
        <v>43515</v>
      </c>
      <c r="T2002" s="359" t="str">
        <f t="shared" si="69"/>
        <v>terça-feira</v>
      </c>
      <c r="U2002" s="361">
        <v>42178</v>
      </c>
      <c r="V2002" s="360" t="str">
        <f t="shared" si="68"/>
        <v>terça-feira</v>
      </c>
    </row>
    <row r="2003" spans="19:22">
      <c r="S2003" s="357">
        <v>43516</v>
      </c>
      <c r="T2003" s="359" t="str">
        <f t="shared" si="69"/>
        <v>quarta-feira</v>
      </c>
      <c r="U2003" s="361">
        <v>42179</v>
      </c>
      <c r="V2003" s="360" t="str">
        <f t="shared" si="68"/>
        <v>quarta-feira</v>
      </c>
    </row>
    <row r="2004" spans="19:22">
      <c r="S2004" s="357">
        <v>43517</v>
      </c>
      <c r="T2004" s="359" t="str">
        <f t="shared" si="69"/>
        <v>quinta-feira</v>
      </c>
      <c r="U2004" s="361">
        <v>42180</v>
      </c>
      <c r="V2004" s="360" t="str">
        <f t="shared" si="68"/>
        <v>quinta-feira</v>
      </c>
    </row>
    <row r="2005" spans="19:22">
      <c r="S2005" s="357">
        <v>43518</v>
      </c>
      <c r="T2005" s="359" t="str">
        <f t="shared" si="69"/>
        <v>sexta-feira</v>
      </c>
      <c r="U2005" s="361">
        <v>42181</v>
      </c>
      <c r="V2005" s="360" t="str">
        <f t="shared" si="68"/>
        <v>sexta-feira</v>
      </c>
    </row>
    <row r="2006" spans="19:22">
      <c r="S2006" s="357">
        <v>43519</v>
      </c>
      <c r="T2006" s="359" t="str">
        <f t="shared" si="69"/>
        <v>sábado</v>
      </c>
      <c r="U2006" s="361">
        <v>42182</v>
      </c>
      <c r="V2006" s="360" t="str">
        <f t="shared" si="68"/>
        <v>sábado</v>
      </c>
    </row>
    <row r="2007" spans="19:22">
      <c r="S2007" s="357">
        <v>43520</v>
      </c>
      <c r="T2007" s="359" t="str">
        <f t="shared" si="69"/>
        <v>domingo</v>
      </c>
      <c r="U2007" s="361">
        <v>42183</v>
      </c>
      <c r="V2007" s="360" t="str">
        <f t="shared" si="68"/>
        <v>domingo</v>
      </c>
    </row>
    <row r="2008" spans="19:22">
      <c r="S2008" s="357">
        <v>43521</v>
      </c>
      <c r="T2008" s="359" t="str">
        <f t="shared" si="69"/>
        <v>segunda-feira</v>
      </c>
      <c r="U2008" s="361">
        <v>42184</v>
      </c>
      <c r="V2008" s="360" t="str">
        <f t="shared" si="68"/>
        <v>segunda-feira</v>
      </c>
    </row>
    <row r="2009" spans="19:22">
      <c r="S2009" s="357">
        <v>43522</v>
      </c>
      <c r="T2009" s="359" t="str">
        <f t="shared" si="69"/>
        <v>terça-feira</v>
      </c>
      <c r="U2009" s="361">
        <v>42185</v>
      </c>
      <c r="V2009" s="360" t="str">
        <f t="shared" si="68"/>
        <v>terça-feira</v>
      </c>
    </row>
    <row r="2010" spans="19:22">
      <c r="S2010" s="357">
        <v>43523</v>
      </c>
      <c r="T2010" s="359" t="str">
        <f t="shared" si="69"/>
        <v>quarta-feira</v>
      </c>
      <c r="U2010" s="361">
        <v>42186</v>
      </c>
      <c r="V2010" s="360" t="str">
        <f t="shared" si="68"/>
        <v>quarta-feira</v>
      </c>
    </row>
    <row r="2011" spans="19:22">
      <c r="S2011" s="357">
        <v>43524</v>
      </c>
      <c r="T2011" s="359" t="str">
        <f t="shared" si="69"/>
        <v>quinta-feira</v>
      </c>
      <c r="U2011" s="361">
        <v>42187</v>
      </c>
      <c r="V2011" s="360" t="str">
        <f t="shared" si="68"/>
        <v>quinta-feira</v>
      </c>
    </row>
    <row r="2012" spans="19:22">
      <c r="S2012" s="357">
        <v>43525</v>
      </c>
      <c r="T2012" s="359" t="str">
        <f t="shared" si="69"/>
        <v>sexta-feira</v>
      </c>
      <c r="U2012" s="361">
        <v>42188</v>
      </c>
      <c r="V2012" s="360" t="str">
        <f t="shared" si="68"/>
        <v>sexta-feira</v>
      </c>
    </row>
    <row r="2013" spans="19:22">
      <c r="S2013" s="357">
        <v>43526</v>
      </c>
      <c r="T2013" s="359" t="str">
        <f t="shared" si="69"/>
        <v>sábado</v>
      </c>
      <c r="U2013" s="361">
        <v>42189</v>
      </c>
      <c r="V2013" s="360" t="str">
        <f t="shared" si="68"/>
        <v>sábado</v>
      </c>
    </row>
    <row r="2014" spans="19:22">
      <c r="S2014" s="357">
        <v>43527</v>
      </c>
      <c r="T2014" s="359" t="str">
        <f t="shared" si="69"/>
        <v>domingo</v>
      </c>
      <c r="U2014" s="361">
        <v>42190</v>
      </c>
      <c r="V2014" s="360" t="str">
        <f t="shared" si="68"/>
        <v>domingo</v>
      </c>
    </row>
    <row r="2015" spans="19:22">
      <c r="S2015" s="357">
        <v>43528</v>
      </c>
      <c r="T2015" s="359" t="str">
        <f t="shared" si="69"/>
        <v>segunda-feira</v>
      </c>
      <c r="U2015" s="361">
        <v>42191</v>
      </c>
      <c r="V2015" s="360" t="str">
        <f t="shared" si="68"/>
        <v>segunda-feira</v>
      </c>
    </row>
    <row r="2016" spans="19:22">
      <c r="S2016" s="357">
        <v>43529</v>
      </c>
      <c r="T2016" s="359" t="str">
        <f t="shared" si="69"/>
        <v>terça-feira</v>
      </c>
      <c r="U2016" s="361">
        <v>42192</v>
      </c>
      <c r="V2016" s="360" t="str">
        <f t="shared" si="68"/>
        <v>terça-feira</v>
      </c>
    </row>
    <row r="2017" spans="19:22">
      <c r="S2017" s="357">
        <v>43530</v>
      </c>
      <c r="T2017" s="359" t="str">
        <f t="shared" si="69"/>
        <v>quarta-feira</v>
      </c>
      <c r="U2017" s="361">
        <v>42193</v>
      </c>
      <c r="V2017" s="360" t="str">
        <f t="shared" si="68"/>
        <v>quarta-feira</v>
      </c>
    </row>
    <row r="2018" spans="19:22">
      <c r="S2018" s="357">
        <v>43531</v>
      </c>
      <c r="T2018" s="359" t="str">
        <f t="shared" si="69"/>
        <v>quinta-feira</v>
      </c>
      <c r="U2018" s="361">
        <v>42194</v>
      </c>
      <c r="V2018" s="360" t="str">
        <f t="shared" si="68"/>
        <v>quinta-feira</v>
      </c>
    </row>
    <row r="2019" spans="19:22">
      <c r="S2019" s="357">
        <v>43532</v>
      </c>
      <c r="T2019" s="359" t="str">
        <f t="shared" si="69"/>
        <v>sexta-feira</v>
      </c>
      <c r="U2019" s="361">
        <v>42195</v>
      </c>
      <c r="V2019" s="360" t="str">
        <f t="shared" si="68"/>
        <v>sexta-feira</v>
      </c>
    </row>
    <row r="2020" spans="19:22">
      <c r="S2020" s="357">
        <v>43533</v>
      </c>
      <c r="T2020" s="359" t="str">
        <f t="shared" si="69"/>
        <v>sábado</v>
      </c>
      <c r="U2020" s="361">
        <v>42196</v>
      </c>
      <c r="V2020" s="360" t="str">
        <f t="shared" si="68"/>
        <v>sábado</v>
      </c>
    </row>
    <row r="2021" spans="19:22">
      <c r="S2021" s="357">
        <v>43534</v>
      </c>
      <c r="T2021" s="359" t="str">
        <f t="shared" si="69"/>
        <v>domingo</v>
      </c>
      <c r="U2021" s="361">
        <v>42197</v>
      </c>
      <c r="V2021" s="360" t="str">
        <f t="shared" si="68"/>
        <v>domingo</v>
      </c>
    </row>
    <row r="2022" spans="19:22">
      <c r="S2022" s="357">
        <v>43535</v>
      </c>
      <c r="T2022" s="359" t="str">
        <f t="shared" si="69"/>
        <v>segunda-feira</v>
      </c>
      <c r="U2022" s="361">
        <v>42198</v>
      </c>
      <c r="V2022" s="360" t="str">
        <f t="shared" si="68"/>
        <v>segunda-feira</v>
      </c>
    </row>
    <row r="2023" spans="19:22">
      <c r="S2023" s="357">
        <v>43536</v>
      </c>
      <c r="T2023" s="359" t="str">
        <f t="shared" si="69"/>
        <v>terça-feira</v>
      </c>
      <c r="U2023" s="361">
        <v>42199</v>
      </c>
      <c r="V2023" s="360" t="str">
        <f t="shared" si="68"/>
        <v>terça-feira</v>
      </c>
    </row>
    <row r="2024" spans="19:22">
      <c r="S2024" s="357">
        <v>43537</v>
      </c>
      <c r="T2024" s="359" t="str">
        <f t="shared" si="69"/>
        <v>quarta-feira</v>
      </c>
      <c r="U2024" s="361">
        <v>42200</v>
      </c>
      <c r="V2024" s="360" t="str">
        <f t="shared" si="68"/>
        <v>quarta-feira</v>
      </c>
    </row>
    <row r="2025" spans="19:22">
      <c r="S2025" s="357">
        <v>43538</v>
      </c>
      <c r="T2025" s="359" t="str">
        <f t="shared" si="69"/>
        <v>quinta-feira</v>
      </c>
      <c r="U2025" s="361">
        <v>42201</v>
      </c>
      <c r="V2025" s="360" t="str">
        <f t="shared" ref="V2025:V2088" si="70">TEXT(U2025,"dddd")</f>
        <v>quinta-feira</v>
      </c>
    </row>
    <row r="2026" spans="19:22">
      <c r="S2026" s="357">
        <v>43539</v>
      </c>
      <c r="T2026" s="359" t="str">
        <f t="shared" si="69"/>
        <v>sexta-feira</v>
      </c>
      <c r="U2026" s="361">
        <v>42202</v>
      </c>
      <c r="V2026" s="360" t="str">
        <f t="shared" si="70"/>
        <v>sexta-feira</v>
      </c>
    </row>
    <row r="2027" spans="19:22">
      <c r="S2027" s="357">
        <v>43540</v>
      </c>
      <c r="T2027" s="359" t="str">
        <f t="shared" si="69"/>
        <v>sábado</v>
      </c>
      <c r="U2027" s="361">
        <v>42203</v>
      </c>
      <c r="V2027" s="360" t="str">
        <f t="shared" si="70"/>
        <v>sábado</v>
      </c>
    </row>
    <row r="2028" spans="19:22">
      <c r="S2028" s="357">
        <v>43541</v>
      </c>
      <c r="T2028" s="359" t="str">
        <f t="shared" si="69"/>
        <v>domingo</v>
      </c>
      <c r="U2028" s="361">
        <v>42204</v>
      </c>
      <c r="V2028" s="360" t="str">
        <f t="shared" si="70"/>
        <v>domingo</v>
      </c>
    </row>
    <row r="2029" spans="19:22">
      <c r="S2029" s="357">
        <v>43542</v>
      </c>
      <c r="T2029" s="359" t="str">
        <f t="shared" si="69"/>
        <v>segunda-feira</v>
      </c>
      <c r="U2029" s="361">
        <v>42205</v>
      </c>
      <c r="V2029" s="360" t="str">
        <f t="shared" si="70"/>
        <v>segunda-feira</v>
      </c>
    </row>
    <row r="2030" spans="19:22">
      <c r="S2030" s="357">
        <v>43543</v>
      </c>
      <c r="T2030" s="359" t="str">
        <f t="shared" si="69"/>
        <v>terça-feira</v>
      </c>
      <c r="U2030" s="361">
        <v>42206</v>
      </c>
      <c r="V2030" s="360" t="str">
        <f t="shared" si="70"/>
        <v>terça-feira</v>
      </c>
    </row>
    <row r="2031" spans="19:22">
      <c r="S2031" s="357">
        <v>43544</v>
      </c>
      <c r="T2031" s="359" t="str">
        <f t="shared" si="69"/>
        <v>quarta-feira</v>
      </c>
      <c r="U2031" s="361">
        <v>42207</v>
      </c>
      <c r="V2031" s="360" t="str">
        <f t="shared" si="70"/>
        <v>quarta-feira</v>
      </c>
    </row>
    <row r="2032" spans="19:22">
      <c r="S2032" s="357">
        <v>43545</v>
      </c>
      <c r="T2032" s="359" t="str">
        <f t="shared" si="69"/>
        <v>quinta-feira</v>
      </c>
      <c r="U2032" s="361">
        <v>42208</v>
      </c>
      <c r="V2032" s="360" t="str">
        <f t="shared" si="70"/>
        <v>quinta-feira</v>
      </c>
    </row>
    <row r="2033" spans="19:22">
      <c r="S2033" s="357">
        <v>43546</v>
      </c>
      <c r="T2033" s="359" t="str">
        <f t="shared" si="69"/>
        <v>sexta-feira</v>
      </c>
      <c r="U2033" s="361">
        <v>42209</v>
      </c>
      <c r="V2033" s="360" t="str">
        <f t="shared" si="70"/>
        <v>sexta-feira</v>
      </c>
    </row>
    <row r="2034" spans="19:22">
      <c r="S2034" s="357">
        <v>43547</v>
      </c>
      <c r="T2034" s="359" t="str">
        <f t="shared" si="69"/>
        <v>sábado</v>
      </c>
      <c r="U2034" s="361">
        <v>42210</v>
      </c>
      <c r="V2034" s="360" t="str">
        <f t="shared" si="70"/>
        <v>sábado</v>
      </c>
    </row>
    <row r="2035" spans="19:22">
      <c r="S2035" s="357">
        <v>43548</v>
      </c>
      <c r="T2035" s="359" t="str">
        <f t="shared" si="69"/>
        <v>domingo</v>
      </c>
      <c r="U2035" s="361">
        <v>42211</v>
      </c>
      <c r="V2035" s="360" t="str">
        <f t="shared" si="70"/>
        <v>domingo</v>
      </c>
    </row>
    <row r="2036" spans="19:22">
      <c r="S2036" s="357">
        <v>43549</v>
      </c>
      <c r="T2036" s="359" t="str">
        <f t="shared" si="69"/>
        <v>segunda-feira</v>
      </c>
      <c r="U2036" s="361">
        <v>42212</v>
      </c>
      <c r="V2036" s="360" t="str">
        <f t="shared" si="70"/>
        <v>segunda-feira</v>
      </c>
    </row>
    <row r="2037" spans="19:22">
      <c r="S2037" s="357">
        <v>43550</v>
      </c>
      <c r="T2037" s="359" t="str">
        <f t="shared" si="69"/>
        <v>terça-feira</v>
      </c>
      <c r="U2037" s="361">
        <v>42213</v>
      </c>
      <c r="V2037" s="360" t="str">
        <f t="shared" si="70"/>
        <v>terça-feira</v>
      </c>
    </row>
    <row r="2038" spans="19:22">
      <c r="S2038" s="357">
        <v>43551</v>
      </c>
      <c r="T2038" s="359" t="str">
        <f t="shared" si="69"/>
        <v>quarta-feira</v>
      </c>
      <c r="U2038" s="361">
        <v>42214</v>
      </c>
      <c r="V2038" s="360" t="str">
        <f t="shared" si="70"/>
        <v>quarta-feira</v>
      </c>
    </row>
    <row r="2039" spans="19:22">
      <c r="S2039" s="357">
        <v>43552</v>
      </c>
      <c r="T2039" s="359" t="str">
        <f t="shared" ref="T2039:T2102" si="71">TEXT(S2039,"dddd")</f>
        <v>quinta-feira</v>
      </c>
      <c r="U2039" s="361">
        <v>42215</v>
      </c>
      <c r="V2039" s="360" t="str">
        <f t="shared" si="70"/>
        <v>quinta-feira</v>
      </c>
    </row>
    <row r="2040" spans="19:22">
      <c r="S2040" s="357">
        <v>43553</v>
      </c>
      <c r="T2040" s="359" t="str">
        <f t="shared" si="71"/>
        <v>sexta-feira</v>
      </c>
      <c r="U2040" s="361">
        <v>42216</v>
      </c>
      <c r="V2040" s="360" t="str">
        <f t="shared" si="70"/>
        <v>sexta-feira</v>
      </c>
    </row>
    <row r="2041" spans="19:22">
      <c r="S2041" s="357">
        <v>43554</v>
      </c>
      <c r="T2041" s="359" t="str">
        <f t="shared" si="71"/>
        <v>sábado</v>
      </c>
      <c r="U2041" s="361">
        <v>42217</v>
      </c>
      <c r="V2041" s="360" t="str">
        <f t="shared" si="70"/>
        <v>sábado</v>
      </c>
    </row>
    <row r="2042" spans="19:22">
      <c r="S2042" s="357">
        <v>43555</v>
      </c>
      <c r="T2042" s="359" t="str">
        <f t="shared" si="71"/>
        <v>domingo</v>
      </c>
      <c r="U2042" s="361">
        <v>42218</v>
      </c>
      <c r="V2042" s="360" t="str">
        <f t="shared" si="70"/>
        <v>domingo</v>
      </c>
    </row>
    <row r="2043" spans="19:22">
      <c r="S2043" s="357">
        <v>43556</v>
      </c>
      <c r="T2043" s="359" t="str">
        <f t="shared" si="71"/>
        <v>segunda-feira</v>
      </c>
      <c r="U2043" s="361">
        <v>42219</v>
      </c>
      <c r="V2043" s="360" t="str">
        <f t="shared" si="70"/>
        <v>segunda-feira</v>
      </c>
    </row>
    <row r="2044" spans="19:22">
      <c r="S2044" s="357">
        <v>43557</v>
      </c>
      <c r="T2044" s="359" t="str">
        <f t="shared" si="71"/>
        <v>terça-feira</v>
      </c>
      <c r="U2044" s="361">
        <v>42220</v>
      </c>
      <c r="V2044" s="360" t="str">
        <f t="shared" si="70"/>
        <v>terça-feira</v>
      </c>
    </row>
    <row r="2045" spans="19:22">
      <c r="S2045" s="357">
        <v>43558</v>
      </c>
      <c r="T2045" s="359" t="str">
        <f t="shared" si="71"/>
        <v>quarta-feira</v>
      </c>
      <c r="U2045" s="361">
        <v>42221</v>
      </c>
      <c r="V2045" s="360" t="str">
        <f t="shared" si="70"/>
        <v>quarta-feira</v>
      </c>
    </row>
    <row r="2046" spans="19:22">
      <c r="S2046" s="357">
        <v>43559</v>
      </c>
      <c r="T2046" s="359" t="str">
        <f t="shared" si="71"/>
        <v>quinta-feira</v>
      </c>
      <c r="U2046" s="361">
        <v>42222</v>
      </c>
      <c r="V2046" s="360" t="str">
        <f t="shared" si="70"/>
        <v>quinta-feira</v>
      </c>
    </row>
    <row r="2047" spans="19:22">
      <c r="S2047" s="357">
        <v>43560</v>
      </c>
      <c r="T2047" s="359" t="str">
        <f t="shared" si="71"/>
        <v>sexta-feira</v>
      </c>
      <c r="U2047" s="361">
        <v>42223</v>
      </c>
      <c r="V2047" s="360" t="str">
        <f t="shared" si="70"/>
        <v>sexta-feira</v>
      </c>
    </row>
    <row r="2048" spans="19:22">
      <c r="S2048" s="357">
        <v>43561</v>
      </c>
      <c r="T2048" s="359" t="str">
        <f t="shared" si="71"/>
        <v>sábado</v>
      </c>
      <c r="U2048" s="361">
        <v>42224</v>
      </c>
      <c r="V2048" s="360" t="str">
        <f t="shared" si="70"/>
        <v>sábado</v>
      </c>
    </row>
    <row r="2049" spans="19:22">
      <c r="S2049" s="357">
        <v>43562</v>
      </c>
      <c r="T2049" s="359" t="str">
        <f t="shared" si="71"/>
        <v>domingo</v>
      </c>
      <c r="U2049" s="361">
        <v>42225</v>
      </c>
      <c r="V2049" s="360" t="str">
        <f t="shared" si="70"/>
        <v>domingo</v>
      </c>
    </row>
    <row r="2050" spans="19:22">
      <c r="S2050" s="357">
        <v>43563</v>
      </c>
      <c r="T2050" s="359" t="str">
        <f t="shared" si="71"/>
        <v>segunda-feira</v>
      </c>
      <c r="U2050" s="361">
        <v>42226</v>
      </c>
      <c r="V2050" s="360" t="str">
        <f t="shared" si="70"/>
        <v>segunda-feira</v>
      </c>
    </row>
    <row r="2051" spans="19:22">
      <c r="S2051" s="357">
        <v>43564</v>
      </c>
      <c r="T2051" s="359" t="str">
        <f t="shared" si="71"/>
        <v>terça-feira</v>
      </c>
      <c r="U2051" s="361">
        <v>42227</v>
      </c>
      <c r="V2051" s="360" t="str">
        <f t="shared" si="70"/>
        <v>terça-feira</v>
      </c>
    </row>
    <row r="2052" spans="19:22">
      <c r="S2052" s="357">
        <v>43565</v>
      </c>
      <c r="T2052" s="359" t="str">
        <f t="shared" si="71"/>
        <v>quarta-feira</v>
      </c>
      <c r="U2052" s="361">
        <v>42228</v>
      </c>
      <c r="V2052" s="360" t="str">
        <f t="shared" si="70"/>
        <v>quarta-feira</v>
      </c>
    </row>
    <row r="2053" spans="19:22">
      <c r="S2053" s="357">
        <v>43566</v>
      </c>
      <c r="T2053" s="359" t="str">
        <f t="shared" si="71"/>
        <v>quinta-feira</v>
      </c>
      <c r="U2053" s="361">
        <v>42229</v>
      </c>
      <c r="V2053" s="360" t="str">
        <f t="shared" si="70"/>
        <v>quinta-feira</v>
      </c>
    </row>
    <row r="2054" spans="19:22">
      <c r="S2054" s="357">
        <v>43567</v>
      </c>
      <c r="T2054" s="359" t="str">
        <f t="shared" si="71"/>
        <v>sexta-feira</v>
      </c>
      <c r="U2054" s="361">
        <v>42230</v>
      </c>
      <c r="V2054" s="360" t="str">
        <f t="shared" si="70"/>
        <v>sexta-feira</v>
      </c>
    </row>
    <row r="2055" spans="19:22">
      <c r="S2055" s="357">
        <v>43568</v>
      </c>
      <c r="T2055" s="359" t="str">
        <f t="shared" si="71"/>
        <v>sábado</v>
      </c>
      <c r="U2055" s="361">
        <v>42231</v>
      </c>
      <c r="V2055" s="360" t="str">
        <f t="shared" si="70"/>
        <v>sábado</v>
      </c>
    </row>
    <row r="2056" spans="19:22">
      <c r="S2056" s="357">
        <v>43569</v>
      </c>
      <c r="T2056" s="359" t="str">
        <f t="shared" si="71"/>
        <v>domingo</v>
      </c>
      <c r="U2056" s="361">
        <v>42232</v>
      </c>
      <c r="V2056" s="360" t="str">
        <f t="shared" si="70"/>
        <v>domingo</v>
      </c>
    </row>
    <row r="2057" spans="19:22">
      <c r="S2057" s="357">
        <v>43570</v>
      </c>
      <c r="T2057" s="359" t="str">
        <f t="shared" si="71"/>
        <v>segunda-feira</v>
      </c>
      <c r="U2057" s="361">
        <v>42233</v>
      </c>
      <c r="V2057" s="360" t="str">
        <f t="shared" si="70"/>
        <v>segunda-feira</v>
      </c>
    </row>
    <row r="2058" spans="19:22">
      <c r="S2058" s="357">
        <v>43571</v>
      </c>
      <c r="T2058" s="359" t="str">
        <f t="shared" si="71"/>
        <v>terça-feira</v>
      </c>
      <c r="U2058" s="361">
        <v>42234</v>
      </c>
      <c r="V2058" s="360" t="str">
        <f t="shared" si="70"/>
        <v>terça-feira</v>
      </c>
    </row>
    <row r="2059" spans="19:22">
      <c r="S2059" s="357">
        <v>43572</v>
      </c>
      <c r="T2059" s="359" t="str">
        <f t="shared" si="71"/>
        <v>quarta-feira</v>
      </c>
      <c r="U2059" s="361">
        <v>42235</v>
      </c>
      <c r="V2059" s="360" t="str">
        <f t="shared" si="70"/>
        <v>quarta-feira</v>
      </c>
    </row>
    <row r="2060" spans="19:22">
      <c r="S2060" s="357">
        <v>43573</v>
      </c>
      <c r="T2060" s="359" t="str">
        <f t="shared" si="71"/>
        <v>quinta-feira</v>
      </c>
      <c r="U2060" s="361">
        <v>42236</v>
      </c>
      <c r="V2060" s="360" t="str">
        <f t="shared" si="70"/>
        <v>quinta-feira</v>
      </c>
    </row>
    <row r="2061" spans="19:22">
      <c r="S2061" s="357">
        <v>43574</v>
      </c>
      <c r="T2061" s="359" t="str">
        <f t="shared" si="71"/>
        <v>sexta-feira</v>
      </c>
      <c r="U2061" s="361">
        <v>42237</v>
      </c>
      <c r="V2061" s="360" t="str">
        <f t="shared" si="70"/>
        <v>sexta-feira</v>
      </c>
    </row>
    <row r="2062" spans="19:22">
      <c r="S2062" s="357">
        <v>43575</v>
      </c>
      <c r="T2062" s="359" t="str">
        <f t="shared" si="71"/>
        <v>sábado</v>
      </c>
      <c r="U2062" s="361">
        <v>42238</v>
      </c>
      <c r="V2062" s="360" t="str">
        <f t="shared" si="70"/>
        <v>sábado</v>
      </c>
    </row>
    <row r="2063" spans="19:22">
      <c r="S2063" s="357">
        <v>43576</v>
      </c>
      <c r="T2063" s="359" t="str">
        <f t="shared" si="71"/>
        <v>domingo</v>
      </c>
      <c r="U2063" s="361">
        <v>42239</v>
      </c>
      <c r="V2063" s="360" t="str">
        <f t="shared" si="70"/>
        <v>domingo</v>
      </c>
    </row>
    <row r="2064" spans="19:22">
      <c r="S2064" s="357">
        <v>43577</v>
      </c>
      <c r="T2064" s="359" t="str">
        <f t="shared" si="71"/>
        <v>segunda-feira</v>
      </c>
      <c r="U2064" s="361">
        <v>42240</v>
      </c>
      <c r="V2064" s="360" t="str">
        <f t="shared" si="70"/>
        <v>segunda-feira</v>
      </c>
    </row>
    <row r="2065" spans="19:22">
      <c r="S2065" s="357">
        <v>43578</v>
      </c>
      <c r="T2065" s="359" t="str">
        <f t="shared" si="71"/>
        <v>terça-feira</v>
      </c>
      <c r="U2065" s="361">
        <v>42241</v>
      </c>
      <c r="V2065" s="360" t="str">
        <f t="shared" si="70"/>
        <v>terça-feira</v>
      </c>
    </row>
    <row r="2066" spans="19:22">
      <c r="S2066" s="357">
        <v>43579</v>
      </c>
      <c r="T2066" s="359" t="str">
        <f t="shared" si="71"/>
        <v>quarta-feira</v>
      </c>
      <c r="U2066" s="361">
        <v>42242</v>
      </c>
      <c r="V2066" s="360" t="str">
        <f t="shared" si="70"/>
        <v>quarta-feira</v>
      </c>
    </row>
    <row r="2067" spans="19:22">
      <c r="S2067" s="357">
        <v>43580</v>
      </c>
      <c r="T2067" s="359" t="str">
        <f t="shared" si="71"/>
        <v>quinta-feira</v>
      </c>
      <c r="U2067" s="361">
        <v>42243</v>
      </c>
      <c r="V2067" s="360" t="str">
        <f t="shared" si="70"/>
        <v>quinta-feira</v>
      </c>
    </row>
    <row r="2068" spans="19:22">
      <c r="S2068" s="357">
        <v>43581</v>
      </c>
      <c r="T2068" s="359" t="str">
        <f t="shared" si="71"/>
        <v>sexta-feira</v>
      </c>
      <c r="U2068" s="361">
        <v>42244</v>
      </c>
      <c r="V2068" s="360" t="str">
        <f t="shared" si="70"/>
        <v>sexta-feira</v>
      </c>
    </row>
    <row r="2069" spans="19:22">
      <c r="S2069" s="357">
        <v>43582</v>
      </c>
      <c r="T2069" s="359" t="str">
        <f t="shared" si="71"/>
        <v>sábado</v>
      </c>
      <c r="U2069" s="361">
        <v>42245</v>
      </c>
      <c r="V2069" s="360" t="str">
        <f t="shared" si="70"/>
        <v>sábado</v>
      </c>
    </row>
    <row r="2070" spans="19:22">
      <c r="S2070" s="357">
        <v>43583</v>
      </c>
      <c r="T2070" s="359" t="str">
        <f t="shared" si="71"/>
        <v>domingo</v>
      </c>
      <c r="U2070" s="361">
        <v>42246</v>
      </c>
      <c r="V2070" s="360" t="str">
        <f t="shared" si="70"/>
        <v>domingo</v>
      </c>
    </row>
    <row r="2071" spans="19:22">
      <c r="S2071" s="357">
        <v>43584</v>
      </c>
      <c r="T2071" s="359" t="str">
        <f t="shared" si="71"/>
        <v>segunda-feira</v>
      </c>
      <c r="U2071" s="361">
        <v>42247</v>
      </c>
      <c r="V2071" s="360" t="str">
        <f t="shared" si="70"/>
        <v>segunda-feira</v>
      </c>
    </row>
    <row r="2072" spans="19:22">
      <c r="S2072" s="357">
        <v>43585</v>
      </c>
      <c r="T2072" s="359" t="str">
        <f t="shared" si="71"/>
        <v>terça-feira</v>
      </c>
      <c r="U2072" s="361">
        <v>42248</v>
      </c>
      <c r="V2072" s="360" t="str">
        <f t="shared" si="70"/>
        <v>terça-feira</v>
      </c>
    </row>
    <row r="2073" spans="19:22">
      <c r="S2073" s="357">
        <v>43586</v>
      </c>
      <c r="T2073" s="359" t="str">
        <f t="shared" si="71"/>
        <v>quarta-feira</v>
      </c>
      <c r="U2073" s="361">
        <v>42249</v>
      </c>
      <c r="V2073" s="360" t="str">
        <f t="shared" si="70"/>
        <v>quarta-feira</v>
      </c>
    </row>
    <row r="2074" spans="19:22">
      <c r="S2074" s="357">
        <v>43587</v>
      </c>
      <c r="T2074" s="359" t="str">
        <f t="shared" si="71"/>
        <v>quinta-feira</v>
      </c>
      <c r="U2074" s="361">
        <v>42250</v>
      </c>
      <c r="V2074" s="360" t="str">
        <f t="shared" si="70"/>
        <v>quinta-feira</v>
      </c>
    </row>
    <row r="2075" spans="19:22">
      <c r="S2075" s="357">
        <v>43588</v>
      </c>
      <c r="T2075" s="359" t="str">
        <f t="shared" si="71"/>
        <v>sexta-feira</v>
      </c>
      <c r="U2075" s="361">
        <v>42251</v>
      </c>
      <c r="V2075" s="360" t="str">
        <f t="shared" si="70"/>
        <v>sexta-feira</v>
      </c>
    </row>
    <row r="2076" spans="19:22">
      <c r="S2076" s="357">
        <v>43589</v>
      </c>
      <c r="T2076" s="359" t="str">
        <f t="shared" si="71"/>
        <v>sábado</v>
      </c>
      <c r="U2076" s="361">
        <v>42252</v>
      </c>
      <c r="V2076" s="360" t="str">
        <f t="shared" si="70"/>
        <v>sábado</v>
      </c>
    </row>
    <row r="2077" spans="19:22">
      <c r="S2077" s="357">
        <v>43590</v>
      </c>
      <c r="T2077" s="359" t="str">
        <f t="shared" si="71"/>
        <v>domingo</v>
      </c>
      <c r="U2077" s="361">
        <v>42253</v>
      </c>
      <c r="V2077" s="360" t="str">
        <f t="shared" si="70"/>
        <v>domingo</v>
      </c>
    </row>
    <row r="2078" spans="19:22">
      <c r="S2078" s="357">
        <v>43591</v>
      </c>
      <c r="T2078" s="359" t="str">
        <f t="shared" si="71"/>
        <v>segunda-feira</v>
      </c>
      <c r="U2078" s="361">
        <v>42254</v>
      </c>
      <c r="V2078" s="360" t="str">
        <f t="shared" si="70"/>
        <v>segunda-feira</v>
      </c>
    </row>
    <row r="2079" spans="19:22">
      <c r="S2079" s="357">
        <v>43592</v>
      </c>
      <c r="T2079" s="359" t="str">
        <f t="shared" si="71"/>
        <v>terça-feira</v>
      </c>
      <c r="U2079" s="361">
        <v>42255</v>
      </c>
      <c r="V2079" s="360" t="str">
        <f t="shared" si="70"/>
        <v>terça-feira</v>
      </c>
    </row>
    <row r="2080" spans="19:22">
      <c r="S2080" s="357">
        <v>43593</v>
      </c>
      <c r="T2080" s="359" t="str">
        <f t="shared" si="71"/>
        <v>quarta-feira</v>
      </c>
      <c r="U2080" s="361">
        <v>42256</v>
      </c>
      <c r="V2080" s="360" t="str">
        <f t="shared" si="70"/>
        <v>quarta-feira</v>
      </c>
    </row>
    <row r="2081" spans="19:22">
      <c r="S2081" s="357">
        <v>43594</v>
      </c>
      <c r="T2081" s="359" t="str">
        <f t="shared" si="71"/>
        <v>quinta-feira</v>
      </c>
      <c r="U2081" s="361">
        <v>42257</v>
      </c>
      <c r="V2081" s="360" t="str">
        <f t="shared" si="70"/>
        <v>quinta-feira</v>
      </c>
    </row>
    <row r="2082" spans="19:22">
      <c r="S2082" s="357">
        <v>43595</v>
      </c>
      <c r="T2082" s="359" t="str">
        <f t="shared" si="71"/>
        <v>sexta-feira</v>
      </c>
      <c r="U2082" s="361">
        <v>42258</v>
      </c>
      <c r="V2082" s="360" t="str">
        <f t="shared" si="70"/>
        <v>sexta-feira</v>
      </c>
    </row>
    <row r="2083" spans="19:22">
      <c r="S2083" s="357">
        <v>43596</v>
      </c>
      <c r="T2083" s="359" t="str">
        <f t="shared" si="71"/>
        <v>sábado</v>
      </c>
      <c r="U2083" s="361">
        <v>42259</v>
      </c>
      <c r="V2083" s="360" t="str">
        <f t="shared" si="70"/>
        <v>sábado</v>
      </c>
    </row>
    <row r="2084" spans="19:22">
      <c r="S2084" s="357">
        <v>43597</v>
      </c>
      <c r="T2084" s="359" t="str">
        <f t="shared" si="71"/>
        <v>domingo</v>
      </c>
      <c r="U2084" s="361">
        <v>42260</v>
      </c>
      <c r="V2084" s="360" t="str">
        <f t="shared" si="70"/>
        <v>domingo</v>
      </c>
    </row>
    <row r="2085" spans="19:22">
      <c r="S2085" s="357">
        <v>43598</v>
      </c>
      <c r="T2085" s="359" t="str">
        <f t="shared" si="71"/>
        <v>segunda-feira</v>
      </c>
      <c r="U2085" s="361">
        <v>42261</v>
      </c>
      <c r="V2085" s="360" t="str">
        <f t="shared" si="70"/>
        <v>segunda-feira</v>
      </c>
    </row>
    <row r="2086" spans="19:22">
      <c r="S2086" s="357">
        <v>43599</v>
      </c>
      <c r="T2086" s="359" t="str">
        <f t="shared" si="71"/>
        <v>terça-feira</v>
      </c>
      <c r="U2086" s="361">
        <v>42262</v>
      </c>
      <c r="V2086" s="360" t="str">
        <f t="shared" si="70"/>
        <v>terça-feira</v>
      </c>
    </row>
    <row r="2087" spans="19:22">
      <c r="S2087" s="357">
        <v>43600</v>
      </c>
      <c r="T2087" s="359" t="str">
        <f t="shared" si="71"/>
        <v>quarta-feira</v>
      </c>
      <c r="U2087" s="361">
        <v>42263</v>
      </c>
      <c r="V2087" s="360" t="str">
        <f t="shared" si="70"/>
        <v>quarta-feira</v>
      </c>
    </row>
    <row r="2088" spans="19:22">
      <c r="S2088" s="357">
        <v>43601</v>
      </c>
      <c r="T2088" s="359" t="str">
        <f t="shared" si="71"/>
        <v>quinta-feira</v>
      </c>
      <c r="U2088" s="361">
        <v>42264</v>
      </c>
      <c r="V2088" s="360" t="str">
        <f t="shared" si="70"/>
        <v>quinta-feira</v>
      </c>
    </row>
    <row r="2089" spans="19:22">
      <c r="S2089" s="357">
        <v>43602</v>
      </c>
      <c r="T2089" s="359" t="str">
        <f t="shared" si="71"/>
        <v>sexta-feira</v>
      </c>
      <c r="U2089" s="361">
        <v>42265</v>
      </c>
      <c r="V2089" s="360" t="str">
        <f t="shared" ref="V2089:V2152" si="72">TEXT(U2089,"dddd")</f>
        <v>sexta-feira</v>
      </c>
    </row>
    <row r="2090" spans="19:22">
      <c r="S2090" s="357">
        <v>43603</v>
      </c>
      <c r="T2090" s="359" t="str">
        <f t="shared" si="71"/>
        <v>sábado</v>
      </c>
      <c r="U2090" s="361">
        <v>42266</v>
      </c>
      <c r="V2090" s="360" t="str">
        <f t="shared" si="72"/>
        <v>sábado</v>
      </c>
    </row>
    <row r="2091" spans="19:22">
      <c r="S2091" s="357">
        <v>43604</v>
      </c>
      <c r="T2091" s="359" t="str">
        <f t="shared" si="71"/>
        <v>domingo</v>
      </c>
      <c r="U2091" s="361">
        <v>42267</v>
      </c>
      <c r="V2091" s="360" t="str">
        <f t="shared" si="72"/>
        <v>domingo</v>
      </c>
    </row>
    <row r="2092" spans="19:22">
      <c r="S2092" s="357">
        <v>43605</v>
      </c>
      <c r="T2092" s="359" t="str">
        <f t="shared" si="71"/>
        <v>segunda-feira</v>
      </c>
      <c r="U2092" s="361">
        <v>42268</v>
      </c>
      <c r="V2092" s="360" t="str">
        <f t="shared" si="72"/>
        <v>segunda-feira</v>
      </c>
    </row>
    <row r="2093" spans="19:22">
      <c r="S2093" s="357">
        <v>43606</v>
      </c>
      <c r="T2093" s="359" t="str">
        <f t="shared" si="71"/>
        <v>terça-feira</v>
      </c>
      <c r="U2093" s="361">
        <v>42269</v>
      </c>
      <c r="V2093" s="360" t="str">
        <f t="shared" si="72"/>
        <v>terça-feira</v>
      </c>
    </row>
    <row r="2094" spans="19:22">
      <c r="S2094" s="357">
        <v>43607</v>
      </c>
      <c r="T2094" s="359" t="str">
        <f t="shared" si="71"/>
        <v>quarta-feira</v>
      </c>
      <c r="U2094" s="361">
        <v>42270</v>
      </c>
      <c r="V2094" s="360" t="str">
        <f t="shared" si="72"/>
        <v>quarta-feira</v>
      </c>
    </row>
    <row r="2095" spans="19:22">
      <c r="S2095" s="357">
        <v>43608</v>
      </c>
      <c r="T2095" s="359" t="str">
        <f t="shared" si="71"/>
        <v>quinta-feira</v>
      </c>
      <c r="U2095" s="361">
        <v>42271</v>
      </c>
      <c r="V2095" s="360" t="str">
        <f t="shared" si="72"/>
        <v>quinta-feira</v>
      </c>
    </row>
    <row r="2096" spans="19:22">
      <c r="S2096" s="357">
        <v>43609</v>
      </c>
      <c r="T2096" s="359" t="str">
        <f t="shared" si="71"/>
        <v>sexta-feira</v>
      </c>
      <c r="U2096" s="361">
        <v>42272</v>
      </c>
      <c r="V2096" s="360" t="str">
        <f t="shared" si="72"/>
        <v>sexta-feira</v>
      </c>
    </row>
    <row r="2097" spans="19:22">
      <c r="S2097" s="357">
        <v>43610</v>
      </c>
      <c r="T2097" s="359" t="str">
        <f t="shared" si="71"/>
        <v>sábado</v>
      </c>
      <c r="U2097" s="361">
        <v>42273</v>
      </c>
      <c r="V2097" s="360" t="str">
        <f t="shared" si="72"/>
        <v>sábado</v>
      </c>
    </row>
    <row r="2098" spans="19:22">
      <c r="S2098" s="357">
        <v>43611</v>
      </c>
      <c r="T2098" s="359" t="str">
        <f t="shared" si="71"/>
        <v>domingo</v>
      </c>
      <c r="U2098" s="361">
        <v>42274</v>
      </c>
      <c r="V2098" s="360" t="str">
        <f t="shared" si="72"/>
        <v>domingo</v>
      </c>
    </row>
    <row r="2099" spans="19:22">
      <c r="S2099" s="357">
        <v>43612</v>
      </c>
      <c r="T2099" s="359" t="str">
        <f t="shared" si="71"/>
        <v>segunda-feira</v>
      </c>
      <c r="U2099" s="361">
        <v>42275</v>
      </c>
      <c r="V2099" s="360" t="str">
        <f t="shared" si="72"/>
        <v>segunda-feira</v>
      </c>
    </row>
    <row r="2100" spans="19:22">
      <c r="S2100" s="357">
        <v>43613</v>
      </c>
      <c r="T2100" s="359" t="str">
        <f t="shared" si="71"/>
        <v>terça-feira</v>
      </c>
      <c r="U2100" s="361">
        <v>42276</v>
      </c>
      <c r="V2100" s="360" t="str">
        <f t="shared" si="72"/>
        <v>terça-feira</v>
      </c>
    </row>
    <row r="2101" spans="19:22">
      <c r="S2101" s="357">
        <v>43614</v>
      </c>
      <c r="T2101" s="359" t="str">
        <f t="shared" si="71"/>
        <v>quarta-feira</v>
      </c>
      <c r="U2101" s="361">
        <v>42277</v>
      </c>
      <c r="V2101" s="360" t="str">
        <f t="shared" si="72"/>
        <v>quarta-feira</v>
      </c>
    </row>
    <row r="2102" spans="19:22">
      <c r="S2102" s="357">
        <v>43615</v>
      </c>
      <c r="T2102" s="359" t="str">
        <f t="shared" si="71"/>
        <v>quinta-feira</v>
      </c>
      <c r="U2102" s="361">
        <v>42278</v>
      </c>
      <c r="V2102" s="360" t="str">
        <f t="shared" si="72"/>
        <v>quinta-feira</v>
      </c>
    </row>
    <row r="2103" spans="19:22">
      <c r="S2103" s="357">
        <v>43616</v>
      </c>
      <c r="T2103" s="359" t="str">
        <f t="shared" ref="T2103:T2166" si="73">TEXT(S2103,"dddd")</f>
        <v>sexta-feira</v>
      </c>
      <c r="U2103" s="361">
        <v>42279</v>
      </c>
      <c r="V2103" s="360" t="str">
        <f t="shared" si="72"/>
        <v>sexta-feira</v>
      </c>
    </row>
    <row r="2104" spans="19:22">
      <c r="S2104" s="357">
        <v>43617</v>
      </c>
      <c r="T2104" s="359" t="str">
        <f t="shared" si="73"/>
        <v>sábado</v>
      </c>
      <c r="U2104" s="361">
        <v>42280</v>
      </c>
      <c r="V2104" s="360" t="str">
        <f t="shared" si="72"/>
        <v>sábado</v>
      </c>
    </row>
    <row r="2105" spans="19:22">
      <c r="S2105" s="357">
        <v>43618</v>
      </c>
      <c r="T2105" s="359" t="str">
        <f t="shared" si="73"/>
        <v>domingo</v>
      </c>
      <c r="U2105" s="361">
        <v>42281</v>
      </c>
      <c r="V2105" s="360" t="str">
        <f t="shared" si="72"/>
        <v>domingo</v>
      </c>
    </row>
    <row r="2106" spans="19:22">
      <c r="S2106" s="357">
        <v>43619</v>
      </c>
      <c r="T2106" s="359" t="str">
        <f t="shared" si="73"/>
        <v>segunda-feira</v>
      </c>
      <c r="U2106" s="361">
        <v>42282</v>
      </c>
      <c r="V2106" s="360" t="str">
        <f t="shared" si="72"/>
        <v>segunda-feira</v>
      </c>
    </row>
    <row r="2107" spans="19:22">
      <c r="S2107" s="357">
        <v>43620</v>
      </c>
      <c r="T2107" s="359" t="str">
        <f t="shared" si="73"/>
        <v>terça-feira</v>
      </c>
      <c r="U2107" s="361">
        <v>42283</v>
      </c>
      <c r="V2107" s="360" t="str">
        <f t="shared" si="72"/>
        <v>terça-feira</v>
      </c>
    </row>
    <row r="2108" spans="19:22">
      <c r="S2108" s="357">
        <v>43621</v>
      </c>
      <c r="T2108" s="359" t="str">
        <f t="shared" si="73"/>
        <v>quarta-feira</v>
      </c>
      <c r="U2108" s="361">
        <v>42284</v>
      </c>
      <c r="V2108" s="360" t="str">
        <f t="shared" si="72"/>
        <v>quarta-feira</v>
      </c>
    </row>
    <row r="2109" spans="19:22">
      <c r="S2109" s="357">
        <v>43622</v>
      </c>
      <c r="T2109" s="359" t="str">
        <f t="shared" si="73"/>
        <v>quinta-feira</v>
      </c>
      <c r="U2109" s="361">
        <v>42285</v>
      </c>
      <c r="V2109" s="360" t="str">
        <f t="shared" si="72"/>
        <v>quinta-feira</v>
      </c>
    </row>
    <row r="2110" spans="19:22">
      <c r="S2110" s="357">
        <v>43623</v>
      </c>
      <c r="T2110" s="359" t="str">
        <f t="shared" si="73"/>
        <v>sexta-feira</v>
      </c>
      <c r="U2110" s="361">
        <v>42286</v>
      </c>
      <c r="V2110" s="360" t="str">
        <f t="shared" si="72"/>
        <v>sexta-feira</v>
      </c>
    </row>
    <row r="2111" spans="19:22">
      <c r="S2111" s="357">
        <v>43624</v>
      </c>
      <c r="T2111" s="359" t="str">
        <f t="shared" si="73"/>
        <v>sábado</v>
      </c>
      <c r="U2111" s="361">
        <v>42287</v>
      </c>
      <c r="V2111" s="360" t="str">
        <f t="shared" si="72"/>
        <v>sábado</v>
      </c>
    </row>
    <row r="2112" spans="19:22">
      <c r="S2112" s="357">
        <v>43625</v>
      </c>
      <c r="T2112" s="359" t="str">
        <f t="shared" si="73"/>
        <v>domingo</v>
      </c>
      <c r="U2112" s="361">
        <v>42288</v>
      </c>
      <c r="V2112" s="360" t="str">
        <f t="shared" si="72"/>
        <v>domingo</v>
      </c>
    </row>
    <row r="2113" spans="19:22">
      <c r="S2113" s="357">
        <v>43626</v>
      </c>
      <c r="T2113" s="359" t="str">
        <f t="shared" si="73"/>
        <v>segunda-feira</v>
      </c>
      <c r="U2113" s="361">
        <v>42289</v>
      </c>
      <c r="V2113" s="360" t="str">
        <f t="shared" si="72"/>
        <v>segunda-feira</v>
      </c>
    </row>
    <row r="2114" spans="19:22">
      <c r="S2114" s="357">
        <v>43627</v>
      </c>
      <c r="T2114" s="359" t="str">
        <f t="shared" si="73"/>
        <v>terça-feira</v>
      </c>
      <c r="U2114" s="361">
        <v>42290</v>
      </c>
      <c r="V2114" s="360" t="str">
        <f t="shared" si="72"/>
        <v>terça-feira</v>
      </c>
    </row>
    <row r="2115" spans="19:22">
      <c r="S2115" s="357">
        <v>43628</v>
      </c>
      <c r="T2115" s="359" t="str">
        <f t="shared" si="73"/>
        <v>quarta-feira</v>
      </c>
      <c r="U2115" s="361">
        <v>42291</v>
      </c>
      <c r="V2115" s="360" t="str">
        <f t="shared" si="72"/>
        <v>quarta-feira</v>
      </c>
    </row>
    <row r="2116" spans="19:22">
      <c r="S2116" s="357">
        <v>43629</v>
      </c>
      <c r="T2116" s="359" t="str">
        <f t="shared" si="73"/>
        <v>quinta-feira</v>
      </c>
      <c r="U2116" s="361">
        <v>42292</v>
      </c>
      <c r="V2116" s="360" t="str">
        <f t="shared" si="72"/>
        <v>quinta-feira</v>
      </c>
    </row>
    <row r="2117" spans="19:22">
      <c r="S2117" s="357">
        <v>43630</v>
      </c>
      <c r="T2117" s="359" t="str">
        <f t="shared" si="73"/>
        <v>sexta-feira</v>
      </c>
      <c r="U2117" s="361">
        <v>42293</v>
      </c>
      <c r="V2117" s="360" t="str">
        <f t="shared" si="72"/>
        <v>sexta-feira</v>
      </c>
    </row>
    <row r="2118" spans="19:22">
      <c r="S2118" s="357">
        <v>43631</v>
      </c>
      <c r="T2118" s="359" t="str">
        <f t="shared" si="73"/>
        <v>sábado</v>
      </c>
      <c r="U2118" s="361">
        <v>42294</v>
      </c>
      <c r="V2118" s="360" t="str">
        <f t="shared" si="72"/>
        <v>sábado</v>
      </c>
    </row>
    <row r="2119" spans="19:22">
      <c r="S2119" s="357">
        <v>43632</v>
      </c>
      <c r="T2119" s="359" t="str">
        <f t="shared" si="73"/>
        <v>domingo</v>
      </c>
      <c r="U2119" s="361">
        <v>42295</v>
      </c>
      <c r="V2119" s="360" t="str">
        <f t="shared" si="72"/>
        <v>domingo</v>
      </c>
    </row>
    <row r="2120" spans="19:22">
      <c r="S2120" s="357">
        <v>43633</v>
      </c>
      <c r="T2120" s="359" t="str">
        <f t="shared" si="73"/>
        <v>segunda-feira</v>
      </c>
      <c r="U2120" s="361">
        <v>42296</v>
      </c>
      <c r="V2120" s="360" t="str">
        <f t="shared" si="72"/>
        <v>segunda-feira</v>
      </c>
    </row>
    <row r="2121" spans="19:22">
      <c r="S2121" s="357">
        <v>43634</v>
      </c>
      <c r="T2121" s="359" t="str">
        <f t="shared" si="73"/>
        <v>terça-feira</v>
      </c>
      <c r="U2121" s="361">
        <v>42297</v>
      </c>
      <c r="V2121" s="360" t="str">
        <f t="shared" si="72"/>
        <v>terça-feira</v>
      </c>
    </row>
    <row r="2122" spans="19:22">
      <c r="S2122" s="357">
        <v>43635</v>
      </c>
      <c r="T2122" s="359" t="str">
        <f t="shared" si="73"/>
        <v>quarta-feira</v>
      </c>
      <c r="U2122" s="361">
        <v>42298</v>
      </c>
      <c r="V2122" s="360" t="str">
        <f t="shared" si="72"/>
        <v>quarta-feira</v>
      </c>
    </row>
    <row r="2123" spans="19:22">
      <c r="S2123" s="357">
        <v>43636</v>
      </c>
      <c r="T2123" s="359" t="str">
        <f t="shared" si="73"/>
        <v>quinta-feira</v>
      </c>
      <c r="U2123" s="361">
        <v>42299</v>
      </c>
      <c r="V2123" s="360" t="str">
        <f t="shared" si="72"/>
        <v>quinta-feira</v>
      </c>
    </row>
    <row r="2124" spans="19:22">
      <c r="S2124" s="357">
        <v>43637</v>
      </c>
      <c r="T2124" s="359" t="str">
        <f t="shared" si="73"/>
        <v>sexta-feira</v>
      </c>
      <c r="U2124" s="361">
        <v>42300</v>
      </c>
      <c r="V2124" s="360" t="str">
        <f t="shared" si="72"/>
        <v>sexta-feira</v>
      </c>
    </row>
    <row r="2125" spans="19:22">
      <c r="S2125" s="357">
        <v>43638</v>
      </c>
      <c r="T2125" s="359" t="str">
        <f t="shared" si="73"/>
        <v>sábado</v>
      </c>
      <c r="U2125" s="361">
        <v>42301</v>
      </c>
      <c r="V2125" s="360" t="str">
        <f t="shared" si="72"/>
        <v>sábado</v>
      </c>
    </row>
    <row r="2126" spans="19:22">
      <c r="S2126" s="357">
        <v>43639</v>
      </c>
      <c r="T2126" s="359" t="str">
        <f t="shared" si="73"/>
        <v>domingo</v>
      </c>
      <c r="U2126" s="361">
        <v>42302</v>
      </c>
      <c r="V2126" s="360" t="str">
        <f t="shared" si="72"/>
        <v>domingo</v>
      </c>
    </row>
    <row r="2127" spans="19:22">
      <c r="S2127" s="357">
        <v>43640</v>
      </c>
      <c r="T2127" s="359" t="str">
        <f t="shared" si="73"/>
        <v>segunda-feira</v>
      </c>
      <c r="U2127" s="361">
        <v>42303</v>
      </c>
      <c r="V2127" s="360" t="str">
        <f t="shared" si="72"/>
        <v>segunda-feira</v>
      </c>
    </row>
    <row r="2128" spans="19:22">
      <c r="S2128" s="357">
        <v>43641</v>
      </c>
      <c r="T2128" s="359" t="str">
        <f t="shared" si="73"/>
        <v>terça-feira</v>
      </c>
      <c r="U2128" s="361">
        <v>42304</v>
      </c>
      <c r="V2128" s="360" t="str">
        <f t="shared" si="72"/>
        <v>terça-feira</v>
      </c>
    </row>
    <row r="2129" spans="19:22">
      <c r="S2129" s="357">
        <v>43642</v>
      </c>
      <c r="T2129" s="359" t="str">
        <f t="shared" si="73"/>
        <v>quarta-feira</v>
      </c>
      <c r="U2129" s="361">
        <v>42305</v>
      </c>
      <c r="V2129" s="360" t="str">
        <f t="shared" si="72"/>
        <v>quarta-feira</v>
      </c>
    </row>
    <row r="2130" spans="19:22">
      <c r="S2130" s="357">
        <v>43643</v>
      </c>
      <c r="T2130" s="359" t="str">
        <f t="shared" si="73"/>
        <v>quinta-feira</v>
      </c>
      <c r="U2130" s="361">
        <v>42306</v>
      </c>
      <c r="V2130" s="360" t="str">
        <f t="shared" si="72"/>
        <v>quinta-feira</v>
      </c>
    </row>
    <row r="2131" spans="19:22">
      <c r="S2131" s="357">
        <v>43644</v>
      </c>
      <c r="T2131" s="359" t="str">
        <f t="shared" si="73"/>
        <v>sexta-feira</v>
      </c>
      <c r="U2131" s="361">
        <v>42307</v>
      </c>
      <c r="V2131" s="360" t="str">
        <f t="shared" si="72"/>
        <v>sexta-feira</v>
      </c>
    </row>
    <row r="2132" spans="19:22">
      <c r="S2132" s="357">
        <v>43645</v>
      </c>
      <c r="T2132" s="359" t="str">
        <f t="shared" si="73"/>
        <v>sábado</v>
      </c>
      <c r="U2132" s="361">
        <v>42308</v>
      </c>
      <c r="V2132" s="360" t="str">
        <f t="shared" si="72"/>
        <v>sábado</v>
      </c>
    </row>
    <row r="2133" spans="19:22">
      <c r="S2133" s="357">
        <v>43646</v>
      </c>
      <c r="T2133" s="359" t="str">
        <f t="shared" si="73"/>
        <v>domingo</v>
      </c>
      <c r="U2133" s="361">
        <v>42309</v>
      </c>
      <c r="V2133" s="360" t="str">
        <f t="shared" si="72"/>
        <v>domingo</v>
      </c>
    </row>
    <row r="2134" spans="19:22">
      <c r="S2134" s="357">
        <v>43647</v>
      </c>
      <c r="T2134" s="359" t="str">
        <f t="shared" si="73"/>
        <v>segunda-feira</v>
      </c>
      <c r="U2134" s="361">
        <v>42310</v>
      </c>
      <c r="V2134" s="360" t="str">
        <f t="shared" si="72"/>
        <v>segunda-feira</v>
      </c>
    </row>
    <row r="2135" spans="19:22">
      <c r="S2135" s="357">
        <v>43648</v>
      </c>
      <c r="T2135" s="359" t="str">
        <f t="shared" si="73"/>
        <v>terça-feira</v>
      </c>
      <c r="U2135" s="361">
        <v>42311</v>
      </c>
      <c r="V2135" s="360" t="str">
        <f t="shared" si="72"/>
        <v>terça-feira</v>
      </c>
    </row>
    <row r="2136" spans="19:22">
      <c r="S2136" s="357">
        <v>43649</v>
      </c>
      <c r="T2136" s="359" t="str">
        <f t="shared" si="73"/>
        <v>quarta-feira</v>
      </c>
      <c r="U2136" s="361">
        <v>42312</v>
      </c>
      <c r="V2136" s="360" t="str">
        <f t="shared" si="72"/>
        <v>quarta-feira</v>
      </c>
    </row>
    <row r="2137" spans="19:22">
      <c r="S2137" s="357">
        <v>43650</v>
      </c>
      <c r="T2137" s="359" t="str">
        <f t="shared" si="73"/>
        <v>quinta-feira</v>
      </c>
      <c r="U2137" s="361">
        <v>42313</v>
      </c>
      <c r="V2137" s="360" t="str">
        <f t="shared" si="72"/>
        <v>quinta-feira</v>
      </c>
    </row>
    <row r="2138" spans="19:22">
      <c r="S2138" s="357">
        <v>43651</v>
      </c>
      <c r="T2138" s="359" t="str">
        <f t="shared" si="73"/>
        <v>sexta-feira</v>
      </c>
      <c r="U2138" s="361">
        <v>42314</v>
      </c>
      <c r="V2138" s="360" t="str">
        <f t="shared" si="72"/>
        <v>sexta-feira</v>
      </c>
    </row>
    <row r="2139" spans="19:22">
      <c r="S2139" s="357">
        <v>43652</v>
      </c>
      <c r="T2139" s="359" t="str">
        <f t="shared" si="73"/>
        <v>sábado</v>
      </c>
      <c r="U2139" s="361">
        <v>42315</v>
      </c>
      <c r="V2139" s="360" t="str">
        <f t="shared" si="72"/>
        <v>sábado</v>
      </c>
    </row>
    <row r="2140" spans="19:22">
      <c r="S2140" s="357">
        <v>43653</v>
      </c>
      <c r="T2140" s="359" t="str">
        <f t="shared" si="73"/>
        <v>domingo</v>
      </c>
      <c r="U2140" s="361">
        <v>42316</v>
      </c>
      <c r="V2140" s="360" t="str">
        <f>TEXT(U2140,"dddd")</f>
        <v>domingo</v>
      </c>
    </row>
    <row r="2141" spans="19:22">
      <c r="S2141" s="357">
        <v>43654</v>
      </c>
      <c r="T2141" s="359" t="str">
        <f t="shared" si="73"/>
        <v>segunda-feira</v>
      </c>
      <c r="U2141" s="361">
        <v>42317</v>
      </c>
      <c r="V2141" s="360" t="str">
        <f t="shared" si="72"/>
        <v>segunda-feira</v>
      </c>
    </row>
    <row r="2142" spans="19:22">
      <c r="S2142" s="357">
        <v>43655</v>
      </c>
      <c r="T2142" s="359" t="str">
        <f t="shared" si="73"/>
        <v>terça-feira</v>
      </c>
      <c r="U2142" s="361">
        <v>42318</v>
      </c>
      <c r="V2142" s="360" t="str">
        <f t="shared" si="72"/>
        <v>terça-feira</v>
      </c>
    </row>
    <row r="2143" spans="19:22">
      <c r="S2143" s="357">
        <v>43656</v>
      </c>
      <c r="T2143" s="359" t="str">
        <f t="shared" si="73"/>
        <v>quarta-feira</v>
      </c>
      <c r="U2143" s="361">
        <v>42319</v>
      </c>
      <c r="V2143" s="360" t="str">
        <f t="shared" si="72"/>
        <v>quarta-feira</v>
      </c>
    </row>
    <row r="2144" spans="19:22">
      <c r="S2144" s="357">
        <v>43657</v>
      </c>
      <c r="T2144" s="359" t="str">
        <f t="shared" si="73"/>
        <v>quinta-feira</v>
      </c>
      <c r="U2144" s="361">
        <v>42320</v>
      </c>
      <c r="V2144" s="360" t="str">
        <f t="shared" si="72"/>
        <v>quinta-feira</v>
      </c>
    </row>
    <row r="2145" spans="19:22">
      <c r="S2145" s="357">
        <v>43658</v>
      </c>
      <c r="T2145" s="359" t="str">
        <f t="shared" si="73"/>
        <v>sexta-feira</v>
      </c>
      <c r="U2145" s="361">
        <v>42321</v>
      </c>
      <c r="V2145" s="360" t="str">
        <f t="shared" si="72"/>
        <v>sexta-feira</v>
      </c>
    </row>
    <row r="2146" spans="19:22">
      <c r="S2146" s="357">
        <v>43659</v>
      </c>
      <c r="T2146" s="359" t="str">
        <f t="shared" si="73"/>
        <v>sábado</v>
      </c>
      <c r="U2146" s="361">
        <v>42322</v>
      </c>
      <c r="V2146" s="360" t="str">
        <f t="shared" si="72"/>
        <v>sábado</v>
      </c>
    </row>
    <row r="2147" spans="19:22">
      <c r="S2147" s="357">
        <v>43660</v>
      </c>
      <c r="T2147" s="359" t="str">
        <f t="shared" si="73"/>
        <v>domingo</v>
      </c>
      <c r="U2147" s="361">
        <v>42323</v>
      </c>
      <c r="V2147" s="360" t="str">
        <f t="shared" si="72"/>
        <v>domingo</v>
      </c>
    </row>
    <row r="2148" spans="19:22">
      <c r="S2148" s="357">
        <v>43661</v>
      </c>
      <c r="T2148" s="359" t="str">
        <f t="shared" si="73"/>
        <v>segunda-feira</v>
      </c>
      <c r="U2148" s="361">
        <v>42324</v>
      </c>
      <c r="V2148" s="360" t="str">
        <f t="shared" si="72"/>
        <v>segunda-feira</v>
      </c>
    </row>
    <row r="2149" spans="19:22">
      <c r="S2149" s="357">
        <v>43662</v>
      </c>
      <c r="T2149" s="359" t="str">
        <f t="shared" si="73"/>
        <v>terça-feira</v>
      </c>
      <c r="U2149" s="361">
        <v>42325</v>
      </c>
      <c r="V2149" s="360" t="str">
        <f t="shared" si="72"/>
        <v>terça-feira</v>
      </c>
    </row>
    <row r="2150" spans="19:22">
      <c r="S2150" s="357">
        <v>43663</v>
      </c>
      <c r="T2150" s="359" t="str">
        <f t="shared" si="73"/>
        <v>quarta-feira</v>
      </c>
      <c r="U2150" s="361">
        <v>42326</v>
      </c>
      <c r="V2150" s="360" t="str">
        <f t="shared" si="72"/>
        <v>quarta-feira</v>
      </c>
    </row>
    <row r="2151" spans="19:22">
      <c r="S2151" s="357">
        <v>43664</v>
      </c>
      <c r="T2151" s="359" t="str">
        <f t="shared" si="73"/>
        <v>quinta-feira</v>
      </c>
      <c r="U2151" s="361">
        <v>42327</v>
      </c>
      <c r="V2151" s="360" t="str">
        <f t="shared" si="72"/>
        <v>quinta-feira</v>
      </c>
    </row>
    <row r="2152" spans="19:22">
      <c r="S2152" s="357">
        <v>43665</v>
      </c>
      <c r="T2152" s="359" t="str">
        <f t="shared" si="73"/>
        <v>sexta-feira</v>
      </c>
      <c r="U2152" s="361">
        <v>42328</v>
      </c>
      <c r="V2152" s="360" t="str">
        <f t="shared" si="72"/>
        <v>sexta-feira</v>
      </c>
    </row>
    <row r="2153" spans="19:22">
      <c r="S2153" s="357">
        <v>43666</v>
      </c>
      <c r="T2153" s="359" t="str">
        <f t="shared" si="73"/>
        <v>sábado</v>
      </c>
      <c r="U2153" s="361">
        <v>42329</v>
      </c>
      <c r="V2153" s="360" t="str">
        <f t="shared" ref="V2153:V2193" si="74">TEXT(U2153,"dddd")</f>
        <v>sábado</v>
      </c>
    </row>
    <row r="2154" spans="19:22">
      <c r="S2154" s="357">
        <v>43667</v>
      </c>
      <c r="T2154" s="359" t="str">
        <f t="shared" si="73"/>
        <v>domingo</v>
      </c>
      <c r="U2154" s="361">
        <v>42330</v>
      </c>
      <c r="V2154" s="360" t="str">
        <f t="shared" si="74"/>
        <v>domingo</v>
      </c>
    </row>
    <row r="2155" spans="19:22">
      <c r="S2155" s="357">
        <v>43668</v>
      </c>
      <c r="T2155" s="359" t="str">
        <f t="shared" si="73"/>
        <v>segunda-feira</v>
      </c>
      <c r="U2155" s="361">
        <v>42331</v>
      </c>
      <c r="V2155" s="360" t="str">
        <f t="shared" si="74"/>
        <v>segunda-feira</v>
      </c>
    </row>
    <row r="2156" spans="19:22">
      <c r="S2156" s="357">
        <v>43669</v>
      </c>
      <c r="T2156" s="359" t="str">
        <f t="shared" si="73"/>
        <v>terça-feira</v>
      </c>
      <c r="U2156" s="361">
        <v>42332</v>
      </c>
      <c r="V2156" s="360" t="str">
        <f t="shared" si="74"/>
        <v>terça-feira</v>
      </c>
    </row>
    <row r="2157" spans="19:22">
      <c r="S2157" s="357">
        <v>43670</v>
      </c>
      <c r="T2157" s="359" t="str">
        <f t="shared" si="73"/>
        <v>quarta-feira</v>
      </c>
      <c r="U2157" s="361">
        <v>42333</v>
      </c>
      <c r="V2157" s="360" t="str">
        <f t="shared" si="74"/>
        <v>quarta-feira</v>
      </c>
    </row>
    <row r="2158" spans="19:22">
      <c r="S2158" s="357">
        <v>43671</v>
      </c>
      <c r="T2158" s="359" t="str">
        <f t="shared" si="73"/>
        <v>quinta-feira</v>
      </c>
      <c r="U2158" s="361">
        <v>42334</v>
      </c>
      <c r="V2158" s="360" t="str">
        <f t="shared" si="74"/>
        <v>quinta-feira</v>
      </c>
    </row>
    <row r="2159" spans="19:22">
      <c r="S2159" s="357">
        <v>43672</v>
      </c>
      <c r="T2159" s="359" t="str">
        <f t="shared" si="73"/>
        <v>sexta-feira</v>
      </c>
      <c r="U2159" s="361">
        <v>42335</v>
      </c>
      <c r="V2159" s="360" t="str">
        <f t="shared" si="74"/>
        <v>sexta-feira</v>
      </c>
    </row>
    <row r="2160" spans="19:22">
      <c r="S2160" s="357">
        <v>43673</v>
      </c>
      <c r="T2160" s="359" t="str">
        <f t="shared" si="73"/>
        <v>sábado</v>
      </c>
      <c r="U2160" s="361">
        <v>42336</v>
      </c>
      <c r="V2160" s="360" t="str">
        <f t="shared" si="74"/>
        <v>sábado</v>
      </c>
    </row>
    <row r="2161" spans="19:22">
      <c r="S2161" s="357">
        <v>43674</v>
      </c>
      <c r="T2161" s="359" t="str">
        <f t="shared" si="73"/>
        <v>domingo</v>
      </c>
      <c r="U2161" s="361">
        <v>42337</v>
      </c>
      <c r="V2161" s="360" t="str">
        <f t="shared" si="74"/>
        <v>domingo</v>
      </c>
    </row>
    <row r="2162" spans="19:22">
      <c r="S2162" s="357">
        <v>43675</v>
      </c>
      <c r="T2162" s="359" t="str">
        <f t="shared" si="73"/>
        <v>segunda-feira</v>
      </c>
      <c r="U2162" s="361">
        <v>42338</v>
      </c>
      <c r="V2162" s="360" t="str">
        <f t="shared" si="74"/>
        <v>segunda-feira</v>
      </c>
    </row>
    <row r="2163" spans="19:22">
      <c r="S2163" s="357">
        <v>43676</v>
      </c>
      <c r="T2163" s="359" t="str">
        <f t="shared" si="73"/>
        <v>terça-feira</v>
      </c>
      <c r="U2163" s="361">
        <v>42339</v>
      </c>
      <c r="V2163" s="360" t="str">
        <f t="shared" si="74"/>
        <v>terça-feira</v>
      </c>
    </row>
    <row r="2164" spans="19:22">
      <c r="S2164" s="357">
        <v>43677</v>
      </c>
      <c r="T2164" s="359" t="str">
        <f t="shared" si="73"/>
        <v>quarta-feira</v>
      </c>
      <c r="U2164" s="361">
        <v>42340</v>
      </c>
      <c r="V2164" s="360" t="str">
        <f t="shared" si="74"/>
        <v>quarta-feira</v>
      </c>
    </row>
    <row r="2165" spans="19:22">
      <c r="S2165" s="357">
        <v>43678</v>
      </c>
      <c r="T2165" s="359" t="str">
        <f t="shared" si="73"/>
        <v>quinta-feira</v>
      </c>
      <c r="U2165" s="361">
        <v>42341</v>
      </c>
      <c r="V2165" s="360" t="str">
        <f t="shared" si="74"/>
        <v>quinta-feira</v>
      </c>
    </row>
    <row r="2166" spans="19:22">
      <c r="S2166" s="357">
        <v>43679</v>
      </c>
      <c r="T2166" s="359" t="str">
        <f t="shared" si="73"/>
        <v>sexta-feira</v>
      </c>
      <c r="U2166" s="361">
        <v>42342</v>
      </c>
      <c r="V2166" s="360" t="str">
        <f t="shared" si="74"/>
        <v>sexta-feira</v>
      </c>
    </row>
    <row r="2167" spans="19:22">
      <c r="S2167" s="357">
        <v>43680</v>
      </c>
      <c r="T2167" s="359" t="str">
        <f t="shared" ref="T2167:T2230" si="75">TEXT(S2167,"dddd")</f>
        <v>sábado</v>
      </c>
      <c r="U2167" s="361">
        <v>42343</v>
      </c>
      <c r="V2167" s="360" t="str">
        <f t="shared" si="74"/>
        <v>sábado</v>
      </c>
    </row>
    <row r="2168" spans="19:22">
      <c r="S2168" s="357">
        <v>43681</v>
      </c>
      <c r="T2168" s="359" t="str">
        <f t="shared" si="75"/>
        <v>domingo</v>
      </c>
      <c r="U2168" s="361">
        <v>42344</v>
      </c>
      <c r="V2168" s="360" t="str">
        <f t="shared" si="74"/>
        <v>domingo</v>
      </c>
    </row>
    <row r="2169" spans="19:22">
      <c r="S2169" s="357">
        <v>43682</v>
      </c>
      <c r="T2169" s="359" t="str">
        <f t="shared" si="75"/>
        <v>segunda-feira</v>
      </c>
      <c r="U2169" s="361">
        <v>42345</v>
      </c>
      <c r="V2169" s="360" t="str">
        <f t="shared" si="74"/>
        <v>segunda-feira</v>
      </c>
    </row>
    <row r="2170" spans="19:22">
      <c r="S2170" s="357">
        <v>43683</v>
      </c>
      <c r="T2170" s="359" t="str">
        <f t="shared" si="75"/>
        <v>terça-feira</v>
      </c>
      <c r="U2170" s="361">
        <v>42346</v>
      </c>
      <c r="V2170" s="360" t="str">
        <f t="shared" si="74"/>
        <v>terça-feira</v>
      </c>
    </row>
    <row r="2171" spans="19:22">
      <c r="S2171" s="357">
        <v>43684</v>
      </c>
      <c r="T2171" s="359" t="str">
        <f t="shared" si="75"/>
        <v>quarta-feira</v>
      </c>
      <c r="U2171" s="361">
        <v>42347</v>
      </c>
      <c r="V2171" s="360" t="str">
        <f t="shared" si="74"/>
        <v>quarta-feira</v>
      </c>
    </row>
    <row r="2172" spans="19:22">
      <c r="S2172" s="357">
        <v>43685</v>
      </c>
      <c r="T2172" s="359" t="str">
        <f t="shared" si="75"/>
        <v>quinta-feira</v>
      </c>
      <c r="U2172" s="361">
        <v>42348</v>
      </c>
      <c r="V2172" s="360" t="str">
        <f t="shared" si="74"/>
        <v>quinta-feira</v>
      </c>
    </row>
    <row r="2173" spans="19:22">
      <c r="S2173" s="357">
        <v>43686</v>
      </c>
      <c r="T2173" s="359" t="str">
        <f t="shared" si="75"/>
        <v>sexta-feira</v>
      </c>
      <c r="U2173" s="361">
        <v>42349</v>
      </c>
      <c r="V2173" s="360" t="str">
        <f t="shared" si="74"/>
        <v>sexta-feira</v>
      </c>
    </row>
    <row r="2174" spans="19:22">
      <c r="S2174" s="357">
        <v>43687</v>
      </c>
      <c r="T2174" s="359" t="str">
        <f t="shared" si="75"/>
        <v>sábado</v>
      </c>
      <c r="U2174" s="361">
        <v>42350</v>
      </c>
      <c r="V2174" s="360" t="str">
        <f t="shared" si="74"/>
        <v>sábado</v>
      </c>
    </row>
    <row r="2175" spans="19:22">
      <c r="S2175" s="357">
        <v>43688</v>
      </c>
      <c r="T2175" s="359" t="str">
        <f t="shared" si="75"/>
        <v>domingo</v>
      </c>
      <c r="U2175" s="361">
        <v>42351</v>
      </c>
      <c r="V2175" s="360" t="str">
        <f t="shared" si="74"/>
        <v>domingo</v>
      </c>
    </row>
    <row r="2176" spans="19:22">
      <c r="S2176" s="357">
        <v>43689</v>
      </c>
      <c r="T2176" s="359" t="str">
        <f t="shared" si="75"/>
        <v>segunda-feira</v>
      </c>
      <c r="U2176" s="361">
        <v>42352</v>
      </c>
      <c r="V2176" s="360" t="str">
        <f t="shared" si="74"/>
        <v>segunda-feira</v>
      </c>
    </row>
    <row r="2177" spans="19:22">
      <c r="S2177" s="357">
        <v>43690</v>
      </c>
      <c r="T2177" s="359" t="str">
        <f t="shared" si="75"/>
        <v>terça-feira</v>
      </c>
      <c r="U2177" s="361">
        <v>42353</v>
      </c>
      <c r="V2177" s="360" t="str">
        <f t="shared" si="74"/>
        <v>terça-feira</v>
      </c>
    </row>
    <row r="2178" spans="19:22">
      <c r="S2178" s="357">
        <v>43691</v>
      </c>
      <c r="T2178" s="359" t="str">
        <f t="shared" si="75"/>
        <v>quarta-feira</v>
      </c>
      <c r="U2178" s="361">
        <v>42354</v>
      </c>
      <c r="V2178" s="360" t="str">
        <f t="shared" si="74"/>
        <v>quarta-feira</v>
      </c>
    </row>
    <row r="2179" spans="19:22">
      <c r="S2179" s="357">
        <v>43692</v>
      </c>
      <c r="T2179" s="359" t="str">
        <f t="shared" si="75"/>
        <v>quinta-feira</v>
      </c>
      <c r="U2179" s="361">
        <v>42355</v>
      </c>
      <c r="V2179" s="360" t="str">
        <f t="shared" si="74"/>
        <v>quinta-feira</v>
      </c>
    </row>
    <row r="2180" spans="19:22">
      <c r="S2180" s="357">
        <v>43693</v>
      </c>
      <c r="T2180" s="359" t="str">
        <f t="shared" si="75"/>
        <v>sexta-feira</v>
      </c>
      <c r="U2180" s="361">
        <v>42356</v>
      </c>
      <c r="V2180" s="360" t="str">
        <f t="shared" si="74"/>
        <v>sexta-feira</v>
      </c>
    </row>
    <row r="2181" spans="19:22">
      <c r="S2181" s="357">
        <v>43694</v>
      </c>
      <c r="T2181" s="359" t="str">
        <f t="shared" si="75"/>
        <v>sábado</v>
      </c>
      <c r="U2181" s="361">
        <v>42357</v>
      </c>
      <c r="V2181" s="360" t="str">
        <f t="shared" si="74"/>
        <v>sábado</v>
      </c>
    </row>
    <row r="2182" spans="19:22">
      <c r="S2182" s="357">
        <v>43695</v>
      </c>
      <c r="T2182" s="359" t="str">
        <f t="shared" si="75"/>
        <v>domingo</v>
      </c>
      <c r="U2182" s="361">
        <v>42358</v>
      </c>
      <c r="V2182" s="360" t="str">
        <f t="shared" si="74"/>
        <v>domingo</v>
      </c>
    </row>
    <row r="2183" spans="19:22">
      <c r="S2183" s="357">
        <v>43696</v>
      </c>
      <c r="T2183" s="359" t="str">
        <f t="shared" si="75"/>
        <v>segunda-feira</v>
      </c>
      <c r="U2183" s="361">
        <v>42359</v>
      </c>
      <c r="V2183" s="360" t="str">
        <f t="shared" si="74"/>
        <v>segunda-feira</v>
      </c>
    </row>
    <row r="2184" spans="19:22">
      <c r="S2184" s="357">
        <v>43697</v>
      </c>
      <c r="T2184" s="359" t="str">
        <f t="shared" si="75"/>
        <v>terça-feira</v>
      </c>
      <c r="U2184" s="361">
        <v>42360</v>
      </c>
      <c r="V2184" s="360" t="str">
        <f t="shared" si="74"/>
        <v>terça-feira</v>
      </c>
    </row>
    <row r="2185" spans="19:22">
      <c r="S2185" s="357">
        <v>43698</v>
      </c>
      <c r="T2185" s="359" t="str">
        <f t="shared" si="75"/>
        <v>quarta-feira</v>
      </c>
      <c r="U2185" s="361">
        <v>42361</v>
      </c>
      <c r="V2185" s="360" t="str">
        <f t="shared" si="74"/>
        <v>quarta-feira</v>
      </c>
    </row>
    <row r="2186" spans="19:22">
      <c r="S2186" s="357">
        <v>43699</v>
      </c>
      <c r="T2186" s="359" t="str">
        <f t="shared" si="75"/>
        <v>quinta-feira</v>
      </c>
      <c r="U2186" s="361">
        <v>42362</v>
      </c>
      <c r="V2186" s="360" t="str">
        <f t="shared" si="74"/>
        <v>quinta-feira</v>
      </c>
    </row>
    <row r="2187" spans="19:22">
      <c r="S2187" s="357">
        <v>43700</v>
      </c>
      <c r="T2187" s="359" t="str">
        <f t="shared" si="75"/>
        <v>sexta-feira</v>
      </c>
      <c r="U2187" s="361">
        <v>42363</v>
      </c>
      <c r="V2187" s="360" t="str">
        <f t="shared" si="74"/>
        <v>sexta-feira</v>
      </c>
    </row>
    <row r="2188" spans="19:22">
      <c r="S2188" s="357">
        <v>43701</v>
      </c>
      <c r="T2188" s="359" t="str">
        <f t="shared" si="75"/>
        <v>sábado</v>
      </c>
      <c r="U2188" s="361">
        <v>42364</v>
      </c>
      <c r="V2188" s="360" t="str">
        <f t="shared" si="74"/>
        <v>sábado</v>
      </c>
    </row>
    <row r="2189" spans="19:22">
      <c r="S2189" s="357">
        <v>43702</v>
      </c>
      <c r="T2189" s="359" t="str">
        <f t="shared" si="75"/>
        <v>domingo</v>
      </c>
      <c r="U2189" s="361">
        <v>42365</v>
      </c>
      <c r="V2189" s="360" t="str">
        <f t="shared" si="74"/>
        <v>domingo</v>
      </c>
    </row>
    <row r="2190" spans="19:22">
      <c r="S2190" s="357">
        <v>43703</v>
      </c>
      <c r="T2190" s="359" t="str">
        <f t="shared" si="75"/>
        <v>segunda-feira</v>
      </c>
      <c r="U2190" s="361">
        <v>42366</v>
      </c>
      <c r="V2190" s="360" t="str">
        <f t="shared" si="74"/>
        <v>segunda-feira</v>
      </c>
    </row>
    <row r="2191" spans="19:22">
      <c r="S2191" s="357">
        <v>43704</v>
      </c>
      <c r="T2191" s="359" t="str">
        <f t="shared" si="75"/>
        <v>terça-feira</v>
      </c>
      <c r="U2191" s="361">
        <v>42367</v>
      </c>
      <c r="V2191" s="360" t="str">
        <f t="shared" si="74"/>
        <v>terça-feira</v>
      </c>
    </row>
    <row r="2192" spans="19:22">
      <c r="S2192" s="357">
        <v>43705</v>
      </c>
      <c r="T2192" s="359" t="str">
        <f t="shared" si="75"/>
        <v>quarta-feira</v>
      </c>
      <c r="U2192" s="361">
        <v>42368</v>
      </c>
      <c r="V2192" s="360" t="str">
        <f t="shared" si="74"/>
        <v>quarta-feira</v>
      </c>
    </row>
    <row r="2193" spans="19:22">
      <c r="S2193" s="357">
        <v>43706</v>
      </c>
      <c r="T2193" s="359" t="str">
        <f t="shared" si="75"/>
        <v>quinta-feira</v>
      </c>
      <c r="U2193" s="361">
        <v>42369</v>
      </c>
      <c r="V2193" s="360" t="str">
        <f t="shared" si="74"/>
        <v>quinta-feira</v>
      </c>
    </row>
    <row r="2194" spans="19:22">
      <c r="S2194" s="357">
        <v>43707</v>
      </c>
      <c r="T2194" s="359" t="str">
        <f t="shared" si="75"/>
        <v>sexta-feira</v>
      </c>
      <c r="U2194" s="361">
        <v>42370</v>
      </c>
      <c r="V2194" s="360" t="str">
        <f t="shared" ref="V2194:V2257" si="76">TEXT(U2194,"dddd")</f>
        <v>sexta-feira</v>
      </c>
    </row>
    <row r="2195" spans="19:22">
      <c r="S2195" s="357">
        <v>43708</v>
      </c>
      <c r="T2195" s="359" t="str">
        <f t="shared" si="75"/>
        <v>sábado</v>
      </c>
      <c r="U2195" s="361">
        <v>42371</v>
      </c>
      <c r="V2195" s="360" t="str">
        <f t="shared" si="76"/>
        <v>sábado</v>
      </c>
    </row>
    <row r="2196" spans="19:22">
      <c r="S2196" s="357">
        <v>43709</v>
      </c>
      <c r="T2196" s="359" t="str">
        <f t="shared" si="75"/>
        <v>domingo</v>
      </c>
      <c r="U2196" s="361">
        <v>42372</v>
      </c>
      <c r="V2196" s="360" t="str">
        <f t="shared" si="76"/>
        <v>domingo</v>
      </c>
    </row>
    <row r="2197" spans="19:22">
      <c r="S2197" s="357">
        <v>43710</v>
      </c>
      <c r="T2197" s="359" t="str">
        <f t="shared" si="75"/>
        <v>segunda-feira</v>
      </c>
      <c r="U2197" s="361">
        <v>42373</v>
      </c>
      <c r="V2197" s="360" t="str">
        <f t="shared" si="76"/>
        <v>segunda-feira</v>
      </c>
    </row>
    <row r="2198" spans="19:22">
      <c r="S2198" s="357">
        <v>43711</v>
      </c>
      <c r="T2198" s="359" t="str">
        <f t="shared" si="75"/>
        <v>terça-feira</v>
      </c>
      <c r="U2198" s="361">
        <v>42374</v>
      </c>
      <c r="V2198" s="360" t="str">
        <f t="shared" si="76"/>
        <v>terça-feira</v>
      </c>
    </row>
    <row r="2199" spans="19:22">
      <c r="S2199" s="357">
        <v>43712</v>
      </c>
      <c r="T2199" s="359" t="str">
        <f t="shared" si="75"/>
        <v>quarta-feira</v>
      </c>
      <c r="U2199" s="361">
        <v>42375</v>
      </c>
      <c r="V2199" s="360" t="str">
        <f t="shared" si="76"/>
        <v>quarta-feira</v>
      </c>
    </row>
    <row r="2200" spans="19:22">
      <c r="S2200" s="357">
        <v>43713</v>
      </c>
      <c r="T2200" s="359" t="str">
        <f t="shared" si="75"/>
        <v>quinta-feira</v>
      </c>
      <c r="U2200" s="361">
        <v>42376</v>
      </c>
      <c r="V2200" s="360" t="str">
        <f t="shared" si="76"/>
        <v>quinta-feira</v>
      </c>
    </row>
    <row r="2201" spans="19:22">
      <c r="S2201" s="357">
        <v>43714</v>
      </c>
      <c r="T2201" s="359" t="str">
        <f t="shared" si="75"/>
        <v>sexta-feira</v>
      </c>
      <c r="U2201" s="361">
        <v>42377</v>
      </c>
      <c r="V2201" s="360" t="str">
        <f t="shared" si="76"/>
        <v>sexta-feira</v>
      </c>
    </row>
    <row r="2202" spans="19:22">
      <c r="S2202" s="357">
        <v>43715</v>
      </c>
      <c r="T2202" s="359" t="str">
        <f t="shared" si="75"/>
        <v>sábado</v>
      </c>
      <c r="U2202" s="361">
        <v>42378</v>
      </c>
      <c r="V2202" s="360" t="str">
        <f t="shared" si="76"/>
        <v>sábado</v>
      </c>
    </row>
    <row r="2203" spans="19:22">
      <c r="S2203" s="357">
        <v>43716</v>
      </c>
      <c r="T2203" s="359" t="str">
        <f t="shared" si="75"/>
        <v>domingo</v>
      </c>
      <c r="U2203" s="361">
        <v>42379</v>
      </c>
      <c r="V2203" s="360" t="str">
        <f t="shared" si="76"/>
        <v>domingo</v>
      </c>
    </row>
    <row r="2204" spans="19:22">
      <c r="S2204" s="357">
        <v>43717</v>
      </c>
      <c r="T2204" s="359" t="str">
        <f t="shared" si="75"/>
        <v>segunda-feira</v>
      </c>
      <c r="U2204" s="361">
        <v>42380</v>
      </c>
      <c r="V2204" s="360" t="str">
        <f t="shared" si="76"/>
        <v>segunda-feira</v>
      </c>
    </row>
    <row r="2205" spans="19:22">
      <c r="S2205" s="357">
        <v>43718</v>
      </c>
      <c r="T2205" s="359" t="str">
        <f t="shared" si="75"/>
        <v>terça-feira</v>
      </c>
      <c r="U2205" s="361">
        <v>42381</v>
      </c>
      <c r="V2205" s="360" t="str">
        <f t="shared" si="76"/>
        <v>terça-feira</v>
      </c>
    </row>
    <row r="2206" spans="19:22">
      <c r="S2206" s="357">
        <v>43719</v>
      </c>
      <c r="T2206" s="359" t="str">
        <f t="shared" si="75"/>
        <v>quarta-feira</v>
      </c>
      <c r="U2206" s="361">
        <v>42382</v>
      </c>
      <c r="V2206" s="360" t="str">
        <f t="shared" si="76"/>
        <v>quarta-feira</v>
      </c>
    </row>
    <row r="2207" spans="19:22">
      <c r="S2207" s="357">
        <v>43720</v>
      </c>
      <c r="T2207" s="359" t="str">
        <f t="shared" si="75"/>
        <v>quinta-feira</v>
      </c>
      <c r="U2207" s="361">
        <v>42383</v>
      </c>
      <c r="V2207" s="360" t="str">
        <f t="shared" si="76"/>
        <v>quinta-feira</v>
      </c>
    </row>
    <row r="2208" spans="19:22">
      <c r="S2208" s="357">
        <v>43721</v>
      </c>
      <c r="T2208" s="359" t="str">
        <f t="shared" si="75"/>
        <v>sexta-feira</v>
      </c>
      <c r="U2208" s="361">
        <v>42384</v>
      </c>
      <c r="V2208" s="360" t="str">
        <f t="shared" si="76"/>
        <v>sexta-feira</v>
      </c>
    </row>
    <row r="2209" spans="19:22">
      <c r="S2209" s="357">
        <v>43722</v>
      </c>
      <c r="T2209" s="359" t="str">
        <f t="shared" si="75"/>
        <v>sábado</v>
      </c>
      <c r="U2209" s="361">
        <v>42385</v>
      </c>
      <c r="V2209" s="360" t="str">
        <f t="shared" si="76"/>
        <v>sábado</v>
      </c>
    </row>
    <row r="2210" spans="19:22">
      <c r="S2210" s="357">
        <v>43723</v>
      </c>
      <c r="T2210" s="359" t="str">
        <f t="shared" si="75"/>
        <v>domingo</v>
      </c>
      <c r="U2210" s="361">
        <v>42386</v>
      </c>
      <c r="V2210" s="360" t="str">
        <f t="shared" si="76"/>
        <v>domingo</v>
      </c>
    </row>
    <row r="2211" spans="19:22">
      <c r="S2211" s="357">
        <v>43724</v>
      </c>
      <c r="T2211" s="359" t="str">
        <f t="shared" si="75"/>
        <v>segunda-feira</v>
      </c>
      <c r="U2211" s="361">
        <v>42387</v>
      </c>
      <c r="V2211" s="360" t="str">
        <f t="shared" si="76"/>
        <v>segunda-feira</v>
      </c>
    </row>
    <row r="2212" spans="19:22">
      <c r="S2212" s="357">
        <v>43725</v>
      </c>
      <c r="T2212" s="359" t="str">
        <f t="shared" si="75"/>
        <v>terça-feira</v>
      </c>
      <c r="U2212" s="361">
        <v>42388</v>
      </c>
      <c r="V2212" s="360" t="str">
        <f t="shared" si="76"/>
        <v>terça-feira</v>
      </c>
    </row>
    <row r="2213" spans="19:22">
      <c r="S2213" s="357">
        <v>43726</v>
      </c>
      <c r="T2213" s="359" t="str">
        <f t="shared" si="75"/>
        <v>quarta-feira</v>
      </c>
      <c r="U2213" s="361">
        <v>42389</v>
      </c>
      <c r="V2213" s="360" t="str">
        <f t="shared" si="76"/>
        <v>quarta-feira</v>
      </c>
    </row>
    <row r="2214" spans="19:22">
      <c r="S2214" s="357">
        <v>43727</v>
      </c>
      <c r="T2214" s="359" t="str">
        <f t="shared" si="75"/>
        <v>quinta-feira</v>
      </c>
      <c r="U2214" s="361">
        <v>42390</v>
      </c>
      <c r="V2214" s="360" t="str">
        <f t="shared" si="76"/>
        <v>quinta-feira</v>
      </c>
    </row>
    <row r="2215" spans="19:22">
      <c r="S2215" s="357">
        <v>43728</v>
      </c>
      <c r="T2215" s="359" t="str">
        <f t="shared" si="75"/>
        <v>sexta-feira</v>
      </c>
      <c r="U2215" s="361">
        <v>42391</v>
      </c>
      <c r="V2215" s="360" t="str">
        <f t="shared" si="76"/>
        <v>sexta-feira</v>
      </c>
    </row>
    <row r="2216" spans="19:22">
      <c r="S2216" s="357">
        <v>43729</v>
      </c>
      <c r="T2216" s="359" t="str">
        <f t="shared" si="75"/>
        <v>sábado</v>
      </c>
      <c r="U2216" s="361">
        <v>42392</v>
      </c>
      <c r="V2216" s="360" t="str">
        <f t="shared" si="76"/>
        <v>sábado</v>
      </c>
    </row>
    <row r="2217" spans="19:22">
      <c r="S2217" s="357">
        <v>43730</v>
      </c>
      <c r="T2217" s="359" t="str">
        <f t="shared" si="75"/>
        <v>domingo</v>
      </c>
      <c r="U2217" s="361">
        <v>42393</v>
      </c>
      <c r="V2217" s="360" t="str">
        <f t="shared" si="76"/>
        <v>domingo</v>
      </c>
    </row>
    <row r="2218" spans="19:22">
      <c r="S2218" s="357">
        <v>43731</v>
      </c>
      <c r="T2218" s="359" t="str">
        <f t="shared" si="75"/>
        <v>segunda-feira</v>
      </c>
      <c r="U2218" s="361">
        <v>42394</v>
      </c>
      <c r="V2218" s="360" t="str">
        <f t="shared" si="76"/>
        <v>segunda-feira</v>
      </c>
    </row>
    <row r="2219" spans="19:22">
      <c r="S2219" s="357">
        <v>43732</v>
      </c>
      <c r="T2219" s="359" t="str">
        <f t="shared" si="75"/>
        <v>terça-feira</v>
      </c>
      <c r="U2219" s="361">
        <v>42395</v>
      </c>
      <c r="V2219" s="360" t="str">
        <f t="shared" si="76"/>
        <v>terça-feira</v>
      </c>
    </row>
    <row r="2220" spans="19:22">
      <c r="S2220" s="357">
        <v>43733</v>
      </c>
      <c r="T2220" s="359" t="str">
        <f t="shared" si="75"/>
        <v>quarta-feira</v>
      </c>
      <c r="U2220" s="361">
        <v>42396</v>
      </c>
      <c r="V2220" s="360" t="str">
        <f t="shared" si="76"/>
        <v>quarta-feira</v>
      </c>
    </row>
    <row r="2221" spans="19:22">
      <c r="S2221" s="357">
        <v>43734</v>
      </c>
      <c r="T2221" s="359" t="str">
        <f t="shared" si="75"/>
        <v>quinta-feira</v>
      </c>
      <c r="U2221" s="361">
        <v>42397</v>
      </c>
      <c r="V2221" s="360" t="str">
        <f t="shared" si="76"/>
        <v>quinta-feira</v>
      </c>
    </row>
    <row r="2222" spans="19:22">
      <c r="S2222" s="357">
        <v>43735</v>
      </c>
      <c r="T2222" s="359" t="str">
        <f t="shared" si="75"/>
        <v>sexta-feira</v>
      </c>
      <c r="U2222" s="361">
        <v>42398</v>
      </c>
      <c r="V2222" s="360" t="str">
        <f t="shared" si="76"/>
        <v>sexta-feira</v>
      </c>
    </row>
    <row r="2223" spans="19:22">
      <c r="S2223" s="357">
        <v>43736</v>
      </c>
      <c r="T2223" s="359" t="str">
        <f t="shared" si="75"/>
        <v>sábado</v>
      </c>
      <c r="U2223" s="361">
        <v>42399</v>
      </c>
      <c r="V2223" s="360" t="str">
        <f t="shared" si="76"/>
        <v>sábado</v>
      </c>
    </row>
    <row r="2224" spans="19:22">
      <c r="S2224" s="357">
        <v>43737</v>
      </c>
      <c r="T2224" s="359" t="str">
        <f t="shared" si="75"/>
        <v>domingo</v>
      </c>
      <c r="U2224" s="361">
        <v>42400</v>
      </c>
      <c r="V2224" s="360" t="str">
        <f t="shared" si="76"/>
        <v>domingo</v>
      </c>
    </row>
    <row r="2225" spans="19:22">
      <c r="S2225" s="357">
        <v>43738</v>
      </c>
      <c r="T2225" s="359" t="str">
        <f t="shared" si="75"/>
        <v>segunda-feira</v>
      </c>
      <c r="U2225" s="361">
        <v>42401</v>
      </c>
      <c r="V2225" s="360" t="str">
        <f t="shared" si="76"/>
        <v>segunda-feira</v>
      </c>
    </row>
    <row r="2226" spans="19:22">
      <c r="S2226" s="357">
        <v>43739</v>
      </c>
      <c r="T2226" s="359" t="str">
        <f t="shared" si="75"/>
        <v>terça-feira</v>
      </c>
      <c r="U2226" s="361">
        <v>42402</v>
      </c>
      <c r="V2226" s="360" t="str">
        <f t="shared" si="76"/>
        <v>terça-feira</v>
      </c>
    </row>
    <row r="2227" spans="19:22">
      <c r="S2227" s="357">
        <v>43740</v>
      </c>
      <c r="T2227" s="359" t="str">
        <f t="shared" si="75"/>
        <v>quarta-feira</v>
      </c>
      <c r="U2227" s="361">
        <v>42403</v>
      </c>
      <c r="V2227" s="360" t="str">
        <f t="shared" si="76"/>
        <v>quarta-feira</v>
      </c>
    </row>
    <row r="2228" spans="19:22">
      <c r="S2228" s="357">
        <v>43741</v>
      </c>
      <c r="T2228" s="359" t="str">
        <f t="shared" si="75"/>
        <v>quinta-feira</v>
      </c>
      <c r="U2228" s="361">
        <v>42404</v>
      </c>
      <c r="V2228" s="360" t="str">
        <f t="shared" si="76"/>
        <v>quinta-feira</v>
      </c>
    </row>
    <row r="2229" spans="19:22">
      <c r="S2229" s="357">
        <v>43742</v>
      </c>
      <c r="T2229" s="359" t="str">
        <f t="shared" si="75"/>
        <v>sexta-feira</v>
      </c>
      <c r="U2229" s="361">
        <v>42405</v>
      </c>
      <c r="V2229" s="360" t="str">
        <f t="shared" si="76"/>
        <v>sexta-feira</v>
      </c>
    </row>
    <row r="2230" spans="19:22">
      <c r="S2230" s="357">
        <v>43743</v>
      </c>
      <c r="T2230" s="359" t="str">
        <f t="shared" si="75"/>
        <v>sábado</v>
      </c>
      <c r="U2230" s="361">
        <v>42406</v>
      </c>
      <c r="V2230" s="360" t="str">
        <f t="shared" si="76"/>
        <v>sábado</v>
      </c>
    </row>
    <row r="2231" spans="19:22">
      <c r="S2231" s="357">
        <v>43744</v>
      </c>
      <c r="T2231" s="359" t="str">
        <f t="shared" ref="T2231:T2294" si="77">TEXT(S2231,"dddd")</f>
        <v>domingo</v>
      </c>
      <c r="U2231" s="361">
        <v>42407</v>
      </c>
      <c r="V2231" s="360" t="str">
        <f t="shared" si="76"/>
        <v>domingo</v>
      </c>
    </row>
    <row r="2232" spans="19:22">
      <c r="S2232" s="357">
        <v>43745</v>
      </c>
      <c r="T2232" s="359" t="str">
        <f t="shared" si="77"/>
        <v>segunda-feira</v>
      </c>
      <c r="U2232" s="361">
        <v>42408</v>
      </c>
      <c r="V2232" s="360" t="str">
        <f t="shared" si="76"/>
        <v>segunda-feira</v>
      </c>
    </row>
    <row r="2233" spans="19:22">
      <c r="S2233" s="357">
        <v>43746</v>
      </c>
      <c r="T2233" s="359" t="str">
        <f t="shared" si="77"/>
        <v>terça-feira</v>
      </c>
      <c r="U2233" s="361">
        <v>42409</v>
      </c>
      <c r="V2233" s="360" t="str">
        <f t="shared" si="76"/>
        <v>terça-feira</v>
      </c>
    </row>
    <row r="2234" spans="19:22">
      <c r="S2234" s="357">
        <v>43747</v>
      </c>
      <c r="T2234" s="359" t="str">
        <f t="shared" si="77"/>
        <v>quarta-feira</v>
      </c>
      <c r="U2234" s="361">
        <v>42410</v>
      </c>
      <c r="V2234" s="360" t="str">
        <f t="shared" si="76"/>
        <v>quarta-feira</v>
      </c>
    </row>
    <row r="2235" spans="19:22">
      <c r="S2235" s="357">
        <v>43748</v>
      </c>
      <c r="T2235" s="359" t="str">
        <f t="shared" si="77"/>
        <v>quinta-feira</v>
      </c>
      <c r="U2235" s="361">
        <v>42411</v>
      </c>
      <c r="V2235" s="360" t="str">
        <f t="shared" si="76"/>
        <v>quinta-feira</v>
      </c>
    </row>
    <row r="2236" spans="19:22">
      <c r="S2236" s="357">
        <v>43749</v>
      </c>
      <c r="T2236" s="359" t="str">
        <f t="shared" si="77"/>
        <v>sexta-feira</v>
      </c>
      <c r="U2236" s="361">
        <v>42412</v>
      </c>
      <c r="V2236" s="360" t="str">
        <f t="shared" si="76"/>
        <v>sexta-feira</v>
      </c>
    </row>
    <row r="2237" spans="19:22">
      <c r="S2237" s="357">
        <v>43750</v>
      </c>
      <c r="T2237" s="359" t="str">
        <f t="shared" si="77"/>
        <v>sábado</v>
      </c>
      <c r="U2237" s="361">
        <v>42413</v>
      </c>
      <c r="V2237" s="360" t="str">
        <f t="shared" si="76"/>
        <v>sábado</v>
      </c>
    </row>
    <row r="2238" spans="19:22">
      <c r="S2238" s="357">
        <v>43751</v>
      </c>
      <c r="T2238" s="359" t="str">
        <f t="shared" si="77"/>
        <v>domingo</v>
      </c>
      <c r="U2238" s="361">
        <v>42414</v>
      </c>
      <c r="V2238" s="360" t="str">
        <f t="shared" si="76"/>
        <v>domingo</v>
      </c>
    </row>
    <row r="2239" spans="19:22">
      <c r="S2239" s="357">
        <v>43752</v>
      </c>
      <c r="T2239" s="359" t="str">
        <f t="shared" si="77"/>
        <v>segunda-feira</v>
      </c>
      <c r="U2239" s="361">
        <v>42415</v>
      </c>
      <c r="V2239" s="360" t="str">
        <f t="shared" si="76"/>
        <v>segunda-feira</v>
      </c>
    </row>
    <row r="2240" spans="19:22">
      <c r="S2240" s="357">
        <v>43753</v>
      </c>
      <c r="T2240" s="359" t="str">
        <f t="shared" si="77"/>
        <v>terça-feira</v>
      </c>
      <c r="U2240" s="361">
        <v>42416</v>
      </c>
      <c r="V2240" s="360" t="str">
        <f t="shared" si="76"/>
        <v>terça-feira</v>
      </c>
    </row>
    <row r="2241" spans="19:22">
      <c r="S2241" s="357">
        <v>43754</v>
      </c>
      <c r="T2241" s="359" t="str">
        <f t="shared" si="77"/>
        <v>quarta-feira</v>
      </c>
      <c r="U2241" s="361">
        <v>42417</v>
      </c>
      <c r="V2241" s="360" t="str">
        <f t="shared" si="76"/>
        <v>quarta-feira</v>
      </c>
    </row>
    <row r="2242" spans="19:22">
      <c r="S2242" s="357">
        <v>43755</v>
      </c>
      <c r="T2242" s="359" t="str">
        <f t="shared" si="77"/>
        <v>quinta-feira</v>
      </c>
      <c r="U2242" s="361">
        <v>42418</v>
      </c>
      <c r="V2242" s="360" t="str">
        <f t="shared" si="76"/>
        <v>quinta-feira</v>
      </c>
    </row>
    <row r="2243" spans="19:22">
      <c r="S2243" s="357">
        <v>43756</v>
      </c>
      <c r="T2243" s="359" t="str">
        <f t="shared" si="77"/>
        <v>sexta-feira</v>
      </c>
      <c r="U2243" s="361">
        <v>42419</v>
      </c>
      <c r="V2243" s="360" t="str">
        <f t="shared" si="76"/>
        <v>sexta-feira</v>
      </c>
    </row>
    <row r="2244" spans="19:22">
      <c r="S2244" s="357">
        <v>43757</v>
      </c>
      <c r="T2244" s="359" t="str">
        <f t="shared" si="77"/>
        <v>sábado</v>
      </c>
      <c r="U2244" s="361">
        <v>42420</v>
      </c>
      <c r="V2244" s="360" t="str">
        <f t="shared" si="76"/>
        <v>sábado</v>
      </c>
    </row>
    <row r="2245" spans="19:22">
      <c r="S2245" s="357">
        <v>43758</v>
      </c>
      <c r="T2245" s="359" t="str">
        <f t="shared" si="77"/>
        <v>domingo</v>
      </c>
      <c r="U2245" s="361">
        <v>42421</v>
      </c>
      <c r="V2245" s="360" t="str">
        <f t="shared" si="76"/>
        <v>domingo</v>
      </c>
    </row>
    <row r="2246" spans="19:22">
      <c r="S2246" s="357">
        <v>43759</v>
      </c>
      <c r="T2246" s="359" t="str">
        <f t="shared" si="77"/>
        <v>segunda-feira</v>
      </c>
      <c r="U2246" s="361">
        <v>42422</v>
      </c>
      <c r="V2246" s="360" t="str">
        <f t="shared" si="76"/>
        <v>segunda-feira</v>
      </c>
    </row>
    <row r="2247" spans="19:22">
      <c r="S2247" s="357">
        <v>43760</v>
      </c>
      <c r="T2247" s="359" t="str">
        <f t="shared" si="77"/>
        <v>terça-feira</v>
      </c>
      <c r="U2247" s="361">
        <v>42423</v>
      </c>
      <c r="V2247" s="360" t="str">
        <f t="shared" si="76"/>
        <v>terça-feira</v>
      </c>
    </row>
    <row r="2248" spans="19:22">
      <c r="S2248" s="357">
        <v>43761</v>
      </c>
      <c r="T2248" s="359" t="str">
        <f t="shared" si="77"/>
        <v>quarta-feira</v>
      </c>
      <c r="U2248" s="361">
        <v>42424</v>
      </c>
      <c r="V2248" s="360" t="str">
        <f t="shared" si="76"/>
        <v>quarta-feira</v>
      </c>
    </row>
    <row r="2249" spans="19:22">
      <c r="S2249" s="357">
        <v>43762</v>
      </c>
      <c r="T2249" s="359" t="str">
        <f t="shared" si="77"/>
        <v>quinta-feira</v>
      </c>
      <c r="U2249" s="361">
        <v>42425</v>
      </c>
      <c r="V2249" s="360" t="str">
        <f t="shared" si="76"/>
        <v>quinta-feira</v>
      </c>
    </row>
    <row r="2250" spans="19:22">
      <c r="S2250" s="357">
        <v>43763</v>
      </c>
      <c r="T2250" s="359" t="str">
        <f t="shared" si="77"/>
        <v>sexta-feira</v>
      </c>
      <c r="U2250" s="361">
        <v>42426</v>
      </c>
      <c r="V2250" s="360" t="str">
        <f t="shared" si="76"/>
        <v>sexta-feira</v>
      </c>
    </row>
    <row r="2251" spans="19:22">
      <c r="S2251" s="357">
        <v>43764</v>
      </c>
      <c r="T2251" s="359" t="str">
        <f t="shared" si="77"/>
        <v>sábado</v>
      </c>
      <c r="U2251" s="361">
        <v>42427</v>
      </c>
      <c r="V2251" s="360" t="str">
        <f t="shared" si="76"/>
        <v>sábado</v>
      </c>
    </row>
    <row r="2252" spans="19:22">
      <c r="S2252" s="357">
        <v>43765</v>
      </c>
      <c r="T2252" s="359" t="str">
        <f t="shared" si="77"/>
        <v>domingo</v>
      </c>
      <c r="U2252" s="361">
        <v>42428</v>
      </c>
      <c r="V2252" s="360" t="str">
        <f t="shared" si="76"/>
        <v>domingo</v>
      </c>
    </row>
    <row r="2253" spans="19:22">
      <c r="S2253" s="357">
        <v>43766</v>
      </c>
      <c r="T2253" s="359" t="str">
        <f t="shared" si="77"/>
        <v>segunda-feira</v>
      </c>
      <c r="U2253" s="361">
        <v>42429</v>
      </c>
      <c r="V2253" s="360" t="str">
        <f t="shared" si="76"/>
        <v>segunda-feira</v>
      </c>
    </row>
    <row r="2254" spans="19:22">
      <c r="S2254" s="357">
        <v>43767</v>
      </c>
      <c r="T2254" s="359" t="str">
        <f t="shared" si="77"/>
        <v>terça-feira</v>
      </c>
      <c r="U2254" s="361">
        <v>42430</v>
      </c>
      <c r="V2254" s="360" t="str">
        <f t="shared" si="76"/>
        <v>terça-feira</v>
      </c>
    </row>
    <row r="2255" spans="19:22">
      <c r="S2255" s="357">
        <v>43768</v>
      </c>
      <c r="T2255" s="359" t="str">
        <f t="shared" si="77"/>
        <v>quarta-feira</v>
      </c>
      <c r="U2255" s="361">
        <v>42431</v>
      </c>
      <c r="V2255" s="360" t="str">
        <f t="shared" si="76"/>
        <v>quarta-feira</v>
      </c>
    </row>
    <row r="2256" spans="19:22">
      <c r="S2256" s="357">
        <v>43769</v>
      </c>
      <c r="T2256" s="359" t="str">
        <f t="shared" si="77"/>
        <v>quinta-feira</v>
      </c>
      <c r="U2256" s="361">
        <v>42432</v>
      </c>
      <c r="V2256" s="360" t="str">
        <f t="shared" si="76"/>
        <v>quinta-feira</v>
      </c>
    </row>
    <row r="2257" spans="19:22">
      <c r="S2257" s="357">
        <v>43770</v>
      </c>
      <c r="T2257" s="359" t="str">
        <f t="shared" si="77"/>
        <v>sexta-feira</v>
      </c>
      <c r="U2257" s="361">
        <v>42433</v>
      </c>
      <c r="V2257" s="360" t="str">
        <f t="shared" si="76"/>
        <v>sexta-feira</v>
      </c>
    </row>
    <row r="2258" spans="19:22">
      <c r="S2258" s="357">
        <v>43771</v>
      </c>
      <c r="T2258" s="359" t="str">
        <f t="shared" si="77"/>
        <v>sábado</v>
      </c>
      <c r="U2258" s="361">
        <v>42434</v>
      </c>
      <c r="V2258" s="360" t="str">
        <f t="shared" ref="V2258:V2321" si="78">TEXT(U2258,"dddd")</f>
        <v>sábado</v>
      </c>
    </row>
    <row r="2259" spans="19:22">
      <c r="S2259" s="357">
        <v>43772</v>
      </c>
      <c r="T2259" s="359" t="str">
        <f t="shared" si="77"/>
        <v>domingo</v>
      </c>
      <c r="U2259" s="361">
        <v>42435</v>
      </c>
      <c r="V2259" s="360" t="str">
        <f t="shared" si="78"/>
        <v>domingo</v>
      </c>
    </row>
    <row r="2260" spans="19:22">
      <c r="S2260" s="357">
        <v>43773</v>
      </c>
      <c r="T2260" s="359" t="str">
        <f t="shared" si="77"/>
        <v>segunda-feira</v>
      </c>
      <c r="U2260" s="361">
        <v>42436</v>
      </c>
      <c r="V2260" s="360" t="str">
        <f t="shared" si="78"/>
        <v>segunda-feira</v>
      </c>
    </row>
    <row r="2261" spans="19:22">
      <c r="S2261" s="357">
        <v>43774</v>
      </c>
      <c r="T2261" s="359" t="str">
        <f t="shared" si="77"/>
        <v>terça-feira</v>
      </c>
      <c r="U2261" s="361">
        <v>42437</v>
      </c>
      <c r="V2261" s="360" t="str">
        <f t="shared" si="78"/>
        <v>terça-feira</v>
      </c>
    </row>
    <row r="2262" spans="19:22">
      <c r="S2262" s="357">
        <v>43775</v>
      </c>
      <c r="T2262" s="359" t="str">
        <f t="shared" si="77"/>
        <v>quarta-feira</v>
      </c>
      <c r="U2262" s="361">
        <v>42438</v>
      </c>
      <c r="V2262" s="360" t="str">
        <f t="shared" si="78"/>
        <v>quarta-feira</v>
      </c>
    </row>
    <row r="2263" spans="19:22">
      <c r="S2263" s="357">
        <v>43776</v>
      </c>
      <c r="T2263" s="359" t="str">
        <f t="shared" si="77"/>
        <v>quinta-feira</v>
      </c>
      <c r="U2263" s="361">
        <v>42439</v>
      </c>
      <c r="V2263" s="360" t="str">
        <f t="shared" si="78"/>
        <v>quinta-feira</v>
      </c>
    </row>
    <row r="2264" spans="19:22">
      <c r="S2264" s="357">
        <v>43777</v>
      </c>
      <c r="T2264" s="359" t="str">
        <f t="shared" si="77"/>
        <v>sexta-feira</v>
      </c>
      <c r="U2264" s="361">
        <v>42440</v>
      </c>
      <c r="V2264" s="360" t="str">
        <f t="shared" si="78"/>
        <v>sexta-feira</v>
      </c>
    </row>
    <row r="2265" spans="19:22">
      <c r="S2265" s="357">
        <v>43778</v>
      </c>
      <c r="T2265" s="359" t="str">
        <f t="shared" si="77"/>
        <v>sábado</v>
      </c>
      <c r="U2265" s="361">
        <v>42441</v>
      </c>
      <c r="V2265" s="360" t="str">
        <f t="shared" si="78"/>
        <v>sábado</v>
      </c>
    </row>
    <row r="2266" spans="19:22">
      <c r="S2266" s="357">
        <v>43779</v>
      </c>
      <c r="T2266" s="359" t="str">
        <f t="shared" si="77"/>
        <v>domingo</v>
      </c>
      <c r="U2266" s="361">
        <v>42442</v>
      </c>
      <c r="V2266" s="360" t="str">
        <f t="shared" si="78"/>
        <v>domingo</v>
      </c>
    </row>
    <row r="2267" spans="19:22">
      <c r="S2267" s="357">
        <v>43780</v>
      </c>
      <c r="T2267" s="359" t="str">
        <f t="shared" si="77"/>
        <v>segunda-feira</v>
      </c>
      <c r="U2267" s="361">
        <v>42443</v>
      </c>
      <c r="V2267" s="360" t="str">
        <f t="shared" si="78"/>
        <v>segunda-feira</v>
      </c>
    </row>
    <row r="2268" spans="19:22">
      <c r="S2268" s="357">
        <v>43781</v>
      </c>
      <c r="T2268" s="359" t="str">
        <f t="shared" si="77"/>
        <v>terça-feira</v>
      </c>
      <c r="U2268" s="361">
        <v>42444</v>
      </c>
      <c r="V2268" s="360" t="str">
        <f t="shared" si="78"/>
        <v>terça-feira</v>
      </c>
    </row>
    <row r="2269" spans="19:22">
      <c r="S2269" s="357">
        <v>43782</v>
      </c>
      <c r="T2269" s="359" t="str">
        <f t="shared" si="77"/>
        <v>quarta-feira</v>
      </c>
      <c r="U2269" s="361">
        <v>42445</v>
      </c>
      <c r="V2269" s="360" t="str">
        <f t="shared" si="78"/>
        <v>quarta-feira</v>
      </c>
    </row>
    <row r="2270" spans="19:22">
      <c r="S2270" s="357">
        <v>43783</v>
      </c>
      <c r="T2270" s="359" t="str">
        <f t="shared" si="77"/>
        <v>quinta-feira</v>
      </c>
      <c r="U2270" s="361">
        <v>42446</v>
      </c>
      <c r="V2270" s="360" t="str">
        <f t="shared" si="78"/>
        <v>quinta-feira</v>
      </c>
    </row>
    <row r="2271" spans="19:22">
      <c r="S2271" s="357">
        <v>43784</v>
      </c>
      <c r="T2271" s="359" t="str">
        <f t="shared" si="77"/>
        <v>sexta-feira</v>
      </c>
      <c r="U2271" s="361">
        <v>42447</v>
      </c>
      <c r="V2271" s="360" t="str">
        <f t="shared" si="78"/>
        <v>sexta-feira</v>
      </c>
    </row>
    <row r="2272" spans="19:22">
      <c r="S2272" s="357">
        <v>43785</v>
      </c>
      <c r="T2272" s="359" t="str">
        <f t="shared" si="77"/>
        <v>sábado</v>
      </c>
      <c r="U2272" s="361">
        <v>42448</v>
      </c>
      <c r="V2272" s="360" t="str">
        <f t="shared" si="78"/>
        <v>sábado</v>
      </c>
    </row>
    <row r="2273" spans="19:22">
      <c r="S2273" s="357">
        <v>43786</v>
      </c>
      <c r="T2273" s="359" t="str">
        <f t="shared" si="77"/>
        <v>domingo</v>
      </c>
      <c r="U2273" s="361">
        <v>42449</v>
      </c>
      <c r="V2273" s="360" t="str">
        <f t="shared" si="78"/>
        <v>domingo</v>
      </c>
    </row>
    <row r="2274" spans="19:22">
      <c r="S2274" s="357">
        <v>43787</v>
      </c>
      <c r="T2274" s="359" t="str">
        <f t="shared" si="77"/>
        <v>segunda-feira</v>
      </c>
      <c r="U2274" s="361">
        <v>42450</v>
      </c>
      <c r="V2274" s="360" t="str">
        <f t="shared" si="78"/>
        <v>segunda-feira</v>
      </c>
    </row>
    <row r="2275" spans="19:22">
      <c r="S2275" s="357">
        <v>43788</v>
      </c>
      <c r="T2275" s="359" t="str">
        <f t="shared" si="77"/>
        <v>terça-feira</v>
      </c>
      <c r="U2275" s="361">
        <v>42451</v>
      </c>
      <c r="V2275" s="360" t="str">
        <f t="shared" si="78"/>
        <v>terça-feira</v>
      </c>
    </row>
    <row r="2276" spans="19:22">
      <c r="S2276" s="357">
        <v>43789</v>
      </c>
      <c r="T2276" s="359" t="str">
        <f t="shared" si="77"/>
        <v>quarta-feira</v>
      </c>
      <c r="U2276" s="361">
        <v>42452</v>
      </c>
      <c r="V2276" s="360" t="str">
        <f t="shared" si="78"/>
        <v>quarta-feira</v>
      </c>
    </row>
    <row r="2277" spans="19:22">
      <c r="S2277" s="357">
        <v>43790</v>
      </c>
      <c r="T2277" s="359" t="str">
        <f t="shared" si="77"/>
        <v>quinta-feira</v>
      </c>
      <c r="U2277" s="361">
        <v>42453</v>
      </c>
      <c r="V2277" s="360" t="str">
        <f t="shared" si="78"/>
        <v>quinta-feira</v>
      </c>
    </row>
    <row r="2278" spans="19:22">
      <c r="S2278" s="357">
        <v>43791</v>
      </c>
      <c r="T2278" s="359" t="str">
        <f t="shared" si="77"/>
        <v>sexta-feira</v>
      </c>
      <c r="U2278" s="361">
        <v>42454</v>
      </c>
      <c r="V2278" s="360" t="str">
        <f t="shared" si="78"/>
        <v>sexta-feira</v>
      </c>
    </row>
    <row r="2279" spans="19:22">
      <c r="S2279" s="357">
        <v>43792</v>
      </c>
      <c r="T2279" s="359" t="str">
        <f t="shared" si="77"/>
        <v>sábado</v>
      </c>
      <c r="U2279" s="361">
        <v>42455</v>
      </c>
      <c r="V2279" s="360" t="str">
        <f t="shared" si="78"/>
        <v>sábado</v>
      </c>
    </row>
    <row r="2280" spans="19:22">
      <c r="S2280" s="357">
        <v>43793</v>
      </c>
      <c r="T2280" s="359" t="str">
        <f t="shared" si="77"/>
        <v>domingo</v>
      </c>
      <c r="U2280" s="361">
        <v>42456</v>
      </c>
      <c r="V2280" s="360" t="str">
        <f t="shared" si="78"/>
        <v>domingo</v>
      </c>
    </row>
    <row r="2281" spans="19:22">
      <c r="S2281" s="357">
        <v>43794</v>
      </c>
      <c r="T2281" s="359" t="str">
        <f t="shared" si="77"/>
        <v>segunda-feira</v>
      </c>
      <c r="U2281" s="361">
        <v>42457</v>
      </c>
      <c r="V2281" s="360" t="str">
        <f t="shared" si="78"/>
        <v>segunda-feira</v>
      </c>
    </row>
    <row r="2282" spans="19:22">
      <c r="S2282" s="357">
        <v>43795</v>
      </c>
      <c r="T2282" s="359" t="str">
        <f t="shared" si="77"/>
        <v>terça-feira</v>
      </c>
      <c r="U2282" s="361">
        <v>42458</v>
      </c>
      <c r="V2282" s="360" t="str">
        <f t="shared" si="78"/>
        <v>terça-feira</v>
      </c>
    </row>
    <row r="2283" spans="19:22">
      <c r="S2283" s="357">
        <v>43796</v>
      </c>
      <c r="T2283" s="359" t="str">
        <f t="shared" si="77"/>
        <v>quarta-feira</v>
      </c>
      <c r="U2283" s="361">
        <v>42459</v>
      </c>
      <c r="V2283" s="360" t="str">
        <f t="shared" si="78"/>
        <v>quarta-feira</v>
      </c>
    </row>
    <row r="2284" spans="19:22">
      <c r="S2284" s="357">
        <v>43797</v>
      </c>
      <c r="T2284" s="359" t="str">
        <f t="shared" si="77"/>
        <v>quinta-feira</v>
      </c>
      <c r="U2284" s="361">
        <v>42460</v>
      </c>
      <c r="V2284" s="360" t="str">
        <f t="shared" si="78"/>
        <v>quinta-feira</v>
      </c>
    </row>
    <row r="2285" spans="19:22">
      <c r="S2285" s="357">
        <v>43798</v>
      </c>
      <c r="T2285" s="359" t="str">
        <f t="shared" si="77"/>
        <v>sexta-feira</v>
      </c>
      <c r="U2285" s="361">
        <v>42461</v>
      </c>
      <c r="V2285" s="360" t="str">
        <f t="shared" si="78"/>
        <v>sexta-feira</v>
      </c>
    </row>
    <row r="2286" spans="19:22">
      <c r="S2286" s="357">
        <v>43799</v>
      </c>
      <c r="T2286" s="359" t="str">
        <f t="shared" si="77"/>
        <v>sábado</v>
      </c>
      <c r="U2286" s="361">
        <v>42462</v>
      </c>
      <c r="V2286" s="360" t="str">
        <f t="shared" si="78"/>
        <v>sábado</v>
      </c>
    </row>
    <row r="2287" spans="19:22">
      <c r="S2287" s="357">
        <v>43800</v>
      </c>
      <c r="T2287" s="359" t="str">
        <f t="shared" si="77"/>
        <v>domingo</v>
      </c>
      <c r="U2287" s="361">
        <v>42463</v>
      </c>
      <c r="V2287" s="360" t="str">
        <f t="shared" si="78"/>
        <v>domingo</v>
      </c>
    </row>
    <row r="2288" spans="19:22">
      <c r="S2288" s="357">
        <v>43801</v>
      </c>
      <c r="T2288" s="359" t="str">
        <f t="shared" si="77"/>
        <v>segunda-feira</v>
      </c>
      <c r="U2288" s="361">
        <v>42464</v>
      </c>
      <c r="V2288" s="360" t="str">
        <f t="shared" si="78"/>
        <v>segunda-feira</v>
      </c>
    </row>
    <row r="2289" spans="19:22">
      <c r="S2289" s="357">
        <v>43802</v>
      </c>
      <c r="T2289" s="359" t="str">
        <f t="shared" si="77"/>
        <v>terça-feira</v>
      </c>
      <c r="U2289" s="361">
        <v>42465</v>
      </c>
      <c r="V2289" s="360" t="str">
        <f t="shared" si="78"/>
        <v>terça-feira</v>
      </c>
    </row>
    <row r="2290" spans="19:22">
      <c r="S2290" s="357">
        <v>43803</v>
      </c>
      <c r="T2290" s="359" t="str">
        <f t="shared" si="77"/>
        <v>quarta-feira</v>
      </c>
      <c r="U2290" s="361">
        <v>42466</v>
      </c>
      <c r="V2290" s="360" t="str">
        <f t="shared" si="78"/>
        <v>quarta-feira</v>
      </c>
    </row>
    <row r="2291" spans="19:22">
      <c r="S2291" s="357">
        <v>43804</v>
      </c>
      <c r="T2291" s="359" t="str">
        <f t="shared" si="77"/>
        <v>quinta-feira</v>
      </c>
      <c r="U2291" s="361">
        <v>42467</v>
      </c>
      <c r="V2291" s="360" t="str">
        <f t="shared" si="78"/>
        <v>quinta-feira</v>
      </c>
    </row>
    <row r="2292" spans="19:22">
      <c r="S2292" s="357">
        <v>43805</v>
      </c>
      <c r="T2292" s="359" t="str">
        <f t="shared" si="77"/>
        <v>sexta-feira</v>
      </c>
      <c r="U2292" s="361">
        <v>42468</v>
      </c>
      <c r="V2292" s="360" t="str">
        <f t="shared" si="78"/>
        <v>sexta-feira</v>
      </c>
    </row>
    <row r="2293" spans="19:22">
      <c r="S2293" s="357">
        <v>43806</v>
      </c>
      <c r="T2293" s="359" t="str">
        <f t="shared" si="77"/>
        <v>sábado</v>
      </c>
      <c r="U2293" s="361">
        <v>42469</v>
      </c>
      <c r="V2293" s="360" t="str">
        <f t="shared" si="78"/>
        <v>sábado</v>
      </c>
    </row>
    <row r="2294" spans="19:22">
      <c r="S2294" s="357">
        <v>43807</v>
      </c>
      <c r="T2294" s="359" t="str">
        <f t="shared" si="77"/>
        <v>domingo</v>
      </c>
      <c r="U2294" s="361">
        <v>42470</v>
      </c>
      <c r="V2294" s="360" t="str">
        <f t="shared" si="78"/>
        <v>domingo</v>
      </c>
    </row>
    <row r="2295" spans="19:22">
      <c r="S2295" s="357">
        <v>43808</v>
      </c>
      <c r="T2295" s="359" t="str">
        <f t="shared" ref="T2295:T2358" si="79">TEXT(S2295,"dddd")</f>
        <v>segunda-feira</v>
      </c>
      <c r="U2295" s="361">
        <v>42471</v>
      </c>
      <c r="V2295" s="360" t="str">
        <f t="shared" si="78"/>
        <v>segunda-feira</v>
      </c>
    </row>
    <row r="2296" spans="19:22">
      <c r="S2296" s="357">
        <v>43809</v>
      </c>
      <c r="T2296" s="359" t="str">
        <f t="shared" si="79"/>
        <v>terça-feira</v>
      </c>
      <c r="U2296" s="361">
        <v>42472</v>
      </c>
      <c r="V2296" s="360" t="str">
        <f t="shared" si="78"/>
        <v>terça-feira</v>
      </c>
    </row>
    <row r="2297" spans="19:22">
      <c r="S2297" s="357">
        <v>43810</v>
      </c>
      <c r="T2297" s="359" t="str">
        <f t="shared" si="79"/>
        <v>quarta-feira</v>
      </c>
      <c r="U2297" s="361">
        <v>42473</v>
      </c>
      <c r="V2297" s="360" t="str">
        <f t="shared" si="78"/>
        <v>quarta-feira</v>
      </c>
    </row>
    <row r="2298" spans="19:22">
      <c r="S2298" s="357">
        <v>43811</v>
      </c>
      <c r="T2298" s="359" t="str">
        <f t="shared" si="79"/>
        <v>quinta-feira</v>
      </c>
      <c r="U2298" s="361">
        <v>42474</v>
      </c>
      <c r="V2298" s="360" t="str">
        <f t="shared" si="78"/>
        <v>quinta-feira</v>
      </c>
    </row>
    <row r="2299" spans="19:22">
      <c r="S2299" s="357">
        <v>43812</v>
      </c>
      <c r="T2299" s="359" t="str">
        <f t="shared" si="79"/>
        <v>sexta-feira</v>
      </c>
      <c r="U2299" s="361">
        <v>42475</v>
      </c>
      <c r="V2299" s="360" t="str">
        <f t="shared" si="78"/>
        <v>sexta-feira</v>
      </c>
    </row>
    <row r="2300" spans="19:22">
      <c r="S2300" s="357">
        <v>43813</v>
      </c>
      <c r="T2300" s="359" t="str">
        <f t="shared" si="79"/>
        <v>sábado</v>
      </c>
      <c r="U2300" s="361">
        <v>42476</v>
      </c>
      <c r="V2300" s="360" t="str">
        <f t="shared" si="78"/>
        <v>sábado</v>
      </c>
    </row>
    <row r="2301" spans="19:22">
      <c r="S2301" s="357">
        <v>43814</v>
      </c>
      <c r="T2301" s="359" t="str">
        <f t="shared" si="79"/>
        <v>domingo</v>
      </c>
      <c r="U2301" s="361">
        <v>42477</v>
      </c>
      <c r="V2301" s="360" t="str">
        <f t="shared" si="78"/>
        <v>domingo</v>
      </c>
    </row>
    <row r="2302" spans="19:22">
      <c r="S2302" s="357">
        <v>43815</v>
      </c>
      <c r="T2302" s="359" t="str">
        <f t="shared" si="79"/>
        <v>segunda-feira</v>
      </c>
      <c r="U2302" s="361">
        <v>42478</v>
      </c>
      <c r="V2302" s="360" t="str">
        <f t="shared" si="78"/>
        <v>segunda-feira</v>
      </c>
    </row>
    <row r="2303" spans="19:22">
      <c r="S2303" s="357">
        <v>43816</v>
      </c>
      <c r="T2303" s="359" t="str">
        <f t="shared" si="79"/>
        <v>terça-feira</v>
      </c>
      <c r="U2303" s="361">
        <v>42479</v>
      </c>
      <c r="V2303" s="360" t="str">
        <f t="shared" si="78"/>
        <v>terça-feira</v>
      </c>
    </row>
    <row r="2304" spans="19:22">
      <c r="S2304" s="357">
        <v>43817</v>
      </c>
      <c r="T2304" s="359" t="str">
        <f t="shared" si="79"/>
        <v>quarta-feira</v>
      </c>
      <c r="U2304" s="361">
        <v>42480</v>
      </c>
      <c r="V2304" s="360" t="str">
        <f t="shared" si="78"/>
        <v>quarta-feira</v>
      </c>
    </row>
    <row r="2305" spans="19:22">
      <c r="S2305" s="357">
        <v>43818</v>
      </c>
      <c r="T2305" s="359" t="str">
        <f t="shared" si="79"/>
        <v>quinta-feira</v>
      </c>
      <c r="U2305" s="361">
        <v>42481</v>
      </c>
      <c r="V2305" s="360" t="str">
        <f t="shared" si="78"/>
        <v>quinta-feira</v>
      </c>
    </row>
    <row r="2306" spans="19:22">
      <c r="S2306" s="357">
        <v>43819</v>
      </c>
      <c r="T2306" s="359" t="str">
        <f t="shared" si="79"/>
        <v>sexta-feira</v>
      </c>
      <c r="U2306" s="361">
        <v>42482</v>
      </c>
      <c r="V2306" s="360" t="str">
        <f t="shared" si="78"/>
        <v>sexta-feira</v>
      </c>
    </row>
    <row r="2307" spans="19:22">
      <c r="S2307" s="357">
        <v>43820</v>
      </c>
      <c r="T2307" s="359" t="str">
        <f t="shared" si="79"/>
        <v>sábado</v>
      </c>
      <c r="U2307" s="361">
        <v>42483</v>
      </c>
      <c r="V2307" s="360" t="str">
        <f t="shared" si="78"/>
        <v>sábado</v>
      </c>
    </row>
    <row r="2308" spans="19:22">
      <c r="S2308" s="357">
        <v>43821</v>
      </c>
      <c r="T2308" s="359" t="str">
        <f t="shared" si="79"/>
        <v>domingo</v>
      </c>
      <c r="U2308" s="361">
        <v>42484</v>
      </c>
      <c r="V2308" s="360" t="str">
        <f t="shared" si="78"/>
        <v>domingo</v>
      </c>
    </row>
    <row r="2309" spans="19:22">
      <c r="S2309" s="357">
        <v>43822</v>
      </c>
      <c r="T2309" s="359" t="str">
        <f t="shared" si="79"/>
        <v>segunda-feira</v>
      </c>
      <c r="U2309" s="361">
        <v>42485</v>
      </c>
      <c r="V2309" s="360" t="str">
        <f t="shared" si="78"/>
        <v>segunda-feira</v>
      </c>
    </row>
    <row r="2310" spans="19:22">
      <c r="S2310" s="357">
        <v>43823</v>
      </c>
      <c r="T2310" s="359" t="str">
        <f t="shared" si="79"/>
        <v>terça-feira</v>
      </c>
      <c r="U2310" s="361">
        <v>42486</v>
      </c>
      <c r="V2310" s="360" t="str">
        <f t="shared" si="78"/>
        <v>terça-feira</v>
      </c>
    </row>
    <row r="2311" spans="19:22">
      <c r="S2311" s="357">
        <v>43824</v>
      </c>
      <c r="T2311" s="359" t="str">
        <f t="shared" si="79"/>
        <v>quarta-feira</v>
      </c>
      <c r="U2311" s="361">
        <v>42487</v>
      </c>
      <c r="V2311" s="360" t="str">
        <f t="shared" si="78"/>
        <v>quarta-feira</v>
      </c>
    </row>
    <row r="2312" spans="19:22">
      <c r="S2312" s="357">
        <v>43825</v>
      </c>
      <c r="T2312" s="359" t="str">
        <f t="shared" si="79"/>
        <v>quinta-feira</v>
      </c>
      <c r="U2312" s="361">
        <v>42488</v>
      </c>
      <c r="V2312" s="360" t="str">
        <f t="shared" si="78"/>
        <v>quinta-feira</v>
      </c>
    </row>
    <row r="2313" spans="19:22">
      <c r="S2313" s="357">
        <v>43826</v>
      </c>
      <c r="T2313" s="359" t="str">
        <f t="shared" si="79"/>
        <v>sexta-feira</v>
      </c>
      <c r="U2313" s="361">
        <v>42489</v>
      </c>
      <c r="V2313" s="360" t="str">
        <f t="shared" si="78"/>
        <v>sexta-feira</v>
      </c>
    </row>
    <row r="2314" spans="19:22">
      <c r="S2314" s="357">
        <v>43827</v>
      </c>
      <c r="T2314" s="359" t="str">
        <f t="shared" si="79"/>
        <v>sábado</v>
      </c>
      <c r="U2314" s="361">
        <v>42490</v>
      </c>
      <c r="V2314" s="360" t="str">
        <f t="shared" si="78"/>
        <v>sábado</v>
      </c>
    </row>
    <row r="2315" spans="19:22">
      <c r="S2315" s="357">
        <v>43828</v>
      </c>
      <c r="T2315" s="359" t="str">
        <f t="shared" si="79"/>
        <v>domingo</v>
      </c>
      <c r="U2315" s="361">
        <v>42491</v>
      </c>
      <c r="V2315" s="360" t="str">
        <f t="shared" si="78"/>
        <v>domingo</v>
      </c>
    </row>
    <row r="2316" spans="19:22">
      <c r="S2316" s="357">
        <v>43829</v>
      </c>
      <c r="T2316" s="359" t="str">
        <f t="shared" si="79"/>
        <v>segunda-feira</v>
      </c>
      <c r="U2316" s="361">
        <v>42492</v>
      </c>
      <c r="V2316" s="360" t="str">
        <f t="shared" si="78"/>
        <v>segunda-feira</v>
      </c>
    </row>
    <row r="2317" spans="19:22">
      <c r="S2317" s="357">
        <v>43830</v>
      </c>
      <c r="T2317" s="359" t="str">
        <f t="shared" si="79"/>
        <v>terça-feira</v>
      </c>
      <c r="U2317" s="361">
        <v>42493</v>
      </c>
      <c r="V2317" s="360" t="str">
        <f t="shared" si="78"/>
        <v>terça-feira</v>
      </c>
    </row>
    <row r="2318" spans="19:22">
      <c r="S2318" s="357">
        <v>43831</v>
      </c>
      <c r="T2318" s="359" t="str">
        <f t="shared" si="79"/>
        <v>quarta-feira</v>
      </c>
      <c r="U2318" s="361">
        <v>42494</v>
      </c>
      <c r="V2318" s="360" t="str">
        <f t="shared" si="78"/>
        <v>quarta-feira</v>
      </c>
    </row>
    <row r="2319" spans="19:22">
      <c r="S2319" s="357">
        <v>43832</v>
      </c>
      <c r="T2319" s="359" t="str">
        <f t="shared" si="79"/>
        <v>quinta-feira</v>
      </c>
      <c r="U2319" s="361">
        <v>42495</v>
      </c>
      <c r="V2319" s="360" t="str">
        <f t="shared" si="78"/>
        <v>quinta-feira</v>
      </c>
    </row>
    <row r="2320" spans="19:22">
      <c r="S2320" s="357">
        <v>43833</v>
      </c>
      <c r="T2320" s="359" t="str">
        <f t="shared" si="79"/>
        <v>sexta-feira</v>
      </c>
      <c r="U2320" s="361">
        <v>42496</v>
      </c>
      <c r="V2320" s="360" t="str">
        <f t="shared" si="78"/>
        <v>sexta-feira</v>
      </c>
    </row>
    <row r="2321" spans="19:22">
      <c r="S2321" s="357">
        <v>43834</v>
      </c>
      <c r="T2321" s="359" t="str">
        <f t="shared" si="79"/>
        <v>sábado</v>
      </c>
      <c r="U2321" s="361">
        <v>42497</v>
      </c>
      <c r="V2321" s="360" t="str">
        <f t="shared" si="78"/>
        <v>sábado</v>
      </c>
    </row>
    <row r="2322" spans="19:22">
      <c r="S2322" s="357">
        <v>43835</v>
      </c>
      <c r="T2322" s="359" t="str">
        <f t="shared" si="79"/>
        <v>domingo</v>
      </c>
      <c r="U2322" s="361">
        <v>42498</v>
      </c>
      <c r="V2322" s="360" t="str">
        <f t="shared" ref="V2322:V2385" si="80">TEXT(U2322,"dddd")</f>
        <v>domingo</v>
      </c>
    </row>
    <row r="2323" spans="19:22">
      <c r="S2323" s="357">
        <v>43836</v>
      </c>
      <c r="T2323" s="359" t="str">
        <f t="shared" si="79"/>
        <v>segunda-feira</v>
      </c>
      <c r="U2323" s="361">
        <v>42499</v>
      </c>
      <c r="V2323" s="360" t="str">
        <f t="shared" si="80"/>
        <v>segunda-feira</v>
      </c>
    </row>
    <row r="2324" spans="19:22">
      <c r="S2324" s="357">
        <v>43837</v>
      </c>
      <c r="T2324" s="359" t="str">
        <f t="shared" si="79"/>
        <v>terça-feira</v>
      </c>
      <c r="U2324" s="361">
        <v>42500</v>
      </c>
      <c r="V2324" s="360" t="str">
        <f t="shared" si="80"/>
        <v>terça-feira</v>
      </c>
    </row>
    <row r="2325" spans="19:22">
      <c r="S2325" s="357">
        <v>43838</v>
      </c>
      <c r="T2325" s="359" t="str">
        <f t="shared" si="79"/>
        <v>quarta-feira</v>
      </c>
      <c r="U2325" s="361">
        <v>42501</v>
      </c>
      <c r="V2325" s="360" t="str">
        <f t="shared" si="80"/>
        <v>quarta-feira</v>
      </c>
    </row>
    <row r="2326" spans="19:22">
      <c r="S2326" s="357">
        <v>43839</v>
      </c>
      <c r="T2326" s="359" t="str">
        <f t="shared" si="79"/>
        <v>quinta-feira</v>
      </c>
      <c r="U2326" s="361">
        <v>42502</v>
      </c>
      <c r="V2326" s="360" t="str">
        <f t="shared" si="80"/>
        <v>quinta-feira</v>
      </c>
    </row>
    <row r="2327" spans="19:22">
      <c r="S2327" s="357">
        <v>43840</v>
      </c>
      <c r="T2327" s="359" t="str">
        <f t="shared" si="79"/>
        <v>sexta-feira</v>
      </c>
      <c r="U2327" s="361">
        <v>42503</v>
      </c>
      <c r="V2327" s="360" t="str">
        <f t="shared" si="80"/>
        <v>sexta-feira</v>
      </c>
    </row>
    <row r="2328" spans="19:22">
      <c r="S2328" s="357">
        <v>43841</v>
      </c>
      <c r="T2328" s="359" t="str">
        <f t="shared" si="79"/>
        <v>sábado</v>
      </c>
      <c r="U2328" s="361">
        <v>42504</v>
      </c>
      <c r="V2328" s="360" t="str">
        <f t="shared" si="80"/>
        <v>sábado</v>
      </c>
    </row>
    <row r="2329" spans="19:22">
      <c r="S2329" s="357">
        <v>43842</v>
      </c>
      <c r="T2329" s="359" t="str">
        <f t="shared" si="79"/>
        <v>domingo</v>
      </c>
      <c r="U2329" s="361">
        <v>42505</v>
      </c>
      <c r="V2329" s="360" t="str">
        <f t="shared" si="80"/>
        <v>domingo</v>
      </c>
    </row>
    <row r="2330" spans="19:22">
      <c r="S2330" s="357">
        <v>43843</v>
      </c>
      <c r="T2330" s="359" t="str">
        <f t="shared" si="79"/>
        <v>segunda-feira</v>
      </c>
      <c r="U2330" s="361">
        <v>42506</v>
      </c>
      <c r="V2330" s="360" t="str">
        <f t="shared" si="80"/>
        <v>segunda-feira</v>
      </c>
    </row>
    <row r="2331" spans="19:22">
      <c r="S2331" s="357">
        <v>43844</v>
      </c>
      <c r="T2331" s="359" t="str">
        <f t="shared" si="79"/>
        <v>terça-feira</v>
      </c>
      <c r="U2331" s="361">
        <v>42507</v>
      </c>
      <c r="V2331" s="360" t="str">
        <f t="shared" si="80"/>
        <v>terça-feira</v>
      </c>
    </row>
    <row r="2332" spans="19:22">
      <c r="S2332" s="357">
        <v>43845</v>
      </c>
      <c r="T2332" s="359" t="str">
        <f t="shared" si="79"/>
        <v>quarta-feira</v>
      </c>
      <c r="U2332" s="361">
        <v>42508</v>
      </c>
      <c r="V2332" s="360" t="str">
        <f t="shared" si="80"/>
        <v>quarta-feira</v>
      </c>
    </row>
    <row r="2333" spans="19:22">
      <c r="S2333" s="357">
        <v>43846</v>
      </c>
      <c r="T2333" s="359" t="str">
        <f t="shared" si="79"/>
        <v>quinta-feira</v>
      </c>
      <c r="U2333" s="361">
        <v>42509</v>
      </c>
      <c r="V2333" s="360" t="str">
        <f t="shared" si="80"/>
        <v>quinta-feira</v>
      </c>
    </row>
    <row r="2334" spans="19:22">
      <c r="S2334" s="357">
        <v>43847</v>
      </c>
      <c r="T2334" s="359" t="str">
        <f t="shared" si="79"/>
        <v>sexta-feira</v>
      </c>
      <c r="U2334" s="361">
        <v>42510</v>
      </c>
      <c r="V2334" s="360" t="str">
        <f t="shared" si="80"/>
        <v>sexta-feira</v>
      </c>
    </row>
    <row r="2335" spans="19:22">
      <c r="S2335" s="357">
        <v>43848</v>
      </c>
      <c r="T2335" s="359" t="str">
        <f t="shared" si="79"/>
        <v>sábado</v>
      </c>
      <c r="U2335" s="361">
        <v>42511</v>
      </c>
      <c r="V2335" s="360" t="str">
        <f t="shared" si="80"/>
        <v>sábado</v>
      </c>
    </row>
    <row r="2336" spans="19:22">
      <c r="S2336" s="357">
        <v>43849</v>
      </c>
      <c r="T2336" s="359" t="str">
        <f t="shared" si="79"/>
        <v>domingo</v>
      </c>
      <c r="U2336" s="361">
        <v>42512</v>
      </c>
      <c r="V2336" s="360" t="str">
        <f t="shared" si="80"/>
        <v>domingo</v>
      </c>
    </row>
    <row r="2337" spans="19:22">
      <c r="S2337" s="357">
        <v>43850</v>
      </c>
      <c r="T2337" s="359" t="str">
        <f t="shared" si="79"/>
        <v>segunda-feira</v>
      </c>
      <c r="U2337" s="361">
        <v>42513</v>
      </c>
      <c r="V2337" s="360" t="str">
        <f t="shared" si="80"/>
        <v>segunda-feira</v>
      </c>
    </row>
    <row r="2338" spans="19:22">
      <c r="S2338" s="357">
        <v>43851</v>
      </c>
      <c r="T2338" s="359" t="str">
        <f t="shared" si="79"/>
        <v>terça-feira</v>
      </c>
      <c r="U2338" s="361">
        <v>42514</v>
      </c>
      <c r="V2338" s="360" t="str">
        <f t="shared" si="80"/>
        <v>terça-feira</v>
      </c>
    </row>
    <row r="2339" spans="19:22">
      <c r="S2339" s="357">
        <v>43852</v>
      </c>
      <c r="T2339" s="359" t="str">
        <f t="shared" si="79"/>
        <v>quarta-feira</v>
      </c>
      <c r="U2339" s="361">
        <v>42515</v>
      </c>
      <c r="V2339" s="360" t="str">
        <f t="shared" si="80"/>
        <v>quarta-feira</v>
      </c>
    </row>
    <row r="2340" spans="19:22">
      <c r="S2340" s="357">
        <v>43853</v>
      </c>
      <c r="T2340" s="359" t="str">
        <f t="shared" si="79"/>
        <v>quinta-feira</v>
      </c>
      <c r="U2340" s="361">
        <v>42516</v>
      </c>
      <c r="V2340" s="360" t="str">
        <f t="shared" si="80"/>
        <v>quinta-feira</v>
      </c>
    </row>
    <row r="2341" spans="19:22">
      <c r="S2341" s="357">
        <v>43854</v>
      </c>
      <c r="T2341" s="359" t="str">
        <f t="shared" si="79"/>
        <v>sexta-feira</v>
      </c>
      <c r="U2341" s="361">
        <v>42517</v>
      </c>
      <c r="V2341" s="360" t="str">
        <f t="shared" si="80"/>
        <v>sexta-feira</v>
      </c>
    </row>
    <row r="2342" spans="19:22">
      <c r="S2342" s="357">
        <v>43855</v>
      </c>
      <c r="T2342" s="359" t="str">
        <f t="shared" si="79"/>
        <v>sábado</v>
      </c>
      <c r="U2342" s="361">
        <v>42518</v>
      </c>
      <c r="V2342" s="360" t="str">
        <f t="shared" si="80"/>
        <v>sábado</v>
      </c>
    </row>
    <row r="2343" spans="19:22">
      <c r="S2343" s="357">
        <v>43856</v>
      </c>
      <c r="T2343" s="359" t="str">
        <f t="shared" si="79"/>
        <v>domingo</v>
      </c>
      <c r="U2343" s="361">
        <v>42519</v>
      </c>
      <c r="V2343" s="360" t="str">
        <f t="shared" si="80"/>
        <v>domingo</v>
      </c>
    </row>
    <row r="2344" spans="19:22">
      <c r="S2344" s="357">
        <v>43857</v>
      </c>
      <c r="T2344" s="359" t="str">
        <f t="shared" si="79"/>
        <v>segunda-feira</v>
      </c>
      <c r="U2344" s="361">
        <v>42520</v>
      </c>
      <c r="V2344" s="360" t="str">
        <f t="shared" si="80"/>
        <v>segunda-feira</v>
      </c>
    </row>
    <row r="2345" spans="19:22">
      <c r="S2345" s="357">
        <v>43858</v>
      </c>
      <c r="T2345" s="359" t="str">
        <f t="shared" si="79"/>
        <v>terça-feira</v>
      </c>
      <c r="U2345" s="361">
        <v>42521</v>
      </c>
      <c r="V2345" s="360" t="str">
        <f t="shared" si="80"/>
        <v>terça-feira</v>
      </c>
    </row>
    <row r="2346" spans="19:22">
      <c r="S2346" s="357">
        <v>43859</v>
      </c>
      <c r="T2346" s="359" t="str">
        <f t="shared" si="79"/>
        <v>quarta-feira</v>
      </c>
      <c r="U2346" s="361">
        <v>42522</v>
      </c>
      <c r="V2346" s="360" t="str">
        <f t="shared" si="80"/>
        <v>quarta-feira</v>
      </c>
    </row>
    <row r="2347" spans="19:22">
      <c r="S2347" s="357">
        <v>43860</v>
      </c>
      <c r="T2347" s="359" t="str">
        <f t="shared" si="79"/>
        <v>quinta-feira</v>
      </c>
      <c r="U2347" s="361">
        <v>42523</v>
      </c>
      <c r="V2347" s="360" t="str">
        <f t="shared" si="80"/>
        <v>quinta-feira</v>
      </c>
    </row>
    <row r="2348" spans="19:22">
      <c r="S2348" s="357">
        <v>43861</v>
      </c>
      <c r="T2348" s="359" t="str">
        <f t="shared" si="79"/>
        <v>sexta-feira</v>
      </c>
      <c r="U2348" s="361">
        <v>42524</v>
      </c>
      <c r="V2348" s="360" t="str">
        <f t="shared" si="80"/>
        <v>sexta-feira</v>
      </c>
    </row>
    <row r="2349" spans="19:22">
      <c r="S2349" s="357">
        <v>43862</v>
      </c>
      <c r="T2349" s="359" t="str">
        <f t="shared" si="79"/>
        <v>sábado</v>
      </c>
      <c r="U2349" s="361">
        <v>42525</v>
      </c>
      <c r="V2349" s="360" t="str">
        <f t="shared" si="80"/>
        <v>sábado</v>
      </c>
    </row>
    <row r="2350" spans="19:22">
      <c r="S2350" s="357">
        <v>43863</v>
      </c>
      <c r="T2350" s="359" t="str">
        <f t="shared" si="79"/>
        <v>domingo</v>
      </c>
      <c r="U2350" s="361">
        <v>42526</v>
      </c>
      <c r="V2350" s="360" t="str">
        <f t="shared" si="80"/>
        <v>domingo</v>
      </c>
    </row>
    <row r="2351" spans="19:22">
      <c r="S2351" s="357">
        <v>43864</v>
      </c>
      <c r="T2351" s="359" t="str">
        <f t="shared" si="79"/>
        <v>segunda-feira</v>
      </c>
      <c r="U2351" s="361">
        <v>42527</v>
      </c>
      <c r="V2351" s="360" t="str">
        <f t="shared" si="80"/>
        <v>segunda-feira</v>
      </c>
    </row>
    <row r="2352" spans="19:22">
      <c r="S2352" s="357">
        <v>43865</v>
      </c>
      <c r="T2352" s="359" t="str">
        <f t="shared" si="79"/>
        <v>terça-feira</v>
      </c>
      <c r="U2352" s="361">
        <v>42528</v>
      </c>
      <c r="V2352" s="360" t="str">
        <f t="shared" si="80"/>
        <v>terça-feira</v>
      </c>
    </row>
    <row r="2353" spans="19:22">
      <c r="S2353" s="357">
        <v>43866</v>
      </c>
      <c r="T2353" s="359" t="str">
        <f t="shared" si="79"/>
        <v>quarta-feira</v>
      </c>
      <c r="U2353" s="361">
        <v>42529</v>
      </c>
      <c r="V2353" s="360" t="str">
        <f t="shared" si="80"/>
        <v>quarta-feira</v>
      </c>
    </row>
    <row r="2354" spans="19:22">
      <c r="S2354" s="357">
        <v>43867</v>
      </c>
      <c r="T2354" s="359" t="str">
        <f t="shared" si="79"/>
        <v>quinta-feira</v>
      </c>
      <c r="U2354" s="361">
        <v>42530</v>
      </c>
      <c r="V2354" s="360" t="str">
        <f t="shared" si="80"/>
        <v>quinta-feira</v>
      </c>
    </row>
    <row r="2355" spans="19:22">
      <c r="S2355" s="357">
        <v>43868</v>
      </c>
      <c r="T2355" s="359" t="str">
        <f t="shared" si="79"/>
        <v>sexta-feira</v>
      </c>
      <c r="U2355" s="361">
        <v>42531</v>
      </c>
      <c r="V2355" s="360" t="str">
        <f t="shared" si="80"/>
        <v>sexta-feira</v>
      </c>
    </row>
    <row r="2356" spans="19:22">
      <c r="S2356" s="357">
        <v>43869</v>
      </c>
      <c r="T2356" s="359" t="str">
        <f t="shared" si="79"/>
        <v>sábado</v>
      </c>
      <c r="U2356" s="361">
        <v>42532</v>
      </c>
      <c r="V2356" s="360" t="str">
        <f t="shared" si="80"/>
        <v>sábado</v>
      </c>
    </row>
    <row r="2357" spans="19:22">
      <c r="S2357" s="357">
        <v>43870</v>
      </c>
      <c r="T2357" s="359" t="str">
        <f t="shared" si="79"/>
        <v>domingo</v>
      </c>
      <c r="U2357" s="361">
        <v>42533</v>
      </c>
      <c r="V2357" s="360" t="str">
        <f t="shared" si="80"/>
        <v>domingo</v>
      </c>
    </row>
    <row r="2358" spans="19:22">
      <c r="S2358" s="357">
        <v>43871</v>
      </c>
      <c r="T2358" s="359" t="str">
        <f t="shared" si="79"/>
        <v>segunda-feira</v>
      </c>
      <c r="U2358" s="361">
        <v>42534</v>
      </c>
      <c r="V2358" s="360" t="str">
        <f t="shared" si="80"/>
        <v>segunda-feira</v>
      </c>
    </row>
    <row r="2359" spans="19:22">
      <c r="S2359" s="357">
        <v>43872</v>
      </c>
      <c r="T2359" s="359" t="str">
        <f t="shared" ref="T2359:T2422" si="81">TEXT(S2359,"dddd")</f>
        <v>terça-feira</v>
      </c>
      <c r="U2359" s="361">
        <v>42535</v>
      </c>
      <c r="V2359" s="360" t="str">
        <f t="shared" si="80"/>
        <v>terça-feira</v>
      </c>
    </row>
    <row r="2360" spans="19:22">
      <c r="S2360" s="357">
        <v>43873</v>
      </c>
      <c r="T2360" s="359" t="str">
        <f t="shared" si="81"/>
        <v>quarta-feira</v>
      </c>
      <c r="U2360" s="361">
        <v>42536</v>
      </c>
      <c r="V2360" s="360" t="str">
        <f t="shared" si="80"/>
        <v>quarta-feira</v>
      </c>
    </row>
    <row r="2361" spans="19:22">
      <c r="S2361" s="357">
        <v>43874</v>
      </c>
      <c r="T2361" s="359" t="str">
        <f t="shared" si="81"/>
        <v>quinta-feira</v>
      </c>
      <c r="U2361" s="361">
        <v>42537</v>
      </c>
      <c r="V2361" s="360" t="str">
        <f t="shared" si="80"/>
        <v>quinta-feira</v>
      </c>
    </row>
    <row r="2362" spans="19:22">
      <c r="S2362" s="357">
        <v>43875</v>
      </c>
      <c r="T2362" s="359" t="str">
        <f t="shared" si="81"/>
        <v>sexta-feira</v>
      </c>
      <c r="U2362" s="361">
        <v>42538</v>
      </c>
      <c r="V2362" s="360" t="str">
        <f t="shared" si="80"/>
        <v>sexta-feira</v>
      </c>
    </row>
    <row r="2363" spans="19:22">
      <c r="S2363" s="357">
        <v>43876</v>
      </c>
      <c r="T2363" s="359" t="str">
        <f t="shared" si="81"/>
        <v>sábado</v>
      </c>
      <c r="U2363" s="361">
        <v>42539</v>
      </c>
      <c r="V2363" s="360" t="str">
        <f t="shared" si="80"/>
        <v>sábado</v>
      </c>
    </row>
    <row r="2364" spans="19:22">
      <c r="S2364" s="357">
        <v>43877</v>
      </c>
      <c r="T2364" s="359" t="str">
        <f t="shared" si="81"/>
        <v>domingo</v>
      </c>
      <c r="U2364" s="361">
        <v>42540</v>
      </c>
      <c r="V2364" s="360" t="str">
        <f t="shared" si="80"/>
        <v>domingo</v>
      </c>
    </row>
    <row r="2365" spans="19:22">
      <c r="S2365" s="357">
        <v>43878</v>
      </c>
      <c r="T2365" s="359" t="str">
        <f t="shared" si="81"/>
        <v>segunda-feira</v>
      </c>
      <c r="U2365" s="361">
        <v>42541</v>
      </c>
      <c r="V2365" s="360" t="str">
        <f t="shared" si="80"/>
        <v>segunda-feira</v>
      </c>
    </row>
    <row r="2366" spans="19:22">
      <c r="S2366" s="357">
        <v>43879</v>
      </c>
      <c r="T2366" s="359" t="str">
        <f t="shared" si="81"/>
        <v>terça-feira</v>
      </c>
      <c r="U2366" s="361">
        <v>42542</v>
      </c>
      <c r="V2366" s="360" t="str">
        <f t="shared" si="80"/>
        <v>terça-feira</v>
      </c>
    </row>
    <row r="2367" spans="19:22">
      <c r="S2367" s="357">
        <v>43880</v>
      </c>
      <c r="T2367" s="359" t="str">
        <f t="shared" si="81"/>
        <v>quarta-feira</v>
      </c>
      <c r="U2367" s="361">
        <v>42543</v>
      </c>
      <c r="V2367" s="360" t="str">
        <f t="shared" si="80"/>
        <v>quarta-feira</v>
      </c>
    </row>
    <row r="2368" spans="19:22">
      <c r="S2368" s="357">
        <v>43881</v>
      </c>
      <c r="T2368" s="359" t="str">
        <f t="shared" si="81"/>
        <v>quinta-feira</v>
      </c>
      <c r="U2368" s="361">
        <v>42544</v>
      </c>
      <c r="V2368" s="360" t="str">
        <f t="shared" si="80"/>
        <v>quinta-feira</v>
      </c>
    </row>
    <row r="2369" spans="19:22">
      <c r="S2369" s="357">
        <v>43882</v>
      </c>
      <c r="T2369" s="359" t="str">
        <f t="shared" si="81"/>
        <v>sexta-feira</v>
      </c>
      <c r="U2369" s="361">
        <v>42545</v>
      </c>
      <c r="V2369" s="360" t="str">
        <f t="shared" si="80"/>
        <v>sexta-feira</v>
      </c>
    </row>
    <row r="2370" spans="19:22">
      <c r="S2370" s="357">
        <v>43883</v>
      </c>
      <c r="T2370" s="359" t="str">
        <f t="shared" si="81"/>
        <v>sábado</v>
      </c>
      <c r="U2370" s="361">
        <v>42546</v>
      </c>
      <c r="V2370" s="360" t="str">
        <f t="shared" si="80"/>
        <v>sábado</v>
      </c>
    </row>
    <row r="2371" spans="19:22">
      <c r="S2371" s="357">
        <v>43884</v>
      </c>
      <c r="T2371" s="359" t="str">
        <f t="shared" si="81"/>
        <v>domingo</v>
      </c>
      <c r="U2371" s="361">
        <v>42547</v>
      </c>
      <c r="V2371" s="360" t="str">
        <f t="shared" si="80"/>
        <v>domingo</v>
      </c>
    </row>
    <row r="2372" spans="19:22">
      <c r="S2372" s="357">
        <v>43885</v>
      </c>
      <c r="T2372" s="359" t="str">
        <f t="shared" si="81"/>
        <v>segunda-feira</v>
      </c>
      <c r="U2372" s="361">
        <v>42548</v>
      </c>
      <c r="V2372" s="360" t="str">
        <f t="shared" si="80"/>
        <v>segunda-feira</v>
      </c>
    </row>
    <row r="2373" spans="19:22">
      <c r="S2373" s="357">
        <v>43886</v>
      </c>
      <c r="T2373" s="359" t="str">
        <f t="shared" si="81"/>
        <v>terça-feira</v>
      </c>
      <c r="U2373" s="361">
        <v>42549</v>
      </c>
      <c r="V2373" s="360" t="str">
        <f t="shared" si="80"/>
        <v>terça-feira</v>
      </c>
    </row>
    <row r="2374" spans="19:22">
      <c r="S2374" s="357">
        <v>43887</v>
      </c>
      <c r="T2374" s="359" t="str">
        <f t="shared" si="81"/>
        <v>quarta-feira</v>
      </c>
      <c r="U2374" s="361">
        <v>42550</v>
      </c>
      <c r="V2374" s="360" t="str">
        <f t="shared" si="80"/>
        <v>quarta-feira</v>
      </c>
    </row>
    <row r="2375" spans="19:22">
      <c r="S2375" s="357">
        <v>43888</v>
      </c>
      <c r="T2375" s="359" t="str">
        <f t="shared" si="81"/>
        <v>quinta-feira</v>
      </c>
      <c r="U2375" s="361">
        <v>42551</v>
      </c>
      <c r="V2375" s="360" t="str">
        <f t="shared" si="80"/>
        <v>quinta-feira</v>
      </c>
    </row>
    <row r="2376" spans="19:22">
      <c r="S2376" s="357">
        <v>43889</v>
      </c>
      <c r="T2376" s="359" t="str">
        <f t="shared" si="81"/>
        <v>sexta-feira</v>
      </c>
      <c r="U2376" s="361">
        <v>42552</v>
      </c>
      <c r="V2376" s="360" t="str">
        <f t="shared" si="80"/>
        <v>sexta-feira</v>
      </c>
    </row>
    <row r="2377" spans="19:22">
      <c r="S2377" s="357">
        <v>43890</v>
      </c>
      <c r="T2377" s="359" t="str">
        <f t="shared" si="81"/>
        <v>sábado</v>
      </c>
      <c r="U2377" s="361">
        <v>42553</v>
      </c>
      <c r="V2377" s="360" t="str">
        <f t="shared" si="80"/>
        <v>sábado</v>
      </c>
    </row>
    <row r="2378" spans="19:22">
      <c r="S2378" s="357">
        <v>43891</v>
      </c>
      <c r="T2378" s="359" t="str">
        <f t="shared" si="81"/>
        <v>domingo</v>
      </c>
      <c r="U2378" s="361">
        <v>42554</v>
      </c>
      <c r="V2378" s="360" t="str">
        <f t="shared" si="80"/>
        <v>domingo</v>
      </c>
    </row>
    <row r="2379" spans="19:22">
      <c r="S2379" s="357">
        <v>43892</v>
      </c>
      <c r="T2379" s="359" t="str">
        <f t="shared" si="81"/>
        <v>segunda-feira</v>
      </c>
      <c r="U2379" s="361">
        <v>42555</v>
      </c>
      <c r="V2379" s="360" t="str">
        <f t="shared" si="80"/>
        <v>segunda-feira</v>
      </c>
    </row>
    <row r="2380" spans="19:22">
      <c r="S2380" s="357">
        <v>43893</v>
      </c>
      <c r="T2380" s="359" t="str">
        <f t="shared" si="81"/>
        <v>terça-feira</v>
      </c>
      <c r="U2380" s="361">
        <v>42556</v>
      </c>
      <c r="V2380" s="360" t="str">
        <f t="shared" si="80"/>
        <v>terça-feira</v>
      </c>
    </row>
    <row r="2381" spans="19:22">
      <c r="S2381" s="357">
        <v>43894</v>
      </c>
      <c r="T2381" s="359" t="str">
        <f t="shared" si="81"/>
        <v>quarta-feira</v>
      </c>
      <c r="U2381" s="361">
        <v>42557</v>
      </c>
      <c r="V2381" s="360" t="str">
        <f t="shared" si="80"/>
        <v>quarta-feira</v>
      </c>
    </row>
    <row r="2382" spans="19:22">
      <c r="S2382" s="357">
        <v>43895</v>
      </c>
      <c r="T2382" s="359" t="str">
        <f t="shared" si="81"/>
        <v>quinta-feira</v>
      </c>
      <c r="U2382" s="361">
        <v>42558</v>
      </c>
      <c r="V2382" s="360" t="str">
        <f t="shared" si="80"/>
        <v>quinta-feira</v>
      </c>
    </row>
    <row r="2383" spans="19:22">
      <c r="S2383" s="357">
        <v>43896</v>
      </c>
      <c r="T2383" s="359" t="str">
        <f t="shared" si="81"/>
        <v>sexta-feira</v>
      </c>
      <c r="U2383" s="361">
        <v>42559</v>
      </c>
      <c r="V2383" s="360" t="str">
        <f t="shared" si="80"/>
        <v>sexta-feira</v>
      </c>
    </row>
    <row r="2384" spans="19:22">
      <c r="S2384" s="357">
        <v>43897</v>
      </c>
      <c r="T2384" s="359" t="str">
        <f t="shared" si="81"/>
        <v>sábado</v>
      </c>
      <c r="U2384" s="361">
        <v>42560</v>
      </c>
      <c r="V2384" s="360" t="str">
        <f t="shared" si="80"/>
        <v>sábado</v>
      </c>
    </row>
    <row r="2385" spans="19:22">
      <c r="S2385" s="357">
        <v>43898</v>
      </c>
      <c r="T2385" s="359" t="str">
        <f t="shared" si="81"/>
        <v>domingo</v>
      </c>
      <c r="U2385" s="361">
        <v>42561</v>
      </c>
      <c r="V2385" s="360" t="str">
        <f t="shared" si="80"/>
        <v>domingo</v>
      </c>
    </row>
    <row r="2386" spans="19:22">
      <c r="S2386" s="357">
        <v>43899</v>
      </c>
      <c r="T2386" s="359" t="str">
        <f t="shared" si="81"/>
        <v>segunda-feira</v>
      </c>
      <c r="U2386" s="361">
        <v>42562</v>
      </c>
      <c r="V2386" s="360" t="str">
        <f t="shared" ref="V2386:V2449" si="82">TEXT(U2386,"dddd")</f>
        <v>segunda-feira</v>
      </c>
    </row>
    <row r="2387" spans="19:22">
      <c r="S2387" s="357">
        <v>43900</v>
      </c>
      <c r="T2387" s="359" t="str">
        <f t="shared" si="81"/>
        <v>terça-feira</v>
      </c>
      <c r="U2387" s="361">
        <v>42563</v>
      </c>
      <c r="V2387" s="360" t="str">
        <f t="shared" si="82"/>
        <v>terça-feira</v>
      </c>
    </row>
    <row r="2388" spans="19:22">
      <c r="S2388" s="357">
        <v>43901</v>
      </c>
      <c r="T2388" s="359" t="str">
        <f t="shared" si="81"/>
        <v>quarta-feira</v>
      </c>
      <c r="U2388" s="361">
        <v>42564</v>
      </c>
      <c r="V2388" s="360" t="str">
        <f t="shared" si="82"/>
        <v>quarta-feira</v>
      </c>
    </row>
    <row r="2389" spans="19:22">
      <c r="S2389" s="357">
        <v>43902</v>
      </c>
      <c r="T2389" s="359" t="str">
        <f t="shared" si="81"/>
        <v>quinta-feira</v>
      </c>
      <c r="U2389" s="361">
        <v>42565</v>
      </c>
      <c r="V2389" s="360" t="str">
        <f t="shared" si="82"/>
        <v>quinta-feira</v>
      </c>
    </row>
    <row r="2390" spans="19:22">
      <c r="S2390" s="357">
        <v>43903</v>
      </c>
      <c r="T2390" s="359" t="str">
        <f t="shared" si="81"/>
        <v>sexta-feira</v>
      </c>
      <c r="U2390" s="361">
        <v>42566</v>
      </c>
      <c r="V2390" s="360" t="str">
        <f t="shared" si="82"/>
        <v>sexta-feira</v>
      </c>
    </row>
    <row r="2391" spans="19:22">
      <c r="S2391" s="357">
        <v>43904</v>
      </c>
      <c r="T2391" s="359" t="str">
        <f t="shared" si="81"/>
        <v>sábado</v>
      </c>
      <c r="U2391" s="361">
        <v>42567</v>
      </c>
      <c r="V2391" s="360" t="str">
        <f t="shared" si="82"/>
        <v>sábado</v>
      </c>
    </row>
    <row r="2392" spans="19:22">
      <c r="S2392" s="357">
        <v>43905</v>
      </c>
      <c r="T2392" s="359" t="str">
        <f t="shared" si="81"/>
        <v>domingo</v>
      </c>
      <c r="U2392" s="361">
        <v>42568</v>
      </c>
      <c r="V2392" s="360" t="str">
        <f t="shared" si="82"/>
        <v>domingo</v>
      </c>
    </row>
    <row r="2393" spans="19:22">
      <c r="S2393" s="357">
        <v>43906</v>
      </c>
      <c r="T2393" s="359" t="str">
        <f t="shared" si="81"/>
        <v>segunda-feira</v>
      </c>
      <c r="U2393" s="361">
        <v>42569</v>
      </c>
      <c r="V2393" s="360" t="str">
        <f t="shared" si="82"/>
        <v>segunda-feira</v>
      </c>
    </row>
    <row r="2394" spans="19:22">
      <c r="S2394" s="357">
        <v>43907</v>
      </c>
      <c r="T2394" s="359" t="str">
        <f t="shared" si="81"/>
        <v>terça-feira</v>
      </c>
      <c r="U2394" s="361">
        <v>42570</v>
      </c>
      <c r="V2394" s="360" t="str">
        <f t="shared" si="82"/>
        <v>terça-feira</v>
      </c>
    </row>
    <row r="2395" spans="19:22">
      <c r="S2395" s="357">
        <v>43908</v>
      </c>
      <c r="T2395" s="359" t="str">
        <f t="shared" si="81"/>
        <v>quarta-feira</v>
      </c>
      <c r="U2395" s="361">
        <v>42571</v>
      </c>
      <c r="V2395" s="360" t="str">
        <f t="shared" si="82"/>
        <v>quarta-feira</v>
      </c>
    </row>
    <row r="2396" spans="19:22">
      <c r="S2396" s="357">
        <v>43909</v>
      </c>
      <c r="T2396" s="359" t="str">
        <f t="shared" si="81"/>
        <v>quinta-feira</v>
      </c>
      <c r="U2396" s="361">
        <v>42572</v>
      </c>
      <c r="V2396" s="360" t="str">
        <f t="shared" si="82"/>
        <v>quinta-feira</v>
      </c>
    </row>
    <row r="2397" spans="19:22">
      <c r="S2397" s="357">
        <v>43910</v>
      </c>
      <c r="T2397" s="359" t="str">
        <f t="shared" si="81"/>
        <v>sexta-feira</v>
      </c>
      <c r="U2397" s="361">
        <v>42573</v>
      </c>
      <c r="V2397" s="360" t="str">
        <f t="shared" si="82"/>
        <v>sexta-feira</v>
      </c>
    </row>
    <row r="2398" spans="19:22">
      <c r="S2398" s="357">
        <v>43911</v>
      </c>
      <c r="T2398" s="359" t="str">
        <f t="shared" si="81"/>
        <v>sábado</v>
      </c>
      <c r="U2398" s="361">
        <v>42574</v>
      </c>
      <c r="V2398" s="360" t="str">
        <f t="shared" si="82"/>
        <v>sábado</v>
      </c>
    </row>
    <row r="2399" spans="19:22">
      <c r="S2399" s="357">
        <v>43912</v>
      </c>
      <c r="T2399" s="359" t="str">
        <f t="shared" si="81"/>
        <v>domingo</v>
      </c>
      <c r="U2399" s="361">
        <v>42575</v>
      </c>
      <c r="V2399" s="360" t="str">
        <f t="shared" si="82"/>
        <v>domingo</v>
      </c>
    </row>
    <row r="2400" spans="19:22">
      <c r="S2400" s="357">
        <v>43913</v>
      </c>
      <c r="T2400" s="359" t="str">
        <f t="shared" si="81"/>
        <v>segunda-feira</v>
      </c>
      <c r="U2400" s="361">
        <v>42576</v>
      </c>
      <c r="V2400" s="360" t="str">
        <f t="shared" si="82"/>
        <v>segunda-feira</v>
      </c>
    </row>
    <row r="2401" spans="19:22">
      <c r="S2401" s="357">
        <v>43914</v>
      </c>
      <c r="T2401" s="359" t="str">
        <f t="shared" si="81"/>
        <v>terça-feira</v>
      </c>
      <c r="U2401" s="361">
        <v>42577</v>
      </c>
      <c r="V2401" s="360" t="str">
        <f t="shared" si="82"/>
        <v>terça-feira</v>
      </c>
    </row>
    <row r="2402" spans="19:22">
      <c r="S2402" s="357">
        <v>43915</v>
      </c>
      <c r="T2402" s="359" t="str">
        <f t="shared" si="81"/>
        <v>quarta-feira</v>
      </c>
      <c r="U2402" s="361">
        <v>42578</v>
      </c>
      <c r="V2402" s="360" t="str">
        <f t="shared" si="82"/>
        <v>quarta-feira</v>
      </c>
    </row>
    <row r="2403" spans="19:22">
      <c r="S2403" s="357">
        <v>43916</v>
      </c>
      <c r="T2403" s="359" t="str">
        <f t="shared" si="81"/>
        <v>quinta-feira</v>
      </c>
      <c r="U2403" s="361">
        <v>42579</v>
      </c>
      <c r="V2403" s="360" t="str">
        <f t="shared" si="82"/>
        <v>quinta-feira</v>
      </c>
    </row>
    <row r="2404" spans="19:22">
      <c r="S2404" s="357">
        <v>43917</v>
      </c>
      <c r="T2404" s="359" t="str">
        <f t="shared" si="81"/>
        <v>sexta-feira</v>
      </c>
      <c r="U2404" s="361">
        <v>42580</v>
      </c>
      <c r="V2404" s="360" t="str">
        <f t="shared" si="82"/>
        <v>sexta-feira</v>
      </c>
    </row>
    <row r="2405" spans="19:22">
      <c r="S2405" s="357">
        <v>43918</v>
      </c>
      <c r="T2405" s="359" t="str">
        <f t="shared" si="81"/>
        <v>sábado</v>
      </c>
      <c r="U2405" s="361">
        <v>42581</v>
      </c>
      <c r="V2405" s="360" t="str">
        <f t="shared" si="82"/>
        <v>sábado</v>
      </c>
    </row>
    <row r="2406" spans="19:22">
      <c r="S2406" s="357">
        <v>43919</v>
      </c>
      <c r="T2406" s="359" t="str">
        <f t="shared" si="81"/>
        <v>domingo</v>
      </c>
      <c r="U2406" s="361">
        <v>42582</v>
      </c>
      <c r="V2406" s="360" t="str">
        <f t="shared" si="82"/>
        <v>domingo</v>
      </c>
    </row>
    <row r="2407" spans="19:22">
      <c r="S2407" s="357">
        <v>43920</v>
      </c>
      <c r="T2407" s="359" t="str">
        <f t="shared" si="81"/>
        <v>segunda-feira</v>
      </c>
      <c r="U2407" s="361">
        <v>42583</v>
      </c>
      <c r="V2407" s="360" t="str">
        <f t="shared" si="82"/>
        <v>segunda-feira</v>
      </c>
    </row>
    <row r="2408" spans="19:22">
      <c r="S2408" s="357">
        <v>43921</v>
      </c>
      <c r="T2408" s="359" t="str">
        <f t="shared" si="81"/>
        <v>terça-feira</v>
      </c>
      <c r="U2408" s="361">
        <v>42584</v>
      </c>
      <c r="V2408" s="360" t="str">
        <f t="shared" si="82"/>
        <v>terça-feira</v>
      </c>
    </row>
    <row r="2409" spans="19:22">
      <c r="S2409" s="357">
        <v>43922</v>
      </c>
      <c r="T2409" s="359" t="str">
        <f t="shared" si="81"/>
        <v>quarta-feira</v>
      </c>
      <c r="U2409" s="361">
        <v>42585</v>
      </c>
      <c r="V2409" s="360" t="str">
        <f t="shared" si="82"/>
        <v>quarta-feira</v>
      </c>
    </row>
    <row r="2410" spans="19:22">
      <c r="S2410" s="357">
        <v>43923</v>
      </c>
      <c r="T2410" s="359" t="str">
        <f t="shared" si="81"/>
        <v>quinta-feira</v>
      </c>
      <c r="U2410" s="361">
        <v>42586</v>
      </c>
      <c r="V2410" s="360" t="str">
        <f t="shared" si="82"/>
        <v>quinta-feira</v>
      </c>
    </row>
    <row r="2411" spans="19:22">
      <c r="S2411" s="357">
        <v>43924</v>
      </c>
      <c r="T2411" s="359" t="str">
        <f t="shared" si="81"/>
        <v>sexta-feira</v>
      </c>
      <c r="U2411" s="361">
        <v>42587</v>
      </c>
      <c r="V2411" s="360" t="str">
        <f t="shared" si="82"/>
        <v>sexta-feira</v>
      </c>
    </row>
    <row r="2412" spans="19:22">
      <c r="S2412" s="357">
        <v>43925</v>
      </c>
      <c r="T2412" s="359" t="str">
        <f t="shared" si="81"/>
        <v>sábado</v>
      </c>
      <c r="U2412" s="361">
        <v>42588</v>
      </c>
      <c r="V2412" s="360" t="str">
        <f t="shared" si="82"/>
        <v>sábado</v>
      </c>
    </row>
    <row r="2413" spans="19:22">
      <c r="S2413" s="357">
        <v>43926</v>
      </c>
      <c r="T2413" s="359" t="str">
        <f t="shared" si="81"/>
        <v>domingo</v>
      </c>
      <c r="U2413" s="361">
        <v>42589</v>
      </c>
      <c r="V2413" s="360" t="str">
        <f t="shared" si="82"/>
        <v>domingo</v>
      </c>
    </row>
    <row r="2414" spans="19:22">
      <c r="S2414" s="357">
        <v>43927</v>
      </c>
      <c r="T2414" s="359" t="str">
        <f t="shared" si="81"/>
        <v>segunda-feira</v>
      </c>
      <c r="U2414" s="361">
        <v>42590</v>
      </c>
      <c r="V2414" s="360" t="str">
        <f t="shared" si="82"/>
        <v>segunda-feira</v>
      </c>
    </row>
    <row r="2415" spans="19:22">
      <c r="S2415" s="357">
        <v>43928</v>
      </c>
      <c r="T2415" s="359" t="str">
        <f t="shared" si="81"/>
        <v>terça-feira</v>
      </c>
      <c r="U2415" s="361">
        <v>42591</v>
      </c>
      <c r="V2415" s="360" t="str">
        <f t="shared" si="82"/>
        <v>terça-feira</v>
      </c>
    </row>
    <row r="2416" spans="19:22">
      <c r="S2416" s="357">
        <v>43929</v>
      </c>
      <c r="T2416" s="359" t="str">
        <f t="shared" si="81"/>
        <v>quarta-feira</v>
      </c>
      <c r="U2416" s="361">
        <v>42592</v>
      </c>
      <c r="V2416" s="360" t="str">
        <f t="shared" si="82"/>
        <v>quarta-feira</v>
      </c>
    </row>
    <row r="2417" spans="19:22">
      <c r="S2417" s="357">
        <v>43930</v>
      </c>
      <c r="T2417" s="359" t="str">
        <f t="shared" si="81"/>
        <v>quinta-feira</v>
      </c>
      <c r="U2417" s="361">
        <v>42593</v>
      </c>
      <c r="V2417" s="360" t="str">
        <f t="shared" si="82"/>
        <v>quinta-feira</v>
      </c>
    </row>
    <row r="2418" spans="19:22">
      <c r="S2418" s="357">
        <v>43931</v>
      </c>
      <c r="T2418" s="359" t="str">
        <f t="shared" si="81"/>
        <v>sexta-feira</v>
      </c>
      <c r="U2418" s="361">
        <v>42594</v>
      </c>
      <c r="V2418" s="360" t="str">
        <f t="shared" si="82"/>
        <v>sexta-feira</v>
      </c>
    </row>
    <row r="2419" spans="19:22">
      <c r="S2419" s="357">
        <v>43932</v>
      </c>
      <c r="T2419" s="359" t="str">
        <f t="shared" si="81"/>
        <v>sábado</v>
      </c>
      <c r="U2419" s="361">
        <v>42595</v>
      </c>
      <c r="V2419" s="360" t="str">
        <f t="shared" si="82"/>
        <v>sábado</v>
      </c>
    </row>
    <row r="2420" spans="19:22">
      <c r="S2420" s="357">
        <v>43933</v>
      </c>
      <c r="T2420" s="359" t="str">
        <f t="shared" si="81"/>
        <v>domingo</v>
      </c>
      <c r="U2420" s="361">
        <v>42596</v>
      </c>
      <c r="V2420" s="360" t="str">
        <f t="shared" si="82"/>
        <v>domingo</v>
      </c>
    </row>
    <row r="2421" spans="19:22">
      <c r="S2421" s="357">
        <v>43934</v>
      </c>
      <c r="T2421" s="359" t="str">
        <f t="shared" si="81"/>
        <v>segunda-feira</v>
      </c>
      <c r="U2421" s="361">
        <v>42597</v>
      </c>
      <c r="V2421" s="360" t="str">
        <f t="shared" si="82"/>
        <v>segunda-feira</v>
      </c>
    </row>
    <row r="2422" spans="19:22">
      <c r="S2422" s="357">
        <v>43935</v>
      </c>
      <c r="T2422" s="359" t="str">
        <f t="shared" si="81"/>
        <v>terça-feira</v>
      </c>
      <c r="U2422" s="361">
        <v>42598</v>
      </c>
      <c r="V2422" s="360" t="str">
        <f t="shared" si="82"/>
        <v>terça-feira</v>
      </c>
    </row>
    <row r="2423" spans="19:22">
      <c r="S2423" s="357">
        <v>43936</v>
      </c>
      <c r="T2423" s="359" t="str">
        <f t="shared" ref="T2423:T2486" si="83">TEXT(S2423,"dddd")</f>
        <v>quarta-feira</v>
      </c>
      <c r="U2423" s="361">
        <v>42599</v>
      </c>
      <c r="V2423" s="360" t="str">
        <f t="shared" si="82"/>
        <v>quarta-feira</v>
      </c>
    </row>
    <row r="2424" spans="19:22">
      <c r="S2424" s="357">
        <v>43937</v>
      </c>
      <c r="T2424" s="359" t="str">
        <f t="shared" si="83"/>
        <v>quinta-feira</v>
      </c>
      <c r="U2424" s="361">
        <v>42600</v>
      </c>
      <c r="V2424" s="360" t="str">
        <f t="shared" si="82"/>
        <v>quinta-feira</v>
      </c>
    </row>
    <row r="2425" spans="19:22">
      <c r="S2425" s="357">
        <v>43938</v>
      </c>
      <c r="T2425" s="359" t="str">
        <f t="shared" si="83"/>
        <v>sexta-feira</v>
      </c>
      <c r="U2425" s="361">
        <v>42601</v>
      </c>
      <c r="V2425" s="360" t="str">
        <f t="shared" si="82"/>
        <v>sexta-feira</v>
      </c>
    </row>
    <row r="2426" spans="19:22">
      <c r="S2426" s="357">
        <v>43939</v>
      </c>
      <c r="T2426" s="359" t="str">
        <f t="shared" si="83"/>
        <v>sábado</v>
      </c>
      <c r="U2426" s="361">
        <v>42602</v>
      </c>
      <c r="V2426" s="360" t="str">
        <f t="shared" si="82"/>
        <v>sábado</v>
      </c>
    </row>
    <row r="2427" spans="19:22">
      <c r="S2427" s="357">
        <v>43940</v>
      </c>
      <c r="T2427" s="359" t="str">
        <f t="shared" si="83"/>
        <v>domingo</v>
      </c>
      <c r="U2427" s="361">
        <v>42603</v>
      </c>
      <c r="V2427" s="360" t="str">
        <f t="shared" si="82"/>
        <v>domingo</v>
      </c>
    </row>
    <row r="2428" spans="19:22">
      <c r="S2428" s="357">
        <v>43941</v>
      </c>
      <c r="T2428" s="359" t="str">
        <f t="shared" si="83"/>
        <v>segunda-feira</v>
      </c>
      <c r="U2428" s="361">
        <v>42604</v>
      </c>
      <c r="V2428" s="360" t="str">
        <f t="shared" si="82"/>
        <v>segunda-feira</v>
      </c>
    </row>
    <row r="2429" spans="19:22">
      <c r="S2429" s="357">
        <v>43942</v>
      </c>
      <c r="T2429" s="359" t="str">
        <f t="shared" si="83"/>
        <v>terça-feira</v>
      </c>
      <c r="U2429" s="361">
        <v>42605</v>
      </c>
      <c r="V2429" s="360" t="str">
        <f t="shared" si="82"/>
        <v>terça-feira</v>
      </c>
    </row>
    <row r="2430" spans="19:22">
      <c r="S2430" s="357">
        <v>43943</v>
      </c>
      <c r="T2430" s="359" t="str">
        <f t="shared" si="83"/>
        <v>quarta-feira</v>
      </c>
      <c r="U2430" s="361">
        <v>42606</v>
      </c>
      <c r="V2430" s="360" t="str">
        <f t="shared" si="82"/>
        <v>quarta-feira</v>
      </c>
    </row>
    <row r="2431" spans="19:22">
      <c r="S2431" s="357">
        <v>43944</v>
      </c>
      <c r="T2431" s="359" t="str">
        <f t="shared" si="83"/>
        <v>quinta-feira</v>
      </c>
      <c r="U2431" s="361">
        <v>42607</v>
      </c>
      <c r="V2431" s="360" t="str">
        <f t="shared" si="82"/>
        <v>quinta-feira</v>
      </c>
    </row>
    <row r="2432" spans="19:22">
      <c r="S2432" s="357">
        <v>43945</v>
      </c>
      <c r="T2432" s="359" t="str">
        <f t="shared" si="83"/>
        <v>sexta-feira</v>
      </c>
      <c r="U2432" s="361">
        <v>42608</v>
      </c>
      <c r="V2432" s="360" t="str">
        <f t="shared" si="82"/>
        <v>sexta-feira</v>
      </c>
    </row>
    <row r="2433" spans="19:22">
      <c r="S2433" s="357">
        <v>43946</v>
      </c>
      <c r="T2433" s="359" t="str">
        <f t="shared" si="83"/>
        <v>sábado</v>
      </c>
      <c r="U2433" s="361">
        <v>42609</v>
      </c>
      <c r="V2433" s="360" t="str">
        <f t="shared" si="82"/>
        <v>sábado</v>
      </c>
    </row>
    <row r="2434" spans="19:22">
      <c r="S2434" s="357">
        <v>43947</v>
      </c>
      <c r="T2434" s="359" t="str">
        <f t="shared" si="83"/>
        <v>domingo</v>
      </c>
      <c r="U2434" s="361">
        <v>42610</v>
      </c>
      <c r="V2434" s="360" t="str">
        <f t="shared" si="82"/>
        <v>domingo</v>
      </c>
    </row>
    <row r="2435" spans="19:22">
      <c r="S2435" s="357">
        <v>43948</v>
      </c>
      <c r="T2435" s="359" t="str">
        <f t="shared" si="83"/>
        <v>segunda-feira</v>
      </c>
      <c r="U2435" s="361">
        <v>42611</v>
      </c>
      <c r="V2435" s="360" t="str">
        <f t="shared" si="82"/>
        <v>segunda-feira</v>
      </c>
    </row>
    <row r="2436" spans="19:22">
      <c r="S2436" s="357">
        <v>43949</v>
      </c>
      <c r="T2436" s="359" t="str">
        <f t="shared" si="83"/>
        <v>terça-feira</v>
      </c>
      <c r="U2436" s="361">
        <v>42612</v>
      </c>
      <c r="V2436" s="360" t="str">
        <f t="shared" si="82"/>
        <v>terça-feira</v>
      </c>
    </row>
    <row r="2437" spans="19:22">
      <c r="S2437" s="357">
        <v>43950</v>
      </c>
      <c r="T2437" s="359" t="str">
        <f t="shared" si="83"/>
        <v>quarta-feira</v>
      </c>
      <c r="U2437" s="361">
        <v>42613</v>
      </c>
      <c r="V2437" s="360" t="str">
        <f t="shared" si="82"/>
        <v>quarta-feira</v>
      </c>
    </row>
    <row r="2438" spans="19:22">
      <c r="S2438" s="357">
        <v>43951</v>
      </c>
      <c r="T2438" s="359" t="str">
        <f t="shared" si="83"/>
        <v>quinta-feira</v>
      </c>
      <c r="U2438" s="361">
        <v>42614</v>
      </c>
      <c r="V2438" s="360" t="str">
        <f t="shared" si="82"/>
        <v>quinta-feira</v>
      </c>
    </row>
    <row r="2439" spans="19:22">
      <c r="S2439" s="357">
        <v>43952</v>
      </c>
      <c r="T2439" s="359" t="str">
        <f t="shared" si="83"/>
        <v>sexta-feira</v>
      </c>
      <c r="U2439" s="361">
        <v>42615</v>
      </c>
      <c r="V2439" s="360" t="str">
        <f t="shared" si="82"/>
        <v>sexta-feira</v>
      </c>
    </row>
    <row r="2440" spans="19:22">
      <c r="S2440" s="357">
        <v>43953</v>
      </c>
      <c r="T2440" s="359" t="str">
        <f t="shared" si="83"/>
        <v>sábado</v>
      </c>
      <c r="U2440" s="361">
        <v>42616</v>
      </c>
      <c r="V2440" s="360" t="str">
        <f t="shared" si="82"/>
        <v>sábado</v>
      </c>
    </row>
    <row r="2441" spans="19:22">
      <c r="S2441" s="357">
        <v>43954</v>
      </c>
      <c r="T2441" s="359" t="str">
        <f t="shared" si="83"/>
        <v>domingo</v>
      </c>
      <c r="U2441" s="361">
        <v>42617</v>
      </c>
      <c r="V2441" s="360" t="str">
        <f t="shared" si="82"/>
        <v>domingo</v>
      </c>
    </row>
    <row r="2442" spans="19:22">
      <c r="S2442" s="357">
        <v>43955</v>
      </c>
      <c r="T2442" s="359" t="str">
        <f t="shared" si="83"/>
        <v>segunda-feira</v>
      </c>
      <c r="U2442" s="361">
        <v>42618</v>
      </c>
      <c r="V2442" s="360" t="str">
        <f t="shared" si="82"/>
        <v>segunda-feira</v>
      </c>
    </row>
    <row r="2443" spans="19:22">
      <c r="S2443" s="357">
        <v>43956</v>
      </c>
      <c r="T2443" s="359" t="str">
        <f t="shared" si="83"/>
        <v>terça-feira</v>
      </c>
      <c r="U2443" s="361">
        <v>42619</v>
      </c>
      <c r="V2443" s="360" t="str">
        <f t="shared" si="82"/>
        <v>terça-feira</v>
      </c>
    </row>
    <row r="2444" spans="19:22">
      <c r="S2444" s="357">
        <v>43957</v>
      </c>
      <c r="T2444" s="359" t="str">
        <f t="shared" si="83"/>
        <v>quarta-feira</v>
      </c>
      <c r="U2444" s="361">
        <v>42620</v>
      </c>
      <c r="V2444" s="360" t="str">
        <f t="shared" si="82"/>
        <v>quarta-feira</v>
      </c>
    </row>
    <row r="2445" spans="19:22">
      <c r="S2445" s="357">
        <v>43958</v>
      </c>
      <c r="T2445" s="359" t="str">
        <f t="shared" si="83"/>
        <v>quinta-feira</v>
      </c>
      <c r="U2445" s="361">
        <v>42621</v>
      </c>
      <c r="V2445" s="360" t="str">
        <f t="shared" si="82"/>
        <v>quinta-feira</v>
      </c>
    </row>
    <row r="2446" spans="19:22">
      <c r="S2446" s="357">
        <v>43959</v>
      </c>
      <c r="T2446" s="359" t="str">
        <f t="shared" si="83"/>
        <v>sexta-feira</v>
      </c>
      <c r="U2446" s="361">
        <v>42622</v>
      </c>
      <c r="V2446" s="360" t="str">
        <f t="shared" si="82"/>
        <v>sexta-feira</v>
      </c>
    </row>
    <row r="2447" spans="19:22">
      <c r="S2447" s="357">
        <v>43960</v>
      </c>
      <c r="T2447" s="359" t="str">
        <f t="shared" si="83"/>
        <v>sábado</v>
      </c>
      <c r="U2447" s="361">
        <v>42623</v>
      </c>
      <c r="V2447" s="360" t="str">
        <f t="shared" si="82"/>
        <v>sábado</v>
      </c>
    </row>
    <row r="2448" spans="19:22">
      <c r="S2448" s="357">
        <v>43961</v>
      </c>
      <c r="T2448" s="359" t="str">
        <f t="shared" si="83"/>
        <v>domingo</v>
      </c>
      <c r="U2448" s="361">
        <v>42624</v>
      </c>
      <c r="V2448" s="360" t="str">
        <f t="shared" si="82"/>
        <v>domingo</v>
      </c>
    </row>
    <row r="2449" spans="19:22">
      <c r="S2449" s="357">
        <v>43962</v>
      </c>
      <c r="T2449" s="359" t="str">
        <f t="shared" si="83"/>
        <v>segunda-feira</v>
      </c>
      <c r="U2449" s="361">
        <v>42625</v>
      </c>
      <c r="V2449" s="360" t="str">
        <f t="shared" si="82"/>
        <v>segunda-feira</v>
      </c>
    </row>
    <row r="2450" spans="19:22">
      <c r="S2450" s="357">
        <v>43963</v>
      </c>
      <c r="T2450" s="359" t="str">
        <f t="shared" si="83"/>
        <v>terça-feira</v>
      </c>
      <c r="U2450" s="361">
        <v>42626</v>
      </c>
      <c r="V2450" s="360" t="str">
        <f t="shared" ref="V2450:V2513" si="84">TEXT(U2450,"dddd")</f>
        <v>terça-feira</v>
      </c>
    </row>
    <row r="2451" spans="19:22">
      <c r="S2451" s="357">
        <v>43964</v>
      </c>
      <c r="T2451" s="359" t="str">
        <f t="shared" si="83"/>
        <v>quarta-feira</v>
      </c>
      <c r="U2451" s="361">
        <v>42627</v>
      </c>
      <c r="V2451" s="360" t="str">
        <f t="shared" si="84"/>
        <v>quarta-feira</v>
      </c>
    </row>
    <row r="2452" spans="19:22">
      <c r="S2452" s="357">
        <v>43965</v>
      </c>
      <c r="T2452" s="359" t="str">
        <f t="shared" si="83"/>
        <v>quinta-feira</v>
      </c>
      <c r="U2452" s="361">
        <v>42628</v>
      </c>
      <c r="V2452" s="360" t="str">
        <f t="shared" si="84"/>
        <v>quinta-feira</v>
      </c>
    </row>
    <row r="2453" spans="19:22">
      <c r="S2453" s="357">
        <v>43966</v>
      </c>
      <c r="T2453" s="359" t="str">
        <f t="shared" si="83"/>
        <v>sexta-feira</v>
      </c>
      <c r="U2453" s="361">
        <v>42629</v>
      </c>
      <c r="V2453" s="360" t="str">
        <f t="shared" si="84"/>
        <v>sexta-feira</v>
      </c>
    </row>
    <row r="2454" spans="19:22">
      <c r="S2454" s="357">
        <v>43967</v>
      </c>
      <c r="T2454" s="359" t="str">
        <f t="shared" si="83"/>
        <v>sábado</v>
      </c>
      <c r="U2454" s="361">
        <v>42630</v>
      </c>
      <c r="V2454" s="360" t="str">
        <f t="shared" si="84"/>
        <v>sábado</v>
      </c>
    </row>
    <row r="2455" spans="19:22">
      <c r="S2455" s="357">
        <v>43968</v>
      </c>
      <c r="T2455" s="359" t="str">
        <f t="shared" si="83"/>
        <v>domingo</v>
      </c>
      <c r="U2455" s="361">
        <v>42631</v>
      </c>
      <c r="V2455" s="360" t="str">
        <f t="shared" si="84"/>
        <v>domingo</v>
      </c>
    </row>
    <row r="2456" spans="19:22">
      <c r="S2456" s="357">
        <v>43969</v>
      </c>
      <c r="T2456" s="359" t="str">
        <f t="shared" si="83"/>
        <v>segunda-feira</v>
      </c>
      <c r="U2456" s="361">
        <v>42632</v>
      </c>
      <c r="V2456" s="360" t="str">
        <f t="shared" si="84"/>
        <v>segunda-feira</v>
      </c>
    </row>
    <row r="2457" spans="19:22">
      <c r="S2457" s="357">
        <v>43970</v>
      </c>
      <c r="T2457" s="359" t="str">
        <f t="shared" si="83"/>
        <v>terça-feira</v>
      </c>
      <c r="U2457" s="361">
        <v>42633</v>
      </c>
      <c r="V2457" s="360" t="str">
        <f t="shared" si="84"/>
        <v>terça-feira</v>
      </c>
    </row>
    <row r="2458" spans="19:22">
      <c r="S2458" s="357">
        <v>43971</v>
      </c>
      <c r="T2458" s="359" t="str">
        <f t="shared" si="83"/>
        <v>quarta-feira</v>
      </c>
      <c r="U2458" s="361">
        <v>42634</v>
      </c>
      <c r="V2458" s="360" t="str">
        <f t="shared" si="84"/>
        <v>quarta-feira</v>
      </c>
    </row>
    <row r="2459" spans="19:22">
      <c r="S2459" s="357">
        <v>43972</v>
      </c>
      <c r="T2459" s="359" t="str">
        <f t="shared" si="83"/>
        <v>quinta-feira</v>
      </c>
      <c r="U2459" s="361">
        <v>42635</v>
      </c>
      <c r="V2459" s="360" t="str">
        <f t="shared" si="84"/>
        <v>quinta-feira</v>
      </c>
    </row>
    <row r="2460" spans="19:22">
      <c r="S2460" s="357">
        <v>43973</v>
      </c>
      <c r="T2460" s="359" t="str">
        <f t="shared" si="83"/>
        <v>sexta-feira</v>
      </c>
      <c r="U2460" s="361">
        <v>42636</v>
      </c>
      <c r="V2460" s="360" t="str">
        <f t="shared" si="84"/>
        <v>sexta-feira</v>
      </c>
    </row>
    <row r="2461" spans="19:22">
      <c r="S2461" s="357">
        <v>43974</v>
      </c>
      <c r="T2461" s="359" t="str">
        <f t="shared" si="83"/>
        <v>sábado</v>
      </c>
      <c r="U2461" s="361">
        <v>42637</v>
      </c>
      <c r="V2461" s="360" t="str">
        <f t="shared" si="84"/>
        <v>sábado</v>
      </c>
    </row>
    <row r="2462" spans="19:22">
      <c r="S2462" s="357">
        <v>43975</v>
      </c>
      <c r="T2462" s="359" t="str">
        <f t="shared" si="83"/>
        <v>domingo</v>
      </c>
      <c r="U2462" s="361">
        <v>42638</v>
      </c>
      <c r="V2462" s="360" t="str">
        <f t="shared" si="84"/>
        <v>domingo</v>
      </c>
    </row>
    <row r="2463" spans="19:22">
      <c r="S2463" s="357">
        <v>43976</v>
      </c>
      <c r="T2463" s="359" t="str">
        <f t="shared" si="83"/>
        <v>segunda-feira</v>
      </c>
      <c r="U2463" s="361">
        <v>42639</v>
      </c>
      <c r="V2463" s="360" t="str">
        <f t="shared" si="84"/>
        <v>segunda-feira</v>
      </c>
    </row>
    <row r="2464" spans="19:22">
      <c r="S2464" s="357">
        <v>43977</v>
      </c>
      <c r="T2464" s="359" t="str">
        <f t="shared" si="83"/>
        <v>terça-feira</v>
      </c>
      <c r="U2464" s="361">
        <v>42640</v>
      </c>
      <c r="V2464" s="360" t="str">
        <f t="shared" si="84"/>
        <v>terça-feira</v>
      </c>
    </row>
    <row r="2465" spans="19:22">
      <c r="S2465" s="357">
        <v>43978</v>
      </c>
      <c r="T2465" s="359" t="str">
        <f t="shared" si="83"/>
        <v>quarta-feira</v>
      </c>
      <c r="U2465" s="361">
        <v>42641</v>
      </c>
      <c r="V2465" s="360" t="str">
        <f t="shared" si="84"/>
        <v>quarta-feira</v>
      </c>
    </row>
    <row r="2466" spans="19:22">
      <c r="S2466" s="357">
        <v>43979</v>
      </c>
      <c r="T2466" s="359" t="str">
        <f t="shared" si="83"/>
        <v>quinta-feira</v>
      </c>
      <c r="U2466" s="361">
        <v>42642</v>
      </c>
      <c r="V2466" s="360" t="str">
        <f t="shared" si="84"/>
        <v>quinta-feira</v>
      </c>
    </row>
    <row r="2467" spans="19:22">
      <c r="S2467" s="357">
        <v>43980</v>
      </c>
      <c r="T2467" s="359" t="str">
        <f t="shared" si="83"/>
        <v>sexta-feira</v>
      </c>
      <c r="U2467" s="361">
        <v>42643</v>
      </c>
      <c r="V2467" s="360" t="str">
        <f t="shared" si="84"/>
        <v>sexta-feira</v>
      </c>
    </row>
    <row r="2468" spans="19:22">
      <c r="S2468" s="357">
        <v>43981</v>
      </c>
      <c r="T2468" s="359" t="str">
        <f t="shared" si="83"/>
        <v>sábado</v>
      </c>
      <c r="U2468" s="361">
        <v>42644</v>
      </c>
      <c r="V2468" s="360" t="str">
        <f t="shared" si="84"/>
        <v>sábado</v>
      </c>
    </row>
    <row r="2469" spans="19:22">
      <c r="S2469" s="357">
        <v>43982</v>
      </c>
      <c r="T2469" s="359" t="str">
        <f t="shared" si="83"/>
        <v>domingo</v>
      </c>
      <c r="U2469" s="361">
        <v>42645</v>
      </c>
      <c r="V2469" s="360" t="str">
        <f t="shared" si="84"/>
        <v>domingo</v>
      </c>
    </row>
    <row r="2470" spans="19:22">
      <c r="S2470" s="357">
        <v>43983</v>
      </c>
      <c r="T2470" s="359" t="str">
        <f t="shared" si="83"/>
        <v>segunda-feira</v>
      </c>
      <c r="U2470" s="361">
        <v>42646</v>
      </c>
      <c r="V2470" s="360" t="str">
        <f t="shared" si="84"/>
        <v>segunda-feira</v>
      </c>
    </row>
    <row r="2471" spans="19:22">
      <c r="S2471" s="357">
        <v>43984</v>
      </c>
      <c r="T2471" s="359" t="str">
        <f t="shared" si="83"/>
        <v>terça-feira</v>
      </c>
      <c r="U2471" s="361">
        <v>42647</v>
      </c>
      <c r="V2471" s="360" t="str">
        <f t="shared" si="84"/>
        <v>terça-feira</v>
      </c>
    </row>
    <row r="2472" spans="19:22">
      <c r="S2472" s="357">
        <v>43985</v>
      </c>
      <c r="T2472" s="359" t="str">
        <f t="shared" si="83"/>
        <v>quarta-feira</v>
      </c>
      <c r="U2472" s="361">
        <v>42648</v>
      </c>
      <c r="V2472" s="360" t="str">
        <f t="shared" si="84"/>
        <v>quarta-feira</v>
      </c>
    </row>
    <row r="2473" spans="19:22">
      <c r="S2473" s="357">
        <v>43986</v>
      </c>
      <c r="T2473" s="359" t="str">
        <f t="shared" si="83"/>
        <v>quinta-feira</v>
      </c>
      <c r="U2473" s="361">
        <v>42649</v>
      </c>
      <c r="V2473" s="360" t="str">
        <f t="shared" si="84"/>
        <v>quinta-feira</v>
      </c>
    </row>
    <row r="2474" spans="19:22">
      <c r="S2474" s="357">
        <v>43987</v>
      </c>
      <c r="T2474" s="359" t="str">
        <f t="shared" si="83"/>
        <v>sexta-feira</v>
      </c>
      <c r="U2474" s="361">
        <v>42650</v>
      </c>
      <c r="V2474" s="360" t="str">
        <f t="shared" si="84"/>
        <v>sexta-feira</v>
      </c>
    </row>
    <row r="2475" spans="19:22">
      <c r="S2475" s="357">
        <v>43988</v>
      </c>
      <c r="T2475" s="359" t="str">
        <f t="shared" si="83"/>
        <v>sábado</v>
      </c>
      <c r="U2475" s="361">
        <v>42651</v>
      </c>
      <c r="V2475" s="360" t="str">
        <f t="shared" si="84"/>
        <v>sábado</v>
      </c>
    </row>
    <row r="2476" spans="19:22">
      <c r="S2476" s="357">
        <v>43989</v>
      </c>
      <c r="T2476" s="359" t="str">
        <f t="shared" si="83"/>
        <v>domingo</v>
      </c>
      <c r="U2476" s="361">
        <v>42652</v>
      </c>
      <c r="V2476" s="360" t="str">
        <f t="shared" si="84"/>
        <v>domingo</v>
      </c>
    </row>
    <row r="2477" spans="19:22">
      <c r="S2477" s="357">
        <v>43990</v>
      </c>
      <c r="T2477" s="359" t="str">
        <f t="shared" si="83"/>
        <v>segunda-feira</v>
      </c>
      <c r="U2477" s="361">
        <v>42653</v>
      </c>
      <c r="V2477" s="360" t="str">
        <f t="shared" si="84"/>
        <v>segunda-feira</v>
      </c>
    </row>
    <row r="2478" spans="19:22">
      <c r="S2478" s="357">
        <v>43991</v>
      </c>
      <c r="T2478" s="359" t="str">
        <f t="shared" si="83"/>
        <v>terça-feira</v>
      </c>
      <c r="U2478" s="361">
        <v>42654</v>
      </c>
      <c r="V2478" s="360" t="str">
        <f t="shared" si="84"/>
        <v>terça-feira</v>
      </c>
    </row>
    <row r="2479" spans="19:22">
      <c r="S2479" s="357">
        <v>43992</v>
      </c>
      <c r="T2479" s="359" t="str">
        <f t="shared" si="83"/>
        <v>quarta-feira</v>
      </c>
      <c r="U2479" s="361">
        <v>42655</v>
      </c>
      <c r="V2479" s="360" t="str">
        <f t="shared" si="84"/>
        <v>quarta-feira</v>
      </c>
    </row>
    <row r="2480" spans="19:22">
      <c r="S2480" s="357">
        <v>43993</v>
      </c>
      <c r="T2480" s="359" t="str">
        <f t="shared" si="83"/>
        <v>quinta-feira</v>
      </c>
      <c r="U2480" s="361">
        <v>42656</v>
      </c>
      <c r="V2480" s="360" t="str">
        <f t="shared" si="84"/>
        <v>quinta-feira</v>
      </c>
    </row>
    <row r="2481" spans="19:22">
      <c r="S2481" s="357">
        <v>43994</v>
      </c>
      <c r="T2481" s="359" t="str">
        <f t="shared" si="83"/>
        <v>sexta-feira</v>
      </c>
      <c r="U2481" s="361">
        <v>42657</v>
      </c>
      <c r="V2481" s="360" t="str">
        <f t="shared" si="84"/>
        <v>sexta-feira</v>
      </c>
    </row>
    <row r="2482" spans="19:22">
      <c r="S2482" s="357">
        <v>43995</v>
      </c>
      <c r="T2482" s="359" t="str">
        <f t="shared" si="83"/>
        <v>sábado</v>
      </c>
      <c r="U2482" s="361">
        <v>42658</v>
      </c>
      <c r="V2482" s="360" t="str">
        <f t="shared" si="84"/>
        <v>sábado</v>
      </c>
    </row>
    <row r="2483" spans="19:22">
      <c r="S2483" s="357">
        <v>43996</v>
      </c>
      <c r="T2483" s="359" t="str">
        <f t="shared" si="83"/>
        <v>domingo</v>
      </c>
      <c r="U2483" s="361">
        <v>42659</v>
      </c>
      <c r="V2483" s="360" t="str">
        <f t="shared" si="84"/>
        <v>domingo</v>
      </c>
    </row>
    <row r="2484" spans="19:22">
      <c r="S2484" s="357">
        <v>43997</v>
      </c>
      <c r="T2484" s="359" t="str">
        <f t="shared" si="83"/>
        <v>segunda-feira</v>
      </c>
      <c r="U2484" s="361">
        <v>42660</v>
      </c>
      <c r="V2484" s="360" t="str">
        <f t="shared" si="84"/>
        <v>segunda-feira</v>
      </c>
    </row>
    <row r="2485" spans="19:22">
      <c r="S2485" s="357">
        <v>43998</v>
      </c>
      <c r="T2485" s="359" t="str">
        <f t="shared" si="83"/>
        <v>terça-feira</v>
      </c>
      <c r="U2485" s="361">
        <v>42661</v>
      </c>
      <c r="V2485" s="360" t="str">
        <f t="shared" si="84"/>
        <v>terça-feira</v>
      </c>
    </row>
    <row r="2486" spans="19:22">
      <c r="S2486" s="357">
        <v>43999</v>
      </c>
      <c r="T2486" s="359" t="str">
        <f t="shared" si="83"/>
        <v>quarta-feira</v>
      </c>
      <c r="U2486" s="361">
        <v>42662</v>
      </c>
      <c r="V2486" s="360" t="str">
        <f t="shared" si="84"/>
        <v>quarta-feira</v>
      </c>
    </row>
    <row r="2487" spans="19:22">
      <c r="S2487" s="357">
        <v>44000</v>
      </c>
      <c r="T2487" s="359" t="str">
        <f t="shared" ref="T2487:T2550" si="85">TEXT(S2487,"dddd")</f>
        <v>quinta-feira</v>
      </c>
      <c r="U2487" s="361">
        <v>42663</v>
      </c>
      <c r="V2487" s="360" t="str">
        <f t="shared" si="84"/>
        <v>quinta-feira</v>
      </c>
    </row>
    <row r="2488" spans="19:22">
      <c r="S2488" s="357">
        <v>44001</v>
      </c>
      <c r="T2488" s="359" t="str">
        <f t="shared" si="85"/>
        <v>sexta-feira</v>
      </c>
      <c r="U2488" s="361">
        <v>42664</v>
      </c>
      <c r="V2488" s="360" t="str">
        <f t="shared" si="84"/>
        <v>sexta-feira</v>
      </c>
    </row>
    <row r="2489" spans="19:22">
      <c r="S2489" s="357">
        <v>44002</v>
      </c>
      <c r="T2489" s="359" t="str">
        <f t="shared" si="85"/>
        <v>sábado</v>
      </c>
      <c r="U2489" s="361">
        <v>42665</v>
      </c>
      <c r="V2489" s="360" t="str">
        <f t="shared" si="84"/>
        <v>sábado</v>
      </c>
    </row>
    <row r="2490" spans="19:22">
      <c r="S2490" s="357">
        <v>44003</v>
      </c>
      <c r="T2490" s="359" t="str">
        <f t="shared" si="85"/>
        <v>domingo</v>
      </c>
      <c r="U2490" s="361">
        <v>42666</v>
      </c>
      <c r="V2490" s="360" t="str">
        <f t="shared" si="84"/>
        <v>domingo</v>
      </c>
    </row>
    <row r="2491" spans="19:22">
      <c r="S2491" s="357">
        <v>44004</v>
      </c>
      <c r="T2491" s="359" t="str">
        <f t="shared" si="85"/>
        <v>segunda-feira</v>
      </c>
      <c r="U2491" s="361">
        <v>42667</v>
      </c>
      <c r="V2491" s="360" t="str">
        <f t="shared" si="84"/>
        <v>segunda-feira</v>
      </c>
    </row>
    <row r="2492" spans="19:22">
      <c r="S2492" s="357">
        <v>44005</v>
      </c>
      <c r="T2492" s="359" t="str">
        <f t="shared" si="85"/>
        <v>terça-feira</v>
      </c>
      <c r="U2492" s="361">
        <v>42668</v>
      </c>
      <c r="V2492" s="360" t="str">
        <f t="shared" si="84"/>
        <v>terça-feira</v>
      </c>
    </row>
    <row r="2493" spans="19:22">
      <c r="S2493" s="357">
        <v>44006</v>
      </c>
      <c r="T2493" s="359" t="str">
        <f t="shared" si="85"/>
        <v>quarta-feira</v>
      </c>
      <c r="U2493" s="361">
        <v>42669</v>
      </c>
      <c r="V2493" s="360" t="str">
        <f t="shared" si="84"/>
        <v>quarta-feira</v>
      </c>
    </row>
    <row r="2494" spans="19:22">
      <c r="S2494" s="357">
        <v>44007</v>
      </c>
      <c r="T2494" s="359" t="str">
        <f t="shared" si="85"/>
        <v>quinta-feira</v>
      </c>
      <c r="U2494" s="361">
        <v>42670</v>
      </c>
      <c r="V2494" s="360" t="str">
        <f t="shared" si="84"/>
        <v>quinta-feira</v>
      </c>
    </row>
    <row r="2495" spans="19:22">
      <c r="S2495" s="357">
        <v>44008</v>
      </c>
      <c r="T2495" s="359" t="str">
        <f t="shared" si="85"/>
        <v>sexta-feira</v>
      </c>
      <c r="U2495" s="361">
        <v>42671</v>
      </c>
      <c r="V2495" s="360" t="str">
        <f t="shared" si="84"/>
        <v>sexta-feira</v>
      </c>
    </row>
    <row r="2496" spans="19:22">
      <c r="S2496" s="357">
        <v>44009</v>
      </c>
      <c r="T2496" s="359" t="str">
        <f t="shared" si="85"/>
        <v>sábado</v>
      </c>
      <c r="U2496" s="361">
        <v>42672</v>
      </c>
      <c r="V2496" s="360" t="str">
        <f t="shared" si="84"/>
        <v>sábado</v>
      </c>
    </row>
    <row r="2497" spans="19:22">
      <c r="S2497" s="357">
        <v>44010</v>
      </c>
      <c r="T2497" s="359" t="str">
        <f t="shared" si="85"/>
        <v>domingo</v>
      </c>
      <c r="U2497" s="361">
        <v>42673</v>
      </c>
      <c r="V2497" s="360" t="str">
        <f t="shared" si="84"/>
        <v>domingo</v>
      </c>
    </row>
    <row r="2498" spans="19:22">
      <c r="S2498" s="357">
        <v>44011</v>
      </c>
      <c r="T2498" s="359" t="str">
        <f t="shared" si="85"/>
        <v>segunda-feira</v>
      </c>
      <c r="U2498" s="361">
        <v>42674</v>
      </c>
      <c r="V2498" s="360" t="str">
        <f t="shared" si="84"/>
        <v>segunda-feira</v>
      </c>
    </row>
    <row r="2499" spans="19:22">
      <c r="S2499" s="357">
        <v>44012</v>
      </c>
      <c r="T2499" s="359" t="str">
        <f t="shared" si="85"/>
        <v>terça-feira</v>
      </c>
      <c r="U2499" s="361">
        <v>42675</v>
      </c>
      <c r="V2499" s="360" t="str">
        <f t="shared" si="84"/>
        <v>terça-feira</v>
      </c>
    </row>
    <row r="2500" spans="19:22">
      <c r="S2500" s="357">
        <v>44013</v>
      </c>
      <c r="T2500" s="359" t="str">
        <f t="shared" si="85"/>
        <v>quarta-feira</v>
      </c>
      <c r="U2500" s="361">
        <v>42676</v>
      </c>
      <c r="V2500" s="360" t="str">
        <f t="shared" si="84"/>
        <v>quarta-feira</v>
      </c>
    </row>
    <row r="2501" spans="19:22">
      <c r="S2501" s="357">
        <v>44014</v>
      </c>
      <c r="T2501" s="359" t="str">
        <f t="shared" si="85"/>
        <v>quinta-feira</v>
      </c>
      <c r="U2501" s="361">
        <v>42677</v>
      </c>
      <c r="V2501" s="360" t="str">
        <f t="shared" si="84"/>
        <v>quinta-feira</v>
      </c>
    </row>
    <row r="2502" spans="19:22">
      <c r="S2502" s="357">
        <v>44015</v>
      </c>
      <c r="T2502" s="359" t="str">
        <f t="shared" si="85"/>
        <v>sexta-feira</v>
      </c>
      <c r="U2502" s="361">
        <v>42678</v>
      </c>
      <c r="V2502" s="360" t="str">
        <f t="shared" si="84"/>
        <v>sexta-feira</v>
      </c>
    </row>
    <row r="2503" spans="19:22">
      <c r="S2503" s="357">
        <v>44016</v>
      </c>
      <c r="T2503" s="359" t="str">
        <f t="shared" si="85"/>
        <v>sábado</v>
      </c>
      <c r="U2503" s="361">
        <v>42679</v>
      </c>
      <c r="V2503" s="360" t="str">
        <f t="shared" si="84"/>
        <v>sábado</v>
      </c>
    </row>
    <row r="2504" spans="19:22">
      <c r="S2504" s="357">
        <v>44017</v>
      </c>
      <c r="T2504" s="359" t="str">
        <f t="shared" si="85"/>
        <v>domingo</v>
      </c>
      <c r="U2504" s="361">
        <v>42680</v>
      </c>
      <c r="V2504" s="360" t="str">
        <f t="shared" si="84"/>
        <v>domingo</v>
      </c>
    </row>
    <row r="2505" spans="19:22">
      <c r="S2505" s="357">
        <v>44018</v>
      </c>
      <c r="T2505" s="359" t="str">
        <f t="shared" si="85"/>
        <v>segunda-feira</v>
      </c>
      <c r="U2505" s="361">
        <v>42681</v>
      </c>
      <c r="V2505" s="360" t="str">
        <f t="shared" si="84"/>
        <v>segunda-feira</v>
      </c>
    </row>
    <row r="2506" spans="19:22">
      <c r="S2506" s="357">
        <v>44019</v>
      </c>
      <c r="T2506" s="359" t="str">
        <f t="shared" si="85"/>
        <v>terça-feira</v>
      </c>
      <c r="U2506" s="361">
        <v>42682</v>
      </c>
      <c r="V2506" s="360" t="str">
        <f t="shared" si="84"/>
        <v>terça-feira</v>
      </c>
    </row>
    <row r="2507" spans="19:22">
      <c r="S2507" s="357">
        <v>44020</v>
      </c>
      <c r="T2507" s="359" t="str">
        <f t="shared" si="85"/>
        <v>quarta-feira</v>
      </c>
      <c r="U2507" s="361">
        <v>42683</v>
      </c>
      <c r="V2507" s="360" t="str">
        <f t="shared" si="84"/>
        <v>quarta-feira</v>
      </c>
    </row>
    <row r="2508" spans="19:22">
      <c r="S2508" s="357">
        <v>44021</v>
      </c>
      <c r="T2508" s="359" t="str">
        <f t="shared" si="85"/>
        <v>quinta-feira</v>
      </c>
      <c r="U2508" s="361">
        <v>42684</v>
      </c>
      <c r="V2508" s="360" t="str">
        <f t="shared" si="84"/>
        <v>quinta-feira</v>
      </c>
    </row>
    <row r="2509" spans="19:22">
      <c r="S2509" s="357">
        <v>44022</v>
      </c>
      <c r="T2509" s="359" t="str">
        <f t="shared" si="85"/>
        <v>sexta-feira</v>
      </c>
      <c r="U2509" s="361">
        <v>42685</v>
      </c>
      <c r="V2509" s="360" t="str">
        <f t="shared" si="84"/>
        <v>sexta-feira</v>
      </c>
    </row>
    <row r="2510" spans="19:22">
      <c r="S2510" s="357">
        <v>44023</v>
      </c>
      <c r="T2510" s="359" t="str">
        <f t="shared" si="85"/>
        <v>sábado</v>
      </c>
      <c r="U2510" s="361">
        <v>42686</v>
      </c>
      <c r="V2510" s="360" t="str">
        <f t="shared" si="84"/>
        <v>sábado</v>
      </c>
    </row>
    <row r="2511" spans="19:22">
      <c r="S2511" s="357">
        <v>44024</v>
      </c>
      <c r="T2511" s="359" t="str">
        <f t="shared" si="85"/>
        <v>domingo</v>
      </c>
      <c r="U2511" s="361">
        <v>42687</v>
      </c>
      <c r="V2511" s="360" t="str">
        <f t="shared" si="84"/>
        <v>domingo</v>
      </c>
    </row>
    <row r="2512" spans="19:22">
      <c r="S2512" s="357">
        <v>44025</v>
      </c>
      <c r="T2512" s="359" t="str">
        <f t="shared" si="85"/>
        <v>segunda-feira</v>
      </c>
      <c r="U2512" s="361">
        <v>42688</v>
      </c>
      <c r="V2512" s="360" t="str">
        <f t="shared" si="84"/>
        <v>segunda-feira</v>
      </c>
    </row>
    <row r="2513" spans="19:22">
      <c r="S2513" s="357">
        <v>44026</v>
      </c>
      <c r="T2513" s="359" t="str">
        <f t="shared" si="85"/>
        <v>terça-feira</v>
      </c>
      <c r="U2513" s="361">
        <v>42689</v>
      </c>
      <c r="V2513" s="360" t="str">
        <f t="shared" si="84"/>
        <v>terça-feira</v>
      </c>
    </row>
    <row r="2514" spans="19:22">
      <c r="S2514" s="357">
        <v>44027</v>
      </c>
      <c r="T2514" s="359" t="str">
        <f t="shared" si="85"/>
        <v>quarta-feira</v>
      </c>
      <c r="U2514" s="361">
        <v>42690</v>
      </c>
      <c r="V2514" s="360" t="str">
        <f t="shared" ref="V2514:V2577" si="86">TEXT(U2514,"dddd")</f>
        <v>quarta-feira</v>
      </c>
    </row>
    <row r="2515" spans="19:22">
      <c r="S2515" s="357">
        <v>44028</v>
      </c>
      <c r="T2515" s="359" t="str">
        <f t="shared" si="85"/>
        <v>quinta-feira</v>
      </c>
      <c r="U2515" s="361">
        <v>42691</v>
      </c>
      <c r="V2515" s="360" t="str">
        <f t="shared" si="86"/>
        <v>quinta-feira</v>
      </c>
    </row>
    <row r="2516" spans="19:22">
      <c r="S2516" s="357">
        <v>44029</v>
      </c>
      <c r="T2516" s="359" t="str">
        <f t="shared" si="85"/>
        <v>sexta-feira</v>
      </c>
      <c r="U2516" s="361">
        <v>42692</v>
      </c>
      <c r="V2516" s="360" t="str">
        <f t="shared" si="86"/>
        <v>sexta-feira</v>
      </c>
    </row>
    <row r="2517" spans="19:22">
      <c r="S2517" s="357">
        <v>44030</v>
      </c>
      <c r="T2517" s="359" t="str">
        <f t="shared" si="85"/>
        <v>sábado</v>
      </c>
      <c r="U2517" s="361">
        <v>42693</v>
      </c>
      <c r="V2517" s="360" t="str">
        <f t="shared" si="86"/>
        <v>sábado</v>
      </c>
    </row>
    <row r="2518" spans="19:22">
      <c r="S2518" s="357">
        <v>44031</v>
      </c>
      <c r="T2518" s="359" t="str">
        <f t="shared" si="85"/>
        <v>domingo</v>
      </c>
      <c r="U2518" s="361">
        <v>42694</v>
      </c>
      <c r="V2518" s="360" t="str">
        <f t="shared" si="86"/>
        <v>domingo</v>
      </c>
    </row>
    <row r="2519" spans="19:22">
      <c r="S2519" s="357">
        <v>44032</v>
      </c>
      <c r="T2519" s="359" t="str">
        <f t="shared" si="85"/>
        <v>segunda-feira</v>
      </c>
      <c r="U2519" s="361">
        <v>42695</v>
      </c>
      <c r="V2519" s="360" t="str">
        <f t="shared" si="86"/>
        <v>segunda-feira</v>
      </c>
    </row>
    <row r="2520" spans="19:22">
      <c r="S2520" s="357">
        <v>44033</v>
      </c>
      <c r="T2520" s="359" t="str">
        <f t="shared" si="85"/>
        <v>terça-feira</v>
      </c>
      <c r="U2520" s="361">
        <v>42696</v>
      </c>
      <c r="V2520" s="360" t="str">
        <f t="shared" si="86"/>
        <v>terça-feira</v>
      </c>
    </row>
    <row r="2521" spans="19:22">
      <c r="S2521" s="357">
        <v>44034</v>
      </c>
      <c r="T2521" s="359" t="str">
        <f t="shared" si="85"/>
        <v>quarta-feira</v>
      </c>
      <c r="U2521" s="361">
        <v>42697</v>
      </c>
      <c r="V2521" s="360" t="str">
        <f t="shared" si="86"/>
        <v>quarta-feira</v>
      </c>
    </row>
    <row r="2522" spans="19:22">
      <c r="S2522" s="357">
        <v>44035</v>
      </c>
      <c r="T2522" s="359" t="str">
        <f t="shared" si="85"/>
        <v>quinta-feira</v>
      </c>
      <c r="U2522" s="361">
        <v>42698</v>
      </c>
      <c r="V2522" s="360" t="str">
        <f t="shared" si="86"/>
        <v>quinta-feira</v>
      </c>
    </row>
    <row r="2523" spans="19:22">
      <c r="S2523" s="357">
        <v>44036</v>
      </c>
      <c r="T2523" s="359" t="str">
        <f t="shared" si="85"/>
        <v>sexta-feira</v>
      </c>
      <c r="U2523" s="361">
        <v>42699</v>
      </c>
      <c r="V2523" s="360" t="str">
        <f t="shared" si="86"/>
        <v>sexta-feira</v>
      </c>
    </row>
    <row r="2524" spans="19:22">
      <c r="S2524" s="357">
        <v>44037</v>
      </c>
      <c r="T2524" s="359" t="str">
        <f t="shared" si="85"/>
        <v>sábado</v>
      </c>
      <c r="U2524" s="361">
        <v>42700</v>
      </c>
      <c r="V2524" s="360" t="str">
        <f t="shared" si="86"/>
        <v>sábado</v>
      </c>
    </row>
    <row r="2525" spans="19:22">
      <c r="S2525" s="357">
        <v>44038</v>
      </c>
      <c r="T2525" s="359" t="str">
        <f t="shared" si="85"/>
        <v>domingo</v>
      </c>
      <c r="U2525" s="361">
        <v>42701</v>
      </c>
      <c r="V2525" s="360" t="str">
        <f t="shared" si="86"/>
        <v>domingo</v>
      </c>
    </row>
    <row r="2526" spans="19:22">
      <c r="S2526" s="357">
        <v>44039</v>
      </c>
      <c r="T2526" s="359" t="str">
        <f t="shared" si="85"/>
        <v>segunda-feira</v>
      </c>
      <c r="U2526" s="361">
        <v>42702</v>
      </c>
      <c r="V2526" s="360" t="str">
        <f t="shared" si="86"/>
        <v>segunda-feira</v>
      </c>
    </row>
    <row r="2527" spans="19:22">
      <c r="S2527" s="357">
        <v>44040</v>
      </c>
      <c r="T2527" s="359" t="str">
        <f t="shared" si="85"/>
        <v>terça-feira</v>
      </c>
      <c r="U2527" s="361">
        <v>42703</v>
      </c>
      <c r="V2527" s="360" t="str">
        <f t="shared" si="86"/>
        <v>terça-feira</v>
      </c>
    </row>
    <row r="2528" spans="19:22">
      <c r="S2528" s="357">
        <v>44041</v>
      </c>
      <c r="T2528" s="359" t="str">
        <f t="shared" si="85"/>
        <v>quarta-feira</v>
      </c>
      <c r="U2528" s="361">
        <v>42704</v>
      </c>
      <c r="V2528" s="360" t="str">
        <f t="shared" si="86"/>
        <v>quarta-feira</v>
      </c>
    </row>
    <row r="2529" spans="19:22">
      <c r="S2529" s="357">
        <v>44042</v>
      </c>
      <c r="T2529" s="359" t="str">
        <f t="shared" si="85"/>
        <v>quinta-feira</v>
      </c>
      <c r="U2529" s="361">
        <v>42705</v>
      </c>
      <c r="V2529" s="360" t="str">
        <f t="shared" si="86"/>
        <v>quinta-feira</v>
      </c>
    </row>
    <row r="2530" spans="19:22">
      <c r="S2530" s="357">
        <v>44043</v>
      </c>
      <c r="T2530" s="359" t="str">
        <f t="shared" si="85"/>
        <v>sexta-feira</v>
      </c>
      <c r="U2530" s="361">
        <v>42706</v>
      </c>
      <c r="V2530" s="360" t="str">
        <f t="shared" si="86"/>
        <v>sexta-feira</v>
      </c>
    </row>
    <row r="2531" spans="19:22">
      <c r="S2531" s="357">
        <v>44044</v>
      </c>
      <c r="T2531" s="359" t="str">
        <f t="shared" si="85"/>
        <v>sábado</v>
      </c>
      <c r="U2531" s="361">
        <v>42707</v>
      </c>
      <c r="V2531" s="360" t="str">
        <f t="shared" si="86"/>
        <v>sábado</v>
      </c>
    </row>
    <row r="2532" spans="19:22">
      <c r="S2532" s="357">
        <v>44045</v>
      </c>
      <c r="T2532" s="359" t="str">
        <f t="shared" si="85"/>
        <v>domingo</v>
      </c>
      <c r="U2532" s="361">
        <v>42708</v>
      </c>
      <c r="V2532" s="360" t="str">
        <f t="shared" si="86"/>
        <v>domingo</v>
      </c>
    </row>
    <row r="2533" spans="19:22">
      <c r="S2533" s="357">
        <v>44046</v>
      </c>
      <c r="T2533" s="359" t="str">
        <f t="shared" si="85"/>
        <v>segunda-feira</v>
      </c>
      <c r="U2533" s="361">
        <v>42709</v>
      </c>
      <c r="V2533" s="360" t="str">
        <f t="shared" si="86"/>
        <v>segunda-feira</v>
      </c>
    </row>
    <row r="2534" spans="19:22">
      <c r="S2534" s="357">
        <v>44047</v>
      </c>
      <c r="T2534" s="359" t="str">
        <f t="shared" si="85"/>
        <v>terça-feira</v>
      </c>
      <c r="U2534" s="361">
        <v>42710</v>
      </c>
      <c r="V2534" s="360" t="str">
        <f t="shared" si="86"/>
        <v>terça-feira</v>
      </c>
    </row>
    <row r="2535" spans="19:22">
      <c r="S2535" s="357">
        <v>44048</v>
      </c>
      <c r="T2535" s="359" t="str">
        <f t="shared" si="85"/>
        <v>quarta-feira</v>
      </c>
      <c r="U2535" s="361">
        <v>42711</v>
      </c>
      <c r="V2535" s="360" t="str">
        <f t="shared" si="86"/>
        <v>quarta-feira</v>
      </c>
    </row>
    <row r="2536" spans="19:22">
      <c r="S2536" s="357">
        <v>44049</v>
      </c>
      <c r="T2536" s="359" t="str">
        <f t="shared" si="85"/>
        <v>quinta-feira</v>
      </c>
      <c r="U2536" s="361">
        <v>42712</v>
      </c>
      <c r="V2536" s="360" t="str">
        <f t="shared" si="86"/>
        <v>quinta-feira</v>
      </c>
    </row>
    <row r="2537" spans="19:22">
      <c r="S2537" s="357">
        <v>44050</v>
      </c>
      <c r="T2537" s="359" t="str">
        <f t="shared" si="85"/>
        <v>sexta-feira</v>
      </c>
      <c r="U2537" s="361">
        <v>42713</v>
      </c>
      <c r="V2537" s="360" t="str">
        <f t="shared" si="86"/>
        <v>sexta-feira</v>
      </c>
    </row>
    <row r="2538" spans="19:22">
      <c r="S2538" s="357">
        <v>44051</v>
      </c>
      <c r="T2538" s="359" t="str">
        <f t="shared" si="85"/>
        <v>sábado</v>
      </c>
      <c r="U2538" s="361">
        <v>42714</v>
      </c>
      <c r="V2538" s="360" t="str">
        <f t="shared" si="86"/>
        <v>sábado</v>
      </c>
    </row>
    <row r="2539" spans="19:22">
      <c r="S2539" s="357">
        <v>44052</v>
      </c>
      <c r="T2539" s="359" t="str">
        <f t="shared" si="85"/>
        <v>domingo</v>
      </c>
      <c r="U2539" s="361">
        <v>42715</v>
      </c>
      <c r="V2539" s="360" t="str">
        <f t="shared" si="86"/>
        <v>domingo</v>
      </c>
    </row>
    <row r="2540" spans="19:22">
      <c r="S2540" s="357">
        <v>44053</v>
      </c>
      <c r="T2540" s="359" t="str">
        <f t="shared" si="85"/>
        <v>segunda-feira</v>
      </c>
      <c r="U2540" s="361">
        <v>42716</v>
      </c>
      <c r="V2540" s="360" t="str">
        <f t="shared" si="86"/>
        <v>segunda-feira</v>
      </c>
    </row>
    <row r="2541" spans="19:22">
      <c r="S2541" s="357">
        <v>44054</v>
      </c>
      <c r="T2541" s="359" t="str">
        <f t="shared" si="85"/>
        <v>terça-feira</v>
      </c>
      <c r="U2541" s="361">
        <v>42717</v>
      </c>
      <c r="V2541" s="360" t="str">
        <f t="shared" si="86"/>
        <v>terça-feira</v>
      </c>
    </row>
    <row r="2542" spans="19:22">
      <c r="S2542" s="357">
        <v>44055</v>
      </c>
      <c r="T2542" s="359" t="str">
        <f t="shared" si="85"/>
        <v>quarta-feira</v>
      </c>
      <c r="U2542" s="361">
        <v>42718</v>
      </c>
      <c r="V2542" s="360" t="str">
        <f t="shared" si="86"/>
        <v>quarta-feira</v>
      </c>
    </row>
    <row r="2543" spans="19:22">
      <c r="S2543" s="357">
        <v>44056</v>
      </c>
      <c r="T2543" s="359" t="str">
        <f t="shared" si="85"/>
        <v>quinta-feira</v>
      </c>
      <c r="U2543" s="361">
        <v>42719</v>
      </c>
      <c r="V2543" s="360" t="str">
        <f t="shared" si="86"/>
        <v>quinta-feira</v>
      </c>
    </row>
    <row r="2544" spans="19:22">
      <c r="S2544" s="357">
        <v>44057</v>
      </c>
      <c r="T2544" s="359" t="str">
        <f t="shared" si="85"/>
        <v>sexta-feira</v>
      </c>
      <c r="U2544" s="361">
        <v>42720</v>
      </c>
      <c r="V2544" s="360" t="str">
        <f t="shared" si="86"/>
        <v>sexta-feira</v>
      </c>
    </row>
    <row r="2545" spans="19:22">
      <c r="S2545" s="357">
        <v>44058</v>
      </c>
      <c r="T2545" s="359" t="str">
        <f t="shared" si="85"/>
        <v>sábado</v>
      </c>
      <c r="U2545" s="361">
        <v>42721</v>
      </c>
      <c r="V2545" s="360" t="str">
        <f t="shared" si="86"/>
        <v>sábado</v>
      </c>
    </row>
    <row r="2546" spans="19:22">
      <c r="S2546" s="357">
        <v>44059</v>
      </c>
      <c r="T2546" s="359" t="str">
        <f t="shared" si="85"/>
        <v>domingo</v>
      </c>
      <c r="U2546" s="361">
        <v>42722</v>
      </c>
      <c r="V2546" s="360" t="str">
        <f t="shared" si="86"/>
        <v>domingo</v>
      </c>
    </row>
    <row r="2547" spans="19:22">
      <c r="S2547" s="357">
        <v>44060</v>
      </c>
      <c r="T2547" s="359" t="str">
        <f t="shared" si="85"/>
        <v>segunda-feira</v>
      </c>
      <c r="U2547" s="361">
        <v>42723</v>
      </c>
      <c r="V2547" s="360" t="str">
        <f t="shared" si="86"/>
        <v>segunda-feira</v>
      </c>
    </row>
    <row r="2548" spans="19:22">
      <c r="S2548" s="357">
        <v>44061</v>
      </c>
      <c r="T2548" s="359" t="str">
        <f t="shared" si="85"/>
        <v>terça-feira</v>
      </c>
      <c r="U2548" s="361">
        <v>42724</v>
      </c>
      <c r="V2548" s="360" t="str">
        <f t="shared" si="86"/>
        <v>terça-feira</v>
      </c>
    </row>
    <row r="2549" spans="19:22">
      <c r="S2549" s="357">
        <v>44062</v>
      </c>
      <c r="T2549" s="359" t="str">
        <f t="shared" si="85"/>
        <v>quarta-feira</v>
      </c>
      <c r="U2549" s="361">
        <v>42725</v>
      </c>
      <c r="V2549" s="360" t="str">
        <f t="shared" si="86"/>
        <v>quarta-feira</v>
      </c>
    </row>
    <row r="2550" spans="19:22">
      <c r="S2550" s="357">
        <v>44063</v>
      </c>
      <c r="T2550" s="359" t="str">
        <f t="shared" si="85"/>
        <v>quinta-feira</v>
      </c>
      <c r="U2550" s="361">
        <v>42726</v>
      </c>
      <c r="V2550" s="360" t="str">
        <f t="shared" si="86"/>
        <v>quinta-feira</v>
      </c>
    </row>
    <row r="2551" spans="19:22">
      <c r="S2551" s="357">
        <v>44064</v>
      </c>
      <c r="T2551" s="359" t="str">
        <f t="shared" ref="T2551:T2614" si="87">TEXT(S2551,"dddd")</f>
        <v>sexta-feira</v>
      </c>
      <c r="U2551" s="361">
        <v>42727</v>
      </c>
      <c r="V2551" s="360" t="str">
        <f t="shared" si="86"/>
        <v>sexta-feira</v>
      </c>
    </row>
    <row r="2552" spans="19:22">
      <c r="S2552" s="357">
        <v>44065</v>
      </c>
      <c r="T2552" s="359" t="str">
        <f t="shared" si="87"/>
        <v>sábado</v>
      </c>
      <c r="U2552" s="361">
        <v>42728</v>
      </c>
      <c r="V2552" s="360" t="str">
        <f t="shared" si="86"/>
        <v>sábado</v>
      </c>
    </row>
    <row r="2553" spans="19:22">
      <c r="S2553" s="357">
        <v>44066</v>
      </c>
      <c r="T2553" s="359" t="str">
        <f t="shared" si="87"/>
        <v>domingo</v>
      </c>
      <c r="U2553" s="361">
        <v>42729</v>
      </c>
      <c r="V2553" s="360" t="str">
        <f t="shared" si="86"/>
        <v>domingo</v>
      </c>
    </row>
    <row r="2554" spans="19:22">
      <c r="S2554" s="357">
        <v>44067</v>
      </c>
      <c r="T2554" s="359" t="str">
        <f t="shared" si="87"/>
        <v>segunda-feira</v>
      </c>
      <c r="U2554" s="361">
        <v>42730</v>
      </c>
      <c r="V2554" s="360" t="str">
        <f t="shared" si="86"/>
        <v>segunda-feira</v>
      </c>
    </row>
    <row r="2555" spans="19:22">
      <c r="S2555" s="357">
        <v>44068</v>
      </c>
      <c r="T2555" s="359" t="str">
        <f t="shared" si="87"/>
        <v>terça-feira</v>
      </c>
      <c r="U2555" s="361">
        <v>42731</v>
      </c>
      <c r="V2555" s="360" t="str">
        <f t="shared" si="86"/>
        <v>terça-feira</v>
      </c>
    </row>
    <row r="2556" spans="19:22">
      <c r="S2556" s="357">
        <v>44069</v>
      </c>
      <c r="T2556" s="359" t="str">
        <f t="shared" si="87"/>
        <v>quarta-feira</v>
      </c>
      <c r="U2556" s="361">
        <v>42732</v>
      </c>
      <c r="V2556" s="360" t="str">
        <f t="shared" si="86"/>
        <v>quarta-feira</v>
      </c>
    </row>
    <row r="2557" spans="19:22">
      <c r="S2557" s="357">
        <v>44070</v>
      </c>
      <c r="T2557" s="359" t="str">
        <f t="shared" si="87"/>
        <v>quinta-feira</v>
      </c>
      <c r="U2557" s="361">
        <v>42733</v>
      </c>
      <c r="V2557" s="360" t="str">
        <f t="shared" si="86"/>
        <v>quinta-feira</v>
      </c>
    </row>
    <row r="2558" spans="19:22">
      <c r="S2558" s="357">
        <v>44071</v>
      </c>
      <c r="T2558" s="359" t="str">
        <f t="shared" si="87"/>
        <v>sexta-feira</v>
      </c>
      <c r="U2558" s="361">
        <v>42734</v>
      </c>
      <c r="V2558" s="360" t="str">
        <f t="shared" si="86"/>
        <v>sexta-feira</v>
      </c>
    </row>
    <row r="2559" spans="19:22">
      <c r="S2559" s="357">
        <v>44072</v>
      </c>
      <c r="T2559" s="359" t="str">
        <f t="shared" si="87"/>
        <v>sábado</v>
      </c>
      <c r="U2559" s="361">
        <v>42735</v>
      </c>
      <c r="V2559" s="360" t="str">
        <f t="shared" si="86"/>
        <v>sábado</v>
      </c>
    </row>
    <row r="2560" spans="19:22">
      <c r="S2560" s="357">
        <v>44073</v>
      </c>
      <c r="T2560" s="359" t="str">
        <f t="shared" si="87"/>
        <v>domingo</v>
      </c>
      <c r="U2560" s="361">
        <v>42736</v>
      </c>
      <c r="V2560" s="360" t="str">
        <f t="shared" si="86"/>
        <v>domingo</v>
      </c>
    </row>
    <row r="2561" spans="19:22">
      <c r="S2561" s="357">
        <v>44074</v>
      </c>
      <c r="T2561" s="359" t="str">
        <f t="shared" si="87"/>
        <v>segunda-feira</v>
      </c>
      <c r="U2561" s="361">
        <v>42737</v>
      </c>
      <c r="V2561" s="360" t="str">
        <f t="shared" si="86"/>
        <v>segunda-feira</v>
      </c>
    </row>
    <row r="2562" spans="19:22">
      <c r="S2562" s="357">
        <v>44075</v>
      </c>
      <c r="T2562" s="359" t="str">
        <f t="shared" si="87"/>
        <v>terça-feira</v>
      </c>
      <c r="U2562" s="361">
        <v>42738</v>
      </c>
      <c r="V2562" s="360" t="str">
        <f t="shared" si="86"/>
        <v>terça-feira</v>
      </c>
    </row>
    <row r="2563" spans="19:22">
      <c r="S2563" s="357">
        <v>44076</v>
      </c>
      <c r="T2563" s="359" t="str">
        <f t="shared" si="87"/>
        <v>quarta-feira</v>
      </c>
      <c r="U2563" s="361">
        <v>42739</v>
      </c>
      <c r="V2563" s="360" t="str">
        <f t="shared" si="86"/>
        <v>quarta-feira</v>
      </c>
    </row>
    <row r="2564" spans="19:22">
      <c r="S2564" s="357">
        <v>44077</v>
      </c>
      <c r="T2564" s="359" t="str">
        <f t="shared" si="87"/>
        <v>quinta-feira</v>
      </c>
      <c r="U2564" s="361">
        <v>42740</v>
      </c>
      <c r="V2564" s="360" t="str">
        <f t="shared" si="86"/>
        <v>quinta-feira</v>
      </c>
    </row>
    <row r="2565" spans="19:22">
      <c r="S2565" s="357">
        <v>44078</v>
      </c>
      <c r="T2565" s="359" t="str">
        <f t="shared" si="87"/>
        <v>sexta-feira</v>
      </c>
      <c r="U2565" s="361">
        <v>42741</v>
      </c>
      <c r="V2565" s="360" t="str">
        <f t="shared" si="86"/>
        <v>sexta-feira</v>
      </c>
    </row>
    <row r="2566" spans="19:22">
      <c r="S2566" s="357">
        <v>44079</v>
      </c>
      <c r="T2566" s="359" t="str">
        <f t="shared" si="87"/>
        <v>sábado</v>
      </c>
      <c r="U2566" s="361">
        <v>42742</v>
      </c>
      <c r="V2566" s="360" t="str">
        <f t="shared" si="86"/>
        <v>sábado</v>
      </c>
    </row>
    <row r="2567" spans="19:22">
      <c r="S2567" s="357">
        <v>44080</v>
      </c>
      <c r="T2567" s="359" t="str">
        <f t="shared" si="87"/>
        <v>domingo</v>
      </c>
      <c r="U2567" s="361">
        <v>42743</v>
      </c>
      <c r="V2567" s="360" t="str">
        <f t="shared" si="86"/>
        <v>domingo</v>
      </c>
    </row>
    <row r="2568" spans="19:22">
      <c r="S2568" s="357">
        <v>44081</v>
      </c>
      <c r="T2568" s="359" t="str">
        <f t="shared" si="87"/>
        <v>segunda-feira</v>
      </c>
      <c r="U2568" s="361">
        <v>42744</v>
      </c>
      <c r="V2568" s="360" t="str">
        <f t="shared" si="86"/>
        <v>segunda-feira</v>
      </c>
    </row>
    <row r="2569" spans="19:22">
      <c r="S2569" s="357">
        <v>44082</v>
      </c>
      <c r="T2569" s="359" t="str">
        <f t="shared" si="87"/>
        <v>terça-feira</v>
      </c>
      <c r="U2569" s="361">
        <v>42745</v>
      </c>
      <c r="V2569" s="360" t="str">
        <f t="shared" si="86"/>
        <v>terça-feira</v>
      </c>
    </row>
    <row r="2570" spans="19:22">
      <c r="S2570" s="357">
        <v>44083</v>
      </c>
      <c r="T2570" s="359" t="str">
        <f t="shared" si="87"/>
        <v>quarta-feira</v>
      </c>
      <c r="U2570" s="361">
        <v>42746</v>
      </c>
      <c r="V2570" s="360" t="str">
        <f t="shared" si="86"/>
        <v>quarta-feira</v>
      </c>
    </row>
    <row r="2571" spans="19:22">
      <c r="S2571" s="357">
        <v>44084</v>
      </c>
      <c r="T2571" s="359" t="str">
        <f t="shared" si="87"/>
        <v>quinta-feira</v>
      </c>
      <c r="U2571" s="361">
        <v>42747</v>
      </c>
      <c r="V2571" s="360" t="str">
        <f t="shared" si="86"/>
        <v>quinta-feira</v>
      </c>
    </row>
    <row r="2572" spans="19:22">
      <c r="S2572" s="357">
        <v>44085</v>
      </c>
      <c r="T2572" s="359" t="str">
        <f t="shared" si="87"/>
        <v>sexta-feira</v>
      </c>
      <c r="U2572" s="361">
        <v>42748</v>
      </c>
      <c r="V2572" s="360" t="str">
        <f t="shared" si="86"/>
        <v>sexta-feira</v>
      </c>
    </row>
    <row r="2573" spans="19:22">
      <c r="S2573" s="357">
        <v>44086</v>
      </c>
      <c r="T2573" s="359" t="str">
        <f t="shared" si="87"/>
        <v>sábado</v>
      </c>
      <c r="U2573" s="361">
        <v>42749</v>
      </c>
      <c r="V2573" s="360" t="str">
        <f t="shared" si="86"/>
        <v>sábado</v>
      </c>
    </row>
    <row r="2574" spans="19:22">
      <c r="S2574" s="357">
        <v>44087</v>
      </c>
      <c r="T2574" s="359" t="str">
        <f t="shared" si="87"/>
        <v>domingo</v>
      </c>
      <c r="U2574" s="361">
        <v>42750</v>
      </c>
      <c r="V2574" s="360" t="str">
        <f t="shared" si="86"/>
        <v>domingo</v>
      </c>
    </row>
    <row r="2575" spans="19:22">
      <c r="S2575" s="357">
        <v>44088</v>
      </c>
      <c r="T2575" s="359" t="str">
        <f t="shared" si="87"/>
        <v>segunda-feira</v>
      </c>
      <c r="U2575" s="361">
        <v>42751</v>
      </c>
      <c r="V2575" s="360" t="str">
        <f t="shared" si="86"/>
        <v>segunda-feira</v>
      </c>
    </row>
    <row r="2576" spans="19:22">
      <c r="S2576" s="357">
        <v>44089</v>
      </c>
      <c r="T2576" s="359" t="str">
        <f t="shared" si="87"/>
        <v>terça-feira</v>
      </c>
      <c r="U2576" s="361">
        <v>42752</v>
      </c>
      <c r="V2576" s="360" t="str">
        <f t="shared" si="86"/>
        <v>terça-feira</v>
      </c>
    </row>
    <row r="2577" spans="19:22">
      <c r="S2577" s="357">
        <v>44090</v>
      </c>
      <c r="T2577" s="359" t="str">
        <f t="shared" si="87"/>
        <v>quarta-feira</v>
      </c>
      <c r="U2577" s="361">
        <v>42753</v>
      </c>
      <c r="V2577" s="360" t="str">
        <f t="shared" si="86"/>
        <v>quarta-feira</v>
      </c>
    </row>
    <row r="2578" spans="19:22">
      <c r="S2578" s="357">
        <v>44091</v>
      </c>
      <c r="T2578" s="359" t="str">
        <f t="shared" si="87"/>
        <v>quinta-feira</v>
      </c>
      <c r="U2578" s="361">
        <v>42754</v>
      </c>
      <c r="V2578" s="360" t="str">
        <f t="shared" ref="V2578:V2641" si="88">TEXT(U2578,"dddd")</f>
        <v>quinta-feira</v>
      </c>
    </row>
    <row r="2579" spans="19:22">
      <c r="S2579" s="357">
        <v>44092</v>
      </c>
      <c r="T2579" s="359" t="str">
        <f t="shared" si="87"/>
        <v>sexta-feira</v>
      </c>
      <c r="U2579" s="361">
        <v>42755</v>
      </c>
      <c r="V2579" s="360" t="str">
        <f t="shared" si="88"/>
        <v>sexta-feira</v>
      </c>
    </row>
    <row r="2580" spans="19:22">
      <c r="S2580" s="357">
        <v>44093</v>
      </c>
      <c r="T2580" s="359" t="str">
        <f t="shared" si="87"/>
        <v>sábado</v>
      </c>
      <c r="U2580" s="361">
        <v>42756</v>
      </c>
      <c r="V2580" s="360" t="str">
        <f t="shared" si="88"/>
        <v>sábado</v>
      </c>
    </row>
    <row r="2581" spans="19:22">
      <c r="S2581" s="357">
        <v>44094</v>
      </c>
      <c r="T2581" s="359" t="str">
        <f t="shared" si="87"/>
        <v>domingo</v>
      </c>
      <c r="U2581" s="361">
        <v>42757</v>
      </c>
      <c r="V2581" s="360" t="str">
        <f t="shared" si="88"/>
        <v>domingo</v>
      </c>
    </row>
    <row r="2582" spans="19:22">
      <c r="S2582" s="357">
        <v>44095</v>
      </c>
      <c r="T2582" s="359" t="str">
        <f t="shared" si="87"/>
        <v>segunda-feira</v>
      </c>
      <c r="U2582" s="361">
        <v>42758</v>
      </c>
      <c r="V2582" s="360" t="str">
        <f t="shared" si="88"/>
        <v>segunda-feira</v>
      </c>
    </row>
    <row r="2583" spans="19:22">
      <c r="S2583" s="357">
        <v>44096</v>
      </c>
      <c r="T2583" s="359" t="str">
        <f t="shared" si="87"/>
        <v>terça-feira</v>
      </c>
      <c r="U2583" s="361">
        <v>42759</v>
      </c>
      <c r="V2583" s="360" t="str">
        <f t="shared" si="88"/>
        <v>terça-feira</v>
      </c>
    </row>
    <row r="2584" spans="19:22">
      <c r="S2584" s="357">
        <v>44097</v>
      </c>
      <c r="T2584" s="359" t="str">
        <f t="shared" si="87"/>
        <v>quarta-feira</v>
      </c>
      <c r="U2584" s="361">
        <v>42760</v>
      </c>
      <c r="V2584" s="360" t="str">
        <f t="shared" si="88"/>
        <v>quarta-feira</v>
      </c>
    </row>
    <row r="2585" spans="19:22">
      <c r="S2585" s="357">
        <v>44098</v>
      </c>
      <c r="T2585" s="359" t="str">
        <f t="shared" si="87"/>
        <v>quinta-feira</v>
      </c>
      <c r="U2585" s="361">
        <v>42761</v>
      </c>
      <c r="V2585" s="360" t="str">
        <f t="shared" si="88"/>
        <v>quinta-feira</v>
      </c>
    </row>
    <row r="2586" spans="19:22">
      <c r="S2586" s="357">
        <v>44099</v>
      </c>
      <c r="T2586" s="359" t="str">
        <f t="shared" si="87"/>
        <v>sexta-feira</v>
      </c>
      <c r="U2586" s="361">
        <v>42762</v>
      </c>
      <c r="V2586" s="360" t="str">
        <f t="shared" si="88"/>
        <v>sexta-feira</v>
      </c>
    </row>
    <row r="2587" spans="19:22">
      <c r="S2587" s="357">
        <v>44100</v>
      </c>
      <c r="T2587" s="359" t="str">
        <f t="shared" si="87"/>
        <v>sábado</v>
      </c>
      <c r="U2587" s="361">
        <v>42763</v>
      </c>
      <c r="V2587" s="360" t="str">
        <f t="shared" si="88"/>
        <v>sábado</v>
      </c>
    </row>
    <row r="2588" spans="19:22">
      <c r="S2588" s="357">
        <v>44101</v>
      </c>
      <c r="T2588" s="359" t="str">
        <f t="shared" si="87"/>
        <v>domingo</v>
      </c>
      <c r="U2588" s="361">
        <v>42764</v>
      </c>
      <c r="V2588" s="360" t="str">
        <f t="shared" si="88"/>
        <v>domingo</v>
      </c>
    </row>
    <row r="2589" spans="19:22">
      <c r="S2589" s="357">
        <v>44102</v>
      </c>
      <c r="T2589" s="359" t="str">
        <f t="shared" si="87"/>
        <v>segunda-feira</v>
      </c>
      <c r="U2589" s="361">
        <v>42765</v>
      </c>
      <c r="V2589" s="360" t="str">
        <f t="shared" si="88"/>
        <v>segunda-feira</v>
      </c>
    </row>
    <row r="2590" spans="19:22">
      <c r="S2590" s="357">
        <v>44103</v>
      </c>
      <c r="T2590" s="359" t="str">
        <f t="shared" si="87"/>
        <v>terça-feira</v>
      </c>
      <c r="U2590" s="361">
        <v>42766</v>
      </c>
      <c r="V2590" s="360" t="str">
        <f t="shared" si="88"/>
        <v>terça-feira</v>
      </c>
    </row>
    <row r="2591" spans="19:22">
      <c r="S2591" s="357">
        <v>44104</v>
      </c>
      <c r="T2591" s="359" t="str">
        <f t="shared" si="87"/>
        <v>quarta-feira</v>
      </c>
      <c r="U2591" s="361">
        <v>42767</v>
      </c>
      <c r="V2591" s="360" t="str">
        <f t="shared" si="88"/>
        <v>quarta-feira</v>
      </c>
    </row>
    <row r="2592" spans="19:22">
      <c r="S2592" s="357">
        <v>44105</v>
      </c>
      <c r="T2592" s="359" t="str">
        <f t="shared" si="87"/>
        <v>quinta-feira</v>
      </c>
      <c r="U2592" s="361">
        <v>42768</v>
      </c>
      <c r="V2592" s="360" t="str">
        <f t="shared" si="88"/>
        <v>quinta-feira</v>
      </c>
    </row>
    <row r="2593" spans="19:22">
      <c r="S2593" s="357">
        <v>44106</v>
      </c>
      <c r="T2593" s="359" t="str">
        <f t="shared" si="87"/>
        <v>sexta-feira</v>
      </c>
      <c r="U2593" s="361">
        <v>42769</v>
      </c>
      <c r="V2593" s="360" t="str">
        <f t="shared" si="88"/>
        <v>sexta-feira</v>
      </c>
    </row>
    <row r="2594" spans="19:22">
      <c r="S2594" s="357">
        <v>44107</v>
      </c>
      <c r="T2594" s="359" t="str">
        <f t="shared" si="87"/>
        <v>sábado</v>
      </c>
      <c r="U2594" s="361">
        <v>42770</v>
      </c>
      <c r="V2594" s="360" t="str">
        <f t="shared" si="88"/>
        <v>sábado</v>
      </c>
    </row>
    <row r="2595" spans="19:22">
      <c r="S2595" s="357">
        <v>44108</v>
      </c>
      <c r="T2595" s="359" t="str">
        <f t="shared" si="87"/>
        <v>domingo</v>
      </c>
      <c r="U2595" s="361">
        <v>42771</v>
      </c>
      <c r="V2595" s="360" t="str">
        <f t="shared" si="88"/>
        <v>domingo</v>
      </c>
    </row>
    <row r="2596" spans="19:22">
      <c r="S2596" s="357">
        <v>44109</v>
      </c>
      <c r="T2596" s="359" t="str">
        <f t="shared" si="87"/>
        <v>segunda-feira</v>
      </c>
      <c r="U2596" s="361">
        <v>42772</v>
      </c>
      <c r="V2596" s="360" t="str">
        <f t="shared" si="88"/>
        <v>segunda-feira</v>
      </c>
    </row>
    <row r="2597" spans="19:22">
      <c r="S2597" s="357">
        <v>44110</v>
      </c>
      <c r="T2597" s="359" t="str">
        <f t="shared" si="87"/>
        <v>terça-feira</v>
      </c>
      <c r="U2597" s="361">
        <v>42773</v>
      </c>
      <c r="V2597" s="360" t="str">
        <f t="shared" si="88"/>
        <v>terça-feira</v>
      </c>
    </row>
    <row r="2598" spans="19:22">
      <c r="S2598" s="357">
        <v>44111</v>
      </c>
      <c r="T2598" s="359" t="str">
        <f t="shared" si="87"/>
        <v>quarta-feira</v>
      </c>
      <c r="U2598" s="361">
        <v>42774</v>
      </c>
      <c r="V2598" s="360" t="str">
        <f t="shared" si="88"/>
        <v>quarta-feira</v>
      </c>
    </row>
    <row r="2599" spans="19:22">
      <c r="S2599" s="357">
        <v>44112</v>
      </c>
      <c r="T2599" s="359" t="str">
        <f t="shared" si="87"/>
        <v>quinta-feira</v>
      </c>
      <c r="U2599" s="361">
        <v>42775</v>
      </c>
      <c r="V2599" s="360" t="str">
        <f t="shared" si="88"/>
        <v>quinta-feira</v>
      </c>
    </row>
    <row r="2600" spans="19:22">
      <c r="S2600" s="357">
        <v>44113</v>
      </c>
      <c r="T2600" s="359" t="str">
        <f t="shared" si="87"/>
        <v>sexta-feira</v>
      </c>
      <c r="U2600" s="361">
        <v>42776</v>
      </c>
      <c r="V2600" s="360" t="str">
        <f t="shared" si="88"/>
        <v>sexta-feira</v>
      </c>
    </row>
    <row r="2601" spans="19:22">
      <c r="S2601" s="357">
        <v>44114</v>
      </c>
      <c r="T2601" s="359" t="str">
        <f t="shared" si="87"/>
        <v>sábado</v>
      </c>
      <c r="U2601" s="361">
        <v>42777</v>
      </c>
      <c r="V2601" s="360" t="str">
        <f t="shared" si="88"/>
        <v>sábado</v>
      </c>
    </row>
    <row r="2602" spans="19:22">
      <c r="S2602" s="357">
        <v>44115</v>
      </c>
      <c r="T2602" s="359" t="str">
        <f t="shared" si="87"/>
        <v>domingo</v>
      </c>
      <c r="U2602" s="361">
        <v>42778</v>
      </c>
      <c r="V2602" s="360" t="str">
        <f t="shared" si="88"/>
        <v>domingo</v>
      </c>
    </row>
    <row r="2603" spans="19:22">
      <c r="S2603" s="357">
        <v>44116</v>
      </c>
      <c r="T2603" s="359" t="str">
        <f t="shared" si="87"/>
        <v>segunda-feira</v>
      </c>
      <c r="U2603" s="361">
        <v>42779</v>
      </c>
      <c r="V2603" s="360" t="str">
        <f t="shared" si="88"/>
        <v>segunda-feira</v>
      </c>
    </row>
    <row r="2604" spans="19:22">
      <c r="S2604" s="357">
        <v>44117</v>
      </c>
      <c r="T2604" s="359" t="str">
        <f t="shared" si="87"/>
        <v>terça-feira</v>
      </c>
      <c r="U2604" s="361">
        <v>42780</v>
      </c>
      <c r="V2604" s="360" t="str">
        <f t="shared" si="88"/>
        <v>terça-feira</v>
      </c>
    </row>
    <row r="2605" spans="19:22">
      <c r="S2605" s="357">
        <v>44118</v>
      </c>
      <c r="T2605" s="359" t="str">
        <f t="shared" si="87"/>
        <v>quarta-feira</v>
      </c>
      <c r="U2605" s="361">
        <v>42781</v>
      </c>
      <c r="V2605" s="360" t="str">
        <f t="shared" si="88"/>
        <v>quarta-feira</v>
      </c>
    </row>
    <row r="2606" spans="19:22">
      <c r="S2606" s="357">
        <v>44119</v>
      </c>
      <c r="T2606" s="359" t="str">
        <f t="shared" si="87"/>
        <v>quinta-feira</v>
      </c>
      <c r="U2606" s="361">
        <v>42782</v>
      </c>
      <c r="V2606" s="360" t="str">
        <f t="shared" si="88"/>
        <v>quinta-feira</v>
      </c>
    </row>
    <row r="2607" spans="19:22">
      <c r="S2607" s="357">
        <v>44120</v>
      </c>
      <c r="T2607" s="359" t="str">
        <f t="shared" si="87"/>
        <v>sexta-feira</v>
      </c>
      <c r="U2607" s="361">
        <v>42783</v>
      </c>
      <c r="V2607" s="360" t="str">
        <f t="shared" si="88"/>
        <v>sexta-feira</v>
      </c>
    </row>
    <row r="2608" spans="19:22">
      <c r="S2608" s="357">
        <v>44121</v>
      </c>
      <c r="T2608" s="359" t="str">
        <f t="shared" si="87"/>
        <v>sábado</v>
      </c>
      <c r="U2608" s="361">
        <v>42784</v>
      </c>
      <c r="V2608" s="360" t="str">
        <f t="shared" si="88"/>
        <v>sábado</v>
      </c>
    </row>
    <row r="2609" spans="19:22">
      <c r="S2609" s="357">
        <v>44122</v>
      </c>
      <c r="T2609" s="359" t="str">
        <f t="shared" si="87"/>
        <v>domingo</v>
      </c>
      <c r="U2609" s="361">
        <v>42785</v>
      </c>
      <c r="V2609" s="360" t="str">
        <f t="shared" si="88"/>
        <v>domingo</v>
      </c>
    </row>
    <row r="2610" spans="19:22">
      <c r="S2610" s="357">
        <v>44123</v>
      </c>
      <c r="T2610" s="359" t="str">
        <f t="shared" si="87"/>
        <v>segunda-feira</v>
      </c>
      <c r="U2610" s="361">
        <v>42786</v>
      </c>
      <c r="V2610" s="360" t="str">
        <f t="shared" si="88"/>
        <v>segunda-feira</v>
      </c>
    </row>
    <row r="2611" spans="19:22">
      <c r="S2611" s="357">
        <v>44124</v>
      </c>
      <c r="T2611" s="359" t="str">
        <f t="shared" si="87"/>
        <v>terça-feira</v>
      </c>
      <c r="U2611" s="361">
        <v>42787</v>
      </c>
      <c r="V2611" s="360" t="str">
        <f t="shared" si="88"/>
        <v>terça-feira</v>
      </c>
    </row>
    <row r="2612" spans="19:22">
      <c r="S2612" s="357">
        <v>44125</v>
      </c>
      <c r="T2612" s="359" t="str">
        <f t="shared" si="87"/>
        <v>quarta-feira</v>
      </c>
      <c r="U2612" s="361">
        <v>42788</v>
      </c>
      <c r="V2612" s="360" t="str">
        <f t="shared" si="88"/>
        <v>quarta-feira</v>
      </c>
    </row>
    <row r="2613" spans="19:22">
      <c r="S2613" s="357">
        <v>44126</v>
      </c>
      <c r="T2613" s="359" t="str">
        <f t="shared" si="87"/>
        <v>quinta-feira</v>
      </c>
      <c r="U2613" s="361">
        <v>42789</v>
      </c>
      <c r="V2613" s="360" t="str">
        <f t="shared" si="88"/>
        <v>quinta-feira</v>
      </c>
    </row>
    <row r="2614" spans="19:22">
      <c r="S2614" s="357">
        <v>44127</v>
      </c>
      <c r="T2614" s="359" t="str">
        <f t="shared" si="87"/>
        <v>sexta-feira</v>
      </c>
      <c r="U2614" s="361">
        <v>42790</v>
      </c>
      <c r="V2614" s="360" t="str">
        <f t="shared" si="88"/>
        <v>sexta-feira</v>
      </c>
    </row>
    <row r="2615" spans="19:22">
      <c r="S2615" s="357">
        <v>44128</v>
      </c>
      <c r="T2615" s="359" t="str">
        <f t="shared" ref="T2615:T2678" si="89">TEXT(S2615,"dddd")</f>
        <v>sábado</v>
      </c>
      <c r="U2615" s="361">
        <v>42791</v>
      </c>
      <c r="V2615" s="360" t="str">
        <f t="shared" si="88"/>
        <v>sábado</v>
      </c>
    </row>
    <row r="2616" spans="19:22">
      <c r="S2616" s="357">
        <v>44129</v>
      </c>
      <c r="T2616" s="359" t="str">
        <f t="shared" si="89"/>
        <v>domingo</v>
      </c>
      <c r="U2616" s="361">
        <v>42792</v>
      </c>
      <c r="V2616" s="360" t="str">
        <f t="shared" si="88"/>
        <v>domingo</v>
      </c>
    </row>
    <row r="2617" spans="19:22">
      <c r="S2617" s="357">
        <v>44130</v>
      </c>
      <c r="T2617" s="359" t="str">
        <f t="shared" si="89"/>
        <v>segunda-feira</v>
      </c>
      <c r="U2617" s="361">
        <v>42793</v>
      </c>
      <c r="V2617" s="360" t="str">
        <f t="shared" si="88"/>
        <v>segunda-feira</v>
      </c>
    </row>
    <row r="2618" spans="19:22">
      <c r="S2618" s="357">
        <v>44131</v>
      </c>
      <c r="T2618" s="359" t="str">
        <f t="shared" si="89"/>
        <v>terça-feira</v>
      </c>
      <c r="U2618" s="361">
        <v>42794</v>
      </c>
      <c r="V2618" s="360" t="str">
        <f t="shared" si="88"/>
        <v>terça-feira</v>
      </c>
    </row>
    <row r="2619" spans="19:22">
      <c r="S2619" s="357">
        <v>44132</v>
      </c>
      <c r="T2619" s="359" t="str">
        <f t="shared" si="89"/>
        <v>quarta-feira</v>
      </c>
      <c r="U2619" s="361">
        <v>42795</v>
      </c>
      <c r="V2619" s="360" t="str">
        <f t="shared" si="88"/>
        <v>quarta-feira</v>
      </c>
    </row>
    <row r="2620" spans="19:22">
      <c r="S2620" s="357">
        <v>44133</v>
      </c>
      <c r="T2620" s="359" t="str">
        <f t="shared" si="89"/>
        <v>quinta-feira</v>
      </c>
      <c r="U2620" s="361">
        <v>42796</v>
      </c>
      <c r="V2620" s="360" t="str">
        <f t="shared" si="88"/>
        <v>quinta-feira</v>
      </c>
    </row>
    <row r="2621" spans="19:22">
      <c r="S2621" s="357">
        <v>44134</v>
      </c>
      <c r="T2621" s="359" t="str">
        <f t="shared" si="89"/>
        <v>sexta-feira</v>
      </c>
      <c r="U2621" s="361">
        <v>42797</v>
      </c>
      <c r="V2621" s="360" t="str">
        <f t="shared" si="88"/>
        <v>sexta-feira</v>
      </c>
    </row>
    <row r="2622" spans="19:22">
      <c r="S2622" s="357">
        <v>44135</v>
      </c>
      <c r="T2622" s="359" t="str">
        <f t="shared" si="89"/>
        <v>sábado</v>
      </c>
      <c r="U2622" s="361">
        <v>42798</v>
      </c>
      <c r="V2622" s="360" t="str">
        <f t="shared" si="88"/>
        <v>sábado</v>
      </c>
    </row>
    <row r="2623" spans="19:22">
      <c r="S2623" s="357">
        <v>44136</v>
      </c>
      <c r="T2623" s="359" t="str">
        <f t="shared" si="89"/>
        <v>domingo</v>
      </c>
      <c r="U2623" s="361">
        <v>42799</v>
      </c>
      <c r="V2623" s="360" t="str">
        <f t="shared" si="88"/>
        <v>domingo</v>
      </c>
    </row>
    <row r="2624" spans="19:22">
      <c r="S2624" s="357">
        <v>44137</v>
      </c>
      <c r="T2624" s="359" t="str">
        <f t="shared" si="89"/>
        <v>segunda-feira</v>
      </c>
      <c r="U2624" s="361">
        <v>42800</v>
      </c>
      <c r="V2624" s="360" t="str">
        <f t="shared" si="88"/>
        <v>segunda-feira</v>
      </c>
    </row>
    <row r="2625" spans="19:22">
      <c r="S2625" s="357">
        <v>44138</v>
      </c>
      <c r="T2625" s="359" t="str">
        <f t="shared" si="89"/>
        <v>terça-feira</v>
      </c>
      <c r="U2625" s="361">
        <v>42801</v>
      </c>
      <c r="V2625" s="360" t="str">
        <f t="shared" si="88"/>
        <v>terça-feira</v>
      </c>
    </row>
    <row r="2626" spans="19:22">
      <c r="S2626" s="357">
        <v>44139</v>
      </c>
      <c r="T2626" s="359" t="str">
        <f t="shared" si="89"/>
        <v>quarta-feira</v>
      </c>
      <c r="U2626" s="361">
        <v>42802</v>
      </c>
      <c r="V2626" s="360" t="str">
        <f t="shared" si="88"/>
        <v>quarta-feira</v>
      </c>
    </row>
    <row r="2627" spans="19:22">
      <c r="S2627" s="357">
        <v>44140</v>
      </c>
      <c r="T2627" s="359" t="str">
        <f t="shared" si="89"/>
        <v>quinta-feira</v>
      </c>
      <c r="U2627" s="361">
        <v>42803</v>
      </c>
      <c r="V2627" s="360" t="str">
        <f t="shared" si="88"/>
        <v>quinta-feira</v>
      </c>
    </row>
    <row r="2628" spans="19:22">
      <c r="S2628" s="357">
        <v>44141</v>
      </c>
      <c r="T2628" s="359" t="str">
        <f t="shared" si="89"/>
        <v>sexta-feira</v>
      </c>
      <c r="U2628" s="361">
        <v>42804</v>
      </c>
      <c r="V2628" s="360" t="str">
        <f t="shared" si="88"/>
        <v>sexta-feira</v>
      </c>
    </row>
    <row r="2629" spans="19:22">
      <c r="S2629" s="357">
        <v>44142</v>
      </c>
      <c r="T2629" s="359" t="str">
        <f t="shared" si="89"/>
        <v>sábado</v>
      </c>
      <c r="U2629" s="361">
        <v>42805</v>
      </c>
      <c r="V2629" s="360" t="str">
        <f t="shared" si="88"/>
        <v>sábado</v>
      </c>
    </row>
    <row r="2630" spans="19:22">
      <c r="S2630" s="357">
        <v>44143</v>
      </c>
      <c r="T2630" s="359" t="str">
        <f t="shared" si="89"/>
        <v>domingo</v>
      </c>
      <c r="U2630" s="361">
        <v>42806</v>
      </c>
      <c r="V2630" s="360" t="str">
        <f t="shared" si="88"/>
        <v>domingo</v>
      </c>
    </row>
    <row r="2631" spans="19:22">
      <c r="S2631" s="357">
        <v>44144</v>
      </c>
      <c r="T2631" s="359" t="str">
        <f t="shared" si="89"/>
        <v>segunda-feira</v>
      </c>
      <c r="U2631" s="361">
        <v>42807</v>
      </c>
      <c r="V2631" s="360" t="str">
        <f t="shared" si="88"/>
        <v>segunda-feira</v>
      </c>
    </row>
    <row r="2632" spans="19:22">
      <c r="S2632" s="357">
        <v>44145</v>
      </c>
      <c r="T2632" s="359" t="str">
        <f t="shared" si="89"/>
        <v>terça-feira</v>
      </c>
      <c r="U2632" s="361">
        <v>42808</v>
      </c>
      <c r="V2632" s="360" t="str">
        <f t="shared" si="88"/>
        <v>terça-feira</v>
      </c>
    </row>
    <row r="2633" spans="19:22">
      <c r="S2633" s="357">
        <v>44146</v>
      </c>
      <c r="T2633" s="359" t="str">
        <f t="shared" si="89"/>
        <v>quarta-feira</v>
      </c>
      <c r="U2633" s="361">
        <v>42809</v>
      </c>
      <c r="V2633" s="360" t="str">
        <f t="shared" si="88"/>
        <v>quarta-feira</v>
      </c>
    </row>
    <row r="2634" spans="19:22">
      <c r="S2634" s="357">
        <v>44147</v>
      </c>
      <c r="T2634" s="359" t="str">
        <f t="shared" si="89"/>
        <v>quinta-feira</v>
      </c>
      <c r="U2634" s="361">
        <v>42810</v>
      </c>
      <c r="V2634" s="360" t="str">
        <f t="shared" si="88"/>
        <v>quinta-feira</v>
      </c>
    </row>
    <row r="2635" spans="19:22">
      <c r="S2635" s="357">
        <v>44148</v>
      </c>
      <c r="T2635" s="359" t="str">
        <f t="shared" si="89"/>
        <v>sexta-feira</v>
      </c>
      <c r="U2635" s="361">
        <v>42811</v>
      </c>
      <c r="V2635" s="360" t="str">
        <f t="shared" si="88"/>
        <v>sexta-feira</v>
      </c>
    </row>
    <row r="2636" spans="19:22">
      <c r="S2636" s="357">
        <v>44149</v>
      </c>
      <c r="T2636" s="359" t="str">
        <f t="shared" si="89"/>
        <v>sábado</v>
      </c>
      <c r="U2636" s="361">
        <v>42812</v>
      </c>
      <c r="V2636" s="360" t="str">
        <f t="shared" si="88"/>
        <v>sábado</v>
      </c>
    </row>
    <row r="2637" spans="19:22">
      <c r="S2637" s="357">
        <v>44150</v>
      </c>
      <c r="T2637" s="359" t="str">
        <f t="shared" si="89"/>
        <v>domingo</v>
      </c>
      <c r="U2637" s="361">
        <v>42813</v>
      </c>
      <c r="V2637" s="360" t="str">
        <f t="shared" si="88"/>
        <v>domingo</v>
      </c>
    </row>
    <row r="2638" spans="19:22">
      <c r="S2638" s="357">
        <v>44151</v>
      </c>
      <c r="T2638" s="359" t="str">
        <f t="shared" si="89"/>
        <v>segunda-feira</v>
      </c>
      <c r="U2638" s="361">
        <v>42814</v>
      </c>
      <c r="V2638" s="360" t="str">
        <f t="shared" si="88"/>
        <v>segunda-feira</v>
      </c>
    </row>
    <row r="2639" spans="19:22">
      <c r="S2639" s="357">
        <v>44152</v>
      </c>
      <c r="T2639" s="359" t="str">
        <f t="shared" si="89"/>
        <v>terça-feira</v>
      </c>
      <c r="U2639" s="361">
        <v>42815</v>
      </c>
      <c r="V2639" s="360" t="str">
        <f t="shared" si="88"/>
        <v>terça-feira</v>
      </c>
    </row>
    <row r="2640" spans="19:22">
      <c r="S2640" s="357">
        <v>44153</v>
      </c>
      <c r="T2640" s="359" t="str">
        <f t="shared" si="89"/>
        <v>quarta-feira</v>
      </c>
      <c r="U2640" s="361">
        <v>42816</v>
      </c>
      <c r="V2640" s="360" t="str">
        <f t="shared" si="88"/>
        <v>quarta-feira</v>
      </c>
    </row>
    <row r="2641" spans="19:22">
      <c r="S2641" s="357">
        <v>44154</v>
      </c>
      <c r="T2641" s="359" t="str">
        <f t="shared" si="89"/>
        <v>quinta-feira</v>
      </c>
      <c r="U2641" s="361">
        <v>42817</v>
      </c>
      <c r="V2641" s="360" t="str">
        <f t="shared" si="88"/>
        <v>quinta-feira</v>
      </c>
    </row>
    <row r="2642" spans="19:22">
      <c r="S2642" s="357">
        <v>44155</v>
      </c>
      <c r="T2642" s="359" t="str">
        <f t="shared" si="89"/>
        <v>sexta-feira</v>
      </c>
      <c r="U2642" s="361">
        <v>42818</v>
      </c>
      <c r="V2642" s="360" t="str">
        <f t="shared" ref="V2642:V2705" si="90">TEXT(U2642,"dddd")</f>
        <v>sexta-feira</v>
      </c>
    </row>
    <row r="2643" spans="19:22">
      <c r="S2643" s="357">
        <v>44156</v>
      </c>
      <c r="T2643" s="359" t="str">
        <f t="shared" si="89"/>
        <v>sábado</v>
      </c>
      <c r="U2643" s="361">
        <v>42819</v>
      </c>
      <c r="V2643" s="360" t="str">
        <f t="shared" si="90"/>
        <v>sábado</v>
      </c>
    </row>
    <row r="2644" spans="19:22">
      <c r="S2644" s="357">
        <v>44157</v>
      </c>
      <c r="T2644" s="359" t="str">
        <f t="shared" si="89"/>
        <v>domingo</v>
      </c>
      <c r="U2644" s="361">
        <v>42820</v>
      </c>
      <c r="V2644" s="360" t="str">
        <f t="shared" si="90"/>
        <v>domingo</v>
      </c>
    </row>
    <row r="2645" spans="19:22">
      <c r="S2645" s="357">
        <v>44158</v>
      </c>
      <c r="T2645" s="359" t="str">
        <f t="shared" si="89"/>
        <v>segunda-feira</v>
      </c>
      <c r="U2645" s="361">
        <v>42821</v>
      </c>
      <c r="V2645" s="360" t="str">
        <f t="shared" si="90"/>
        <v>segunda-feira</v>
      </c>
    </row>
    <row r="2646" spans="19:22">
      <c r="S2646" s="357">
        <v>44159</v>
      </c>
      <c r="T2646" s="359" t="str">
        <f t="shared" si="89"/>
        <v>terça-feira</v>
      </c>
      <c r="U2646" s="361">
        <v>42822</v>
      </c>
      <c r="V2646" s="360" t="str">
        <f t="shared" si="90"/>
        <v>terça-feira</v>
      </c>
    </row>
    <row r="2647" spans="19:22">
      <c r="S2647" s="357">
        <v>44160</v>
      </c>
      <c r="T2647" s="359" t="str">
        <f t="shared" si="89"/>
        <v>quarta-feira</v>
      </c>
      <c r="U2647" s="361">
        <v>42823</v>
      </c>
      <c r="V2647" s="360" t="str">
        <f t="shared" si="90"/>
        <v>quarta-feira</v>
      </c>
    </row>
    <row r="2648" spans="19:22">
      <c r="S2648" s="357">
        <v>44161</v>
      </c>
      <c r="T2648" s="359" t="str">
        <f t="shared" si="89"/>
        <v>quinta-feira</v>
      </c>
      <c r="U2648" s="361">
        <v>42824</v>
      </c>
      <c r="V2648" s="360" t="str">
        <f t="shared" si="90"/>
        <v>quinta-feira</v>
      </c>
    </row>
    <row r="2649" spans="19:22">
      <c r="S2649" s="357">
        <v>44162</v>
      </c>
      <c r="T2649" s="359" t="str">
        <f t="shared" si="89"/>
        <v>sexta-feira</v>
      </c>
      <c r="U2649" s="361">
        <v>42825</v>
      </c>
      <c r="V2649" s="360" t="str">
        <f t="shared" si="90"/>
        <v>sexta-feira</v>
      </c>
    </row>
    <row r="2650" spans="19:22">
      <c r="S2650" s="357">
        <v>44163</v>
      </c>
      <c r="T2650" s="359" t="str">
        <f t="shared" si="89"/>
        <v>sábado</v>
      </c>
      <c r="U2650" s="361">
        <v>42826</v>
      </c>
      <c r="V2650" s="360" t="str">
        <f t="shared" si="90"/>
        <v>sábado</v>
      </c>
    </row>
    <row r="2651" spans="19:22">
      <c r="S2651" s="357">
        <v>44164</v>
      </c>
      <c r="T2651" s="359" t="str">
        <f t="shared" si="89"/>
        <v>domingo</v>
      </c>
      <c r="U2651" s="361">
        <v>42827</v>
      </c>
      <c r="V2651" s="360" t="str">
        <f t="shared" si="90"/>
        <v>domingo</v>
      </c>
    </row>
    <row r="2652" spans="19:22">
      <c r="S2652" s="357">
        <v>44165</v>
      </c>
      <c r="T2652" s="359" t="str">
        <f t="shared" si="89"/>
        <v>segunda-feira</v>
      </c>
      <c r="U2652" s="361">
        <v>42828</v>
      </c>
      <c r="V2652" s="360" t="str">
        <f t="shared" si="90"/>
        <v>segunda-feira</v>
      </c>
    </row>
    <row r="2653" spans="19:22">
      <c r="S2653" s="357">
        <v>44166</v>
      </c>
      <c r="T2653" s="359" t="str">
        <f t="shared" si="89"/>
        <v>terça-feira</v>
      </c>
      <c r="U2653" s="361">
        <v>42829</v>
      </c>
      <c r="V2653" s="360" t="str">
        <f t="shared" si="90"/>
        <v>terça-feira</v>
      </c>
    </row>
    <row r="2654" spans="19:22">
      <c r="S2654" s="357">
        <v>44167</v>
      </c>
      <c r="T2654" s="359" t="str">
        <f t="shared" si="89"/>
        <v>quarta-feira</v>
      </c>
      <c r="U2654" s="361">
        <v>42830</v>
      </c>
      <c r="V2654" s="360" t="str">
        <f t="shared" si="90"/>
        <v>quarta-feira</v>
      </c>
    </row>
    <row r="2655" spans="19:22">
      <c r="S2655" s="357">
        <v>44168</v>
      </c>
      <c r="T2655" s="359" t="str">
        <f t="shared" si="89"/>
        <v>quinta-feira</v>
      </c>
      <c r="U2655" s="361">
        <v>42831</v>
      </c>
      <c r="V2655" s="360" t="str">
        <f t="shared" si="90"/>
        <v>quinta-feira</v>
      </c>
    </row>
    <row r="2656" spans="19:22">
      <c r="S2656" s="357">
        <v>44169</v>
      </c>
      <c r="T2656" s="359" t="str">
        <f t="shared" si="89"/>
        <v>sexta-feira</v>
      </c>
      <c r="U2656" s="361">
        <v>42832</v>
      </c>
      <c r="V2656" s="360" t="str">
        <f t="shared" si="90"/>
        <v>sexta-feira</v>
      </c>
    </row>
    <row r="2657" spans="19:22">
      <c r="S2657" s="357">
        <v>44170</v>
      </c>
      <c r="T2657" s="359" t="str">
        <f t="shared" si="89"/>
        <v>sábado</v>
      </c>
      <c r="U2657" s="361">
        <v>42833</v>
      </c>
      <c r="V2657" s="360" t="str">
        <f t="shared" si="90"/>
        <v>sábado</v>
      </c>
    </row>
    <row r="2658" spans="19:22">
      <c r="S2658" s="357">
        <v>44171</v>
      </c>
      <c r="T2658" s="359" t="str">
        <f t="shared" si="89"/>
        <v>domingo</v>
      </c>
      <c r="U2658" s="361">
        <v>42834</v>
      </c>
      <c r="V2658" s="360" t="str">
        <f t="shared" si="90"/>
        <v>domingo</v>
      </c>
    </row>
    <row r="2659" spans="19:22">
      <c r="S2659" s="357">
        <v>44172</v>
      </c>
      <c r="T2659" s="359" t="str">
        <f t="shared" si="89"/>
        <v>segunda-feira</v>
      </c>
      <c r="U2659" s="361">
        <v>42835</v>
      </c>
      <c r="V2659" s="360" t="str">
        <f t="shared" si="90"/>
        <v>segunda-feira</v>
      </c>
    </row>
    <row r="2660" spans="19:22">
      <c r="S2660" s="357">
        <v>44173</v>
      </c>
      <c r="T2660" s="359" t="str">
        <f t="shared" si="89"/>
        <v>terça-feira</v>
      </c>
      <c r="U2660" s="361">
        <v>42836</v>
      </c>
      <c r="V2660" s="360" t="str">
        <f t="shared" si="90"/>
        <v>terça-feira</v>
      </c>
    </row>
    <row r="2661" spans="19:22">
      <c r="S2661" s="357">
        <v>44174</v>
      </c>
      <c r="T2661" s="359" t="str">
        <f t="shared" si="89"/>
        <v>quarta-feira</v>
      </c>
      <c r="U2661" s="361">
        <v>42837</v>
      </c>
      <c r="V2661" s="360" t="str">
        <f t="shared" si="90"/>
        <v>quarta-feira</v>
      </c>
    </row>
    <row r="2662" spans="19:22">
      <c r="S2662" s="357">
        <v>44175</v>
      </c>
      <c r="T2662" s="359" t="str">
        <f t="shared" si="89"/>
        <v>quinta-feira</v>
      </c>
      <c r="U2662" s="361">
        <v>42838</v>
      </c>
      <c r="V2662" s="360" t="str">
        <f t="shared" si="90"/>
        <v>quinta-feira</v>
      </c>
    </row>
    <row r="2663" spans="19:22">
      <c r="S2663" s="357">
        <v>44176</v>
      </c>
      <c r="T2663" s="359" t="str">
        <f t="shared" si="89"/>
        <v>sexta-feira</v>
      </c>
      <c r="U2663" s="361">
        <v>42839</v>
      </c>
      <c r="V2663" s="360" t="str">
        <f t="shared" si="90"/>
        <v>sexta-feira</v>
      </c>
    </row>
    <row r="2664" spans="19:22">
      <c r="S2664" s="357">
        <v>44177</v>
      </c>
      <c r="T2664" s="359" t="str">
        <f t="shared" si="89"/>
        <v>sábado</v>
      </c>
      <c r="U2664" s="361">
        <v>42840</v>
      </c>
      <c r="V2664" s="360" t="str">
        <f t="shared" si="90"/>
        <v>sábado</v>
      </c>
    </row>
    <row r="2665" spans="19:22">
      <c r="S2665" s="357">
        <v>44178</v>
      </c>
      <c r="T2665" s="359" t="str">
        <f t="shared" si="89"/>
        <v>domingo</v>
      </c>
      <c r="U2665" s="361">
        <v>42841</v>
      </c>
      <c r="V2665" s="360" t="str">
        <f t="shared" si="90"/>
        <v>domingo</v>
      </c>
    </row>
    <row r="2666" spans="19:22">
      <c r="S2666" s="357">
        <v>44179</v>
      </c>
      <c r="T2666" s="359" t="str">
        <f t="shared" si="89"/>
        <v>segunda-feira</v>
      </c>
      <c r="U2666" s="361">
        <v>42842</v>
      </c>
      <c r="V2666" s="360" t="str">
        <f t="shared" si="90"/>
        <v>segunda-feira</v>
      </c>
    </row>
    <row r="2667" spans="19:22">
      <c r="S2667" s="357">
        <v>44180</v>
      </c>
      <c r="T2667" s="359" t="str">
        <f t="shared" si="89"/>
        <v>terça-feira</v>
      </c>
      <c r="U2667" s="361">
        <v>42843</v>
      </c>
      <c r="V2667" s="360" t="str">
        <f t="shared" si="90"/>
        <v>terça-feira</v>
      </c>
    </row>
    <row r="2668" spans="19:22">
      <c r="S2668" s="357">
        <v>44181</v>
      </c>
      <c r="T2668" s="359" t="str">
        <f t="shared" si="89"/>
        <v>quarta-feira</v>
      </c>
      <c r="U2668" s="361">
        <v>42844</v>
      </c>
      <c r="V2668" s="360" t="str">
        <f t="shared" si="90"/>
        <v>quarta-feira</v>
      </c>
    </row>
    <row r="2669" spans="19:22">
      <c r="S2669" s="357">
        <v>44182</v>
      </c>
      <c r="T2669" s="359" t="str">
        <f t="shared" si="89"/>
        <v>quinta-feira</v>
      </c>
      <c r="U2669" s="361">
        <v>42845</v>
      </c>
      <c r="V2669" s="360" t="str">
        <f t="shared" si="90"/>
        <v>quinta-feira</v>
      </c>
    </row>
    <row r="2670" spans="19:22">
      <c r="S2670" s="357">
        <v>44183</v>
      </c>
      <c r="T2670" s="359" t="str">
        <f t="shared" si="89"/>
        <v>sexta-feira</v>
      </c>
      <c r="U2670" s="361">
        <v>42846</v>
      </c>
      <c r="V2670" s="360" t="str">
        <f t="shared" si="90"/>
        <v>sexta-feira</v>
      </c>
    </row>
    <row r="2671" spans="19:22">
      <c r="S2671" s="357">
        <v>44184</v>
      </c>
      <c r="T2671" s="359" t="str">
        <f t="shared" si="89"/>
        <v>sábado</v>
      </c>
      <c r="U2671" s="361">
        <v>42847</v>
      </c>
      <c r="V2671" s="360" t="str">
        <f t="shared" si="90"/>
        <v>sábado</v>
      </c>
    </row>
    <row r="2672" spans="19:22">
      <c r="S2672" s="357">
        <v>44185</v>
      </c>
      <c r="T2672" s="359" t="str">
        <f t="shared" si="89"/>
        <v>domingo</v>
      </c>
      <c r="U2672" s="361">
        <v>42848</v>
      </c>
      <c r="V2672" s="360" t="str">
        <f t="shared" si="90"/>
        <v>domingo</v>
      </c>
    </row>
    <row r="2673" spans="19:22">
      <c r="S2673" s="357">
        <v>44186</v>
      </c>
      <c r="T2673" s="359" t="str">
        <f t="shared" si="89"/>
        <v>segunda-feira</v>
      </c>
      <c r="U2673" s="361">
        <v>42849</v>
      </c>
      <c r="V2673" s="360" t="str">
        <f t="shared" si="90"/>
        <v>segunda-feira</v>
      </c>
    </row>
    <row r="2674" spans="19:22">
      <c r="S2674" s="357">
        <v>44187</v>
      </c>
      <c r="T2674" s="359" t="str">
        <f t="shared" si="89"/>
        <v>terça-feira</v>
      </c>
      <c r="U2674" s="361">
        <v>42850</v>
      </c>
      <c r="V2674" s="360" t="str">
        <f t="shared" si="90"/>
        <v>terça-feira</v>
      </c>
    </row>
    <row r="2675" spans="19:22">
      <c r="S2675" s="357">
        <v>44188</v>
      </c>
      <c r="T2675" s="359" t="str">
        <f t="shared" si="89"/>
        <v>quarta-feira</v>
      </c>
      <c r="U2675" s="361">
        <v>42851</v>
      </c>
      <c r="V2675" s="360" t="str">
        <f t="shared" si="90"/>
        <v>quarta-feira</v>
      </c>
    </row>
    <row r="2676" spans="19:22">
      <c r="S2676" s="357">
        <v>44189</v>
      </c>
      <c r="T2676" s="359" t="str">
        <f t="shared" si="89"/>
        <v>quinta-feira</v>
      </c>
      <c r="U2676" s="361">
        <v>42852</v>
      </c>
      <c r="V2676" s="360" t="str">
        <f t="shared" si="90"/>
        <v>quinta-feira</v>
      </c>
    </row>
    <row r="2677" spans="19:22">
      <c r="S2677" s="357">
        <v>44190</v>
      </c>
      <c r="T2677" s="359" t="str">
        <f t="shared" si="89"/>
        <v>sexta-feira</v>
      </c>
      <c r="U2677" s="361">
        <v>42853</v>
      </c>
      <c r="V2677" s="360" t="str">
        <f t="shared" si="90"/>
        <v>sexta-feira</v>
      </c>
    </row>
    <row r="2678" spans="19:22">
      <c r="S2678" s="357">
        <v>44191</v>
      </c>
      <c r="T2678" s="359" t="str">
        <f t="shared" si="89"/>
        <v>sábado</v>
      </c>
      <c r="U2678" s="361">
        <v>42854</v>
      </c>
      <c r="V2678" s="360" t="str">
        <f t="shared" si="90"/>
        <v>sábado</v>
      </c>
    </row>
    <row r="2679" spans="19:22">
      <c r="S2679" s="357">
        <v>44192</v>
      </c>
      <c r="T2679" s="359" t="str">
        <f t="shared" ref="T2679:T2742" si="91">TEXT(S2679,"dddd")</f>
        <v>domingo</v>
      </c>
      <c r="U2679" s="361">
        <v>42855</v>
      </c>
      <c r="V2679" s="360" t="str">
        <f t="shared" si="90"/>
        <v>domingo</v>
      </c>
    </row>
    <row r="2680" spans="19:22">
      <c r="S2680" s="357">
        <v>44193</v>
      </c>
      <c r="T2680" s="359" t="str">
        <f t="shared" si="91"/>
        <v>segunda-feira</v>
      </c>
      <c r="U2680" s="361">
        <v>42856</v>
      </c>
      <c r="V2680" s="360" t="str">
        <f t="shared" si="90"/>
        <v>segunda-feira</v>
      </c>
    </row>
    <row r="2681" spans="19:22">
      <c r="S2681" s="357">
        <v>44194</v>
      </c>
      <c r="T2681" s="359" t="str">
        <f t="shared" si="91"/>
        <v>terça-feira</v>
      </c>
      <c r="U2681" s="361">
        <v>42857</v>
      </c>
      <c r="V2681" s="360" t="str">
        <f t="shared" si="90"/>
        <v>terça-feira</v>
      </c>
    </row>
    <row r="2682" spans="19:22">
      <c r="S2682" s="357">
        <v>44195</v>
      </c>
      <c r="T2682" s="359" t="str">
        <f t="shared" si="91"/>
        <v>quarta-feira</v>
      </c>
      <c r="U2682" s="361">
        <v>42858</v>
      </c>
      <c r="V2682" s="360" t="str">
        <f t="shared" si="90"/>
        <v>quarta-feira</v>
      </c>
    </row>
    <row r="2683" spans="19:22">
      <c r="S2683" s="357">
        <v>44196</v>
      </c>
      <c r="T2683" s="359" t="str">
        <f t="shared" si="91"/>
        <v>quinta-feira</v>
      </c>
      <c r="U2683" s="361">
        <v>42859</v>
      </c>
      <c r="V2683" s="360" t="str">
        <f t="shared" si="90"/>
        <v>quinta-feira</v>
      </c>
    </row>
    <row r="2684" spans="19:22">
      <c r="S2684" s="357">
        <v>44197</v>
      </c>
      <c r="T2684" s="359" t="str">
        <f t="shared" si="91"/>
        <v>sexta-feira</v>
      </c>
      <c r="U2684" s="361">
        <v>42860</v>
      </c>
      <c r="V2684" s="360" t="str">
        <f t="shared" si="90"/>
        <v>sexta-feira</v>
      </c>
    </row>
    <row r="2685" spans="19:22">
      <c r="S2685" s="357">
        <v>44198</v>
      </c>
      <c r="T2685" s="359" t="str">
        <f t="shared" si="91"/>
        <v>sábado</v>
      </c>
      <c r="U2685" s="361">
        <v>42861</v>
      </c>
      <c r="V2685" s="360" t="str">
        <f t="shared" si="90"/>
        <v>sábado</v>
      </c>
    </row>
    <row r="2686" spans="19:22">
      <c r="S2686" s="357">
        <v>44199</v>
      </c>
      <c r="T2686" s="359" t="str">
        <f t="shared" si="91"/>
        <v>domingo</v>
      </c>
      <c r="U2686" s="361">
        <v>42862</v>
      </c>
      <c r="V2686" s="360" t="str">
        <f t="shared" si="90"/>
        <v>domingo</v>
      </c>
    </row>
    <row r="2687" spans="19:22">
      <c r="S2687" s="357">
        <v>44200</v>
      </c>
      <c r="T2687" s="359" t="str">
        <f t="shared" si="91"/>
        <v>segunda-feira</v>
      </c>
      <c r="U2687" s="361">
        <v>42863</v>
      </c>
      <c r="V2687" s="360" t="str">
        <f t="shared" si="90"/>
        <v>segunda-feira</v>
      </c>
    </row>
    <row r="2688" spans="19:22">
      <c r="S2688" s="357">
        <v>44201</v>
      </c>
      <c r="T2688" s="359" t="str">
        <f t="shared" si="91"/>
        <v>terça-feira</v>
      </c>
      <c r="U2688" s="361">
        <v>42864</v>
      </c>
      <c r="V2688" s="360" t="str">
        <f t="shared" si="90"/>
        <v>terça-feira</v>
      </c>
    </row>
    <row r="2689" spans="19:22">
      <c r="S2689" s="357">
        <v>44202</v>
      </c>
      <c r="T2689" s="359" t="str">
        <f t="shared" si="91"/>
        <v>quarta-feira</v>
      </c>
      <c r="U2689" s="361">
        <v>42865</v>
      </c>
      <c r="V2689" s="360" t="str">
        <f t="shared" si="90"/>
        <v>quarta-feira</v>
      </c>
    </row>
    <row r="2690" spans="19:22">
      <c r="S2690" s="357">
        <v>44203</v>
      </c>
      <c r="T2690" s="359" t="str">
        <f t="shared" si="91"/>
        <v>quinta-feira</v>
      </c>
      <c r="U2690" s="361">
        <v>42866</v>
      </c>
      <c r="V2690" s="360" t="str">
        <f t="shared" si="90"/>
        <v>quinta-feira</v>
      </c>
    </row>
    <row r="2691" spans="19:22">
      <c r="S2691" s="357">
        <v>44204</v>
      </c>
      <c r="T2691" s="359" t="str">
        <f t="shared" si="91"/>
        <v>sexta-feira</v>
      </c>
      <c r="U2691" s="361">
        <v>42867</v>
      </c>
      <c r="V2691" s="360" t="str">
        <f t="shared" si="90"/>
        <v>sexta-feira</v>
      </c>
    </row>
    <row r="2692" spans="19:22">
      <c r="S2692" s="357">
        <v>44205</v>
      </c>
      <c r="T2692" s="359" t="str">
        <f t="shared" si="91"/>
        <v>sábado</v>
      </c>
      <c r="U2692" s="361">
        <v>42868</v>
      </c>
      <c r="V2692" s="360" t="str">
        <f t="shared" si="90"/>
        <v>sábado</v>
      </c>
    </row>
    <row r="2693" spans="19:22">
      <c r="S2693" s="357">
        <v>44206</v>
      </c>
      <c r="T2693" s="359" t="str">
        <f t="shared" si="91"/>
        <v>domingo</v>
      </c>
      <c r="U2693" s="361">
        <v>42869</v>
      </c>
      <c r="V2693" s="360" t="str">
        <f t="shared" si="90"/>
        <v>domingo</v>
      </c>
    </row>
    <row r="2694" spans="19:22">
      <c r="S2694" s="357">
        <v>44207</v>
      </c>
      <c r="T2694" s="359" t="str">
        <f t="shared" si="91"/>
        <v>segunda-feira</v>
      </c>
      <c r="U2694" s="361">
        <v>42870</v>
      </c>
      <c r="V2694" s="360" t="str">
        <f t="shared" si="90"/>
        <v>segunda-feira</v>
      </c>
    </row>
    <row r="2695" spans="19:22">
      <c r="S2695" s="357">
        <v>44208</v>
      </c>
      <c r="T2695" s="359" t="str">
        <f t="shared" si="91"/>
        <v>terça-feira</v>
      </c>
      <c r="U2695" s="361">
        <v>42871</v>
      </c>
      <c r="V2695" s="360" t="str">
        <f t="shared" si="90"/>
        <v>terça-feira</v>
      </c>
    </row>
    <row r="2696" spans="19:22">
      <c r="S2696" s="357">
        <v>44209</v>
      </c>
      <c r="T2696" s="359" t="str">
        <f t="shared" si="91"/>
        <v>quarta-feira</v>
      </c>
      <c r="U2696" s="361">
        <v>42872</v>
      </c>
      <c r="V2696" s="360" t="str">
        <f t="shared" si="90"/>
        <v>quarta-feira</v>
      </c>
    </row>
    <row r="2697" spans="19:22">
      <c r="S2697" s="357">
        <v>44210</v>
      </c>
      <c r="T2697" s="359" t="str">
        <f t="shared" si="91"/>
        <v>quinta-feira</v>
      </c>
      <c r="U2697" s="361">
        <v>42873</v>
      </c>
      <c r="V2697" s="360" t="str">
        <f t="shared" si="90"/>
        <v>quinta-feira</v>
      </c>
    </row>
    <row r="2698" spans="19:22">
      <c r="S2698" s="357">
        <v>44211</v>
      </c>
      <c r="T2698" s="359" t="str">
        <f t="shared" si="91"/>
        <v>sexta-feira</v>
      </c>
      <c r="U2698" s="361">
        <v>42874</v>
      </c>
      <c r="V2698" s="360" t="str">
        <f t="shared" si="90"/>
        <v>sexta-feira</v>
      </c>
    </row>
    <row r="2699" spans="19:22">
      <c r="S2699" s="357">
        <v>44212</v>
      </c>
      <c r="T2699" s="359" t="str">
        <f t="shared" si="91"/>
        <v>sábado</v>
      </c>
      <c r="U2699" s="361">
        <v>42875</v>
      </c>
      <c r="V2699" s="360" t="str">
        <f t="shared" si="90"/>
        <v>sábado</v>
      </c>
    </row>
    <row r="2700" spans="19:22">
      <c r="S2700" s="357">
        <v>44213</v>
      </c>
      <c r="T2700" s="359" t="str">
        <f t="shared" si="91"/>
        <v>domingo</v>
      </c>
      <c r="U2700" s="361">
        <v>42876</v>
      </c>
      <c r="V2700" s="360" t="str">
        <f t="shared" si="90"/>
        <v>domingo</v>
      </c>
    </row>
    <row r="2701" spans="19:22">
      <c r="S2701" s="357">
        <v>44214</v>
      </c>
      <c r="T2701" s="359" t="str">
        <f t="shared" si="91"/>
        <v>segunda-feira</v>
      </c>
      <c r="U2701" s="361">
        <v>42877</v>
      </c>
      <c r="V2701" s="360" t="str">
        <f t="shared" si="90"/>
        <v>segunda-feira</v>
      </c>
    </row>
    <row r="2702" spans="19:22">
      <c r="S2702" s="357">
        <v>44215</v>
      </c>
      <c r="T2702" s="359" t="str">
        <f t="shared" si="91"/>
        <v>terça-feira</v>
      </c>
      <c r="U2702" s="361">
        <v>42878</v>
      </c>
      <c r="V2702" s="360" t="str">
        <f t="shared" si="90"/>
        <v>terça-feira</v>
      </c>
    </row>
    <row r="2703" spans="19:22">
      <c r="S2703" s="357">
        <v>44216</v>
      </c>
      <c r="T2703" s="359" t="str">
        <f t="shared" si="91"/>
        <v>quarta-feira</v>
      </c>
      <c r="U2703" s="361">
        <v>42879</v>
      </c>
      <c r="V2703" s="360" t="str">
        <f t="shared" si="90"/>
        <v>quarta-feira</v>
      </c>
    </row>
    <row r="2704" spans="19:22">
      <c r="S2704" s="357">
        <v>44217</v>
      </c>
      <c r="T2704" s="359" t="str">
        <f t="shared" si="91"/>
        <v>quinta-feira</v>
      </c>
      <c r="U2704" s="361">
        <v>42880</v>
      </c>
      <c r="V2704" s="360" t="str">
        <f t="shared" si="90"/>
        <v>quinta-feira</v>
      </c>
    </row>
    <row r="2705" spans="19:22">
      <c r="S2705" s="357">
        <v>44218</v>
      </c>
      <c r="T2705" s="359" t="str">
        <f t="shared" si="91"/>
        <v>sexta-feira</v>
      </c>
      <c r="U2705" s="361">
        <v>42881</v>
      </c>
      <c r="V2705" s="360" t="str">
        <f t="shared" si="90"/>
        <v>sexta-feira</v>
      </c>
    </row>
    <row r="2706" spans="19:22">
      <c r="S2706" s="357">
        <v>44219</v>
      </c>
      <c r="T2706" s="359" t="str">
        <f t="shared" si="91"/>
        <v>sábado</v>
      </c>
      <c r="U2706" s="361">
        <v>42882</v>
      </c>
      <c r="V2706" s="360" t="str">
        <f t="shared" ref="V2706:V2769" si="92">TEXT(U2706,"dddd")</f>
        <v>sábado</v>
      </c>
    </row>
    <row r="2707" spans="19:22">
      <c r="S2707" s="357">
        <v>44220</v>
      </c>
      <c r="T2707" s="359" t="str">
        <f t="shared" si="91"/>
        <v>domingo</v>
      </c>
      <c r="U2707" s="361">
        <v>42883</v>
      </c>
      <c r="V2707" s="360" t="str">
        <f t="shared" si="92"/>
        <v>domingo</v>
      </c>
    </row>
    <row r="2708" spans="19:22">
      <c r="S2708" s="357">
        <v>44221</v>
      </c>
      <c r="T2708" s="359" t="str">
        <f t="shared" si="91"/>
        <v>segunda-feira</v>
      </c>
      <c r="U2708" s="361">
        <v>42884</v>
      </c>
      <c r="V2708" s="360" t="str">
        <f t="shared" si="92"/>
        <v>segunda-feira</v>
      </c>
    </row>
    <row r="2709" spans="19:22">
      <c r="S2709" s="357">
        <v>44222</v>
      </c>
      <c r="T2709" s="359" t="str">
        <f t="shared" si="91"/>
        <v>terça-feira</v>
      </c>
      <c r="U2709" s="361">
        <v>42885</v>
      </c>
      <c r="V2709" s="360" t="str">
        <f t="shared" si="92"/>
        <v>terça-feira</v>
      </c>
    </row>
    <row r="2710" spans="19:22">
      <c r="S2710" s="357">
        <v>44223</v>
      </c>
      <c r="T2710" s="359" t="str">
        <f t="shared" si="91"/>
        <v>quarta-feira</v>
      </c>
      <c r="U2710" s="361">
        <v>42886</v>
      </c>
      <c r="V2710" s="360" t="str">
        <f t="shared" si="92"/>
        <v>quarta-feira</v>
      </c>
    </row>
    <row r="2711" spans="19:22">
      <c r="S2711" s="357">
        <v>44224</v>
      </c>
      <c r="T2711" s="359" t="str">
        <f t="shared" si="91"/>
        <v>quinta-feira</v>
      </c>
      <c r="U2711" s="361">
        <v>42887</v>
      </c>
      <c r="V2711" s="360" t="str">
        <f t="shared" si="92"/>
        <v>quinta-feira</v>
      </c>
    </row>
    <row r="2712" spans="19:22">
      <c r="S2712" s="357">
        <v>44225</v>
      </c>
      <c r="T2712" s="359" t="str">
        <f t="shared" si="91"/>
        <v>sexta-feira</v>
      </c>
      <c r="U2712" s="361">
        <v>42888</v>
      </c>
      <c r="V2712" s="360" t="str">
        <f t="shared" si="92"/>
        <v>sexta-feira</v>
      </c>
    </row>
    <row r="2713" spans="19:22">
      <c r="S2713" s="357">
        <v>44226</v>
      </c>
      <c r="T2713" s="359" t="str">
        <f t="shared" si="91"/>
        <v>sábado</v>
      </c>
      <c r="U2713" s="361">
        <v>42889</v>
      </c>
      <c r="V2713" s="360" t="str">
        <f t="shared" si="92"/>
        <v>sábado</v>
      </c>
    </row>
    <row r="2714" spans="19:22">
      <c r="S2714" s="357">
        <v>44227</v>
      </c>
      <c r="T2714" s="359" t="str">
        <f t="shared" si="91"/>
        <v>domingo</v>
      </c>
      <c r="U2714" s="361">
        <v>42890</v>
      </c>
      <c r="V2714" s="360" t="str">
        <f t="shared" si="92"/>
        <v>domingo</v>
      </c>
    </row>
    <row r="2715" spans="19:22">
      <c r="S2715" s="357">
        <v>44228</v>
      </c>
      <c r="T2715" s="359" t="str">
        <f t="shared" si="91"/>
        <v>segunda-feira</v>
      </c>
      <c r="U2715" s="361">
        <v>42891</v>
      </c>
      <c r="V2715" s="360" t="str">
        <f t="shared" si="92"/>
        <v>segunda-feira</v>
      </c>
    </row>
    <row r="2716" spans="19:22">
      <c r="S2716" s="357">
        <v>44229</v>
      </c>
      <c r="T2716" s="359" t="str">
        <f t="shared" si="91"/>
        <v>terça-feira</v>
      </c>
      <c r="U2716" s="361">
        <v>42892</v>
      </c>
      <c r="V2716" s="360" t="str">
        <f t="shared" si="92"/>
        <v>terça-feira</v>
      </c>
    </row>
    <row r="2717" spans="19:22">
      <c r="S2717" s="357">
        <v>44230</v>
      </c>
      <c r="T2717" s="359" t="str">
        <f t="shared" si="91"/>
        <v>quarta-feira</v>
      </c>
      <c r="U2717" s="361">
        <v>42893</v>
      </c>
      <c r="V2717" s="360" t="str">
        <f t="shared" si="92"/>
        <v>quarta-feira</v>
      </c>
    </row>
    <row r="2718" spans="19:22">
      <c r="S2718" s="357">
        <v>44231</v>
      </c>
      <c r="T2718" s="359" t="str">
        <f t="shared" si="91"/>
        <v>quinta-feira</v>
      </c>
      <c r="U2718" s="361">
        <v>42894</v>
      </c>
      <c r="V2718" s="360" t="str">
        <f t="shared" si="92"/>
        <v>quinta-feira</v>
      </c>
    </row>
    <row r="2719" spans="19:22">
      <c r="S2719" s="357">
        <v>44232</v>
      </c>
      <c r="T2719" s="359" t="str">
        <f t="shared" si="91"/>
        <v>sexta-feira</v>
      </c>
      <c r="U2719" s="361">
        <v>42895</v>
      </c>
      <c r="V2719" s="360" t="str">
        <f t="shared" si="92"/>
        <v>sexta-feira</v>
      </c>
    </row>
    <row r="2720" spans="19:22">
      <c r="S2720" s="357">
        <v>44233</v>
      </c>
      <c r="T2720" s="359" t="str">
        <f t="shared" si="91"/>
        <v>sábado</v>
      </c>
      <c r="U2720" s="361">
        <v>42896</v>
      </c>
      <c r="V2720" s="360" t="str">
        <f t="shared" si="92"/>
        <v>sábado</v>
      </c>
    </row>
    <row r="2721" spans="19:22">
      <c r="S2721" s="357">
        <v>44234</v>
      </c>
      <c r="T2721" s="359" t="str">
        <f t="shared" si="91"/>
        <v>domingo</v>
      </c>
      <c r="U2721" s="361">
        <v>42897</v>
      </c>
      <c r="V2721" s="360" t="str">
        <f t="shared" si="92"/>
        <v>domingo</v>
      </c>
    </row>
    <row r="2722" spans="19:22">
      <c r="S2722" s="357">
        <v>44235</v>
      </c>
      <c r="T2722" s="359" t="str">
        <f t="shared" si="91"/>
        <v>segunda-feira</v>
      </c>
      <c r="U2722" s="361">
        <v>42898</v>
      </c>
      <c r="V2722" s="360" t="str">
        <f t="shared" si="92"/>
        <v>segunda-feira</v>
      </c>
    </row>
    <row r="2723" spans="19:22">
      <c r="S2723" s="357">
        <v>44236</v>
      </c>
      <c r="T2723" s="359" t="str">
        <f t="shared" si="91"/>
        <v>terça-feira</v>
      </c>
      <c r="U2723" s="361">
        <v>42899</v>
      </c>
      <c r="V2723" s="360" t="str">
        <f t="shared" si="92"/>
        <v>terça-feira</v>
      </c>
    </row>
    <row r="2724" spans="19:22">
      <c r="S2724" s="357">
        <v>44237</v>
      </c>
      <c r="T2724" s="359" t="str">
        <f t="shared" si="91"/>
        <v>quarta-feira</v>
      </c>
      <c r="U2724" s="361">
        <v>42900</v>
      </c>
      <c r="V2724" s="360" t="str">
        <f t="shared" si="92"/>
        <v>quarta-feira</v>
      </c>
    </row>
    <row r="2725" spans="19:22">
      <c r="S2725" s="357">
        <v>44238</v>
      </c>
      <c r="T2725" s="359" t="str">
        <f t="shared" si="91"/>
        <v>quinta-feira</v>
      </c>
      <c r="U2725" s="361">
        <v>42901</v>
      </c>
      <c r="V2725" s="360" t="str">
        <f t="shared" si="92"/>
        <v>quinta-feira</v>
      </c>
    </row>
    <row r="2726" spans="19:22">
      <c r="S2726" s="357">
        <v>44239</v>
      </c>
      <c r="T2726" s="359" t="str">
        <f t="shared" si="91"/>
        <v>sexta-feira</v>
      </c>
      <c r="U2726" s="361">
        <v>42902</v>
      </c>
      <c r="V2726" s="360" t="str">
        <f t="shared" si="92"/>
        <v>sexta-feira</v>
      </c>
    </row>
    <row r="2727" spans="19:22">
      <c r="S2727" s="357">
        <v>44240</v>
      </c>
      <c r="T2727" s="359" t="str">
        <f t="shared" si="91"/>
        <v>sábado</v>
      </c>
      <c r="U2727" s="361">
        <v>42903</v>
      </c>
      <c r="V2727" s="360" t="str">
        <f t="shared" si="92"/>
        <v>sábado</v>
      </c>
    </row>
    <row r="2728" spans="19:22">
      <c r="S2728" s="357">
        <v>44241</v>
      </c>
      <c r="T2728" s="359" t="str">
        <f t="shared" si="91"/>
        <v>domingo</v>
      </c>
      <c r="U2728" s="361">
        <v>42904</v>
      </c>
      <c r="V2728" s="360" t="str">
        <f t="shared" si="92"/>
        <v>domingo</v>
      </c>
    </row>
    <row r="2729" spans="19:22">
      <c r="S2729" s="357">
        <v>44242</v>
      </c>
      <c r="T2729" s="359" t="str">
        <f t="shared" si="91"/>
        <v>segunda-feira</v>
      </c>
      <c r="U2729" s="361">
        <v>42905</v>
      </c>
      <c r="V2729" s="360" t="str">
        <f t="shared" si="92"/>
        <v>segunda-feira</v>
      </c>
    </row>
    <row r="2730" spans="19:22">
      <c r="S2730" s="357">
        <v>44243</v>
      </c>
      <c r="T2730" s="359" t="str">
        <f t="shared" si="91"/>
        <v>terça-feira</v>
      </c>
      <c r="U2730" s="361">
        <v>42906</v>
      </c>
      <c r="V2730" s="360" t="str">
        <f t="shared" si="92"/>
        <v>terça-feira</v>
      </c>
    </row>
    <row r="2731" spans="19:22">
      <c r="S2731" s="357">
        <v>44244</v>
      </c>
      <c r="T2731" s="359" t="str">
        <f t="shared" si="91"/>
        <v>quarta-feira</v>
      </c>
      <c r="U2731" s="361">
        <v>42907</v>
      </c>
      <c r="V2731" s="360" t="str">
        <f t="shared" si="92"/>
        <v>quarta-feira</v>
      </c>
    </row>
    <row r="2732" spans="19:22">
      <c r="S2732" s="357">
        <v>44245</v>
      </c>
      <c r="T2732" s="359" t="str">
        <f t="shared" si="91"/>
        <v>quinta-feira</v>
      </c>
      <c r="U2732" s="361">
        <v>42908</v>
      </c>
      <c r="V2732" s="360" t="str">
        <f t="shared" si="92"/>
        <v>quinta-feira</v>
      </c>
    </row>
    <row r="2733" spans="19:22">
      <c r="S2733" s="357">
        <v>44246</v>
      </c>
      <c r="T2733" s="359" t="str">
        <f t="shared" si="91"/>
        <v>sexta-feira</v>
      </c>
      <c r="U2733" s="361">
        <v>42909</v>
      </c>
      <c r="V2733" s="360" t="str">
        <f t="shared" si="92"/>
        <v>sexta-feira</v>
      </c>
    </row>
    <row r="2734" spans="19:22">
      <c r="S2734" s="357">
        <v>44247</v>
      </c>
      <c r="T2734" s="359" t="str">
        <f t="shared" si="91"/>
        <v>sábado</v>
      </c>
      <c r="U2734" s="361">
        <v>42910</v>
      </c>
      <c r="V2734" s="360" t="str">
        <f t="shared" si="92"/>
        <v>sábado</v>
      </c>
    </row>
    <row r="2735" spans="19:22">
      <c r="S2735" s="357">
        <v>44248</v>
      </c>
      <c r="T2735" s="359" t="str">
        <f t="shared" si="91"/>
        <v>domingo</v>
      </c>
      <c r="U2735" s="361">
        <v>42911</v>
      </c>
      <c r="V2735" s="360" t="str">
        <f t="shared" si="92"/>
        <v>domingo</v>
      </c>
    </row>
    <row r="2736" spans="19:22">
      <c r="S2736" s="357">
        <v>44249</v>
      </c>
      <c r="T2736" s="359" t="str">
        <f t="shared" si="91"/>
        <v>segunda-feira</v>
      </c>
      <c r="U2736" s="361">
        <v>42912</v>
      </c>
      <c r="V2736" s="360" t="str">
        <f t="shared" si="92"/>
        <v>segunda-feira</v>
      </c>
    </row>
    <row r="2737" spans="19:22">
      <c r="S2737" s="357">
        <v>44250</v>
      </c>
      <c r="T2737" s="359" t="str">
        <f t="shared" si="91"/>
        <v>terça-feira</v>
      </c>
      <c r="U2737" s="361">
        <v>42913</v>
      </c>
      <c r="V2737" s="360" t="str">
        <f t="shared" si="92"/>
        <v>terça-feira</v>
      </c>
    </row>
    <row r="2738" spans="19:22">
      <c r="S2738" s="357">
        <v>44251</v>
      </c>
      <c r="T2738" s="359" t="str">
        <f t="shared" si="91"/>
        <v>quarta-feira</v>
      </c>
      <c r="U2738" s="361">
        <v>42914</v>
      </c>
      <c r="V2738" s="360" t="str">
        <f t="shared" si="92"/>
        <v>quarta-feira</v>
      </c>
    </row>
    <row r="2739" spans="19:22">
      <c r="S2739" s="357">
        <v>44252</v>
      </c>
      <c r="T2739" s="359" t="str">
        <f t="shared" si="91"/>
        <v>quinta-feira</v>
      </c>
      <c r="U2739" s="361">
        <v>42915</v>
      </c>
      <c r="V2739" s="360" t="str">
        <f t="shared" si="92"/>
        <v>quinta-feira</v>
      </c>
    </row>
    <row r="2740" spans="19:22">
      <c r="S2740" s="357">
        <v>44253</v>
      </c>
      <c r="T2740" s="359" t="str">
        <f t="shared" si="91"/>
        <v>sexta-feira</v>
      </c>
      <c r="U2740" s="361">
        <v>42916</v>
      </c>
      <c r="V2740" s="360" t="str">
        <f t="shared" si="92"/>
        <v>sexta-feira</v>
      </c>
    </row>
    <row r="2741" spans="19:22">
      <c r="S2741" s="357">
        <v>44254</v>
      </c>
      <c r="T2741" s="359" t="str">
        <f t="shared" si="91"/>
        <v>sábado</v>
      </c>
      <c r="U2741" s="361">
        <v>42917</v>
      </c>
      <c r="V2741" s="360" t="str">
        <f t="shared" si="92"/>
        <v>sábado</v>
      </c>
    </row>
    <row r="2742" spans="19:22">
      <c r="S2742" s="357">
        <v>44255</v>
      </c>
      <c r="T2742" s="359" t="str">
        <f t="shared" si="91"/>
        <v>domingo</v>
      </c>
      <c r="U2742" s="361">
        <v>42918</v>
      </c>
      <c r="V2742" s="360" t="str">
        <f t="shared" si="92"/>
        <v>domingo</v>
      </c>
    </row>
    <row r="2743" spans="19:22">
      <c r="S2743" s="357">
        <v>44256</v>
      </c>
      <c r="T2743" s="359" t="str">
        <f t="shared" ref="T2743:T2806" si="93">TEXT(S2743,"dddd")</f>
        <v>segunda-feira</v>
      </c>
      <c r="U2743" s="361">
        <v>42919</v>
      </c>
      <c r="V2743" s="360" t="str">
        <f t="shared" si="92"/>
        <v>segunda-feira</v>
      </c>
    </row>
    <row r="2744" spans="19:22">
      <c r="S2744" s="357">
        <v>44257</v>
      </c>
      <c r="T2744" s="359" t="str">
        <f t="shared" si="93"/>
        <v>terça-feira</v>
      </c>
      <c r="U2744" s="361">
        <v>42920</v>
      </c>
      <c r="V2744" s="360" t="str">
        <f t="shared" si="92"/>
        <v>terça-feira</v>
      </c>
    </row>
    <row r="2745" spans="19:22">
      <c r="S2745" s="357">
        <v>44258</v>
      </c>
      <c r="T2745" s="359" t="str">
        <f t="shared" si="93"/>
        <v>quarta-feira</v>
      </c>
      <c r="U2745" s="361">
        <v>42921</v>
      </c>
      <c r="V2745" s="360" t="str">
        <f t="shared" si="92"/>
        <v>quarta-feira</v>
      </c>
    </row>
    <row r="2746" spans="19:22">
      <c r="S2746" s="357">
        <v>44259</v>
      </c>
      <c r="T2746" s="359" t="str">
        <f t="shared" si="93"/>
        <v>quinta-feira</v>
      </c>
      <c r="U2746" s="361">
        <v>42922</v>
      </c>
      <c r="V2746" s="360" t="str">
        <f t="shared" si="92"/>
        <v>quinta-feira</v>
      </c>
    </row>
    <row r="2747" spans="19:22">
      <c r="S2747" s="357">
        <v>44260</v>
      </c>
      <c r="T2747" s="359" t="str">
        <f t="shared" si="93"/>
        <v>sexta-feira</v>
      </c>
      <c r="U2747" s="361">
        <v>42923</v>
      </c>
      <c r="V2747" s="360" t="str">
        <f t="shared" si="92"/>
        <v>sexta-feira</v>
      </c>
    </row>
    <row r="2748" spans="19:22">
      <c r="S2748" s="357">
        <v>44261</v>
      </c>
      <c r="T2748" s="359" t="str">
        <f t="shared" si="93"/>
        <v>sábado</v>
      </c>
      <c r="U2748" s="361">
        <v>42924</v>
      </c>
      <c r="V2748" s="360" t="str">
        <f t="shared" si="92"/>
        <v>sábado</v>
      </c>
    </row>
    <row r="2749" spans="19:22">
      <c r="S2749" s="357">
        <v>44262</v>
      </c>
      <c r="T2749" s="359" t="str">
        <f t="shared" si="93"/>
        <v>domingo</v>
      </c>
      <c r="U2749" s="361">
        <v>42925</v>
      </c>
      <c r="V2749" s="360" t="str">
        <f t="shared" si="92"/>
        <v>domingo</v>
      </c>
    </row>
    <row r="2750" spans="19:22">
      <c r="S2750" s="357">
        <v>44263</v>
      </c>
      <c r="T2750" s="359" t="str">
        <f t="shared" si="93"/>
        <v>segunda-feira</v>
      </c>
      <c r="U2750" s="361">
        <v>42926</v>
      </c>
      <c r="V2750" s="360" t="str">
        <f t="shared" si="92"/>
        <v>segunda-feira</v>
      </c>
    </row>
    <row r="2751" spans="19:22">
      <c r="S2751" s="357">
        <v>44264</v>
      </c>
      <c r="T2751" s="359" t="str">
        <f t="shared" si="93"/>
        <v>terça-feira</v>
      </c>
      <c r="U2751" s="361">
        <v>42927</v>
      </c>
      <c r="V2751" s="360" t="str">
        <f t="shared" si="92"/>
        <v>terça-feira</v>
      </c>
    </row>
    <row r="2752" spans="19:22">
      <c r="S2752" s="357">
        <v>44265</v>
      </c>
      <c r="T2752" s="359" t="str">
        <f t="shared" si="93"/>
        <v>quarta-feira</v>
      </c>
      <c r="U2752" s="361">
        <v>42928</v>
      </c>
      <c r="V2752" s="360" t="str">
        <f t="shared" si="92"/>
        <v>quarta-feira</v>
      </c>
    </row>
    <row r="2753" spans="19:22">
      <c r="S2753" s="357">
        <v>44266</v>
      </c>
      <c r="T2753" s="359" t="str">
        <f t="shared" si="93"/>
        <v>quinta-feira</v>
      </c>
      <c r="U2753" s="361">
        <v>42929</v>
      </c>
      <c r="V2753" s="360" t="str">
        <f t="shared" si="92"/>
        <v>quinta-feira</v>
      </c>
    </row>
    <row r="2754" spans="19:22">
      <c r="S2754" s="357">
        <v>44267</v>
      </c>
      <c r="T2754" s="359" t="str">
        <f t="shared" si="93"/>
        <v>sexta-feira</v>
      </c>
      <c r="U2754" s="361">
        <v>42930</v>
      </c>
      <c r="V2754" s="360" t="str">
        <f t="shared" si="92"/>
        <v>sexta-feira</v>
      </c>
    </row>
    <row r="2755" spans="19:22">
      <c r="S2755" s="357">
        <v>44268</v>
      </c>
      <c r="T2755" s="359" t="str">
        <f t="shared" si="93"/>
        <v>sábado</v>
      </c>
      <c r="U2755" s="361">
        <v>42931</v>
      </c>
      <c r="V2755" s="360" t="str">
        <f t="shared" si="92"/>
        <v>sábado</v>
      </c>
    </row>
    <row r="2756" spans="19:22">
      <c r="S2756" s="357">
        <v>44269</v>
      </c>
      <c r="T2756" s="359" t="str">
        <f t="shared" si="93"/>
        <v>domingo</v>
      </c>
      <c r="U2756" s="361">
        <v>42932</v>
      </c>
      <c r="V2756" s="360" t="str">
        <f t="shared" si="92"/>
        <v>domingo</v>
      </c>
    </row>
    <row r="2757" spans="19:22">
      <c r="S2757" s="357">
        <v>44270</v>
      </c>
      <c r="T2757" s="359" t="str">
        <f t="shared" si="93"/>
        <v>segunda-feira</v>
      </c>
      <c r="U2757" s="361">
        <v>42933</v>
      </c>
      <c r="V2757" s="360" t="str">
        <f t="shared" si="92"/>
        <v>segunda-feira</v>
      </c>
    </row>
    <row r="2758" spans="19:22">
      <c r="S2758" s="357">
        <v>44271</v>
      </c>
      <c r="T2758" s="359" t="str">
        <f t="shared" si="93"/>
        <v>terça-feira</v>
      </c>
      <c r="U2758" s="361">
        <v>42934</v>
      </c>
      <c r="V2758" s="360" t="str">
        <f t="shared" si="92"/>
        <v>terça-feira</v>
      </c>
    </row>
    <row r="2759" spans="19:22">
      <c r="S2759" s="357">
        <v>44272</v>
      </c>
      <c r="T2759" s="359" t="str">
        <f t="shared" si="93"/>
        <v>quarta-feira</v>
      </c>
      <c r="U2759" s="361">
        <v>42935</v>
      </c>
      <c r="V2759" s="360" t="str">
        <f t="shared" si="92"/>
        <v>quarta-feira</v>
      </c>
    </row>
    <row r="2760" spans="19:22">
      <c r="S2760" s="357">
        <v>44273</v>
      </c>
      <c r="T2760" s="359" t="str">
        <f t="shared" si="93"/>
        <v>quinta-feira</v>
      </c>
      <c r="U2760" s="361">
        <v>42936</v>
      </c>
      <c r="V2760" s="360" t="str">
        <f t="shared" si="92"/>
        <v>quinta-feira</v>
      </c>
    </row>
    <row r="2761" spans="19:22">
      <c r="S2761" s="357">
        <v>44274</v>
      </c>
      <c r="T2761" s="359" t="str">
        <f t="shared" si="93"/>
        <v>sexta-feira</v>
      </c>
      <c r="U2761" s="361">
        <v>42937</v>
      </c>
      <c r="V2761" s="360" t="str">
        <f t="shared" si="92"/>
        <v>sexta-feira</v>
      </c>
    </row>
    <row r="2762" spans="19:22">
      <c r="S2762" s="357">
        <v>44275</v>
      </c>
      <c r="T2762" s="359" t="str">
        <f t="shared" si="93"/>
        <v>sábado</v>
      </c>
      <c r="U2762" s="361">
        <v>42938</v>
      </c>
      <c r="V2762" s="360" t="str">
        <f t="shared" si="92"/>
        <v>sábado</v>
      </c>
    </row>
    <row r="2763" spans="19:22">
      <c r="S2763" s="357">
        <v>44276</v>
      </c>
      <c r="T2763" s="359" t="str">
        <f t="shared" si="93"/>
        <v>domingo</v>
      </c>
      <c r="U2763" s="361">
        <v>42939</v>
      </c>
      <c r="V2763" s="360" t="str">
        <f t="shared" si="92"/>
        <v>domingo</v>
      </c>
    </row>
    <row r="2764" spans="19:22">
      <c r="S2764" s="357">
        <v>44277</v>
      </c>
      <c r="T2764" s="359" t="str">
        <f t="shared" si="93"/>
        <v>segunda-feira</v>
      </c>
      <c r="U2764" s="361">
        <v>42940</v>
      </c>
      <c r="V2764" s="360" t="str">
        <f t="shared" si="92"/>
        <v>segunda-feira</v>
      </c>
    </row>
    <row r="2765" spans="19:22">
      <c r="S2765" s="357">
        <v>44278</v>
      </c>
      <c r="T2765" s="359" t="str">
        <f t="shared" si="93"/>
        <v>terça-feira</v>
      </c>
      <c r="U2765" s="361">
        <v>42941</v>
      </c>
      <c r="V2765" s="360" t="str">
        <f t="shared" si="92"/>
        <v>terça-feira</v>
      </c>
    </row>
    <row r="2766" spans="19:22">
      <c r="S2766" s="357">
        <v>44279</v>
      </c>
      <c r="T2766" s="359" t="str">
        <f t="shared" si="93"/>
        <v>quarta-feira</v>
      </c>
      <c r="U2766" s="361">
        <v>42942</v>
      </c>
      <c r="V2766" s="360" t="str">
        <f t="shared" si="92"/>
        <v>quarta-feira</v>
      </c>
    </row>
    <row r="2767" spans="19:22">
      <c r="S2767" s="357">
        <v>44280</v>
      </c>
      <c r="T2767" s="359" t="str">
        <f t="shared" si="93"/>
        <v>quinta-feira</v>
      </c>
      <c r="U2767" s="361">
        <v>42943</v>
      </c>
      <c r="V2767" s="360" t="str">
        <f t="shared" si="92"/>
        <v>quinta-feira</v>
      </c>
    </row>
    <row r="2768" spans="19:22">
      <c r="S2768" s="357">
        <v>44281</v>
      </c>
      <c r="T2768" s="359" t="str">
        <f t="shared" si="93"/>
        <v>sexta-feira</v>
      </c>
      <c r="U2768" s="361">
        <v>42944</v>
      </c>
      <c r="V2768" s="360" t="str">
        <f t="shared" si="92"/>
        <v>sexta-feira</v>
      </c>
    </row>
    <row r="2769" spans="19:22">
      <c r="S2769" s="357">
        <v>44282</v>
      </c>
      <c r="T2769" s="359" t="str">
        <f t="shared" si="93"/>
        <v>sábado</v>
      </c>
      <c r="U2769" s="361">
        <v>42945</v>
      </c>
      <c r="V2769" s="360" t="str">
        <f t="shared" si="92"/>
        <v>sábado</v>
      </c>
    </row>
    <row r="2770" spans="19:22">
      <c r="S2770" s="357">
        <v>44283</v>
      </c>
      <c r="T2770" s="359" t="str">
        <f t="shared" si="93"/>
        <v>domingo</v>
      </c>
      <c r="U2770" s="361">
        <v>42946</v>
      </c>
      <c r="V2770" s="360" t="str">
        <f t="shared" ref="V2770:V2833" si="94">TEXT(U2770,"dddd")</f>
        <v>domingo</v>
      </c>
    </row>
    <row r="2771" spans="19:22">
      <c r="S2771" s="357">
        <v>44284</v>
      </c>
      <c r="T2771" s="359" t="str">
        <f t="shared" si="93"/>
        <v>segunda-feira</v>
      </c>
      <c r="U2771" s="361">
        <v>42947</v>
      </c>
      <c r="V2771" s="360" t="str">
        <f t="shared" si="94"/>
        <v>segunda-feira</v>
      </c>
    </row>
    <row r="2772" spans="19:22">
      <c r="S2772" s="357">
        <v>44285</v>
      </c>
      <c r="T2772" s="359" t="str">
        <f t="shared" si="93"/>
        <v>terça-feira</v>
      </c>
      <c r="U2772" s="361">
        <v>42948</v>
      </c>
      <c r="V2772" s="360" t="str">
        <f t="shared" si="94"/>
        <v>terça-feira</v>
      </c>
    </row>
    <row r="2773" spans="19:22">
      <c r="S2773" s="357">
        <v>44286</v>
      </c>
      <c r="T2773" s="359" t="str">
        <f t="shared" si="93"/>
        <v>quarta-feira</v>
      </c>
      <c r="U2773" s="361">
        <v>42949</v>
      </c>
      <c r="V2773" s="360" t="str">
        <f t="shared" si="94"/>
        <v>quarta-feira</v>
      </c>
    </row>
    <row r="2774" spans="19:22">
      <c r="S2774" s="357">
        <v>44287</v>
      </c>
      <c r="T2774" s="359" t="str">
        <f t="shared" si="93"/>
        <v>quinta-feira</v>
      </c>
      <c r="U2774" s="361">
        <v>42950</v>
      </c>
      <c r="V2774" s="360" t="str">
        <f t="shared" si="94"/>
        <v>quinta-feira</v>
      </c>
    </row>
    <row r="2775" spans="19:22">
      <c r="S2775" s="357">
        <v>44288</v>
      </c>
      <c r="T2775" s="359" t="str">
        <f t="shared" si="93"/>
        <v>sexta-feira</v>
      </c>
      <c r="U2775" s="361">
        <v>42951</v>
      </c>
      <c r="V2775" s="360" t="str">
        <f t="shared" si="94"/>
        <v>sexta-feira</v>
      </c>
    </row>
    <row r="2776" spans="19:22">
      <c r="S2776" s="357">
        <v>44289</v>
      </c>
      <c r="T2776" s="359" t="str">
        <f t="shared" si="93"/>
        <v>sábado</v>
      </c>
      <c r="U2776" s="361">
        <v>42952</v>
      </c>
      <c r="V2776" s="360" t="str">
        <f t="shared" si="94"/>
        <v>sábado</v>
      </c>
    </row>
    <row r="2777" spans="19:22">
      <c r="S2777" s="357">
        <v>44290</v>
      </c>
      <c r="T2777" s="359" t="str">
        <f t="shared" si="93"/>
        <v>domingo</v>
      </c>
      <c r="U2777" s="361">
        <v>42953</v>
      </c>
      <c r="V2777" s="360" t="str">
        <f t="shared" si="94"/>
        <v>domingo</v>
      </c>
    </row>
    <row r="2778" spans="19:22">
      <c r="S2778" s="357">
        <v>44291</v>
      </c>
      <c r="T2778" s="359" t="str">
        <f t="shared" si="93"/>
        <v>segunda-feira</v>
      </c>
      <c r="U2778" s="361">
        <v>42954</v>
      </c>
      <c r="V2778" s="360" t="str">
        <f t="shared" si="94"/>
        <v>segunda-feira</v>
      </c>
    </row>
    <row r="2779" spans="19:22">
      <c r="S2779" s="357">
        <v>44292</v>
      </c>
      <c r="T2779" s="359" t="str">
        <f t="shared" si="93"/>
        <v>terça-feira</v>
      </c>
      <c r="U2779" s="361">
        <v>42955</v>
      </c>
      <c r="V2779" s="360" t="str">
        <f t="shared" si="94"/>
        <v>terça-feira</v>
      </c>
    </row>
    <row r="2780" spans="19:22">
      <c r="S2780" s="357">
        <v>44293</v>
      </c>
      <c r="T2780" s="359" t="str">
        <f t="shared" si="93"/>
        <v>quarta-feira</v>
      </c>
      <c r="U2780" s="361">
        <v>42956</v>
      </c>
      <c r="V2780" s="360" t="str">
        <f t="shared" si="94"/>
        <v>quarta-feira</v>
      </c>
    </row>
    <row r="2781" spans="19:22">
      <c r="S2781" s="357">
        <v>44294</v>
      </c>
      <c r="T2781" s="359" t="str">
        <f t="shared" si="93"/>
        <v>quinta-feira</v>
      </c>
      <c r="U2781" s="361">
        <v>42957</v>
      </c>
      <c r="V2781" s="360" t="str">
        <f t="shared" si="94"/>
        <v>quinta-feira</v>
      </c>
    </row>
    <row r="2782" spans="19:22">
      <c r="S2782" s="357">
        <v>44295</v>
      </c>
      <c r="T2782" s="359" t="str">
        <f t="shared" si="93"/>
        <v>sexta-feira</v>
      </c>
      <c r="U2782" s="361">
        <v>42958</v>
      </c>
      <c r="V2782" s="360" t="str">
        <f t="shared" si="94"/>
        <v>sexta-feira</v>
      </c>
    </row>
    <row r="2783" spans="19:22">
      <c r="S2783" s="357">
        <v>44296</v>
      </c>
      <c r="T2783" s="359" t="str">
        <f t="shared" si="93"/>
        <v>sábado</v>
      </c>
      <c r="U2783" s="361">
        <v>42959</v>
      </c>
      <c r="V2783" s="360" t="str">
        <f t="shared" si="94"/>
        <v>sábado</v>
      </c>
    </row>
    <row r="2784" spans="19:22">
      <c r="S2784" s="357">
        <v>44297</v>
      </c>
      <c r="T2784" s="359" t="str">
        <f t="shared" si="93"/>
        <v>domingo</v>
      </c>
      <c r="U2784" s="361">
        <v>42960</v>
      </c>
      <c r="V2784" s="360" t="str">
        <f t="shared" si="94"/>
        <v>domingo</v>
      </c>
    </row>
    <row r="2785" spans="19:22">
      <c r="S2785" s="357">
        <v>44298</v>
      </c>
      <c r="T2785" s="359" t="str">
        <f t="shared" si="93"/>
        <v>segunda-feira</v>
      </c>
      <c r="U2785" s="361">
        <v>42961</v>
      </c>
      <c r="V2785" s="360" t="str">
        <f t="shared" si="94"/>
        <v>segunda-feira</v>
      </c>
    </row>
    <row r="2786" spans="19:22">
      <c r="S2786" s="357">
        <v>44299</v>
      </c>
      <c r="T2786" s="359" t="str">
        <f t="shared" si="93"/>
        <v>terça-feira</v>
      </c>
      <c r="U2786" s="361">
        <v>42962</v>
      </c>
      <c r="V2786" s="360" t="str">
        <f t="shared" si="94"/>
        <v>terça-feira</v>
      </c>
    </row>
    <row r="2787" spans="19:22">
      <c r="S2787" s="357">
        <v>44300</v>
      </c>
      <c r="T2787" s="359" t="str">
        <f t="shared" si="93"/>
        <v>quarta-feira</v>
      </c>
      <c r="U2787" s="361">
        <v>42963</v>
      </c>
      <c r="V2787" s="360" t="str">
        <f t="shared" si="94"/>
        <v>quarta-feira</v>
      </c>
    </row>
    <row r="2788" spans="19:22">
      <c r="S2788" s="357">
        <v>44301</v>
      </c>
      <c r="T2788" s="359" t="str">
        <f t="shared" si="93"/>
        <v>quinta-feira</v>
      </c>
      <c r="U2788" s="361">
        <v>42964</v>
      </c>
      <c r="V2788" s="360" t="str">
        <f t="shared" si="94"/>
        <v>quinta-feira</v>
      </c>
    </row>
    <row r="2789" spans="19:22">
      <c r="S2789" s="357">
        <v>44302</v>
      </c>
      <c r="T2789" s="359" t="str">
        <f t="shared" si="93"/>
        <v>sexta-feira</v>
      </c>
      <c r="U2789" s="361">
        <v>42965</v>
      </c>
      <c r="V2789" s="360" t="str">
        <f t="shared" si="94"/>
        <v>sexta-feira</v>
      </c>
    </row>
    <row r="2790" spans="19:22">
      <c r="S2790" s="357">
        <v>44303</v>
      </c>
      <c r="T2790" s="359" t="str">
        <f t="shared" si="93"/>
        <v>sábado</v>
      </c>
      <c r="U2790" s="361">
        <v>42966</v>
      </c>
      <c r="V2790" s="360" t="str">
        <f t="shared" si="94"/>
        <v>sábado</v>
      </c>
    </row>
    <row r="2791" spans="19:22">
      <c r="S2791" s="357">
        <v>44304</v>
      </c>
      <c r="T2791" s="359" t="str">
        <f t="shared" si="93"/>
        <v>domingo</v>
      </c>
      <c r="U2791" s="361">
        <v>42967</v>
      </c>
      <c r="V2791" s="360" t="str">
        <f t="shared" si="94"/>
        <v>domingo</v>
      </c>
    </row>
    <row r="2792" spans="19:22">
      <c r="S2792" s="357">
        <v>44305</v>
      </c>
      <c r="T2792" s="359" t="str">
        <f t="shared" si="93"/>
        <v>segunda-feira</v>
      </c>
      <c r="U2792" s="361">
        <v>42968</v>
      </c>
      <c r="V2792" s="360" t="str">
        <f t="shared" si="94"/>
        <v>segunda-feira</v>
      </c>
    </row>
    <row r="2793" spans="19:22">
      <c r="S2793" s="357">
        <v>44306</v>
      </c>
      <c r="T2793" s="359" t="str">
        <f t="shared" si="93"/>
        <v>terça-feira</v>
      </c>
      <c r="U2793" s="361">
        <v>42969</v>
      </c>
      <c r="V2793" s="360" t="str">
        <f t="shared" si="94"/>
        <v>terça-feira</v>
      </c>
    </row>
    <row r="2794" spans="19:22">
      <c r="S2794" s="357">
        <v>44307</v>
      </c>
      <c r="T2794" s="359" t="str">
        <f t="shared" si="93"/>
        <v>quarta-feira</v>
      </c>
      <c r="U2794" s="361">
        <v>42970</v>
      </c>
      <c r="V2794" s="360" t="str">
        <f t="shared" si="94"/>
        <v>quarta-feira</v>
      </c>
    </row>
    <row r="2795" spans="19:22">
      <c r="S2795" s="357">
        <v>44308</v>
      </c>
      <c r="T2795" s="359" t="str">
        <f t="shared" si="93"/>
        <v>quinta-feira</v>
      </c>
      <c r="U2795" s="361">
        <v>42971</v>
      </c>
      <c r="V2795" s="360" t="str">
        <f t="shared" si="94"/>
        <v>quinta-feira</v>
      </c>
    </row>
    <row r="2796" spans="19:22">
      <c r="S2796" s="357">
        <v>44309</v>
      </c>
      <c r="T2796" s="359" t="str">
        <f t="shared" si="93"/>
        <v>sexta-feira</v>
      </c>
      <c r="U2796" s="361">
        <v>42972</v>
      </c>
      <c r="V2796" s="360" t="str">
        <f t="shared" si="94"/>
        <v>sexta-feira</v>
      </c>
    </row>
    <row r="2797" spans="19:22">
      <c r="S2797" s="357">
        <v>44310</v>
      </c>
      <c r="T2797" s="359" t="str">
        <f t="shared" si="93"/>
        <v>sábado</v>
      </c>
      <c r="U2797" s="361">
        <v>42973</v>
      </c>
      <c r="V2797" s="360" t="str">
        <f t="shared" si="94"/>
        <v>sábado</v>
      </c>
    </row>
    <row r="2798" spans="19:22">
      <c r="S2798" s="357">
        <v>44311</v>
      </c>
      <c r="T2798" s="359" t="str">
        <f t="shared" si="93"/>
        <v>domingo</v>
      </c>
      <c r="U2798" s="361">
        <v>42974</v>
      </c>
      <c r="V2798" s="360" t="str">
        <f t="shared" si="94"/>
        <v>domingo</v>
      </c>
    </row>
    <row r="2799" spans="19:22">
      <c r="S2799" s="357">
        <v>44312</v>
      </c>
      <c r="T2799" s="359" t="str">
        <f t="shared" si="93"/>
        <v>segunda-feira</v>
      </c>
      <c r="U2799" s="361">
        <v>42975</v>
      </c>
      <c r="V2799" s="360" t="str">
        <f t="shared" si="94"/>
        <v>segunda-feira</v>
      </c>
    </row>
    <row r="2800" spans="19:22">
      <c r="S2800" s="357">
        <v>44313</v>
      </c>
      <c r="T2800" s="359" t="str">
        <f t="shared" si="93"/>
        <v>terça-feira</v>
      </c>
      <c r="U2800" s="361">
        <v>42976</v>
      </c>
      <c r="V2800" s="360" t="str">
        <f t="shared" si="94"/>
        <v>terça-feira</v>
      </c>
    </row>
    <row r="2801" spans="19:22">
      <c r="S2801" s="357">
        <v>44314</v>
      </c>
      <c r="T2801" s="359" t="str">
        <f t="shared" si="93"/>
        <v>quarta-feira</v>
      </c>
      <c r="U2801" s="361">
        <v>42977</v>
      </c>
      <c r="V2801" s="360" t="str">
        <f t="shared" si="94"/>
        <v>quarta-feira</v>
      </c>
    </row>
    <row r="2802" spans="19:22">
      <c r="S2802" s="357">
        <v>44315</v>
      </c>
      <c r="T2802" s="359" t="str">
        <f t="shared" si="93"/>
        <v>quinta-feira</v>
      </c>
      <c r="U2802" s="361">
        <v>42978</v>
      </c>
      <c r="V2802" s="360" t="str">
        <f t="shared" si="94"/>
        <v>quinta-feira</v>
      </c>
    </row>
    <row r="2803" spans="19:22">
      <c r="S2803" s="357">
        <v>44316</v>
      </c>
      <c r="T2803" s="359" t="str">
        <f t="shared" si="93"/>
        <v>sexta-feira</v>
      </c>
      <c r="U2803" s="361">
        <v>42979</v>
      </c>
      <c r="V2803" s="360" t="str">
        <f t="shared" si="94"/>
        <v>sexta-feira</v>
      </c>
    </row>
    <row r="2804" spans="19:22">
      <c r="S2804" s="357">
        <v>44317</v>
      </c>
      <c r="T2804" s="359" t="str">
        <f t="shared" si="93"/>
        <v>sábado</v>
      </c>
      <c r="U2804" s="361">
        <v>42980</v>
      </c>
      <c r="V2804" s="360" t="str">
        <f t="shared" si="94"/>
        <v>sábado</v>
      </c>
    </row>
    <row r="2805" spans="19:22">
      <c r="S2805" s="357">
        <v>44318</v>
      </c>
      <c r="T2805" s="359" t="str">
        <f t="shared" si="93"/>
        <v>domingo</v>
      </c>
      <c r="U2805" s="361">
        <v>42981</v>
      </c>
      <c r="V2805" s="360" t="str">
        <f t="shared" si="94"/>
        <v>domingo</v>
      </c>
    </row>
    <row r="2806" spans="19:22">
      <c r="S2806" s="357">
        <v>44319</v>
      </c>
      <c r="T2806" s="359" t="str">
        <f t="shared" si="93"/>
        <v>segunda-feira</v>
      </c>
      <c r="U2806" s="361">
        <v>42982</v>
      </c>
      <c r="V2806" s="360" t="str">
        <f t="shared" si="94"/>
        <v>segunda-feira</v>
      </c>
    </row>
    <row r="2807" spans="19:22">
      <c r="S2807" s="357">
        <v>44320</v>
      </c>
      <c r="T2807" s="359" t="str">
        <f t="shared" ref="T2807:T2870" si="95">TEXT(S2807,"dddd")</f>
        <v>terça-feira</v>
      </c>
      <c r="U2807" s="361">
        <v>42983</v>
      </c>
      <c r="V2807" s="360" t="str">
        <f t="shared" si="94"/>
        <v>terça-feira</v>
      </c>
    </row>
    <row r="2808" spans="19:22">
      <c r="S2808" s="357">
        <v>44321</v>
      </c>
      <c r="T2808" s="359" t="str">
        <f t="shared" si="95"/>
        <v>quarta-feira</v>
      </c>
      <c r="U2808" s="361">
        <v>42984</v>
      </c>
      <c r="V2808" s="360" t="str">
        <f t="shared" si="94"/>
        <v>quarta-feira</v>
      </c>
    </row>
    <row r="2809" spans="19:22">
      <c r="S2809" s="357">
        <v>44322</v>
      </c>
      <c r="T2809" s="359" t="str">
        <f t="shared" si="95"/>
        <v>quinta-feira</v>
      </c>
      <c r="U2809" s="361">
        <v>42985</v>
      </c>
      <c r="V2809" s="360" t="str">
        <f t="shared" si="94"/>
        <v>quinta-feira</v>
      </c>
    </row>
    <row r="2810" spans="19:22">
      <c r="S2810" s="357">
        <v>44323</v>
      </c>
      <c r="T2810" s="359" t="str">
        <f t="shared" si="95"/>
        <v>sexta-feira</v>
      </c>
      <c r="U2810" s="361">
        <v>42986</v>
      </c>
      <c r="V2810" s="360" t="str">
        <f t="shared" si="94"/>
        <v>sexta-feira</v>
      </c>
    </row>
    <row r="2811" spans="19:22">
      <c r="S2811" s="357">
        <v>44324</v>
      </c>
      <c r="T2811" s="359" t="str">
        <f t="shared" si="95"/>
        <v>sábado</v>
      </c>
      <c r="U2811" s="361">
        <v>42987</v>
      </c>
      <c r="V2811" s="360" t="str">
        <f t="shared" si="94"/>
        <v>sábado</v>
      </c>
    </row>
    <row r="2812" spans="19:22">
      <c r="S2812" s="357">
        <v>44325</v>
      </c>
      <c r="T2812" s="359" t="str">
        <f t="shared" si="95"/>
        <v>domingo</v>
      </c>
      <c r="U2812" s="361">
        <v>42988</v>
      </c>
      <c r="V2812" s="360" t="str">
        <f t="shared" si="94"/>
        <v>domingo</v>
      </c>
    </row>
    <row r="2813" spans="19:22">
      <c r="S2813" s="357">
        <v>44326</v>
      </c>
      <c r="T2813" s="359" t="str">
        <f t="shared" si="95"/>
        <v>segunda-feira</v>
      </c>
      <c r="U2813" s="361">
        <v>42989</v>
      </c>
      <c r="V2813" s="360" t="str">
        <f t="shared" si="94"/>
        <v>segunda-feira</v>
      </c>
    </row>
    <row r="2814" spans="19:22">
      <c r="S2814" s="357">
        <v>44327</v>
      </c>
      <c r="T2814" s="359" t="str">
        <f t="shared" si="95"/>
        <v>terça-feira</v>
      </c>
      <c r="U2814" s="361">
        <v>42990</v>
      </c>
      <c r="V2814" s="360" t="str">
        <f t="shared" si="94"/>
        <v>terça-feira</v>
      </c>
    </row>
    <row r="2815" spans="19:22">
      <c r="S2815" s="357">
        <v>44328</v>
      </c>
      <c r="T2815" s="359" t="str">
        <f t="shared" si="95"/>
        <v>quarta-feira</v>
      </c>
      <c r="U2815" s="361">
        <v>42991</v>
      </c>
      <c r="V2815" s="360" t="str">
        <f t="shared" si="94"/>
        <v>quarta-feira</v>
      </c>
    </row>
    <row r="2816" spans="19:22">
      <c r="S2816" s="357">
        <v>44329</v>
      </c>
      <c r="T2816" s="359" t="str">
        <f t="shared" si="95"/>
        <v>quinta-feira</v>
      </c>
      <c r="U2816" s="361">
        <v>42992</v>
      </c>
      <c r="V2816" s="360" t="str">
        <f t="shared" si="94"/>
        <v>quinta-feira</v>
      </c>
    </row>
    <row r="2817" spans="19:22">
      <c r="S2817" s="357">
        <v>44330</v>
      </c>
      <c r="T2817" s="359" t="str">
        <f t="shared" si="95"/>
        <v>sexta-feira</v>
      </c>
      <c r="U2817" s="361">
        <v>42993</v>
      </c>
      <c r="V2817" s="360" t="str">
        <f t="shared" si="94"/>
        <v>sexta-feira</v>
      </c>
    </row>
    <row r="2818" spans="19:22">
      <c r="S2818" s="357">
        <v>44331</v>
      </c>
      <c r="T2818" s="359" t="str">
        <f t="shared" si="95"/>
        <v>sábado</v>
      </c>
      <c r="U2818" s="361">
        <v>42994</v>
      </c>
      <c r="V2818" s="360" t="str">
        <f t="shared" si="94"/>
        <v>sábado</v>
      </c>
    </row>
    <row r="2819" spans="19:22">
      <c r="S2819" s="357">
        <v>44332</v>
      </c>
      <c r="T2819" s="359" t="str">
        <f t="shared" si="95"/>
        <v>domingo</v>
      </c>
      <c r="U2819" s="361">
        <v>42995</v>
      </c>
      <c r="V2819" s="360" t="str">
        <f t="shared" si="94"/>
        <v>domingo</v>
      </c>
    </row>
    <row r="2820" spans="19:22">
      <c r="S2820" s="357">
        <v>44333</v>
      </c>
      <c r="T2820" s="359" t="str">
        <f t="shared" si="95"/>
        <v>segunda-feira</v>
      </c>
      <c r="U2820" s="361">
        <v>42996</v>
      </c>
      <c r="V2820" s="360" t="str">
        <f t="shared" si="94"/>
        <v>segunda-feira</v>
      </c>
    </row>
    <row r="2821" spans="19:22">
      <c r="S2821" s="357">
        <v>44334</v>
      </c>
      <c r="T2821" s="359" t="str">
        <f t="shared" si="95"/>
        <v>terça-feira</v>
      </c>
      <c r="U2821" s="361">
        <v>42997</v>
      </c>
      <c r="V2821" s="360" t="str">
        <f t="shared" si="94"/>
        <v>terça-feira</v>
      </c>
    </row>
    <row r="2822" spans="19:22">
      <c r="S2822" s="357">
        <v>44335</v>
      </c>
      <c r="T2822" s="359" t="str">
        <f t="shared" si="95"/>
        <v>quarta-feira</v>
      </c>
      <c r="U2822" s="361">
        <v>42998</v>
      </c>
      <c r="V2822" s="360" t="str">
        <f t="shared" si="94"/>
        <v>quarta-feira</v>
      </c>
    </row>
    <row r="2823" spans="19:22">
      <c r="S2823" s="357">
        <v>44336</v>
      </c>
      <c r="T2823" s="359" t="str">
        <f t="shared" si="95"/>
        <v>quinta-feira</v>
      </c>
      <c r="U2823" s="361">
        <v>42999</v>
      </c>
      <c r="V2823" s="360" t="str">
        <f t="shared" si="94"/>
        <v>quinta-feira</v>
      </c>
    </row>
    <row r="2824" spans="19:22">
      <c r="S2824" s="357">
        <v>44337</v>
      </c>
      <c r="T2824" s="359" t="str">
        <f t="shared" si="95"/>
        <v>sexta-feira</v>
      </c>
      <c r="U2824" s="361">
        <v>43000</v>
      </c>
      <c r="V2824" s="360" t="str">
        <f t="shared" si="94"/>
        <v>sexta-feira</v>
      </c>
    </row>
    <row r="2825" spans="19:22">
      <c r="S2825" s="357">
        <v>44338</v>
      </c>
      <c r="T2825" s="359" t="str">
        <f t="shared" si="95"/>
        <v>sábado</v>
      </c>
      <c r="U2825" s="361">
        <v>43001</v>
      </c>
      <c r="V2825" s="360" t="str">
        <f t="shared" si="94"/>
        <v>sábado</v>
      </c>
    </row>
    <row r="2826" spans="19:22">
      <c r="S2826" s="357">
        <v>44339</v>
      </c>
      <c r="T2826" s="359" t="str">
        <f t="shared" si="95"/>
        <v>domingo</v>
      </c>
      <c r="U2826" s="361">
        <v>43002</v>
      </c>
      <c r="V2826" s="360" t="str">
        <f t="shared" si="94"/>
        <v>domingo</v>
      </c>
    </row>
    <row r="2827" spans="19:22">
      <c r="S2827" s="357">
        <v>44340</v>
      </c>
      <c r="T2827" s="359" t="str">
        <f t="shared" si="95"/>
        <v>segunda-feira</v>
      </c>
      <c r="U2827" s="361">
        <v>43003</v>
      </c>
      <c r="V2827" s="360" t="str">
        <f t="shared" si="94"/>
        <v>segunda-feira</v>
      </c>
    </row>
    <row r="2828" spans="19:22">
      <c r="S2828" s="357">
        <v>44341</v>
      </c>
      <c r="T2828" s="359" t="str">
        <f t="shared" si="95"/>
        <v>terça-feira</v>
      </c>
      <c r="U2828" s="361">
        <v>43004</v>
      </c>
      <c r="V2828" s="360" t="str">
        <f t="shared" si="94"/>
        <v>terça-feira</v>
      </c>
    </row>
    <row r="2829" spans="19:22">
      <c r="S2829" s="357">
        <v>44342</v>
      </c>
      <c r="T2829" s="359" t="str">
        <f t="shared" si="95"/>
        <v>quarta-feira</v>
      </c>
      <c r="U2829" s="361">
        <v>43005</v>
      </c>
      <c r="V2829" s="360" t="str">
        <f t="shared" si="94"/>
        <v>quarta-feira</v>
      </c>
    </row>
    <row r="2830" spans="19:22">
      <c r="S2830" s="357">
        <v>44343</v>
      </c>
      <c r="T2830" s="359" t="str">
        <f t="shared" si="95"/>
        <v>quinta-feira</v>
      </c>
      <c r="U2830" s="361">
        <v>43006</v>
      </c>
      <c r="V2830" s="360" t="str">
        <f t="shared" si="94"/>
        <v>quinta-feira</v>
      </c>
    </row>
    <row r="2831" spans="19:22">
      <c r="S2831" s="357">
        <v>44344</v>
      </c>
      <c r="T2831" s="359" t="str">
        <f t="shared" si="95"/>
        <v>sexta-feira</v>
      </c>
      <c r="U2831" s="361">
        <v>43007</v>
      </c>
      <c r="V2831" s="360" t="str">
        <f t="shared" si="94"/>
        <v>sexta-feira</v>
      </c>
    </row>
    <row r="2832" spans="19:22">
      <c r="S2832" s="357">
        <v>44345</v>
      </c>
      <c r="T2832" s="359" t="str">
        <f t="shared" si="95"/>
        <v>sábado</v>
      </c>
      <c r="U2832" s="361">
        <v>43008</v>
      </c>
      <c r="V2832" s="360" t="str">
        <f t="shared" si="94"/>
        <v>sábado</v>
      </c>
    </row>
    <row r="2833" spans="19:22">
      <c r="S2833" s="357">
        <v>44346</v>
      </c>
      <c r="T2833" s="359" t="str">
        <f t="shared" si="95"/>
        <v>domingo</v>
      </c>
      <c r="U2833" s="361">
        <v>43009</v>
      </c>
      <c r="V2833" s="360" t="str">
        <f t="shared" si="94"/>
        <v>domingo</v>
      </c>
    </row>
    <row r="2834" spans="19:22">
      <c r="S2834" s="357">
        <v>44347</v>
      </c>
      <c r="T2834" s="359" t="str">
        <f t="shared" si="95"/>
        <v>segunda-feira</v>
      </c>
      <c r="U2834" s="361">
        <v>43010</v>
      </c>
      <c r="V2834" s="360" t="str">
        <f t="shared" ref="V2834:V2897" si="96">TEXT(U2834,"dddd")</f>
        <v>segunda-feira</v>
      </c>
    </row>
    <row r="2835" spans="19:22">
      <c r="S2835" s="357">
        <v>44348</v>
      </c>
      <c r="T2835" s="359" t="str">
        <f t="shared" si="95"/>
        <v>terça-feira</v>
      </c>
      <c r="U2835" s="361">
        <v>43011</v>
      </c>
      <c r="V2835" s="360" t="str">
        <f t="shared" si="96"/>
        <v>terça-feira</v>
      </c>
    </row>
    <row r="2836" spans="19:22">
      <c r="S2836" s="357">
        <v>44349</v>
      </c>
      <c r="T2836" s="359" t="str">
        <f t="shared" si="95"/>
        <v>quarta-feira</v>
      </c>
      <c r="U2836" s="361">
        <v>43012</v>
      </c>
      <c r="V2836" s="360" t="str">
        <f t="shared" si="96"/>
        <v>quarta-feira</v>
      </c>
    </row>
    <row r="2837" spans="19:22">
      <c r="S2837" s="357">
        <v>44350</v>
      </c>
      <c r="T2837" s="359" t="str">
        <f t="shared" si="95"/>
        <v>quinta-feira</v>
      </c>
      <c r="U2837" s="361">
        <v>43013</v>
      </c>
      <c r="V2837" s="360" t="str">
        <f t="shared" si="96"/>
        <v>quinta-feira</v>
      </c>
    </row>
    <row r="2838" spans="19:22">
      <c r="S2838" s="357">
        <v>44351</v>
      </c>
      <c r="T2838" s="359" t="str">
        <f t="shared" si="95"/>
        <v>sexta-feira</v>
      </c>
      <c r="U2838" s="361">
        <v>43014</v>
      </c>
      <c r="V2838" s="360" t="str">
        <f t="shared" si="96"/>
        <v>sexta-feira</v>
      </c>
    </row>
    <row r="2839" spans="19:22">
      <c r="S2839" s="357">
        <v>44352</v>
      </c>
      <c r="T2839" s="359" t="str">
        <f t="shared" si="95"/>
        <v>sábado</v>
      </c>
      <c r="U2839" s="361">
        <v>43015</v>
      </c>
      <c r="V2839" s="360" t="str">
        <f t="shared" si="96"/>
        <v>sábado</v>
      </c>
    </row>
    <row r="2840" spans="19:22">
      <c r="S2840" s="357">
        <v>44353</v>
      </c>
      <c r="T2840" s="359" t="str">
        <f t="shared" si="95"/>
        <v>domingo</v>
      </c>
      <c r="U2840" s="361">
        <v>43016</v>
      </c>
      <c r="V2840" s="360" t="str">
        <f t="shared" si="96"/>
        <v>domingo</v>
      </c>
    </row>
    <row r="2841" spans="19:22">
      <c r="S2841" s="357">
        <v>44354</v>
      </c>
      <c r="T2841" s="359" t="str">
        <f t="shared" si="95"/>
        <v>segunda-feira</v>
      </c>
      <c r="U2841" s="361">
        <v>43017</v>
      </c>
      <c r="V2841" s="360" t="str">
        <f t="shared" si="96"/>
        <v>segunda-feira</v>
      </c>
    </row>
    <row r="2842" spans="19:22">
      <c r="S2842" s="357">
        <v>44355</v>
      </c>
      <c r="T2842" s="359" t="str">
        <f t="shared" si="95"/>
        <v>terça-feira</v>
      </c>
      <c r="U2842" s="361">
        <v>43018</v>
      </c>
      <c r="V2842" s="360" t="str">
        <f t="shared" si="96"/>
        <v>terça-feira</v>
      </c>
    </row>
    <row r="2843" spans="19:22">
      <c r="S2843" s="357">
        <v>44356</v>
      </c>
      <c r="T2843" s="359" t="str">
        <f t="shared" si="95"/>
        <v>quarta-feira</v>
      </c>
      <c r="U2843" s="361">
        <v>43019</v>
      </c>
      <c r="V2843" s="360" t="str">
        <f t="shared" si="96"/>
        <v>quarta-feira</v>
      </c>
    </row>
    <row r="2844" spans="19:22">
      <c r="S2844" s="357">
        <v>44357</v>
      </c>
      <c r="T2844" s="359" t="str">
        <f t="shared" si="95"/>
        <v>quinta-feira</v>
      </c>
      <c r="U2844" s="361">
        <v>43020</v>
      </c>
      <c r="V2844" s="360" t="str">
        <f t="shared" si="96"/>
        <v>quinta-feira</v>
      </c>
    </row>
    <row r="2845" spans="19:22">
      <c r="S2845" s="357">
        <v>44358</v>
      </c>
      <c r="T2845" s="359" t="str">
        <f t="shared" si="95"/>
        <v>sexta-feira</v>
      </c>
      <c r="U2845" s="361">
        <v>43021</v>
      </c>
      <c r="V2845" s="360" t="str">
        <f t="shared" si="96"/>
        <v>sexta-feira</v>
      </c>
    </row>
    <row r="2846" spans="19:22">
      <c r="S2846" s="357">
        <v>44359</v>
      </c>
      <c r="T2846" s="359" t="str">
        <f t="shared" si="95"/>
        <v>sábado</v>
      </c>
      <c r="U2846" s="361">
        <v>43022</v>
      </c>
      <c r="V2846" s="360" t="str">
        <f t="shared" si="96"/>
        <v>sábado</v>
      </c>
    </row>
    <row r="2847" spans="19:22">
      <c r="S2847" s="357">
        <v>44360</v>
      </c>
      <c r="T2847" s="359" t="str">
        <f t="shared" si="95"/>
        <v>domingo</v>
      </c>
      <c r="U2847" s="361">
        <v>43023</v>
      </c>
      <c r="V2847" s="360" t="str">
        <f t="shared" si="96"/>
        <v>domingo</v>
      </c>
    </row>
    <row r="2848" spans="19:22">
      <c r="S2848" s="357">
        <v>44361</v>
      </c>
      <c r="T2848" s="359" t="str">
        <f t="shared" si="95"/>
        <v>segunda-feira</v>
      </c>
      <c r="U2848" s="361">
        <v>43024</v>
      </c>
      <c r="V2848" s="360" t="str">
        <f t="shared" si="96"/>
        <v>segunda-feira</v>
      </c>
    </row>
    <row r="2849" spans="19:22">
      <c r="S2849" s="357">
        <v>44362</v>
      </c>
      <c r="T2849" s="359" t="str">
        <f t="shared" si="95"/>
        <v>terça-feira</v>
      </c>
      <c r="U2849" s="361">
        <v>43025</v>
      </c>
      <c r="V2849" s="360" t="str">
        <f t="shared" si="96"/>
        <v>terça-feira</v>
      </c>
    </row>
    <row r="2850" spans="19:22">
      <c r="S2850" s="357">
        <v>44363</v>
      </c>
      <c r="T2850" s="359" t="str">
        <f t="shared" si="95"/>
        <v>quarta-feira</v>
      </c>
      <c r="U2850" s="361">
        <v>43026</v>
      </c>
      <c r="V2850" s="360" t="str">
        <f t="shared" si="96"/>
        <v>quarta-feira</v>
      </c>
    </row>
    <row r="2851" spans="19:22">
      <c r="S2851" s="357">
        <v>44364</v>
      </c>
      <c r="T2851" s="359" t="str">
        <f t="shared" si="95"/>
        <v>quinta-feira</v>
      </c>
      <c r="U2851" s="361">
        <v>43027</v>
      </c>
      <c r="V2851" s="360" t="str">
        <f t="shared" si="96"/>
        <v>quinta-feira</v>
      </c>
    </row>
    <row r="2852" spans="19:22">
      <c r="S2852" s="357">
        <v>44365</v>
      </c>
      <c r="T2852" s="359" t="str">
        <f t="shared" si="95"/>
        <v>sexta-feira</v>
      </c>
      <c r="U2852" s="361">
        <v>43028</v>
      </c>
      <c r="V2852" s="360" t="str">
        <f t="shared" si="96"/>
        <v>sexta-feira</v>
      </c>
    </row>
    <row r="2853" spans="19:22">
      <c r="S2853" s="357">
        <v>44366</v>
      </c>
      <c r="T2853" s="359" t="str">
        <f t="shared" si="95"/>
        <v>sábado</v>
      </c>
      <c r="U2853" s="361">
        <v>43029</v>
      </c>
      <c r="V2853" s="360" t="str">
        <f t="shared" si="96"/>
        <v>sábado</v>
      </c>
    </row>
    <row r="2854" spans="19:22">
      <c r="S2854" s="357">
        <v>44367</v>
      </c>
      <c r="T2854" s="359" t="str">
        <f t="shared" si="95"/>
        <v>domingo</v>
      </c>
      <c r="U2854" s="361">
        <v>43030</v>
      </c>
      <c r="V2854" s="360" t="str">
        <f t="shared" si="96"/>
        <v>domingo</v>
      </c>
    </row>
    <row r="2855" spans="19:22">
      <c r="S2855" s="357">
        <v>44368</v>
      </c>
      <c r="T2855" s="359" t="str">
        <f t="shared" si="95"/>
        <v>segunda-feira</v>
      </c>
      <c r="U2855" s="361">
        <v>43031</v>
      </c>
      <c r="V2855" s="360" t="str">
        <f t="shared" si="96"/>
        <v>segunda-feira</v>
      </c>
    </row>
    <row r="2856" spans="19:22">
      <c r="S2856" s="357">
        <v>44369</v>
      </c>
      <c r="T2856" s="359" t="str">
        <f t="shared" si="95"/>
        <v>terça-feira</v>
      </c>
      <c r="U2856" s="361">
        <v>43032</v>
      </c>
      <c r="V2856" s="360" t="str">
        <f t="shared" si="96"/>
        <v>terça-feira</v>
      </c>
    </row>
    <row r="2857" spans="19:22">
      <c r="S2857" s="357">
        <v>44370</v>
      </c>
      <c r="T2857" s="359" t="str">
        <f t="shared" si="95"/>
        <v>quarta-feira</v>
      </c>
      <c r="U2857" s="361">
        <v>43033</v>
      </c>
      <c r="V2857" s="360" t="str">
        <f t="shared" si="96"/>
        <v>quarta-feira</v>
      </c>
    </row>
    <row r="2858" spans="19:22">
      <c r="S2858" s="357">
        <v>44371</v>
      </c>
      <c r="T2858" s="359" t="str">
        <f t="shared" si="95"/>
        <v>quinta-feira</v>
      </c>
      <c r="U2858" s="361">
        <v>43034</v>
      </c>
      <c r="V2858" s="360" t="str">
        <f t="shared" si="96"/>
        <v>quinta-feira</v>
      </c>
    </row>
    <row r="2859" spans="19:22">
      <c r="S2859" s="357">
        <v>44372</v>
      </c>
      <c r="T2859" s="359" t="str">
        <f t="shared" si="95"/>
        <v>sexta-feira</v>
      </c>
      <c r="U2859" s="361">
        <v>43035</v>
      </c>
      <c r="V2859" s="360" t="str">
        <f t="shared" si="96"/>
        <v>sexta-feira</v>
      </c>
    </row>
    <row r="2860" spans="19:22">
      <c r="S2860" s="357">
        <v>44373</v>
      </c>
      <c r="T2860" s="359" t="str">
        <f t="shared" si="95"/>
        <v>sábado</v>
      </c>
      <c r="U2860" s="361">
        <v>43036</v>
      </c>
      <c r="V2860" s="360" t="str">
        <f t="shared" si="96"/>
        <v>sábado</v>
      </c>
    </row>
    <row r="2861" spans="19:22">
      <c r="S2861" s="357">
        <v>44374</v>
      </c>
      <c r="T2861" s="359" t="str">
        <f t="shared" si="95"/>
        <v>domingo</v>
      </c>
      <c r="U2861" s="361">
        <v>43037</v>
      </c>
      <c r="V2861" s="360" t="str">
        <f t="shared" si="96"/>
        <v>domingo</v>
      </c>
    </row>
    <row r="2862" spans="19:22">
      <c r="S2862" s="357">
        <v>44375</v>
      </c>
      <c r="T2862" s="359" t="str">
        <f t="shared" si="95"/>
        <v>segunda-feira</v>
      </c>
      <c r="U2862" s="361">
        <v>43038</v>
      </c>
      <c r="V2862" s="360" t="str">
        <f t="shared" si="96"/>
        <v>segunda-feira</v>
      </c>
    </row>
    <row r="2863" spans="19:22">
      <c r="S2863" s="357">
        <v>44376</v>
      </c>
      <c r="T2863" s="359" t="str">
        <f t="shared" si="95"/>
        <v>terça-feira</v>
      </c>
      <c r="U2863" s="361">
        <v>43039</v>
      </c>
      <c r="V2863" s="360" t="str">
        <f t="shared" si="96"/>
        <v>terça-feira</v>
      </c>
    </row>
    <row r="2864" spans="19:22">
      <c r="S2864" s="357">
        <v>44377</v>
      </c>
      <c r="T2864" s="359" t="str">
        <f t="shared" si="95"/>
        <v>quarta-feira</v>
      </c>
      <c r="U2864" s="361">
        <v>43040</v>
      </c>
      <c r="V2864" s="360" t="str">
        <f t="shared" si="96"/>
        <v>quarta-feira</v>
      </c>
    </row>
    <row r="2865" spans="19:22">
      <c r="S2865" s="357">
        <v>44378</v>
      </c>
      <c r="T2865" s="359" t="str">
        <f t="shared" si="95"/>
        <v>quinta-feira</v>
      </c>
      <c r="U2865" s="361">
        <v>43041</v>
      </c>
      <c r="V2865" s="360" t="str">
        <f t="shared" si="96"/>
        <v>quinta-feira</v>
      </c>
    </row>
    <row r="2866" spans="19:22">
      <c r="S2866" s="357">
        <v>44379</v>
      </c>
      <c r="T2866" s="359" t="str">
        <f t="shared" si="95"/>
        <v>sexta-feira</v>
      </c>
      <c r="U2866" s="361">
        <v>43042</v>
      </c>
      <c r="V2866" s="360" t="str">
        <f t="shared" si="96"/>
        <v>sexta-feira</v>
      </c>
    </row>
    <row r="2867" spans="19:22">
      <c r="S2867" s="357">
        <v>44380</v>
      </c>
      <c r="T2867" s="359" t="str">
        <f t="shared" si="95"/>
        <v>sábado</v>
      </c>
      <c r="U2867" s="361">
        <v>43043</v>
      </c>
      <c r="V2867" s="360" t="str">
        <f t="shared" si="96"/>
        <v>sábado</v>
      </c>
    </row>
    <row r="2868" spans="19:22">
      <c r="S2868" s="357">
        <v>44381</v>
      </c>
      <c r="T2868" s="359" t="str">
        <f t="shared" si="95"/>
        <v>domingo</v>
      </c>
      <c r="U2868" s="361">
        <v>43044</v>
      </c>
      <c r="V2868" s="360" t="str">
        <f t="shared" si="96"/>
        <v>domingo</v>
      </c>
    </row>
    <row r="2869" spans="19:22">
      <c r="S2869" s="357">
        <v>44382</v>
      </c>
      <c r="T2869" s="359" t="str">
        <f t="shared" si="95"/>
        <v>segunda-feira</v>
      </c>
      <c r="U2869" s="361">
        <v>43045</v>
      </c>
      <c r="V2869" s="360" t="str">
        <f t="shared" si="96"/>
        <v>segunda-feira</v>
      </c>
    </row>
    <row r="2870" spans="19:22">
      <c r="S2870" s="357">
        <v>44383</v>
      </c>
      <c r="T2870" s="359" t="str">
        <f t="shared" si="95"/>
        <v>terça-feira</v>
      </c>
      <c r="U2870" s="361">
        <v>43046</v>
      </c>
      <c r="V2870" s="360" t="str">
        <f t="shared" si="96"/>
        <v>terça-feira</v>
      </c>
    </row>
    <row r="2871" spans="19:22">
      <c r="S2871" s="357">
        <v>44384</v>
      </c>
      <c r="T2871" s="359" t="str">
        <f t="shared" ref="T2871:T2934" si="97">TEXT(S2871,"dddd")</f>
        <v>quarta-feira</v>
      </c>
      <c r="U2871" s="361">
        <v>43047</v>
      </c>
      <c r="V2871" s="360" t="str">
        <f t="shared" si="96"/>
        <v>quarta-feira</v>
      </c>
    </row>
    <row r="2872" spans="19:22">
      <c r="S2872" s="357">
        <v>44385</v>
      </c>
      <c r="T2872" s="359" t="str">
        <f t="shared" si="97"/>
        <v>quinta-feira</v>
      </c>
      <c r="U2872" s="361">
        <v>43048</v>
      </c>
      <c r="V2872" s="360" t="str">
        <f t="shared" si="96"/>
        <v>quinta-feira</v>
      </c>
    </row>
    <row r="2873" spans="19:22">
      <c r="S2873" s="357">
        <v>44386</v>
      </c>
      <c r="T2873" s="359" t="str">
        <f t="shared" si="97"/>
        <v>sexta-feira</v>
      </c>
      <c r="U2873" s="361">
        <v>43049</v>
      </c>
      <c r="V2873" s="360" t="str">
        <f t="shared" si="96"/>
        <v>sexta-feira</v>
      </c>
    </row>
    <row r="2874" spans="19:22">
      <c r="S2874" s="357">
        <v>44387</v>
      </c>
      <c r="T2874" s="359" t="str">
        <f t="shared" si="97"/>
        <v>sábado</v>
      </c>
      <c r="U2874" s="361">
        <v>43050</v>
      </c>
      <c r="V2874" s="360" t="str">
        <f t="shared" si="96"/>
        <v>sábado</v>
      </c>
    </row>
    <row r="2875" spans="19:22">
      <c r="S2875" s="357">
        <v>44388</v>
      </c>
      <c r="T2875" s="359" t="str">
        <f t="shared" si="97"/>
        <v>domingo</v>
      </c>
      <c r="U2875" s="361">
        <v>43051</v>
      </c>
      <c r="V2875" s="360" t="str">
        <f t="shared" si="96"/>
        <v>domingo</v>
      </c>
    </row>
    <row r="2876" spans="19:22">
      <c r="S2876" s="357">
        <v>44389</v>
      </c>
      <c r="T2876" s="359" t="str">
        <f t="shared" si="97"/>
        <v>segunda-feira</v>
      </c>
      <c r="U2876" s="361">
        <v>43052</v>
      </c>
      <c r="V2876" s="360" t="str">
        <f t="shared" si="96"/>
        <v>segunda-feira</v>
      </c>
    </row>
    <row r="2877" spans="19:22">
      <c r="S2877" s="357">
        <v>44390</v>
      </c>
      <c r="T2877" s="359" t="str">
        <f t="shared" si="97"/>
        <v>terça-feira</v>
      </c>
      <c r="U2877" s="361">
        <v>43053</v>
      </c>
      <c r="V2877" s="360" t="str">
        <f t="shared" si="96"/>
        <v>terça-feira</v>
      </c>
    </row>
    <row r="2878" spans="19:22">
      <c r="S2878" s="357">
        <v>44391</v>
      </c>
      <c r="T2878" s="359" t="str">
        <f t="shared" si="97"/>
        <v>quarta-feira</v>
      </c>
      <c r="U2878" s="361">
        <v>43054</v>
      </c>
      <c r="V2878" s="360" t="str">
        <f t="shared" si="96"/>
        <v>quarta-feira</v>
      </c>
    </row>
    <row r="2879" spans="19:22">
      <c r="S2879" s="357">
        <v>44392</v>
      </c>
      <c r="T2879" s="359" t="str">
        <f t="shared" si="97"/>
        <v>quinta-feira</v>
      </c>
      <c r="U2879" s="361">
        <v>43055</v>
      </c>
      <c r="V2879" s="360" t="str">
        <f t="shared" si="96"/>
        <v>quinta-feira</v>
      </c>
    </row>
    <row r="2880" spans="19:22">
      <c r="S2880" s="357">
        <v>44393</v>
      </c>
      <c r="T2880" s="359" t="str">
        <f t="shared" si="97"/>
        <v>sexta-feira</v>
      </c>
      <c r="U2880" s="361">
        <v>43056</v>
      </c>
      <c r="V2880" s="360" t="str">
        <f t="shared" si="96"/>
        <v>sexta-feira</v>
      </c>
    </row>
    <row r="2881" spans="19:22">
      <c r="S2881" s="357">
        <v>44394</v>
      </c>
      <c r="T2881" s="359" t="str">
        <f t="shared" si="97"/>
        <v>sábado</v>
      </c>
      <c r="U2881" s="361">
        <v>43057</v>
      </c>
      <c r="V2881" s="360" t="str">
        <f t="shared" si="96"/>
        <v>sábado</v>
      </c>
    </row>
    <row r="2882" spans="19:22">
      <c r="S2882" s="357">
        <v>44395</v>
      </c>
      <c r="T2882" s="359" t="str">
        <f t="shared" si="97"/>
        <v>domingo</v>
      </c>
      <c r="U2882" s="361">
        <v>43058</v>
      </c>
      <c r="V2882" s="360" t="str">
        <f t="shared" si="96"/>
        <v>domingo</v>
      </c>
    </row>
    <row r="2883" spans="19:22">
      <c r="S2883" s="357">
        <v>44396</v>
      </c>
      <c r="T2883" s="359" t="str">
        <f t="shared" si="97"/>
        <v>segunda-feira</v>
      </c>
      <c r="U2883" s="361">
        <v>43059</v>
      </c>
      <c r="V2883" s="360" t="str">
        <f t="shared" si="96"/>
        <v>segunda-feira</v>
      </c>
    </row>
    <row r="2884" spans="19:22">
      <c r="S2884" s="357">
        <v>44397</v>
      </c>
      <c r="T2884" s="359" t="str">
        <f t="shared" si="97"/>
        <v>terça-feira</v>
      </c>
      <c r="U2884" s="361">
        <v>43060</v>
      </c>
      <c r="V2884" s="360" t="str">
        <f t="shared" si="96"/>
        <v>terça-feira</v>
      </c>
    </row>
    <row r="2885" spans="19:22">
      <c r="S2885" s="357">
        <v>44398</v>
      </c>
      <c r="T2885" s="359" t="str">
        <f t="shared" si="97"/>
        <v>quarta-feira</v>
      </c>
      <c r="U2885" s="361">
        <v>43061</v>
      </c>
      <c r="V2885" s="360" t="str">
        <f t="shared" si="96"/>
        <v>quarta-feira</v>
      </c>
    </row>
    <row r="2886" spans="19:22">
      <c r="S2886" s="357">
        <v>44399</v>
      </c>
      <c r="T2886" s="359" t="str">
        <f t="shared" si="97"/>
        <v>quinta-feira</v>
      </c>
      <c r="U2886" s="361">
        <v>43062</v>
      </c>
      <c r="V2886" s="360" t="str">
        <f t="shared" si="96"/>
        <v>quinta-feira</v>
      </c>
    </row>
    <row r="2887" spans="19:22">
      <c r="S2887" s="357">
        <v>44400</v>
      </c>
      <c r="T2887" s="359" t="str">
        <f t="shared" si="97"/>
        <v>sexta-feira</v>
      </c>
      <c r="U2887" s="361">
        <v>43063</v>
      </c>
      <c r="V2887" s="360" t="str">
        <f t="shared" si="96"/>
        <v>sexta-feira</v>
      </c>
    </row>
    <row r="2888" spans="19:22">
      <c r="S2888" s="357">
        <v>44401</v>
      </c>
      <c r="T2888" s="359" t="str">
        <f t="shared" si="97"/>
        <v>sábado</v>
      </c>
      <c r="U2888" s="361">
        <v>43064</v>
      </c>
      <c r="V2888" s="360" t="str">
        <f t="shared" si="96"/>
        <v>sábado</v>
      </c>
    </row>
    <row r="2889" spans="19:22">
      <c r="S2889" s="357">
        <v>44402</v>
      </c>
      <c r="T2889" s="359" t="str">
        <f t="shared" si="97"/>
        <v>domingo</v>
      </c>
      <c r="U2889" s="361">
        <v>43065</v>
      </c>
      <c r="V2889" s="360" t="str">
        <f t="shared" si="96"/>
        <v>domingo</v>
      </c>
    </row>
    <row r="2890" spans="19:22">
      <c r="S2890" s="357">
        <v>44403</v>
      </c>
      <c r="T2890" s="359" t="str">
        <f t="shared" si="97"/>
        <v>segunda-feira</v>
      </c>
      <c r="U2890" s="361">
        <v>43066</v>
      </c>
      <c r="V2890" s="360" t="str">
        <f t="shared" si="96"/>
        <v>segunda-feira</v>
      </c>
    </row>
    <row r="2891" spans="19:22">
      <c r="S2891" s="357">
        <v>44404</v>
      </c>
      <c r="T2891" s="359" t="str">
        <f t="shared" si="97"/>
        <v>terça-feira</v>
      </c>
      <c r="U2891" s="361">
        <v>43067</v>
      </c>
      <c r="V2891" s="360" t="str">
        <f t="shared" si="96"/>
        <v>terça-feira</v>
      </c>
    </row>
    <row r="2892" spans="19:22">
      <c r="S2892" s="357">
        <v>44405</v>
      </c>
      <c r="T2892" s="359" t="str">
        <f t="shared" si="97"/>
        <v>quarta-feira</v>
      </c>
      <c r="U2892" s="361">
        <v>43068</v>
      </c>
      <c r="V2892" s="360" t="str">
        <f t="shared" si="96"/>
        <v>quarta-feira</v>
      </c>
    </row>
    <row r="2893" spans="19:22">
      <c r="S2893" s="357">
        <v>44406</v>
      </c>
      <c r="T2893" s="359" t="str">
        <f t="shared" si="97"/>
        <v>quinta-feira</v>
      </c>
      <c r="U2893" s="361">
        <v>43069</v>
      </c>
      <c r="V2893" s="360" t="str">
        <f t="shared" si="96"/>
        <v>quinta-feira</v>
      </c>
    </row>
    <row r="2894" spans="19:22">
      <c r="S2894" s="357">
        <v>44407</v>
      </c>
      <c r="T2894" s="359" t="str">
        <f t="shared" si="97"/>
        <v>sexta-feira</v>
      </c>
      <c r="U2894" s="361">
        <v>43070</v>
      </c>
      <c r="V2894" s="360" t="str">
        <f t="shared" si="96"/>
        <v>sexta-feira</v>
      </c>
    </row>
    <row r="2895" spans="19:22">
      <c r="S2895" s="357">
        <v>44408</v>
      </c>
      <c r="T2895" s="359" t="str">
        <f t="shared" si="97"/>
        <v>sábado</v>
      </c>
      <c r="U2895" s="361">
        <v>43071</v>
      </c>
      <c r="V2895" s="360" t="str">
        <f t="shared" si="96"/>
        <v>sábado</v>
      </c>
    </row>
    <row r="2896" spans="19:22">
      <c r="S2896" s="357">
        <v>44409</v>
      </c>
      <c r="T2896" s="359" t="str">
        <f t="shared" si="97"/>
        <v>domingo</v>
      </c>
      <c r="U2896" s="361">
        <v>43072</v>
      </c>
      <c r="V2896" s="360" t="str">
        <f t="shared" si="96"/>
        <v>domingo</v>
      </c>
    </row>
    <row r="2897" spans="19:22">
      <c r="S2897" s="357">
        <v>44410</v>
      </c>
      <c r="T2897" s="359" t="str">
        <f t="shared" si="97"/>
        <v>segunda-feira</v>
      </c>
      <c r="U2897" s="361">
        <v>43073</v>
      </c>
      <c r="V2897" s="360" t="str">
        <f t="shared" si="96"/>
        <v>segunda-feira</v>
      </c>
    </row>
    <row r="2898" spans="19:22">
      <c r="S2898" s="357">
        <v>44411</v>
      </c>
      <c r="T2898" s="359" t="str">
        <f t="shared" si="97"/>
        <v>terça-feira</v>
      </c>
      <c r="U2898" s="361">
        <v>43074</v>
      </c>
      <c r="V2898" s="360" t="str">
        <f t="shared" ref="V2898:V2961" si="98">TEXT(U2898,"dddd")</f>
        <v>terça-feira</v>
      </c>
    </row>
    <row r="2899" spans="19:22">
      <c r="S2899" s="357">
        <v>44412</v>
      </c>
      <c r="T2899" s="359" t="str">
        <f t="shared" si="97"/>
        <v>quarta-feira</v>
      </c>
      <c r="U2899" s="361">
        <v>43075</v>
      </c>
      <c r="V2899" s="360" t="str">
        <f t="shared" si="98"/>
        <v>quarta-feira</v>
      </c>
    </row>
    <row r="2900" spans="19:22">
      <c r="S2900" s="357">
        <v>44413</v>
      </c>
      <c r="T2900" s="359" t="str">
        <f t="shared" si="97"/>
        <v>quinta-feira</v>
      </c>
      <c r="U2900" s="361">
        <v>43076</v>
      </c>
      <c r="V2900" s="360" t="str">
        <f t="shared" si="98"/>
        <v>quinta-feira</v>
      </c>
    </row>
    <row r="2901" spans="19:22">
      <c r="S2901" s="357">
        <v>44414</v>
      </c>
      <c r="T2901" s="359" t="str">
        <f t="shared" si="97"/>
        <v>sexta-feira</v>
      </c>
      <c r="U2901" s="361">
        <v>43077</v>
      </c>
      <c r="V2901" s="360" t="str">
        <f t="shared" si="98"/>
        <v>sexta-feira</v>
      </c>
    </row>
    <row r="2902" spans="19:22">
      <c r="S2902" s="357">
        <v>44415</v>
      </c>
      <c r="T2902" s="359" t="str">
        <f t="shared" si="97"/>
        <v>sábado</v>
      </c>
      <c r="U2902" s="361">
        <v>43078</v>
      </c>
      <c r="V2902" s="360" t="str">
        <f t="shared" si="98"/>
        <v>sábado</v>
      </c>
    </row>
    <row r="2903" spans="19:22">
      <c r="S2903" s="357">
        <v>44416</v>
      </c>
      <c r="T2903" s="359" t="str">
        <f t="shared" si="97"/>
        <v>domingo</v>
      </c>
      <c r="U2903" s="361">
        <v>43079</v>
      </c>
      <c r="V2903" s="360" t="str">
        <f t="shared" si="98"/>
        <v>domingo</v>
      </c>
    </row>
    <row r="2904" spans="19:22">
      <c r="S2904" s="357">
        <v>44417</v>
      </c>
      <c r="T2904" s="359" t="str">
        <f t="shared" si="97"/>
        <v>segunda-feira</v>
      </c>
      <c r="U2904" s="361">
        <v>43080</v>
      </c>
      <c r="V2904" s="360" t="str">
        <f t="shared" si="98"/>
        <v>segunda-feira</v>
      </c>
    </row>
    <row r="2905" spans="19:22">
      <c r="S2905" s="357">
        <v>44418</v>
      </c>
      <c r="T2905" s="359" t="str">
        <f t="shared" si="97"/>
        <v>terça-feira</v>
      </c>
      <c r="U2905" s="361">
        <v>43081</v>
      </c>
      <c r="V2905" s="360" t="str">
        <f t="shared" si="98"/>
        <v>terça-feira</v>
      </c>
    </row>
    <row r="2906" spans="19:22">
      <c r="S2906" s="357">
        <v>44419</v>
      </c>
      <c r="T2906" s="359" t="str">
        <f t="shared" si="97"/>
        <v>quarta-feira</v>
      </c>
      <c r="U2906" s="361">
        <v>43082</v>
      </c>
      <c r="V2906" s="360" t="str">
        <f t="shared" si="98"/>
        <v>quarta-feira</v>
      </c>
    </row>
    <row r="2907" spans="19:22">
      <c r="S2907" s="357">
        <v>44420</v>
      </c>
      <c r="T2907" s="359" t="str">
        <f t="shared" si="97"/>
        <v>quinta-feira</v>
      </c>
      <c r="U2907" s="361">
        <v>43083</v>
      </c>
      <c r="V2907" s="360" t="str">
        <f t="shared" si="98"/>
        <v>quinta-feira</v>
      </c>
    </row>
    <row r="2908" spans="19:22">
      <c r="S2908" s="357">
        <v>44421</v>
      </c>
      <c r="T2908" s="359" t="str">
        <f t="shared" si="97"/>
        <v>sexta-feira</v>
      </c>
      <c r="U2908" s="361">
        <v>43084</v>
      </c>
      <c r="V2908" s="360" t="str">
        <f t="shared" si="98"/>
        <v>sexta-feira</v>
      </c>
    </row>
    <row r="2909" spans="19:22">
      <c r="S2909" s="357">
        <v>44422</v>
      </c>
      <c r="T2909" s="359" t="str">
        <f t="shared" si="97"/>
        <v>sábado</v>
      </c>
      <c r="U2909" s="361">
        <v>43085</v>
      </c>
      <c r="V2909" s="360" t="str">
        <f t="shared" si="98"/>
        <v>sábado</v>
      </c>
    </row>
    <row r="2910" spans="19:22">
      <c r="S2910" s="357">
        <v>44423</v>
      </c>
      <c r="T2910" s="359" t="str">
        <f t="shared" si="97"/>
        <v>domingo</v>
      </c>
      <c r="U2910" s="361">
        <v>43086</v>
      </c>
      <c r="V2910" s="360" t="str">
        <f t="shared" si="98"/>
        <v>domingo</v>
      </c>
    </row>
    <row r="2911" spans="19:22">
      <c r="S2911" s="357">
        <v>44424</v>
      </c>
      <c r="T2911" s="359" t="str">
        <f t="shared" si="97"/>
        <v>segunda-feira</v>
      </c>
      <c r="U2911" s="361">
        <v>43087</v>
      </c>
      <c r="V2911" s="360" t="str">
        <f t="shared" si="98"/>
        <v>segunda-feira</v>
      </c>
    </row>
    <row r="2912" spans="19:22">
      <c r="S2912" s="357">
        <v>44425</v>
      </c>
      <c r="T2912" s="359" t="str">
        <f t="shared" si="97"/>
        <v>terça-feira</v>
      </c>
      <c r="U2912" s="361">
        <v>43088</v>
      </c>
      <c r="V2912" s="360" t="str">
        <f t="shared" si="98"/>
        <v>terça-feira</v>
      </c>
    </row>
    <row r="2913" spans="19:22">
      <c r="S2913" s="357">
        <v>44426</v>
      </c>
      <c r="T2913" s="359" t="str">
        <f t="shared" si="97"/>
        <v>quarta-feira</v>
      </c>
      <c r="U2913" s="361">
        <v>43089</v>
      </c>
      <c r="V2913" s="360" t="str">
        <f t="shared" si="98"/>
        <v>quarta-feira</v>
      </c>
    </row>
    <row r="2914" spans="19:22">
      <c r="S2914" s="357">
        <v>44427</v>
      </c>
      <c r="T2914" s="359" t="str">
        <f t="shared" si="97"/>
        <v>quinta-feira</v>
      </c>
      <c r="U2914" s="361">
        <v>43090</v>
      </c>
      <c r="V2914" s="360" t="str">
        <f t="shared" si="98"/>
        <v>quinta-feira</v>
      </c>
    </row>
    <row r="2915" spans="19:22">
      <c r="S2915" s="357">
        <v>44428</v>
      </c>
      <c r="T2915" s="359" t="str">
        <f t="shared" si="97"/>
        <v>sexta-feira</v>
      </c>
      <c r="U2915" s="361">
        <v>43091</v>
      </c>
      <c r="V2915" s="360" t="str">
        <f t="shared" si="98"/>
        <v>sexta-feira</v>
      </c>
    </row>
    <row r="2916" spans="19:22">
      <c r="S2916" s="357">
        <v>44429</v>
      </c>
      <c r="T2916" s="359" t="str">
        <f t="shared" si="97"/>
        <v>sábado</v>
      </c>
      <c r="U2916" s="361">
        <v>43092</v>
      </c>
      <c r="V2916" s="360" t="str">
        <f t="shared" si="98"/>
        <v>sábado</v>
      </c>
    </row>
    <row r="2917" spans="19:22">
      <c r="S2917" s="357">
        <v>44430</v>
      </c>
      <c r="T2917" s="359" t="str">
        <f t="shared" si="97"/>
        <v>domingo</v>
      </c>
      <c r="U2917" s="361">
        <v>43093</v>
      </c>
      <c r="V2917" s="360" t="str">
        <f t="shared" si="98"/>
        <v>domingo</v>
      </c>
    </row>
    <row r="2918" spans="19:22">
      <c r="S2918" s="357">
        <v>44431</v>
      </c>
      <c r="T2918" s="359" t="str">
        <f t="shared" si="97"/>
        <v>segunda-feira</v>
      </c>
      <c r="U2918" s="361">
        <v>43094</v>
      </c>
      <c r="V2918" s="360" t="str">
        <f t="shared" si="98"/>
        <v>segunda-feira</v>
      </c>
    </row>
    <row r="2919" spans="19:22">
      <c r="S2919" s="357">
        <v>44432</v>
      </c>
      <c r="T2919" s="359" t="str">
        <f t="shared" si="97"/>
        <v>terça-feira</v>
      </c>
      <c r="U2919" s="361">
        <v>43095</v>
      </c>
      <c r="V2919" s="360" t="str">
        <f t="shared" si="98"/>
        <v>terça-feira</v>
      </c>
    </row>
    <row r="2920" spans="19:22">
      <c r="S2920" s="357">
        <v>44433</v>
      </c>
      <c r="T2920" s="359" t="str">
        <f t="shared" si="97"/>
        <v>quarta-feira</v>
      </c>
      <c r="U2920" s="361">
        <v>43096</v>
      </c>
      <c r="V2920" s="360" t="str">
        <f t="shared" si="98"/>
        <v>quarta-feira</v>
      </c>
    </row>
    <row r="2921" spans="19:22">
      <c r="S2921" s="357">
        <v>44434</v>
      </c>
      <c r="T2921" s="359" t="str">
        <f t="shared" si="97"/>
        <v>quinta-feira</v>
      </c>
      <c r="U2921" s="361">
        <v>43097</v>
      </c>
      <c r="V2921" s="360" t="str">
        <f t="shared" si="98"/>
        <v>quinta-feira</v>
      </c>
    </row>
    <row r="2922" spans="19:22">
      <c r="S2922" s="357">
        <v>44435</v>
      </c>
      <c r="T2922" s="359" t="str">
        <f t="shared" si="97"/>
        <v>sexta-feira</v>
      </c>
      <c r="U2922" s="361">
        <v>43098</v>
      </c>
      <c r="V2922" s="360" t="str">
        <f t="shared" si="98"/>
        <v>sexta-feira</v>
      </c>
    </row>
    <row r="2923" spans="19:22">
      <c r="S2923" s="357">
        <v>44436</v>
      </c>
      <c r="T2923" s="359" t="str">
        <f t="shared" si="97"/>
        <v>sábado</v>
      </c>
      <c r="U2923" s="361">
        <v>43099</v>
      </c>
      <c r="V2923" s="360" t="str">
        <f t="shared" si="98"/>
        <v>sábado</v>
      </c>
    </row>
    <row r="2924" spans="19:22">
      <c r="S2924" s="357">
        <v>44437</v>
      </c>
      <c r="T2924" s="359" t="str">
        <f t="shared" si="97"/>
        <v>domingo</v>
      </c>
      <c r="U2924" s="361">
        <v>43100</v>
      </c>
      <c r="V2924" s="360" t="str">
        <f t="shared" si="98"/>
        <v>domingo</v>
      </c>
    </row>
    <row r="2925" spans="19:22">
      <c r="S2925" s="357">
        <v>44438</v>
      </c>
      <c r="T2925" s="359" t="str">
        <f t="shared" si="97"/>
        <v>segunda-feira</v>
      </c>
      <c r="U2925" s="361">
        <v>43101</v>
      </c>
      <c r="V2925" s="360" t="str">
        <f t="shared" si="98"/>
        <v>segunda-feira</v>
      </c>
    </row>
    <row r="2926" spans="19:22">
      <c r="S2926" s="357">
        <v>44439</v>
      </c>
      <c r="T2926" s="359" t="str">
        <f t="shared" si="97"/>
        <v>terça-feira</v>
      </c>
      <c r="U2926" s="361">
        <v>43102</v>
      </c>
      <c r="V2926" s="360" t="str">
        <f t="shared" si="98"/>
        <v>terça-feira</v>
      </c>
    </row>
    <row r="2927" spans="19:22">
      <c r="S2927" s="357">
        <v>44440</v>
      </c>
      <c r="T2927" s="359" t="str">
        <f t="shared" si="97"/>
        <v>quarta-feira</v>
      </c>
      <c r="U2927" s="361">
        <v>43103</v>
      </c>
      <c r="V2927" s="360" t="str">
        <f t="shared" si="98"/>
        <v>quarta-feira</v>
      </c>
    </row>
    <row r="2928" spans="19:22">
      <c r="S2928" s="357">
        <v>44441</v>
      </c>
      <c r="T2928" s="359" t="str">
        <f t="shared" si="97"/>
        <v>quinta-feira</v>
      </c>
      <c r="U2928" s="361">
        <v>43104</v>
      </c>
      <c r="V2928" s="360" t="str">
        <f t="shared" si="98"/>
        <v>quinta-feira</v>
      </c>
    </row>
    <row r="2929" spans="19:22">
      <c r="S2929" s="357">
        <v>44442</v>
      </c>
      <c r="T2929" s="359" t="str">
        <f t="shared" si="97"/>
        <v>sexta-feira</v>
      </c>
      <c r="U2929" s="361">
        <v>43105</v>
      </c>
      <c r="V2929" s="360" t="str">
        <f t="shared" si="98"/>
        <v>sexta-feira</v>
      </c>
    </row>
    <row r="2930" spans="19:22">
      <c r="S2930" s="357">
        <v>44443</v>
      </c>
      <c r="T2930" s="359" t="str">
        <f t="shared" si="97"/>
        <v>sábado</v>
      </c>
      <c r="U2930" s="361">
        <v>43106</v>
      </c>
      <c r="V2930" s="360" t="str">
        <f t="shared" si="98"/>
        <v>sábado</v>
      </c>
    </row>
    <row r="2931" spans="19:22">
      <c r="S2931" s="357">
        <v>44444</v>
      </c>
      <c r="T2931" s="359" t="str">
        <f t="shared" si="97"/>
        <v>domingo</v>
      </c>
      <c r="U2931" s="361">
        <v>43107</v>
      </c>
      <c r="V2931" s="360" t="str">
        <f t="shared" si="98"/>
        <v>domingo</v>
      </c>
    </row>
    <row r="2932" spans="19:22">
      <c r="S2932" s="357">
        <v>44445</v>
      </c>
      <c r="T2932" s="359" t="str">
        <f t="shared" si="97"/>
        <v>segunda-feira</v>
      </c>
      <c r="U2932" s="361">
        <v>43108</v>
      </c>
      <c r="V2932" s="360" t="str">
        <f t="shared" si="98"/>
        <v>segunda-feira</v>
      </c>
    </row>
    <row r="2933" spans="19:22">
      <c r="S2933" s="357">
        <v>44446</v>
      </c>
      <c r="T2933" s="359" t="str">
        <f t="shared" si="97"/>
        <v>terça-feira</v>
      </c>
      <c r="U2933" s="361">
        <v>43109</v>
      </c>
      <c r="V2933" s="360" t="str">
        <f t="shared" si="98"/>
        <v>terça-feira</v>
      </c>
    </row>
    <row r="2934" spans="19:22">
      <c r="S2934" s="357">
        <v>44447</v>
      </c>
      <c r="T2934" s="359" t="str">
        <f t="shared" si="97"/>
        <v>quarta-feira</v>
      </c>
      <c r="U2934" s="361">
        <v>43110</v>
      </c>
      <c r="V2934" s="360" t="str">
        <f t="shared" si="98"/>
        <v>quarta-feira</v>
      </c>
    </row>
    <row r="2935" spans="19:22">
      <c r="S2935" s="357">
        <v>44448</v>
      </c>
      <c r="T2935" s="359" t="str">
        <f t="shared" ref="T2935:T2998" si="99">TEXT(S2935,"dddd")</f>
        <v>quinta-feira</v>
      </c>
      <c r="U2935" s="361">
        <v>43111</v>
      </c>
      <c r="V2935" s="360" t="str">
        <f t="shared" si="98"/>
        <v>quinta-feira</v>
      </c>
    </row>
    <row r="2936" spans="19:22">
      <c r="S2936" s="357">
        <v>44449</v>
      </c>
      <c r="T2936" s="359" t="str">
        <f t="shared" si="99"/>
        <v>sexta-feira</v>
      </c>
      <c r="U2936" s="361">
        <v>43112</v>
      </c>
      <c r="V2936" s="360" t="str">
        <f t="shared" si="98"/>
        <v>sexta-feira</v>
      </c>
    </row>
    <row r="2937" spans="19:22">
      <c r="S2937" s="357">
        <v>44450</v>
      </c>
      <c r="T2937" s="359" t="str">
        <f t="shared" si="99"/>
        <v>sábado</v>
      </c>
      <c r="U2937" s="361">
        <v>43113</v>
      </c>
      <c r="V2937" s="360" t="str">
        <f t="shared" si="98"/>
        <v>sábado</v>
      </c>
    </row>
    <row r="2938" spans="19:22">
      <c r="S2938" s="357">
        <v>44451</v>
      </c>
      <c r="T2938" s="359" t="str">
        <f t="shared" si="99"/>
        <v>domingo</v>
      </c>
      <c r="U2938" s="361">
        <v>43114</v>
      </c>
      <c r="V2938" s="360" t="str">
        <f t="shared" si="98"/>
        <v>domingo</v>
      </c>
    </row>
    <row r="2939" spans="19:22">
      <c r="S2939" s="357">
        <v>44452</v>
      </c>
      <c r="T2939" s="359" t="str">
        <f t="shared" si="99"/>
        <v>segunda-feira</v>
      </c>
      <c r="U2939" s="361">
        <v>43115</v>
      </c>
      <c r="V2939" s="360" t="str">
        <f t="shared" si="98"/>
        <v>segunda-feira</v>
      </c>
    </row>
    <row r="2940" spans="19:22">
      <c r="S2940" s="357">
        <v>44453</v>
      </c>
      <c r="T2940" s="359" t="str">
        <f t="shared" si="99"/>
        <v>terça-feira</v>
      </c>
      <c r="U2940" s="361">
        <v>43116</v>
      </c>
      <c r="V2940" s="360" t="str">
        <f t="shared" si="98"/>
        <v>terça-feira</v>
      </c>
    </row>
    <row r="2941" spans="19:22">
      <c r="S2941" s="357">
        <v>44454</v>
      </c>
      <c r="T2941" s="359" t="str">
        <f t="shared" si="99"/>
        <v>quarta-feira</v>
      </c>
      <c r="U2941" s="361">
        <v>43117</v>
      </c>
      <c r="V2941" s="360" t="str">
        <f t="shared" si="98"/>
        <v>quarta-feira</v>
      </c>
    </row>
    <row r="2942" spans="19:22">
      <c r="S2942" s="357">
        <v>44455</v>
      </c>
      <c r="T2942" s="359" t="str">
        <f t="shared" si="99"/>
        <v>quinta-feira</v>
      </c>
      <c r="U2942" s="361">
        <v>43118</v>
      </c>
      <c r="V2942" s="360" t="str">
        <f t="shared" si="98"/>
        <v>quinta-feira</v>
      </c>
    </row>
    <row r="2943" spans="19:22">
      <c r="S2943" s="357">
        <v>44456</v>
      </c>
      <c r="T2943" s="359" t="str">
        <f t="shared" si="99"/>
        <v>sexta-feira</v>
      </c>
      <c r="U2943" s="361">
        <v>43119</v>
      </c>
      <c r="V2943" s="360" t="str">
        <f t="shared" si="98"/>
        <v>sexta-feira</v>
      </c>
    </row>
    <row r="2944" spans="19:22">
      <c r="S2944" s="357">
        <v>44457</v>
      </c>
      <c r="T2944" s="359" t="str">
        <f t="shared" si="99"/>
        <v>sábado</v>
      </c>
      <c r="U2944" s="361">
        <v>43120</v>
      </c>
      <c r="V2944" s="360" t="str">
        <f t="shared" si="98"/>
        <v>sábado</v>
      </c>
    </row>
    <row r="2945" spans="19:22">
      <c r="S2945" s="357">
        <v>44458</v>
      </c>
      <c r="T2945" s="359" t="str">
        <f t="shared" si="99"/>
        <v>domingo</v>
      </c>
      <c r="U2945" s="361">
        <v>43121</v>
      </c>
      <c r="V2945" s="360" t="str">
        <f t="shared" si="98"/>
        <v>domingo</v>
      </c>
    </row>
    <row r="2946" spans="19:22">
      <c r="S2946" s="357">
        <v>44459</v>
      </c>
      <c r="T2946" s="359" t="str">
        <f t="shared" si="99"/>
        <v>segunda-feira</v>
      </c>
      <c r="U2946" s="361">
        <v>43122</v>
      </c>
      <c r="V2946" s="360" t="str">
        <f t="shared" si="98"/>
        <v>segunda-feira</v>
      </c>
    </row>
    <row r="2947" spans="19:22">
      <c r="S2947" s="357">
        <v>44460</v>
      </c>
      <c r="T2947" s="359" t="str">
        <f t="shared" si="99"/>
        <v>terça-feira</v>
      </c>
      <c r="U2947" s="361">
        <v>43123</v>
      </c>
      <c r="V2947" s="360" t="str">
        <f t="shared" si="98"/>
        <v>terça-feira</v>
      </c>
    </row>
    <row r="2948" spans="19:22">
      <c r="S2948" s="357">
        <v>44461</v>
      </c>
      <c r="T2948" s="359" t="str">
        <f t="shared" si="99"/>
        <v>quarta-feira</v>
      </c>
      <c r="U2948" s="361">
        <v>43124</v>
      </c>
      <c r="V2948" s="360" t="str">
        <f t="shared" si="98"/>
        <v>quarta-feira</v>
      </c>
    </row>
    <row r="2949" spans="19:22">
      <c r="S2949" s="357">
        <v>44462</v>
      </c>
      <c r="T2949" s="359" t="str">
        <f t="shared" si="99"/>
        <v>quinta-feira</v>
      </c>
      <c r="U2949" s="361">
        <v>43125</v>
      </c>
      <c r="V2949" s="360" t="str">
        <f t="shared" si="98"/>
        <v>quinta-feira</v>
      </c>
    </row>
    <row r="2950" spans="19:22">
      <c r="S2950" s="357">
        <v>44463</v>
      </c>
      <c r="T2950" s="359" t="str">
        <f t="shared" si="99"/>
        <v>sexta-feira</v>
      </c>
      <c r="U2950" s="361">
        <v>43126</v>
      </c>
      <c r="V2950" s="360" t="str">
        <f t="shared" si="98"/>
        <v>sexta-feira</v>
      </c>
    </row>
    <row r="2951" spans="19:22">
      <c r="S2951" s="357">
        <v>44464</v>
      </c>
      <c r="T2951" s="359" t="str">
        <f t="shared" si="99"/>
        <v>sábado</v>
      </c>
      <c r="U2951" s="361">
        <v>43127</v>
      </c>
      <c r="V2951" s="360" t="str">
        <f t="shared" si="98"/>
        <v>sábado</v>
      </c>
    </row>
    <row r="2952" spans="19:22">
      <c r="S2952" s="357">
        <v>44465</v>
      </c>
      <c r="T2952" s="359" t="str">
        <f t="shared" si="99"/>
        <v>domingo</v>
      </c>
      <c r="U2952" s="361">
        <v>43128</v>
      </c>
      <c r="V2952" s="360" t="str">
        <f t="shared" si="98"/>
        <v>domingo</v>
      </c>
    </row>
    <row r="2953" spans="19:22">
      <c r="S2953" s="357">
        <v>44466</v>
      </c>
      <c r="T2953" s="359" t="str">
        <f t="shared" si="99"/>
        <v>segunda-feira</v>
      </c>
      <c r="U2953" s="361">
        <v>43129</v>
      </c>
      <c r="V2953" s="360" t="str">
        <f t="shared" si="98"/>
        <v>segunda-feira</v>
      </c>
    </row>
    <row r="2954" spans="19:22">
      <c r="S2954" s="357">
        <v>44467</v>
      </c>
      <c r="T2954" s="359" t="str">
        <f t="shared" si="99"/>
        <v>terça-feira</v>
      </c>
      <c r="U2954" s="361">
        <v>43130</v>
      </c>
      <c r="V2954" s="360" t="str">
        <f t="shared" si="98"/>
        <v>terça-feira</v>
      </c>
    </row>
    <row r="2955" spans="19:22">
      <c r="S2955" s="357">
        <v>44468</v>
      </c>
      <c r="T2955" s="359" t="str">
        <f t="shared" si="99"/>
        <v>quarta-feira</v>
      </c>
      <c r="U2955" s="361">
        <v>43131</v>
      </c>
      <c r="V2955" s="360" t="str">
        <f t="shared" si="98"/>
        <v>quarta-feira</v>
      </c>
    </row>
    <row r="2956" spans="19:22">
      <c r="S2956" s="357">
        <v>44469</v>
      </c>
      <c r="T2956" s="359" t="str">
        <f t="shared" si="99"/>
        <v>quinta-feira</v>
      </c>
      <c r="U2956" s="361">
        <v>43132</v>
      </c>
      <c r="V2956" s="360" t="str">
        <f t="shared" si="98"/>
        <v>quinta-feira</v>
      </c>
    </row>
    <row r="2957" spans="19:22">
      <c r="S2957" s="357">
        <v>44470</v>
      </c>
      <c r="T2957" s="359" t="str">
        <f t="shared" si="99"/>
        <v>sexta-feira</v>
      </c>
      <c r="U2957" s="361">
        <v>43133</v>
      </c>
      <c r="V2957" s="360" t="str">
        <f t="shared" si="98"/>
        <v>sexta-feira</v>
      </c>
    </row>
    <row r="2958" spans="19:22">
      <c r="S2958" s="357">
        <v>44471</v>
      </c>
      <c r="T2958" s="359" t="str">
        <f t="shared" si="99"/>
        <v>sábado</v>
      </c>
      <c r="U2958" s="361">
        <v>43134</v>
      </c>
      <c r="V2958" s="360" t="str">
        <f t="shared" si="98"/>
        <v>sábado</v>
      </c>
    </row>
    <row r="2959" spans="19:22">
      <c r="S2959" s="357">
        <v>44472</v>
      </c>
      <c r="T2959" s="359" t="str">
        <f t="shared" si="99"/>
        <v>domingo</v>
      </c>
      <c r="U2959" s="361">
        <v>43135</v>
      </c>
      <c r="V2959" s="360" t="str">
        <f t="shared" si="98"/>
        <v>domingo</v>
      </c>
    </row>
    <row r="2960" spans="19:22">
      <c r="S2960" s="357">
        <v>44473</v>
      </c>
      <c r="T2960" s="359" t="str">
        <f t="shared" si="99"/>
        <v>segunda-feira</v>
      </c>
      <c r="U2960" s="361">
        <v>43136</v>
      </c>
      <c r="V2960" s="360" t="str">
        <f t="shared" si="98"/>
        <v>segunda-feira</v>
      </c>
    </row>
    <row r="2961" spans="19:22">
      <c r="S2961" s="357">
        <v>44474</v>
      </c>
      <c r="T2961" s="359" t="str">
        <f t="shared" si="99"/>
        <v>terça-feira</v>
      </c>
      <c r="U2961" s="361">
        <v>43137</v>
      </c>
      <c r="V2961" s="360" t="str">
        <f t="shared" si="98"/>
        <v>terça-feira</v>
      </c>
    </row>
    <row r="2962" spans="19:22">
      <c r="S2962" s="357">
        <v>44475</v>
      </c>
      <c r="T2962" s="359" t="str">
        <f t="shared" si="99"/>
        <v>quarta-feira</v>
      </c>
      <c r="U2962" s="361">
        <v>43138</v>
      </c>
      <c r="V2962" s="360" t="str">
        <f t="shared" ref="V2962:V3015" si="100">TEXT(U2962,"dddd")</f>
        <v>quarta-feira</v>
      </c>
    </row>
    <row r="2963" spans="19:22">
      <c r="S2963" s="357">
        <v>44476</v>
      </c>
      <c r="T2963" s="359" t="str">
        <f t="shared" si="99"/>
        <v>quinta-feira</v>
      </c>
      <c r="U2963" s="361">
        <v>43139</v>
      </c>
      <c r="V2963" s="360" t="str">
        <f t="shared" si="100"/>
        <v>quinta-feira</v>
      </c>
    </row>
    <row r="2964" spans="19:22">
      <c r="S2964" s="357">
        <v>44477</v>
      </c>
      <c r="T2964" s="359" t="str">
        <f t="shared" si="99"/>
        <v>sexta-feira</v>
      </c>
      <c r="U2964" s="361">
        <v>43140</v>
      </c>
      <c r="V2964" s="360" t="str">
        <f t="shared" si="100"/>
        <v>sexta-feira</v>
      </c>
    </row>
    <row r="2965" spans="19:22">
      <c r="S2965" s="357">
        <v>44478</v>
      </c>
      <c r="T2965" s="359" t="str">
        <f t="shared" si="99"/>
        <v>sábado</v>
      </c>
      <c r="U2965" s="361">
        <v>43141</v>
      </c>
      <c r="V2965" s="360" t="str">
        <f t="shared" si="100"/>
        <v>sábado</v>
      </c>
    </row>
    <row r="2966" spans="19:22">
      <c r="S2966" s="357">
        <v>44479</v>
      </c>
      <c r="T2966" s="359" t="str">
        <f t="shared" si="99"/>
        <v>domingo</v>
      </c>
      <c r="U2966" s="361">
        <v>43142</v>
      </c>
      <c r="V2966" s="360" t="str">
        <f t="shared" si="100"/>
        <v>domingo</v>
      </c>
    </row>
    <row r="2967" spans="19:22">
      <c r="S2967" s="357">
        <v>44480</v>
      </c>
      <c r="T2967" s="359" t="str">
        <f t="shared" si="99"/>
        <v>segunda-feira</v>
      </c>
      <c r="U2967" s="361">
        <v>43143</v>
      </c>
      <c r="V2967" s="360" t="str">
        <f t="shared" si="100"/>
        <v>segunda-feira</v>
      </c>
    </row>
    <row r="2968" spans="19:22">
      <c r="S2968" s="357">
        <v>44481</v>
      </c>
      <c r="T2968" s="359" t="str">
        <f t="shared" si="99"/>
        <v>terça-feira</v>
      </c>
      <c r="U2968" s="361">
        <v>43144</v>
      </c>
      <c r="V2968" s="360" t="str">
        <f t="shared" si="100"/>
        <v>terça-feira</v>
      </c>
    </row>
    <row r="2969" spans="19:22">
      <c r="S2969" s="357">
        <v>44482</v>
      </c>
      <c r="T2969" s="359" t="str">
        <f t="shared" si="99"/>
        <v>quarta-feira</v>
      </c>
      <c r="U2969" s="361">
        <v>43145</v>
      </c>
      <c r="V2969" s="360" t="str">
        <f t="shared" si="100"/>
        <v>quarta-feira</v>
      </c>
    </row>
    <row r="2970" spans="19:22">
      <c r="S2970" s="357">
        <v>44483</v>
      </c>
      <c r="T2970" s="359" t="str">
        <f t="shared" si="99"/>
        <v>quinta-feira</v>
      </c>
      <c r="U2970" s="361">
        <v>43146</v>
      </c>
      <c r="V2970" s="360" t="str">
        <f t="shared" si="100"/>
        <v>quinta-feira</v>
      </c>
    </row>
    <row r="2971" spans="19:22">
      <c r="S2971" s="357">
        <v>44484</v>
      </c>
      <c r="T2971" s="359" t="str">
        <f t="shared" si="99"/>
        <v>sexta-feira</v>
      </c>
      <c r="U2971" s="361">
        <v>43147</v>
      </c>
      <c r="V2971" s="360" t="str">
        <f t="shared" si="100"/>
        <v>sexta-feira</v>
      </c>
    </row>
    <row r="2972" spans="19:22">
      <c r="S2972" s="357">
        <v>44485</v>
      </c>
      <c r="T2972" s="359" t="str">
        <f t="shared" si="99"/>
        <v>sábado</v>
      </c>
      <c r="U2972" s="361">
        <v>43148</v>
      </c>
      <c r="V2972" s="360" t="str">
        <f t="shared" si="100"/>
        <v>sábado</v>
      </c>
    </row>
    <row r="2973" spans="19:22">
      <c r="S2973" s="357">
        <v>44486</v>
      </c>
      <c r="T2973" s="359" t="str">
        <f t="shared" si="99"/>
        <v>domingo</v>
      </c>
      <c r="U2973" s="361">
        <v>43149</v>
      </c>
      <c r="V2973" s="360" t="str">
        <f t="shared" si="100"/>
        <v>domingo</v>
      </c>
    </row>
    <row r="2974" spans="19:22">
      <c r="S2974" s="357">
        <v>44487</v>
      </c>
      <c r="T2974" s="359" t="str">
        <f t="shared" si="99"/>
        <v>segunda-feira</v>
      </c>
      <c r="U2974" s="361">
        <v>43150</v>
      </c>
      <c r="V2974" s="360" t="str">
        <f t="shared" si="100"/>
        <v>segunda-feira</v>
      </c>
    </row>
    <row r="2975" spans="19:22">
      <c r="S2975" s="357">
        <v>44488</v>
      </c>
      <c r="T2975" s="359" t="str">
        <f t="shared" si="99"/>
        <v>terça-feira</v>
      </c>
      <c r="U2975" s="361">
        <v>43151</v>
      </c>
      <c r="V2975" s="360" t="str">
        <f t="shared" si="100"/>
        <v>terça-feira</v>
      </c>
    </row>
    <row r="2976" spans="19:22">
      <c r="S2976" s="357">
        <v>44489</v>
      </c>
      <c r="T2976" s="359" t="str">
        <f t="shared" si="99"/>
        <v>quarta-feira</v>
      </c>
      <c r="U2976" s="361">
        <v>43152</v>
      </c>
      <c r="V2976" s="360" t="str">
        <f t="shared" si="100"/>
        <v>quarta-feira</v>
      </c>
    </row>
    <row r="2977" spans="19:22">
      <c r="S2977" s="357">
        <v>44490</v>
      </c>
      <c r="T2977" s="359" t="str">
        <f t="shared" si="99"/>
        <v>quinta-feira</v>
      </c>
      <c r="U2977" s="361">
        <v>43153</v>
      </c>
      <c r="V2977" s="360" t="str">
        <f t="shared" si="100"/>
        <v>quinta-feira</v>
      </c>
    </row>
    <row r="2978" spans="19:22">
      <c r="S2978" s="357">
        <v>44491</v>
      </c>
      <c r="T2978" s="359" t="str">
        <f t="shared" si="99"/>
        <v>sexta-feira</v>
      </c>
      <c r="U2978" s="361">
        <v>43154</v>
      </c>
      <c r="V2978" s="360" t="str">
        <f t="shared" si="100"/>
        <v>sexta-feira</v>
      </c>
    </row>
    <row r="2979" spans="19:22">
      <c r="S2979" s="357">
        <v>44492</v>
      </c>
      <c r="T2979" s="359" t="str">
        <f t="shared" si="99"/>
        <v>sábado</v>
      </c>
      <c r="U2979" s="361">
        <v>43155</v>
      </c>
      <c r="V2979" s="360" t="str">
        <f t="shared" si="100"/>
        <v>sábado</v>
      </c>
    </row>
    <row r="2980" spans="19:22">
      <c r="S2980" s="357">
        <v>44493</v>
      </c>
      <c r="T2980" s="359" t="str">
        <f t="shared" si="99"/>
        <v>domingo</v>
      </c>
      <c r="U2980" s="361">
        <v>43156</v>
      </c>
      <c r="V2980" s="360" t="str">
        <f t="shared" si="100"/>
        <v>domingo</v>
      </c>
    </row>
    <row r="2981" spans="19:22">
      <c r="S2981" s="357">
        <v>44494</v>
      </c>
      <c r="T2981" s="359" t="str">
        <f t="shared" si="99"/>
        <v>segunda-feira</v>
      </c>
      <c r="U2981" s="361">
        <v>43157</v>
      </c>
      <c r="V2981" s="360" t="str">
        <f t="shared" si="100"/>
        <v>segunda-feira</v>
      </c>
    </row>
    <row r="2982" spans="19:22">
      <c r="S2982" s="357">
        <v>44495</v>
      </c>
      <c r="T2982" s="359" t="str">
        <f t="shared" si="99"/>
        <v>terça-feira</v>
      </c>
      <c r="U2982" s="361">
        <v>43158</v>
      </c>
      <c r="V2982" s="360" t="str">
        <f t="shared" si="100"/>
        <v>terça-feira</v>
      </c>
    </row>
    <row r="2983" spans="19:22">
      <c r="S2983" s="357">
        <v>44496</v>
      </c>
      <c r="T2983" s="359" t="str">
        <f t="shared" si="99"/>
        <v>quarta-feira</v>
      </c>
      <c r="U2983" s="361">
        <v>43159</v>
      </c>
      <c r="V2983" s="360" t="str">
        <f t="shared" si="100"/>
        <v>quarta-feira</v>
      </c>
    </row>
    <row r="2984" spans="19:22">
      <c r="S2984" s="357">
        <v>44497</v>
      </c>
      <c r="T2984" s="359" t="str">
        <f t="shared" si="99"/>
        <v>quinta-feira</v>
      </c>
      <c r="U2984" s="361">
        <v>43160</v>
      </c>
      <c r="V2984" s="360" t="str">
        <f t="shared" si="100"/>
        <v>quinta-feira</v>
      </c>
    </row>
    <row r="2985" spans="19:22">
      <c r="S2985" s="357">
        <v>44498</v>
      </c>
      <c r="T2985" s="359" t="str">
        <f t="shared" si="99"/>
        <v>sexta-feira</v>
      </c>
      <c r="U2985" s="361">
        <v>43161</v>
      </c>
      <c r="V2985" s="360" t="str">
        <f t="shared" si="100"/>
        <v>sexta-feira</v>
      </c>
    </row>
    <row r="2986" spans="19:22">
      <c r="S2986" s="357">
        <v>44499</v>
      </c>
      <c r="T2986" s="359" t="str">
        <f t="shared" si="99"/>
        <v>sábado</v>
      </c>
      <c r="U2986" s="361">
        <v>43162</v>
      </c>
      <c r="V2986" s="360" t="str">
        <f t="shared" si="100"/>
        <v>sábado</v>
      </c>
    </row>
    <row r="2987" spans="19:22">
      <c r="S2987" s="357">
        <v>44500</v>
      </c>
      <c r="T2987" s="359" t="str">
        <f t="shared" si="99"/>
        <v>domingo</v>
      </c>
      <c r="U2987" s="361">
        <v>43163</v>
      </c>
      <c r="V2987" s="360" t="str">
        <f t="shared" si="100"/>
        <v>domingo</v>
      </c>
    </row>
    <row r="2988" spans="19:22">
      <c r="S2988" s="357">
        <v>44501</v>
      </c>
      <c r="T2988" s="359" t="str">
        <f t="shared" si="99"/>
        <v>segunda-feira</v>
      </c>
      <c r="U2988" s="361">
        <v>43164</v>
      </c>
      <c r="V2988" s="360" t="str">
        <f t="shared" si="100"/>
        <v>segunda-feira</v>
      </c>
    </row>
    <row r="2989" spans="19:22">
      <c r="S2989" s="357">
        <v>44502</v>
      </c>
      <c r="T2989" s="359" t="str">
        <f t="shared" si="99"/>
        <v>terça-feira</v>
      </c>
      <c r="U2989" s="361">
        <v>43165</v>
      </c>
      <c r="V2989" s="360" t="str">
        <f t="shared" si="100"/>
        <v>terça-feira</v>
      </c>
    </row>
    <row r="2990" spans="19:22">
      <c r="S2990" s="357">
        <v>44503</v>
      </c>
      <c r="T2990" s="359" t="str">
        <f t="shared" si="99"/>
        <v>quarta-feira</v>
      </c>
      <c r="U2990" s="361">
        <v>43166</v>
      </c>
      <c r="V2990" s="360" t="str">
        <f t="shared" si="100"/>
        <v>quarta-feira</v>
      </c>
    </row>
    <row r="2991" spans="19:22">
      <c r="S2991" s="357">
        <v>44504</v>
      </c>
      <c r="T2991" s="359" t="str">
        <f t="shared" si="99"/>
        <v>quinta-feira</v>
      </c>
      <c r="U2991" s="361">
        <v>43167</v>
      </c>
      <c r="V2991" s="360" t="str">
        <f t="shared" si="100"/>
        <v>quinta-feira</v>
      </c>
    </row>
    <row r="2992" spans="19:22">
      <c r="S2992" s="357">
        <v>44505</v>
      </c>
      <c r="T2992" s="359" t="str">
        <f t="shared" si="99"/>
        <v>sexta-feira</v>
      </c>
      <c r="U2992" s="361">
        <v>43168</v>
      </c>
      <c r="V2992" s="360" t="str">
        <f t="shared" si="100"/>
        <v>sexta-feira</v>
      </c>
    </row>
    <row r="2993" spans="19:22">
      <c r="S2993" s="357">
        <v>44506</v>
      </c>
      <c r="T2993" s="359" t="str">
        <f t="shared" si="99"/>
        <v>sábado</v>
      </c>
      <c r="U2993" s="361">
        <v>43169</v>
      </c>
      <c r="V2993" s="360" t="str">
        <f t="shared" si="100"/>
        <v>sábado</v>
      </c>
    </row>
    <row r="2994" spans="19:22">
      <c r="S2994" s="357">
        <v>44507</v>
      </c>
      <c r="T2994" s="359" t="str">
        <f t="shared" si="99"/>
        <v>domingo</v>
      </c>
      <c r="U2994" s="361">
        <v>43170</v>
      </c>
      <c r="V2994" s="360" t="str">
        <f t="shared" si="100"/>
        <v>domingo</v>
      </c>
    </row>
    <row r="2995" spans="19:22">
      <c r="S2995" s="357">
        <v>44508</v>
      </c>
      <c r="T2995" s="359" t="str">
        <f t="shared" si="99"/>
        <v>segunda-feira</v>
      </c>
      <c r="U2995" s="361">
        <v>43171</v>
      </c>
      <c r="V2995" s="360" t="str">
        <f t="shared" si="100"/>
        <v>segunda-feira</v>
      </c>
    </row>
    <row r="2996" spans="19:22">
      <c r="S2996" s="357">
        <v>44509</v>
      </c>
      <c r="T2996" s="359" t="str">
        <f t="shared" si="99"/>
        <v>terça-feira</v>
      </c>
      <c r="U2996" s="361">
        <v>43172</v>
      </c>
      <c r="V2996" s="360" t="str">
        <f t="shared" si="100"/>
        <v>terça-feira</v>
      </c>
    </row>
    <row r="2997" spans="19:22">
      <c r="S2997" s="357">
        <v>44510</v>
      </c>
      <c r="T2997" s="359" t="str">
        <f t="shared" si="99"/>
        <v>quarta-feira</v>
      </c>
      <c r="U2997" s="361">
        <v>43173</v>
      </c>
      <c r="V2997" s="360" t="str">
        <f t="shared" si="100"/>
        <v>quarta-feira</v>
      </c>
    </row>
    <row r="2998" spans="19:22">
      <c r="S2998" s="357">
        <v>44511</v>
      </c>
      <c r="T2998" s="359" t="str">
        <f t="shared" si="99"/>
        <v>quinta-feira</v>
      </c>
      <c r="U2998" s="361">
        <v>43174</v>
      </c>
      <c r="V2998" s="360" t="str">
        <f t="shared" si="100"/>
        <v>quinta-feira</v>
      </c>
    </row>
    <row r="2999" spans="19:22">
      <c r="S2999" s="357">
        <v>44512</v>
      </c>
      <c r="T2999" s="359" t="str">
        <f t="shared" ref="T2999:T3015" si="101">TEXT(S2999,"dddd")</f>
        <v>sexta-feira</v>
      </c>
      <c r="U2999" s="361">
        <v>43175</v>
      </c>
      <c r="V2999" s="360" t="str">
        <f t="shared" si="100"/>
        <v>sexta-feira</v>
      </c>
    </row>
    <row r="3000" spans="19:22">
      <c r="S3000" s="357">
        <v>44513</v>
      </c>
      <c r="T3000" s="359" t="str">
        <f t="shared" si="101"/>
        <v>sábado</v>
      </c>
      <c r="U3000" s="361">
        <v>43176</v>
      </c>
      <c r="V3000" s="360" t="str">
        <f t="shared" si="100"/>
        <v>sábado</v>
      </c>
    </row>
    <row r="3001" spans="19:22">
      <c r="S3001" s="357">
        <v>44514</v>
      </c>
      <c r="T3001" s="359" t="str">
        <f t="shared" si="101"/>
        <v>domingo</v>
      </c>
      <c r="U3001" s="361">
        <v>43177</v>
      </c>
      <c r="V3001" s="360" t="str">
        <f t="shared" si="100"/>
        <v>domingo</v>
      </c>
    </row>
    <row r="3002" spans="19:22">
      <c r="S3002" s="357">
        <v>44515</v>
      </c>
      <c r="T3002" s="359" t="str">
        <f t="shared" si="101"/>
        <v>segunda-feira</v>
      </c>
      <c r="U3002" s="361">
        <v>43178</v>
      </c>
      <c r="V3002" s="360" t="str">
        <f t="shared" si="100"/>
        <v>segunda-feira</v>
      </c>
    </row>
    <row r="3003" spans="19:22">
      <c r="S3003" s="357">
        <v>44516</v>
      </c>
      <c r="T3003" s="359" t="str">
        <f t="shared" si="101"/>
        <v>terça-feira</v>
      </c>
      <c r="U3003" s="361">
        <v>43179</v>
      </c>
      <c r="V3003" s="360" t="str">
        <f t="shared" si="100"/>
        <v>terça-feira</v>
      </c>
    </row>
    <row r="3004" spans="19:22">
      <c r="S3004" s="357">
        <v>44517</v>
      </c>
      <c r="T3004" s="359" t="str">
        <f t="shared" si="101"/>
        <v>quarta-feira</v>
      </c>
      <c r="U3004" s="361">
        <v>43180</v>
      </c>
      <c r="V3004" s="360" t="str">
        <f t="shared" si="100"/>
        <v>quarta-feira</v>
      </c>
    </row>
    <row r="3005" spans="19:22">
      <c r="S3005" s="357">
        <v>44518</v>
      </c>
      <c r="T3005" s="359" t="str">
        <f t="shared" si="101"/>
        <v>quinta-feira</v>
      </c>
      <c r="U3005" s="361">
        <v>43181</v>
      </c>
      <c r="V3005" s="360" t="str">
        <f t="shared" si="100"/>
        <v>quinta-feira</v>
      </c>
    </row>
    <row r="3006" spans="19:22">
      <c r="S3006" s="357">
        <v>44519</v>
      </c>
      <c r="T3006" s="359" t="str">
        <f t="shared" si="101"/>
        <v>sexta-feira</v>
      </c>
      <c r="U3006" s="361">
        <v>43182</v>
      </c>
      <c r="V3006" s="360" t="str">
        <f t="shared" si="100"/>
        <v>sexta-feira</v>
      </c>
    </row>
    <row r="3007" spans="19:22">
      <c r="S3007" s="357">
        <v>44520</v>
      </c>
      <c r="T3007" s="359" t="str">
        <f t="shared" si="101"/>
        <v>sábado</v>
      </c>
      <c r="U3007" s="361">
        <v>43183</v>
      </c>
      <c r="V3007" s="360" t="str">
        <f t="shared" si="100"/>
        <v>sábado</v>
      </c>
    </row>
    <row r="3008" spans="19:22">
      <c r="S3008" s="357">
        <v>44521</v>
      </c>
      <c r="T3008" s="359" t="str">
        <f t="shared" si="101"/>
        <v>domingo</v>
      </c>
      <c r="U3008" s="361">
        <v>43184</v>
      </c>
      <c r="V3008" s="360" t="str">
        <f t="shared" si="100"/>
        <v>domingo</v>
      </c>
    </row>
    <row r="3009" spans="19:22">
      <c r="S3009" s="357">
        <v>44522</v>
      </c>
      <c r="T3009" s="359" t="str">
        <f t="shared" si="101"/>
        <v>segunda-feira</v>
      </c>
      <c r="U3009" s="361">
        <v>43185</v>
      </c>
      <c r="V3009" s="360" t="str">
        <f t="shared" si="100"/>
        <v>segunda-feira</v>
      </c>
    </row>
    <row r="3010" spans="19:22">
      <c r="S3010" s="357">
        <v>44523</v>
      </c>
      <c r="T3010" s="359" t="str">
        <f t="shared" si="101"/>
        <v>terça-feira</v>
      </c>
      <c r="U3010" s="361">
        <v>43186</v>
      </c>
      <c r="V3010" s="360" t="str">
        <f t="shared" si="100"/>
        <v>terça-feira</v>
      </c>
    </row>
    <row r="3011" spans="19:22">
      <c r="S3011" s="357">
        <v>44524</v>
      </c>
      <c r="T3011" s="359" t="str">
        <f t="shared" si="101"/>
        <v>quarta-feira</v>
      </c>
      <c r="U3011" s="361">
        <v>43187</v>
      </c>
      <c r="V3011" s="360" t="str">
        <f t="shared" si="100"/>
        <v>quarta-feira</v>
      </c>
    </row>
    <row r="3012" spans="19:22">
      <c r="S3012" s="357">
        <v>44525</v>
      </c>
      <c r="T3012" s="359" t="str">
        <f t="shared" si="101"/>
        <v>quinta-feira</v>
      </c>
      <c r="U3012" s="361">
        <v>43188</v>
      </c>
      <c r="V3012" s="360" t="str">
        <f t="shared" si="100"/>
        <v>quinta-feira</v>
      </c>
    </row>
    <row r="3013" spans="19:22">
      <c r="S3013" s="357">
        <v>44526</v>
      </c>
      <c r="T3013" s="359" t="str">
        <f t="shared" si="101"/>
        <v>sexta-feira</v>
      </c>
      <c r="U3013" s="361">
        <v>43189</v>
      </c>
      <c r="V3013" s="360" t="str">
        <f t="shared" si="100"/>
        <v>sexta-feira</v>
      </c>
    </row>
    <row r="3014" spans="19:22">
      <c r="S3014" s="357">
        <v>44527</v>
      </c>
      <c r="T3014" s="359" t="str">
        <f t="shared" si="101"/>
        <v>sábado</v>
      </c>
      <c r="U3014" s="361">
        <v>43190</v>
      </c>
      <c r="V3014" s="360" t="str">
        <f t="shared" si="100"/>
        <v>sábado</v>
      </c>
    </row>
    <row r="3015" spans="19:22">
      <c r="S3015" s="357">
        <v>44528</v>
      </c>
      <c r="T3015" s="359" t="str">
        <f t="shared" si="101"/>
        <v>domingo</v>
      </c>
      <c r="U3015" s="361">
        <v>43191</v>
      </c>
      <c r="V3015" s="360" t="str">
        <f t="shared" si="100"/>
        <v>domingo</v>
      </c>
    </row>
  </sheetData>
  <sheetProtection password="CEBA" sheet="1"/>
  <mergeCells count="65">
    <mergeCell ref="A19:E19"/>
    <mergeCell ref="W16:X16"/>
    <mergeCell ref="W18:X18"/>
    <mergeCell ref="F23:G23"/>
    <mergeCell ref="F16:H17"/>
    <mergeCell ref="E16:E17"/>
    <mergeCell ref="A16:D17"/>
    <mergeCell ref="O18:P18"/>
    <mergeCell ref="F18:I18"/>
    <mergeCell ref="A18:D18"/>
    <mergeCell ref="A22:E22"/>
    <mergeCell ref="A20:E20"/>
    <mergeCell ref="A21:E21"/>
    <mergeCell ref="W10:X10"/>
    <mergeCell ref="W12:X12"/>
    <mergeCell ref="W13:X13"/>
    <mergeCell ref="W15:X15"/>
    <mergeCell ref="A31:E31"/>
    <mergeCell ref="F31:G31"/>
    <mergeCell ref="H29:I32"/>
    <mergeCell ref="A29:E29"/>
    <mergeCell ref="F29:G29"/>
    <mergeCell ref="A23:E23"/>
    <mergeCell ref="F32:G32"/>
    <mergeCell ref="A30:E30"/>
    <mergeCell ref="F30:G30"/>
    <mergeCell ref="A28:I28"/>
    <mergeCell ref="A25:E25"/>
    <mergeCell ref="F24:G24"/>
    <mergeCell ref="A24:E24"/>
    <mergeCell ref="A26:E26"/>
    <mergeCell ref="A27:E27"/>
    <mergeCell ref="F26:G26"/>
    <mergeCell ref="F27:G27"/>
    <mergeCell ref="K7:N7"/>
    <mergeCell ref="F19:G19"/>
    <mergeCell ref="F20:G20"/>
    <mergeCell ref="F21:G21"/>
    <mergeCell ref="F22:G22"/>
    <mergeCell ref="K18:L18"/>
    <mergeCell ref="M18:N18"/>
    <mergeCell ref="C2:I2"/>
    <mergeCell ref="A8:D8"/>
    <mergeCell ref="A7:D7"/>
    <mergeCell ref="A6:D6"/>
    <mergeCell ref="F6:H6"/>
    <mergeCell ref="A3:F3"/>
    <mergeCell ref="A4:F4"/>
    <mergeCell ref="G7:I7"/>
    <mergeCell ref="A32:B32"/>
    <mergeCell ref="C32:E32"/>
    <mergeCell ref="G5:H5"/>
    <mergeCell ref="A10:D10"/>
    <mergeCell ref="A9:D9"/>
    <mergeCell ref="F10:H10"/>
    <mergeCell ref="F11:H12"/>
    <mergeCell ref="F8:H8"/>
    <mergeCell ref="E13:E14"/>
    <mergeCell ref="F13:H14"/>
    <mergeCell ref="E11:E12"/>
    <mergeCell ref="A11:D12"/>
    <mergeCell ref="A13:D14"/>
    <mergeCell ref="F15:I15"/>
    <mergeCell ref="A15:D15"/>
    <mergeCell ref="F25:G25"/>
  </mergeCells>
  <phoneticPr fontId="36" type="noConversion"/>
  <conditionalFormatting sqref="F30:G31 F23:G24 F26:G26">
    <cfRule type="cellIs" dxfId="3" priority="4" stopIfTrue="1" operator="greaterThan">
      <formula>0</formula>
    </cfRule>
  </conditionalFormatting>
  <conditionalFormatting sqref="F29:G31">
    <cfRule type="cellIs" dxfId="2" priority="1" stopIfTrue="1" operator="greaterThan">
      <formula>0.5</formula>
    </cfRule>
  </conditionalFormatting>
  <dataValidations xWindow="778" yWindow="281" count="8">
    <dataValidation type="date" operator="lessThanOrEqual" allowBlank="1" showInputMessage="1" showErrorMessage="1" errorTitle="ÚLTIMO DIA PARA COMUNICAR FÉRIAS" error="DATA DEVE SER MENOR OU IGUAL A DATA DA CÉLULA ( I12)" promptTitle="Data comunicação das férias" prompt="formato dd/mm/aaaa_x000a__x000a_A data deverá ser igual ou menor que a data da célula (I12)_x000a__x000a_Para limpar a data use a tecla &quot;DELETE&quot;" sqref="E11:E12">
      <formula1>I12</formula1>
    </dataValidation>
    <dataValidation type="date" operator="lessThanOrEqual" allowBlank="1" showInputMessage="1" showErrorMessage="1" errorTitle="ÚLTIMO DIA SOLIC.AB. PECUNIÁRIO" error="DATA DEVER SER MENOR OU IGUAL  A DATA DA CÉLULA (I17)" promptTitle="Data Pagamento das férias" prompt="formato dd/mm/aaaa _x000a__x000a_A data deverá ser igual ou menor que a data da célula (I17)_x000a__x000a_Para limpar a data use a tecla &quot;DELETE&quot;" sqref="E16:E17">
      <formula1>I17</formula1>
    </dataValidation>
    <dataValidation type="date" operator="lessThanOrEqual" allowBlank="1" showInputMessage="1" showErrorMessage="1" errorTitle="ÚLTIMO DIA P/ PAGAMENTO (FÉRIAS)" error="DATA DEVE SER MENOR OU IGUAL  A DATA DA CÉLULA (I14)" promptTitle="Data Pagamento das férias" prompt="formato dd/mm/aaaa_x000a__x000a_A data deverá ser igual ou menor que a data da  célula (I14)_x000a__x000a_Para limpar  a data use a tecla &quot;DELETE&quot;" sqref="E13:E14">
      <formula1>I14</formula1>
    </dataValidation>
    <dataValidation type="date" errorStyle="information" operator="lessThan" allowBlank="1" showInputMessage="1" showErrorMessage="1" errorTitle="FÉRIAS EM DOBRO" error="FUNCIONÁRIO COM DIREITO A FÉRIAS EM DOBRO!_x000a_LANÇAR O VALOR DAS FÉRIAS EM DOBRO NA CÉLULA F24 DESTA PLANILHA._x000a_" promptTitle="DATA DE INÍCIO DAS FÉRIAS" prompt="Formato dd/mm/aaaa_x000a__x000a_Para limpar a data use sempre a tecla  &quot;DELETE&quot;_x000a_" sqref="E10">
      <formula1>K10</formula1>
    </dataValidation>
    <dataValidation type="custom" allowBlank="1" showInputMessage="1" showErrorMessage="1" sqref="G3:G4">
      <formula1>""" """</formula1>
    </dataValidation>
    <dataValidation type="whole" allowBlank="1" showInputMessage="1" showErrorMessage="1" sqref="E8:E9">
      <formula1>0</formula1>
      <formula2>30</formula2>
    </dataValidation>
    <dataValidation type="list" allowBlank="1" showInputMessage="1" showErrorMessage="1" promptTitle="FORMATO DA CÉLULA" prompt="PREENCHIMENTO NO SEGUINTE FORMATO_x000a__x000a_DD/MM/AAA" sqref="E18">
      <formula1>$S$2:$S$157</formula1>
    </dataValidation>
    <dataValidation type="date" operator="greaterThan" allowBlank="1" showInputMessage="1" showErrorMessage="1" errorTitle="INFORME DATA MAIOR QUE" error="Este ano não é bissexto" promptTitle="ENTRE COM O PERÍODO AQUISITIVO" prompt="Informe a data no seguinte formato_x000a__x000a_dd/mm/aaaa  " sqref="E7">
      <formula1>37622</formula1>
    </dataValidation>
  </dataValidations>
  <pageMargins left="0.78740157480314965" right="0.78740157480314965" top="0.98425196850393704" bottom="0.98425196850393704" header="0.51181102362204722" footer="0.51181102362204722"/>
  <pageSetup paperSize="9" scale="80" orientation="portrait" blackAndWhite="1" horizontalDpi="4294967294"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sheetPr codeName="Plan4"/>
  <dimension ref="A1:BO469"/>
  <sheetViews>
    <sheetView zoomScale="75" zoomScaleNormal="100" zoomScaleSheetLayoutView="100" workbookViewId="0">
      <pane xSplit="26" ySplit="3" topLeftCell="AA22" activePane="bottomRight" state="frozen"/>
      <selection pane="topRight" activeCell="AA1" sqref="AA1"/>
      <selection pane="bottomLeft" activeCell="A4" sqref="A4"/>
      <selection pane="bottomRight" activeCell="V14" sqref="V14:X14"/>
    </sheetView>
  </sheetViews>
  <sheetFormatPr defaultRowHeight="12.75"/>
  <cols>
    <col min="1" max="1" width="1.28515625" style="38" customWidth="1"/>
    <col min="2" max="2" width="1.140625" style="1" customWidth="1"/>
    <col min="3" max="3" width="4.7109375" style="1" customWidth="1"/>
    <col min="4" max="4" width="3.7109375" style="1" customWidth="1"/>
    <col min="5" max="5" width="5.140625" style="1" customWidth="1"/>
    <col min="6" max="6" width="14.140625" style="1" customWidth="1"/>
    <col min="7" max="9" width="5.7109375" style="1" customWidth="1"/>
    <col min="10" max="10" width="2" style="1" customWidth="1"/>
    <col min="11" max="11" width="14.42578125" style="1" customWidth="1"/>
    <col min="12" max="12" width="3.7109375" style="1" customWidth="1"/>
    <col min="13" max="13" width="8.85546875" style="1" customWidth="1"/>
    <col min="14" max="14" width="3.7109375" style="1" customWidth="1"/>
    <col min="15" max="15" width="1.7109375" style="1" customWidth="1"/>
    <col min="16" max="16" width="12.7109375" style="1" customWidth="1"/>
    <col min="17" max="17" width="1.7109375" style="1" customWidth="1"/>
    <col min="18" max="18" width="6.7109375" style="1" customWidth="1"/>
    <col min="19" max="19" width="6.42578125" style="1" customWidth="1"/>
    <col min="20" max="20" width="3.7109375" style="1" customWidth="1"/>
    <col min="21" max="21" width="1.7109375" style="1" customWidth="1"/>
    <col min="22" max="22" width="12.7109375" style="1" customWidth="1"/>
    <col min="23" max="23" width="1.7109375" style="1" customWidth="1"/>
    <col min="24" max="24" width="6.42578125" style="1" customWidth="1"/>
    <col min="25" max="25" width="1.140625" style="1" customWidth="1"/>
    <col min="26" max="26" width="4.140625" style="1" customWidth="1"/>
    <col min="27" max="16384" width="9.140625" style="122"/>
  </cols>
  <sheetData>
    <row r="1" spans="1:67" ht="23.25" customHeight="1" thickBot="1">
      <c r="A1" s="39"/>
      <c r="B1" s="40"/>
      <c r="C1" s="40"/>
      <c r="D1" s="40"/>
      <c r="E1" s="40"/>
      <c r="F1" s="40"/>
      <c r="G1" s="40"/>
      <c r="H1" s="40"/>
      <c r="I1" s="40"/>
      <c r="J1" s="40"/>
      <c r="K1" s="40"/>
      <c r="L1" s="40"/>
      <c r="M1" s="40"/>
      <c r="N1" s="40"/>
      <c r="O1" s="40"/>
      <c r="P1" s="40"/>
      <c r="Q1" s="40"/>
      <c r="R1" s="40"/>
      <c r="S1" s="40"/>
      <c r="T1" s="40"/>
      <c r="U1" s="40"/>
      <c r="V1" s="40"/>
      <c r="W1" s="40"/>
      <c r="X1" s="40"/>
      <c r="Y1" s="40"/>
      <c r="Z1" s="4"/>
    </row>
    <row r="2" spans="1:67" ht="24" customHeight="1" thickTop="1">
      <c r="A2" s="41"/>
      <c r="B2" s="335"/>
      <c r="C2" s="1076" t="s">
        <v>256</v>
      </c>
      <c r="D2" s="1077"/>
      <c r="E2" s="1077"/>
      <c r="F2" s="1077"/>
      <c r="G2" s="1077"/>
      <c r="H2" s="1077"/>
      <c r="I2" s="1077"/>
      <c r="J2" s="1077"/>
      <c r="K2" s="1077"/>
      <c r="L2" s="1077"/>
      <c r="M2" s="1077"/>
      <c r="N2" s="1077"/>
      <c r="O2" s="1077"/>
      <c r="P2" s="1077"/>
      <c r="Q2" s="1077"/>
      <c r="R2" s="1077"/>
      <c r="S2" s="1077"/>
      <c r="T2" s="1077"/>
      <c r="U2" s="1077"/>
      <c r="V2" s="1077"/>
      <c r="W2" s="1077"/>
      <c r="X2" s="1077"/>
      <c r="Y2" s="336"/>
      <c r="Z2" s="44"/>
    </row>
    <row r="3" spans="1:67" ht="24" customHeight="1">
      <c r="A3" s="41"/>
      <c r="B3" s="337"/>
      <c r="C3" s="1078"/>
      <c r="D3" s="1078"/>
      <c r="E3" s="1078"/>
      <c r="F3" s="1078"/>
      <c r="G3" s="1078"/>
      <c r="H3" s="1078"/>
      <c r="I3" s="1078"/>
      <c r="J3" s="1078"/>
      <c r="K3" s="1078"/>
      <c r="L3" s="1078"/>
      <c r="M3" s="1078"/>
      <c r="N3" s="1078"/>
      <c r="O3" s="1078"/>
      <c r="P3" s="1078"/>
      <c r="Q3" s="1078"/>
      <c r="R3" s="1078"/>
      <c r="S3" s="1078"/>
      <c r="T3" s="1078"/>
      <c r="U3" s="1078"/>
      <c r="V3" s="1078"/>
      <c r="W3" s="1078"/>
      <c r="X3" s="1078"/>
      <c r="Y3" s="338"/>
      <c r="Z3" s="44"/>
      <c r="AA3" s="123"/>
      <c r="AB3" s="123"/>
      <c r="AC3" s="123"/>
      <c r="AD3" s="123"/>
      <c r="AE3" s="123"/>
      <c r="AF3" s="123"/>
      <c r="AG3" s="123"/>
      <c r="AH3" s="123"/>
      <c r="AI3" s="123"/>
      <c r="AJ3" s="123"/>
      <c r="AK3" s="123"/>
      <c r="AL3" s="123"/>
      <c r="AM3" s="123"/>
      <c r="AN3" s="123"/>
      <c r="AO3" s="123"/>
      <c r="AP3" s="123"/>
      <c r="AQ3" s="123"/>
      <c r="AR3" s="123"/>
      <c r="AS3" s="123"/>
      <c r="AT3" s="123"/>
      <c r="AU3" s="123"/>
      <c r="AV3" s="123"/>
      <c r="AW3" s="123"/>
      <c r="AX3" s="123"/>
      <c r="AY3" s="123"/>
      <c r="AZ3" s="123"/>
      <c r="BA3" s="123"/>
      <c r="BB3" s="123"/>
      <c r="BC3" s="123"/>
      <c r="BD3" s="123"/>
      <c r="BE3" s="123"/>
      <c r="BF3" s="123"/>
      <c r="BG3" s="123"/>
      <c r="BH3" s="123"/>
      <c r="BI3" s="123"/>
      <c r="BJ3" s="123"/>
      <c r="BK3" s="123"/>
      <c r="BL3" s="123"/>
      <c r="BM3" s="123"/>
      <c r="BN3" s="123"/>
      <c r="BO3" s="123"/>
    </row>
    <row r="4" spans="1:67" ht="15" customHeight="1">
      <c r="A4" s="41"/>
      <c r="B4" s="42"/>
      <c r="C4" s="201"/>
      <c r="D4" s="201"/>
      <c r="E4" s="201"/>
      <c r="F4" s="201"/>
      <c r="G4" s="24"/>
      <c r="H4" s="4"/>
      <c r="I4" s="4"/>
      <c r="J4" s="4"/>
      <c r="K4" s="4"/>
      <c r="L4" s="4"/>
      <c r="M4" s="4"/>
      <c r="N4" s="4"/>
      <c r="O4" s="4"/>
      <c r="P4" s="4"/>
      <c r="Q4" s="4"/>
      <c r="R4" s="4"/>
      <c r="S4" s="4"/>
      <c r="T4" s="4"/>
      <c r="U4" s="4"/>
      <c r="V4" s="4"/>
      <c r="W4" s="4"/>
      <c r="X4" s="42"/>
      <c r="Y4" s="47"/>
      <c r="Z4" s="44"/>
      <c r="AA4" s="123"/>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3"/>
      <c r="AZ4" s="123"/>
      <c r="BA4" s="123"/>
      <c r="BB4" s="123"/>
      <c r="BC4" s="123"/>
      <c r="BD4" s="123"/>
      <c r="BE4" s="123"/>
      <c r="BF4" s="123"/>
      <c r="BG4" s="123"/>
      <c r="BH4" s="123"/>
      <c r="BI4" s="123"/>
      <c r="BJ4" s="123"/>
      <c r="BK4" s="123"/>
      <c r="BL4" s="123"/>
      <c r="BM4" s="123"/>
      <c r="BN4" s="123"/>
      <c r="BO4" s="123"/>
    </row>
    <row r="5" spans="1:67" ht="15" customHeight="1">
      <c r="A5" s="41"/>
      <c r="B5" s="62"/>
      <c r="C5" s="60" t="s">
        <v>257</v>
      </c>
      <c r="D5" s="115"/>
      <c r="E5" s="115"/>
      <c r="F5" s="1081" t="str">
        <f>VLOOKUP(DADOS!G4,EMP!3:4500,2)</f>
        <v>Disk Automoveis Ltda</v>
      </c>
      <c r="G5" s="1081"/>
      <c r="H5" s="1081"/>
      <c r="I5" s="1081"/>
      <c r="J5" s="1081"/>
      <c r="K5" s="1081"/>
      <c r="L5" s="1081"/>
      <c r="M5" s="1081"/>
      <c r="N5" s="1081"/>
      <c r="O5" s="1081"/>
      <c r="P5" s="1081"/>
      <c r="Q5" s="116" t="s">
        <v>258</v>
      </c>
      <c r="R5" s="62"/>
      <c r="S5" s="1084">
        <f>VLOOKUP(DADOS!G4,EMP!2:4500,15)</f>
        <v>55683486000100</v>
      </c>
      <c r="T5" s="1084"/>
      <c r="U5" s="1084"/>
      <c r="V5" s="1084"/>
      <c r="W5" s="1084"/>
      <c r="X5" s="1084"/>
      <c r="Y5" s="62"/>
      <c r="Z5" s="117"/>
    </row>
    <row r="6" spans="1:67" ht="15" customHeight="1">
      <c r="A6" s="41"/>
      <c r="B6" s="62"/>
      <c r="C6" s="62"/>
      <c r="D6" s="62"/>
      <c r="E6" s="62"/>
      <c r="F6" s="62"/>
      <c r="G6" s="24"/>
      <c r="H6" s="24"/>
      <c r="I6" s="24"/>
      <c r="J6" s="24"/>
      <c r="K6" s="24"/>
      <c r="L6" s="24"/>
      <c r="M6" s="24"/>
      <c r="N6" s="24"/>
      <c r="O6" s="24"/>
      <c r="P6" s="24"/>
      <c r="Q6" s="24"/>
      <c r="R6" s="24"/>
      <c r="S6" s="24"/>
      <c r="T6" s="24"/>
      <c r="U6" s="24"/>
      <c r="V6" s="24"/>
      <c r="W6" s="24"/>
      <c r="X6" s="62"/>
      <c r="Y6" s="62"/>
      <c r="Z6" s="117"/>
    </row>
    <row r="7" spans="1:67" ht="15" customHeight="1">
      <c r="A7" s="41"/>
      <c r="B7" s="62"/>
      <c r="C7" s="60" t="s">
        <v>259</v>
      </c>
      <c r="D7" s="115"/>
      <c r="E7" s="115"/>
      <c r="F7" s="1081" t="str">
        <f>VLOOKUP(DADOS!G4,EMP!3:4500,3)</f>
        <v>Rua da Pedras</v>
      </c>
      <c r="G7" s="1082"/>
      <c r="H7" s="1082"/>
      <c r="I7" s="1082"/>
      <c r="J7" s="1082"/>
      <c r="K7" s="1082"/>
      <c r="L7" s="1082"/>
      <c r="M7" s="1082"/>
      <c r="N7" s="118" t="s">
        <v>260</v>
      </c>
      <c r="O7" s="1083">
        <f>VLOOKUP(DADOS!G4,EMP!2:4500,4)</f>
        <v>10</v>
      </c>
      <c r="P7" s="1081"/>
      <c r="Q7" s="119" t="s">
        <v>261</v>
      </c>
      <c r="R7" s="62"/>
      <c r="S7" s="1081" t="str">
        <f>VLOOKUP(DADOS!G4,EMP!2:4500,7)</f>
        <v>Pres.Prudente</v>
      </c>
      <c r="T7" s="1081"/>
      <c r="U7" s="1081"/>
      <c r="V7" s="1081"/>
      <c r="W7" s="1081"/>
      <c r="X7" s="1081"/>
      <c r="Y7" s="62"/>
      <c r="Z7" s="117"/>
    </row>
    <row r="8" spans="1:67" ht="15" customHeight="1">
      <c r="A8" s="41"/>
      <c r="B8" s="120"/>
      <c r="C8" s="120"/>
      <c r="D8" s="120"/>
      <c r="E8" s="120"/>
      <c r="F8" s="120"/>
      <c r="G8" s="120"/>
      <c r="H8" s="120"/>
      <c r="I8" s="120"/>
      <c r="J8" s="120"/>
      <c r="K8" s="120"/>
      <c r="L8" s="120"/>
      <c r="M8" s="120"/>
      <c r="N8" s="120"/>
      <c r="O8" s="120"/>
      <c r="P8" s="120"/>
      <c r="Q8" s="120"/>
      <c r="R8" s="120"/>
      <c r="S8" s="120"/>
      <c r="T8" s="120"/>
      <c r="U8" s="120"/>
      <c r="V8" s="120"/>
      <c r="W8" s="120"/>
      <c r="X8" s="120"/>
      <c r="Y8" s="120"/>
      <c r="Z8" s="117"/>
    </row>
    <row r="9" spans="1:67" ht="15" customHeight="1">
      <c r="A9" s="41"/>
      <c r="B9" s="47"/>
      <c r="C9" s="201"/>
      <c r="D9" s="202"/>
      <c r="E9" s="202"/>
      <c r="F9" s="202"/>
      <c r="G9" s="24"/>
      <c r="H9" s="4"/>
      <c r="I9" s="4"/>
      <c r="J9" s="4"/>
      <c r="K9" s="4"/>
      <c r="L9" s="4"/>
      <c r="M9" s="4"/>
      <c r="N9" s="4"/>
      <c r="O9" s="4"/>
      <c r="P9" s="4"/>
      <c r="Q9" s="4"/>
      <c r="R9" s="4"/>
      <c r="S9" s="4"/>
      <c r="T9" s="4"/>
      <c r="U9" s="4"/>
      <c r="V9" s="4"/>
      <c r="W9" s="4"/>
      <c r="X9" s="47"/>
      <c r="Y9" s="42"/>
      <c r="Z9" s="44"/>
    </row>
    <row r="10" spans="1:67" ht="15" customHeight="1">
      <c r="A10" s="41"/>
      <c r="B10" s="42"/>
      <c r="C10" s="121" t="s">
        <v>262</v>
      </c>
      <c r="D10" s="61"/>
      <c r="E10" s="61"/>
      <c r="F10" s="61"/>
      <c r="G10" s="1081" t="str">
        <f>VLOOKUP(DADOS!G3,FUNC!4:7209,2)</f>
        <v>ANGELO</v>
      </c>
      <c r="H10" s="1081" t="str">
        <f>VLOOKUP(H7,FUNC!1:7209,36)</f>
        <v>NACIONALIDADE DA MÃE</v>
      </c>
      <c r="I10" s="1081" t="str">
        <f>VLOOKUP(I7,FUNC!1:7209,36)</f>
        <v>NACIONALIDADE DA MÃE</v>
      </c>
      <c r="J10" s="1081" t="str">
        <f>VLOOKUP(J7,FUNC!1:7209,36)</f>
        <v>NACIONALIDADE DA MÃE</v>
      </c>
      <c r="K10" s="1081" t="str">
        <f>VLOOKUP(K7,FUNC!1:7209,36)</f>
        <v>NACIONALIDADE DA MÃE</v>
      </c>
      <c r="L10" s="1081" t="str">
        <f>VLOOKUP(L7,FUNC!1:7209,36)</f>
        <v>NACIONALIDADE DA MÃE</v>
      </c>
      <c r="M10" s="1081" t="str">
        <f>VLOOKUP(M7,FUNC!1:7209,36)</f>
        <v>NACIONALIDADE DA MÃE</v>
      </c>
      <c r="N10" s="1081" t="e">
        <f>VLOOKUP(N7,FUNC!1:7209,36)</f>
        <v>#N/A</v>
      </c>
      <c r="O10" s="1081">
        <f>VLOOKUP(O7,FUNC!1:7209,36)</f>
        <v>0</v>
      </c>
      <c r="P10" s="1081" t="str">
        <f>VLOOKUP(P7,FUNC!1:7209,36)</f>
        <v>NACIONALIDADE DA MÃE</v>
      </c>
      <c r="Q10" s="1081" t="e">
        <f>VLOOKUP(Q7,FUNC!1:7209,36)</f>
        <v>#N/A</v>
      </c>
      <c r="R10" s="1081" t="str">
        <f>VLOOKUP(R7,FUNC!1:7209,36)</f>
        <v>NACIONALIDADE DA MÃE</v>
      </c>
      <c r="S10" s="1081" t="e">
        <f>VLOOKUP(S7,FUNC!1:7209,36)</f>
        <v>#N/A</v>
      </c>
      <c r="T10" s="1081" t="str">
        <f>VLOOKUP(T7,FUNC!1:7209,36)</f>
        <v>NACIONALIDADE DA MÃE</v>
      </c>
      <c r="U10" s="1081" t="str">
        <f>VLOOKUP(U7,FUNC!1:7209,36)</f>
        <v>NACIONALIDADE DA MÃE</v>
      </c>
      <c r="V10" s="1081" t="str">
        <f>VLOOKUP(V7,FUNC!1:7209,36)</f>
        <v>NACIONALIDADE DA MÃE</v>
      </c>
      <c r="W10" s="1081" t="str">
        <f>VLOOKUP(W7,FUNC!1:7209,36)</f>
        <v>NACIONALIDADE DA MÃE</v>
      </c>
      <c r="X10" s="1081" t="str">
        <f>VLOOKUP(X7,FUNC!1:7209,36)</f>
        <v>NACIONALIDADE DA MÃE</v>
      </c>
      <c r="Y10" s="42"/>
      <c r="Z10" s="44"/>
    </row>
    <row r="11" spans="1:67" ht="15" customHeight="1">
      <c r="A11" s="41"/>
      <c r="B11" s="42"/>
      <c r="C11" s="24"/>
      <c r="D11" s="24"/>
      <c r="E11" s="24"/>
      <c r="F11" s="24"/>
      <c r="G11" s="24"/>
      <c r="H11" s="24"/>
      <c r="I11" s="24"/>
      <c r="J11" s="24"/>
      <c r="K11" s="24"/>
      <c r="L11" s="24"/>
      <c r="M11" s="24"/>
      <c r="N11" s="24"/>
      <c r="O11" s="24"/>
      <c r="P11" s="24"/>
      <c r="Q11" s="24"/>
      <c r="R11" s="24"/>
      <c r="S11" s="24"/>
      <c r="T11" s="24"/>
      <c r="U11" s="24"/>
      <c r="V11" s="24"/>
      <c r="W11" s="24"/>
      <c r="X11" s="62"/>
      <c r="Y11" s="42"/>
      <c r="Z11" s="44"/>
    </row>
    <row r="12" spans="1:67" ht="15" customHeight="1">
      <c r="A12" s="41"/>
      <c r="B12" s="42"/>
      <c r="C12" s="121" t="s">
        <v>263</v>
      </c>
      <c r="D12" s="61"/>
      <c r="E12" s="61"/>
      <c r="F12" s="61"/>
      <c r="G12" s="1085">
        <f>VLOOKUP(DADOS!G3,FUNC!4:7211,40)</f>
        <v>55563</v>
      </c>
      <c r="H12" s="1085"/>
      <c r="I12" s="1085"/>
      <c r="J12" s="1085"/>
      <c r="K12" s="1085"/>
      <c r="L12" s="1085"/>
      <c r="M12" s="1085"/>
      <c r="N12" s="1085"/>
      <c r="O12" s="1085"/>
      <c r="P12" s="1085"/>
      <c r="Q12" s="121" t="s">
        <v>264</v>
      </c>
      <c r="R12" s="24"/>
      <c r="S12" s="1081" t="str">
        <f>VLOOKUP(DADOS!G3,FUNC!4:156,41)</f>
        <v>00038/sp</v>
      </c>
      <c r="T12" s="1081"/>
      <c r="U12" s="1081"/>
      <c r="V12" s="1081"/>
      <c r="W12" s="1081"/>
      <c r="X12" s="1081"/>
      <c r="Y12" s="42"/>
      <c r="Z12" s="44"/>
    </row>
    <row r="13" spans="1:67" ht="15" customHeight="1">
      <c r="A13" s="41"/>
      <c r="B13" s="42"/>
      <c r="C13" s="24"/>
      <c r="D13" s="24"/>
      <c r="E13" s="24"/>
      <c r="F13" s="24"/>
      <c r="G13" s="24"/>
      <c r="H13" s="24"/>
      <c r="I13" s="24"/>
      <c r="J13" s="24"/>
      <c r="K13" s="24"/>
      <c r="L13" s="24"/>
      <c r="M13" s="24"/>
      <c r="N13" s="24"/>
      <c r="O13" s="24"/>
      <c r="P13" s="24"/>
      <c r="Q13" s="24"/>
      <c r="R13" s="24"/>
      <c r="S13" s="24"/>
      <c r="T13" s="24"/>
      <c r="U13" s="24"/>
      <c r="V13" s="24"/>
      <c r="W13" s="24"/>
      <c r="X13" s="62"/>
      <c r="Y13" s="42"/>
      <c r="Z13" s="44"/>
    </row>
    <row r="14" spans="1:67" ht="15" customHeight="1">
      <c r="A14" s="41"/>
      <c r="B14" s="42"/>
      <c r="C14" s="50" t="s">
        <v>265</v>
      </c>
      <c r="D14" s="51"/>
      <c r="E14" s="51"/>
      <c r="F14" s="52"/>
      <c r="G14" s="1087" t="str">
        <f>VLOOKUP(DADOS!G3,FUNC!3:156,87)</f>
        <v>adm</v>
      </c>
      <c r="H14" s="1087"/>
      <c r="I14" s="1087"/>
      <c r="J14" s="1087"/>
      <c r="K14" s="1087"/>
      <c r="L14" s="4"/>
      <c r="M14" s="50" t="s">
        <v>266</v>
      </c>
      <c r="N14" s="4"/>
      <c r="O14" s="1087" t="str">
        <f>VLOOKUP(DADOS!G3,FUNC!3:156,88)</f>
        <v>contabil</v>
      </c>
      <c r="P14" s="1087"/>
      <c r="Q14" s="1087"/>
      <c r="R14" s="1087"/>
      <c r="S14" s="51" t="s">
        <v>267</v>
      </c>
      <c r="T14" s="4"/>
      <c r="U14" s="4"/>
      <c r="V14" s="1086"/>
      <c r="W14" s="1086"/>
      <c r="X14" s="1086"/>
      <c r="Y14" s="42"/>
      <c r="Z14" s="44"/>
    </row>
    <row r="15" spans="1:67" ht="15" customHeight="1">
      <c r="A15" s="41"/>
      <c r="B15" s="45"/>
      <c r="C15" s="45"/>
      <c r="D15" s="45"/>
      <c r="E15" s="45"/>
      <c r="F15" s="45"/>
      <c r="G15" s="45"/>
      <c r="H15" s="45"/>
      <c r="I15" s="45"/>
      <c r="J15" s="45"/>
      <c r="K15" s="45"/>
      <c r="L15" s="45"/>
      <c r="M15" s="45"/>
      <c r="N15" s="45"/>
      <c r="O15" s="45"/>
      <c r="P15" s="45"/>
      <c r="Q15" s="45"/>
      <c r="R15" s="45"/>
      <c r="S15" s="45"/>
      <c r="T15" s="45"/>
      <c r="U15" s="45"/>
      <c r="V15" s="45"/>
      <c r="W15" s="45"/>
      <c r="X15" s="45"/>
      <c r="Y15" s="45"/>
      <c r="Z15" s="44"/>
    </row>
    <row r="16" spans="1:67" ht="15" customHeight="1">
      <c r="A16" s="41"/>
      <c r="B16" s="42"/>
      <c r="C16" s="42"/>
      <c r="D16" s="42"/>
      <c r="E16" s="42"/>
      <c r="F16" s="42"/>
      <c r="G16" s="4"/>
      <c r="H16" s="4"/>
      <c r="I16" s="4"/>
      <c r="J16" s="4"/>
      <c r="K16" s="4"/>
      <c r="L16" s="4"/>
      <c r="M16" s="4"/>
      <c r="N16" s="4"/>
      <c r="O16" s="4"/>
      <c r="P16" s="4"/>
      <c r="Q16" s="4"/>
      <c r="R16" s="4"/>
      <c r="S16" s="4"/>
      <c r="T16" s="4"/>
      <c r="U16" s="4"/>
      <c r="V16" s="4"/>
      <c r="W16" s="4"/>
      <c r="X16" s="47"/>
      <c r="Y16" s="42"/>
      <c r="Z16" s="44"/>
    </row>
    <row r="17" spans="1:27" ht="15" customHeight="1">
      <c r="A17" s="41"/>
      <c r="B17" s="42"/>
      <c r="C17" s="50" t="s">
        <v>268</v>
      </c>
      <c r="D17" s="42"/>
      <c r="E17" s="42"/>
      <c r="F17" s="42"/>
      <c r="G17" s="4"/>
      <c r="H17" s="4"/>
      <c r="I17" s="4"/>
      <c r="J17" s="51"/>
      <c r="K17" s="51"/>
      <c r="L17" s="51"/>
      <c r="M17" s="51"/>
      <c r="N17" s="1088">
        <f>IF(DADOS!$E$10=0," ",IF(DADOS!$E$10&gt;0,DADOS!$E$10))</f>
        <v>41731</v>
      </c>
      <c r="O17" s="1088"/>
      <c r="P17" s="1088"/>
      <c r="Q17" s="1088"/>
      <c r="R17" s="1088"/>
      <c r="S17" s="53" t="s">
        <v>269</v>
      </c>
      <c r="T17" s="1074">
        <f>DADOS!I10</f>
        <v>41760</v>
      </c>
      <c r="U17" s="1074"/>
      <c r="V17" s="1074"/>
      <c r="W17" s="1074"/>
      <c r="X17" s="1074"/>
      <c r="Y17" s="54"/>
      <c r="Z17" s="44"/>
    </row>
    <row r="18" spans="1:27" ht="15" customHeight="1">
      <c r="A18" s="41"/>
      <c r="B18" s="42"/>
      <c r="C18" s="42"/>
      <c r="D18" s="42"/>
      <c r="E18" s="42"/>
      <c r="F18" s="42"/>
      <c r="G18" s="4"/>
      <c r="H18" s="4"/>
      <c r="I18" s="4"/>
      <c r="J18" s="4"/>
      <c r="K18" s="4"/>
      <c r="L18" s="4"/>
      <c r="M18" s="4"/>
      <c r="N18" s="4"/>
      <c r="O18" s="55"/>
      <c r="P18" s="4"/>
      <c r="Q18" s="4"/>
      <c r="R18" s="43"/>
      <c r="S18" s="56"/>
      <c r="T18" s="54"/>
      <c r="U18" s="51"/>
      <c r="V18" s="51"/>
      <c r="W18" s="51"/>
      <c r="X18" s="54"/>
      <c r="Y18" s="54"/>
      <c r="Z18" s="44"/>
    </row>
    <row r="19" spans="1:27" ht="15" customHeight="1">
      <c r="A19" s="41"/>
      <c r="B19" s="42"/>
      <c r="C19" s="1079" t="s">
        <v>270</v>
      </c>
      <c r="D19" s="1080"/>
      <c r="E19" s="1080"/>
      <c r="F19" s="1080"/>
      <c r="G19" s="1080"/>
      <c r="H19" s="1080"/>
      <c r="I19" s="1080"/>
      <c r="J19" s="1080"/>
      <c r="K19" s="1080"/>
      <c r="L19" s="1080"/>
      <c r="M19" s="1080"/>
      <c r="N19" s="1074">
        <f>IF(DADOS!$E$7=0," ",IF(DADOS!$E$7&gt;0,DADOS!$E$7))</f>
        <v>41288</v>
      </c>
      <c r="O19" s="1074"/>
      <c r="P19" s="1074"/>
      <c r="Q19" s="1074"/>
      <c r="R19" s="1074"/>
      <c r="S19" s="53" t="s">
        <v>269</v>
      </c>
      <c r="T19" s="1074">
        <f>DADOS!F7</f>
        <v>41652</v>
      </c>
      <c r="U19" s="1074"/>
      <c r="V19" s="1074"/>
      <c r="W19" s="1074"/>
      <c r="X19" s="1074"/>
      <c r="Y19" s="54"/>
      <c r="Z19" s="44"/>
    </row>
    <row r="20" spans="1:27" ht="15" customHeight="1">
      <c r="A20" s="41"/>
      <c r="B20" s="42"/>
      <c r="C20" s="42"/>
      <c r="D20" s="42"/>
      <c r="E20" s="42"/>
      <c r="F20" s="42"/>
      <c r="G20" s="42"/>
      <c r="H20" s="42"/>
      <c r="I20" s="4"/>
      <c r="J20" s="4"/>
      <c r="K20" s="4"/>
      <c r="L20" s="42"/>
      <c r="M20" s="42"/>
      <c r="N20" s="42"/>
      <c r="O20" s="4"/>
      <c r="P20" s="207"/>
      <c r="Q20" s="42"/>
      <c r="R20" s="42"/>
      <c r="S20" s="4"/>
      <c r="T20" s="4"/>
      <c r="U20" s="4"/>
      <c r="V20" s="4"/>
      <c r="W20" s="4"/>
      <c r="X20" s="42"/>
      <c r="Y20" s="42"/>
      <c r="Z20" s="44"/>
    </row>
    <row r="21" spans="1:27" ht="15" customHeight="1">
      <c r="A21" s="41"/>
      <c r="B21" s="42"/>
      <c r="C21" s="48" t="s">
        <v>272</v>
      </c>
      <c r="D21" s="4"/>
      <c r="E21" s="4"/>
      <c r="F21" s="4"/>
      <c r="G21" s="4"/>
      <c r="H21" s="51"/>
      <c r="I21" s="51"/>
      <c r="J21" s="51"/>
      <c r="K21" s="51"/>
      <c r="L21" s="51"/>
      <c r="M21" s="51"/>
      <c r="N21" s="51"/>
      <c r="O21" s="51"/>
      <c r="P21" s="51"/>
      <c r="Q21" s="51"/>
      <c r="R21" s="51"/>
      <c r="S21" s="51"/>
      <c r="T21" s="1074">
        <f>IF(DADOS!$E$13=0," ",IF(DADOS!$E$13&gt;0,DADOS!$E$13))</f>
        <v>41726</v>
      </c>
      <c r="U21" s="1074"/>
      <c r="V21" s="1074"/>
      <c r="W21" s="1074"/>
      <c r="X21" s="1074"/>
      <c r="Y21" s="42"/>
      <c r="Z21" s="44"/>
    </row>
    <row r="22" spans="1:27" ht="15" customHeight="1">
      <c r="A22" s="41"/>
      <c r="B22" s="42"/>
      <c r="C22" s="48"/>
      <c r="D22" s="4"/>
      <c r="E22" s="4"/>
      <c r="F22" s="4"/>
      <c r="G22" s="4"/>
      <c r="H22" s="51"/>
      <c r="I22" s="51"/>
      <c r="J22" s="51"/>
      <c r="K22" s="51"/>
      <c r="L22" s="51"/>
      <c r="M22" s="51"/>
      <c r="N22" s="51"/>
      <c r="O22" s="51"/>
      <c r="P22" s="51"/>
      <c r="Q22" s="51"/>
      <c r="R22" s="51"/>
      <c r="S22" s="51"/>
      <c r="T22" s="57"/>
      <c r="U22" s="58" t="s">
        <v>271</v>
      </c>
      <c r="V22" s="59" t="s">
        <v>271</v>
      </c>
      <c r="W22" s="58" t="s">
        <v>271</v>
      </c>
      <c r="X22" s="58"/>
      <c r="Y22" s="42"/>
      <c r="Z22" s="44"/>
    </row>
    <row r="23" spans="1:27" ht="15" customHeight="1">
      <c r="A23" s="41"/>
      <c r="B23" s="42"/>
      <c r="C23" s="60" t="s">
        <v>111</v>
      </c>
      <c r="D23" s="24"/>
      <c r="E23" s="24"/>
      <c r="F23" s="24"/>
      <c r="G23" s="24"/>
      <c r="H23" s="61"/>
      <c r="I23" s="61"/>
      <c r="J23" s="61"/>
      <c r="K23" s="61"/>
      <c r="L23" s="61"/>
      <c r="M23" s="61"/>
      <c r="N23" s="61"/>
      <c r="O23" s="61"/>
      <c r="P23" s="61"/>
      <c r="Q23" s="61"/>
      <c r="R23" s="61"/>
      <c r="S23" s="61"/>
      <c r="T23" s="1074">
        <f>IF(DADOS!$E$15=0," ",IF(DADOS!$E$15&gt;0,DADOS!$E$15))</f>
        <v>41761</v>
      </c>
      <c r="U23" s="1074"/>
      <c r="V23" s="1074"/>
      <c r="W23" s="1074"/>
      <c r="X23" s="1074"/>
      <c r="Y23" s="62"/>
      <c r="Z23" s="44"/>
    </row>
    <row r="24" spans="1:27" ht="15" customHeight="1">
      <c r="A24" s="41"/>
      <c r="B24" s="42"/>
      <c r="C24" s="42"/>
      <c r="D24" s="42"/>
      <c r="E24" s="42"/>
      <c r="F24" s="42"/>
      <c r="G24" s="4"/>
      <c r="H24" s="4"/>
      <c r="I24" s="4"/>
      <c r="J24" s="4"/>
      <c r="K24" s="4"/>
      <c r="L24" s="45"/>
      <c r="M24" s="4"/>
      <c r="N24" s="4"/>
      <c r="O24" s="4"/>
      <c r="P24" s="4"/>
      <c r="Q24" s="4"/>
      <c r="R24" s="4"/>
      <c r="S24" s="4"/>
      <c r="T24" s="4"/>
      <c r="U24" s="4"/>
      <c r="V24" s="4" t="s">
        <v>271</v>
      </c>
      <c r="W24" s="4" t="s">
        <v>271</v>
      </c>
      <c r="X24" s="45"/>
      <c r="Y24" s="45"/>
      <c r="Z24" s="44"/>
    </row>
    <row r="25" spans="1:27" ht="15" customHeight="1">
      <c r="A25" s="41"/>
      <c r="B25" s="47"/>
      <c r="C25" s="47"/>
      <c r="D25" s="47"/>
      <c r="E25" s="47"/>
      <c r="F25" s="47"/>
      <c r="G25" s="47"/>
      <c r="H25" s="47"/>
      <c r="I25" s="47"/>
      <c r="J25" s="47"/>
      <c r="K25" s="47"/>
      <c r="L25" s="42"/>
      <c r="M25" s="47"/>
      <c r="N25" s="47"/>
      <c r="O25" s="47"/>
      <c r="P25" s="47"/>
      <c r="Q25" s="47"/>
      <c r="R25" s="47"/>
      <c r="S25" s="47"/>
      <c r="T25" s="47"/>
      <c r="U25" s="47" t="s">
        <v>271</v>
      </c>
      <c r="V25" s="47" t="s">
        <v>271</v>
      </c>
      <c r="W25" s="47"/>
      <c r="X25" s="47"/>
      <c r="Y25" s="42"/>
      <c r="Z25" s="44"/>
    </row>
    <row r="26" spans="1:27" ht="15" customHeight="1">
      <c r="A26" s="41"/>
      <c r="B26" s="42"/>
      <c r="C26" s="48" t="s">
        <v>273</v>
      </c>
      <c r="D26" s="42"/>
      <c r="E26" s="1089" t="str">
        <f>VLOOKUP(DADOS!G4,EMP!3:168,7)</f>
        <v>Pres.Prudente</v>
      </c>
      <c r="F26" s="1089"/>
      <c r="G26" s="1089"/>
      <c r="H26" s="1089"/>
      <c r="I26" s="1089"/>
      <c r="J26" s="1089"/>
      <c r="K26" s="1089"/>
      <c r="L26" s="42"/>
      <c r="M26" s="4"/>
      <c r="N26" s="1072" t="s">
        <v>274</v>
      </c>
      <c r="O26" s="1073"/>
      <c r="P26" s="1073"/>
      <c r="Q26" s="1073"/>
      <c r="R26" s="1073"/>
      <c r="S26" s="1073"/>
      <c r="T26" s="1074">
        <f>IF(DADOS!$E$11=0," ",IF(DADOS!$E$11&gt;0,DADOS!$E$11))</f>
        <v>41698</v>
      </c>
      <c r="U26" s="1074"/>
      <c r="V26" s="1074"/>
      <c r="W26" s="1074"/>
      <c r="X26" s="1074"/>
      <c r="Y26" s="42" t="s">
        <v>271</v>
      </c>
      <c r="Z26" s="44" t="s">
        <v>271</v>
      </c>
    </row>
    <row r="27" spans="1:27" ht="15" customHeight="1">
      <c r="A27" s="41"/>
      <c r="B27" s="63"/>
      <c r="C27" s="45"/>
      <c r="D27" s="45"/>
      <c r="E27" s="45"/>
      <c r="F27" s="45"/>
      <c r="G27" s="45"/>
      <c r="H27" s="45"/>
      <c r="I27" s="45"/>
      <c r="J27" s="45"/>
      <c r="K27" s="45"/>
      <c r="L27" s="45"/>
      <c r="M27" s="45"/>
      <c r="N27" s="45"/>
      <c r="O27" s="45"/>
      <c r="P27" s="45"/>
      <c r="Q27" s="45"/>
      <c r="R27" s="45"/>
      <c r="S27" s="45"/>
      <c r="T27" s="45"/>
      <c r="U27" s="45"/>
      <c r="V27" s="45"/>
      <c r="W27" s="45"/>
      <c r="X27" s="45" t="s">
        <v>271</v>
      </c>
      <c r="Y27" s="64" t="s">
        <v>271</v>
      </c>
      <c r="Z27" s="44" t="s">
        <v>271</v>
      </c>
    </row>
    <row r="28" spans="1:27" ht="17.100000000000001" customHeight="1">
      <c r="A28" s="41"/>
      <c r="B28" s="42"/>
      <c r="C28" s="42"/>
      <c r="D28" s="42"/>
      <c r="E28" s="42"/>
      <c r="F28" s="42"/>
      <c r="G28" s="42"/>
      <c r="H28" s="42"/>
      <c r="I28" s="42"/>
      <c r="J28" s="42"/>
      <c r="K28" s="42"/>
      <c r="L28" s="65"/>
      <c r="M28" s="42"/>
      <c r="N28" s="42"/>
      <c r="O28" s="42"/>
      <c r="P28" s="42"/>
      <c r="Q28" s="42"/>
      <c r="R28" s="42"/>
      <c r="S28" s="42"/>
      <c r="T28" s="42"/>
      <c r="U28" s="42"/>
      <c r="V28" s="42"/>
      <c r="W28" s="42"/>
      <c r="X28" s="42"/>
      <c r="Y28" s="42"/>
      <c r="Z28" s="44"/>
    </row>
    <row r="29" spans="1:27" ht="17.100000000000001" customHeight="1">
      <c r="A29" s="41"/>
      <c r="B29" s="42"/>
      <c r="C29" s="42"/>
      <c r="D29" s="42"/>
      <c r="E29" s="42"/>
      <c r="F29" s="42"/>
      <c r="G29" s="42"/>
      <c r="H29" s="42"/>
      <c r="I29" s="42"/>
      <c r="J29" s="42"/>
      <c r="K29" s="42"/>
      <c r="L29" s="66"/>
      <c r="M29" s="42"/>
      <c r="N29" s="1075" t="s">
        <v>56</v>
      </c>
      <c r="O29" s="1073"/>
      <c r="P29" s="1073"/>
      <c r="Q29" s="1073"/>
      <c r="R29" s="1073"/>
      <c r="S29" s="1073"/>
      <c r="T29" s="1074">
        <f>T26</f>
        <v>41698</v>
      </c>
      <c r="U29" s="1074"/>
      <c r="V29" s="1074"/>
      <c r="W29" s="1074"/>
      <c r="X29" s="1074"/>
      <c r="Y29" s="42"/>
      <c r="Z29" s="44"/>
    </row>
    <row r="30" spans="1:27" ht="17.100000000000001" customHeight="1">
      <c r="A30" s="41"/>
      <c r="B30" s="42"/>
      <c r="C30" s="42"/>
      <c r="D30" s="42"/>
      <c r="E30" s="4"/>
      <c r="F30" s="4"/>
      <c r="G30" s="4"/>
      <c r="H30" s="4"/>
      <c r="I30" s="4"/>
      <c r="J30" s="4"/>
      <c r="K30" s="42"/>
      <c r="L30" s="66"/>
      <c r="M30" s="42"/>
      <c r="N30" s="42"/>
      <c r="O30" s="42"/>
      <c r="P30" s="42"/>
      <c r="Q30" s="42"/>
      <c r="R30" s="42"/>
      <c r="S30" s="42"/>
      <c r="T30" s="42"/>
      <c r="U30" s="42" t="s">
        <v>271</v>
      </c>
      <c r="V30" s="42"/>
      <c r="W30" s="42"/>
      <c r="X30" s="42"/>
      <c r="Y30" s="42"/>
      <c r="Z30" s="44"/>
    </row>
    <row r="31" spans="1:27" ht="17.100000000000001" customHeight="1">
      <c r="A31" s="41"/>
      <c r="B31" s="42"/>
      <c r="C31" s="42" t="s">
        <v>57</v>
      </c>
      <c r="D31" s="42"/>
      <c r="E31" s="1090" t="s">
        <v>58</v>
      </c>
      <c r="F31" s="1090"/>
      <c r="G31" s="1090"/>
      <c r="H31" s="1090"/>
      <c r="I31" s="1090"/>
      <c r="J31" s="1090"/>
      <c r="K31" s="67"/>
      <c r="L31" s="68"/>
      <c r="M31" s="67"/>
      <c r="N31" s="67" t="s">
        <v>271</v>
      </c>
      <c r="O31" s="69" t="s">
        <v>57</v>
      </c>
      <c r="P31" s="69"/>
      <c r="Q31" s="69"/>
      <c r="R31" s="69"/>
      <c r="S31" s="69" t="s">
        <v>271</v>
      </c>
      <c r="T31" s="69"/>
      <c r="U31" s="69" t="s">
        <v>271</v>
      </c>
      <c r="V31" s="69"/>
      <c r="W31" s="42"/>
      <c r="X31" s="42"/>
      <c r="Y31" s="42"/>
      <c r="Z31" s="44"/>
      <c r="AA31" s="123"/>
    </row>
    <row r="32" spans="1:27" ht="17.100000000000001" customHeight="1">
      <c r="A32" s="41"/>
      <c r="B32" s="42"/>
      <c r="C32" s="42" t="s">
        <v>112</v>
      </c>
      <c r="D32" s="42"/>
      <c r="E32" s="67"/>
      <c r="F32" s="67"/>
      <c r="G32" s="67"/>
      <c r="H32" s="67"/>
      <c r="I32" s="67"/>
      <c r="J32" s="67"/>
      <c r="K32" s="67"/>
      <c r="L32" s="68"/>
      <c r="M32" s="67"/>
      <c r="N32" s="70"/>
      <c r="O32" s="1070" t="s">
        <v>59</v>
      </c>
      <c r="P32" s="1071"/>
      <c r="Q32" s="1071"/>
      <c r="R32" s="1071"/>
      <c r="S32" s="1071"/>
      <c r="T32" s="1071"/>
      <c r="U32" s="1071"/>
      <c r="V32" s="1071"/>
      <c r="W32" s="42"/>
      <c r="X32" s="42"/>
      <c r="Y32" s="42"/>
      <c r="Z32" s="44"/>
      <c r="AA32" s="123"/>
    </row>
    <row r="33" spans="1:27" ht="17.100000000000001" customHeight="1" thickBot="1">
      <c r="A33" s="41"/>
      <c r="B33" s="71"/>
      <c r="C33" s="72" t="str">
        <f>TB!B34</f>
        <v>(FÉRIAS JANEIRO 2014) - ATUALIZADO 03/2014 - V14 (19/03/2013)</v>
      </c>
      <c r="D33" s="73"/>
      <c r="E33" s="73"/>
      <c r="F33" s="73"/>
      <c r="G33" s="74"/>
      <c r="H33" s="40"/>
      <c r="I33" s="40"/>
      <c r="J33" s="40"/>
      <c r="K33" s="40"/>
      <c r="L33" s="75"/>
      <c r="M33" s="40"/>
      <c r="N33" s="40"/>
      <c r="O33" s="40"/>
      <c r="P33" s="40"/>
      <c r="Q33" s="40"/>
      <c r="R33" s="40"/>
      <c r="S33" s="40"/>
      <c r="T33" s="40"/>
      <c r="U33" s="40"/>
      <c r="V33" s="40"/>
      <c r="W33" s="40"/>
      <c r="X33" s="40"/>
      <c r="Y33" s="76"/>
      <c r="Z33" s="44"/>
    </row>
    <row r="34" spans="1:27" ht="17.100000000000001" customHeight="1" thickTop="1">
      <c r="A34" s="77"/>
      <c r="B34" s="42"/>
      <c r="C34" s="15"/>
      <c r="D34" s="78"/>
      <c r="E34" s="78"/>
      <c r="F34" s="78"/>
      <c r="G34" s="79"/>
      <c r="H34" s="42"/>
      <c r="I34" s="42"/>
      <c r="J34" s="42"/>
      <c r="K34" s="42"/>
      <c r="L34" s="42"/>
      <c r="M34" s="42"/>
      <c r="N34" s="42"/>
      <c r="O34" s="42"/>
      <c r="P34" s="42"/>
      <c r="Q34" s="42"/>
      <c r="R34" s="42"/>
      <c r="S34" s="42"/>
      <c r="T34" s="42"/>
      <c r="U34" s="42"/>
      <c r="V34" s="42"/>
      <c r="W34" s="42"/>
      <c r="X34" s="42"/>
      <c r="Y34" s="42"/>
      <c r="Z34" s="42"/>
    </row>
    <row r="35" spans="1:27" ht="15" customHeight="1">
      <c r="A35" s="80"/>
      <c r="B35" s="81"/>
      <c r="C35" s="81"/>
      <c r="D35" s="81"/>
      <c r="E35" s="81"/>
      <c r="F35" s="81"/>
      <c r="G35" s="81"/>
      <c r="H35" s="81"/>
      <c r="I35" s="81"/>
      <c r="J35" s="81"/>
      <c r="K35" s="81"/>
      <c r="L35" s="81"/>
      <c r="M35" s="81" t="s">
        <v>107</v>
      </c>
      <c r="N35" s="81"/>
      <c r="O35" s="81"/>
      <c r="P35" s="81"/>
      <c r="Q35" s="81"/>
      <c r="R35" s="81"/>
      <c r="S35" s="81"/>
      <c r="T35" s="81"/>
      <c r="U35" s="81"/>
      <c r="V35" s="81"/>
      <c r="W35" s="81"/>
      <c r="X35" s="81"/>
      <c r="Y35" s="81"/>
      <c r="Z35" s="81"/>
    </row>
    <row r="36" spans="1:27" ht="13.5" thickBot="1">
      <c r="A36" s="39"/>
      <c r="B36" s="40"/>
      <c r="C36" s="40"/>
      <c r="D36" s="40"/>
      <c r="E36" s="40"/>
      <c r="F36" s="40"/>
      <c r="G36" s="40"/>
      <c r="H36" s="40"/>
      <c r="I36" s="40"/>
      <c r="J36" s="40"/>
      <c r="K36" s="40"/>
      <c r="L36" s="40"/>
      <c r="M36" s="40"/>
      <c r="N36" s="40"/>
      <c r="O36" s="40"/>
      <c r="P36" s="40"/>
      <c r="Q36" s="40"/>
      <c r="R36" s="40"/>
      <c r="S36" s="40"/>
      <c r="T36" s="40"/>
      <c r="U36" s="40"/>
      <c r="V36" s="40"/>
      <c r="W36" s="40"/>
      <c r="X36" s="40"/>
      <c r="Y36" s="40"/>
      <c r="Z36" s="4"/>
    </row>
    <row r="37" spans="1:27" ht="24" customHeight="1" thickTop="1">
      <c r="A37" s="41"/>
      <c r="B37" s="42"/>
      <c r="C37" s="1095" t="s">
        <v>256</v>
      </c>
      <c r="D37" s="1096"/>
      <c r="E37" s="1096"/>
      <c r="F37" s="1096"/>
      <c r="G37" s="1096"/>
      <c r="H37" s="1096"/>
      <c r="I37" s="1096"/>
      <c r="J37" s="1096"/>
      <c r="K37" s="1096"/>
      <c r="L37" s="1096"/>
      <c r="M37" s="1096"/>
      <c r="N37" s="1096"/>
      <c r="O37" s="1096"/>
      <c r="P37" s="1096"/>
      <c r="Q37" s="1096"/>
      <c r="R37" s="1096"/>
      <c r="S37" s="1096"/>
      <c r="T37" s="1096"/>
      <c r="U37" s="1096"/>
      <c r="V37" s="1096"/>
      <c r="W37" s="1096"/>
      <c r="X37" s="1096"/>
      <c r="Y37" s="43"/>
      <c r="Z37" s="44"/>
    </row>
    <row r="38" spans="1:27" ht="24" customHeight="1">
      <c r="A38" s="41"/>
      <c r="B38" s="45"/>
      <c r="C38" s="1097"/>
      <c r="D38" s="1097"/>
      <c r="E38" s="1097"/>
      <c r="F38" s="1097"/>
      <c r="G38" s="1097"/>
      <c r="H38" s="1097"/>
      <c r="I38" s="1097"/>
      <c r="J38" s="1097"/>
      <c r="K38" s="1097"/>
      <c r="L38" s="1097"/>
      <c r="M38" s="1097"/>
      <c r="N38" s="1097"/>
      <c r="O38" s="1097"/>
      <c r="P38" s="1097"/>
      <c r="Q38" s="1097"/>
      <c r="R38" s="1097"/>
      <c r="S38" s="1097"/>
      <c r="T38" s="1097"/>
      <c r="U38" s="1097"/>
      <c r="V38" s="1097"/>
      <c r="W38" s="1097"/>
      <c r="X38" s="1097"/>
      <c r="Y38" s="46"/>
      <c r="Z38" s="44"/>
      <c r="AA38" s="123"/>
    </row>
    <row r="39" spans="1:27" ht="15" customHeight="1">
      <c r="A39" s="41"/>
      <c r="B39" s="42"/>
      <c r="C39" s="83"/>
      <c r="D39" s="83"/>
      <c r="E39" s="83"/>
      <c r="F39" s="83"/>
      <c r="G39" s="84"/>
      <c r="H39" s="84"/>
      <c r="I39" s="84"/>
      <c r="J39" s="84"/>
      <c r="K39" s="84"/>
      <c r="L39" s="84"/>
      <c r="M39" s="84"/>
      <c r="N39" s="84"/>
      <c r="O39" s="84"/>
      <c r="P39" s="84"/>
      <c r="Q39" s="84"/>
      <c r="R39" s="84"/>
      <c r="S39" s="84"/>
      <c r="T39" s="84"/>
      <c r="U39" s="84"/>
      <c r="V39" s="84"/>
      <c r="W39" s="84"/>
      <c r="X39" s="83"/>
      <c r="Y39" s="47"/>
      <c r="Z39" s="44"/>
      <c r="AA39" s="123"/>
    </row>
    <row r="40" spans="1:27" ht="15" customHeight="1">
      <c r="A40" s="41"/>
      <c r="B40" s="42"/>
      <c r="C40" s="85" t="s">
        <v>257</v>
      </c>
      <c r="D40" s="86"/>
      <c r="E40" s="86"/>
      <c r="F40" s="1092" t="str">
        <f>F5</f>
        <v>Disk Automoveis Ltda</v>
      </c>
      <c r="G40" s="1098"/>
      <c r="H40" s="1098"/>
      <c r="I40" s="1098"/>
      <c r="J40" s="1098"/>
      <c r="K40" s="1098"/>
      <c r="L40" s="1098"/>
      <c r="M40" s="1098"/>
      <c r="N40" s="1098"/>
      <c r="O40" s="1098"/>
      <c r="P40" s="1098"/>
      <c r="Q40" s="87" t="s">
        <v>258</v>
      </c>
      <c r="R40" s="83"/>
      <c r="S40" s="1099">
        <f>S5</f>
        <v>55683486000100</v>
      </c>
      <c r="T40" s="1099"/>
      <c r="U40" s="1099"/>
      <c r="V40" s="1099"/>
      <c r="W40" s="1099"/>
      <c r="X40" s="1099"/>
      <c r="Y40" s="42"/>
      <c r="Z40" s="44"/>
    </row>
    <row r="41" spans="1:27" ht="15" customHeight="1">
      <c r="A41" s="41"/>
      <c r="B41" s="42"/>
      <c r="C41" s="83"/>
      <c r="D41" s="83"/>
      <c r="E41" s="83"/>
      <c r="F41" s="83"/>
      <c r="G41" s="84"/>
      <c r="H41" s="84"/>
      <c r="I41" s="84"/>
      <c r="J41" s="84"/>
      <c r="K41" s="84"/>
      <c r="L41" s="84"/>
      <c r="M41" s="84"/>
      <c r="N41" s="84"/>
      <c r="O41" s="84"/>
      <c r="P41" s="84"/>
      <c r="Q41" s="84"/>
      <c r="R41" s="84"/>
      <c r="S41" s="84"/>
      <c r="T41" s="84"/>
      <c r="U41" s="84"/>
      <c r="V41" s="84"/>
      <c r="W41" s="84"/>
      <c r="X41" s="83"/>
      <c r="Y41" s="42"/>
      <c r="Z41" s="44"/>
    </row>
    <row r="42" spans="1:27" ht="15" customHeight="1">
      <c r="A42" s="41"/>
      <c r="B42" s="42"/>
      <c r="C42" s="85" t="s">
        <v>259</v>
      </c>
      <c r="D42" s="86"/>
      <c r="E42" s="86"/>
      <c r="F42" s="1092" t="str">
        <f>F7</f>
        <v>Rua da Pedras</v>
      </c>
      <c r="G42" s="1100"/>
      <c r="H42" s="1100"/>
      <c r="I42" s="1100"/>
      <c r="J42" s="1100"/>
      <c r="K42" s="1100"/>
      <c r="L42" s="1100"/>
      <c r="M42" s="1100"/>
      <c r="N42" s="88" t="s">
        <v>260</v>
      </c>
      <c r="O42" s="1091">
        <f>O7</f>
        <v>10</v>
      </c>
      <c r="P42" s="1092"/>
      <c r="Q42" s="89" t="s">
        <v>261</v>
      </c>
      <c r="R42" s="83"/>
      <c r="S42" s="1092" t="str">
        <f>S7</f>
        <v>Pres.Prudente</v>
      </c>
      <c r="T42" s="1092"/>
      <c r="U42" s="1092"/>
      <c r="V42" s="1092"/>
      <c r="W42" s="1092"/>
      <c r="X42" s="1092"/>
      <c r="Y42" s="42"/>
      <c r="Z42" s="44"/>
    </row>
    <row r="43" spans="1:27" ht="15" customHeight="1">
      <c r="A43" s="41"/>
      <c r="B43" s="45"/>
      <c r="C43" s="90"/>
      <c r="D43" s="90"/>
      <c r="E43" s="90"/>
      <c r="F43" s="90"/>
      <c r="G43" s="90"/>
      <c r="H43" s="90"/>
      <c r="I43" s="90"/>
      <c r="J43" s="90"/>
      <c r="K43" s="90"/>
      <c r="L43" s="90"/>
      <c r="M43" s="90"/>
      <c r="N43" s="90"/>
      <c r="O43" s="90"/>
      <c r="P43" s="90"/>
      <c r="Q43" s="90"/>
      <c r="R43" s="90"/>
      <c r="S43" s="90"/>
      <c r="T43" s="90"/>
      <c r="U43" s="90"/>
      <c r="V43" s="90"/>
      <c r="W43" s="90"/>
      <c r="X43" s="90"/>
      <c r="Y43" s="45"/>
      <c r="Z43" s="44"/>
    </row>
    <row r="44" spans="1:27" ht="15" customHeight="1">
      <c r="A44" s="41"/>
      <c r="B44" s="47"/>
      <c r="C44" s="84"/>
      <c r="D44" s="84"/>
      <c r="E44" s="84"/>
      <c r="F44" s="84"/>
      <c r="G44" s="84"/>
      <c r="H44" s="84"/>
      <c r="I44" s="84"/>
      <c r="J44" s="84"/>
      <c r="K44" s="84"/>
      <c r="L44" s="84"/>
      <c r="M44" s="84"/>
      <c r="N44" s="84"/>
      <c r="O44" s="84"/>
      <c r="P44" s="84"/>
      <c r="Q44" s="84"/>
      <c r="R44" s="84"/>
      <c r="S44" s="84"/>
      <c r="T44" s="84"/>
      <c r="U44" s="84"/>
      <c r="V44" s="84"/>
      <c r="W44" s="84"/>
      <c r="X44" s="91"/>
      <c r="Y44" s="42"/>
      <c r="Z44" s="44"/>
    </row>
    <row r="45" spans="1:27" ht="15" customHeight="1">
      <c r="A45" s="41"/>
      <c r="B45" s="42"/>
      <c r="C45" s="92" t="s">
        <v>262</v>
      </c>
      <c r="D45" s="93"/>
      <c r="E45" s="93"/>
      <c r="F45" s="93"/>
      <c r="G45" s="1092" t="str">
        <f>G10</f>
        <v>ANGELO</v>
      </c>
      <c r="H45" s="1092"/>
      <c r="I45" s="1092"/>
      <c r="J45" s="1092"/>
      <c r="K45" s="1092"/>
      <c r="L45" s="1092"/>
      <c r="M45" s="1092"/>
      <c r="N45" s="1092"/>
      <c r="O45" s="1092"/>
      <c r="P45" s="1092"/>
      <c r="Q45" s="1092"/>
      <c r="R45" s="1092"/>
      <c r="S45" s="1092"/>
      <c r="T45" s="1092"/>
      <c r="U45" s="1092"/>
      <c r="V45" s="1092"/>
      <c r="W45" s="1092"/>
      <c r="X45" s="1092"/>
      <c r="Y45" s="42"/>
      <c r="Z45" s="44"/>
    </row>
    <row r="46" spans="1:27" ht="15" customHeight="1">
      <c r="A46" s="41"/>
      <c r="B46" s="42"/>
      <c r="C46" s="84"/>
      <c r="D46" s="84"/>
      <c r="E46" s="84"/>
      <c r="F46" s="84"/>
      <c r="G46" s="84"/>
      <c r="H46" s="84"/>
      <c r="I46" s="84"/>
      <c r="J46" s="84"/>
      <c r="K46" s="84"/>
      <c r="L46" s="84"/>
      <c r="M46" s="84"/>
      <c r="N46" s="84"/>
      <c r="O46" s="84"/>
      <c r="P46" s="84"/>
      <c r="Q46" s="84"/>
      <c r="R46" s="84"/>
      <c r="S46" s="84"/>
      <c r="T46" s="84"/>
      <c r="U46" s="84"/>
      <c r="V46" s="84"/>
      <c r="W46" s="84"/>
      <c r="X46" s="83"/>
      <c r="Y46" s="42"/>
      <c r="Z46" s="44"/>
    </row>
    <row r="47" spans="1:27" ht="15" customHeight="1">
      <c r="A47" s="41"/>
      <c r="B47" s="42"/>
      <c r="C47" s="92" t="s">
        <v>263</v>
      </c>
      <c r="D47" s="93"/>
      <c r="E47" s="93"/>
      <c r="F47" s="93"/>
      <c r="G47" s="1091">
        <f>G12</f>
        <v>55563</v>
      </c>
      <c r="H47" s="1092"/>
      <c r="I47" s="1092"/>
      <c r="J47" s="1092"/>
      <c r="K47" s="1092"/>
      <c r="L47" s="1092"/>
      <c r="M47" s="1092"/>
      <c r="N47" s="1092"/>
      <c r="O47" s="1092"/>
      <c r="P47" s="1092"/>
      <c r="Q47" s="92" t="s">
        <v>264</v>
      </c>
      <c r="R47" s="84"/>
      <c r="S47" s="1092" t="str">
        <f>S12</f>
        <v>00038/sp</v>
      </c>
      <c r="T47" s="1092"/>
      <c r="U47" s="1092"/>
      <c r="V47" s="1092"/>
      <c r="W47" s="1092"/>
      <c r="X47" s="1092"/>
      <c r="Y47" s="42"/>
      <c r="Z47" s="44"/>
    </row>
    <row r="48" spans="1:27" ht="15" customHeight="1">
      <c r="A48" s="41"/>
      <c r="B48" s="42"/>
      <c r="C48" s="84"/>
      <c r="D48" s="84"/>
      <c r="E48" s="84"/>
      <c r="F48" s="84"/>
      <c r="G48" s="84"/>
      <c r="H48" s="84"/>
      <c r="I48" s="84"/>
      <c r="J48" s="84"/>
      <c r="K48" s="84"/>
      <c r="L48" s="84"/>
      <c r="M48" s="84"/>
      <c r="N48" s="84"/>
      <c r="O48" s="84"/>
      <c r="P48" s="84"/>
      <c r="Q48" s="84"/>
      <c r="R48" s="84"/>
      <c r="S48" s="84"/>
      <c r="T48" s="84"/>
      <c r="U48" s="84"/>
      <c r="V48" s="84"/>
      <c r="W48" s="84"/>
      <c r="X48" s="83"/>
      <c r="Y48" s="42"/>
      <c r="Z48" s="44"/>
    </row>
    <row r="49" spans="1:26" ht="15" customHeight="1">
      <c r="A49" s="41"/>
      <c r="B49" s="42"/>
      <c r="C49" s="92" t="s">
        <v>265</v>
      </c>
      <c r="D49" s="93"/>
      <c r="E49" s="93"/>
      <c r="F49" s="94"/>
      <c r="G49" s="1092" t="str">
        <f>G14</f>
        <v>adm</v>
      </c>
      <c r="H49" s="1092"/>
      <c r="I49" s="1092"/>
      <c r="J49" s="1092"/>
      <c r="K49" s="1092"/>
      <c r="L49" s="1092"/>
      <c r="M49" s="92" t="s">
        <v>266</v>
      </c>
      <c r="N49" s="84"/>
      <c r="O49" s="1092" t="str">
        <f>O14</f>
        <v>contabil</v>
      </c>
      <c r="P49" s="1092"/>
      <c r="Q49" s="1092"/>
      <c r="R49" s="1092"/>
      <c r="S49" s="93" t="s">
        <v>267</v>
      </c>
      <c r="T49" s="84"/>
      <c r="U49" s="84"/>
      <c r="V49" s="1092">
        <f xml:space="preserve"> V14</f>
        <v>0</v>
      </c>
      <c r="W49" s="1092"/>
      <c r="X49" s="1092"/>
      <c r="Y49" s="42"/>
      <c r="Z49" s="44"/>
    </row>
    <row r="50" spans="1:26" ht="15" customHeight="1">
      <c r="A50" s="41"/>
      <c r="B50" s="45"/>
      <c r="C50" s="90"/>
      <c r="D50" s="90"/>
      <c r="E50" s="90"/>
      <c r="F50" s="90"/>
      <c r="G50" s="90"/>
      <c r="H50" s="90"/>
      <c r="I50" s="90"/>
      <c r="J50" s="90"/>
      <c r="K50" s="90"/>
      <c r="L50" s="90"/>
      <c r="M50" s="90"/>
      <c r="N50" s="90"/>
      <c r="O50" s="90"/>
      <c r="P50" s="90"/>
      <c r="Q50" s="90"/>
      <c r="R50" s="90"/>
      <c r="S50" s="90"/>
      <c r="T50" s="90"/>
      <c r="U50" s="90"/>
      <c r="V50" s="90"/>
      <c r="W50" s="90"/>
      <c r="X50" s="90"/>
      <c r="Y50" s="45"/>
      <c r="Z50" s="44"/>
    </row>
    <row r="51" spans="1:26" ht="15" customHeight="1">
      <c r="A51" s="41"/>
      <c r="B51" s="42"/>
      <c r="C51" s="83"/>
      <c r="D51" s="83"/>
      <c r="E51" s="83"/>
      <c r="F51" s="83"/>
      <c r="G51" s="84"/>
      <c r="H51" s="84"/>
      <c r="I51" s="84"/>
      <c r="J51" s="84"/>
      <c r="K51" s="84"/>
      <c r="L51" s="84"/>
      <c r="M51" s="84"/>
      <c r="N51" s="84"/>
      <c r="O51" s="84"/>
      <c r="P51" s="84"/>
      <c r="Q51" s="84"/>
      <c r="R51" s="84"/>
      <c r="S51" s="84"/>
      <c r="T51" s="84"/>
      <c r="U51" s="84"/>
      <c r="V51" s="84"/>
      <c r="W51" s="84"/>
      <c r="X51" s="91"/>
      <c r="Y51" s="42"/>
      <c r="Z51" s="44"/>
    </row>
    <row r="52" spans="1:26" ht="15" customHeight="1">
      <c r="A52" s="41"/>
      <c r="B52" s="42"/>
      <c r="C52" s="92" t="s">
        <v>268</v>
      </c>
      <c r="D52" s="83"/>
      <c r="E52" s="83"/>
      <c r="F52" s="83"/>
      <c r="G52" s="84"/>
      <c r="H52" s="84"/>
      <c r="I52" s="84"/>
      <c r="J52" s="93"/>
      <c r="K52" s="93"/>
      <c r="L52" s="93"/>
      <c r="M52" s="93"/>
      <c r="N52" s="1074">
        <f>N17</f>
        <v>41731</v>
      </c>
      <c r="O52" s="1074"/>
      <c r="P52" s="1074"/>
      <c r="Q52" s="1074"/>
      <c r="R52" s="1074"/>
      <c r="S52" s="95" t="s">
        <v>269</v>
      </c>
      <c r="T52" s="1074">
        <f>T17</f>
        <v>41760</v>
      </c>
      <c r="U52" s="1074"/>
      <c r="V52" s="1074"/>
      <c r="W52" s="1074"/>
      <c r="X52" s="1074"/>
      <c r="Y52" s="54"/>
      <c r="Z52" s="44"/>
    </row>
    <row r="53" spans="1:26" ht="15" customHeight="1">
      <c r="A53" s="41"/>
      <c r="B53" s="42"/>
      <c r="C53" s="83"/>
      <c r="D53" s="83"/>
      <c r="E53" s="83"/>
      <c r="F53" s="83"/>
      <c r="G53" s="84"/>
      <c r="H53" s="84"/>
      <c r="I53" s="84"/>
      <c r="J53" s="84"/>
      <c r="K53" s="84"/>
      <c r="L53" s="84"/>
      <c r="M53" s="84"/>
      <c r="N53" s="84"/>
      <c r="O53" s="96"/>
      <c r="P53" s="84"/>
      <c r="Q53" s="84"/>
      <c r="R53" s="97"/>
      <c r="S53" s="98"/>
      <c r="T53" s="99"/>
      <c r="U53" s="93"/>
      <c r="V53" s="93"/>
      <c r="W53" s="93"/>
      <c r="X53" s="99"/>
      <c r="Y53" s="54"/>
      <c r="Z53" s="44"/>
    </row>
    <row r="54" spans="1:26" ht="15" customHeight="1">
      <c r="A54" s="41"/>
      <c r="B54" s="42"/>
      <c r="C54" s="1102" t="s">
        <v>270</v>
      </c>
      <c r="D54" s="1103"/>
      <c r="E54" s="1103"/>
      <c r="F54" s="1103"/>
      <c r="G54" s="1103"/>
      <c r="H54" s="1103"/>
      <c r="I54" s="1103"/>
      <c r="J54" s="1103"/>
      <c r="K54" s="1103"/>
      <c r="L54" s="1103"/>
      <c r="M54" s="1103"/>
      <c r="N54" s="1074">
        <f>N19</f>
        <v>41288</v>
      </c>
      <c r="O54" s="1074"/>
      <c r="P54" s="1074"/>
      <c r="Q54" s="1074"/>
      <c r="R54" s="1074"/>
      <c r="S54" s="95" t="s">
        <v>269</v>
      </c>
      <c r="T54" s="1074">
        <f>T19</f>
        <v>41652</v>
      </c>
      <c r="U54" s="1074"/>
      <c r="V54" s="1074"/>
      <c r="W54" s="1074"/>
      <c r="X54" s="1074"/>
      <c r="Y54" s="54"/>
      <c r="Z54" s="44"/>
    </row>
    <row r="55" spans="1:26" ht="15" customHeight="1">
      <c r="A55" s="41"/>
      <c r="B55" s="42"/>
      <c r="C55" s="83"/>
      <c r="D55" s="83"/>
      <c r="E55" s="83"/>
      <c r="F55" s="83"/>
      <c r="G55" s="83"/>
      <c r="H55" s="83"/>
      <c r="I55" s="84"/>
      <c r="J55" s="84"/>
      <c r="K55" s="84"/>
      <c r="L55" s="83"/>
      <c r="M55" s="83"/>
      <c r="N55" s="83"/>
      <c r="O55" s="84"/>
      <c r="P55" s="83"/>
      <c r="Q55" s="83"/>
      <c r="R55" s="83"/>
      <c r="S55" s="84"/>
      <c r="T55" s="84"/>
      <c r="U55" s="84"/>
      <c r="V55" s="84"/>
      <c r="W55" s="84"/>
      <c r="X55" s="83"/>
      <c r="Y55" s="42"/>
      <c r="Z55" s="44"/>
    </row>
    <row r="56" spans="1:26" ht="15" customHeight="1">
      <c r="A56" s="41"/>
      <c r="B56" s="42"/>
      <c r="C56" s="85" t="s">
        <v>272</v>
      </c>
      <c r="D56" s="84"/>
      <c r="E56" s="84"/>
      <c r="F56" s="84"/>
      <c r="G56" s="84"/>
      <c r="H56" s="93"/>
      <c r="I56" s="93"/>
      <c r="J56" s="93"/>
      <c r="K56" s="93"/>
      <c r="L56" s="93"/>
      <c r="M56" s="93"/>
      <c r="N56" s="93"/>
      <c r="O56" s="93"/>
      <c r="P56" s="93"/>
      <c r="Q56" s="93"/>
      <c r="R56" s="93"/>
      <c r="S56" s="93"/>
      <c r="T56" s="1074">
        <f>T21</f>
        <v>41726</v>
      </c>
      <c r="U56" s="1074"/>
      <c r="V56" s="1074"/>
      <c r="W56" s="1074"/>
      <c r="X56" s="1074"/>
      <c r="Y56" s="42"/>
      <c r="Z56" s="44"/>
    </row>
    <row r="57" spans="1:26" ht="15" customHeight="1">
      <c r="A57" s="41"/>
      <c r="B57" s="42"/>
      <c r="C57" s="85"/>
      <c r="D57" s="84"/>
      <c r="E57" s="84"/>
      <c r="F57" s="84"/>
      <c r="G57" s="84"/>
      <c r="H57" s="93"/>
      <c r="I57" s="93"/>
      <c r="J57" s="93"/>
      <c r="K57" s="93"/>
      <c r="L57" s="93"/>
      <c r="M57" s="93"/>
      <c r="N57" s="93"/>
      <c r="O57" s="93"/>
      <c r="P57" s="93"/>
      <c r="Q57" s="93"/>
      <c r="R57" s="93"/>
      <c r="S57" s="93"/>
      <c r="T57" s="100"/>
      <c r="U57" s="101"/>
      <c r="V57" s="102"/>
      <c r="W57" s="101"/>
      <c r="X57" s="101"/>
      <c r="Y57" s="42"/>
      <c r="Z57" s="44"/>
    </row>
    <row r="58" spans="1:26" ht="15" customHeight="1">
      <c r="A58" s="41"/>
      <c r="B58" s="42"/>
      <c r="C58" s="60" t="s">
        <v>111</v>
      </c>
      <c r="D58" s="24"/>
      <c r="E58" s="24"/>
      <c r="F58" s="24"/>
      <c r="G58" s="24"/>
      <c r="H58" s="61"/>
      <c r="I58" s="61"/>
      <c r="J58" s="61"/>
      <c r="K58" s="61"/>
      <c r="L58" s="61"/>
      <c r="M58" s="61"/>
      <c r="N58" s="61"/>
      <c r="O58" s="61"/>
      <c r="P58" s="61"/>
      <c r="Q58" s="61"/>
      <c r="R58" s="61"/>
      <c r="S58" s="61"/>
      <c r="T58" s="1074">
        <f>T23</f>
        <v>41761</v>
      </c>
      <c r="U58" s="1074"/>
      <c r="V58" s="1074"/>
      <c r="W58" s="1074"/>
      <c r="X58" s="1074"/>
      <c r="Y58" s="62"/>
      <c r="Z58" s="44"/>
    </row>
    <row r="59" spans="1:26" ht="15" customHeight="1">
      <c r="A59" s="41"/>
      <c r="B59" s="42"/>
      <c r="C59" s="83"/>
      <c r="D59" s="83"/>
      <c r="E59" s="83"/>
      <c r="F59" s="83"/>
      <c r="G59" s="84"/>
      <c r="H59" s="84"/>
      <c r="I59" s="84"/>
      <c r="J59" s="84"/>
      <c r="K59" s="84"/>
      <c r="L59" s="90"/>
      <c r="M59" s="84"/>
      <c r="N59" s="84"/>
      <c r="O59" s="84"/>
      <c r="P59" s="84"/>
      <c r="Q59" s="84"/>
      <c r="R59" s="84"/>
      <c r="S59" s="84"/>
      <c r="T59" s="84"/>
      <c r="U59" s="84"/>
      <c r="V59" s="84"/>
      <c r="W59" s="84"/>
      <c r="X59" s="90"/>
      <c r="Y59" s="45"/>
      <c r="Z59" s="44"/>
    </row>
    <row r="60" spans="1:26" ht="15" customHeight="1">
      <c r="A60" s="41"/>
      <c r="B60" s="47"/>
      <c r="C60" s="91"/>
      <c r="D60" s="91"/>
      <c r="E60" s="91"/>
      <c r="F60" s="91"/>
      <c r="G60" s="91"/>
      <c r="H60" s="91"/>
      <c r="I60" s="91"/>
      <c r="J60" s="91"/>
      <c r="K60" s="91"/>
      <c r="L60" s="83"/>
      <c r="M60" s="91"/>
      <c r="N60" s="91"/>
      <c r="O60" s="91"/>
      <c r="P60" s="91"/>
      <c r="Q60" s="91"/>
      <c r="R60" s="91"/>
      <c r="S60" s="91"/>
      <c r="T60" s="91"/>
      <c r="U60" s="91"/>
      <c r="V60" s="91"/>
      <c r="W60" s="91"/>
      <c r="X60" s="91"/>
      <c r="Y60" s="42"/>
      <c r="Z60" s="44"/>
    </row>
    <row r="61" spans="1:26" ht="15" customHeight="1">
      <c r="A61" s="41"/>
      <c r="B61" s="42"/>
      <c r="C61" s="85" t="s">
        <v>273</v>
      </c>
      <c r="D61" s="83"/>
      <c r="E61" s="1104" t="str">
        <f xml:space="preserve"> E26</f>
        <v>Pres.Prudente</v>
      </c>
      <c r="F61" s="1104"/>
      <c r="G61" s="1104"/>
      <c r="H61" s="1104"/>
      <c r="I61" s="1104"/>
      <c r="J61" s="1104"/>
      <c r="K61" s="1104"/>
      <c r="L61" s="83"/>
      <c r="M61" s="84"/>
      <c r="N61" s="1105" t="s">
        <v>274</v>
      </c>
      <c r="O61" s="1106"/>
      <c r="P61" s="1106"/>
      <c r="Q61" s="1106"/>
      <c r="R61" s="1106"/>
      <c r="S61" s="1106"/>
      <c r="T61" s="1074">
        <f>T26</f>
        <v>41698</v>
      </c>
      <c r="U61" s="1074"/>
      <c r="V61" s="1074"/>
      <c r="W61" s="1074"/>
      <c r="X61" s="1074"/>
      <c r="Y61" s="42"/>
      <c r="Z61" s="44"/>
    </row>
    <row r="62" spans="1:26" ht="15" customHeight="1">
      <c r="A62" s="41"/>
      <c r="B62" s="63"/>
      <c r="C62" s="90"/>
      <c r="D62" s="90"/>
      <c r="E62" s="90"/>
      <c r="F62" s="90"/>
      <c r="G62" s="90"/>
      <c r="H62" s="90"/>
      <c r="I62" s="90"/>
      <c r="J62" s="90"/>
      <c r="K62" s="90"/>
      <c r="L62" s="90"/>
      <c r="M62" s="90"/>
      <c r="N62" s="90"/>
      <c r="O62" s="90"/>
      <c r="P62" s="90"/>
      <c r="Q62" s="90"/>
      <c r="R62" s="90"/>
      <c r="S62" s="90"/>
      <c r="T62" s="90"/>
      <c r="U62" s="90"/>
      <c r="V62" s="90"/>
      <c r="W62" s="90"/>
      <c r="X62" s="90"/>
      <c r="Y62" s="64"/>
      <c r="Z62" s="44"/>
    </row>
    <row r="63" spans="1:26" ht="15" customHeight="1">
      <c r="A63" s="41"/>
      <c r="B63" s="42"/>
      <c r="C63" s="83"/>
      <c r="D63" s="83"/>
      <c r="E63" s="83"/>
      <c r="F63" s="83"/>
      <c r="G63" s="83"/>
      <c r="H63" s="83"/>
      <c r="I63" s="83"/>
      <c r="J63" s="83"/>
      <c r="K63" s="83"/>
      <c r="L63" s="103"/>
      <c r="M63" s="83"/>
      <c r="N63" s="83"/>
      <c r="O63" s="83"/>
      <c r="P63" s="83"/>
      <c r="Q63" s="83"/>
      <c r="R63" s="83"/>
      <c r="S63" s="83"/>
      <c r="T63" s="83"/>
      <c r="U63" s="83"/>
      <c r="V63" s="83"/>
      <c r="W63" s="83"/>
      <c r="X63" s="83"/>
      <c r="Y63" s="42"/>
      <c r="Z63" s="44"/>
    </row>
    <row r="64" spans="1:26" ht="15" customHeight="1">
      <c r="A64" s="41"/>
      <c r="B64" s="42"/>
      <c r="C64" s="83"/>
      <c r="D64" s="83"/>
      <c r="E64" s="83"/>
      <c r="F64" s="83"/>
      <c r="G64" s="83"/>
      <c r="H64" s="83"/>
      <c r="I64" s="83"/>
      <c r="J64" s="83"/>
      <c r="K64" s="83"/>
      <c r="L64" s="104"/>
      <c r="M64" s="83"/>
      <c r="N64" s="1107" t="s">
        <v>56</v>
      </c>
      <c r="O64" s="1106"/>
      <c r="P64" s="1106"/>
      <c r="Q64" s="1106"/>
      <c r="R64" s="1106"/>
      <c r="S64" s="1106"/>
      <c r="T64" s="1074">
        <f>T29</f>
        <v>41698</v>
      </c>
      <c r="U64" s="1074"/>
      <c r="V64" s="1074"/>
      <c r="W64" s="1074"/>
      <c r="X64" s="1074"/>
      <c r="Y64" s="105"/>
      <c r="Z64" s="44"/>
    </row>
    <row r="65" spans="1:45" ht="15" customHeight="1">
      <c r="A65" s="41"/>
      <c r="B65" s="42"/>
      <c r="C65" s="83"/>
      <c r="D65" s="83"/>
      <c r="E65" s="84"/>
      <c r="F65" s="84"/>
      <c r="G65" s="84"/>
      <c r="H65" s="84"/>
      <c r="I65" s="84"/>
      <c r="J65" s="84"/>
      <c r="K65" s="83"/>
      <c r="L65" s="104"/>
      <c r="M65" s="83"/>
      <c r="N65" s="83"/>
      <c r="O65" s="83"/>
      <c r="P65" s="83"/>
      <c r="Q65" s="83"/>
      <c r="R65" s="83"/>
      <c r="S65" s="83"/>
      <c r="T65" s="83"/>
      <c r="U65" s="83"/>
      <c r="V65" s="83"/>
      <c r="W65" s="83"/>
      <c r="X65" s="83"/>
      <c r="Y65" s="42"/>
      <c r="Z65" s="44"/>
    </row>
    <row r="66" spans="1:45" ht="15" customHeight="1">
      <c r="A66" s="41"/>
      <c r="B66" s="42"/>
      <c r="C66" s="83" t="s">
        <v>57</v>
      </c>
      <c r="D66" s="83"/>
      <c r="E66" s="1101" t="s">
        <v>58</v>
      </c>
      <c r="F66" s="1101"/>
      <c r="G66" s="1101"/>
      <c r="H66" s="1101"/>
      <c r="I66" s="1101"/>
      <c r="J66" s="1101"/>
      <c r="K66" s="106"/>
      <c r="L66" s="107"/>
      <c r="M66" s="106"/>
      <c r="N66" s="106"/>
      <c r="O66" s="108"/>
      <c r="P66" s="108"/>
      <c r="Q66" s="108"/>
      <c r="R66" s="108"/>
      <c r="S66" s="108"/>
      <c r="T66" s="108"/>
      <c r="U66" s="108"/>
      <c r="V66" s="108"/>
      <c r="W66" s="83"/>
      <c r="X66" s="83"/>
      <c r="Y66" s="42"/>
      <c r="Z66" s="44"/>
      <c r="AA66" s="123"/>
    </row>
    <row r="67" spans="1:45" ht="15" customHeight="1">
      <c r="A67" s="41"/>
      <c r="B67" s="42"/>
      <c r="C67" s="42" t="s">
        <v>112</v>
      </c>
      <c r="D67" s="83"/>
      <c r="E67" s="106"/>
      <c r="F67" s="106"/>
      <c r="G67" s="106"/>
      <c r="H67" s="106"/>
      <c r="I67" s="106"/>
      <c r="J67" s="106"/>
      <c r="K67" s="106"/>
      <c r="L67" s="107"/>
      <c r="M67" s="106"/>
      <c r="N67" s="109"/>
      <c r="O67" s="1093" t="s">
        <v>59</v>
      </c>
      <c r="P67" s="1094"/>
      <c r="Q67" s="1094"/>
      <c r="R67" s="1094"/>
      <c r="S67" s="1094"/>
      <c r="T67" s="1094"/>
      <c r="U67" s="1094"/>
      <c r="V67" s="1094"/>
      <c r="W67" s="83"/>
      <c r="X67" s="83"/>
      <c r="Y67" s="42"/>
      <c r="Z67" s="44"/>
      <c r="AA67" s="123"/>
    </row>
    <row r="68" spans="1:45" ht="15" customHeight="1" thickBot="1">
      <c r="A68" s="41"/>
      <c r="B68" s="71"/>
      <c r="C68" s="110" t="str">
        <f>TB!B34</f>
        <v>(FÉRIAS JANEIRO 2014) - ATUALIZADO 03/2014 - V14 (19/03/2013)</v>
      </c>
      <c r="D68" s="111"/>
      <c r="E68" s="111"/>
      <c r="F68" s="111"/>
      <c r="G68" s="112"/>
      <c r="H68" s="113"/>
      <c r="I68" s="113"/>
      <c r="J68" s="113"/>
      <c r="K68" s="113"/>
      <c r="L68" s="114"/>
      <c r="M68" s="113"/>
      <c r="N68" s="113"/>
      <c r="O68" s="113"/>
      <c r="P68" s="113"/>
      <c r="Q68" s="113"/>
      <c r="R68" s="113"/>
      <c r="S68" s="113"/>
      <c r="T68" s="113"/>
      <c r="U68" s="113"/>
      <c r="V68" s="113"/>
      <c r="W68" s="113"/>
      <c r="X68" s="113"/>
      <c r="Y68" s="76"/>
      <c r="Z68" s="44"/>
    </row>
    <row r="69" spans="1:45" ht="13.5" thickTop="1">
      <c r="A69" s="77"/>
      <c r="B69" s="42"/>
      <c r="C69" s="42"/>
      <c r="D69" s="42"/>
      <c r="E69" s="42"/>
      <c r="F69" s="42"/>
      <c r="G69" s="42"/>
      <c r="H69" s="42"/>
      <c r="I69" s="42"/>
      <c r="J69" s="42"/>
      <c r="K69" s="42"/>
      <c r="L69" s="42"/>
      <c r="M69" s="42" t="s">
        <v>108</v>
      </c>
      <c r="N69" s="42"/>
      <c r="O69" s="42"/>
      <c r="P69" s="42"/>
      <c r="Q69" s="42"/>
      <c r="R69" s="42"/>
      <c r="S69" s="42"/>
      <c r="T69" s="42"/>
      <c r="U69" s="42"/>
      <c r="V69" s="42"/>
      <c r="W69" s="42"/>
      <c r="X69" s="42"/>
      <c r="Y69" s="42"/>
      <c r="Z69" s="42"/>
    </row>
    <row r="70" spans="1:45">
      <c r="A70" s="77"/>
      <c r="B70" s="42"/>
      <c r="C70" s="42"/>
      <c r="D70" s="42"/>
      <c r="E70" s="42"/>
      <c r="F70" s="42"/>
      <c r="G70" s="42"/>
      <c r="H70" s="42"/>
      <c r="I70" s="42"/>
      <c r="J70" s="42"/>
      <c r="K70" s="42"/>
      <c r="L70" s="42"/>
      <c r="M70" s="42"/>
      <c r="N70" s="42"/>
      <c r="O70" s="42"/>
      <c r="P70" s="42"/>
      <c r="Q70" s="42"/>
      <c r="R70" s="42"/>
      <c r="S70" s="42"/>
      <c r="T70" s="42"/>
      <c r="U70" s="42"/>
      <c r="V70" s="42"/>
      <c r="W70" s="42"/>
      <c r="X70" s="42"/>
      <c r="Y70" s="42"/>
      <c r="Z70" s="42"/>
      <c r="AA70" s="123"/>
      <c r="AB70" s="123"/>
      <c r="AC70" s="123"/>
      <c r="AD70" s="123"/>
      <c r="AE70" s="123"/>
      <c r="AF70" s="123"/>
      <c r="AG70" s="123"/>
      <c r="AH70" s="123"/>
      <c r="AI70" s="123"/>
      <c r="AJ70" s="123"/>
      <c r="AK70" s="123"/>
      <c r="AL70" s="123"/>
      <c r="AM70" s="123"/>
      <c r="AN70" s="123"/>
      <c r="AO70" s="123"/>
      <c r="AP70" s="123"/>
      <c r="AQ70" s="123"/>
      <c r="AR70" s="123"/>
      <c r="AS70" s="123"/>
    </row>
    <row r="71" spans="1:45">
      <c r="A71" s="39"/>
      <c r="B71" s="4"/>
      <c r="C71" s="4"/>
      <c r="D71" s="4"/>
      <c r="E71" s="4"/>
      <c r="F71" s="4"/>
      <c r="G71" s="4"/>
      <c r="H71" s="4"/>
      <c r="I71" s="4"/>
      <c r="J71" s="4"/>
      <c r="K71" s="4"/>
      <c r="L71" s="4"/>
      <c r="M71" s="4"/>
      <c r="N71" s="4"/>
      <c r="O71" s="4"/>
      <c r="P71" s="4"/>
      <c r="Q71" s="4"/>
      <c r="R71" s="4"/>
      <c r="S71" s="4"/>
      <c r="T71" s="4"/>
      <c r="U71" s="4"/>
      <c r="V71" s="4"/>
      <c r="W71" s="4"/>
      <c r="X71" s="4"/>
      <c r="Y71" s="4"/>
      <c r="Z71" s="4"/>
    </row>
    <row r="72" spans="1:45" customFormat="1">
      <c r="A72" s="4"/>
      <c r="B72" s="4"/>
      <c r="C72" s="4"/>
      <c r="D72" s="4"/>
      <c r="E72" s="4"/>
      <c r="F72" s="4"/>
      <c r="G72" s="4"/>
      <c r="H72" s="4"/>
      <c r="I72" s="4"/>
      <c r="J72" s="4"/>
      <c r="K72" s="4"/>
      <c r="L72" s="4"/>
      <c r="M72" s="4"/>
      <c r="N72" s="4"/>
      <c r="O72" s="4"/>
      <c r="P72" s="4"/>
      <c r="Q72" s="4"/>
      <c r="R72" s="4"/>
      <c r="S72" s="4"/>
      <c r="T72" s="4"/>
      <c r="U72" s="4"/>
      <c r="V72" s="4"/>
      <c r="W72" s="4"/>
      <c r="X72" s="4"/>
      <c r="Y72" s="4"/>
      <c r="Z72" s="4"/>
    </row>
    <row r="73" spans="1:45" customFormat="1"/>
    <row r="74" spans="1:45" customFormat="1"/>
    <row r="75" spans="1:45" customFormat="1"/>
    <row r="76" spans="1:45" customFormat="1"/>
    <row r="77" spans="1:45" customFormat="1"/>
    <row r="78" spans="1:45" customFormat="1"/>
    <row r="79" spans="1:45" customFormat="1"/>
    <row r="80" spans="1:45"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sheetData>
  <sheetProtection password="CEBA" sheet="1" selectLockedCells="1"/>
  <mergeCells count="52">
    <mergeCell ref="E66:J66"/>
    <mergeCell ref="V49:X49"/>
    <mergeCell ref="N54:R54"/>
    <mergeCell ref="T54:X54"/>
    <mergeCell ref="T52:X52"/>
    <mergeCell ref="O49:R49"/>
    <mergeCell ref="C54:M54"/>
    <mergeCell ref="T58:X58"/>
    <mergeCell ref="N52:R52"/>
    <mergeCell ref="E61:K61"/>
    <mergeCell ref="N61:S61"/>
    <mergeCell ref="N64:S64"/>
    <mergeCell ref="E26:K26"/>
    <mergeCell ref="E31:J31"/>
    <mergeCell ref="G47:P47"/>
    <mergeCell ref="O67:V67"/>
    <mergeCell ref="T56:X56"/>
    <mergeCell ref="T64:X64"/>
    <mergeCell ref="T61:X61"/>
    <mergeCell ref="C37:X38"/>
    <mergeCell ref="F40:P40"/>
    <mergeCell ref="S40:X40"/>
    <mergeCell ref="G49:L49"/>
    <mergeCell ref="G45:X45"/>
    <mergeCell ref="F42:M42"/>
    <mergeCell ref="O42:P42"/>
    <mergeCell ref="S42:X42"/>
    <mergeCell ref="S47:X47"/>
    <mergeCell ref="T21:X21"/>
    <mergeCell ref="N17:R17"/>
    <mergeCell ref="T17:X17"/>
    <mergeCell ref="O14:R14"/>
    <mergeCell ref="T19:X19"/>
    <mergeCell ref="C2:X3"/>
    <mergeCell ref="C19:M19"/>
    <mergeCell ref="F5:P5"/>
    <mergeCell ref="F7:M7"/>
    <mergeCell ref="O7:P7"/>
    <mergeCell ref="S5:X5"/>
    <mergeCell ref="S7:X7"/>
    <mergeCell ref="G10:X10"/>
    <mergeCell ref="N19:R19"/>
    <mergeCell ref="G12:P12"/>
    <mergeCell ref="S12:X12"/>
    <mergeCell ref="V14:X14"/>
    <mergeCell ref="G14:K14"/>
    <mergeCell ref="O32:V32"/>
    <mergeCell ref="N26:S26"/>
    <mergeCell ref="T26:X26"/>
    <mergeCell ref="T29:X29"/>
    <mergeCell ref="T23:X23"/>
    <mergeCell ref="N29:S29"/>
  </mergeCells>
  <phoneticPr fontId="0" type="noConversion"/>
  <printOptions horizontalCentered="1" verticalCentered="1"/>
  <pageMargins left="0" right="0.19685039370078741" top="0.39370078740157483" bottom="0.39370078740157483" header="0.31496062992125984" footer="0.31496062992125984"/>
  <pageSetup paperSize="9" scale="70" orientation="portrait" blackAndWhite="1" horizontalDpi="4294967295" verticalDpi="36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sheetPr codeName="Plan5"/>
  <dimension ref="A1:BO73"/>
  <sheetViews>
    <sheetView zoomScale="75" zoomScaleNormal="100" zoomScaleSheetLayoutView="100" workbookViewId="0">
      <pane xSplit="26" ySplit="3" topLeftCell="AA4" activePane="bottomRight" state="frozen"/>
      <selection pane="topRight" activeCell="AA1" sqref="AA1"/>
      <selection pane="bottomLeft" activeCell="A4" sqref="A4"/>
      <selection pane="bottomRight" activeCell="AA61" sqref="AA61"/>
    </sheetView>
  </sheetViews>
  <sheetFormatPr defaultRowHeight="12.75"/>
  <cols>
    <col min="1" max="1" width="2.28515625" style="1" customWidth="1"/>
    <col min="2" max="2" width="1.140625" style="1" customWidth="1"/>
    <col min="3" max="3" width="4.7109375" style="1" customWidth="1"/>
    <col min="4" max="4" width="3.7109375" style="1" customWidth="1"/>
    <col min="5" max="5" width="5.140625" style="1" customWidth="1"/>
    <col min="6" max="6" width="14.140625" style="1" customWidth="1"/>
    <col min="7" max="9" width="5.7109375" style="1" customWidth="1"/>
    <col min="10" max="10" width="2" style="1" customWidth="1"/>
    <col min="11" max="11" width="14.42578125" style="1" customWidth="1"/>
    <col min="12" max="12" width="3.7109375" style="1" customWidth="1"/>
    <col min="13" max="13" width="8.140625" style="1" customWidth="1"/>
    <col min="14" max="14" width="3.7109375" style="1" customWidth="1"/>
    <col min="15" max="15" width="1.7109375" style="1" customWidth="1"/>
    <col min="16" max="16" width="12.7109375" style="1" customWidth="1"/>
    <col min="17" max="17" width="1.7109375" style="1" customWidth="1"/>
    <col min="18" max="18" width="6.7109375" style="1" customWidth="1"/>
    <col min="19" max="20" width="3.7109375" style="1" customWidth="1"/>
    <col min="21" max="21" width="1.7109375" style="1" customWidth="1"/>
    <col min="22" max="22" width="12.7109375" style="1" customWidth="1"/>
    <col min="23" max="23" width="1.7109375" style="1" customWidth="1"/>
    <col min="24" max="24" width="6.7109375" style="1" customWidth="1"/>
    <col min="25" max="25" width="1.140625" style="1" customWidth="1"/>
    <col min="26" max="26" width="4.140625" style="1" customWidth="1"/>
    <col min="27" max="16384" width="9.140625" style="122"/>
  </cols>
  <sheetData>
    <row r="1" spans="1:67" ht="5.25" customHeight="1" thickBot="1">
      <c r="A1" s="4"/>
      <c r="B1" s="40"/>
      <c r="C1" s="40"/>
      <c r="D1" s="40"/>
      <c r="E1" s="40"/>
      <c r="F1" s="40"/>
      <c r="G1" s="40"/>
      <c r="H1" s="40"/>
      <c r="I1" s="40"/>
      <c r="J1" s="40"/>
      <c r="K1" s="40"/>
      <c r="L1" s="40"/>
      <c r="M1" s="40"/>
      <c r="N1" s="40"/>
      <c r="O1" s="40"/>
      <c r="P1" s="40"/>
      <c r="Q1" s="40"/>
      <c r="R1" s="40"/>
      <c r="S1" s="40"/>
      <c r="T1" s="40"/>
      <c r="U1" s="40"/>
      <c r="V1" s="40"/>
      <c r="W1" s="40"/>
      <c r="X1" s="40"/>
      <c r="Y1" s="40"/>
      <c r="Z1" s="4"/>
    </row>
    <row r="2" spans="1:67" s="124" customFormat="1" ht="28.5" customHeight="1" thickTop="1">
      <c r="A2" s="126"/>
      <c r="B2" s="339"/>
      <c r="C2" s="1119" t="s">
        <v>60</v>
      </c>
      <c r="D2" s="1119"/>
      <c r="E2" s="1119"/>
      <c r="F2" s="1119"/>
      <c r="G2" s="1120"/>
      <c r="H2" s="1120"/>
      <c r="I2" s="1120"/>
      <c r="J2" s="1120"/>
      <c r="K2" s="1120"/>
      <c r="L2" s="1120"/>
      <c r="M2" s="1120"/>
      <c r="N2" s="1120"/>
      <c r="O2" s="1120"/>
      <c r="P2" s="1120"/>
      <c r="Q2" s="1120"/>
      <c r="R2" s="1120"/>
      <c r="S2" s="1120"/>
      <c r="T2" s="1120"/>
      <c r="U2" s="1120"/>
      <c r="V2" s="1121"/>
      <c r="W2" s="1121"/>
      <c r="X2" s="1121"/>
      <c r="Y2" s="340"/>
      <c r="Z2" s="155"/>
    </row>
    <row r="3" spans="1:67" s="124" customFormat="1" ht="24.75" customHeight="1">
      <c r="A3" s="126"/>
      <c r="B3" s="341"/>
      <c r="C3" s="1122"/>
      <c r="D3" s="1122"/>
      <c r="E3" s="1122"/>
      <c r="F3" s="1122"/>
      <c r="G3" s="1122"/>
      <c r="H3" s="1122"/>
      <c r="I3" s="1122"/>
      <c r="J3" s="1122"/>
      <c r="K3" s="1122"/>
      <c r="L3" s="1122"/>
      <c r="M3" s="1122"/>
      <c r="N3" s="1122"/>
      <c r="O3" s="1122"/>
      <c r="P3" s="1122"/>
      <c r="Q3" s="1122"/>
      <c r="R3" s="1122"/>
      <c r="S3" s="1122"/>
      <c r="T3" s="1122"/>
      <c r="U3" s="1122"/>
      <c r="V3" s="1123"/>
      <c r="W3" s="1123"/>
      <c r="X3" s="1123"/>
      <c r="Y3" s="342"/>
      <c r="Z3" s="15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 customHeight="1">
      <c r="A4" s="131"/>
      <c r="B4" s="42"/>
      <c r="C4" s="83"/>
      <c r="D4" s="83"/>
      <c r="E4" s="83"/>
      <c r="F4" s="83"/>
      <c r="G4" s="83"/>
      <c r="H4" s="83"/>
      <c r="I4" s="83"/>
      <c r="J4" s="83"/>
      <c r="K4" s="83"/>
      <c r="L4" s="83"/>
      <c r="M4" s="83"/>
      <c r="N4" s="83"/>
      <c r="O4" s="83"/>
      <c r="P4" s="83"/>
      <c r="Q4" s="83"/>
      <c r="R4" s="83"/>
      <c r="S4" s="83"/>
      <c r="T4" s="83"/>
      <c r="U4" s="83"/>
      <c r="V4" s="83"/>
      <c r="W4" s="83"/>
      <c r="X4" s="83"/>
      <c r="Y4" s="131"/>
      <c r="Z4" s="42"/>
      <c r="AA4" s="123"/>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3"/>
      <c r="AZ4" s="123"/>
      <c r="BA4" s="123"/>
      <c r="BB4" s="123"/>
      <c r="BC4" s="123"/>
      <c r="BD4" s="123"/>
      <c r="BE4" s="123"/>
      <c r="BF4" s="123"/>
      <c r="BG4" s="123"/>
      <c r="BH4" s="123"/>
      <c r="BI4" s="123"/>
      <c r="BJ4" s="123"/>
      <c r="BK4" s="123"/>
      <c r="BL4" s="123"/>
      <c r="BM4" s="123"/>
      <c r="BN4" s="123"/>
      <c r="BO4" s="123"/>
    </row>
    <row r="5" spans="1:67" ht="15" customHeight="1">
      <c r="A5" s="131"/>
      <c r="B5" s="42"/>
      <c r="C5" s="85" t="s">
        <v>262</v>
      </c>
      <c r="D5" s="86"/>
      <c r="E5" s="86"/>
      <c r="F5" s="86"/>
      <c r="G5" s="1092" t="str">
        <f>IF(DADOS!$K$3=1,AV!G10,IF(DADOS!$K$3=2," "))</f>
        <v xml:space="preserve"> </v>
      </c>
      <c r="H5" s="1092"/>
      <c r="I5" s="1092"/>
      <c r="J5" s="1092"/>
      <c r="K5" s="1092"/>
      <c r="L5" s="1092"/>
      <c r="M5" s="1092"/>
      <c r="N5" s="1092"/>
      <c r="O5" s="1092"/>
      <c r="P5" s="1092"/>
      <c r="Q5" s="1092"/>
      <c r="R5" s="1092"/>
      <c r="S5" s="1092"/>
      <c r="T5" s="1092"/>
      <c r="U5" s="1092"/>
      <c r="V5" s="1092"/>
      <c r="W5" s="1092"/>
      <c r="X5" s="1092"/>
      <c r="Y5" s="131"/>
      <c r="Z5" s="42"/>
    </row>
    <row r="6" spans="1:67" ht="15" customHeight="1">
      <c r="A6" s="131"/>
      <c r="B6" s="42"/>
      <c r="C6" s="83"/>
      <c r="D6" s="83"/>
      <c r="E6" s="83"/>
      <c r="F6" s="83"/>
      <c r="G6" s="83"/>
      <c r="H6" s="83"/>
      <c r="I6" s="83"/>
      <c r="J6" s="83"/>
      <c r="K6" s="83"/>
      <c r="L6" s="83"/>
      <c r="M6" s="83"/>
      <c r="N6" s="83"/>
      <c r="O6" s="83"/>
      <c r="P6" s="83"/>
      <c r="Q6" s="83"/>
      <c r="R6" s="83"/>
      <c r="S6" s="83"/>
      <c r="T6" s="83"/>
      <c r="U6" s="83"/>
      <c r="V6" s="83"/>
      <c r="W6" s="83"/>
      <c r="X6" s="83"/>
      <c r="Y6" s="131"/>
      <c r="Z6" s="42"/>
    </row>
    <row r="7" spans="1:67" ht="15" customHeight="1">
      <c r="A7" s="131"/>
      <c r="B7" s="42"/>
      <c r="C7" s="85" t="s">
        <v>263</v>
      </c>
      <c r="D7" s="86"/>
      <c r="E7" s="86"/>
      <c r="F7" s="86"/>
      <c r="G7" s="1091" t="str">
        <f>IF(DADOS!$K$3=1,AV!G12,IF(DADOS!K3=2, " "))</f>
        <v xml:space="preserve"> </v>
      </c>
      <c r="H7" s="1092"/>
      <c r="I7" s="1092"/>
      <c r="J7" s="1092"/>
      <c r="K7" s="1092"/>
      <c r="L7" s="1092"/>
      <c r="M7" s="1092"/>
      <c r="N7" s="1092"/>
      <c r="O7" s="1092"/>
      <c r="P7" s="1092"/>
      <c r="Q7" s="1109" t="s">
        <v>264</v>
      </c>
      <c r="R7" s="1110"/>
      <c r="S7" s="1092" t="str">
        <f>IF(DADOS!K3=1,AV!S12,IF(DADOS!K3=2," "))</f>
        <v xml:space="preserve"> </v>
      </c>
      <c r="T7" s="1092"/>
      <c r="U7" s="1092"/>
      <c r="V7" s="1092"/>
      <c r="W7" s="1092"/>
      <c r="X7" s="1092"/>
      <c r="Y7" s="131"/>
      <c r="Z7" s="42"/>
    </row>
    <row r="8" spans="1:67" ht="15" customHeight="1">
      <c r="A8" s="131"/>
      <c r="B8" s="42"/>
      <c r="C8" s="83"/>
      <c r="D8" s="83"/>
      <c r="E8" s="83"/>
      <c r="F8" s="83"/>
      <c r="G8" s="133"/>
      <c r="H8" s="133"/>
      <c r="I8" s="133"/>
      <c r="J8" s="133"/>
      <c r="K8" s="133"/>
      <c r="L8" s="133"/>
      <c r="M8" s="133"/>
      <c r="N8" s="133"/>
      <c r="O8" s="133"/>
      <c r="P8" s="133"/>
      <c r="Q8" s="133"/>
      <c r="R8" s="133"/>
      <c r="S8" s="133"/>
      <c r="T8" s="133"/>
      <c r="U8" s="133"/>
      <c r="V8" s="133"/>
      <c r="W8" s="133"/>
      <c r="X8" s="133"/>
      <c r="Y8" s="131"/>
      <c r="Z8" s="42"/>
    </row>
    <row r="9" spans="1:67" ht="15" customHeight="1">
      <c r="A9" s="131"/>
      <c r="B9" s="42"/>
      <c r="C9" s="85" t="s">
        <v>265</v>
      </c>
      <c r="D9" s="86"/>
      <c r="E9" s="86"/>
      <c r="F9" s="134"/>
      <c r="G9" s="1092" t="str">
        <f>IF(DADOS!K3=1,AV!G14,IF(DADOS!K3=2, " "))</f>
        <v xml:space="preserve"> </v>
      </c>
      <c r="H9" s="1092"/>
      <c r="I9" s="1092"/>
      <c r="J9" s="1092"/>
      <c r="K9" s="1092"/>
      <c r="L9" s="1092"/>
      <c r="M9" s="1109" t="s">
        <v>266</v>
      </c>
      <c r="N9" s="1110"/>
      <c r="O9" s="1092" t="str">
        <f>IF(DADOS!K3=1,AV!O14,IF(DADOS!K3=2, " "))</f>
        <v xml:space="preserve"> </v>
      </c>
      <c r="P9" s="1092"/>
      <c r="Q9" s="1092"/>
      <c r="R9" s="1092"/>
      <c r="S9" s="1111" t="s">
        <v>267</v>
      </c>
      <c r="T9" s="1118"/>
      <c r="U9" s="1110"/>
      <c r="V9" s="1092" t="str">
        <f>IF(DADOS!K3=1,AV!V14,IF(DADOS!K3=2," " ))</f>
        <v xml:space="preserve"> </v>
      </c>
      <c r="W9" s="1092"/>
      <c r="X9" s="1092"/>
      <c r="Y9" s="131"/>
      <c r="Z9" s="4"/>
    </row>
    <row r="10" spans="1:67" ht="15" customHeight="1">
      <c r="A10" s="131"/>
      <c r="B10" s="45"/>
      <c r="C10" s="90"/>
      <c r="D10" s="90"/>
      <c r="E10" s="90"/>
      <c r="F10" s="90"/>
      <c r="G10" s="90"/>
      <c r="H10" s="90"/>
      <c r="I10" s="90"/>
      <c r="J10" s="90"/>
      <c r="K10" s="90"/>
      <c r="L10" s="90"/>
      <c r="M10" s="90"/>
      <c r="N10" s="90"/>
      <c r="O10" s="90"/>
      <c r="P10" s="90"/>
      <c r="Q10" s="90"/>
      <c r="R10" s="90"/>
      <c r="S10" s="90"/>
      <c r="T10" s="90"/>
      <c r="U10" s="90"/>
      <c r="V10" s="90"/>
      <c r="W10" s="90"/>
      <c r="X10" s="90"/>
      <c r="Y10" s="64"/>
      <c r="Z10" s="4"/>
    </row>
    <row r="11" spans="1:67" ht="15" customHeight="1">
      <c r="A11" s="131"/>
      <c r="B11" s="4"/>
      <c r="C11" s="83"/>
      <c r="D11" s="83"/>
      <c r="E11" s="83"/>
      <c r="F11" s="83"/>
      <c r="G11" s="83"/>
      <c r="H11" s="83"/>
      <c r="I11" s="83"/>
      <c r="J11" s="83"/>
      <c r="K11" s="83"/>
      <c r="L11" s="83"/>
      <c r="M11" s="83"/>
      <c r="N11" s="83"/>
      <c r="O11" s="83"/>
      <c r="P11" s="83"/>
      <c r="Q11" s="83"/>
      <c r="R11" s="83"/>
      <c r="S11" s="83"/>
      <c r="T11" s="83"/>
      <c r="U11" s="83"/>
      <c r="V11" s="83"/>
      <c r="W11" s="83"/>
      <c r="X11" s="83"/>
      <c r="Y11" s="131"/>
      <c r="Z11" s="4"/>
    </row>
    <row r="12" spans="1:67" ht="15" customHeight="1">
      <c r="A12" s="131"/>
      <c r="B12" s="42"/>
      <c r="C12" s="85" t="s">
        <v>257</v>
      </c>
      <c r="D12" s="86"/>
      <c r="E12" s="86"/>
      <c r="F12" s="1092" t="str">
        <f>IF(DADOS!K3=1,AV!F5,IF(DADOS!K3=2," "))</f>
        <v xml:space="preserve"> </v>
      </c>
      <c r="G12" s="1098"/>
      <c r="H12" s="1098"/>
      <c r="I12" s="1098"/>
      <c r="J12" s="1098"/>
      <c r="K12" s="1098"/>
      <c r="L12" s="1098"/>
      <c r="M12" s="1098"/>
      <c r="N12" s="1098"/>
      <c r="O12" s="1098"/>
      <c r="P12" s="1098"/>
      <c r="Q12" s="1125" t="s">
        <v>258</v>
      </c>
      <c r="R12" s="1126"/>
      <c r="S12" s="1099" t="str">
        <f>IF(DADOS!K3=1,AV!S5,IF(DADOS!K3=2," "))</f>
        <v xml:space="preserve"> </v>
      </c>
      <c r="T12" s="1099"/>
      <c r="U12" s="1099"/>
      <c r="V12" s="1099"/>
      <c r="W12" s="1099"/>
      <c r="X12" s="1099"/>
      <c r="Y12" s="131"/>
      <c r="Z12" s="4"/>
    </row>
    <row r="13" spans="1:67" ht="15" customHeight="1">
      <c r="A13" s="131"/>
      <c r="B13" s="42"/>
      <c r="C13" s="83"/>
      <c r="D13" s="83"/>
      <c r="E13" s="83"/>
      <c r="F13" s="133"/>
      <c r="G13" s="133"/>
      <c r="H13" s="133"/>
      <c r="I13" s="133"/>
      <c r="J13" s="133"/>
      <c r="K13" s="133"/>
      <c r="L13" s="133"/>
      <c r="M13" s="133"/>
      <c r="N13" s="133"/>
      <c r="O13" s="133"/>
      <c r="P13" s="133"/>
      <c r="Q13" s="133"/>
      <c r="R13" s="133"/>
      <c r="S13" s="133"/>
      <c r="T13" s="133"/>
      <c r="U13" s="133"/>
      <c r="V13" s="133"/>
      <c r="W13" s="133"/>
      <c r="X13" s="133"/>
      <c r="Y13" s="131"/>
      <c r="Z13" s="4"/>
    </row>
    <row r="14" spans="1:67" ht="15" customHeight="1">
      <c r="A14" s="131"/>
      <c r="B14" s="42"/>
      <c r="C14" s="85" t="s">
        <v>259</v>
      </c>
      <c r="D14" s="86"/>
      <c r="E14" s="86"/>
      <c r="F14" s="1111" t="str">
        <f>IF(DADOS!K3=1,AV!F7,IF(DADOS!K3=2," "))</f>
        <v xml:space="preserve"> </v>
      </c>
      <c r="G14" s="1112"/>
      <c r="H14" s="1112"/>
      <c r="I14" s="1112"/>
      <c r="J14" s="1112"/>
      <c r="K14" s="1112"/>
      <c r="L14" s="1112"/>
      <c r="M14" s="1112"/>
      <c r="N14" s="135" t="s">
        <v>260</v>
      </c>
      <c r="O14" s="1091" t="str">
        <f>IF(DADOS!K3=1,AV!O7,IF(DADOS!K3=2," "))</f>
        <v xml:space="preserve"> </v>
      </c>
      <c r="P14" s="1092"/>
      <c r="Q14" s="1111" t="s">
        <v>261</v>
      </c>
      <c r="R14" s="1110"/>
      <c r="S14" s="1092" t="str">
        <f>IF(DADOS!K3=1,AV!S7,IF(DADOS!K3=2," "))</f>
        <v xml:space="preserve"> </v>
      </c>
      <c r="T14" s="1092"/>
      <c r="U14" s="1092"/>
      <c r="V14" s="1092"/>
      <c r="W14" s="1092"/>
      <c r="X14" s="1092"/>
      <c r="Y14" s="131"/>
      <c r="Z14" s="4"/>
    </row>
    <row r="15" spans="1:67" ht="15" customHeight="1">
      <c r="A15" s="131"/>
      <c r="B15" s="45"/>
      <c r="C15" s="90"/>
      <c r="D15" s="90"/>
      <c r="E15" s="90"/>
      <c r="F15" s="90"/>
      <c r="G15" s="90"/>
      <c r="H15" s="90"/>
      <c r="I15" s="90"/>
      <c r="J15" s="90"/>
      <c r="K15" s="90"/>
      <c r="L15" s="90"/>
      <c r="M15" s="90"/>
      <c r="N15" s="90"/>
      <c r="O15" s="90"/>
      <c r="P15" s="90"/>
      <c r="Q15" s="90"/>
      <c r="R15" s="90"/>
      <c r="S15" s="90"/>
      <c r="T15" s="90"/>
      <c r="U15" s="90"/>
      <c r="V15" s="90"/>
      <c r="W15" s="90"/>
      <c r="X15" s="90"/>
      <c r="Y15" s="64"/>
      <c r="Z15" s="4"/>
    </row>
    <row r="16" spans="1:67" ht="15" customHeight="1">
      <c r="A16" s="131"/>
      <c r="B16" s="4"/>
      <c r="C16" s="83"/>
      <c r="D16" s="83"/>
      <c r="E16" s="83"/>
      <c r="F16" s="83"/>
      <c r="G16" s="83"/>
      <c r="H16" s="83"/>
      <c r="I16" s="83"/>
      <c r="J16" s="83"/>
      <c r="K16" s="83"/>
      <c r="L16" s="83"/>
      <c r="M16" s="83"/>
      <c r="N16" s="83"/>
      <c r="O16" s="83"/>
      <c r="P16" s="83"/>
      <c r="Q16" s="83"/>
      <c r="R16" s="83"/>
      <c r="S16" s="83"/>
      <c r="T16" s="83"/>
      <c r="U16" s="83"/>
      <c r="V16" s="83"/>
      <c r="W16" s="83"/>
      <c r="X16" s="83"/>
      <c r="Y16" s="131"/>
      <c r="Z16" s="4"/>
    </row>
    <row r="17" spans="1:26" s="123" customFormat="1" ht="15" customHeight="1">
      <c r="A17" s="131"/>
      <c r="B17" s="42"/>
      <c r="C17" s="1114" t="s">
        <v>61</v>
      </c>
      <c r="D17" s="1115"/>
      <c r="E17" s="1115"/>
      <c r="F17" s="1115"/>
      <c r="G17" s="1115"/>
      <c r="H17" s="1115"/>
      <c r="I17" s="1115"/>
      <c r="J17" s="1115"/>
      <c r="K17" s="1115"/>
      <c r="L17" s="1115"/>
      <c r="M17" s="1115"/>
      <c r="N17" s="83"/>
      <c r="O17" s="83"/>
      <c r="P17" s="83"/>
      <c r="Q17" s="83"/>
      <c r="R17" s="83"/>
      <c r="S17" s="83"/>
      <c r="T17" s="83"/>
      <c r="U17" s="83"/>
      <c r="V17" s="83"/>
      <c r="W17" s="83"/>
      <c r="X17" s="83"/>
      <c r="Y17" s="131"/>
      <c r="Z17" s="42"/>
    </row>
    <row r="18" spans="1:26" s="123" customFormat="1" ht="15" customHeight="1">
      <c r="A18" s="131"/>
      <c r="B18" s="42"/>
      <c r="C18" s="1124"/>
      <c r="D18" s="1124"/>
      <c r="E18" s="1124"/>
      <c r="F18" s="1124"/>
      <c r="G18" s="1124"/>
      <c r="H18" s="1124"/>
      <c r="I18" s="1124"/>
      <c r="J18" s="1124"/>
      <c r="K18" s="1124"/>
      <c r="L18" s="1124"/>
      <c r="M18" s="1124"/>
      <c r="N18" s="83"/>
      <c r="O18" s="83"/>
      <c r="P18" s="83"/>
      <c r="Q18" s="83"/>
      <c r="R18" s="83"/>
      <c r="S18" s="83"/>
      <c r="T18" s="83"/>
      <c r="U18" s="83"/>
      <c r="V18" s="83"/>
      <c r="W18" s="83"/>
      <c r="X18" s="83"/>
      <c r="Y18" s="131"/>
      <c r="Z18" s="42"/>
    </row>
    <row r="19" spans="1:26" s="123" customFormat="1" ht="15" customHeight="1">
      <c r="A19" s="131"/>
      <c r="B19" s="42"/>
      <c r="C19" s="1114" t="s">
        <v>62</v>
      </c>
      <c r="D19" s="1115"/>
      <c r="E19" s="1115"/>
      <c r="F19" s="1115"/>
      <c r="G19" s="1115"/>
      <c r="H19" s="1115"/>
      <c r="I19" s="1115"/>
      <c r="J19" s="1115"/>
      <c r="K19" s="1115"/>
      <c r="L19" s="1115"/>
      <c r="M19" s="1115"/>
      <c r="N19" s="1108" t="str">
        <f>IF(DADOS!$K$3=2," ",IF(DADOS!$K$3=1,DADOS!$E$7))</f>
        <v xml:space="preserve"> </v>
      </c>
      <c r="O19" s="1108"/>
      <c r="P19" s="1108"/>
      <c r="Q19" s="1108"/>
      <c r="R19" s="1108"/>
      <c r="S19" s="205" t="s">
        <v>269</v>
      </c>
      <c r="T19" s="1108" t="str">
        <f>IF(DADOS!$K$3=2," ",IF(DADOS!$K$3=1,DADOS!$F$7))</f>
        <v xml:space="preserve"> </v>
      </c>
      <c r="U19" s="1108"/>
      <c r="V19" s="1108"/>
      <c r="W19" s="1108"/>
      <c r="X19" s="1108"/>
      <c r="Y19" s="131"/>
      <c r="Z19" s="42"/>
    </row>
    <row r="20" spans="1:26" s="123" customFormat="1" ht="15" customHeight="1">
      <c r="A20" s="131"/>
      <c r="B20" s="42"/>
      <c r="C20" s="1124"/>
      <c r="D20" s="1124"/>
      <c r="E20" s="1124"/>
      <c r="F20" s="1124"/>
      <c r="G20" s="1124"/>
      <c r="H20" s="1124"/>
      <c r="I20" s="1124"/>
      <c r="J20" s="1124"/>
      <c r="K20" s="1124"/>
      <c r="L20" s="1124"/>
      <c r="M20" s="1124"/>
      <c r="N20" s="83"/>
      <c r="O20" s="83"/>
      <c r="P20" s="83"/>
      <c r="Q20" s="83"/>
      <c r="R20" s="83"/>
      <c r="S20" s="83"/>
      <c r="T20" s="83"/>
      <c r="U20" s="83"/>
      <c r="V20" s="83"/>
      <c r="W20" s="83"/>
      <c r="X20" s="83"/>
      <c r="Y20" s="131"/>
      <c r="Z20" s="42"/>
    </row>
    <row r="21" spans="1:26" s="123" customFormat="1" ht="15" customHeight="1">
      <c r="A21" s="131"/>
      <c r="B21" s="44"/>
      <c r="C21" s="1114" t="s">
        <v>63</v>
      </c>
      <c r="D21" s="1115"/>
      <c r="E21" s="1115"/>
      <c r="F21" s="1115"/>
      <c r="G21" s="1115"/>
      <c r="H21" s="1115"/>
      <c r="I21" s="1115"/>
      <c r="J21" s="1115"/>
      <c r="K21" s="1115"/>
      <c r="L21" s="1115"/>
      <c r="M21" s="1115"/>
      <c r="N21" s="1073"/>
      <c r="O21" s="83"/>
      <c r="P21" s="83"/>
      <c r="Q21" s="83"/>
      <c r="R21" s="83"/>
      <c r="S21" s="83"/>
      <c r="T21" s="83"/>
      <c r="U21" s="83"/>
      <c r="V21" s="83"/>
      <c r="W21" s="83"/>
      <c r="X21" s="83"/>
      <c r="Y21" s="131"/>
      <c r="Z21" s="42"/>
    </row>
    <row r="22" spans="1:26" s="123" customFormat="1" ht="15" customHeight="1">
      <c r="A22" s="131"/>
      <c r="B22" s="63"/>
      <c r="C22" s="1116"/>
      <c r="D22" s="1116"/>
      <c r="E22" s="1116"/>
      <c r="F22" s="1116"/>
      <c r="G22" s="1116"/>
      <c r="H22" s="1116"/>
      <c r="I22" s="1116"/>
      <c r="J22" s="1116"/>
      <c r="K22" s="1116"/>
      <c r="L22" s="1116"/>
      <c r="M22" s="1116"/>
      <c r="N22" s="1117"/>
      <c r="O22" s="90"/>
      <c r="P22" s="90"/>
      <c r="Q22" s="90"/>
      <c r="R22" s="90"/>
      <c r="S22" s="90"/>
      <c r="T22" s="90"/>
      <c r="U22" s="90"/>
      <c r="V22" s="90"/>
      <c r="W22" s="90"/>
      <c r="X22" s="90"/>
      <c r="Y22" s="64"/>
      <c r="Z22" s="42"/>
    </row>
    <row r="23" spans="1:26" s="123" customFormat="1" ht="15" customHeight="1">
      <c r="A23" s="131"/>
      <c r="B23" s="42"/>
      <c r="C23" s="136"/>
      <c r="D23" s="136"/>
      <c r="E23" s="136"/>
      <c r="F23" s="136"/>
      <c r="G23" s="136"/>
      <c r="H23" s="136"/>
      <c r="I23" s="136"/>
      <c r="J23" s="136"/>
      <c r="K23" s="136"/>
      <c r="L23" s="136"/>
      <c r="M23" s="136"/>
      <c r="N23" s="83"/>
      <c r="O23" s="83"/>
      <c r="P23" s="83"/>
      <c r="Q23" s="83"/>
      <c r="R23" s="83"/>
      <c r="S23" s="83"/>
      <c r="T23" s="83"/>
      <c r="U23" s="83"/>
      <c r="V23" s="83"/>
      <c r="W23" s="83"/>
      <c r="X23" s="83"/>
      <c r="Y23" s="131"/>
      <c r="Z23" s="42"/>
    </row>
    <row r="24" spans="1:26" s="123" customFormat="1" ht="15" customHeight="1">
      <c r="A24" s="131"/>
      <c r="B24" s="42"/>
      <c r="C24" s="138" t="s">
        <v>106</v>
      </c>
      <c r="D24" s="136"/>
      <c r="E24" s="136"/>
      <c r="F24" s="136"/>
      <c r="G24" s="136"/>
      <c r="H24" s="136"/>
      <c r="I24" s="136"/>
      <c r="J24" s="136"/>
      <c r="K24" s="136"/>
      <c r="L24" s="136"/>
      <c r="M24" s="136"/>
      <c r="N24" s="1108" t="str">
        <f>IF(DADOS!$G$9=0," ",IF(DADOS!$G$9&gt;0,DADOS!$G$9))</f>
        <v xml:space="preserve"> </v>
      </c>
      <c r="O24" s="1108"/>
      <c r="P24" s="1108"/>
      <c r="Q24" s="1108"/>
      <c r="R24" s="1108"/>
      <c r="S24" s="139"/>
      <c r="T24" s="1108" t="str">
        <f>IF(DADOS!$I$9=0," ",IF(DADOS!$I$9&gt;0,DADOS!$I$9))</f>
        <v xml:space="preserve"> </v>
      </c>
      <c r="U24" s="1108"/>
      <c r="V24" s="1108"/>
      <c r="W24" s="1108"/>
      <c r="X24" s="1108"/>
      <c r="Y24" s="131"/>
      <c r="Z24" s="42"/>
    </row>
    <row r="25" spans="1:26" s="123" customFormat="1" ht="15" customHeight="1">
      <c r="A25" s="131"/>
      <c r="B25" s="42"/>
      <c r="C25" s="42"/>
      <c r="D25" s="136"/>
      <c r="E25" s="136"/>
      <c r="F25" s="136"/>
      <c r="G25" s="136"/>
      <c r="H25" s="136"/>
      <c r="I25" s="136"/>
      <c r="J25" s="136"/>
      <c r="K25" s="137"/>
      <c r="L25" s="137"/>
      <c r="M25" s="137"/>
      <c r="N25" s="90"/>
      <c r="O25" s="90"/>
      <c r="P25" s="90"/>
      <c r="Q25" s="90"/>
      <c r="R25" s="90"/>
      <c r="S25" s="90"/>
      <c r="T25" s="90"/>
      <c r="U25" s="90"/>
      <c r="V25" s="90"/>
      <c r="W25" s="90"/>
      <c r="X25" s="90"/>
      <c r="Y25" s="64"/>
      <c r="Z25" s="42"/>
    </row>
    <row r="26" spans="1:26" s="123" customFormat="1" ht="15" customHeight="1">
      <c r="A26" s="131"/>
      <c r="B26" s="47"/>
      <c r="C26" s="47"/>
      <c r="D26" s="47"/>
      <c r="E26" s="47"/>
      <c r="F26" s="47"/>
      <c r="G26" s="47"/>
      <c r="H26" s="47"/>
      <c r="I26" s="47"/>
      <c r="J26" s="47"/>
      <c r="K26" s="42"/>
      <c r="L26" s="42"/>
      <c r="M26" s="42"/>
      <c r="N26" s="42"/>
      <c r="O26" s="42"/>
      <c r="P26" s="42"/>
      <c r="Q26" s="42"/>
      <c r="R26" s="42"/>
      <c r="S26" s="42"/>
      <c r="T26" s="42"/>
      <c r="U26" s="42"/>
      <c r="V26" s="42"/>
      <c r="W26" s="42"/>
      <c r="X26" s="42"/>
      <c r="Y26" s="131"/>
      <c r="Z26" s="42"/>
    </row>
    <row r="27" spans="1:26" s="123" customFormat="1" ht="15" customHeight="1">
      <c r="A27" s="131"/>
      <c r="B27" s="42"/>
      <c r="C27" s="48" t="s">
        <v>273</v>
      </c>
      <c r="D27" s="42"/>
      <c r="E27" s="1113" t="str">
        <f>IF(DADOS!K3=1,AV!E26,IF(DADOS!K3=2," "))</f>
        <v xml:space="preserve"> </v>
      </c>
      <c r="F27" s="1113"/>
      <c r="G27" s="1113"/>
      <c r="H27" s="1113"/>
      <c r="I27" s="1113"/>
      <c r="J27" s="1113"/>
      <c r="K27" s="1113"/>
      <c r="L27" s="42"/>
      <c r="M27" s="42"/>
      <c r="N27" s="1072" t="s">
        <v>274</v>
      </c>
      <c r="O27" s="1073"/>
      <c r="P27" s="1073"/>
      <c r="Q27" s="1073"/>
      <c r="R27" s="1073"/>
      <c r="S27" s="1073"/>
      <c r="T27" s="1108" t="str">
        <f>IF(DADOS!$E$16=0," ",IF(DADOS!$E$16&gt;0,DADOS!$E$16))</f>
        <v xml:space="preserve"> </v>
      </c>
      <c r="U27" s="1108"/>
      <c r="V27" s="1108"/>
      <c r="W27" s="1108"/>
      <c r="X27" s="1108"/>
      <c r="Y27" s="131"/>
      <c r="Z27" s="42"/>
    </row>
    <row r="28" spans="1:26" s="123" customFormat="1" ht="15" customHeight="1">
      <c r="A28" s="131"/>
      <c r="B28" s="45"/>
      <c r="C28" s="45"/>
      <c r="D28" s="45"/>
      <c r="E28" s="45"/>
      <c r="F28" s="45"/>
      <c r="G28" s="45"/>
      <c r="H28" s="45"/>
      <c r="I28" s="45"/>
      <c r="J28" s="45"/>
      <c r="K28" s="45"/>
      <c r="L28" s="45"/>
      <c r="M28" s="45"/>
      <c r="N28" s="45"/>
      <c r="O28" s="45"/>
      <c r="P28" s="45"/>
      <c r="Q28" s="45"/>
      <c r="R28" s="45"/>
      <c r="S28" s="45"/>
      <c r="T28" s="206"/>
      <c r="U28" s="206"/>
      <c r="V28" s="206"/>
      <c r="W28" s="206"/>
      <c r="X28" s="206"/>
      <c r="Y28" s="64"/>
      <c r="Z28" s="42"/>
    </row>
    <row r="29" spans="1:26" s="123" customFormat="1" ht="15.6" customHeight="1">
      <c r="A29" s="131"/>
      <c r="B29" s="42"/>
      <c r="C29" s="42"/>
      <c r="D29" s="42"/>
      <c r="E29" s="42"/>
      <c r="F29" s="42"/>
      <c r="G29" s="42"/>
      <c r="H29" s="42"/>
      <c r="I29" s="42"/>
      <c r="J29" s="42"/>
      <c r="K29" s="42"/>
      <c r="L29" s="65"/>
      <c r="M29" s="42"/>
      <c r="N29" s="42"/>
      <c r="O29" s="42"/>
      <c r="P29" s="42"/>
      <c r="Q29" s="42"/>
      <c r="R29" s="42"/>
      <c r="S29" s="42"/>
      <c r="T29" s="164"/>
      <c r="U29" s="164"/>
      <c r="V29" s="164"/>
      <c r="W29" s="164"/>
      <c r="X29" s="164"/>
      <c r="Y29" s="131"/>
      <c r="Z29" s="42"/>
    </row>
    <row r="30" spans="1:26" s="123" customFormat="1" ht="15.6" customHeight="1">
      <c r="A30" s="131"/>
      <c r="B30" s="42"/>
      <c r="C30" s="42"/>
      <c r="D30" s="42"/>
      <c r="E30" s="42"/>
      <c r="F30" s="42"/>
      <c r="G30" s="42"/>
      <c r="H30" s="42"/>
      <c r="I30" s="42"/>
      <c r="J30" s="42"/>
      <c r="K30" s="42"/>
      <c r="L30" s="66"/>
      <c r="M30" s="42"/>
      <c r="N30" s="1075" t="s">
        <v>56</v>
      </c>
      <c r="O30" s="1073"/>
      <c r="P30" s="1073"/>
      <c r="Q30" s="1073"/>
      <c r="R30" s="1073"/>
      <c r="S30" s="1073"/>
      <c r="T30" s="1108" t="str">
        <f>IF(DADOS!$E$16=0," ",IF(DADOS!$E$16&gt;0,DADOS!$E$16))</f>
        <v xml:space="preserve"> </v>
      </c>
      <c r="U30" s="1108"/>
      <c r="V30" s="1108"/>
      <c r="W30" s="1108"/>
      <c r="X30" s="1108"/>
      <c r="Y30" s="131"/>
      <c r="Z30" s="42"/>
    </row>
    <row r="31" spans="1:26" s="123" customFormat="1" ht="15.6" customHeight="1">
      <c r="A31" s="131"/>
      <c r="B31" s="42"/>
      <c r="C31" s="42"/>
      <c r="D31" s="42"/>
      <c r="E31" s="42"/>
      <c r="F31" s="42"/>
      <c r="G31" s="42"/>
      <c r="H31" s="42"/>
      <c r="I31" s="42"/>
      <c r="J31" s="42"/>
      <c r="K31" s="42"/>
      <c r="L31" s="66"/>
      <c r="M31" s="42"/>
      <c r="N31" s="42"/>
      <c r="O31" s="42"/>
      <c r="P31" s="42"/>
      <c r="Q31" s="42"/>
      <c r="R31" s="42"/>
      <c r="S31" s="42"/>
      <c r="T31" s="42"/>
      <c r="U31" s="42"/>
      <c r="V31" s="42"/>
      <c r="W31" s="42"/>
      <c r="X31" s="42"/>
      <c r="Y31" s="131"/>
      <c r="Z31" s="42"/>
    </row>
    <row r="32" spans="1:26" s="123" customFormat="1" ht="15.6" customHeight="1">
      <c r="A32" s="131"/>
      <c r="B32" s="42"/>
      <c r="C32" s="42" t="s">
        <v>57</v>
      </c>
      <c r="D32" s="42"/>
      <c r="E32" s="1090" t="s">
        <v>59</v>
      </c>
      <c r="F32" s="1090"/>
      <c r="G32" s="1090"/>
      <c r="H32" s="1090"/>
      <c r="I32" s="1090"/>
      <c r="J32" s="1090"/>
      <c r="K32" s="67"/>
      <c r="L32" s="68"/>
      <c r="M32" s="67"/>
      <c r="N32" s="67"/>
      <c r="O32" s="69"/>
      <c r="P32" s="69"/>
      <c r="Q32" s="69"/>
      <c r="R32" s="69"/>
      <c r="S32" s="69"/>
      <c r="T32" s="69"/>
      <c r="U32" s="69"/>
      <c r="V32" s="69"/>
      <c r="W32" s="42"/>
      <c r="X32" s="42"/>
      <c r="Y32" s="131"/>
      <c r="Z32" s="42"/>
    </row>
    <row r="33" spans="1:26" s="123" customFormat="1" ht="15.6" customHeight="1">
      <c r="A33" s="131"/>
      <c r="B33" s="42"/>
      <c r="C33" s="79" t="s">
        <v>113</v>
      </c>
      <c r="D33" s="42"/>
      <c r="E33" s="67"/>
      <c r="F33" s="67"/>
      <c r="G33" s="67"/>
      <c r="H33" s="67"/>
      <c r="I33" s="67"/>
      <c r="J33" s="67"/>
      <c r="K33" s="67"/>
      <c r="L33" s="68"/>
      <c r="M33" s="67"/>
      <c r="N33" s="67"/>
      <c r="O33" s="1070" t="s">
        <v>58</v>
      </c>
      <c r="P33" s="1070"/>
      <c r="Q33" s="1070"/>
      <c r="R33" s="1070"/>
      <c r="S33" s="1070"/>
      <c r="T33" s="1070"/>
      <c r="U33" s="1070"/>
      <c r="V33" s="1070"/>
      <c r="W33" s="42"/>
      <c r="X33" s="42"/>
      <c r="Y33" s="131"/>
      <c r="Z33" s="42"/>
    </row>
    <row r="34" spans="1:26" s="123" customFormat="1" ht="15.6" customHeight="1" thickBot="1">
      <c r="A34" s="131"/>
      <c r="B34" s="40"/>
      <c r="C34" s="72" t="str">
        <f>TB!B34</f>
        <v>(FÉRIAS JANEIRO 2014) - ATUALIZADO 03/2014 - V14 (19/03/2013)</v>
      </c>
      <c r="D34" s="73"/>
      <c r="E34" s="73"/>
      <c r="F34" s="73"/>
      <c r="G34" s="74"/>
      <c r="H34" s="40"/>
      <c r="I34" s="40"/>
      <c r="J34" s="40"/>
      <c r="K34" s="40"/>
      <c r="L34" s="75"/>
      <c r="M34" s="40"/>
      <c r="N34" s="40"/>
      <c r="O34" s="40"/>
      <c r="P34" s="40"/>
      <c r="Q34" s="40"/>
      <c r="R34" s="40"/>
      <c r="S34" s="40"/>
      <c r="T34" s="40"/>
      <c r="U34" s="40"/>
      <c r="V34" s="40"/>
      <c r="W34" s="40"/>
      <c r="X34" s="40"/>
      <c r="Y34" s="76"/>
      <c r="Z34" s="42"/>
    </row>
    <row r="35" spans="1:26" s="123" customFormat="1" ht="21" customHeight="1" thickTop="1">
      <c r="A35" s="140"/>
      <c r="B35" s="140"/>
      <c r="C35" s="141"/>
      <c r="D35" s="142"/>
      <c r="E35" s="142"/>
      <c r="F35" s="142"/>
      <c r="G35" s="143"/>
      <c r="H35" s="140"/>
      <c r="I35" s="140"/>
      <c r="J35" s="140"/>
      <c r="K35" s="140"/>
      <c r="L35" s="140"/>
      <c r="M35" s="144" t="str">
        <f>AV!M35</f>
        <v>Via do Empregador</v>
      </c>
      <c r="N35" s="140"/>
      <c r="O35" s="140"/>
      <c r="P35" s="140"/>
      <c r="Q35" s="140"/>
      <c r="R35" s="140"/>
      <c r="S35" s="140"/>
      <c r="T35" s="140"/>
      <c r="U35" s="140"/>
      <c r="V35" s="140"/>
      <c r="W35" s="140"/>
      <c r="X35" s="140"/>
      <c r="Y35" s="140"/>
      <c r="Z35" s="140"/>
    </row>
    <row r="36" spans="1:26" s="123" customFormat="1" ht="18.75" customHeight="1" thickBot="1">
      <c r="A36" s="42"/>
      <c r="B36" s="42"/>
      <c r="C36" s="42"/>
      <c r="D36" s="42"/>
      <c r="E36" s="42"/>
      <c r="F36" s="42"/>
      <c r="G36" s="42"/>
      <c r="H36" s="42"/>
      <c r="I36" s="42"/>
      <c r="J36" s="42"/>
      <c r="K36" s="42"/>
      <c r="L36" s="42"/>
      <c r="M36" s="42"/>
      <c r="N36" s="42"/>
      <c r="O36" s="42"/>
      <c r="P36" s="145"/>
      <c r="Q36" s="146"/>
      <c r="R36" s="42"/>
      <c r="S36" s="42"/>
      <c r="T36" s="42"/>
      <c r="U36" s="42"/>
      <c r="V36" s="42"/>
      <c r="W36" s="42"/>
      <c r="X36" s="42"/>
      <c r="Y36" s="42"/>
      <c r="Z36" s="42"/>
    </row>
    <row r="37" spans="1:26" s="123" customFormat="1" ht="24.75" customHeight="1" thickTop="1">
      <c r="A37" s="126"/>
      <c r="B37" s="127"/>
      <c r="C37" s="1129" t="s">
        <v>60</v>
      </c>
      <c r="D37" s="1129"/>
      <c r="E37" s="1129"/>
      <c r="F37" s="1129"/>
      <c r="G37" s="1130"/>
      <c r="H37" s="1130"/>
      <c r="I37" s="1130"/>
      <c r="J37" s="1130"/>
      <c r="K37" s="1130"/>
      <c r="L37" s="1130"/>
      <c r="M37" s="1130"/>
      <c r="N37" s="1130"/>
      <c r="O37" s="1130"/>
      <c r="P37" s="1130"/>
      <c r="Q37" s="1130"/>
      <c r="R37" s="1130"/>
      <c r="S37" s="1130"/>
      <c r="T37" s="1130"/>
      <c r="U37" s="1130"/>
      <c r="V37" s="1131"/>
      <c r="W37" s="1131"/>
      <c r="X37" s="1131"/>
      <c r="Y37" s="147"/>
      <c r="Z37" s="82"/>
    </row>
    <row r="38" spans="1:26" ht="24" customHeight="1">
      <c r="A38" s="126"/>
      <c r="B38" s="129"/>
      <c r="C38" s="1132"/>
      <c r="D38" s="1132"/>
      <c r="E38" s="1132"/>
      <c r="F38" s="1132"/>
      <c r="G38" s="1132"/>
      <c r="H38" s="1132"/>
      <c r="I38" s="1132"/>
      <c r="J38" s="1132"/>
      <c r="K38" s="1132"/>
      <c r="L38" s="1132"/>
      <c r="M38" s="1132"/>
      <c r="N38" s="1132"/>
      <c r="O38" s="1132"/>
      <c r="P38" s="1132"/>
      <c r="Q38" s="1132"/>
      <c r="R38" s="1132"/>
      <c r="S38" s="1132"/>
      <c r="T38" s="1132"/>
      <c r="U38" s="1132"/>
      <c r="V38" s="1133"/>
      <c r="W38" s="1133"/>
      <c r="X38" s="1133"/>
      <c r="Y38" s="148"/>
      <c r="Z38" s="82"/>
    </row>
    <row r="39" spans="1:26" ht="15" customHeight="1">
      <c r="A39" s="131"/>
      <c r="B39" s="42"/>
      <c r="C39" s="83"/>
      <c r="D39" s="83"/>
      <c r="E39" s="83"/>
      <c r="F39" s="83"/>
      <c r="G39" s="83"/>
      <c r="H39" s="83"/>
      <c r="I39" s="83"/>
      <c r="J39" s="83"/>
      <c r="K39" s="83"/>
      <c r="L39" s="83"/>
      <c r="M39" s="83"/>
      <c r="N39" s="83"/>
      <c r="O39" s="83"/>
      <c r="P39" s="83"/>
      <c r="Q39" s="83"/>
      <c r="R39" s="83"/>
      <c r="S39" s="83"/>
      <c r="T39" s="83"/>
      <c r="U39" s="83"/>
      <c r="V39" s="83"/>
      <c r="W39" s="83"/>
      <c r="X39" s="83"/>
      <c r="Y39" s="149"/>
      <c r="Z39" s="83"/>
    </row>
    <row r="40" spans="1:26" ht="15" customHeight="1">
      <c r="A40" s="131"/>
      <c r="B40" s="42"/>
      <c r="C40" s="85" t="s">
        <v>262</v>
      </c>
      <c r="D40" s="86"/>
      <c r="E40" s="86"/>
      <c r="F40" s="86"/>
      <c r="G40" s="1092" t="str">
        <f>G5</f>
        <v xml:space="preserve"> </v>
      </c>
      <c r="H40" s="1092"/>
      <c r="I40" s="1092"/>
      <c r="J40" s="1092"/>
      <c r="K40" s="1092"/>
      <c r="L40" s="1092"/>
      <c r="M40" s="1092"/>
      <c r="N40" s="1092"/>
      <c r="O40" s="1092"/>
      <c r="P40" s="1092"/>
      <c r="Q40" s="1092"/>
      <c r="R40" s="1092"/>
      <c r="S40" s="1092"/>
      <c r="T40" s="1092"/>
      <c r="U40" s="1092"/>
      <c r="V40" s="1092"/>
      <c r="W40" s="1092"/>
      <c r="X40" s="1092"/>
      <c r="Y40" s="149"/>
      <c r="Z40" s="83"/>
    </row>
    <row r="41" spans="1:26" ht="15" customHeight="1">
      <c r="A41" s="131"/>
      <c r="B41" s="42"/>
      <c r="C41" s="83"/>
      <c r="D41" s="83"/>
      <c r="E41" s="83"/>
      <c r="F41" s="83"/>
      <c r="G41" s="133"/>
      <c r="H41" s="133"/>
      <c r="I41" s="133"/>
      <c r="J41" s="133"/>
      <c r="K41" s="133"/>
      <c r="L41" s="133"/>
      <c r="M41" s="133"/>
      <c r="N41" s="133"/>
      <c r="O41" s="133"/>
      <c r="P41" s="133"/>
      <c r="Q41" s="133"/>
      <c r="R41" s="133"/>
      <c r="S41" s="133"/>
      <c r="T41" s="133"/>
      <c r="U41" s="133"/>
      <c r="V41" s="133"/>
      <c r="W41" s="133"/>
      <c r="X41" s="133"/>
      <c r="Y41" s="149"/>
      <c r="Z41" s="83"/>
    </row>
    <row r="42" spans="1:26" ht="15" customHeight="1">
      <c r="A42" s="131"/>
      <c r="B42" s="42"/>
      <c r="C42" s="85" t="s">
        <v>263</v>
      </c>
      <c r="D42" s="86"/>
      <c r="E42" s="86"/>
      <c r="F42" s="86"/>
      <c r="G42" s="1091" t="str">
        <f>G7</f>
        <v xml:space="preserve"> </v>
      </c>
      <c r="H42" s="1092"/>
      <c r="I42" s="1092"/>
      <c r="J42" s="1092"/>
      <c r="K42" s="1092"/>
      <c r="L42" s="1092"/>
      <c r="M42" s="1092"/>
      <c r="N42" s="1092"/>
      <c r="O42" s="1092"/>
      <c r="P42" s="1092"/>
      <c r="Q42" s="1109" t="s">
        <v>264</v>
      </c>
      <c r="R42" s="1118"/>
      <c r="S42" s="1092" t="str">
        <f>S7</f>
        <v xml:space="preserve"> </v>
      </c>
      <c r="T42" s="1092"/>
      <c r="U42" s="1092"/>
      <c r="V42" s="1092"/>
      <c r="W42" s="1092"/>
      <c r="X42" s="1092"/>
      <c r="Y42" s="149"/>
      <c r="Z42" s="83"/>
    </row>
    <row r="43" spans="1:26" ht="15" customHeight="1">
      <c r="A43" s="131"/>
      <c r="B43" s="42"/>
      <c r="C43" s="83"/>
      <c r="D43" s="83"/>
      <c r="E43" s="83"/>
      <c r="F43" s="83"/>
      <c r="G43" s="133"/>
      <c r="H43" s="133"/>
      <c r="I43" s="133"/>
      <c r="J43" s="133"/>
      <c r="K43" s="133"/>
      <c r="L43" s="133"/>
      <c r="M43" s="133"/>
      <c r="N43" s="133"/>
      <c r="O43" s="133"/>
      <c r="P43" s="133"/>
      <c r="Q43" s="133"/>
      <c r="R43" s="133"/>
      <c r="S43" s="133"/>
      <c r="T43" s="133"/>
      <c r="U43" s="133"/>
      <c r="V43" s="133"/>
      <c r="W43" s="133"/>
      <c r="X43" s="133"/>
      <c r="Y43" s="149"/>
      <c r="Z43" s="83"/>
    </row>
    <row r="44" spans="1:26" ht="15" customHeight="1">
      <c r="A44" s="131"/>
      <c r="B44" s="42"/>
      <c r="C44" s="85" t="s">
        <v>265</v>
      </c>
      <c r="D44" s="86"/>
      <c r="E44" s="86"/>
      <c r="F44" s="134"/>
      <c r="G44" s="1092" t="str">
        <f>G9</f>
        <v xml:space="preserve"> </v>
      </c>
      <c r="H44" s="1092"/>
      <c r="I44" s="1092"/>
      <c r="J44" s="1092"/>
      <c r="K44" s="1092"/>
      <c r="L44" s="1092"/>
      <c r="M44" s="1134" t="s">
        <v>266</v>
      </c>
      <c r="N44" s="1128"/>
      <c r="O44" s="1092" t="str">
        <f>O9</f>
        <v xml:space="preserve"> </v>
      </c>
      <c r="P44" s="1092"/>
      <c r="Q44" s="1092"/>
      <c r="R44" s="1092"/>
      <c r="S44" s="1135" t="s">
        <v>267</v>
      </c>
      <c r="T44" s="1128"/>
      <c r="U44" s="1128"/>
      <c r="V44" s="1092" t="str">
        <f>V9</f>
        <v xml:space="preserve"> </v>
      </c>
      <c r="W44" s="1092"/>
      <c r="X44" s="1092"/>
      <c r="Y44" s="149"/>
      <c r="Z44" s="84"/>
    </row>
    <row r="45" spans="1:26" ht="15" customHeight="1">
      <c r="A45" s="131"/>
      <c r="B45" s="45"/>
      <c r="C45" s="90"/>
      <c r="D45" s="90"/>
      <c r="E45" s="90"/>
      <c r="F45" s="90"/>
      <c r="G45" s="90"/>
      <c r="H45" s="90"/>
      <c r="I45" s="90"/>
      <c r="J45" s="90"/>
      <c r="K45" s="90"/>
      <c r="L45" s="90"/>
      <c r="M45" s="90"/>
      <c r="N45" s="90"/>
      <c r="O45" s="90"/>
      <c r="P45" s="90"/>
      <c r="Q45" s="90"/>
      <c r="R45" s="90"/>
      <c r="S45" s="90"/>
      <c r="T45" s="90"/>
      <c r="U45" s="90"/>
      <c r="V45" s="90"/>
      <c r="W45" s="90"/>
      <c r="X45" s="90"/>
      <c r="Y45" s="150"/>
      <c r="Z45" s="84"/>
    </row>
    <row r="46" spans="1:26" ht="15" customHeight="1">
      <c r="A46" s="131"/>
      <c r="B46" s="4"/>
      <c r="C46" s="83"/>
      <c r="D46" s="83"/>
      <c r="E46" s="83"/>
      <c r="F46" s="83"/>
      <c r="G46" s="83"/>
      <c r="H46" s="83"/>
      <c r="I46" s="83"/>
      <c r="J46" s="83"/>
      <c r="K46" s="83"/>
      <c r="L46" s="83"/>
      <c r="M46" s="83"/>
      <c r="N46" s="83"/>
      <c r="O46" s="83"/>
      <c r="P46" s="83"/>
      <c r="Q46" s="83"/>
      <c r="R46" s="83"/>
      <c r="S46" s="83"/>
      <c r="T46" s="83"/>
      <c r="U46" s="83"/>
      <c r="V46" s="83"/>
      <c r="W46" s="83"/>
      <c r="X46" s="83"/>
      <c r="Y46" s="149"/>
      <c r="Z46" s="84"/>
    </row>
    <row r="47" spans="1:26" ht="15" customHeight="1">
      <c r="A47" s="131"/>
      <c r="B47" s="42"/>
      <c r="C47" s="85" t="s">
        <v>257</v>
      </c>
      <c r="D47" s="86"/>
      <c r="E47" s="86"/>
      <c r="F47" s="1092" t="str">
        <f>F12</f>
        <v xml:space="preserve"> </v>
      </c>
      <c r="G47" s="1092"/>
      <c r="H47" s="1092"/>
      <c r="I47" s="1092"/>
      <c r="J47" s="1092"/>
      <c r="K47" s="1092"/>
      <c r="L47" s="1092"/>
      <c r="M47" s="1092"/>
      <c r="N47" s="1092"/>
      <c r="O47" s="1092"/>
      <c r="P47" s="1092"/>
      <c r="Q47" s="1136" t="s">
        <v>258</v>
      </c>
      <c r="R47" s="1128"/>
      <c r="S47" s="1099" t="str">
        <f>S12</f>
        <v xml:space="preserve"> </v>
      </c>
      <c r="T47" s="1099"/>
      <c r="U47" s="1099"/>
      <c r="V47" s="1099"/>
      <c r="W47" s="1099"/>
      <c r="X47" s="1099"/>
      <c r="Y47" s="149"/>
      <c r="Z47" s="84"/>
    </row>
    <row r="48" spans="1:26" ht="15" customHeight="1">
      <c r="A48" s="131"/>
      <c r="B48" s="42"/>
      <c r="C48" s="83"/>
      <c r="D48" s="83"/>
      <c r="E48" s="83"/>
      <c r="F48" s="133"/>
      <c r="G48" s="133"/>
      <c r="H48" s="133"/>
      <c r="I48" s="133"/>
      <c r="J48" s="133"/>
      <c r="K48" s="133"/>
      <c r="L48" s="133"/>
      <c r="M48" s="133"/>
      <c r="N48" s="133"/>
      <c r="O48" s="133"/>
      <c r="P48" s="133"/>
      <c r="Q48" s="133"/>
      <c r="R48" s="133"/>
      <c r="S48" s="133"/>
      <c r="T48" s="133"/>
      <c r="U48" s="133"/>
      <c r="V48" s="133"/>
      <c r="W48" s="133"/>
      <c r="X48" s="133"/>
      <c r="Y48" s="149"/>
      <c r="Z48" s="84"/>
    </row>
    <row r="49" spans="1:26" ht="15" customHeight="1">
      <c r="A49" s="131"/>
      <c r="B49" s="42"/>
      <c r="C49" s="85" t="s">
        <v>259</v>
      </c>
      <c r="D49" s="86"/>
      <c r="E49" s="86"/>
      <c r="F49" s="1092" t="str">
        <f>F14</f>
        <v xml:space="preserve"> </v>
      </c>
      <c r="G49" s="1098"/>
      <c r="H49" s="1098"/>
      <c r="I49" s="1098"/>
      <c r="J49" s="1098"/>
      <c r="K49" s="1098"/>
      <c r="L49" s="1098"/>
      <c r="M49" s="1098"/>
      <c r="N49" s="135" t="s">
        <v>260</v>
      </c>
      <c r="O49" s="1091" t="str">
        <f>O14</f>
        <v xml:space="preserve"> </v>
      </c>
      <c r="P49" s="1092"/>
      <c r="Q49" s="1127" t="s">
        <v>261</v>
      </c>
      <c r="R49" s="1128"/>
      <c r="S49" s="1092" t="str">
        <f>S14</f>
        <v xml:space="preserve"> </v>
      </c>
      <c r="T49" s="1092"/>
      <c r="U49" s="1092"/>
      <c r="V49" s="1092"/>
      <c r="W49" s="1092"/>
      <c r="X49" s="1092"/>
      <c r="Y49" s="149"/>
      <c r="Z49" s="84"/>
    </row>
    <row r="50" spans="1:26" ht="15" customHeight="1">
      <c r="A50" s="131"/>
      <c r="B50" s="45"/>
      <c r="C50" s="90"/>
      <c r="D50" s="90"/>
      <c r="E50" s="90"/>
      <c r="F50" s="90"/>
      <c r="G50" s="90"/>
      <c r="H50" s="90"/>
      <c r="I50" s="90"/>
      <c r="J50" s="90"/>
      <c r="K50" s="90"/>
      <c r="L50" s="90"/>
      <c r="M50" s="90"/>
      <c r="N50" s="90"/>
      <c r="O50" s="90"/>
      <c r="P50" s="90"/>
      <c r="Q50" s="90"/>
      <c r="R50" s="90"/>
      <c r="S50" s="90"/>
      <c r="T50" s="90"/>
      <c r="U50" s="90"/>
      <c r="V50" s="90"/>
      <c r="W50" s="90"/>
      <c r="X50" s="90"/>
      <c r="Y50" s="150"/>
      <c r="Z50" s="84"/>
    </row>
    <row r="51" spans="1:26" ht="15" customHeight="1">
      <c r="A51" s="131"/>
      <c r="B51" s="4"/>
      <c r="C51" s="83"/>
      <c r="D51" s="83"/>
      <c r="E51" s="83"/>
      <c r="F51" s="83"/>
      <c r="G51" s="83"/>
      <c r="H51" s="83"/>
      <c r="I51" s="83"/>
      <c r="J51" s="83"/>
      <c r="K51" s="83"/>
      <c r="L51" s="83"/>
      <c r="M51" s="83"/>
      <c r="N51" s="83"/>
      <c r="O51" s="83"/>
      <c r="P51" s="83"/>
      <c r="Q51" s="83"/>
      <c r="R51" s="83"/>
      <c r="S51" s="83"/>
      <c r="T51" s="83"/>
      <c r="U51" s="83"/>
      <c r="V51" s="83"/>
      <c r="W51" s="83"/>
      <c r="X51" s="83"/>
      <c r="Y51" s="149"/>
      <c r="Z51" s="84"/>
    </row>
    <row r="52" spans="1:26" ht="15" customHeight="1">
      <c r="A52" s="131"/>
      <c r="B52" s="42"/>
      <c r="C52" s="1114" t="s">
        <v>61</v>
      </c>
      <c r="D52" s="1115"/>
      <c r="E52" s="1115"/>
      <c r="F52" s="1115"/>
      <c r="G52" s="1115"/>
      <c r="H52" s="1115"/>
      <c r="I52" s="1115"/>
      <c r="J52" s="1115"/>
      <c r="K52" s="1115"/>
      <c r="L52" s="1115"/>
      <c r="M52" s="1115"/>
      <c r="N52" s="83"/>
      <c r="O52" s="83"/>
      <c r="P52" s="83"/>
      <c r="Q52" s="83"/>
      <c r="R52" s="83"/>
      <c r="S52" s="83"/>
      <c r="T52" s="83"/>
      <c r="U52" s="83"/>
      <c r="V52" s="83"/>
      <c r="W52" s="83"/>
      <c r="X52" s="83"/>
      <c r="Y52" s="149"/>
      <c r="Z52" s="83"/>
    </row>
    <row r="53" spans="1:26" ht="15" customHeight="1">
      <c r="A53" s="131"/>
      <c r="B53" s="42"/>
      <c r="C53" s="1124"/>
      <c r="D53" s="1124"/>
      <c r="E53" s="1124"/>
      <c r="F53" s="1124"/>
      <c r="G53" s="1124"/>
      <c r="H53" s="1124"/>
      <c r="I53" s="1124"/>
      <c r="J53" s="1124"/>
      <c r="K53" s="1124"/>
      <c r="L53" s="1124"/>
      <c r="M53" s="1124"/>
      <c r="N53" s="83"/>
      <c r="O53" s="83"/>
      <c r="P53" s="83"/>
      <c r="Q53" s="83"/>
      <c r="R53" s="83"/>
      <c r="S53" s="83"/>
      <c r="T53" s="83"/>
      <c r="U53" s="83"/>
      <c r="V53" s="83"/>
      <c r="W53" s="83"/>
      <c r="X53" s="83"/>
      <c r="Y53" s="149"/>
      <c r="Z53" s="83"/>
    </row>
    <row r="54" spans="1:26" ht="15" customHeight="1">
      <c r="A54" s="131"/>
      <c r="B54" s="42"/>
      <c r="C54" s="1114" t="s">
        <v>62</v>
      </c>
      <c r="D54" s="1115"/>
      <c r="E54" s="1115"/>
      <c r="F54" s="1115"/>
      <c r="G54" s="1115"/>
      <c r="H54" s="1115"/>
      <c r="I54" s="1115"/>
      <c r="J54" s="1115"/>
      <c r="K54" s="1115"/>
      <c r="L54" s="1115"/>
      <c r="M54" s="1115"/>
      <c r="N54" s="1074" t="str">
        <f>N19</f>
        <v xml:space="preserve"> </v>
      </c>
      <c r="O54" s="1074"/>
      <c r="P54" s="1074"/>
      <c r="Q54" s="1074"/>
      <c r="R54" s="1074"/>
      <c r="S54" s="95" t="s">
        <v>269</v>
      </c>
      <c r="T54" s="1074" t="str">
        <f>T19</f>
        <v xml:space="preserve"> </v>
      </c>
      <c r="U54" s="1074"/>
      <c r="V54" s="1074"/>
      <c r="W54" s="1074"/>
      <c r="X54" s="1074"/>
      <c r="Y54" s="149"/>
      <c r="Z54" s="83"/>
    </row>
    <row r="55" spans="1:26" ht="15" customHeight="1">
      <c r="A55" s="131"/>
      <c r="B55" s="42"/>
      <c r="C55" s="1124"/>
      <c r="D55" s="1124"/>
      <c r="E55" s="1124"/>
      <c r="F55" s="1124"/>
      <c r="G55" s="1124"/>
      <c r="H55" s="1124"/>
      <c r="I55" s="1124"/>
      <c r="J55" s="1124"/>
      <c r="K55" s="1124"/>
      <c r="L55" s="1124"/>
      <c r="M55" s="1124"/>
      <c r="N55" s="83"/>
      <c r="O55" s="83"/>
      <c r="P55" s="83"/>
      <c r="Q55" s="83"/>
      <c r="R55" s="83"/>
      <c r="S55" s="83"/>
      <c r="T55" s="83"/>
      <c r="U55" s="83"/>
      <c r="V55" s="83"/>
      <c r="W55" s="83"/>
      <c r="X55" s="83"/>
      <c r="Y55" s="149"/>
      <c r="Z55" s="83"/>
    </row>
    <row r="56" spans="1:26" ht="15" customHeight="1">
      <c r="A56" s="131"/>
      <c r="B56" s="44"/>
      <c r="C56" s="1114" t="s">
        <v>63</v>
      </c>
      <c r="D56" s="1115"/>
      <c r="E56" s="1115"/>
      <c r="F56" s="1115"/>
      <c r="G56" s="1115"/>
      <c r="H56" s="1115"/>
      <c r="I56" s="1115"/>
      <c r="J56" s="1115"/>
      <c r="K56" s="1115"/>
      <c r="L56" s="1115"/>
      <c r="M56" s="1115"/>
      <c r="N56" s="83"/>
      <c r="O56" s="83"/>
      <c r="P56" s="83"/>
      <c r="Q56" s="83"/>
      <c r="R56" s="83"/>
      <c r="S56" s="83"/>
      <c r="T56" s="83"/>
      <c r="U56" s="83"/>
      <c r="V56" s="83"/>
      <c r="W56" s="83"/>
      <c r="X56" s="83"/>
      <c r="Y56" s="149"/>
      <c r="Z56" s="83"/>
    </row>
    <row r="57" spans="1:26" ht="15" customHeight="1">
      <c r="A57" s="131"/>
      <c r="B57" s="63"/>
      <c r="C57" s="1116"/>
      <c r="D57" s="1116"/>
      <c r="E57" s="1116"/>
      <c r="F57" s="1116"/>
      <c r="G57" s="1116"/>
      <c r="H57" s="1116"/>
      <c r="I57" s="1116"/>
      <c r="J57" s="1116"/>
      <c r="K57" s="1116"/>
      <c r="L57" s="1116"/>
      <c r="M57" s="1116"/>
      <c r="N57" s="90"/>
      <c r="O57" s="90"/>
      <c r="P57" s="90"/>
      <c r="Q57" s="90"/>
      <c r="R57" s="90"/>
      <c r="S57" s="90"/>
      <c r="T57" s="90"/>
      <c r="U57" s="90"/>
      <c r="V57" s="90"/>
      <c r="W57" s="90"/>
      <c r="X57" s="90"/>
      <c r="Y57" s="150"/>
      <c r="Z57" s="83"/>
    </row>
    <row r="58" spans="1:26" ht="15" customHeight="1">
      <c r="A58" s="131"/>
      <c r="B58" s="42"/>
      <c r="C58" s="136"/>
      <c r="D58" s="136"/>
      <c r="E58" s="136"/>
      <c r="F58" s="136"/>
      <c r="G58" s="136"/>
      <c r="H58" s="136"/>
      <c r="I58" s="136"/>
      <c r="J58" s="136"/>
      <c r="K58" s="136"/>
      <c r="L58" s="136"/>
      <c r="M58" s="136"/>
      <c r="N58" s="83"/>
      <c r="O58" s="83"/>
      <c r="P58" s="83"/>
      <c r="Q58" s="83"/>
      <c r="R58" s="83"/>
      <c r="S58" s="83"/>
      <c r="T58" s="83"/>
      <c r="U58" s="83"/>
      <c r="V58" s="83"/>
      <c r="W58" s="83"/>
      <c r="X58" s="83"/>
      <c r="Y58" s="149"/>
      <c r="Z58" s="83"/>
    </row>
    <row r="59" spans="1:26" ht="15" customHeight="1">
      <c r="A59" s="131"/>
      <c r="B59" s="42"/>
      <c r="C59" s="138" t="s">
        <v>106</v>
      </c>
      <c r="D59" s="136"/>
      <c r="E59" s="136"/>
      <c r="F59" s="136"/>
      <c r="G59" s="136"/>
      <c r="H59" s="136"/>
      <c r="I59" s="136"/>
      <c r="J59" s="136"/>
      <c r="K59" s="136"/>
      <c r="L59" s="136"/>
      <c r="M59" s="136"/>
      <c r="N59" s="1074" t="str">
        <f>IF(DADOS!$G$9=0," ",IF(DADOS!$G$9&gt;0,DADOS!$G$9))</f>
        <v xml:space="preserve"> </v>
      </c>
      <c r="O59" s="1074"/>
      <c r="P59" s="1074"/>
      <c r="Q59" s="1074"/>
      <c r="R59" s="1074"/>
      <c r="S59" s="95" t="s">
        <v>269</v>
      </c>
      <c r="T59" s="1074" t="str">
        <f>IF(DADOS!$I$9=0," ",IF(DADOS!$I$9&gt;0,DADOS!$I$9))</f>
        <v xml:space="preserve"> </v>
      </c>
      <c r="U59" s="1074"/>
      <c r="V59" s="1074"/>
      <c r="W59" s="1074"/>
      <c r="X59" s="1074"/>
      <c r="Y59" s="149"/>
      <c r="Z59" s="83"/>
    </row>
    <row r="60" spans="1:26" ht="15" customHeight="1">
      <c r="A60" s="131"/>
      <c r="B60" s="42"/>
      <c r="C60" s="83"/>
      <c r="D60" s="136"/>
      <c r="E60" s="136"/>
      <c r="F60" s="136"/>
      <c r="G60" s="136"/>
      <c r="H60" s="136"/>
      <c r="I60" s="136"/>
      <c r="J60" s="136"/>
      <c r="K60" s="136"/>
      <c r="L60" s="136"/>
      <c r="M60" s="136"/>
      <c r="N60" s="83"/>
      <c r="O60" s="83"/>
      <c r="P60" s="83"/>
      <c r="Q60" s="83"/>
      <c r="R60" s="83"/>
      <c r="S60" s="83"/>
      <c r="T60" s="83"/>
      <c r="U60" s="83"/>
      <c r="V60" s="83"/>
      <c r="W60" s="83"/>
      <c r="X60" s="83"/>
      <c r="Y60" s="149"/>
      <c r="Z60" s="83"/>
    </row>
    <row r="61" spans="1:26" ht="15" customHeight="1">
      <c r="A61" s="131"/>
      <c r="B61" s="47"/>
      <c r="C61" s="91"/>
      <c r="D61" s="91"/>
      <c r="E61" s="91"/>
      <c r="F61" s="91"/>
      <c r="G61" s="91"/>
      <c r="H61" s="91"/>
      <c r="I61" s="91"/>
      <c r="J61" s="91"/>
      <c r="K61" s="91"/>
      <c r="L61" s="83"/>
      <c r="M61" s="91"/>
      <c r="N61" s="91"/>
      <c r="O61" s="91"/>
      <c r="P61" s="91"/>
      <c r="Q61" s="91"/>
      <c r="R61" s="91"/>
      <c r="S61" s="91"/>
      <c r="T61" s="91"/>
      <c r="U61" s="91"/>
      <c r="V61" s="91"/>
      <c r="W61" s="91"/>
      <c r="X61" s="91"/>
      <c r="Y61" s="149"/>
      <c r="Z61" s="83"/>
    </row>
    <row r="62" spans="1:26" ht="15" customHeight="1">
      <c r="A62" s="131"/>
      <c r="B62" s="42"/>
      <c r="C62" s="85" t="s">
        <v>273</v>
      </c>
      <c r="D62" s="83"/>
      <c r="E62" s="1113" t="str">
        <f>E27</f>
        <v xml:space="preserve"> </v>
      </c>
      <c r="F62" s="1113"/>
      <c r="G62" s="1113"/>
      <c r="H62" s="1113"/>
      <c r="I62" s="1113"/>
      <c r="J62" s="1113"/>
      <c r="K62" s="1113"/>
      <c r="L62" s="83"/>
      <c r="M62" s="83"/>
      <c r="N62" s="1105" t="s">
        <v>274</v>
      </c>
      <c r="O62" s="1106"/>
      <c r="P62" s="1106"/>
      <c r="Q62" s="1106"/>
      <c r="R62" s="1106"/>
      <c r="S62" s="1106"/>
      <c r="T62" s="1074" t="str">
        <f>IF(DADOS!$E$16=0," ",IF(DADOS!$E$16&gt;0,DADOS!$E$16))</f>
        <v xml:space="preserve"> </v>
      </c>
      <c r="U62" s="1074"/>
      <c r="V62" s="1074"/>
      <c r="W62" s="1074"/>
      <c r="X62" s="1074"/>
      <c r="Y62" s="149"/>
      <c r="Z62" s="83"/>
    </row>
    <row r="63" spans="1:26" ht="15" customHeight="1">
      <c r="A63" s="131"/>
      <c r="B63" s="45"/>
      <c r="C63" s="90"/>
      <c r="D63" s="90"/>
      <c r="E63" s="90"/>
      <c r="F63" s="90"/>
      <c r="G63" s="90"/>
      <c r="H63" s="90"/>
      <c r="I63" s="90"/>
      <c r="J63" s="90"/>
      <c r="K63" s="90"/>
      <c r="L63" s="90"/>
      <c r="M63" s="90"/>
      <c r="N63" s="90"/>
      <c r="O63" s="90"/>
      <c r="P63" s="90"/>
      <c r="Q63" s="90"/>
      <c r="R63" s="90"/>
      <c r="S63" s="90"/>
      <c r="T63" s="151"/>
      <c r="U63" s="151"/>
      <c r="V63" s="151"/>
      <c r="W63" s="151"/>
      <c r="X63" s="151"/>
      <c r="Y63" s="150"/>
      <c r="Z63" s="83"/>
    </row>
    <row r="64" spans="1:26" ht="15" customHeight="1">
      <c r="A64" s="131"/>
      <c r="B64" s="42"/>
      <c r="C64" s="83"/>
      <c r="D64" s="83"/>
      <c r="E64" s="83"/>
      <c r="F64" s="83"/>
      <c r="G64" s="83"/>
      <c r="H64" s="83"/>
      <c r="I64" s="83"/>
      <c r="J64" s="83"/>
      <c r="K64" s="83"/>
      <c r="L64" s="103"/>
      <c r="M64" s="83"/>
      <c r="N64" s="83"/>
      <c r="O64" s="83"/>
      <c r="P64" s="83"/>
      <c r="Q64" s="83"/>
      <c r="R64" s="83"/>
      <c r="S64" s="83"/>
      <c r="T64" s="133"/>
      <c r="U64" s="133"/>
      <c r="V64" s="133"/>
      <c r="W64" s="133"/>
      <c r="X64" s="133"/>
      <c r="Y64" s="149"/>
      <c r="Z64" s="83"/>
    </row>
    <row r="65" spans="1:26" ht="15" customHeight="1">
      <c r="A65" s="131"/>
      <c r="B65" s="42"/>
      <c r="C65" s="83"/>
      <c r="D65" s="83"/>
      <c r="E65" s="83"/>
      <c r="F65" s="83"/>
      <c r="G65" s="83"/>
      <c r="H65" s="83"/>
      <c r="I65" s="83"/>
      <c r="J65" s="83"/>
      <c r="K65" s="83"/>
      <c r="L65" s="104"/>
      <c r="M65" s="83"/>
      <c r="N65" s="1107" t="s">
        <v>56</v>
      </c>
      <c r="O65" s="1106"/>
      <c r="P65" s="1106"/>
      <c r="Q65" s="1106"/>
      <c r="R65" s="1106"/>
      <c r="S65" s="1106"/>
      <c r="T65" s="1074" t="str">
        <f>IF(DADOS!$E$16=0," ",IF(DADOS!$E$16&gt;0,DADOS!$E$16))</f>
        <v xml:space="preserve"> </v>
      </c>
      <c r="U65" s="1074"/>
      <c r="V65" s="1074"/>
      <c r="W65" s="1074"/>
      <c r="X65" s="1074"/>
      <c r="Y65" s="149"/>
      <c r="Z65" s="83"/>
    </row>
    <row r="66" spans="1:26" ht="15" customHeight="1">
      <c r="A66" s="131"/>
      <c r="B66" s="42"/>
      <c r="C66" s="83"/>
      <c r="D66" s="83"/>
      <c r="E66" s="83"/>
      <c r="F66" s="83"/>
      <c r="G66" s="83"/>
      <c r="H66" s="83"/>
      <c r="I66" s="83"/>
      <c r="J66" s="83"/>
      <c r="K66" s="83"/>
      <c r="L66" s="104"/>
      <c r="M66" s="83"/>
      <c r="N66" s="83"/>
      <c r="O66" s="83"/>
      <c r="P66" s="83"/>
      <c r="Q66" s="83"/>
      <c r="R66" s="83"/>
      <c r="S66" s="83"/>
      <c r="T66" s="83"/>
      <c r="U66" s="83"/>
      <c r="V66" s="83"/>
      <c r="W66" s="83"/>
      <c r="X66" s="83"/>
      <c r="Y66" s="149"/>
      <c r="Z66" s="83"/>
    </row>
    <row r="67" spans="1:26" ht="15" customHeight="1">
      <c r="A67" s="131"/>
      <c r="B67" s="42"/>
      <c r="C67" s="83" t="s">
        <v>57</v>
      </c>
      <c r="D67" s="83"/>
      <c r="E67" s="1101" t="s">
        <v>59</v>
      </c>
      <c r="F67" s="1101"/>
      <c r="G67" s="1101"/>
      <c r="H67" s="1101"/>
      <c r="I67" s="1101"/>
      <c r="J67" s="1101"/>
      <c r="K67" s="106"/>
      <c r="L67" s="107"/>
      <c r="M67" s="106"/>
      <c r="N67" s="106"/>
      <c r="O67" s="108"/>
      <c r="P67" s="108"/>
      <c r="Q67" s="108"/>
      <c r="R67" s="108"/>
      <c r="S67" s="108"/>
      <c r="T67" s="108"/>
      <c r="U67" s="108"/>
      <c r="V67" s="108"/>
      <c r="W67" s="83"/>
      <c r="X67" s="83"/>
      <c r="Y67" s="149"/>
      <c r="Z67" s="83"/>
    </row>
    <row r="68" spans="1:26" ht="15" customHeight="1">
      <c r="A68" s="131"/>
      <c r="B68" s="42"/>
      <c r="C68" s="79" t="s">
        <v>113</v>
      </c>
      <c r="D68" s="152"/>
      <c r="E68" s="106"/>
      <c r="F68" s="106"/>
      <c r="G68" s="106"/>
      <c r="H68" s="106"/>
      <c r="I68" s="106"/>
      <c r="J68" s="106"/>
      <c r="K68" s="106"/>
      <c r="L68" s="107"/>
      <c r="M68" s="106"/>
      <c r="N68" s="106"/>
      <c r="O68" s="1093" t="s">
        <v>58</v>
      </c>
      <c r="P68" s="1093"/>
      <c r="Q68" s="1093"/>
      <c r="R68" s="1093"/>
      <c r="S68" s="1093"/>
      <c r="T68" s="1093"/>
      <c r="U68" s="1093"/>
      <c r="V68" s="1093"/>
      <c r="W68" s="83"/>
      <c r="X68" s="83"/>
      <c r="Y68" s="149"/>
      <c r="Z68" s="83"/>
    </row>
    <row r="69" spans="1:26" ht="15" customHeight="1" thickBot="1">
      <c r="A69" s="131"/>
      <c r="B69" s="40"/>
      <c r="C69" s="110" t="str">
        <f>TB!B34</f>
        <v>(FÉRIAS JANEIRO 2014) - ATUALIZADO 03/2014 - V14 (19/03/2013)</v>
      </c>
      <c r="D69" s="111"/>
      <c r="E69" s="111"/>
      <c r="F69" s="111"/>
      <c r="G69" s="112"/>
      <c r="H69" s="113"/>
      <c r="I69" s="113"/>
      <c r="J69" s="113"/>
      <c r="K69" s="113"/>
      <c r="L69" s="114"/>
      <c r="M69" s="113"/>
      <c r="N69" s="113"/>
      <c r="O69" s="113"/>
      <c r="P69" s="113"/>
      <c r="Q69" s="113"/>
      <c r="R69" s="113"/>
      <c r="S69" s="113"/>
      <c r="T69" s="113"/>
      <c r="U69" s="113"/>
      <c r="V69" s="113"/>
      <c r="W69" s="113"/>
      <c r="X69" s="113"/>
      <c r="Y69" s="153"/>
      <c r="Z69" s="83"/>
    </row>
    <row r="70" spans="1:26" ht="13.5" thickTop="1">
      <c r="A70" s="4"/>
      <c r="B70" s="4"/>
      <c r="C70" s="4"/>
      <c r="D70" s="4"/>
      <c r="E70" s="4"/>
      <c r="F70" s="4"/>
      <c r="G70" s="4"/>
      <c r="H70" s="4"/>
      <c r="I70" s="4"/>
      <c r="J70" s="4"/>
      <c r="K70" s="4"/>
      <c r="L70" s="4"/>
      <c r="M70" s="154" t="str">
        <f>AV!M69</f>
        <v>Via do Empregado</v>
      </c>
      <c r="N70" s="4"/>
      <c r="O70" s="4"/>
      <c r="P70" s="4"/>
      <c r="Q70" s="4"/>
      <c r="R70" s="4"/>
      <c r="S70" s="4"/>
      <c r="T70" s="4"/>
      <c r="U70" s="4"/>
      <c r="V70" s="4"/>
      <c r="W70" s="4"/>
      <c r="X70" s="4"/>
      <c r="Y70" s="4"/>
      <c r="Z70" s="4"/>
    </row>
    <row r="71" spans="1:26">
      <c r="A71" s="4"/>
      <c r="B71" s="4"/>
      <c r="C71" s="4"/>
      <c r="D71" s="4"/>
      <c r="E71" s="4"/>
      <c r="F71" s="4"/>
      <c r="G71" s="4"/>
      <c r="H71" s="4"/>
      <c r="I71" s="4"/>
      <c r="J71" s="4"/>
      <c r="K71" s="4"/>
      <c r="L71" s="4"/>
      <c r="M71" s="4"/>
      <c r="N71" s="4"/>
      <c r="O71" s="4"/>
      <c r="P71" s="4"/>
      <c r="Q71" s="4"/>
      <c r="R71" s="4"/>
      <c r="S71" s="4"/>
      <c r="T71" s="4"/>
      <c r="U71" s="4"/>
      <c r="V71" s="4"/>
      <c r="W71" s="4"/>
      <c r="X71" s="4"/>
      <c r="Y71" s="4"/>
      <c r="Z71" s="4"/>
    </row>
    <row r="72" spans="1:26">
      <c r="A72" s="4"/>
      <c r="B72" s="4"/>
      <c r="C72" s="4"/>
      <c r="D72" s="4"/>
      <c r="E72" s="4"/>
      <c r="F72" s="4"/>
      <c r="G72" s="4"/>
      <c r="H72" s="4"/>
      <c r="I72" s="4"/>
      <c r="J72" s="4"/>
      <c r="K72" s="4"/>
      <c r="L72" s="4"/>
      <c r="M72" s="4"/>
      <c r="N72" s="4"/>
      <c r="O72" s="4"/>
      <c r="P72" s="4"/>
      <c r="Q72" s="4"/>
      <c r="R72" s="4"/>
      <c r="S72" s="4"/>
      <c r="T72" s="4"/>
      <c r="U72" s="4"/>
      <c r="V72" s="4"/>
      <c r="W72" s="4"/>
      <c r="X72" s="4"/>
      <c r="Y72" s="4"/>
      <c r="Z72" s="4"/>
    </row>
    <row r="73" spans="1:26">
      <c r="A73" s="4"/>
      <c r="B73" s="4"/>
      <c r="C73" s="4"/>
      <c r="D73" s="4"/>
      <c r="E73" s="4"/>
      <c r="F73" s="4"/>
      <c r="G73" s="4"/>
      <c r="H73" s="4"/>
      <c r="I73" s="4"/>
      <c r="J73" s="4"/>
      <c r="K73" s="4"/>
      <c r="L73" s="4"/>
      <c r="M73" s="4"/>
      <c r="N73" s="4"/>
      <c r="O73" s="4"/>
      <c r="P73" s="4"/>
      <c r="Q73" s="4"/>
      <c r="R73" s="4"/>
      <c r="S73" s="4"/>
      <c r="T73" s="4"/>
      <c r="U73" s="4"/>
      <c r="V73" s="4"/>
      <c r="W73" s="4"/>
      <c r="X73" s="4"/>
      <c r="Y73" s="4"/>
      <c r="Z73" s="4"/>
    </row>
  </sheetData>
  <sheetProtection password="CEBA" sheet="1" objects="1" scenarios="1" selectLockedCells="1"/>
  <mergeCells count="62">
    <mergeCell ref="E67:J67"/>
    <mergeCell ref="C54:M55"/>
    <mergeCell ref="C56:M57"/>
    <mergeCell ref="E62:K62"/>
    <mergeCell ref="N62:S62"/>
    <mergeCell ref="N54:R54"/>
    <mergeCell ref="T30:X30"/>
    <mergeCell ref="O44:R44"/>
    <mergeCell ref="N30:S30"/>
    <mergeCell ref="O68:V68"/>
    <mergeCell ref="T62:X62"/>
    <mergeCell ref="V44:X44"/>
    <mergeCell ref="M44:N44"/>
    <mergeCell ref="S47:X47"/>
    <mergeCell ref="S44:U44"/>
    <mergeCell ref="Q47:R47"/>
    <mergeCell ref="O49:P49"/>
    <mergeCell ref="S49:X49"/>
    <mergeCell ref="N65:S65"/>
    <mergeCell ref="F47:P47"/>
    <mergeCell ref="T65:X65"/>
    <mergeCell ref="T59:X59"/>
    <mergeCell ref="E32:J32"/>
    <mergeCell ref="O33:V33"/>
    <mergeCell ref="S42:X42"/>
    <mergeCell ref="G40:X40"/>
    <mergeCell ref="G42:P42"/>
    <mergeCell ref="Q42:R42"/>
    <mergeCell ref="C37:X38"/>
    <mergeCell ref="T54:X54"/>
    <mergeCell ref="Q49:R49"/>
    <mergeCell ref="N59:R59"/>
    <mergeCell ref="C52:M53"/>
    <mergeCell ref="G44:L44"/>
    <mergeCell ref="F49:M49"/>
    <mergeCell ref="C2:X3"/>
    <mergeCell ref="G9:L9"/>
    <mergeCell ref="C17:M18"/>
    <mergeCell ref="C19:M20"/>
    <mergeCell ref="Q7:R7"/>
    <mergeCell ref="S7:X7"/>
    <mergeCell ref="O9:R9"/>
    <mergeCell ref="G5:X5"/>
    <mergeCell ref="G7:P7"/>
    <mergeCell ref="Q12:R12"/>
    <mergeCell ref="Q14:R14"/>
    <mergeCell ref="T27:X27"/>
    <mergeCell ref="M9:N9"/>
    <mergeCell ref="O14:P14"/>
    <mergeCell ref="T19:X19"/>
    <mergeCell ref="F14:M14"/>
    <mergeCell ref="N27:S27"/>
    <mergeCell ref="E27:K27"/>
    <mergeCell ref="C21:N22"/>
    <mergeCell ref="S9:U9"/>
    <mergeCell ref="V9:X9"/>
    <mergeCell ref="N24:R24"/>
    <mergeCell ref="T24:X24"/>
    <mergeCell ref="S12:X12"/>
    <mergeCell ref="S14:X14"/>
    <mergeCell ref="N19:R19"/>
    <mergeCell ref="F12:P12"/>
  </mergeCells>
  <phoneticPr fontId="0" type="noConversion"/>
  <printOptions horizontalCentered="1" verticalCentered="1"/>
  <pageMargins left="0.19685039370078741" right="0.19685039370078741" top="0.39370078740157483" bottom="0.39370078740157483" header="0.31496062992125984" footer="0.31496062992125984"/>
  <pageSetup paperSize="9" scale="70" orientation="portrait" blackAndWhite="1" horizontalDpi="4294967294" r:id="rId1"/>
  <headerFooter alignWithMargins="0"/>
  <legacyDrawing r:id="rId2"/>
</worksheet>
</file>

<file path=xl/worksheets/sheet9.xml><?xml version="1.0" encoding="utf-8"?>
<worksheet xmlns="http://schemas.openxmlformats.org/spreadsheetml/2006/main" xmlns:r="http://schemas.openxmlformats.org/officeDocument/2006/relationships">
  <sheetPr codeName="Plan8"/>
  <dimension ref="A1:BO71"/>
  <sheetViews>
    <sheetView zoomScale="75" zoomScaleNormal="100" zoomScaleSheetLayoutView="100" workbookViewId="0">
      <pane xSplit="26" ySplit="3" topLeftCell="AA15" activePane="bottomRight" state="frozen"/>
      <selection pane="topRight" activeCell="AA1" sqref="AA1"/>
      <selection pane="bottomLeft" activeCell="A4" sqref="A4"/>
      <selection pane="bottomRight" activeCell="V9" sqref="V9:X9"/>
    </sheetView>
  </sheetViews>
  <sheetFormatPr defaultRowHeight="12.75"/>
  <cols>
    <col min="1" max="1" width="1.42578125" style="1" customWidth="1"/>
    <col min="2" max="2" width="1.140625" style="1" customWidth="1"/>
    <col min="3" max="3" width="4.7109375" style="1" customWidth="1"/>
    <col min="4" max="4" width="3.7109375" style="1" customWidth="1"/>
    <col min="5" max="5" width="5.140625" style="1" customWidth="1"/>
    <col min="6" max="6" width="14.140625" style="1" customWidth="1"/>
    <col min="7" max="9" width="5.7109375" style="1" customWidth="1"/>
    <col min="10" max="10" width="2" style="1" customWidth="1"/>
    <col min="11" max="11" width="14.42578125" style="1" customWidth="1"/>
    <col min="12" max="12" width="3.7109375" style="1" customWidth="1"/>
    <col min="13" max="13" width="8.140625" style="1" customWidth="1"/>
    <col min="14" max="14" width="3.7109375" style="1" customWidth="1"/>
    <col min="15" max="15" width="1.7109375" style="1" customWidth="1"/>
    <col min="16" max="16" width="12.7109375" style="1" customWidth="1"/>
    <col min="17" max="17" width="1.7109375" style="1" customWidth="1"/>
    <col min="18" max="18" width="6.7109375" style="1" customWidth="1"/>
    <col min="19" max="20" width="3.7109375" style="1" customWidth="1"/>
    <col min="21" max="21" width="1.7109375" style="1" customWidth="1"/>
    <col min="22" max="22" width="12.7109375" style="1" customWidth="1"/>
    <col min="23" max="23" width="1.7109375" style="1" customWidth="1"/>
    <col min="24" max="24" width="6.7109375" style="1" customWidth="1"/>
    <col min="25" max="25" width="1.140625" style="1" customWidth="1"/>
    <col min="26" max="26" width="4.140625" style="1" customWidth="1"/>
    <col min="27" max="16384" width="9.140625" style="122"/>
  </cols>
  <sheetData>
    <row r="1" spans="1:67" ht="16.5" customHeight="1" thickBot="1">
      <c r="A1" s="4"/>
      <c r="B1" s="40"/>
      <c r="C1" s="40"/>
      <c r="D1" s="40"/>
      <c r="E1" s="40"/>
      <c r="F1" s="40"/>
      <c r="G1" s="40"/>
      <c r="H1" s="40"/>
      <c r="I1" s="40"/>
      <c r="J1" s="40"/>
      <c r="K1" s="40"/>
      <c r="L1" s="40"/>
      <c r="M1" s="40"/>
      <c r="N1" s="40"/>
      <c r="O1" s="40"/>
      <c r="P1" s="40"/>
      <c r="Q1" s="40"/>
      <c r="R1" s="40"/>
      <c r="S1" s="40"/>
      <c r="T1" s="40"/>
      <c r="U1" s="40"/>
      <c r="V1" s="40"/>
      <c r="W1" s="40"/>
      <c r="X1" s="40"/>
      <c r="Y1" s="40"/>
      <c r="Z1" s="4"/>
    </row>
    <row r="2" spans="1:67" s="124" customFormat="1" ht="24.75" customHeight="1" thickTop="1">
      <c r="A2" s="126"/>
      <c r="B2" s="339"/>
      <c r="C2" s="1119" t="s">
        <v>117</v>
      </c>
      <c r="D2" s="1119"/>
      <c r="E2" s="1119"/>
      <c r="F2" s="1119"/>
      <c r="G2" s="1120"/>
      <c r="H2" s="1120"/>
      <c r="I2" s="1120"/>
      <c r="J2" s="1120"/>
      <c r="K2" s="1120"/>
      <c r="L2" s="1120"/>
      <c r="M2" s="1120"/>
      <c r="N2" s="1120"/>
      <c r="O2" s="1120"/>
      <c r="P2" s="1120"/>
      <c r="Q2" s="1120"/>
      <c r="R2" s="1120"/>
      <c r="S2" s="1120"/>
      <c r="T2" s="1120"/>
      <c r="U2" s="1120"/>
      <c r="V2" s="1121"/>
      <c r="W2" s="1121"/>
      <c r="X2" s="1121"/>
      <c r="Y2" s="340"/>
      <c r="Z2" s="155"/>
    </row>
    <row r="3" spans="1:67" s="124" customFormat="1" ht="24.75" customHeight="1">
      <c r="A3" s="126"/>
      <c r="B3" s="341"/>
      <c r="C3" s="1122"/>
      <c r="D3" s="1122"/>
      <c r="E3" s="1122"/>
      <c r="F3" s="1122"/>
      <c r="G3" s="1122"/>
      <c r="H3" s="1122"/>
      <c r="I3" s="1122"/>
      <c r="J3" s="1122"/>
      <c r="K3" s="1122"/>
      <c r="L3" s="1122"/>
      <c r="M3" s="1122"/>
      <c r="N3" s="1122"/>
      <c r="O3" s="1122"/>
      <c r="P3" s="1122"/>
      <c r="Q3" s="1122"/>
      <c r="R3" s="1122"/>
      <c r="S3" s="1122"/>
      <c r="T3" s="1122"/>
      <c r="U3" s="1122"/>
      <c r="V3" s="1123"/>
      <c r="W3" s="1123"/>
      <c r="X3" s="1123"/>
      <c r="Y3" s="342"/>
      <c r="Z3" s="15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 customHeight="1">
      <c r="A4" s="131"/>
      <c r="B4" s="42"/>
      <c r="C4" s="83"/>
      <c r="D4" s="83"/>
      <c r="E4" s="83"/>
      <c r="F4" s="83"/>
      <c r="G4" s="83"/>
      <c r="H4" s="83"/>
      <c r="I4" s="83"/>
      <c r="J4" s="83"/>
      <c r="K4" s="83"/>
      <c r="L4" s="83"/>
      <c r="M4" s="83"/>
      <c r="N4" s="83"/>
      <c r="O4" s="83"/>
      <c r="P4" s="83"/>
      <c r="Q4" s="83"/>
      <c r="R4" s="83"/>
      <c r="S4" s="83"/>
      <c r="T4" s="83"/>
      <c r="U4" s="83"/>
      <c r="V4" s="83"/>
      <c r="W4" s="83"/>
      <c r="X4" s="83"/>
      <c r="Y4" s="131"/>
      <c r="Z4" s="42"/>
      <c r="AA4" s="123"/>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3"/>
      <c r="AZ4" s="123"/>
      <c r="BA4" s="123"/>
      <c r="BB4" s="123"/>
      <c r="BC4" s="123"/>
      <c r="BD4" s="123"/>
      <c r="BE4" s="123"/>
      <c r="BF4" s="123"/>
      <c r="BG4" s="123"/>
      <c r="BH4" s="123"/>
      <c r="BI4" s="123"/>
      <c r="BJ4" s="123"/>
      <c r="BK4" s="123"/>
      <c r="BL4" s="123"/>
      <c r="BM4" s="123"/>
      <c r="BN4" s="123"/>
      <c r="BO4" s="123"/>
    </row>
    <row r="5" spans="1:67" ht="15" customHeight="1">
      <c r="A5" s="131"/>
      <c r="B5" s="42"/>
      <c r="C5" s="85" t="s">
        <v>262</v>
      </c>
      <c r="D5" s="86"/>
      <c r="E5" s="86"/>
      <c r="F5" s="86"/>
      <c r="G5" s="1092" t="str">
        <f>AV!G10</f>
        <v>ANGELO</v>
      </c>
      <c r="H5" s="1092"/>
      <c r="I5" s="1092"/>
      <c r="J5" s="1092"/>
      <c r="K5" s="1092"/>
      <c r="L5" s="1092"/>
      <c r="M5" s="1092"/>
      <c r="N5" s="1092"/>
      <c r="O5" s="1092"/>
      <c r="P5" s="1092"/>
      <c r="Q5" s="1092"/>
      <c r="R5" s="1092"/>
      <c r="S5" s="1092"/>
      <c r="T5" s="1092"/>
      <c r="U5" s="1092"/>
      <c r="V5" s="1092"/>
      <c r="W5" s="1092"/>
      <c r="X5" s="1092"/>
      <c r="Y5" s="131"/>
      <c r="Z5" s="42"/>
    </row>
    <row r="6" spans="1:67" ht="15" customHeight="1">
      <c r="A6" s="131"/>
      <c r="B6" s="42"/>
      <c r="C6" s="83"/>
      <c r="D6" s="83"/>
      <c r="E6" s="83"/>
      <c r="F6" s="83"/>
      <c r="G6" s="83"/>
      <c r="H6" s="83"/>
      <c r="I6" s="83"/>
      <c r="J6" s="83"/>
      <c r="K6" s="83"/>
      <c r="L6" s="83"/>
      <c r="M6" s="83"/>
      <c r="N6" s="83"/>
      <c r="O6" s="83"/>
      <c r="P6" s="83"/>
      <c r="Q6" s="83"/>
      <c r="R6" s="83"/>
      <c r="S6" s="83"/>
      <c r="T6" s="83"/>
      <c r="U6" s="83"/>
      <c r="V6" s="83"/>
      <c r="W6" s="83"/>
      <c r="X6" s="83"/>
      <c r="Y6" s="131"/>
      <c r="Z6" s="42"/>
    </row>
    <row r="7" spans="1:67" ht="15" customHeight="1">
      <c r="A7" s="131"/>
      <c r="B7" s="42"/>
      <c r="C7" s="85" t="s">
        <v>263</v>
      </c>
      <c r="D7" s="86"/>
      <c r="E7" s="86"/>
      <c r="F7" s="86"/>
      <c r="G7" s="1091">
        <f>AV!G12</f>
        <v>55563</v>
      </c>
      <c r="H7" s="1092"/>
      <c r="I7" s="1092"/>
      <c r="J7" s="1092"/>
      <c r="K7" s="1092"/>
      <c r="L7" s="1092"/>
      <c r="M7" s="1092"/>
      <c r="N7" s="1092"/>
      <c r="O7" s="1092"/>
      <c r="P7" s="1092"/>
      <c r="Q7" s="1134" t="s">
        <v>264</v>
      </c>
      <c r="R7" s="1128"/>
      <c r="S7" s="1092" t="str">
        <f>AV!S12</f>
        <v>00038/sp</v>
      </c>
      <c r="T7" s="1092"/>
      <c r="U7" s="1092"/>
      <c r="V7" s="1092"/>
      <c r="W7" s="1092"/>
      <c r="X7" s="1092"/>
      <c r="Y7" s="131"/>
      <c r="Z7" s="42"/>
    </row>
    <row r="8" spans="1:67" ht="15" customHeight="1">
      <c r="A8" s="131"/>
      <c r="B8" s="42"/>
      <c r="C8" s="83"/>
      <c r="D8" s="83"/>
      <c r="E8" s="83"/>
      <c r="F8" s="83"/>
      <c r="G8" s="133"/>
      <c r="H8" s="133"/>
      <c r="I8" s="133"/>
      <c r="J8" s="133"/>
      <c r="K8" s="133"/>
      <c r="L8" s="133"/>
      <c r="M8" s="133"/>
      <c r="N8" s="133"/>
      <c r="O8" s="133"/>
      <c r="P8" s="133"/>
      <c r="Q8" s="133"/>
      <c r="R8" s="133"/>
      <c r="S8" s="133"/>
      <c r="T8" s="133"/>
      <c r="U8" s="133"/>
      <c r="V8" s="133"/>
      <c r="W8" s="133"/>
      <c r="X8" s="133"/>
      <c r="Y8" s="131"/>
      <c r="Z8" s="42"/>
    </row>
    <row r="9" spans="1:67" ht="15" customHeight="1">
      <c r="A9" s="131"/>
      <c r="B9" s="42"/>
      <c r="C9" s="85" t="s">
        <v>265</v>
      </c>
      <c r="D9" s="86"/>
      <c r="E9" s="86"/>
      <c r="F9" s="134"/>
      <c r="G9" s="1092" t="str">
        <f>AV!G14</f>
        <v>adm</v>
      </c>
      <c r="H9" s="1092"/>
      <c r="I9" s="1092"/>
      <c r="J9" s="1092"/>
      <c r="K9" s="1092"/>
      <c r="L9" s="1092"/>
      <c r="M9" s="1134" t="s">
        <v>266</v>
      </c>
      <c r="N9" s="1128"/>
      <c r="O9" s="1092" t="str">
        <f>AV!O14</f>
        <v>contabil</v>
      </c>
      <c r="P9" s="1092"/>
      <c r="Q9" s="1092"/>
      <c r="R9" s="1092"/>
      <c r="S9" s="1135" t="s">
        <v>267</v>
      </c>
      <c r="T9" s="1128"/>
      <c r="U9" s="1128"/>
      <c r="V9" s="1092">
        <f>AV!V14</f>
        <v>0</v>
      </c>
      <c r="W9" s="1092"/>
      <c r="X9" s="1092"/>
      <c r="Y9" s="131"/>
      <c r="Z9" s="4"/>
    </row>
    <row r="10" spans="1:67" ht="15" customHeight="1">
      <c r="A10" s="131"/>
      <c r="B10" s="45"/>
      <c r="C10" s="90"/>
      <c r="D10" s="90"/>
      <c r="E10" s="90"/>
      <c r="F10" s="90"/>
      <c r="G10" s="90"/>
      <c r="H10" s="90"/>
      <c r="I10" s="90"/>
      <c r="J10" s="90"/>
      <c r="K10" s="90"/>
      <c r="L10" s="90"/>
      <c r="M10" s="90"/>
      <c r="N10" s="90"/>
      <c r="O10" s="90"/>
      <c r="P10" s="90"/>
      <c r="Q10" s="90"/>
      <c r="R10" s="90"/>
      <c r="S10" s="90"/>
      <c r="T10" s="90"/>
      <c r="U10" s="90"/>
      <c r="V10" s="90"/>
      <c r="W10" s="90"/>
      <c r="X10" s="90"/>
      <c r="Y10" s="64"/>
      <c r="Z10" s="4"/>
    </row>
    <row r="11" spans="1:67" ht="15" customHeight="1">
      <c r="A11" s="131"/>
      <c r="B11" s="4"/>
      <c r="C11" s="83"/>
      <c r="D11" s="83"/>
      <c r="E11" s="83"/>
      <c r="F11" s="83"/>
      <c r="G11" s="83"/>
      <c r="H11" s="83"/>
      <c r="I11" s="83"/>
      <c r="J11" s="83"/>
      <c r="K11" s="83"/>
      <c r="L11" s="83"/>
      <c r="M11" s="83"/>
      <c r="N11" s="83"/>
      <c r="O11" s="83"/>
      <c r="P11" s="83"/>
      <c r="Q11" s="83"/>
      <c r="R11" s="83"/>
      <c r="S11" s="83"/>
      <c r="T11" s="83"/>
      <c r="U11" s="83"/>
      <c r="V11" s="83"/>
      <c r="W11" s="83"/>
      <c r="X11" s="83"/>
      <c r="Y11" s="131"/>
      <c r="Z11" s="4"/>
    </row>
    <row r="12" spans="1:67" ht="15" customHeight="1">
      <c r="A12" s="131"/>
      <c r="B12" s="42"/>
      <c r="C12" s="85" t="s">
        <v>257</v>
      </c>
      <c r="D12" s="86"/>
      <c r="E12" s="86"/>
      <c r="F12" s="1092" t="str">
        <f>AV!F5</f>
        <v>Disk Automoveis Ltda</v>
      </c>
      <c r="G12" s="1098"/>
      <c r="H12" s="1098"/>
      <c r="I12" s="1098"/>
      <c r="J12" s="1098"/>
      <c r="K12" s="1098"/>
      <c r="L12" s="1098"/>
      <c r="M12" s="1098"/>
      <c r="N12" s="1098"/>
      <c r="O12" s="1098"/>
      <c r="P12" s="1098"/>
      <c r="Q12" s="1147" t="s">
        <v>258</v>
      </c>
      <c r="R12" s="1148"/>
      <c r="S12" s="1099">
        <f>AV!S5</f>
        <v>55683486000100</v>
      </c>
      <c r="T12" s="1099"/>
      <c r="U12" s="1099"/>
      <c r="V12" s="1099"/>
      <c r="W12" s="1099"/>
      <c r="X12" s="1099"/>
      <c r="Y12" s="131"/>
      <c r="Z12" s="4"/>
    </row>
    <row r="13" spans="1:67" ht="15" customHeight="1">
      <c r="A13" s="131"/>
      <c r="B13" s="42"/>
      <c r="C13" s="83"/>
      <c r="D13" s="83"/>
      <c r="E13" s="83"/>
      <c r="F13" s="133"/>
      <c r="G13" s="133"/>
      <c r="H13" s="133"/>
      <c r="I13" s="133"/>
      <c r="J13" s="133"/>
      <c r="K13" s="133"/>
      <c r="L13" s="133"/>
      <c r="M13" s="133"/>
      <c r="N13" s="133"/>
      <c r="O13" s="133"/>
      <c r="P13" s="133"/>
      <c r="Q13" s="133"/>
      <c r="R13" s="133"/>
      <c r="S13" s="133"/>
      <c r="T13" s="133"/>
      <c r="U13" s="133"/>
      <c r="V13" s="133"/>
      <c r="W13" s="133"/>
      <c r="X13" s="133"/>
      <c r="Y13" s="131"/>
      <c r="Z13" s="4"/>
    </row>
    <row r="14" spans="1:67" ht="15" customHeight="1">
      <c r="A14" s="131"/>
      <c r="B14" s="42"/>
      <c r="C14" s="85" t="s">
        <v>259</v>
      </c>
      <c r="D14" s="86"/>
      <c r="E14" s="86"/>
      <c r="F14" s="1092" t="str">
        <f>AV!F7</f>
        <v>Rua da Pedras</v>
      </c>
      <c r="G14" s="1098"/>
      <c r="H14" s="1098"/>
      <c r="I14" s="1098"/>
      <c r="J14" s="1098"/>
      <c r="K14" s="1098"/>
      <c r="L14" s="1098"/>
      <c r="M14" s="1098"/>
      <c r="N14" s="135" t="s">
        <v>260</v>
      </c>
      <c r="O14" s="1091">
        <f>AV!O7</f>
        <v>10</v>
      </c>
      <c r="P14" s="1092"/>
      <c r="Q14" s="1127" t="s">
        <v>261</v>
      </c>
      <c r="R14" s="1128"/>
      <c r="S14" s="1092" t="str">
        <f>AV!S7</f>
        <v>Pres.Prudente</v>
      </c>
      <c r="T14" s="1092"/>
      <c r="U14" s="1092"/>
      <c r="V14" s="1092"/>
      <c r="W14" s="1092"/>
      <c r="X14" s="1092"/>
      <c r="Y14" s="131"/>
      <c r="Z14" s="4"/>
    </row>
    <row r="15" spans="1:67" ht="15" customHeight="1">
      <c r="A15" s="131"/>
      <c r="B15" s="45"/>
      <c r="C15" s="90"/>
      <c r="D15" s="90"/>
      <c r="E15" s="90"/>
      <c r="F15" s="90"/>
      <c r="G15" s="90"/>
      <c r="H15" s="90"/>
      <c r="I15" s="90"/>
      <c r="J15" s="90"/>
      <c r="K15" s="90"/>
      <c r="L15" s="90"/>
      <c r="M15" s="90"/>
      <c r="N15" s="90"/>
      <c r="O15" s="90"/>
      <c r="P15" s="90"/>
      <c r="Q15" s="90"/>
      <c r="R15" s="90"/>
      <c r="S15" s="90"/>
      <c r="T15" s="90"/>
      <c r="U15" s="90"/>
      <c r="V15" s="90"/>
      <c r="W15" s="90"/>
      <c r="X15" s="90"/>
      <c r="Y15" s="64"/>
      <c r="Z15" s="4"/>
    </row>
    <row r="16" spans="1:67" ht="15" customHeight="1">
      <c r="A16" s="131"/>
      <c r="B16" s="4"/>
      <c r="C16" s="62"/>
      <c r="D16" s="62"/>
      <c r="E16" s="62"/>
      <c r="F16" s="62"/>
      <c r="G16" s="62"/>
      <c r="H16" s="62"/>
      <c r="I16" s="62"/>
      <c r="J16" s="62"/>
      <c r="K16" s="62"/>
      <c r="L16" s="62"/>
      <c r="M16" s="62"/>
      <c r="N16" s="62"/>
      <c r="O16" s="62"/>
      <c r="P16" s="62"/>
      <c r="Q16" s="62"/>
      <c r="R16" s="62"/>
      <c r="S16" s="62"/>
      <c r="T16" s="62"/>
      <c r="U16" s="62"/>
      <c r="V16" s="62"/>
      <c r="W16" s="62"/>
      <c r="X16" s="62"/>
      <c r="Y16" s="131"/>
      <c r="Z16" s="4"/>
    </row>
    <row r="17" spans="1:26" s="123" customFormat="1" ht="15" customHeight="1">
      <c r="A17" s="42"/>
      <c r="B17" s="44"/>
      <c r="C17" s="1142" t="s">
        <v>119</v>
      </c>
      <c r="D17" s="1143"/>
      <c r="E17" s="1143"/>
      <c r="F17" s="1143"/>
      <c r="G17" s="1143"/>
      <c r="H17" s="1143"/>
      <c r="I17" s="1143"/>
      <c r="J17" s="1143"/>
      <c r="K17" s="1143"/>
      <c r="L17" s="1143"/>
      <c r="M17" s="1143"/>
      <c r="N17" s="1144"/>
      <c r="O17" s="1144"/>
      <c r="P17" s="1144"/>
      <c r="Q17" s="1144"/>
      <c r="R17" s="1144"/>
      <c r="S17" s="1144"/>
      <c r="T17" s="1144"/>
      <c r="U17" s="1144"/>
      <c r="V17" s="1144"/>
      <c r="W17" s="1144"/>
      <c r="X17" s="1144"/>
      <c r="Y17" s="131"/>
      <c r="Z17" s="42"/>
    </row>
    <row r="18" spans="1:26" s="123" customFormat="1" ht="15" customHeight="1">
      <c r="A18" s="42"/>
      <c r="B18" s="44"/>
      <c r="C18" s="1143"/>
      <c r="D18" s="1143"/>
      <c r="E18" s="1143"/>
      <c r="F18" s="1143"/>
      <c r="G18" s="1143"/>
      <c r="H18" s="1143"/>
      <c r="I18" s="1143"/>
      <c r="J18" s="1143"/>
      <c r="K18" s="1143"/>
      <c r="L18" s="1143"/>
      <c r="M18" s="1143"/>
      <c r="N18" s="1144"/>
      <c r="O18" s="1144"/>
      <c r="P18" s="1144"/>
      <c r="Q18" s="1144"/>
      <c r="R18" s="1144"/>
      <c r="S18" s="1144"/>
      <c r="T18" s="1144"/>
      <c r="U18" s="1144"/>
      <c r="V18" s="1144"/>
      <c r="W18" s="1144"/>
      <c r="X18" s="1144"/>
      <c r="Y18" s="131"/>
      <c r="Z18" s="42"/>
    </row>
    <row r="19" spans="1:26" s="123" customFormat="1" ht="15" customHeight="1">
      <c r="A19" s="42"/>
      <c r="B19" s="44"/>
      <c r="C19" s="1137" t="s">
        <v>120</v>
      </c>
      <c r="D19" s="1138"/>
      <c r="E19" s="1138"/>
      <c r="F19" s="1138"/>
      <c r="G19" s="1138"/>
      <c r="H19" s="1138"/>
      <c r="I19" s="1138"/>
      <c r="J19" s="1138"/>
      <c r="K19" s="1138"/>
      <c r="L19" s="1138"/>
      <c r="M19" s="1138"/>
      <c r="N19" s="1138"/>
      <c r="O19" s="1138"/>
      <c r="P19" s="1138"/>
      <c r="Q19" s="1138"/>
      <c r="R19" s="1138"/>
      <c r="S19" s="1138"/>
      <c r="T19" s="1138"/>
      <c r="U19" s="1138"/>
      <c r="V19" s="1138"/>
      <c r="W19" s="1138"/>
      <c r="X19" s="1138"/>
      <c r="Y19" s="131"/>
      <c r="Z19" s="42"/>
    </row>
    <row r="20" spans="1:26" s="123" customFormat="1" ht="15" customHeight="1">
      <c r="A20" s="42"/>
      <c r="B20" s="44"/>
      <c r="C20" s="1138"/>
      <c r="D20" s="1138"/>
      <c r="E20" s="1138"/>
      <c r="F20" s="1138"/>
      <c r="G20" s="1138"/>
      <c r="H20" s="1138"/>
      <c r="I20" s="1138"/>
      <c r="J20" s="1138"/>
      <c r="K20" s="1138"/>
      <c r="L20" s="1138"/>
      <c r="M20" s="1138"/>
      <c r="N20" s="1138"/>
      <c r="O20" s="1138"/>
      <c r="P20" s="1138"/>
      <c r="Q20" s="1138"/>
      <c r="R20" s="1138"/>
      <c r="S20" s="1138"/>
      <c r="T20" s="1138"/>
      <c r="U20" s="1138"/>
      <c r="V20" s="1138"/>
      <c r="W20" s="1138"/>
      <c r="X20" s="1138"/>
      <c r="Y20" s="131"/>
      <c r="Z20" s="42"/>
    </row>
    <row r="21" spans="1:26" s="123" customFormat="1" ht="15" customHeight="1">
      <c r="A21" s="42"/>
      <c r="B21" s="44"/>
      <c r="C21" s="1137" t="s">
        <v>121</v>
      </c>
      <c r="D21" s="1138"/>
      <c r="E21" s="1138"/>
      <c r="F21" s="1138"/>
      <c r="G21" s="1138"/>
      <c r="H21" s="1138"/>
      <c r="I21" s="1138"/>
      <c r="J21" s="1138"/>
      <c r="K21" s="1138"/>
      <c r="L21" s="1138"/>
      <c r="M21" s="1138"/>
      <c r="N21" s="62"/>
      <c r="O21" s="62"/>
      <c r="P21" s="62"/>
      <c r="Q21" s="62"/>
      <c r="R21" s="62"/>
      <c r="S21" s="62"/>
      <c r="T21" s="62"/>
      <c r="U21" s="62"/>
      <c r="V21" s="62"/>
      <c r="W21" s="62"/>
      <c r="X21" s="62"/>
      <c r="Y21" s="131"/>
      <c r="Z21" s="42"/>
    </row>
    <row r="22" spans="1:26" s="123" customFormat="1" ht="15" customHeight="1">
      <c r="A22" s="42"/>
      <c r="B22" s="44"/>
      <c r="C22" s="1138"/>
      <c r="D22" s="1138"/>
      <c r="E22" s="1138"/>
      <c r="F22" s="1138"/>
      <c r="G22" s="1138"/>
      <c r="H22" s="1138"/>
      <c r="I22" s="1138"/>
      <c r="J22" s="1138"/>
      <c r="K22" s="1138"/>
      <c r="L22" s="1138"/>
      <c r="M22" s="1138"/>
      <c r="N22" s="62"/>
      <c r="O22" s="62"/>
      <c r="P22" s="62"/>
      <c r="Q22" s="62"/>
      <c r="R22" s="62"/>
      <c r="S22" s="62"/>
      <c r="T22" s="62"/>
      <c r="U22" s="62"/>
      <c r="V22" s="62"/>
      <c r="W22" s="62"/>
      <c r="X22" s="62"/>
      <c r="Y22" s="131"/>
      <c r="Z22" s="42"/>
    </row>
    <row r="23" spans="1:26" s="123" customFormat="1" ht="15" customHeight="1">
      <c r="A23" s="42"/>
      <c r="B23" s="44"/>
      <c r="C23" s="158"/>
      <c r="D23" s="158"/>
      <c r="E23" s="158"/>
      <c r="F23" s="158"/>
      <c r="G23" s="158"/>
      <c r="H23" s="158"/>
      <c r="I23" s="158"/>
      <c r="J23" s="158"/>
      <c r="K23" s="158"/>
      <c r="L23" s="158"/>
      <c r="M23" s="158"/>
      <c r="N23" s="62"/>
      <c r="O23" s="62"/>
      <c r="P23" s="62"/>
      <c r="Q23" s="62"/>
      <c r="R23" s="62"/>
      <c r="S23" s="62"/>
      <c r="T23" s="62"/>
      <c r="U23" s="62"/>
      <c r="V23" s="62"/>
      <c r="W23" s="62"/>
      <c r="X23" s="62"/>
      <c r="Y23" s="131"/>
      <c r="Z23" s="42"/>
    </row>
    <row r="24" spans="1:26" s="123" customFormat="1" ht="15" customHeight="1">
      <c r="A24" s="42"/>
      <c r="B24" s="63"/>
      <c r="C24" s="159"/>
      <c r="D24" s="160"/>
      <c r="E24" s="160"/>
      <c r="F24" s="160"/>
      <c r="G24" s="160"/>
      <c r="H24" s="160"/>
      <c r="I24" s="160"/>
      <c r="J24" s="160"/>
      <c r="K24" s="160"/>
      <c r="L24" s="160"/>
      <c r="M24" s="160"/>
      <c r="N24" s="120"/>
      <c r="O24" s="120"/>
      <c r="P24" s="120"/>
      <c r="Q24" s="120"/>
      <c r="R24" s="120"/>
      <c r="S24" s="120"/>
      <c r="T24" s="120"/>
      <c r="U24" s="120"/>
      <c r="V24" s="120"/>
      <c r="W24" s="120"/>
      <c r="X24" s="120"/>
      <c r="Y24" s="64"/>
      <c r="Z24" s="42"/>
    </row>
    <row r="25" spans="1:26" s="123" customFormat="1" ht="15" customHeight="1">
      <c r="A25" s="42"/>
      <c r="B25" s="44"/>
      <c r="C25" s="42"/>
      <c r="D25" s="136"/>
      <c r="E25" s="136"/>
      <c r="F25" s="136"/>
      <c r="G25" s="136"/>
      <c r="H25" s="136"/>
      <c r="I25" s="136"/>
      <c r="J25" s="136"/>
      <c r="K25" s="136"/>
      <c r="L25" s="136"/>
      <c r="M25" s="136"/>
      <c r="N25" s="83"/>
      <c r="O25" s="83"/>
      <c r="P25" s="83"/>
      <c r="Q25" s="83"/>
      <c r="R25" s="83"/>
      <c r="S25" s="83"/>
      <c r="T25" s="83"/>
      <c r="U25" s="83"/>
      <c r="V25" s="83"/>
      <c r="W25" s="83"/>
      <c r="X25" s="83"/>
      <c r="Y25" s="131"/>
      <c r="Z25" s="42"/>
    </row>
    <row r="26" spans="1:26" s="123" customFormat="1" ht="15" customHeight="1">
      <c r="A26" s="42"/>
      <c r="B26" s="44"/>
      <c r="C26" s="42"/>
      <c r="D26" s="42"/>
      <c r="E26" s="42"/>
      <c r="F26" s="42"/>
      <c r="G26" s="42"/>
      <c r="H26" s="42"/>
      <c r="I26" s="42"/>
      <c r="J26" s="42"/>
      <c r="K26" s="42"/>
      <c r="L26" s="42"/>
      <c r="M26" s="42"/>
      <c r="N26" s="42"/>
      <c r="O26" s="42"/>
      <c r="P26" s="42"/>
      <c r="Q26" s="42"/>
      <c r="R26" s="42"/>
      <c r="S26" s="42"/>
      <c r="T26" s="42"/>
      <c r="U26" s="42"/>
      <c r="V26" s="42"/>
      <c r="W26" s="42"/>
      <c r="X26" s="42"/>
      <c r="Y26" s="131"/>
      <c r="Z26" s="42"/>
    </row>
    <row r="27" spans="1:26" s="123" customFormat="1" ht="15" customHeight="1">
      <c r="A27" s="131"/>
      <c r="B27" s="42"/>
      <c r="C27" s="48" t="s">
        <v>273</v>
      </c>
      <c r="D27" s="42"/>
      <c r="E27" s="1113" t="str">
        <f xml:space="preserve"> AV!E26</f>
        <v>Pres.Prudente</v>
      </c>
      <c r="F27" s="1113"/>
      <c r="G27" s="1113"/>
      <c r="H27" s="1113"/>
      <c r="I27" s="1113"/>
      <c r="J27" s="1113"/>
      <c r="K27" s="1113"/>
      <c r="L27" s="42"/>
      <c r="M27" s="42"/>
      <c r="N27" s="1072" t="s">
        <v>274</v>
      </c>
      <c r="O27" s="1073"/>
      <c r="P27" s="1073"/>
      <c r="Q27" s="1073"/>
      <c r="R27" s="1073"/>
      <c r="S27" s="1073"/>
      <c r="T27" s="1074" t="str">
        <f>IF(DADOS!$E$18=0," ",IF(DADOS!$E$18&gt;0,DADOS!$E$18))</f>
        <v xml:space="preserve"> </v>
      </c>
      <c r="U27" s="1074"/>
      <c r="V27" s="1074"/>
      <c r="W27" s="1074"/>
      <c r="X27" s="1074"/>
      <c r="Y27" s="131"/>
      <c r="Z27" s="42"/>
    </row>
    <row r="28" spans="1:26" s="123" customFormat="1" ht="15" customHeight="1">
      <c r="A28" s="131"/>
      <c r="B28" s="45"/>
      <c r="C28" s="45"/>
      <c r="D28" s="45"/>
      <c r="E28" s="45"/>
      <c r="F28" s="45"/>
      <c r="G28" s="45"/>
      <c r="H28" s="45"/>
      <c r="I28" s="45"/>
      <c r="J28" s="45"/>
      <c r="K28" s="45"/>
      <c r="L28" s="45"/>
      <c r="M28" s="45"/>
      <c r="N28" s="45"/>
      <c r="O28" s="45"/>
      <c r="P28" s="45"/>
      <c r="Q28" s="45"/>
      <c r="R28" s="45"/>
      <c r="S28" s="45"/>
      <c r="T28" s="45"/>
      <c r="U28" s="45"/>
      <c r="V28" s="45"/>
      <c r="W28" s="45"/>
      <c r="X28" s="45"/>
      <c r="Y28" s="64"/>
      <c r="Z28" s="42"/>
    </row>
    <row r="29" spans="1:26" s="123" customFormat="1" ht="15.6" customHeight="1">
      <c r="A29" s="131"/>
      <c r="B29" s="42"/>
      <c r="C29" s="42"/>
      <c r="D29" s="42"/>
      <c r="E29" s="42"/>
      <c r="F29" s="42"/>
      <c r="G29" s="42"/>
      <c r="H29" s="42"/>
      <c r="I29" s="42"/>
      <c r="J29" s="42"/>
      <c r="K29" s="42"/>
      <c r="L29" s="65"/>
      <c r="M29" s="42"/>
      <c r="N29" s="42"/>
      <c r="O29" s="42"/>
      <c r="P29" s="42"/>
      <c r="Q29" s="42"/>
      <c r="R29" s="42"/>
      <c r="S29" s="42"/>
      <c r="T29" s="42"/>
      <c r="U29" s="42"/>
      <c r="V29" s="42"/>
      <c r="W29" s="42"/>
      <c r="X29" s="42"/>
      <c r="Y29" s="131"/>
      <c r="Z29" s="42"/>
    </row>
    <row r="30" spans="1:26" s="123" customFormat="1" ht="15.6" customHeight="1">
      <c r="A30" s="131"/>
      <c r="B30" s="42"/>
      <c r="C30" s="42"/>
      <c r="D30" s="42"/>
      <c r="E30" s="42"/>
      <c r="F30" s="42"/>
      <c r="G30" s="42"/>
      <c r="H30" s="42"/>
      <c r="I30" s="42"/>
      <c r="J30" s="42"/>
      <c r="K30" s="42"/>
      <c r="L30" s="66"/>
      <c r="M30" s="42"/>
      <c r="N30" s="1075" t="s">
        <v>56</v>
      </c>
      <c r="O30" s="1073"/>
      <c r="P30" s="1073"/>
      <c r="Q30" s="1073"/>
      <c r="R30" s="1073"/>
      <c r="S30" s="1073"/>
      <c r="T30" s="1074" t="str">
        <f>IF(DADOS!$E$18=0," ",IF(DADOS!$E$18&gt;0,DADOS!$E$18))</f>
        <v xml:space="preserve"> </v>
      </c>
      <c r="U30" s="1074"/>
      <c r="V30" s="1074"/>
      <c r="W30" s="1074"/>
      <c r="X30" s="1074"/>
      <c r="Y30" s="131"/>
      <c r="Z30" s="42"/>
    </row>
    <row r="31" spans="1:26" s="123" customFormat="1" ht="15.6" customHeight="1">
      <c r="A31" s="131"/>
      <c r="B31" s="42"/>
      <c r="C31" s="42"/>
      <c r="D31" s="42"/>
      <c r="E31" s="42"/>
      <c r="F31" s="42"/>
      <c r="G31" s="42"/>
      <c r="H31" s="42"/>
      <c r="I31" s="42"/>
      <c r="J31" s="42"/>
      <c r="K31" s="42"/>
      <c r="L31" s="66"/>
      <c r="M31" s="42"/>
      <c r="N31" s="42"/>
      <c r="O31" s="42"/>
      <c r="P31" s="42"/>
      <c r="Q31" s="42"/>
      <c r="R31" s="42"/>
      <c r="S31" s="42"/>
      <c r="T31" s="42"/>
      <c r="U31" s="42"/>
      <c r="V31" s="42"/>
      <c r="W31" s="42"/>
      <c r="X31" s="42"/>
      <c r="Y31" s="131"/>
      <c r="Z31" s="42"/>
    </row>
    <row r="32" spans="1:26" s="123" customFormat="1" ht="15.6" customHeight="1">
      <c r="A32" s="131"/>
      <c r="B32" s="42"/>
      <c r="C32" s="42" t="s">
        <v>57</v>
      </c>
      <c r="D32" s="42"/>
      <c r="E32" s="1090" t="s">
        <v>59</v>
      </c>
      <c r="F32" s="1090"/>
      <c r="G32" s="1090"/>
      <c r="H32" s="1090"/>
      <c r="I32" s="1090"/>
      <c r="J32" s="1090"/>
      <c r="K32" s="67"/>
      <c r="L32" s="68"/>
      <c r="M32" s="67"/>
      <c r="N32" s="67"/>
      <c r="O32" s="69"/>
      <c r="P32" s="69"/>
      <c r="Q32" s="69"/>
      <c r="R32" s="69"/>
      <c r="S32" s="69"/>
      <c r="T32" s="69"/>
      <c r="U32" s="69"/>
      <c r="V32" s="69"/>
      <c r="W32" s="42"/>
      <c r="X32" s="42"/>
      <c r="Y32" s="131"/>
      <c r="Z32" s="42"/>
    </row>
    <row r="33" spans="1:26" s="123" customFormat="1" ht="15.6" customHeight="1">
      <c r="A33" s="131"/>
      <c r="B33" s="42"/>
      <c r="C33" s="79" t="s">
        <v>118</v>
      </c>
      <c r="D33" s="42"/>
      <c r="E33" s="67"/>
      <c r="F33" s="67"/>
      <c r="G33" s="67"/>
      <c r="H33" s="67"/>
      <c r="I33" s="67"/>
      <c r="J33" s="67"/>
      <c r="K33" s="67"/>
      <c r="L33" s="68"/>
      <c r="M33" s="67"/>
      <c r="N33" s="67"/>
      <c r="O33" s="1070" t="s">
        <v>58</v>
      </c>
      <c r="P33" s="1070"/>
      <c r="Q33" s="1070"/>
      <c r="R33" s="1070"/>
      <c r="S33" s="1070"/>
      <c r="T33" s="1070"/>
      <c r="U33" s="1070"/>
      <c r="V33" s="1070"/>
      <c r="W33" s="42"/>
      <c r="X33" s="42"/>
      <c r="Y33" s="131"/>
      <c r="Z33" s="42"/>
    </row>
    <row r="34" spans="1:26" s="123" customFormat="1" ht="15.6" customHeight="1" thickBot="1">
      <c r="A34" s="131"/>
      <c r="B34" s="40"/>
      <c r="C34" s="72" t="str">
        <f>TB!B34</f>
        <v>(FÉRIAS JANEIRO 2014) - ATUALIZADO 03/2014 - V14 (19/03/2013)</v>
      </c>
      <c r="D34" s="73"/>
      <c r="E34" s="73"/>
      <c r="F34" s="73"/>
      <c r="G34" s="74"/>
      <c r="H34" s="40"/>
      <c r="I34" s="40"/>
      <c r="J34" s="40"/>
      <c r="K34" s="40"/>
      <c r="L34" s="75"/>
      <c r="M34" s="40"/>
      <c r="N34" s="40"/>
      <c r="O34" s="40"/>
      <c r="P34" s="40"/>
      <c r="Q34" s="40"/>
      <c r="R34" s="40"/>
      <c r="S34" s="40"/>
      <c r="T34" s="40"/>
      <c r="U34" s="40"/>
      <c r="V34" s="40"/>
      <c r="W34" s="40"/>
      <c r="X34" s="40"/>
      <c r="Y34" s="76"/>
      <c r="Z34" s="42"/>
    </row>
    <row r="35" spans="1:26" s="123" customFormat="1" ht="21" customHeight="1" thickTop="1">
      <c r="A35" s="140"/>
      <c r="B35" s="140"/>
      <c r="C35" s="141"/>
      <c r="D35" s="142"/>
      <c r="E35" s="142"/>
      <c r="F35" s="142"/>
      <c r="G35" s="143"/>
      <c r="H35" s="140"/>
      <c r="I35" s="140"/>
      <c r="J35" s="140"/>
      <c r="K35" s="140"/>
      <c r="L35" s="140"/>
      <c r="M35" s="144" t="str">
        <f>AV!M35</f>
        <v>Via do Empregador</v>
      </c>
      <c r="N35" s="140"/>
      <c r="O35" s="140"/>
      <c r="P35" s="140"/>
      <c r="Q35" s="140"/>
      <c r="R35" s="140"/>
      <c r="S35" s="140"/>
      <c r="T35" s="140"/>
      <c r="U35" s="140"/>
      <c r="V35" s="140"/>
      <c r="W35" s="140"/>
      <c r="X35" s="140"/>
      <c r="Y35" s="140"/>
      <c r="Z35" s="140"/>
    </row>
    <row r="36" spans="1:26" s="123" customFormat="1" ht="18.75" customHeight="1" thickBot="1">
      <c r="A36" s="42"/>
      <c r="B36" s="42"/>
      <c r="C36" s="42"/>
      <c r="D36" s="42"/>
      <c r="E36" s="42"/>
      <c r="F36" s="42"/>
      <c r="G36" s="42"/>
      <c r="H36" s="42"/>
      <c r="I36" s="42"/>
      <c r="J36" s="42"/>
      <c r="K36" s="42"/>
      <c r="L36" s="42"/>
      <c r="M36" s="42"/>
      <c r="N36" s="42"/>
      <c r="O36" s="42"/>
      <c r="P36" s="145"/>
      <c r="Q36" s="146"/>
      <c r="R36" s="42"/>
      <c r="S36" s="42"/>
      <c r="T36" s="42"/>
      <c r="U36" s="42"/>
      <c r="V36" s="42"/>
      <c r="W36" s="42"/>
      <c r="X36" s="42"/>
      <c r="Y36" s="42"/>
      <c r="Z36" s="42"/>
    </row>
    <row r="37" spans="1:26" s="123" customFormat="1" ht="24.75" customHeight="1" thickTop="1">
      <c r="A37" s="126"/>
      <c r="B37" s="127"/>
      <c r="C37" s="1129" t="s">
        <v>117</v>
      </c>
      <c r="D37" s="1129"/>
      <c r="E37" s="1129"/>
      <c r="F37" s="1129"/>
      <c r="G37" s="1130"/>
      <c r="H37" s="1130"/>
      <c r="I37" s="1130"/>
      <c r="J37" s="1130"/>
      <c r="K37" s="1130"/>
      <c r="L37" s="1130"/>
      <c r="M37" s="1130"/>
      <c r="N37" s="1130"/>
      <c r="O37" s="1130"/>
      <c r="P37" s="1130"/>
      <c r="Q37" s="1130"/>
      <c r="R37" s="1130"/>
      <c r="S37" s="1130"/>
      <c r="T37" s="1130"/>
      <c r="U37" s="1130"/>
      <c r="V37" s="1131"/>
      <c r="W37" s="1131"/>
      <c r="X37" s="1131"/>
      <c r="Y37" s="128"/>
      <c r="Z37" s="82"/>
    </row>
    <row r="38" spans="1:26" ht="24" customHeight="1">
      <c r="A38" s="126"/>
      <c r="B38" s="129"/>
      <c r="C38" s="1132"/>
      <c r="D38" s="1132"/>
      <c r="E38" s="1132"/>
      <c r="F38" s="1132"/>
      <c r="G38" s="1132"/>
      <c r="H38" s="1132"/>
      <c r="I38" s="1132"/>
      <c r="J38" s="1132"/>
      <c r="K38" s="1132"/>
      <c r="L38" s="1132"/>
      <c r="M38" s="1132"/>
      <c r="N38" s="1132"/>
      <c r="O38" s="1132"/>
      <c r="P38" s="1132"/>
      <c r="Q38" s="1132"/>
      <c r="R38" s="1132"/>
      <c r="S38" s="1132"/>
      <c r="T38" s="1132"/>
      <c r="U38" s="1132"/>
      <c r="V38" s="1133"/>
      <c r="W38" s="1133"/>
      <c r="X38" s="1133"/>
      <c r="Y38" s="130"/>
      <c r="Z38" s="82"/>
    </row>
    <row r="39" spans="1:26" ht="15" customHeight="1">
      <c r="A39" s="131"/>
      <c r="B39" s="42"/>
      <c r="C39" s="83"/>
      <c r="D39" s="83"/>
      <c r="E39" s="83"/>
      <c r="F39" s="83"/>
      <c r="G39" s="83"/>
      <c r="H39" s="83"/>
      <c r="I39" s="83"/>
      <c r="J39" s="83"/>
      <c r="K39" s="83"/>
      <c r="L39" s="83"/>
      <c r="M39" s="83"/>
      <c r="N39" s="83"/>
      <c r="O39" s="83"/>
      <c r="P39" s="83"/>
      <c r="Q39" s="83"/>
      <c r="R39" s="83"/>
      <c r="S39" s="83"/>
      <c r="T39" s="83"/>
      <c r="U39" s="83"/>
      <c r="V39" s="83"/>
      <c r="W39" s="83"/>
      <c r="X39" s="83"/>
      <c r="Y39" s="131"/>
      <c r="Z39" s="83"/>
    </row>
    <row r="40" spans="1:26" ht="15" customHeight="1">
      <c r="A40" s="131"/>
      <c r="B40" s="42"/>
      <c r="C40" s="85" t="s">
        <v>262</v>
      </c>
      <c r="D40" s="86"/>
      <c r="E40" s="86"/>
      <c r="F40" s="86"/>
      <c r="G40" s="1140" t="str">
        <f>G5</f>
        <v>ANGELO</v>
      </c>
      <c r="H40" s="1140"/>
      <c r="I40" s="1140"/>
      <c r="J40" s="1140"/>
      <c r="K40" s="1140"/>
      <c r="L40" s="1140"/>
      <c r="M40" s="1140"/>
      <c r="N40" s="1140"/>
      <c r="O40" s="1140"/>
      <c r="P40" s="1140"/>
      <c r="Q40" s="1140"/>
      <c r="R40" s="1140"/>
      <c r="S40" s="1140"/>
      <c r="T40" s="1140"/>
      <c r="U40" s="1140"/>
      <c r="V40" s="1140"/>
      <c r="W40" s="1140"/>
      <c r="X40" s="1140"/>
      <c r="Y40" s="131"/>
      <c r="Z40" s="83"/>
    </row>
    <row r="41" spans="1:26" ht="15" customHeight="1">
      <c r="A41" s="131"/>
      <c r="B41" s="42"/>
      <c r="C41" s="83"/>
      <c r="D41" s="83"/>
      <c r="E41" s="83"/>
      <c r="F41" s="83"/>
      <c r="G41" s="83"/>
      <c r="H41" s="83"/>
      <c r="I41" s="83"/>
      <c r="J41" s="83"/>
      <c r="K41" s="83"/>
      <c r="L41" s="83"/>
      <c r="M41" s="83"/>
      <c r="N41" s="83"/>
      <c r="O41" s="83"/>
      <c r="P41" s="83"/>
      <c r="Q41" s="83"/>
      <c r="R41" s="83"/>
      <c r="S41" s="83"/>
      <c r="T41" s="83"/>
      <c r="U41" s="83"/>
      <c r="V41" s="83"/>
      <c r="W41" s="83"/>
      <c r="X41" s="83"/>
      <c r="Y41" s="131"/>
      <c r="Z41" s="83"/>
    </row>
    <row r="42" spans="1:26" ht="15" customHeight="1">
      <c r="A42" s="131"/>
      <c r="B42" s="42"/>
      <c r="C42" s="85" t="s">
        <v>263</v>
      </c>
      <c r="D42" s="86"/>
      <c r="E42" s="86"/>
      <c r="F42" s="86"/>
      <c r="G42" s="1141">
        <f>G7</f>
        <v>55563</v>
      </c>
      <c r="H42" s="1140"/>
      <c r="I42" s="1140"/>
      <c r="J42" s="1140"/>
      <c r="K42" s="1140"/>
      <c r="L42" s="1140"/>
      <c r="M42" s="1140"/>
      <c r="N42" s="1140"/>
      <c r="O42" s="1140"/>
      <c r="P42" s="1140"/>
      <c r="Q42" s="1134" t="s">
        <v>264</v>
      </c>
      <c r="R42" s="1128"/>
      <c r="S42" s="1140" t="str">
        <f>S7</f>
        <v>00038/sp</v>
      </c>
      <c r="T42" s="1140"/>
      <c r="U42" s="1140"/>
      <c r="V42" s="1140"/>
      <c r="W42" s="1140"/>
      <c r="X42" s="1140"/>
      <c r="Y42" s="131"/>
      <c r="Z42" s="83"/>
    </row>
    <row r="43" spans="1:26" ht="15" customHeight="1">
      <c r="A43" s="131"/>
      <c r="B43" s="42"/>
      <c r="C43" s="83"/>
      <c r="D43" s="83"/>
      <c r="E43" s="83"/>
      <c r="F43" s="83"/>
      <c r="G43" s="133"/>
      <c r="H43" s="133"/>
      <c r="I43" s="133"/>
      <c r="J43" s="133"/>
      <c r="K43" s="133"/>
      <c r="L43" s="133"/>
      <c r="M43" s="133"/>
      <c r="N43" s="133"/>
      <c r="O43" s="133"/>
      <c r="P43" s="133"/>
      <c r="Q43" s="133"/>
      <c r="R43" s="133"/>
      <c r="S43" s="133"/>
      <c r="T43" s="133"/>
      <c r="U43" s="133"/>
      <c r="V43" s="133"/>
      <c r="W43" s="133"/>
      <c r="X43" s="133"/>
      <c r="Y43" s="131"/>
      <c r="Z43" s="83"/>
    </row>
    <row r="44" spans="1:26" ht="15" customHeight="1">
      <c r="A44" s="131"/>
      <c r="B44" s="42"/>
      <c r="C44" s="85" t="s">
        <v>265</v>
      </c>
      <c r="D44" s="86"/>
      <c r="E44" s="86"/>
      <c r="F44" s="134"/>
      <c r="G44" s="1140" t="str">
        <f>G9</f>
        <v>adm</v>
      </c>
      <c r="H44" s="1140"/>
      <c r="I44" s="1140"/>
      <c r="J44" s="1140"/>
      <c r="K44" s="1140"/>
      <c r="L44" s="1140"/>
      <c r="M44" s="1134" t="s">
        <v>266</v>
      </c>
      <c r="N44" s="1128"/>
      <c r="O44" s="1140" t="str">
        <f>O9</f>
        <v>contabil</v>
      </c>
      <c r="P44" s="1140"/>
      <c r="Q44" s="1140"/>
      <c r="R44" s="1140"/>
      <c r="S44" s="1135" t="s">
        <v>267</v>
      </c>
      <c r="T44" s="1128"/>
      <c r="U44" s="1128"/>
      <c r="V44" s="1140">
        <f>V9</f>
        <v>0</v>
      </c>
      <c r="W44" s="1140"/>
      <c r="X44" s="1140"/>
      <c r="Y44" s="131"/>
      <c r="Z44" s="84"/>
    </row>
    <row r="45" spans="1:26" ht="15" customHeight="1">
      <c r="A45" s="131"/>
      <c r="B45" s="45"/>
      <c r="C45" s="90"/>
      <c r="D45" s="90"/>
      <c r="E45" s="90"/>
      <c r="F45" s="90"/>
      <c r="G45" s="90"/>
      <c r="H45" s="90"/>
      <c r="I45" s="90"/>
      <c r="J45" s="90"/>
      <c r="K45" s="90"/>
      <c r="L45" s="90"/>
      <c r="M45" s="90"/>
      <c r="N45" s="90"/>
      <c r="O45" s="90"/>
      <c r="P45" s="90"/>
      <c r="Q45" s="90"/>
      <c r="R45" s="90"/>
      <c r="S45" s="90"/>
      <c r="T45" s="90"/>
      <c r="U45" s="90"/>
      <c r="V45" s="90"/>
      <c r="W45" s="90"/>
      <c r="X45" s="90"/>
      <c r="Y45" s="64"/>
      <c r="Z45" s="84"/>
    </row>
    <row r="46" spans="1:26" ht="15" customHeight="1">
      <c r="A46" s="131"/>
      <c r="B46" s="4"/>
      <c r="C46" s="83"/>
      <c r="D46" s="83"/>
      <c r="E46" s="83"/>
      <c r="F46" s="83"/>
      <c r="G46" s="83"/>
      <c r="H46" s="83"/>
      <c r="I46" s="83"/>
      <c r="J46" s="83"/>
      <c r="K46" s="83"/>
      <c r="L46" s="83"/>
      <c r="M46" s="83"/>
      <c r="N46" s="83"/>
      <c r="O46" s="83"/>
      <c r="P46" s="83"/>
      <c r="Q46" s="83"/>
      <c r="R46" s="83"/>
      <c r="S46" s="83"/>
      <c r="T46" s="83"/>
      <c r="U46" s="83"/>
      <c r="V46" s="83"/>
      <c r="W46" s="83"/>
      <c r="X46" s="83"/>
      <c r="Y46" s="131"/>
      <c r="Z46" s="84"/>
    </row>
    <row r="47" spans="1:26" ht="15" customHeight="1">
      <c r="A47" s="131"/>
      <c r="B47" s="42"/>
      <c r="C47" s="85" t="s">
        <v>257</v>
      </c>
      <c r="D47" s="86"/>
      <c r="E47" s="86"/>
      <c r="F47" s="1140" t="str">
        <f>F12</f>
        <v>Disk Automoveis Ltda</v>
      </c>
      <c r="G47" s="1146"/>
      <c r="H47" s="1146"/>
      <c r="I47" s="1146"/>
      <c r="J47" s="1146"/>
      <c r="K47" s="1146"/>
      <c r="L47" s="1146"/>
      <c r="M47" s="1146"/>
      <c r="N47" s="1146"/>
      <c r="O47" s="1146"/>
      <c r="P47" s="1146"/>
      <c r="Q47" s="1147" t="s">
        <v>258</v>
      </c>
      <c r="R47" s="1148"/>
      <c r="S47" s="1145">
        <f>S12</f>
        <v>55683486000100</v>
      </c>
      <c r="T47" s="1145"/>
      <c r="U47" s="1145"/>
      <c r="V47" s="1145"/>
      <c r="W47" s="1145"/>
      <c r="X47" s="1145"/>
      <c r="Y47" s="131"/>
      <c r="Z47" s="84"/>
    </row>
    <row r="48" spans="1:26" ht="15" customHeight="1">
      <c r="A48" s="131"/>
      <c r="B48" s="42"/>
      <c r="C48" s="83"/>
      <c r="D48" s="83"/>
      <c r="E48" s="83"/>
      <c r="F48" s="133"/>
      <c r="G48" s="133"/>
      <c r="H48" s="133"/>
      <c r="I48" s="133"/>
      <c r="J48" s="133"/>
      <c r="K48" s="133"/>
      <c r="L48" s="133"/>
      <c r="M48" s="133"/>
      <c r="N48" s="133"/>
      <c r="O48" s="133"/>
      <c r="P48" s="133"/>
      <c r="Q48" s="133"/>
      <c r="R48" s="133"/>
      <c r="S48" s="133"/>
      <c r="T48" s="133"/>
      <c r="U48" s="133"/>
      <c r="V48" s="133"/>
      <c r="W48" s="133"/>
      <c r="X48" s="133"/>
      <c r="Y48" s="131"/>
      <c r="Z48" s="84"/>
    </row>
    <row r="49" spans="1:26" ht="15" customHeight="1">
      <c r="A49" s="131"/>
      <c r="B49" s="42"/>
      <c r="C49" s="85" t="s">
        <v>259</v>
      </c>
      <c r="D49" s="86"/>
      <c r="E49" s="86"/>
      <c r="F49" s="1140" t="str">
        <f xml:space="preserve"> F14</f>
        <v>Rua da Pedras</v>
      </c>
      <c r="G49" s="1146"/>
      <c r="H49" s="1146"/>
      <c r="I49" s="1146"/>
      <c r="J49" s="1146"/>
      <c r="K49" s="1146"/>
      <c r="L49" s="1146"/>
      <c r="M49" s="1146"/>
      <c r="N49" s="135" t="s">
        <v>260</v>
      </c>
      <c r="O49" s="1141">
        <f xml:space="preserve"> O14</f>
        <v>10</v>
      </c>
      <c r="P49" s="1140"/>
      <c r="Q49" s="1127" t="s">
        <v>261</v>
      </c>
      <c r="R49" s="1128"/>
      <c r="S49" s="1140" t="str">
        <f xml:space="preserve"> S14</f>
        <v>Pres.Prudente</v>
      </c>
      <c r="T49" s="1140"/>
      <c r="U49" s="1140"/>
      <c r="V49" s="1140"/>
      <c r="W49" s="1140"/>
      <c r="X49" s="1140"/>
      <c r="Y49" s="131"/>
      <c r="Z49" s="84"/>
    </row>
    <row r="50" spans="1:26" ht="15" customHeight="1">
      <c r="A50" s="131"/>
      <c r="B50" s="45"/>
      <c r="C50" s="90"/>
      <c r="D50" s="90"/>
      <c r="E50" s="90"/>
      <c r="F50" s="90"/>
      <c r="G50" s="90"/>
      <c r="H50" s="90"/>
      <c r="I50" s="90"/>
      <c r="J50" s="90"/>
      <c r="K50" s="90"/>
      <c r="L50" s="90"/>
      <c r="M50" s="90"/>
      <c r="N50" s="90"/>
      <c r="O50" s="90"/>
      <c r="P50" s="90"/>
      <c r="Q50" s="90"/>
      <c r="R50" s="90"/>
      <c r="S50" s="90"/>
      <c r="T50" s="90"/>
      <c r="U50" s="90"/>
      <c r="V50" s="90"/>
      <c r="W50" s="90"/>
      <c r="X50" s="90"/>
      <c r="Y50" s="64"/>
      <c r="Z50" s="84"/>
    </row>
    <row r="51" spans="1:26" ht="15" customHeight="1">
      <c r="A51" s="131"/>
      <c r="B51" s="4"/>
      <c r="C51" s="62"/>
      <c r="D51" s="62"/>
      <c r="E51" s="62"/>
      <c r="F51" s="62"/>
      <c r="G51" s="62"/>
      <c r="H51" s="62"/>
      <c r="I51" s="62"/>
      <c r="J51" s="62"/>
      <c r="K51" s="62"/>
      <c r="L51" s="62"/>
      <c r="M51" s="62"/>
      <c r="N51" s="62"/>
      <c r="O51" s="62"/>
      <c r="P51" s="62"/>
      <c r="Q51" s="62"/>
      <c r="R51" s="62"/>
      <c r="S51" s="62"/>
      <c r="T51" s="62"/>
      <c r="U51" s="62"/>
      <c r="V51" s="62"/>
      <c r="W51" s="62"/>
      <c r="X51" s="62"/>
      <c r="Y51" s="131"/>
      <c r="Z51" s="84"/>
    </row>
    <row r="52" spans="1:26" ht="15" customHeight="1">
      <c r="A52" s="131"/>
      <c r="B52" s="44"/>
      <c r="C52" s="1142" t="s">
        <v>119</v>
      </c>
      <c r="D52" s="1143"/>
      <c r="E52" s="1143"/>
      <c r="F52" s="1143"/>
      <c r="G52" s="1143"/>
      <c r="H52" s="1143"/>
      <c r="I52" s="1143"/>
      <c r="J52" s="1143"/>
      <c r="K52" s="1143"/>
      <c r="L52" s="1143"/>
      <c r="M52" s="1143"/>
      <c r="N52" s="1144"/>
      <c r="O52" s="1144"/>
      <c r="P52" s="1144"/>
      <c r="Q52" s="1144"/>
      <c r="R52" s="1144"/>
      <c r="S52" s="1144"/>
      <c r="T52" s="1144"/>
      <c r="U52" s="1144"/>
      <c r="V52" s="1144"/>
      <c r="W52" s="1144"/>
      <c r="X52" s="1144"/>
      <c r="Y52" s="131"/>
      <c r="Z52" s="83"/>
    </row>
    <row r="53" spans="1:26" ht="15" customHeight="1">
      <c r="A53" s="131"/>
      <c r="B53" s="44"/>
      <c r="C53" s="1143"/>
      <c r="D53" s="1143"/>
      <c r="E53" s="1143"/>
      <c r="F53" s="1143"/>
      <c r="G53" s="1143"/>
      <c r="H53" s="1143"/>
      <c r="I53" s="1143"/>
      <c r="J53" s="1143"/>
      <c r="K53" s="1143"/>
      <c r="L53" s="1143"/>
      <c r="M53" s="1143"/>
      <c r="N53" s="1144"/>
      <c r="O53" s="1144"/>
      <c r="P53" s="1144"/>
      <c r="Q53" s="1144"/>
      <c r="R53" s="1144"/>
      <c r="S53" s="1144"/>
      <c r="T53" s="1144"/>
      <c r="U53" s="1144"/>
      <c r="V53" s="1144"/>
      <c r="W53" s="1144"/>
      <c r="X53" s="1144"/>
      <c r="Y53" s="131"/>
      <c r="Z53" s="83"/>
    </row>
    <row r="54" spans="1:26" ht="15" customHeight="1">
      <c r="A54" s="131"/>
      <c r="B54" s="44"/>
      <c r="C54" s="1137" t="s">
        <v>120</v>
      </c>
      <c r="D54" s="1138"/>
      <c r="E54" s="1138"/>
      <c r="F54" s="1138"/>
      <c r="G54" s="1138"/>
      <c r="H54" s="1138"/>
      <c r="I54" s="1138"/>
      <c r="J54" s="1138"/>
      <c r="K54" s="1138"/>
      <c r="L54" s="1138"/>
      <c r="M54" s="1138"/>
      <c r="N54" s="1138"/>
      <c r="O54" s="1138"/>
      <c r="P54" s="1138"/>
      <c r="Q54" s="1138"/>
      <c r="R54" s="1138"/>
      <c r="S54" s="1138"/>
      <c r="T54" s="1138"/>
      <c r="U54" s="1138"/>
      <c r="V54" s="1138"/>
      <c r="W54" s="1138"/>
      <c r="X54" s="1138"/>
      <c r="Y54" s="131"/>
      <c r="Z54" s="83"/>
    </row>
    <row r="55" spans="1:26" ht="15" customHeight="1">
      <c r="A55" s="131"/>
      <c r="B55" s="44"/>
      <c r="C55" s="1138"/>
      <c r="D55" s="1138"/>
      <c r="E55" s="1138"/>
      <c r="F55" s="1138"/>
      <c r="G55" s="1138"/>
      <c r="H55" s="1138"/>
      <c r="I55" s="1138"/>
      <c r="J55" s="1138"/>
      <c r="K55" s="1138"/>
      <c r="L55" s="1138"/>
      <c r="M55" s="1138"/>
      <c r="N55" s="1138"/>
      <c r="O55" s="1138"/>
      <c r="P55" s="1138"/>
      <c r="Q55" s="1138"/>
      <c r="R55" s="1138"/>
      <c r="S55" s="1138"/>
      <c r="T55" s="1138"/>
      <c r="U55" s="1138"/>
      <c r="V55" s="1138"/>
      <c r="W55" s="1138"/>
      <c r="X55" s="1138"/>
      <c r="Y55" s="131"/>
      <c r="Z55" s="83"/>
    </row>
    <row r="56" spans="1:26" ht="15" customHeight="1">
      <c r="A56" s="131"/>
      <c r="B56" s="44"/>
      <c r="C56" s="1137" t="s">
        <v>121</v>
      </c>
      <c r="D56" s="1138"/>
      <c r="E56" s="1138"/>
      <c r="F56" s="1138"/>
      <c r="G56" s="1138"/>
      <c r="H56" s="1138"/>
      <c r="I56" s="1138"/>
      <c r="J56" s="1138"/>
      <c r="K56" s="1138"/>
      <c r="L56" s="1138"/>
      <c r="M56" s="1138"/>
      <c r="N56" s="62"/>
      <c r="O56" s="62"/>
      <c r="P56" s="62"/>
      <c r="Q56" s="62"/>
      <c r="R56" s="62"/>
      <c r="S56" s="62"/>
      <c r="T56" s="62"/>
      <c r="U56" s="62"/>
      <c r="V56" s="62"/>
      <c r="W56" s="62"/>
      <c r="X56" s="62"/>
      <c r="Y56" s="131"/>
      <c r="Z56" s="83"/>
    </row>
    <row r="57" spans="1:26" ht="15" customHeight="1">
      <c r="A57" s="131"/>
      <c r="B57" s="44"/>
      <c r="C57" s="1138"/>
      <c r="D57" s="1138"/>
      <c r="E57" s="1138"/>
      <c r="F57" s="1138"/>
      <c r="G57" s="1138"/>
      <c r="H57" s="1138"/>
      <c r="I57" s="1138"/>
      <c r="J57" s="1138"/>
      <c r="K57" s="1138"/>
      <c r="L57" s="1138"/>
      <c r="M57" s="1138"/>
      <c r="N57" s="62"/>
      <c r="O57" s="62"/>
      <c r="P57" s="62"/>
      <c r="Q57" s="62"/>
      <c r="R57" s="62"/>
      <c r="S57" s="62"/>
      <c r="T57" s="62"/>
      <c r="U57" s="62"/>
      <c r="V57" s="62"/>
      <c r="W57" s="62"/>
      <c r="X57" s="62"/>
      <c r="Y57" s="131"/>
      <c r="Z57" s="83"/>
    </row>
    <row r="58" spans="1:26" ht="15" customHeight="1">
      <c r="A58" s="131"/>
      <c r="B58" s="44"/>
      <c r="C58" s="158"/>
      <c r="D58" s="158"/>
      <c r="E58" s="158"/>
      <c r="F58" s="158"/>
      <c r="G58" s="158"/>
      <c r="H58" s="158"/>
      <c r="I58" s="158"/>
      <c r="J58" s="158"/>
      <c r="K58" s="158"/>
      <c r="L58" s="158"/>
      <c r="M58" s="158"/>
      <c r="N58" s="62"/>
      <c r="O58" s="62"/>
      <c r="P58" s="62"/>
      <c r="Q58" s="62"/>
      <c r="R58" s="62"/>
      <c r="S58" s="62"/>
      <c r="T58" s="62"/>
      <c r="U58" s="62"/>
      <c r="V58" s="62"/>
      <c r="W58" s="62"/>
      <c r="X58" s="62"/>
      <c r="Y58" s="131"/>
      <c r="Z58" s="83"/>
    </row>
    <row r="59" spans="1:26" ht="15" customHeight="1">
      <c r="A59" s="131"/>
      <c r="B59" s="63"/>
      <c r="C59" s="159"/>
      <c r="D59" s="160"/>
      <c r="E59" s="160"/>
      <c r="F59" s="160"/>
      <c r="G59" s="160"/>
      <c r="H59" s="160"/>
      <c r="I59" s="160"/>
      <c r="J59" s="160"/>
      <c r="K59" s="160"/>
      <c r="L59" s="160"/>
      <c r="M59" s="160"/>
      <c r="N59" s="120"/>
      <c r="O59" s="120"/>
      <c r="P59" s="120"/>
      <c r="Q59" s="120"/>
      <c r="R59" s="120"/>
      <c r="S59" s="120"/>
      <c r="T59" s="120"/>
      <c r="U59" s="120"/>
      <c r="V59" s="120"/>
      <c r="W59" s="120"/>
      <c r="X59" s="120"/>
      <c r="Y59" s="64"/>
      <c r="Z59" s="83"/>
    </row>
    <row r="60" spans="1:26" ht="15" customHeight="1">
      <c r="A60" s="131"/>
      <c r="B60" s="44"/>
      <c r="C60" s="42"/>
      <c r="D60" s="136"/>
      <c r="E60" s="136"/>
      <c r="F60" s="136"/>
      <c r="G60" s="136"/>
      <c r="H60" s="136"/>
      <c r="I60" s="136"/>
      <c r="J60" s="136"/>
      <c r="K60" s="136"/>
      <c r="L60" s="136"/>
      <c r="M60" s="136"/>
      <c r="N60" s="83"/>
      <c r="O60" s="83"/>
      <c r="P60" s="83"/>
      <c r="Q60" s="83"/>
      <c r="R60" s="83"/>
      <c r="S60" s="83"/>
      <c r="T60" s="83"/>
      <c r="U60" s="83"/>
      <c r="V60" s="83"/>
      <c r="W60" s="83"/>
      <c r="X60" s="83"/>
      <c r="Y60" s="131"/>
      <c r="Z60" s="83"/>
    </row>
    <row r="61" spans="1:26" ht="15" customHeight="1">
      <c r="A61" s="131"/>
      <c r="B61" s="44"/>
      <c r="C61" s="42"/>
      <c r="D61" s="42"/>
      <c r="E61" s="42"/>
      <c r="F61" s="42"/>
      <c r="G61" s="42"/>
      <c r="H61" s="42"/>
      <c r="I61" s="42"/>
      <c r="J61" s="42"/>
      <c r="K61" s="42"/>
      <c r="L61" s="42"/>
      <c r="M61" s="42"/>
      <c r="N61" s="42"/>
      <c r="O61" s="42"/>
      <c r="P61" s="42"/>
      <c r="Q61" s="42"/>
      <c r="R61" s="42"/>
      <c r="S61" s="42"/>
      <c r="T61" s="42"/>
      <c r="U61" s="42"/>
      <c r="V61" s="42"/>
      <c r="W61" s="42"/>
      <c r="X61" s="42"/>
      <c r="Y61" s="131"/>
      <c r="Z61" s="83"/>
    </row>
    <row r="62" spans="1:26" ht="15" customHeight="1">
      <c r="A62" s="131"/>
      <c r="B62" s="42"/>
      <c r="C62" s="48" t="s">
        <v>273</v>
      </c>
      <c r="D62" s="42"/>
      <c r="E62" s="1139" t="str">
        <f xml:space="preserve"> E27</f>
        <v>Pres.Prudente</v>
      </c>
      <c r="F62" s="1139"/>
      <c r="G62" s="1139"/>
      <c r="H62" s="1139"/>
      <c r="I62" s="1139"/>
      <c r="J62" s="1139"/>
      <c r="K62" s="1139"/>
      <c r="L62" s="42"/>
      <c r="M62" s="42"/>
      <c r="N62" s="1072" t="s">
        <v>274</v>
      </c>
      <c r="O62" s="1073"/>
      <c r="P62" s="1073"/>
      <c r="Q62" s="1073"/>
      <c r="R62" s="1073"/>
      <c r="S62" s="1073"/>
      <c r="T62" s="1074" t="str">
        <f>IF(DADOS!$E$18=0," ",IF(DADOS!$E$18&gt;0,DADOS!$E$18))</f>
        <v xml:space="preserve"> </v>
      </c>
      <c r="U62" s="1074"/>
      <c r="V62" s="1074"/>
      <c r="W62" s="1074"/>
      <c r="X62" s="1074"/>
      <c r="Y62" s="131"/>
      <c r="Z62" s="83"/>
    </row>
    <row r="63" spans="1:26" ht="15" customHeight="1">
      <c r="A63" s="131"/>
      <c r="B63" s="45"/>
      <c r="C63" s="45"/>
      <c r="D63" s="45"/>
      <c r="E63" s="45"/>
      <c r="F63" s="45"/>
      <c r="G63" s="45"/>
      <c r="H63" s="45"/>
      <c r="I63" s="45"/>
      <c r="J63" s="45"/>
      <c r="K63" s="45"/>
      <c r="L63" s="45"/>
      <c r="M63" s="45"/>
      <c r="N63" s="45"/>
      <c r="O63" s="45"/>
      <c r="P63" s="45"/>
      <c r="Q63" s="45"/>
      <c r="R63" s="45"/>
      <c r="S63" s="45"/>
      <c r="T63" s="120"/>
      <c r="U63" s="120"/>
      <c r="V63" s="120"/>
      <c r="W63" s="120"/>
      <c r="X63" s="120"/>
      <c r="Y63" s="64"/>
      <c r="Z63" s="83"/>
    </row>
    <row r="64" spans="1:26" ht="15" customHeight="1">
      <c r="A64" s="131"/>
      <c r="B64" s="42"/>
      <c r="C64" s="42"/>
      <c r="D64" s="42"/>
      <c r="E64" s="42"/>
      <c r="F64" s="42"/>
      <c r="G64" s="42"/>
      <c r="H64" s="42"/>
      <c r="I64" s="42"/>
      <c r="J64" s="42"/>
      <c r="K64" s="42"/>
      <c r="L64" s="65"/>
      <c r="M64" s="42"/>
      <c r="N64" s="42"/>
      <c r="O64" s="42"/>
      <c r="P64" s="42"/>
      <c r="Q64" s="42"/>
      <c r="R64" s="42"/>
      <c r="S64" s="42"/>
      <c r="T64" s="62"/>
      <c r="U64" s="62"/>
      <c r="V64" s="62"/>
      <c r="W64" s="62"/>
      <c r="X64" s="62"/>
      <c r="Y64" s="131"/>
      <c r="Z64" s="83"/>
    </row>
    <row r="65" spans="1:26" ht="15" customHeight="1">
      <c r="A65" s="131"/>
      <c r="B65" s="42"/>
      <c r="C65" s="42"/>
      <c r="D65" s="42"/>
      <c r="E65" s="42"/>
      <c r="F65" s="42"/>
      <c r="G65" s="42"/>
      <c r="H65" s="42"/>
      <c r="I65" s="42"/>
      <c r="J65" s="42"/>
      <c r="K65" s="42"/>
      <c r="L65" s="66"/>
      <c r="M65" s="42"/>
      <c r="N65" s="1075" t="s">
        <v>56</v>
      </c>
      <c r="O65" s="1073"/>
      <c r="P65" s="1073"/>
      <c r="Q65" s="1073"/>
      <c r="R65" s="1073"/>
      <c r="S65" s="1073"/>
      <c r="T65" s="1074" t="str">
        <f>IF(DADOS!$E$18=0," ",IF(DADOS!$E$18&gt;0,DADOS!$E$18))</f>
        <v xml:space="preserve"> </v>
      </c>
      <c r="U65" s="1074"/>
      <c r="V65" s="1074"/>
      <c r="W65" s="1074"/>
      <c r="X65" s="1074"/>
      <c r="Y65" s="131"/>
      <c r="Z65" s="83"/>
    </row>
    <row r="66" spans="1:26" ht="15" customHeight="1">
      <c r="A66" s="131"/>
      <c r="B66" s="42"/>
      <c r="C66" s="42"/>
      <c r="D66" s="42"/>
      <c r="E66" s="42"/>
      <c r="F66" s="42"/>
      <c r="G66" s="42"/>
      <c r="H66" s="42"/>
      <c r="I66" s="42"/>
      <c r="J66" s="42"/>
      <c r="K66" s="42"/>
      <c r="L66" s="66"/>
      <c r="M66" s="42"/>
      <c r="N66" s="42"/>
      <c r="O66" s="42"/>
      <c r="P66" s="42"/>
      <c r="Q66" s="42"/>
      <c r="R66" s="42"/>
      <c r="S66" s="42"/>
      <c r="T66" s="42"/>
      <c r="U66" s="42"/>
      <c r="V66" s="42"/>
      <c r="W66" s="42"/>
      <c r="X66" s="42"/>
      <c r="Y66" s="131"/>
      <c r="Z66" s="83"/>
    </row>
    <row r="67" spans="1:26" ht="15" customHeight="1">
      <c r="A67" s="131"/>
      <c r="B67" s="42"/>
      <c r="C67" s="42" t="s">
        <v>57</v>
      </c>
      <c r="D67" s="42"/>
      <c r="E67" s="1090" t="s">
        <v>59</v>
      </c>
      <c r="F67" s="1090"/>
      <c r="G67" s="1090"/>
      <c r="H67" s="1090"/>
      <c r="I67" s="1090"/>
      <c r="J67" s="1090"/>
      <c r="K67" s="67"/>
      <c r="L67" s="68"/>
      <c r="M67" s="67"/>
      <c r="N67" s="67"/>
      <c r="O67" s="69"/>
      <c r="P67" s="69"/>
      <c r="Q67" s="69"/>
      <c r="R67" s="69"/>
      <c r="S67" s="69"/>
      <c r="T67" s="69"/>
      <c r="U67" s="69"/>
      <c r="V67" s="69"/>
      <c r="W67" s="42"/>
      <c r="X67" s="42"/>
      <c r="Y67" s="131"/>
      <c r="Z67" s="83"/>
    </row>
    <row r="68" spans="1:26" ht="15" customHeight="1">
      <c r="A68" s="131"/>
      <c r="B68" s="42"/>
      <c r="C68" s="79" t="s">
        <v>118</v>
      </c>
      <c r="D68" s="42"/>
      <c r="E68" s="67"/>
      <c r="F68" s="67"/>
      <c r="G68" s="67"/>
      <c r="H68" s="67"/>
      <c r="I68" s="67"/>
      <c r="J68" s="67"/>
      <c r="K68" s="67"/>
      <c r="L68" s="68"/>
      <c r="M68" s="67"/>
      <c r="N68" s="67"/>
      <c r="O68" s="1070" t="s">
        <v>58</v>
      </c>
      <c r="P68" s="1070"/>
      <c r="Q68" s="1070"/>
      <c r="R68" s="1070"/>
      <c r="S68" s="1070"/>
      <c r="T68" s="1070"/>
      <c r="U68" s="1070"/>
      <c r="V68" s="1070"/>
      <c r="W68" s="42"/>
      <c r="X68" s="42"/>
      <c r="Y68" s="131"/>
      <c r="Z68" s="83"/>
    </row>
    <row r="69" spans="1:26" ht="15" customHeight="1" thickBot="1">
      <c r="A69" s="131"/>
      <c r="B69" s="40"/>
      <c r="C69" s="72" t="str">
        <f>TB!B34</f>
        <v>(FÉRIAS JANEIRO 2014) - ATUALIZADO 03/2014 - V14 (19/03/2013)</v>
      </c>
      <c r="D69" s="73"/>
      <c r="E69" s="73"/>
      <c r="F69" s="73"/>
      <c r="G69" s="74"/>
      <c r="H69" s="40"/>
      <c r="I69" s="40"/>
      <c r="J69" s="40"/>
      <c r="K69" s="40"/>
      <c r="L69" s="75"/>
      <c r="M69" s="40"/>
      <c r="N69" s="40"/>
      <c r="O69" s="40"/>
      <c r="P69" s="40"/>
      <c r="Q69" s="40"/>
      <c r="R69" s="40"/>
      <c r="S69" s="40"/>
      <c r="T69" s="40"/>
      <c r="U69" s="40"/>
      <c r="V69" s="40"/>
      <c r="W69" s="40"/>
      <c r="X69" s="40"/>
      <c r="Y69" s="76"/>
      <c r="Z69" s="83"/>
    </row>
    <row r="70" spans="1:26" ht="13.5" thickTop="1">
      <c r="A70" s="4"/>
      <c r="B70" s="4"/>
      <c r="C70" s="4"/>
      <c r="D70" s="4"/>
      <c r="E70" s="4"/>
      <c r="F70" s="4"/>
      <c r="G70" s="4"/>
      <c r="H70" s="4"/>
      <c r="I70" s="4"/>
      <c r="J70" s="4"/>
      <c r="K70" s="4"/>
      <c r="L70" s="4"/>
      <c r="M70" s="154" t="str">
        <f>AV!M69</f>
        <v>Via do Empregado</v>
      </c>
      <c r="N70" s="4"/>
      <c r="O70" s="4"/>
      <c r="P70" s="4"/>
      <c r="Q70" s="4"/>
      <c r="R70" s="4"/>
      <c r="S70" s="4"/>
      <c r="T70" s="4"/>
      <c r="U70" s="4"/>
      <c r="V70" s="4"/>
      <c r="W70" s="4"/>
      <c r="X70" s="4"/>
      <c r="Y70" s="4"/>
      <c r="Z70" s="4"/>
    </row>
    <row r="71" spans="1:26">
      <c r="A71" s="4"/>
      <c r="B71" s="4"/>
      <c r="C71" s="4"/>
      <c r="D71" s="4"/>
      <c r="E71" s="4"/>
      <c r="F71" s="4"/>
      <c r="G71" s="4"/>
      <c r="H71" s="4"/>
      <c r="I71" s="4"/>
      <c r="J71" s="4"/>
      <c r="K71" s="4"/>
      <c r="L71" s="4"/>
      <c r="M71" s="4"/>
      <c r="N71" s="4"/>
      <c r="O71" s="4"/>
      <c r="P71" s="4"/>
      <c r="Q71" s="4"/>
      <c r="R71" s="4"/>
      <c r="S71" s="4"/>
      <c r="T71" s="4"/>
      <c r="U71" s="4"/>
      <c r="V71" s="4"/>
      <c r="W71" s="4"/>
      <c r="X71" s="4"/>
      <c r="Y71" s="4"/>
      <c r="Z71" s="4"/>
    </row>
  </sheetData>
  <sheetProtection password="CEBA" sheet="1" objects="1" selectLockedCells="1"/>
  <mergeCells count="54">
    <mergeCell ref="E27:K27"/>
    <mergeCell ref="C21:M22"/>
    <mergeCell ref="E32:J32"/>
    <mergeCell ref="C2:X3"/>
    <mergeCell ref="G9:L9"/>
    <mergeCell ref="Q7:R7"/>
    <mergeCell ref="O14:P14"/>
    <mergeCell ref="O9:R9"/>
    <mergeCell ref="G7:P7"/>
    <mergeCell ref="Q14:R14"/>
    <mergeCell ref="S14:X14"/>
    <mergeCell ref="S9:U9"/>
    <mergeCell ref="Q12:R12"/>
    <mergeCell ref="G5:X5"/>
    <mergeCell ref="M44:N44"/>
    <mergeCell ref="G44:L44"/>
    <mergeCell ref="O44:R44"/>
    <mergeCell ref="O33:V33"/>
    <mergeCell ref="S7:X7"/>
    <mergeCell ref="F12:P12"/>
    <mergeCell ref="S12:X12"/>
    <mergeCell ref="M9:N9"/>
    <mergeCell ref="V9:X9"/>
    <mergeCell ref="F14:M14"/>
    <mergeCell ref="T30:X30"/>
    <mergeCell ref="N27:S27"/>
    <mergeCell ref="C17:X18"/>
    <mergeCell ref="C19:X20"/>
    <mergeCell ref="N30:S30"/>
    <mergeCell ref="T27:X27"/>
    <mergeCell ref="C37:X38"/>
    <mergeCell ref="G40:X40"/>
    <mergeCell ref="G42:P42"/>
    <mergeCell ref="S42:X42"/>
    <mergeCell ref="C54:X55"/>
    <mergeCell ref="C52:X53"/>
    <mergeCell ref="V44:X44"/>
    <mergeCell ref="S47:X47"/>
    <mergeCell ref="S44:U44"/>
    <mergeCell ref="F49:M49"/>
    <mergeCell ref="O49:P49"/>
    <mergeCell ref="F47:P47"/>
    <mergeCell ref="S49:X49"/>
    <mergeCell ref="Q49:R49"/>
    <mergeCell ref="Q47:R47"/>
    <mergeCell ref="Q42:R42"/>
    <mergeCell ref="E67:J67"/>
    <mergeCell ref="O68:V68"/>
    <mergeCell ref="C56:M57"/>
    <mergeCell ref="E62:K62"/>
    <mergeCell ref="N62:S62"/>
    <mergeCell ref="T62:X62"/>
    <mergeCell ref="T65:X65"/>
    <mergeCell ref="N65:S65"/>
  </mergeCells>
  <phoneticPr fontId="0" type="noConversion"/>
  <printOptions horizontalCentered="1" verticalCentered="1"/>
  <pageMargins left="0.19685039370078741" right="0.19685039370078741" top="0.39370078740157483" bottom="0.39370078740157483" header="0.31496062992125984" footer="0.31496062992125984"/>
  <pageSetup paperSize="9" scale="70" orientation="portrait" blackAndWhite="1" horizontalDpi="4294967295" r:id="rId1"/>
  <headerFooter alignWithMargins="0"/>
  <legacyDrawing r:id="rId2"/>
</worksheet>
</file>

<file path=xl/worksheets/sheet10.xml><?xml version="1.0" encoding="utf-8"?>
<worksheet xmlns="http://schemas.openxmlformats.org/spreadsheetml/2006/main" xmlns:r="http://schemas.openxmlformats.org/officeDocument/2006/relationships">
  <sheetPr codeName="Plan9"/>
  <dimension ref="A1:AJ817"/>
  <sheetViews>
    <sheetView showZeros="0" zoomScaleNormal="100" workbookViewId="0">
      <selection activeCell="AL44" sqref="AL44"/>
    </sheetView>
  </sheetViews>
  <sheetFormatPr defaultRowHeight="12.75"/>
  <cols>
    <col min="1" max="1" width="1" style="1" customWidth="1"/>
    <col min="2" max="2" width="6.28515625" style="1" customWidth="1"/>
    <col min="3" max="3" width="4.7109375" style="1" customWidth="1"/>
    <col min="4" max="4" width="1.42578125" style="1" customWidth="1"/>
    <col min="5" max="5" width="1.85546875" style="1" customWidth="1"/>
    <col min="6" max="6" width="2.5703125" style="1" customWidth="1"/>
    <col min="7" max="7" width="7.42578125" style="1" customWidth="1"/>
    <col min="8" max="8" width="4.28515625" style="1" customWidth="1"/>
    <col min="9" max="9" width="1.7109375" style="1" customWidth="1"/>
    <col min="10" max="10" width="5.28515625" style="1" customWidth="1"/>
    <col min="11" max="11" width="1.42578125" style="1" customWidth="1"/>
    <col min="12" max="12" width="3" style="1" customWidth="1"/>
    <col min="13" max="13" width="3.28515625" style="1" customWidth="1"/>
    <col min="14" max="14" width="1.7109375" style="1" customWidth="1"/>
    <col min="15" max="15" width="6.7109375" style="1" customWidth="1"/>
    <col min="16" max="16" width="2.85546875" style="1" customWidth="1"/>
    <col min="17" max="17" width="4.28515625" style="1" customWidth="1"/>
    <col min="18" max="18" width="1.5703125" style="1" customWidth="1"/>
    <col min="19" max="19" width="3.28515625" style="1" customWidth="1"/>
    <col min="20" max="20" width="1.42578125" style="1" customWidth="1"/>
    <col min="21" max="21" width="4.42578125" style="1" customWidth="1"/>
    <col min="22" max="22" width="2.28515625" style="1" customWidth="1"/>
    <col min="23" max="23" width="1.7109375" style="1" customWidth="1"/>
    <col min="24" max="24" width="6.7109375" style="1" customWidth="1"/>
    <col min="25" max="25" width="3.140625" style="1" customWidth="1"/>
    <col min="26" max="26" width="12" style="1" customWidth="1"/>
    <col min="27" max="27" width="1.42578125" style="1" customWidth="1"/>
    <col min="28" max="28" width="11" style="1" customWidth="1"/>
    <col min="29" max="29" width="2.7109375" style="1" customWidth="1"/>
    <col min="30" max="30" width="11" style="122" hidden="1" customWidth="1"/>
    <col min="31" max="31" width="8.7109375" style="122" hidden="1" customWidth="1"/>
    <col min="32" max="32" width="10.5703125" style="122" hidden="1" customWidth="1"/>
    <col min="33" max="33" width="9.42578125" style="122" hidden="1" customWidth="1"/>
    <col min="34" max="34" width="7.85546875" style="122" hidden="1" customWidth="1"/>
    <col min="35" max="35" width="5" style="122" hidden="1" customWidth="1"/>
    <col min="36" max="36" width="0.140625" style="464" hidden="1" customWidth="1"/>
    <col min="37" max="16384" width="9.140625" style="122"/>
  </cols>
  <sheetData>
    <row r="1" spans="1:30" ht="36.75" customHeight="1" thickBot="1">
      <c r="A1" s="464"/>
      <c r="B1" s="1182" t="s">
        <v>64</v>
      </c>
      <c r="C1" s="1183"/>
      <c r="D1" s="1183"/>
      <c r="E1" s="1183"/>
      <c r="F1" s="1183"/>
      <c r="G1" s="1183"/>
      <c r="H1" s="1183"/>
      <c r="I1" s="1183"/>
      <c r="J1" s="1183"/>
      <c r="K1" s="1183"/>
      <c r="L1" s="1183"/>
      <c r="M1" s="1183"/>
      <c r="N1" s="1183"/>
      <c r="O1" s="1183"/>
      <c r="P1" s="1183"/>
      <c r="Q1" s="1183"/>
      <c r="R1" s="1183"/>
      <c r="S1" s="1183"/>
      <c r="T1" s="1183"/>
      <c r="U1" s="1183"/>
      <c r="V1" s="1183"/>
      <c r="W1" s="1183"/>
      <c r="X1" s="1183"/>
      <c r="Y1" s="1183"/>
      <c r="Z1" s="1183"/>
      <c r="AA1" s="1183"/>
      <c r="AB1" s="1183"/>
      <c r="AC1" s="1184"/>
    </row>
    <row r="2" spans="1:30" ht="4.5" customHeight="1" thickBot="1">
      <c r="A2" s="464"/>
      <c r="B2" s="465"/>
      <c r="C2" s="465"/>
      <c r="D2" s="465"/>
      <c r="E2" s="465"/>
      <c r="F2" s="465"/>
      <c r="G2" s="465"/>
      <c r="H2" s="465"/>
      <c r="I2" s="465"/>
      <c r="J2" s="465"/>
      <c r="K2" s="465"/>
      <c r="L2" s="465"/>
      <c r="M2" s="465"/>
      <c r="N2" s="465"/>
      <c r="O2" s="465"/>
      <c r="P2" s="465"/>
      <c r="Q2" s="465"/>
      <c r="R2" s="465"/>
      <c r="S2" s="465"/>
      <c r="T2" s="465"/>
      <c r="U2" s="465"/>
      <c r="V2" s="465"/>
      <c r="W2" s="465"/>
      <c r="X2" s="465"/>
      <c r="Y2" s="465"/>
      <c r="Z2" s="465"/>
      <c r="AA2" s="465"/>
      <c r="AB2" s="465"/>
      <c r="AC2" s="465"/>
    </row>
    <row r="3" spans="1:30">
      <c r="A3" s="464"/>
      <c r="B3" s="466"/>
      <c r="C3" s="467"/>
      <c r="D3" s="467"/>
      <c r="E3" s="467"/>
      <c r="F3" s="467"/>
      <c r="G3" s="467"/>
      <c r="H3" s="467"/>
      <c r="I3" s="467"/>
      <c r="J3" s="467"/>
      <c r="K3" s="467"/>
      <c r="L3" s="467"/>
      <c r="M3" s="467"/>
      <c r="N3" s="467"/>
      <c r="O3" s="467"/>
      <c r="P3" s="467"/>
      <c r="Q3" s="467"/>
      <c r="R3" s="467"/>
      <c r="S3" s="467"/>
      <c r="T3" s="467"/>
      <c r="U3" s="467"/>
      <c r="V3" s="467"/>
      <c r="W3" s="467"/>
      <c r="X3" s="467"/>
      <c r="Y3" s="467"/>
      <c r="Z3" s="467"/>
      <c r="AA3" s="467"/>
      <c r="AB3" s="467"/>
      <c r="AC3" s="468"/>
    </row>
    <row r="4" spans="1:30">
      <c r="A4" s="464"/>
      <c r="B4" s="469" t="s">
        <v>65</v>
      </c>
      <c r="C4" s="470"/>
      <c r="D4" s="1185" t="str">
        <f>AV!F5</f>
        <v>Disk Automoveis Ltda</v>
      </c>
      <c r="E4" s="1185"/>
      <c r="F4" s="1185"/>
      <c r="G4" s="1185"/>
      <c r="H4" s="1185"/>
      <c r="I4" s="1185"/>
      <c r="J4" s="1185"/>
      <c r="K4" s="1185"/>
      <c r="L4" s="1185"/>
      <c r="M4" s="1185"/>
      <c r="N4" s="1185"/>
      <c r="O4" s="1186"/>
      <c r="P4" s="1186"/>
      <c r="Q4" s="1186"/>
      <c r="R4" s="1186"/>
      <c r="S4" s="1186"/>
      <c r="T4" s="1186"/>
      <c r="U4" s="1186"/>
      <c r="V4" s="1186"/>
      <c r="W4" s="1186"/>
      <c r="X4" s="471" t="s">
        <v>66</v>
      </c>
      <c r="Y4" s="1187">
        <f>AV!S5</f>
        <v>55683486000100</v>
      </c>
      <c r="Z4" s="1187"/>
      <c r="AA4" s="1187"/>
      <c r="AB4" s="1187"/>
      <c r="AC4" s="472"/>
    </row>
    <row r="5" spans="1:30" ht="6" customHeight="1">
      <c r="A5" s="464"/>
      <c r="B5" s="469"/>
      <c r="C5" s="470"/>
      <c r="D5" s="473"/>
      <c r="E5" s="473"/>
      <c r="F5" s="473"/>
      <c r="G5" s="473"/>
      <c r="H5" s="473"/>
      <c r="I5" s="473"/>
      <c r="J5" s="473"/>
      <c r="K5" s="473"/>
      <c r="L5" s="473"/>
      <c r="M5" s="473"/>
      <c r="N5" s="473"/>
      <c r="O5" s="474"/>
      <c r="P5" s="474"/>
      <c r="Q5" s="474"/>
      <c r="R5" s="474"/>
      <c r="S5" s="474"/>
      <c r="T5" s="474"/>
      <c r="U5" s="474"/>
      <c r="V5" s="474"/>
      <c r="W5" s="474"/>
      <c r="X5" s="474"/>
      <c r="Y5" s="474"/>
      <c r="Z5" s="474"/>
      <c r="AA5" s="474"/>
      <c r="AB5" s="474"/>
      <c r="AC5" s="472"/>
    </row>
    <row r="6" spans="1:30">
      <c r="A6" s="464"/>
      <c r="B6" s="469" t="s">
        <v>259</v>
      </c>
      <c r="C6" s="470"/>
      <c r="D6" s="1188" t="str">
        <f>AV!F7</f>
        <v>Rua da Pedras</v>
      </c>
      <c r="E6" s="1189"/>
      <c r="F6" s="1189"/>
      <c r="G6" s="1189"/>
      <c r="H6" s="1189"/>
      <c r="I6" s="1189"/>
      <c r="J6" s="1189"/>
      <c r="K6" s="1189"/>
      <c r="L6" s="1189"/>
      <c r="M6" s="1189"/>
      <c r="N6" s="1189"/>
      <c r="O6" s="1189"/>
      <c r="P6" s="1189"/>
      <c r="Q6" s="1189"/>
      <c r="R6" s="1189"/>
      <c r="S6" s="474" t="s">
        <v>67</v>
      </c>
      <c r="T6" s="1190">
        <f>AV!O7</f>
        <v>10</v>
      </c>
      <c r="U6" s="1188"/>
      <c r="V6" s="1188"/>
      <c r="W6" s="1191" t="s">
        <v>68</v>
      </c>
      <c r="X6" s="1192"/>
      <c r="Y6" s="1149" t="str">
        <f>AV!S7</f>
        <v>Pres.Prudente</v>
      </c>
      <c r="Z6" s="1149"/>
      <c r="AA6" s="1149"/>
      <c r="AB6" s="1149"/>
      <c r="AC6" s="472"/>
    </row>
    <row r="7" spans="1:30" ht="13.5" thickBot="1">
      <c r="A7" s="464"/>
      <c r="B7" s="475"/>
      <c r="C7" s="476"/>
      <c r="D7" s="476"/>
      <c r="E7" s="476"/>
      <c r="F7" s="476"/>
      <c r="G7" s="476"/>
      <c r="H7" s="476"/>
      <c r="I7" s="476"/>
      <c r="J7" s="476"/>
      <c r="K7" s="476"/>
      <c r="L7" s="476"/>
      <c r="M7" s="476"/>
      <c r="N7" s="476"/>
      <c r="O7" s="476"/>
      <c r="P7" s="476"/>
      <c r="Q7" s="476"/>
      <c r="R7" s="476"/>
      <c r="S7" s="476"/>
      <c r="T7" s="476"/>
      <c r="U7" s="476"/>
      <c r="V7" s="476"/>
      <c r="W7" s="476"/>
      <c r="X7" s="476"/>
      <c r="Y7" s="476"/>
      <c r="Z7" s="476"/>
      <c r="AA7" s="476"/>
      <c r="AB7" s="476"/>
      <c r="AC7" s="477"/>
    </row>
    <row r="8" spans="1:30" ht="4.5" customHeight="1" thickBot="1">
      <c r="A8" s="464"/>
      <c r="B8" s="478"/>
      <c r="C8" s="478"/>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row>
    <row r="9" spans="1:30">
      <c r="A9" s="478"/>
      <c r="B9" s="466"/>
      <c r="C9" s="479"/>
      <c r="D9" s="479"/>
      <c r="E9" s="479"/>
      <c r="F9" s="479"/>
      <c r="G9" s="479"/>
      <c r="H9" s="479"/>
      <c r="I9" s="479"/>
      <c r="J9" s="479"/>
      <c r="K9" s="479"/>
      <c r="L9" s="479"/>
      <c r="M9" s="479"/>
      <c r="N9" s="479"/>
      <c r="O9" s="479"/>
      <c r="P9" s="479"/>
      <c r="Q9" s="479"/>
      <c r="R9" s="479"/>
      <c r="S9" s="479"/>
      <c r="T9" s="479"/>
      <c r="U9" s="479"/>
      <c r="V9" s="479"/>
      <c r="W9" s="479"/>
      <c r="X9" s="479"/>
      <c r="Y9" s="479"/>
      <c r="Z9" s="479"/>
      <c r="AA9" s="479"/>
      <c r="AB9" s="479"/>
      <c r="AC9" s="468"/>
      <c r="AD9" s="123"/>
    </row>
    <row r="10" spans="1:30">
      <c r="A10" s="478"/>
      <c r="B10" s="469" t="s">
        <v>69</v>
      </c>
      <c r="C10" s="473"/>
      <c r="D10" s="473"/>
      <c r="E10" s="473"/>
      <c r="F10" s="473"/>
      <c r="G10" s="473"/>
      <c r="H10" s="1149" t="str">
        <f>AV!G10</f>
        <v>ANGELO</v>
      </c>
      <c r="I10" s="1149"/>
      <c r="J10" s="1149"/>
      <c r="K10" s="1149"/>
      <c r="L10" s="1149"/>
      <c r="M10" s="1149"/>
      <c r="N10" s="1150"/>
      <c r="O10" s="1150"/>
      <c r="P10" s="1150"/>
      <c r="Q10" s="1150"/>
      <c r="R10" s="1150"/>
      <c r="S10" s="1150"/>
      <c r="T10" s="1150"/>
      <c r="U10" s="1150"/>
      <c r="V10" s="1150"/>
      <c r="W10" s="1150"/>
      <c r="X10" s="1150"/>
      <c r="Y10" s="1150"/>
      <c r="Z10" s="1150"/>
      <c r="AA10" s="1150"/>
      <c r="AB10" s="1150"/>
      <c r="AC10" s="472"/>
      <c r="AD10" s="123"/>
    </row>
    <row r="11" spans="1:30" ht="6" customHeight="1">
      <c r="A11" s="478"/>
      <c r="B11" s="469"/>
      <c r="C11" s="473"/>
      <c r="D11" s="473"/>
      <c r="E11" s="473"/>
      <c r="F11" s="473"/>
      <c r="G11" s="473"/>
      <c r="H11" s="473"/>
      <c r="I11" s="473"/>
      <c r="J11" s="473"/>
      <c r="K11" s="473"/>
      <c r="L11" s="473"/>
      <c r="M11" s="473"/>
      <c r="N11" s="480"/>
      <c r="O11" s="480"/>
      <c r="P11" s="480"/>
      <c r="Q11" s="480"/>
      <c r="R11" s="480"/>
      <c r="S11" s="480"/>
      <c r="T11" s="480"/>
      <c r="U11" s="480"/>
      <c r="V11" s="480"/>
      <c r="W11" s="480"/>
      <c r="X11" s="480"/>
      <c r="Y11" s="480"/>
      <c r="Z11" s="480"/>
      <c r="AA11" s="480"/>
      <c r="AB11" s="474"/>
      <c r="AC11" s="472"/>
      <c r="AD11" s="123"/>
    </row>
    <row r="12" spans="1:30">
      <c r="A12" s="478"/>
      <c r="B12" s="469" t="s">
        <v>70</v>
      </c>
      <c r="C12" s="473"/>
      <c r="D12" s="473"/>
      <c r="E12" s="473"/>
      <c r="F12" s="473"/>
      <c r="G12" s="473"/>
      <c r="H12" s="1151">
        <f>AV!G12</f>
        <v>55563</v>
      </c>
      <c r="I12" s="1151"/>
      <c r="J12" s="1151"/>
      <c r="K12" s="1151"/>
      <c r="L12" s="1151"/>
      <c r="M12" s="1151"/>
      <c r="N12" s="1151"/>
      <c r="O12" s="1151"/>
      <c r="P12" s="1151"/>
      <c r="Q12" s="1151"/>
      <c r="R12" s="1151"/>
      <c r="S12" s="1151"/>
      <c r="T12" s="1151"/>
      <c r="U12" s="1151"/>
      <c r="V12" s="1151"/>
      <c r="W12" s="480"/>
      <c r="X12" s="480" t="s">
        <v>71</v>
      </c>
      <c r="Y12" s="1149" t="str">
        <f>AV!S12</f>
        <v>00038/sp</v>
      </c>
      <c r="Z12" s="1150"/>
      <c r="AA12" s="1150"/>
      <c r="AB12" s="1150"/>
      <c r="AC12" s="472"/>
      <c r="AD12" s="123"/>
    </row>
    <row r="13" spans="1:30" ht="6" customHeight="1">
      <c r="A13" s="478"/>
      <c r="B13" s="469"/>
      <c r="C13" s="473"/>
      <c r="D13" s="473"/>
      <c r="E13" s="473"/>
      <c r="F13" s="473"/>
      <c r="G13" s="473"/>
      <c r="H13" s="473"/>
      <c r="I13" s="473"/>
      <c r="J13" s="473"/>
      <c r="K13" s="473"/>
      <c r="L13" s="473"/>
      <c r="M13" s="473"/>
      <c r="N13" s="480"/>
      <c r="O13" s="480"/>
      <c r="P13" s="480"/>
      <c r="Q13" s="480"/>
      <c r="R13" s="480"/>
      <c r="S13" s="480"/>
      <c r="T13" s="480"/>
      <c r="U13" s="480"/>
      <c r="V13" s="480"/>
      <c r="W13" s="480"/>
      <c r="X13" s="480"/>
      <c r="Y13" s="480"/>
      <c r="Z13" s="480"/>
      <c r="AA13" s="480"/>
      <c r="AB13" s="474"/>
      <c r="AC13" s="472"/>
      <c r="AD13" s="123"/>
    </row>
    <row r="14" spans="1:30">
      <c r="A14" s="478"/>
      <c r="B14" s="469" t="s">
        <v>265</v>
      </c>
      <c r="C14" s="473"/>
      <c r="D14" s="473"/>
      <c r="E14" s="473"/>
      <c r="F14" s="473"/>
      <c r="G14" s="1149" t="str">
        <f>AV!G14</f>
        <v>adm</v>
      </c>
      <c r="H14" s="1149"/>
      <c r="I14" s="1149"/>
      <c r="J14" s="1149"/>
      <c r="K14" s="1149"/>
      <c r="L14" s="1149"/>
      <c r="M14" s="1149"/>
      <c r="N14" s="480" t="s">
        <v>72</v>
      </c>
      <c r="O14" s="480"/>
      <c r="P14" s="1149" t="str">
        <f>AV!O14</f>
        <v>contabil</v>
      </c>
      <c r="Q14" s="1149"/>
      <c r="R14" s="1149"/>
      <c r="S14" s="1149"/>
      <c r="T14" s="1149"/>
      <c r="U14" s="1149"/>
      <c r="V14" s="1149"/>
      <c r="W14" s="480"/>
      <c r="X14" s="480" t="s">
        <v>267</v>
      </c>
      <c r="Y14" s="480"/>
      <c r="Z14" s="1149">
        <f>AV!V14</f>
        <v>0</v>
      </c>
      <c r="AA14" s="1150"/>
      <c r="AB14" s="1150"/>
      <c r="AC14" s="472"/>
      <c r="AD14" s="123"/>
    </row>
    <row r="15" spans="1:30" ht="13.5" thickBot="1">
      <c r="A15" s="478"/>
      <c r="B15" s="481"/>
      <c r="C15" s="482"/>
      <c r="D15" s="482"/>
      <c r="E15" s="482"/>
      <c r="F15" s="482"/>
      <c r="G15" s="482"/>
      <c r="H15" s="482"/>
      <c r="I15" s="482"/>
      <c r="J15" s="482"/>
      <c r="K15" s="482"/>
      <c r="L15" s="482"/>
      <c r="M15" s="482"/>
      <c r="N15" s="482"/>
      <c r="O15" s="482"/>
      <c r="P15" s="482"/>
      <c r="Q15" s="482"/>
      <c r="R15" s="482"/>
      <c r="S15" s="482"/>
      <c r="T15" s="482"/>
      <c r="U15" s="482"/>
      <c r="V15" s="482"/>
      <c r="W15" s="482"/>
      <c r="X15" s="482"/>
      <c r="Y15" s="482"/>
      <c r="Z15" s="482"/>
      <c r="AA15" s="482"/>
      <c r="AB15" s="483"/>
      <c r="AC15" s="477"/>
      <c r="AD15" s="123"/>
    </row>
    <row r="16" spans="1:30" ht="3.75" customHeight="1" thickBot="1">
      <c r="A16" s="464"/>
      <c r="B16" s="484"/>
      <c r="C16" s="484"/>
      <c r="D16" s="484"/>
      <c r="E16" s="484"/>
      <c r="F16" s="484"/>
      <c r="G16" s="484"/>
      <c r="H16" s="484"/>
      <c r="I16" s="484"/>
      <c r="J16" s="484"/>
      <c r="K16" s="484"/>
      <c r="L16" s="484"/>
      <c r="M16" s="484"/>
      <c r="N16" s="484"/>
      <c r="O16" s="484"/>
      <c r="P16" s="484"/>
      <c r="Q16" s="484"/>
      <c r="R16" s="484"/>
      <c r="S16" s="484"/>
      <c r="T16" s="484"/>
      <c r="U16" s="484"/>
      <c r="V16" s="484"/>
      <c r="W16" s="484"/>
      <c r="X16" s="484"/>
      <c r="Y16" s="484"/>
      <c r="Z16" s="484"/>
      <c r="AA16" s="484"/>
      <c r="AB16" s="478"/>
      <c r="AC16" s="478"/>
    </row>
    <row r="17" spans="1:35" ht="8.25" customHeight="1">
      <c r="A17" s="478"/>
      <c r="B17" s="485"/>
      <c r="C17" s="486"/>
      <c r="D17" s="486"/>
      <c r="E17" s="486"/>
      <c r="F17" s="486"/>
      <c r="G17" s="486"/>
      <c r="H17" s="486"/>
      <c r="I17" s="486"/>
      <c r="J17" s="486"/>
      <c r="K17" s="486"/>
      <c r="L17" s="486"/>
      <c r="M17" s="486"/>
      <c r="N17" s="486"/>
      <c r="O17" s="486"/>
      <c r="P17" s="486"/>
      <c r="Q17" s="486"/>
      <c r="R17" s="486"/>
      <c r="S17" s="486"/>
      <c r="T17" s="486"/>
      <c r="U17" s="486"/>
      <c r="V17" s="486"/>
      <c r="W17" s="486"/>
      <c r="X17" s="486"/>
      <c r="Y17" s="486"/>
      <c r="Z17" s="486"/>
      <c r="AA17" s="486"/>
      <c r="AB17" s="467"/>
      <c r="AC17" s="468"/>
    </row>
    <row r="18" spans="1:35">
      <c r="A18" s="478"/>
      <c r="B18" s="469" t="s">
        <v>73</v>
      </c>
      <c r="C18" s="470"/>
      <c r="D18" s="470"/>
      <c r="E18" s="470"/>
      <c r="F18" s="470"/>
      <c r="G18" s="470"/>
      <c r="H18" s="1152">
        <f>IF(DADOS!$E$7=0," ",IF(DADOS!$E$7&gt;0,DADOS!$E$7))</f>
        <v>41288</v>
      </c>
      <c r="I18" s="1152"/>
      <c r="J18" s="1152"/>
      <c r="K18" s="1152"/>
      <c r="L18" s="1152"/>
      <c r="M18" s="1152"/>
      <c r="N18" s="1152"/>
      <c r="O18" s="1152"/>
      <c r="P18" s="487" t="s">
        <v>74</v>
      </c>
      <c r="Q18" s="1153">
        <f>IF(DADOS!$F$7=0," ",IF(DADOS!$F$7&gt;0,DADOS!$F$7))</f>
        <v>41652</v>
      </c>
      <c r="R18" s="1153"/>
      <c r="S18" s="1153"/>
      <c r="T18" s="1153"/>
      <c r="U18" s="1153"/>
      <c r="V18" s="1153"/>
      <c r="W18" s="1153"/>
      <c r="X18" s="1153"/>
      <c r="Y18" s="484" t="s">
        <v>75</v>
      </c>
      <c r="Z18" s="484"/>
      <c r="AA18" s="484"/>
      <c r="AB18" s="478"/>
      <c r="AC18" s="472"/>
    </row>
    <row r="19" spans="1:35" ht="6" customHeight="1">
      <c r="A19" s="478"/>
      <c r="B19" s="469"/>
      <c r="C19" s="470"/>
      <c r="D19" s="470"/>
      <c r="E19" s="470"/>
      <c r="F19" s="470"/>
      <c r="G19" s="470"/>
      <c r="H19" s="488"/>
      <c r="I19" s="489"/>
      <c r="J19" s="488"/>
      <c r="K19" s="488"/>
      <c r="L19" s="488"/>
      <c r="M19" s="488"/>
      <c r="N19" s="489"/>
      <c r="O19" s="490" t="s">
        <v>271</v>
      </c>
      <c r="P19" s="489"/>
      <c r="Q19" s="488"/>
      <c r="R19" s="489"/>
      <c r="S19" s="488"/>
      <c r="T19" s="488"/>
      <c r="U19" s="488"/>
      <c r="V19" s="488"/>
      <c r="W19" s="489"/>
      <c r="X19" s="490"/>
      <c r="Y19" s="484"/>
      <c r="Z19" s="484"/>
      <c r="AA19" s="484"/>
      <c r="AB19" s="478"/>
      <c r="AC19" s="472"/>
    </row>
    <row r="20" spans="1:35">
      <c r="A20" s="478"/>
      <c r="B20" s="469" t="s">
        <v>76</v>
      </c>
      <c r="C20" s="470"/>
      <c r="D20" s="470"/>
      <c r="E20" s="470"/>
      <c r="F20" s="470"/>
      <c r="G20" s="470"/>
      <c r="H20" s="1152">
        <f>IF(DADOS!$E$10=0," ",IF(DADOS!$E$10&gt;0,DADOS!$E$10))</f>
        <v>41731</v>
      </c>
      <c r="I20" s="1152"/>
      <c r="J20" s="1152"/>
      <c r="K20" s="1152"/>
      <c r="L20" s="1152"/>
      <c r="M20" s="1152"/>
      <c r="N20" s="1152"/>
      <c r="O20" s="1152"/>
      <c r="P20" s="487" t="s">
        <v>74</v>
      </c>
      <c r="Q20" s="1153">
        <f>DADOS!I10</f>
        <v>41760</v>
      </c>
      <c r="R20" s="1153"/>
      <c r="S20" s="1153"/>
      <c r="T20" s="1153"/>
      <c r="U20" s="1153"/>
      <c r="V20" s="1153"/>
      <c r="W20" s="1153"/>
      <c r="X20" s="1153"/>
      <c r="Y20" s="491" t="s">
        <v>77</v>
      </c>
      <c r="Z20" s="484"/>
      <c r="AA20" s="484"/>
      <c r="AB20" s="492">
        <f>DADOS!E8</f>
        <v>30</v>
      </c>
      <c r="AC20" s="472" t="s">
        <v>78</v>
      </c>
    </row>
    <row r="21" spans="1:35" ht="6" customHeight="1">
      <c r="A21" s="478"/>
      <c r="B21" s="469"/>
      <c r="C21" s="470"/>
      <c r="D21" s="470"/>
      <c r="E21" s="470"/>
      <c r="F21" s="470"/>
      <c r="G21" s="470"/>
      <c r="H21" s="488"/>
      <c r="I21" s="489"/>
      <c r="J21" s="488"/>
      <c r="K21" s="488"/>
      <c r="L21" s="488"/>
      <c r="M21" s="488"/>
      <c r="N21" s="489"/>
      <c r="O21" s="490"/>
      <c r="P21" s="489"/>
      <c r="Q21" s="488"/>
      <c r="R21" s="489"/>
      <c r="S21" s="488"/>
      <c r="T21" s="488"/>
      <c r="U21" s="488"/>
      <c r="V21" s="488"/>
      <c r="W21" s="489"/>
      <c r="X21" s="490"/>
      <c r="Y21" s="484"/>
      <c r="Z21" s="484"/>
      <c r="AA21" s="484"/>
      <c r="AB21" s="493"/>
      <c r="AC21" s="472"/>
    </row>
    <row r="22" spans="1:35">
      <c r="A22" s="478"/>
      <c r="B22" s="469" t="s">
        <v>79</v>
      </c>
      <c r="C22" s="470"/>
      <c r="D22" s="470"/>
      <c r="E22" s="470"/>
      <c r="F22" s="470"/>
      <c r="G22" s="470"/>
      <c r="H22" s="1152" t="str">
        <f>IF(DADOS!$G$9=0," ",IF(DADOS!$G$9&gt;0,DADOS!$G$9))</f>
        <v xml:space="preserve"> </v>
      </c>
      <c r="I22" s="1152"/>
      <c r="J22" s="1152"/>
      <c r="K22" s="1152"/>
      <c r="L22" s="1152"/>
      <c r="M22" s="1152"/>
      <c r="N22" s="1152"/>
      <c r="O22" s="1152"/>
      <c r="P22" s="487" t="s">
        <v>74</v>
      </c>
      <c r="Q22" s="1152" t="str">
        <f>IF(DADOS!$I$9=0," ",IF(DADOS!$I$9&gt;0,DADOS!$I$9))</f>
        <v xml:space="preserve"> </v>
      </c>
      <c r="R22" s="1152"/>
      <c r="S22" s="1152"/>
      <c r="T22" s="1152"/>
      <c r="U22" s="1152"/>
      <c r="V22" s="1152"/>
      <c r="W22" s="1152"/>
      <c r="X22" s="1152"/>
      <c r="Y22" s="491" t="s">
        <v>80</v>
      </c>
      <c r="Z22" s="484"/>
      <c r="AA22" s="484"/>
      <c r="AB22" s="494">
        <f>DADOS!E9</f>
        <v>0</v>
      </c>
      <c r="AC22" s="472" t="s">
        <v>78</v>
      </c>
    </row>
    <row r="23" spans="1:35" ht="6" customHeight="1">
      <c r="A23" s="478"/>
      <c r="B23" s="469"/>
      <c r="C23" s="470"/>
      <c r="D23" s="470"/>
      <c r="E23" s="470"/>
      <c r="F23" s="470"/>
      <c r="G23" s="470"/>
      <c r="H23" s="484"/>
      <c r="I23" s="484"/>
      <c r="J23" s="470"/>
      <c r="K23" s="470"/>
      <c r="L23" s="470"/>
      <c r="M23" s="470"/>
      <c r="N23" s="484"/>
      <c r="O23" s="484"/>
      <c r="P23" s="495"/>
      <c r="Q23" s="484"/>
      <c r="R23" s="484"/>
      <c r="S23" s="484"/>
      <c r="T23" s="484"/>
      <c r="U23" s="484"/>
      <c r="V23" s="484"/>
      <c r="W23" s="484"/>
      <c r="X23" s="484"/>
      <c r="Y23" s="484"/>
      <c r="Z23" s="484"/>
      <c r="AA23" s="484"/>
      <c r="AB23" s="478"/>
      <c r="AC23" s="472"/>
    </row>
    <row r="24" spans="1:35" ht="4.5" customHeight="1" thickBot="1">
      <c r="A24" s="478"/>
      <c r="B24" s="496"/>
      <c r="C24" s="497"/>
      <c r="D24" s="497"/>
      <c r="E24" s="497"/>
      <c r="F24" s="497"/>
      <c r="G24" s="497"/>
      <c r="H24" s="498"/>
      <c r="I24" s="498"/>
      <c r="J24" s="497"/>
      <c r="K24" s="497"/>
      <c r="L24" s="497"/>
      <c r="M24" s="497"/>
      <c r="N24" s="498"/>
      <c r="O24" s="498"/>
      <c r="P24" s="499"/>
      <c r="Q24" s="498"/>
      <c r="R24" s="498"/>
      <c r="S24" s="498"/>
      <c r="T24" s="498"/>
      <c r="U24" s="498"/>
      <c r="V24" s="498"/>
      <c r="W24" s="498"/>
      <c r="X24" s="498"/>
      <c r="Y24" s="498"/>
      <c r="Z24" s="498"/>
      <c r="AA24" s="498"/>
      <c r="AB24" s="476"/>
      <c r="AC24" s="477"/>
      <c r="AD24" s="123"/>
    </row>
    <row r="25" spans="1:35" ht="4.5" customHeight="1" thickBot="1">
      <c r="A25" s="464"/>
      <c r="B25" s="470"/>
      <c r="C25" s="470"/>
      <c r="D25" s="470"/>
      <c r="E25" s="470"/>
      <c r="F25" s="470"/>
      <c r="G25" s="470"/>
      <c r="H25" s="484"/>
      <c r="I25" s="484"/>
      <c r="J25" s="470"/>
      <c r="K25" s="470"/>
      <c r="L25" s="470"/>
      <c r="M25" s="470"/>
      <c r="N25" s="484"/>
      <c r="O25" s="484"/>
      <c r="P25" s="495"/>
      <c r="Q25" s="484"/>
      <c r="R25" s="484"/>
      <c r="S25" s="484"/>
      <c r="T25" s="484"/>
      <c r="U25" s="484"/>
      <c r="V25" s="484"/>
      <c r="W25" s="484"/>
      <c r="X25" s="484"/>
      <c r="Y25" s="484"/>
      <c r="Z25" s="484"/>
      <c r="AA25" s="484"/>
      <c r="AB25" s="478"/>
      <c r="AC25" s="478"/>
    </row>
    <row r="26" spans="1:35">
      <c r="A26" s="478"/>
      <c r="B26" s="1215" t="s">
        <v>81</v>
      </c>
      <c r="C26" s="1216"/>
      <c r="D26" s="1216"/>
      <c r="E26" s="1216"/>
      <c r="F26" s="1216"/>
      <c r="G26" s="1195" t="s">
        <v>82</v>
      </c>
      <c r="H26" s="1196"/>
      <c r="I26" s="1196"/>
      <c r="J26" s="1198" t="s">
        <v>83</v>
      </c>
      <c r="K26" s="1198"/>
      <c r="L26" s="1198"/>
      <c r="M26" s="1198"/>
      <c r="N26" s="1198"/>
      <c r="O26" s="1198" t="s">
        <v>84</v>
      </c>
      <c r="P26" s="1198"/>
      <c r="Q26" s="1198"/>
      <c r="R26" s="1198"/>
      <c r="S26" s="1195" t="s">
        <v>85</v>
      </c>
      <c r="T26" s="1196"/>
      <c r="U26" s="1196"/>
      <c r="V26" s="1197"/>
      <c r="W26" s="1193" t="s">
        <v>281</v>
      </c>
      <c r="X26" s="1194"/>
      <c r="Y26" s="1194"/>
      <c r="Z26" s="1164" t="s">
        <v>86</v>
      </c>
      <c r="AA26" s="1165"/>
      <c r="AB26" s="1165"/>
      <c r="AC26" s="1166"/>
      <c r="AE26" s="123"/>
    </row>
    <row r="27" spans="1:35" ht="13.5" thickBot="1">
      <c r="A27" s="478"/>
      <c r="B27" s="1220">
        <f>DADOS!I8</f>
        <v>0</v>
      </c>
      <c r="C27" s="1221"/>
      <c r="D27" s="1221"/>
      <c r="E27" s="1221"/>
      <c r="F27" s="1221"/>
      <c r="G27" s="1167">
        <f>VLOOKUP(DADOS!$G$3,FUNC!A3:IF156,89)</f>
        <v>1000</v>
      </c>
      <c r="H27" s="1167"/>
      <c r="I27" s="1167"/>
      <c r="J27" s="1167">
        <f>DADOS!E6</f>
        <v>0</v>
      </c>
      <c r="K27" s="1167"/>
      <c r="L27" s="1167"/>
      <c r="M27" s="1167"/>
      <c r="N27" s="1167"/>
      <c r="O27" s="1167">
        <f>DADOS!I5</f>
        <v>0</v>
      </c>
      <c r="P27" s="1167"/>
      <c r="Q27" s="1167"/>
      <c r="R27" s="1167"/>
      <c r="S27" s="1167">
        <f>DADOS!I6</f>
        <v>0</v>
      </c>
      <c r="T27" s="1167"/>
      <c r="U27" s="1167"/>
      <c r="V27" s="1168"/>
      <c r="W27" s="1222">
        <f>DADOS!P28*8%</f>
        <v>106.67</v>
      </c>
      <c r="X27" s="1222"/>
      <c r="Y27" s="1222"/>
      <c r="Z27" s="1167">
        <f>SUM(G27:V27)</f>
        <v>1000</v>
      </c>
      <c r="AA27" s="1168"/>
      <c r="AB27" s="1168"/>
      <c r="AC27" s="1169"/>
      <c r="AE27" s="123"/>
    </row>
    <row r="28" spans="1:35" ht="18.75" thickBot="1">
      <c r="A28" s="478"/>
      <c r="B28" s="1217" t="s">
        <v>87</v>
      </c>
      <c r="C28" s="1218"/>
      <c r="D28" s="1218"/>
      <c r="E28" s="1218"/>
      <c r="F28" s="1218"/>
      <c r="G28" s="1218"/>
      <c r="H28" s="1218"/>
      <c r="I28" s="1218"/>
      <c r="J28" s="1218"/>
      <c r="K28" s="1218"/>
      <c r="L28" s="1218"/>
      <c r="M28" s="1218"/>
      <c r="N28" s="1218"/>
      <c r="O28" s="1218"/>
      <c r="P28" s="1218"/>
      <c r="Q28" s="1218"/>
      <c r="R28" s="1218"/>
      <c r="S28" s="1218"/>
      <c r="T28" s="1218"/>
      <c r="U28" s="1218"/>
      <c r="V28" s="1218"/>
      <c r="W28" s="1218"/>
      <c r="X28" s="1218"/>
      <c r="Y28" s="1218"/>
      <c r="Z28" s="1218"/>
      <c r="AA28" s="1218"/>
      <c r="AB28" s="1218"/>
      <c r="AC28" s="1219"/>
      <c r="AD28" s="123"/>
      <c r="AE28" s="123"/>
      <c r="AF28" s="385" t="s">
        <v>442</v>
      </c>
      <c r="AG28" s="385" t="s">
        <v>443</v>
      </c>
      <c r="AH28" s="433">
        <f>Z27/30*(AB20+AB22)</f>
        <v>1000</v>
      </c>
      <c r="AI28" s="432">
        <f>AH28/3</f>
        <v>333.33</v>
      </c>
    </row>
    <row r="29" spans="1:35" ht="15.75">
      <c r="A29" s="478"/>
      <c r="B29" s="1176" t="str">
        <f>IF(Z29&gt;0,"FÉRIAS GOZADAS (fixo)",IF(Z29=0,0))</f>
        <v>FÉRIAS GOZADAS (fixo)</v>
      </c>
      <c r="C29" s="1177"/>
      <c r="D29" s="1177"/>
      <c r="E29" s="1177"/>
      <c r="F29" s="1177"/>
      <c r="G29" s="1177"/>
      <c r="H29" s="1177"/>
      <c r="I29" s="1177"/>
      <c r="J29" s="1177"/>
      <c r="K29" s="1177"/>
      <c r="L29" s="1177"/>
      <c r="M29" s="1177"/>
      <c r="N29" s="1177"/>
      <c r="O29" s="1177"/>
      <c r="P29" s="1177"/>
      <c r="Q29" s="1177"/>
      <c r="R29" s="1177"/>
      <c r="S29" s="1177"/>
      <c r="T29" s="1177"/>
      <c r="U29" s="1177"/>
      <c r="V29" s="1177"/>
      <c r="W29" s="1177"/>
      <c r="X29" s="1178"/>
      <c r="Y29" s="500" t="s">
        <v>88</v>
      </c>
      <c r="Z29" s="1170">
        <f>AF29</f>
        <v>1000</v>
      </c>
      <c r="AA29" s="1170"/>
      <c r="AB29" s="1170"/>
      <c r="AC29" s="1171"/>
      <c r="AD29" s="123"/>
      <c r="AE29" s="123"/>
      <c r="AF29" s="435">
        <f>$G$27/TB!$F$33*AB20</f>
        <v>1000</v>
      </c>
      <c r="AG29" s="435">
        <f>($J$27+O27+S27)/TB!$F$33*AB20</f>
        <v>0</v>
      </c>
      <c r="AH29" s="435">
        <f>AF29+AG29</f>
        <v>1000</v>
      </c>
      <c r="AI29" s="388"/>
    </row>
    <row r="30" spans="1:35" ht="15.75">
      <c r="A30" s="478"/>
      <c r="B30" s="1173" t="str">
        <f>IF(Z30&gt;0,"ADICIONAL DE 1/3 DE FÉRIAS GOZADAS (fixo)",IF(Z30=0,0))</f>
        <v>ADICIONAL DE 1/3 DE FÉRIAS GOZADAS (fixo)</v>
      </c>
      <c r="C30" s="1174"/>
      <c r="D30" s="1174"/>
      <c r="E30" s="1174"/>
      <c r="F30" s="1174"/>
      <c r="G30" s="1174"/>
      <c r="H30" s="1174"/>
      <c r="I30" s="1174"/>
      <c r="J30" s="1174"/>
      <c r="K30" s="1174"/>
      <c r="L30" s="1174"/>
      <c r="M30" s="1174"/>
      <c r="N30" s="1174"/>
      <c r="O30" s="1174"/>
      <c r="P30" s="1174"/>
      <c r="Q30" s="1174"/>
      <c r="R30" s="1174"/>
      <c r="S30" s="1174"/>
      <c r="T30" s="1174"/>
      <c r="U30" s="1174"/>
      <c r="V30" s="1174"/>
      <c r="W30" s="1174"/>
      <c r="X30" s="1175"/>
      <c r="Y30" s="501" t="s">
        <v>88</v>
      </c>
      <c r="Z30" s="1210">
        <f>AF30</f>
        <v>333.33</v>
      </c>
      <c r="AA30" s="1210"/>
      <c r="AB30" s="1210"/>
      <c r="AC30" s="1211"/>
      <c r="AD30" s="123"/>
      <c r="AE30" s="123"/>
      <c r="AF30" s="434">
        <f>AF29/3</f>
        <v>333.33</v>
      </c>
      <c r="AG30" s="400">
        <f>AG29/3</f>
        <v>0</v>
      </c>
      <c r="AH30" s="431">
        <f>AF30+AG30</f>
        <v>333.33</v>
      </c>
    </row>
    <row r="31" spans="1:35" ht="15.75">
      <c r="A31" s="478"/>
      <c r="B31" s="1179">
        <f>IF(Z31&gt;0,"ABONO PECUNIÁRIO DE FÉRIAS (fixo)",IF(Z31=0,0))</f>
        <v>0</v>
      </c>
      <c r="C31" s="1180"/>
      <c r="D31" s="1180"/>
      <c r="E31" s="1180"/>
      <c r="F31" s="1180"/>
      <c r="G31" s="1180"/>
      <c r="H31" s="1180"/>
      <c r="I31" s="1180"/>
      <c r="J31" s="1180"/>
      <c r="K31" s="1180"/>
      <c r="L31" s="1180"/>
      <c r="M31" s="1180"/>
      <c r="N31" s="1180"/>
      <c r="O31" s="1180"/>
      <c r="P31" s="1180"/>
      <c r="Q31" s="1180"/>
      <c r="R31" s="1180"/>
      <c r="S31" s="1180"/>
      <c r="T31" s="1180"/>
      <c r="U31" s="1180"/>
      <c r="V31" s="1180"/>
      <c r="W31" s="1180"/>
      <c r="X31" s="1181"/>
      <c r="Y31" s="501" t="s">
        <v>88</v>
      </c>
      <c r="Z31" s="1210">
        <f>AF31</f>
        <v>0</v>
      </c>
      <c r="AA31" s="1210"/>
      <c r="AB31" s="1210"/>
      <c r="AC31" s="1211"/>
      <c r="AD31" s="123"/>
      <c r="AE31" s="123"/>
      <c r="AF31" s="435">
        <f>$G$27/TB!$F$33*AB22</f>
        <v>0</v>
      </c>
      <c r="AG31" s="435">
        <f>($J$27+O27+S27)/TB!$F$33*AB22</f>
        <v>0</v>
      </c>
      <c r="AH31" s="433">
        <f>AF31+AG31</f>
        <v>0</v>
      </c>
    </row>
    <row r="32" spans="1:35" ht="15.75">
      <c r="A32" s="478"/>
      <c r="B32" s="1179">
        <f>IF(Z32&gt;0,"ADICIONAL DE 1/3 DO ABONO PECUNIÁRIO DE FÉRIAS (fixo)",IF(Z32=0,0))</f>
        <v>0</v>
      </c>
      <c r="C32" s="1180"/>
      <c r="D32" s="1180"/>
      <c r="E32" s="1180"/>
      <c r="F32" s="1180"/>
      <c r="G32" s="1180"/>
      <c r="H32" s="1180"/>
      <c r="I32" s="1180"/>
      <c r="J32" s="1180"/>
      <c r="K32" s="1180"/>
      <c r="L32" s="1180"/>
      <c r="M32" s="1180"/>
      <c r="N32" s="1180"/>
      <c r="O32" s="1180"/>
      <c r="P32" s="1180"/>
      <c r="Q32" s="1180"/>
      <c r="R32" s="1180"/>
      <c r="S32" s="1180"/>
      <c r="T32" s="1180"/>
      <c r="U32" s="1180"/>
      <c r="V32" s="1180"/>
      <c r="W32" s="1180"/>
      <c r="X32" s="1181"/>
      <c r="Y32" s="501" t="s">
        <v>88</v>
      </c>
      <c r="Z32" s="1210">
        <f>AF32</f>
        <v>0</v>
      </c>
      <c r="AA32" s="1210"/>
      <c r="AB32" s="1210"/>
      <c r="AC32" s="1211"/>
      <c r="AD32" s="123"/>
      <c r="AE32" s="123"/>
      <c r="AF32" s="434">
        <f>AF31/3</f>
        <v>0</v>
      </c>
      <c r="AG32" s="434">
        <f>AG31/3</f>
        <v>0</v>
      </c>
      <c r="AH32" s="432">
        <f>AF32+AG32</f>
        <v>0</v>
      </c>
    </row>
    <row r="33" spans="1:34" ht="15.75">
      <c r="A33" s="478"/>
      <c r="B33" s="1223">
        <f>IF(Z33&gt;0,"FÉRIAS GOZADAS (variável)",IF(Z33=0,0))</f>
        <v>0</v>
      </c>
      <c r="C33" s="1224"/>
      <c r="D33" s="1224"/>
      <c r="E33" s="1224"/>
      <c r="F33" s="1224"/>
      <c r="G33" s="1224"/>
      <c r="H33" s="1224"/>
      <c r="I33" s="1224"/>
      <c r="J33" s="1224"/>
      <c r="K33" s="1224"/>
      <c r="L33" s="1224"/>
      <c r="M33" s="1224"/>
      <c r="N33" s="1224"/>
      <c r="O33" s="1224"/>
      <c r="P33" s="1224"/>
      <c r="Q33" s="1224"/>
      <c r="R33" s="1224"/>
      <c r="S33" s="1224"/>
      <c r="T33" s="1224"/>
      <c r="U33" s="1224"/>
      <c r="V33" s="1224"/>
      <c r="W33" s="1224"/>
      <c r="X33" s="1225"/>
      <c r="Y33" s="501" t="s">
        <v>88</v>
      </c>
      <c r="Z33" s="1210">
        <f>AG29</f>
        <v>0</v>
      </c>
      <c r="AA33" s="1210"/>
      <c r="AB33" s="1210"/>
      <c r="AC33" s="1211"/>
      <c r="AD33" s="123"/>
      <c r="AE33" s="123"/>
      <c r="AF33" s="449"/>
      <c r="AG33" s="449"/>
      <c r="AH33" s="450"/>
    </row>
    <row r="34" spans="1:34" ht="15.75">
      <c r="A34" s="478"/>
      <c r="B34" s="1173">
        <f>IF(Z34&gt;0,"ADICIONAL DE 1/3 DE FÉRIAS GOZADAS (variável)",IF(Z34=0,0))</f>
        <v>0</v>
      </c>
      <c r="C34" s="1174"/>
      <c r="D34" s="1174"/>
      <c r="E34" s="1174"/>
      <c r="F34" s="1174"/>
      <c r="G34" s="1174"/>
      <c r="H34" s="1174"/>
      <c r="I34" s="1174"/>
      <c r="J34" s="1174"/>
      <c r="K34" s="1174"/>
      <c r="L34" s="1174"/>
      <c r="M34" s="1174"/>
      <c r="N34" s="1174"/>
      <c r="O34" s="1174"/>
      <c r="P34" s="1174"/>
      <c r="Q34" s="1174"/>
      <c r="R34" s="1174"/>
      <c r="S34" s="1174"/>
      <c r="T34" s="1174"/>
      <c r="U34" s="1174"/>
      <c r="V34" s="1174"/>
      <c r="W34" s="1174"/>
      <c r="X34" s="1175"/>
      <c r="Y34" s="501" t="s">
        <v>88</v>
      </c>
      <c r="Z34" s="1210">
        <f>AG30</f>
        <v>0</v>
      </c>
      <c r="AA34" s="1210"/>
      <c r="AB34" s="1210"/>
      <c r="AC34" s="1211"/>
      <c r="AD34" s="123"/>
      <c r="AE34" s="123"/>
      <c r="AF34" s="449"/>
      <c r="AG34" s="449"/>
      <c r="AH34" s="450"/>
    </row>
    <row r="35" spans="1:34" ht="15.75">
      <c r="A35" s="478"/>
      <c r="B35" s="1179">
        <f>IF(Z35&gt;0,"ABONO PECUNIÁRIO DE FÉRIAS (variável)",IF(Z35=0,0))</f>
        <v>0</v>
      </c>
      <c r="C35" s="1180"/>
      <c r="D35" s="1180"/>
      <c r="E35" s="1180"/>
      <c r="F35" s="1180"/>
      <c r="G35" s="1180"/>
      <c r="H35" s="1180"/>
      <c r="I35" s="1180"/>
      <c r="J35" s="1180"/>
      <c r="K35" s="1180"/>
      <c r="L35" s="1180"/>
      <c r="M35" s="1180"/>
      <c r="N35" s="1180"/>
      <c r="O35" s="1180"/>
      <c r="P35" s="1180"/>
      <c r="Q35" s="1180"/>
      <c r="R35" s="1180"/>
      <c r="S35" s="1180"/>
      <c r="T35" s="1180"/>
      <c r="U35" s="1180"/>
      <c r="V35" s="1180"/>
      <c r="W35" s="1180"/>
      <c r="X35" s="1181"/>
      <c r="Y35" s="501" t="s">
        <v>88</v>
      </c>
      <c r="Z35" s="1210">
        <f>AG31</f>
        <v>0</v>
      </c>
      <c r="AA35" s="1210"/>
      <c r="AB35" s="1210"/>
      <c r="AC35" s="1211"/>
      <c r="AD35" s="123"/>
      <c r="AE35" s="123"/>
      <c r="AF35" s="449"/>
      <c r="AG35" s="449"/>
      <c r="AH35" s="450"/>
    </row>
    <row r="36" spans="1:34" ht="15.75">
      <c r="A36" s="478"/>
      <c r="B36" s="1179">
        <f>IF(Z36&gt;0,"ADICIONAL DE 1/3 DO ABONO PECUNIÁRIO DE FÉRIAS (vaariável)",IF(Z36=0,0))</f>
        <v>0</v>
      </c>
      <c r="C36" s="1180"/>
      <c r="D36" s="1180"/>
      <c r="E36" s="1180"/>
      <c r="F36" s="1180"/>
      <c r="G36" s="1180"/>
      <c r="H36" s="1180"/>
      <c r="I36" s="1180"/>
      <c r="J36" s="1180"/>
      <c r="K36" s="1180"/>
      <c r="L36" s="1180"/>
      <c r="M36" s="1180"/>
      <c r="N36" s="1180"/>
      <c r="O36" s="1180"/>
      <c r="P36" s="1180"/>
      <c r="Q36" s="1180"/>
      <c r="R36" s="1180"/>
      <c r="S36" s="1180"/>
      <c r="T36" s="1180"/>
      <c r="U36" s="1180"/>
      <c r="V36" s="1180"/>
      <c r="W36" s="1180"/>
      <c r="X36" s="1181"/>
      <c r="Y36" s="501" t="s">
        <v>88</v>
      </c>
      <c r="Z36" s="1210">
        <f>AG32</f>
        <v>0</v>
      </c>
      <c r="AA36" s="1210"/>
      <c r="AB36" s="1210"/>
      <c r="AC36" s="1211"/>
      <c r="AD36" s="123"/>
      <c r="AE36" s="123"/>
      <c r="AF36" s="449"/>
      <c r="AG36" s="449"/>
      <c r="AH36" s="450"/>
    </row>
    <row r="37" spans="1:34" ht="15.75">
      <c r="A37" s="478"/>
      <c r="B37" s="1179">
        <f>IF(Z37&gt;0,"ADIANTAMENTO 50% (PRIMEIRA PARCELA DO 13º SALÁRIO)",IF(Z37=0,0))</f>
        <v>0</v>
      </c>
      <c r="C37" s="1180"/>
      <c r="D37" s="1180"/>
      <c r="E37" s="1180"/>
      <c r="F37" s="1180"/>
      <c r="G37" s="1180"/>
      <c r="H37" s="1180"/>
      <c r="I37" s="1180"/>
      <c r="J37" s="1180"/>
      <c r="K37" s="1180"/>
      <c r="L37" s="1180"/>
      <c r="M37" s="1180"/>
      <c r="N37" s="1180"/>
      <c r="O37" s="1180"/>
      <c r="P37" s="1180"/>
      <c r="Q37" s="1180"/>
      <c r="R37" s="1180"/>
      <c r="S37" s="1180"/>
      <c r="T37" s="1180"/>
      <c r="U37" s="1180"/>
      <c r="V37" s="1180"/>
      <c r="W37" s="1180"/>
      <c r="X37" s="1181"/>
      <c r="Y37" s="501" t="s">
        <v>88</v>
      </c>
      <c r="Z37" s="1210">
        <f>DADOS!F23</f>
        <v>0</v>
      </c>
      <c r="AA37" s="1210"/>
      <c r="AB37" s="1210"/>
      <c r="AC37" s="1211"/>
      <c r="AD37" s="123"/>
      <c r="AE37" s="123"/>
    </row>
    <row r="38" spans="1:34" ht="15.75">
      <c r="A38" s="478"/>
      <c r="B38" s="1179">
        <f>IF(Z38&gt;0,DADOS!A26,IF(RECIBO!Z38=0,0))</f>
        <v>0</v>
      </c>
      <c r="C38" s="1208"/>
      <c r="D38" s="1208"/>
      <c r="E38" s="1208"/>
      <c r="F38" s="1208"/>
      <c r="G38" s="1208"/>
      <c r="H38" s="1208"/>
      <c r="I38" s="1208"/>
      <c r="J38" s="1208"/>
      <c r="K38" s="1208"/>
      <c r="L38" s="1208"/>
      <c r="M38" s="1208"/>
      <c r="N38" s="1208"/>
      <c r="O38" s="1208"/>
      <c r="P38" s="1208"/>
      <c r="Q38" s="1208"/>
      <c r="R38" s="1208"/>
      <c r="S38" s="1208"/>
      <c r="T38" s="1208"/>
      <c r="U38" s="1208"/>
      <c r="V38" s="1208"/>
      <c r="W38" s="1208"/>
      <c r="X38" s="1209"/>
      <c r="Y38" s="501" t="s">
        <v>88</v>
      </c>
      <c r="Z38" s="1210">
        <f>DADOS!F26</f>
        <v>0</v>
      </c>
      <c r="AA38" s="1210"/>
      <c r="AB38" s="1210"/>
      <c r="AC38" s="1211"/>
      <c r="AD38" s="123"/>
      <c r="AE38" s="123"/>
    </row>
    <row r="39" spans="1:34" ht="16.5" thickBot="1">
      <c r="A39" s="478"/>
      <c r="B39" s="1204">
        <f>IF(Z39&gt;0,DADOS!A24&amp;DADOS!A25,IF(Z39=0,0))</f>
        <v>0</v>
      </c>
      <c r="C39" s="1205"/>
      <c r="D39" s="1205"/>
      <c r="E39" s="1205"/>
      <c r="F39" s="1205"/>
      <c r="G39" s="1205"/>
      <c r="H39" s="1205"/>
      <c r="I39" s="1205"/>
      <c r="J39" s="1205"/>
      <c r="K39" s="1205"/>
      <c r="L39" s="1205"/>
      <c r="M39" s="1205"/>
      <c r="N39" s="1205"/>
      <c r="O39" s="1205"/>
      <c r="P39" s="1206"/>
      <c r="Q39" s="1206"/>
      <c r="R39" s="1206"/>
      <c r="S39" s="1206"/>
      <c r="T39" s="1206"/>
      <c r="U39" s="1206"/>
      <c r="V39" s="1206"/>
      <c r="W39" s="1206"/>
      <c r="X39" s="1207"/>
      <c r="Y39" s="502" t="s">
        <v>88</v>
      </c>
      <c r="Z39" s="1244">
        <f>DADOS!F24+DADOS!F25</f>
        <v>0</v>
      </c>
      <c r="AA39" s="1244"/>
      <c r="AB39" s="1244"/>
      <c r="AC39" s="1245"/>
      <c r="AD39" s="123"/>
      <c r="AE39" s="123"/>
    </row>
    <row r="40" spans="1:34" ht="18.75" customHeight="1" thickBot="1">
      <c r="A40" s="464"/>
      <c r="B40" s="503"/>
      <c r="C40" s="503"/>
      <c r="D40" s="503"/>
      <c r="E40" s="503"/>
      <c r="F40" s="503"/>
      <c r="G40" s="503"/>
      <c r="H40" s="503"/>
      <c r="I40" s="503"/>
      <c r="J40" s="503"/>
      <c r="K40" s="503"/>
      <c r="L40" s="503"/>
      <c r="M40" s="503"/>
      <c r="N40" s="503"/>
      <c r="O40" s="503"/>
      <c r="P40" s="1202" t="s">
        <v>89</v>
      </c>
      <c r="Q40" s="1203"/>
      <c r="R40" s="1203"/>
      <c r="S40" s="1203"/>
      <c r="T40" s="1203"/>
      <c r="U40" s="1203"/>
      <c r="V40" s="1203"/>
      <c r="W40" s="1203"/>
      <c r="X40" s="1203"/>
      <c r="Y40" s="504" t="s">
        <v>88</v>
      </c>
      <c r="Z40" s="1248">
        <f>SUM(Z29:AC39)</f>
        <v>1333.33</v>
      </c>
      <c r="AA40" s="1248"/>
      <c r="AB40" s="1248"/>
      <c r="AC40" s="1249"/>
      <c r="AD40" s="123"/>
      <c r="AE40" s="123"/>
    </row>
    <row r="41" spans="1:34" ht="13.5" thickBot="1">
      <c r="A41" s="464"/>
      <c r="B41" s="478"/>
      <c r="C41" s="478"/>
      <c r="D41" s="478"/>
      <c r="E41" s="478"/>
      <c r="F41" s="478"/>
      <c r="G41" s="478"/>
      <c r="H41" s="478"/>
      <c r="I41" s="478"/>
      <c r="J41" s="478"/>
      <c r="K41" s="478"/>
      <c r="L41" s="478"/>
      <c r="M41" s="478"/>
      <c r="N41" s="478"/>
      <c r="O41" s="478"/>
      <c r="P41" s="505"/>
      <c r="Q41" s="505"/>
      <c r="R41" s="505"/>
      <c r="S41" s="505"/>
      <c r="T41" s="505"/>
      <c r="U41" s="505"/>
      <c r="V41" s="505"/>
      <c r="W41" s="505"/>
      <c r="X41" s="505"/>
      <c r="Y41" s="484"/>
      <c r="Z41" s="506"/>
      <c r="AA41" s="506"/>
      <c r="AB41" s="506"/>
      <c r="AC41" s="506"/>
      <c r="AF41" s="123"/>
    </row>
    <row r="42" spans="1:34" ht="14.25" customHeight="1">
      <c r="A42" s="478"/>
      <c r="B42" s="1199" t="s">
        <v>90</v>
      </c>
      <c r="C42" s="1200"/>
      <c r="D42" s="1200"/>
      <c r="E42" s="1200"/>
      <c r="F42" s="1200"/>
      <c r="G42" s="1200"/>
      <c r="H42" s="1200"/>
      <c r="I42" s="1200"/>
      <c r="J42" s="1200"/>
      <c r="K42" s="1200"/>
      <c r="L42" s="1200"/>
      <c r="M42" s="1200"/>
      <c r="N42" s="1200"/>
      <c r="O42" s="1200"/>
      <c r="P42" s="1200"/>
      <c r="Q42" s="1200"/>
      <c r="R42" s="1200"/>
      <c r="S42" s="1200"/>
      <c r="T42" s="1200"/>
      <c r="U42" s="1200"/>
      <c r="V42" s="1200"/>
      <c r="W42" s="1200"/>
      <c r="X42" s="1201"/>
      <c r="Y42" s="478"/>
      <c r="Z42" s="478"/>
      <c r="AA42" s="478"/>
      <c r="AB42" s="478"/>
      <c r="AC42" s="478"/>
    </row>
    <row r="43" spans="1:34" ht="15.75" customHeight="1">
      <c r="A43" s="478"/>
      <c r="B43" s="507" t="s">
        <v>91</v>
      </c>
      <c r="C43" s="508"/>
      <c r="D43" s="508"/>
      <c r="E43" s="508"/>
      <c r="F43" s="1172"/>
      <c r="G43" s="1172"/>
      <c r="H43" s="508"/>
      <c r="I43" s="508"/>
      <c r="J43" s="508"/>
      <c r="K43" s="508"/>
      <c r="L43" s="508"/>
      <c r="M43" s="508"/>
      <c r="N43" s="508"/>
      <c r="O43" s="509"/>
      <c r="P43" s="501" t="s">
        <v>88</v>
      </c>
      <c r="Q43" s="1246">
        <f>AD43</f>
        <v>120</v>
      </c>
      <c r="R43" s="1246"/>
      <c r="S43" s="1246"/>
      <c r="T43" s="1246"/>
      <c r="U43" s="1246"/>
      <c r="V43" s="1246"/>
      <c r="W43" s="1246"/>
      <c r="X43" s="1247"/>
      <c r="Y43" s="503"/>
      <c r="Z43" s="503"/>
      <c r="AA43" s="503"/>
      <c r="AB43" s="503"/>
      <c r="AC43" s="503"/>
      <c r="AD43" s="436">
        <f>VLOOKUP(DADOS!$L$29,TB!$C$10:$G$13,4)*DADOS!$L$29</f>
        <v>120</v>
      </c>
      <c r="AE43" s="123"/>
      <c r="AF43" s="436"/>
    </row>
    <row r="44" spans="1:34" ht="15" customHeight="1">
      <c r="A44" s="478"/>
      <c r="B44" s="1237" t="s">
        <v>92</v>
      </c>
      <c r="C44" s="1238"/>
      <c r="D44" s="1238"/>
      <c r="E44" s="1238"/>
      <c r="F44" s="1238"/>
      <c r="G44" s="1238"/>
      <c r="H44" s="510">
        <f>VLOOKUP(DADOS!$G$3,FUNC!A3:IG169,5)</f>
        <v>2</v>
      </c>
      <c r="I44" s="1212" t="str">
        <f>IF(H44&gt;0,"DEPENDENTES",IF(H44=0," "))</f>
        <v>DEPENDENTES</v>
      </c>
      <c r="J44" s="1212"/>
      <c r="K44" s="1212"/>
      <c r="L44" s="1212"/>
      <c r="M44" s="1212"/>
      <c r="N44" s="511"/>
      <c r="O44" s="512"/>
      <c r="P44" s="501" t="s">
        <v>88</v>
      </c>
      <c r="Q44" s="1213">
        <f>IF(AD44&lt;TB!G30,TB!F24,IF(AD44&gt;=TB!G30,AD44))</f>
        <v>0</v>
      </c>
      <c r="R44" s="1213"/>
      <c r="S44" s="1213"/>
      <c r="T44" s="1213"/>
      <c r="U44" s="1213"/>
      <c r="V44" s="1213"/>
      <c r="W44" s="1213"/>
      <c r="X44" s="1214"/>
      <c r="Y44" s="503"/>
      <c r="Z44" s="503"/>
      <c r="AA44" s="503"/>
      <c r="AB44" s="503"/>
      <c r="AC44" s="503"/>
      <c r="AD44" s="751">
        <f>DADOS!N31*RECIBO!AF44-AG44</f>
        <v>0</v>
      </c>
      <c r="AE44" s="123"/>
      <c r="AF44" s="752">
        <f>VLOOKUP(DADOS!N31,TB!C24:F28,4)</f>
        <v>0</v>
      </c>
      <c r="AG44" s="436">
        <f>VLOOKUP(AF44,TB!F24:G28,2)</f>
        <v>0</v>
      </c>
    </row>
    <row r="45" spans="1:34" ht="15.75">
      <c r="A45" s="478"/>
      <c r="B45" s="1229">
        <f>IF(Q45&gt;0,DADOS!A29,IF(Q45=0,0))</f>
        <v>0</v>
      </c>
      <c r="C45" s="1230"/>
      <c r="D45" s="1230"/>
      <c r="E45" s="1230"/>
      <c r="F45" s="1230"/>
      <c r="G45" s="1231"/>
      <c r="H45" s="1231"/>
      <c r="I45" s="1231"/>
      <c r="J45" s="1231"/>
      <c r="K45" s="1231"/>
      <c r="L45" s="1231"/>
      <c r="M45" s="1231"/>
      <c r="N45" s="1231"/>
      <c r="O45" s="1232"/>
      <c r="P45" s="501" t="s">
        <v>88</v>
      </c>
      <c r="Q45" s="1213">
        <f>DADOS!F29</f>
        <v>0</v>
      </c>
      <c r="R45" s="1213"/>
      <c r="S45" s="1213"/>
      <c r="T45" s="1213"/>
      <c r="U45" s="1213"/>
      <c r="V45" s="1213"/>
      <c r="W45" s="1213"/>
      <c r="X45" s="1214"/>
      <c r="Y45" s="503"/>
      <c r="Z45" s="503"/>
      <c r="AA45" s="503"/>
      <c r="AB45" s="503"/>
      <c r="AC45" s="503"/>
      <c r="AD45" s="123"/>
    </row>
    <row r="46" spans="1:34" ht="15.75">
      <c r="A46" s="478"/>
      <c r="B46" s="1229">
        <f>IF(Q46&gt;0,DADOS!A30,IF(Q46=0,0))</f>
        <v>0</v>
      </c>
      <c r="C46" s="1230"/>
      <c r="D46" s="1230"/>
      <c r="E46" s="1230"/>
      <c r="F46" s="1230"/>
      <c r="G46" s="1231"/>
      <c r="H46" s="1231"/>
      <c r="I46" s="1231"/>
      <c r="J46" s="1231"/>
      <c r="K46" s="1231"/>
      <c r="L46" s="1231"/>
      <c r="M46" s="1231"/>
      <c r="N46" s="1231"/>
      <c r="O46" s="1232"/>
      <c r="P46" s="501" t="s">
        <v>88</v>
      </c>
      <c r="Q46" s="1213">
        <f>DADOS!F30</f>
        <v>0</v>
      </c>
      <c r="R46" s="1213"/>
      <c r="S46" s="1213"/>
      <c r="T46" s="1213"/>
      <c r="U46" s="1213"/>
      <c r="V46" s="1213"/>
      <c r="W46" s="1213"/>
      <c r="X46" s="1214"/>
      <c r="Y46" s="503"/>
      <c r="Z46" s="503"/>
      <c r="AA46" s="503"/>
      <c r="AB46" s="503"/>
      <c r="AC46" s="503"/>
      <c r="AD46" s="123"/>
    </row>
    <row r="47" spans="1:34" ht="15.75">
      <c r="A47" s="478"/>
      <c r="B47" s="1229">
        <f>IF(Q47&gt;0,DADOS!A31,IF(Q47=0,0))</f>
        <v>0</v>
      </c>
      <c r="C47" s="1230"/>
      <c r="D47" s="1230"/>
      <c r="E47" s="1230"/>
      <c r="F47" s="1230"/>
      <c r="G47" s="1231"/>
      <c r="H47" s="1231"/>
      <c r="I47" s="1231"/>
      <c r="J47" s="1231"/>
      <c r="K47" s="1231"/>
      <c r="L47" s="1231"/>
      <c r="M47" s="1231"/>
      <c r="N47" s="1231"/>
      <c r="O47" s="1232"/>
      <c r="P47" s="501" t="s">
        <v>88</v>
      </c>
      <c r="Q47" s="1213">
        <f>DADOS!F31</f>
        <v>0</v>
      </c>
      <c r="R47" s="1213"/>
      <c r="S47" s="1213"/>
      <c r="T47" s="1213"/>
      <c r="U47" s="1213"/>
      <c r="V47" s="1213"/>
      <c r="W47" s="1213"/>
      <c r="X47" s="1214"/>
      <c r="Y47" s="503"/>
      <c r="Z47" s="503"/>
      <c r="AA47" s="503"/>
      <c r="AB47" s="503"/>
      <c r="AC47" s="503"/>
      <c r="AD47" s="123"/>
    </row>
    <row r="48" spans="1:34" ht="16.5" thickBot="1">
      <c r="A48" s="478"/>
      <c r="B48" s="1229">
        <f>IF(Q48&gt;0,DADOS!A32,IF(Q48=0,0))</f>
        <v>0</v>
      </c>
      <c r="C48" s="1230"/>
      <c r="D48" s="1230"/>
      <c r="E48" s="1230"/>
      <c r="F48" s="1230"/>
      <c r="G48" s="1231"/>
      <c r="H48" s="1231"/>
      <c r="I48" s="1231"/>
      <c r="J48" s="1231"/>
      <c r="K48" s="1231"/>
      <c r="L48" s="1231"/>
      <c r="M48" s="1231"/>
      <c r="N48" s="1231"/>
      <c r="O48" s="1232"/>
      <c r="P48" s="502" t="s">
        <v>88</v>
      </c>
      <c r="Q48" s="1213">
        <f>DADOS!F32</f>
        <v>0</v>
      </c>
      <c r="R48" s="1213"/>
      <c r="S48" s="1213"/>
      <c r="T48" s="1213"/>
      <c r="U48" s="1213"/>
      <c r="V48" s="1213"/>
      <c r="W48" s="1213"/>
      <c r="X48" s="1214"/>
      <c r="Y48" s="503"/>
      <c r="Z48" s="503"/>
      <c r="AA48" s="503"/>
      <c r="AB48" s="503"/>
      <c r="AC48" s="503"/>
      <c r="AD48" s="123"/>
    </row>
    <row r="49" spans="1:31" ht="16.5" thickBot="1">
      <c r="A49" s="478"/>
      <c r="B49" s="1233"/>
      <c r="C49" s="1233"/>
      <c r="D49" s="1233"/>
      <c r="E49" s="1233"/>
      <c r="F49" s="1233"/>
      <c r="G49" s="1234"/>
      <c r="H49" s="1234"/>
      <c r="I49" s="1234"/>
      <c r="J49" s="1234"/>
      <c r="K49" s="1234"/>
      <c r="L49" s="1234"/>
      <c r="M49" s="1234"/>
      <c r="N49" s="1234"/>
      <c r="O49" s="1234"/>
      <c r="P49" s="1250" t="s">
        <v>255</v>
      </c>
      <c r="Q49" s="1251"/>
      <c r="R49" s="1251"/>
      <c r="S49" s="1251"/>
      <c r="T49" s="1251"/>
      <c r="U49" s="1251"/>
      <c r="V49" s="1251"/>
      <c r="W49" s="1251"/>
      <c r="X49" s="1251"/>
      <c r="Y49" s="504" t="s">
        <v>88</v>
      </c>
      <c r="Z49" s="1235">
        <f>SUM(Q43:X48)</f>
        <v>120</v>
      </c>
      <c r="AA49" s="1235"/>
      <c r="AB49" s="1235"/>
      <c r="AC49" s="1236"/>
      <c r="AD49" s="123"/>
    </row>
    <row r="50" spans="1:31" ht="16.5" thickBot="1">
      <c r="A50" s="464"/>
      <c r="B50" s="503"/>
      <c r="C50" s="503"/>
      <c r="D50" s="503"/>
      <c r="E50" s="503"/>
      <c r="F50" s="503"/>
      <c r="G50" s="503"/>
      <c r="H50" s="503"/>
      <c r="I50" s="503"/>
      <c r="J50" s="503"/>
      <c r="K50" s="503"/>
      <c r="L50" s="503"/>
      <c r="M50" s="503"/>
      <c r="N50" s="503"/>
      <c r="O50" s="503"/>
      <c r="P50" s="513" t="s">
        <v>93</v>
      </c>
      <c r="Q50" s="504"/>
      <c r="R50" s="504"/>
      <c r="S50" s="504"/>
      <c r="T50" s="504"/>
      <c r="U50" s="504"/>
      <c r="V50" s="504"/>
      <c r="W50" s="504"/>
      <c r="X50" s="504"/>
      <c r="Y50" s="514" t="s">
        <v>88</v>
      </c>
      <c r="Z50" s="1235">
        <f>Z40-Z49</f>
        <v>1213.33</v>
      </c>
      <c r="AA50" s="1235"/>
      <c r="AB50" s="1235"/>
      <c r="AC50" s="1236"/>
      <c r="AD50" s="123"/>
    </row>
    <row r="51" spans="1:31" ht="13.5" thickBot="1">
      <c r="A51" s="464"/>
      <c r="B51" s="515"/>
      <c r="C51" s="515"/>
      <c r="D51" s="515"/>
      <c r="E51" s="515"/>
      <c r="F51" s="515"/>
      <c r="G51" s="515"/>
      <c r="H51" s="515"/>
      <c r="I51" s="515"/>
      <c r="J51" s="515"/>
      <c r="K51" s="515"/>
      <c r="L51" s="515"/>
      <c r="M51" s="515"/>
      <c r="N51" s="515"/>
      <c r="O51" s="515"/>
      <c r="P51" s="515"/>
      <c r="Q51" s="515"/>
      <c r="R51" s="515"/>
      <c r="S51" s="515"/>
      <c r="T51" s="515"/>
      <c r="U51" s="515"/>
      <c r="V51" s="515"/>
      <c r="W51" s="515"/>
      <c r="X51" s="515"/>
      <c r="Y51" s="515"/>
      <c r="Z51" s="515"/>
      <c r="AA51" s="515"/>
      <c r="AB51" s="515"/>
      <c r="AC51" s="515"/>
    </row>
    <row r="52" spans="1:31">
      <c r="A52" s="464"/>
      <c r="B52" s="466"/>
      <c r="C52" s="467"/>
      <c r="D52" s="467"/>
      <c r="E52" s="467"/>
      <c r="F52" s="467"/>
      <c r="G52" s="467"/>
      <c r="H52" s="467"/>
      <c r="I52" s="467"/>
      <c r="J52" s="467"/>
      <c r="K52" s="467"/>
      <c r="L52" s="467"/>
      <c r="M52" s="467"/>
      <c r="N52" s="467"/>
      <c r="O52" s="467"/>
      <c r="P52" s="467"/>
      <c r="Q52" s="467"/>
      <c r="R52" s="467"/>
      <c r="S52" s="467"/>
      <c r="T52" s="467"/>
      <c r="U52" s="467"/>
      <c r="V52" s="467"/>
      <c r="W52" s="467"/>
      <c r="X52" s="467"/>
      <c r="Y52" s="467"/>
      <c r="Z52" s="467"/>
      <c r="AA52" s="467"/>
      <c r="AB52" s="467"/>
      <c r="AC52" s="468"/>
      <c r="AE52" s="123"/>
    </row>
    <row r="53" spans="1:31" ht="15.75">
      <c r="A53" s="464"/>
      <c r="B53" s="516" t="s">
        <v>94</v>
      </c>
      <c r="C53" s="484"/>
      <c r="D53" s="484"/>
      <c r="E53" s="484"/>
      <c r="F53" s="1162" t="str">
        <f>D4</f>
        <v>Disk Automoveis Ltda</v>
      </c>
      <c r="G53" s="1163"/>
      <c r="H53" s="1163"/>
      <c r="I53" s="1163"/>
      <c r="J53" s="1163"/>
      <c r="K53" s="1163"/>
      <c r="L53" s="1163"/>
      <c r="M53" s="1163"/>
      <c r="N53" s="1163"/>
      <c r="O53" s="1163"/>
      <c r="P53" s="1163"/>
      <c r="Q53" s="1163"/>
      <c r="R53" s="1163"/>
      <c r="S53" s="1163"/>
      <c r="T53" s="517" t="s">
        <v>254</v>
      </c>
      <c r="U53" s="518"/>
      <c r="V53" s="484"/>
      <c r="W53" s="484"/>
      <c r="X53" s="484"/>
      <c r="Y53" s="484" t="s">
        <v>88</v>
      </c>
      <c r="Z53" s="1154">
        <f>Z50</f>
        <v>1213.33</v>
      </c>
      <c r="AA53" s="1154"/>
      <c r="AB53" s="1154"/>
      <c r="AC53" s="519" t="s">
        <v>431</v>
      </c>
      <c r="AE53" s="123"/>
    </row>
    <row r="54" spans="1:31" ht="15" customHeight="1">
      <c r="A54" s="464"/>
      <c r="B54" s="1160" t="str">
        <f>fextenso(Z53,1/3,"real","reais")</f>
        <v>um mil duzentos e treze reais e trinta e três centavos</v>
      </c>
      <c r="C54" s="1161"/>
      <c r="D54" s="1161"/>
      <c r="E54" s="1161"/>
      <c r="F54" s="1161"/>
      <c r="G54" s="1161"/>
      <c r="H54" s="1161"/>
      <c r="I54" s="1161"/>
      <c r="J54" s="1161"/>
      <c r="K54" s="1161"/>
      <c r="L54" s="1161"/>
      <c r="M54" s="1161"/>
      <c r="N54" s="1161"/>
      <c r="O54" s="1161"/>
      <c r="P54" s="1161"/>
      <c r="Q54" s="1161"/>
      <c r="R54" s="1161"/>
      <c r="S54" s="1161"/>
      <c r="T54" s="1161"/>
      <c r="U54" s="1161"/>
      <c r="V54" s="1161"/>
      <c r="W54" s="1161"/>
      <c r="X54" s="1161"/>
      <c r="Y54" s="1161"/>
      <c r="Z54" s="1161"/>
      <c r="AA54" s="1161"/>
      <c r="AB54" s="1161"/>
      <c r="AC54" s="525" t="s">
        <v>78</v>
      </c>
      <c r="AE54" s="123"/>
    </row>
    <row r="55" spans="1:31">
      <c r="A55" s="464"/>
      <c r="B55" s="1155" t="s">
        <v>95</v>
      </c>
      <c r="C55" s="1156"/>
      <c r="D55" s="1156"/>
      <c r="E55" s="1156"/>
      <c r="F55" s="1156"/>
      <c r="G55" s="1156"/>
      <c r="H55" s="1156"/>
      <c r="I55" s="1156"/>
      <c r="J55" s="1156"/>
      <c r="K55" s="1156"/>
      <c r="L55" s="1156"/>
      <c r="M55" s="1156"/>
      <c r="N55" s="1156"/>
      <c r="O55" s="1156"/>
      <c r="P55" s="1156"/>
      <c r="Q55" s="1156"/>
      <c r="R55" s="1156"/>
      <c r="S55" s="1156"/>
      <c r="T55" s="1156"/>
      <c r="U55" s="1156"/>
      <c r="V55" s="1156"/>
      <c r="W55" s="1156"/>
      <c r="X55" s="1156"/>
      <c r="Y55" s="1156"/>
      <c r="Z55" s="1156"/>
      <c r="AA55" s="1156"/>
      <c r="AB55" s="1156"/>
      <c r="AC55" s="1157"/>
      <c r="AE55" s="123"/>
    </row>
    <row r="56" spans="1:31">
      <c r="A56" s="464"/>
      <c r="B56" s="1155"/>
      <c r="C56" s="1156"/>
      <c r="D56" s="1156"/>
      <c r="E56" s="1156"/>
      <c r="F56" s="1156"/>
      <c r="G56" s="1156"/>
      <c r="H56" s="1156"/>
      <c r="I56" s="1156"/>
      <c r="J56" s="1156"/>
      <c r="K56" s="1156"/>
      <c r="L56" s="1156"/>
      <c r="M56" s="1156"/>
      <c r="N56" s="1156"/>
      <c r="O56" s="1156"/>
      <c r="P56" s="1156"/>
      <c r="Q56" s="1156"/>
      <c r="R56" s="1156"/>
      <c r="S56" s="1156"/>
      <c r="T56" s="1156"/>
      <c r="U56" s="1156"/>
      <c r="V56" s="1156"/>
      <c r="W56" s="1156"/>
      <c r="X56" s="1156"/>
      <c r="Y56" s="1156"/>
      <c r="Z56" s="1156"/>
      <c r="AA56" s="1156"/>
      <c r="AB56" s="1156"/>
      <c r="AC56" s="1157"/>
      <c r="AE56" s="123"/>
    </row>
    <row r="57" spans="1:31">
      <c r="A57" s="464"/>
      <c r="B57" s="520" t="s">
        <v>96</v>
      </c>
      <c r="C57" s="484"/>
      <c r="D57" s="484"/>
      <c r="E57" s="484"/>
      <c r="F57" s="484"/>
      <c r="G57" s="484"/>
      <c r="H57" s="484"/>
      <c r="I57" s="484"/>
      <c r="J57" s="484"/>
      <c r="K57" s="484"/>
      <c r="L57" s="484"/>
      <c r="M57" s="484"/>
      <c r="N57" s="484"/>
      <c r="O57" s="484"/>
      <c r="P57" s="484"/>
      <c r="Q57" s="484"/>
      <c r="R57" s="484"/>
      <c r="S57" s="484"/>
      <c r="T57" s="484"/>
      <c r="U57" s="484"/>
      <c r="V57" s="484"/>
      <c r="W57" s="484"/>
      <c r="X57" s="484"/>
      <c r="Y57" s="484"/>
      <c r="Z57" s="484"/>
      <c r="AA57" s="484"/>
      <c r="AB57" s="484"/>
      <c r="AC57" s="519"/>
      <c r="AE57" s="123"/>
    </row>
    <row r="58" spans="1:31">
      <c r="A58" s="464"/>
      <c r="B58" s="521"/>
      <c r="C58" s="478"/>
      <c r="D58" s="478"/>
      <c r="E58" s="478"/>
      <c r="F58" s="478"/>
      <c r="G58" s="478"/>
      <c r="H58" s="478"/>
      <c r="I58" s="478"/>
      <c r="J58" s="478"/>
      <c r="K58" s="478"/>
      <c r="L58" s="478"/>
      <c r="M58" s="478"/>
      <c r="N58" s="478"/>
      <c r="O58" s="478"/>
      <c r="P58" s="478"/>
      <c r="Q58" s="478"/>
      <c r="R58" s="478"/>
      <c r="S58" s="478"/>
      <c r="T58" s="478"/>
      <c r="U58" s="478"/>
      <c r="V58" s="478"/>
      <c r="W58" s="478"/>
      <c r="X58" s="478"/>
      <c r="Y58" s="478"/>
      <c r="Z58" s="478"/>
      <c r="AA58" s="478"/>
      <c r="AB58" s="478"/>
      <c r="AC58" s="472"/>
      <c r="AE58" s="123"/>
    </row>
    <row r="59" spans="1:31">
      <c r="A59" s="464"/>
      <c r="B59" s="521"/>
      <c r="C59" s="478"/>
      <c r="D59" s="478"/>
      <c r="E59" s="478"/>
      <c r="F59" s="478"/>
      <c r="G59" s="478"/>
      <c r="H59" s="478"/>
      <c r="I59" s="478"/>
      <c r="J59" s="478"/>
      <c r="K59" s="478"/>
      <c r="L59" s="478"/>
      <c r="M59" s="478"/>
      <c r="N59" s="478"/>
      <c r="O59" s="478"/>
      <c r="P59" s="478"/>
      <c r="Q59" s="478"/>
      <c r="R59" s="478"/>
      <c r="S59" s="478"/>
      <c r="T59" s="478"/>
      <c r="U59" s="478"/>
      <c r="V59" s="478"/>
      <c r="W59" s="478"/>
      <c r="X59" s="478"/>
      <c r="Y59" s="478"/>
      <c r="Z59" s="478"/>
      <c r="AA59" s="478"/>
      <c r="AB59" s="478"/>
      <c r="AC59" s="472"/>
      <c r="AE59" s="123"/>
    </row>
    <row r="60" spans="1:31">
      <c r="A60" s="464"/>
      <c r="B60" s="1241" t="str">
        <f>AV!E26</f>
        <v>Pres.Prudente</v>
      </c>
      <c r="C60" s="1242"/>
      <c r="D60" s="1242"/>
      <c r="E60" s="1242"/>
      <c r="F60" s="1242"/>
      <c r="G60" s="1242"/>
      <c r="H60" s="1153">
        <f>IF(DADOS!$E$13=0," ",IF(DADOS!$E$13&gt;0,DADOS!$E$13))</f>
        <v>41726</v>
      </c>
      <c r="I60" s="1153"/>
      <c r="J60" s="1153"/>
      <c r="K60" s="1153"/>
      <c r="L60" s="1153"/>
      <c r="M60" s="1153"/>
      <c r="N60" s="1153"/>
      <c r="O60" s="1153"/>
      <c r="P60" s="474"/>
      <c r="Q60" s="478"/>
      <c r="R60" s="478"/>
      <c r="S60" s="478"/>
      <c r="T60" s="1158"/>
      <c r="U60" s="1158"/>
      <c r="V60" s="1158"/>
      <c r="W60" s="1158"/>
      <c r="X60" s="1158"/>
      <c r="Y60" s="1158"/>
      <c r="Z60" s="1158"/>
      <c r="AA60" s="1158"/>
      <c r="AB60" s="1158"/>
      <c r="AC60" s="1159"/>
      <c r="AE60" s="123"/>
    </row>
    <row r="61" spans="1:31">
      <c r="A61" s="464"/>
      <c r="B61" s="1243" t="s">
        <v>432</v>
      </c>
      <c r="C61" s="1239"/>
      <c r="D61" s="1239"/>
      <c r="E61" s="1239"/>
      <c r="F61" s="1239"/>
      <c r="G61" s="1239"/>
      <c r="H61" s="1239"/>
      <c r="I61" s="1239"/>
      <c r="J61" s="1239"/>
      <c r="K61" s="1239"/>
      <c r="L61" s="1239"/>
      <c r="M61" s="1239"/>
      <c r="N61" s="1239"/>
      <c r="O61" s="1239"/>
      <c r="P61" s="478"/>
      <c r="Q61" s="478"/>
      <c r="R61" s="478"/>
      <c r="S61" s="478"/>
      <c r="T61" s="1239" t="s">
        <v>59</v>
      </c>
      <c r="U61" s="1239"/>
      <c r="V61" s="1239"/>
      <c r="W61" s="1239"/>
      <c r="X61" s="1239"/>
      <c r="Y61" s="1239"/>
      <c r="Z61" s="1239"/>
      <c r="AA61" s="1239"/>
      <c r="AB61" s="1239"/>
      <c r="AC61" s="1240"/>
      <c r="AE61" s="123"/>
    </row>
    <row r="62" spans="1:31" ht="13.5" thickBot="1">
      <c r="A62" s="464"/>
      <c r="B62" s="1226" t="s">
        <v>114</v>
      </c>
      <c r="C62" s="1227"/>
      <c r="D62" s="1227"/>
      <c r="E62" s="1227"/>
      <c r="F62" s="1227"/>
      <c r="G62" s="1227"/>
      <c r="H62" s="1227"/>
      <c r="I62" s="1227"/>
      <c r="J62" s="1227"/>
      <c r="K62" s="1227"/>
      <c r="L62" s="1227"/>
      <c r="M62" s="1227"/>
      <c r="N62" s="1227"/>
      <c r="O62" s="1227"/>
      <c r="P62" s="1227"/>
      <c r="Q62" s="1227"/>
      <c r="R62" s="1228"/>
      <c r="S62" s="1228"/>
      <c r="T62" s="1228"/>
      <c r="U62" s="1228"/>
      <c r="V62" s="1228"/>
      <c r="W62" s="1228"/>
      <c r="X62" s="1228"/>
      <c r="Y62" s="1228"/>
      <c r="Z62" s="1228"/>
      <c r="AA62" s="522"/>
      <c r="AB62" s="522"/>
      <c r="AC62" s="523"/>
      <c r="AE62" s="123"/>
    </row>
    <row r="63" spans="1:31">
      <c r="A63" s="464"/>
      <c r="B63" s="464"/>
      <c r="C63" s="524" t="str">
        <f>TB!B34</f>
        <v>(FÉRIAS JANEIRO 2014) - ATUALIZADO 03/2014 - V14 (19/03/2013)</v>
      </c>
      <c r="D63" s="478"/>
      <c r="E63" s="478"/>
      <c r="F63" s="478"/>
      <c r="G63" s="478"/>
      <c r="H63" s="478"/>
      <c r="I63" s="478"/>
      <c r="J63" s="478"/>
      <c r="K63" s="478"/>
      <c r="L63" s="478"/>
      <c r="M63" s="478"/>
      <c r="N63" s="478"/>
      <c r="O63" s="478"/>
      <c r="P63" s="478"/>
      <c r="Q63" s="478"/>
      <c r="R63" s="478"/>
      <c r="S63" s="478"/>
      <c r="T63" s="478"/>
      <c r="U63" s="478"/>
      <c r="V63" s="478"/>
      <c r="W63" s="478"/>
      <c r="X63" s="478"/>
      <c r="Y63" s="478"/>
      <c r="Z63" s="478"/>
      <c r="AA63" s="478"/>
      <c r="AB63" s="478"/>
      <c r="AC63" s="478"/>
      <c r="AE63" s="123"/>
    </row>
    <row r="64" spans="1:31">
      <c r="A64" s="464"/>
      <c r="B64" s="464"/>
      <c r="C64" s="464"/>
      <c r="D64" s="464"/>
      <c r="E64" s="464"/>
      <c r="F64" s="464"/>
      <c r="G64" s="464"/>
      <c r="H64" s="464"/>
      <c r="I64" s="464"/>
      <c r="J64" s="464"/>
      <c r="K64" s="464"/>
      <c r="L64" s="464"/>
      <c r="M64" s="464"/>
      <c r="N64" s="464"/>
      <c r="O64" s="464"/>
      <c r="P64" s="464"/>
      <c r="Q64" s="464"/>
      <c r="R64" s="464"/>
      <c r="S64" s="464"/>
      <c r="T64" s="464"/>
      <c r="U64" s="464"/>
      <c r="V64" s="464"/>
      <c r="W64" s="464"/>
      <c r="X64" s="464"/>
      <c r="Y64" s="464"/>
      <c r="Z64" s="464"/>
      <c r="AA64" s="464"/>
      <c r="AB64" s="464"/>
      <c r="AC64" s="464"/>
    </row>
    <row r="65" spans="1:36">
      <c r="A65" s="122"/>
      <c r="B65" s="122"/>
      <c r="C65" s="122"/>
      <c r="D65" s="122"/>
      <c r="E65" s="122"/>
      <c r="F65" s="122"/>
      <c r="G65" s="122"/>
      <c r="H65" s="122"/>
      <c r="I65" s="122"/>
      <c r="J65" s="122"/>
      <c r="K65" s="122"/>
      <c r="L65" s="122"/>
      <c r="M65" s="122"/>
      <c r="N65" s="122"/>
      <c r="O65" s="122"/>
      <c r="P65" s="122"/>
      <c r="Q65" s="122"/>
      <c r="R65" s="122"/>
      <c r="S65" s="122"/>
      <c r="T65" s="122"/>
      <c r="U65" s="122"/>
      <c r="V65" s="122"/>
      <c r="W65" s="122"/>
      <c r="X65" s="122"/>
      <c r="Y65" s="122"/>
      <c r="Z65" s="122"/>
      <c r="AA65" s="122"/>
      <c r="AB65" s="122"/>
      <c r="AC65" s="122"/>
    </row>
    <row r="66" spans="1:36" customFormat="1">
      <c r="AD66" s="122"/>
      <c r="AE66" s="122"/>
      <c r="AJ66" s="464"/>
    </row>
    <row r="67" spans="1:36" customFormat="1">
      <c r="AD67" s="122"/>
      <c r="AJ67" s="464"/>
    </row>
    <row r="68" spans="1:36" customFormat="1">
      <c r="AD68" s="122"/>
      <c r="AJ68" s="464"/>
    </row>
    <row r="69" spans="1:36" customFormat="1">
      <c r="AD69" s="122"/>
      <c r="AJ69" s="464"/>
    </row>
    <row r="70" spans="1:36" customFormat="1">
      <c r="AD70" s="122"/>
      <c r="AJ70" s="464"/>
    </row>
    <row r="71" spans="1:36" customFormat="1">
      <c r="AD71" s="122"/>
      <c r="AJ71" s="464"/>
    </row>
    <row r="72" spans="1:36" customFormat="1">
      <c r="AD72" s="122"/>
      <c r="AJ72" s="464"/>
    </row>
    <row r="73" spans="1:36" customFormat="1">
      <c r="AD73" s="122"/>
      <c r="AJ73" s="464"/>
    </row>
    <row r="74" spans="1:36" customFormat="1">
      <c r="AD74" s="122"/>
      <c r="AJ74" s="464"/>
    </row>
    <row r="75" spans="1:36" customFormat="1">
      <c r="AD75" s="122"/>
      <c r="AJ75" s="464"/>
    </row>
    <row r="76" spans="1:36" customFormat="1">
      <c r="AD76" s="122"/>
      <c r="AJ76" s="464"/>
    </row>
    <row r="77" spans="1:36" customFormat="1">
      <c r="AD77" s="122"/>
      <c r="AJ77" s="464"/>
    </row>
    <row r="78" spans="1:36" customFormat="1">
      <c r="AD78" s="122"/>
      <c r="AJ78" s="464"/>
    </row>
    <row r="79" spans="1:36" customFormat="1">
      <c r="AD79" s="122"/>
      <c r="AJ79" s="464"/>
    </row>
    <row r="80" spans="1:36" customFormat="1">
      <c r="AD80" s="122"/>
      <c r="AJ80" s="464"/>
    </row>
    <row r="81" spans="30:36" customFormat="1">
      <c r="AD81" s="122"/>
      <c r="AJ81" s="464"/>
    </row>
    <row r="82" spans="30:36" customFormat="1">
      <c r="AD82" s="122"/>
      <c r="AJ82" s="464"/>
    </row>
    <row r="83" spans="30:36" customFormat="1">
      <c r="AD83" s="122"/>
      <c r="AJ83" s="464"/>
    </row>
    <row r="84" spans="30:36" customFormat="1">
      <c r="AD84" s="122"/>
      <c r="AJ84" s="464"/>
    </row>
    <row r="85" spans="30:36" customFormat="1">
      <c r="AD85" s="122"/>
      <c r="AJ85" s="464"/>
    </row>
    <row r="86" spans="30:36" customFormat="1">
      <c r="AD86" s="122"/>
      <c r="AJ86" s="464"/>
    </row>
    <row r="87" spans="30:36" customFormat="1">
      <c r="AD87" s="122"/>
      <c r="AJ87" s="464"/>
    </row>
    <row r="88" spans="30:36" customFormat="1">
      <c r="AD88" s="122"/>
      <c r="AJ88" s="464"/>
    </row>
    <row r="89" spans="30:36" customFormat="1">
      <c r="AD89" s="122"/>
      <c r="AJ89" s="464"/>
    </row>
    <row r="90" spans="30:36" customFormat="1">
      <c r="AD90" s="122"/>
      <c r="AJ90" s="464"/>
    </row>
    <row r="91" spans="30:36" customFormat="1">
      <c r="AD91" s="122"/>
      <c r="AJ91" s="464"/>
    </row>
    <row r="92" spans="30:36" customFormat="1">
      <c r="AD92" s="122"/>
      <c r="AJ92" s="464"/>
    </row>
    <row r="93" spans="30:36" customFormat="1">
      <c r="AD93" s="122"/>
      <c r="AJ93" s="464"/>
    </row>
    <row r="94" spans="30:36" customFormat="1">
      <c r="AD94" s="122"/>
      <c r="AJ94" s="464"/>
    </row>
    <row r="95" spans="30:36" customFormat="1">
      <c r="AD95" s="122"/>
      <c r="AJ95" s="464"/>
    </row>
    <row r="96" spans="30:36" customFormat="1">
      <c r="AD96" s="122"/>
      <c r="AJ96" s="464"/>
    </row>
    <row r="97" spans="30:36" customFormat="1">
      <c r="AD97" s="122"/>
      <c r="AJ97" s="464"/>
    </row>
    <row r="98" spans="30:36" customFormat="1">
      <c r="AD98" s="122"/>
      <c r="AJ98" s="464"/>
    </row>
    <row r="99" spans="30:36" customFormat="1">
      <c r="AD99" s="122"/>
      <c r="AJ99" s="464"/>
    </row>
    <row r="100" spans="30:36" customFormat="1">
      <c r="AD100" s="122"/>
      <c r="AJ100" s="464"/>
    </row>
    <row r="101" spans="30:36" customFormat="1">
      <c r="AD101" s="122"/>
      <c r="AJ101" s="464"/>
    </row>
    <row r="102" spans="30:36" customFormat="1">
      <c r="AD102" s="122"/>
      <c r="AJ102" s="464"/>
    </row>
    <row r="103" spans="30:36" customFormat="1">
      <c r="AD103" s="122"/>
      <c r="AJ103" s="464"/>
    </row>
    <row r="104" spans="30:36" customFormat="1">
      <c r="AD104" s="122"/>
      <c r="AJ104" s="464"/>
    </row>
    <row r="105" spans="30:36" customFormat="1">
      <c r="AD105" s="122"/>
      <c r="AJ105" s="464"/>
    </row>
    <row r="106" spans="30:36" customFormat="1">
      <c r="AD106" s="122"/>
      <c r="AJ106" s="464"/>
    </row>
    <row r="107" spans="30:36" customFormat="1">
      <c r="AD107" s="122"/>
      <c r="AJ107" s="464"/>
    </row>
    <row r="108" spans="30:36" customFormat="1">
      <c r="AD108" s="122"/>
      <c r="AJ108" s="464"/>
    </row>
    <row r="109" spans="30:36" customFormat="1">
      <c r="AD109" s="122"/>
      <c r="AJ109" s="464"/>
    </row>
    <row r="110" spans="30:36" customFormat="1">
      <c r="AD110" s="122"/>
      <c r="AJ110" s="464"/>
    </row>
    <row r="111" spans="30:36" customFormat="1">
      <c r="AD111" s="122"/>
      <c r="AJ111" s="464"/>
    </row>
    <row r="112" spans="30:36" customFormat="1">
      <c r="AD112" s="122"/>
      <c r="AJ112" s="464"/>
    </row>
    <row r="113" spans="30:36" customFormat="1">
      <c r="AD113" s="122"/>
      <c r="AJ113" s="464"/>
    </row>
    <row r="114" spans="30:36" customFormat="1">
      <c r="AD114" s="122"/>
      <c r="AJ114" s="464"/>
    </row>
    <row r="115" spans="30:36" customFormat="1">
      <c r="AD115" s="122"/>
      <c r="AJ115" s="464"/>
    </row>
    <row r="116" spans="30:36" customFormat="1">
      <c r="AD116" s="122"/>
      <c r="AJ116" s="464"/>
    </row>
    <row r="117" spans="30:36" customFormat="1">
      <c r="AD117" s="122"/>
      <c r="AJ117" s="464"/>
    </row>
    <row r="118" spans="30:36" customFormat="1">
      <c r="AD118" s="122"/>
      <c r="AJ118" s="464"/>
    </row>
    <row r="119" spans="30:36" customFormat="1">
      <c r="AD119" s="122"/>
      <c r="AJ119" s="464"/>
    </row>
    <row r="120" spans="30:36" customFormat="1">
      <c r="AD120" s="122"/>
      <c r="AJ120" s="464"/>
    </row>
    <row r="121" spans="30:36" customFormat="1">
      <c r="AD121" s="122"/>
      <c r="AJ121" s="464"/>
    </row>
    <row r="122" spans="30:36" customFormat="1">
      <c r="AD122" s="122"/>
      <c r="AJ122" s="464"/>
    </row>
    <row r="123" spans="30:36" customFormat="1">
      <c r="AD123" s="122"/>
      <c r="AJ123" s="464"/>
    </row>
    <row r="124" spans="30:36" customFormat="1">
      <c r="AD124" s="122"/>
      <c r="AJ124" s="464"/>
    </row>
    <row r="125" spans="30:36" customFormat="1">
      <c r="AD125" s="122"/>
      <c r="AJ125" s="464"/>
    </row>
    <row r="126" spans="30:36" customFormat="1">
      <c r="AD126" s="122"/>
      <c r="AJ126" s="464"/>
    </row>
    <row r="127" spans="30:36" customFormat="1">
      <c r="AD127" s="122"/>
      <c r="AJ127" s="464"/>
    </row>
    <row r="128" spans="30:36" customFormat="1">
      <c r="AD128" s="122"/>
      <c r="AJ128" s="464"/>
    </row>
    <row r="129" spans="30:36" customFormat="1">
      <c r="AD129" s="122"/>
      <c r="AJ129" s="464"/>
    </row>
    <row r="130" spans="30:36" customFormat="1">
      <c r="AD130" s="122"/>
      <c r="AJ130" s="464"/>
    </row>
    <row r="131" spans="30:36" customFormat="1">
      <c r="AD131" s="122"/>
      <c r="AJ131" s="464"/>
    </row>
    <row r="132" spans="30:36" customFormat="1">
      <c r="AD132" s="122"/>
      <c r="AJ132" s="464"/>
    </row>
    <row r="133" spans="30:36" customFormat="1">
      <c r="AD133" s="122"/>
      <c r="AJ133" s="464"/>
    </row>
    <row r="134" spans="30:36" customFormat="1">
      <c r="AD134" s="122"/>
      <c r="AJ134" s="464"/>
    </row>
    <row r="135" spans="30:36" customFormat="1">
      <c r="AD135" s="122"/>
      <c r="AJ135" s="464"/>
    </row>
    <row r="136" spans="30:36" customFormat="1">
      <c r="AD136" s="122"/>
      <c r="AJ136" s="464"/>
    </row>
    <row r="137" spans="30:36" customFormat="1">
      <c r="AD137" s="122"/>
      <c r="AJ137" s="464"/>
    </row>
    <row r="138" spans="30:36" customFormat="1">
      <c r="AD138" s="122"/>
      <c r="AJ138" s="464"/>
    </row>
    <row r="139" spans="30:36" customFormat="1">
      <c r="AD139" s="122"/>
      <c r="AJ139" s="464"/>
    </row>
    <row r="140" spans="30:36" customFormat="1">
      <c r="AD140" s="122"/>
      <c r="AJ140" s="464"/>
    </row>
    <row r="141" spans="30:36" customFormat="1">
      <c r="AD141" s="122"/>
      <c r="AJ141" s="464"/>
    </row>
    <row r="142" spans="30:36" customFormat="1">
      <c r="AD142" s="122"/>
      <c r="AJ142" s="464"/>
    </row>
    <row r="143" spans="30:36" customFormat="1">
      <c r="AD143" s="122"/>
      <c r="AJ143" s="464"/>
    </row>
    <row r="144" spans="30:36" customFormat="1">
      <c r="AD144" s="122"/>
      <c r="AJ144" s="464"/>
    </row>
    <row r="145" spans="1:36" customFormat="1">
      <c r="AD145" s="122"/>
      <c r="AJ145" s="464"/>
    </row>
    <row r="146" spans="1:36" customFormat="1">
      <c r="AD146" s="122"/>
      <c r="AJ146" s="464"/>
    </row>
    <row r="147" spans="1:36" customFormat="1">
      <c r="AD147" s="122"/>
      <c r="AJ147" s="464"/>
    </row>
    <row r="148" spans="1:36" customFormat="1">
      <c r="AD148" s="122"/>
      <c r="AJ148" s="464"/>
    </row>
    <row r="149" spans="1:36" customFormat="1">
      <c r="AD149" s="122"/>
      <c r="AJ149" s="464"/>
    </row>
    <row r="150" spans="1:36">
      <c r="A150" s="122"/>
      <c r="B150" s="122"/>
      <c r="C150" s="122"/>
      <c r="D150" s="122"/>
      <c r="E150" s="122"/>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c r="AB150" s="122"/>
      <c r="AC150" s="122"/>
    </row>
    <row r="151" spans="1:36">
      <c r="A151" s="122"/>
      <c r="B151" s="122"/>
      <c r="C151" s="122"/>
      <c r="D151" s="122"/>
      <c r="E151" s="122"/>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row>
    <row r="152" spans="1:36">
      <c r="A152" s="122"/>
      <c r="B152" s="122"/>
      <c r="C152" s="122"/>
      <c r="D152" s="122"/>
      <c r="E152" s="122"/>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c r="AB152" s="122"/>
      <c r="AC152" s="122"/>
    </row>
    <row r="153" spans="1:36">
      <c r="A153" s="122"/>
      <c r="B153" s="122"/>
      <c r="C153" s="122"/>
      <c r="D153" s="122"/>
      <c r="E153" s="122"/>
      <c r="F153" s="122"/>
      <c r="G153" s="122"/>
      <c r="H153" s="122"/>
      <c r="I153" s="122"/>
      <c r="J153" s="122"/>
      <c r="K153" s="122"/>
      <c r="L153" s="122"/>
      <c r="M153" s="122"/>
      <c r="N153" s="122"/>
      <c r="O153" s="122"/>
      <c r="P153" s="122"/>
      <c r="Q153" s="122"/>
      <c r="R153" s="122"/>
      <c r="S153" s="122"/>
      <c r="T153" s="122"/>
      <c r="U153" s="122"/>
      <c r="V153" s="122"/>
      <c r="W153" s="122"/>
      <c r="X153" s="122"/>
      <c r="Y153" s="122"/>
      <c r="Z153" s="122"/>
      <c r="AA153" s="122"/>
      <c r="AB153" s="122"/>
      <c r="AC153" s="122"/>
    </row>
    <row r="154" spans="1:36">
      <c r="A154" s="122"/>
      <c r="B154" s="122"/>
      <c r="C154" s="122"/>
      <c r="D154" s="122"/>
      <c r="E154" s="122"/>
      <c r="F154" s="122"/>
      <c r="G154" s="122"/>
      <c r="H154" s="122"/>
      <c r="I154" s="122"/>
      <c r="J154" s="122"/>
      <c r="K154" s="122"/>
      <c r="L154" s="122"/>
      <c r="M154" s="122"/>
      <c r="N154" s="122"/>
      <c r="O154" s="122"/>
      <c r="P154" s="122"/>
      <c r="Q154" s="122"/>
      <c r="R154" s="122"/>
      <c r="S154" s="122"/>
      <c r="T154" s="122"/>
      <c r="U154" s="122"/>
      <c r="V154" s="122"/>
      <c r="W154" s="122"/>
      <c r="X154" s="122"/>
      <c r="Y154" s="122"/>
      <c r="Z154" s="122"/>
      <c r="AA154" s="122"/>
      <c r="AB154" s="122"/>
      <c r="AC154" s="122"/>
    </row>
    <row r="155" spans="1:36">
      <c r="A155" s="122"/>
      <c r="B155" s="122"/>
      <c r="C155" s="122"/>
      <c r="D155" s="122"/>
      <c r="E155" s="122"/>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c r="AB155" s="122"/>
      <c r="AC155" s="122"/>
    </row>
    <row r="156" spans="1:36">
      <c r="A156" s="122"/>
      <c r="B156" s="122"/>
      <c r="C156" s="122"/>
      <c r="D156" s="122"/>
      <c r="E156" s="122"/>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row>
    <row r="157" spans="1:36">
      <c r="A157" s="122"/>
      <c r="B157" s="122"/>
      <c r="C157" s="122"/>
      <c r="D157" s="122"/>
      <c r="E157" s="122"/>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c r="AB157" s="122"/>
      <c r="AC157" s="122"/>
    </row>
    <row r="158" spans="1:36">
      <c r="A158" s="122"/>
      <c r="B158" s="122"/>
      <c r="C158" s="122"/>
      <c r="D158" s="122"/>
      <c r="E158" s="122"/>
      <c r="F158" s="122"/>
      <c r="G158" s="122"/>
      <c r="H158" s="122"/>
      <c r="I158" s="122"/>
      <c r="J158" s="122"/>
      <c r="K158" s="122"/>
      <c r="L158" s="122"/>
      <c r="M158" s="122"/>
      <c r="N158" s="122"/>
      <c r="O158" s="122"/>
      <c r="P158" s="122"/>
      <c r="Q158" s="122"/>
      <c r="R158" s="122"/>
      <c r="S158" s="122"/>
      <c r="T158" s="122"/>
      <c r="U158" s="122"/>
      <c r="V158" s="122"/>
      <c r="W158" s="122"/>
      <c r="X158" s="122"/>
      <c r="Y158" s="122"/>
      <c r="Z158" s="122"/>
      <c r="AA158" s="122"/>
      <c r="AB158" s="122"/>
      <c r="AC158" s="122"/>
    </row>
    <row r="159" spans="1:36">
      <c r="A159" s="122"/>
      <c r="B159" s="122"/>
      <c r="C159" s="122"/>
      <c r="D159" s="122"/>
      <c r="E159" s="122"/>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c r="AC159" s="122"/>
    </row>
    <row r="160" spans="1:36">
      <c r="A160" s="122"/>
      <c r="B160" s="122"/>
      <c r="C160" s="122"/>
      <c r="D160" s="122"/>
      <c r="E160" s="122"/>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c r="AB160" s="122"/>
      <c r="AC160" s="122"/>
    </row>
    <row r="161" spans="1:29">
      <c r="A161" s="122"/>
      <c r="B161" s="122"/>
      <c r="C161" s="122"/>
      <c r="D161" s="122"/>
      <c r="E161" s="122"/>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c r="AC161" s="122"/>
    </row>
    <row r="162" spans="1:29">
      <c r="A162" s="122"/>
      <c r="B162" s="122"/>
      <c r="C162" s="122"/>
      <c r="D162" s="122"/>
      <c r="E162" s="122"/>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c r="AB162" s="122"/>
      <c r="AC162" s="122"/>
    </row>
    <row r="163" spans="1:29">
      <c r="A163" s="122"/>
      <c r="B163" s="122"/>
      <c r="C163" s="122"/>
      <c r="D163" s="122"/>
      <c r="E163" s="122"/>
      <c r="F163" s="122"/>
      <c r="G163" s="122"/>
      <c r="H163" s="122"/>
      <c r="I163" s="122"/>
      <c r="J163" s="122"/>
      <c r="K163" s="122"/>
      <c r="L163" s="122"/>
      <c r="M163" s="122"/>
      <c r="N163" s="122"/>
      <c r="O163" s="122"/>
      <c r="P163" s="122"/>
      <c r="Q163" s="122"/>
      <c r="R163" s="122"/>
      <c r="S163" s="122"/>
      <c r="T163" s="122"/>
      <c r="U163" s="122"/>
      <c r="V163" s="122"/>
      <c r="W163" s="122"/>
      <c r="X163" s="122"/>
      <c r="Y163" s="122"/>
      <c r="Z163" s="122"/>
      <c r="AA163" s="122"/>
      <c r="AB163" s="122"/>
      <c r="AC163" s="122"/>
    </row>
    <row r="164" spans="1:29">
      <c r="A164" s="122"/>
      <c r="B164" s="122"/>
      <c r="C164" s="122"/>
      <c r="D164" s="122"/>
      <c r="E164" s="122"/>
      <c r="F164" s="122"/>
      <c r="G164" s="122"/>
      <c r="H164" s="122"/>
      <c r="I164" s="122"/>
      <c r="J164" s="122"/>
      <c r="K164" s="122"/>
      <c r="L164" s="122"/>
      <c r="M164" s="122"/>
      <c r="N164" s="122"/>
      <c r="O164" s="122"/>
      <c r="P164" s="122"/>
      <c r="Q164" s="122"/>
      <c r="R164" s="122"/>
      <c r="S164" s="122"/>
      <c r="T164" s="122"/>
      <c r="U164" s="122"/>
      <c r="V164" s="122"/>
      <c r="W164" s="122"/>
      <c r="X164" s="122"/>
      <c r="Y164" s="122"/>
      <c r="Z164" s="122"/>
      <c r="AA164" s="122"/>
      <c r="AB164" s="122"/>
      <c r="AC164" s="122"/>
    </row>
    <row r="165" spans="1:29">
      <c r="A165" s="122"/>
      <c r="B165" s="122"/>
      <c r="C165" s="122"/>
      <c r="D165" s="122"/>
      <c r="E165" s="122"/>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c r="AC165" s="122"/>
    </row>
    <row r="166" spans="1:29">
      <c r="A166" s="122"/>
      <c r="B166" s="122"/>
      <c r="C166" s="122"/>
      <c r="D166" s="122"/>
      <c r="E166" s="122"/>
      <c r="F166" s="122"/>
      <c r="G166" s="122"/>
      <c r="H166" s="122"/>
      <c r="I166" s="122"/>
      <c r="J166" s="122"/>
      <c r="K166" s="122"/>
      <c r="L166" s="122"/>
      <c r="M166" s="122"/>
      <c r="N166" s="122"/>
      <c r="O166" s="122"/>
      <c r="P166" s="122"/>
      <c r="Q166" s="122"/>
      <c r="R166" s="122"/>
      <c r="S166" s="122"/>
      <c r="T166" s="122"/>
      <c r="U166" s="122"/>
      <c r="V166" s="122"/>
      <c r="W166" s="122"/>
      <c r="X166" s="122"/>
      <c r="Y166" s="122"/>
      <c r="Z166" s="122"/>
      <c r="AA166" s="122"/>
      <c r="AB166" s="122"/>
      <c r="AC166" s="122"/>
    </row>
    <row r="167" spans="1:29">
      <c r="A167" s="122"/>
      <c r="B167" s="122"/>
      <c r="C167" s="122"/>
      <c r="D167" s="122"/>
      <c r="E167" s="122"/>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c r="AB167" s="122"/>
      <c r="AC167" s="122"/>
    </row>
    <row r="168" spans="1:29">
      <c r="A168" s="122"/>
      <c r="B168" s="122"/>
      <c r="C168" s="122"/>
      <c r="D168" s="122"/>
      <c r="E168" s="122"/>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c r="AB168" s="122"/>
      <c r="AC168" s="122"/>
    </row>
    <row r="169" spans="1:29">
      <c r="A169" s="122"/>
      <c r="B169" s="122"/>
      <c r="C169" s="122"/>
      <c r="D169" s="122"/>
      <c r="E169" s="122"/>
      <c r="F169" s="122"/>
      <c r="G169" s="122"/>
      <c r="H169" s="122"/>
      <c r="I169" s="122"/>
      <c r="J169" s="122"/>
      <c r="K169" s="122"/>
      <c r="L169" s="122"/>
      <c r="M169" s="122"/>
      <c r="N169" s="122"/>
      <c r="O169" s="122"/>
      <c r="P169" s="122"/>
      <c r="Q169" s="122"/>
      <c r="R169" s="122"/>
      <c r="S169" s="122"/>
      <c r="T169" s="122"/>
      <c r="U169" s="122"/>
      <c r="V169" s="122"/>
      <c r="W169" s="122"/>
      <c r="X169" s="122"/>
      <c r="Y169" s="122"/>
      <c r="Z169" s="122"/>
      <c r="AA169" s="122"/>
      <c r="AB169" s="122"/>
      <c r="AC169" s="122"/>
    </row>
    <row r="170" spans="1:29">
      <c r="A170" s="122"/>
      <c r="B170" s="122"/>
      <c r="C170" s="122"/>
      <c r="D170" s="122"/>
      <c r="E170" s="122"/>
      <c r="F170" s="122"/>
      <c r="G170" s="122"/>
      <c r="H170" s="122"/>
      <c r="I170" s="122"/>
      <c r="J170" s="122"/>
      <c r="K170" s="122"/>
      <c r="L170" s="122"/>
      <c r="M170" s="122"/>
      <c r="N170" s="122"/>
      <c r="O170" s="122"/>
      <c r="P170" s="122"/>
      <c r="Q170" s="122"/>
      <c r="R170" s="122"/>
      <c r="S170" s="122"/>
      <c r="T170" s="122"/>
      <c r="U170" s="122"/>
      <c r="V170" s="122"/>
      <c r="W170" s="122"/>
      <c r="X170" s="122"/>
      <c r="Y170" s="122"/>
      <c r="Z170" s="122"/>
      <c r="AA170" s="122"/>
      <c r="AB170" s="122"/>
      <c r="AC170" s="122"/>
    </row>
    <row r="171" spans="1:29">
      <c r="A171" s="122"/>
      <c r="B171" s="122"/>
      <c r="C171" s="122"/>
      <c r="D171" s="122"/>
      <c r="E171" s="122"/>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c r="AC171" s="122"/>
    </row>
    <row r="172" spans="1:29">
      <c r="A172" s="122"/>
      <c r="B172" s="122"/>
      <c r="C172" s="122"/>
      <c r="D172" s="122"/>
      <c r="E172" s="122"/>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c r="AB172" s="122"/>
      <c r="AC172" s="122"/>
    </row>
    <row r="173" spans="1:29">
      <c r="A173" s="122"/>
      <c r="B173" s="122"/>
      <c r="C173" s="122"/>
      <c r="D173" s="122"/>
      <c r="E173" s="122"/>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row>
    <row r="174" spans="1:29">
      <c r="A174" s="122"/>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row>
    <row r="175" spans="1:29">
      <c r="A175" s="122"/>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row>
    <row r="176" spans="1:29">
      <c r="A176" s="122"/>
      <c r="B176" s="122"/>
      <c r="C176" s="122"/>
      <c r="D176" s="122"/>
      <c r="E176" s="122"/>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c r="AB176" s="122"/>
      <c r="AC176" s="122"/>
    </row>
    <row r="177" spans="1:29">
      <c r="A177" s="122"/>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row>
    <row r="178" spans="1:29">
      <c r="A178" s="122"/>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row>
    <row r="179" spans="1:29">
      <c r="A179" s="122"/>
      <c r="B179" s="122"/>
      <c r="C179" s="122"/>
      <c r="D179" s="122"/>
      <c r="E179" s="122"/>
      <c r="F179" s="122"/>
      <c r="G179" s="122"/>
      <c r="H179" s="122"/>
      <c r="I179" s="122"/>
      <c r="J179" s="122"/>
      <c r="K179" s="122"/>
      <c r="L179" s="122"/>
      <c r="M179" s="122"/>
      <c r="N179" s="122"/>
      <c r="O179" s="122"/>
      <c r="P179" s="122"/>
      <c r="Q179" s="122"/>
      <c r="R179" s="122"/>
      <c r="S179" s="122"/>
      <c r="T179" s="122"/>
      <c r="U179" s="122"/>
      <c r="V179" s="122"/>
      <c r="W179" s="122"/>
      <c r="X179" s="122"/>
      <c r="Y179" s="122"/>
      <c r="Z179" s="122"/>
      <c r="AA179" s="122"/>
      <c r="AB179" s="122"/>
      <c r="AC179" s="122"/>
    </row>
    <row r="180" spans="1:29">
      <c r="A180" s="122"/>
      <c r="B180" s="122"/>
      <c r="C180" s="122"/>
      <c r="D180" s="122"/>
      <c r="E180" s="122"/>
      <c r="F180" s="122"/>
      <c r="G180" s="122"/>
      <c r="H180" s="122"/>
      <c r="I180" s="122"/>
      <c r="J180" s="122"/>
      <c r="K180" s="122"/>
      <c r="L180" s="122"/>
      <c r="M180" s="122"/>
      <c r="N180" s="122"/>
      <c r="O180" s="122"/>
      <c r="P180" s="122"/>
      <c r="Q180" s="122"/>
      <c r="R180" s="122"/>
      <c r="S180" s="122"/>
      <c r="T180" s="122"/>
      <c r="U180" s="122"/>
      <c r="V180" s="122"/>
      <c r="W180" s="122"/>
      <c r="X180" s="122"/>
      <c r="Y180" s="122"/>
      <c r="Z180" s="122"/>
      <c r="AA180" s="122"/>
      <c r="AB180" s="122"/>
      <c r="AC180" s="122"/>
    </row>
    <row r="181" spans="1:29">
      <c r="A181" s="122"/>
      <c r="B181" s="122"/>
      <c r="C181" s="122"/>
      <c r="D181" s="122"/>
      <c r="E181" s="122"/>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c r="AB181" s="122"/>
      <c r="AC181" s="122"/>
    </row>
    <row r="182" spans="1:29">
      <c r="A182" s="122"/>
      <c r="B182" s="122"/>
      <c r="C182" s="122"/>
      <c r="D182" s="122"/>
      <c r="E182" s="122"/>
      <c r="F182" s="122"/>
      <c r="G182" s="122"/>
      <c r="H182" s="122"/>
      <c r="I182" s="122"/>
      <c r="J182" s="122"/>
      <c r="K182" s="122"/>
      <c r="L182" s="122"/>
      <c r="M182" s="122"/>
      <c r="N182" s="122"/>
      <c r="O182" s="122"/>
      <c r="P182" s="122"/>
      <c r="Q182" s="122"/>
      <c r="R182" s="122"/>
      <c r="S182" s="122"/>
      <c r="T182" s="122"/>
      <c r="U182" s="122"/>
      <c r="V182" s="122"/>
      <c r="W182" s="122"/>
      <c r="X182" s="122"/>
      <c r="Y182" s="122"/>
      <c r="Z182" s="122"/>
      <c r="AA182" s="122"/>
      <c r="AB182" s="122"/>
      <c r="AC182" s="122"/>
    </row>
    <row r="183" spans="1:29">
      <c r="A183" s="122"/>
      <c r="B183" s="122"/>
      <c r="C183" s="122"/>
      <c r="D183" s="122"/>
      <c r="E183" s="122"/>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c r="AB183" s="122"/>
      <c r="AC183" s="122"/>
    </row>
    <row r="184" spans="1:29">
      <c r="A184" s="122"/>
      <c r="B184" s="122"/>
      <c r="C184" s="122"/>
      <c r="D184" s="122"/>
      <c r="E184" s="122"/>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c r="AB184" s="122"/>
      <c r="AC184" s="122"/>
    </row>
    <row r="185" spans="1:29">
      <c r="A185" s="122"/>
      <c r="B185" s="122"/>
      <c r="C185" s="122"/>
      <c r="D185" s="122"/>
      <c r="E185" s="122"/>
      <c r="F185" s="122"/>
      <c r="G185" s="122"/>
      <c r="H185" s="122"/>
      <c r="I185" s="122"/>
      <c r="J185" s="122"/>
      <c r="K185" s="122"/>
      <c r="L185" s="122"/>
      <c r="M185" s="122"/>
      <c r="N185" s="122"/>
      <c r="O185" s="122"/>
      <c r="P185" s="122"/>
      <c r="Q185" s="122"/>
      <c r="R185" s="122"/>
      <c r="S185" s="122"/>
      <c r="T185" s="122"/>
      <c r="U185" s="122"/>
      <c r="V185" s="122"/>
      <c r="W185" s="122"/>
      <c r="X185" s="122"/>
      <c r="Y185" s="122"/>
      <c r="Z185" s="122"/>
      <c r="AA185" s="122"/>
      <c r="AB185" s="122"/>
      <c r="AC185" s="122"/>
    </row>
    <row r="186" spans="1:29">
      <c r="A186" s="122"/>
      <c r="B186" s="122"/>
      <c r="C186" s="122"/>
      <c r="D186" s="122"/>
      <c r="E186" s="122"/>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c r="AB186" s="122"/>
      <c r="AC186" s="122"/>
    </row>
    <row r="187" spans="1:29">
      <c r="A187" s="122"/>
      <c r="B187" s="122"/>
      <c r="C187" s="122"/>
      <c r="D187" s="122"/>
      <c r="E187" s="122"/>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c r="AB187" s="122"/>
      <c r="AC187" s="122"/>
    </row>
    <row r="188" spans="1:29">
      <c r="A188" s="122"/>
      <c r="B188" s="122"/>
      <c r="C188" s="122"/>
      <c r="D188" s="122"/>
      <c r="E188" s="122"/>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c r="AB188" s="122"/>
      <c r="AC188" s="122"/>
    </row>
    <row r="189" spans="1:29">
      <c r="A189" s="122"/>
      <c r="B189" s="122"/>
      <c r="C189" s="122"/>
      <c r="D189" s="122"/>
      <c r="E189" s="122"/>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c r="AB189" s="122"/>
      <c r="AC189" s="122"/>
    </row>
    <row r="190" spans="1:29">
      <c r="A190" s="122"/>
      <c r="B190" s="122"/>
      <c r="C190" s="122"/>
      <c r="D190" s="122"/>
      <c r="E190" s="122"/>
      <c r="F190" s="122"/>
      <c r="G190" s="122"/>
      <c r="H190" s="122"/>
      <c r="I190" s="122"/>
      <c r="J190" s="122"/>
      <c r="K190" s="122"/>
      <c r="L190" s="122"/>
      <c r="M190" s="122"/>
      <c r="N190" s="122"/>
      <c r="O190" s="122"/>
      <c r="P190" s="122"/>
      <c r="Q190" s="122"/>
      <c r="R190" s="122"/>
      <c r="S190" s="122"/>
      <c r="T190" s="122"/>
      <c r="U190" s="122"/>
      <c r="V190" s="122"/>
      <c r="W190" s="122"/>
      <c r="X190" s="122"/>
      <c r="Y190" s="122"/>
      <c r="Z190" s="122"/>
      <c r="AA190" s="122"/>
      <c r="AB190" s="122"/>
      <c r="AC190" s="122"/>
    </row>
    <row r="191" spans="1:29">
      <c r="A191" s="122"/>
      <c r="B191" s="122"/>
      <c r="C191" s="122"/>
      <c r="D191" s="122"/>
      <c r="E191" s="122"/>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c r="AB191" s="122"/>
      <c r="AC191" s="122"/>
    </row>
    <row r="192" spans="1:29">
      <c r="A192" s="122"/>
      <c r="B192" s="122"/>
      <c r="C192" s="122"/>
      <c r="D192" s="122"/>
      <c r="E192" s="122"/>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c r="AC192" s="122"/>
    </row>
    <row r="193" spans="1:29">
      <c r="A193" s="122"/>
      <c r="B193" s="122"/>
      <c r="C193" s="122"/>
      <c r="D193" s="122"/>
      <c r="E193" s="122"/>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c r="AB193" s="122"/>
      <c r="AC193" s="122"/>
    </row>
    <row r="194" spans="1:29">
      <c r="A194" s="122"/>
      <c r="B194" s="122"/>
      <c r="C194" s="122"/>
      <c r="D194" s="122"/>
      <c r="E194" s="122"/>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c r="AB194" s="122"/>
      <c r="AC194" s="122"/>
    </row>
    <row r="195" spans="1:29">
      <c r="A195" s="122"/>
      <c r="B195" s="122"/>
      <c r="C195" s="122"/>
      <c r="D195" s="122"/>
      <c r="E195" s="122"/>
      <c r="F195" s="122"/>
      <c r="G195" s="122"/>
      <c r="H195" s="122"/>
      <c r="I195" s="122"/>
      <c r="J195" s="122"/>
      <c r="K195" s="122"/>
      <c r="L195" s="122"/>
      <c r="M195" s="122"/>
      <c r="N195" s="122"/>
      <c r="O195" s="122"/>
      <c r="P195" s="122"/>
      <c r="Q195" s="122"/>
      <c r="R195" s="122"/>
      <c r="S195" s="122"/>
      <c r="T195" s="122"/>
      <c r="U195" s="122"/>
      <c r="V195" s="122"/>
      <c r="W195" s="122"/>
      <c r="X195" s="122"/>
      <c r="Y195" s="122"/>
      <c r="Z195" s="122"/>
      <c r="AA195" s="122"/>
      <c r="AB195" s="122"/>
      <c r="AC195" s="122"/>
    </row>
    <row r="196" spans="1:29">
      <c r="A196" s="122"/>
      <c r="B196" s="122"/>
      <c r="C196" s="122"/>
      <c r="D196" s="122"/>
      <c r="E196" s="122"/>
      <c r="F196" s="122"/>
      <c r="G196" s="122"/>
      <c r="H196" s="122"/>
      <c r="I196" s="122"/>
      <c r="J196" s="122"/>
      <c r="K196" s="122"/>
      <c r="L196" s="122"/>
      <c r="M196" s="122"/>
      <c r="N196" s="122"/>
      <c r="O196" s="122"/>
      <c r="P196" s="122"/>
      <c r="Q196" s="122"/>
      <c r="R196" s="122"/>
      <c r="S196" s="122"/>
      <c r="T196" s="122"/>
      <c r="U196" s="122"/>
      <c r="V196" s="122"/>
      <c r="W196" s="122"/>
      <c r="X196" s="122"/>
      <c r="Y196" s="122"/>
      <c r="Z196" s="122"/>
      <c r="AA196" s="122"/>
      <c r="AB196" s="122"/>
      <c r="AC196" s="122"/>
    </row>
    <row r="197" spans="1:29">
      <c r="A197" s="122"/>
      <c r="B197" s="122"/>
      <c r="C197" s="122"/>
      <c r="D197" s="122"/>
      <c r="E197" s="122"/>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c r="AB197" s="122"/>
      <c r="AC197" s="122"/>
    </row>
    <row r="198" spans="1:29">
      <c r="A198" s="122"/>
      <c r="B198" s="122"/>
      <c r="C198" s="122"/>
      <c r="D198" s="122"/>
      <c r="E198" s="122"/>
      <c r="F198" s="122"/>
      <c r="G198" s="122"/>
      <c r="H198" s="122"/>
      <c r="I198" s="122"/>
      <c r="J198" s="122"/>
      <c r="K198" s="122"/>
      <c r="L198" s="122"/>
      <c r="M198" s="122"/>
      <c r="N198" s="122"/>
      <c r="O198" s="122"/>
      <c r="P198" s="122"/>
      <c r="Q198" s="122"/>
      <c r="R198" s="122"/>
      <c r="S198" s="122"/>
      <c r="T198" s="122"/>
      <c r="U198" s="122"/>
      <c r="V198" s="122"/>
      <c r="W198" s="122"/>
      <c r="X198" s="122"/>
      <c r="Y198" s="122"/>
      <c r="Z198" s="122"/>
      <c r="AA198" s="122"/>
      <c r="AB198" s="122"/>
      <c r="AC198" s="122"/>
    </row>
    <row r="199" spans="1:29">
      <c r="A199" s="122"/>
      <c r="B199" s="122"/>
      <c r="C199" s="122"/>
      <c r="D199" s="122"/>
      <c r="E199" s="122"/>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c r="AB199" s="122"/>
      <c r="AC199" s="122"/>
    </row>
    <row r="200" spans="1:29">
      <c r="A200" s="122"/>
      <c r="B200" s="122"/>
      <c r="C200" s="122"/>
      <c r="D200" s="122"/>
      <c r="E200" s="122"/>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c r="AB200" s="122"/>
      <c r="AC200" s="122"/>
    </row>
    <row r="201" spans="1:29">
      <c r="A201" s="122"/>
      <c r="B201" s="122"/>
      <c r="C201" s="122"/>
      <c r="D201" s="122"/>
      <c r="E201" s="122"/>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c r="AC201" s="122"/>
    </row>
    <row r="202" spans="1:29">
      <c r="A202" s="122"/>
      <c r="B202" s="122"/>
      <c r="C202" s="122"/>
      <c r="D202" s="122"/>
      <c r="E202" s="122"/>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c r="AB202" s="122"/>
      <c r="AC202" s="122"/>
    </row>
    <row r="203" spans="1:29">
      <c r="A203" s="122"/>
      <c r="B203" s="122"/>
      <c r="C203" s="122"/>
      <c r="D203" s="122"/>
      <c r="E203" s="122"/>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c r="AB203" s="122"/>
      <c r="AC203" s="122"/>
    </row>
    <row r="204" spans="1:29">
      <c r="A204" s="122"/>
      <c r="B204" s="122"/>
      <c r="C204" s="122"/>
      <c r="D204" s="122"/>
      <c r="E204" s="122"/>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c r="AC204" s="122"/>
    </row>
    <row r="205" spans="1:29">
      <c r="A205" s="122"/>
      <c r="B205" s="122"/>
      <c r="C205" s="122"/>
      <c r="D205" s="122"/>
      <c r="E205" s="122"/>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c r="AB205" s="122"/>
      <c r="AC205" s="122"/>
    </row>
    <row r="206" spans="1:29">
      <c r="A206" s="122"/>
      <c r="B206" s="122"/>
      <c r="C206" s="122"/>
      <c r="D206" s="122"/>
      <c r="E206" s="122"/>
      <c r="F206" s="122"/>
      <c r="G206" s="122"/>
      <c r="H206" s="122"/>
      <c r="I206" s="122"/>
      <c r="J206" s="122"/>
      <c r="K206" s="122"/>
      <c r="L206" s="122"/>
      <c r="M206" s="122"/>
      <c r="N206" s="122"/>
      <c r="O206" s="122"/>
      <c r="P206" s="122"/>
      <c r="Q206" s="122"/>
      <c r="R206" s="122"/>
      <c r="S206" s="122"/>
      <c r="T206" s="122"/>
      <c r="U206" s="122"/>
      <c r="V206" s="122"/>
      <c r="W206" s="122"/>
      <c r="X206" s="122"/>
      <c r="Y206" s="122"/>
      <c r="Z206" s="122"/>
      <c r="AA206" s="122"/>
      <c r="AB206" s="122"/>
      <c r="AC206" s="122"/>
    </row>
    <row r="207" spans="1:29">
      <c r="A207" s="122"/>
      <c r="B207" s="122"/>
      <c r="C207" s="122"/>
      <c r="D207" s="122"/>
      <c r="E207" s="122"/>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row>
    <row r="208" spans="1:29">
      <c r="A208" s="122"/>
      <c r="B208" s="122"/>
      <c r="C208" s="122"/>
      <c r="D208" s="122"/>
      <c r="E208" s="122"/>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c r="AB208" s="122"/>
      <c r="AC208" s="122"/>
    </row>
    <row r="209" spans="1:29">
      <c r="A209" s="122"/>
      <c r="B209" s="122"/>
      <c r="C209" s="122"/>
      <c r="D209" s="122"/>
      <c r="E209" s="122"/>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c r="AB209" s="122"/>
      <c r="AC209" s="122"/>
    </row>
    <row r="210" spans="1:29">
      <c r="A210" s="122"/>
      <c r="B210" s="122"/>
      <c r="C210" s="122"/>
      <c r="D210" s="122"/>
      <c r="E210" s="122"/>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c r="AB210" s="122"/>
      <c r="AC210" s="122"/>
    </row>
    <row r="211" spans="1:29">
      <c r="A211" s="122"/>
      <c r="B211" s="122"/>
      <c r="C211" s="122"/>
      <c r="D211" s="122"/>
      <c r="E211" s="122"/>
      <c r="F211" s="122"/>
      <c r="G211" s="122"/>
      <c r="H211" s="122"/>
      <c r="I211" s="122"/>
      <c r="J211" s="122"/>
      <c r="K211" s="122"/>
      <c r="L211" s="122"/>
      <c r="M211" s="122"/>
      <c r="N211" s="122"/>
      <c r="O211" s="122"/>
      <c r="P211" s="122"/>
      <c r="Q211" s="122"/>
      <c r="R211" s="122"/>
      <c r="S211" s="122"/>
      <c r="T211" s="122"/>
      <c r="U211" s="122"/>
      <c r="V211" s="122"/>
      <c r="W211" s="122"/>
      <c r="X211" s="122"/>
      <c r="Y211" s="122"/>
      <c r="Z211" s="122"/>
      <c r="AA211" s="122"/>
      <c r="AB211" s="122"/>
      <c r="AC211" s="122"/>
    </row>
    <row r="212" spans="1:29">
      <c r="A212" s="122"/>
      <c r="B212" s="122"/>
      <c r="C212" s="122"/>
      <c r="D212" s="122"/>
      <c r="E212" s="122"/>
      <c r="F212" s="122"/>
      <c r="G212" s="122"/>
      <c r="H212" s="122"/>
      <c r="I212" s="122"/>
      <c r="J212" s="122"/>
      <c r="K212" s="122"/>
      <c r="L212" s="122"/>
      <c r="M212" s="122"/>
      <c r="N212" s="122"/>
      <c r="O212" s="122"/>
      <c r="P212" s="122"/>
      <c r="Q212" s="122"/>
      <c r="R212" s="122"/>
      <c r="S212" s="122"/>
      <c r="T212" s="122"/>
      <c r="U212" s="122"/>
      <c r="V212" s="122"/>
      <c r="W212" s="122"/>
      <c r="X212" s="122"/>
      <c r="Y212" s="122"/>
      <c r="Z212" s="122"/>
      <c r="AA212" s="122"/>
      <c r="AB212" s="122"/>
      <c r="AC212" s="122"/>
    </row>
    <row r="213" spans="1:29">
      <c r="A213" s="122"/>
      <c r="B213" s="122"/>
      <c r="C213" s="122"/>
      <c r="D213" s="122"/>
      <c r="E213" s="122"/>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c r="AC213" s="122"/>
    </row>
    <row r="214" spans="1:29">
      <c r="A214" s="122"/>
      <c r="B214" s="122"/>
      <c r="C214" s="122"/>
      <c r="D214" s="122"/>
      <c r="E214" s="122"/>
      <c r="F214" s="122"/>
      <c r="G214" s="122"/>
      <c r="H214" s="122"/>
      <c r="I214" s="122"/>
      <c r="J214" s="122"/>
      <c r="K214" s="122"/>
      <c r="L214" s="122"/>
      <c r="M214" s="122"/>
      <c r="N214" s="122"/>
      <c r="O214" s="122"/>
      <c r="P214" s="122"/>
      <c r="Q214" s="122"/>
      <c r="R214" s="122"/>
      <c r="S214" s="122"/>
      <c r="T214" s="122"/>
      <c r="U214" s="122"/>
      <c r="V214" s="122"/>
      <c r="W214" s="122"/>
      <c r="X214" s="122"/>
      <c r="Y214" s="122"/>
      <c r="Z214" s="122"/>
      <c r="AA214" s="122"/>
      <c r="AB214" s="122"/>
      <c r="AC214" s="122"/>
    </row>
    <row r="215" spans="1:29">
      <c r="A215" s="122"/>
      <c r="B215" s="122"/>
      <c r="C215" s="122"/>
      <c r="D215" s="122"/>
      <c r="E215" s="122"/>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c r="AC215" s="122"/>
    </row>
    <row r="216" spans="1:29">
      <c r="A216" s="122"/>
      <c r="B216" s="122"/>
      <c r="C216" s="122"/>
      <c r="D216" s="122"/>
      <c r="E216" s="122"/>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c r="AC216" s="122"/>
    </row>
    <row r="217" spans="1:29">
      <c r="A217" s="122"/>
      <c r="B217" s="122"/>
      <c r="C217" s="122"/>
      <c r="D217" s="122"/>
      <c r="E217" s="122"/>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c r="AB217" s="122"/>
      <c r="AC217" s="122"/>
    </row>
    <row r="218" spans="1:29">
      <c r="A218" s="122"/>
      <c r="B218" s="122"/>
      <c r="C218" s="122"/>
      <c r="D218" s="122"/>
      <c r="E218" s="122"/>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c r="AC218" s="122"/>
    </row>
    <row r="219" spans="1:29">
      <c r="A219" s="122"/>
      <c r="B219" s="122"/>
      <c r="C219" s="122"/>
      <c r="D219" s="122"/>
      <c r="E219" s="122"/>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c r="AC219" s="122"/>
    </row>
    <row r="220" spans="1:29">
      <c r="A220" s="122"/>
      <c r="B220" s="122"/>
      <c r="C220" s="122"/>
      <c r="D220" s="122"/>
      <c r="E220" s="122"/>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c r="AC220" s="122"/>
    </row>
    <row r="221" spans="1:29">
      <c r="A221" s="122"/>
      <c r="B221" s="122"/>
      <c r="C221" s="122"/>
      <c r="D221" s="122"/>
      <c r="E221" s="122"/>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c r="AC221" s="122"/>
    </row>
    <row r="222" spans="1:29">
      <c r="A222" s="122"/>
      <c r="B222" s="122"/>
      <c r="C222" s="122"/>
      <c r="D222" s="122"/>
      <c r="E222" s="122"/>
      <c r="F222" s="122"/>
      <c r="G222" s="122"/>
      <c r="H222" s="122"/>
      <c r="I222" s="122"/>
      <c r="J222" s="122"/>
      <c r="K222" s="122"/>
      <c r="L222" s="122"/>
      <c r="M222" s="122"/>
      <c r="N222" s="122"/>
      <c r="O222" s="122"/>
      <c r="P222" s="122"/>
      <c r="Q222" s="122"/>
      <c r="R222" s="122"/>
      <c r="S222" s="122"/>
      <c r="T222" s="122"/>
      <c r="U222" s="122"/>
      <c r="V222" s="122"/>
      <c r="W222" s="122"/>
      <c r="X222" s="122"/>
      <c r="Y222" s="122"/>
      <c r="Z222" s="122"/>
      <c r="AA222" s="122"/>
      <c r="AB222" s="122"/>
      <c r="AC222" s="122"/>
    </row>
    <row r="223" spans="1:29">
      <c r="A223" s="122"/>
      <c r="B223" s="122"/>
      <c r="C223" s="122"/>
      <c r="D223" s="122"/>
      <c r="E223" s="122"/>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c r="AC223" s="122"/>
    </row>
    <row r="224" spans="1:29">
      <c r="A224" s="122"/>
      <c r="B224" s="122"/>
      <c r="C224" s="122"/>
      <c r="D224" s="122"/>
      <c r="E224" s="122"/>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row>
    <row r="225" spans="1:29">
      <c r="A225" s="122"/>
      <c r="B225" s="122"/>
      <c r="C225" s="122"/>
      <c r="D225" s="122"/>
      <c r="E225" s="122"/>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c r="AC225" s="122"/>
    </row>
    <row r="226" spans="1:29">
      <c r="A226" s="122"/>
      <c r="B226" s="122"/>
      <c r="C226" s="122"/>
      <c r="D226" s="122"/>
      <c r="E226" s="122"/>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c r="AC226" s="122"/>
    </row>
    <row r="227" spans="1:29">
      <c r="A227" s="122"/>
      <c r="B227" s="122"/>
      <c r="C227" s="122"/>
      <c r="D227" s="122"/>
      <c r="E227" s="122"/>
      <c r="F227" s="122"/>
      <c r="G227" s="122"/>
      <c r="H227" s="122"/>
      <c r="I227" s="122"/>
      <c r="J227" s="122"/>
      <c r="K227" s="122"/>
      <c r="L227" s="122"/>
      <c r="M227" s="122"/>
      <c r="N227" s="122"/>
      <c r="O227" s="122"/>
      <c r="P227" s="122"/>
      <c r="Q227" s="122"/>
      <c r="R227" s="122"/>
      <c r="S227" s="122"/>
      <c r="T227" s="122"/>
      <c r="U227" s="122"/>
      <c r="V227" s="122"/>
      <c r="W227" s="122"/>
      <c r="X227" s="122"/>
      <c r="Y227" s="122"/>
      <c r="Z227" s="122"/>
      <c r="AA227" s="122"/>
      <c r="AB227" s="122"/>
      <c r="AC227" s="122"/>
    </row>
    <row r="228" spans="1:29">
      <c r="A228" s="122"/>
      <c r="B228" s="122"/>
      <c r="C228" s="122"/>
      <c r="D228" s="122"/>
      <c r="E228" s="122"/>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c r="AB228" s="122"/>
      <c r="AC228" s="122"/>
    </row>
    <row r="229" spans="1:29">
      <c r="A229" s="122"/>
      <c r="B229" s="122"/>
      <c r="C229" s="122"/>
      <c r="D229" s="122"/>
      <c r="E229" s="122"/>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c r="AC229" s="122"/>
    </row>
    <row r="230" spans="1:29">
      <c r="A230" s="122"/>
      <c r="B230" s="122"/>
      <c r="C230" s="122"/>
      <c r="D230" s="122"/>
      <c r="E230" s="122"/>
      <c r="F230" s="122"/>
      <c r="G230" s="122"/>
      <c r="H230" s="122"/>
      <c r="I230" s="122"/>
      <c r="J230" s="122"/>
      <c r="K230" s="122"/>
      <c r="L230" s="122"/>
      <c r="M230" s="122"/>
      <c r="N230" s="122"/>
      <c r="O230" s="122"/>
      <c r="P230" s="122"/>
      <c r="Q230" s="122"/>
      <c r="R230" s="122"/>
      <c r="S230" s="122"/>
      <c r="T230" s="122"/>
      <c r="U230" s="122"/>
      <c r="V230" s="122"/>
      <c r="W230" s="122"/>
      <c r="X230" s="122"/>
      <c r="Y230" s="122"/>
      <c r="Z230" s="122"/>
      <c r="AA230" s="122"/>
      <c r="AB230" s="122"/>
      <c r="AC230" s="122"/>
    </row>
    <row r="231" spans="1:29">
      <c r="A231" s="122"/>
      <c r="B231" s="122"/>
      <c r="C231" s="122"/>
      <c r="D231" s="122"/>
      <c r="E231" s="122"/>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c r="AC231" s="122"/>
    </row>
    <row r="232" spans="1:29">
      <c r="A232" s="122"/>
      <c r="B232" s="122"/>
      <c r="C232" s="122"/>
      <c r="D232" s="122"/>
      <c r="E232" s="122"/>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c r="AC232" s="122"/>
    </row>
    <row r="233" spans="1:29">
      <c r="A233" s="122"/>
      <c r="B233" s="122"/>
      <c r="C233" s="122"/>
      <c r="D233" s="122"/>
      <c r="E233" s="122"/>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c r="AC233" s="122"/>
    </row>
    <row r="234" spans="1:29">
      <c r="A234" s="122"/>
      <c r="B234" s="122"/>
      <c r="C234" s="122"/>
      <c r="D234" s="122"/>
      <c r="E234" s="122"/>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c r="AC234" s="122"/>
    </row>
    <row r="235" spans="1:29">
      <c r="A235" s="122"/>
      <c r="B235" s="122"/>
      <c r="C235" s="122"/>
      <c r="D235" s="122"/>
      <c r="E235" s="122"/>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c r="AC235" s="122"/>
    </row>
    <row r="236" spans="1:29">
      <c r="A236" s="122"/>
      <c r="B236" s="122"/>
      <c r="C236" s="122"/>
      <c r="D236" s="122"/>
      <c r="E236" s="122"/>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c r="AC236" s="122"/>
    </row>
    <row r="237" spans="1:29">
      <c r="A237" s="122"/>
      <c r="B237" s="122"/>
      <c r="C237" s="122"/>
      <c r="D237" s="122"/>
      <c r="E237" s="122"/>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c r="AC237" s="122"/>
    </row>
    <row r="238" spans="1:29">
      <c r="A238" s="122"/>
      <c r="B238" s="122"/>
      <c r="C238" s="122"/>
      <c r="D238" s="122"/>
      <c r="E238" s="122"/>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c r="AC238" s="122"/>
    </row>
    <row r="239" spans="1:29">
      <c r="A239" s="122"/>
      <c r="B239" s="122"/>
      <c r="C239" s="122"/>
      <c r="D239" s="122"/>
      <c r="E239" s="122"/>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c r="AC239" s="122"/>
    </row>
    <row r="240" spans="1:29">
      <c r="A240" s="122"/>
      <c r="B240" s="122"/>
      <c r="C240" s="122"/>
      <c r="D240" s="122"/>
      <c r="E240" s="122"/>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row>
    <row r="241" spans="1:29">
      <c r="A241" s="122"/>
      <c r="B241" s="122"/>
      <c r="C241" s="122"/>
      <c r="D241" s="122"/>
      <c r="E241" s="122"/>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row>
    <row r="242" spans="1:29">
      <c r="A242" s="122"/>
      <c r="B242" s="122"/>
      <c r="C242" s="122"/>
      <c r="D242" s="122"/>
      <c r="E242" s="122"/>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row>
    <row r="243" spans="1:29">
      <c r="A243" s="122"/>
      <c r="B243" s="122"/>
      <c r="C243" s="122"/>
      <c r="D243" s="122"/>
      <c r="E243" s="122"/>
      <c r="F243" s="122"/>
      <c r="G243" s="122"/>
      <c r="H243" s="122"/>
      <c r="I243" s="122"/>
      <c r="J243" s="122"/>
      <c r="K243" s="122"/>
      <c r="L243" s="122"/>
      <c r="M243" s="122"/>
      <c r="N243" s="122"/>
      <c r="O243" s="122"/>
      <c r="P243" s="122"/>
      <c r="Q243" s="122"/>
      <c r="R243" s="122"/>
      <c r="S243" s="122"/>
      <c r="T243" s="122"/>
      <c r="U243" s="122"/>
      <c r="V243" s="122"/>
      <c r="W243" s="122"/>
      <c r="X243" s="122"/>
      <c r="Y243" s="122"/>
      <c r="Z243" s="122"/>
      <c r="AA243" s="122"/>
      <c r="AB243" s="122"/>
      <c r="AC243" s="122"/>
    </row>
    <row r="244" spans="1:29">
      <c r="A244" s="122"/>
      <c r="B244" s="122"/>
      <c r="C244" s="122"/>
      <c r="D244" s="122"/>
      <c r="E244" s="122"/>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row>
    <row r="245" spans="1:29">
      <c r="A245" s="122"/>
      <c r="B245" s="122"/>
      <c r="C245" s="122"/>
      <c r="D245" s="122"/>
      <c r="E245" s="122"/>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row>
    <row r="246" spans="1:29">
      <c r="A246" s="122"/>
      <c r="B246" s="122"/>
      <c r="C246" s="122"/>
      <c r="D246" s="122"/>
      <c r="E246" s="122"/>
      <c r="F246" s="122"/>
      <c r="G246" s="122"/>
      <c r="H246" s="122"/>
      <c r="I246" s="122"/>
      <c r="J246" s="122"/>
      <c r="K246" s="122"/>
      <c r="L246" s="122"/>
      <c r="M246" s="122"/>
      <c r="N246" s="122"/>
      <c r="O246" s="122"/>
      <c r="P246" s="122"/>
      <c r="Q246" s="122"/>
      <c r="R246" s="122"/>
      <c r="S246" s="122"/>
      <c r="T246" s="122"/>
      <c r="U246" s="122"/>
      <c r="V246" s="122"/>
      <c r="W246" s="122"/>
      <c r="X246" s="122"/>
      <c r="Y246" s="122"/>
      <c r="Z246" s="122"/>
      <c r="AA246" s="122"/>
      <c r="AB246" s="122"/>
      <c r="AC246" s="122"/>
    </row>
    <row r="247" spans="1:29">
      <c r="A247" s="122"/>
      <c r="B247" s="122"/>
      <c r="C247" s="122"/>
      <c r="D247" s="122"/>
      <c r="E247" s="122"/>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row>
    <row r="248" spans="1:29">
      <c r="A248" s="122"/>
      <c r="B248" s="122"/>
      <c r="C248" s="122"/>
      <c r="D248" s="122"/>
      <c r="E248" s="122"/>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row>
    <row r="249" spans="1:29">
      <c r="A249" s="122"/>
      <c r="B249" s="122"/>
      <c r="C249" s="122"/>
      <c r="D249" s="122"/>
      <c r="E249" s="122"/>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row>
    <row r="250" spans="1:29">
      <c r="A250" s="122"/>
      <c r="B250" s="122"/>
      <c r="C250" s="122"/>
      <c r="D250" s="122"/>
      <c r="E250" s="122"/>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row>
    <row r="251" spans="1:29">
      <c r="A251" s="122"/>
      <c r="B251" s="122"/>
      <c r="C251" s="122"/>
      <c r="D251" s="122"/>
      <c r="E251" s="122"/>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row>
    <row r="252" spans="1:29">
      <c r="A252" s="122"/>
      <c r="B252" s="122"/>
      <c r="C252" s="122"/>
      <c r="D252" s="122"/>
      <c r="E252" s="122"/>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row>
    <row r="253" spans="1:29">
      <c r="A253" s="122"/>
      <c r="B253" s="122"/>
      <c r="C253" s="122"/>
      <c r="D253" s="122"/>
      <c r="E253" s="122"/>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row>
    <row r="254" spans="1:29">
      <c r="A254" s="122"/>
      <c r="B254" s="122"/>
      <c r="C254" s="122"/>
      <c r="D254" s="122"/>
      <c r="E254" s="122"/>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row>
    <row r="255" spans="1:29">
      <c r="A255" s="122"/>
      <c r="B255" s="122"/>
      <c r="C255" s="122"/>
      <c r="D255" s="122"/>
      <c r="E255" s="122"/>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row>
    <row r="256" spans="1:29">
      <c r="A256" s="122"/>
      <c r="B256" s="122"/>
      <c r="C256" s="122"/>
      <c r="D256" s="122"/>
      <c r="E256" s="122"/>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row>
    <row r="257" spans="1:29">
      <c r="A257" s="122"/>
      <c r="B257" s="122"/>
      <c r="C257" s="122"/>
      <c r="D257" s="122"/>
      <c r="E257" s="122"/>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row>
    <row r="258" spans="1:29">
      <c r="A258" s="122"/>
      <c r="B258" s="122"/>
      <c r="C258" s="122"/>
      <c r="D258" s="122"/>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row>
    <row r="259" spans="1:29">
      <c r="A259" s="122"/>
      <c r="B259" s="122"/>
      <c r="C259" s="122"/>
      <c r="D259" s="122"/>
      <c r="E259" s="122"/>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c r="AB259" s="122"/>
      <c r="AC259" s="122"/>
    </row>
    <row r="260" spans="1:29">
      <c r="A260" s="122"/>
      <c r="B260" s="122"/>
      <c r="C260" s="122"/>
      <c r="D260" s="122"/>
      <c r="E260" s="122"/>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row>
    <row r="261" spans="1:29">
      <c r="A261" s="122"/>
      <c r="B261" s="122"/>
      <c r="C261" s="122"/>
      <c r="D261" s="122"/>
      <c r="E261" s="122"/>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row>
    <row r="262" spans="1:29">
      <c r="A262" s="122"/>
      <c r="B262" s="122"/>
      <c r="C262" s="122"/>
      <c r="D262" s="122"/>
      <c r="E262" s="122"/>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c r="AB262" s="122"/>
      <c r="AC262" s="122"/>
    </row>
    <row r="263" spans="1:29">
      <c r="A263" s="122"/>
      <c r="B263" s="122"/>
      <c r="C263" s="122"/>
      <c r="D263" s="122"/>
      <c r="E263" s="122"/>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row>
    <row r="264" spans="1:29">
      <c r="A264" s="122"/>
      <c r="B264" s="122"/>
      <c r="C264" s="122"/>
      <c r="D264" s="122"/>
      <c r="E264" s="122"/>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row>
    <row r="265" spans="1:29">
      <c r="A265" s="122"/>
      <c r="B265" s="122"/>
      <c r="C265" s="122"/>
      <c r="D265" s="122"/>
      <c r="E265" s="122"/>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row>
    <row r="266" spans="1:29">
      <c r="A266" s="122"/>
      <c r="B266" s="122"/>
      <c r="C266" s="122"/>
      <c r="D266" s="122"/>
      <c r="E266" s="122"/>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row>
    <row r="267" spans="1:29">
      <c r="A267" s="122"/>
      <c r="B267" s="122"/>
      <c r="C267" s="122"/>
      <c r="D267" s="122"/>
      <c r="E267" s="122"/>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row>
    <row r="268" spans="1:29">
      <c r="A268" s="122"/>
      <c r="B268" s="122"/>
      <c r="C268" s="122"/>
      <c r="D268" s="122"/>
      <c r="E268" s="122"/>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row>
    <row r="269" spans="1:29">
      <c r="A269" s="122"/>
      <c r="B269" s="122"/>
      <c r="C269" s="122"/>
      <c r="D269" s="122"/>
      <c r="E269" s="122"/>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row>
    <row r="270" spans="1:29">
      <c r="A270" s="122"/>
      <c r="B270" s="122"/>
      <c r="C270" s="122"/>
      <c r="D270" s="122"/>
      <c r="E270" s="122"/>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row>
    <row r="271" spans="1:29">
      <c r="A271" s="122"/>
      <c r="B271" s="122"/>
      <c r="C271" s="122"/>
      <c r="D271" s="122"/>
      <c r="E271" s="122"/>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row>
    <row r="272" spans="1:29">
      <c r="A272" s="122"/>
      <c r="B272" s="122"/>
      <c r="C272" s="122"/>
      <c r="D272" s="122"/>
      <c r="E272" s="122"/>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row>
    <row r="273" spans="1:29">
      <c r="A273" s="122"/>
      <c r="B273" s="122"/>
      <c r="C273" s="122"/>
      <c r="D273" s="122"/>
      <c r="E273" s="122"/>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row>
    <row r="274" spans="1:29">
      <c r="A274" s="12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row>
    <row r="275" spans="1:29">
      <c r="A275" s="12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c r="AB275" s="122"/>
      <c r="AC275" s="122"/>
    </row>
    <row r="276" spans="1:29">
      <c r="A276" s="12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row>
    <row r="277" spans="1:29">
      <c r="A277" s="12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row>
    <row r="278" spans="1:29">
      <c r="A278" s="12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row>
    <row r="279" spans="1:29">
      <c r="A279" s="12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row>
    <row r="280" spans="1:29">
      <c r="A280" s="12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row>
    <row r="281" spans="1:29">
      <c r="A281" s="12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row>
    <row r="282" spans="1:29">
      <c r="A282" s="12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row>
    <row r="283" spans="1:29">
      <c r="A283" s="12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row>
    <row r="284" spans="1:29">
      <c r="A284" s="12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row>
    <row r="285" spans="1:29">
      <c r="A285" s="12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row>
    <row r="286" spans="1:29">
      <c r="A286" s="12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row>
    <row r="287" spans="1:29">
      <c r="A287" s="12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row>
    <row r="288" spans="1:29">
      <c r="A288" s="12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row>
    <row r="289" spans="1:29">
      <c r="A289" s="12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row>
    <row r="290" spans="1:29">
      <c r="A290" s="12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row>
    <row r="291" spans="1:29">
      <c r="A291" s="12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c r="AA291" s="122"/>
      <c r="AB291" s="122"/>
      <c r="AC291" s="122"/>
    </row>
    <row r="292" spans="1:29">
      <c r="A292" s="12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row>
    <row r="293" spans="1:29">
      <c r="A293" s="12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row>
    <row r="294" spans="1:29">
      <c r="A294" s="12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row>
    <row r="295" spans="1:29">
      <c r="A295" s="12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row>
    <row r="296" spans="1:29">
      <c r="A296" s="12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row>
    <row r="297" spans="1:29">
      <c r="A297" s="12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row>
    <row r="298" spans="1:29">
      <c r="A298" s="12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row>
    <row r="299" spans="1:29">
      <c r="A299" s="12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row>
    <row r="300" spans="1:29">
      <c r="A300" s="12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row>
    <row r="301" spans="1:29">
      <c r="A301" s="12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row>
    <row r="302" spans="1:29">
      <c r="A302" s="12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row>
    <row r="303" spans="1:29">
      <c r="A303" s="12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row>
    <row r="304" spans="1:29">
      <c r="A304" s="12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row>
    <row r="305" spans="1:29">
      <c r="A305" s="12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row>
    <row r="306" spans="1:29">
      <c r="A306" s="12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row>
    <row r="307" spans="1:29">
      <c r="A307" s="12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c r="AA307" s="122"/>
      <c r="AB307" s="122"/>
      <c r="AC307" s="122"/>
    </row>
    <row r="308" spans="1:29">
      <c r="A308" s="12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row>
    <row r="309" spans="1:29">
      <c r="A309" s="12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row>
    <row r="310" spans="1:29">
      <c r="A310" s="12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row>
    <row r="311" spans="1:29">
      <c r="A311" s="12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row>
    <row r="312" spans="1:29">
      <c r="A312" s="12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row>
    <row r="313" spans="1:29">
      <c r="A313" s="12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row>
    <row r="314" spans="1:29">
      <c r="A314" s="12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row>
    <row r="315" spans="1:29">
      <c r="A315" s="12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row>
    <row r="316" spans="1:29">
      <c r="A316" s="12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row>
    <row r="317" spans="1:29">
      <c r="A317" s="12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row>
    <row r="318" spans="1:29">
      <c r="A318" s="12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row>
    <row r="319" spans="1:29">
      <c r="A319" s="12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row>
    <row r="320" spans="1:29">
      <c r="A320" s="12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row>
    <row r="321" spans="1:29">
      <c r="A321" s="12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row>
    <row r="322" spans="1:29">
      <c r="A322" s="12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row>
    <row r="323" spans="1:29">
      <c r="A323" s="12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c r="AA323" s="122"/>
      <c r="AB323" s="122"/>
      <c r="AC323" s="122"/>
    </row>
    <row r="324" spans="1:29">
      <c r="A324" s="12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row>
    <row r="325" spans="1:29">
      <c r="A325" s="12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row>
    <row r="326" spans="1:29">
      <c r="A326" s="12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row>
    <row r="327" spans="1:29">
      <c r="A327" s="12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row>
    <row r="328" spans="1:29">
      <c r="A328" s="12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row>
    <row r="329" spans="1:29">
      <c r="A329" s="12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row>
    <row r="330" spans="1:29">
      <c r="A330" s="12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row>
    <row r="331" spans="1:29">
      <c r="A331" s="12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row>
    <row r="332" spans="1:29">
      <c r="A332" s="12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row>
    <row r="333" spans="1:29">
      <c r="A333" s="12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row>
    <row r="334" spans="1:29">
      <c r="A334" s="12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row>
    <row r="335" spans="1:29">
      <c r="A335" s="12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row>
    <row r="336" spans="1:29">
      <c r="A336" s="12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row>
    <row r="337" spans="1:29">
      <c r="A337" s="12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row>
    <row r="338" spans="1:29">
      <c r="A338" s="12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row>
    <row r="339" spans="1:29">
      <c r="A339" s="12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c r="AA339" s="122"/>
      <c r="AB339" s="122"/>
      <c r="AC339" s="122"/>
    </row>
    <row r="340" spans="1:29">
      <c r="A340" s="12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row>
    <row r="341" spans="1:29">
      <c r="A341" s="12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row>
    <row r="342" spans="1:29">
      <c r="A342" s="12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row>
    <row r="343" spans="1:29">
      <c r="A343" s="12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row>
    <row r="344" spans="1:29">
      <c r="A344" s="12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row>
    <row r="345" spans="1:29">
      <c r="A345" s="12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row>
    <row r="346" spans="1:29">
      <c r="A346" s="12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row>
    <row r="347" spans="1:29">
      <c r="A347" s="12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row>
    <row r="348" spans="1:29">
      <c r="A348" s="122"/>
      <c r="B348" s="122"/>
      <c r="C348" s="122"/>
      <c r="D348" s="122"/>
      <c r="E348" s="122"/>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row>
    <row r="349" spans="1:29">
      <c r="A349" s="122"/>
      <c r="B349" s="122"/>
      <c r="C349" s="122"/>
      <c r="D349" s="122"/>
      <c r="E349" s="122"/>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row>
    <row r="350" spans="1:29">
      <c r="A350" s="122"/>
      <c r="B350" s="122"/>
      <c r="C350" s="122"/>
      <c r="D350" s="122"/>
      <c r="E350" s="122"/>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row>
    <row r="351" spans="1:29">
      <c r="A351" s="122"/>
      <c r="B351" s="122"/>
      <c r="C351" s="122"/>
      <c r="D351" s="122"/>
      <c r="E351" s="122"/>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row>
    <row r="352" spans="1:29">
      <c r="A352" s="122"/>
      <c r="B352" s="122"/>
      <c r="C352" s="122"/>
      <c r="D352" s="122"/>
      <c r="E352" s="122"/>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row>
    <row r="353" spans="1:29">
      <c r="A353" s="122"/>
      <c r="B353" s="122"/>
      <c r="C353" s="122"/>
      <c r="D353" s="122"/>
      <c r="E353" s="122"/>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row>
    <row r="354" spans="1:29">
      <c r="A354" s="122"/>
      <c r="B354" s="122"/>
      <c r="C354" s="122"/>
      <c r="D354" s="122"/>
      <c r="E354" s="122"/>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row>
    <row r="355" spans="1:29">
      <c r="A355" s="122"/>
      <c r="B355" s="122"/>
      <c r="C355" s="122"/>
      <c r="D355" s="122"/>
      <c r="E355" s="122"/>
      <c r="F355" s="122"/>
      <c r="G355" s="122"/>
      <c r="H355" s="122"/>
      <c r="I355" s="122"/>
      <c r="J355" s="122"/>
      <c r="K355" s="122"/>
      <c r="L355" s="122"/>
      <c r="M355" s="122"/>
      <c r="N355" s="122"/>
      <c r="O355" s="122"/>
      <c r="P355" s="122"/>
      <c r="Q355" s="122"/>
      <c r="R355" s="122"/>
      <c r="S355" s="122"/>
      <c r="T355" s="122"/>
      <c r="U355" s="122"/>
      <c r="V355" s="122"/>
      <c r="W355" s="122"/>
      <c r="X355" s="122"/>
      <c r="Y355" s="122"/>
      <c r="Z355" s="122"/>
      <c r="AA355" s="122"/>
      <c r="AB355" s="122"/>
      <c r="AC355" s="122"/>
    </row>
    <row r="356" spans="1:29">
      <c r="A356" s="122"/>
      <c r="B356" s="122"/>
      <c r="C356" s="122"/>
      <c r="D356" s="122"/>
      <c r="E356" s="122"/>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row>
    <row r="357" spans="1:29">
      <c r="A357" s="122"/>
      <c r="B357" s="122"/>
      <c r="C357" s="122"/>
      <c r="D357" s="122"/>
      <c r="E357" s="122"/>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row>
    <row r="358" spans="1:29">
      <c r="A358" s="122"/>
      <c r="B358" s="122"/>
      <c r="C358" s="122"/>
      <c r="D358" s="122"/>
      <c r="E358" s="122"/>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row>
    <row r="359" spans="1:29">
      <c r="A359" s="122"/>
      <c r="B359" s="122"/>
      <c r="C359" s="122"/>
      <c r="D359" s="122"/>
      <c r="E359" s="122"/>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row>
    <row r="360" spans="1:29">
      <c r="A360" s="122"/>
      <c r="B360" s="122"/>
      <c r="C360" s="122"/>
      <c r="D360" s="122"/>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row>
    <row r="361" spans="1:29">
      <c r="A361" s="122"/>
      <c r="B361" s="122"/>
      <c r="C361" s="122"/>
      <c r="D361" s="122"/>
      <c r="E361" s="122"/>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row>
    <row r="362" spans="1:29">
      <c r="A362" s="122"/>
      <c r="B362" s="122"/>
      <c r="C362" s="122"/>
      <c r="D362" s="122"/>
      <c r="E362" s="122"/>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row>
    <row r="363" spans="1:29">
      <c r="A363" s="122"/>
      <c r="B363" s="122"/>
      <c r="C363" s="122"/>
      <c r="D363" s="122"/>
      <c r="E363" s="122"/>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row>
    <row r="364" spans="1:29">
      <c r="A364" s="122"/>
      <c r="B364" s="122"/>
      <c r="C364" s="122"/>
      <c r="D364" s="122"/>
      <c r="E364" s="122"/>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row>
    <row r="365" spans="1:29">
      <c r="A365" s="122"/>
      <c r="B365" s="122"/>
      <c r="C365" s="122"/>
      <c r="D365" s="122"/>
      <c r="E365" s="122"/>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row>
    <row r="366" spans="1:29">
      <c r="A366" s="122"/>
      <c r="B366" s="122"/>
      <c r="C366" s="122"/>
      <c r="D366" s="122"/>
      <c r="E366" s="122"/>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row>
    <row r="367" spans="1:29">
      <c r="A367" s="122"/>
      <c r="B367" s="122"/>
      <c r="C367" s="122"/>
      <c r="D367" s="122"/>
      <c r="E367" s="122"/>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row>
    <row r="368" spans="1:29">
      <c r="A368" s="122"/>
      <c r="B368" s="122"/>
      <c r="C368" s="122"/>
      <c r="D368" s="122"/>
      <c r="E368" s="122"/>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row>
    <row r="369" spans="1:29">
      <c r="A369" s="122"/>
      <c r="B369" s="122"/>
      <c r="C369" s="122"/>
      <c r="D369" s="122"/>
      <c r="E369" s="122"/>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row>
    <row r="370" spans="1:29">
      <c r="A370" s="122"/>
      <c r="B370" s="122"/>
      <c r="C370" s="122"/>
      <c r="D370" s="122"/>
      <c r="E370" s="122"/>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row>
    <row r="371" spans="1:29">
      <c r="A371" s="122"/>
      <c r="B371" s="122"/>
      <c r="C371" s="122"/>
      <c r="D371" s="122"/>
      <c r="E371" s="122"/>
      <c r="F371" s="122"/>
      <c r="G371" s="122"/>
      <c r="H371" s="122"/>
      <c r="I371" s="122"/>
      <c r="J371" s="122"/>
      <c r="K371" s="122"/>
      <c r="L371" s="122"/>
      <c r="M371" s="122"/>
      <c r="N371" s="122"/>
      <c r="O371" s="122"/>
      <c r="P371" s="122"/>
      <c r="Q371" s="122"/>
      <c r="R371" s="122"/>
      <c r="S371" s="122"/>
      <c r="T371" s="122"/>
      <c r="U371" s="122"/>
      <c r="V371" s="122"/>
      <c r="W371" s="122"/>
      <c r="X371" s="122"/>
      <c r="Y371" s="122"/>
      <c r="Z371" s="122"/>
      <c r="AA371" s="122"/>
      <c r="AB371" s="122"/>
      <c r="AC371" s="122"/>
    </row>
    <row r="372" spans="1:29">
      <c r="A372" s="122"/>
      <c r="B372" s="122"/>
      <c r="C372" s="122"/>
      <c r="D372" s="122"/>
      <c r="E372" s="122"/>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row>
    <row r="373" spans="1:29">
      <c r="A373" s="122"/>
      <c r="B373" s="122"/>
      <c r="C373" s="122"/>
      <c r="D373" s="122"/>
      <c r="E373" s="122"/>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row>
    <row r="374" spans="1:29">
      <c r="A374" s="122"/>
      <c r="B374" s="122"/>
      <c r="C374" s="122"/>
      <c r="D374" s="122"/>
      <c r="E374" s="122"/>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row>
    <row r="375" spans="1:29">
      <c r="A375" s="122"/>
      <c r="B375" s="122"/>
      <c r="C375" s="122"/>
      <c r="D375" s="122"/>
      <c r="E375" s="122"/>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row>
    <row r="376" spans="1:29">
      <c r="A376" s="122"/>
      <c r="B376" s="122"/>
      <c r="C376" s="122"/>
      <c r="D376" s="122"/>
      <c r="E376" s="122"/>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row>
    <row r="377" spans="1:29">
      <c r="A377" s="122"/>
      <c r="B377" s="122"/>
      <c r="C377" s="122"/>
      <c r="D377" s="122"/>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row>
    <row r="378" spans="1:29">
      <c r="A378" s="122"/>
      <c r="B378" s="122"/>
      <c r="C378" s="122"/>
      <c r="D378" s="122"/>
      <c r="E378" s="122"/>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row>
    <row r="379" spans="1:29">
      <c r="A379" s="122"/>
      <c r="B379" s="122"/>
      <c r="C379" s="122"/>
      <c r="D379" s="122"/>
      <c r="E379" s="122"/>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row>
    <row r="380" spans="1:29">
      <c r="A380" s="122"/>
      <c r="B380" s="122"/>
      <c r="C380" s="122"/>
      <c r="D380" s="122"/>
      <c r="E380" s="122"/>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row>
    <row r="381" spans="1:29">
      <c r="A381" s="122"/>
      <c r="B381" s="122"/>
      <c r="C381" s="122"/>
      <c r="D381" s="122"/>
      <c r="E381" s="122"/>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row>
    <row r="382" spans="1:29">
      <c r="A382" s="122"/>
      <c r="B382" s="122"/>
      <c r="C382" s="122"/>
      <c r="D382" s="122"/>
      <c r="E382" s="122"/>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row>
    <row r="383" spans="1:29">
      <c r="A383" s="122"/>
      <c r="B383" s="122"/>
      <c r="C383" s="122"/>
      <c r="D383" s="122"/>
      <c r="E383" s="122"/>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row>
    <row r="384" spans="1:29">
      <c r="A384" s="122"/>
      <c r="B384" s="122"/>
      <c r="C384" s="122"/>
      <c r="D384" s="122"/>
      <c r="E384" s="122"/>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row>
    <row r="385" spans="1:29">
      <c r="A385" s="122"/>
      <c r="B385" s="122"/>
      <c r="C385" s="122"/>
      <c r="D385" s="122"/>
      <c r="E385" s="122"/>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row>
    <row r="386" spans="1:29">
      <c r="A386" s="122"/>
      <c r="B386" s="122"/>
      <c r="C386" s="122"/>
      <c r="D386" s="122"/>
      <c r="E386" s="122"/>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row>
    <row r="387" spans="1:29">
      <c r="A387" s="122"/>
      <c r="B387" s="122"/>
      <c r="C387" s="122"/>
      <c r="D387" s="122"/>
      <c r="E387" s="122"/>
      <c r="F387" s="122"/>
      <c r="G387" s="122"/>
      <c r="H387" s="122"/>
      <c r="I387" s="122"/>
      <c r="J387" s="122"/>
      <c r="K387" s="122"/>
      <c r="L387" s="122"/>
      <c r="M387" s="122"/>
      <c r="N387" s="122"/>
      <c r="O387" s="122"/>
      <c r="P387" s="122"/>
      <c r="Q387" s="122"/>
      <c r="R387" s="122"/>
      <c r="S387" s="122"/>
      <c r="T387" s="122"/>
      <c r="U387" s="122"/>
      <c r="V387" s="122"/>
      <c r="W387" s="122"/>
      <c r="X387" s="122"/>
      <c r="Y387" s="122"/>
      <c r="Z387" s="122"/>
      <c r="AA387" s="122"/>
      <c r="AB387" s="122"/>
      <c r="AC387" s="122"/>
    </row>
    <row r="388" spans="1:29">
      <c r="A388" s="122"/>
      <c r="B388" s="122"/>
      <c r="C388" s="122"/>
      <c r="D388" s="122"/>
      <c r="E388" s="122"/>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row>
    <row r="389" spans="1:29">
      <c r="A389" s="122"/>
      <c r="B389" s="122"/>
      <c r="C389" s="122"/>
      <c r="D389" s="122"/>
      <c r="E389" s="122"/>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row>
    <row r="390" spans="1:29">
      <c r="A390" s="122"/>
      <c r="B390" s="122"/>
      <c r="C390" s="122"/>
      <c r="D390" s="122"/>
      <c r="E390" s="122"/>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row>
    <row r="391" spans="1:29">
      <c r="A391" s="122"/>
      <c r="B391" s="122"/>
      <c r="C391" s="122"/>
      <c r="D391" s="122"/>
      <c r="E391" s="122"/>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row>
    <row r="392" spans="1:29">
      <c r="A392" s="122"/>
      <c r="B392" s="122"/>
      <c r="C392" s="122"/>
      <c r="D392" s="122"/>
      <c r="E392" s="122"/>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row>
    <row r="393" spans="1:29">
      <c r="A393" s="122"/>
      <c r="B393" s="122"/>
      <c r="C393" s="122"/>
      <c r="D393" s="122"/>
      <c r="E393" s="122"/>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row>
    <row r="394" spans="1:29">
      <c r="A394" s="122"/>
      <c r="B394" s="122"/>
      <c r="C394" s="122"/>
      <c r="D394" s="122"/>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row>
    <row r="395" spans="1:29">
      <c r="A395" s="122"/>
      <c r="B395" s="122"/>
      <c r="C395" s="122"/>
      <c r="D395" s="122"/>
      <c r="E395" s="122"/>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row>
    <row r="396" spans="1:29">
      <c r="A396" s="122"/>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row>
    <row r="397" spans="1:29">
      <c r="A397" s="122"/>
      <c r="B397" s="122"/>
      <c r="C397" s="122"/>
      <c r="D397" s="122"/>
      <c r="E397" s="122"/>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row>
    <row r="398" spans="1:29">
      <c r="A398" s="122"/>
      <c r="B398" s="122"/>
      <c r="C398" s="122"/>
      <c r="D398" s="122"/>
      <c r="E398" s="122"/>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row>
    <row r="399" spans="1:29">
      <c r="A399" s="122"/>
      <c r="B399" s="122"/>
      <c r="C399" s="122"/>
      <c r="D399" s="122"/>
      <c r="E399" s="122"/>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row>
    <row r="400" spans="1:29">
      <c r="A400" s="122"/>
      <c r="B400" s="122"/>
      <c r="C400" s="122"/>
      <c r="D400" s="122"/>
      <c r="E400" s="122"/>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row>
    <row r="401" spans="1:29">
      <c r="A401" s="122"/>
      <c r="B401" s="122"/>
      <c r="C401" s="122"/>
      <c r="D401" s="122"/>
      <c r="E401" s="122"/>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row>
    <row r="402" spans="1:29">
      <c r="A402" s="122"/>
      <c r="B402" s="122"/>
      <c r="C402" s="122"/>
      <c r="D402" s="122"/>
      <c r="E402" s="122"/>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row>
    <row r="403" spans="1:29">
      <c r="A403" s="122"/>
      <c r="B403" s="122"/>
      <c r="C403" s="122"/>
      <c r="D403" s="122"/>
      <c r="E403" s="122"/>
      <c r="F403" s="122"/>
      <c r="G403" s="122"/>
      <c r="H403" s="122"/>
      <c r="I403" s="122"/>
      <c r="J403" s="122"/>
      <c r="K403" s="122"/>
      <c r="L403" s="122"/>
      <c r="M403" s="122"/>
      <c r="N403" s="122"/>
      <c r="O403" s="122"/>
      <c r="P403" s="122"/>
      <c r="Q403" s="122"/>
      <c r="R403" s="122"/>
      <c r="S403" s="122"/>
      <c r="T403" s="122"/>
      <c r="U403" s="122"/>
      <c r="V403" s="122"/>
      <c r="W403" s="122"/>
      <c r="X403" s="122"/>
      <c r="Y403" s="122"/>
      <c r="Z403" s="122"/>
      <c r="AA403" s="122"/>
      <c r="AB403" s="122"/>
      <c r="AC403" s="122"/>
    </row>
    <row r="404" spans="1:29">
      <c r="A404" s="122"/>
      <c r="B404" s="122"/>
      <c r="C404" s="122"/>
      <c r="D404" s="122"/>
      <c r="E404" s="122"/>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row>
    <row r="405" spans="1:29">
      <c r="A405" s="122"/>
      <c r="B405" s="122"/>
      <c r="C405" s="122"/>
      <c r="D405" s="122"/>
      <c r="E405" s="122"/>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row>
    <row r="406" spans="1:29">
      <c r="A406" s="122"/>
      <c r="B406" s="122"/>
      <c r="C406" s="122"/>
      <c r="D406" s="122"/>
      <c r="E406" s="122"/>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row>
    <row r="407" spans="1:29">
      <c r="A407" s="122"/>
      <c r="B407" s="122"/>
      <c r="C407" s="122"/>
      <c r="D407" s="122"/>
      <c r="E407" s="122"/>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row>
    <row r="408" spans="1:29">
      <c r="A408" s="122"/>
      <c r="B408" s="122"/>
      <c r="C408" s="122"/>
      <c r="D408" s="122"/>
      <c r="E408" s="122"/>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row>
    <row r="409" spans="1:29">
      <c r="A409" s="122"/>
      <c r="B409" s="122"/>
      <c r="C409" s="122"/>
      <c r="D409" s="122"/>
      <c r="E409" s="122"/>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row>
    <row r="410" spans="1:29">
      <c r="A410" s="122"/>
      <c r="B410" s="122"/>
      <c r="C410" s="122"/>
      <c r="D410" s="122"/>
      <c r="E410" s="122"/>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row>
    <row r="411" spans="1:29">
      <c r="A411" s="122"/>
      <c r="B411" s="122"/>
      <c r="C411" s="122"/>
      <c r="D411" s="122"/>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row>
    <row r="412" spans="1:29">
      <c r="A412" s="122"/>
      <c r="B412" s="122"/>
      <c r="C412" s="122"/>
      <c r="D412" s="122"/>
      <c r="E412" s="122"/>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row>
    <row r="413" spans="1:29">
      <c r="A413" s="122"/>
      <c r="B413" s="122"/>
      <c r="C413" s="122"/>
      <c r="D413" s="122"/>
      <c r="E413" s="122"/>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row>
    <row r="414" spans="1:29">
      <c r="A414" s="122"/>
      <c r="B414" s="122"/>
      <c r="C414" s="122"/>
      <c r="D414" s="122"/>
      <c r="E414" s="122"/>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row>
    <row r="415" spans="1:29">
      <c r="A415" s="122"/>
      <c r="B415" s="122"/>
      <c r="C415" s="122"/>
      <c r="D415" s="122"/>
      <c r="E415" s="122"/>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row>
    <row r="416" spans="1:29">
      <c r="A416" s="122"/>
      <c r="B416" s="122"/>
      <c r="C416" s="122"/>
      <c r="D416" s="122"/>
      <c r="E416" s="122"/>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row>
    <row r="417" spans="1:29">
      <c r="A417" s="122"/>
      <c r="B417" s="122"/>
      <c r="C417" s="122"/>
      <c r="D417" s="122"/>
      <c r="E417" s="122"/>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row>
    <row r="418" spans="1:29">
      <c r="A418" s="122"/>
      <c r="B418" s="122"/>
      <c r="C418" s="122"/>
      <c r="D418" s="122"/>
      <c r="E418" s="122"/>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row>
    <row r="419" spans="1:29">
      <c r="A419" s="122"/>
      <c r="B419" s="122"/>
      <c r="C419" s="122"/>
      <c r="D419" s="122"/>
      <c r="E419" s="122"/>
      <c r="F419" s="122"/>
      <c r="G419" s="122"/>
      <c r="H419" s="122"/>
      <c r="I419" s="122"/>
      <c r="J419" s="122"/>
      <c r="K419" s="122"/>
      <c r="L419" s="122"/>
      <c r="M419" s="122"/>
      <c r="N419" s="122"/>
      <c r="O419" s="122"/>
      <c r="P419" s="122"/>
      <c r="Q419" s="122"/>
      <c r="R419" s="122"/>
      <c r="S419" s="122"/>
      <c r="T419" s="122"/>
      <c r="U419" s="122"/>
      <c r="V419" s="122"/>
      <c r="W419" s="122"/>
      <c r="X419" s="122"/>
      <c r="Y419" s="122"/>
      <c r="Z419" s="122"/>
      <c r="AA419" s="122"/>
      <c r="AB419" s="122"/>
      <c r="AC419" s="122"/>
    </row>
    <row r="420" spans="1:29">
      <c r="A420" s="122"/>
      <c r="B420" s="122"/>
      <c r="C420" s="122"/>
      <c r="D420" s="122"/>
      <c r="E420" s="122"/>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row>
    <row r="421" spans="1:29">
      <c r="A421" s="122"/>
      <c r="B421" s="122"/>
      <c r="C421" s="122"/>
      <c r="D421" s="122"/>
      <c r="E421" s="122"/>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row>
    <row r="422" spans="1:29">
      <c r="A422" s="122"/>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row>
    <row r="423" spans="1:29">
      <c r="A423" s="122"/>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row>
    <row r="424" spans="1:29">
      <c r="A424" s="122"/>
      <c r="B424" s="122"/>
      <c r="C424" s="122"/>
      <c r="D424" s="122"/>
      <c r="E424" s="122"/>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row>
    <row r="425" spans="1:29">
      <c r="A425" s="122"/>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row>
    <row r="426" spans="1:29">
      <c r="A426" s="122"/>
      <c r="B426" s="122"/>
      <c r="C426" s="122"/>
      <c r="D426" s="122"/>
      <c r="E426" s="122"/>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row>
    <row r="427" spans="1:29">
      <c r="A427" s="122"/>
      <c r="B427" s="122"/>
      <c r="C427" s="122"/>
      <c r="D427" s="122"/>
      <c r="E427" s="122"/>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row>
    <row r="428" spans="1:29">
      <c r="A428" s="122"/>
      <c r="B428" s="122"/>
      <c r="C428" s="122"/>
      <c r="D428" s="122"/>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row>
    <row r="429" spans="1:29">
      <c r="A429" s="122"/>
      <c r="B429" s="122"/>
      <c r="C429" s="122"/>
      <c r="D429" s="122"/>
      <c r="E429" s="122"/>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row>
    <row r="430" spans="1:29">
      <c r="A430" s="122"/>
      <c r="B430" s="122"/>
      <c r="C430" s="122"/>
      <c r="D430" s="122"/>
      <c r="E430" s="122"/>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row>
    <row r="431" spans="1:29">
      <c r="A431" s="122"/>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row>
    <row r="432" spans="1:29">
      <c r="A432" s="122"/>
      <c r="B432" s="122"/>
      <c r="C432" s="122"/>
      <c r="D432" s="122"/>
      <c r="E432" s="122"/>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row>
    <row r="433" spans="1:36">
      <c r="A433" s="122"/>
      <c r="B433" s="122"/>
      <c r="C433" s="122"/>
      <c r="D433" s="122"/>
      <c r="E433" s="122"/>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row>
    <row r="434" spans="1:36" customFormat="1">
      <c r="AD434" s="122"/>
      <c r="AJ434" s="464"/>
    </row>
    <row r="435" spans="1:36" customFormat="1">
      <c r="AD435" s="122"/>
      <c r="AJ435" s="464"/>
    </row>
    <row r="436" spans="1:36" customFormat="1">
      <c r="AD436" s="122"/>
      <c r="AJ436" s="464"/>
    </row>
    <row r="437" spans="1:36" customFormat="1">
      <c r="AD437" s="122"/>
      <c r="AJ437" s="464"/>
    </row>
    <row r="438" spans="1:36" customFormat="1">
      <c r="AD438" s="122"/>
      <c r="AJ438" s="464"/>
    </row>
    <row r="439" spans="1:36" customFormat="1">
      <c r="AD439" s="122"/>
      <c r="AJ439" s="464"/>
    </row>
    <row r="440" spans="1:36" customFormat="1">
      <c r="AD440" s="122"/>
      <c r="AJ440" s="464"/>
    </row>
    <row r="441" spans="1:36" customFormat="1">
      <c r="AD441" s="122"/>
      <c r="AJ441" s="464"/>
    </row>
    <row r="442" spans="1:36" customFormat="1">
      <c r="AD442" s="122"/>
      <c r="AJ442" s="464"/>
    </row>
    <row r="443" spans="1:36" customFormat="1">
      <c r="AD443" s="122"/>
      <c r="AJ443" s="464"/>
    </row>
    <row r="444" spans="1:36" customFormat="1">
      <c r="AD444" s="122"/>
      <c r="AJ444" s="464"/>
    </row>
    <row r="445" spans="1:36" customFormat="1">
      <c r="AD445" s="122"/>
      <c r="AJ445" s="464"/>
    </row>
    <row r="446" spans="1:36" customFormat="1">
      <c r="AD446" s="122"/>
      <c r="AJ446" s="464"/>
    </row>
    <row r="447" spans="1:36" customFormat="1">
      <c r="AD447" s="122"/>
      <c r="AJ447" s="464"/>
    </row>
    <row r="448" spans="1:36" customFormat="1">
      <c r="AD448" s="122"/>
      <c r="AJ448" s="464"/>
    </row>
    <row r="449" spans="30:36" customFormat="1">
      <c r="AD449" s="122"/>
      <c r="AJ449" s="464"/>
    </row>
    <row r="450" spans="30:36" customFormat="1">
      <c r="AD450" s="122"/>
      <c r="AJ450" s="464"/>
    </row>
    <row r="451" spans="30:36" customFormat="1">
      <c r="AD451" s="122"/>
      <c r="AJ451" s="464"/>
    </row>
    <row r="452" spans="30:36" customFormat="1">
      <c r="AD452" s="122"/>
      <c r="AJ452" s="464"/>
    </row>
    <row r="453" spans="30:36" customFormat="1">
      <c r="AD453" s="122"/>
      <c r="AJ453" s="464"/>
    </row>
    <row r="454" spans="30:36" customFormat="1">
      <c r="AD454" s="122"/>
      <c r="AJ454" s="464"/>
    </row>
    <row r="455" spans="30:36" customFormat="1">
      <c r="AD455" s="122"/>
      <c r="AJ455" s="464"/>
    </row>
    <row r="456" spans="30:36" customFormat="1">
      <c r="AD456" s="122"/>
      <c r="AJ456" s="464"/>
    </row>
    <row r="457" spans="30:36" customFormat="1">
      <c r="AD457" s="122"/>
      <c r="AJ457" s="464"/>
    </row>
    <row r="458" spans="30:36" customFormat="1">
      <c r="AD458" s="122"/>
      <c r="AJ458" s="464"/>
    </row>
    <row r="459" spans="30:36" customFormat="1">
      <c r="AD459" s="122"/>
      <c r="AJ459" s="464"/>
    </row>
    <row r="460" spans="30:36" customFormat="1">
      <c r="AD460" s="122"/>
      <c r="AJ460" s="464"/>
    </row>
    <row r="461" spans="30:36" customFormat="1">
      <c r="AD461" s="122"/>
      <c r="AJ461" s="464"/>
    </row>
    <row r="462" spans="30:36" customFormat="1">
      <c r="AD462" s="122"/>
      <c r="AJ462" s="464"/>
    </row>
    <row r="463" spans="30:36" customFormat="1">
      <c r="AD463" s="122"/>
      <c r="AJ463" s="464"/>
    </row>
    <row r="464" spans="30:36" customFormat="1">
      <c r="AD464" s="122"/>
      <c r="AJ464" s="464"/>
    </row>
    <row r="465" spans="30:36" customFormat="1">
      <c r="AD465" s="122"/>
      <c r="AJ465" s="464"/>
    </row>
    <row r="466" spans="30:36" customFormat="1">
      <c r="AD466" s="122"/>
      <c r="AJ466" s="464"/>
    </row>
    <row r="467" spans="30:36" customFormat="1">
      <c r="AD467" s="122"/>
      <c r="AJ467" s="464"/>
    </row>
    <row r="468" spans="30:36" customFormat="1">
      <c r="AD468" s="122"/>
      <c r="AJ468" s="464"/>
    </row>
    <row r="469" spans="30:36" customFormat="1">
      <c r="AD469" s="122"/>
      <c r="AJ469" s="464"/>
    </row>
    <row r="470" spans="30:36" customFormat="1">
      <c r="AD470" s="122"/>
      <c r="AJ470" s="464"/>
    </row>
    <row r="471" spans="30:36" customFormat="1">
      <c r="AD471" s="122"/>
      <c r="AJ471" s="464"/>
    </row>
    <row r="472" spans="30:36" customFormat="1">
      <c r="AD472" s="122"/>
      <c r="AJ472" s="464"/>
    </row>
    <row r="473" spans="30:36" customFormat="1">
      <c r="AD473" s="122"/>
      <c r="AJ473" s="464"/>
    </row>
    <row r="474" spans="30:36" customFormat="1">
      <c r="AD474" s="122"/>
      <c r="AJ474" s="464"/>
    </row>
    <row r="475" spans="30:36" customFormat="1">
      <c r="AD475" s="122"/>
      <c r="AJ475" s="464"/>
    </row>
    <row r="476" spans="30:36" customFormat="1">
      <c r="AD476" s="122"/>
      <c r="AJ476" s="464"/>
    </row>
    <row r="477" spans="30:36" customFormat="1">
      <c r="AD477" s="122"/>
      <c r="AJ477" s="464"/>
    </row>
    <row r="478" spans="30:36" customFormat="1">
      <c r="AD478" s="122"/>
      <c r="AJ478" s="464"/>
    </row>
    <row r="479" spans="30:36" customFormat="1">
      <c r="AD479" s="122"/>
      <c r="AJ479" s="464"/>
    </row>
    <row r="480" spans="30:36" customFormat="1">
      <c r="AD480" s="122"/>
      <c r="AJ480" s="464"/>
    </row>
    <row r="481" spans="30:36" customFormat="1">
      <c r="AD481" s="122"/>
      <c r="AJ481" s="464"/>
    </row>
    <row r="482" spans="30:36" customFormat="1">
      <c r="AD482" s="122"/>
      <c r="AJ482" s="464"/>
    </row>
    <row r="483" spans="30:36" customFormat="1">
      <c r="AD483" s="122"/>
      <c r="AJ483" s="464"/>
    </row>
    <row r="484" spans="30:36" customFormat="1">
      <c r="AD484" s="122"/>
      <c r="AJ484" s="464"/>
    </row>
    <row r="485" spans="30:36" customFormat="1">
      <c r="AD485" s="122"/>
      <c r="AJ485" s="464"/>
    </row>
    <row r="486" spans="30:36" customFormat="1">
      <c r="AD486" s="122"/>
      <c r="AJ486" s="464"/>
    </row>
    <row r="487" spans="30:36" customFormat="1">
      <c r="AD487" s="122"/>
      <c r="AJ487" s="464"/>
    </row>
    <row r="488" spans="30:36" customFormat="1">
      <c r="AD488" s="122"/>
      <c r="AJ488" s="464"/>
    </row>
    <row r="489" spans="30:36" customFormat="1">
      <c r="AD489" s="122"/>
      <c r="AJ489" s="464"/>
    </row>
    <row r="490" spans="30:36" customFormat="1">
      <c r="AD490" s="122"/>
      <c r="AJ490" s="464"/>
    </row>
    <row r="491" spans="30:36" customFormat="1">
      <c r="AD491" s="122"/>
      <c r="AJ491" s="464"/>
    </row>
    <row r="492" spans="30:36" customFormat="1">
      <c r="AD492" s="122"/>
      <c r="AJ492" s="464"/>
    </row>
    <row r="493" spans="30:36" customFormat="1">
      <c r="AD493" s="122"/>
      <c r="AJ493" s="464"/>
    </row>
    <row r="494" spans="30:36" customFormat="1">
      <c r="AD494" s="122"/>
      <c r="AJ494" s="464"/>
    </row>
    <row r="495" spans="30:36" customFormat="1">
      <c r="AD495" s="122"/>
      <c r="AJ495" s="464"/>
    </row>
    <row r="496" spans="30:36" customFormat="1">
      <c r="AD496" s="122"/>
      <c r="AJ496" s="464"/>
    </row>
    <row r="497" spans="30:36" customFormat="1">
      <c r="AD497" s="122"/>
      <c r="AJ497" s="464"/>
    </row>
    <row r="498" spans="30:36" customFormat="1">
      <c r="AD498" s="122"/>
      <c r="AJ498" s="464"/>
    </row>
    <row r="499" spans="30:36" customFormat="1">
      <c r="AD499" s="122"/>
      <c r="AJ499" s="464"/>
    </row>
    <row r="500" spans="30:36" customFormat="1">
      <c r="AD500" s="122"/>
      <c r="AJ500" s="464"/>
    </row>
    <row r="501" spans="30:36" customFormat="1">
      <c r="AD501" s="122"/>
      <c r="AJ501" s="464"/>
    </row>
    <row r="502" spans="30:36" customFormat="1">
      <c r="AD502" s="122"/>
      <c r="AJ502" s="464"/>
    </row>
    <row r="503" spans="30:36" customFormat="1">
      <c r="AD503" s="122"/>
      <c r="AJ503" s="464"/>
    </row>
    <row r="504" spans="30:36" customFormat="1">
      <c r="AD504" s="122"/>
      <c r="AJ504" s="464"/>
    </row>
    <row r="505" spans="30:36" customFormat="1">
      <c r="AD505" s="122"/>
      <c r="AJ505" s="464"/>
    </row>
    <row r="506" spans="30:36" customFormat="1">
      <c r="AD506" s="122"/>
      <c r="AJ506" s="464"/>
    </row>
    <row r="507" spans="30:36" customFormat="1">
      <c r="AD507" s="122"/>
      <c r="AJ507" s="464"/>
    </row>
    <row r="508" spans="30:36" customFormat="1">
      <c r="AD508" s="122"/>
      <c r="AJ508" s="464"/>
    </row>
    <row r="509" spans="30:36" customFormat="1">
      <c r="AD509" s="122"/>
      <c r="AJ509" s="464"/>
    </row>
    <row r="510" spans="30:36" customFormat="1">
      <c r="AD510" s="122"/>
      <c r="AJ510" s="464"/>
    </row>
    <row r="511" spans="30:36" customFormat="1">
      <c r="AD511" s="122"/>
      <c r="AJ511" s="464"/>
    </row>
    <row r="512" spans="30:36" customFormat="1">
      <c r="AD512" s="122"/>
      <c r="AJ512" s="464"/>
    </row>
    <row r="513" spans="30:36" customFormat="1">
      <c r="AD513" s="122"/>
      <c r="AJ513" s="464"/>
    </row>
    <row r="514" spans="30:36" customFormat="1">
      <c r="AD514" s="122"/>
      <c r="AJ514" s="464"/>
    </row>
    <row r="515" spans="30:36" customFormat="1">
      <c r="AD515" s="122"/>
      <c r="AJ515" s="464"/>
    </row>
    <row r="516" spans="30:36" customFormat="1">
      <c r="AD516" s="122"/>
      <c r="AJ516" s="464"/>
    </row>
    <row r="517" spans="30:36" customFormat="1">
      <c r="AD517" s="122"/>
      <c r="AJ517" s="464"/>
    </row>
    <row r="518" spans="30:36" customFormat="1">
      <c r="AD518" s="122"/>
      <c r="AJ518" s="464"/>
    </row>
    <row r="519" spans="30:36" customFormat="1">
      <c r="AD519" s="122"/>
      <c r="AJ519" s="464"/>
    </row>
    <row r="520" spans="30:36" customFormat="1">
      <c r="AD520" s="122"/>
      <c r="AJ520" s="464"/>
    </row>
    <row r="521" spans="30:36" customFormat="1">
      <c r="AD521" s="122"/>
      <c r="AJ521" s="464"/>
    </row>
    <row r="522" spans="30:36" customFormat="1">
      <c r="AD522" s="122"/>
      <c r="AJ522" s="464"/>
    </row>
    <row r="523" spans="30:36" customFormat="1">
      <c r="AD523" s="122"/>
      <c r="AJ523" s="464"/>
    </row>
    <row r="524" spans="30:36" customFormat="1">
      <c r="AD524" s="122"/>
      <c r="AJ524" s="464"/>
    </row>
    <row r="525" spans="30:36" customFormat="1">
      <c r="AD525" s="122"/>
      <c r="AJ525" s="464"/>
    </row>
    <row r="526" spans="30:36" customFormat="1">
      <c r="AD526" s="122"/>
      <c r="AJ526" s="464"/>
    </row>
    <row r="527" spans="30:36" customFormat="1">
      <c r="AD527" s="122"/>
      <c r="AJ527" s="464"/>
    </row>
    <row r="528" spans="30:36" customFormat="1">
      <c r="AD528" s="122"/>
      <c r="AJ528" s="464"/>
    </row>
    <row r="529" spans="30:36" customFormat="1">
      <c r="AD529" s="122"/>
      <c r="AJ529" s="464"/>
    </row>
    <row r="530" spans="30:36" customFormat="1">
      <c r="AD530" s="122"/>
      <c r="AJ530" s="464"/>
    </row>
    <row r="531" spans="30:36" customFormat="1">
      <c r="AD531" s="122"/>
      <c r="AJ531" s="464"/>
    </row>
    <row r="532" spans="30:36" customFormat="1">
      <c r="AD532" s="122"/>
      <c r="AJ532" s="464"/>
    </row>
    <row r="533" spans="30:36" customFormat="1">
      <c r="AD533" s="122"/>
      <c r="AJ533" s="464"/>
    </row>
    <row r="534" spans="30:36" customFormat="1">
      <c r="AD534" s="122"/>
      <c r="AJ534" s="464"/>
    </row>
    <row r="535" spans="30:36" customFormat="1">
      <c r="AD535" s="122"/>
      <c r="AJ535" s="464"/>
    </row>
    <row r="536" spans="30:36" customFormat="1">
      <c r="AD536" s="122"/>
      <c r="AJ536" s="464"/>
    </row>
    <row r="537" spans="30:36" customFormat="1">
      <c r="AD537" s="122"/>
      <c r="AJ537" s="464"/>
    </row>
    <row r="538" spans="30:36" customFormat="1">
      <c r="AD538" s="122"/>
      <c r="AJ538" s="464"/>
    </row>
    <row r="539" spans="30:36" customFormat="1">
      <c r="AD539" s="122"/>
      <c r="AJ539" s="464"/>
    </row>
    <row r="540" spans="30:36" customFormat="1">
      <c r="AD540" s="122"/>
      <c r="AJ540" s="464"/>
    </row>
    <row r="541" spans="30:36" customFormat="1">
      <c r="AD541" s="122"/>
      <c r="AJ541" s="464"/>
    </row>
    <row r="542" spans="30:36" customFormat="1">
      <c r="AD542" s="122"/>
      <c r="AJ542" s="464"/>
    </row>
    <row r="543" spans="30:36" customFormat="1">
      <c r="AD543" s="122"/>
      <c r="AJ543" s="464"/>
    </row>
    <row r="544" spans="30:36" customFormat="1">
      <c r="AD544" s="122"/>
      <c r="AJ544" s="464"/>
    </row>
    <row r="545" spans="30:36" customFormat="1">
      <c r="AD545" s="122"/>
      <c r="AJ545" s="464"/>
    </row>
    <row r="546" spans="30:36" customFormat="1">
      <c r="AD546" s="122"/>
      <c r="AJ546" s="464"/>
    </row>
    <row r="547" spans="30:36" customFormat="1">
      <c r="AD547" s="122"/>
      <c r="AJ547" s="464"/>
    </row>
    <row r="548" spans="30:36" customFormat="1">
      <c r="AD548" s="122"/>
      <c r="AJ548" s="464"/>
    </row>
    <row r="549" spans="30:36" customFormat="1">
      <c r="AD549" s="122"/>
      <c r="AJ549" s="464"/>
    </row>
    <row r="550" spans="30:36" customFormat="1">
      <c r="AD550" s="122"/>
      <c r="AJ550" s="464"/>
    </row>
    <row r="551" spans="30:36" customFormat="1">
      <c r="AD551" s="122"/>
      <c r="AJ551" s="464"/>
    </row>
    <row r="552" spans="30:36" customFormat="1">
      <c r="AD552" s="122"/>
      <c r="AJ552" s="464"/>
    </row>
    <row r="553" spans="30:36" customFormat="1">
      <c r="AD553" s="122"/>
      <c r="AJ553" s="464"/>
    </row>
    <row r="554" spans="30:36" customFormat="1">
      <c r="AD554" s="122"/>
      <c r="AJ554" s="464"/>
    </row>
    <row r="555" spans="30:36" customFormat="1">
      <c r="AD555" s="122"/>
      <c r="AJ555" s="464"/>
    </row>
    <row r="556" spans="30:36" customFormat="1">
      <c r="AD556" s="122"/>
      <c r="AJ556" s="464"/>
    </row>
    <row r="557" spans="30:36" customFormat="1">
      <c r="AD557" s="122"/>
      <c r="AJ557" s="464"/>
    </row>
    <row r="558" spans="30:36" customFormat="1">
      <c r="AD558" s="122"/>
      <c r="AJ558" s="464"/>
    </row>
    <row r="559" spans="30:36" customFormat="1">
      <c r="AD559" s="122"/>
      <c r="AJ559" s="464"/>
    </row>
    <row r="560" spans="30:36" customFormat="1">
      <c r="AD560" s="122"/>
      <c r="AJ560" s="464"/>
    </row>
    <row r="561" spans="30:36" customFormat="1">
      <c r="AD561" s="122"/>
      <c r="AJ561" s="464"/>
    </row>
    <row r="562" spans="30:36" customFormat="1">
      <c r="AD562" s="122"/>
      <c r="AJ562" s="464"/>
    </row>
    <row r="563" spans="30:36" customFormat="1">
      <c r="AD563" s="122"/>
      <c r="AJ563" s="464"/>
    </row>
    <row r="564" spans="30:36" customFormat="1">
      <c r="AD564" s="122"/>
      <c r="AJ564" s="464"/>
    </row>
    <row r="565" spans="30:36" customFormat="1">
      <c r="AD565" s="122"/>
      <c r="AJ565" s="464"/>
    </row>
    <row r="566" spans="30:36" customFormat="1">
      <c r="AD566" s="122"/>
      <c r="AJ566" s="464"/>
    </row>
    <row r="567" spans="30:36" customFormat="1">
      <c r="AD567" s="122"/>
      <c r="AJ567" s="464"/>
    </row>
    <row r="568" spans="30:36" customFormat="1">
      <c r="AD568" s="122"/>
      <c r="AJ568" s="464"/>
    </row>
    <row r="569" spans="30:36" customFormat="1">
      <c r="AD569" s="122"/>
      <c r="AJ569" s="464"/>
    </row>
    <row r="570" spans="30:36" customFormat="1">
      <c r="AD570" s="122"/>
      <c r="AJ570" s="464"/>
    </row>
    <row r="571" spans="30:36" customFormat="1">
      <c r="AD571" s="122"/>
      <c r="AJ571" s="464"/>
    </row>
    <row r="572" spans="30:36" customFormat="1">
      <c r="AD572" s="122"/>
      <c r="AJ572" s="464"/>
    </row>
    <row r="573" spans="30:36" customFormat="1">
      <c r="AD573" s="122"/>
      <c r="AJ573" s="464"/>
    </row>
    <row r="574" spans="30:36" customFormat="1">
      <c r="AD574" s="122"/>
      <c r="AJ574" s="464"/>
    </row>
    <row r="575" spans="30:36" customFormat="1">
      <c r="AD575" s="122"/>
      <c r="AJ575" s="464"/>
    </row>
    <row r="576" spans="30:36" customFormat="1">
      <c r="AD576" s="122"/>
      <c r="AJ576" s="464"/>
    </row>
    <row r="577" spans="30:36" customFormat="1">
      <c r="AD577" s="122"/>
      <c r="AJ577" s="464"/>
    </row>
    <row r="578" spans="30:36" customFormat="1">
      <c r="AD578" s="122"/>
      <c r="AJ578" s="464"/>
    </row>
    <row r="579" spans="30:36" customFormat="1">
      <c r="AD579" s="122"/>
      <c r="AJ579" s="464"/>
    </row>
    <row r="580" spans="30:36" customFormat="1">
      <c r="AD580" s="122"/>
      <c r="AJ580" s="464"/>
    </row>
    <row r="581" spans="30:36" customFormat="1">
      <c r="AD581" s="122"/>
      <c r="AJ581" s="464"/>
    </row>
    <row r="582" spans="30:36" customFormat="1">
      <c r="AD582" s="122"/>
      <c r="AJ582" s="464"/>
    </row>
    <row r="583" spans="30:36" customFormat="1">
      <c r="AD583" s="122"/>
      <c r="AJ583" s="464"/>
    </row>
    <row r="584" spans="30:36" customFormat="1">
      <c r="AD584" s="122"/>
      <c r="AJ584" s="464"/>
    </row>
    <row r="585" spans="30:36" customFormat="1">
      <c r="AD585" s="122"/>
      <c r="AJ585" s="464"/>
    </row>
    <row r="586" spans="30:36" customFormat="1">
      <c r="AD586" s="122"/>
      <c r="AJ586" s="464"/>
    </row>
    <row r="587" spans="30:36" customFormat="1">
      <c r="AD587" s="122"/>
      <c r="AJ587" s="464"/>
    </row>
    <row r="588" spans="30:36" customFormat="1">
      <c r="AD588" s="122"/>
      <c r="AJ588" s="464"/>
    </row>
    <row r="589" spans="30:36" customFormat="1">
      <c r="AD589" s="122"/>
      <c r="AJ589" s="464"/>
    </row>
    <row r="590" spans="30:36" customFormat="1">
      <c r="AD590" s="122"/>
      <c r="AJ590" s="464"/>
    </row>
    <row r="591" spans="30:36" customFormat="1">
      <c r="AD591" s="122"/>
      <c r="AJ591" s="464"/>
    </row>
    <row r="592" spans="30:36" customFormat="1">
      <c r="AD592" s="122"/>
      <c r="AJ592" s="464"/>
    </row>
    <row r="593" spans="30:36" customFormat="1">
      <c r="AD593" s="122"/>
      <c r="AJ593" s="464"/>
    </row>
    <row r="594" spans="30:36" customFormat="1">
      <c r="AD594" s="122"/>
      <c r="AJ594" s="464"/>
    </row>
    <row r="595" spans="30:36" customFormat="1">
      <c r="AD595" s="122"/>
      <c r="AJ595" s="464"/>
    </row>
    <row r="596" spans="30:36" customFormat="1">
      <c r="AD596" s="122"/>
      <c r="AJ596" s="464"/>
    </row>
    <row r="597" spans="30:36" customFormat="1">
      <c r="AD597" s="122"/>
      <c r="AJ597" s="464"/>
    </row>
    <row r="598" spans="30:36" customFormat="1">
      <c r="AD598" s="122"/>
      <c r="AJ598" s="464"/>
    </row>
    <row r="599" spans="30:36" customFormat="1">
      <c r="AD599" s="122"/>
      <c r="AJ599" s="464"/>
    </row>
    <row r="600" spans="30:36" customFormat="1">
      <c r="AD600" s="122"/>
      <c r="AJ600" s="464"/>
    </row>
    <row r="601" spans="30:36" customFormat="1">
      <c r="AD601" s="122"/>
      <c r="AJ601" s="464"/>
    </row>
    <row r="602" spans="30:36" customFormat="1">
      <c r="AD602" s="122"/>
      <c r="AJ602" s="464"/>
    </row>
    <row r="603" spans="30:36" customFormat="1">
      <c r="AD603" s="122"/>
      <c r="AJ603" s="464"/>
    </row>
    <row r="604" spans="30:36" customFormat="1">
      <c r="AD604" s="122"/>
      <c r="AJ604" s="464"/>
    </row>
    <row r="605" spans="30:36" customFormat="1">
      <c r="AD605" s="122"/>
      <c r="AJ605" s="464"/>
    </row>
    <row r="606" spans="30:36" customFormat="1">
      <c r="AD606" s="122"/>
      <c r="AJ606" s="464"/>
    </row>
    <row r="607" spans="30:36" customFormat="1">
      <c r="AD607" s="122"/>
      <c r="AJ607" s="464"/>
    </row>
    <row r="608" spans="30:36" customFormat="1">
      <c r="AD608" s="122"/>
      <c r="AJ608" s="464"/>
    </row>
    <row r="609" spans="30:36" customFormat="1">
      <c r="AD609" s="122"/>
      <c r="AJ609" s="464"/>
    </row>
    <row r="610" spans="30:36" customFormat="1">
      <c r="AD610" s="122"/>
      <c r="AJ610" s="464"/>
    </row>
    <row r="611" spans="30:36" customFormat="1">
      <c r="AD611" s="122"/>
      <c r="AJ611" s="464"/>
    </row>
    <row r="612" spans="30:36" customFormat="1">
      <c r="AD612" s="122"/>
      <c r="AJ612" s="464"/>
    </row>
    <row r="613" spans="30:36" customFormat="1">
      <c r="AD613" s="122"/>
      <c r="AJ613" s="464"/>
    </row>
    <row r="614" spans="30:36" customFormat="1">
      <c r="AD614" s="122"/>
      <c r="AJ614" s="464"/>
    </row>
    <row r="615" spans="30:36" customFormat="1">
      <c r="AD615" s="122"/>
      <c r="AJ615" s="464"/>
    </row>
    <row r="616" spans="30:36" customFormat="1">
      <c r="AD616" s="122"/>
      <c r="AJ616" s="464"/>
    </row>
    <row r="617" spans="30:36" customFormat="1">
      <c r="AD617" s="122"/>
      <c r="AJ617" s="464"/>
    </row>
    <row r="618" spans="30:36" customFormat="1">
      <c r="AD618" s="122"/>
      <c r="AJ618" s="464"/>
    </row>
    <row r="619" spans="30:36" customFormat="1">
      <c r="AD619" s="122"/>
      <c r="AJ619" s="464"/>
    </row>
    <row r="620" spans="30:36" customFormat="1">
      <c r="AD620" s="122"/>
      <c r="AJ620" s="464"/>
    </row>
    <row r="621" spans="30:36" customFormat="1">
      <c r="AD621" s="122"/>
      <c r="AJ621" s="464"/>
    </row>
    <row r="622" spans="30:36" customFormat="1">
      <c r="AD622" s="122"/>
      <c r="AJ622" s="464"/>
    </row>
    <row r="623" spans="30:36" customFormat="1">
      <c r="AD623" s="122"/>
      <c r="AJ623" s="464"/>
    </row>
    <row r="624" spans="30:36" customFormat="1">
      <c r="AD624" s="122"/>
      <c r="AJ624" s="464"/>
    </row>
    <row r="625" spans="30:36" customFormat="1">
      <c r="AD625" s="122"/>
      <c r="AJ625" s="464"/>
    </row>
    <row r="626" spans="30:36" customFormat="1">
      <c r="AD626" s="122"/>
      <c r="AJ626" s="464"/>
    </row>
    <row r="627" spans="30:36" customFormat="1">
      <c r="AD627" s="122"/>
      <c r="AJ627" s="464"/>
    </row>
    <row r="628" spans="30:36" customFormat="1">
      <c r="AD628" s="122"/>
      <c r="AJ628" s="464"/>
    </row>
    <row r="629" spans="30:36" customFormat="1">
      <c r="AD629" s="122"/>
      <c r="AJ629" s="464"/>
    </row>
    <row r="630" spans="30:36" customFormat="1">
      <c r="AD630" s="122"/>
      <c r="AJ630" s="464"/>
    </row>
    <row r="631" spans="30:36" customFormat="1">
      <c r="AD631" s="122"/>
      <c r="AJ631" s="464"/>
    </row>
    <row r="632" spans="30:36" customFormat="1">
      <c r="AD632" s="122"/>
      <c r="AJ632" s="464"/>
    </row>
    <row r="633" spans="30:36" customFormat="1">
      <c r="AD633" s="122"/>
      <c r="AJ633" s="464"/>
    </row>
    <row r="634" spans="30:36" customFormat="1">
      <c r="AD634" s="122"/>
      <c r="AJ634" s="464"/>
    </row>
    <row r="635" spans="30:36" customFormat="1">
      <c r="AD635" s="122"/>
      <c r="AJ635" s="464"/>
    </row>
    <row r="636" spans="30:36" customFormat="1">
      <c r="AD636" s="122"/>
      <c r="AJ636" s="464"/>
    </row>
    <row r="637" spans="30:36" customFormat="1">
      <c r="AD637" s="122"/>
      <c r="AJ637" s="464"/>
    </row>
    <row r="638" spans="30:36" customFormat="1">
      <c r="AD638" s="122"/>
      <c r="AJ638" s="464"/>
    </row>
    <row r="639" spans="30:36" customFormat="1">
      <c r="AD639" s="122"/>
      <c r="AJ639" s="464"/>
    </row>
    <row r="640" spans="30:36" customFormat="1">
      <c r="AD640" s="122"/>
      <c r="AJ640" s="464"/>
    </row>
    <row r="641" spans="30:36" customFormat="1">
      <c r="AD641" s="122"/>
      <c r="AJ641" s="464"/>
    </row>
    <row r="642" spans="30:36" customFormat="1">
      <c r="AD642" s="122"/>
      <c r="AJ642" s="464"/>
    </row>
    <row r="643" spans="30:36" customFormat="1">
      <c r="AD643" s="122"/>
      <c r="AJ643" s="464"/>
    </row>
    <row r="644" spans="30:36" customFormat="1">
      <c r="AD644" s="122"/>
      <c r="AJ644" s="464"/>
    </row>
    <row r="645" spans="30:36" customFormat="1">
      <c r="AD645" s="122"/>
      <c r="AJ645" s="464"/>
    </row>
    <row r="646" spans="30:36" customFormat="1">
      <c r="AD646" s="122"/>
      <c r="AJ646" s="464"/>
    </row>
    <row r="647" spans="30:36" customFormat="1">
      <c r="AD647" s="122"/>
      <c r="AJ647" s="464"/>
    </row>
    <row r="648" spans="30:36" customFormat="1">
      <c r="AD648" s="122"/>
      <c r="AJ648" s="464"/>
    </row>
    <row r="649" spans="30:36" customFormat="1">
      <c r="AD649" s="122"/>
      <c r="AJ649" s="464"/>
    </row>
    <row r="650" spans="30:36" customFormat="1">
      <c r="AD650" s="122"/>
      <c r="AJ650" s="464"/>
    </row>
    <row r="651" spans="30:36" customFormat="1">
      <c r="AD651" s="122"/>
      <c r="AJ651" s="464"/>
    </row>
    <row r="652" spans="30:36" customFormat="1">
      <c r="AD652" s="122"/>
      <c r="AJ652" s="464"/>
    </row>
    <row r="653" spans="30:36" customFormat="1">
      <c r="AD653" s="122"/>
      <c r="AJ653" s="464"/>
    </row>
    <row r="654" spans="30:36" customFormat="1">
      <c r="AD654" s="122"/>
      <c r="AJ654" s="464"/>
    </row>
    <row r="655" spans="30:36" customFormat="1">
      <c r="AD655" s="122"/>
      <c r="AJ655" s="464"/>
    </row>
    <row r="656" spans="30:36" customFormat="1">
      <c r="AD656" s="122"/>
      <c r="AJ656" s="464"/>
    </row>
    <row r="657" spans="30:36" customFormat="1">
      <c r="AD657" s="122"/>
      <c r="AJ657" s="464"/>
    </row>
    <row r="658" spans="30:36" customFormat="1">
      <c r="AD658" s="122"/>
      <c r="AJ658" s="464"/>
    </row>
    <row r="659" spans="30:36" customFormat="1">
      <c r="AD659" s="122"/>
      <c r="AJ659" s="464"/>
    </row>
    <row r="660" spans="30:36" customFormat="1">
      <c r="AD660" s="122"/>
      <c r="AJ660" s="464"/>
    </row>
    <row r="661" spans="30:36" customFormat="1">
      <c r="AD661" s="122"/>
      <c r="AJ661" s="464"/>
    </row>
    <row r="662" spans="30:36" customFormat="1">
      <c r="AD662" s="122"/>
      <c r="AJ662" s="464"/>
    </row>
    <row r="663" spans="30:36" customFormat="1">
      <c r="AD663" s="122"/>
      <c r="AJ663" s="464"/>
    </row>
    <row r="664" spans="30:36" customFormat="1">
      <c r="AD664" s="122"/>
      <c r="AJ664" s="464"/>
    </row>
    <row r="665" spans="30:36" customFormat="1">
      <c r="AD665" s="122"/>
      <c r="AJ665" s="464"/>
    </row>
    <row r="666" spans="30:36" customFormat="1">
      <c r="AD666" s="122"/>
      <c r="AJ666" s="464"/>
    </row>
    <row r="667" spans="30:36" customFormat="1">
      <c r="AD667" s="122"/>
      <c r="AJ667" s="464"/>
    </row>
    <row r="668" spans="30:36" customFormat="1">
      <c r="AD668" s="122"/>
      <c r="AJ668" s="464"/>
    </row>
    <row r="669" spans="30:36" customFormat="1">
      <c r="AD669" s="122"/>
      <c r="AJ669" s="464"/>
    </row>
    <row r="670" spans="30:36" customFormat="1">
      <c r="AD670" s="122"/>
      <c r="AJ670" s="464"/>
    </row>
    <row r="671" spans="30:36" customFormat="1">
      <c r="AD671" s="122"/>
      <c r="AJ671" s="464"/>
    </row>
    <row r="672" spans="30:36" customFormat="1">
      <c r="AD672" s="122"/>
      <c r="AJ672" s="464"/>
    </row>
    <row r="673" spans="30:36" customFormat="1">
      <c r="AD673" s="122"/>
      <c r="AJ673" s="464"/>
    </row>
    <row r="674" spans="30:36" customFormat="1">
      <c r="AD674" s="122"/>
      <c r="AJ674" s="464"/>
    </row>
    <row r="675" spans="30:36" customFormat="1">
      <c r="AD675" s="122"/>
      <c r="AJ675" s="464"/>
    </row>
    <row r="676" spans="30:36" customFormat="1">
      <c r="AD676" s="122"/>
      <c r="AJ676" s="464"/>
    </row>
    <row r="677" spans="30:36" customFormat="1">
      <c r="AD677" s="122"/>
      <c r="AJ677" s="464"/>
    </row>
    <row r="678" spans="30:36" customFormat="1">
      <c r="AD678" s="122"/>
      <c r="AJ678" s="464"/>
    </row>
    <row r="679" spans="30:36" customFormat="1">
      <c r="AD679" s="122"/>
      <c r="AJ679" s="464"/>
    </row>
    <row r="680" spans="30:36" customFormat="1">
      <c r="AD680" s="122"/>
      <c r="AJ680" s="464"/>
    </row>
    <row r="681" spans="30:36" customFormat="1">
      <c r="AD681" s="122"/>
      <c r="AJ681" s="464"/>
    </row>
    <row r="682" spans="30:36" customFormat="1">
      <c r="AD682" s="122"/>
      <c r="AJ682" s="464"/>
    </row>
    <row r="683" spans="30:36" customFormat="1">
      <c r="AD683" s="122"/>
      <c r="AJ683" s="464"/>
    </row>
    <row r="684" spans="30:36" customFormat="1">
      <c r="AD684" s="122"/>
      <c r="AJ684" s="464"/>
    </row>
    <row r="685" spans="30:36" customFormat="1">
      <c r="AD685" s="122"/>
      <c r="AJ685" s="464"/>
    </row>
    <row r="686" spans="30:36" customFormat="1">
      <c r="AD686" s="122"/>
      <c r="AJ686" s="464"/>
    </row>
    <row r="687" spans="30:36" customFormat="1">
      <c r="AD687" s="122"/>
      <c r="AJ687" s="464"/>
    </row>
    <row r="688" spans="30:36" customFormat="1">
      <c r="AD688" s="122"/>
      <c r="AJ688" s="464"/>
    </row>
    <row r="689" spans="30:36" customFormat="1">
      <c r="AD689" s="122"/>
      <c r="AJ689" s="464"/>
    </row>
    <row r="690" spans="30:36" customFormat="1">
      <c r="AD690" s="122"/>
      <c r="AJ690" s="464"/>
    </row>
    <row r="691" spans="30:36" customFormat="1">
      <c r="AD691" s="122"/>
      <c r="AJ691" s="464"/>
    </row>
    <row r="692" spans="30:36" customFormat="1">
      <c r="AD692" s="122"/>
      <c r="AJ692" s="464"/>
    </row>
    <row r="693" spans="30:36" customFormat="1">
      <c r="AD693" s="122"/>
      <c r="AJ693" s="464"/>
    </row>
    <row r="694" spans="30:36" customFormat="1">
      <c r="AD694" s="122"/>
      <c r="AJ694" s="464"/>
    </row>
    <row r="695" spans="30:36" customFormat="1">
      <c r="AD695" s="122"/>
      <c r="AJ695" s="464"/>
    </row>
    <row r="696" spans="30:36" customFormat="1">
      <c r="AD696" s="122"/>
      <c r="AJ696" s="464"/>
    </row>
    <row r="697" spans="30:36" customFormat="1">
      <c r="AD697" s="122"/>
      <c r="AJ697" s="464"/>
    </row>
    <row r="698" spans="30:36" customFormat="1">
      <c r="AD698" s="122"/>
      <c r="AJ698" s="464"/>
    </row>
    <row r="699" spans="30:36" customFormat="1">
      <c r="AD699" s="122"/>
      <c r="AJ699" s="464"/>
    </row>
    <row r="700" spans="30:36" customFormat="1">
      <c r="AD700" s="122"/>
      <c r="AJ700" s="464"/>
    </row>
    <row r="701" spans="30:36" customFormat="1">
      <c r="AD701" s="122"/>
      <c r="AJ701" s="464"/>
    </row>
    <row r="702" spans="30:36" customFormat="1">
      <c r="AD702" s="122"/>
      <c r="AJ702" s="464"/>
    </row>
    <row r="703" spans="30:36" customFormat="1">
      <c r="AD703" s="122"/>
      <c r="AJ703" s="464"/>
    </row>
    <row r="704" spans="30:36" customFormat="1">
      <c r="AD704" s="122"/>
      <c r="AJ704" s="464"/>
    </row>
    <row r="705" spans="30:36" customFormat="1">
      <c r="AD705" s="122"/>
      <c r="AJ705" s="464"/>
    </row>
    <row r="706" spans="30:36" customFormat="1">
      <c r="AD706" s="122"/>
      <c r="AJ706" s="464"/>
    </row>
    <row r="707" spans="30:36" customFormat="1">
      <c r="AD707" s="122"/>
      <c r="AJ707" s="464"/>
    </row>
    <row r="708" spans="30:36" customFormat="1">
      <c r="AD708" s="122"/>
      <c r="AJ708" s="464"/>
    </row>
    <row r="709" spans="30:36" customFormat="1">
      <c r="AD709" s="122"/>
      <c r="AJ709" s="464"/>
    </row>
    <row r="710" spans="30:36" customFormat="1">
      <c r="AD710" s="122"/>
      <c r="AJ710" s="464"/>
    </row>
    <row r="711" spans="30:36" customFormat="1">
      <c r="AD711" s="122"/>
      <c r="AJ711" s="464"/>
    </row>
    <row r="712" spans="30:36" customFormat="1">
      <c r="AD712" s="122"/>
      <c r="AJ712" s="464"/>
    </row>
    <row r="713" spans="30:36" customFormat="1">
      <c r="AD713" s="122"/>
      <c r="AJ713" s="464"/>
    </row>
    <row r="714" spans="30:36" customFormat="1">
      <c r="AD714" s="122"/>
      <c r="AJ714" s="464"/>
    </row>
    <row r="715" spans="30:36" customFormat="1">
      <c r="AD715" s="122"/>
      <c r="AJ715" s="464"/>
    </row>
    <row r="716" spans="30:36" customFormat="1">
      <c r="AD716" s="122"/>
      <c r="AJ716" s="464"/>
    </row>
    <row r="717" spans="30:36" customFormat="1">
      <c r="AD717" s="122"/>
      <c r="AJ717" s="464"/>
    </row>
    <row r="718" spans="30:36" customFormat="1">
      <c r="AD718" s="122"/>
      <c r="AJ718" s="464"/>
    </row>
    <row r="719" spans="30:36" customFormat="1">
      <c r="AD719" s="122"/>
      <c r="AJ719" s="464"/>
    </row>
    <row r="720" spans="30:36" customFormat="1">
      <c r="AD720" s="122"/>
      <c r="AJ720" s="464"/>
    </row>
    <row r="721" spans="30:36" customFormat="1">
      <c r="AD721" s="122"/>
      <c r="AJ721" s="464"/>
    </row>
    <row r="722" spans="30:36" customFormat="1">
      <c r="AD722" s="122"/>
      <c r="AJ722" s="464"/>
    </row>
    <row r="723" spans="30:36" customFormat="1">
      <c r="AD723" s="122"/>
      <c r="AJ723" s="464"/>
    </row>
    <row r="724" spans="30:36" customFormat="1">
      <c r="AD724" s="122"/>
      <c r="AJ724" s="464"/>
    </row>
    <row r="725" spans="30:36" customFormat="1">
      <c r="AD725" s="122"/>
      <c r="AJ725" s="464"/>
    </row>
    <row r="726" spans="30:36" customFormat="1">
      <c r="AD726" s="122"/>
      <c r="AJ726" s="464"/>
    </row>
    <row r="727" spans="30:36" customFormat="1">
      <c r="AD727" s="122"/>
      <c r="AJ727" s="464"/>
    </row>
    <row r="728" spans="30:36" customFormat="1">
      <c r="AD728" s="122"/>
      <c r="AJ728" s="464"/>
    </row>
    <row r="729" spans="30:36" customFormat="1">
      <c r="AD729" s="122"/>
      <c r="AJ729" s="464"/>
    </row>
    <row r="730" spans="30:36" customFormat="1">
      <c r="AD730" s="122"/>
      <c r="AJ730" s="464"/>
    </row>
    <row r="731" spans="30:36" customFormat="1">
      <c r="AD731" s="122"/>
      <c r="AJ731" s="464"/>
    </row>
    <row r="732" spans="30:36" customFormat="1">
      <c r="AD732" s="122"/>
      <c r="AJ732" s="464"/>
    </row>
    <row r="733" spans="30:36" customFormat="1">
      <c r="AD733" s="122"/>
      <c r="AJ733" s="464"/>
    </row>
    <row r="734" spans="30:36" customFormat="1">
      <c r="AD734" s="122"/>
      <c r="AJ734" s="464"/>
    </row>
    <row r="735" spans="30:36" customFormat="1">
      <c r="AD735" s="122"/>
      <c r="AJ735" s="464"/>
    </row>
    <row r="736" spans="30:36" customFormat="1">
      <c r="AD736" s="122"/>
      <c r="AJ736" s="464"/>
    </row>
    <row r="737" spans="30:36" customFormat="1">
      <c r="AD737" s="122"/>
      <c r="AJ737" s="464"/>
    </row>
    <row r="738" spans="30:36" customFormat="1">
      <c r="AD738" s="122"/>
      <c r="AJ738" s="464"/>
    </row>
    <row r="739" spans="30:36" customFormat="1">
      <c r="AD739" s="122"/>
      <c r="AJ739" s="464"/>
    </row>
    <row r="740" spans="30:36" customFormat="1">
      <c r="AD740" s="122"/>
      <c r="AJ740" s="464"/>
    </row>
    <row r="741" spans="30:36" customFormat="1">
      <c r="AD741" s="122"/>
      <c r="AJ741" s="464"/>
    </row>
    <row r="742" spans="30:36" customFormat="1">
      <c r="AD742" s="122"/>
      <c r="AJ742" s="464"/>
    </row>
    <row r="743" spans="30:36" customFormat="1">
      <c r="AD743" s="122"/>
      <c r="AJ743" s="464"/>
    </row>
    <row r="744" spans="30:36" customFormat="1">
      <c r="AD744" s="122"/>
      <c r="AJ744" s="464"/>
    </row>
    <row r="745" spans="30:36" customFormat="1">
      <c r="AD745" s="122"/>
      <c r="AJ745" s="464"/>
    </row>
    <row r="746" spans="30:36" customFormat="1">
      <c r="AD746" s="122"/>
      <c r="AJ746" s="464"/>
    </row>
    <row r="747" spans="30:36" customFormat="1">
      <c r="AD747" s="122"/>
      <c r="AJ747" s="464"/>
    </row>
    <row r="748" spans="30:36" customFormat="1">
      <c r="AD748" s="122"/>
      <c r="AJ748" s="464"/>
    </row>
    <row r="749" spans="30:36" customFormat="1">
      <c r="AD749" s="122"/>
      <c r="AJ749" s="464"/>
    </row>
    <row r="750" spans="30:36" customFormat="1">
      <c r="AD750" s="122"/>
      <c r="AJ750" s="464"/>
    </row>
    <row r="751" spans="30:36" customFormat="1">
      <c r="AD751" s="122"/>
      <c r="AJ751" s="464"/>
    </row>
    <row r="752" spans="30:36" customFormat="1">
      <c r="AD752" s="122"/>
      <c r="AJ752" s="464"/>
    </row>
    <row r="753" spans="30:36" customFormat="1">
      <c r="AD753" s="122"/>
      <c r="AJ753" s="464"/>
    </row>
    <row r="754" spans="30:36" customFormat="1">
      <c r="AD754" s="122"/>
      <c r="AJ754" s="464"/>
    </row>
    <row r="755" spans="30:36" customFormat="1">
      <c r="AD755" s="122"/>
      <c r="AJ755" s="464"/>
    </row>
    <row r="756" spans="30:36" customFormat="1">
      <c r="AD756" s="122"/>
      <c r="AJ756" s="464"/>
    </row>
    <row r="757" spans="30:36" customFormat="1">
      <c r="AD757" s="122"/>
      <c r="AJ757" s="464"/>
    </row>
    <row r="758" spans="30:36" customFormat="1">
      <c r="AD758" s="122"/>
      <c r="AJ758" s="464"/>
    </row>
    <row r="759" spans="30:36" customFormat="1">
      <c r="AD759" s="122"/>
      <c r="AJ759" s="464"/>
    </row>
    <row r="760" spans="30:36" customFormat="1">
      <c r="AD760" s="122"/>
      <c r="AJ760" s="464"/>
    </row>
    <row r="761" spans="30:36" customFormat="1">
      <c r="AD761" s="122"/>
      <c r="AJ761" s="464"/>
    </row>
    <row r="762" spans="30:36" customFormat="1">
      <c r="AD762" s="122"/>
      <c r="AJ762" s="464"/>
    </row>
    <row r="763" spans="30:36" customFormat="1">
      <c r="AD763" s="122"/>
      <c r="AJ763" s="464"/>
    </row>
    <row r="764" spans="30:36" customFormat="1">
      <c r="AD764" s="122"/>
      <c r="AJ764" s="464"/>
    </row>
    <row r="765" spans="30:36" customFormat="1">
      <c r="AD765" s="122"/>
      <c r="AJ765" s="464"/>
    </row>
    <row r="766" spans="30:36" customFormat="1">
      <c r="AD766" s="122"/>
      <c r="AJ766" s="464"/>
    </row>
    <row r="767" spans="30:36" customFormat="1">
      <c r="AD767" s="122"/>
      <c r="AJ767" s="464"/>
    </row>
    <row r="768" spans="30:36" customFormat="1">
      <c r="AD768" s="122"/>
      <c r="AJ768" s="464"/>
    </row>
    <row r="769" spans="30:36" customFormat="1">
      <c r="AD769" s="122"/>
      <c r="AJ769" s="464"/>
    </row>
    <row r="770" spans="30:36" customFormat="1">
      <c r="AD770" s="122"/>
      <c r="AJ770" s="464"/>
    </row>
    <row r="771" spans="30:36" customFormat="1">
      <c r="AD771" s="122"/>
      <c r="AJ771" s="464"/>
    </row>
    <row r="772" spans="30:36" customFormat="1">
      <c r="AD772" s="122"/>
      <c r="AJ772" s="464"/>
    </row>
    <row r="773" spans="30:36" customFormat="1">
      <c r="AD773" s="122"/>
      <c r="AJ773" s="464"/>
    </row>
    <row r="774" spans="30:36" customFormat="1">
      <c r="AD774" s="122"/>
      <c r="AJ774" s="464"/>
    </row>
    <row r="775" spans="30:36" customFormat="1">
      <c r="AD775" s="122"/>
      <c r="AJ775" s="464"/>
    </row>
    <row r="776" spans="30:36" customFormat="1">
      <c r="AD776" s="122"/>
      <c r="AJ776" s="464"/>
    </row>
    <row r="777" spans="30:36" customFormat="1">
      <c r="AD777" s="122"/>
      <c r="AJ777" s="464"/>
    </row>
    <row r="778" spans="30:36" customFormat="1">
      <c r="AD778" s="122"/>
      <c r="AJ778" s="464"/>
    </row>
    <row r="779" spans="30:36" customFormat="1">
      <c r="AD779" s="122"/>
      <c r="AJ779" s="464"/>
    </row>
    <row r="780" spans="30:36" customFormat="1">
      <c r="AD780" s="122"/>
      <c r="AJ780" s="464"/>
    </row>
    <row r="781" spans="30:36" customFormat="1">
      <c r="AD781" s="122"/>
      <c r="AJ781" s="464"/>
    </row>
    <row r="782" spans="30:36" customFormat="1">
      <c r="AD782" s="122"/>
      <c r="AJ782" s="464"/>
    </row>
    <row r="783" spans="30:36" customFormat="1">
      <c r="AD783" s="122"/>
      <c r="AJ783" s="464"/>
    </row>
    <row r="784" spans="30:36" customFormat="1">
      <c r="AD784" s="122"/>
      <c r="AJ784" s="464"/>
    </row>
    <row r="785" spans="30:36" customFormat="1">
      <c r="AD785" s="122"/>
      <c r="AJ785" s="464"/>
    </row>
    <row r="786" spans="30:36" customFormat="1">
      <c r="AD786" s="122"/>
      <c r="AJ786" s="464"/>
    </row>
    <row r="787" spans="30:36" customFormat="1">
      <c r="AD787" s="122"/>
      <c r="AJ787" s="464"/>
    </row>
    <row r="788" spans="30:36" customFormat="1">
      <c r="AD788" s="122"/>
      <c r="AJ788" s="464"/>
    </row>
    <row r="789" spans="30:36" customFormat="1">
      <c r="AD789" s="122"/>
      <c r="AJ789" s="464"/>
    </row>
    <row r="790" spans="30:36" customFormat="1">
      <c r="AD790" s="122"/>
      <c r="AJ790" s="464"/>
    </row>
    <row r="791" spans="30:36" customFormat="1">
      <c r="AD791" s="122"/>
      <c r="AJ791" s="464"/>
    </row>
    <row r="792" spans="30:36" customFormat="1">
      <c r="AD792" s="122"/>
      <c r="AJ792" s="464"/>
    </row>
    <row r="793" spans="30:36" customFormat="1">
      <c r="AD793" s="122"/>
      <c r="AJ793" s="464"/>
    </row>
    <row r="794" spans="30:36" customFormat="1">
      <c r="AD794" s="122"/>
      <c r="AJ794" s="464"/>
    </row>
    <row r="795" spans="30:36" customFormat="1">
      <c r="AD795" s="122"/>
      <c r="AJ795" s="464"/>
    </row>
    <row r="796" spans="30:36" customFormat="1">
      <c r="AD796" s="122"/>
      <c r="AJ796" s="464"/>
    </row>
    <row r="797" spans="30:36" customFormat="1">
      <c r="AD797" s="122"/>
      <c r="AJ797" s="464"/>
    </row>
    <row r="798" spans="30:36" customFormat="1">
      <c r="AD798" s="122"/>
      <c r="AJ798" s="464"/>
    </row>
    <row r="799" spans="30:36" customFormat="1">
      <c r="AD799" s="122"/>
      <c r="AJ799" s="464"/>
    </row>
    <row r="800" spans="30:36" customFormat="1">
      <c r="AD800" s="122"/>
      <c r="AJ800" s="464"/>
    </row>
    <row r="801" spans="30:36" customFormat="1">
      <c r="AD801" s="122"/>
      <c r="AJ801" s="464"/>
    </row>
    <row r="802" spans="30:36" customFormat="1">
      <c r="AD802" s="122"/>
      <c r="AJ802" s="464"/>
    </row>
    <row r="803" spans="30:36" customFormat="1">
      <c r="AD803" s="122"/>
      <c r="AJ803" s="464"/>
    </row>
    <row r="804" spans="30:36" customFormat="1">
      <c r="AD804" s="122"/>
      <c r="AJ804" s="464"/>
    </row>
    <row r="805" spans="30:36" customFormat="1">
      <c r="AD805" s="122"/>
      <c r="AJ805" s="464"/>
    </row>
    <row r="806" spans="30:36" customFormat="1">
      <c r="AD806" s="122"/>
      <c r="AJ806" s="464"/>
    </row>
    <row r="807" spans="30:36" customFormat="1">
      <c r="AD807" s="122"/>
      <c r="AJ807" s="464"/>
    </row>
    <row r="808" spans="30:36" customFormat="1">
      <c r="AD808" s="122"/>
      <c r="AJ808" s="464"/>
    </row>
    <row r="809" spans="30:36" customFormat="1">
      <c r="AD809" s="122"/>
      <c r="AJ809" s="464"/>
    </row>
    <row r="810" spans="30:36" customFormat="1">
      <c r="AD810" s="122"/>
      <c r="AJ810" s="464"/>
    </row>
    <row r="811" spans="30:36" customFormat="1">
      <c r="AD811" s="122"/>
      <c r="AJ811" s="464"/>
    </row>
    <row r="812" spans="30:36" customFormat="1">
      <c r="AD812" s="122"/>
      <c r="AJ812" s="464"/>
    </row>
    <row r="813" spans="30:36" customFormat="1">
      <c r="AD813" s="122"/>
      <c r="AJ813" s="464"/>
    </row>
    <row r="814" spans="30:36" customFormat="1">
      <c r="AD814" s="122"/>
      <c r="AJ814" s="464"/>
    </row>
    <row r="815" spans="30:36" customFormat="1">
      <c r="AD815" s="122"/>
      <c r="AJ815" s="464"/>
    </row>
    <row r="816" spans="30:36" customFormat="1">
      <c r="AD816" s="122"/>
      <c r="AJ816" s="464"/>
    </row>
    <row r="817" spans="30:36" customFormat="1">
      <c r="AD817" s="122"/>
      <c r="AJ817" s="464"/>
    </row>
  </sheetData>
  <sheetProtection password="CEBA" sheet="1" selectLockedCells="1"/>
  <dataConsolidate>
    <dataRefs count="1">
      <dataRef ref="AD39" sheet="RECIBO"/>
    </dataRefs>
  </dataConsolidate>
  <mergeCells count="86">
    <mergeCell ref="B45:O45"/>
    <mergeCell ref="Z35:AC35"/>
    <mergeCell ref="B37:X37"/>
    <mergeCell ref="Z37:AC37"/>
    <mergeCell ref="Z39:AC39"/>
    <mergeCell ref="Q45:X45"/>
    <mergeCell ref="Q43:X43"/>
    <mergeCell ref="Z40:AC40"/>
    <mergeCell ref="B62:Z62"/>
    <mergeCell ref="B48:O48"/>
    <mergeCell ref="B49:O49"/>
    <mergeCell ref="B46:O46"/>
    <mergeCell ref="Q46:X46"/>
    <mergeCell ref="B47:O47"/>
    <mergeCell ref="Z49:AC49"/>
    <mergeCell ref="Q47:X47"/>
    <mergeCell ref="T61:AC61"/>
    <mergeCell ref="Q48:X48"/>
    <mergeCell ref="B60:G60"/>
    <mergeCell ref="Z50:AC50"/>
    <mergeCell ref="B61:O61"/>
    <mergeCell ref="P49:X49"/>
    <mergeCell ref="Z30:AC30"/>
    <mergeCell ref="Z31:AC31"/>
    <mergeCell ref="H20:O20"/>
    <mergeCell ref="Q20:X20"/>
    <mergeCell ref="B26:F26"/>
    <mergeCell ref="G27:I27"/>
    <mergeCell ref="J27:N27"/>
    <mergeCell ref="B28:AC28"/>
    <mergeCell ref="B27:F27"/>
    <mergeCell ref="O27:R27"/>
    <mergeCell ref="H22:O22"/>
    <mergeCell ref="Q22:X22"/>
    <mergeCell ref="W27:Y27"/>
    <mergeCell ref="S27:V27"/>
    <mergeCell ref="G26:I26"/>
    <mergeCell ref="J26:N26"/>
    <mergeCell ref="Z32:AC32"/>
    <mergeCell ref="Z33:AC33"/>
    <mergeCell ref="Z34:AC34"/>
    <mergeCell ref="Z36:AC36"/>
    <mergeCell ref="I44:M44"/>
    <mergeCell ref="Q44:X44"/>
    <mergeCell ref="B33:X33"/>
    <mergeCell ref="B34:X34"/>
    <mergeCell ref="B35:X35"/>
    <mergeCell ref="B36:X36"/>
    <mergeCell ref="B44:G44"/>
    <mergeCell ref="Z38:AC38"/>
    <mergeCell ref="W26:Y26"/>
    <mergeCell ref="S26:V26"/>
    <mergeCell ref="O26:R26"/>
    <mergeCell ref="B42:X42"/>
    <mergeCell ref="P40:X40"/>
    <mergeCell ref="B39:X39"/>
    <mergeCell ref="B38:X38"/>
    <mergeCell ref="B1:AC1"/>
    <mergeCell ref="D4:W4"/>
    <mergeCell ref="Y4:AB4"/>
    <mergeCell ref="Y6:AB6"/>
    <mergeCell ref="D6:R6"/>
    <mergeCell ref="T6:V6"/>
    <mergeCell ref="W6:X6"/>
    <mergeCell ref="H18:O18"/>
    <mergeCell ref="Q18:X18"/>
    <mergeCell ref="Z53:AB53"/>
    <mergeCell ref="B55:AC56"/>
    <mergeCell ref="T60:AC60"/>
    <mergeCell ref="B54:AB54"/>
    <mergeCell ref="F53:S53"/>
    <mergeCell ref="H60:O60"/>
    <mergeCell ref="Z26:AC26"/>
    <mergeCell ref="Z27:AC27"/>
    <mergeCell ref="Z29:AC29"/>
    <mergeCell ref="F43:G43"/>
    <mergeCell ref="B30:X30"/>
    <mergeCell ref="B29:X29"/>
    <mergeCell ref="B31:X31"/>
    <mergeCell ref="B32:X32"/>
    <mergeCell ref="H10:AB10"/>
    <mergeCell ref="H12:V12"/>
    <mergeCell ref="Y12:AB12"/>
    <mergeCell ref="Z14:AB14"/>
    <mergeCell ref="G14:M14"/>
    <mergeCell ref="P14:V14"/>
  </mergeCells>
  <phoneticPr fontId="0" type="noConversion"/>
  <dataValidations count="1">
    <dataValidation type="decimal" allowBlank="1" showInputMessage="1" showErrorMessage="1" sqref="AB20 AB22">
      <formula1>0</formula1>
      <formula2>30</formula2>
    </dataValidation>
  </dataValidations>
  <printOptions horizontalCentered="1" verticalCentered="1"/>
  <pageMargins left="0.19685039370078741" right="0.19685039370078741" top="0.78740157480314965" bottom="0.78740157480314965" header="0.51181102362204722" footer="0.51181102362204722"/>
  <pageSetup paperSize="9" scale="85" orientation="portrait" blackAndWhite="1" horizontalDpi="4294967295" verticalDpi="36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sheetPr codeName="Plan10"/>
  <dimension ref="A1:AJ808"/>
  <sheetViews>
    <sheetView showZeros="0" zoomScale="115" zoomScaleNormal="115" workbookViewId="0">
      <selection activeCell="P48" sqref="P48:S48"/>
    </sheetView>
  </sheetViews>
  <sheetFormatPr defaultRowHeight="12.75"/>
  <cols>
    <col min="1" max="1" width="0.5703125" style="1" customWidth="1"/>
    <col min="2" max="2" width="6.28515625" style="1" customWidth="1"/>
    <col min="3" max="3" width="4.7109375" style="1" customWidth="1"/>
    <col min="4" max="4" width="1.42578125" style="1" customWidth="1"/>
    <col min="5" max="5" width="1.85546875" style="1" customWidth="1"/>
    <col min="6" max="6" width="2.5703125" style="1" customWidth="1"/>
    <col min="7" max="7" width="7.42578125" style="1" customWidth="1"/>
    <col min="8" max="8" width="4.28515625" style="1" customWidth="1"/>
    <col min="9" max="9" width="1.7109375" style="1" customWidth="1"/>
    <col min="10" max="10" width="4.140625" style="1" customWidth="1"/>
    <col min="11" max="11" width="1.42578125" style="1" customWidth="1"/>
    <col min="12" max="12" width="3" style="1" customWidth="1"/>
    <col min="13" max="13" width="3.28515625" style="1" customWidth="1"/>
    <col min="14" max="14" width="1.7109375" style="1" customWidth="1"/>
    <col min="15" max="15" width="5.85546875" style="1" customWidth="1"/>
    <col min="16" max="16" width="2.85546875" style="1" customWidth="1"/>
    <col min="17" max="17" width="4.28515625" style="1" customWidth="1"/>
    <col min="18" max="18" width="1.5703125" style="1" customWidth="1"/>
    <col min="19" max="19" width="3.28515625" style="1" customWidth="1"/>
    <col min="20" max="20" width="1.42578125" style="1" customWidth="1"/>
    <col min="21" max="21" width="4.42578125" style="1" customWidth="1"/>
    <col min="22" max="22" width="3.28515625" style="1" customWidth="1"/>
    <col min="23" max="23" width="1.7109375" style="1" customWidth="1"/>
    <col min="24" max="24" width="6.7109375" style="1" customWidth="1"/>
    <col min="25" max="25" width="3.140625" style="1" customWidth="1"/>
    <col min="26" max="26" width="11.7109375" style="1" customWidth="1"/>
    <col min="27" max="27" width="1.42578125" style="1" customWidth="1"/>
    <col min="28" max="28" width="3.28515625" style="1" customWidth="1"/>
    <col min="29" max="29" width="2.140625" style="1" customWidth="1"/>
    <col min="30" max="30" width="3.28515625" style="1" customWidth="1"/>
    <col min="31" max="31" width="0.28515625" style="1" customWidth="1"/>
    <col min="32" max="32" width="12.85546875" style="122" hidden="1" customWidth="1"/>
    <col min="33" max="33" width="7.140625" style="122" hidden="1" customWidth="1"/>
    <col min="34" max="34" width="8.5703125" style="122" hidden="1" customWidth="1"/>
    <col min="35" max="35" width="5.42578125" style="122" hidden="1" customWidth="1"/>
    <col min="36" max="36" width="0.140625" style="122" customWidth="1"/>
    <col min="37" max="37" width="4.85546875" style="122" customWidth="1"/>
    <col min="38" max="16384" width="9.140625" style="122"/>
  </cols>
  <sheetData>
    <row r="1" spans="1:34" ht="8.25" customHeight="1" thickBot="1"/>
    <row r="2" spans="1:34" ht="18" customHeight="1" thickBot="1">
      <c r="A2" s="4"/>
      <c r="B2" s="1293" t="s">
        <v>87</v>
      </c>
      <c r="C2" s="1294"/>
      <c r="D2" s="1294"/>
      <c r="E2" s="1294"/>
      <c r="F2" s="1294"/>
      <c r="G2" s="1294"/>
      <c r="H2" s="1294"/>
      <c r="I2" s="1294"/>
      <c r="J2" s="1294"/>
      <c r="K2" s="1294"/>
      <c r="L2" s="1294"/>
      <c r="M2" s="1294"/>
      <c r="N2" s="1294"/>
      <c r="O2" s="1294"/>
      <c r="P2" s="1294"/>
      <c r="Q2" s="1294"/>
      <c r="R2" s="1294"/>
      <c r="S2" s="1294"/>
      <c r="T2" s="1294"/>
      <c r="U2" s="1294"/>
      <c r="V2" s="1294"/>
      <c r="W2" s="1294"/>
      <c r="X2" s="1294"/>
      <c r="Y2" s="1294"/>
      <c r="Z2" s="1294"/>
      <c r="AA2" s="1294"/>
      <c r="AB2" s="1294"/>
      <c r="AC2" s="1295"/>
      <c r="AD2" s="4"/>
      <c r="AE2" s="4"/>
    </row>
    <row r="3" spans="1:34" ht="6" customHeight="1" thickBot="1">
      <c r="A3" s="4"/>
      <c r="B3" s="401"/>
      <c r="C3" s="402"/>
      <c r="D3" s="402"/>
      <c r="E3" s="402"/>
      <c r="F3" s="402"/>
      <c r="G3" s="402"/>
      <c r="H3" s="402"/>
      <c r="I3" s="402"/>
      <c r="J3" s="402"/>
      <c r="K3" s="402"/>
      <c r="L3" s="402"/>
      <c r="M3" s="402"/>
      <c r="N3" s="402"/>
      <c r="O3" s="402"/>
      <c r="P3" s="402"/>
      <c r="Q3" s="402"/>
      <c r="R3" s="402"/>
      <c r="S3" s="402"/>
      <c r="T3" s="402"/>
      <c r="U3" s="402"/>
      <c r="V3" s="402"/>
      <c r="W3" s="402"/>
      <c r="X3" s="402"/>
      <c r="Y3" s="402"/>
      <c r="Z3" s="402"/>
      <c r="AA3" s="402"/>
      <c r="AB3" s="402"/>
      <c r="AC3" s="402"/>
      <c r="AD3" s="4"/>
      <c r="AE3" s="4"/>
    </row>
    <row r="4" spans="1:34" ht="18" customHeight="1">
      <c r="A4" s="4"/>
      <c r="B4" s="403" t="s">
        <v>65</v>
      </c>
      <c r="C4" s="404"/>
      <c r="D4" s="1296" t="str">
        <f>AV!F5</f>
        <v>Disk Automoveis Ltda</v>
      </c>
      <c r="E4" s="1296"/>
      <c r="F4" s="1296"/>
      <c r="G4" s="1296"/>
      <c r="H4" s="1296"/>
      <c r="I4" s="1296"/>
      <c r="J4" s="1296"/>
      <c r="K4" s="1296"/>
      <c r="L4" s="1296"/>
      <c r="M4" s="1296"/>
      <c r="N4" s="1296"/>
      <c r="O4" s="1297"/>
      <c r="P4" s="1297"/>
      <c r="Q4" s="1297"/>
      <c r="R4" s="1297"/>
      <c r="S4" s="1297"/>
      <c r="T4" s="1297"/>
      <c r="U4" s="1297"/>
      <c r="V4" s="1297"/>
      <c r="W4" s="1297"/>
      <c r="X4" s="405" t="s">
        <v>66</v>
      </c>
      <c r="Y4" s="1298">
        <f>AV!S5</f>
        <v>55683486000100</v>
      </c>
      <c r="Z4" s="1298"/>
      <c r="AA4" s="1298"/>
      <c r="AB4" s="1298"/>
      <c r="AC4" s="389"/>
      <c r="AD4" s="4"/>
      <c r="AE4" s="4"/>
    </row>
    <row r="5" spans="1:34" ht="6" customHeight="1">
      <c r="A5" s="4"/>
      <c r="B5" s="390"/>
      <c r="C5" s="161"/>
      <c r="D5" s="134"/>
      <c r="E5" s="134"/>
      <c r="F5" s="134"/>
      <c r="G5" s="134"/>
      <c r="H5" s="134"/>
      <c r="I5" s="134"/>
      <c r="J5" s="134"/>
      <c r="K5" s="134"/>
      <c r="L5" s="134"/>
      <c r="M5" s="134"/>
      <c r="N5" s="134"/>
      <c r="O5" s="83"/>
      <c r="P5" s="83"/>
      <c r="Q5" s="83"/>
      <c r="R5" s="83"/>
      <c r="S5" s="83"/>
      <c r="T5" s="83"/>
      <c r="U5" s="83"/>
      <c r="V5" s="83"/>
      <c r="W5" s="83"/>
      <c r="X5" s="83"/>
      <c r="Y5" s="83"/>
      <c r="Z5" s="83"/>
      <c r="AA5" s="83"/>
      <c r="AB5" s="83"/>
      <c r="AC5" s="391"/>
      <c r="AD5" s="4"/>
      <c r="AE5" s="4"/>
    </row>
    <row r="6" spans="1:34">
      <c r="A6" s="4"/>
      <c r="B6" s="390" t="s">
        <v>259</v>
      </c>
      <c r="C6" s="161"/>
      <c r="D6" s="1113" t="str">
        <f>AV!F7</f>
        <v>Rua da Pedras</v>
      </c>
      <c r="E6" s="1299"/>
      <c r="F6" s="1299"/>
      <c r="G6" s="1299"/>
      <c r="H6" s="1299"/>
      <c r="I6" s="1299"/>
      <c r="J6" s="1299"/>
      <c r="K6" s="1299"/>
      <c r="L6" s="1299"/>
      <c r="M6" s="1299"/>
      <c r="N6" s="1299"/>
      <c r="O6" s="1299"/>
      <c r="P6" s="1299"/>
      <c r="Q6" s="1299"/>
      <c r="R6" s="1299"/>
      <c r="S6" s="83" t="s">
        <v>67</v>
      </c>
      <c r="T6" s="1300">
        <f>AV!O7</f>
        <v>10</v>
      </c>
      <c r="U6" s="1113"/>
      <c r="V6" s="1113"/>
      <c r="W6" s="1111" t="s">
        <v>68</v>
      </c>
      <c r="X6" s="1110"/>
      <c r="Y6" s="1092" t="str">
        <f>AV!S7</f>
        <v>Pres.Prudente</v>
      </c>
      <c r="Z6" s="1092"/>
      <c r="AA6" s="1092"/>
      <c r="AB6" s="1092"/>
      <c r="AC6" s="391"/>
      <c r="AD6" s="4"/>
      <c r="AE6" s="4"/>
    </row>
    <row r="7" spans="1:34">
      <c r="A7" s="42"/>
      <c r="B7" s="399"/>
      <c r="C7" s="83"/>
      <c r="D7" s="83"/>
      <c r="E7" s="83"/>
      <c r="F7" s="83"/>
      <c r="G7" s="83"/>
      <c r="H7" s="83"/>
      <c r="I7" s="83"/>
      <c r="J7" s="83"/>
      <c r="K7" s="83"/>
      <c r="L7" s="83"/>
      <c r="M7" s="83"/>
      <c r="N7" s="83"/>
      <c r="O7" s="83"/>
      <c r="P7" s="83"/>
      <c r="Q7" s="83"/>
      <c r="R7" s="83"/>
      <c r="S7" s="83"/>
      <c r="T7" s="83"/>
      <c r="U7" s="83"/>
      <c r="V7" s="83"/>
      <c r="W7" s="83"/>
      <c r="X7" s="83"/>
      <c r="Y7" s="83"/>
      <c r="Z7" s="83"/>
      <c r="AA7" s="83"/>
      <c r="AB7" s="83"/>
      <c r="AC7" s="391"/>
      <c r="AD7" s="4"/>
      <c r="AE7" s="4"/>
    </row>
    <row r="8" spans="1:34">
      <c r="A8" s="42"/>
      <c r="B8" s="390" t="s">
        <v>69</v>
      </c>
      <c r="C8" s="134"/>
      <c r="D8" s="134"/>
      <c r="E8" s="134"/>
      <c r="F8" s="134"/>
      <c r="G8" s="134"/>
      <c r="H8" s="1092" t="str">
        <f>AV!G10</f>
        <v>ANGELO</v>
      </c>
      <c r="I8" s="1092"/>
      <c r="J8" s="1092"/>
      <c r="K8" s="1092"/>
      <c r="L8" s="1092"/>
      <c r="M8" s="1092"/>
      <c r="N8" s="1098"/>
      <c r="O8" s="1098"/>
      <c r="P8" s="1098"/>
      <c r="Q8" s="1098"/>
      <c r="R8" s="1098"/>
      <c r="S8" s="1098"/>
      <c r="T8" s="1098"/>
      <c r="U8" s="1098"/>
      <c r="V8" s="1098"/>
      <c r="W8" s="1098"/>
      <c r="X8" s="1098"/>
      <c r="Y8" s="1098"/>
      <c r="Z8" s="1098"/>
      <c r="AA8" s="1098"/>
      <c r="AB8" s="1098"/>
      <c r="AC8" s="391"/>
      <c r="AD8" s="4"/>
      <c r="AE8" s="4"/>
    </row>
    <row r="9" spans="1:34" ht="6" customHeight="1">
      <c r="A9" s="42"/>
      <c r="B9" s="390"/>
      <c r="C9" s="134"/>
      <c r="D9" s="134"/>
      <c r="E9" s="134"/>
      <c r="F9" s="134"/>
      <c r="G9" s="134"/>
      <c r="H9" s="134"/>
      <c r="I9" s="134"/>
      <c r="J9" s="134"/>
      <c r="K9" s="134"/>
      <c r="L9" s="134"/>
      <c r="M9" s="134"/>
      <c r="N9" s="86"/>
      <c r="O9" s="86"/>
      <c r="P9" s="86"/>
      <c r="Q9" s="86"/>
      <c r="R9" s="86"/>
      <c r="S9" s="86"/>
      <c r="T9" s="86"/>
      <c r="U9" s="86"/>
      <c r="V9" s="86"/>
      <c r="W9" s="86"/>
      <c r="X9" s="86"/>
      <c r="Y9" s="86"/>
      <c r="Z9" s="86"/>
      <c r="AA9" s="86"/>
      <c r="AB9" s="83"/>
      <c r="AC9" s="391"/>
      <c r="AD9" s="4"/>
      <c r="AE9" s="4"/>
    </row>
    <row r="10" spans="1:34">
      <c r="A10" s="42"/>
      <c r="B10" s="390" t="s">
        <v>70</v>
      </c>
      <c r="C10" s="134"/>
      <c r="D10" s="134"/>
      <c r="E10" s="134"/>
      <c r="F10" s="134"/>
      <c r="G10" s="134"/>
      <c r="H10" s="1091">
        <f>AV!G12</f>
        <v>55563</v>
      </c>
      <c r="I10" s="1092"/>
      <c r="J10" s="1092"/>
      <c r="K10" s="1092"/>
      <c r="L10" s="1092"/>
      <c r="M10" s="1092"/>
      <c r="N10" s="1098"/>
      <c r="O10" s="1098"/>
      <c r="P10" s="1098"/>
      <c r="Q10" s="1098"/>
      <c r="R10" s="1098"/>
      <c r="S10" s="1098"/>
      <c r="T10" s="1098"/>
      <c r="U10" s="1098"/>
      <c r="V10" s="1098"/>
      <c r="W10" s="86"/>
      <c r="X10" s="86" t="s">
        <v>71</v>
      </c>
      <c r="Y10" s="1092" t="str">
        <f>AV!S12</f>
        <v>00038/sp</v>
      </c>
      <c r="Z10" s="1098"/>
      <c r="AA10" s="1098"/>
      <c r="AB10" s="1098"/>
      <c r="AC10" s="391"/>
      <c r="AD10" s="4"/>
      <c r="AE10" s="4"/>
    </row>
    <row r="11" spans="1:34" ht="6" customHeight="1">
      <c r="A11" s="42"/>
      <c r="B11" s="390"/>
      <c r="C11" s="134"/>
      <c r="D11" s="134"/>
      <c r="E11" s="134"/>
      <c r="F11" s="134"/>
      <c r="G11" s="134"/>
      <c r="H11" s="134"/>
      <c r="I11" s="134"/>
      <c r="J11" s="134"/>
      <c r="K11" s="134"/>
      <c r="L11" s="134"/>
      <c r="M11" s="134"/>
      <c r="N11" s="86"/>
      <c r="O11" s="86"/>
      <c r="P11" s="86"/>
      <c r="Q11" s="86"/>
      <c r="R11" s="86"/>
      <c r="S11" s="86"/>
      <c r="T11" s="86"/>
      <c r="U11" s="86"/>
      <c r="V11" s="86"/>
      <c r="W11" s="86"/>
      <c r="X11" s="86"/>
      <c r="Y11" s="86"/>
      <c r="Z11" s="86"/>
      <c r="AA11" s="86"/>
      <c r="AB11" s="83"/>
      <c r="AC11" s="391"/>
      <c r="AD11" s="4"/>
      <c r="AE11" s="4"/>
    </row>
    <row r="12" spans="1:34">
      <c r="A12" s="42"/>
      <c r="B12" s="390" t="s">
        <v>265</v>
      </c>
      <c r="C12" s="134"/>
      <c r="D12" s="134"/>
      <c r="E12" s="134"/>
      <c r="F12" s="134"/>
      <c r="G12" s="1092" t="str">
        <f>AV!G14</f>
        <v>adm</v>
      </c>
      <c r="H12" s="1092"/>
      <c r="I12" s="1092"/>
      <c r="J12" s="1092"/>
      <c r="K12" s="1092"/>
      <c r="L12" s="1092"/>
      <c r="M12" s="1092"/>
      <c r="N12" s="86" t="s">
        <v>72</v>
      </c>
      <c r="O12" s="86"/>
      <c r="P12" s="1092" t="str">
        <f>AV!O14</f>
        <v>contabil</v>
      </c>
      <c r="Q12" s="1092"/>
      <c r="R12" s="1092"/>
      <c r="S12" s="1092"/>
      <c r="T12" s="1092"/>
      <c r="U12" s="1092"/>
      <c r="V12" s="1092"/>
      <c r="W12" s="86"/>
      <c r="X12" s="86" t="s">
        <v>267</v>
      </c>
      <c r="Y12" s="86"/>
      <c r="Z12" s="1092">
        <f>AV!V14</f>
        <v>0</v>
      </c>
      <c r="AA12" s="1098"/>
      <c r="AB12" s="1098"/>
      <c r="AC12" s="391"/>
      <c r="AD12" s="4"/>
      <c r="AE12" s="4"/>
    </row>
    <row r="13" spans="1:34">
      <c r="A13" s="42"/>
      <c r="B13" s="398"/>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2"/>
      <c r="AC13" s="391"/>
      <c r="AD13" s="4"/>
      <c r="AE13" s="4"/>
    </row>
    <row r="14" spans="1:34">
      <c r="A14" s="42"/>
      <c r="B14" s="390" t="s">
        <v>73</v>
      </c>
      <c r="C14" s="161"/>
      <c r="D14" s="161"/>
      <c r="E14" s="161"/>
      <c r="F14" s="161"/>
      <c r="G14" s="161"/>
      <c r="H14" s="1108">
        <f>IF(DADOS!$E$7=0," ",IF(DADOS!$E$7&gt;0,DADOS!$E$7))</f>
        <v>41288</v>
      </c>
      <c r="I14" s="1108"/>
      <c r="J14" s="1108"/>
      <c r="K14" s="1108"/>
      <c r="L14" s="1108"/>
      <c r="M14" s="1108"/>
      <c r="N14" s="1108"/>
      <c r="O14" s="1108"/>
      <c r="P14" s="132" t="s">
        <v>74</v>
      </c>
      <c r="Q14" s="1074">
        <f>IF(DADOS!$F$7=0," ",IF(DADOS!$F$7&gt;0,DADOS!$F$7))</f>
        <v>41652</v>
      </c>
      <c r="R14" s="1074"/>
      <c r="S14" s="1074"/>
      <c r="T14" s="1074"/>
      <c r="U14" s="1074"/>
      <c r="V14" s="1074"/>
      <c r="W14" s="1074"/>
      <c r="X14" s="1074"/>
      <c r="Y14" s="49" t="s">
        <v>75</v>
      </c>
      <c r="Z14" s="49"/>
      <c r="AA14" s="49"/>
      <c r="AB14" s="42"/>
      <c r="AC14" s="391"/>
      <c r="AD14" s="4"/>
      <c r="AE14" s="4"/>
    </row>
    <row r="15" spans="1:34" ht="6" customHeight="1">
      <c r="A15" s="42"/>
      <c r="B15" s="390"/>
      <c r="C15" s="161"/>
      <c r="D15" s="161"/>
      <c r="E15" s="161"/>
      <c r="F15" s="161"/>
      <c r="G15" s="161"/>
      <c r="H15" s="162"/>
      <c r="I15" s="139"/>
      <c r="J15" s="162"/>
      <c r="K15" s="162"/>
      <c r="L15" s="162"/>
      <c r="M15" s="162"/>
      <c r="N15" s="139"/>
      <c r="O15" s="157" t="s">
        <v>271</v>
      </c>
      <c r="P15" s="139"/>
      <c r="Q15" s="162"/>
      <c r="R15" s="139"/>
      <c r="S15" s="162"/>
      <c r="T15" s="162"/>
      <c r="U15" s="162"/>
      <c r="V15" s="162"/>
      <c r="W15" s="139"/>
      <c r="X15" s="157"/>
      <c r="Y15" s="49"/>
      <c r="Z15" s="49"/>
      <c r="AA15" s="49"/>
      <c r="AB15" s="42"/>
      <c r="AC15" s="391"/>
      <c r="AD15" s="4"/>
      <c r="AE15" s="4"/>
    </row>
    <row r="16" spans="1:34">
      <c r="A16" s="42"/>
      <c r="B16" s="390" t="s">
        <v>76</v>
      </c>
      <c r="C16" s="161"/>
      <c r="D16" s="161"/>
      <c r="E16" s="161"/>
      <c r="F16" s="161"/>
      <c r="G16" s="161"/>
      <c r="H16" s="1108">
        <f>IF(DADOS!$E$10="",0,IF(DADOS!$E$10&gt;0,DADOS!$E$10))</f>
        <v>41731</v>
      </c>
      <c r="I16" s="1108"/>
      <c r="J16" s="1108"/>
      <c r="K16" s="1108"/>
      <c r="L16" s="1108"/>
      <c r="M16" s="1108"/>
      <c r="N16" s="1108"/>
      <c r="O16" s="1108"/>
      <c r="P16" s="132" t="s">
        <v>74</v>
      </c>
      <c r="Q16" s="1074">
        <f>IF(DADOS!$I$10=" ",0,IF(DADOS!$I$10&gt;0,DADOS!$I$10))</f>
        <v>41760</v>
      </c>
      <c r="R16" s="1074"/>
      <c r="S16" s="1074"/>
      <c r="T16" s="1074"/>
      <c r="U16" s="1074"/>
      <c r="V16" s="1074"/>
      <c r="W16" s="1074"/>
      <c r="X16" s="1074"/>
      <c r="Y16" s="163" t="s">
        <v>77</v>
      </c>
      <c r="Z16" s="49"/>
      <c r="AA16" s="49"/>
      <c r="AB16" s="156">
        <f>DADOS!E8</f>
        <v>30</v>
      </c>
      <c r="AC16" s="391" t="s">
        <v>78</v>
      </c>
      <c r="AD16" s="4"/>
      <c r="AE16" s="4"/>
      <c r="AF16" s="369">
        <f>DADOS!AB10</f>
        <v>30</v>
      </c>
      <c r="AG16" s="373">
        <f>IF(AF25=2,DAY(Q16),0)</f>
        <v>1</v>
      </c>
      <c r="AH16" s="369">
        <f>AF16-AG16</f>
        <v>29</v>
      </c>
    </row>
    <row r="17" spans="1:35" ht="6" customHeight="1">
      <c r="A17" s="42"/>
      <c r="B17" s="390"/>
      <c r="C17" s="161"/>
      <c r="D17" s="161"/>
      <c r="E17" s="161"/>
      <c r="F17" s="161"/>
      <c r="G17" s="161"/>
      <c r="H17" s="162"/>
      <c r="I17" s="139"/>
      <c r="J17" s="162"/>
      <c r="K17" s="162"/>
      <c r="L17" s="162"/>
      <c r="M17" s="162"/>
      <c r="N17" s="139"/>
      <c r="O17" s="157"/>
      <c r="P17" s="139"/>
      <c r="Q17" s="162"/>
      <c r="R17" s="139"/>
      <c r="S17" s="162"/>
      <c r="T17" s="162"/>
      <c r="U17" s="162"/>
      <c r="V17" s="162"/>
      <c r="W17" s="139"/>
      <c r="X17" s="157"/>
      <c r="Y17" s="49"/>
      <c r="Z17" s="49"/>
      <c r="AA17" s="49"/>
      <c r="AB17" s="204"/>
      <c r="AC17" s="391"/>
      <c r="AD17" s="4"/>
      <c r="AE17" s="4"/>
      <c r="AF17" s="371"/>
      <c r="AG17" s="371"/>
      <c r="AH17" s="371"/>
    </row>
    <row r="18" spans="1:35">
      <c r="A18" s="42"/>
      <c r="B18" s="390" t="s">
        <v>79</v>
      </c>
      <c r="C18" s="161"/>
      <c r="D18" s="161"/>
      <c r="E18" s="161"/>
      <c r="F18" s="161"/>
      <c r="G18" s="161"/>
      <c r="H18" s="1108">
        <f>IF(DADOS!$G$9=" ",0,IF(DADOS!$G$9&gt;0,DADOS!$G$9))</f>
        <v>0</v>
      </c>
      <c r="I18" s="1108"/>
      <c r="J18" s="1108"/>
      <c r="K18" s="1108"/>
      <c r="L18" s="1108"/>
      <c r="M18" s="1108"/>
      <c r="N18" s="1108"/>
      <c r="O18" s="1108"/>
      <c r="P18" s="132" t="s">
        <v>74</v>
      </c>
      <c r="Q18" s="1108">
        <f>IF(DADOS!$I$9=" ",0,IF(DADOS!$I$9&gt;0,DADOS!$I$9))</f>
        <v>0</v>
      </c>
      <c r="R18" s="1108"/>
      <c r="S18" s="1108"/>
      <c r="T18" s="1108"/>
      <c r="U18" s="1108"/>
      <c r="V18" s="1108"/>
      <c r="W18" s="1108"/>
      <c r="X18" s="1108"/>
      <c r="Y18" s="163" t="s">
        <v>80</v>
      </c>
      <c r="Z18" s="49"/>
      <c r="AA18" s="49"/>
      <c r="AB18" s="211">
        <f>DADOS!E9</f>
        <v>0</v>
      </c>
      <c r="AC18" s="391" t="s">
        <v>78</v>
      </c>
      <c r="AD18" s="4"/>
      <c r="AE18" s="4"/>
      <c r="AF18" s="372">
        <f>DADOS!AB9</f>
        <v>0</v>
      </c>
      <c r="AG18" s="373">
        <f>IF(AF36=4,DAY(Q18),0)</f>
        <v>0</v>
      </c>
      <c r="AH18" s="372">
        <f>AF18-AG18</f>
        <v>0</v>
      </c>
    </row>
    <row r="19" spans="1:35" ht="6" customHeight="1" thickBot="1">
      <c r="A19" s="42"/>
      <c r="B19" s="394"/>
      <c r="C19" s="395"/>
      <c r="D19" s="395"/>
      <c r="E19" s="395"/>
      <c r="F19" s="395"/>
      <c r="G19" s="395"/>
      <c r="H19" s="396"/>
      <c r="I19" s="396"/>
      <c r="J19" s="395"/>
      <c r="K19" s="395"/>
      <c r="L19" s="395"/>
      <c r="M19" s="395"/>
      <c r="N19" s="396"/>
      <c r="O19" s="396"/>
      <c r="P19" s="397"/>
      <c r="Q19" s="396"/>
      <c r="R19" s="396"/>
      <c r="S19" s="396"/>
      <c r="T19" s="396"/>
      <c r="U19" s="396"/>
      <c r="V19" s="396"/>
      <c r="W19" s="396"/>
      <c r="X19" s="396"/>
      <c r="Y19" s="396"/>
      <c r="Z19" s="396"/>
      <c r="AA19" s="396"/>
      <c r="AB19" s="392"/>
      <c r="AC19" s="393"/>
      <c r="AD19" s="4"/>
      <c r="AE19" s="4"/>
    </row>
    <row r="20" spans="1:35" ht="12.75" customHeight="1" thickBot="1">
      <c r="A20" s="4"/>
      <c r="B20" s="161"/>
      <c r="C20" s="161"/>
      <c r="D20" s="161"/>
      <c r="E20" s="161"/>
      <c r="F20" s="161"/>
      <c r="G20" s="161"/>
      <c r="H20" s="49"/>
      <c r="I20" s="49"/>
      <c r="J20" s="161"/>
      <c r="K20" s="161"/>
      <c r="L20" s="161"/>
      <c r="M20" s="161"/>
      <c r="N20" s="49"/>
      <c r="O20" s="49"/>
      <c r="P20" s="54"/>
      <c r="Q20" s="49"/>
      <c r="R20" s="49"/>
      <c r="S20" s="49"/>
      <c r="T20" s="49"/>
      <c r="U20" s="49"/>
      <c r="V20" s="49"/>
      <c r="W20" s="49"/>
      <c r="X20" s="49"/>
      <c r="Y20" s="49"/>
      <c r="Z20" s="49"/>
      <c r="AA20" s="49"/>
      <c r="AB20" s="42"/>
      <c r="AC20" s="42"/>
      <c r="AD20" s="4"/>
      <c r="AE20" s="4"/>
    </row>
    <row r="21" spans="1:35">
      <c r="A21" s="42"/>
      <c r="B21" s="1322" t="s">
        <v>81</v>
      </c>
      <c r="C21" s="1323"/>
      <c r="D21" s="1323"/>
      <c r="E21" s="1323"/>
      <c r="F21" s="1323"/>
      <c r="G21" s="1318" t="s">
        <v>82</v>
      </c>
      <c r="H21" s="1319"/>
      <c r="I21" s="1319"/>
      <c r="J21" s="1321" t="s">
        <v>83</v>
      </c>
      <c r="K21" s="1321"/>
      <c r="L21" s="1321"/>
      <c r="M21" s="1321"/>
      <c r="N21" s="1321"/>
      <c r="O21" s="1321" t="s">
        <v>422</v>
      </c>
      <c r="P21" s="1321"/>
      <c r="Q21" s="1321"/>
      <c r="R21" s="1321"/>
      <c r="S21" s="1318" t="s">
        <v>85</v>
      </c>
      <c r="T21" s="1319"/>
      <c r="U21" s="1319"/>
      <c r="V21" s="1320"/>
      <c r="W21" s="1316" t="s">
        <v>281</v>
      </c>
      <c r="X21" s="1317"/>
      <c r="Y21" s="1317"/>
      <c r="Z21" s="1304" t="s">
        <v>421</v>
      </c>
      <c r="AA21" s="1305"/>
      <c r="AB21" s="1305"/>
      <c r="AC21" s="1306"/>
      <c r="AD21" s="4"/>
      <c r="AE21" s="4"/>
      <c r="AF21" s="123"/>
    </row>
    <row r="22" spans="1:35" ht="13.5" thickBot="1">
      <c r="A22" s="42"/>
      <c r="B22" s="1325">
        <f>DADOS!I8</f>
        <v>0</v>
      </c>
      <c r="C22" s="1326"/>
      <c r="D22" s="1326"/>
      <c r="E22" s="1326"/>
      <c r="F22" s="1326"/>
      <c r="G22" s="1307">
        <f>VLOOKUP(DADOS!$G$3,FUNC!A3:IF156,89)</f>
        <v>1000</v>
      </c>
      <c r="H22" s="1307"/>
      <c r="I22" s="1307"/>
      <c r="J22" s="1307">
        <f>DADOS!E6</f>
        <v>0</v>
      </c>
      <c r="K22" s="1307"/>
      <c r="L22" s="1307"/>
      <c r="M22" s="1307"/>
      <c r="N22" s="1307"/>
      <c r="O22" s="1307">
        <f>DADOS!I5</f>
        <v>0</v>
      </c>
      <c r="P22" s="1307"/>
      <c r="Q22" s="1307"/>
      <c r="R22" s="1307"/>
      <c r="S22" s="1307">
        <f>DADOS!I6</f>
        <v>0</v>
      </c>
      <c r="T22" s="1307"/>
      <c r="U22" s="1307"/>
      <c r="V22" s="1308"/>
      <c r="W22" s="1324">
        <f>DADOS!P28*8%</f>
        <v>106.67</v>
      </c>
      <c r="X22" s="1324"/>
      <c r="Y22" s="1324"/>
      <c r="Z22" s="1307">
        <f>SUM(G22:V22)</f>
        <v>1000</v>
      </c>
      <c r="AA22" s="1308"/>
      <c r="AB22" s="1308"/>
      <c r="AC22" s="1309"/>
      <c r="AD22" s="4"/>
      <c r="AE22" s="4"/>
      <c r="AF22" s="123"/>
    </row>
    <row r="23" spans="1:35">
      <c r="A23" s="42"/>
      <c r="B23" s="407"/>
      <c r="C23" s="408"/>
      <c r="D23" s="408"/>
      <c r="E23" s="408"/>
      <c r="F23" s="408"/>
      <c r="G23" s="409"/>
      <c r="H23" s="409"/>
      <c r="I23" s="409"/>
      <c r="J23" s="409"/>
      <c r="K23" s="409"/>
      <c r="L23" s="409"/>
      <c r="M23" s="409"/>
      <c r="N23" s="410"/>
      <c r="O23" s="1332" t="s">
        <v>423</v>
      </c>
      <c r="P23" s="1332"/>
      <c r="Q23" s="1332"/>
      <c r="R23" s="1332"/>
      <c r="S23" s="1332"/>
      <c r="T23" s="1332"/>
      <c r="U23" s="1332"/>
      <c r="V23" s="1332"/>
      <c r="W23" s="1332"/>
      <c r="X23" s="1332"/>
      <c r="Y23" s="411"/>
      <c r="Z23" s="1310" t="s">
        <v>433</v>
      </c>
      <c r="AA23" s="1311"/>
      <c r="AB23" s="1311"/>
      <c r="AC23" s="1312"/>
      <c r="AD23" s="4"/>
      <c r="AE23" s="4"/>
      <c r="AF23" s="370">
        <f>MONTH(AF24)</f>
        <v>4</v>
      </c>
      <c r="AG23" s="370">
        <f>MONTH(AG24)</f>
        <v>5</v>
      </c>
    </row>
    <row r="24" spans="1:35" ht="15.75" customHeight="1">
      <c r="A24" s="42"/>
      <c r="B24" s="1280" t="s">
        <v>416</v>
      </c>
      <c r="C24" s="1281"/>
      <c r="D24" s="1281"/>
      <c r="E24" s="1281"/>
      <c r="F24" s="1281"/>
      <c r="G24" s="1281"/>
      <c r="H24" s="1281"/>
      <c r="I24" s="1281"/>
      <c r="J24" s="1281"/>
      <c r="K24" s="1281"/>
      <c r="L24" s="1281"/>
      <c r="M24" s="1281"/>
      <c r="N24" s="1282"/>
      <c r="O24" s="379">
        <f>MONTH(P24)</f>
        <v>4</v>
      </c>
      <c r="P24" s="1329">
        <f>H16</f>
        <v>41731</v>
      </c>
      <c r="Q24" s="1330"/>
      <c r="R24" s="1330"/>
      <c r="S24" s="1331"/>
      <c r="T24" s="1327">
        <f>MONTH(V24)</f>
        <v>5</v>
      </c>
      <c r="U24" s="1328"/>
      <c r="V24" s="1329">
        <f>Q16</f>
        <v>41760</v>
      </c>
      <c r="W24" s="1330"/>
      <c r="X24" s="1331"/>
      <c r="Y24" s="376"/>
      <c r="Z24" s="1313"/>
      <c r="AA24" s="1314"/>
      <c r="AB24" s="1314"/>
      <c r="AC24" s="1315"/>
      <c r="AD24" s="42"/>
      <c r="AE24" s="42"/>
      <c r="AF24" s="374">
        <f>P24</f>
        <v>41731</v>
      </c>
      <c r="AG24" s="374">
        <f>V24</f>
        <v>41760</v>
      </c>
    </row>
    <row r="25" spans="1:35" ht="18">
      <c r="A25" s="42"/>
      <c r="B25" s="1301" t="s">
        <v>412</v>
      </c>
      <c r="C25" s="1302"/>
      <c r="D25" s="1302"/>
      <c r="E25" s="1302"/>
      <c r="F25" s="1302"/>
      <c r="G25" s="1302"/>
      <c r="H25" s="1302"/>
      <c r="I25" s="1302"/>
      <c r="J25" s="1302"/>
      <c r="K25" s="1302"/>
      <c r="L25" s="1302"/>
      <c r="M25" s="1302"/>
      <c r="N25" s="1303"/>
      <c r="O25" s="378">
        <f>AH16</f>
        <v>29</v>
      </c>
      <c r="P25" s="1262">
        <f>RECIBO!AF29/RECIBO!AB20*O25</f>
        <v>966.67</v>
      </c>
      <c r="Q25" s="1263"/>
      <c r="R25" s="1263"/>
      <c r="S25" s="1264"/>
      <c r="T25" s="1257">
        <f>AG16</f>
        <v>1</v>
      </c>
      <c r="U25" s="1258"/>
      <c r="V25" s="1364">
        <f>Z25-P25</f>
        <v>33.33</v>
      </c>
      <c r="W25" s="1365"/>
      <c r="X25" s="1365"/>
      <c r="Y25" s="115"/>
      <c r="Z25" s="1335">
        <f>RECIBO!AF29</f>
        <v>1000</v>
      </c>
      <c r="AA25" s="1336"/>
      <c r="AB25" s="1336"/>
      <c r="AC25" s="1337"/>
      <c r="AD25" s="42"/>
      <c r="AE25" s="42"/>
      <c r="AF25" s="448">
        <f>IF(O24=T24,1,IF(O24&lt;&gt;T24,2))</f>
        <v>2</v>
      </c>
      <c r="AG25" s="448"/>
      <c r="AI25" s="429"/>
    </row>
    <row r="26" spans="1:35" ht="18">
      <c r="A26" s="42"/>
      <c r="B26" s="1301" t="s">
        <v>414</v>
      </c>
      <c r="C26" s="1302"/>
      <c r="D26" s="1302"/>
      <c r="E26" s="1302"/>
      <c r="F26" s="1302"/>
      <c r="G26" s="1302"/>
      <c r="H26" s="1302"/>
      <c r="I26" s="1302"/>
      <c r="J26" s="1302"/>
      <c r="K26" s="1302"/>
      <c r="L26" s="1302"/>
      <c r="M26" s="1302"/>
      <c r="N26" s="1303"/>
      <c r="O26" s="426"/>
      <c r="P26" s="1287">
        <f>P25/3</f>
        <v>322.22000000000003</v>
      </c>
      <c r="Q26" s="1333"/>
      <c r="R26" s="1333"/>
      <c r="S26" s="1334"/>
      <c r="T26" s="1257">
        <f>AG15</f>
        <v>0</v>
      </c>
      <c r="U26" s="1258"/>
      <c r="V26" s="1287">
        <f>Z26-P26</f>
        <v>11.11</v>
      </c>
      <c r="W26" s="1288"/>
      <c r="X26" s="1289"/>
      <c r="Y26" s="115"/>
      <c r="Z26" s="1335">
        <f>RECIBO!AF30</f>
        <v>333.33</v>
      </c>
      <c r="AA26" s="1336"/>
      <c r="AB26" s="1336"/>
      <c r="AC26" s="1337"/>
      <c r="AD26" s="42"/>
      <c r="AE26" s="42"/>
      <c r="AF26" s="384"/>
      <c r="AG26" s="384"/>
      <c r="AI26" s="429"/>
    </row>
    <row r="27" spans="1:35" ht="18">
      <c r="A27" s="42"/>
      <c r="B27" s="1301" t="s">
        <v>413</v>
      </c>
      <c r="C27" s="1302"/>
      <c r="D27" s="1302"/>
      <c r="E27" s="1302"/>
      <c r="F27" s="1302"/>
      <c r="G27" s="1302"/>
      <c r="H27" s="1302"/>
      <c r="I27" s="1302"/>
      <c r="J27" s="1302"/>
      <c r="K27" s="1302"/>
      <c r="L27" s="1302"/>
      <c r="M27" s="1302"/>
      <c r="N27" s="1303"/>
      <c r="O27" s="378">
        <f>AH16</f>
        <v>29</v>
      </c>
      <c r="P27" s="1262">
        <f>RECIBO!AG29/RECIBO!AB20*O27</f>
        <v>0</v>
      </c>
      <c r="Q27" s="1263"/>
      <c r="R27" s="1263"/>
      <c r="S27" s="1264"/>
      <c r="T27" s="1257">
        <f>AG16</f>
        <v>1</v>
      </c>
      <c r="U27" s="1258"/>
      <c r="V27" s="1287">
        <f>Z27-P27</f>
        <v>0</v>
      </c>
      <c r="W27" s="1288"/>
      <c r="X27" s="1289"/>
      <c r="Y27" s="115"/>
      <c r="Z27" s="1335">
        <f>RECIBO!AG29</f>
        <v>0</v>
      </c>
      <c r="AA27" s="1336"/>
      <c r="AB27" s="1336"/>
      <c r="AC27" s="1337"/>
      <c r="AD27" s="42"/>
      <c r="AE27" s="42"/>
      <c r="AF27" s="451"/>
      <c r="AG27" s="452"/>
      <c r="AH27" s="385"/>
      <c r="AI27" s="429"/>
    </row>
    <row r="28" spans="1:35" ht="18" customHeight="1">
      <c r="A28" s="42"/>
      <c r="B28" s="1341" t="s">
        <v>415</v>
      </c>
      <c r="C28" s="1342"/>
      <c r="D28" s="1342"/>
      <c r="E28" s="1342"/>
      <c r="F28" s="1342"/>
      <c r="G28" s="1342"/>
      <c r="H28" s="1342"/>
      <c r="I28" s="1342"/>
      <c r="J28" s="1342"/>
      <c r="K28" s="1342"/>
      <c r="L28" s="1342"/>
      <c r="M28" s="1342"/>
      <c r="N28" s="1342"/>
      <c r="O28" s="426"/>
      <c r="P28" s="1287">
        <f>P27/3</f>
        <v>0</v>
      </c>
      <c r="Q28" s="1288"/>
      <c r="R28" s="1288"/>
      <c r="S28" s="1289"/>
      <c r="T28" s="1290"/>
      <c r="U28" s="1292"/>
      <c r="V28" s="1287">
        <f>Z28-P28</f>
        <v>0</v>
      </c>
      <c r="W28" s="1288"/>
      <c r="X28" s="1289"/>
      <c r="Y28" s="115"/>
      <c r="Z28" s="1335">
        <f>RECIBO!AG30</f>
        <v>0</v>
      </c>
      <c r="AA28" s="1336"/>
      <c r="AB28" s="1336"/>
      <c r="AC28" s="1337"/>
      <c r="AD28" s="42"/>
      <c r="AE28" s="42"/>
      <c r="AF28" s="453">
        <f>SUM(AF25+AF36)</f>
        <v>5</v>
      </c>
      <c r="AI28" s="429"/>
    </row>
    <row r="29" spans="1:35" ht="18" customHeight="1">
      <c r="A29" s="42"/>
      <c r="B29" s="1284">
        <f>RECIBO!B37</f>
        <v>0</v>
      </c>
      <c r="C29" s="1285"/>
      <c r="D29" s="1285"/>
      <c r="E29" s="1285"/>
      <c r="F29" s="1285"/>
      <c r="G29" s="1285"/>
      <c r="H29" s="1285"/>
      <c r="I29" s="1285"/>
      <c r="J29" s="1285"/>
      <c r="K29" s="1285"/>
      <c r="L29" s="1285"/>
      <c r="M29" s="1285"/>
      <c r="N29" s="1286"/>
      <c r="O29" s="426"/>
      <c r="P29" s="1287">
        <f>Z29</f>
        <v>0</v>
      </c>
      <c r="Q29" s="1288"/>
      <c r="R29" s="1288"/>
      <c r="S29" s="1289"/>
      <c r="T29" s="1290"/>
      <c r="U29" s="1292"/>
      <c r="V29" s="1290"/>
      <c r="W29" s="1291"/>
      <c r="X29" s="1292"/>
      <c r="Y29" s="115"/>
      <c r="Z29" s="1252">
        <f>RECIBO!Z37</f>
        <v>0</v>
      </c>
      <c r="AA29" s="1253"/>
      <c r="AB29" s="1253"/>
      <c r="AC29" s="1254"/>
      <c r="AD29" s="42"/>
      <c r="AE29" s="42"/>
      <c r="AF29" s="438">
        <f>IF(AF34=AG34,1,IF(AF34&lt;&gt;AG34,2))</f>
        <v>1</v>
      </c>
      <c r="AI29" s="429"/>
    </row>
    <row r="30" spans="1:35" ht="18" customHeight="1">
      <c r="A30" s="42"/>
      <c r="B30" s="1284">
        <f>RECIBO!B39</f>
        <v>0</v>
      </c>
      <c r="C30" s="1285"/>
      <c r="D30" s="1285"/>
      <c r="E30" s="1285"/>
      <c r="F30" s="1285"/>
      <c r="G30" s="1285"/>
      <c r="H30" s="1285"/>
      <c r="I30" s="1285"/>
      <c r="J30" s="1285"/>
      <c r="K30" s="1285"/>
      <c r="L30" s="1285"/>
      <c r="M30" s="1285"/>
      <c r="N30" s="1286"/>
      <c r="O30" s="426"/>
      <c r="P30" s="1287">
        <f>Z30</f>
        <v>0</v>
      </c>
      <c r="Q30" s="1288"/>
      <c r="R30" s="1288"/>
      <c r="S30" s="1289"/>
      <c r="T30" s="1290"/>
      <c r="U30" s="1292"/>
      <c r="V30" s="1290"/>
      <c r="W30" s="1291"/>
      <c r="X30" s="1292"/>
      <c r="Y30" s="115"/>
      <c r="Z30" s="1252">
        <f>RECIBO!Z39</f>
        <v>0</v>
      </c>
      <c r="AA30" s="1253"/>
      <c r="AB30" s="1253"/>
      <c r="AC30" s="1254"/>
      <c r="AD30" s="42"/>
      <c r="AE30" s="42"/>
      <c r="AI30" s="429"/>
    </row>
    <row r="31" spans="1:35" ht="18" customHeight="1">
      <c r="A31" s="42"/>
      <c r="B31" s="1284" t="str">
        <f>IF(DADOS!A26=0,"  ",IF(DADOS!A26&gt;0,DADOS!A26))</f>
        <v xml:space="preserve">  </v>
      </c>
      <c r="C31" s="1285"/>
      <c r="D31" s="1285"/>
      <c r="E31" s="1285"/>
      <c r="F31" s="1285"/>
      <c r="G31" s="1285"/>
      <c r="H31" s="1285"/>
      <c r="I31" s="1285"/>
      <c r="J31" s="1285"/>
      <c r="K31" s="1285"/>
      <c r="L31" s="1285"/>
      <c r="M31" s="1285"/>
      <c r="N31" s="1286"/>
      <c r="O31" s="458">
        <f>IF(B31=0,0,IF(B31&gt;0,O25))</f>
        <v>29</v>
      </c>
      <c r="P31" s="1358">
        <f>RECIBO!Z38/RECIBO!AB20*O31</f>
        <v>0</v>
      </c>
      <c r="Q31" s="1263"/>
      <c r="R31" s="1263"/>
      <c r="S31" s="1264"/>
      <c r="T31" s="1257"/>
      <c r="U31" s="1258"/>
      <c r="V31" s="1287">
        <f>IF(B31=" "," ",IF(B31=0,"",IF(B31&gt;0,Z31-P31)))</f>
        <v>0</v>
      </c>
      <c r="W31" s="1288"/>
      <c r="X31" s="1289"/>
      <c r="Y31" s="115"/>
      <c r="Z31" s="1252">
        <f>RECIBO!Z38</f>
        <v>0</v>
      </c>
      <c r="AA31" s="1253"/>
      <c r="AB31" s="1253"/>
      <c r="AC31" s="1254"/>
      <c r="AD31" s="42"/>
      <c r="AE31" s="42"/>
      <c r="AI31" s="430"/>
    </row>
    <row r="32" spans="1:35" ht="14.25" customHeight="1">
      <c r="A32" s="42"/>
      <c r="B32" s="1359" t="s">
        <v>429</v>
      </c>
      <c r="C32" s="1360"/>
      <c r="D32" s="1360"/>
      <c r="E32" s="1360"/>
      <c r="F32" s="1360"/>
      <c r="G32" s="1360"/>
      <c r="H32" s="1360"/>
      <c r="I32" s="1360"/>
      <c r="J32" s="1360"/>
      <c r="K32" s="1360"/>
      <c r="L32" s="1360"/>
      <c r="M32" s="1360"/>
      <c r="N32" s="1361"/>
      <c r="O32" s="387"/>
      <c r="P32" s="1265">
        <f>SUM(P25:S31)</f>
        <v>1288.8900000000001</v>
      </c>
      <c r="Q32" s="1266"/>
      <c r="R32" s="1266"/>
      <c r="S32" s="1267"/>
      <c r="T32" s="1349"/>
      <c r="U32" s="1350"/>
      <c r="V32" s="1266">
        <f>SUM(V25:X31)</f>
        <v>44.44</v>
      </c>
      <c r="W32" s="1266"/>
      <c r="X32" s="1267"/>
      <c r="Y32" s="115"/>
      <c r="Z32" s="1338">
        <f>SUM(Z25:AC31)</f>
        <v>1333.33</v>
      </c>
      <c r="AA32" s="1339"/>
      <c r="AB32" s="1339"/>
      <c r="AC32" s="1340"/>
      <c r="AD32" s="42"/>
      <c r="AE32" s="42"/>
    </row>
    <row r="33" spans="1:33" ht="18" customHeight="1">
      <c r="A33" s="42"/>
      <c r="B33" s="1280" t="s">
        <v>416</v>
      </c>
      <c r="C33" s="1281"/>
      <c r="D33" s="1281"/>
      <c r="E33" s="1281"/>
      <c r="F33" s="1281"/>
      <c r="G33" s="1281"/>
      <c r="H33" s="1281"/>
      <c r="I33" s="1281"/>
      <c r="J33" s="1281"/>
      <c r="K33" s="1281"/>
      <c r="L33" s="1281"/>
      <c r="M33" s="1281"/>
      <c r="N33" s="1282"/>
      <c r="O33" s="379">
        <f>IF(P33=0,0,IF(P33&gt;0,MONTH(P33)))</f>
        <v>0</v>
      </c>
      <c r="P33" s="1343">
        <f>AF33</f>
        <v>0</v>
      </c>
      <c r="Q33" s="1344"/>
      <c r="R33" s="1344"/>
      <c r="S33" s="1345"/>
      <c r="T33" s="1347">
        <f>IF(V33=0,0,IF(V33&gt;0,MONTH(V33)))</f>
        <v>0</v>
      </c>
      <c r="U33" s="1348"/>
      <c r="V33" s="1343">
        <f>AG33</f>
        <v>0</v>
      </c>
      <c r="W33" s="1344"/>
      <c r="X33" s="1345"/>
      <c r="Y33" s="115"/>
      <c r="Z33" s="1274"/>
      <c r="AA33" s="1274"/>
      <c r="AB33" s="1274"/>
      <c r="AC33" s="1275"/>
      <c r="AD33" s="42"/>
      <c r="AE33" s="42"/>
      <c r="AF33" s="447">
        <f>$H$18</f>
        <v>0</v>
      </c>
      <c r="AG33" s="447">
        <f>$Q$18</f>
        <v>0</v>
      </c>
    </row>
    <row r="34" spans="1:33" ht="18">
      <c r="A34" s="42"/>
      <c r="B34" s="1283" t="s">
        <v>417</v>
      </c>
      <c r="C34" s="1017"/>
      <c r="D34" s="1017"/>
      <c r="E34" s="1017"/>
      <c r="F34" s="1017"/>
      <c r="G34" s="1017"/>
      <c r="H34" s="1017"/>
      <c r="I34" s="1017"/>
      <c r="J34" s="1017"/>
      <c r="K34" s="1017"/>
      <c r="L34" s="1017"/>
      <c r="M34" s="1017"/>
      <c r="N34" s="1018"/>
      <c r="O34" s="378">
        <f>AF18</f>
        <v>0</v>
      </c>
      <c r="P34" s="1362">
        <f>IF(O34&lt;=0,0,IF(O34&gt;0,RECIBO!AF31/RECIBO!AB22*O34))</f>
        <v>0</v>
      </c>
      <c r="Q34" s="1363"/>
      <c r="R34" s="1363"/>
      <c r="S34" s="1363"/>
      <c r="T34" s="1260">
        <v>0</v>
      </c>
      <c r="U34" s="1346"/>
      <c r="V34" s="1270">
        <f>G22/30*T34</f>
        <v>0</v>
      </c>
      <c r="W34" s="1271"/>
      <c r="X34" s="1272"/>
      <c r="Y34" s="115"/>
      <c r="Z34" s="1278">
        <f>RECIBO!AF31</f>
        <v>0</v>
      </c>
      <c r="AA34" s="1278"/>
      <c r="AB34" s="1278"/>
      <c r="AC34" s="1279"/>
      <c r="AD34" s="42"/>
      <c r="AE34" s="42"/>
      <c r="AF34" s="373">
        <f>MONTH(H18)</f>
        <v>1</v>
      </c>
      <c r="AG34" s="373">
        <f>MONTH(AG33)</f>
        <v>1</v>
      </c>
    </row>
    <row r="35" spans="1:33" ht="15.75">
      <c r="A35" s="42"/>
      <c r="B35" s="1255" t="s">
        <v>419</v>
      </c>
      <c r="C35" s="1256"/>
      <c r="D35" s="1256"/>
      <c r="E35" s="1256"/>
      <c r="F35" s="1256"/>
      <c r="G35" s="1256"/>
      <c r="H35" s="1256"/>
      <c r="I35" s="1256"/>
      <c r="J35" s="1256"/>
      <c r="K35" s="1256"/>
      <c r="L35" s="1256"/>
      <c r="M35" s="1256"/>
      <c r="N35" s="1256"/>
      <c r="O35" s="426"/>
      <c r="P35" s="1356">
        <f>P34/3</f>
        <v>0</v>
      </c>
      <c r="Q35" s="1357"/>
      <c r="R35" s="1357"/>
      <c r="S35" s="1357"/>
      <c r="T35" s="1290"/>
      <c r="U35" s="1292"/>
      <c r="V35" s="1351">
        <f>V34/3</f>
        <v>0</v>
      </c>
      <c r="W35" s="1352"/>
      <c r="X35" s="1353"/>
      <c r="Y35" s="115"/>
      <c r="Z35" s="1278">
        <f>RECIBO!AF32</f>
        <v>0</v>
      </c>
      <c r="AA35" s="1278"/>
      <c r="AB35" s="1278"/>
      <c r="AC35" s="1279"/>
      <c r="AD35" s="42"/>
      <c r="AE35" s="42"/>
      <c r="AF35" s="377"/>
      <c r="AG35" s="373"/>
    </row>
    <row r="36" spans="1:33" ht="18">
      <c r="A36" s="42"/>
      <c r="B36" s="1283" t="s">
        <v>418</v>
      </c>
      <c r="C36" s="1017"/>
      <c r="D36" s="1017"/>
      <c r="E36" s="1017"/>
      <c r="F36" s="1017"/>
      <c r="G36" s="1017"/>
      <c r="H36" s="1017"/>
      <c r="I36" s="1017"/>
      <c r="J36" s="1017"/>
      <c r="K36" s="1017"/>
      <c r="L36" s="1017"/>
      <c r="M36" s="1017"/>
      <c r="N36" s="1018"/>
      <c r="O36" s="378">
        <f>AF18</f>
        <v>0</v>
      </c>
      <c r="P36" s="1354">
        <f>IF(O36&lt;=0,0,IF(O36&gt;0,RECIBO!AG31/RECIBO!AB22*O36))</f>
        <v>0</v>
      </c>
      <c r="Q36" s="1355"/>
      <c r="R36" s="1355"/>
      <c r="S36" s="1355"/>
      <c r="T36" s="1260">
        <v>0</v>
      </c>
      <c r="U36" s="1346"/>
      <c r="V36" s="1270">
        <f>(J22+O22+S22)/30*T36</f>
        <v>0</v>
      </c>
      <c r="W36" s="1271"/>
      <c r="X36" s="1272"/>
      <c r="Y36" s="115"/>
      <c r="Z36" s="1278">
        <f>RECIBO!AG31</f>
        <v>0</v>
      </c>
      <c r="AA36" s="1278"/>
      <c r="AB36" s="1278"/>
      <c r="AC36" s="1279"/>
      <c r="AD36" s="42"/>
      <c r="AE36" s="42"/>
      <c r="AF36" s="1366">
        <f>IF(AF34=AG34,3,IF(AF34&lt;&gt;AG34,4))</f>
        <v>3</v>
      </c>
      <c r="AG36" s="1366"/>
    </row>
    <row r="37" spans="1:33" ht="16.5" customHeight="1">
      <c r="A37" s="42"/>
      <c r="B37" s="1255" t="s">
        <v>420</v>
      </c>
      <c r="C37" s="1256"/>
      <c r="D37" s="1256"/>
      <c r="E37" s="1256"/>
      <c r="F37" s="1256"/>
      <c r="G37" s="1256"/>
      <c r="H37" s="1256"/>
      <c r="I37" s="1256"/>
      <c r="J37" s="1256"/>
      <c r="K37" s="1256"/>
      <c r="L37" s="1256"/>
      <c r="M37" s="1256"/>
      <c r="N37" s="1273"/>
      <c r="O37" s="426"/>
      <c r="P37" s="1270">
        <f>P36/3</f>
        <v>0</v>
      </c>
      <c r="Q37" s="1271"/>
      <c r="R37" s="1271"/>
      <c r="S37" s="1272"/>
      <c r="T37" s="1290"/>
      <c r="U37" s="1292"/>
      <c r="V37" s="1351">
        <f>V36/3</f>
        <v>0</v>
      </c>
      <c r="W37" s="1352"/>
      <c r="X37" s="1353"/>
      <c r="Y37" s="115"/>
      <c r="Z37" s="1278">
        <f>RECIBO!AG32</f>
        <v>0</v>
      </c>
      <c r="AA37" s="1278"/>
      <c r="AB37" s="1278"/>
      <c r="AC37" s="1279"/>
      <c r="AD37" s="42"/>
      <c r="AE37" s="42"/>
      <c r="AF37" s="123"/>
    </row>
    <row r="38" spans="1:33" ht="16.5" hidden="1" customHeight="1">
      <c r="A38" s="42"/>
      <c r="B38" s="1374"/>
      <c r="C38" s="1375"/>
      <c r="D38" s="1375"/>
      <c r="E38" s="1375"/>
      <c r="F38" s="1375"/>
      <c r="G38" s="1375"/>
      <c r="H38" s="1375"/>
      <c r="I38" s="1375"/>
      <c r="J38" s="1375"/>
      <c r="K38" s="1375"/>
      <c r="L38" s="1375"/>
      <c r="M38" s="1375"/>
      <c r="N38" s="1376"/>
      <c r="O38" s="386"/>
      <c r="P38" s="1270"/>
      <c r="Q38" s="1271"/>
      <c r="R38" s="1271"/>
      <c r="S38" s="1272"/>
      <c r="T38" s="421"/>
      <c r="U38" s="422"/>
      <c r="V38" s="1351"/>
      <c r="W38" s="1352"/>
      <c r="X38" s="1353"/>
      <c r="Y38" s="115"/>
      <c r="Z38" s="1252"/>
      <c r="AA38" s="1253"/>
      <c r="AB38" s="1253"/>
      <c r="AC38" s="1254"/>
      <c r="AD38" s="42"/>
      <c r="AE38" s="42"/>
      <c r="AF38" s="123"/>
    </row>
    <row r="39" spans="1:33" ht="18" customHeight="1">
      <c r="A39" s="42"/>
      <c r="B39" s="1379" t="s">
        <v>430</v>
      </c>
      <c r="C39" s="1380"/>
      <c r="D39" s="1380"/>
      <c r="E39" s="1380"/>
      <c r="F39" s="1380"/>
      <c r="G39" s="1380"/>
      <c r="H39" s="1380"/>
      <c r="I39" s="1380"/>
      <c r="J39" s="1380"/>
      <c r="K39" s="1380"/>
      <c r="L39" s="1380"/>
      <c r="M39" s="1380"/>
      <c r="N39" s="382"/>
      <c r="O39" s="383"/>
      <c r="P39" s="1398">
        <f>SUM(P34:S38)</f>
        <v>0</v>
      </c>
      <c r="Q39" s="1398"/>
      <c r="R39" s="1398"/>
      <c r="S39" s="1399"/>
      <c r="T39" s="1381"/>
      <c r="U39" s="1378"/>
      <c r="V39" s="1377">
        <f>SUM(V34:X38)</f>
        <v>0</v>
      </c>
      <c r="W39" s="1377"/>
      <c r="X39" s="1378"/>
      <c r="Y39" s="115"/>
      <c r="Z39" s="1338">
        <f>SUM(Z34:AC38)</f>
        <v>0</v>
      </c>
      <c r="AA39" s="1339"/>
      <c r="AB39" s="1339"/>
      <c r="AC39" s="1340"/>
      <c r="AD39" s="42"/>
      <c r="AE39" s="42"/>
      <c r="AF39" s="123"/>
    </row>
    <row r="40" spans="1:33" ht="15.75">
      <c r="A40" s="42"/>
      <c r="B40" s="1268" t="s">
        <v>424</v>
      </c>
      <c r="C40" s="1269"/>
      <c r="D40" s="1269"/>
      <c r="E40" s="1269"/>
      <c r="F40" s="1269"/>
      <c r="G40" s="1269"/>
      <c r="H40" s="1269"/>
      <c r="I40" s="1269"/>
      <c r="J40" s="1269"/>
      <c r="K40" s="1269"/>
      <c r="L40" s="1269"/>
      <c r="M40" s="1269"/>
      <c r="N40" s="1269"/>
      <c r="O40" s="1269"/>
      <c r="P40" s="1352">
        <f>SUM(P25:S31)+SUM(P34:S37)</f>
        <v>1288.8900000000001</v>
      </c>
      <c r="Q40" s="1372"/>
      <c r="R40" s="1372"/>
      <c r="S40" s="1373"/>
      <c r="T40" s="380"/>
      <c r="U40" s="381"/>
      <c r="V40" s="1352">
        <f>V32+V39</f>
        <v>44.44</v>
      </c>
      <c r="W40" s="1372"/>
      <c r="X40" s="1373"/>
      <c r="Y40" s="115"/>
      <c r="Z40" s="1276">
        <f>Z32+Z39</f>
        <v>1333.33</v>
      </c>
      <c r="AA40" s="1276"/>
      <c r="AB40" s="1276"/>
      <c r="AC40" s="1277"/>
      <c r="AD40" s="42"/>
      <c r="AE40" s="42"/>
      <c r="AF40" s="123"/>
    </row>
    <row r="41" spans="1:33" ht="18">
      <c r="A41" s="42"/>
      <c r="B41" s="1367">
        <v>666</v>
      </c>
      <c r="C41" s="1368"/>
      <c r="D41" s="1368"/>
      <c r="E41" s="1368"/>
      <c r="F41" s="1368"/>
      <c r="G41" s="1368"/>
      <c r="H41" s="1368"/>
      <c r="I41" s="1368"/>
      <c r="J41" s="1368"/>
      <c r="K41" s="1368"/>
      <c r="L41" s="1368"/>
      <c r="M41" s="1368"/>
      <c r="N41" s="1368"/>
      <c r="O41" s="1368"/>
      <c r="P41" s="1368"/>
      <c r="Q41" s="1368"/>
      <c r="R41" s="1368"/>
      <c r="S41" s="1368"/>
      <c r="T41" s="1368"/>
      <c r="U41" s="1368"/>
      <c r="V41" s="1368"/>
      <c r="W41" s="1368"/>
      <c r="X41" s="1368"/>
      <c r="Y41" s="115"/>
      <c r="Z41" s="1369"/>
      <c r="AA41" s="1369"/>
      <c r="AB41" s="1369"/>
      <c r="AC41" s="1370"/>
      <c r="AD41" s="42"/>
      <c r="AE41" s="42"/>
      <c r="AF41" s="123"/>
    </row>
    <row r="42" spans="1:33" ht="18.75" customHeight="1">
      <c r="A42" s="4"/>
      <c r="B42" s="1283" t="s">
        <v>426</v>
      </c>
      <c r="C42" s="1017"/>
      <c r="D42" s="1017"/>
      <c r="E42" s="1017"/>
      <c r="F42" s="1017"/>
      <c r="G42" s="1017"/>
      <c r="H42" s="1017"/>
      <c r="I42" s="1017"/>
      <c r="J42" s="1017"/>
      <c r="K42" s="1017"/>
      <c r="L42" s="1017"/>
      <c r="M42" s="1017"/>
      <c r="N42" s="1018"/>
      <c r="O42" s="378">
        <f>O25</f>
        <v>29</v>
      </c>
      <c r="P42" s="1371">
        <f>IF(AF16&gt;0,RECIBO!Q43/AF16*O42,IF(AF16=0,0))</f>
        <v>116</v>
      </c>
      <c r="Q42" s="1371"/>
      <c r="R42" s="1371"/>
      <c r="S42" s="1371"/>
      <c r="T42" s="1257">
        <f>T25</f>
        <v>1</v>
      </c>
      <c r="U42" s="1258"/>
      <c r="V42" s="1371">
        <f>IF(AF16&gt;0,RECIBO!Q43-P42,IF(AF16=0,0))</f>
        <v>4</v>
      </c>
      <c r="W42" s="1371"/>
      <c r="X42" s="1371"/>
      <c r="Y42" s="166"/>
      <c r="Z42" s="1278">
        <f>P42+V42</f>
        <v>120</v>
      </c>
      <c r="AA42" s="1278"/>
      <c r="AB42" s="1278"/>
      <c r="AC42" s="1279"/>
      <c r="AD42" s="42"/>
      <c r="AE42" s="42"/>
      <c r="AF42" s="123"/>
    </row>
    <row r="43" spans="1:33" ht="18">
      <c r="A43" s="4"/>
      <c r="B43" s="1400" t="s">
        <v>425</v>
      </c>
      <c r="C43" s="1401"/>
      <c r="D43" s="1401"/>
      <c r="E43" s="1401"/>
      <c r="F43" s="1401"/>
      <c r="G43" s="1401"/>
      <c r="H43" s="1401"/>
      <c r="I43" s="1401"/>
      <c r="J43" s="1401"/>
      <c r="K43" s="1401"/>
      <c r="L43" s="1401"/>
      <c r="M43" s="1401"/>
      <c r="N43" s="1401"/>
      <c r="O43" s="378">
        <f>AF16</f>
        <v>30</v>
      </c>
      <c r="P43" s="1371">
        <f>IF(AF16&gt;0,RECIBO!Q44/AF16*O43,IF(AF16=0,0))</f>
        <v>0</v>
      </c>
      <c r="Q43" s="1371"/>
      <c r="R43" s="1371"/>
      <c r="S43" s="1371"/>
      <c r="T43" s="1257">
        <v>0</v>
      </c>
      <c r="U43" s="1258"/>
      <c r="V43" s="1371">
        <f>IF(AF16&gt;0,RECIBO!Q44-P43,IF(AF16=0,0))</f>
        <v>0</v>
      </c>
      <c r="W43" s="1371"/>
      <c r="X43" s="1371"/>
      <c r="Y43" s="49"/>
      <c r="Z43" s="1278">
        <f>P43+V43</f>
        <v>0</v>
      </c>
      <c r="AA43" s="1278"/>
      <c r="AB43" s="1278"/>
      <c r="AC43" s="1279"/>
      <c r="AD43" s="4"/>
      <c r="AE43" s="4"/>
      <c r="AG43" s="123"/>
    </row>
    <row r="44" spans="1:33" ht="18">
      <c r="A44" s="4"/>
      <c r="B44" s="1259" t="str">
        <f>IF(DADOS!F29=0," ",IF(DADOS!F29&gt;0,DADOS!A29))</f>
        <v xml:space="preserve"> </v>
      </c>
      <c r="C44" s="1000"/>
      <c r="D44" s="1000"/>
      <c r="E44" s="1000"/>
      <c r="F44" s="1000"/>
      <c r="G44" s="1000"/>
      <c r="H44" s="1000"/>
      <c r="I44" s="1000"/>
      <c r="J44" s="1000"/>
      <c r="K44" s="1000"/>
      <c r="L44" s="1000"/>
      <c r="M44" s="1000"/>
      <c r="N44" s="1001"/>
      <c r="O44" s="378">
        <f>AF16</f>
        <v>30</v>
      </c>
      <c r="P44" s="1262">
        <f>IF(Z44=" "," ",IF(Z44=0,0,IF(Z44&gt;0,Z44/$AF$16*O44)))</f>
        <v>0</v>
      </c>
      <c r="Q44" s="1263"/>
      <c r="R44" s="1263"/>
      <c r="S44" s="1264"/>
      <c r="T44" s="1260">
        <v>0</v>
      </c>
      <c r="U44" s="1261" t="b">
        <f>IF(H44=" "," ",IF(H44&gt;0,$O$25))</f>
        <v>0</v>
      </c>
      <c r="V44" s="1262">
        <f>IF(P44=0,0,IF(P44=" "," ",IF(P44&gt;0,Z44-P44)))</f>
        <v>0</v>
      </c>
      <c r="W44" s="1263"/>
      <c r="X44" s="1264"/>
      <c r="Y44" s="49"/>
      <c r="Z44" s="1252">
        <f>DADOS!F29</f>
        <v>0</v>
      </c>
      <c r="AA44" s="1253"/>
      <c r="AB44" s="1253"/>
      <c r="AC44" s="1254"/>
      <c r="AD44" s="4"/>
      <c r="AE44" s="4"/>
      <c r="AG44" s="123"/>
    </row>
    <row r="45" spans="1:33" ht="18">
      <c r="A45" s="4"/>
      <c r="B45" s="1259" t="str">
        <f>IF(DADOS!F30=0," ",IF(DADOS!F30&gt;0,DADOS!A30))</f>
        <v xml:space="preserve"> </v>
      </c>
      <c r="C45" s="1000"/>
      <c r="D45" s="1000"/>
      <c r="E45" s="1000"/>
      <c r="F45" s="1000"/>
      <c r="G45" s="1000"/>
      <c r="H45" s="1000"/>
      <c r="I45" s="1000"/>
      <c r="J45" s="1000"/>
      <c r="K45" s="1000"/>
      <c r="L45" s="1000"/>
      <c r="M45" s="1000"/>
      <c r="N45" s="1001"/>
      <c r="O45" s="378">
        <f>AF16</f>
        <v>30</v>
      </c>
      <c r="P45" s="1262">
        <f>IF(Z45=" "," ",IF(Z45=0,0,IF(Z45&gt;0,Z45/$AF$16*O45)))</f>
        <v>0</v>
      </c>
      <c r="Q45" s="1263"/>
      <c r="R45" s="1263"/>
      <c r="S45" s="1264"/>
      <c r="T45" s="1260">
        <v>0</v>
      </c>
      <c r="U45" s="1261" t="b">
        <f>IF(H45=" "," ",IF(H45&gt;0,$O$25))</f>
        <v>0</v>
      </c>
      <c r="V45" s="1262">
        <f>IF(P45=0,0,IF(P45=" "," ",IF(P45&gt;0,Z45-P45)))</f>
        <v>0</v>
      </c>
      <c r="W45" s="1263"/>
      <c r="X45" s="1264"/>
      <c r="Y45" s="49"/>
      <c r="Z45" s="1252">
        <f>DADOS!F30</f>
        <v>0</v>
      </c>
      <c r="AA45" s="1253"/>
      <c r="AB45" s="1253"/>
      <c r="AC45" s="1254"/>
      <c r="AD45" s="4"/>
      <c r="AE45" s="4"/>
      <c r="AG45" s="123"/>
    </row>
    <row r="46" spans="1:33" ht="18">
      <c r="A46" s="4"/>
      <c r="B46" s="1259" t="str">
        <f>IF(DADOS!F31=0," ",IF(DADOS!F31&gt;0,DADOS!A31))</f>
        <v xml:space="preserve"> </v>
      </c>
      <c r="C46" s="1000"/>
      <c r="D46" s="1000"/>
      <c r="E46" s="1000"/>
      <c r="F46" s="1000"/>
      <c r="G46" s="1000"/>
      <c r="H46" s="1000"/>
      <c r="I46" s="1000"/>
      <c r="J46" s="1000"/>
      <c r="K46" s="1000"/>
      <c r="L46" s="1000"/>
      <c r="M46" s="1000"/>
      <c r="N46" s="1001"/>
      <c r="O46" s="378">
        <f>AF16</f>
        <v>30</v>
      </c>
      <c r="P46" s="1262">
        <f>IF(Z46=" "," ",IF(Z46=0,0,IF(Z46&gt;0,Z46/$AF$16*O46)))</f>
        <v>0</v>
      </c>
      <c r="Q46" s="1263"/>
      <c r="R46" s="1263"/>
      <c r="S46" s="1264"/>
      <c r="T46" s="1260">
        <v>0</v>
      </c>
      <c r="U46" s="1261" t="b">
        <f>IF(H46=" "," ",IF(H46&gt;0,$O$25))</f>
        <v>0</v>
      </c>
      <c r="V46" s="1262">
        <f>IF(P46=0,0,IF(P46=" "," ",IF(P46&gt;0,Z46-P46)))</f>
        <v>0</v>
      </c>
      <c r="W46" s="1263"/>
      <c r="X46" s="1264"/>
      <c r="Y46" s="49"/>
      <c r="Z46" s="1252">
        <f>DADOS!F31</f>
        <v>0</v>
      </c>
      <c r="AA46" s="1253"/>
      <c r="AB46" s="1253"/>
      <c r="AC46" s="1254"/>
      <c r="AD46" s="4"/>
      <c r="AE46" s="4"/>
      <c r="AG46" s="123"/>
    </row>
    <row r="47" spans="1:33" ht="18">
      <c r="A47" s="4"/>
      <c r="B47" s="1259" t="str">
        <f>IF(DADOS!F32=0," ",IF(DADOS!F32&gt;0,DADOS!A32))</f>
        <v xml:space="preserve"> </v>
      </c>
      <c r="C47" s="1000"/>
      <c r="D47" s="1000"/>
      <c r="E47" s="1000"/>
      <c r="F47" s="1000"/>
      <c r="G47" s="1000"/>
      <c r="H47" s="1000"/>
      <c r="I47" s="1000"/>
      <c r="J47" s="1000"/>
      <c r="K47" s="1000"/>
      <c r="L47" s="1000"/>
      <c r="M47" s="1000"/>
      <c r="N47" s="1001"/>
      <c r="O47" s="378">
        <f>AF16</f>
        <v>30</v>
      </c>
      <c r="P47" s="1262">
        <f>IF(Z47=" "," ",IF(Z47=0,0,IF(Z47&gt;0,Z47/$AF$16*O47)))</f>
        <v>0</v>
      </c>
      <c r="Q47" s="1263"/>
      <c r="R47" s="1263"/>
      <c r="S47" s="1264"/>
      <c r="T47" s="1260">
        <v>0</v>
      </c>
      <c r="U47" s="1261" t="b">
        <f>IF(H47=" "," ",IF(H47&gt;0,$O$25))</f>
        <v>0</v>
      </c>
      <c r="V47" s="1262">
        <f>IF(P47=0,0,IF(P47=" "," ",IF(P47&gt;0,Z47-P47)))</f>
        <v>0</v>
      </c>
      <c r="W47" s="1263"/>
      <c r="X47" s="1264"/>
      <c r="Y47" s="49"/>
      <c r="Z47" s="1252">
        <f>RECIBO!Q48</f>
        <v>0</v>
      </c>
      <c r="AA47" s="1253"/>
      <c r="AB47" s="1253"/>
      <c r="AC47" s="1254"/>
      <c r="AD47" s="4"/>
      <c r="AE47" s="4"/>
      <c r="AG47" s="123"/>
    </row>
    <row r="48" spans="1:33" ht="18">
      <c r="A48" s="4"/>
      <c r="B48" s="1395" t="s">
        <v>428</v>
      </c>
      <c r="C48" s="1396"/>
      <c r="D48" s="1396"/>
      <c r="E48" s="1396"/>
      <c r="F48" s="1396"/>
      <c r="G48" s="1396"/>
      <c r="H48" s="1396"/>
      <c r="I48" s="1396"/>
      <c r="J48" s="1396"/>
      <c r="K48" s="1396"/>
      <c r="L48" s="1396"/>
      <c r="M48" s="1396"/>
      <c r="N48" s="1397"/>
      <c r="O48" s="378"/>
      <c r="P48" s="1262">
        <f>P42+P43+P44+P45+P46+P47</f>
        <v>116</v>
      </c>
      <c r="Q48" s="1263"/>
      <c r="R48" s="1263"/>
      <c r="S48" s="1264"/>
      <c r="T48" s="1260"/>
      <c r="U48" s="1261"/>
      <c r="V48" s="1262">
        <f>V42+V43+V44+V45+V46+V47</f>
        <v>4</v>
      </c>
      <c r="W48" s="1263"/>
      <c r="X48" s="1264"/>
      <c r="Y48" s="49"/>
      <c r="Z48" s="1276">
        <f>P48+V48</f>
        <v>120</v>
      </c>
      <c r="AA48" s="1276"/>
      <c r="AB48" s="1276"/>
      <c r="AC48" s="1277"/>
      <c r="AD48" s="4"/>
      <c r="AE48" s="4"/>
      <c r="AG48" s="123"/>
    </row>
    <row r="49" spans="1:36" ht="11.25" customHeight="1">
      <c r="A49" s="42"/>
      <c r="B49" s="412"/>
      <c r="C49" s="375"/>
      <c r="D49" s="375"/>
      <c r="E49" s="375"/>
      <c r="F49" s="375"/>
      <c r="G49" s="375"/>
      <c r="H49" s="375"/>
      <c r="I49" s="375"/>
      <c r="J49" s="375"/>
      <c r="K49" s="375"/>
      <c r="L49" s="375"/>
      <c r="M49" s="375"/>
      <c r="N49" s="375"/>
      <c r="O49" s="375"/>
      <c r="P49" s="375"/>
      <c r="Q49" s="375"/>
      <c r="R49" s="375"/>
      <c r="S49" s="375"/>
      <c r="T49" s="375"/>
      <c r="U49" s="375"/>
      <c r="V49" s="375"/>
      <c r="W49" s="375"/>
      <c r="X49" s="375"/>
      <c r="Y49" s="42"/>
      <c r="Z49" s="42"/>
      <c r="AA49" s="42"/>
      <c r="AB49" s="42"/>
      <c r="AC49" s="391"/>
      <c r="AD49" s="4"/>
      <c r="AE49" s="4"/>
    </row>
    <row r="50" spans="1:36" ht="15.75">
      <c r="A50" s="42"/>
      <c r="B50" s="1341" t="s">
        <v>93</v>
      </c>
      <c r="C50" s="1342"/>
      <c r="D50" s="1342"/>
      <c r="E50" s="1342"/>
      <c r="F50" s="1342"/>
      <c r="G50" s="1342"/>
      <c r="H50" s="1342"/>
      <c r="I50" s="1342"/>
      <c r="J50" s="1342"/>
      <c r="K50" s="1342"/>
      <c r="L50" s="1342"/>
      <c r="M50" s="1342"/>
      <c r="N50" s="1342"/>
      <c r="O50" s="1383">
        <f>IF(AF28=5,Z50-T50,IF(AF28=4,Z50-T50))</f>
        <v>1172.8900000000001</v>
      </c>
      <c r="P50" s="1333"/>
      <c r="Q50" s="1333"/>
      <c r="R50" s="1333"/>
      <c r="S50" s="1334"/>
      <c r="T50" s="1384">
        <f>IF(AF29=2,AF50-P39,IF(AF29=1,AF50))</f>
        <v>40.44</v>
      </c>
      <c r="U50" s="1385"/>
      <c r="V50" s="1385"/>
      <c r="W50" s="1385"/>
      <c r="X50" s="1386"/>
      <c r="Y50" s="62"/>
      <c r="Z50" s="1387">
        <f>Z33+Z40-Z42-Z43-Z44-Z45-Z46-Z47</f>
        <v>1213.33</v>
      </c>
      <c r="AA50" s="1388"/>
      <c r="AB50" s="1388"/>
      <c r="AC50" s="1389"/>
      <c r="AD50" s="165"/>
      <c r="AE50" s="165"/>
      <c r="AF50" s="454">
        <f>IF($AF$28=4,0,IF($AF$28=5,$V$32+$P$39+$V$39-$V$48))</f>
        <v>40.44</v>
      </c>
      <c r="AG50" s="455"/>
      <c r="AH50" s="455"/>
      <c r="AI50" s="455"/>
      <c r="AJ50" s="456"/>
    </row>
    <row r="51" spans="1:36" ht="17.25" customHeight="1" thickBot="1">
      <c r="A51" s="42"/>
      <c r="B51" s="1392"/>
      <c r="C51" s="1393"/>
      <c r="D51" s="1393"/>
      <c r="E51" s="1393"/>
      <c r="F51" s="1393"/>
      <c r="G51" s="1393"/>
      <c r="H51" s="413"/>
      <c r="I51" s="1394"/>
      <c r="J51" s="1394"/>
      <c r="K51" s="1394"/>
      <c r="L51" s="1394"/>
      <c r="M51" s="1394"/>
      <c r="N51" s="414"/>
      <c r="O51" s="1391">
        <f>O50+T50</f>
        <v>1213.33</v>
      </c>
      <c r="P51" s="1391"/>
      <c r="Q51" s="1391"/>
      <c r="R51" s="1391"/>
      <c r="S51" s="1391"/>
      <c r="T51" s="1391"/>
      <c r="U51" s="1391"/>
      <c r="V51" s="1391"/>
      <c r="W51" s="1391"/>
      <c r="X51" s="1391"/>
      <c r="Y51" s="415"/>
      <c r="Z51" s="415"/>
      <c r="AA51" s="415"/>
      <c r="AB51" s="415"/>
      <c r="AC51" s="416"/>
      <c r="AD51" s="165"/>
      <c r="AE51" s="165"/>
      <c r="AF51" s="123"/>
    </row>
    <row r="52" spans="1:36" ht="15.75">
      <c r="A52" s="42"/>
      <c r="B52" s="233"/>
      <c r="C52" s="233"/>
      <c r="D52" s="233"/>
      <c r="E52" s="233"/>
      <c r="F52" s="233"/>
      <c r="G52" s="204"/>
      <c r="H52" s="204"/>
      <c r="I52" s="204"/>
      <c r="J52" s="204"/>
      <c r="K52" s="204"/>
      <c r="L52" s="204"/>
      <c r="M52" s="204"/>
      <c r="N52" s="204"/>
      <c r="O52" s="204"/>
      <c r="P52" s="1382"/>
      <c r="Q52" s="1382"/>
      <c r="R52" s="1382"/>
      <c r="S52" s="1382"/>
      <c r="T52" s="406"/>
      <c r="U52" s="406"/>
      <c r="V52" s="1390"/>
      <c r="W52" s="1390"/>
      <c r="X52" s="1390"/>
      <c r="Y52" s="62"/>
      <c r="Z52" s="62"/>
      <c r="AA52" s="62"/>
      <c r="AB52" s="62"/>
      <c r="AC52" s="62"/>
      <c r="AD52" s="42"/>
      <c r="AE52" s="42"/>
    </row>
    <row r="53" spans="1:36">
      <c r="A53" s="4"/>
      <c r="B53" s="24"/>
      <c r="C53" s="24"/>
      <c r="D53" s="24"/>
      <c r="E53" s="24"/>
      <c r="F53" s="62"/>
      <c r="G53" s="62"/>
      <c r="H53" s="62"/>
      <c r="I53" s="62"/>
      <c r="J53" s="62"/>
      <c r="K53" s="62"/>
      <c r="L53" s="62"/>
      <c r="M53" s="62"/>
      <c r="N53" s="62"/>
      <c r="O53" s="62"/>
      <c r="P53" s="1382"/>
      <c r="Q53" s="1382"/>
      <c r="R53" s="1382"/>
      <c r="S53" s="1382"/>
      <c r="T53" s="24"/>
      <c r="U53" s="24"/>
      <c r="V53" s="24"/>
      <c r="W53" s="24"/>
      <c r="X53" s="24"/>
      <c r="Y53" s="24"/>
      <c r="Z53" s="24"/>
      <c r="AA53" s="24"/>
      <c r="AB53" s="24"/>
      <c r="AC53" s="24"/>
      <c r="AD53" s="4"/>
      <c r="AE53" s="4"/>
    </row>
    <row r="54" spans="1:36">
      <c r="A54" s="4"/>
      <c r="B54" s="4"/>
      <c r="C54" s="167" t="str">
        <f>TB!B34</f>
        <v>(FÉRIAS JANEIRO 2014) - ATUALIZADO 03/2014 - V14 (19/03/2013)</v>
      </c>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
      <c r="AE54" s="4"/>
      <c r="AF54" s="123"/>
    </row>
    <row r="55" spans="1:36">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row>
    <row r="56" spans="1:36">
      <c r="A56" s="122"/>
      <c r="B56" s="122"/>
      <c r="C56" s="122"/>
      <c r="D56" s="122"/>
      <c r="E56" s="122"/>
      <c r="F56" s="122"/>
      <c r="G56" s="122"/>
      <c r="H56" s="122"/>
      <c r="I56" s="122"/>
      <c r="J56" s="122"/>
      <c r="K56" s="122"/>
      <c r="L56" s="122"/>
      <c r="M56" s="122"/>
      <c r="N56" s="122"/>
      <c r="O56" s="122"/>
      <c r="P56" s="122"/>
      <c r="Q56" s="122"/>
      <c r="R56" s="122"/>
      <c r="S56" s="122"/>
      <c r="T56" s="122"/>
      <c r="U56" s="122"/>
      <c r="V56" s="122"/>
      <c r="W56" s="122"/>
      <c r="X56" s="122"/>
      <c r="Y56" s="122"/>
      <c r="Z56" s="122"/>
      <c r="AA56" s="122"/>
      <c r="AB56" s="122"/>
      <c r="AC56" s="122"/>
      <c r="AD56" s="122"/>
      <c r="AE56" s="122"/>
    </row>
    <row r="57" spans="1:36" customFormat="1"/>
    <row r="58" spans="1:36" customFormat="1"/>
    <row r="59" spans="1:36" customFormat="1"/>
    <row r="60" spans="1:36" customFormat="1"/>
    <row r="61" spans="1:36" customFormat="1"/>
    <row r="62" spans="1:36" customFormat="1"/>
    <row r="63" spans="1:36" customFormat="1"/>
    <row r="64" spans="1:36"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spans="1:31" customFormat="1"/>
    <row r="130" spans="1:31" customFormat="1"/>
    <row r="131" spans="1:31" customFormat="1"/>
    <row r="132" spans="1:31" customFormat="1"/>
    <row r="133" spans="1:31" customFormat="1"/>
    <row r="134" spans="1:31" customFormat="1"/>
    <row r="135" spans="1:31" customFormat="1"/>
    <row r="136" spans="1:31" customFormat="1"/>
    <row r="137" spans="1:31" customFormat="1"/>
    <row r="138" spans="1:31" customFormat="1"/>
    <row r="139" spans="1:31" customFormat="1"/>
    <row r="140" spans="1:31" customFormat="1"/>
    <row r="141" spans="1:31">
      <c r="A141" s="122"/>
      <c r="B141" s="122"/>
      <c r="C141" s="122"/>
      <c r="D141" s="122"/>
      <c r="E141" s="122"/>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c r="AC141" s="122"/>
      <c r="AD141" s="122"/>
      <c r="AE141" s="122"/>
    </row>
    <row r="142" spans="1:31">
      <c r="A142" s="122"/>
      <c r="B142" s="122"/>
      <c r="C142" s="122"/>
      <c r="D142" s="122"/>
      <c r="E142" s="122"/>
      <c r="F142" s="122"/>
      <c r="G142" s="122"/>
      <c r="H142" s="122"/>
      <c r="I142" s="122"/>
      <c r="J142" s="122"/>
      <c r="K142" s="122"/>
      <c r="L142" s="122"/>
      <c r="M142" s="122"/>
      <c r="N142" s="122"/>
      <c r="O142" s="122"/>
      <c r="P142" s="122"/>
      <c r="Q142" s="122"/>
      <c r="R142" s="122"/>
      <c r="S142" s="122"/>
      <c r="T142" s="122"/>
      <c r="U142" s="122"/>
      <c r="V142" s="122"/>
      <c r="W142" s="122"/>
      <c r="X142" s="122"/>
      <c r="Y142" s="122"/>
      <c r="Z142" s="122"/>
      <c r="AA142" s="122"/>
      <c r="AB142" s="122"/>
      <c r="AC142" s="122"/>
      <c r="AD142" s="122"/>
      <c r="AE142" s="122"/>
    </row>
    <row r="143" spans="1:31">
      <c r="A143" s="122"/>
      <c r="B143" s="122"/>
      <c r="C143" s="122"/>
      <c r="D143" s="122"/>
      <c r="E143" s="122"/>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c r="AC143" s="122"/>
      <c r="AD143" s="122"/>
      <c r="AE143" s="122"/>
    </row>
    <row r="144" spans="1:31">
      <c r="A144" s="122"/>
      <c r="B144" s="122"/>
      <c r="C144" s="122"/>
      <c r="D144" s="122"/>
      <c r="E144" s="122"/>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row>
    <row r="145" spans="1:31">
      <c r="A145" s="122"/>
      <c r="B145" s="122"/>
      <c r="C145" s="122"/>
      <c r="D145" s="122"/>
      <c r="E145" s="122"/>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c r="AC145" s="122"/>
      <c r="AD145" s="122"/>
      <c r="AE145" s="122"/>
    </row>
    <row r="146" spans="1:31">
      <c r="A146" s="122"/>
      <c r="B146" s="122"/>
      <c r="C146" s="122"/>
      <c r="D146" s="122"/>
      <c r="E146" s="122"/>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row>
    <row r="147" spans="1:31">
      <c r="A147" s="122"/>
      <c r="B147" s="122"/>
      <c r="C147" s="122"/>
      <c r="D147" s="122"/>
      <c r="E147" s="122"/>
      <c r="F147" s="122"/>
      <c r="G147" s="122"/>
      <c r="H147" s="122"/>
      <c r="I147" s="122"/>
      <c r="J147" s="122"/>
      <c r="K147" s="122"/>
      <c r="L147" s="122"/>
      <c r="M147" s="122"/>
      <c r="N147" s="122"/>
      <c r="O147" s="122"/>
      <c r="P147" s="122"/>
      <c r="Q147" s="122"/>
      <c r="R147" s="122"/>
      <c r="S147" s="122"/>
      <c r="T147" s="122"/>
      <c r="U147" s="122"/>
      <c r="V147" s="122"/>
      <c r="W147" s="122"/>
      <c r="X147" s="122"/>
      <c r="Y147" s="122"/>
      <c r="Z147" s="122"/>
      <c r="AA147" s="122"/>
      <c r="AB147" s="122"/>
      <c r="AC147" s="122"/>
      <c r="AD147" s="122"/>
      <c r="AE147" s="122"/>
    </row>
    <row r="148" spans="1:31">
      <c r="A148" s="122"/>
      <c r="B148" s="122"/>
      <c r="C148" s="122"/>
      <c r="D148" s="122"/>
      <c r="E148" s="122"/>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c r="AB148" s="122"/>
      <c r="AC148" s="122"/>
      <c r="AD148" s="122"/>
      <c r="AE148" s="122"/>
    </row>
    <row r="149" spans="1:31">
      <c r="A149" s="122"/>
      <c r="B149" s="122"/>
      <c r="C149" s="122"/>
      <c r="D149" s="122"/>
      <c r="E149" s="122"/>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c r="AC149" s="122"/>
      <c r="AD149" s="122"/>
      <c r="AE149" s="122"/>
    </row>
    <row r="150" spans="1:31">
      <c r="A150" s="122"/>
      <c r="B150" s="122"/>
      <c r="C150" s="122"/>
      <c r="D150" s="122"/>
      <c r="E150" s="122"/>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c r="AB150" s="122"/>
      <c r="AC150" s="122"/>
      <c r="AD150" s="122"/>
      <c r="AE150" s="122"/>
    </row>
    <row r="151" spans="1:31">
      <c r="A151" s="122"/>
      <c r="B151" s="122"/>
      <c r="C151" s="122"/>
      <c r="D151" s="122"/>
      <c r="E151" s="122"/>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c r="AD151" s="122"/>
      <c r="AE151" s="122"/>
    </row>
    <row r="152" spans="1:31">
      <c r="A152" s="122"/>
      <c r="B152" s="122"/>
      <c r="C152" s="122"/>
      <c r="D152" s="122"/>
      <c r="E152" s="122"/>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c r="AB152" s="122"/>
      <c r="AC152" s="122"/>
      <c r="AD152" s="122"/>
      <c r="AE152" s="122"/>
    </row>
    <row r="153" spans="1:31">
      <c r="A153" s="122"/>
      <c r="B153" s="122"/>
      <c r="C153" s="122"/>
      <c r="D153" s="122"/>
      <c r="E153" s="122"/>
      <c r="F153" s="122"/>
      <c r="G153" s="122"/>
      <c r="H153" s="122"/>
      <c r="I153" s="122"/>
      <c r="J153" s="122"/>
      <c r="K153" s="122"/>
      <c r="L153" s="122"/>
      <c r="M153" s="122"/>
      <c r="N153" s="122"/>
      <c r="O153" s="122"/>
      <c r="P153" s="122"/>
      <c r="Q153" s="122"/>
      <c r="R153" s="122"/>
      <c r="S153" s="122"/>
      <c r="T153" s="122"/>
      <c r="U153" s="122"/>
      <c r="V153" s="122"/>
      <c r="W153" s="122"/>
      <c r="X153" s="122"/>
      <c r="Y153" s="122"/>
      <c r="Z153" s="122"/>
      <c r="AA153" s="122"/>
      <c r="AB153" s="122"/>
      <c r="AC153" s="122"/>
      <c r="AD153" s="122"/>
      <c r="AE153" s="122"/>
    </row>
    <row r="154" spans="1:31">
      <c r="A154" s="122"/>
      <c r="B154" s="122"/>
      <c r="C154" s="122"/>
      <c r="D154" s="122"/>
      <c r="E154" s="122"/>
      <c r="F154" s="122"/>
      <c r="G154" s="122"/>
      <c r="H154" s="122"/>
      <c r="I154" s="122"/>
      <c r="J154" s="122"/>
      <c r="K154" s="122"/>
      <c r="L154" s="122"/>
      <c r="M154" s="122"/>
      <c r="N154" s="122"/>
      <c r="O154" s="122"/>
      <c r="P154" s="122"/>
      <c r="Q154" s="122"/>
      <c r="R154" s="122"/>
      <c r="S154" s="122"/>
      <c r="T154" s="122"/>
      <c r="U154" s="122"/>
      <c r="V154" s="122"/>
      <c r="W154" s="122"/>
      <c r="X154" s="122"/>
      <c r="Y154" s="122"/>
      <c r="Z154" s="122"/>
      <c r="AA154" s="122"/>
      <c r="AB154" s="122"/>
      <c r="AC154" s="122"/>
      <c r="AD154" s="122"/>
      <c r="AE154" s="122"/>
    </row>
    <row r="155" spans="1:31">
      <c r="A155" s="122"/>
      <c r="B155" s="122"/>
      <c r="C155" s="122"/>
      <c r="D155" s="122"/>
      <c r="E155" s="122"/>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c r="AB155" s="122"/>
      <c r="AC155" s="122"/>
      <c r="AD155" s="122"/>
      <c r="AE155" s="122"/>
    </row>
    <row r="156" spans="1:31">
      <c r="A156" s="122"/>
      <c r="B156" s="122"/>
      <c r="C156" s="122"/>
      <c r="D156" s="122"/>
      <c r="E156" s="122"/>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c r="AD156" s="122"/>
      <c r="AE156" s="122"/>
    </row>
    <row r="157" spans="1:31">
      <c r="A157" s="122"/>
      <c r="B157" s="122"/>
      <c r="C157" s="122"/>
      <c r="D157" s="122"/>
      <c r="E157" s="122"/>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c r="AB157" s="122"/>
      <c r="AC157" s="122"/>
      <c r="AD157" s="122"/>
      <c r="AE157" s="122"/>
    </row>
    <row r="158" spans="1:31">
      <c r="A158" s="122"/>
      <c r="B158" s="122"/>
      <c r="C158" s="122"/>
      <c r="D158" s="122"/>
      <c r="E158" s="122"/>
      <c r="F158" s="122"/>
      <c r="G158" s="122"/>
      <c r="H158" s="122"/>
      <c r="I158" s="122"/>
      <c r="J158" s="122"/>
      <c r="K158" s="122"/>
      <c r="L158" s="122"/>
      <c r="M158" s="122"/>
      <c r="N158" s="122"/>
      <c r="O158" s="122"/>
      <c r="P158" s="122"/>
      <c r="Q158" s="122"/>
      <c r="R158" s="122"/>
      <c r="S158" s="122"/>
      <c r="T158" s="122"/>
      <c r="U158" s="122"/>
      <c r="V158" s="122"/>
      <c r="W158" s="122"/>
      <c r="X158" s="122"/>
      <c r="Y158" s="122"/>
      <c r="Z158" s="122"/>
      <c r="AA158" s="122"/>
      <c r="AB158" s="122"/>
      <c r="AC158" s="122"/>
      <c r="AD158" s="122"/>
      <c r="AE158" s="122"/>
    </row>
    <row r="159" spans="1:31">
      <c r="A159" s="122"/>
      <c r="B159" s="122"/>
      <c r="C159" s="122"/>
      <c r="D159" s="122"/>
      <c r="E159" s="122"/>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c r="AC159" s="122"/>
      <c r="AD159" s="122"/>
      <c r="AE159" s="122"/>
    </row>
    <row r="160" spans="1:31">
      <c r="A160" s="122"/>
      <c r="B160" s="122"/>
      <c r="C160" s="122"/>
      <c r="D160" s="122"/>
      <c r="E160" s="122"/>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c r="AB160" s="122"/>
      <c r="AC160" s="122"/>
      <c r="AD160" s="122"/>
      <c r="AE160" s="122"/>
    </row>
    <row r="161" spans="1:31">
      <c r="A161" s="122"/>
      <c r="B161" s="122"/>
      <c r="C161" s="122"/>
      <c r="D161" s="122"/>
      <c r="E161" s="122"/>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c r="AC161" s="122"/>
      <c r="AD161" s="122"/>
      <c r="AE161" s="122"/>
    </row>
    <row r="162" spans="1:31">
      <c r="A162" s="122"/>
      <c r="B162" s="122"/>
      <c r="C162" s="122"/>
      <c r="D162" s="122"/>
      <c r="E162" s="122"/>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c r="AB162" s="122"/>
      <c r="AC162" s="122"/>
      <c r="AD162" s="122"/>
      <c r="AE162" s="122"/>
    </row>
    <row r="163" spans="1:31">
      <c r="A163" s="122"/>
      <c r="B163" s="122"/>
      <c r="C163" s="122"/>
      <c r="D163" s="122"/>
      <c r="E163" s="122"/>
      <c r="F163" s="122"/>
      <c r="G163" s="122"/>
      <c r="H163" s="122"/>
      <c r="I163" s="122"/>
      <c r="J163" s="122"/>
      <c r="K163" s="122"/>
      <c r="L163" s="122"/>
      <c r="M163" s="122"/>
      <c r="N163" s="122"/>
      <c r="O163" s="122"/>
      <c r="P163" s="122"/>
      <c r="Q163" s="122"/>
      <c r="R163" s="122"/>
      <c r="S163" s="122"/>
      <c r="T163" s="122"/>
      <c r="U163" s="122"/>
      <c r="V163" s="122"/>
      <c r="W163" s="122"/>
      <c r="X163" s="122"/>
      <c r="Y163" s="122"/>
      <c r="Z163" s="122"/>
      <c r="AA163" s="122"/>
      <c r="AB163" s="122"/>
      <c r="AC163" s="122"/>
      <c r="AD163" s="122"/>
      <c r="AE163" s="122"/>
    </row>
    <row r="164" spans="1:31">
      <c r="A164" s="122"/>
      <c r="B164" s="122"/>
      <c r="C164" s="122"/>
      <c r="D164" s="122"/>
      <c r="E164" s="122"/>
      <c r="F164" s="122"/>
      <c r="G164" s="122"/>
      <c r="H164" s="122"/>
      <c r="I164" s="122"/>
      <c r="J164" s="122"/>
      <c r="K164" s="122"/>
      <c r="L164" s="122"/>
      <c r="M164" s="122"/>
      <c r="N164" s="122"/>
      <c r="O164" s="122"/>
      <c r="P164" s="122"/>
      <c r="Q164" s="122"/>
      <c r="R164" s="122"/>
      <c r="S164" s="122"/>
      <c r="T164" s="122"/>
      <c r="U164" s="122"/>
      <c r="V164" s="122"/>
      <c r="W164" s="122"/>
      <c r="X164" s="122"/>
      <c r="Y164" s="122"/>
      <c r="Z164" s="122"/>
      <c r="AA164" s="122"/>
      <c r="AB164" s="122"/>
      <c r="AC164" s="122"/>
      <c r="AD164" s="122"/>
      <c r="AE164" s="122"/>
    </row>
    <row r="165" spans="1:31">
      <c r="A165" s="122"/>
      <c r="B165" s="122"/>
      <c r="C165" s="122"/>
      <c r="D165" s="122"/>
      <c r="E165" s="122"/>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c r="AC165" s="122"/>
      <c r="AD165" s="122"/>
      <c r="AE165" s="122"/>
    </row>
    <row r="166" spans="1:31">
      <c r="A166" s="122"/>
      <c r="B166" s="122"/>
      <c r="C166" s="122"/>
      <c r="D166" s="122"/>
      <c r="E166" s="122"/>
      <c r="F166" s="122"/>
      <c r="G166" s="122"/>
      <c r="H166" s="122"/>
      <c r="I166" s="122"/>
      <c r="J166" s="122"/>
      <c r="K166" s="122"/>
      <c r="L166" s="122"/>
      <c r="M166" s="122"/>
      <c r="N166" s="122"/>
      <c r="O166" s="122"/>
      <c r="P166" s="122"/>
      <c r="Q166" s="122"/>
      <c r="R166" s="122"/>
      <c r="S166" s="122"/>
      <c r="T166" s="122"/>
      <c r="U166" s="122"/>
      <c r="V166" s="122"/>
      <c r="W166" s="122"/>
      <c r="X166" s="122"/>
      <c r="Y166" s="122"/>
      <c r="Z166" s="122"/>
      <c r="AA166" s="122"/>
      <c r="AB166" s="122"/>
      <c r="AC166" s="122"/>
      <c r="AD166" s="122"/>
      <c r="AE166" s="122"/>
    </row>
    <row r="167" spans="1:31">
      <c r="A167" s="122"/>
      <c r="B167" s="122"/>
      <c r="C167" s="122"/>
      <c r="D167" s="122"/>
      <c r="E167" s="122"/>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c r="AB167" s="122"/>
      <c r="AC167" s="122"/>
      <c r="AD167" s="122"/>
      <c r="AE167" s="122"/>
    </row>
    <row r="168" spans="1:31">
      <c r="A168" s="122"/>
      <c r="B168" s="122"/>
      <c r="C168" s="122"/>
      <c r="D168" s="122"/>
      <c r="E168" s="122"/>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c r="AB168" s="122"/>
      <c r="AC168" s="122"/>
      <c r="AD168" s="122"/>
      <c r="AE168" s="122"/>
    </row>
    <row r="169" spans="1:31">
      <c r="A169" s="122"/>
      <c r="B169" s="122"/>
      <c r="C169" s="122"/>
      <c r="D169" s="122"/>
      <c r="E169" s="122"/>
      <c r="F169" s="122"/>
      <c r="G169" s="122"/>
      <c r="H169" s="122"/>
      <c r="I169" s="122"/>
      <c r="J169" s="122"/>
      <c r="K169" s="122"/>
      <c r="L169" s="122"/>
      <c r="M169" s="122"/>
      <c r="N169" s="122"/>
      <c r="O169" s="122"/>
      <c r="P169" s="122"/>
      <c r="Q169" s="122"/>
      <c r="R169" s="122"/>
      <c r="S169" s="122"/>
      <c r="T169" s="122"/>
      <c r="U169" s="122"/>
      <c r="V169" s="122"/>
      <c r="W169" s="122"/>
      <c r="X169" s="122"/>
      <c r="Y169" s="122"/>
      <c r="Z169" s="122"/>
      <c r="AA169" s="122"/>
      <c r="AB169" s="122"/>
      <c r="AC169" s="122"/>
      <c r="AD169" s="122"/>
      <c r="AE169" s="122"/>
    </row>
    <row r="170" spans="1:31">
      <c r="A170" s="122"/>
      <c r="B170" s="122"/>
      <c r="C170" s="122"/>
      <c r="D170" s="122"/>
      <c r="E170" s="122"/>
      <c r="F170" s="122"/>
      <c r="G170" s="122"/>
      <c r="H170" s="122"/>
      <c r="I170" s="122"/>
      <c r="J170" s="122"/>
      <c r="K170" s="122"/>
      <c r="L170" s="122"/>
      <c r="M170" s="122"/>
      <c r="N170" s="122"/>
      <c r="O170" s="122"/>
      <c r="P170" s="122"/>
      <c r="Q170" s="122"/>
      <c r="R170" s="122"/>
      <c r="S170" s="122"/>
      <c r="T170" s="122"/>
      <c r="U170" s="122"/>
      <c r="V170" s="122"/>
      <c r="W170" s="122"/>
      <c r="X170" s="122"/>
      <c r="Y170" s="122"/>
      <c r="Z170" s="122"/>
      <c r="AA170" s="122"/>
      <c r="AB170" s="122"/>
      <c r="AC170" s="122"/>
      <c r="AD170" s="122"/>
      <c r="AE170" s="122"/>
    </row>
    <row r="171" spans="1:31">
      <c r="A171" s="122"/>
      <c r="B171" s="122"/>
      <c r="C171" s="122"/>
      <c r="D171" s="122"/>
      <c r="E171" s="122"/>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c r="AC171" s="122"/>
      <c r="AD171" s="122"/>
      <c r="AE171" s="122"/>
    </row>
    <row r="172" spans="1:31">
      <c r="A172" s="122"/>
      <c r="B172" s="122"/>
      <c r="C172" s="122"/>
      <c r="D172" s="122"/>
      <c r="E172" s="122"/>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c r="AB172" s="122"/>
      <c r="AC172" s="122"/>
      <c r="AD172" s="122"/>
      <c r="AE172" s="122"/>
    </row>
    <row r="173" spans="1:31">
      <c r="A173" s="122"/>
      <c r="B173" s="122"/>
      <c r="C173" s="122"/>
      <c r="D173" s="122"/>
      <c r="E173" s="122"/>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c r="AD173" s="122"/>
      <c r="AE173" s="122"/>
    </row>
    <row r="174" spans="1:31">
      <c r="A174" s="122"/>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row>
    <row r="175" spans="1:31">
      <c r="A175" s="122"/>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row>
    <row r="176" spans="1:31">
      <c r="A176" s="122"/>
      <c r="B176" s="122"/>
      <c r="C176" s="122"/>
      <c r="D176" s="122"/>
      <c r="E176" s="122"/>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c r="AB176" s="122"/>
      <c r="AC176" s="122"/>
      <c r="AD176" s="122"/>
      <c r="AE176" s="122"/>
    </row>
    <row r="177" spans="1:31">
      <c r="A177" s="122"/>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row>
    <row r="178" spans="1:31">
      <c r="A178" s="122"/>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row>
    <row r="179" spans="1:31">
      <c r="A179" s="122"/>
      <c r="B179" s="122"/>
      <c r="C179" s="122"/>
      <c r="D179" s="122"/>
      <c r="E179" s="122"/>
      <c r="F179" s="122"/>
      <c r="G179" s="122"/>
      <c r="H179" s="122"/>
      <c r="I179" s="122"/>
      <c r="J179" s="122"/>
      <c r="K179" s="122"/>
      <c r="L179" s="122"/>
      <c r="M179" s="122"/>
      <c r="N179" s="122"/>
      <c r="O179" s="122"/>
      <c r="P179" s="122"/>
      <c r="Q179" s="122"/>
      <c r="R179" s="122"/>
      <c r="S179" s="122"/>
      <c r="T179" s="122"/>
      <c r="U179" s="122"/>
      <c r="V179" s="122"/>
      <c r="W179" s="122"/>
      <c r="X179" s="122"/>
      <c r="Y179" s="122"/>
      <c r="Z179" s="122"/>
      <c r="AA179" s="122"/>
      <c r="AB179" s="122"/>
      <c r="AC179" s="122"/>
      <c r="AD179" s="122"/>
      <c r="AE179" s="122"/>
    </row>
    <row r="180" spans="1:31">
      <c r="A180" s="122"/>
      <c r="B180" s="122"/>
      <c r="C180" s="122"/>
      <c r="D180" s="122"/>
      <c r="E180" s="122"/>
      <c r="F180" s="122"/>
      <c r="G180" s="122"/>
      <c r="H180" s="122"/>
      <c r="I180" s="122"/>
      <c r="J180" s="122"/>
      <c r="K180" s="122"/>
      <c r="L180" s="122"/>
      <c r="M180" s="122"/>
      <c r="N180" s="122"/>
      <c r="O180" s="122"/>
      <c r="P180" s="122"/>
      <c r="Q180" s="122"/>
      <c r="R180" s="122"/>
      <c r="S180" s="122"/>
      <c r="T180" s="122"/>
      <c r="U180" s="122"/>
      <c r="V180" s="122"/>
      <c r="W180" s="122"/>
      <c r="X180" s="122"/>
      <c r="Y180" s="122"/>
      <c r="Z180" s="122"/>
      <c r="AA180" s="122"/>
      <c r="AB180" s="122"/>
      <c r="AC180" s="122"/>
      <c r="AD180" s="122"/>
      <c r="AE180" s="122"/>
    </row>
    <row r="181" spans="1:31">
      <c r="A181" s="122"/>
      <c r="B181" s="122"/>
      <c r="C181" s="122"/>
      <c r="D181" s="122"/>
      <c r="E181" s="122"/>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c r="AB181" s="122"/>
      <c r="AC181" s="122"/>
      <c r="AD181" s="122"/>
      <c r="AE181" s="122"/>
    </row>
    <row r="182" spans="1:31">
      <c r="A182" s="122"/>
      <c r="B182" s="122"/>
      <c r="C182" s="122"/>
      <c r="D182" s="122"/>
      <c r="E182" s="122"/>
      <c r="F182" s="122"/>
      <c r="G182" s="122"/>
      <c r="H182" s="122"/>
      <c r="I182" s="122"/>
      <c r="J182" s="122"/>
      <c r="K182" s="122"/>
      <c r="L182" s="122"/>
      <c r="M182" s="122"/>
      <c r="N182" s="122"/>
      <c r="O182" s="122"/>
      <c r="P182" s="122"/>
      <c r="Q182" s="122"/>
      <c r="R182" s="122"/>
      <c r="S182" s="122"/>
      <c r="T182" s="122"/>
      <c r="U182" s="122"/>
      <c r="V182" s="122"/>
      <c r="W182" s="122"/>
      <c r="X182" s="122"/>
      <c r="Y182" s="122"/>
      <c r="Z182" s="122"/>
      <c r="AA182" s="122"/>
      <c r="AB182" s="122"/>
      <c r="AC182" s="122"/>
      <c r="AD182" s="122"/>
      <c r="AE182" s="122"/>
    </row>
    <row r="183" spans="1:31">
      <c r="A183" s="122"/>
      <c r="B183" s="122"/>
      <c r="C183" s="122"/>
      <c r="D183" s="122"/>
      <c r="E183" s="122"/>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c r="AB183" s="122"/>
      <c r="AC183" s="122"/>
      <c r="AD183" s="122"/>
      <c r="AE183" s="122"/>
    </row>
    <row r="184" spans="1:31">
      <c r="A184" s="122"/>
      <c r="B184" s="122"/>
      <c r="C184" s="122"/>
      <c r="D184" s="122"/>
      <c r="E184" s="122"/>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c r="AB184" s="122"/>
      <c r="AC184" s="122"/>
      <c r="AD184" s="122"/>
      <c r="AE184" s="122"/>
    </row>
    <row r="185" spans="1:31">
      <c r="A185" s="122"/>
      <c r="B185" s="122"/>
      <c r="C185" s="122"/>
      <c r="D185" s="122"/>
      <c r="E185" s="122"/>
      <c r="F185" s="122"/>
      <c r="G185" s="122"/>
      <c r="H185" s="122"/>
      <c r="I185" s="122"/>
      <c r="J185" s="122"/>
      <c r="K185" s="122"/>
      <c r="L185" s="122"/>
      <c r="M185" s="122"/>
      <c r="N185" s="122"/>
      <c r="O185" s="122"/>
      <c r="P185" s="122"/>
      <c r="Q185" s="122"/>
      <c r="R185" s="122"/>
      <c r="S185" s="122"/>
      <c r="T185" s="122"/>
      <c r="U185" s="122"/>
      <c r="V185" s="122"/>
      <c r="W185" s="122"/>
      <c r="X185" s="122"/>
      <c r="Y185" s="122"/>
      <c r="Z185" s="122"/>
      <c r="AA185" s="122"/>
      <c r="AB185" s="122"/>
      <c r="AC185" s="122"/>
      <c r="AD185" s="122"/>
      <c r="AE185" s="122"/>
    </row>
    <row r="186" spans="1:31">
      <c r="A186" s="122"/>
      <c r="B186" s="122"/>
      <c r="C186" s="122"/>
      <c r="D186" s="122"/>
      <c r="E186" s="122"/>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c r="AB186" s="122"/>
      <c r="AC186" s="122"/>
      <c r="AD186" s="122"/>
      <c r="AE186" s="122"/>
    </row>
    <row r="187" spans="1:31">
      <c r="A187" s="122"/>
      <c r="B187" s="122"/>
      <c r="C187" s="122"/>
      <c r="D187" s="122"/>
      <c r="E187" s="122"/>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c r="AB187" s="122"/>
      <c r="AC187" s="122"/>
      <c r="AD187" s="122"/>
      <c r="AE187" s="122"/>
    </row>
    <row r="188" spans="1:31">
      <c r="A188" s="122"/>
      <c r="B188" s="122"/>
      <c r="C188" s="122"/>
      <c r="D188" s="122"/>
      <c r="E188" s="122"/>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c r="AB188" s="122"/>
      <c r="AC188" s="122"/>
      <c r="AD188" s="122"/>
      <c r="AE188" s="122"/>
    </row>
    <row r="189" spans="1:31">
      <c r="A189" s="122"/>
      <c r="B189" s="122"/>
      <c r="C189" s="122"/>
      <c r="D189" s="122"/>
      <c r="E189" s="122"/>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c r="AB189" s="122"/>
      <c r="AC189" s="122"/>
      <c r="AD189" s="122"/>
      <c r="AE189" s="122"/>
    </row>
    <row r="190" spans="1:31">
      <c r="A190" s="122"/>
      <c r="B190" s="122"/>
      <c r="C190" s="122"/>
      <c r="D190" s="122"/>
      <c r="E190" s="122"/>
      <c r="F190" s="122"/>
      <c r="G190" s="122"/>
      <c r="H190" s="122"/>
      <c r="I190" s="122"/>
      <c r="J190" s="122"/>
      <c r="K190" s="122"/>
      <c r="L190" s="122"/>
      <c r="M190" s="122"/>
      <c r="N190" s="122"/>
      <c r="O190" s="122"/>
      <c r="P190" s="122"/>
      <c r="Q190" s="122"/>
      <c r="R190" s="122"/>
      <c r="S190" s="122"/>
      <c r="T190" s="122"/>
      <c r="U190" s="122"/>
      <c r="V190" s="122"/>
      <c r="W190" s="122"/>
      <c r="X190" s="122"/>
      <c r="Y190" s="122"/>
      <c r="Z190" s="122"/>
      <c r="AA190" s="122"/>
      <c r="AB190" s="122"/>
      <c r="AC190" s="122"/>
      <c r="AD190" s="122"/>
      <c r="AE190" s="122"/>
    </row>
    <row r="191" spans="1:31">
      <c r="A191" s="122"/>
      <c r="B191" s="122"/>
      <c r="C191" s="122"/>
      <c r="D191" s="122"/>
      <c r="E191" s="122"/>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c r="AB191" s="122"/>
      <c r="AC191" s="122"/>
      <c r="AD191" s="122"/>
      <c r="AE191" s="122"/>
    </row>
    <row r="192" spans="1:31">
      <c r="A192" s="122"/>
      <c r="B192" s="122"/>
      <c r="C192" s="122"/>
      <c r="D192" s="122"/>
      <c r="E192" s="122"/>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c r="AC192" s="122"/>
      <c r="AD192" s="122"/>
      <c r="AE192" s="122"/>
    </row>
    <row r="193" spans="1:31">
      <c r="A193" s="122"/>
      <c r="B193" s="122"/>
      <c r="C193" s="122"/>
      <c r="D193" s="122"/>
      <c r="E193" s="122"/>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c r="AB193" s="122"/>
      <c r="AC193" s="122"/>
      <c r="AD193" s="122"/>
      <c r="AE193" s="122"/>
    </row>
    <row r="194" spans="1:31">
      <c r="A194" s="122"/>
      <c r="B194" s="122"/>
      <c r="C194" s="122"/>
      <c r="D194" s="122"/>
      <c r="E194" s="122"/>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c r="AB194" s="122"/>
      <c r="AC194" s="122"/>
      <c r="AD194" s="122"/>
      <c r="AE194" s="122"/>
    </row>
    <row r="195" spans="1:31">
      <c r="A195" s="122"/>
      <c r="B195" s="122"/>
      <c r="C195" s="122"/>
      <c r="D195" s="122"/>
      <c r="E195" s="122"/>
      <c r="F195" s="122"/>
      <c r="G195" s="122"/>
      <c r="H195" s="122"/>
      <c r="I195" s="122"/>
      <c r="J195" s="122"/>
      <c r="K195" s="122"/>
      <c r="L195" s="122"/>
      <c r="M195" s="122"/>
      <c r="N195" s="122"/>
      <c r="O195" s="122"/>
      <c r="P195" s="122"/>
      <c r="Q195" s="122"/>
      <c r="R195" s="122"/>
      <c r="S195" s="122"/>
      <c r="T195" s="122"/>
      <c r="U195" s="122"/>
      <c r="V195" s="122"/>
      <c r="W195" s="122"/>
      <c r="X195" s="122"/>
      <c r="Y195" s="122"/>
      <c r="Z195" s="122"/>
      <c r="AA195" s="122"/>
      <c r="AB195" s="122"/>
      <c r="AC195" s="122"/>
      <c r="AD195" s="122"/>
      <c r="AE195" s="122"/>
    </row>
    <row r="196" spans="1:31">
      <c r="A196" s="122"/>
      <c r="B196" s="122"/>
      <c r="C196" s="122"/>
      <c r="D196" s="122"/>
      <c r="E196" s="122"/>
      <c r="F196" s="122"/>
      <c r="G196" s="122"/>
      <c r="H196" s="122"/>
      <c r="I196" s="122"/>
      <c r="J196" s="122"/>
      <c r="K196" s="122"/>
      <c r="L196" s="122"/>
      <c r="M196" s="122"/>
      <c r="N196" s="122"/>
      <c r="O196" s="122"/>
      <c r="P196" s="122"/>
      <c r="Q196" s="122"/>
      <c r="R196" s="122"/>
      <c r="S196" s="122"/>
      <c r="T196" s="122"/>
      <c r="U196" s="122"/>
      <c r="V196" s="122"/>
      <c r="W196" s="122"/>
      <c r="X196" s="122"/>
      <c r="Y196" s="122"/>
      <c r="Z196" s="122"/>
      <c r="AA196" s="122"/>
      <c r="AB196" s="122"/>
      <c r="AC196" s="122"/>
      <c r="AD196" s="122"/>
      <c r="AE196" s="122"/>
    </row>
    <row r="197" spans="1:31">
      <c r="A197" s="122"/>
      <c r="B197" s="122"/>
      <c r="C197" s="122"/>
      <c r="D197" s="122"/>
      <c r="E197" s="122"/>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c r="AB197" s="122"/>
      <c r="AC197" s="122"/>
      <c r="AD197" s="122"/>
      <c r="AE197" s="122"/>
    </row>
    <row r="198" spans="1:31">
      <c r="A198" s="122"/>
      <c r="B198" s="122"/>
      <c r="C198" s="122"/>
      <c r="D198" s="122"/>
      <c r="E198" s="122"/>
      <c r="F198" s="122"/>
      <c r="G198" s="122"/>
      <c r="H198" s="122"/>
      <c r="I198" s="122"/>
      <c r="J198" s="122"/>
      <c r="K198" s="122"/>
      <c r="L198" s="122"/>
      <c r="M198" s="122"/>
      <c r="N198" s="122"/>
      <c r="O198" s="122"/>
      <c r="P198" s="122"/>
      <c r="Q198" s="122"/>
      <c r="R198" s="122"/>
      <c r="S198" s="122"/>
      <c r="T198" s="122"/>
      <c r="U198" s="122"/>
      <c r="V198" s="122"/>
      <c r="W198" s="122"/>
      <c r="X198" s="122"/>
      <c r="Y198" s="122"/>
      <c r="Z198" s="122"/>
      <c r="AA198" s="122"/>
      <c r="AB198" s="122"/>
      <c r="AC198" s="122"/>
      <c r="AD198" s="122"/>
      <c r="AE198" s="122"/>
    </row>
    <row r="199" spans="1:31">
      <c r="A199" s="122"/>
      <c r="B199" s="122"/>
      <c r="C199" s="122"/>
      <c r="D199" s="122"/>
      <c r="E199" s="122"/>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c r="AB199" s="122"/>
      <c r="AC199" s="122"/>
      <c r="AD199" s="122"/>
      <c r="AE199" s="122"/>
    </row>
    <row r="200" spans="1:31">
      <c r="A200" s="122"/>
      <c r="B200" s="122"/>
      <c r="C200" s="122"/>
      <c r="D200" s="122"/>
      <c r="E200" s="122"/>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c r="AB200" s="122"/>
      <c r="AC200" s="122"/>
      <c r="AD200" s="122"/>
      <c r="AE200" s="122"/>
    </row>
    <row r="201" spans="1:31">
      <c r="A201" s="122"/>
      <c r="B201" s="122"/>
      <c r="C201" s="122"/>
      <c r="D201" s="122"/>
      <c r="E201" s="122"/>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c r="AC201" s="122"/>
      <c r="AD201" s="122"/>
      <c r="AE201" s="122"/>
    </row>
    <row r="202" spans="1:31">
      <c r="A202" s="122"/>
      <c r="B202" s="122"/>
      <c r="C202" s="122"/>
      <c r="D202" s="122"/>
      <c r="E202" s="122"/>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c r="AB202" s="122"/>
      <c r="AC202" s="122"/>
      <c r="AD202" s="122"/>
      <c r="AE202" s="122"/>
    </row>
    <row r="203" spans="1:31">
      <c r="A203" s="122"/>
      <c r="B203" s="122"/>
      <c r="C203" s="122"/>
      <c r="D203" s="122"/>
      <c r="E203" s="122"/>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c r="AB203" s="122"/>
      <c r="AC203" s="122"/>
      <c r="AD203" s="122"/>
      <c r="AE203" s="122"/>
    </row>
    <row r="204" spans="1:31">
      <c r="A204" s="122"/>
      <c r="B204" s="122"/>
      <c r="C204" s="122"/>
      <c r="D204" s="122"/>
      <c r="E204" s="122"/>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c r="AC204" s="122"/>
      <c r="AD204" s="122"/>
      <c r="AE204" s="122"/>
    </row>
    <row r="205" spans="1:31">
      <c r="A205" s="122"/>
      <c r="B205" s="122"/>
      <c r="C205" s="122"/>
      <c r="D205" s="122"/>
      <c r="E205" s="122"/>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c r="AB205" s="122"/>
      <c r="AC205" s="122"/>
      <c r="AD205" s="122"/>
      <c r="AE205" s="122"/>
    </row>
    <row r="206" spans="1:31">
      <c r="A206" s="122"/>
      <c r="B206" s="122"/>
      <c r="C206" s="122"/>
      <c r="D206" s="122"/>
      <c r="E206" s="122"/>
      <c r="F206" s="122"/>
      <c r="G206" s="122"/>
      <c r="H206" s="122"/>
      <c r="I206" s="122"/>
      <c r="J206" s="122"/>
      <c r="K206" s="122"/>
      <c r="L206" s="122"/>
      <c r="M206" s="122"/>
      <c r="N206" s="122"/>
      <c r="O206" s="122"/>
      <c r="P206" s="122"/>
      <c r="Q206" s="122"/>
      <c r="R206" s="122"/>
      <c r="S206" s="122"/>
      <c r="T206" s="122"/>
      <c r="U206" s="122"/>
      <c r="V206" s="122"/>
      <c r="W206" s="122"/>
      <c r="X206" s="122"/>
      <c r="Y206" s="122"/>
      <c r="Z206" s="122"/>
      <c r="AA206" s="122"/>
      <c r="AB206" s="122"/>
      <c r="AC206" s="122"/>
      <c r="AD206" s="122"/>
      <c r="AE206" s="122"/>
    </row>
    <row r="207" spans="1:31">
      <c r="A207" s="122"/>
      <c r="B207" s="122"/>
      <c r="C207" s="122"/>
      <c r="D207" s="122"/>
      <c r="E207" s="122"/>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c r="AD207" s="122"/>
      <c r="AE207" s="122"/>
    </row>
    <row r="208" spans="1:31">
      <c r="A208" s="122"/>
      <c r="B208" s="122"/>
      <c r="C208" s="122"/>
      <c r="D208" s="122"/>
      <c r="E208" s="122"/>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c r="AB208" s="122"/>
      <c r="AC208" s="122"/>
      <c r="AD208" s="122"/>
      <c r="AE208" s="122"/>
    </row>
    <row r="209" spans="1:31">
      <c r="A209" s="122"/>
      <c r="B209" s="122"/>
      <c r="C209" s="122"/>
      <c r="D209" s="122"/>
      <c r="E209" s="122"/>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c r="AB209" s="122"/>
      <c r="AC209" s="122"/>
      <c r="AD209" s="122"/>
      <c r="AE209" s="122"/>
    </row>
    <row r="210" spans="1:31">
      <c r="A210" s="122"/>
      <c r="B210" s="122"/>
      <c r="C210" s="122"/>
      <c r="D210" s="122"/>
      <c r="E210" s="122"/>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c r="AB210" s="122"/>
      <c r="AC210" s="122"/>
      <c r="AD210" s="122"/>
      <c r="AE210" s="122"/>
    </row>
    <row r="211" spans="1:31">
      <c r="A211" s="122"/>
      <c r="B211" s="122"/>
      <c r="C211" s="122"/>
      <c r="D211" s="122"/>
      <c r="E211" s="122"/>
      <c r="F211" s="122"/>
      <c r="G211" s="122"/>
      <c r="H211" s="122"/>
      <c r="I211" s="122"/>
      <c r="J211" s="122"/>
      <c r="K211" s="122"/>
      <c r="L211" s="122"/>
      <c r="M211" s="122"/>
      <c r="N211" s="122"/>
      <c r="O211" s="122"/>
      <c r="P211" s="122"/>
      <c r="Q211" s="122"/>
      <c r="R211" s="122"/>
      <c r="S211" s="122"/>
      <c r="T211" s="122"/>
      <c r="U211" s="122"/>
      <c r="V211" s="122"/>
      <c r="W211" s="122"/>
      <c r="X211" s="122"/>
      <c r="Y211" s="122"/>
      <c r="Z211" s="122"/>
      <c r="AA211" s="122"/>
      <c r="AB211" s="122"/>
      <c r="AC211" s="122"/>
      <c r="AD211" s="122"/>
      <c r="AE211" s="122"/>
    </row>
    <row r="212" spans="1:31">
      <c r="A212" s="122"/>
      <c r="B212" s="122"/>
      <c r="C212" s="122"/>
      <c r="D212" s="122"/>
      <c r="E212" s="122"/>
      <c r="F212" s="122"/>
      <c r="G212" s="122"/>
      <c r="H212" s="122"/>
      <c r="I212" s="122"/>
      <c r="J212" s="122"/>
      <c r="K212" s="122"/>
      <c r="L212" s="122"/>
      <c r="M212" s="122"/>
      <c r="N212" s="122"/>
      <c r="O212" s="122"/>
      <c r="P212" s="122"/>
      <c r="Q212" s="122"/>
      <c r="R212" s="122"/>
      <c r="S212" s="122"/>
      <c r="T212" s="122"/>
      <c r="U212" s="122"/>
      <c r="V212" s="122"/>
      <c r="W212" s="122"/>
      <c r="X212" s="122"/>
      <c r="Y212" s="122"/>
      <c r="Z212" s="122"/>
      <c r="AA212" s="122"/>
      <c r="AB212" s="122"/>
      <c r="AC212" s="122"/>
      <c r="AD212" s="122"/>
      <c r="AE212" s="122"/>
    </row>
    <row r="213" spans="1:31">
      <c r="A213" s="122"/>
      <c r="B213" s="122"/>
      <c r="C213" s="122"/>
      <c r="D213" s="122"/>
      <c r="E213" s="122"/>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c r="AC213" s="122"/>
      <c r="AD213" s="122"/>
      <c r="AE213" s="122"/>
    </row>
    <row r="214" spans="1:31">
      <c r="A214" s="122"/>
      <c r="B214" s="122"/>
      <c r="C214" s="122"/>
      <c r="D214" s="122"/>
      <c r="E214" s="122"/>
      <c r="F214" s="122"/>
      <c r="G214" s="122"/>
      <c r="H214" s="122"/>
      <c r="I214" s="122"/>
      <c r="J214" s="122"/>
      <c r="K214" s="122"/>
      <c r="L214" s="122"/>
      <c r="M214" s="122"/>
      <c r="N214" s="122"/>
      <c r="O214" s="122"/>
      <c r="P214" s="122"/>
      <c r="Q214" s="122"/>
      <c r="R214" s="122"/>
      <c r="S214" s="122"/>
      <c r="T214" s="122"/>
      <c r="U214" s="122"/>
      <c r="V214" s="122"/>
      <c r="W214" s="122"/>
      <c r="X214" s="122"/>
      <c r="Y214" s="122"/>
      <c r="Z214" s="122"/>
      <c r="AA214" s="122"/>
      <c r="AB214" s="122"/>
      <c r="AC214" s="122"/>
      <c r="AD214" s="122"/>
      <c r="AE214" s="122"/>
    </row>
    <row r="215" spans="1:31">
      <c r="A215" s="122"/>
      <c r="B215" s="122"/>
      <c r="C215" s="122"/>
      <c r="D215" s="122"/>
      <c r="E215" s="122"/>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c r="AC215" s="122"/>
      <c r="AD215" s="122"/>
      <c r="AE215" s="122"/>
    </row>
    <row r="216" spans="1:31">
      <c r="A216" s="122"/>
      <c r="B216" s="122"/>
      <c r="C216" s="122"/>
      <c r="D216" s="122"/>
      <c r="E216" s="122"/>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c r="AC216" s="122"/>
      <c r="AD216" s="122"/>
      <c r="AE216" s="122"/>
    </row>
    <row r="217" spans="1:31">
      <c r="A217" s="122"/>
      <c r="B217" s="122"/>
      <c r="C217" s="122"/>
      <c r="D217" s="122"/>
      <c r="E217" s="122"/>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c r="AB217" s="122"/>
      <c r="AC217" s="122"/>
      <c r="AD217" s="122"/>
      <c r="AE217" s="122"/>
    </row>
    <row r="218" spans="1:31">
      <c r="A218" s="122"/>
      <c r="B218" s="122"/>
      <c r="C218" s="122"/>
      <c r="D218" s="122"/>
      <c r="E218" s="122"/>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c r="AC218" s="122"/>
      <c r="AD218" s="122"/>
      <c r="AE218" s="122"/>
    </row>
    <row r="219" spans="1:31">
      <c r="A219" s="122"/>
      <c r="B219" s="122"/>
      <c r="C219" s="122"/>
      <c r="D219" s="122"/>
      <c r="E219" s="122"/>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c r="AC219" s="122"/>
      <c r="AD219" s="122"/>
      <c r="AE219" s="122"/>
    </row>
    <row r="220" spans="1:31">
      <c r="A220" s="122"/>
      <c r="B220" s="122"/>
      <c r="C220" s="122"/>
      <c r="D220" s="122"/>
      <c r="E220" s="122"/>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c r="AC220" s="122"/>
      <c r="AD220" s="122"/>
      <c r="AE220" s="122"/>
    </row>
    <row r="221" spans="1:31">
      <c r="A221" s="122"/>
      <c r="B221" s="122"/>
      <c r="C221" s="122"/>
      <c r="D221" s="122"/>
      <c r="E221" s="122"/>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c r="AC221" s="122"/>
      <c r="AD221" s="122"/>
      <c r="AE221" s="122"/>
    </row>
    <row r="222" spans="1:31">
      <c r="A222" s="122"/>
      <c r="B222" s="122"/>
      <c r="C222" s="122"/>
      <c r="D222" s="122"/>
      <c r="E222" s="122"/>
      <c r="F222" s="122"/>
      <c r="G222" s="122"/>
      <c r="H222" s="122"/>
      <c r="I222" s="122"/>
      <c r="J222" s="122"/>
      <c r="K222" s="122"/>
      <c r="L222" s="122"/>
      <c r="M222" s="122"/>
      <c r="N222" s="122"/>
      <c r="O222" s="122"/>
      <c r="P222" s="122"/>
      <c r="Q222" s="122"/>
      <c r="R222" s="122"/>
      <c r="S222" s="122"/>
      <c r="T222" s="122"/>
      <c r="U222" s="122"/>
      <c r="V222" s="122"/>
      <c r="W222" s="122"/>
      <c r="X222" s="122"/>
      <c r="Y222" s="122"/>
      <c r="Z222" s="122"/>
      <c r="AA222" s="122"/>
      <c r="AB222" s="122"/>
      <c r="AC222" s="122"/>
      <c r="AD222" s="122"/>
      <c r="AE222" s="122"/>
    </row>
    <row r="223" spans="1:31">
      <c r="A223" s="122"/>
      <c r="B223" s="122"/>
      <c r="C223" s="122"/>
      <c r="D223" s="122"/>
      <c r="E223" s="122"/>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c r="AC223" s="122"/>
      <c r="AD223" s="122"/>
      <c r="AE223" s="122"/>
    </row>
    <row r="224" spans="1:31">
      <c r="A224" s="122"/>
      <c r="B224" s="122"/>
      <c r="C224" s="122"/>
      <c r="D224" s="122"/>
      <c r="E224" s="122"/>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row>
    <row r="225" spans="1:31">
      <c r="A225" s="122"/>
      <c r="B225" s="122"/>
      <c r="C225" s="122"/>
      <c r="D225" s="122"/>
      <c r="E225" s="122"/>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c r="AC225" s="122"/>
      <c r="AD225" s="122"/>
      <c r="AE225" s="122"/>
    </row>
    <row r="226" spans="1:31">
      <c r="A226" s="122"/>
      <c r="B226" s="122"/>
      <c r="C226" s="122"/>
      <c r="D226" s="122"/>
      <c r="E226" s="122"/>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c r="AC226" s="122"/>
      <c r="AD226" s="122"/>
      <c r="AE226" s="122"/>
    </row>
    <row r="227" spans="1:31">
      <c r="A227" s="122"/>
      <c r="B227" s="122"/>
      <c r="C227" s="122"/>
      <c r="D227" s="122"/>
      <c r="E227" s="122"/>
      <c r="F227" s="122"/>
      <c r="G227" s="122"/>
      <c r="H227" s="122"/>
      <c r="I227" s="122"/>
      <c r="J227" s="122"/>
      <c r="K227" s="122"/>
      <c r="L227" s="122"/>
      <c r="M227" s="122"/>
      <c r="N227" s="122"/>
      <c r="O227" s="122"/>
      <c r="P227" s="122"/>
      <c r="Q227" s="122"/>
      <c r="R227" s="122"/>
      <c r="S227" s="122"/>
      <c r="T227" s="122"/>
      <c r="U227" s="122"/>
      <c r="V227" s="122"/>
      <c r="W227" s="122"/>
      <c r="X227" s="122"/>
      <c r="Y227" s="122"/>
      <c r="Z227" s="122"/>
      <c r="AA227" s="122"/>
      <c r="AB227" s="122"/>
      <c r="AC227" s="122"/>
      <c r="AD227" s="122"/>
      <c r="AE227" s="122"/>
    </row>
    <row r="228" spans="1:31">
      <c r="A228" s="122"/>
      <c r="B228" s="122"/>
      <c r="C228" s="122"/>
      <c r="D228" s="122"/>
      <c r="E228" s="122"/>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c r="AB228" s="122"/>
      <c r="AC228" s="122"/>
      <c r="AD228" s="122"/>
      <c r="AE228" s="122"/>
    </row>
    <row r="229" spans="1:31">
      <c r="A229" s="122"/>
      <c r="B229" s="122"/>
      <c r="C229" s="122"/>
      <c r="D229" s="122"/>
      <c r="E229" s="122"/>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c r="AC229" s="122"/>
      <c r="AD229" s="122"/>
      <c r="AE229" s="122"/>
    </row>
    <row r="230" spans="1:31">
      <c r="A230" s="122"/>
      <c r="B230" s="122"/>
      <c r="C230" s="122"/>
      <c r="D230" s="122"/>
      <c r="E230" s="122"/>
      <c r="F230" s="122"/>
      <c r="G230" s="122"/>
      <c r="H230" s="122"/>
      <c r="I230" s="122"/>
      <c r="J230" s="122"/>
      <c r="K230" s="122"/>
      <c r="L230" s="122"/>
      <c r="M230" s="122"/>
      <c r="N230" s="122"/>
      <c r="O230" s="122"/>
      <c r="P230" s="122"/>
      <c r="Q230" s="122"/>
      <c r="R230" s="122"/>
      <c r="S230" s="122"/>
      <c r="T230" s="122"/>
      <c r="U230" s="122"/>
      <c r="V230" s="122"/>
      <c r="W230" s="122"/>
      <c r="X230" s="122"/>
      <c r="Y230" s="122"/>
      <c r="Z230" s="122"/>
      <c r="AA230" s="122"/>
      <c r="AB230" s="122"/>
      <c r="AC230" s="122"/>
      <c r="AD230" s="122"/>
      <c r="AE230" s="122"/>
    </row>
    <row r="231" spans="1:31">
      <c r="A231" s="122"/>
      <c r="B231" s="122"/>
      <c r="C231" s="122"/>
      <c r="D231" s="122"/>
      <c r="E231" s="122"/>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c r="AC231" s="122"/>
      <c r="AD231" s="122"/>
      <c r="AE231" s="122"/>
    </row>
    <row r="232" spans="1:31">
      <c r="A232" s="122"/>
      <c r="B232" s="122"/>
      <c r="C232" s="122"/>
      <c r="D232" s="122"/>
      <c r="E232" s="122"/>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c r="AC232" s="122"/>
      <c r="AD232" s="122"/>
      <c r="AE232" s="122"/>
    </row>
    <row r="233" spans="1:31">
      <c r="A233" s="122"/>
      <c r="B233" s="122"/>
      <c r="C233" s="122"/>
      <c r="D233" s="122"/>
      <c r="E233" s="122"/>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c r="AC233" s="122"/>
      <c r="AD233" s="122"/>
      <c r="AE233" s="122"/>
    </row>
    <row r="234" spans="1:31">
      <c r="A234" s="122"/>
      <c r="B234" s="122"/>
      <c r="C234" s="122"/>
      <c r="D234" s="122"/>
      <c r="E234" s="122"/>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c r="AC234" s="122"/>
      <c r="AD234" s="122"/>
      <c r="AE234" s="122"/>
    </row>
    <row r="235" spans="1:31">
      <c r="A235" s="122"/>
      <c r="B235" s="122"/>
      <c r="C235" s="122"/>
      <c r="D235" s="122"/>
      <c r="E235" s="122"/>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c r="AC235" s="122"/>
      <c r="AD235" s="122"/>
      <c r="AE235" s="122"/>
    </row>
    <row r="236" spans="1:31">
      <c r="A236" s="122"/>
      <c r="B236" s="122"/>
      <c r="C236" s="122"/>
      <c r="D236" s="122"/>
      <c r="E236" s="122"/>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c r="AC236" s="122"/>
      <c r="AD236" s="122"/>
      <c r="AE236" s="122"/>
    </row>
    <row r="237" spans="1:31">
      <c r="A237" s="122"/>
      <c r="B237" s="122"/>
      <c r="C237" s="122"/>
      <c r="D237" s="122"/>
      <c r="E237" s="122"/>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c r="AC237" s="122"/>
      <c r="AD237" s="122"/>
      <c r="AE237" s="122"/>
    </row>
    <row r="238" spans="1:31">
      <c r="A238" s="122"/>
      <c r="B238" s="122"/>
      <c r="C238" s="122"/>
      <c r="D238" s="122"/>
      <c r="E238" s="122"/>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c r="AC238" s="122"/>
      <c r="AD238" s="122"/>
      <c r="AE238" s="122"/>
    </row>
    <row r="239" spans="1:31">
      <c r="A239" s="122"/>
      <c r="B239" s="122"/>
      <c r="C239" s="122"/>
      <c r="D239" s="122"/>
      <c r="E239" s="122"/>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c r="AC239" s="122"/>
      <c r="AD239" s="122"/>
      <c r="AE239" s="122"/>
    </row>
    <row r="240" spans="1:31">
      <c r="A240" s="122"/>
      <c r="B240" s="122"/>
      <c r="C240" s="122"/>
      <c r="D240" s="122"/>
      <c r="E240" s="122"/>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row>
    <row r="241" spans="1:31">
      <c r="A241" s="122"/>
      <c r="B241" s="122"/>
      <c r="C241" s="122"/>
      <c r="D241" s="122"/>
      <c r="E241" s="122"/>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row>
    <row r="242" spans="1:31">
      <c r="A242" s="122"/>
      <c r="B242" s="122"/>
      <c r="C242" s="122"/>
      <c r="D242" s="122"/>
      <c r="E242" s="122"/>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row>
    <row r="243" spans="1:31">
      <c r="A243" s="122"/>
      <c r="B243" s="122"/>
      <c r="C243" s="122"/>
      <c r="D243" s="122"/>
      <c r="E243" s="122"/>
      <c r="F243" s="122"/>
      <c r="G243" s="122"/>
      <c r="H243" s="122"/>
      <c r="I243" s="122"/>
      <c r="J243" s="122"/>
      <c r="K243" s="122"/>
      <c r="L243" s="122"/>
      <c r="M243" s="122"/>
      <c r="N243" s="122"/>
      <c r="O243" s="122"/>
      <c r="P243" s="122"/>
      <c r="Q243" s="122"/>
      <c r="R243" s="122"/>
      <c r="S243" s="122"/>
      <c r="T243" s="122"/>
      <c r="U243" s="122"/>
      <c r="V243" s="122"/>
      <c r="W243" s="122"/>
      <c r="X243" s="122"/>
      <c r="Y243" s="122"/>
      <c r="Z243" s="122"/>
      <c r="AA243" s="122"/>
      <c r="AB243" s="122"/>
      <c r="AC243" s="122"/>
      <c r="AD243" s="122"/>
      <c r="AE243" s="122"/>
    </row>
    <row r="244" spans="1:31">
      <c r="A244" s="122"/>
      <c r="B244" s="122"/>
      <c r="C244" s="122"/>
      <c r="D244" s="122"/>
      <c r="E244" s="122"/>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row>
    <row r="245" spans="1:31">
      <c r="A245" s="122"/>
      <c r="B245" s="122"/>
      <c r="C245" s="122"/>
      <c r="D245" s="122"/>
      <c r="E245" s="122"/>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row>
    <row r="246" spans="1:31">
      <c r="A246" s="122"/>
      <c r="B246" s="122"/>
      <c r="C246" s="122"/>
      <c r="D246" s="122"/>
      <c r="E246" s="122"/>
      <c r="F246" s="122"/>
      <c r="G246" s="122"/>
      <c r="H246" s="122"/>
      <c r="I246" s="122"/>
      <c r="J246" s="122"/>
      <c r="K246" s="122"/>
      <c r="L246" s="122"/>
      <c r="M246" s="122"/>
      <c r="N246" s="122"/>
      <c r="O246" s="122"/>
      <c r="P246" s="122"/>
      <c r="Q246" s="122"/>
      <c r="R246" s="122"/>
      <c r="S246" s="122"/>
      <c r="T246" s="122"/>
      <c r="U246" s="122"/>
      <c r="V246" s="122"/>
      <c r="W246" s="122"/>
      <c r="X246" s="122"/>
      <c r="Y246" s="122"/>
      <c r="Z246" s="122"/>
      <c r="AA246" s="122"/>
      <c r="AB246" s="122"/>
      <c r="AC246" s="122"/>
      <c r="AD246" s="122"/>
      <c r="AE246" s="122"/>
    </row>
    <row r="247" spans="1:31">
      <c r="A247" s="122"/>
      <c r="B247" s="122"/>
      <c r="C247" s="122"/>
      <c r="D247" s="122"/>
      <c r="E247" s="122"/>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22"/>
      <c r="AE247" s="122"/>
    </row>
    <row r="248" spans="1:31">
      <c r="A248" s="122"/>
      <c r="B248" s="122"/>
      <c r="C248" s="122"/>
      <c r="D248" s="122"/>
      <c r="E248" s="122"/>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row>
    <row r="249" spans="1:31">
      <c r="A249" s="122"/>
      <c r="B249" s="122"/>
      <c r="C249" s="122"/>
      <c r="D249" s="122"/>
      <c r="E249" s="122"/>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row>
    <row r="250" spans="1:31">
      <c r="A250" s="122"/>
      <c r="B250" s="122"/>
      <c r="C250" s="122"/>
      <c r="D250" s="122"/>
      <c r="E250" s="122"/>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row>
    <row r="251" spans="1:31">
      <c r="A251" s="122"/>
      <c r="B251" s="122"/>
      <c r="C251" s="122"/>
      <c r="D251" s="122"/>
      <c r="E251" s="122"/>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row>
    <row r="252" spans="1:31">
      <c r="A252" s="122"/>
      <c r="B252" s="122"/>
      <c r="C252" s="122"/>
      <c r="D252" s="122"/>
      <c r="E252" s="122"/>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row>
    <row r="253" spans="1:31">
      <c r="A253" s="122"/>
      <c r="B253" s="122"/>
      <c r="C253" s="122"/>
      <c r="D253" s="122"/>
      <c r="E253" s="122"/>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row>
    <row r="254" spans="1:31">
      <c r="A254" s="122"/>
      <c r="B254" s="122"/>
      <c r="C254" s="122"/>
      <c r="D254" s="122"/>
      <c r="E254" s="122"/>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row>
    <row r="255" spans="1:31">
      <c r="A255" s="122"/>
      <c r="B255" s="122"/>
      <c r="C255" s="122"/>
      <c r="D255" s="122"/>
      <c r="E255" s="122"/>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row>
    <row r="256" spans="1:31">
      <c r="A256" s="122"/>
      <c r="B256" s="122"/>
      <c r="C256" s="122"/>
      <c r="D256" s="122"/>
      <c r="E256" s="122"/>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row>
    <row r="257" spans="1:31">
      <c r="A257" s="122"/>
      <c r="B257" s="122"/>
      <c r="C257" s="122"/>
      <c r="D257" s="122"/>
      <c r="E257" s="122"/>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row>
    <row r="258" spans="1:31">
      <c r="A258" s="122"/>
      <c r="B258" s="122"/>
      <c r="C258" s="122"/>
      <c r="D258" s="122"/>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row>
    <row r="259" spans="1:31">
      <c r="A259" s="122"/>
      <c r="B259" s="122"/>
      <c r="C259" s="122"/>
      <c r="D259" s="122"/>
      <c r="E259" s="122"/>
      <c r="F259" s="122"/>
      <c r="G259" s="122"/>
      <c r="H259" s="122"/>
      <c r="I259" s="122"/>
      <c r="J259" s="122"/>
      <c r="K259" s="122"/>
      <c r="L259" s="122"/>
      <c r="M259" s="122"/>
      <c r="N259" s="122"/>
      <c r="O259" s="122"/>
      <c r="P259" s="122"/>
      <c r="Q259" s="122"/>
      <c r="R259" s="122"/>
      <c r="S259" s="122"/>
      <c r="T259" s="122"/>
      <c r="U259" s="122"/>
      <c r="V259" s="122"/>
      <c r="W259" s="122"/>
      <c r="X259" s="122"/>
      <c r="Y259" s="122"/>
      <c r="Z259" s="122"/>
      <c r="AA259" s="122"/>
      <c r="AB259" s="122"/>
      <c r="AC259" s="122"/>
      <c r="AD259" s="122"/>
      <c r="AE259" s="122"/>
    </row>
    <row r="260" spans="1:31">
      <c r="A260" s="122"/>
      <c r="B260" s="122"/>
      <c r="C260" s="122"/>
      <c r="D260" s="122"/>
      <c r="E260" s="122"/>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row>
    <row r="261" spans="1:31">
      <c r="A261" s="122"/>
      <c r="B261" s="122"/>
      <c r="C261" s="122"/>
      <c r="D261" s="122"/>
      <c r="E261" s="122"/>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row>
    <row r="262" spans="1:31">
      <c r="A262" s="122"/>
      <c r="B262" s="122"/>
      <c r="C262" s="122"/>
      <c r="D262" s="122"/>
      <c r="E262" s="122"/>
      <c r="F262" s="122"/>
      <c r="G262" s="122"/>
      <c r="H262" s="122"/>
      <c r="I262" s="122"/>
      <c r="J262" s="122"/>
      <c r="K262" s="122"/>
      <c r="L262" s="122"/>
      <c r="M262" s="122"/>
      <c r="N262" s="122"/>
      <c r="O262" s="122"/>
      <c r="P262" s="122"/>
      <c r="Q262" s="122"/>
      <c r="R262" s="122"/>
      <c r="S262" s="122"/>
      <c r="T262" s="122"/>
      <c r="U262" s="122"/>
      <c r="V262" s="122"/>
      <c r="W262" s="122"/>
      <c r="X262" s="122"/>
      <c r="Y262" s="122"/>
      <c r="Z262" s="122"/>
      <c r="AA262" s="122"/>
      <c r="AB262" s="122"/>
      <c r="AC262" s="122"/>
      <c r="AD262" s="122"/>
      <c r="AE262" s="122"/>
    </row>
    <row r="263" spans="1:31">
      <c r="A263" s="122"/>
      <c r="B263" s="122"/>
      <c r="C263" s="122"/>
      <c r="D263" s="122"/>
      <c r="E263" s="122"/>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row>
    <row r="264" spans="1:31">
      <c r="A264" s="122"/>
      <c r="B264" s="122"/>
      <c r="C264" s="122"/>
      <c r="D264" s="122"/>
      <c r="E264" s="122"/>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row>
    <row r="265" spans="1:31">
      <c r="A265" s="122"/>
      <c r="B265" s="122"/>
      <c r="C265" s="122"/>
      <c r="D265" s="122"/>
      <c r="E265" s="122"/>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row>
    <row r="266" spans="1:31">
      <c r="A266" s="122"/>
      <c r="B266" s="122"/>
      <c r="C266" s="122"/>
      <c r="D266" s="122"/>
      <c r="E266" s="122"/>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row>
    <row r="267" spans="1:31">
      <c r="A267" s="122"/>
      <c r="B267" s="122"/>
      <c r="C267" s="122"/>
      <c r="D267" s="122"/>
      <c r="E267" s="122"/>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row>
    <row r="268" spans="1:31">
      <c r="A268" s="122"/>
      <c r="B268" s="122"/>
      <c r="C268" s="122"/>
      <c r="D268" s="122"/>
      <c r="E268" s="122"/>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row>
    <row r="269" spans="1:31">
      <c r="A269" s="122"/>
      <c r="B269" s="122"/>
      <c r="C269" s="122"/>
      <c r="D269" s="122"/>
      <c r="E269" s="122"/>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row>
    <row r="270" spans="1:31">
      <c r="A270" s="122"/>
      <c r="B270" s="122"/>
      <c r="C270" s="122"/>
      <c r="D270" s="122"/>
      <c r="E270" s="122"/>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row>
    <row r="271" spans="1:31">
      <c r="A271" s="122"/>
      <c r="B271" s="122"/>
      <c r="C271" s="122"/>
      <c r="D271" s="122"/>
      <c r="E271" s="122"/>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row>
    <row r="272" spans="1:31">
      <c r="A272" s="122"/>
      <c r="B272" s="122"/>
      <c r="C272" s="122"/>
      <c r="D272" s="122"/>
      <c r="E272" s="122"/>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row>
    <row r="273" spans="1:31">
      <c r="A273" s="122"/>
      <c r="B273" s="122"/>
      <c r="C273" s="122"/>
      <c r="D273" s="122"/>
      <c r="E273" s="122"/>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row>
    <row r="274" spans="1:31">
      <c r="A274" s="122"/>
      <c r="B274" s="122"/>
      <c r="C274" s="122"/>
      <c r="D274" s="122"/>
      <c r="E274" s="122"/>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row>
    <row r="275" spans="1:31">
      <c r="A275" s="122"/>
      <c r="B275" s="122"/>
      <c r="C275" s="122"/>
      <c r="D275" s="122"/>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c r="AB275" s="122"/>
      <c r="AC275" s="122"/>
      <c r="AD275" s="122"/>
      <c r="AE275" s="122"/>
    </row>
    <row r="276" spans="1:31">
      <c r="A276" s="122"/>
      <c r="B276" s="122"/>
      <c r="C276" s="122"/>
      <c r="D276" s="122"/>
      <c r="E276" s="122"/>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row>
    <row r="277" spans="1:31">
      <c r="A277" s="122"/>
      <c r="B277" s="122"/>
      <c r="C277" s="122"/>
      <c r="D277" s="122"/>
      <c r="E277" s="122"/>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row>
    <row r="278" spans="1:31">
      <c r="A278" s="122"/>
      <c r="B278" s="122"/>
      <c r="C278" s="122"/>
      <c r="D278" s="122"/>
      <c r="E278" s="122"/>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c r="AD278" s="122"/>
      <c r="AE278" s="122"/>
    </row>
    <row r="279" spans="1:31">
      <c r="A279" s="122"/>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row>
    <row r="280" spans="1:31">
      <c r="A280" s="122"/>
      <c r="B280" s="122"/>
      <c r="C280" s="122"/>
      <c r="D280" s="122"/>
      <c r="E280" s="122"/>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row>
    <row r="281" spans="1:31">
      <c r="A281" s="122"/>
      <c r="B281" s="122"/>
      <c r="C281" s="122"/>
      <c r="D281" s="122"/>
      <c r="E281" s="122"/>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row>
    <row r="282" spans="1:31">
      <c r="A282" s="122"/>
      <c r="B282" s="122"/>
      <c r="C282" s="122"/>
      <c r="D282" s="122"/>
      <c r="E282" s="122"/>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row>
    <row r="283" spans="1:31">
      <c r="A283" s="122"/>
      <c r="B283" s="122"/>
      <c r="C283" s="122"/>
      <c r="D283" s="122"/>
      <c r="E283" s="122"/>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row>
    <row r="284" spans="1:31">
      <c r="A284" s="122"/>
      <c r="B284" s="122"/>
      <c r="C284" s="122"/>
      <c r="D284" s="122"/>
      <c r="E284" s="122"/>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row>
    <row r="285" spans="1:31">
      <c r="A285" s="122"/>
      <c r="B285" s="122"/>
      <c r="C285" s="122"/>
      <c r="D285" s="122"/>
      <c r="E285" s="122"/>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row>
    <row r="286" spans="1:31">
      <c r="A286" s="122"/>
      <c r="B286" s="122"/>
      <c r="C286" s="122"/>
      <c r="D286" s="122"/>
      <c r="E286" s="122"/>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row>
    <row r="287" spans="1:31">
      <c r="A287" s="122"/>
      <c r="B287" s="122"/>
      <c r="C287" s="122"/>
      <c r="D287" s="122"/>
      <c r="E287" s="122"/>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row>
    <row r="288" spans="1:31">
      <c r="A288" s="122"/>
      <c r="B288" s="122"/>
      <c r="C288" s="122"/>
      <c r="D288" s="122"/>
      <c r="E288" s="122"/>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row>
    <row r="289" spans="1:31">
      <c r="A289" s="122"/>
      <c r="B289" s="122"/>
      <c r="C289" s="122"/>
      <c r="D289" s="122"/>
      <c r="E289" s="122"/>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row>
    <row r="290" spans="1:31">
      <c r="A290" s="122"/>
      <c r="B290" s="122"/>
      <c r="C290" s="122"/>
      <c r="D290" s="122"/>
      <c r="E290" s="122"/>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row>
    <row r="291" spans="1:31">
      <c r="A291" s="122"/>
      <c r="B291" s="122"/>
      <c r="C291" s="122"/>
      <c r="D291" s="122"/>
      <c r="E291" s="122"/>
      <c r="F291" s="122"/>
      <c r="G291" s="122"/>
      <c r="H291" s="122"/>
      <c r="I291" s="122"/>
      <c r="J291" s="122"/>
      <c r="K291" s="122"/>
      <c r="L291" s="122"/>
      <c r="M291" s="122"/>
      <c r="N291" s="122"/>
      <c r="O291" s="122"/>
      <c r="P291" s="122"/>
      <c r="Q291" s="122"/>
      <c r="R291" s="122"/>
      <c r="S291" s="122"/>
      <c r="T291" s="122"/>
      <c r="U291" s="122"/>
      <c r="V291" s="122"/>
      <c r="W291" s="122"/>
      <c r="X291" s="122"/>
      <c r="Y291" s="122"/>
      <c r="Z291" s="122"/>
      <c r="AA291" s="122"/>
      <c r="AB291" s="122"/>
      <c r="AC291" s="122"/>
      <c r="AD291" s="122"/>
      <c r="AE291" s="122"/>
    </row>
    <row r="292" spans="1:31">
      <c r="A292" s="122"/>
      <c r="B292" s="122"/>
      <c r="C292" s="122"/>
      <c r="D292" s="122"/>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row>
    <row r="293" spans="1:31">
      <c r="A293" s="122"/>
      <c r="B293" s="122"/>
      <c r="C293" s="122"/>
      <c r="D293" s="122"/>
      <c r="E293" s="122"/>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row>
    <row r="294" spans="1:31">
      <c r="A294" s="122"/>
      <c r="B294" s="122"/>
      <c r="C294" s="122"/>
      <c r="D294" s="122"/>
      <c r="E294" s="122"/>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row>
    <row r="295" spans="1:31">
      <c r="A295" s="122"/>
      <c r="B295" s="122"/>
      <c r="C295" s="122"/>
      <c r="D295" s="122"/>
      <c r="E295" s="122"/>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row>
    <row r="296" spans="1:31">
      <c r="A296" s="122"/>
      <c r="B296" s="122"/>
      <c r="C296" s="122"/>
      <c r="D296" s="122"/>
      <c r="E296" s="122"/>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row>
    <row r="297" spans="1:31">
      <c r="A297" s="122"/>
      <c r="B297" s="122"/>
      <c r="C297" s="122"/>
      <c r="D297" s="122"/>
      <c r="E297" s="122"/>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row>
    <row r="298" spans="1:31">
      <c r="A298" s="122"/>
      <c r="B298" s="122"/>
      <c r="C298" s="122"/>
      <c r="D298" s="122"/>
      <c r="E298" s="122"/>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row>
    <row r="299" spans="1:31">
      <c r="A299" s="122"/>
      <c r="B299" s="122"/>
      <c r="C299" s="122"/>
      <c r="D299" s="122"/>
      <c r="E299" s="122"/>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row>
    <row r="300" spans="1:31">
      <c r="A300" s="122"/>
      <c r="B300" s="122"/>
      <c r="C300" s="122"/>
      <c r="D300" s="122"/>
      <c r="E300" s="122"/>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row>
    <row r="301" spans="1:31">
      <c r="A301" s="122"/>
      <c r="B301" s="122"/>
      <c r="C301" s="122"/>
      <c r="D301" s="122"/>
      <c r="E301" s="122"/>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row>
    <row r="302" spans="1:31">
      <c r="A302" s="122"/>
      <c r="B302" s="122"/>
      <c r="C302" s="122"/>
      <c r="D302" s="122"/>
      <c r="E302" s="122"/>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row>
    <row r="303" spans="1:31">
      <c r="A303" s="122"/>
      <c r="B303" s="122"/>
      <c r="C303" s="122"/>
      <c r="D303" s="122"/>
      <c r="E303" s="122"/>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row>
    <row r="304" spans="1:31">
      <c r="A304" s="122"/>
      <c r="B304" s="122"/>
      <c r="C304" s="122"/>
      <c r="D304" s="122"/>
      <c r="E304" s="122"/>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row>
    <row r="305" spans="1:31">
      <c r="A305" s="122"/>
      <c r="B305" s="122"/>
      <c r="C305" s="122"/>
      <c r="D305" s="122"/>
      <c r="E305" s="122"/>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row>
    <row r="306" spans="1:31">
      <c r="A306" s="122"/>
      <c r="B306" s="122"/>
      <c r="C306" s="122"/>
      <c r="D306" s="122"/>
      <c r="E306" s="122"/>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row>
    <row r="307" spans="1:31">
      <c r="A307" s="122"/>
      <c r="B307" s="122"/>
      <c r="C307" s="122"/>
      <c r="D307" s="122"/>
      <c r="E307" s="122"/>
      <c r="F307" s="122"/>
      <c r="G307" s="122"/>
      <c r="H307" s="122"/>
      <c r="I307" s="122"/>
      <c r="J307" s="122"/>
      <c r="K307" s="122"/>
      <c r="L307" s="122"/>
      <c r="M307" s="122"/>
      <c r="N307" s="122"/>
      <c r="O307" s="122"/>
      <c r="P307" s="122"/>
      <c r="Q307" s="122"/>
      <c r="R307" s="122"/>
      <c r="S307" s="122"/>
      <c r="T307" s="122"/>
      <c r="U307" s="122"/>
      <c r="V307" s="122"/>
      <c r="W307" s="122"/>
      <c r="X307" s="122"/>
      <c r="Y307" s="122"/>
      <c r="Z307" s="122"/>
      <c r="AA307" s="122"/>
      <c r="AB307" s="122"/>
      <c r="AC307" s="122"/>
      <c r="AD307" s="122"/>
      <c r="AE307" s="122"/>
    </row>
    <row r="308" spans="1:31">
      <c r="A308" s="122"/>
      <c r="B308" s="122"/>
      <c r="C308" s="122"/>
      <c r="D308" s="122"/>
      <c r="E308" s="122"/>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row>
    <row r="309" spans="1:31">
      <c r="A309" s="122"/>
      <c r="B309" s="122"/>
      <c r="C309" s="122"/>
      <c r="D309" s="122"/>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row>
    <row r="310" spans="1:31">
      <c r="A310" s="122"/>
      <c r="B310" s="122"/>
      <c r="C310" s="122"/>
      <c r="D310" s="122"/>
      <c r="E310" s="122"/>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row>
    <row r="311" spans="1:31">
      <c r="A311" s="122"/>
      <c r="B311" s="122"/>
      <c r="C311" s="122"/>
      <c r="D311" s="122"/>
      <c r="E311" s="122"/>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row>
    <row r="312" spans="1:31">
      <c r="A312" s="122"/>
      <c r="B312" s="122"/>
      <c r="C312" s="122"/>
      <c r="D312" s="122"/>
      <c r="E312" s="122"/>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row>
    <row r="313" spans="1:31">
      <c r="A313" s="122"/>
      <c r="B313" s="122"/>
      <c r="C313" s="122"/>
      <c r="D313" s="122"/>
      <c r="E313" s="122"/>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row>
    <row r="314" spans="1:31">
      <c r="A314" s="122"/>
      <c r="B314" s="122"/>
      <c r="C314" s="122"/>
      <c r="D314" s="122"/>
      <c r="E314" s="122"/>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row>
    <row r="315" spans="1:31">
      <c r="A315" s="122"/>
      <c r="B315" s="122"/>
      <c r="C315" s="122"/>
      <c r="D315" s="122"/>
      <c r="E315" s="122"/>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row>
    <row r="316" spans="1:31">
      <c r="A316" s="122"/>
      <c r="B316" s="122"/>
      <c r="C316" s="122"/>
      <c r="D316" s="122"/>
      <c r="E316" s="122"/>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row>
    <row r="317" spans="1:31">
      <c r="A317" s="122"/>
      <c r="B317" s="122"/>
      <c r="C317" s="122"/>
      <c r="D317" s="122"/>
      <c r="E317" s="122"/>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row>
    <row r="318" spans="1:31">
      <c r="A318" s="122"/>
      <c r="B318" s="122"/>
      <c r="C318" s="122"/>
      <c r="D318" s="122"/>
      <c r="E318" s="122"/>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row>
    <row r="319" spans="1:31">
      <c r="A319" s="122"/>
      <c r="B319" s="122"/>
      <c r="C319" s="122"/>
      <c r="D319" s="122"/>
      <c r="E319" s="122"/>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row>
    <row r="320" spans="1:31">
      <c r="A320" s="122"/>
      <c r="B320" s="122"/>
      <c r="C320" s="122"/>
      <c r="D320" s="122"/>
      <c r="E320" s="122"/>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row>
    <row r="321" spans="1:31">
      <c r="A321" s="122"/>
      <c r="B321" s="122"/>
      <c r="C321" s="122"/>
      <c r="D321" s="122"/>
      <c r="E321" s="122"/>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row>
    <row r="322" spans="1:31">
      <c r="A322" s="122"/>
      <c r="B322" s="122"/>
      <c r="C322" s="122"/>
      <c r="D322" s="122"/>
      <c r="E322" s="122"/>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row>
    <row r="323" spans="1:31">
      <c r="A323" s="122"/>
      <c r="B323" s="122"/>
      <c r="C323" s="122"/>
      <c r="D323" s="122"/>
      <c r="E323" s="122"/>
      <c r="F323" s="122"/>
      <c r="G323" s="122"/>
      <c r="H323" s="122"/>
      <c r="I323" s="122"/>
      <c r="J323" s="122"/>
      <c r="K323" s="122"/>
      <c r="L323" s="122"/>
      <c r="M323" s="122"/>
      <c r="N323" s="122"/>
      <c r="O323" s="122"/>
      <c r="P323" s="122"/>
      <c r="Q323" s="122"/>
      <c r="R323" s="122"/>
      <c r="S323" s="122"/>
      <c r="T323" s="122"/>
      <c r="U323" s="122"/>
      <c r="V323" s="122"/>
      <c r="W323" s="122"/>
      <c r="X323" s="122"/>
      <c r="Y323" s="122"/>
      <c r="Z323" s="122"/>
      <c r="AA323" s="122"/>
      <c r="AB323" s="122"/>
      <c r="AC323" s="122"/>
      <c r="AD323" s="122"/>
      <c r="AE323" s="122"/>
    </row>
    <row r="324" spans="1:31">
      <c r="A324" s="122"/>
      <c r="B324" s="122"/>
      <c r="C324" s="122"/>
      <c r="D324" s="122"/>
      <c r="E324" s="122"/>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row>
    <row r="325" spans="1:31">
      <c r="A325" s="122"/>
      <c r="B325" s="122"/>
      <c r="C325" s="122"/>
      <c r="D325" s="122"/>
      <c r="E325" s="122"/>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row>
    <row r="326" spans="1:31">
      <c r="A326" s="122"/>
      <c r="B326" s="122"/>
      <c r="C326" s="122"/>
      <c r="D326" s="122"/>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row>
    <row r="327" spans="1:31">
      <c r="A327" s="122"/>
      <c r="B327" s="122"/>
      <c r="C327" s="122"/>
      <c r="D327" s="122"/>
      <c r="E327" s="122"/>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row>
    <row r="328" spans="1:31">
      <c r="A328" s="122"/>
      <c r="B328" s="122"/>
      <c r="C328" s="122"/>
      <c r="D328" s="122"/>
      <c r="E328" s="122"/>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row>
    <row r="329" spans="1:31">
      <c r="A329" s="122"/>
      <c r="B329" s="122"/>
      <c r="C329" s="122"/>
      <c r="D329" s="122"/>
      <c r="E329" s="122"/>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row>
    <row r="330" spans="1:31">
      <c r="A330" s="122"/>
      <c r="B330" s="122"/>
      <c r="C330" s="122"/>
      <c r="D330" s="122"/>
      <c r="E330" s="122"/>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row>
    <row r="331" spans="1:31">
      <c r="A331" s="122"/>
      <c r="B331" s="122"/>
      <c r="C331" s="122"/>
      <c r="D331" s="122"/>
      <c r="E331" s="122"/>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row>
    <row r="332" spans="1:31">
      <c r="A332" s="122"/>
      <c r="B332" s="122"/>
      <c r="C332" s="122"/>
      <c r="D332" s="122"/>
      <c r="E332" s="122"/>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row>
    <row r="333" spans="1:31">
      <c r="A333" s="122"/>
      <c r="B333" s="122"/>
      <c r="C333" s="122"/>
      <c r="D333" s="122"/>
      <c r="E333" s="122"/>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row>
    <row r="334" spans="1:31">
      <c r="A334" s="122"/>
      <c r="B334" s="122"/>
      <c r="C334" s="122"/>
      <c r="D334" s="122"/>
      <c r="E334" s="122"/>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row>
    <row r="335" spans="1:31">
      <c r="A335" s="122"/>
      <c r="B335" s="122"/>
      <c r="C335" s="122"/>
      <c r="D335" s="122"/>
      <c r="E335" s="122"/>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row>
    <row r="336" spans="1:31">
      <c r="A336" s="122"/>
      <c r="B336" s="122"/>
      <c r="C336" s="122"/>
      <c r="D336" s="122"/>
      <c r="E336" s="122"/>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row>
    <row r="337" spans="1:31">
      <c r="A337" s="122"/>
      <c r="B337" s="122"/>
      <c r="C337" s="122"/>
      <c r="D337" s="122"/>
      <c r="E337" s="122"/>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row>
    <row r="338" spans="1:31">
      <c r="A338" s="122"/>
      <c r="B338" s="122"/>
      <c r="C338" s="122"/>
      <c r="D338" s="122"/>
      <c r="E338" s="122"/>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row>
    <row r="339" spans="1:31">
      <c r="A339" s="122"/>
      <c r="B339" s="122"/>
      <c r="C339" s="122"/>
      <c r="D339" s="122"/>
      <c r="E339" s="122"/>
      <c r="F339" s="122"/>
      <c r="G339" s="122"/>
      <c r="H339" s="122"/>
      <c r="I339" s="122"/>
      <c r="J339" s="122"/>
      <c r="K339" s="122"/>
      <c r="L339" s="122"/>
      <c r="M339" s="122"/>
      <c r="N339" s="122"/>
      <c r="O339" s="122"/>
      <c r="P339" s="122"/>
      <c r="Q339" s="122"/>
      <c r="R339" s="122"/>
      <c r="S339" s="122"/>
      <c r="T339" s="122"/>
      <c r="U339" s="122"/>
      <c r="V339" s="122"/>
      <c r="W339" s="122"/>
      <c r="X339" s="122"/>
      <c r="Y339" s="122"/>
      <c r="Z339" s="122"/>
      <c r="AA339" s="122"/>
      <c r="AB339" s="122"/>
      <c r="AC339" s="122"/>
      <c r="AD339" s="122"/>
      <c r="AE339" s="122"/>
    </row>
    <row r="340" spans="1:31">
      <c r="A340" s="122"/>
      <c r="B340" s="122"/>
      <c r="C340" s="122"/>
      <c r="D340" s="122"/>
      <c r="E340" s="122"/>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row>
    <row r="341" spans="1:31">
      <c r="A341" s="122"/>
      <c r="B341" s="122"/>
      <c r="C341" s="122"/>
      <c r="D341" s="122"/>
      <c r="E341" s="122"/>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row>
    <row r="342" spans="1:31">
      <c r="A342" s="122"/>
      <c r="B342" s="122"/>
      <c r="C342" s="122"/>
      <c r="D342" s="122"/>
      <c r="E342" s="122"/>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row>
    <row r="343" spans="1:31">
      <c r="A343" s="122"/>
      <c r="B343" s="122"/>
      <c r="C343" s="122"/>
      <c r="D343" s="122"/>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row>
    <row r="344" spans="1:31">
      <c r="A344" s="122"/>
      <c r="B344" s="122"/>
      <c r="C344" s="122"/>
      <c r="D344" s="122"/>
      <c r="E344" s="122"/>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row>
    <row r="345" spans="1:31">
      <c r="A345" s="122"/>
      <c r="B345" s="122"/>
      <c r="C345" s="122"/>
      <c r="D345" s="122"/>
      <c r="E345" s="122"/>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row>
    <row r="346" spans="1:31">
      <c r="A346" s="122"/>
      <c r="B346" s="122"/>
      <c r="C346" s="122"/>
      <c r="D346" s="122"/>
      <c r="E346" s="122"/>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row>
    <row r="347" spans="1:31">
      <c r="A347" s="122"/>
      <c r="B347" s="122"/>
      <c r="C347" s="122"/>
      <c r="D347" s="122"/>
      <c r="E347" s="122"/>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row>
    <row r="348" spans="1:31">
      <c r="A348" s="122"/>
      <c r="B348" s="122"/>
      <c r="C348" s="122"/>
      <c r="D348" s="122"/>
      <c r="E348" s="122"/>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row>
    <row r="349" spans="1:31">
      <c r="A349" s="122"/>
      <c r="B349" s="122"/>
      <c r="C349" s="122"/>
      <c r="D349" s="122"/>
      <c r="E349" s="122"/>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row>
    <row r="350" spans="1:31">
      <c r="A350" s="122"/>
      <c r="B350" s="122"/>
      <c r="C350" s="122"/>
      <c r="D350" s="122"/>
      <c r="E350" s="122"/>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row>
    <row r="351" spans="1:31">
      <c r="A351" s="122"/>
      <c r="B351" s="122"/>
      <c r="C351" s="122"/>
      <c r="D351" s="122"/>
      <c r="E351" s="122"/>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row>
    <row r="352" spans="1:31">
      <c r="A352" s="122"/>
      <c r="B352" s="122"/>
      <c r="C352" s="122"/>
      <c r="D352" s="122"/>
      <c r="E352" s="122"/>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row>
    <row r="353" spans="1:31">
      <c r="A353" s="122"/>
      <c r="B353" s="122"/>
      <c r="C353" s="122"/>
      <c r="D353" s="122"/>
      <c r="E353" s="122"/>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row>
    <row r="354" spans="1:31">
      <c r="A354" s="122"/>
      <c r="B354" s="122"/>
      <c r="C354" s="122"/>
      <c r="D354" s="122"/>
      <c r="E354" s="122"/>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row>
    <row r="355" spans="1:31">
      <c r="A355" s="122"/>
      <c r="B355" s="122"/>
      <c r="C355" s="122"/>
      <c r="D355" s="122"/>
      <c r="E355" s="122"/>
      <c r="F355" s="122"/>
      <c r="G355" s="122"/>
      <c r="H355" s="122"/>
      <c r="I355" s="122"/>
      <c r="J355" s="122"/>
      <c r="K355" s="122"/>
      <c r="L355" s="122"/>
      <c r="M355" s="122"/>
      <c r="N355" s="122"/>
      <c r="O355" s="122"/>
      <c r="P355" s="122"/>
      <c r="Q355" s="122"/>
      <c r="R355" s="122"/>
      <c r="S355" s="122"/>
      <c r="T355" s="122"/>
      <c r="U355" s="122"/>
      <c r="V355" s="122"/>
      <c r="W355" s="122"/>
      <c r="X355" s="122"/>
      <c r="Y355" s="122"/>
      <c r="Z355" s="122"/>
      <c r="AA355" s="122"/>
      <c r="AB355" s="122"/>
      <c r="AC355" s="122"/>
      <c r="AD355" s="122"/>
      <c r="AE355" s="122"/>
    </row>
    <row r="356" spans="1:31">
      <c r="A356" s="122"/>
      <c r="B356" s="122"/>
      <c r="C356" s="122"/>
      <c r="D356" s="122"/>
      <c r="E356" s="122"/>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row>
    <row r="357" spans="1:31">
      <c r="A357" s="122"/>
      <c r="B357" s="122"/>
      <c r="C357" s="122"/>
      <c r="D357" s="122"/>
      <c r="E357" s="122"/>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row>
    <row r="358" spans="1:31">
      <c r="A358" s="122"/>
      <c r="B358" s="122"/>
      <c r="C358" s="122"/>
      <c r="D358" s="122"/>
      <c r="E358" s="122"/>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row>
    <row r="359" spans="1:31">
      <c r="A359" s="122"/>
      <c r="B359" s="122"/>
      <c r="C359" s="122"/>
      <c r="D359" s="122"/>
      <c r="E359" s="122"/>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row>
    <row r="360" spans="1:31">
      <c r="A360" s="122"/>
      <c r="B360" s="122"/>
      <c r="C360" s="122"/>
      <c r="D360" s="122"/>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row>
    <row r="361" spans="1:31">
      <c r="A361" s="122"/>
      <c r="B361" s="122"/>
      <c r="C361" s="122"/>
      <c r="D361" s="122"/>
      <c r="E361" s="122"/>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row>
    <row r="362" spans="1:31">
      <c r="A362" s="122"/>
      <c r="B362" s="122"/>
      <c r="C362" s="122"/>
      <c r="D362" s="122"/>
      <c r="E362" s="122"/>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row>
    <row r="363" spans="1:31">
      <c r="A363" s="122"/>
      <c r="B363" s="122"/>
      <c r="C363" s="122"/>
      <c r="D363" s="122"/>
      <c r="E363" s="122"/>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row>
    <row r="364" spans="1:31">
      <c r="A364" s="122"/>
      <c r="B364" s="122"/>
      <c r="C364" s="122"/>
      <c r="D364" s="122"/>
      <c r="E364" s="122"/>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row>
    <row r="365" spans="1:31">
      <c r="A365" s="122"/>
      <c r="B365" s="122"/>
      <c r="C365" s="122"/>
      <c r="D365" s="122"/>
      <c r="E365" s="122"/>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row>
    <row r="366" spans="1:31">
      <c r="A366" s="122"/>
      <c r="B366" s="122"/>
      <c r="C366" s="122"/>
      <c r="D366" s="122"/>
      <c r="E366" s="122"/>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row>
    <row r="367" spans="1:31">
      <c r="A367" s="122"/>
      <c r="B367" s="122"/>
      <c r="C367" s="122"/>
      <c r="D367" s="122"/>
      <c r="E367" s="122"/>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row>
    <row r="368" spans="1:31">
      <c r="A368" s="122"/>
      <c r="B368" s="122"/>
      <c r="C368" s="122"/>
      <c r="D368" s="122"/>
      <c r="E368" s="122"/>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row>
    <row r="369" spans="1:31">
      <c r="A369" s="122"/>
      <c r="B369" s="122"/>
      <c r="C369" s="122"/>
      <c r="D369" s="122"/>
      <c r="E369" s="122"/>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row>
    <row r="370" spans="1:31">
      <c r="A370" s="122"/>
      <c r="B370" s="122"/>
      <c r="C370" s="122"/>
      <c r="D370" s="122"/>
      <c r="E370" s="122"/>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row>
    <row r="371" spans="1:31">
      <c r="A371" s="122"/>
      <c r="B371" s="122"/>
      <c r="C371" s="122"/>
      <c r="D371" s="122"/>
      <c r="E371" s="122"/>
      <c r="F371" s="122"/>
      <c r="G371" s="122"/>
      <c r="H371" s="122"/>
      <c r="I371" s="122"/>
      <c r="J371" s="122"/>
      <c r="K371" s="122"/>
      <c r="L371" s="122"/>
      <c r="M371" s="122"/>
      <c r="N371" s="122"/>
      <c r="O371" s="122"/>
      <c r="P371" s="122"/>
      <c r="Q371" s="122"/>
      <c r="R371" s="122"/>
      <c r="S371" s="122"/>
      <c r="T371" s="122"/>
      <c r="U371" s="122"/>
      <c r="V371" s="122"/>
      <c r="W371" s="122"/>
      <c r="X371" s="122"/>
      <c r="Y371" s="122"/>
      <c r="Z371" s="122"/>
      <c r="AA371" s="122"/>
      <c r="AB371" s="122"/>
      <c r="AC371" s="122"/>
      <c r="AD371" s="122"/>
      <c r="AE371" s="122"/>
    </row>
    <row r="372" spans="1:31">
      <c r="A372" s="122"/>
      <c r="B372" s="122"/>
      <c r="C372" s="122"/>
      <c r="D372" s="122"/>
      <c r="E372" s="122"/>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row>
    <row r="373" spans="1:31">
      <c r="A373" s="122"/>
      <c r="B373" s="122"/>
      <c r="C373" s="122"/>
      <c r="D373" s="122"/>
      <c r="E373" s="122"/>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row>
    <row r="374" spans="1:31">
      <c r="A374" s="122"/>
      <c r="B374" s="122"/>
      <c r="C374" s="122"/>
      <c r="D374" s="122"/>
      <c r="E374" s="122"/>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row>
    <row r="375" spans="1:31">
      <c r="A375" s="122"/>
      <c r="B375" s="122"/>
      <c r="C375" s="122"/>
      <c r="D375" s="122"/>
      <c r="E375" s="122"/>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row>
    <row r="376" spans="1:31">
      <c r="A376" s="122"/>
      <c r="B376" s="122"/>
      <c r="C376" s="122"/>
      <c r="D376" s="122"/>
      <c r="E376" s="122"/>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row>
    <row r="377" spans="1:31">
      <c r="A377" s="122"/>
      <c r="B377" s="122"/>
      <c r="C377" s="122"/>
      <c r="D377" s="122"/>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row>
    <row r="378" spans="1:31">
      <c r="A378" s="122"/>
      <c r="B378" s="122"/>
      <c r="C378" s="122"/>
      <c r="D378" s="122"/>
      <c r="E378" s="122"/>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row>
    <row r="379" spans="1:31">
      <c r="A379" s="122"/>
      <c r="B379" s="122"/>
      <c r="C379" s="122"/>
      <c r="D379" s="122"/>
      <c r="E379" s="122"/>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row>
    <row r="380" spans="1:31">
      <c r="A380" s="122"/>
      <c r="B380" s="122"/>
      <c r="C380" s="122"/>
      <c r="D380" s="122"/>
      <c r="E380" s="122"/>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row>
    <row r="381" spans="1:31">
      <c r="A381" s="122"/>
      <c r="B381" s="122"/>
      <c r="C381" s="122"/>
      <c r="D381" s="122"/>
      <c r="E381" s="122"/>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row>
    <row r="382" spans="1:31">
      <c r="A382" s="122"/>
      <c r="B382" s="122"/>
      <c r="C382" s="122"/>
      <c r="D382" s="122"/>
      <c r="E382" s="122"/>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row>
    <row r="383" spans="1:31">
      <c r="A383" s="122"/>
      <c r="B383" s="122"/>
      <c r="C383" s="122"/>
      <c r="D383" s="122"/>
      <c r="E383" s="122"/>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row>
    <row r="384" spans="1:31">
      <c r="A384" s="122"/>
      <c r="B384" s="122"/>
      <c r="C384" s="122"/>
      <c r="D384" s="122"/>
      <c r="E384" s="122"/>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row>
    <row r="385" spans="1:31">
      <c r="A385" s="122"/>
      <c r="B385" s="122"/>
      <c r="C385" s="122"/>
      <c r="D385" s="122"/>
      <c r="E385" s="122"/>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row>
    <row r="386" spans="1:31">
      <c r="A386" s="122"/>
      <c r="B386" s="122"/>
      <c r="C386" s="122"/>
      <c r="D386" s="122"/>
      <c r="E386" s="122"/>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row>
    <row r="387" spans="1:31">
      <c r="A387" s="122"/>
      <c r="B387" s="122"/>
      <c r="C387" s="122"/>
      <c r="D387" s="122"/>
      <c r="E387" s="122"/>
      <c r="F387" s="122"/>
      <c r="G387" s="122"/>
      <c r="H387" s="122"/>
      <c r="I387" s="122"/>
      <c r="J387" s="122"/>
      <c r="K387" s="122"/>
      <c r="L387" s="122"/>
      <c r="M387" s="122"/>
      <c r="N387" s="122"/>
      <c r="O387" s="122"/>
      <c r="P387" s="122"/>
      <c r="Q387" s="122"/>
      <c r="R387" s="122"/>
      <c r="S387" s="122"/>
      <c r="T387" s="122"/>
      <c r="U387" s="122"/>
      <c r="V387" s="122"/>
      <c r="W387" s="122"/>
      <c r="X387" s="122"/>
      <c r="Y387" s="122"/>
      <c r="Z387" s="122"/>
      <c r="AA387" s="122"/>
      <c r="AB387" s="122"/>
      <c r="AC387" s="122"/>
      <c r="AD387" s="122"/>
      <c r="AE387" s="122"/>
    </row>
    <row r="388" spans="1:31">
      <c r="A388" s="122"/>
      <c r="B388" s="122"/>
      <c r="C388" s="122"/>
      <c r="D388" s="122"/>
      <c r="E388" s="122"/>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row>
    <row r="389" spans="1:31">
      <c r="A389" s="122"/>
      <c r="B389" s="122"/>
      <c r="C389" s="122"/>
      <c r="D389" s="122"/>
      <c r="E389" s="122"/>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row>
    <row r="390" spans="1:31">
      <c r="A390" s="122"/>
      <c r="B390" s="122"/>
      <c r="C390" s="122"/>
      <c r="D390" s="122"/>
      <c r="E390" s="122"/>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row>
    <row r="391" spans="1:31">
      <c r="A391" s="122"/>
      <c r="B391" s="122"/>
      <c r="C391" s="122"/>
      <c r="D391" s="122"/>
      <c r="E391" s="122"/>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row>
    <row r="392" spans="1:31">
      <c r="A392" s="122"/>
      <c r="B392" s="122"/>
      <c r="C392" s="122"/>
      <c r="D392" s="122"/>
      <c r="E392" s="122"/>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row>
    <row r="393" spans="1:31">
      <c r="A393" s="122"/>
      <c r="B393" s="122"/>
      <c r="C393" s="122"/>
      <c r="D393" s="122"/>
      <c r="E393" s="122"/>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row>
    <row r="394" spans="1:31">
      <c r="A394" s="122"/>
      <c r="B394" s="122"/>
      <c r="C394" s="122"/>
      <c r="D394" s="122"/>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row>
    <row r="395" spans="1:31">
      <c r="A395" s="122"/>
      <c r="B395" s="122"/>
      <c r="C395" s="122"/>
      <c r="D395" s="122"/>
      <c r="E395" s="122"/>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row>
    <row r="396" spans="1:31">
      <c r="A396" s="122"/>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row>
    <row r="397" spans="1:31">
      <c r="A397" s="122"/>
      <c r="B397" s="122"/>
      <c r="C397" s="122"/>
      <c r="D397" s="122"/>
      <c r="E397" s="122"/>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row>
    <row r="398" spans="1:31">
      <c r="A398" s="122"/>
      <c r="B398" s="122"/>
      <c r="C398" s="122"/>
      <c r="D398" s="122"/>
      <c r="E398" s="122"/>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row>
    <row r="399" spans="1:31">
      <c r="A399" s="122"/>
      <c r="B399" s="122"/>
      <c r="C399" s="122"/>
      <c r="D399" s="122"/>
      <c r="E399" s="122"/>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row>
    <row r="400" spans="1:31">
      <c r="A400" s="122"/>
      <c r="B400" s="122"/>
      <c r="C400" s="122"/>
      <c r="D400" s="122"/>
      <c r="E400" s="122"/>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row>
    <row r="401" spans="1:31">
      <c r="A401" s="122"/>
      <c r="B401" s="122"/>
      <c r="C401" s="122"/>
      <c r="D401" s="122"/>
      <c r="E401" s="122"/>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row>
    <row r="402" spans="1:31">
      <c r="A402" s="122"/>
      <c r="B402" s="122"/>
      <c r="C402" s="122"/>
      <c r="D402" s="122"/>
      <c r="E402" s="122"/>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row>
    <row r="403" spans="1:31">
      <c r="A403" s="122"/>
      <c r="B403" s="122"/>
      <c r="C403" s="122"/>
      <c r="D403" s="122"/>
      <c r="E403" s="122"/>
      <c r="F403" s="122"/>
      <c r="G403" s="122"/>
      <c r="H403" s="122"/>
      <c r="I403" s="122"/>
      <c r="J403" s="122"/>
      <c r="K403" s="122"/>
      <c r="L403" s="122"/>
      <c r="M403" s="122"/>
      <c r="N403" s="122"/>
      <c r="O403" s="122"/>
      <c r="P403" s="122"/>
      <c r="Q403" s="122"/>
      <c r="R403" s="122"/>
      <c r="S403" s="122"/>
      <c r="T403" s="122"/>
      <c r="U403" s="122"/>
      <c r="V403" s="122"/>
      <c r="W403" s="122"/>
      <c r="X403" s="122"/>
      <c r="Y403" s="122"/>
      <c r="Z403" s="122"/>
      <c r="AA403" s="122"/>
      <c r="AB403" s="122"/>
      <c r="AC403" s="122"/>
      <c r="AD403" s="122"/>
      <c r="AE403" s="122"/>
    </row>
    <row r="404" spans="1:31">
      <c r="A404" s="122"/>
      <c r="B404" s="122"/>
      <c r="C404" s="122"/>
      <c r="D404" s="122"/>
      <c r="E404" s="122"/>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row>
    <row r="405" spans="1:31">
      <c r="A405" s="122"/>
      <c r="B405" s="122"/>
      <c r="C405" s="122"/>
      <c r="D405" s="122"/>
      <c r="E405" s="122"/>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row>
    <row r="406" spans="1:31">
      <c r="A406" s="122"/>
      <c r="B406" s="122"/>
      <c r="C406" s="122"/>
      <c r="D406" s="122"/>
      <c r="E406" s="122"/>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row>
    <row r="407" spans="1:31">
      <c r="A407" s="122"/>
      <c r="B407" s="122"/>
      <c r="C407" s="122"/>
      <c r="D407" s="122"/>
      <c r="E407" s="122"/>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row>
    <row r="408" spans="1:31">
      <c r="A408" s="122"/>
      <c r="B408" s="122"/>
      <c r="C408" s="122"/>
      <c r="D408" s="122"/>
      <c r="E408" s="122"/>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row>
    <row r="409" spans="1:31">
      <c r="A409" s="122"/>
      <c r="B409" s="122"/>
      <c r="C409" s="122"/>
      <c r="D409" s="122"/>
      <c r="E409" s="122"/>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row>
    <row r="410" spans="1:31">
      <c r="A410" s="122"/>
      <c r="B410" s="122"/>
      <c r="C410" s="122"/>
      <c r="D410" s="122"/>
      <c r="E410" s="122"/>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row>
    <row r="411" spans="1:31">
      <c r="A411" s="122"/>
      <c r="B411" s="122"/>
      <c r="C411" s="122"/>
      <c r="D411" s="122"/>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row>
    <row r="412" spans="1:31">
      <c r="A412" s="122"/>
      <c r="B412" s="122"/>
      <c r="C412" s="122"/>
      <c r="D412" s="122"/>
      <c r="E412" s="122"/>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row>
    <row r="413" spans="1:31">
      <c r="A413" s="122"/>
      <c r="B413" s="122"/>
      <c r="C413" s="122"/>
      <c r="D413" s="122"/>
      <c r="E413" s="122"/>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row>
    <row r="414" spans="1:31">
      <c r="A414" s="122"/>
      <c r="B414" s="122"/>
      <c r="C414" s="122"/>
      <c r="D414" s="122"/>
      <c r="E414" s="122"/>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row>
    <row r="415" spans="1:31">
      <c r="A415" s="122"/>
      <c r="B415" s="122"/>
      <c r="C415" s="122"/>
      <c r="D415" s="122"/>
      <c r="E415" s="122"/>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row>
    <row r="416" spans="1:31">
      <c r="A416" s="122"/>
      <c r="B416" s="122"/>
      <c r="C416" s="122"/>
      <c r="D416" s="122"/>
      <c r="E416" s="122"/>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row>
    <row r="417" spans="1:31">
      <c r="A417" s="122"/>
      <c r="B417" s="122"/>
      <c r="C417" s="122"/>
      <c r="D417" s="122"/>
      <c r="E417" s="122"/>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row>
    <row r="418" spans="1:31">
      <c r="A418" s="122"/>
      <c r="B418" s="122"/>
      <c r="C418" s="122"/>
      <c r="D418" s="122"/>
      <c r="E418" s="122"/>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row>
    <row r="419" spans="1:31">
      <c r="A419" s="122"/>
      <c r="B419" s="122"/>
      <c r="C419" s="122"/>
      <c r="D419" s="122"/>
      <c r="E419" s="122"/>
      <c r="F419" s="122"/>
      <c r="G419" s="122"/>
      <c r="H419" s="122"/>
      <c r="I419" s="122"/>
      <c r="J419" s="122"/>
      <c r="K419" s="122"/>
      <c r="L419" s="122"/>
      <c r="M419" s="122"/>
      <c r="N419" s="122"/>
      <c r="O419" s="122"/>
      <c r="P419" s="122"/>
      <c r="Q419" s="122"/>
      <c r="R419" s="122"/>
      <c r="S419" s="122"/>
      <c r="T419" s="122"/>
      <c r="U419" s="122"/>
      <c r="V419" s="122"/>
      <c r="W419" s="122"/>
      <c r="X419" s="122"/>
      <c r="Y419" s="122"/>
      <c r="Z419" s="122"/>
      <c r="AA419" s="122"/>
      <c r="AB419" s="122"/>
      <c r="AC419" s="122"/>
      <c r="AD419" s="122"/>
      <c r="AE419" s="122"/>
    </row>
    <row r="420" spans="1:31">
      <c r="A420" s="122"/>
      <c r="B420" s="122"/>
      <c r="C420" s="122"/>
      <c r="D420" s="122"/>
      <c r="E420" s="122"/>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row>
    <row r="421" spans="1:31">
      <c r="A421" s="122"/>
      <c r="B421" s="122"/>
      <c r="C421" s="122"/>
      <c r="D421" s="122"/>
      <c r="E421" s="122"/>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row>
    <row r="422" spans="1:31">
      <c r="A422" s="122"/>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row>
    <row r="423" spans="1:31">
      <c r="A423" s="122"/>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row>
    <row r="424" spans="1:31">
      <c r="A424" s="122"/>
      <c r="B424" s="122"/>
      <c r="C424" s="122"/>
      <c r="D424" s="122"/>
      <c r="E424" s="122"/>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row>
    <row r="425" spans="1:31" customFormat="1"/>
    <row r="426" spans="1:31" customFormat="1"/>
    <row r="427" spans="1:31" customFormat="1"/>
    <row r="428" spans="1:31" customFormat="1"/>
    <row r="429" spans="1:31" customFormat="1"/>
    <row r="430" spans="1:31" customFormat="1"/>
    <row r="431" spans="1:31" customFormat="1"/>
    <row r="432" spans="1:31"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sheetData>
  <sheetProtection password="CEBA" sheet="1" selectLockedCells="1"/>
  <dataConsolidate>
    <dataRefs count="1">
      <dataRef ref="AD39" sheet="RECIBO"/>
    </dataRefs>
  </dataConsolidate>
  <mergeCells count="165">
    <mergeCell ref="B51:G51"/>
    <mergeCell ref="I51:M51"/>
    <mergeCell ref="T35:U35"/>
    <mergeCell ref="V38:X38"/>
    <mergeCell ref="B50:N50"/>
    <mergeCell ref="B48:N48"/>
    <mergeCell ref="B47:N47"/>
    <mergeCell ref="P39:S39"/>
    <mergeCell ref="P37:S37"/>
    <mergeCell ref="B46:N46"/>
    <mergeCell ref="P40:S40"/>
    <mergeCell ref="B43:N43"/>
    <mergeCell ref="P43:S43"/>
    <mergeCell ref="Z47:AC47"/>
    <mergeCell ref="T47:U47"/>
    <mergeCell ref="P46:S46"/>
    <mergeCell ref="V46:X46"/>
    <mergeCell ref="Z46:AC46"/>
    <mergeCell ref="P53:S53"/>
    <mergeCell ref="P52:S52"/>
    <mergeCell ref="Z48:AC48"/>
    <mergeCell ref="O50:S50"/>
    <mergeCell ref="T50:X50"/>
    <mergeCell ref="Z50:AC50"/>
    <mergeCell ref="V52:X52"/>
    <mergeCell ref="T48:U48"/>
    <mergeCell ref="V48:X48"/>
    <mergeCell ref="T46:U46"/>
    <mergeCell ref="O51:X51"/>
    <mergeCell ref="P48:S48"/>
    <mergeCell ref="P47:S47"/>
    <mergeCell ref="V47:X47"/>
    <mergeCell ref="AF36:AG36"/>
    <mergeCell ref="T36:U36"/>
    <mergeCell ref="B41:X41"/>
    <mergeCell ref="Z37:AC37"/>
    <mergeCell ref="Z41:AC41"/>
    <mergeCell ref="Z36:AC36"/>
    <mergeCell ref="V43:X43"/>
    <mergeCell ref="V40:X40"/>
    <mergeCell ref="Z39:AC39"/>
    <mergeCell ref="B42:N42"/>
    <mergeCell ref="T42:U42"/>
    <mergeCell ref="B38:N38"/>
    <mergeCell ref="Z38:AC38"/>
    <mergeCell ref="V39:X39"/>
    <mergeCell ref="V42:X42"/>
    <mergeCell ref="Z42:AC42"/>
    <mergeCell ref="V37:X37"/>
    <mergeCell ref="T37:U37"/>
    <mergeCell ref="T43:U43"/>
    <mergeCell ref="P42:S42"/>
    <mergeCell ref="B39:M39"/>
    <mergeCell ref="T39:U39"/>
    <mergeCell ref="Z25:AC25"/>
    <mergeCell ref="V32:X32"/>
    <mergeCell ref="Z29:AC29"/>
    <mergeCell ref="Z30:AC30"/>
    <mergeCell ref="V25:X25"/>
    <mergeCell ref="V31:X31"/>
    <mergeCell ref="Z26:AC26"/>
    <mergeCell ref="Z27:AC27"/>
    <mergeCell ref="V28:X28"/>
    <mergeCell ref="V30:X30"/>
    <mergeCell ref="P28:S28"/>
    <mergeCell ref="B36:N36"/>
    <mergeCell ref="Z28:AC28"/>
    <mergeCell ref="Z35:AC35"/>
    <mergeCell ref="Z34:AC34"/>
    <mergeCell ref="Z32:AC32"/>
    <mergeCell ref="B30:N30"/>
    <mergeCell ref="P30:S30"/>
    <mergeCell ref="B28:N28"/>
    <mergeCell ref="V33:X33"/>
    <mergeCell ref="T28:U28"/>
    <mergeCell ref="V36:X36"/>
    <mergeCell ref="V34:X34"/>
    <mergeCell ref="T34:U34"/>
    <mergeCell ref="T33:U33"/>
    <mergeCell ref="P33:S33"/>
    <mergeCell ref="T32:U32"/>
    <mergeCell ref="V35:X35"/>
    <mergeCell ref="P36:S36"/>
    <mergeCell ref="P35:S35"/>
    <mergeCell ref="B31:N31"/>
    <mergeCell ref="P31:S31"/>
    <mergeCell ref="B32:N32"/>
    <mergeCell ref="P34:S34"/>
    <mergeCell ref="T25:U25"/>
    <mergeCell ref="O22:R22"/>
    <mergeCell ref="T24:U24"/>
    <mergeCell ref="B24:N24"/>
    <mergeCell ref="P24:S24"/>
    <mergeCell ref="B27:N27"/>
    <mergeCell ref="T26:U26"/>
    <mergeCell ref="O23:X23"/>
    <mergeCell ref="B26:N26"/>
    <mergeCell ref="P26:S26"/>
    <mergeCell ref="P27:S27"/>
    <mergeCell ref="V27:X27"/>
    <mergeCell ref="V24:X24"/>
    <mergeCell ref="V26:X26"/>
    <mergeCell ref="T27:U27"/>
    <mergeCell ref="Z23:AC24"/>
    <mergeCell ref="Y10:AB10"/>
    <mergeCell ref="W21:Y21"/>
    <mergeCell ref="S21:V21"/>
    <mergeCell ref="O21:R21"/>
    <mergeCell ref="B21:F21"/>
    <mergeCell ref="G21:I21"/>
    <mergeCell ref="J21:N21"/>
    <mergeCell ref="H14:O14"/>
    <mergeCell ref="H18:O18"/>
    <mergeCell ref="W22:Y22"/>
    <mergeCell ref="H10:V10"/>
    <mergeCell ref="H16:O16"/>
    <mergeCell ref="Q16:X16"/>
    <mergeCell ref="Q14:X14"/>
    <mergeCell ref="B22:F22"/>
    <mergeCell ref="B29:N29"/>
    <mergeCell ref="P29:S29"/>
    <mergeCell ref="V29:X29"/>
    <mergeCell ref="T29:U29"/>
    <mergeCell ref="T30:U30"/>
    <mergeCell ref="B2:AC2"/>
    <mergeCell ref="D4:W4"/>
    <mergeCell ref="Y4:AB4"/>
    <mergeCell ref="Y6:AB6"/>
    <mergeCell ref="D6:R6"/>
    <mergeCell ref="T6:V6"/>
    <mergeCell ref="W6:X6"/>
    <mergeCell ref="P25:S25"/>
    <mergeCell ref="B25:N25"/>
    <mergeCell ref="H8:AB8"/>
    <mergeCell ref="Z21:AC21"/>
    <mergeCell ref="Z12:AB12"/>
    <mergeCell ref="G12:M12"/>
    <mergeCell ref="P12:V12"/>
    <mergeCell ref="Q18:X18"/>
    <mergeCell ref="S22:V22"/>
    <mergeCell ref="Z22:AC22"/>
    <mergeCell ref="G22:I22"/>
    <mergeCell ref="J22:N22"/>
    <mergeCell ref="Z44:AC44"/>
    <mergeCell ref="Z31:AC31"/>
    <mergeCell ref="B35:N35"/>
    <mergeCell ref="T31:U31"/>
    <mergeCell ref="B44:N44"/>
    <mergeCell ref="Z45:AC45"/>
    <mergeCell ref="B45:N45"/>
    <mergeCell ref="T44:U44"/>
    <mergeCell ref="T45:U45"/>
    <mergeCell ref="P44:S44"/>
    <mergeCell ref="P45:S45"/>
    <mergeCell ref="V45:X45"/>
    <mergeCell ref="V44:X44"/>
    <mergeCell ref="P32:S32"/>
    <mergeCell ref="B40:O40"/>
    <mergeCell ref="P38:S38"/>
    <mergeCell ref="B37:N37"/>
    <mergeCell ref="Z33:AC33"/>
    <mergeCell ref="Z40:AC40"/>
    <mergeCell ref="Z43:AC43"/>
    <mergeCell ref="B33:N33"/>
    <mergeCell ref="B34:N34"/>
  </mergeCells>
  <phoneticPr fontId="0" type="noConversion"/>
  <dataValidations count="1">
    <dataValidation type="decimal" allowBlank="1" showInputMessage="1" showErrorMessage="1" sqref="AB16 AB18">
      <formula1>0</formula1>
      <formula2>30</formula2>
    </dataValidation>
  </dataValidations>
  <printOptions horizontalCentered="1" verticalCentered="1"/>
  <pageMargins left="0.19685039370078741" right="0.19685039370078741" top="0.78740157480314965" bottom="0.78740157480314965" header="0.51181102362204722" footer="0.51181102362204722"/>
  <pageSetup paperSize="9" scale="85" orientation="portrait" blackAndWhite="1" horizontalDpi="4294967295" verticalDpi="360" r:id="rId1"/>
  <headerFooter alignWithMargins="0"/>
  <drawing r:id="rId2"/>
</worksheet>
</file>

<file path=xl/worksheets/sheet12.xml><?xml version="1.0" encoding="utf-8"?>
<worksheet xmlns="http://schemas.openxmlformats.org/spreadsheetml/2006/main" xmlns:r="http://schemas.openxmlformats.org/officeDocument/2006/relationships">
  <sheetPr codeName="Plan11"/>
  <dimension ref="A1:AQ42"/>
  <sheetViews>
    <sheetView topLeftCell="B22" zoomScale="110" zoomScaleNormal="110" workbookViewId="0">
      <selection activeCell="C36" sqref="C36:F36"/>
    </sheetView>
  </sheetViews>
  <sheetFormatPr defaultRowHeight="12.75"/>
  <cols>
    <col min="1" max="1" width="0.7109375" customWidth="1"/>
    <col min="2" max="2" width="11.28515625" customWidth="1"/>
    <col min="3" max="3" width="8.7109375" customWidth="1"/>
    <col min="4" max="4" width="4.5703125" customWidth="1"/>
    <col min="5" max="5" width="14.140625" customWidth="1"/>
    <col min="6" max="6" width="11.7109375" customWidth="1"/>
    <col min="7" max="7" width="9.42578125" customWidth="1"/>
    <col min="8" max="8" width="7.42578125" hidden="1" customWidth="1"/>
    <col min="9" max="9" width="7.42578125" customWidth="1"/>
    <col min="10" max="10" width="14.140625" customWidth="1"/>
    <col min="11" max="13" width="4.42578125" customWidth="1"/>
    <col min="14" max="14" width="4.28515625" customWidth="1"/>
    <col min="15" max="15" width="9.28515625" bestFit="1" customWidth="1"/>
    <col min="16" max="16" width="10" customWidth="1"/>
    <col min="17" max="17" width="9.7109375" customWidth="1"/>
    <col min="18" max="18" width="12.85546875" customWidth="1"/>
    <col min="19" max="41" width="6.5703125" hidden="1" customWidth="1"/>
    <col min="42" max="42" width="7.5703125" hidden="1" customWidth="1"/>
    <col min="43" max="43" width="8" hidden="1" customWidth="1"/>
    <col min="44" max="47" width="0" hidden="1" customWidth="1"/>
  </cols>
  <sheetData>
    <row r="1" spans="1:40" ht="17.25" customHeight="1" thickTop="1">
      <c r="A1" s="326"/>
      <c r="B1" s="1540" t="s">
        <v>534</v>
      </c>
      <c r="C1" s="1541"/>
      <c r="D1" s="1541"/>
      <c r="E1" s="1542" t="str">
        <f>VLOOKUP(DADOS!G3,FUNC!4:7209,2)</f>
        <v>ANGELO</v>
      </c>
      <c r="F1" s="1543"/>
      <c r="G1" s="1543"/>
      <c r="H1" s="1543"/>
      <c r="I1" s="1543"/>
      <c r="J1" s="1544"/>
      <c r="K1" s="1545"/>
      <c r="L1" s="1546"/>
      <c r="M1" s="1546"/>
      <c r="N1" s="1546"/>
      <c r="O1" s="1546"/>
      <c r="P1" s="1546"/>
      <c r="Q1" s="1546"/>
      <c r="R1" s="1547"/>
      <c r="S1" s="724"/>
      <c r="T1" s="723"/>
    </row>
    <row r="2" spans="1:40" ht="13.5" customHeight="1">
      <c r="A2" s="326"/>
      <c r="B2" s="743" t="s">
        <v>533</v>
      </c>
      <c r="C2" s="1554" t="s">
        <v>532</v>
      </c>
      <c r="D2" s="1554"/>
      <c r="E2" s="1555" t="s">
        <v>531</v>
      </c>
      <c r="F2" s="1556"/>
      <c r="G2" s="1556"/>
      <c r="H2" s="1556"/>
      <c r="I2" s="1556"/>
      <c r="J2" s="1557"/>
      <c r="K2" s="1548"/>
      <c r="L2" s="1549"/>
      <c r="M2" s="1549"/>
      <c r="N2" s="1549"/>
      <c r="O2" s="1549"/>
      <c r="P2" s="1549"/>
      <c r="Q2" s="1549"/>
      <c r="R2" s="1550"/>
      <c r="S2" s="724"/>
      <c r="T2" s="723"/>
      <c r="U2" s="739">
        <v>2</v>
      </c>
      <c r="AF2" s="528" t="b">
        <f>IF(AG2+AH2=0,0)</f>
        <v>0</v>
      </c>
      <c r="AG2" s="528">
        <f>IF($AG$4=$AG$6,0,IF($AG$4&lt;&gt;$AG$6,1))</f>
        <v>1</v>
      </c>
      <c r="AH2" s="528">
        <f>IF($AH$4=$AH$6,0,IF($AH$4&lt;&gt;$AH$6,1))</f>
        <v>1</v>
      </c>
      <c r="AI2" s="528"/>
      <c r="AJ2" s="528"/>
      <c r="AK2" s="674"/>
      <c r="AL2" s="528"/>
      <c r="AM2" s="529"/>
      <c r="AN2" s="528"/>
    </row>
    <row r="3" spans="1:40">
      <c r="A3" s="326"/>
      <c r="B3" s="734">
        <f>DEMONSTRATIVO!P24</f>
        <v>41731</v>
      </c>
      <c r="C3" s="1558">
        <f>VLOOKUP(DADOS!G3,FUNC!4:156,83)</f>
        <v>40210</v>
      </c>
      <c r="D3" s="1559"/>
      <c r="E3" s="1533" t="str">
        <f>VLOOKUP(DADOS!G4,EMP!3:4500,2)</f>
        <v>Disk Automoveis Ltda</v>
      </c>
      <c r="F3" s="1534"/>
      <c r="G3" s="1534"/>
      <c r="H3" s="1534"/>
      <c r="I3" s="1534"/>
      <c r="J3" s="1535"/>
      <c r="K3" s="1548"/>
      <c r="L3" s="1549"/>
      <c r="M3" s="1549"/>
      <c r="N3" s="1549"/>
      <c r="O3" s="1549"/>
      <c r="P3" s="1549"/>
      <c r="Q3" s="1549"/>
      <c r="R3" s="1550"/>
      <c r="S3" s="724"/>
      <c r="T3" s="723"/>
      <c r="V3" s="549" t="s">
        <v>530</v>
      </c>
      <c r="W3" s="446"/>
      <c r="X3" s="446"/>
      <c r="AD3" s="733" t="s">
        <v>529</v>
      </c>
      <c r="AE3" s="732"/>
      <c r="AF3" s="731">
        <f>IF(AF2=0,AG11-AF64,IF(AF2&gt;0,AG11))</f>
        <v>30</v>
      </c>
      <c r="AG3" s="531"/>
      <c r="AH3" s="531"/>
      <c r="AI3" s="528"/>
      <c r="AJ3" s="528"/>
      <c r="AL3" s="528"/>
      <c r="AM3" s="529"/>
      <c r="AN3" s="528"/>
    </row>
    <row r="4" spans="1:40">
      <c r="A4" s="326"/>
      <c r="B4" s="730" t="s">
        <v>528</v>
      </c>
      <c r="C4" s="1560" t="str">
        <f>VLOOKUP(DADOS!G3,FUNC!4:7211,86)</f>
        <v>4115-10</v>
      </c>
      <c r="D4" s="1560"/>
      <c r="E4" s="729" t="s">
        <v>527</v>
      </c>
      <c r="F4" s="742">
        <f>RECIBO!H12</f>
        <v>55563</v>
      </c>
      <c r="G4" s="728" t="s">
        <v>71</v>
      </c>
      <c r="H4" s="1533" t="str">
        <f>RECIBO!Y12</f>
        <v>00038/sp</v>
      </c>
      <c r="I4" s="1534"/>
      <c r="J4" s="1535"/>
      <c r="K4" s="1551"/>
      <c r="L4" s="1552"/>
      <c r="M4" s="1552"/>
      <c r="N4" s="1552"/>
      <c r="O4" s="1552"/>
      <c r="P4" s="1552"/>
      <c r="Q4" s="1552"/>
      <c r="R4" s="1553"/>
      <c r="S4" s="724"/>
      <c r="T4" s="723"/>
      <c r="V4" s="549"/>
      <c r="W4" s="446"/>
      <c r="X4" s="446"/>
      <c r="AD4" s="1527" t="s">
        <v>526</v>
      </c>
      <c r="AE4" s="1528"/>
      <c r="AF4" s="727">
        <f>IF(AF2=0,30-AF6+1,IF(AF2&gt;0,30))</f>
        <v>30</v>
      </c>
      <c r="AG4" s="721">
        <f>MONTH(B3)</f>
        <v>4</v>
      </c>
      <c r="AH4" s="726">
        <f>YEAR(B3)</f>
        <v>2014</v>
      </c>
      <c r="AI4" s="528"/>
      <c r="AJ4" s="528"/>
      <c r="AK4" s="674">
        <v>39141</v>
      </c>
      <c r="AL4" s="528"/>
      <c r="AM4" s="529"/>
      <c r="AN4" s="528"/>
    </row>
    <row r="5" spans="1:40" ht="18" customHeight="1" thickBot="1">
      <c r="A5" s="326"/>
      <c r="B5" s="1529">
        <v>5</v>
      </c>
      <c r="C5" s="1530"/>
      <c r="D5" s="1531">
        <f>RECIBO!G27</f>
        <v>1000</v>
      </c>
      <c r="E5" s="1532"/>
      <c r="F5" s="725" t="s">
        <v>525</v>
      </c>
      <c r="G5" s="1533" t="str">
        <f>'HOLLERITH (2)'!G5:J5</f>
        <v>contador</v>
      </c>
      <c r="H5" s="1534"/>
      <c r="I5" s="1534"/>
      <c r="J5" s="1535"/>
      <c r="K5" s="1536" t="s">
        <v>482</v>
      </c>
      <c r="L5" s="1537"/>
      <c r="M5" s="1537"/>
      <c r="N5" s="1537"/>
      <c r="O5" s="755">
        <f>VLOOKUP(DADOS!$G$3,FUNC!A3:IG169,4)</f>
        <v>1</v>
      </c>
      <c r="P5" s="1537" t="s">
        <v>475</v>
      </c>
      <c r="Q5" s="1537"/>
      <c r="R5" s="750">
        <f>RECIBO!H44</f>
        <v>2</v>
      </c>
      <c r="S5" s="724"/>
      <c r="T5" s="723"/>
      <c r="V5" s="549"/>
      <c r="W5" s="446"/>
      <c r="X5" s="446"/>
      <c r="AD5" s="1538" t="s">
        <v>524</v>
      </c>
      <c r="AE5" s="1539"/>
      <c r="AF5" s="722">
        <f>(AF4-D12)</f>
        <v>1</v>
      </c>
      <c r="AG5" s="721"/>
      <c r="AH5" s="720"/>
      <c r="AI5" s="528"/>
      <c r="AJ5" s="528"/>
      <c r="AK5" s="666">
        <v>39507</v>
      </c>
      <c r="AL5" s="528"/>
      <c r="AM5" s="529"/>
      <c r="AN5" s="528"/>
    </row>
    <row r="6" spans="1:40" ht="18" customHeight="1" thickTop="1">
      <c r="A6" s="326"/>
      <c r="B6" s="1512" t="s">
        <v>523</v>
      </c>
      <c r="C6" s="1513"/>
      <c r="D6" s="1513"/>
      <c r="E6" s="1513"/>
      <c r="F6" s="1513"/>
      <c r="G6" s="1513"/>
      <c r="H6" s="1513"/>
      <c r="I6" s="1513"/>
      <c r="J6" s="1516"/>
      <c r="K6" s="1517" t="s">
        <v>519</v>
      </c>
      <c r="L6" s="1518"/>
      <c r="M6" s="1518"/>
      <c r="N6" s="1519"/>
      <c r="O6" s="1520" t="s">
        <v>522</v>
      </c>
      <c r="P6" s="1520"/>
      <c r="Q6" s="1521"/>
      <c r="R6" s="1522" t="s">
        <v>521</v>
      </c>
      <c r="S6" s="661"/>
      <c r="T6" s="719"/>
      <c r="V6" s="718">
        <f>P9*Q9</f>
        <v>482.93</v>
      </c>
      <c r="W6" s="717"/>
      <c r="X6" s="717"/>
      <c r="AD6" s="1510" t="s">
        <v>520</v>
      </c>
      <c r="AE6" s="1511"/>
      <c r="AF6" s="716">
        <f>DAY(C3)</f>
        <v>1</v>
      </c>
      <c r="AG6" s="716">
        <f>MONTH(C3)</f>
        <v>2</v>
      </c>
      <c r="AH6" s="715">
        <f>YEAR(C3)</f>
        <v>2010</v>
      </c>
      <c r="AI6" s="528"/>
      <c r="AJ6" s="528"/>
      <c r="AK6" s="674">
        <v>39872</v>
      </c>
      <c r="AL6" s="528"/>
      <c r="AM6" s="529"/>
      <c r="AN6" s="528"/>
    </row>
    <row r="7" spans="1:40">
      <c r="A7" s="326"/>
      <c r="B7" s="1512" t="s">
        <v>519</v>
      </c>
      <c r="C7" s="1513"/>
      <c r="D7" s="1063"/>
      <c r="E7" s="527" t="s">
        <v>88</v>
      </c>
      <c r="F7" s="1062" t="s">
        <v>90</v>
      </c>
      <c r="G7" s="1513"/>
      <c r="H7" s="1513"/>
      <c r="I7" s="1063"/>
      <c r="J7" s="714" t="s">
        <v>88</v>
      </c>
      <c r="K7" s="713" t="s">
        <v>91</v>
      </c>
      <c r="L7" s="712" t="s">
        <v>281</v>
      </c>
      <c r="M7" s="711" t="s">
        <v>280</v>
      </c>
      <c r="N7" s="710" t="s">
        <v>518</v>
      </c>
      <c r="O7" s="697">
        <v>0</v>
      </c>
      <c r="P7" s="623">
        <v>1317.07</v>
      </c>
      <c r="Q7" s="696">
        <v>0.08</v>
      </c>
      <c r="R7" s="1523"/>
      <c r="S7" s="661" t="s">
        <v>518</v>
      </c>
      <c r="T7" s="709" t="s">
        <v>518</v>
      </c>
      <c r="U7" s="526" t="s">
        <v>91</v>
      </c>
      <c r="V7" s="527" t="s">
        <v>517</v>
      </c>
      <c r="W7" s="705" t="s">
        <v>516</v>
      </c>
      <c r="X7" s="705" t="s">
        <v>515</v>
      </c>
      <c r="Y7" s="708" t="s">
        <v>281</v>
      </c>
      <c r="Z7" s="707" t="s">
        <v>514</v>
      </c>
      <c r="AA7" s="706" t="s">
        <v>513</v>
      </c>
      <c r="AB7" s="527" t="s">
        <v>280</v>
      </c>
      <c r="AC7" s="705" t="s">
        <v>512</v>
      </c>
      <c r="AD7" s="705" t="s">
        <v>511</v>
      </c>
      <c r="AE7" s="705" t="s">
        <v>510</v>
      </c>
      <c r="AF7" s="704"/>
      <c r="AG7" s="703"/>
      <c r="AH7" s="531"/>
      <c r="AI7" s="528"/>
      <c r="AJ7" s="528"/>
      <c r="AK7" s="674">
        <v>40237</v>
      </c>
      <c r="AL7" s="528"/>
      <c r="AM7" s="529"/>
      <c r="AN7" s="528"/>
    </row>
    <row r="8" spans="1:40" ht="17.25" customHeight="1">
      <c r="A8" s="326"/>
      <c r="B8" s="1514" t="s">
        <v>509</v>
      </c>
      <c r="C8" s="1515"/>
      <c r="D8" s="702">
        <f>IF(AF4=31,0,IF(AF4&lt;&gt;31,AF4-D12))</f>
        <v>1</v>
      </c>
      <c r="E8" s="658">
        <f>IF(U2=2,D5/30*D8,IF(U2=1,0,IF(U2=3,0)))</f>
        <v>33.33</v>
      </c>
      <c r="F8" s="701" t="s">
        <v>508</v>
      </c>
      <c r="G8" s="701"/>
      <c r="H8" s="736">
        <f>VLOOKUP($V$29,$O$7:$Q$9,3)</f>
        <v>0.09</v>
      </c>
      <c r="I8" s="736">
        <f>IF(V29+W29=0,0,IF(V29+W29&gt;0,H8))</f>
        <v>0.09</v>
      </c>
      <c r="J8" s="737">
        <f>IF($V$29&gt;$P$9,$P$9*$I$8,IF($V$29&lt;$P$9,$V$29*$I$8))-J9</f>
        <v>3</v>
      </c>
      <c r="K8" s="672"/>
      <c r="L8" s="671"/>
      <c r="M8" s="671"/>
      <c r="N8" s="700"/>
      <c r="O8" s="697">
        <f>P7+0.01</f>
        <v>1317.08</v>
      </c>
      <c r="P8" s="623">
        <v>2195.12</v>
      </c>
      <c r="Q8" s="696">
        <v>0.09</v>
      </c>
      <c r="R8" s="1523"/>
      <c r="S8" s="699" t="b">
        <v>1</v>
      </c>
      <c r="T8" s="683">
        <f>IF(S8=TRUE,E8,IF(S8=FALSE,0))</f>
        <v>33.33</v>
      </c>
      <c r="U8" s="630" t="b">
        <v>1</v>
      </c>
      <c r="V8" s="610">
        <f>IF(U8=TRUE,E8,IF(U8=FALSE,0))</f>
        <v>33.33</v>
      </c>
      <c r="W8" s="637"/>
      <c r="X8" s="637"/>
      <c r="Y8" s="615" t="b">
        <v>1</v>
      </c>
      <c r="Z8" s="651">
        <f t="shared" ref="Z8:Z15" si="0">IF(Y8=TRUE,E8,IF(Y8=FALSE,0))</f>
        <v>33.33</v>
      </c>
      <c r="AA8" s="651"/>
      <c r="AB8" s="420" t="b">
        <v>1</v>
      </c>
      <c r="AC8" s="616">
        <f>IF(AB8=TRUE,E8,IF(AB8=FALSE,0))</f>
        <v>33.33</v>
      </c>
      <c r="AD8" s="637"/>
      <c r="AE8" s="637"/>
      <c r="AF8" s="537"/>
      <c r="AG8" s="692"/>
      <c r="AH8" s="537"/>
      <c r="AI8" s="591"/>
      <c r="AJ8" s="591"/>
      <c r="AK8" s="674">
        <v>40602</v>
      </c>
      <c r="AL8" s="591"/>
      <c r="AM8" s="592"/>
      <c r="AN8" s="591"/>
    </row>
    <row r="9" spans="1:40" ht="17.25" customHeight="1">
      <c r="A9" s="326"/>
      <c r="B9" s="1469"/>
      <c r="C9" s="1470"/>
      <c r="D9" s="1470"/>
      <c r="E9" s="623"/>
      <c r="F9" s="1505" t="s">
        <v>507</v>
      </c>
      <c r="G9" s="1208"/>
      <c r="H9" s="1208"/>
      <c r="I9" s="1209"/>
      <c r="J9" s="747">
        <f>DEMONSTRATIVO!P42</f>
        <v>116</v>
      </c>
      <c r="K9" s="686"/>
      <c r="L9" s="302"/>
      <c r="M9" s="302"/>
      <c r="N9" s="698"/>
      <c r="O9" s="697">
        <f>P8+0.01</f>
        <v>2195.13</v>
      </c>
      <c r="P9" s="623">
        <v>4390.24</v>
      </c>
      <c r="Q9" s="696">
        <v>0.11</v>
      </c>
      <c r="R9" s="1523"/>
      <c r="S9" s="684" t="b">
        <v>0</v>
      </c>
      <c r="T9" s="683">
        <f>IF(S9=TRUE,E9,IF(S9=FALSE,0))</f>
        <v>0</v>
      </c>
      <c r="U9" s="682" t="b">
        <v>1</v>
      </c>
      <c r="V9" s="680">
        <f>IF(U9=TRUE,E9,IF(U9=FALSE,0))</f>
        <v>0</v>
      </c>
      <c r="W9" s="694"/>
      <c r="X9" s="694"/>
      <c r="Y9" s="681" t="b">
        <v>1</v>
      </c>
      <c r="Z9" s="695">
        <f t="shared" si="0"/>
        <v>0</v>
      </c>
      <c r="AA9" s="695"/>
      <c r="AB9" s="281" t="b">
        <v>1</v>
      </c>
      <c r="AC9" s="680">
        <f>IF(AB9=TRUE,E9,IF(AB9=FALSE,0))</f>
        <v>0</v>
      </c>
      <c r="AD9" s="694"/>
      <c r="AE9" s="694"/>
      <c r="AF9" s="693" t="str">
        <f>MONTH(B3)&amp;"/"&amp;YEAR(B3)</f>
        <v>4/2014</v>
      </c>
      <c r="AG9" s="692"/>
      <c r="AH9" s="537"/>
      <c r="AI9" s="591"/>
      <c r="AJ9" s="591"/>
      <c r="AK9" s="666">
        <v>40968</v>
      </c>
      <c r="AL9" s="691" t="b">
        <f>IF(AF9="2/2007",28,IF(AF9="2/2008",29,IF(AF9="2/2009",28,IF(AF9="2/2010",28,IF(AF9="2/2011",28,IF(AF9="2/2012",29,AM9))))))</f>
        <v>0</v>
      </c>
      <c r="AM9" s="592" t="b">
        <f>IF(AF9="2/2013",28,IF(AF9="2/2014",28,IF(AF9="2/2015",28,IF(AF9="2/2016",29,IF(AF9="2/2017",28,IF(AF9="2/2018",28,IF(AF9="2/2019",28,AN9)))))))</f>
        <v>0</v>
      </c>
      <c r="AN9" s="591" t="b">
        <f>IF(AF9="2/2020",29,IF(AF9="2/2021",28,IF(AF9="2/2022",28,IF(AF9="2/2023",28,IF(AF9="2/2024",29)))))</f>
        <v>0</v>
      </c>
    </row>
    <row r="10" spans="1:40" ht="17.25" customHeight="1">
      <c r="A10" s="326"/>
      <c r="B10" s="1469"/>
      <c r="C10" s="1470"/>
      <c r="D10" s="1470"/>
      <c r="E10" s="623"/>
      <c r="F10" s="1509" t="s">
        <v>506</v>
      </c>
      <c r="G10" s="1498"/>
      <c r="H10" s="736">
        <f>VLOOKUP($X$29,$O$7:$Q$9,3)</f>
        <v>0.08</v>
      </c>
      <c r="I10" s="736">
        <f>IF(X29=0,0,IF(X29&gt;0,H10))</f>
        <v>0</v>
      </c>
      <c r="J10" s="737">
        <f>IF($X$29&gt;$P$9,$P$9*$I$10,IF($X$29&lt;$P$9,$X$29*$I$10))</f>
        <v>0</v>
      </c>
      <c r="K10" s="686"/>
      <c r="L10" s="302"/>
      <c r="M10" s="302"/>
      <c r="N10" s="690"/>
      <c r="O10" s="689"/>
      <c r="P10" s="688"/>
      <c r="Q10" s="688"/>
      <c r="R10" s="1523"/>
      <c r="S10" s="684" t="b">
        <v>0</v>
      </c>
      <c r="T10" s="683">
        <f>IF(S10=TRUE,E10,IF(S10=FALSE,0))</f>
        <v>0</v>
      </c>
      <c r="U10" s="682" t="b">
        <v>1</v>
      </c>
      <c r="V10" s="616">
        <f>IF(U10=TRUE,E10,IF(U10=FALSE,0))</f>
        <v>0</v>
      </c>
      <c r="W10" s="637"/>
      <c r="X10" s="637"/>
      <c r="Y10" s="681" t="b">
        <v>1</v>
      </c>
      <c r="Z10" s="651">
        <f t="shared" si="0"/>
        <v>0</v>
      </c>
      <c r="AA10" s="651"/>
      <c r="AB10" s="680" t="b">
        <v>1</v>
      </c>
      <c r="AC10" s="616">
        <f>IF(AB10=TRUE,E10,IF(AB10=FALSE,0))</f>
        <v>0</v>
      </c>
      <c r="AD10" s="637"/>
      <c r="AE10" s="637"/>
      <c r="AF10" s="531"/>
      <c r="AG10" s="531">
        <v>30</v>
      </c>
      <c r="AH10" s="537"/>
      <c r="AI10" s="591"/>
      <c r="AJ10" s="591"/>
      <c r="AK10" s="674">
        <v>41333</v>
      </c>
      <c r="AL10" s="591"/>
      <c r="AM10" s="592"/>
      <c r="AN10" s="591"/>
    </row>
    <row r="11" spans="1:40" ht="17.25" customHeight="1">
      <c r="A11" s="326"/>
      <c r="B11" s="1469"/>
      <c r="C11" s="1470"/>
      <c r="D11" s="1470"/>
      <c r="E11" s="623"/>
      <c r="F11" s="687" t="s">
        <v>505</v>
      </c>
      <c r="G11" s="687"/>
      <c r="H11" s="736">
        <f>VLOOKUP($G$33,$O$22:$Q$26,3)</f>
        <v>0</v>
      </c>
      <c r="I11" s="736">
        <f>VLOOKUP($G$33,$O$22:$Q$26,3)</f>
        <v>0</v>
      </c>
      <c r="J11" s="735">
        <f>IF(G33*I11-U32&lt;R29,0,IF(G33*I11-U32&gt;=R29,G33*I11-U32))</f>
        <v>0</v>
      </c>
      <c r="K11" s="686"/>
      <c r="L11" s="302"/>
      <c r="M11" s="302"/>
      <c r="N11" s="685"/>
      <c r="O11" s="1481" t="s">
        <v>504</v>
      </c>
      <c r="P11" s="1525"/>
      <c r="Q11" s="1526"/>
      <c r="R11" s="1523"/>
      <c r="S11" s="684"/>
      <c r="T11" s="683">
        <f>IF(S11=TRUE,E11,IF(S11=FALSE,0))</f>
        <v>0</v>
      </c>
      <c r="U11" s="682" t="b">
        <v>1</v>
      </c>
      <c r="V11" s="616">
        <f>IF(U11=TRUE,E11,IF(U11=FALSE,0))</f>
        <v>0</v>
      </c>
      <c r="W11" s="637"/>
      <c r="X11" s="637"/>
      <c r="Y11" s="681" t="b">
        <v>1</v>
      </c>
      <c r="Z11" s="651">
        <f t="shared" si="0"/>
        <v>0</v>
      </c>
      <c r="AA11" s="651"/>
      <c r="AB11" s="680" t="b">
        <v>1</v>
      </c>
      <c r="AC11" s="616">
        <f>IF(AB11=TRUE,E11,IF(AB11=FALSE,0))</f>
        <v>0</v>
      </c>
      <c r="AD11" s="637"/>
      <c r="AE11" s="637"/>
      <c r="AF11" s="537"/>
      <c r="AG11" s="679">
        <f>VLOOKUP(AG4,AG12:AH38,2)</f>
        <v>30</v>
      </c>
      <c r="AH11" s="678"/>
      <c r="AI11" s="591"/>
      <c r="AJ11" s="591"/>
      <c r="AK11" s="674">
        <v>41698</v>
      </c>
      <c r="AL11" s="591"/>
      <c r="AM11" s="592"/>
      <c r="AN11" s="591"/>
    </row>
    <row r="12" spans="1:40" ht="17.25" customHeight="1">
      <c r="A12" s="326"/>
      <c r="B12" s="1506" t="s">
        <v>503</v>
      </c>
      <c r="C12" s="1507"/>
      <c r="D12" s="738">
        <f>DEMONSTRATIVO!O25</f>
        <v>29</v>
      </c>
      <c r="E12" s="746">
        <f>DEMONSTRATIVO!P25</f>
        <v>966.67</v>
      </c>
      <c r="F12" s="1505" t="s">
        <v>502</v>
      </c>
      <c r="G12" s="1208"/>
      <c r="H12" s="1208"/>
      <c r="I12" s="1209"/>
      <c r="J12" s="747">
        <f>DEMONSTRATIVO!P43</f>
        <v>0</v>
      </c>
      <c r="K12" s="672"/>
      <c r="L12" s="671"/>
      <c r="M12" s="671"/>
      <c r="N12" s="670"/>
      <c r="O12" s="627">
        <v>0</v>
      </c>
      <c r="P12" s="623">
        <v>682.5</v>
      </c>
      <c r="Q12" s="676">
        <v>35</v>
      </c>
      <c r="R12" s="1523"/>
      <c r="S12" s="675" t="b">
        <v>0</v>
      </c>
      <c r="T12" s="677"/>
      <c r="U12" s="617" t="b">
        <v>1</v>
      </c>
      <c r="V12" s="616">
        <f>IF($U$12=TRUE,E12,IF($U$12=FALSE,0))</f>
        <v>966.67</v>
      </c>
      <c r="W12" s="616"/>
      <c r="X12" s="637"/>
      <c r="Y12" s="615" t="b">
        <v>1</v>
      </c>
      <c r="Z12" s="651">
        <f t="shared" si="0"/>
        <v>966.67</v>
      </c>
      <c r="AA12" s="651"/>
      <c r="AB12" s="610" t="b">
        <v>1</v>
      </c>
      <c r="AC12" s="637">
        <v>0</v>
      </c>
      <c r="AD12" s="616">
        <f>IF($AB$12=TRUE,$E$12,IF($AB$12=FALSE,0))</f>
        <v>966.67</v>
      </c>
      <c r="AE12" s="637"/>
      <c r="AF12" s="537"/>
      <c r="AG12" s="571">
        <v>1</v>
      </c>
      <c r="AH12" s="571">
        <v>31</v>
      </c>
      <c r="AI12" s="591"/>
      <c r="AJ12" s="591"/>
      <c r="AK12" s="674">
        <v>42063</v>
      </c>
      <c r="AL12" s="592"/>
      <c r="AM12" s="592"/>
      <c r="AN12" s="591"/>
    </row>
    <row r="13" spans="1:40" ht="17.25" customHeight="1">
      <c r="A13" s="326"/>
      <c r="B13" s="1502" t="s">
        <v>501</v>
      </c>
      <c r="C13" s="1503"/>
      <c r="D13" s="1504"/>
      <c r="E13" s="746">
        <f>DEMONSTRATIVO!P27</f>
        <v>0</v>
      </c>
      <c r="F13" s="1505" t="s">
        <v>500</v>
      </c>
      <c r="G13" s="1208"/>
      <c r="H13" s="1208"/>
      <c r="I13" s="1209"/>
      <c r="J13" s="747">
        <f>SUM(E12:E17)-(J9+J12+J21+J22+J23+J24)</f>
        <v>1172.8900000000001</v>
      </c>
      <c r="K13" s="672"/>
      <c r="L13" s="671"/>
      <c r="M13" s="671"/>
      <c r="N13" s="670"/>
      <c r="O13" s="627">
        <f>P12+0.01</f>
        <v>682.51</v>
      </c>
      <c r="P13" s="623">
        <v>1025.81</v>
      </c>
      <c r="Q13" s="676">
        <v>24.66</v>
      </c>
      <c r="R13" s="1523"/>
      <c r="S13" s="675" t="b">
        <v>0</v>
      </c>
      <c r="T13" s="660"/>
      <c r="U13" s="617" t="b">
        <v>1</v>
      </c>
      <c r="V13" s="616">
        <f>IF($U$12=TRUE,E13,IF($U$12=FALSE,0))</f>
        <v>0</v>
      </c>
      <c r="W13" s="616"/>
      <c r="X13" s="637"/>
      <c r="Y13" s="615" t="b">
        <v>1</v>
      </c>
      <c r="Z13" s="651">
        <f t="shared" si="0"/>
        <v>0</v>
      </c>
      <c r="AA13" s="651"/>
      <c r="AB13" s="610" t="b">
        <v>1</v>
      </c>
      <c r="AC13" s="637">
        <v>0</v>
      </c>
      <c r="AD13" s="616"/>
      <c r="AE13" s="637"/>
      <c r="AF13" s="537"/>
      <c r="AG13" s="571"/>
      <c r="AH13" s="571"/>
      <c r="AI13" s="591"/>
      <c r="AJ13" s="591"/>
      <c r="AK13" s="674"/>
      <c r="AL13" s="592"/>
      <c r="AM13" s="592"/>
      <c r="AN13" s="591"/>
    </row>
    <row r="14" spans="1:40" ht="17.25" customHeight="1">
      <c r="A14" s="326"/>
      <c r="B14" s="1506" t="s">
        <v>499</v>
      </c>
      <c r="C14" s="1507"/>
      <c r="D14" s="1508"/>
      <c r="E14" s="746">
        <f>DEMONSTRATIVO!P26+DEMONSTRATIVO!P28</f>
        <v>322.22000000000003</v>
      </c>
      <c r="F14" s="1509" t="s">
        <v>498</v>
      </c>
      <c r="G14" s="1497"/>
      <c r="H14" s="736">
        <f>VLOOKUP($J$33,$O$22:$Q$26,3)</f>
        <v>0</v>
      </c>
      <c r="I14" s="736">
        <f>VLOOKUP($J$33,$O$22:$Q$26,3)</f>
        <v>0</v>
      </c>
      <c r="J14" s="673">
        <f>J33*I14-U33</f>
        <v>0</v>
      </c>
      <c r="K14" s="672"/>
      <c r="L14" s="671"/>
      <c r="M14" s="671"/>
      <c r="N14" s="670"/>
      <c r="O14" s="627">
        <f>P13+0.01</f>
        <v>1025.82</v>
      </c>
      <c r="P14" s="669">
        <v>0</v>
      </c>
      <c r="Q14" s="668">
        <v>0</v>
      </c>
      <c r="R14" s="1523"/>
      <c r="S14" s="661"/>
      <c r="T14" s="660"/>
      <c r="U14" s="617" t="b">
        <v>1</v>
      </c>
      <c r="V14" s="616">
        <f>IF(U14=TRUE,E14,IF(U14=FALSE,0))</f>
        <v>322.22000000000003</v>
      </c>
      <c r="W14" s="616"/>
      <c r="X14" s="637"/>
      <c r="Y14" s="615" t="b">
        <v>1</v>
      </c>
      <c r="Z14" s="651">
        <f t="shared" si="0"/>
        <v>322.22000000000003</v>
      </c>
      <c r="AA14" s="651"/>
      <c r="AB14" s="610" t="b">
        <v>1</v>
      </c>
      <c r="AC14" s="637">
        <v>0</v>
      </c>
      <c r="AD14" s="616">
        <f>IF($AB$14=TRUE,$E$14,IF($AB$14=FALSE,0))</f>
        <v>322.22000000000003</v>
      </c>
      <c r="AE14" s="637"/>
      <c r="AF14" s="609"/>
      <c r="AG14" s="659">
        <v>2</v>
      </c>
      <c r="AH14" s="667" t="b">
        <f>AL9</f>
        <v>0</v>
      </c>
      <c r="AI14" s="591"/>
      <c r="AJ14" s="591"/>
      <c r="AK14" s="666">
        <v>42429</v>
      </c>
      <c r="AL14" s="591"/>
      <c r="AM14" s="592"/>
      <c r="AN14" s="591"/>
    </row>
    <row r="15" spans="1:40" ht="17.25" customHeight="1" thickBot="1">
      <c r="A15" s="326"/>
      <c r="B15" s="1506" t="s">
        <v>497</v>
      </c>
      <c r="C15" s="1507"/>
      <c r="D15" s="738">
        <f>DEMONSTRATIVO!O34</f>
        <v>0</v>
      </c>
      <c r="E15" s="746">
        <f>DEMONSTRATIVO!P34</f>
        <v>0</v>
      </c>
      <c r="F15" s="1509" t="s">
        <v>496</v>
      </c>
      <c r="G15" s="1497"/>
      <c r="H15" s="1498"/>
      <c r="I15" s="665">
        <v>0</v>
      </c>
      <c r="J15" s="644">
        <f>D5/30*I15</f>
        <v>0</v>
      </c>
      <c r="K15" s="643"/>
      <c r="L15" s="650"/>
      <c r="M15" s="650"/>
      <c r="N15" s="664"/>
      <c r="O15" s="540"/>
      <c r="P15" s="540"/>
      <c r="Q15" s="540"/>
      <c r="R15" s="1524"/>
      <c r="S15" s="661"/>
      <c r="T15" s="660"/>
      <c r="U15" s="617" t="b">
        <v>0</v>
      </c>
      <c r="V15" s="616">
        <f>IF(U15=TRUE,E15,IF(U15=FALSE,0))</f>
        <v>0</v>
      </c>
      <c r="W15" s="616"/>
      <c r="X15" s="637"/>
      <c r="Y15" s="615" t="b">
        <v>0</v>
      </c>
      <c r="Z15" s="651">
        <f t="shared" si="0"/>
        <v>0</v>
      </c>
      <c r="AA15" s="651"/>
      <c r="AB15" s="610" t="b">
        <v>0</v>
      </c>
      <c r="AC15" s="637">
        <v>0</v>
      </c>
      <c r="AD15" s="616">
        <f>IF($AB$15=TRUE,$E$15,IF($AB$15=FALSE,0))</f>
        <v>0</v>
      </c>
      <c r="AE15" s="637"/>
      <c r="AF15" s="609"/>
      <c r="AG15" s="659">
        <v>3</v>
      </c>
      <c r="AH15" s="571">
        <v>31</v>
      </c>
      <c r="AI15" s="591"/>
      <c r="AJ15" s="591"/>
      <c r="AK15" s="593">
        <v>42794</v>
      </c>
      <c r="AL15" s="591"/>
      <c r="AM15" s="592"/>
      <c r="AN15" s="591"/>
    </row>
    <row r="16" spans="1:40" ht="17.25" customHeight="1" thickTop="1">
      <c r="A16" s="326"/>
      <c r="B16" s="1493" t="s">
        <v>495</v>
      </c>
      <c r="C16" s="1494"/>
      <c r="D16" s="1495"/>
      <c r="E16" s="746">
        <f>DEMONSTRATIVO!P36</f>
        <v>0</v>
      </c>
      <c r="F16" s="1496" t="s">
        <v>494</v>
      </c>
      <c r="G16" s="1497"/>
      <c r="H16" s="1497"/>
      <c r="I16" s="1498"/>
      <c r="J16" s="606"/>
      <c r="K16" s="643"/>
      <c r="L16" s="650"/>
      <c r="M16" s="650"/>
      <c r="N16" s="663"/>
      <c r="O16" s="1499" t="s">
        <v>493</v>
      </c>
      <c r="P16" s="1500"/>
      <c r="Q16" s="1501"/>
      <c r="R16" s="662">
        <v>0.08</v>
      </c>
      <c r="S16" s="661"/>
      <c r="T16" s="660"/>
      <c r="U16" s="617"/>
      <c r="V16" s="616"/>
      <c r="W16" s="616"/>
      <c r="X16" s="637"/>
      <c r="Y16" s="615"/>
      <c r="Z16" s="651"/>
      <c r="AA16" s="651"/>
      <c r="AB16" s="610"/>
      <c r="AC16" s="637"/>
      <c r="AD16" s="616"/>
      <c r="AE16" s="637"/>
      <c r="AF16" s="609"/>
      <c r="AG16" s="659"/>
      <c r="AH16" s="571"/>
      <c r="AI16" s="591"/>
      <c r="AJ16" s="591"/>
      <c r="AK16" s="593"/>
      <c r="AL16" s="591"/>
      <c r="AM16" s="592"/>
      <c r="AN16" s="591"/>
    </row>
    <row r="17" spans="1:40" ht="17.25" customHeight="1">
      <c r="A17" s="326"/>
      <c r="B17" s="1489" t="s">
        <v>492</v>
      </c>
      <c r="C17" s="1485"/>
      <c r="D17" s="1485"/>
      <c r="E17" s="746">
        <f>DEMONSTRATIVO!P35+DEMONSTRATIVO!P37</f>
        <v>0</v>
      </c>
      <c r="F17" s="1496" t="s">
        <v>491</v>
      </c>
      <c r="G17" s="1497"/>
      <c r="H17" s="1497"/>
      <c r="I17" s="1498"/>
      <c r="J17" s="644">
        <f>IF(W30&gt;V30,V30,IF(W30&lt;=V30,W30))</f>
        <v>0</v>
      </c>
      <c r="K17" s="643"/>
      <c r="L17" s="650"/>
      <c r="M17" s="657"/>
      <c r="N17" s="656"/>
      <c r="O17" s="655"/>
      <c r="P17" s="655"/>
      <c r="Q17" s="654"/>
      <c r="R17" s="653">
        <v>0.06</v>
      </c>
      <c r="S17" s="646"/>
      <c r="T17" s="652"/>
      <c r="U17" s="617" t="b">
        <v>0</v>
      </c>
      <c r="V17" s="616">
        <f>IF(U17=TRUE,E17,IF(U17=FALSE,0))</f>
        <v>0</v>
      </c>
      <c r="W17" s="616"/>
      <c r="X17" s="637"/>
      <c r="Y17" s="615" t="b">
        <v>0</v>
      </c>
      <c r="Z17" s="651">
        <f>IF(Y17=TRUE,E17,IF(Y17=FALSE,0))</f>
        <v>0</v>
      </c>
      <c r="AA17" s="651"/>
      <c r="AB17" s="610" t="b">
        <v>0</v>
      </c>
      <c r="AC17" s="637">
        <v>0</v>
      </c>
      <c r="AD17" s="616">
        <f>IF($AB$17=TRUE,$E$17,IF($AB$17=FALSE,0))</f>
        <v>0</v>
      </c>
      <c r="AE17" s="637"/>
      <c r="AF17" s="609"/>
      <c r="AG17" s="571">
        <v>4</v>
      </c>
      <c r="AH17" s="571">
        <v>30</v>
      </c>
      <c r="AI17" s="591"/>
      <c r="AJ17" s="591"/>
      <c r="AK17" s="536">
        <v>43159</v>
      </c>
      <c r="AL17" s="591"/>
      <c r="AM17" s="592"/>
      <c r="AN17" s="591"/>
    </row>
    <row r="18" spans="1:40" ht="17.25" customHeight="1">
      <c r="A18" s="326"/>
      <c r="B18" s="1484" t="s">
        <v>490</v>
      </c>
      <c r="C18" s="1485"/>
      <c r="D18" s="1485"/>
      <c r="E18" s="749">
        <f>DADOS!F23</f>
        <v>0</v>
      </c>
      <c r="F18" s="1486" t="s">
        <v>489</v>
      </c>
      <c r="G18" s="1487"/>
      <c r="H18" s="1487"/>
      <c r="I18" s="1488"/>
      <c r="J18" s="744" t="str">
        <f>IF(U2=1,0,IF(U2=2,Y32,IF(U2=3,0)))</f>
        <v xml:space="preserve"> </v>
      </c>
      <c r="K18" s="643"/>
      <c r="L18" s="650"/>
      <c r="M18" s="650"/>
      <c r="N18" s="649"/>
      <c r="O18" s="648"/>
      <c r="P18" s="648"/>
      <c r="Q18" s="648"/>
      <c r="R18" s="647" t="s">
        <v>488</v>
      </c>
      <c r="S18" s="646"/>
      <c r="T18" s="645"/>
      <c r="U18" s="617" t="b">
        <v>0</v>
      </c>
      <c r="V18" s="616">
        <f>IF(U18=TRUE,E18,IF(U18=FALSE,0))</f>
        <v>0</v>
      </c>
      <c r="W18" s="616"/>
      <c r="X18" s="637"/>
      <c r="Y18" s="615" t="b">
        <v>1</v>
      </c>
      <c r="Z18" s="614"/>
      <c r="AA18" s="613">
        <f>IF($Y$18=TRUE,$E$18,IF($Y$18=FALSE,0))</f>
        <v>0</v>
      </c>
      <c r="AB18" s="610" t="b">
        <v>0</v>
      </c>
      <c r="AC18" s="616">
        <f>IF(AB18=TRUE,E18,IF(AB18=FALSE,0))</f>
        <v>0</v>
      </c>
      <c r="AD18" s="616"/>
      <c r="AE18" s="637"/>
      <c r="AF18" s="609"/>
      <c r="AG18" s="571">
        <v>5</v>
      </c>
      <c r="AH18" s="571">
        <v>31</v>
      </c>
      <c r="AI18" s="591"/>
      <c r="AJ18" s="591"/>
      <c r="AK18" s="536">
        <v>43524</v>
      </c>
      <c r="AL18" s="591"/>
      <c r="AM18" s="592"/>
      <c r="AN18" s="591"/>
    </row>
    <row r="19" spans="1:40" ht="17.25" customHeight="1">
      <c r="A19" s="326"/>
      <c r="B19" s="1489" t="s">
        <v>487</v>
      </c>
      <c r="C19" s="1485"/>
      <c r="D19" s="1485"/>
      <c r="E19" s="623"/>
      <c r="F19" s="1490" t="s">
        <v>486</v>
      </c>
      <c r="G19" s="1491"/>
      <c r="H19" s="1491"/>
      <c r="I19" s="1492"/>
      <c r="J19" s="644">
        <f>IF(Y30=0,0,IF(Y30&gt;0,Y30*R19))</f>
        <v>0</v>
      </c>
      <c r="K19" s="643"/>
      <c r="L19" s="642"/>
      <c r="M19" s="642"/>
      <c r="N19" s="641"/>
      <c r="O19" s="640"/>
      <c r="P19" s="640"/>
      <c r="Q19" s="640"/>
      <c r="R19" s="639">
        <v>0.02</v>
      </c>
      <c r="S19" s="619"/>
      <c r="T19" s="618"/>
      <c r="U19" s="630" t="b">
        <v>1</v>
      </c>
      <c r="V19" s="638"/>
      <c r="W19" s="616"/>
      <c r="X19" s="610">
        <f>IF(U19=TRUE,E19,IF(U19=FALSE,0))</f>
        <v>0</v>
      </c>
      <c r="Y19" s="615" t="b">
        <v>0</v>
      </c>
      <c r="Z19" s="614"/>
      <c r="AA19" s="613">
        <f>IF($Y$19=TRUE,$E$19,IF($Y$19=FALSE,0))</f>
        <v>0</v>
      </c>
      <c r="AB19" s="680" t="b">
        <v>1</v>
      </c>
      <c r="AC19" s="637">
        <v>0</v>
      </c>
      <c r="AD19" s="616"/>
      <c r="AE19" s="610">
        <f>IF($AB$19=TRUE,$E$19,IF($AB$19=FALSE,0))</f>
        <v>0</v>
      </c>
      <c r="AF19" s="609"/>
      <c r="AG19" s="571">
        <v>6</v>
      </c>
      <c r="AH19" s="571">
        <v>30</v>
      </c>
      <c r="AI19" s="591"/>
      <c r="AJ19" s="591"/>
      <c r="AK19" s="532">
        <v>43890</v>
      </c>
      <c r="AL19" s="591"/>
      <c r="AM19" s="592"/>
      <c r="AN19" s="591"/>
    </row>
    <row r="20" spans="1:40" ht="17.25" customHeight="1">
      <c r="A20" s="326"/>
      <c r="B20" s="1469"/>
      <c r="C20" s="1470"/>
      <c r="D20" s="1470"/>
      <c r="E20" s="623"/>
      <c r="F20" s="1486" t="s">
        <v>540</v>
      </c>
      <c r="G20" s="1487"/>
      <c r="H20" s="1487"/>
      <c r="I20" s="1488"/>
      <c r="J20" s="644">
        <f>IF(U2=1,0,IF(U2=2,T32,IF(U2=3,0)))</f>
        <v>0</v>
      </c>
      <c r="K20" s="629"/>
      <c r="L20" s="622"/>
      <c r="M20" s="622"/>
      <c r="N20" s="1478"/>
      <c r="O20" s="1479"/>
      <c r="P20" s="1479"/>
      <c r="Q20" s="1480"/>
      <c r="R20" s="636"/>
      <c r="S20" s="619"/>
      <c r="T20" s="618"/>
      <c r="U20" s="682" t="b">
        <v>0</v>
      </c>
      <c r="V20" s="616">
        <f t="shared" ref="V20:V26" si="1">IF(U20=TRUE,E20,IF(U20=FALSE,0))</f>
        <v>0</v>
      </c>
      <c r="W20" s="616"/>
      <c r="X20" s="610"/>
      <c r="Y20" s="681" t="b">
        <v>0</v>
      </c>
      <c r="Z20" s="614"/>
      <c r="AA20" s="613"/>
      <c r="AB20" s="680" t="b">
        <v>0</v>
      </c>
      <c r="AC20" s="612"/>
      <c r="AD20" s="611"/>
      <c r="AE20" s="610"/>
      <c r="AF20" s="609"/>
      <c r="AG20" s="571"/>
      <c r="AH20" s="571"/>
      <c r="AI20" s="591"/>
      <c r="AJ20" s="591"/>
      <c r="AK20" s="532"/>
      <c r="AL20" s="591"/>
      <c r="AM20" s="592"/>
      <c r="AN20" s="591"/>
    </row>
    <row r="21" spans="1:40" ht="17.25" customHeight="1">
      <c r="A21" s="326"/>
      <c r="B21" s="1469"/>
      <c r="C21" s="1470"/>
      <c r="D21" s="1470"/>
      <c r="E21" s="623"/>
      <c r="F21" s="1471" t="str">
        <f>IF(DADOS!$A$29=0,"  ",IF(DADOS!$A$29&gt;0,DADOS!$A$29))</f>
        <v xml:space="preserve">  </v>
      </c>
      <c r="G21" s="1472"/>
      <c r="H21" s="1472"/>
      <c r="I21" s="1473"/>
      <c r="J21" s="745">
        <f>DEMONSTRATIVO!P44</f>
        <v>0</v>
      </c>
      <c r="K21" s="629"/>
      <c r="L21" s="622"/>
      <c r="M21" s="622"/>
      <c r="N21" s="628"/>
      <c r="O21" s="1481" t="s">
        <v>485</v>
      </c>
      <c r="P21" s="1482"/>
      <c r="Q21" s="1483"/>
      <c r="R21" s="635" t="s">
        <v>484</v>
      </c>
      <c r="S21" s="619"/>
      <c r="T21" s="618"/>
      <c r="U21" s="682" t="b">
        <v>0</v>
      </c>
      <c r="V21" s="616">
        <f t="shared" si="1"/>
        <v>0</v>
      </c>
      <c r="W21" s="616"/>
      <c r="X21" s="610"/>
      <c r="Y21" s="681" t="b">
        <v>0</v>
      </c>
      <c r="Z21" s="614"/>
      <c r="AA21" s="613"/>
      <c r="AB21" s="680" t="b">
        <v>0</v>
      </c>
      <c r="AC21" s="612"/>
      <c r="AD21" s="611"/>
      <c r="AE21" s="610"/>
      <c r="AF21" s="609"/>
      <c r="AG21" s="571"/>
      <c r="AH21" s="571"/>
      <c r="AI21" s="591"/>
      <c r="AJ21" s="591"/>
      <c r="AK21" s="532"/>
      <c r="AL21" s="591"/>
      <c r="AM21" s="592"/>
      <c r="AN21" s="591"/>
    </row>
    <row r="22" spans="1:40" ht="17.25" customHeight="1">
      <c r="A22" s="326"/>
      <c r="B22" s="1469"/>
      <c r="C22" s="1470"/>
      <c r="D22" s="1470"/>
      <c r="E22" s="623"/>
      <c r="F22" s="1471" t="str">
        <f>IF(DADOS!$A$30=0,"  ",IF(DADOS!$A$30&gt;0,DADOS!$A$30))</f>
        <v xml:space="preserve">  </v>
      </c>
      <c r="G22" s="1472"/>
      <c r="H22" s="1472"/>
      <c r="I22" s="1473"/>
      <c r="J22" s="745">
        <f>DEMONSTRATIVO!P45</f>
        <v>0</v>
      </c>
      <c r="K22" s="629"/>
      <c r="L22" s="622"/>
      <c r="M22" s="622"/>
      <c r="N22" s="628"/>
      <c r="O22" s="634">
        <v>0</v>
      </c>
      <c r="P22" s="623">
        <v>1787.77</v>
      </c>
      <c r="Q22" s="633">
        <v>0</v>
      </c>
      <c r="R22" s="632">
        <v>0</v>
      </c>
      <c r="S22" s="619"/>
      <c r="T22" s="618"/>
      <c r="U22" s="682" t="b">
        <v>0</v>
      </c>
      <c r="V22" s="616">
        <f t="shared" si="1"/>
        <v>0</v>
      </c>
      <c r="W22" s="616"/>
      <c r="X22" s="610"/>
      <c r="Y22" s="681" t="b">
        <v>0</v>
      </c>
      <c r="Z22" s="614"/>
      <c r="AA22" s="613"/>
      <c r="AB22" s="680" t="b">
        <v>0</v>
      </c>
      <c r="AC22" s="612"/>
      <c r="AD22" s="611"/>
      <c r="AE22" s="610"/>
      <c r="AF22" s="609"/>
      <c r="AG22" s="571"/>
      <c r="AH22" s="571"/>
      <c r="AI22" s="591"/>
      <c r="AJ22" s="591"/>
      <c r="AK22" s="532"/>
      <c r="AL22" s="591"/>
      <c r="AM22" s="592"/>
      <c r="AN22" s="591"/>
    </row>
    <row r="23" spans="1:40" ht="17.25" customHeight="1">
      <c r="A23" s="326"/>
      <c r="B23" s="1469"/>
      <c r="C23" s="1470"/>
      <c r="D23" s="1470"/>
      <c r="E23" s="623"/>
      <c r="F23" s="1471" t="str">
        <f>IF(DADOS!$A$31=0,"  ",IF(DADOS!$A$31&gt;0,DADOS!$A$31))</f>
        <v xml:space="preserve">  </v>
      </c>
      <c r="G23" s="1472"/>
      <c r="H23" s="1472"/>
      <c r="I23" s="1473"/>
      <c r="J23" s="745">
        <f>DEMONSTRATIVO!P46</f>
        <v>0</v>
      </c>
      <c r="K23" s="629"/>
      <c r="L23" s="622"/>
      <c r="M23" s="622"/>
      <c r="N23" s="628"/>
      <c r="O23" s="627">
        <f>P22+0.01</f>
        <v>1787.78</v>
      </c>
      <c r="P23" s="623">
        <v>2679.29</v>
      </c>
      <c r="Q23" s="625">
        <v>7.4999999999999997E-2</v>
      </c>
      <c r="R23" s="631">
        <v>134.08000000000001</v>
      </c>
      <c r="S23" s="619"/>
      <c r="T23" s="618"/>
      <c r="U23" s="682" t="b">
        <v>0</v>
      </c>
      <c r="V23" s="616">
        <f t="shared" si="1"/>
        <v>0</v>
      </c>
      <c r="W23" s="616"/>
      <c r="X23" s="610"/>
      <c r="Y23" s="681" t="b">
        <v>0</v>
      </c>
      <c r="Z23" s="614"/>
      <c r="AA23" s="613"/>
      <c r="AB23" s="680" t="b">
        <v>0</v>
      </c>
      <c r="AC23" s="612"/>
      <c r="AD23" s="611"/>
      <c r="AE23" s="610"/>
      <c r="AF23" s="609"/>
      <c r="AG23" s="571"/>
      <c r="AH23" s="571"/>
      <c r="AI23" s="591"/>
      <c r="AJ23" s="591"/>
      <c r="AK23" s="532"/>
      <c r="AL23" s="591"/>
      <c r="AM23" s="592"/>
      <c r="AN23" s="591"/>
    </row>
    <row r="24" spans="1:40" ht="17.25" customHeight="1">
      <c r="A24" s="326"/>
      <c r="B24" s="1469"/>
      <c r="C24" s="1470"/>
      <c r="D24" s="1470"/>
      <c r="E24" s="623"/>
      <c r="F24" s="1474" t="str">
        <f>DADOS!$A$32</f>
        <v>Pensão Alimentícia</v>
      </c>
      <c r="G24" s="1475"/>
      <c r="H24" s="1476" t="str">
        <f>DADOS!C32</f>
        <v>Férias</v>
      </c>
      <c r="I24" s="1477"/>
      <c r="J24" s="745">
        <f>DEMONSTRATIVO!P47</f>
        <v>0</v>
      </c>
      <c r="K24" s="629"/>
      <c r="L24" s="622"/>
      <c r="M24" s="622"/>
      <c r="N24" s="628"/>
      <c r="O24" s="627">
        <f>P23+0.01</f>
        <v>2679.3</v>
      </c>
      <c r="P24" s="623">
        <v>3572.43</v>
      </c>
      <c r="Q24" s="625">
        <v>0.15</v>
      </c>
      <c r="R24" s="624">
        <f>P23*(Q24-Q23)+R23</f>
        <v>335.03</v>
      </c>
      <c r="S24" s="619"/>
      <c r="T24" s="618"/>
      <c r="U24" s="682" t="b">
        <v>0</v>
      </c>
      <c r="V24" s="616">
        <f t="shared" si="1"/>
        <v>0</v>
      </c>
      <c r="W24" s="616"/>
      <c r="X24" s="610"/>
      <c r="Y24" s="681" t="b">
        <v>0</v>
      </c>
      <c r="Z24" s="614"/>
      <c r="AA24" s="613"/>
      <c r="AB24" s="680" t="b">
        <v>0</v>
      </c>
      <c r="AC24" s="612"/>
      <c r="AD24" s="611"/>
      <c r="AE24" s="610"/>
      <c r="AF24" s="609"/>
      <c r="AG24" s="571"/>
      <c r="AH24" s="571"/>
      <c r="AI24" s="591"/>
      <c r="AJ24" s="591"/>
      <c r="AK24" s="532"/>
      <c r="AL24" s="591"/>
      <c r="AM24" s="592"/>
      <c r="AN24" s="591"/>
    </row>
    <row r="25" spans="1:40" ht="17.25" customHeight="1">
      <c r="A25" s="326"/>
      <c r="B25" s="1469"/>
      <c r="C25" s="1470"/>
      <c r="D25" s="1470"/>
      <c r="E25" s="623"/>
      <c r="F25" s="1447"/>
      <c r="G25" s="1448"/>
      <c r="H25" s="1448"/>
      <c r="I25" s="1449"/>
      <c r="J25" s="606"/>
      <c r="K25" s="629"/>
      <c r="L25" s="622"/>
      <c r="M25" s="622"/>
      <c r="N25" s="628"/>
      <c r="O25" s="627">
        <f>P24+0.01</f>
        <v>3572.44</v>
      </c>
      <c r="P25" s="623">
        <v>4463.8</v>
      </c>
      <c r="Q25" s="625">
        <v>0.22500000000000001</v>
      </c>
      <c r="R25" s="624">
        <f>P24*(Q25-Q24)+R24</f>
        <v>602.96</v>
      </c>
      <c r="S25" s="619"/>
      <c r="T25" s="618"/>
      <c r="U25" s="754" t="b">
        <v>0</v>
      </c>
      <c r="V25" s="616">
        <f t="shared" si="1"/>
        <v>0</v>
      </c>
      <c r="W25" s="616"/>
      <c r="X25" s="610"/>
      <c r="Y25" s="681" t="b">
        <v>0</v>
      </c>
      <c r="Z25" s="614"/>
      <c r="AA25" s="613"/>
      <c r="AB25" s="680" t="b">
        <v>0</v>
      </c>
      <c r="AC25" s="612"/>
      <c r="AD25" s="611"/>
      <c r="AE25" s="610"/>
      <c r="AF25" s="609"/>
      <c r="AG25" s="571">
        <v>7</v>
      </c>
      <c r="AH25" s="571">
        <v>31</v>
      </c>
      <c r="AI25" s="591"/>
      <c r="AJ25" s="591"/>
      <c r="AK25" s="532"/>
      <c r="AL25" s="591"/>
      <c r="AM25" s="592"/>
      <c r="AN25" s="591"/>
    </row>
    <row r="26" spans="1:40" ht="17.25" customHeight="1">
      <c r="A26" s="326"/>
      <c r="B26" s="1469"/>
      <c r="C26" s="1470"/>
      <c r="D26" s="1470"/>
      <c r="E26" s="623"/>
      <c r="F26" s="1447"/>
      <c r="G26" s="1448"/>
      <c r="H26" s="1448"/>
      <c r="I26" s="1449"/>
      <c r="J26" s="606"/>
      <c r="K26" s="629"/>
      <c r="L26" s="622"/>
      <c r="M26" s="622"/>
      <c r="N26" s="628"/>
      <c r="O26" s="627">
        <f>P25+0.01</f>
        <v>4463.8100000000004</v>
      </c>
      <c r="P26" s="626">
        <v>999999999.99000001</v>
      </c>
      <c r="Q26" s="625">
        <v>0.27500000000000002</v>
      </c>
      <c r="R26" s="624">
        <f>P25*(Q26-Q25)+R25</f>
        <v>826.15</v>
      </c>
      <c r="S26" s="619"/>
      <c r="T26" s="618"/>
      <c r="U26" s="754" t="b">
        <v>0</v>
      </c>
      <c r="V26" s="616">
        <f t="shared" si="1"/>
        <v>0</v>
      </c>
      <c r="W26" s="616"/>
      <c r="X26" s="610"/>
      <c r="Y26" s="681" t="b">
        <v>0</v>
      </c>
      <c r="Z26" s="614"/>
      <c r="AA26" s="613"/>
      <c r="AB26" s="680" t="b">
        <v>0</v>
      </c>
      <c r="AC26" s="612"/>
      <c r="AD26" s="611"/>
      <c r="AE26" s="610"/>
      <c r="AF26" s="609"/>
      <c r="AG26" s="571">
        <v>8</v>
      </c>
      <c r="AH26" s="571">
        <v>31</v>
      </c>
      <c r="AI26" s="591"/>
      <c r="AJ26" s="591"/>
      <c r="AK26" s="532"/>
      <c r="AL26" s="591"/>
      <c r="AM26" s="592"/>
      <c r="AN26" s="591"/>
    </row>
    <row r="27" spans="1:40" ht="17.25" customHeight="1">
      <c r="A27" s="326"/>
      <c r="B27" s="1469"/>
      <c r="C27" s="1470"/>
      <c r="D27" s="1470"/>
      <c r="E27" s="623"/>
      <c r="F27" s="1447"/>
      <c r="G27" s="1448"/>
      <c r="H27" s="1448"/>
      <c r="I27" s="1449"/>
      <c r="J27" s="606"/>
      <c r="K27" s="605"/>
      <c r="L27" s="604"/>
      <c r="M27" s="622"/>
      <c r="N27" s="302"/>
      <c r="O27" s="608" t="s">
        <v>483</v>
      </c>
      <c r="P27" s="621"/>
      <c r="Q27" s="621"/>
      <c r="R27" s="620">
        <v>179.71</v>
      </c>
      <c r="S27" s="619"/>
      <c r="T27" s="618"/>
      <c r="U27" s="617" t="b">
        <v>1</v>
      </c>
      <c r="V27" s="614"/>
      <c r="W27" s="616"/>
      <c r="X27" s="610"/>
      <c r="Y27" s="615" t="b">
        <v>0</v>
      </c>
      <c r="Z27" s="614"/>
      <c r="AA27" s="613"/>
      <c r="AB27" s="680" t="b">
        <v>0</v>
      </c>
      <c r="AC27" s="612"/>
      <c r="AD27" s="611"/>
      <c r="AE27" s="610"/>
      <c r="AF27" s="609"/>
      <c r="AG27" s="571">
        <v>9</v>
      </c>
      <c r="AH27" s="571">
        <v>30</v>
      </c>
      <c r="AI27" s="591"/>
      <c r="AJ27" s="591"/>
      <c r="AK27" s="532"/>
      <c r="AL27" s="591"/>
      <c r="AM27" s="592"/>
      <c r="AN27" s="591"/>
    </row>
    <row r="28" spans="1:40" ht="17.25" customHeight="1" thickBot="1">
      <c r="A28" s="326"/>
      <c r="B28" s="1445" t="s">
        <v>482</v>
      </c>
      <c r="C28" s="1446"/>
      <c r="D28" s="581">
        <f>IF(U2=1,0,IF(U2=2,O5,IF(U2=3,0)))</f>
        <v>1</v>
      </c>
      <c r="E28" s="607">
        <f>IF(Z35=FALSE,0,IF(Z35&lt;&gt;"FALSO",Z34/AG10*AF4))</f>
        <v>0</v>
      </c>
      <c r="F28" s="1447"/>
      <c r="G28" s="1448"/>
      <c r="H28" s="1448"/>
      <c r="I28" s="1449"/>
      <c r="J28" s="606"/>
      <c r="K28" s="605"/>
      <c r="L28" s="604"/>
      <c r="M28" s="604"/>
      <c r="N28" s="603"/>
      <c r="O28" s="602">
        <f>D30*R27</f>
        <v>359.42</v>
      </c>
      <c r="P28" s="478"/>
      <c r="Q28" s="478"/>
      <c r="R28" s="543"/>
      <c r="S28" s="601"/>
      <c r="T28" s="600"/>
      <c r="U28" s="550" t="s">
        <v>481</v>
      </c>
      <c r="V28" s="597">
        <f>J15</f>
        <v>0</v>
      </c>
      <c r="W28" s="599"/>
      <c r="X28" s="599"/>
      <c r="Y28" s="598"/>
      <c r="Z28" s="597">
        <f>J15</f>
        <v>0</v>
      </c>
      <c r="AA28" s="597">
        <f>J16</f>
        <v>0</v>
      </c>
      <c r="AB28" s="594" t="s">
        <v>480</v>
      </c>
      <c r="AC28" s="596">
        <f>-J8-J15</f>
        <v>-3</v>
      </c>
      <c r="AD28" s="595"/>
      <c r="AE28" s="594">
        <f>-J10</f>
        <v>0</v>
      </c>
      <c r="AF28" s="537"/>
      <c r="AG28" s="571">
        <v>10</v>
      </c>
      <c r="AH28" s="571">
        <v>31</v>
      </c>
      <c r="AI28" s="591"/>
      <c r="AJ28" s="591"/>
      <c r="AK28" s="593">
        <v>44255</v>
      </c>
      <c r="AL28" s="591"/>
      <c r="AM28" s="592"/>
      <c r="AN28" s="591"/>
    </row>
    <row r="29" spans="1:40" ht="18" customHeight="1">
      <c r="A29" s="326"/>
      <c r="B29" s="1450" t="s">
        <v>479</v>
      </c>
      <c r="C29" s="1451"/>
      <c r="D29" s="1452"/>
      <c r="E29" s="590">
        <f>SUM(E8:E28)</f>
        <v>1322.22</v>
      </c>
      <c r="F29" s="1453" t="s">
        <v>478</v>
      </c>
      <c r="G29" s="1453"/>
      <c r="H29" s="1453"/>
      <c r="I29" s="1453"/>
      <c r="J29" s="589">
        <f>SUM(J8:J27)</f>
        <v>1291.8900000000001</v>
      </c>
      <c r="K29" s="1454" t="s">
        <v>477</v>
      </c>
      <c r="L29" s="1455"/>
      <c r="M29" s="1455"/>
      <c r="N29" s="1455"/>
      <c r="O29" s="1428" t="s">
        <v>476</v>
      </c>
      <c r="P29" s="1429"/>
      <c r="Q29" s="1430"/>
      <c r="R29" s="588">
        <v>10</v>
      </c>
      <c r="S29" s="587"/>
      <c r="T29" s="586">
        <f>SUM(T8:T28)</f>
        <v>33.33</v>
      </c>
      <c r="U29" s="550"/>
      <c r="V29" s="584">
        <f>SUM(V8:V27)-V28</f>
        <v>1322.22</v>
      </c>
      <c r="W29" s="584"/>
      <c r="X29" s="584">
        <f>SUM(X19:X28)</f>
        <v>0</v>
      </c>
      <c r="Y29" s="585"/>
      <c r="Z29" s="584">
        <f>SUM(Z8:Z27)-Z28</f>
        <v>1322.22</v>
      </c>
      <c r="AA29" s="584">
        <f>SUM(AA18:AA19)-AA28</f>
        <v>0</v>
      </c>
      <c r="AB29" s="584"/>
      <c r="AC29" s="584">
        <f>SUM(AC8:AC28)</f>
        <v>30.33</v>
      </c>
      <c r="AD29" s="584">
        <f>SUM(AD12:AD28)</f>
        <v>1288.8900000000001</v>
      </c>
      <c r="AE29" s="584">
        <f>SUM(AE19:AE28)</f>
        <v>0</v>
      </c>
      <c r="AF29" s="531"/>
      <c r="AG29" s="571">
        <v>11</v>
      </c>
      <c r="AH29" s="571">
        <v>30</v>
      </c>
      <c r="AI29" s="528"/>
      <c r="AJ29" s="528"/>
      <c r="AK29" s="536">
        <v>43159</v>
      </c>
      <c r="AL29" s="528"/>
      <c r="AM29" s="529"/>
      <c r="AN29" s="528"/>
    </row>
    <row r="30" spans="1:40" ht="18" customHeight="1" thickBot="1">
      <c r="A30" s="326"/>
      <c r="B30" s="583" t="s">
        <v>475</v>
      </c>
      <c r="C30" s="582"/>
      <c r="D30" s="581">
        <f>R5</f>
        <v>2</v>
      </c>
      <c r="E30" s="1431" t="s">
        <v>474</v>
      </c>
      <c r="F30" s="1432"/>
      <c r="G30" s="1432"/>
      <c r="H30" s="1432"/>
      <c r="I30" s="1433"/>
      <c r="J30" s="580">
        <f>E29-J29</f>
        <v>30.33</v>
      </c>
      <c r="K30" s="1454"/>
      <c r="L30" s="1455"/>
      <c r="M30" s="1455"/>
      <c r="N30" s="1455"/>
      <c r="O30" s="1434" t="s">
        <v>473</v>
      </c>
      <c r="P30" s="1435"/>
      <c r="Q30" s="1435"/>
      <c r="R30" s="1436"/>
      <c r="S30" s="579"/>
      <c r="T30" s="578"/>
      <c r="U30" s="577" t="b">
        <v>0</v>
      </c>
      <c r="V30" s="576">
        <f>IF(U30=TRUE,R33,IF(U30=FALSE,0))</f>
        <v>0</v>
      </c>
      <c r="W30" s="575">
        <f>IF(V30&lt;=0,0,IF(V30&gt;0,(T29-J15)*R17))</f>
        <v>0</v>
      </c>
      <c r="X30" s="574" t="b">
        <v>0</v>
      </c>
      <c r="Y30" s="573">
        <f>IF(X30=TRUE,V29,IF(X30=FALSE,0))</f>
        <v>0</v>
      </c>
      <c r="AB30" s="558" t="s">
        <v>472</v>
      </c>
      <c r="AC30" s="572">
        <f>AC29-O28</f>
        <v>-329.09</v>
      </c>
      <c r="AE30" s="572">
        <f>AE29-O28</f>
        <v>-359.42</v>
      </c>
      <c r="AF30" s="531"/>
      <c r="AG30" s="571">
        <v>12</v>
      </c>
      <c r="AH30" s="571">
        <v>31</v>
      </c>
      <c r="AI30" s="528"/>
      <c r="AJ30" s="528"/>
      <c r="AK30" s="536">
        <v>44620</v>
      </c>
      <c r="AL30" s="528"/>
      <c r="AM30" s="529"/>
      <c r="AN30" s="528"/>
    </row>
    <row r="31" spans="1:40" ht="18" customHeight="1" thickBot="1">
      <c r="A31" s="326"/>
      <c r="B31" s="1466" t="str">
        <f>fextenso(J30,1/3,"real","reais")</f>
        <v>trinta reais e trinta e três centavos</v>
      </c>
      <c r="C31" s="1467"/>
      <c r="D31" s="1467"/>
      <c r="E31" s="1467"/>
      <c r="F31" s="1467"/>
      <c r="G31" s="1467"/>
      <c r="H31" s="1467"/>
      <c r="I31" s="1467"/>
      <c r="J31" s="1468"/>
      <c r="K31" s="1454"/>
      <c r="L31" s="1455"/>
      <c r="M31" s="1455"/>
      <c r="N31" s="1455"/>
      <c r="O31" s="869"/>
      <c r="P31" s="870"/>
      <c r="Q31" s="870"/>
      <c r="R31" s="871"/>
      <c r="S31" s="579"/>
      <c r="T31" s="578"/>
      <c r="U31" s="763"/>
      <c r="V31" s="764"/>
      <c r="W31" s="765"/>
      <c r="X31" s="574"/>
      <c r="Y31" s="573"/>
      <c r="AB31" s="558"/>
      <c r="AC31" s="572"/>
      <c r="AE31" s="572"/>
      <c r="AF31" s="531"/>
      <c r="AG31" s="766"/>
      <c r="AH31" s="766"/>
      <c r="AI31" s="528"/>
      <c r="AJ31" s="528"/>
      <c r="AK31" s="536"/>
      <c r="AL31" s="528"/>
      <c r="AM31" s="529"/>
      <c r="AN31" s="528"/>
    </row>
    <row r="32" spans="1:40" ht="21.75" customHeight="1">
      <c r="A32" s="326"/>
      <c r="B32" s="570" t="s">
        <v>471</v>
      </c>
      <c r="C32" s="1437" t="s">
        <v>470</v>
      </c>
      <c r="D32" s="1438"/>
      <c r="E32" s="570" t="s">
        <v>469</v>
      </c>
      <c r="F32" s="569" t="s">
        <v>468</v>
      </c>
      <c r="G32" s="1439" t="s">
        <v>467</v>
      </c>
      <c r="H32" s="1440"/>
      <c r="I32" s="1441"/>
      <c r="J32" s="568" t="s">
        <v>466</v>
      </c>
      <c r="K32" s="1454"/>
      <c r="L32" s="1455"/>
      <c r="M32" s="1455"/>
      <c r="N32" s="1455"/>
      <c r="O32" s="1442" t="s">
        <v>465</v>
      </c>
      <c r="P32" s="1443"/>
      <c r="Q32" s="1444"/>
      <c r="R32" s="748">
        <f>TB!G18</f>
        <v>0</v>
      </c>
      <c r="S32" s="567" t="b">
        <v>0</v>
      </c>
      <c r="T32" s="566">
        <f>IF(S32=TRUE,R32,IF(S32=FALSE,0))</f>
        <v>0</v>
      </c>
      <c r="U32" s="550">
        <f>VLOOKUP(I11,$Q$22:$R$26,2)</f>
        <v>0</v>
      </c>
      <c r="V32" t="s">
        <v>464</v>
      </c>
      <c r="X32" s="753" t="b">
        <v>0</v>
      </c>
      <c r="Y32" s="565" t="str">
        <f>IF($X$32=TRUE,$D$5/30,IF($X$32=FALSE," "))</f>
        <v xml:space="preserve"> </v>
      </c>
      <c r="AB32" s="558" t="s">
        <v>463</v>
      </c>
      <c r="AF32" s="531"/>
      <c r="AI32" s="528"/>
      <c r="AJ32" s="528"/>
      <c r="AK32" s="564" t="s">
        <v>462</v>
      </c>
      <c r="AL32" s="528"/>
      <c r="AM32" s="529"/>
      <c r="AN32" s="528"/>
    </row>
    <row r="33" spans="1:40" ht="18" customHeight="1">
      <c r="A33" s="326"/>
      <c r="B33" s="563">
        <f>IF(Z29&lt;=0,0,IF(Z29&gt;0,Z29))</f>
        <v>1322.22</v>
      </c>
      <c r="C33" s="1458">
        <f>B33*R16</f>
        <v>105.78</v>
      </c>
      <c r="D33" s="1458"/>
      <c r="E33" s="562">
        <f>AA29</f>
        <v>0</v>
      </c>
      <c r="F33" s="562">
        <f>E33*R16</f>
        <v>0</v>
      </c>
      <c r="G33" s="1459">
        <f>IF(AC29-O28-R32&lt;=0,0,IF(AC29-O28-R32&gt;0,AC29-O28-R32))</f>
        <v>0</v>
      </c>
      <c r="H33" s="1460"/>
      <c r="I33" s="1461"/>
      <c r="J33" s="561">
        <f>IF(AE29-O28&lt;=0,0,IF(AE29-O28&gt;0,AE29-O28))</f>
        <v>0</v>
      </c>
      <c r="K33" s="1454"/>
      <c r="L33" s="1455"/>
      <c r="M33" s="1455"/>
      <c r="N33" s="1455"/>
      <c r="O33" s="1417" t="s">
        <v>461</v>
      </c>
      <c r="P33" s="1172"/>
      <c r="Q33" s="1418"/>
      <c r="R33" s="560">
        <v>0</v>
      </c>
      <c r="S33" s="256"/>
      <c r="T33" s="256"/>
      <c r="U33" s="550">
        <f>VLOOKUP(I14,$Q$22:$R$26,2)</f>
        <v>0</v>
      </c>
      <c r="V33" t="s">
        <v>460</v>
      </c>
      <c r="Z33" s="559" t="s">
        <v>459</v>
      </c>
      <c r="AA33" s="123"/>
      <c r="AB33" s="558" t="s">
        <v>458</v>
      </c>
      <c r="AF33" s="531"/>
      <c r="AI33" s="528"/>
      <c r="AJ33" s="528"/>
      <c r="AK33" s="536">
        <v>43524</v>
      </c>
      <c r="AL33" s="528"/>
      <c r="AM33" s="529"/>
      <c r="AN33" s="528"/>
    </row>
    <row r="34" spans="1:40" ht="15" customHeight="1">
      <c r="A34" s="326"/>
      <c r="B34" s="1419" t="s">
        <v>457</v>
      </c>
      <c r="C34" s="1420"/>
      <c r="D34" s="1421"/>
      <c r="E34" s="1417" t="s">
        <v>456</v>
      </c>
      <c r="F34" s="1418"/>
      <c r="G34" s="1422" t="s">
        <v>455</v>
      </c>
      <c r="H34" s="1423"/>
      <c r="I34" s="1423"/>
      <c r="J34" s="1424"/>
      <c r="K34" s="1454"/>
      <c r="L34" s="1455"/>
      <c r="M34" s="1455"/>
      <c r="N34" s="1455"/>
      <c r="O34" s="1425" t="s">
        <v>454</v>
      </c>
      <c r="P34" s="1426"/>
      <c r="Q34" s="1427"/>
      <c r="R34" s="557">
        <f>J17</f>
        <v>0</v>
      </c>
      <c r="S34" s="556"/>
      <c r="T34" s="556"/>
      <c r="U34" s="550"/>
      <c r="V34" s="555"/>
      <c r="W34" s="123"/>
      <c r="X34" s="123"/>
      <c r="Z34" s="554">
        <f>VLOOKUP($V$29+W29,$O$12:$Q$14,3)*$D$28</f>
        <v>0</v>
      </c>
      <c r="AA34" s="553"/>
      <c r="AF34" s="531"/>
      <c r="AI34" s="528"/>
      <c r="AJ34" s="528"/>
      <c r="AK34" s="536">
        <v>43889</v>
      </c>
      <c r="AL34" s="528"/>
      <c r="AM34" s="529"/>
      <c r="AN34" s="528"/>
    </row>
    <row r="35" spans="1:40" ht="13.5" thickBot="1">
      <c r="A35" s="326"/>
      <c r="B35" s="1405">
        <f>IF(V29&gt;=P9,P9,IF(V29&lt;P9,V29))</f>
        <v>1322.22</v>
      </c>
      <c r="C35" s="1406"/>
      <c r="D35" s="1407"/>
      <c r="E35" s="1408">
        <f>IF(X29&gt;=P9,P9,IF(X29&lt;P9,X29))</f>
        <v>0</v>
      </c>
      <c r="F35" s="1407"/>
      <c r="G35" s="552" t="s">
        <v>88</v>
      </c>
      <c r="H35" s="1409"/>
      <c r="I35" s="1410"/>
      <c r="J35" s="1411"/>
      <c r="K35" s="1454"/>
      <c r="L35" s="1455"/>
      <c r="M35" s="1455"/>
      <c r="N35" s="1455"/>
      <c r="O35" s="1412" t="s">
        <v>453</v>
      </c>
      <c r="P35" s="1413"/>
      <c r="Q35" s="1414"/>
      <c r="R35" s="551">
        <f>IF(R33&gt;=J17,R33-J17,IF(R33&lt;J17,))</f>
        <v>0</v>
      </c>
      <c r="S35" s="478"/>
      <c r="T35" s="478"/>
      <c r="U35" s="550"/>
      <c r="V35" s="549"/>
      <c r="W35" s="123"/>
      <c r="X35" s="123"/>
      <c r="Z35" s="548">
        <f>IF(AF3=AG11,Z34,IF(AF3&lt;AG11,Z34/AG11*AF3))</f>
        <v>0</v>
      </c>
      <c r="AF35" s="531"/>
      <c r="AI35" s="528"/>
      <c r="AJ35" s="528"/>
      <c r="AK35" s="274">
        <v>44255</v>
      </c>
      <c r="AL35" s="528"/>
      <c r="AM35" s="529"/>
      <c r="AN35" s="528"/>
    </row>
    <row r="36" spans="1:40" ht="13.5" thickTop="1">
      <c r="A36" s="326"/>
      <c r="B36" s="547" t="s">
        <v>452</v>
      </c>
      <c r="C36" s="1020"/>
      <c r="D36" s="1020"/>
      <c r="E36" s="1020"/>
      <c r="F36" s="1021"/>
      <c r="G36" s="547" t="s">
        <v>451</v>
      </c>
      <c r="H36" s="546"/>
      <c r="I36" s="1415"/>
      <c r="J36" s="1416"/>
      <c r="K36" s="1454"/>
      <c r="L36" s="1455"/>
      <c r="M36" s="1455"/>
      <c r="N36" s="1455"/>
      <c r="O36" s="540"/>
      <c r="P36" s="540"/>
      <c r="Q36" s="540"/>
      <c r="R36" s="539"/>
      <c r="S36" s="478"/>
      <c r="T36" s="478"/>
      <c r="AF36" s="531"/>
      <c r="AI36" s="528"/>
      <c r="AJ36" s="528"/>
      <c r="AK36" s="545" t="s">
        <v>450</v>
      </c>
      <c r="AL36" s="528"/>
      <c r="AM36" s="529"/>
      <c r="AN36" s="528"/>
    </row>
    <row r="37" spans="1:40">
      <c r="A37" s="326"/>
      <c r="B37" s="544"/>
      <c r="C37" s="503"/>
      <c r="D37" s="503"/>
      <c r="E37" s="478"/>
      <c r="F37" s="478"/>
      <c r="G37" s="478"/>
      <c r="H37" s="478"/>
      <c r="I37" s="478"/>
      <c r="J37" s="543"/>
      <c r="K37" s="1454"/>
      <c r="L37" s="1455"/>
      <c r="M37" s="1455"/>
      <c r="N37" s="1455"/>
      <c r="O37" s="540"/>
      <c r="P37" s="540"/>
      <c r="Q37" s="540"/>
      <c r="R37" s="539"/>
      <c r="S37" s="533"/>
      <c r="T37" s="533"/>
      <c r="AF37" s="531"/>
      <c r="AG37" s="537"/>
      <c r="AH37" s="537"/>
      <c r="AI37" s="528"/>
      <c r="AJ37" s="528"/>
      <c r="AK37" s="536"/>
      <c r="AL37" s="528"/>
      <c r="AM37" s="529"/>
      <c r="AN37" s="528"/>
    </row>
    <row r="38" spans="1:40">
      <c r="A38" s="326"/>
      <c r="B38" s="1462" t="s">
        <v>449</v>
      </c>
      <c r="C38" s="1463"/>
      <c r="D38" s="1463"/>
      <c r="E38" s="542"/>
      <c r="F38" s="542"/>
      <c r="G38" s="542"/>
      <c r="H38" s="542"/>
      <c r="I38" s="542"/>
      <c r="J38" s="541"/>
      <c r="K38" s="1454"/>
      <c r="L38" s="1455"/>
      <c r="M38" s="1455"/>
      <c r="N38" s="1455"/>
      <c r="O38" s="540"/>
      <c r="P38" s="540"/>
      <c r="Q38" s="540"/>
      <c r="R38" s="539"/>
      <c r="S38" s="538"/>
      <c r="T38" s="538"/>
      <c r="AF38" s="531"/>
      <c r="AG38" s="537"/>
      <c r="AH38" s="537"/>
      <c r="AI38" s="528"/>
      <c r="AJ38" s="528"/>
      <c r="AK38" s="536"/>
      <c r="AL38" s="528"/>
      <c r="AM38" s="529"/>
      <c r="AN38" s="528"/>
    </row>
    <row r="39" spans="1:40" ht="13.5" thickBot="1">
      <c r="A39" s="326"/>
      <c r="B39" s="535"/>
      <c r="C39" s="534"/>
      <c r="D39" s="534"/>
      <c r="E39" s="1464" t="str">
        <f>E1</f>
        <v>ANGELO</v>
      </c>
      <c r="F39" s="1464"/>
      <c r="G39" s="1464"/>
      <c r="H39" s="1464"/>
      <c r="I39" s="1464"/>
      <c r="J39" s="1465"/>
      <c r="K39" s="1456"/>
      <c r="L39" s="1457"/>
      <c r="M39" s="1457"/>
      <c r="N39" s="1457"/>
      <c r="O39" s="1402" t="str">
        <f>TB!B34</f>
        <v>(FÉRIAS JANEIRO 2014) - ATUALIZADO 03/2014 - V14 (19/03/2013)</v>
      </c>
      <c r="P39" s="1403"/>
      <c r="Q39" s="1403"/>
      <c r="R39" s="1404"/>
      <c r="S39" s="533"/>
      <c r="T39" s="533"/>
      <c r="AF39" s="531"/>
      <c r="AI39" s="528"/>
      <c r="AJ39" s="528"/>
      <c r="AK39" s="532"/>
      <c r="AL39" s="528"/>
      <c r="AM39" s="529"/>
      <c r="AN39" s="528"/>
    </row>
    <row r="40" spans="1:40" ht="13.5" thickTop="1">
      <c r="AF40" s="531"/>
      <c r="AI40" s="530"/>
      <c r="AJ40" s="528"/>
      <c r="AL40" s="528"/>
      <c r="AM40" s="529"/>
      <c r="AN40" s="528"/>
    </row>
    <row r="41" spans="1:40">
      <c r="AF41" s="531"/>
      <c r="AI41" s="530"/>
      <c r="AJ41" s="528"/>
      <c r="AL41" s="528"/>
      <c r="AM41" s="529"/>
      <c r="AN41" s="528"/>
    </row>
    <row r="42" spans="1:40">
      <c r="AF42" s="531"/>
      <c r="AI42" s="530"/>
      <c r="AJ42" s="528"/>
      <c r="AL42" s="528"/>
      <c r="AM42" s="529"/>
      <c r="AN42" s="528"/>
    </row>
  </sheetData>
  <sheetProtection password="CEBA" sheet="1" selectLockedCells="1"/>
  <mergeCells count="94">
    <mergeCell ref="B1:D1"/>
    <mergeCell ref="E1:J1"/>
    <mergeCell ref="K1:R4"/>
    <mergeCell ref="C2:D2"/>
    <mergeCell ref="E2:J2"/>
    <mergeCell ref="C3:D3"/>
    <mergeCell ref="E3:J3"/>
    <mergeCell ref="C4:D4"/>
    <mergeCell ref="H4:J4"/>
    <mergeCell ref="AD4:AE4"/>
    <mergeCell ref="B5:C5"/>
    <mergeCell ref="D5:E5"/>
    <mergeCell ref="G5:J5"/>
    <mergeCell ref="K5:N5"/>
    <mergeCell ref="P5:Q5"/>
    <mergeCell ref="AD5:AE5"/>
    <mergeCell ref="AD6:AE6"/>
    <mergeCell ref="B7:D7"/>
    <mergeCell ref="F7:I7"/>
    <mergeCell ref="B8:C8"/>
    <mergeCell ref="B9:D9"/>
    <mergeCell ref="F9:I9"/>
    <mergeCell ref="B6:J6"/>
    <mergeCell ref="K6:N6"/>
    <mergeCell ref="O6:Q6"/>
    <mergeCell ref="R6:R15"/>
    <mergeCell ref="B10:D10"/>
    <mergeCell ref="F10:G10"/>
    <mergeCell ref="B11:D11"/>
    <mergeCell ref="O11:Q11"/>
    <mergeCell ref="B12:C12"/>
    <mergeCell ref="F12:I12"/>
    <mergeCell ref="B13:D13"/>
    <mergeCell ref="F13:I13"/>
    <mergeCell ref="B14:D14"/>
    <mergeCell ref="F14:G14"/>
    <mergeCell ref="B15:C15"/>
    <mergeCell ref="F15:H15"/>
    <mergeCell ref="B16:D16"/>
    <mergeCell ref="F16:I16"/>
    <mergeCell ref="O16:Q16"/>
    <mergeCell ref="B17:D17"/>
    <mergeCell ref="F17:I17"/>
    <mergeCell ref="B18:D18"/>
    <mergeCell ref="F18:I18"/>
    <mergeCell ref="B19:D19"/>
    <mergeCell ref="F19:I19"/>
    <mergeCell ref="B20:D20"/>
    <mergeCell ref="F20:I20"/>
    <mergeCell ref="N20:Q20"/>
    <mergeCell ref="B21:D21"/>
    <mergeCell ref="F21:I21"/>
    <mergeCell ref="O21:Q21"/>
    <mergeCell ref="B22:D22"/>
    <mergeCell ref="F22:I22"/>
    <mergeCell ref="B23:D23"/>
    <mergeCell ref="F23:I23"/>
    <mergeCell ref="B24:D24"/>
    <mergeCell ref="F24:G24"/>
    <mergeCell ref="H24:I24"/>
    <mergeCell ref="B25:D25"/>
    <mergeCell ref="F25:I25"/>
    <mergeCell ref="B26:D26"/>
    <mergeCell ref="F26:I26"/>
    <mergeCell ref="B27:D27"/>
    <mergeCell ref="F27:I27"/>
    <mergeCell ref="B28:C28"/>
    <mergeCell ref="F28:I28"/>
    <mergeCell ref="B29:D29"/>
    <mergeCell ref="F29:I29"/>
    <mergeCell ref="K29:N39"/>
    <mergeCell ref="C33:D33"/>
    <mergeCell ref="G33:I33"/>
    <mergeCell ref="B38:D38"/>
    <mergeCell ref="E39:J39"/>
    <mergeCell ref="B31:J31"/>
    <mergeCell ref="O29:Q29"/>
    <mergeCell ref="E30:I30"/>
    <mergeCell ref="O30:R30"/>
    <mergeCell ref="C32:D32"/>
    <mergeCell ref="G32:I32"/>
    <mergeCell ref="O32:Q32"/>
    <mergeCell ref="O33:Q33"/>
    <mergeCell ref="B34:D34"/>
    <mergeCell ref="E34:F34"/>
    <mergeCell ref="G34:J34"/>
    <mergeCell ref="O34:Q34"/>
    <mergeCell ref="O39:R39"/>
    <mergeCell ref="B35:D35"/>
    <mergeCell ref="E35:F35"/>
    <mergeCell ref="H35:J35"/>
    <mergeCell ref="O35:Q35"/>
    <mergeCell ref="C36:F36"/>
    <mergeCell ref="I36:J36"/>
  </mergeCells>
  <conditionalFormatting sqref="U15:U16">
    <cfRule type="cellIs" dxfId="1" priority="1" stopIfTrue="1" operator="equal">
      <formula>FALSE</formula>
    </cfRule>
  </conditionalFormatting>
  <dataValidations count="10">
    <dataValidation type="custom" allowBlank="1" showInputMessage="1" showErrorMessage="1" sqref="J9">
      <formula1>J9&lt;=V6</formula1>
    </dataValidation>
    <dataValidation type="decimal" allowBlank="1" showInputMessage="1" showErrorMessage="1" sqref="P12:Q13 P7">
      <formula1>0</formula1>
      <formula2>9999999999.99</formula2>
    </dataValidation>
    <dataValidation allowBlank="1" showInputMessage="1" showErrorMessage="1" promptTitle="N° DE FILHOS" prompt="FILHOS MENORES DE 14 ANOS DE IDADE" sqref="D28"/>
    <dataValidation allowBlank="1" showInputMessage="1" showErrorMessage="1" promptTitle="MÊS/ANO" prompt="FORMATO DE DIGITAÇÃO_x000a_MM/AAAA" sqref="B3"/>
    <dataValidation type="whole" allowBlank="1" showInputMessage="1" showErrorMessage="1" errorTitle="barra de espaço" error="voce esta colocando barra de espaço use número ou zero" promptTitle="N° DE FILHOS" prompt="FILHOS MENORES DE 14 ANOS DE IDADE" sqref="O5">
      <formula1>0</formula1>
      <formula2>10</formula2>
    </dataValidation>
    <dataValidation type="decimal" allowBlank="1" showInputMessage="1" showErrorMessage="1" errorTitle="use zero ou outro valor" error="use a tecla delete ou qualquer outro número,nunca limpe com barra de espaço" sqref="D5:E5">
      <formula1>0</formula1>
      <formula2>99999999999.99</formula2>
    </dataValidation>
    <dataValidation type="whole" allowBlank="1" showInputMessage="1" showErrorMessage="1" errorTitle="barra de espaço" error="voce esta colocando barra de espaço use número ou zero" promptTitle="N° DE DEPENDENTES" prompt="INFORME O NUMERO DE DEPENDENTE DO IMPOSTO DE RENDA" sqref="R5">
      <formula1>0</formula1>
      <formula2>10</formula2>
    </dataValidation>
    <dataValidation type="decimal" allowBlank="1" showInputMessage="1" showErrorMessage="1" sqref="P8">
      <formula1>0</formula1>
      <formula2>999999999999.99</formula2>
    </dataValidation>
    <dataValidation type="decimal" allowBlank="1" showInputMessage="1" showErrorMessage="1" sqref="P9">
      <formula1>0</formula1>
      <formula2>9999999999999.99</formula2>
    </dataValidation>
    <dataValidation type="custom" allowBlank="1" showInputMessage="1" showErrorMessage="1" error="máximo 30 dias" sqref="I15">
      <formula1>IF(I15&lt;=30,30)</formula1>
    </dataValidation>
  </dataValidations>
  <printOptions horizontalCentered="1" verticalCentered="1"/>
  <pageMargins left="0.78740157480314965" right="0.78740157480314965" top="0.98425196850393704" bottom="0.98425196850393704" header="0.51181102362204722" footer="0.51181102362204722"/>
  <pageSetup paperSize="9" orientation="portrait" blackAndWhite="1"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sheetPr codeName="Plan12"/>
  <dimension ref="A1:AR42"/>
  <sheetViews>
    <sheetView topLeftCell="A10" zoomScale="110" zoomScaleNormal="110" workbookViewId="0">
      <selection activeCell="P7" sqref="P7"/>
    </sheetView>
  </sheetViews>
  <sheetFormatPr defaultRowHeight="12.75"/>
  <cols>
    <col min="1" max="1" width="0.7109375" customWidth="1"/>
    <col min="2" max="2" width="11.28515625" customWidth="1"/>
    <col min="3" max="3" width="8.7109375" customWidth="1"/>
    <col min="4" max="4" width="4.5703125" customWidth="1"/>
    <col min="5" max="5" width="14.140625" customWidth="1"/>
    <col min="6" max="6" width="11.7109375" customWidth="1"/>
    <col min="7" max="7" width="9" customWidth="1"/>
    <col min="8" max="8" width="7.42578125" hidden="1" customWidth="1"/>
    <col min="9" max="9" width="7.42578125" customWidth="1"/>
    <col min="10" max="10" width="14.140625" customWidth="1"/>
    <col min="11" max="13" width="4.42578125" customWidth="1"/>
    <col min="14" max="14" width="4.28515625" customWidth="1"/>
    <col min="15" max="15" width="9.28515625" bestFit="1" customWidth="1"/>
    <col min="16" max="16" width="10" customWidth="1"/>
    <col min="17" max="17" width="9.7109375" customWidth="1"/>
    <col min="18" max="18" width="11.85546875" customWidth="1"/>
    <col min="19" max="19" width="0.42578125" hidden="1" customWidth="1"/>
    <col min="20" max="22" width="9.42578125" hidden="1" customWidth="1"/>
    <col min="23" max="23" width="9.85546875" hidden="1" customWidth="1"/>
    <col min="24" max="30" width="9.42578125" hidden="1" customWidth="1"/>
    <col min="31" max="31" width="4.5703125" hidden="1" customWidth="1"/>
    <col min="32" max="34" width="9.42578125" hidden="1" customWidth="1"/>
    <col min="35" max="35" width="7.85546875" hidden="1" customWidth="1"/>
    <col min="36" max="36" width="8.7109375" hidden="1" customWidth="1"/>
    <col min="37" max="37" width="0.28515625" hidden="1" customWidth="1"/>
    <col min="38" max="38" width="10.7109375" hidden="1" customWidth="1"/>
    <col min="39" max="39" width="11.7109375" hidden="1" customWidth="1"/>
    <col min="40" max="40" width="7.7109375" hidden="1" customWidth="1"/>
    <col min="41" max="42" width="7.5703125" hidden="1" customWidth="1"/>
    <col min="43" max="43" width="8" hidden="1" customWidth="1"/>
    <col min="44" max="44" width="9.140625" hidden="1" customWidth="1"/>
  </cols>
  <sheetData>
    <row r="1" spans="1:40" ht="17.25" customHeight="1" thickTop="1">
      <c r="A1" s="326"/>
      <c r="B1" s="1540" t="s">
        <v>534</v>
      </c>
      <c r="C1" s="1541"/>
      <c r="D1" s="1541"/>
      <c r="E1" s="1542" t="str">
        <f>VLOOKUP(DADOS!G3,FUNC!4:7209,2)</f>
        <v>ANGELO</v>
      </c>
      <c r="F1" s="1543"/>
      <c r="G1" s="1543"/>
      <c r="H1" s="1543"/>
      <c r="I1" s="1543"/>
      <c r="J1" s="1544"/>
      <c r="K1" s="1545"/>
      <c r="L1" s="1546"/>
      <c r="M1" s="1546"/>
      <c r="N1" s="1546"/>
      <c r="O1" s="1546"/>
      <c r="P1" s="1546"/>
      <c r="Q1" s="1546"/>
      <c r="R1" s="1547"/>
      <c r="S1" s="724"/>
      <c r="T1" s="723"/>
    </row>
    <row r="2" spans="1:40" ht="13.5" customHeight="1">
      <c r="A2" s="326"/>
      <c r="B2" s="743" t="s">
        <v>533</v>
      </c>
      <c r="C2" s="1554" t="s">
        <v>532</v>
      </c>
      <c r="D2" s="1554"/>
      <c r="E2" s="1555" t="s">
        <v>531</v>
      </c>
      <c r="F2" s="1556"/>
      <c r="G2" s="1556"/>
      <c r="H2" s="1556"/>
      <c r="I2" s="1556"/>
      <c r="J2" s="1557"/>
      <c r="K2" s="1548"/>
      <c r="L2" s="1549"/>
      <c r="M2" s="1549"/>
      <c r="N2" s="1549"/>
      <c r="O2" s="1549"/>
      <c r="P2" s="1549"/>
      <c r="Q2" s="1549"/>
      <c r="R2" s="1550"/>
      <c r="S2" s="724"/>
      <c r="T2" s="723"/>
      <c r="U2" s="740">
        <v>2</v>
      </c>
      <c r="AF2" s="528" t="b">
        <f>IF(AG2+AH2=0,0)</f>
        <v>0</v>
      </c>
      <c r="AG2" s="528">
        <f>IF($AG$4=$AG$6,0,IF($AG$4&lt;&gt;$AG$6,1))</f>
        <v>1</v>
      </c>
      <c r="AH2" s="528">
        <f>IF($AH$4=$AH$6,0,IF($AH$4&lt;&gt;$AH$6,1))</f>
        <v>1</v>
      </c>
      <c r="AI2" s="528"/>
      <c r="AJ2" s="528"/>
      <c r="AK2" s="674"/>
      <c r="AL2" s="528"/>
      <c r="AM2" s="529"/>
      <c r="AN2" s="528"/>
    </row>
    <row r="3" spans="1:40">
      <c r="A3" s="326"/>
      <c r="B3" s="734">
        <f>'HOLLERITH (1)'!B3+31</f>
        <v>41762</v>
      </c>
      <c r="C3" s="1560">
        <f>'HOLLERITH (1)'!C3:D3</f>
        <v>40210</v>
      </c>
      <c r="D3" s="1560"/>
      <c r="E3" s="1533" t="str">
        <f>VLOOKUP(DADOS!G4,EMP!3:4500,2)</f>
        <v>Disk Automoveis Ltda</v>
      </c>
      <c r="F3" s="1534"/>
      <c r="G3" s="1534"/>
      <c r="H3" s="1534"/>
      <c r="I3" s="1534"/>
      <c r="J3" s="1535"/>
      <c r="K3" s="1548"/>
      <c r="L3" s="1549"/>
      <c r="M3" s="1549"/>
      <c r="N3" s="1549"/>
      <c r="O3" s="1549"/>
      <c r="P3" s="1549"/>
      <c r="Q3" s="1549"/>
      <c r="R3" s="1550"/>
      <c r="S3" s="724"/>
      <c r="T3" s="723"/>
      <c r="V3" s="549" t="s">
        <v>530</v>
      </c>
      <c r="W3" s="446"/>
      <c r="X3" s="446"/>
      <c r="AD3" s="733" t="s">
        <v>529</v>
      </c>
      <c r="AE3" s="732"/>
      <c r="AF3" s="731">
        <f>IF(AF2=0,AG11-AF64,IF(AF2&gt;0,AG11))</f>
        <v>31</v>
      </c>
      <c r="AG3" s="531"/>
      <c r="AH3" s="531"/>
      <c r="AI3" s="528"/>
      <c r="AJ3" s="528"/>
      <c r="AL3" s="528"/>
      <c r="AM3" s="529"/>
      <c r="AN3" s="528"/>
    </row>
    <row r="4" spans="1:40">
      <c r="A4" s="326"/>
      <c r="B4" s="730" t="s">
        <v>528</v>
      </c>
      <c r="C4" s="1560" t="str">
        <f>'HOLLERITH (1)'!C4:D4</f>
        <v>4115-10</v>
      </c>
      <c r="D4" s="1560"/>
      <c r="E4" s="729" t="s">
        <v>527</v>
      </c>
      <c r="F4" s="742">
        <f>RECIBO!H12</f>
        <v>55563</v>
      </c>
      <c r="G4" s="728" t="s">
        <v>71</v>
      </c>
      <c r="H4" s="1533" t="str">
        <f>RECIBO!Y12</f>
        <v>00038/sp</v>
      </c>
      <c r="I4" s="1534"/>
      <c r="J4" s="1535"/>
      <c r="K4" s="1551"/>
      <c r="L4" s="1552"/>
      <c r="M4" s="1552"/>
      <c r="N4" s="1552"/>
      <c r="O4" s="1552"/>
      <c r="P4" s="1552"/>
      <c r="Q4" s="1552"/>
      <c r="R4" s="1553"/>
      <c r="S4" s="724"/>
      <c r="T4" s="723"/>
      <c r="V4" s="549"/>
      <c r="W4" s="446"/>
      <c r="X4" s="446"/>
      <c r="AD4" s="1527" t="s">
        <v>526</v>
      </c>
      <c r="AE4" s="1528"/>
      <c r="AF4" s="727">
        <f>IF(AF2=0,30-AF6+1,IF(AF2&gt;0,30))</f>
        <v>30</v>
      </c>
      <c r="AG4" s="721">
        <f>MONTH(B3)</f>
        <v>5</v>
      </c>
      <c r="AH4" s="726">
        <f>YEAR(B3)</f>
        <v>2014</v>
      </c>
      <c r="AI4" s="528"/>
      <c r="AJ4" s="528"/>
      <c r="AK4" s="674">
        <v>39141</v>
      </c>
      <c r="AL4" s="528"/>
      <c r="AM4" s="529"/>
      <c r="AN4" s="528"/>
    </row>
    <row r="5" spans="1:40" ht="18" customHeight="1" thickBot="1">
      <c r="A5" s="326"/>
      <c r="B5" s="1529" t="s">
        <v>82</v>
      </c>
      <c r="C5" s="1530"/>
      <c r="D5" s="1531">
        <f>RECIBO!G27</f>
        <v>1000</v>
      </c>
      <c r="E5" s="1532"/>
      <c r="F5" s="725" t="s">
        <v>525</v>
      </c>
      <c r="G5" s="1533" t="str">
        <f>VLOOKUP(DADOS!G3,FUNC!4:7211,85)</f>
        <v>contador</v>
      </c>
      <c r="H5" s="1534"/>
      <c r="I5" s="1534"/>
      <c r="J5" s="1535"/>
      <c r="K5" s="1536" t="s">
        <v>482</v>
      </c>
      <c r="L5" s="1537"/>
      <c r="M5" s="1537"/>
      <c r="N5" s="1537"/>
      <c r="O5" s="755">
        <f>VLOOKUP(DADOS!$G$3,FUNC!A3:IG169,4)</f>
        <v>1</v>
      </c>
      <c r="P5" s="1537" t="s">
        <v>475</v>
      </c>
      <c r="Q5" s="1537"/>
      <c r="R5" s="750">
        <f>RECIBO!H44</f>
        <v>2</v>
      </c>
      <c r="S5" s="724"/>
      <c r="T5" s="723"/>
      <c r="V5" s="549"/>
      <c r="W5" s="446"/>
      <c r="X5" s="446"/>
      <c r="AD5" s="1538" t="s">
        <v>524</v>
      </c>
      <c r="AE5" s="1539"/>
      <c r="AF5" s="722">
        <f>(AF4-D12)</f>
        <v>29</v>
      </c>
      <c r="AG5" s="721"/>
      <c r="AH5" s="720"/>
      <c r="AI5" s="528"/>
      <c r="AJ5" s="528"/>
      <c r="AK5" s="666">
        <v>39507</v>
      </c>
      <c r="AL5" s="528"/>
      <c r="AM5" s="529"/>
      <c r="AN5" s="528"/>
    </row>
    <row r="6" spans="1:40" ht="18" customHeight="1" thickTop="1">
      <c r="A6" s="326"/>
      <c r="B6" s="1561" t="s">
        <v>523</v>
      </c>
      <c r="C6" s="1562"/>
      <c r="D6" s="1562"/>
      <c r="E6" s="1562"/>
      <c r="F6" s="1562"/>
      <c r="G6" s="1562"/>
      <c r="H6" s="1562"/>
      <c r="I6" s="1562"/>
      <c r="J6" s="1563"/>
      <c r="K6" s="1564" t="s">
        <v>519</v>
      </c>
      <c r="L6" s="1565"/>
      <c r="M6" s="1565"/>
      <c r="N6" s="1566"/>
      <c r="O6" s="1567" t="s">
        <v>522</v>
      </c>
      <c r="P6" s="1567"/>
      <c r="Q6" s="1568"/>
      <c r="R6" s="1522" t="s">
        <v>521</v>
      </c>
      <c r="S6" s="661"/>
      <c r="T6" s="719"/>
      <c r="V6" s="718">
        <f>P9*Q9</f>
        <v>482.93</v>
      </c>
      <c r="W6" s="717"/>
      <c r="X6" s="717"/>
      <c r="AD6" s="1510" t="s">
        <v>520</v>
      </c>
      <c r="AE6" s="1511"/>
      <c r="AF6" s="716">
        <f>DAY(C3)</f>
        <v>1</v>
      </c>
      <c r="AG6" s="716">
        <f>MONTH(C3)</f>
        <v>2</v>
      </c>
      <c r="AH6" s="715">
        <f>YEAR(C3)</f>
        <v>2010</v>
      </c>
      <c r="AI6" s="528"/>
      <c r="AJ6" s="528"/>
      <c r="AK6" s="674">
        <v>39872</v>
      </c>
      <c r="AL6" s="528"/>
      <c r="AM6" s="529"/>
      <c r="AN6" s="528"/>
    </row>
    <row r="7" spans="1:40" ht="25.5">
      <c r="A7" s="326"/>
      <c r="B7" s="1561" t="s">
        <v>519</v>
      </c>
      <c r="C7" s="1562"/>
      <c r="D7" s="1569"/>
      <c r="E7" s="782" t="s">
        <v>88</v>
      </c>
      <c r="F7" s="1570" t="s">
        <v>90</v>
      </c>
      <c r="G7" s="1562"/>
      <c r="H7" s="1562"/>
      <c r="I7" s="1569"/>
      <c r="J7" s="783" t="s">
        <v>88</v>
      </c>
      <c r="K7" s="806" t="s">
        <v>91</v>
      </c>
      <c r="L7" s="807" t="s">
        <v>281</v>
      </c>
      <c r="M7" s="808" t="s">
        <v>280</v>
      </c>
      <c r="N7" s="809" t="s">
        <v>518</v>
      </c>
      <c r="O7" s="810">
        <v>0</v>
      </c>
      <c r="P7" s="789">
        <v>1317.07</v>
      </c>
      <c r="Q7" s="811">
        <v>0.08</v>
      </c>
      <c r="R7" s="1523"/>
      <c r="S7" s="661" t="s">
        <v>518</v>
      </c>
      <c r="T7" s="709" t="s">
        <v>518</v>
      </c>
      <c r="U7" s="526" t="s">
        <v>91</v>
      </c>
      <c r="V7" s="527" t="s">
        <v>517</v>
      </c>
      <c r="W7" s="705" t="s">
        <v>516</v>
      </c>
      <c r="X7" s="705" t="s">
        <v>515</v>
      </c>
      <c r="Y7" s="708" t="s">
        <v>281</v>
      </c>
      <c r="Z7" s="707" t="s">
        <v>514</v>
      </c>
      <c r="AA7" s="706" t="s">
        <v>513</v>
      </c>
      <c r="AB7" s="527" t="s">
        <v>280</v>
      </c>
      <c r="AC7" s="705" t="s">
        <v>512</v>
      </c>
      <c r="AD7" s="705" t="s">
        <v>511</v>
      </c>
      <c r="AE7" s="705" t="s">
        <v>510</v>
      </c>
      <c r="AF7" s="704"/>
      <c r="AG7" s="703"/>
      <c r="AH7" s="531"/>
      <c r="AI7" s="528"/>
      <c r="AJ7" s="528"/>
      <c r="AK7" s="674">
        <v>40237</v>
      </c>
      <c r="AL7" s="528"/>
      <c r="AM7" s="529"/>
      <c r="AN7" s="528"/>
    </row>
    <row r="8" spans="1:40" ht="17.25" customHeight="1">
      <c r="A8" s="326"/>
      <c r="B8" s="1571" t="s">
        <v>509</v>
      </c>
      <c r="C8" s="1572"/>
      <c r="D8" s="784">
        <f>IF(AF4=31,0,IF(AF4&lt;&gt;31,AF4-D12))</f>
        <v>29</v>
      </c>
      <c r="E8" s="785">
        <f>IF(U2=2,D5/30*D8,IF(U2=1,0,IF(U2=3,0)))</f>
        <v>966.67</v>
      </c>
      <c r="F8" s="786" t="s">
        <v>508</v>
      </c>
      <c r="G8" s="786"/>
      <c r="H8" s="787">
        <f>VLOOKUP($V$29,$O$7:$Q$9,3)</f>
        <v>0.08</v>
      </c>
      <c r="I8" s="787">
        <f>IF(V29+W29=0,0,IF(V29+W29&gt;0,H8))</f>
        <v>0.08</v>
      </c>
      <c r="J8" s="788">
        <f>IF($V$29&gt;$P$9,$P$9*$I$8,IF($V$29&lt;$P$9,$V$29*$I$8))-J9</f>
        <v>76.89</v>
      </c>
      <c r="K8" s="812"/>
      <c r="L8" s="813"/>
      <c r="M8" s="813"/>
      <c r="N8" s="814"/>
      <c r="O8" s="810">
        <f>P7+0.01</f>
        <v>1317.08</v>
      </c>
      <c r="P8" s="789">
        <v>2195.12</v>
      </c>
      <c r="Q8" s="811">
        <v>0.09</v>
      </c>
      <c r="R8" s="1523"/>
      <c r="S8" s="699" t="b">
        <v>1</v>
      </c>
      <c r="T8" s="683">
        <f>IF(S8=TRUE,E8,IF(S8=FALSE,0))</f>
        <v>966.67</v>
      </c>
      <c r="U8" s="630" t="b">
        <v>1</v>
      </c>
      <c r="V8" s="610">
        <f>IF(U8=TRUE,E8,IF(U8=FALSE,0))</f>
        <v>966.67</v>
      </c>
      <c r="W8" s="637"/>
      <c r="X8" s="637"/>
      <c r="Y8" s="615" t="b">
        <v>1</v>
      </c>
      <c r="Z8" s="651">
        <f t="shared" ref="Z8:Z15" si="0">IF(Y8=TRUE,E8,IF(Y8=FALSE,0))</f>
        <v>966.67</v>
      </c>
      <c r="AA8" s="651"/>
      <c r="AB8" s="420" t="b">
        <v>1</v>
      </c>
      <c r="AC8" s="616">
        <f>IF(AB8=TRUE,E8,IF(AB8=FALSE,0))</f>
        <v>966.67</v>
      </c>
      <c r="AD8" s="637"/>
      <c r="AE8" s="637"/>
      <c r="AF8" s="537"/>
      <c r="AG8" s="692"/>
      <c r="AH8" s="537"/>
      <c r="AI8" s="591"/>
      <c r="AJ8" s="591"/>
      <c r="AK8" s="674">
        <v>40602</v>
      </c>
      <c r="AL8" s="591"/>
      <c r="AM8" s="592"/>
      <c r="AN8" s="591"/>
    </row>
    <row r="9" spans="1:40" ht="17.25" customHeight="1">
      <c r="A9" s="326"/>
      <c r="B9" s="1573"/>
      <c r="C9" s="1574"/>
      <c r="D9" s="1574"/>
      <c r="E9" s="789"/>
      <c r="F9" s="1575" t="s">
        <v>507</v>
      </c>
      <c r="G9" s="1576"/>
      <c r="H9" s="1576"/>
      <c r="I9" s="1577"/>
      <c r="J9" s="790">
        <f>DEMONSTRATIVO!V42</f>
        <v>4</v>
      </c>
      <c r="K9" s="815"/>
      <c r="L9" s="816"/>
      <c r="M9" s="816"/>
      <c r="N9" s="817"/>
      <c r="O9" s="810">
        <f>P8+0.01</f>
        <v>2195.13</v>
      </c>
      <c r="P9" s="789">
        <v>4390.24</v>
      </c>
      <c r="Q9" s="811">
        <v>0.11</v>
      </c>
      <c r="R9" s="1523"/>
      <c r="S9" s="684" t="b">
        <v>0</v>
      </c>
      <c r="T9" s="683">
        <f>IF(S9=TRUE,E9,IF(S9=FALSE,0))</f>
        <v>0</v>
      </c>
      <c r="U9" s="682" t="b">
        <v>1</v>
      </c>
      <c r="V9" s="680">
        <f>IF(U9=TRUE,E9,IF(U9=FALSE,0))</f>
        <v>0</v>
      </c>
      <c r="W9" s="694"/>
      <c r="X9" s="694"/>
      <c r="Y9" s="681" t="b">
        <v>1</v>
      </c>
      <c r="Z9" s="695">
        <f t="shared" si="0"/>
        <v>0</v>
      </c>
      <c r="AA9" s="695"/>
      <c r="AB9" s="281" t="b">
        <v>1</v>
      </c>
      <c r="AC9" s="680">
        <f>IF(AB9=TRUE,E9,IF(AB9=FALSE,0))</f>
        <v>0</v>
      </c>
      <c r="AD9" s="694"/>
      <c r="AE9" s="694"/>
      <c r="AF9" s="693" t="str">
        <f>MONTH(B3)&amp;"/"&amp;YEAR(B3)</f>
        <v>5/2014</v>
      </c>
      <c r="AG9" s="692"/>
      <c r="AH9" s="537"/>
      <c r="AI9" s="591"/>
      <c r="AJ9" s="591"/>
      <c r="AK9" s="666">
        <v>40968</v>
      </c>
      <c r="AL9" s="691" t="b">
        <f>IF(AF9="2/2007",28,IF(AF9="2/2008",29,IF(AF9="2/2009",28,IF(AF9="2/2010",28,IF(AF9="2/2011",28,IF(AF9="2/2012",29,AM9))))))</f>
        <v>0</v>
      </c>
      <c r="AM9" s="592" t="b">
        <f>IF(AF9="2/2013",28,IF(AF9="2/2014",28,IF(AF9="2/2015",28,IF(AF9="2/2016",29,IF(AF9="2/2017",28,IF(AF9="2/2018",28,IF(AF9="2/2019",28,AN9)))))))</f>
        <v>0</v>
      </c>
      <c r="AN9" s="591" t="b">
        <f>IF(AF9="2/2020",29,IF(AF9="2/2021",28,IF(AF9="2/2022",28,IF(AF9="2/2023",28,IF(AF9="2/2024",29)))))</f>
        <v>0</v>
      </c>
    </row>
    <row r="10" spans="1:40" ht="17.25" customHeight="1">
      <c r="A10" s="326"/>
      <c r="B10" s="1573"/>
      <c r="C10" s="1574"/>
      <c r="D10" s="1574"/>
      <c r="E10" s="789"/>
      <c r="F10" s="1578" t="s">
        <v>506</v>
      </c>
      <c r="G10" s="1579"/>
      <c r="H10" s="787">
        <f>VLOOKUP($X$29,$O$7:$Q$9,3)</f>
        <v>0.08</v>
      </c>
      <c r="I10" s="787">
        <f>IF(X29=0,0,IF(X29&gt;0,H10))</f>
        <v>0</v>
      </c>
      <c r="J10" s="788">
        <f>IF($X$29&gt;$P$9,$P$9*$I$10,IF($X$29&lt;$P$9,$X$29*$I$10))</f>
        <v>0</v>
      </c>
      <c r="K10" s="815"/>
      <c r="L10" s="816"/>
      <c r="M10" s="816"/>
      <c r="N10" s="818"/>
      <c r="O10" s="819"/>
      <c r="P10" s="820"/>
      <c r="Q10" s="820"/>
      <c r="R10" s="1523"/>
      <c r="S10" s="684" t="b">
        <v>0</v>
      </c>
      <c r="T10" s="683">
        <f>IF(S10=TRUE,E10,IF(S10=FALSE,0))</f>
        <v>0</v>
      </c>
      <c r="U10" s="682" t="b">
        <v>1</v>
      </c>
      <c r="V10" s="616">
        <f>IF(U10=TRUE,E10,IF(U10=FALSE,0))</f>
        <v>0</v>
      </c>
      <c r="W10" s="637"/>
      <c r="X10" s="637"/>
      <c r="Y10" s="681" t="b">
        <v>1</v>
      </c>
      <c r="Z10" s="651">
        <f t="shared" si="0"/>
        <v>0</v>
      </c>
      <c r="AA10" s="651"/>
      <c r="AB10" s="680" t="b">
        <v>1</v>
      </c>
      <c r="AC10" s="616">
        <f>IF(AB10=TRUE,E10,IF(AB10=FALSE,0))</f>
        <v>0</v>
      </c>
      <c r="AD10" s="637"/>
      <c r="AE10" s="637"/>
      <c r="AF10" s="531"/>
      <c r="AG10" s="531">
        <v>30</v>
      </c>
      <c r="AH10" s="537"/>
      <c r="AI10" s="591"/>
      <c r="AJ10" s="591"/>
      <c r="AK10" s="674">
        <v>41333</v>
      </c>
      <c r="AL10" s="591"/>
      <c r="AM10" s="592"/>
      <c r="AN10" s="591"/>
    </row>
    <row r="11" spans="1:40" ht="17.25" customHeight="1">
      <c r="A11" s="326"/>
      <c r="B11" s="1573"/>
      <c r="C11" s="1574"/>
      <c r="D11" s="1574"/>
      <c r="E11" s="789"/>
      <c r="F11" s="791" t="s">
        <v>505</v>
      </c>
      <c r="G11" s="791"/>
      <c r="H11" s="787">
        <f>VLOOKUP($G$33,$O$22:$Q$26,3)</f>
        <v>0</v>
      </c>
      <c r="I11" s="787">
        <f>VLOOKUP($G$33,$O$22:$Q$26,3)</f>
        <v>0</v>
      </c>
      <c r="J11" s="792">
        <f>IF(G33*I11-U32&lt;R29,0,IF(G33*I11-U32&gt;=R29,G33*I11-U32))</f>
        <v>0</v>
      </c>
      <c r="K11" s="815"/>
      <c r="L11" s="816"/>
      <c r="M11" s="816"/>
      <c r="N11" s="821"/>
      <c r="O11" s="1580" t="s">
        <v>504</v>
      </c>
      <c r="P11" s="1581"/>
      <c r="Q11" s="1582"/>
      <c r="R11" s="1523"/>
      <c r="S11" s="684"/>
      <c r="T11" s="683">
        <f>IF(S11=TRUE,E11,IF(S11=FALSE,0))</f>
        <v>0</v>
      </c>
      <c r="U11" s="682" t="b">
        <v>1</v>
      </c>
      <c r="V11" s="616">
        <f>IF(U11=TRUE,E11,IF(U11=FALSE,0))</f>
        <v>0</v>
      </c>
      <c r="W11" s="637"/>
      <c r="X11" s="637"/>
      <c r="Y11" s="681" t="b">
        <v>1</v>
      </c>
      <c r="Z11" s="651">
        <f t="shared" si="0"/>
        <v>0</v>
      </c>
      <c r="AA11" s="651"/>
      <c r="AB11" s="680" t="b">
        <v>0</v>
      </c>
      <c r="AC11" s="616">
        <f>IF(AB11=TRUE,E11,IF(AB11=FALSE,0))</f>
        <v>0</v>
      </c>
      <c r="AD11" s="637"/>
      <c r="AE11" s="637"/>
      <c r="AF11" s="537"/>
      <c r="AG11" s="679">
        <f>VLOOKUP(AG4,AG12:AH38,2)</f>
        <v>31</v>
      </c>
      <c r="AH11" s="678"/>
      <c r="AI11" s="591"/>
      <c r="AJ11" s="591"/>
      <c r="AK11" s="674">
        <v>41698</v>
      </c>
      <c r="AL11" s="591"/>
      <c r="AM11" s="592"/>
      <c r="AN11" s="591"/>
    </row>
    <row r="12" spans="1:40" ht="17.25" customHeight="1">
      <c r="A12" s="326"/>
      <c r="B12" s="1583" t="s">
        <v>503</v>
      </c>
      <c r="C12" s="1584"/>
      <c r="D12" s="793">
        <f>DEMONSTRATIVO!T25</f>
        <v>1</v>
      </c>
      <c r="E12" s="794">
        <f>DEMONSTRATIVO!V25</f>
        <v>33.33</v>
      </c>
      <c r="F12" s="1575" t="s">
        <v>502</v>
      </c>
      <c r="G12" s="1576"/>
      <c r="H12" s="1576"/>
      <c r="I12" s="1577"/>
      <c r="J12" s="790">
        <f>DEMONSTRATIVO!V43</f>
        <v>0</v>
      </c>
      <c r="K12" s="812"/>
      <c r="L12" s="813"/>
      <c r="M12" s="813"/>
      <c r="N12" s="814"/>
      <c r="O12" s="822">
        <v>0</v>
      </c>
      <c r="P12" s="789">
        <v>682.5</v>
      </c>
      <c r="Q12" s="823">
        <v>35</v>
      </c>
      <c r="R12" s="1523"/>
      <c r="S12" s="675" t="b">
        <v>0</v>
      </c>
      <c r="T12" s="677"/>
      <c r="U12" s="617" t="b">
        <v>1</v>
      </c>
      <c r="V12" s="616">
        <f>IF($U$12=TRUE,E12,IF($U$12=FALSE,0))</f>
        <v>33.33</v>
      </c>
      <c r="W12" s="616"/>
      <c r="X12" s="637"/>
      <c r="Y12" s="615" t="b">
        <v>1</v>
      </c>
      <c r="Z12" s="651">
        <f t="shared" si="0"/>
        <v>33.33</v>
      </c>
      <c r="AA12" s="651"/>
      <c r="AB12" s="610" t="b">
        <v>1</v>
      </c>
      <c r="AC12" s="637">
        <v>0</v>
      </c>
      <c r="AD12" s="616">
        <f>IF($AB$12=TRUE,$E$12,IF($AB$12=FALSE,0))</f>
        <v>33.33</v>
      </c>
      <c r="AE12" s="637"/>
      <c r="AF12" s="537"/>
      <c r="AG12" s="571">
        <v>1</v>
      </c>
      <c r="AH12" s="571">
        <v>31</v>
      </c>
      <c r="AI12" s="591"/>
      <c r="AJ12" s="591"/>
      <c r="AK12" s="674">
        <v>42063</v>
      </c>
      <c r="AL12" s="592"/>
      <c r="AM12" s="592"/>
      <c r="AN12" s="591"/>
    </row>
    <row r="13" spans="1:40" ht="17.25" customHeight="1">
      <c r="A13" s="326"/>
      <c r="B13" s="1585" t="s">
        <v>501</v>
      </c>
      <c r="C13" s="1586"/>
      <c r="D13" s="1587"/>
      <c r="E13" s="794">
        <f>DEMONSTRATIVO!V27</f>
        <v>0</v>
      </c>
      <c r="F13" s="1575" t="s">
        <v>500</v>
      </c>
      <c r="G13" s="1576"/>
      <c r="H13" s="1576"/>
      <c r="I13" s="1577"/>
      <c r="J13" s="790">
        <f>SUM(E12:E17)-(J9+J12+J21+J22+J23+J24)</f>
        <v>40.44</v>
      </c>
      <c r="K13" s="812"/>
      <c r="L13" s="813"/>
      <c r="M13" s="813"/>
      <c r="N13" s="814"/>
      <c r="O13" s="822">
        <f>P12+0.01</f>
        <v>682.51</v>
      </c>
      <c r="P13" s="789">
        <v>1025.81</v>
      </c>
      <c r="Q13" s="823">
        <v>24.66</v>
      </c>
      <c r="R13" s="1523"/>
      <c r="S13" s="675" t="b">
        <v>0</v>
      </c>
      <c r="T13" s="660"/>
      <c r="U13" s="617" t="b">
        <v>1</v>
      </c>
      <c r="V13" s="616">
        <f>IF($U$12=TRUE,E13,IF($U$12=FALSE,0))</f>
        <v>0</v>
      </c>
      <c r="W13" s="616"/>
      <c r="X13" s="637"/>
      <c r="Y13" s="615" t="b">
        <v>1</v>
      </c>
      <c r="Z13" s="651">
        <f t="shared" si="0"/>
        <v>0</v>
      </c>
      <c r="AA13" s="651"/>
      <c r="AB13" s="610" t="b">
        <v>1</v>
      </c>
      <c r="AC13" s="637"/>
      <c r="AD13" s="616"/>
      <c r="AE13" s="637"/>
      <c r="AF13" s="537"/>
      <c r="AG13" s="571"/>
      <c r="AH13" s="571"/>
      <c r="AI13" s="591"/>
      <c r="AJ13" s="591"/>
      <c r="AK13" s="674"/>
      <c r="AL13" s="592"/>
      <c r="AM13" s="592"/>
      <c r="AN13" s="591"/>
    </row>
    <row r="14" spans="1:40" ht="17.25" customHeight="1">
      <c r="A14" s="326"/>
      <c r="B14" s="1583" t="s">
        <v>499</v>
      </c>
      <c r="C14" s="1584"/>
      <c r="D14" s="1588"/>
      <c r="E14" s="794">
        <f>DEMONSTRATIVO!V26+DEMONSTRATIVO!V28</f>
        <v>11.11</v>
      </c>
      <c r="F14" s="1578" t="s">
        <v>498</v>
      </c>
      <c r="G14" s="1589"/>
      <c r="H14" s="787">
        <f>VLOOKUP($J$33,$O$22:$Q$26,3)</f>
        <v>0</v>
      </c>
      <c r="I14" s="787">
        <f>VLOOKUP($J$33,$O$22:$Q$26,3)</f>
        <v>0</v>
      </c>
      <c r="J14" s="792">
        <f>J33*I14-U33</f>
        <v>0</v>
      </c>
      <c r="K14" s="812"/>
      <c r="L14" s="813"/>
      <c r="M14" s="813"/>
      <c r="N14" s="814"/>
      <c r="O14" s="822">
        <f>P13+0.01</f>
        <v>1025.82</v>
      </c>
      <c r="P14" s="824">
        <v>0</v>
      </c>
      <c r="Q14" s="825">
        <v>0</v>
      </c>
      <c r="R14" s="1523"/>
      <c r="S14" s="661"/>
      <c r="T14" s="660"/>
      <c r="U14" s="617" t="b">
        <v>1</v>
      </c>
      <c r="V14" s="616">
        <f>IF(U14=TRUE,E14,IF(U14=FALSE,0))</f>
        <v>11.11</v>
      </c>
      <c r="W14" s="616"/>
      <c r="X14" s="637"/>
      <c r="Y14" s="615" t="b">
        <v>1</v>
      </c>
      <c r="Z14" s="651">
        <f t="shared" si="0"/>
        <v>11.11</v>
      </c>
      <c r="AA14" s="651"/>
      <c r="AB14" s="610" t="b">
        <v>1</v>
      </c>
      <c r="AC14" s="637">
        <v>0</v>
      </c>
      <c r="AD14" s="616">
        <f>IF($AB$14=TRUE,$E$14,IF($AB$14=FALSE,0))</f>
        <v>11.11</v>
      </c>
      <c r="AE14" s="637"/>
      <c r="AF14" s="609"/>
      <c r="AG14" s="659">
        <v>2</v>
      </c>
      <c r="AH14" s="667" t="b">
        <f>AL9</f>
        <v>0</v>
      </c>
      <c r="AI14" s="591"/>
      <c r="AJ14" s="591"/>
      <c r="AK14" s="666">
        <v>42429</v>
      </c>
      <c r="AL14" s="591"/>
      <c r="AM14" s="592"/>
      <c r="AN14" s="591"/>
    </row>
    <row r="15" spans="1:40" ht="17.25" customHeight="1" thickBot="1">
      <c r="A15" s="326"/>
      <c r="B15" s="1583" t="s">
        <v>497</v>
      </c>
      <c r="C15" s="1584"/>
      <c r="D15" s="793">
        <f>DEMONSTRATIVO!T34</f>
        <v>0</v>
      </c>
      <c r="E15" s="794">
        <f>DEMONSTRATIVO!V34</f>
        <v>0</v>
      </c>
      <c r="F15" s="1578" t="s">
        <v>496</v>
      </c>
      <c r="G15" s="1589"/>
      <c r="H15" s="1579"/>
      <c r="I15" s="795">
        <v>0</v>
      </c>
      <c r="J15" s="796">
        <f>D5/30*I15</f>
        <v>0</v>
      </c>
      <c r="K15" s="826"/>
      <c r="L15" s="827"/>
      <c r="M15" s="827"/>
      <c r="N15" s="828"/>
      <c r="O15" s="829"/>
      <c r="P15" s="829"/>
      <c r="Q15" s="829"/>
      <c r="R15" s="1524"/>
      <c r="S15" s="661"/>
      <c r="T15" s="660"/>
      <c r="U15" s="617" t="b">
        <v>0</v>
      </c>
      <c r="V15" s="616">
        <f>IF(U15=TRUE,E15,IF(U15=FALSE,0))</f>
        <v>0</v>
      </c>
      <c r="W15" s="616"/>
      <c r="X15" s="637"/>
      <c r="Y15" s="615" t="b">
        <v>0</v>
      </c>
      <c r="Z15" s="651">
        <f t="shared" si="0"/>
        <v>0</v>
      </c>
      <c r="AA15" s="651"/>
      <c r="AB15" s="610" t="b">
        <v>0</v>
      </c>
      <c r="AC15" s="637">
        <v>0</v>
      </c>
      <c r="AD15" s="616">
        <f>IF($AB$15=TRUE,$E$15,IF($AB$15=FALSE,0))</f>
        <v>0</v>
      </c>
      <c r="AE15" s="637"/>
      <c r="AF15" s="609"/>
      <c r="AG15" s="659">
        <v>3</v>
      </c>
      <c r="AH15" s="571">
        <v>31</v>
      </c>
      <c r="AI15" s="591"/>
      <c r="AJ15" s="591"/>
      <c r="AK15" s="593">
        <v>42794</v>
      </c>
      <c r="AL15" s="591"/>
      <c r="AM15" s="592"/>
      <c r="AN15" s="591"/>
    </row>
    <row r="16" spans="1:40" ht="17.25" customHeight="1" thickTop="1">
      <c r="A16" s="326"/>
      <c r="B16" s="1595" t="s">
        <v>495</v>
      </c>
      <c r="C16" s="1596"/>
      <c r="D16" s="1597"/>
      <c r="E16" s="794">
        <f>DEMONSTRATIVO!V36</f>
        <v>0</v>
      </c>
      <c r="F16" s="1598" t="s">
        <v>494</v>
      </c>
      <c r="G16" s="1589"/>
      <c r="H16" s="1589"/>
      <c r="I16" s="1579"/>
      <c r="J16" s="797"/>
      <c r="K16" s="826"/>
      <c r="L16" s="827"/>
      <c r="M16" s="827"/>
      <c r="N16" s="830"/>
      <c r="O16" s="1599" t="s">
        <v>493</v>
      </c>
      <c r="P16" s="1600"/>
      <c r="Q16" s="1601"/>
      <c r="R16" s="831">
        <v>0.08</v>
      </c>
      <c r="S16" s="661"/>
      <c r="T16" s="660"/>
      <c r="U16" s="617"/>
      <c r="V16" s="616"/>
      <c r="W16" s="616"/>
      <c r="X16" s="637"/>
      <c r="Y16" s="615"/>
      <c r="Z16" s="651"/>
      <c r="AA16" s="651"/>
      <c r="AB16" s="610"/>
      <c r="AC16" s="637"/>
      <c r="AD16" s="616"/>
      <c r="AE16" s="637"/>
      <c r="AF16" s="609"/>
      <c r="AG16" s="659"/>
      <c r="AH16" s="571"/>
      <c r="AI16" s="591"/>
      <c r="AJ16" s="591"/>
      <c r="AK16" s="593"/>
      <c r="AL16" s="591"/>
      <c r="AM16" s="592"/>
      <c r="AN16" s="591"/>
    </row>
    <row r="17" spans="1:40" ht="17.25" customHeight="1">
      <c r="A17" s="326"/>
      <c r="B17" s="1602" t="s">
        <v>492</v>
      </c>
      <c r="C17" s="1603"/>
      <c r="D17" s="1603"/>
      <c r="E17" s="798">
        <f>DEMONSTRATIVO!V35+DEMONSTRATIVO!V37</f>
        <v>0</v>
      </c>
      <c r="F17" s="1598" t="s">
        <v>491</v>
      </c>
      <c r="G17" s="1589"/>
      <c r="H17" s="1589"/>
      <c r="I17" s="1579"/>
      <c r="J17" s="796">
        <f>IF(W30&gt;V30,V30,IF(W30&lt;=V30,W30))</f>
        <v>0</v>
      </c>
      <c r="K17" s="826"/>
      <c r="L17" s="827"/>
      <c r="M17" s="832"/>
      <c r="N17" s="833"/>
      <c r="O17" s="834"/>
      <c r="P17" s="834"/>
      <c r="Q17" s="835"/>
      <c r="R17" s="836">
        <v>0.06</v>
      </c>
      <c r="S17" s="646"/>
      <c r="T17" s="652"/>
      <c r="U17" s="617" t="b">
        <v>0</v>
      </c>
      <c r="V17" s="616">
        <f>IF(U17=TRUE,E17,IF(U17=FALSE,0))</f>
        <v>0</v>
      </c>
      <c r="W17" s="616"/>
      <c r="X17" s="637"/>
      <c r="Y17" s="615" t="b">
        <v>1</v>
      </c>
      <c r="Z17" s="651">
        <f>IF(Y17=TRUE,E17,IF(Y17=FALSE,0))</f>
        <v>0</v>
      </c>
      <c r="AA17" s="651"/>
      <c r="AB17" s="610" t="b">
        <v>0</v>
      </c>
      <c r="AC17" s="637">
        <v>0</v>
      </c>
      <c r="AD17" s="616">
        <f>IF($AB$17=TRUE,$E$17,IF($AB$17=FALSE,0))</f>
        <v>0</v>
      </c>
      <c r="AE17" s="637"/>
      <c r="AF17" s="609"/>
      <c r="AG17" s="571">
        <v>4</v>
      </c>
      <c r="AH17" s="571">
        <v>30</v>
      </c>
      <c r="AI17" s="591"/>
      <c r="AJ17" s="591"/>
      <c r="AK17" s="536">
        <v>43159</v>
      </c>
      <c r="AL17" s="591"/>
      <c r="AM17" s="592"/>
      <c r="AN17" s="591"/>
    </row>
    <row r="18" spans="1:40" ht="17.25" customHeight="1">
      <c r="A18" s="326"/>
      <c r="B18" s="1604" t="s">
        <v>490</v>
      </c>
      <c r="C18" s="1603"/>
      <c r="D18" s="1603"/>
      <c r="E18" s="799"/>
      <c r="F18" s="1605" t="s">
        <v>489</v>
      </c>
      <c r="G18" s="1606"/>
      <c r="H18" s="1606"/>
      <c r="I18" s="1607"/>
      <c r="J18" s="796" t="str">
        <f>IF(U2=1,0,IF(U2=2,Y32,IF(U2=3,0)))</f>
        <v xml:space="preserve"> </v>
      </c>
      <c r="K18" s="826"/>
      <c r="L18" s="827"/>
      <c r="M18" s="827"/>
      <c r="N18" s="837"/>
      <c r="O18" s="838"/>
      <c r="P18" s="838"/>
      <c r="Q18" s="838"/>
      <c r="R18" s="839" t="s">
        <v>488</v>
      </c>
      <c r="S18" s="646"/>
      <c r="T18" s="645"/>
      <c r="U18" s="617" t="b">
        <v>0</v>
      </c>
      <c r="V18" s="616">
        <f>IF(U18=TRUE,E18,IF(U18=FALSE,0))</f>
        <v>0</v>
      </c>
      <c r="W18" s="616"/>
      <c r="X18" s="637"/>
      <c r="Y18" s="615" t="b">
        <v>1</v>
      </c>
      <c r="Z18" s="614"/>
      <c r="AA18" s="613">
        <f>IF($Y$18=TRUE,$E$18,IF($Y$18=FALSE,0))</f>
        <v>0</v>
      </c>
      <c r="AB18" s="610" t="b">
        <v>0</v>
      </c>
      <c r="AC18" s="616">
        <f>IF(AB18=TRUE,E18,IF(AB18=FALSE,0))</f>
        <v>0</v>
      </c>
      <c r="AD18" s="616"/>
      <c r="AE18" s="637"/>
      <c r="AF18" s="609"/>
      <c r="AG18" s="571">
        <v>5</v>
      </c>
      <c r="AH18" s="571">
        <v>31</v>
      </c>
      <c r="AI18" s="591"/>
      <c r="AJ18" s="591"/>
      <c r="AK18" s="536">
        <v>43524</v>
      </c>
      <c r="AL18" s="591"/>
      <c r="AM18" s="592"/>
      <c r="AN18" s="591"/>
    </row>
    <row r="19" spans="1:40" ht="17.25" customHeight="1">
      <c r="A19" s="326"/>
      <c r="B19" s="1602" t="s">
        <v>487</v>
      </c>
      <c r="C19" s="1603"/>
      <c r="D19" s="1603"/>
      <c r="E19" s="789"/>
      <c r="F19" s="1608" t="s">
        <v>486</v>
      </c>
      <c r="G19" s="1609"/>
      <c r="H19" s="1609"/>
      <c r="I19" s="1610"/>
      <c r="J19" s="796">
        <f>IF(Y30=0,0,IF(Y30&gt;0,Y30*R19))</f>
        <v>0</v>
      </c>
      <c r="K19" s="826"/>
      <c r="L19" s="827"/>
      <c r="M19" s="827"/>
      <c r="N19" s="840"/>
      <c r="O19" s="841"/>
      <c r="P19" s="841"/>
      <c r="Q19" s="841"/>
      <c r="R19" s="842">
        <v>0.02</v>
      </c>
      <c r="S19" s="619"/>
      <c r="T19" s="618"/>
      <c r="U19" s="630" t="b">
        <v>1</v>
      </c>
      <c r="V19" s="638"/>
      <c r="W19" s="616"/>
      <c r="X19" s="610">
        <f>IF(U19=TRUE,E19,IF(U19=FALSE,0))</f>
        <v>0</v>
      </c>
      <c r="Y19" s="615" t="b">
        <v>1</v>
      </c>
      <c r="Z19" s="614"/>
      <c r="AA19" s="613">
        <f>IF($Y$19=TRUE,$E$19,IF($Y$19=FALSE,0))</f>
        <v>0</v>
      </c>
      <c r="AB19" s="610" t="b">
        <v>1</v>
      </c>
      <c r="AC19" s="637">
        <v>0</v>
      </c>
      <c r="AD19" s="616"/>
      <c r="AE19" s="610">
        <f>IF($AB$19=TRUE,$E$19,IF($AB$19=FALSE,0))</f>
        <v>0</v>
      </c>
      <c r="AF19" s="609"/>
      <c r="AG19" s="571">
        <v>6</v>
      </c>
      <c r="AH19" s="571">
        <v>30</v>
      </c>
      <c r="AI19" s="591"/>
      <c r="AJ19" s="591"/>
      <c r="AK19" s="532">
        <v>43890</v>
      </c>
      <c r="AL19" s="591"/>
      <c r="AM19" s="592"/>
      <c r="AN19" s="591"/>
    </row>
    <row r="20" spans="1:40" ht="17.25" customHeight="1">
      <c r="A20" s="326"/>
      <c r="B20" s="1573"/>
      <c r="C20" s="1574"/>
      <c r="D20" s="1574"/>
      <c r="E20" s="789"/>
      <c r="F20" s="1605" t="s">
        <v>540</v>
      </c>
      <c r="G20" s="1606"/>
      <c r="H20" s="1606"/>
      <c r="I20" s="1607"/>
      <c r="J20" s="796">
        <f>IF(U2=1,0,IF(U2=2,T32,IF(U2=3,0)))</f>
        <v>0</v>
      </c>
      <c r="K20" s="843"/>
      <c r="L20" s="844"/>
      <c r="M20" s="844"/>
      <c r="N20" s="1611"/>
      <c r="O20" s="1612"/>
      <c r="P20" s="1612"/>
      <c r="Q20" s="1613"/>
      <c r="R20" s="845"/>
      <c r="S20" s="619"/>
      <c r="T20" s="618"/>
      <c r="U20" s="682" t="b">
        <v>1</v>
      </c>
      <c r="V20" s="616">
        <f t="shared" ref="V20:V26" si="1">IF(U20=TRUE,E20,IF(U20=FALSE,0))</f>
        <v>0</v>
      </c>
      <c r="W20" s="616"/>
      <c r="X20" s="610"/>
      <c r="Y20" s="681" t="b">
        <v>1</v>
      </c>
      <c r="Z20" s="614"/>
      <c r="AA20" s="613"/>
      <c r="AB20" s="680" t="b">
        <v>1</v>
      </c>
      <c r="AC20" s="612"/>
      <c r="AD20" s="611"/>
      <c r="AE20" s="610"/>
      <c r="AF20" s="609"/>
      <c r="AG20" s="571"/>
      <c r="AH20" s="571"/>
      <c r="AI20" s="591"/>
      <c r="AJ20" s="591"/>
      <c r="AK20" s="532"/>
      <c r="AL20" s="591"/>
      <c r="AM20" s="592"/>
      <c r="AN20" s="591"/>
    </row>
    <row r="21" spans="1:40" ht="17.25" customHeight="1">
      <c r="A21" s="326"/>
      <c r="B21" s="1573"/>
      <c r="C21" s="1574"/>
      <c r="D21" s="1574"/>
      <c r="E21" s="789"/>
      <c r="F21" s="1590" t="str">
        <f>IF(DADOS!$A$29=0,"  ",IF(DADOS!$A$29&gt;0,DADOS!$A$29))</f>
        <v xml:space="preserve">  </v>
      </c>
      <c r="G21" s="1591"/>
      <c r="H21" s="1591"/>
      <c r="I21" s="1592"/>
      <c r="J21" s="800">
        <f>DEMONSTRATIVO!V44</f>
        <v>0</v>
      </c>
      <c r="K21" s="843"/>
      <c r="L21" s="844"/>
      <c r="M21" s="844"/>
      <c r="N21" s="846"/>
      <c r="O21" s="1580" t="s">
        <v>485</v>
      </c>
      <c r="P21" s="1593"/>
      <c r="Q21" s="1594"/>
      <c r="R21" s="847" t="s">
        <v>484</v>
      </c>
      <c r="S21" s="619"/>
      <c r="T21" s="618"/>
      <c r="U21" s="682" t="b">
        <v>1</v>
      </c>
      <c r="V21" s="616">
        <f t="shared" si="1"/>
        <v>0</v>
      </c>
      <c r="W21" s="616"/>
      <c r="X21" s="610"/>
      <c r="Y21" s="681" t="b">
        <v>1</v>
      </c>
      <c r="Z21" s="614"/>
      <c r="AA21" s="613"/>
      <c r="AB21" s="680" t="b">
        <v>1</v>
      </c>
      <c r="AC21" s="612"/>
      <c r="AD21" s="611"/>
      <c r="AE21" s="610"/>
      <c r="AF21" s="609"/>
      <c r="AG21" s="571"/>
      <c r="AH21" s="571"/>
      <c r="AI21" s="591"/>
      <c r="AJ21" s="591"/>
      <c r="AK21" s="532"/>
      <c r="AL21" s="591"/>
      <c r="AM21" s="592"/>
      <c r="AN21" s="591"/>
    </row>
    <row r="22" spans="1:40" ht="17.25" customHeight="1">
      <c r="A22" s="326"/>
      <c r="B22" s="1573"/>
      <c r="C22" s="1574"/>
      <c r="D22" s="1574"/>
      <c r="E22" s="789"/>
      <c r="F22" s="1590" t="str">
        <f>IF(DADOS!$A$30=0,"  ",IF(DADOS!$A$30&gt;0,DADOS!$A$30))</f>
        <v xml:space="preserve">  </v>
      </c>
      <c r="G22" s="1591"/>
      <c r="H22" s="1591"/>
      <c r="I22" s="1592"/>
      <c r="J22" s="800">
        <f>DEMONSTRATIVO!V45</f>
        <v>0</v>
      </c>
      <c r="K22" s="843"/>
      <c r="L22" s="844"/>
      <c r="M22" s="844"/>
      <c r="N22" s="846"/>
      <c r="O22" s="848">
        <v>0</v>
      </c>
      <c r="P22" s="789">
        <v>1787.77</v>
      </c>
      <c r="Q22" s="849">
        <v>0</v>
      </c>
      <c r="R22" s="850">
        <v>0</v>
      </c>
      <c r="S22" s="619"/>
      <c r="T22" s="618"/>
      <c r="U22" s="682" t="b">
        <v>1</v>
      </c>
      <c r="V22" s="616">
        <f t="shared" si="1"/>
        <v>0</v>
      </c>
      <c r="W22" s="616"/>
      <c r="X22" s="610"/>
      <c r="Y22" s="681" t="b">
        <v>1</v>
      </c>
      <c r="Z22" s="614"/>
      <c r="AA22" s="613"/>
      <c r="AB22" s="680" t="b">
        <v>1</v>
      </c>
      <c r="AC22" s="612"/>
      <c r="AD22" s="611"/>
      <c r="AE22" s="610"/>
      <c r="AF22" s="609"/>
      <c r="AG22" s="571"/>
      <c r="AH22" s="571"/>
      <c r="AI22" s="591"/>
      <c r="AJ22" s="591"/>
      <c r="AK22" s="532"/>
      <c r="AL22" s="591"/>
      <c r="AM22" s="592"/>
      <c r="AN22" s="591"/>
    </row>
    <row r="23" spans="1:40" ht="17.25" customHeight="1">
      <c r="A23" s="326"/>
      <c r="B23" s="1573"/>
      <c r="C23" s="1574"/>
      <c r="D23" s="1574"/>
      <c r="E23" s="789"/>
      <c r="F23" s="1590" t="str">
        <f>IF(DADOS!$A$31=0,"  ",IF(DADOS!$A$31&gt;0,DADOS!$A$31))</f>
        <v xml:space="preserve">  </v>
      </c>
      <c r="G23" s="1591"/>
      <c r="H23" s="1591"/>
      <c r="I23" s="1592"/>
      <c r="J23" s="800">
        <f>DEMONSTRATIVO!V46</f>
        <v>0</v>
      </c>
      <c r="K23" s="843"/>
      <c r="L23" s="844"/>
      <c r="M23" s="844"/>
      <c r="N23" s="846"/>
      <c r="O23" s="822">
        <f>P22+0.01</f>
        <v>1787.78</v>
      </c>
      <c r="P23" s="789">
        <v>2679.29</v>
      </c>
      <c r="Q23" s="851">
        <v>7.4999999999999997E-2</v>
      </c>
      <c r="R23" s="852">
        <v>134.08000000000001</v>
      </c>
      <c r="S23" s="619"/>
      <c r="T23" s="618"/>
      <c r="U23" s="682" t="b">
        <v>1</v>
      </c>
      <c r="V23" s="616">
        <f t="shared" si="1"/>
        <v>0</v>
      </c>
      <c r="W23" s="616"/>
      <c r="X23" s="610"/>
      <c r="Y23" s="681" t="b">
        <v>1</v>
      </c>
      <c r="Z23" s="614"/>
      <c r="AA23" s="613"/>
      <c r="AB23" s="680" t="b">
        <v>1</v>
      </c>
      <c r="AC23" s="612"/>
      <c r="AD23" s="611"/>
      <c r="AE23" s="610"/>
      <c r="AF23" s="609"/>
      <c r="AG23" s="571"/>
      <c r="AH23" s="571"/>
      <c r="AI23" s="591"/>
      <c r="AJ23" s="591"/>
      <c r="AK23" s="532"/>
      <c r="AL23" s="591"/>
      <c r="AM23" s="592"/>
      <c r="AN23" s="591"/>
    </row>
    <row r="24" spans="1:40" ht="17.25" customHeight="1">
      <c r="A24" s="326"/>
      <c r="B24" s="1573"/>
      <c r="C24" s="1574"/>
      <c r="D24" s="1574"/>
      <c r="E24" s="789"/>
      <c r="F24" s="1590" t="str">
        <f>DADOS!$A$32</f>
        <v>Pensão Alimentícia</v>
      </c>
      <c r="G24" s="1614"/>
      <c r="H24" s="1591" t="str">
        <f>DADOS!C32</f>
        <v>Férias</v>
      </c>
      <c r="I24" s="1615"/>
      <c r="J24" s="800">
        <f>DEMONSTRATIVO!V47</f>
        <v>0</v>
      </c>
      <c r="K24" s="843"/>
      <c r="L24" s="844"/>
      <c r="M24" s="844"/>
      <c r="N24" s="846"/>
      <c r="O24" s="822">
        <f>P23+0.01</f>
        <v>2679.3</v>
      </c>
      <c r="P24" s="789">
        <v>3572.43</v>
      </c>
      <c r="Q24" s="851">
        <v>0.15</v>
      </c>
      <c r="R24" s="853">
        <f>P23*(Q24-Q23)+R23</f>
        <v>335.03</v>
      </c>
      <c r="S24" s="619"/>
      <c r="T24" s="618"/>
      <c r="U24" s="682" t="b">
        <v>1</v>
      </c>
      <c r="V24" s="616">
        <f t="shared" si="1"/>
        <v>0</v>
      </c>
      <c r="W24" s="616"/>
      <c r="X24" s="610"/>
      <c r="Y24" s="681" t="b">
        <v>1</v>
      </c>
      <c r="Z24" s="614"/>
      <c r="AA24" s="613"/>
      <c r="AB24" s="680" t="b">
        <v>1</v>
      </c>
      <c r="AC24" s="612"/>
      <c r="AD24" s="611"/>
      <c r="AE24" s="610"/>
      <c r="AF24" s="609"/>
      <c r="AG24" s="571"/>
      <c r="AH24" s="571"/>
      <c r="AI24" s="591"/>
      <c r="AJ24" s="591"/>
      <c r="AK24" s="532"/>
      <c r="AL24" s="591"/>
      <c r="AM24" s="592"/>
      <c r="AN24" s="591"/>
    </row>
    <row r="25" spans="1:40" ht="17.25" customHeight="1">
      <c r="A25" s="326"/>
      <c r="B25" s="1573"/>
      <c r="C25" s="1574"/>
      <c r="D25" s="1574"/>
      <c r="E25" s="789"/>
      <c r="F25" s="1619"/>
      <c r="G25" s="1620"/>
      <c r="H25" s="1620"/>
      <c r="I25" s="1621"/>
      <c r="J25" s="797"/>
      <c r="K25" s="843"/>
      <c r="L25" s="844"/>
      <c r="M25" s="844"/>
      <c r="N25" s="846"/>
      <c r="O25" s="822">
        <f>P24+0.01</f>
        <v>3572.44</v>
      </c>
      <c r="P25" s="789">
        <v>4463.8</v>
      </c>
      <c r="Q25" s="851">
        <v>0.22500000000000001</v>
      </c>
      <c r="R25" s="853">
        <f>P24*(Q25-Q24)+R24</f>
        <v>602.96</v>
      </c>
      <c r="S25" s="619"/>
      <c r="T25" s="618"/>
      <c r="U25" s="754" t="b">
        <v>1</v>
      </c>
      <c r="V25" s="616">
        <f t="shared" si="1"/>
        <v>0</v>
      </c>
      <c r="W25" s="616"/>
      <c r="X25" s="610"/>
      <c r="Y25" s="681" t="b">
        <v>1</v>
      </c>
      <c r="Z25" s="614"/>
      <c r="AA25" s="613"/>
      <c r="AB25" s="680" t="b">
        <v>1</v>
      </c>
      <c r="AC25" s="612"/>
      <c r="AD25" s="611"/>
      <c r="AE25" s="610"/>
      <c r="AF25" s="609"/>
      <c r="AG25" s="571">
        <v>7</v>
      </c>
      <c r="AH25" s="571">
        <v>31</v>
      </c>
      <c r="AI25" s="591"/>
      <c r="AJ25" s="591"/>
      <c r="AK25" s="532"/>
      <c r="AL25" s="591"/>
      <c r="AM25" s="592"/>
      <c r="AN25" s="591"/>
    </row>
    <row r="26" spans="1:40" ht="17.25" customHeight="1">
      <c r="A26" s="326"/>
      <c r="B26" s="1573"/>
      <c r="C26" s="1574"/>
      <c r="D26" s="1574"/>
      <c r="E26" s="789"/>
      <c r="F26" s="1619"/>
      <c r="G26" s="1620"/>
      <c r="H26" s="1620"/>
      <c r="I26" s="1621"/>
      <c r="J26" s="797"/>
      <c r="K26" s="843"/>
      <c r="L26" s="844"/>
      <c r="M26" s="844"/>
      <c r="N26" s="846"/>
      <c r="O26" s="822">
        <f>P25+0.01</f>
        <v>4463.8100000000004</v>
      </c>
      <c r="P26" s="854">
        <v>999999999.99000001</v>
      </c>
      <c r="Q26" s="851">
        <v>0.27500000000000002</v>
      </c>
      <c r="R26" s="853">
        <f>P25*(Q26-Q25)+R25</f>
        <v>826.15</v>
      </c>
      <c r="S26" s="619"/>
      <c r="T26" s="618"/>
      <c r="U26" s="754" t="b">
        <v>1</v>
      </c>
      <c r="V26" s="616">
        <f t="shared" si="1"/>
        <v>0</v>
      </c>
      <c r="W26" s="616"/>
      <c r="X26" s="610"/>
      <c r="Y26" s="681" t="b">
        <v>1</v>
      </c>
      <c r="Z26" s="614"/>
      <c r="AA26" s="613"/>
      <c r="AB26" s="680" t="b">
        <v>1</v>
      </c>
      <c r="AC26" s="612"/>
      <c r="AD26" s="611"/>
      <c r="AE26" s="610"/>
      <c r="AF26" s="609"/>
      <c r="AG26" s="571">
        <v>8</v>
      </c>
      <c r="AH26" s="571">
        <v>31</v>
      </c>
      <c r="AI26" s="591"/>
      <c r="AJ26" s="591"/>
      <c r="AK26" s="532"/>
      <c r="AL26" s="591"/>
      <c r="AM26" s="592"/>
      <c r="AN26" s="591"/>
    </row>
    <row r="27" spans="1:40" ht="17.25" customHeight="1">
      <c r="A27" s="326"/>
      <c r="B27" s="1573"/>
      <c r="C27" s="1574"/>
      <c r="D27" s="1574"/>
      <c r="E27" s="789"/>
      <c r="F27" s="1619"/>
      <c r="G27" s="1620"/>
      <c r="H27" s="1620"/>
      <c r="I27" s="1621"/>
      <c r="J27" s="797"/>
      <c r="K27" s="855"/>
      <c r="L27" s="856"/>
      <c r="M27" s="844"/>
      <c r="N27" s="816"/>
      <c r="O27" s="801" t="s">
        <v>483</v>
      </c>
      <c r="P27" s="857"/>
      <c r="Q27" s="857"/>
      <c r="R27" s="858">
        <v>179.71</v>
      </c>
      <c r="S27" s="619"/>
      <c r="T27" s="618"/>
      <c r="U27" s="617" t="b">
        <v>1</v>
      </c>
      <c r="V27" s="614"/>
      <c r="W27" s="616"/>
      <c r="X27" s="610"/>
      <c r="Y27" s="615" t="b">
        <v>0</v>
      </c>
      <c r="Z27" s="614"/>
      <c r="AA27" s="613"/>
      <c r="AB27" s="680" t="b">
        <v>1</v>
      </c>
      <c r="AC27" s="612"/>
      <c r="AD27" s="611"/>
      <c r="AE27" s="610"/>
      <c r="AF27" s="609"/>
      <c r="AG27" s="571">
        <v>9</v>
      </c>
      <c r="AH27" s="571">
        <v>30</v>
      </c>
      <c r="AI27" s="591"/>
      <c r="AJ27" s="591"/>
      <c r="AK27" s="532"/>
      <c r="AL27" s="591"/>
      <c r="AM27" s="592"/>
      <c r="AN27" s="591"/>
    </row>
    <row r="28" spans="1:40" ht="17.25" customHeight="1" thickBot="1">
      <c r="A28" s="326"/>
      <c r="B28" s="1633" t="s">
        <v>482</v>
      </c>
      <c r="C28" s="1634"/>
      <c r="D28" s="802">
        <f>IF(U2=1,0,IF(U2=2,O5,IF(U2=3,0)))</f>
        <v>1</v>
      </c>
      <c r="E28" s="803">
        <f>IF(Z35=FALSE,0,IF(Z35&lt;&gt;"FALSO",Z34/AG10*AF4))</f>
        <v>24.66</v>
      </c>
      <c r="F28" s="1619"/>
      <c r="G28" s="1620"/>
      <c r="H28" s="1620"/>
      <c r="I28" s="1621"/>
      <c r="J28" s="797"/>
      <c r="K28" s="855"/>
      <c r="L28" s="856"/>
      <c r="M28" s="856"/>
      <c r="N28" s="859"/>
      <c r="O28" s="860">
        <f>D30*R27</f>
        <v>359.42</v>
      </c>
      <c r="P28" s="506"/>
      <c r="Q28" s="506"/>
      <c r="R28" s="777"/>
      <c r="S28" s="601"/>
      <c r="T28" s="600"/>
      <c r="U28" s="550" t="s">
        <v>481</v>
      </c>
      <c r="V28" s="597">
        <f>J15</f>
        <v>0</v>
      </c>
      <c r="W28" s="599"/>
      <c r="X28" s="599"/>
      <c r="Y28" s="598"/>
      <c r="Z28" s="597">
        <f>J15</f>
        <v>0</v>
      </c>
      <c r="AA28" s="597">
        <f>J16</f>
        <v>0</v>
      </c>
      <c r="AB28" s="594" t="s">
        <v>480</v>
      </c>
      <c r="AC28" s="596">
        <f>-J8-J15</f>
        <v>-76.89</v>
      </c>
      <c r="AD28" s="595"/>
      <c r="AE28" s="594">
        <f>-J10</f>
        <v>0</v>
      </c>
      <c r="AF28" s="537"/>
      <c r="AG28" s="571">
        <v>10</v>
      </c>
      <c r="AH28" s="571">
        <v>31</v>
      </c>
      <c r="AI28" s="591"/>
      <c r="AJ28" s="591"/>
      <c r="AK28" s="593">
        <v>44255</v>
      </c>
      <c r="AL28" s="591"/>
      <c r="AM28" s="592"/>
      <c r="AN28" s="591"/>
    </row>
    <row r="29" spans="1:40" ht="18" customHeight="1">
      <c r="A29" s="326"/>
      <c r="B29" s="1635" t="s">
        <v>479</v>
      </c>
      <c r="C29" s="1636"/>
      <c r="D29" s="1637"/>
      <c r="E29" s="804">
        <f>SUM(E8:E28)</f>
        <v>1035.77</v>
      </c>
      <c r="F29" s="1638" t="s">
        <v>478</v>
      </c>
      <c r="G29" s="1638"/>
      <c r="H29" s="1638"/>
      <c r="I29" s="1638"/>
      <c r="J29" s="805">
        <f>SUM(J8:J27)</f>
        <v>121.33</v>
      </c>
      <c r="K29" s="1454" t="s">
        <v>477</v>
      </c>
      <c r="L29" s="1455"/>
      <c r="M29" s="1455"/>
      <c r="N29" s="1455"/>
      <c r="O29" s="1622" t="s">
        <v>476</v>
      </c>
      <c r="P29" s="1623"/>
      <c r="Q29" s="1624"/>
      <c r="R29" s="861">
        <v>10</v>
      </c>
      <c r="S29" s="587"/>
      <c r="T29" s="586">
        <f>SUM(T8:T28)</f>
        <v>966.67</v>
      </c>
      <c r="U29" s="550"/>
      <c r="V29" s="584">
        <f>SUM(V8:V27)-V28</f>
        <v>1011.11</v>
      </c>
      <c r="W29" s="584"/>
      <c r="X29" s="584">
        <f>SUM(X19:X28)</f>
        <v>0</v>
      </c>
      <c r="Y29" s="585"/>
      <c r="Z29" s="584">
        <f>SUM(Z8:Z27)-Z28</f>
        <v>1011.11</v>
      </c>
      <c r="AA29" s="584">
        <f>SUM(AA18:AA19)-AA28</f>
        <v>0</v>
      </c>
      <c r="AB29" s="584"/>
      <c r="AC29" s="584">
        <f>SUM(AC8:AC28)</f>
        <v>889.78</v>
      </c>
      <c r="AD29" s="584">
        <f>SUM(AD12:AD28)</f>
        <v>44.44</v>
      </c>
      <c r="AE29" s="584">
        <f>SUM(AE19:AE28)</f>
        <v>0</v>
      </c>
      <c r="AF29" s="531"/>
      <c r="AG29" s="571">
        <v>11</v>
      </c>
      <c r="AH29" s="571">
        <v>30</v>
      </c>
      <c r="AI29" s="528"/>
      <c r="AJ29" s="528"/>
      <c r="AK29" s="536">
        <v>43159</v>
      </c>
      <c r="AL29" s="528"/>
      <c r="AM29" s="529"/>
      <c r="AN29" s="528"/>
    </row>
    <row r="30" spans="1:40" ht="18" customHeight="1" thickBot="1">
      <c r="A30" s="326"/>
      <c r="B30" s="767" t="s">
        <v>475</v>
      </c>
      <c r="C30" s="768"/>
      <c r="D30" s="802">
        <f>R5</f>
        <v>2</v>
      </c>
      <c r="E30" s="1431" t="s">
        <v>474</v>
      </c>
      <c r="F30" s="1432"/>
      <c r="G30" s="1432"/>
      <c r="H30" s="1432"/>
      <c r="I30" s="1433"/>
      <c r="J30" s="769">
        <f>E29-J29</f>
        <v>914.44</v>
      </c>
      <c r="K30" s="1454"/>
      <c r="L30" s="1455"/>
      <c r="M30" s="1455"/>
      <c r="N30" s="1455"/>
      <c r="O30" s="1625" t="s">
        <v>473</v>
      </c>
      <c r="P30" s="1626"/>
      <c r="Q30" s="1626"/>
      <c r="R30" s="1627"/>
      <c r="S30" s="579"/>
      <c r="T30" s="578"/>
      <c r="U30" s="577" t="b">
        <v>0</v>
      </c>
      <c r="V30" s="576">
        <f>IF(U30=TRUE,R33,IF(U30=FALSE,0))</f>
        <v>0</v>
      </c>
      <c r="W30" s="575">
        <f>IF(V30&lt;=0,0,IF(V30&gt;0,(T29-J15)*R17))</f>
        <v>0</v>
      </c>
      <c r="X30" s="574" t="b">
        <v>0</v>
      </c>
      <c r="Y30" s="573">
        <f>IF(X30=TRUE,V29,IF(X30=FALSE,0))</f>
        <v>0</v>
      </c>
      <c r="AB30" s="558" t="s">
        <v>472</v>
      </c>
      <c r="AC30" s="572">
        <f>AC29-O28</f>
        <v>530.36</v>
      </c>
      <c r="AE30" s="572">
        <f>AE29-O28</f>
        <v>-359.42</v>
      </c>
      <c r="AF30" s="531"/>
      <c r="AG30" s="571">
        <v>12</v>
      </c>
      <c r="AH30" s="571">
        <v>31</v>
      </c>
      <c r="AI30" s="528"/>
      <c r="AJ30" s="528"/>
      <c r="AK30" s="536">
        <v>44620</v>
      </c>
      <c r="AL30" s="528"/>
      <c r="AM30" s="529"/>
      <c r="AN30" s="528"/>
    </row>
    <row r="31" spans="1:40" ht="18" customHeight="1" thickBot="1">
      <c r="A31" s="326"/>
      <c r="B31" s="1630" t="str">
        <f>fextenso(J30,1/3,"real","reais")</f>
        <v>novecentos e quatorze reais e quarenta e quatro centavos</v>
      </c>
      <c r="C31" s="1631"/>
      <c r="D31" s="1631"/>
      <c r="E31" s="1631"/>
      <c r="F31" s="1631"/>
      <c r="G31" s="1631"/>
      <c r="H31" s="1631"/>
      <c r="I31" s="1631"/>
      <c r="J31" s="1632"/>
      <c r="K31" s="1454"/>
      <c r="L31" s="1455"/>
      <c r="M31" s="1455"/>
      <c r="N31" s="1455"/>
      <c r="O31" s="867"/>
      <c r="P31" s="868"/>
      <c r="Q31" s="868"/>
      <c r="R31" s="872"/>
      <c r="S31" s="579"/>
      <c r="T31" s="578"/>
      <c r="U31" s="763"/>
      <c r="V31" s="764"/>
      <c r="W31" s="765"/>
      <c r="X31" s="574"/>
      <c r="Y31" s="573"/>
      <c r="AB31" s="558"/>
      <c r="AC31" s="572"/>
      <c r="AE31" s="572"/>
      <c r="AF31" s="531"/>
      <c r="AG31" s="766"/>
      <c r="AH31" s="766"/>
      <c r="AI31" s="528"/>
      <c r="AJ31" s="528"/>
      <c r="AK31" s="536"/>
      <c r="AL31" s="528"/>
      <c r="AM31" s="529"/>
      <c r="AN31" s="528"/>
    </row>
    <row r="32" spans="1:40" ht="21.75" customHeight="1">
      <c r="A32" s="326"/>
      <c r="B32" s="770" t="s">
        <v>471</v>
      </c>
      <c r="C32" s="1628" t="s">
        <v>470</v>
      </c>
      <c r="D32" s="1629"/>
      <c r="E32" s="770" t="s">
        <v>469</v>
      </c>
      <c r="F32" s="771" t="s">
        <v>468</v>
      </c>
      <c r="G32" s="1439" t="s">
        <v>467</v>
      </c>
      <c r="H32" s="1440"/>
      <c r="I32" s="1441"/>
      <c r="J32" s="568" t="s">
        <v>466</v>
      </c>
      <c r="K32" s="1454"/>
      <c r="L32" s="1455"/>
      <c r="M32" s="1455"/>
      <c r="N32" s="1455"/>
      <c r="O32" s="1657" t="s">
        <v>465</v>
      </c>
      <c r="P32" s="1658"/>
      <c r="Q32" s="1659"/>
      <c r="R32" s="862">
        <f>TB!G18</f>
        <v>0</v>
      </c>
      <c r="S32" s="567" t="b">
        <v>0</v>
      </c>
      <c r="T32" s="566">
        <f>IF(S32=TRUE,R32,IF(S32=FALSE,0))</f>
        <v>0</v>
      </c>
      <c r="U32" s="550">
        <f>VLOOKUP(I11,$Q$22:$R$26,2)</f>
        <v>0</v>
      </c>
      <c r="V32" t="s">
        <v>464</v>
      </c>
      <c r="X32" s="753" t="b">
        <v>0</v>
      </c>
      <c r="Y32" s="565" t="str">
        <f>IF($X$32=TRUE,$D$5/30,IF($X$32=FALSE," "))</f>
        <v xml:space="preserve"> </v>
      </c>
      <c r="AB32" s="558" t="s">
        <v>463</v>
      </c>
      <c r="AF32" s="531"/>
      <c r="AI32" s="528"/>
      <c r="AJ32" s="528"/>
      <c r="AK32" s="564" t="s">
        <v>462</v>
      </c>
      <c r="AL32" s="528"/>
      <c r="AM32" s="529"/>
      <c r="AN32" s="528"/>
    </row>
    <row r="33" spans="1:40" ht="18" customHeight="1">
      <c r="A33" s="326"/>
      <c r="B33" s="563">
        <f>IF(Z29&lt;=0,0,IF(Z29&gt;0,Z29))</f>
        <v>1011.11</v>
      </c>
      <c r="C33" s="1458">
        <f>B33*R16</f>
        <v>80.89</v>
      </c>
      <c r="D33" s="1458"/>
      <c r="E33" s="562">
        <f>AA29</f>
        <v>0</v>
      </c>
      <c r="F33" s="562">
        <f>E33*R16</f>
        <v>0</v>
      </c>
      <c r="G33" s="1459">
        <f>IF(AC29-O28-R32&lt;=0,0,IF(AC29-O28-R32&gt;0,AC29-O28-R32))</f>
        <v>530.36</v>
      </c>
      <c r="H33" s="1460"/>
      <c r="I33" s="1461"/>
      <c r="J33" s="561">
        <f>IF(AE29-O28&lt;=0,0,IF(AE29-O28&gt;0,AE29-O28))</f>
        <v>0</v>
      </c>
      <c r="K33" s="1454"/>
      <c r="L33" s="1455"/>
      <c r="M33" s="1455"/>
      <c r="N33" s="1455"/>
      <c r="O33" s="1660" t="s">
        <v>461</v>
      </c>
      <c r="P33" s="1661"/>
      <c r="Q33" s="1662"/>
      <c r="R33" s="863">
        <v>0</v>
      </c>
      <c r="S33" s="256"/>
      <c r="T33" s="256"/>
      <c r="U33" s="550">
        <f>VLOOKUP(I14,$Q$22:$R$26,2)</f>
        <v>0</v>
      </c>
      <c r="V33" t="s">
        <v>460</v>
      </c>
      <c r="Z33" s="559" t="s">
        <v>459</v>
      </c>
      <c r="AA33" s="123"/>
      <c r="AB33" s="558" t="s">
        <v>458</v>
      </c>
      <c r="AF33" s="531"/>
      <c r="AI33" s="528"/>
      <c r="AJ33" s="528"/>
      <c r="AK33" s="536">
        <v>43524</v>
      </c>
      <c r="AL33" s="528"/>
      <c r="AM33" s="529"/>
      <c r="AN33" s="528"/>
    </row>
    <row r="34" spans="1:40" ht="15" customHeight="1">
      <c r="A34" s="326"/>
      <c r="B34" s="1663" t="s">
        <v>457</v>
      </c>
      <c r="C34" s="1664"/>
      <c r="D34" s="1665"/>
      <c r="E34" s="1660" t="s">
        <v>456</v>
      </c>
      <c r="F34" s="1662"/>
      <c r="G34" s="1666" t="s">
        <v>455</v>
      </c>
      <c r="H34" s="1667"/>
      <c r="I34" s="1667"/>
      <c r="J34" s="1668"/>
      <c r="K34" s="1454"/>
      <c r="L34" s="1455"/>
      <c r="M34" s="1455"/>
      <c r="N34" s="1455"/>
      <c r="O34" s="1669" t="s">
        <v>454</v>
      </c>
      <c r="P34" s="1670"/>
      <c r="Q34" s="1671"/>
      <c r="R34" s="864">
        <f>J17</f>
        <v>0</v>
      </c>
      <c r="S34" s="556"/>
      <c r="T34" s="556"/>
      <c r="U34" s="550"/>
      <c r="V34" s="555"/>
      <c r="W34" s="123"/>
      <c r="X34" s="123"/>
      <c r="Z34" s="554">
        <f>VLOOKUP($V$29+W29,$O$12:$Q$14,3)*$D$28</f>
        <v>24.66</v>
      </c>
      <c r="AA34" s="553"/>
      <c r="AF34" s="531"/>
      <c r="AI34" s="528"/>
      <c r="AJ34" s="528"/>
      <c r="AK34" s="536">
        <v>43889</v>
      </c>
      <c r="AL34" s="528"/>
      <c r="AM34" s="529"/>
      <c r="AN34" s="528"/>
    </row>
    <row r="35" spans="1:40" ht="13.5" thickBot="1">
      <c r="A35" s="326"/>
      <c r="B35" s="1643">
        <f>IF(V29&gt;=P9,P9,IF(V29&lt;P9,V29))</f>
        <v>1011.11</v>
      </c>
      <c r="C35" s="1644"/>
      <c r="D35" s="1645"/>
      <c r="E35" s="1646">
        <f>IF(X29&gt;=P9,P9,IF(X29&lt;P9,X29))</f>
        <v>0</v>
      </c>
      <c r="F35" s="1645"/>
      <c r="G35" s="772" t="s">
        <v>88</v>
      </c>
      <c r="H35" s="1647"/>
      <c r="I35" s="1648"/>
      <c r="J35" s="1649"/>
      <c r="K35" s="1454"/>
      <c r="L35" s="1455"/>
      <c r="M35" s="1455"/>
      <c r="N35" s="1455"/>
      <c r="O35" s="1650" t="s">
        <v>453</v>
      </c>
      <c r="P35" s="1651"/>
      <c r="Q35" s="1652"/>
      <c r="R35" s="865">
        <f>IF(R33&gt;=J17,R33-J17,IF(R33&lt;J17,))</f>
        <v>0</v>
      </c>
      <c r="S35" s="478"/>
      <c r="T35" s="478"/>
      <c r="U35" s="550"/>
      <c r="V35" s="549"/>
      <c r="W35" s="123"/>
      <c r="X35" s="123"/>
      <c r="Z35" s="548">
        <f>IF(AF3=AG11,Z34,IF(AF3&lt;AG11,Z34/AG11*AF3))</f>
        <v>24.66</v>
      </c>
      <c r="AF35" s="531"/>
      <c r="AI35" s="528"/>
      <c r="AJ35" s="528"/>
      <c r="AK35" s="274">
        <v>44255</v>
      </c>
      <c r="AL35" s="528"/>
      <c r="AM35" s="529"/>
      <c r="AN35" s="528"/>
    </row>
    <row r="36" spans="1:40" ht="13.5" thickTop="1">
      <c r="A36" s="326"/>
      <c r="B36" s="773" t="s">
        <v>452</v>
      </c>
      <c r="C36" s="1653"/>
      <c r="D36" s="1653"/>
      <c r="E36" s="1653"/>
      <c r="F36" s="1654"/>
      <c r="G36" s="773" t="s">
        <v>451</v>
      </c>
      <c r="H36" s="774"/>
      <c r="I36" s="1655"/>
      <c r="J36" s="1656"/>
      <c r="K36" s="1454"/>
      <c r="L36" s="1455"/>
      <c r="M36" s="1455"/>
      <c r="N36" s="1455"/>
      <c r="O36" s="829"/>
      <c r="P36" s="829"/>
      <c r="Q36" s="829"/>
      <c r="R36" s="866"/>
      <c r="S36" s="478"/>
      <c r="T36" s="478"/>
      <c r="AF36" s="531"/>
      <c r="AI36" s="528"/>
      <c r="AJ36" s="528"/>
      <c r="AK36" s="545" t="s">
        <v>450</v>
      </c>
      <c r="AL36" s="528"/>
      <c r="AM36" s="529"/>
      <c r="AN36" s="528"/>
    </row>
    <row r="37" spans="1:40">
      <c r="A37" s="326"/>
      <c r="B37" s="775"/>
      <c r="C37" s="776"/>
      <c r="D37" s="776"/>
      <c r="E37" s="506"/>
      <c r="F37" s="506"/>
      <c r="G37" s="506"/>
      <c r="H37" s="506"/>
      <c r="I37" s="506"/>
      <c r="J37" s="777"/>
      <c r="K37" s="1454"/>
      <c r="L37" s="1455"/>
      <c r="M37" s="1455"/>
      <c r="N37" s="1455"/>
      <c r="O37" s="829"/>
      <c r="P37" s="829"/>
      <c r="Q37" s="829"/>
      <c r="R37" s="866"/>
      <c r="S37" s="533"/>
      <c r="T37" s="533"/>
      <c r="AF37" s="531"/>
      <c r="AG37" s="537"/>
      <c r="AH37" s="537"/>
      <c r="AI37" s="528"/>
      <c r="AJ37" s="528"/>
      <c r="AK37" s="536"/>
      <c r="AL37" s="528"/>
      <c r="AM37" s="529"/>
      <c r="AN37" s="528"/>
    </row>
    <row r="38" spans="1:40">
      <c r="A38" s="326"/>
      <c r="B38" s="1639" t="s">
        <v>449</v>
      </c>
      <c r="C38" s="1640"/>
      <c r="D38" s="1640"/>
      <c r="E38" s="778"/>
      <c r="F38" s="778"/>
      <c r="G38" s="778"/>
      <c r="H38" s="778"/>
      <c r="I38" s="778"/>
      <c r="J38" s="779"/>
      <c r="K38" s="1454"/>
      <c r="L38" s="1455"/>
      <c r="M38" s="1455"/>
      <c r="N38" s="1455"/>
      <c r="O38" s="829"/>
      <c r="P38" s="829"/>
      <c r="Q38" s="829"/>
      <c r="R38" s="866"/>
      <c r="S38" s="538"/>
      <c r="T38" s="538"/>
      <c r="AF38" s="531"/>
      <c r="AG38" s="537"/>
      <c r="AH38" s="537"/>
      <c r="AI38" s="528"/>
      <c r="AJ38" s="528"/>
      <c r="AK38" s="536"/>
      <c r="AL38" s="528"/>
      <c r="AM38" s="529"/>
      <c r="AN38" s="528"/>
    </row>
    <row r="39" spans="1:40" ht="13.5" thickBot="1">
      <c r="A39" s="326"/>
      <c r="B39" s="780"/>
      <c r="C39" s="781"/>
      <c r="D39" s="781"/>
      <c r="E39" s="1641" t="str">
        <f>E1</f>
        <v>ANGELO</v>
      </c>
      <c r="F39" s="1641"/>
      <c r="G39" s="1641"/>
      <c r="H39" s="1641"/>
      <c r="I39" s="1641"/>
      <c r="J39" s="1642"/>
      <c r="K39" s="1456"/>
      <c r="L39" s="1457"/>
      <c r="M39" s="1457"/>
      <c r="N39" s="1457"/>
      <c r="O39" s="1616" t="str">
        <f>TB!B34</f>
        <v>(FÉRIAS JANEIRO 2014) - ATUALIZADO 03/2014 - V14 (19/03/2013)</v>
      </c>
      <c r="P39" s="1617"/>
      <c r="Q39" s="1617"/>
      <c r="R39" s="1618"/>
      <c r="S39" s="533"/>
      <c r="T39" s="533"/>
      <c r="AF39" s="531"/>
      <c r="AI39" s="528"/>
      <c r="AJ39" s="528"/>
      <c r="AK39" s="532"/>
      <c r="AL39" s="528"/>
      <c r="AM39" s="529"/>
      <c r="AN39" s="528"/>
    </row>
    <row r="40" spans="1:40" ht="13.5" thickTop="1">
      <c r="AF40" s="531"/>
      <c r="AI40" s="530"/>
      <c r="AJ40" s="528"/>
      <c r="AL40" s="528"/>
      <c r="AM40" s="529"/>
      <c r="AN40" s="528"/>
    </row>
    <row r="41" spans="1:40">
      <c r="AF41" s="531"/>
      <c r="AI41" s="530"/>
      <c r="AJ41" s="528"/>
      <c r="AL41" s="528"/>
      <c r="AM41" s="529"/>
      <c r="AN41" s="528"/>
    </row>
    <row r="42" spans="1:40">
      <c r="AF42" s="531"/>
      <c r="AI42" s="530"/>
      <c r="AJ42" s="528"/>
      <c r="AL42" s="528"/>
      <c r="AM42" s="529"/>
      <c r="AN42" s="528"/>
    </row>
  </sheetData>
  <sheetProtection password="CEBA" sheet="1" selectLockedCells="1"/>
  <mergeCells count="94">
    <mergeCell ref="O35:Q35"/>
    <mergeCell ref="C36:F36"/>
    <mergeCell ref="I36:J36"/>
    <mergeCell ref="O32:Q32"/>
    <mergeCell ref="C33:D33"/>
    <mergeCell ref="G33:I33"/>
    <mergeCell ref="O33:Q33"/>
    <mergeCell ref="B34:D34"/>
    <mergeCell ref="E34:F34"/>
    <mergeCell ref="G34:J34"/>
    <mergeCell ref="O34:Q34"/>
    <mergeCell ref="F29:I29"/>
    <mergeCell ref="K29:N39"/>
    <mergeCell ref="B38:D38"/>
    <mergeCell ref="E39:J39"/>
    <mergeCell ref="B35:D35"/>
    <mergeCell ref="E35:F35"/>
    <mergeCell ref="H35:J35"/>
    <mergeCell ref="O39:R39"/>
    <mergeCell ref="B25:D25"/>
    <mergeCell ref="F25:I25"/>
    <mergeCell ref="B26:D26"/>
    <mergeCell ref="F26:I26"/>
    <mergeCell ref="B27:D27"/>
    <mergeCell ref="F27:I27"/>
    <mergeCell ref="O29:Q29"/>
    <mergeCell ref="E30:I30"/>
    <mergeCell ref="O30:R30"/>
    <mergeCell ref="C32:D32"/>
    <mergeCell ref="G32:I32"/>
    <mergeCell ref="B31:J31"/>
    <mergeCell ref="B28:C28"/>
    <mergeCell ref="F28:I28"/>
    <mergeCell ref="B29:D29"/>
    <mergeCell ref="B22:D22"/>
    <mergeCell ref="F22:I22"/>
    <mergeCell ref="B23:D23"/>
    <mergeCell ref="F23:I23"/>
    <mergeCell ref="B24:D24"/>
    <mergeCell ref="F24:G24"/>
    <mergeCell ref="H24:I24"/>
    <mergeCell ref="B21:D21"/>
    <mergeCell ref="F21:I21"/>
    <mergeCell ref="O21:Q21"/>
    <mergeCell ref="B16:D16"/>
    <mergeCell ref="F16:I16"/>
    <mergeCell ref="O16:Q16"/>
    <mergeCell ref="B17:D17"/>
    <mergeCell ref="F17:I17"/>
    <mergeCell ref="B18:D18"/>
    <mergeCell ref="F18:I18"/>
    <mergeCell ref="B19:D19"/>
    <mergeCell ref="F19:I19"/>
    <mergeCell ref="B20:D20"/>
    <mergeCell ref="F20:I20"/>
    <mergeCell ref="N20:Q20"/>
    <mergeCell ref="B13:D13"/>
    <mergeCell ref="F13:I13"/>
    <mergeCell ref="B14:D14"/>
    <mergeCell ref="F14:G14"/>
    <mergeCell ref="B15:C15"/>
    <mergeCell ref="F15:H15"/>
    <mergeCell ref="B6:J6"/>
    <mergeCell ref="K6:N6"/>
    <mergeCell ref="O6:Q6"/>
    <mergeCell ref="R6:R15"/>
    <mergeCell ref="AD6:AE6"/>
    <mergeCell ref="B7:D7"/>
    <mergeCell ref="F7:I7"/>
    <mergeCell ref="B8:C8"/>
    <mergeCell ref="B9:D9"/>
    <mergeCell ref="F9:I9"/>
    <mergeCell ref="B10:D10"/>
    <mergeCell ref="F10:G10"/>
    <mergeCell ref="B11:D11"/>
    <mergeCell ref="O11:Q11"/>
    <mergeCell ref="B12:C12"/>
    <mergeCell ref="F12:I12"/>
    <mergeCell ref="AD4:AE4"/>
    <mergeCell ref="B5:C5"/>
    <mergeCell ref="D5:E5"/>
    <mergeCell ref="G5:J5"/>
    <mergeCell ref="K5:N5"/>
    <mergeCell ref="P5:Q5"/>
    <mergeCell ref="AD5:AE5"/>
    <mergeCell ref="B1:D1"/>
    <mergeCell ref="E1:J1"/>
    <mergeCell ref="K1:R4"/>
    <mergeCell ref="C2:D2"/>
    <mergeCell ref="E2:J2"/>
    <mergeCell ref="C3:D3"/>
    <mergeCell ref="E3:J3"/>
    <mergeCell ref="C4:D4"/>
    <mergeCell ref="H4:J4"/>
  </mergeCells>
  <conditionalFormatting sqref="U15:U16">
    <cfRule type="cellIs" dxfId="0" priority="1" stopIfTrue="1" operator="equal">
      <formula>FALSE</formula>
    </cfRule>
  </conditionalFormatting>
  <dataValidations count="11">
    <dataValidation type="decimal" allowBlank="1" showInputMessage="1" showErrorMessage="1" sqref="P9">
      <formula1>0</formula1>
      <formula2>9999999999999.99</formula2>
    </dataValidation>
    <dataValidation type="decimal" allowBlank="1" showInputMessage="1" showErrorMessage="1" sqref="P8">
      <formula1>0</formula1>
      <formula2>999999999999.99</formula2>
    </dataValidation>
    <dataValidation type="whole" allowBlank="1" showInputMessage="1" showErrorMessage="1" errorTitle="barra de espaço" error="voce esta colocando barra de espaço use número ou zero" promptTitle="N° DE DEPENDENTES" prompt="INFORME O NUMERO DE DEPENDENTE DO IMPOSTO DE RENDA" sqref="R5">
      <formula1>0</formula1>
      <formula2>10</formula2>
    </dataValidation>
    <dataValidation type="decimal" allowBlank="1" showInputMessage="1" showErrorMessage="1" errorTitle="use zero ou outro valor" error="use a tecla delete ou qualquer outro número,nunca limpe com barra de espaço" sqref="D5:E5">
      <formula1>0</formula1>
      <formula2>99999999999.99</formula2>
    </dataValidation>
    <dataValidation type="whole" allowBlank="1" showInputMessage="1" showErrorMessage="1" errorTitle="barra de espaço" error="voce esta colocando barra de espaço use número ou zero" promptTitle="N° DE FILHOS" prompt="FILHOS MENORES DE 14 ANOS DE IDADE" sqref="O5">
      <formula1>0</formula1>
      <formula2>10</formula2>
    </dataValidation>
    <dataValidation allowBlank="1" showInputMessage="1" showErrorMessage="1" promptTitle="MÊS/ANO" prompt="FORMATO DE DIGITAÇÃO_x000a_MM/AAAA" sqref="B3"/>
    <dataValidation allowBlank="1" showInputMessage="1" showErrorMessage="1" promptTitle="DATA DE DEMISSÃO" prompt="FORMATO DA DIGITAÇÃO_x000a_DD/MM/AAAA" sqref="C3:D3"/>
    <dataValidation allowBlank="1" showInputMessage="1" showErrorMessage="1" promptTitle="N° DE FILHOS" prompt="FILHOS MENORES DE 14 ANOS DE IDADE" sqref="D28"/>
    <dataValidation type="decimal" allowBlank="1" showInputMessage="1" showErrorMessage="1" sqref="P12:Q13 P7">
      <formula1>0</formula1>
      <formula2>9999999999.99</formula2>
    </dataValidation>
    <dataValidation type="custom" allowBlank="1" showInputMessage="1" showErrorMessage="1" sqref="J9">
      <formula1>J9&lt;=V6</formula1>
    </dataValidation>
    <dataValidation type="custom" allowBlank="1" showInputMessage="1" showErrorMessage="1" errorTitle="limite de dias" error="máximo 30 dias" sqref="I15">
      <formula1>IF(I15&lt;=30,30)</formula1>
    </dataValidation>
  </dataValidations>
  <printOptions horizontalCentered="1" verticalCentered="1"/>
  <pageMargins left="0.78740157480314965" right="0.78740157480314965" top="0.98425196850393704" bottom="0.98425196850393704" header="0.51181102362204722" footer="0.51181102362204722"/>
  <pageSetup paperSize="9" orientation="portrait" blackAndWhite="1"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13</vt:i4>
      </vt:variant>
      <vt:variant>
        <vt:lpstr>Intervalos nomeados</vt:lpstr>
      </vt:variant>
      <vt:variant>
        <vt:i4>3</vt:i4>
      </vt:variant>
    </vt:vector>
  </HeadingPairs>
  <TitlesOfParts>
    <vt:vector size="16" baseType="lpstr">
      <vt:lpstr>Sistema Contábil e Gestão</vt:lpstr>
      <vt:lpstr>AJ</vt:lpstr>
      <vt:lpstr>TB</vt:lpstr>
      <vt:lpstr>FUNC</vt:lpstr>
      <vt:lpstr>EMP</vt:lpstr>
      <vt:lpstr>DADOS</vt:lpstr>
      <vt:lpstr>AV</vt:lpstr>
      <vt:lpstr>AB</vt:lpstr>
      <vt:lpstr>13°SAL</vt:lpstr>
      <vt:lpstr>RECIBO</vt:lpstr>
      <vt:lpstr>DEMONSTRATIVO</vt:lpstr>
      <vt:lpstr>HOLLERITH (1)</vt:lpstr>
      <vt:lpstr>HOLLERITH (2)</vt:lpstr>
      <vt:lpstr>DADOS!Area_de_impressao</vt:lpstr>
      <vt:lpstr>'HOLLERITH (1)'!Area_de_impressao</vt:lpstr>
      <vt:lpstr>'HOLLERITH (2)'!Area_de_impressao</vt:lpstr>
    </vt:vector>
  </TitlesOfParts>
  <Company>Jabur Automotor Veic. Aces. Ltda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CÁLCULO DE FÉRIAS</dc:title>
  <dc:subject>PROGRAMA CÁLCULO DE FÉRIAS</dc:subject>
  <dc:creator>ANGELO ADALBERTO TONON</dc:creator>
  <cp:keywords>FÉRIAS</cp:keywords>
  <dc:description>PLANILHA DE USO GRATUITO</dc:description>
  <cp:lastModifiedBy>deivson</cp:lastModifiedBy>
  <cp:lastPrinted>2013-10-28T23:14:23Z</cp:lastPrinted>
  <dcterms:created xsi:type="dcterms:W3CDTF">2001-02-26T20:02:24Z</dcterms:created>
  <dcterms:modified xsi:type="dcterms:W3CDTF">2016-01-04T10:35:45Z</dcterms:modified>
  <cp:category>CÁLCULO DE FÉRIAS</cp:category>
</cp:coreProperties>
</file>