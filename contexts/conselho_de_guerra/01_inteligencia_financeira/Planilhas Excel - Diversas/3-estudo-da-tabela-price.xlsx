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_Infor_Adm\Desktop\Particular\F\2016\2º Semestre\Ciências Contábeis\Estudos Específicos\3_Tabela PRICE\"/>
    </mc:Choice>
  </mc:AlternateContent>
  <bookViews>
    <workbookView xWindow="0" yWindow="0" windowWidth="24000" windowHeight="9135" activeTab="3"/>
  </bookViews>
  <sheets>
    <sheet name="SEM CARÊNCIA" sheetId="1" r:id="rId1"/>
    <sheet name="COM CARÊNCIA-1" sheetId="2" r:id="rId2"/>
    <sheet name="COM CARÊNCIA-2" sheetId="3" r:id="rId3"/>
    <sheet name="COM CARÊNCIA-3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4" l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1" i="4"/>
  <c r="A12" i="4" s="1"/>
  <c r="F6" i="4"/>
  <c r="C6" i="4" s="1"/>
  <c r="B9" i="4" s="1"/>
  <c r="E4" i="4"/>
  <c r="D12" i="3"/>
  <c r="E12" i="3"/>
  <c r="B11" i="3"/>
  <c r="E10" i="3"/>
  <c r="E9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E8" i="3"/>
  <c r="F6" i="3"/>
  <c r="C6" i="3" s="1"/>
  <c r="B9" i="3" s="1"/>
  <c r="E4" i="3"/>
  <c r="B27" i="2"/>
  <c r="D27" i="2"/>
  <c r="C27" i="2" s="1"/>
  <c r="E27" i="2" s="1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C13" i="2"/>
  <c r="C12" i="2"/>
  <c r="B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12" i="2"/>
  <c r="B11" i="2"/>
  <c r="D11" i="2" s="1"/>
  <c r="D10" i="2"/>
  <c r="D9" i="2"/>
  <c r="B10" i="2"/>
  <c r="B9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E8" i="2"/>
  <c r="F6" i="2"/>
  <c r="C6" i="2" s="1"/>
  <c r="E4" i="2"/>
  <c r="D68" i="4" l="1"/>
  <c r="D66" i="4"/>
  <c r="D64" i="4"/>
  <c r="D62" i="4"/>
  <c r="D60" i="4"/>
  <c r="D58" i="4"/>
  <c r="D56" i="4"/>
  <c r="D54" i="4"/>
  <c r="D52" i="4"/>
  <c r="D50" i="4"/>
  <c r="D48" i="4"/>
  <c r="D46" i="4"/>
  <c r="D44" i="4"/>
  <c r="D42" i="4"/>
  <c r="D40" i="4"/>
  <c r="D38" i="4"/>
  <c r="D36" i="4"/>
  <c r="D67" i="4"/>
  <c r="D63" i="4"/>
  <c r="D59" i="4"/>
  <c r="D55" i="4"/>
  <c r="D51" i="4"/>
  <c r="D47" i="4"/>
  <c r="D43" i="4"/>
  <c r="D39" i="4"/>
  <c r="D35" i="4"/>
  <c r="D33" i="4"/>
  <c r="D31" i="4"/>
  <c r="D29" i="4"/>
  <c r="D27" i="4"/>
  <c r="D25" i="4"/>
  <c r="D23" i="4"/>
  <c r="D21" i="4"/>
  <c r="D19" i="4"/>
  <c r="D17" i="4"/>
  <c r="D15" i="4"/>
  <c r="D13" i="4"/>
  <c r="D65" i="4"/>
  <c r="D61" i="4"/>
  <c r="D57" i="4"/>
  <c r="D53" i="4"/>
  <c r="D49" i="4"/>
  <c r="D45" i="4"/>
  <c r="D41" i="4"/>
  <c r="D37" i="4"/>
  <c r="D34" i="4"/>
  <c r="D32" i="4"/>
  <c r="D30" i="4"/>
  <c r="D28" i="4"/>
  <c r="D26" i="4"/>
  <c r="D14" i="4"/>
  <c r="D18" i="4"/>
  <c r="D22" i="4"/>
  <c r="D16" i="4"/>
  <c r="D20" i="4"/>
  <c r="D24" i="4"/>
  <c r="E9" i="4"/>
  <c r="D67" i="3"/>
  <c r="D65" i="3"/>
  <c r="D63" i="3"/>
  <c r="D61" i="3"/>
  <c r="D59" i="3"/>
  <c r="D57" i="3"/>
  <c r="D55" i="3"/>
  <c r="D53" i="3"/>
  <c r="D51" i="3"/>
  <c r="D49" i="3"/>
  <c r="D47" i="3"/>
  <c r="D45" i="3"/>
  <c r="D43" i="3"/>
  <c r="D41" i="3"/>
  <c r="D39" i="3"/>
  <c r="D37" i="3"/>
  <c r="D35" i="3"/>
  <c r="D68" i="3"/>
  <c r="D64" i="3"/>
  <c r="D60" i="3"/>
  <c r="D56" i="3"/>
  <c r="D52" i="3"/>
  <c r="D48" i="3"/>
  <c r="D44" i="3"/>
  <c r="D40" i="3"/>
  <c r="D36" i="3"/>
  <c r="D34" i="3"/>
  <c r="D32" i="3"/>
  <c r="D30" i="3"/>
  <c r="D28" i="3"/>
  <c r="D26" i="3"/>
  <c r="D24" i="3"/>
  <c r="D22" i="3"/>
  <c r="D20" i="3"/>
  <c r="D18" i="3"/>
  <c r="D16" i="3"/>
  <c r="D14" i="3"/>
  <c r="D66" i="3"/>
  <c r="D62" i="3"/>
  <c r="D58" i="3"/>
  <c r="D54" i="3"/>
  <c r="D50" i="3"/>
  <c r="D46" i="3"/>
  <c r="D42" i="3"/>
  <c r="D38" i="3"/>
  <c r="D33" i="3"/>
  <c r="D31" i="3"/>
  <c r="D29" i="3"/>
  <c r="D27" i="3"/>
  <c r="B10" i="3"/>
  <c r="D13" i="3"/>
  <c r="D17" i="3"/>
  <c r="D21" i="3"/>
  <c r="D25" i="3"/>
  <c r="D15" i="3"/>
  <c r="D19" i="3"/>
  <c r="D23" i="3"/>
  <c r="B28" i="2"/>
  <c r="C28" i="2" s="1"/>
  <c r="E28" i="2" s="1"/>
  <c r="E9" i="2"/>
  <c r="E10" i="2" s="1"/>
  <c r="B10" i="4" l="1"/>
  <c r="E10" i="4" s="1"/>
  <c r="E11" i="3"/>
  <c r="E29" i="2"/>
  <c r="B29" i="2"/>
  <c r="C29" i="2" s="1"/>
  <c r="E11" i="2"/>
  <c r="B11" i="4" l="1"/>
  <c r="E11" i="4" s="1"/>
  <c r="E30" i="2"/>
  <c r="B30" i="2"/>
  <c r="C30" i="2" s="1"/>
  <c r="E12" i="2"/>
  <c r="B13" i="2" s="1"/>
  <c r="B12" i="4" l="1"/>
  <c r="C12" i="4" s="1"/>
  <c r="E12" i="4" s="1"/>
  <c r="B13" i="3"/>
  <c r="C13" i="3" s="1"/>
  <c r="E13" i="3" s="1"/>
  <c r="E31" i="2"/>
  <c r="B31" i="2"/>
  <c r="C31" i="2" s="1"/>
  <c r="E13" i="2"/>
  <c r="B14" i="2" s="1"/>
  <c r="C14" i="2" s="1"/>
  <c r="B13" i="4" l="1"/>
  <c r="C13" i="4" s="1"/>
  <c r="E13" i="4"/>
  <c r="B14" i="4" s="1"/>
  <c r="C14" i="4" s="1"/>
  <c r="E14" i="4" s="1"/>
  <c r="B15" i="4" s="1"/>
  <c r="C15" i="4" s="1"/>
  <c r="E15" i="4" s="1"/>
  <c r="B16" i="4" s="1"/>
  <c r="C16" i="4" s="1"/>
  <c r="E16" i="4" s="1"/>
  <c r="B17" i="4" s="1"/>
  <c r="B14" i="3"/>
  <c r="C14" i="3" s="1"/>
  <c r="E14" i="3" s="1"/>
  <c r="E32" i="2"/>
  <c r="B32" i="2"/>
  <c r="C32" i="2" s="1"/>
  <c r="E14" i="2"/>
  <c r="B15" i="2" s="1"/>
  <c r="C15" i="2" s="1"/>
  <c r="F6" i="1"/>
  <c r="C6" i="1" s="1"/>
  <c r="E4" i="1" s="1"/>
  <c r="C17" i="4" l="1"/>
  <c r="E17" i="4" s="1"/>
  <c r="B18" i="4" s="1"/>
  <c r="B15" i="3"/>
  <c r="C15" i="3" s="1"/>
  <c r="E15" i="3" s="1"/>
  <c r="E33" i="2"/>
  <c r="B33" i="2"/>
  <c r="C33" i="2" s="1"/>
  <c r="E15" i="2"/>
  <c r="B16" i="2" s="1"/>
  <c r="C16" i="2" s="1"/>
  <c r="D11" i="1"/>
  <c r="D13" i="1"/>
  <c r="D15" i="1"/>
  <c r="D17" i="1"/>
  <c r="D19" i="1"/>
  <c r="D21" i="1"/>
  <c r="D23" i="1"/>
  <c r="D10" i="1"/>
  <c r="D12" i="1"/>
  <c r="D14" i="1"/>
  <c r="D16" i="1"/>
  <c r="D18" i="1"/>
  <c r="D20" i="1"/>
  <c r="D22" i="1"/>
  <c r="D9" i="1"/>
  <c r="E8" i="1"/>
  <c r="B9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C18" i="4" l="1"/>
  <c r="E18" i="4" s="1"/>
  <c r="B19" i="4" s="1"/>
  <c r="B16" i="3"/>
  <c r="C16" i="3" s="1"/>
  <c r="E16" i="3" s="1"/>
  <c r="E34" i="2"/>
  <c r="B34" i="2"/>
  <c r="C34" i="2" s="1"/>
  <c r="E16" i="2"/>
  <c r="B17" i="2" s="1"/>
  <c r="C17" i="2" s="1"/>
  <c r="C9" i="1"/>
  <c r="C24" i="1"/>
  <c r="C27" i="1"/>
  <c r="C28" i="1"/>
  <c r="C31" i="1"/>
  <c r="C32" i="1"/>
  <c r="C35" i="1"/>
  <c r="C36" i="1"/>
  <c r="C39" i="1"/>
  <c r="C40" i="1"/>
  <c r="C43" i="1"/>
  <c r="C44" i="1"/>
  <c r="C47" i="1"/>
  <c r="C48" i="1"/>
  <c r="C50" i="1"/>
  <c r="C52" i="1"/>
  <c r="C54" i="1"/>
  <c r="C56" i="1"/>
  <c r="C58" i="1"/>
  <c r="C60" i="1"/>
  <c r="C62" i="1"/>
  <c r="C64" i="1"/>
  <c r="C66" i="1"/>
  <c r="C68" i="1"/>
  <c r="C25" i="1"/>
  <c r="C26" i="1"/>
  <c r="C29" i="1"/>
  <c r="C30" i="1"/>
  <c r="C33" i="1"/>
  <c r="C34" i="1"/>
  <c r="C41" i="1"/>
  <c r="C42" i="1"/>
  <c r="C49" i="1"/>
  <c r="C53" i="1"/>
  <c r="C57" i="1"/>
  <c r="C61" i="1"/>
  <c r="C65" i="1"/>
  <c r="C37" i="1"/>
  <c r="C38" i="1"/>
  <c r="C45" i="1"/>
  <c r="C46" i="1"/>
  <c r="C51" i="1"/>
  <c r="C55" i="1"/>
  <c r="C59" i="1"/>
  <c r="C63" i="1"/>
  <c r="C67" i="1"/>
  <c r="C19" i="4" l="1"/>
  <c r="E19" i="4" s="1"/>
  <c r="B20" i="4" s="1"/>
  <c r="B17" i="3"/>
  <c r="C17" i="3" s="1"/>
  <c r="E17" i="3" s="1"/>
  <c r="E35" i="2"/>
  <c r="B35" i="2"/>
  <c r="C35" i="2" s="1"/>
  <c r="E9" i="1"/>
  <c r="C20" i="4" l="1"/>
  <c r="E20" i="4" s="1"/>
  <c r="B21" i="4" s="1"/>
  <c r="B18" i="3"/>
  <c r="C18" i="3" s="1"/>
  <c r="E18" i="3" s="1"/>
  <c r="E36" i="2"/>
  <c r="B36" i="2"/>
  <c r="C36" i="2" s="1"/>
  <c r="B10" i="1"/>
  <c r="C10" i="1" s="1"/>
  <c r="E10" i="1" s="1"/>
  <c r="C21" i="4" l="1"/>
  <c r="E21" i="4" s="1"/>
  <c r="B22" i="4" s="1"/>
  <c r="B19" i="3"/>
  <c r="C19" i="3" s="1"/>
  <c r="E19" i="3" s="1"/>
  <c r="E37" i="2"/>
  <c r="B37" i="2"/>
  <c r="C37" i="2" s="1"/>
  <c r="E11" i="1"/>
  <c r="B11" i="1"/>
  <c r="C11" i="1" s="1"/>
  <c r="C22" i="4" l="1"/>
  <c r="E22" i="4" s="1"/>
  <c r="B23" i="4" s="1"/>
  <c r="B20" i="3"/>
  <c r="C20" i="3" s="1"/>
  <c r="E20" i="3" s="1"/>
  <c r="E38" i="2"/>
  <c r="B38" i="2"/>
  <c r="C38" i="2" s="1"/>
  <c r="B12" i="1"/>
  <c r="C12" i="1" s="1"/>
  <c r="E12" i="1" s="1"/>
  <c r="C23" i="4" l="1"/>
  <c r="E23" i="4" s="1"/>
  <c r="B24" i="4" s="1"/>
  <c r="B21" i="3"/>
  <c r="C21" i="3" s="1"/>
  <c r="E21" i="3" s="1"/>
  <c r="E39" i="2"/>
  <c r="B39" i="2"/>
  <c r="C39" i="2" s="1"/>
  <c r="E13" i="1"/>
  <c r="B13" i="1"/>
  <c r="C13" i="1" s="1"/>
  <c r="C24" i="4" l="1"/>
  <c r="E24" i="4" s="1"/>
  <c r="B25" i="4" s="1"/>
  <c r="B22" i="3"/>
  <c r="C22" i="3" s="1"/>
  <c r="E22" i="3" s="1"/>
  <c r="E40" i="2"/>
  <c r="B40" i="2"/>
  <c r="C40" i="2" s="1"/>
  <c r="E14" i="1"/>
  <c r="B14" i="1"/>
  <c r="C14" i="1" s="1"/>
  <c r="C25" i="4" l="1"/>
  <c r="E25" i="4" s="1"/>
  <c r="B26" i="4" s="1"/>
  <c r="B23" i="3"/>
  <c r="C23" i="3" s="1"/>
  <c r="E23" i="3" s="1"/>
  <c r="E41" i="2"/>
  <c r="B41" i="2"/>
  <c r="C41" i="2" s="1"/>
  <c r="B15" i="1"/>
  <c r="C15" i="1" s="1"/>
  <c r="E15" i="1" s="1"/>
  <c r="C26" i="4" l="1"/>
  <c r="B27" i="4" s="1"/>
  <c r="C27" i="4" s="1"/>
  <c r="E27" i="4" s="1"/>
  <c r="B24" i="3"/>
  <c r="C24" i="3" s="1"/>
  <c r="E24" i="3" s="1"/>
  <c r="E42" i="2"/>
  <c r="B42" i="2"/>
  <c r="C42" i="2" s="1"/>
  <c r="E16" i="1"/>
  <c r="B16" i="1"/>
  <c r="C16" i="1" s="1"/>
  <c r="B28" i="4" l="1"/>
  <c r="C28" i="4" s="1"/>
  <c r="E28" i="4" s="1"/>
  <c r="B25" i="3"/>
  <c r="C25" i="3" s="1"/>
  <c r="E25" i="3" s="1"/>
  <c r="E43" i="2"/>
  <c r="B43" i="2"/>
  <c r="C43" i="2" s="1"/>
  <c r="B17" i="1"/>
  <c r="C17" i="1" s="1"/>
  <c r="E17" i="1" s="1"/>
  <c r="B29" i="4" l="1"/>
  <c r="C29" i="4" s="1"/>
  <c r="E29" i="4" s="1"/>
  <c r="B26" i="3"/>
  <c r="C26" i="3" s="1"/>
  <c r="E26" i="3" s="1"/>
  <c r="E44" i="2"/>
  <c r="B44" i="2"/>
  <c r="C44" i="2" s="1"/>
  <c r="B18" i="1"/>
  <c r="C18" i="1" s="1"/>
  <c r="E18" i="1" s="1"/>
  <c r="B30" i="4" l="1"/>
  <c r="C30" i="4" s="1"/>
  <c r="E30" i="4" s="1"/>
  <c r="B27" i="3"/>
  <c r="C27" i="3" s="1"/>
  <c r="E27" i="3" s="1"/>
  <c r="E45" i="2"/>
  <c r="B45" i="2"/>
  <c r="C45" i="2" s="1"/>
  <c r="B19" i="1"/>
  <c r="C19" i="1" s="1"/>
  <c r="E19" i="1" s="1"/>
  <c r="B31" i="4" l="1"/>
  <c r="C31" i="4" s="1"/>
  <c r="E31" i="4" s="1"/>
  <c r="B28" i="3"/>
  <c r="C28" i="3" s="1"/>
  <c r="E28" i="3" s="1"/>
  <c r="E46" i="2"/>
  <c r="B46" i="2"/>
  <c r="C46" i="2" s="1"/>
  <c r="B20" i="1"/>
  <c r="C20" i="1" s="1"/>
  <c r="E20" i="1" s="1"/>
  <c r="B32" i="4" l="1"/>
  <c r="C32" i="4" s="1"/>
  <c r="E32" i="4" s="1"/>
  <c r="B29" i="3"/>
  <c r="C29" i="3" s="1"/>
  <c r="E29" i="3" s="1"/>
  <c r="E47" i="2"/>
  <c r="B47" i="2"/>
  <c r="C47" i="2" s="1"/>
  <c r="B21" i="1"/>
  <c r="C21" i="1" s="1"/>
  <c r="E21" i="1" s="1"/>
  <c r="B33" i="4" l="1"/>
  <c r="C33" i="4" s="1"/>
  <c r="E33" i="4" s="1"/>
  <c r="B30" i="3"/>
  <c r="C30" i="3" s="1"/>
  <c r="E30" i="3" s="1"/>
  <c r="E48" i="2"/>
  <c r="B48" i="2"/>
  <c r="C48" i="2" s="1"/>
  <c r="B22" i="1"/>
  <c r="C22" i="1" s="1"/>
  <c r="E22" i="1" s="1"/>
  <c r="B34" i="4" l="1"/>
  <c r="C34" i="4" s="1"/>
  <c r="E34" i="4" s="1"/>
  <c r="B31" i="3"/>
  <c r="C31" i="3" s="1"/>
  <c r="E31" i="3" s="1"/>
  <c r="E49" i="2"/>
  <c r="B49" i="2"/>
  <c r="C49" i="2" s="1"/>
  <c r="B23" i="1"/>
  <c r="C23" i="1" s="1"/>
  <c r="E23" i="1" s="1"/>
  <c r="B35" i="4" l="1"/>
  <c r="C35" i="4" s="1"/>
  <c r="E35" i="4" s="1"/>
  <c r="B32" i="3"/>
  <c r="C32" i="3" s="1"/>
  <c r="E32" i="3" s="1"/>
  <c r="E50" i="2"/>
  <c r="B50" i="2"/>
  <c r="C50" i="2" s="1"/>
  <c r="E24" i="1"/>
  <c r="B24" i="1"/>
  <c r="D24" i="1" s="1"/>
  <c r="B36" i="4" l="1"/>
  <c r="C36" i="4" s="1"/>
  <c r="E36" i="4" s="1"/>
  <c r="B33" i="3"/>
  <c r="C33" i="3" s="1"/>
  <c r="E33" i="3" s="1"/>
  <c r="E51" i="2"/>
  <c r="B51" i="2"/>
  <c r="C51" i="2" s="1"/>
  <c r="B25" i="1"/>
  <c r="D25" i="1" s="1"/>
  <c r="E25" i="1"/>
  <c r="B37" i="4" l="1"/>
  <c r="C37" i="4" s="1"/>
  <c r="E37" i="4" s="1"/>
  <c r="B34" i="3"/>
  <c r="C34" i="3" s="1"/>
  <c r="E34" i="3" s="1"/>
  <c r="E52" i="2"/>
  <c r="B52" i="2"/>
  <c r="C52" i="2" s="1"/>
  <c r="B26" i="1"/>
  <c r="D26" i="1" s="1"/>
  <c r="E26" i="1"/>
  <c r="B38" i="4" l="1"/>
  <c r="C38" i="4" s="1"/>
  <c r="E38" i="4" s="1"/>
  <c r="B35" i="3"/>
  <c r="C35" i="3" s="1"/>
  <c r="E35" i="3" s="1"/>
  <c r="E53" i="2"/>
  <c r="B53" i="2"/>
  <c r="C53" i="2" s="1"/>
  <c r="B27" i="1"/>
  <c r="D27" i="1" s="1"/>
  <c r="E27" i="1"/>
  <c r="B39" i="4" l="1"/>
  <c r="C39" i="4" s="1"/>
  <c r="E39" i="4" s="1"/>
  <c r="B36" i="3"/>
  <c r="C36" i="3" s="1"/>
  <c r="E36" i="3" s="1"/>
  <c r="E54" i="2"/>
  <c r="B54" i="2"/>
  <c r="C54" i="2" s="1"/>
  <c r="E28" i="1"/>
  <c r="B28" i="1"/>
  <c r="B40" i="4" l="1"/>
  <c r="C40" i="4" s="1"/>
  <c r="E40" i="4" s="1"/>
  <c r="B37" i="3"/>
  <c r="C37" i="3" s="1"/>
  <c r="E37" i="3" s="1"/>
  <c r="E55" i="2"/>
  <c r="B55" i="2"/>
  <c r="C55" i="2" s="1"/>
  <c r="B29" i="1"/>
  <c r="D29" i="1" s="1"/>
  <c r="E29" i="1"/>
  <c r="D28" i="1"/>
  <c r="B41" i="4" l="1"/>
  <c r="C41" i="4" s="1"/>
  <c r="E41" i="4" s="1"/>
  <c r="B38" i="3"/>
  <c r="C38" i="3" s="1"/>
  <c r="E38" i="3" s="1"/>
  <c r="E56" i="2"/>
  <c r="B56" i="2"/>
  <c r="C56" i="2" s="1"/>
  <c r="B30" i="1"/>
  <c r="D30" i="1" s="1"/>
  <c r="E30" i="1"/>
  <c r="B42" i="4" l="1"/>
  <c r="C42" i="4" s="1"/>
  <c r="E42" i="4" s="1"/>
  <c r="B39" i="3"/>
  <c r="C39" i="3" s="1"/>
  <c r="E39" i="3" s="1"/>
  <c r="E57" i="2"/>
  <c r="B57" i="2"/>
  <c r="C57" i="2" s="1"/>
  <c r="B31" i="1"/>
  <c r="E31" i="1"/>
  <c r="B43" i="4" l="1"/>
  <c r="C43" i="4" s="1"/>
  <c r="E43" i="4" s="1"/>
  <c r="B40" i="3"/>
  <c r="C40" i="3" s="1"/>
  <c r="E40" i="3" s="1"/>
  <c r="E58" i="2"/>
  <c r="B58" i="2"/>
  <c r="C58" i="2" s="1"/>
  <c r="D31" i="1"/>
  <c r="E32" i="1"/>
  <c r="B32" i="1"/>
  <c r="D32" i="1" s="1"/>
  <c r="B44" i="4" l="1"/>
  <c r="C44" i="4" s="1"/>
  <c r="E44" i="4" s="1"/>
  <c r="B41" i="3"/>
  <c r="C41" i="3" s="1"/>
  <c r="E41" i="3" s="1"/>
  <c r="E59" i="2"/>
  <c r="B59" i="2"/>
  <c r="C59" i="2" s="1"/>
  <c r="B33" i="1"/>
  <c r="D33" i="1" s="1"/>
  <c r="E33" i="1"/>
  <c r="B45" i="4" l="1"/>
  <c r="C45" i="4" s="1"/>
  <c r="E45" i="4" s="1"/>
  <c r="B42" i="3"/>
  <c r="C42" i="3" s="1"/>
  <c r="E42" i="3" s="1"/>
  <c r="E60" i="2"/>
  <c r="B60" i="2"/>
  <c r="C60" i="2" s="1"/>
  <c r="B34" i="1"/>
  <c r="E34" i="1"/>
  <c r="B46" i="4" l="1"/>
  <c r="C46" i="4" s="1"/>
  <c r="E46" i="4" s="1"/>
  <c r="B43" i="3"/>
  <c r="C43" i="3" s="1"/>
  <c r="E43" i="3" s="1"/>
  <c r="E61" i="2"/>
  <c r="B61" i="2"/>
  <c r="C61" i="2" s="1"/>
  <c r="D34" i="1"/>
  <c r="E35" i="1"/>
  <c r="B35" i="1"/>
  <c r="D35" i="1" s="1"/>
  <c r="B47" i="4" l="1"/>
  <c r="C47" i="4" s="1"/>
  <c r="E47" i="4" s="1"/>
  <c r="B44" i="3"/>
  <c r="C44" i="3" s="1"/>
  <c r="E44" i="3" s="1"/>
  <c r="E62" i="2"/>
  <c r="B62" i="2"/>
  <c r="C62" i="2" s="1"/>
  <c r="E36" i="1"/>
  <c r="B36" i="1"/>
  <c r="D36" i="1" s="1"/>
  <c r="B48" i="4" l="1"/>
  <c r="C48" i="4" s="1"/>
  <c r="E48" i="4" s="1"/>
  <c r="B45" i="3"/>
  <c r="C45" i="3" s="1"/>
  <c r="E45" i="3" s="1"/>
  <c r="E63" i="2"/>
  <c r="B63" i="2"/>
  <c r="C63" i="2" s="1"/>
  <c r="B37" i="1"/>
  <c r="D37" i="1" s="1"/>
  <c r="E37" i="1"/>
  <c r="B49" i="4" l="1"/>
  <c r="C49" i="4" s="1"/>
  <c r="E49" i="4" s="1"/>
  <c r="B46" i="3"/>
  <c r="C46" i="3" s="1"/>
  <c r="E46" i="3" s="1"/>
  <c r="E64" i="2"/>
  <c r="B64" i="2"/>
  <c r="C64" i="2" s="1"/>
  <c r="B38" i="1"/>
  <c r="D38" i="1" s="1"/>
  <c r="E38" i="1"/>
  <c r="B50" i="4" l="1"/>
  <c r="C50" i="4" s="1"/>
  <c r="E50" i="4" s="1"/>
  <c r="B47" i="3"/>
  <c r="C47" i="3" s="1"/>
  <c r="E47" i="3" s="1"/>
  <c r="E65" i="2"/>
  <c r="B65" i="2"/>
  <c r="C65" i="2" s="1"/>
  <c r="B39" i="1"/>
  <c r="D39" i="1" s="1"/>
  <c r="E39" i="1"/>
  <c r="B51" i="4" l="1"/>
  <c r="C51" i="4" s="1"/>
  <c r="E51" i="4" s="1"/>
  <c r="B48" i="3"/>
  <c r="C48" i="3" s="1"/>
  <c r="E48" i="3" s="1"/>
  <c r="E66" i="2"/>
  <c r="B66" i="2"/>
  <c r="C66" i="2" s="1"/>
  <c r="E40" i="1"/>
  <c r="B40" i="1"/>
  <c r="D40" i="1" s="1"/>
  <c r="B52" i="4" l="1"/>
  <c r="C52" i="4" s="1"/>
  <c r="E52" i="4" s="1"/>
  <c r="B49" i="3"/>
  <c r="C49" i="3" s="1"/>
  <c r="E49" i="3" s="1"/>
  <c r="E67" i="2"/>
  <c r="B67" i="2"/>
  <c r="C67" i="2" s="1"/>
  <c r="B41" i="1"/>
  <c r="D41" i="1" s="1"/>
  <c r="E41" i="1"/>
  <c r="B53" i="4" l="1"/>
  <c r="C53" i="4" s="1"/>
  <c r="E53" i="4" s="1"/>
  <c r="B50" i="3"/>
  <c r="C50" i="3" s="1"/>
  <c r="E50" i="3" s="1"/>
  <c r="E68" i="2"/>
  <c r="B68" i="2"/>
  <c r="C68" i="2" s="1"/>
  <c r="B42" i="1"/>
  <c r="D42" i="1" s="1"/>
  <c r="E42" i="1"/>
  <c r="B54" i="4" l="1"/>
  <c r="C54" i="4" s="1"/>
  <c r="E54" i="4" s="1"/>
  <c r="B51" i="3"/>
  <c r="C51" i="3" s="1"/>
  <c r="E51" i="3" s="1"/>
  <c r="E43" i="1"/>
  <c r="B43" i="1"/>
  <c r="D43" i="1" s="1"/>
  <c r="B55" i="4" l="1"/>
  <c r="C55" i="4" s="1"/>
  <c r="E55" i="4" s="1"/>
  <c r="B52" i="3"/>
  <c r="C52" i="3" s="1"/>
  <c r="E52" i="3" s="1"/>
  <c r="E44" i="1"/>
  <c r="B44" i="1"/>
  <c r="D44" i="1" s="1"/>
  <c r="B56" i="4" l="1"/>
  <c r="C56" i="4" s="1"/>
  <c r="E56" i="4" s="1"/>
  <c r="B53" i="3"/>
  <c r="C53" i="3" s="1"/>
  <c r="E53" i="3" s="1"/>
  <c r="B45" i="1"/>
  <c r="D45" i="1" s="1"/>
  <c r="E45" i="1"/>
  <c r="B57" i="4" l="1"/>
  <c r="C57" i="4" s="1"/>
  <c r="E57" i="4" s="1"/>
  <c r="B54" i="3"/>
  <c r="C54" i="3" s="1"/>
  <c r="E54" i="3" s="1"/>
  <c r="B46" i="1"/>
  <c r="D46" i="1" s="1"/>
  <c r="E46" i="1"/>
  <c r="B58" i="4" l="1"/>
  <c r="C58" i="4" s="1"/>
  <c r="E58" i="4" s="1"/>
  <c r="B55" i="3"/>
  <c r="C55" i="3" s="1"/>
  <c r="E55" i="3" s="1"/>
  <c r="B47" i="1"/>
  <c r="D47" i="1" s="1"/>
  <c r="E47" i="1"/>
  <c r="B59" i="4" l="1"/>
  <c r="C59" i="4" s="1"/>
  <c r="E59" i="4" s="1"/>
  <c r="B56" i="3"/>
  <c r="C56" i="3" s="1"/>
  <c r="E56" i="3" s="1"/>
  <c r="E48" i="1"/>
  <c r="B48" i="1"/>
  <c r="D48" i="1" s="1"/>
  <c r="B60" i="4" l="1"/>
  <c r="C60" i="4" s="1"/>
  <c r="E60" i="4" s="1"/>
  <c r="B57" i="3"/>
  <c r="C57" i="3" s="1"/>
  <c r="E57" i="3" s="1"/>
  <c r="B49" i="1"/>
  <c r="D49" i="1" s="1"/>
  <c r="E49" i="1"/>
  <c r="B61" i="4" l="1"/>
  <c r="C61" i="4" s="1"/>
  <c r="E61" i="4" s="1"/>
  <c r="B58" i="3"/>
  <c r="C58" i="3" s="1"/>
  <c r="E58" i="3" s="1"/>
  <c r="B50" i="1"/>
  <c r="D50" i="1" s="1"/>
  <c r="E50" i="1"/>
  <c r="B62" i="4" l="1"/>
  <c r="C62" i="4" s="1"/>
  <c r="E62" i="4" s="1"/>
  <c r="B59" i="3"/>
  <c r="C59" i="3" s="1"/>
  <c r="E59" i="3" s="1"/>
  <c r="B51" i="1"/>
  <c r="D51" i="1" s="1"/>
  <c r="E51" i="1"/>
  <c r="B63" i="4" l="1"/>
  <c r="C63" i="4" s="1"/>
  <c r="E63" i="4" s="1"/>
  <c r="B60" i="3"/>
  <c r="C60" i="3" s="1"/>
  <c r="E60" i="3" s="1"/>
  <c r="B52" i="1"/>
  <c r="D52" i="1" s="1"/>
  <c r="E52" i="1"/>
  <c r="B64" i="4" l="1"/>
  <c r="C64" i="4" s="1"/>
  <c r="E64" i="4" s="1"/>
  <c r="B61" i="3"/>
  <c r="C61" i="3" s="1"/>
  <c r="E61" i="3" s="1"/>
  <c r="E53" i="1"/>
  <c r="B53" i="1"/>
  <c r="D53" i="1" s="1"/>
  <c r="B65" i="4" l="1"/>
  <c r="C65" i="4" s="1"/>
  <c r="E65" i="4" s="1"/>
  <c r="B62" i="3"/>
  <c r="C62" i="3" s="1"/>
  <c r="E62" i="3" s="1"/>
  <c r="B54" i="1"/>
  <c r="D54" i="1" s="1"/>
  <c r="E54" i="1"/>
  <c r="B66" i="4" l="1"/>
  <c r="C66" i="4" s="1"/>
  <c r="E66" i="4" s="1"/>
  <c r="B63" i="3"/>
  <c r="C63" i="3" s="1"/>
  <c r="E63" i="3" s="1"/>
  <c r="E55" i="1"/>
  <c r="B55" i="1"/>
  <c r="D55" i="1" s="1"/>
  <c r="B67" i="4" l="1"/>
  <c r="C67" i="4" s="1"/>
  <c r="E67" i="4" s="1"/>
  <c r="B64" i="3"/>
  <c r="C64" i="3" s="1"/>
  <c r="E64" i="3" s="1"/>
  <c r="B56" i="1"/>
  <c r="D56" i="1" s="1"/>
  <c r="E56" i="1"/>
  <c r="B68" i="4" l="1"/>
  <c r="C68" i="4" s="1"/>
  <c r="E68" i="4" s="1"/>
  <c r="B65" i="3"/>
  <c r="C65" i="3" s="1"/>
  <c r="E65" i="3" s="1"/>
  <c r="E57" i="1"/>
  <c r="B57" i="1"/>
  <c r="D57" i="1" s="1"/>
  <c r="B66" i="3" l="1"/>
  <c r="C66" i="3" s="1"/>
  <c r="E66" i="3" s="1"/>
  <c r="B58" i="1"/>
  <c r="D58" i="1" s="1"/>
  <c r="E58" i="1"/>
  <c r="B67" i="3" l="1"/>
  <c r="C67" i="3" s="1"/>
  <c r="E67" i="3" s="1"/>
  <c r="E59" i="1"/>
  <c r="B59" i="1"/>
  <c r="D59" i="1" s="1"/>
  <c r="B68" i="3" l="1"/>
  <c r="C68" i="3" s="1"/>
  <c r="E68" i="3" s="1"/>
  <c r="B60" i="1"/>
  <c r="D60" i="1" s="1"/>
  <c r="E60" i="1"/>
  <c r="E61" i="1" l="1"/>
  <c r="B61" i="1"/>
  <c r="D61" i="1" s="1"/>
  <c r="B62" i="1" l="1"/>
  <c r="D62" i="1" s="1"/>
  <c r="E62" i="1"/>
  <c r="E63" i="1" l="1"/>
  <c r="B63" i="1"/>
  <c r="D63" i="1" s="1"/>
  <c r="B64" i="1" l="1"/>
  <c r="D64" i="1" s="1"/>
  <c r="E64" i="1"/>
  <c r="E65" i="1" l="1"/>
  <c r="B65" i="1"/>
  <c r="D65" i="1" s="1"/>
  <c r="B66" i="1" l="1"/>
  <c r="D66" i="1" s="1"/>
  <c r="E66" i="1"/>
  <c r="E67" i="1" l="1"/>
  <c r="B67" i="1"/>
  <c r="D67" i="1" s="1"/>
  <c r="B68" i="1" l="1"/>
  <c r="E68" i="1"/>
  <c r="D68" i="1" l="1"/>
  <c r="E17" i="2"/>
  <c r="B18" i="2" s="1"/>
  <c r="C18" i="2" s="1"/>
  <c r="E18" i="2" l="1"/>
  <c r="B19" i="2" s="1"/>
  <c r="C19" i="2" s="1"/>
  <c r="E19" i="2" l="1"/>
  <c r="B20" i="2" s="1"/>
  <c r="C20" i="2" s="1"/>
  <c r="E20" i="2" l="1"/>
  <c r="B21" i="2" s="1"/>
  <c r="C21" i="2" s="1"/>
  <c r="E21" i="2" l="1"/>
  <c r="B22" i="2" s="1"/>
  <c r="C22" i="2" s="1"/>
  <c r="E22" i="2" l="1"/>
  <c r="B23" i="2" s="1"/>
  <c r="C23" i="2" s="1"/>
  <c r="E23" i="2" l="1"/>
  <c r="B24" i="2" s="1"/>
  <c r="C24" i="2" s="1"/>
  <c r="E24" i="2" l="1"/>
  <c r="B25" i="2" s="1"/>
  <c r="C25" i="2" s="1"/>
  <c r="E25" i="2" l="1"/>
  <c r="B26" i="2" s="1"/>
  <c r="C26" i="2" s="1"/>
  <c r="E26" i="2" l="1"/>
</calcChain>
</file>

<file path=xl/sharedStrings.xml><?xml version="1.0" encoding="utf-8"?>
<sst xmlns="http://schemas.openxmlformats.org/spreadsheetml/2006/main" count="47" uniqueCount="15">
  <si>
    <t>PERÍODO</t>
  </si>
  <si>
    <t>JURO</t>
  </si>
  <si>
    <t>AMORTIZAÇÃO</t>
  </si>
  <si>
    <t>PARCELA</t>
  </si>
  <si>
    <t>VALOR FINANCIADO</t>
  </si>
  <si>
    <t>NÚMERO PARCELAS</t>
  </si>
  <si>
    <t>TAXA DE JUROS (MENSAL)</t>
  </si>
  <si>
    <t>VALOR ATUALIZADO</t>
  </si>
  <si>
    <t>SE TAXA DE JUROS FOR EFETIVA (a.a), LANÇAR NA CÉLULA LARANJA AO LADO ESSA TAXA, SENDO QUE A TAXA MENSAL EFETIVA SAIRÁ AUTOMATICAMENTE NA CÉLULA ROXA</t>
  </si>
  <si>
    <t>JUROS PAGOS EM CADA PERÍODO DA CARÊNCIA</t>
  </si>
  <si>
    <t>JUROS CAPITALIZADOS E PAGOS NA 1ª PARCELA</t>
  </si>
  <si>
    <t>JUROS CAPITALIZADOS E DILUÍDOS NA AMORTIZAÇÃO</t>
  </si>
  <si>
    <t>VALOR DA PRESTAÇÃO (PMT)</t>
  </si>
  <si>
    <t>EXEMPLO COM CARÊNCIA DE 3 MESES.</t>
  </si>
  <si>
    <t>SEM CARÊNCIA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</si>
</sst>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0.0000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22"/>
      <color theme="0"/>
      <name val="Times New Roman"/>
      <family val="1"/>
    </font>
    <font>
      <b/>
      <sz val="12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166" fontId="4" fillId="6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 applyProtection="1">
      <alignment horizontal="center" vertical="center"/>
      <protection locked="0"/>
    </xf>
    <xf numFmtId="0" fontId="3" fillId="3" borderId="1" xfId="1" applyNumberFormat="1" applyFont="1" applyFill="1" applyBorder="1" applyAlignment="1" applyProtection="1">
      <alignment horizontal="center" vertical="center"/>
      <protection locked="0"/>
    </xf>
    <xf numFmtId="164" fontId="3" fillId="3" borderId="2" xfId="2" applyNumberFormat="1" applyFont="1" applyFill="1" applyBorder="1" applyAlignment="1" applyProtection="1">
      <alignment horizontal="center" vertical="center"/>
      <protection locked="0"/>
    </xf>
    <xf numFmtId="165" fontId="2" fillId="4" borderId="1" xfId="2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4" fontId="2" fillId="0" borderId="1" xfId="1" applyFont="1" applyBorder="1" applyAlignment="1" applyProtection="1">
      <alignment horizontal="center" vertical="center"/>
      <protection locked="0"/>
    </xf>
    <xf numFmtId="44" fontId="2" fillId="2" borderId="1" xfId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1495425</xdr:colOff>
      <xdr:row>3</xdr:row>
      <xdr:rowOff>304800</xdr:rowOff>
    </xdr:from>
    <xdr:to>
      <xdr:col>4</xdr:col>
      <xdr:colOff>428625</xdr:colOff>
      <xdr:row>10</xdr:row>
      <xdr:rowOff>104775</xdr:rowOff>
    </xdr:to>
    <xdr:cxnSp macro="">
      <xdr:nvCxnSpPr>
        <xdr:cNvPr id="3" name="Conector de seta reta 2"/>
        <xdr:cNvCxnSpPr/>
      </xdr:nvCxnSpPr>
      <xdr:spPr>
        <a:xfrm flipH="1" flipV="1">
          <a:off x="4114800" y="904875"/>
          <a:ext cx="2647950" cy="186690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Views>
    <sheetView zoomScaleNormal="100" workbookViewId="0">
      <selection sqref="A1:E3"/>
    </sheetView>
  </sheetViews>
  <sheetFormatPr defaultRowHeight="15.7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3.28515625" style="1" customWidth="1"/>
    <col min="8" max="16384" width="9.140625" style="1"/>
  </cols>
  <sheetData>
    <row r="1" spans="1:6" x14ac:dyDescent="0.25">
      <c r="A1" s="26" t="s">
        <v>14</v>
      </c>
      <c r="B1" s="26"/>
      <c r="C1" s="26"/>
      <c r="D1" s="26"/>
      <c r="E1" s="26"/>
      <c r="F1" s="25"/>
    </row>
    <row r="2" spans="1:6" x14ac:dyDescent="0.25">
      <c r="A2" s="26"/>
      <c r="B2" s="26"/>
      <c r="C2" s="26"/>
      <c r="D2" s="26"/>
      <c r="E2" s="26"/>
      <c r="F2" s="25"/>
    </row>
    <row r="3" spans="1:6" x14ac:dyDescent="0.25">
      <c r="A3" s="26"/>
      <c r="B3" s="26"/>
      <c r="C3" s="26"/>
      <c r="D3" s="26"/>
      <c r="E3" s="26"/>
      <c r="F3" s="25"/>
    </row>
    <row r="4" spans="1:6" ht="30" customHeight="1" x14ac:dyDescent="0.25">
      <c r="A4" s="5" t="s">
        <v>4</v>
      </c>
      <c r="B4" s="5"/>
      <c r="C4" s="12">
        <v>240000</v>
      </c>
      <c r="D4" s="11" t="s">
        <v>12</v>
      </c>
      <c r="E4" s="3">
        <f>C4*((C6*(1+C6)^C5)/((1+C6)^C5-1))</f>
        <v>17540.239126054727</v>
      </c>
    </row>
    <row r="5" spans="1:6" ht="39.75" customHeight="1" x14ac:dyDescent="0.25">
      <c r="A5" s="5" t="s">
        <v>5</v>
      </c>
      <c r="B5" s="5"/>
      <c r="C5" s="13">
        <v>15</v>
      </c>
      <c r="D5" s="7" t="s">
        <v>8</v>
      </c>
      <c r="E5" s="7"/>
      <c r="F5" s="15">
        <v>0.15</v>
      </c>
    </row>
    <row r="6" spans="1:6" ht="30" customHeight="1" x14ac:dyDescent="0.25">
      <c r="A6" s="6" t="s">
        <v>6</v>
      </c>
      <c r="B6" s="6"/>
      <c r="C6" s="14">
        <f>F6</f>
        <v>1.171491691985338E-2</v>
      </c>
      <c r="D6" s="7"/>
      <c r="E6" s="7"/>
      <c r="F6" s="4">
        <f>(1+F5)^(1/12) -1</f>
        <v>1.171491691985338E-2</v>
      </c>
    </row>
    <row r="7" spans="1:6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7</v>
      </c>
    </row>
    <row r="8" spans="1:6" x14ac:dyDescent="0.25">
      <c r="A8" s="16">
        <v>0</v>
      </c>
      <c r="B8" s="17">
        <v>0</v>
      </c>
      <c r="C8" s="17">
        <v>0</v>
      </c>
      <c r="D8" s="17">
        <v>0</v>
      </c>
      <c r="E8" s="18">
        <f>C4</f>
        <v>240000</v>
      </c>
    </row>
    <row r="9" spans="1:6" x14ac:dyDescent="0.25">
      <c r="A9" s="16">
        <v>1</v>
      </c>
      <c r="B9" s="17">
        <f>E8*$C$6</f>
        <v>2811.5800607648112</v>
      </c>
      <c r="C9" s="17">
        <f>D9-B9</f>
        <v>14728.659065289916</v>
      </c>
      <c r="D9" s="17">
        <f>$E$4</f>
        <v>17540.239126054727</v>
      </c>
      <c r="E9" s="17">
        <f>E8-C9</f>
        <v>225271.34093471008</v>
      </c>
    </row>
    <row r="10" spans="1:6" x14ac:dyDescent="0.25">
      <c r="A10" s="16">
        <v>2</v>
      </c>
      <c r="B10" s="17">
        <f t="shared" ref="B10:B11" si="0">E9*$C$6</f>
        <v>2639.0350434740944</v>
      </c>
      <c r="C10" s="17">
        <f t="shared" ref="C10:C23" si="1">D10-B10</f>
        <v>14901.204082580633</v>
      </c>
      <c r="D10" s="17">
        <f>$E$4</f>
        <v>17540.239126054727</v>
      </c>
      <c r="E10" s="17">
        <f t="shared" ref="E10:E11" si="2">E9-C10</f>
        <v>210370.13685212945</v>
      </c>
    </row>
    <row r="11" spans="1:6" x14ac:dyDescent="0.25">
      <c r="A11" s="16">
        <f>A10+1</f>
        <v>3</v>
      </c>
      <c r="B11" s="17">
        <f t="shared" si="0"/>
        <v>2464.4686756408823</v>
      </c>
      <c r="C11" s="17">
        <f t="shared" si="1"/>
        <v>15075.770450413844</v>
      </c>
      <c r="D11" s="17">
        <f>$E$4</f>
        <v>17540.239126054727</v>
      </c>
      <c r="E11" s="17">
        <f t="shared" si="2"/>
        <v>195294.36640171561</v>
      </c>
    </row>
    <row r="12" spans="1:6" x14ac:dyDescent="0.25">
      <c r="A12" s="16">
        <f t="shared" ref="A12:A68" si="3">A11+1</f>
        <v>4</v>
      </c>
      <c r="B12" s="17">
        <f t="shared" ref="B12:B19" si="4">E11*$C$6</f>
        <v>2287.8572773115038</v>
      </c>
      <c r="C12" s="17">
        <f t="shared" si="1"/>
        <v>15252.381848743222</v>
      </c>
      <c r="D12" s="17">
        <f>$E$4</f>
        <v>17540.239126054727</v>
      </c>
      <c r="E12" s="17">
        <f t="shared" ref="E12:E19" si="5">E11-C12</f>
        <v>180041.9845529724</v>
      </c>
    </row>
    <row r="13" spans="1:6" x14ac:dyDescent="0.25">
      <c r="A13" s="16">
        <f t="shared" si="3"/>
        <v>5</v>
      </c>
      <c r="B13" s="17">
        <f t="shared" si="4"/>
        <v>2109.1768911235972</v>
      </c>
      <c r="C13" s="17">
        <f t="shared" si="1"/>
        <v>15431.062234931129</v>
      </c>
      <c r="D13" s="17">
        <f>$E$4</f>
        <v>17540.239126054727</v>
      </c>
      <c r="E13" s="17">
        <f t="shared" si="5"/>
        <v>164610.92231804127</v>
      </c>
    </row>
    <row r="14" spans="1:6" x14ac:dyDescent="0.25">
      <c r="A14" s="16">
        <f t="shared" si="3"/>
        <v>6</v>
      </c>
      <c r="B14" s="17">
        <f t="shared" si="4"/>
        <v>1928.4032790562919</v>
      </c>
      <c r="C14" s="17">
        <f t="shared" si="1"/>
        <v>15611.835846998434</v>
      </c>
      <c r="D14" s="17">
        <f>$E$4</f>
        <v>17540.239126054727</v>
      </c>
      <c r="E14" s="17">
        <f t="shared" si="5"/>
        <v>148999.08647104283</v>
      </c>
    </row>
    <row r="15" spans="1:6" x14ac:dyDescent="0.25">
      <c r="A15" s="16">
        <f t="shared" si="3"/>
        <v>7</v>
      </c>
      <c r="B15" s="17">
        <f t="shared" si="4"/>
        <v>1745.5119191423164</v>
      </c>
      <c r="C15" s="17">
        <f t="shared" si="1"/>
        <v>15794.72720691241</v>
      </c>
      <c r="D15" s="17">
        <f>$E$4</f>
        <v>17540.239126054727</v>
      </c>
      <c r="E15" s="17">
        <f t="shared" si="5"/>
        <v>133204.35926413041</v>
      </c>
    </row>
    <row r="16" spans="1:6" x14ac:dyDescent="0.25">
      <c r="A16" s="16">
        <f t="shared" si="3"/>
        <v>8</v>
      </c>
      <c r="B16" s="17">
        <f t="shared" si="4"/>
        <v>1560.4780021415897</v>
      </c>
      <c r="C16" s="17">
        <f t="shared" si="1"/>
        <v>15979.761123913137</v>
      </c>
      <c r="D16" s="17">
        <f>$E$4</f>
        <v>17540.239126054727</v>
      </c>
      <c r="E16" s="17">
        <f t="shared" si="5"/>
        <v>117224.59814021728</v>
      </c>
    </row>
    <row r="17" spans="1:5" x14ac:dyDescent="0.25">
      <c r="A17" s="16">
        <f t="shared" si="3"/>
        <v>9</v>
      </c>
      <c r="B17" s="17">
        <f t="shared" si="4"/>
        <v>1373.2764281758443</v>
      </c>
      <c r="C17" s="17">
        <f t="shared" si="1"/>
        <v>16166.962697878882</v>
      </c>
      <c r="D17" s="17">
        <f>$E$4</f>
        <v>17540.239126054727</v>
      </c>
      <c r="E17" s="17">
        <f t="shared" si="5"/>
        <v>101057.63544233839</v>
      </c>
    </row>
    <row r="18" spans="1:5" x14ac:dyDescent="0.25">
      <c r="A18" s="16">
        <f t="shared" si="3"/>
        <v>10</v>
      </c>
      <c r="B18" s="17">
        <f t="shared" si="4"/>
        <v>1183.8818033238247</v>
      </c>
      <c r="C18" s="17">
        <f t="shared" si="1"/>
        <v>16356.357322730903</v>
      </c>
      <c r="D18" s="17">
        <f>$E$4</f>
        <v>17540.239126054727</v>
      </c>
      <c r="E18" s="17">
        <f t="shared" si="5"/>
        <v>84701.278119607479</v>
      </c>
    </row>
    <row r="19" spans="1:5" x14ac:dyDescent="0.25">
      <c r="A19" s="16">
        <f t="shared" si="3"/>
        <v>11</v>
      </c>
      <c r="B19" s="17">
        <f t="shared" si="4"/>
        <v>992.26843617659654</v>
      </c>
      <c r="C19" s="17">
        <f t="shared" si="1"/>
        <v>16547.97068987813</v>
      </c>
      <c r="D19" s="17">
        <f>$E$4</f>
        <v>17540.239126054727</v>
      </c>
      <c r="E19" s="17">
        <f t="shared" si="5"/>
        <v>68153.30742972935</v>
      </c>
    </row>
    <row r="20" spans="1:5" x14ac:dyDescent="0.25">
      <c r="A20" s="16">
        <f t="shared" si="3"/>
        <v>12</v>
      </c>
      <c r="B20" s="17">
        <f t="shared" ref="B20:B68" si="6">E19*$C$6</f>
        <v>798.4103343525054</v>
      </c>
      <c r="C20" s="17">
        <f t="shared" si="1"/>
        <v>16741.828791702221</v>
      </c>
      <c r="D20" s="17">
        <f>$E$4</f>
        <v>17540.239126054727</v>
      </c>
      <c r="E20" s="17">
        <f t="shared" ref="E20:E68" si="7">E19-C20</f>
        <v>51411.478638027125</v>
      </c>
    </row>
    <row r="21" spans="1:5" x14ac:dyDescent="0.25">
      <c r="A21" s="16">
        <f t="shared" si="3"/>
        <v>13</v>
      </c>
      <c r="B21" s="17">
        <f t="shared" si="6"/>
        <v>602.28120097130454</v>
      </c>
      <c r="C21" s="17">
        <f t="shared" si="1"/>
        <v>16937.957925083421</v>
      </c>
      <c r="D21" s="17">
        <f>$E$4</f>
        <v>17540.239126054727</v>
      </c>
      <c r="E21" s="17">
        <f t="shared" si="7"/>
        <v>34473.520712943704</v>
      </c>
    </row>
    <row r="22" spans="1:5" x14ac:dyDescent="0.25">
      <c r="A22" s="16">
        <f t="shared" si="3"/>
        <v>14</v>
      </c>
      <c r="B22" s="17">
        <f t="shared" si="6"/>
        <v>403.85443108698013</v>
      </c>
      <c r="C22" s="17">
        <f t="shared" si="1"/>
        <v>17136.384694967746</v>
      </c>
      <c r="D22" s="17">
        <f>$E$4</f>
        <v>17540.239126054727</v>
      </c>
      <c r="E22" s="17">
        <f t="shared" si="7"/>
        <v>17337.136017975958</v>
      </c>
    </row>
    <row r="23" spans="1:5" x14ac:dyDescent="0.25">
      <c r="A23" s="19">
        <f t="shared" si="3"/>
        <v>15</v>
      </c>
      <c r="B23" s="18">
        <f t="shared" si="6"/>
        <v>203.10310807878599</v>
      </c>
      <c r="C23" s="18">
        <f t="shared" si="1"/>
        <v>17337.136017975939</v>
      </c>
      <c r="D23" s="18">
        <f>$E$4</f>
        <v>17540.239126054727</v>
      </c>
      <c r="E23" s="18">
        <f t="shared" si="7"/>
        <v>0</v>
      </c>
    </row>
    <row r="24" spans="1:5" x14ac:dyDescent="0.25">
      <c r="A24" s="16">
        <f t="shared" si="3"/>
        <v>16</v>
      </c>
      <c r="B24" s="17">
        <f t="shared" si="6"/>
        <v>0</v>
      </c>
      <c r="C24" s="17">
        <f>$E$4</f>
        <v>17540.239126054727</v>
      </c>
      <c r="D24" s="17">
        <f t="shared" ref="D24:D68" si="8">C24+B24</f>
        <v>17540.239126054727</v>
      </c>
      <c r="E24" s="17">
        <f t="shared" si="7"/>
        <v>-17540.239126054727</v>
      </c>
    </row>
    <row r="25" spans="1:5" x14ac:dyDescent="0.25">
      <c r="A25" s="16">
        <f t="shared" si="3"/>
        <v>17</v>
      </c>
      <c r="B25" s="17">
        <f t="shared" si="6"/>
        <v>-205.48244411609278</v>
      </c>
      <c r="C25" s="17">
        <f>$E$4</f>
        <v>17540.239126054727</v>
      </c>
      <c r="D25" s="17">
        <f t="shared" si="8"/>
        <v>17334.756681938634</v>
      </c>
      <c r="E25" s="17">
        <f t="shared" si="7"/>
        <v>-35080.478252109453</v>
      </c>
    </row>
    <row r="26" spans="1:5" x14ac:dyDescent="0.25">
      <c r="A26" s="16">
        <f t="shared" si="3"/>
        <v>18</v>
      </c>
      <c r="B26" s="17">
        <f t="shared" si="6"/>
        <v>-410.96488823218556</v>
      </c>
      <c r="C26" s="17">
        <f>$E$4</f>
        <v>17540.239126054727</v>
      </c>
      <c r="D26" s="17">
        <f t="shared" si="8"/>
        <v>17129.274237822541</v>
      </c>
      <c r="E26" s="17">
        <f t="shared" si="7"/>
        <v>-52620.717378164176</v>
      </c>
    </row>
    <row r="27" spans="1:5" x14ac:dyDescent="0.25">
      <c r="A27" s="16">
        <f t="shared" si="3"/>
        <v>19</v>
      </c>
      <c r="B27" s="17">
        <f t="shared" si="6"/>
        <v>-616.44733234827834</v>
      </c>
      <c r="C27" s="17">
        <f>$E$4</f>
        <v>17540.239126054727</v>
      </c>
      <c r="D27" s="17">
        <f t="shared" si="8"/>
        <v>16923.791793706449</v>
      </c>
      <c r="E27" s="17">
        <f t="shared" si="7"/>
        <v>-70160.956504218906</v>
      </c>
    </row>
    <row r="28" spans="1:5" x14ac:dyDescent="0.25">
      <c r="A28" s="16">
        <f t="shared" si="3"/>
        <v>20</v>
      </c>
      <c r="B28" s="17">
        <f t="shared" si="6"/>
        <v>-821.92977646437112</v>
      </c>
      <c r="C28" s="17">
        <f>$E$4</f>
        <v>17540.239126054727</v>
      </c>
      <c r="D28" s="17">
        <f t="shared" si="8"/>
        <v>16718.309349590356</v>
      </c>
      <c r="E28" s="17">
        <f t="shared" si="7"/>
        <v>-87701.195630273636</v>
      </c>
    </row>
    <row r="29" spans="1:5" x14ac:dyDescent="0.25">
      <c r="A29" s="16">
        <f t="shared" si="3"/>
        <v>21</v>
      </c>
      <c r="B29" s="17">
        <f t="shared" si="6"/>
        <v>-1027.412220580464</v>
      </c>
      <c r="C29" s="17">
        <f>$E$4</f>
        <v>17540.239126054727</v>
      </c>
      <c r="D29" s="17">
        <f t="shared" si="8"/>
        <v>16512.826905474263</v>
      </c>
      <c r="E29" s="17">
        <f t="shared" si="7"/>
        <v>-105241.43475632837</v>
      </c>
    </row>
    <row r="30" spans="1:5" x14ac:dyDescent="0.25">
      <c r="A30" s="16">
        <f t="shared" si="3"/>
        <v>22</v>
      </c>
      <c r="B30" s="17">
        <f t="shared" si="6"/>
        <v>-1232.8946646965567</v>
      </c>
      <c r="C30" s="17">
        <f>$E$4</f>
        <v>17540.239126054727</v>
      </c>
      <c r="D30" s="17">
        <f t="shared" si="8"/>
        <v>16307.344461358171</v>
      </c>
      <c r="E30" s="17">
        <f t="shared" si="7"/>
        <v>-122781.6738823831</v>
      </c>
    </row>
    <row r="31" spans="1:5" x14ac:dyDescent="0.25">
      <c r="A31" s="16">
        <f t="shared" si="3"/>
        <v>23</v>
      </c>
      <c r="B31" s="17">
        <f t="shared" si="6"/>
        <v>-1438.3771088126496</v>
      </c>
      <c r="C31" s="17">
        <f>$E$4</f>
        <v>17540.239126054727</v>
      </c>
      <c r="D31" s="17">
        <f t="shared" si="8"/>
        <v>16101.862017242078</v>
      </c>
      <c r="E31" s="17">
        <f t="shared" si="7"/>
        <v>-140321.91300843781</v>
      </c>
    </row>
    <row r="32" spans="1:5" x14ac:dyDescent="0.25">
      <c r="A32" s="16">
        <f t="shared" si="3"/>
        <v>24</v>
      </c>
      <c r="B32" s="17">
        <f t="shared" si="6"/>
        <v>-1643.8595529287422</v>
      </c>
      <c r="C32" s="17">
        <f>$E$4</f>
        <v>17540.239126054727</v>
      </c>
      <c r="D32" s="17">
        <f t="shared" si="8"/>
        <v>15896.379573125985</v>
      </c>
      <c r="E32" s="17">
        <f t="shared" si="7"/>
        <v>-157862.15213449253</v>
      </c>
    </row>
    <row r="33" spans="1:5" x14ac:dyDescent="0.25">
      <c r="A33" s="16">
        <f t="shared" si="3"/>
        <v>25</v>
      </c>
      <c r="B33" s="17">
        <f t="shared" si="6"/>
        <v>-1849.3419970448349</v>
      </c>
      <c r="C33" s="17">
        <f>$E$4</f>
        <v>17540.239126054727</v>
      </c>
      <c r="D33" s="17">
        <f t="shared" si="8"/>
        <v>15690.897129009893</v>
      </c>
      <c r="E33" s="17">
        <f t="shared" si="7"/>
        <v>-175402.39126054724</v>
      </c>
    </row>
    <row r="34" spans="1:5" x14ac:dyDescent="0.25">
      <c r="A34" s="16">
        <f t="shared" si="3"/>
        <v>26</v>
      </c>
      <c r="B34" s="17">
        <f t="shared" si="6"/>
        <v>-2054.8244411609276</v>
      </c>
      <c r="C34" s="17">
        <f>$E$4</f>
        <v>17540.239126054727</v>
      </c>
      <c r="D34" s="17">
        <f t="shared" si="8"/>
        <v>15485.4146848938</v>
      </c>
      <c r="E34" s="17">
        <f t="shared" si="7"/>
        <v>-192942.63038660196</v>
      </c>
    </row>
    <row r="35" spans="1:5" x14ac:dyDescent="0.25">
      <c r="A35" s="16">
        <f t="shared" si="3"/>
        <v>27</v>
      </c>
      <c r="B35" s="17">
        <f t="shared" si="6"/>
        <v>-2260.3068852770202</v>
      </c>
      <c r="C35" s="17">
        <f>$E$4</f>
        <v>17540.239126054727</v>
      </c>
      <c r="D35" s="17">
        <f t="shared" si="8"/>
        <v>15279.932240777707</v>
      </c>
      <c r="E35" s="17">
        <f t="shared" si="7"/>
        <v>-210482.86951265667</v>
      </c>
    </row>
    <row r="36" spans="1:5" x14ac:dyDescent="0.25">
      <c r="A36" s="16">
        <f t="shared" si="3"/>
        <v>28</v>
      </c>
      <c r="B36" s="17">
        <f t="shared" si="6"/>
        <v>-2465.7893293931129</v>
      </c>
      <c r="C36" s="17">
        <f>$E$4</f>
        <v>17540.239126054727</v>
      </c>
      <c r="D36" s="17">
        <f t="shared" si="8"/>
        <v>15074.449796661615</v>
      </c>
      <c r="E36" s="17">
        <f t="shared" si="7"/>
        <v>-228023.10863871139</v>
      </c>
    </row>
    <row r="37" spans="1:5" x14ac:dyDescent="0.25">
      <c r="A37" s="16">
        <f t="shared" si="3"/>
        <v>29</v>
      </c>
      <c r="B37" s="17">
        <f t="shared" si="6"/>
        <v>-2671.2717735092056</v>
      </c>
      <c r="C37" s="17">
        <f>$E$4</f>
        <v>17540.239126054727</v>
      </c>
      <c r="D37" s="17">
        <f t="shared" si="8"/>
        <v>14868.967352545522</v>
      </c>
      <c r="E37" s="17">
        <f t="shared" si="7"/>
        <v>-245563.34776476611</v>
      </c>
    </row>
    <row r="38" spans="1:5" x14ac:dyDescent="0.25">
      <c r="A38" s="16">
        <f t="shared" si="3"/>
        <v>30</v>
      </c>
      <c r="B38" s="17">
        <f t="shared" si="6"/>
        <v>-2876.7542176252982</v>
      </c>
      <c r="C38" s="17">
        <f>$E$4</f>
        <v>17540.239126054727</v>
      </c>
      <c r="D38" s="17">
        <f t="shared" si="8"/>
        <v>14663.484908429429</v>
      </c>
      <c r="E38" s="17">
        <f t="shared" si="7"/>
        <v>-263103.58689082082</v>
      </c>
    </row>
    <row r="39" spans="1:5" x14ac:dyDescent="0.25">
      <c r="A39" s="16">
        <f t="shared" si="3"/>
        <v>31</v>
      </c>
      <c r="B39" s="17">
        <f t="shared" si="6"/>
        <v>-3082.2366617413909</v>
      </c>
      <c r="C39" s="17">
        <f>$E$4</f>
        <v>17540.239126054727</v>
      </c>
      <c r="D39" s="17">
        <f t="shared" si="8"/>
        <v>14458.002464313337</v>
      </c>
      <c r="E39" s="17">
        <f t="shared" si="7"/>
        <v>-280643.82601687557</v>
      </c>
    </row>
    <row r="40" spans="1:5" x14ac:dyDescent="0.25">
      <c r="A40" s="16">
        <f t="shared" si="3"/>
        <v>32</v>
      </c>
      <c r="B40" s="17">
        <f t="shared" si="6"/>
        <v>-3287.7191058574836</v>
      </c>
      <c r="C40" s="17">
        <f>$E$4</f>
        <v>17540.239126054727</v>
      </c>
      <c r="D40" s="17">
        <f t="shared" si="8"/>
        <v>14252.520020197244</v>
      </c>
      <c r="E40" s="17">
        <f t="shared" si="7"/>
        <v>-298184.06514293031</v>
      </c>
    </row>
    <row r="41" spans="1:5" x14ac:dyDescent="0.25">
      <c r="A41" s="16">
        <f t="shared" si="3"/>
        <v>33</v>
      </c>
      <c r="B41" s="17">
        <f t="shared" si="6"/>
        <v>-3493.2015499735767</v>
      </c>
      <c r="C41" s="17">
        <f>$E$4</f>
        <v>17540.239126054727</v>
      </c>
      <c r="D41" s="17">
        <f t="shared" si="8"/>
        <v>14047.037576081149</v>
      </c>
      <c r="E41" s="17">
        <f t="shared" si="7"/>
        <v>-315724.30426898506</v>
      </c>
    </row>
    <row r="42" spans="1:5" x14ac:dyDescent="0.25">
      <c r="A42" s="16">
        <f t="shared" si="3"/>
        <v>34</v>
      </c>
      <c r="B42" s="17">
        <f t="shared" si="6"/>
        <v>-3698.6839940896698</v>
      </c>
      <c r="C42" s="17">
        <f>$E$4</f>
        <v>17540.239126054727</v>
      </c>
      <c r="D42" s="17">
        <f t="shared" si="8"/>
        <v>13841.555131965057</v>
      </c>
      <c r="E42" s="17">
        <f t="shared" si="7"/>
        <v>-333264.5433950398</v>
      </c>
    </row>
    <row r="43" spans="1:5" x14ac:dyDescent="0.25">
      <c r="A43" s="16">
        <f t="shared" si="3"/>
        <v>35</v>
      </c>
      <c r="B43" s="17">
        <f t="shared" si="6"/>
        <v>-3904.1664382057625</v>
      </c>
      <c r="C43" s="17">
        <f>$E$4</f>
        <v>17540.239126054727</v>
      </c>
      <c r="D43" s="17">
        <f t="shared" si="8"/>
        <v>13636.072687848964</v>
      </c>
      <c r="E43" s="17">
        <f t="shared" si="7"/>
        <v>-350804.78252109454</v>
      </c>
    </row>
    <row r="44" spans="1:5" x14ac:dyDescent="0.25">
      <c r="A44" s="16">
        <f t="shared" si="3"/>
        <v>36</v>
      </c>
      <c r="B44" s="17">
        <f t="shared" si="6"/>
        <v>-4109.648882321856</v>
      </c>
      <c r="C44" s="17">
        <f>$E$4</f>
        <v>17540.239126054727</v>
      </c>
      <c r="D44" s="17">
        <f t="shared" si="8"/>
        <v>13430.59024373287</v>
      </c>
      <c r="E44" s="17">
        <f t="shared" si="7"/>
        <v>-368345.02164714929</v>
      </c>
    </row>
    <row r="45" spans="1:5" x14ac:dyDescent="0.25">
      <c r="A45" s="16">
        <f t="shared" si="3"/>
        <v>37</v>
      </c>
      <c r="B45" s="17">
        <f t="shared" si="6"/>
        <v>-4315.1313264379487</v>
      </c>
      <c r="C45" s="17">
        <f>$E$4</f>
        <v>17540.239126054727</v>
      </c>
      <c r="D45" s="17">
        <f t="shared" si="8"/>
        <v>13225.107799616777</v>
      </c>
      <c r="E45" s="17">
        <f t="shared" si="7"/>
        <v>-385885.26077320403</v>
      </c>
    </row>
    <row r="46" spans="1:5" x14ac:dyDescent="0.25">
      <c r="A46" s="16">
        <f t="shared" si="3"/>
        <v>38</v>
      </c>
      <c r="B46" s="17">
        <f t="shared" si="6"/>
        <v>-4520.6137705540414</v>
      </c>
      <c r="C46" s="17">
        <f>$E$4</f>
        <v>17540.239126054727</v>
      </c>
      <c r="D46" s="17">
        <f t="shared" si="8"/>
        <v>13019.625355500684</v>
      </c>
      <c r="E46" s="17">
        <f t="shared" si="7"/>
        <v>-403425.49989925878</v>
      </c>
    </row>
    <row r="47" spans="1:5" x14ac:dyDescent="0.25">
      <c r="A47" s="16">
        <f t="shared" si="3"/>
        <v>39</v>
      </c>
      <c r="B47" s="17">
        <f t="shared" si="6"/>
        <v>-4726.0962146701349</v>
      </c>
      <c r="C47" s="17">
        <f>$E$4</f>
        <v>17540.239126054727</v>
      </c>
      <c r="D47" s="17">
        <f t="shared" si="8"/>
        <v>12814.142911384592</v>
      </c>
      <c r="E47" s="17">
        <f t="shared" si="7"/>
        <v>-420965.73902531352</v>
      </c>
    </row>
    <row r="48" spans="1:5" x14ac:dyDescent="0.25">
      <c r="A48" s="16">
        <f t="shared" si="3"/>
        <v>40</v>
      </c>
      <c r="B48" s="17">
        <f t="shared" si="6"/>
        <v>-4931.5786587862276</v>
      </c>
      <c r="C48" s="17">
        <f>$E$4</f>
        <v>17540.239126054727</v>
      </c>
      <c r="D48" s="17">
        <f t="shared" si="8"/>
        <v>12608.660467268499</v>
      </c>
      <c r="E48" s="17">
        <f t="shared" si="7"/>
        <v>-438505.97815136827</v>
      </c>
    </row>
    <row r="49" spans="1:5" x14ac:dyDescent="0.25">
      <c r="A49" s="16">
        <f t="shared" si="3"/>
        <v>41</v>
      </c>
      <c r="B49" s="17">
        <f t="shared" si="6"/>
        <v>-5137.0611029023203</v>
      </c>
      <c r="C49" s="17">
        <f>$E$4</f>
        <v>17540.239126054727</v>
      </c>
      <c r="D49" s="17">
        <f t="shared" si="8"/>
        <v>12403.178023152406</v>
      </c>
      <c r="E49" s="17">
        <f t="shared" si="7"/>
        <v>-456046.21727742301</v>
      </c>
    </row>
    <row r="50" spans="1:5" x14ac:dyDescent="0.25">
      <c r="A50" s="16">
        <f t="shared" si="3"/>
        <v>42</v>
      </c>
      <c r="B50" s="17">
        <f t="shared" si="6"/>
        <v>-5342.5435470184138</v>
      </c>
      <c r="C50" s="17">
        <f>$E$4</f>
        <v>17540.239126054727</v>
      </c>
      <c r="D50" s="17">
        <f t="shared" si="8"/>
        <v>12197.695579036314</v>
      </c>
      <c r="E50" s="17">
        <f t="shared" si="7"/>
        <v>-473586.45640347776</v>
      </c>
    </row>
    <row r="51" spans="1:5" x14ac:dyDescent="0.25">
      <c r="A51" s="16">
        <f t="shared" si="3"/>
        <v>43</v>
      </c>
      <c r="B51" s="17">
        <f t="shared" si="6"/>
        <v>-5548.0259911345065</v>
      </c>
      <c r="C51" s="17">
        <f>$E$4</f>
        <v>17540.239126054727</v>
      </c>
      <c r="D51" s="17">
        <f t="shared" si="8"/>
        <v>11992.213134920221</v>
      </c>
      <c r="E51" s="17">
        <f t="shared" si="7"/>
        <v>-491126.6955295325</v>
      </c>
    </row>
    <row r="52" spans="1:5" x14ac:dyDescent="0.25">
      <c r="A52" s="16">
        <f t="shared" si="3"/>
        <v>44</v>
      </c>
      <c r="B52" s="17">
        <f t="shared" si="6"/>
        <v>-5753.5084352505992</v>
      </c>
      <c r="C52" s="17">
        <f>$E$4</f>
        <v>17540.239126054727</v>
      </c>
      <c r="D52" s="17">
        <f t="shared" si="8"/>
        <v>11786.730690804128</v>
      </c>
      <c r="E52" s="17">
        <f t="shared" si="7"/>
        <v>-508666.93465558725</v>
      </c>
    </row>
    <row r="53" spans="1:5" x14ac:dyDescent="0.25">
      <c r="A53" s="16">
        <f t="shared" si="3"/>
        <v>45</v>
      </c>
      <c r="B53" s="17">
        <f t="shared" si="6"/>
        <v>-5958.9908793666928</v>
      </c>
      <c r="C53" s="17">
        <f>$E$4</f>
        <v>17540.239126054727</v>
      </c>
      <c r="D53" s="17">
        <f t="shared" si="8"/>
        <v>11581.248246688034</v>
      </c>
      <c r="E53" s="17">
        <f t="shared" si="7"/>
        <v>-526207.17378164199</v>
      </c>
    </row>
    <row r="54" spans="1:5" x14ac:dyDescent="0.25">
      <c r="A54" s="16">
        <f t="shared" si="3"/>
        <v>46</v>
      </c>
      <c r="B54" s="17">
        <f t="shared" si="6"/>
        <v>-6164.4733234827854</v>
      </c>
      <c r="C54" s="17">
        <f>$E$4</f>
        <v>17540.239126054727</v>
      </c>
      <c r="D54" s="17">
        <f t="shared" si="8"/>
        <v>11375.765802571941</v>
      </c>
      <c r="E54" s="17">
        <f t="shared" si="7"/>
        <v>-543747.41290769668</v>
      </c>
    </row>
    <row r="55" spans="1:5" x14ac:dyDescent="0.25">
      <c r="A55" s="16">
        <f t="shared" si="3"/>
        <v>47</v>
      </c>
      <c r="B55" s="17">
        <f t="shared" si="6"/>
        <v>-6369.9557675988781</v>
      </c>
      <c r="C55" s="17">
        <f>$E$4</f>
        <v>17540.239126054727</v>
      </c>
      <c r="D55" s="17">
        <f t="shared" si="8"/>
        <v>11170.283358455848</v>
      </c>
      <c r="E55" s="17">
        <f t="shared" si="7"/>
        <v>-561287.65203375136</v>
      </c>
    </row>
    <row r="56" spans="1:5" x14ac:dyDescent="0.25">
      <c r="A56" s="16">
        <f t="shared" si="3"/>
        <v>48</v>
      </c>
      <c r="B56" s="17">
        <f t="shared" si="6"/>
        <v>-6575.4382117149698</v>
      </c>
      <c r="C56" s="17">
        <f>$E$4</f>
        <v>17540.239126054727</v>
      </c>
      <c r="D56" s="17">
        <f t="shared" si="8"/>
        <v>10964.800914339758</v>
      </c>
      <c r="E56" s="17">
        <f t="shared" si="7"/>
        <v>-578827.89115980605</v>
      </c>
    </row>
    <row r="57" spans="1:5" x14ac:dyDescent="0.25">
      <c r="A57" s="16">
        <f t="shared" si="3"/>
        <v>49</v>
      </c>
      <c r="B57" s="17">
        <f t="shared" si="6"/>
        <v>-6780.9206558310625</v>
      </c>
      <c r="C57" s="17">
        <f>$E$4</f>
        <v>17540.239126054727</v>
      </c>
      <c r="D57" s="17">
        <f t="shared" si="8"/>
        <v>10759.318470223665</v>
      </c>
      <c r="E57" s="17">
        <f t="shared" si="7"/>
        <v>-596368.13028586074</v>
      </c>
    </row>
    <row r="58" spans="1:5" x14ac:dyDescent="0.25">
      <c r="A58" s="16">
        <f t="shared" si="3"/>
        <v>50</v>
      </c>
      <c r="B58" s="17">
        <f t="shared" si="6"/>
        <v>-6986.4030999471552</v>
      </c>
      <c r="C58" s="17">
        <f>$E$4</f>
        <v>17540.239126054727</v>
      </c>
      <c r="D58" s="17">
        <f t="shared" si="8"/>
        <v>10553.836026107572</v>
      </c>
      <c r="E58" s="17">
        <f t="shared" si="7"/>
        <v>-613908.36941191542</v>
      </c>
    </row>
    <row r="59" spans="1:5" x14ac:dyDescent="0.25">
      <c r="A59" s="16">
        <f t="shared" si="3"/>
        <v>51</v>
      </c>
      <c r="B59" s="17">
        <f t="shared" si="6"/>
        <v>-7191.8855440632469</v>
      </c>
      <c r="C59" s="17">
        <f>$E$4</f>
        <v>17540.239126054727</v>
      </c>
      <c r="D59" s="17">
        <f t="shared" si="8"/>
        <v>10348.35358199148</v>
      </c>
      <c r="E59" s="17">
        <f t="shared" si="7"/>
        <v>-631448.60853797011</v>
      </c>
    </row>
    <row r="60" spans="1:5" x14ac:dyDescent="0.25">
      <c r="A60" s="16">
        <f t="shared" si="3"/>
        <v>52</v>
      </c>
      <c r="B60" s="17">
        <f t="shared" si="6"/>
        <v>-7397.3679881793396</v>
      </c>
      <c r="C60" s="17">
        <f>$E$4</f>
        <v>17540.239126054727</v>
      </c>
      <c r="D60" s="17">
        <f t="shared" si="8"/>
        <v>10142.871137875387</v>
      </c>
      <c r="E60" s="17">
        <f t="shared" si="7"/>
        <v>-648988.8476640248</v>
      </c>
    </row>
    <row r="61" spans="1:5" x14ac:dyDescent="0.25">
      <c r="A61" s="16">
        <f t="shared" si="3"/>
        <v>53</v>
      </c>
      <c r="B61" s="17">
        <f t="shared" si="6"/>
        <v>-7602.8504322954313</v>
      </c>
      <c r="C61" s="17">
        <f>$E$4</f>
        <v>17540.239126054727</v>
      </c>
      <c r="D61" s="17">
        <f t="shared" si="8"/>
        <v>9937.3886937592943</v>
      </c>
      <c r="E61" s="17">
        <f t="shared" si="7"/>
        <v>-666529.08679007948</v>
      </c>
    </row>
    <row r="62" spans="1:5" x14ac:dyDescent="0.25">
      <c r="A62" s="16">
        <f t="shared" si="3"/>
        <v>54</v>
      </c>
      <c r="B62" s="17">
        <f t="shared" si="6"/>
        <v>-7808.332876411524</v>
      </c>
      <c r="C62" s="17">
        <f>$E$4</f>
        <v>17540.239126054727</v>
      </c>
      <c r="D62" s="17">
        <f t="shared" si="8"/>
        <v>9731.9062496432016</v>
      </c>
      <c r="E62" s="17">
        <f t="shared" si="7"/>
        <v>-684069.32591613417</v>
      </c>
    </row>
    <row r="63" spans="1:5" x14ac:dyDescent="0.25">
      <c r="A63" s="16">
        <f t="shared" si="3"/>
        <v>55</v>
      </c>
      <c r="B63" s="17">
        <f t="shared" si="6"/>
        <v>-8013.8153205276167</v>
      </c>
      <c r="C63" s="17">
        <f>$E$4</f>
        <v>17540.239126054727</v>
      </c>
      <c r="D63" s="17">
        <f t="shared" si="8"/>
        <v>9526.4238055271089</v>
      </c>
      <c r="E63" s="17">
        <f t="shared" si="7"/>
        <v>-701609.56504218886</v>
      </c>
    </row>
    <row r="64" spans="1:5" x14ac:dyDescent="0.25">
      <c r="A64" s="16">
        <f t="shared" si="3"/>
        <v>56</v>
      </c>
      <c r="B64" s="17">
        <f t="shared" si="6"/>
        <v>-8219.2977646437084</v>
      </c>
      <c r="C64" s="17">
        <f>$E$4</f>
        <v>17540.239126054727</v>
      </c>
      <c r="D64" s="17">
        <f t="shared" si="8"/>
        <v>9320.9413614110181</v>
      </c>
      <c r="E64" s="17">
        <f t="shared" si="7"/>
        <v>-719149.80416824354</v>
      </c>
    </row>
    <row r="65" spans="1:5" x14ac:dyDescent="0.25">
      <c r="A65" s="16">
        <f t="shared" si="3"/>
        <v>57</v>
      </c>
      <c r="B65" s="17">
        <f t="shared" si="6"/>
        <v>-8424.7802087598011</v>
      </c>
      <c r="C65" s="17">
        <f>$E$4</f>
        <v>17540.239126054727</v>
      </c>
      <c r="D65" s="17">
        <f t="shared" si="8"/>
        <v>9115.4589172949254</v>
      </c>
      <c r="E65" s="17">
        <f t="shared" si="7"/>
        <v>-736690.04329429823</v>
      </c>
    </row>
    <row r="66" spans="1:5" x14ac:dyDescent="0.25">
      <c r="A66" s="16">
        <f t="shared" si="3"/>
        <v>58</v>
      </c>
      <c r="B66" s="17">
        <f t="shared" si="6"/>
        <v>-8630.2626528758938</v>
      </c>
      <c r="C66" s="17">
        <f>$E$4</f>
        <v>17540.239126054727</v>
      </c>
      <c r="D66" s="17">
        <f t="shared" si="8"/>
        <v>8909.9764731788327</v>
      </c>
      <c r="E66" s="17">
        <f t="shared" si="7"/>
        <v>-754230.28242035292</v>
      </c>
    </row>
    <row r="67" spans="1:5" x14ac:dyDescent="0.25">
      <c r="A67" s="16">
        <f t="shared" si="3"/>
        <v>59</v>
      </c>
      <c r="B67" s="17">
        <f t="shared" si="6"/>
        <v>-8835.7450969919864</v>
      </c>
      <c r="C67" s="17">
        <f>$E$4</f>
        <v>17540.239126054727</v>
      </c>
      <c r="D67" s="17">
        <f t="shared" si="8"/>
        <v>8704.4940290627401</v>
      </c>
      <c r="E67" s="17">
        <f t="shared" si="7"/>
        <v>-771770.5215464076</v>
      </c>
    </row>
    <row r="68" spans="1:5" x14ac:dyDescent="0.25">
      <c r="A68" s="16">
        <f t="shared" si="3"/>
        <v>60</v>
      </c>
      <c r="B68" s="17">
        <f t="shared" si="6"/>
        <v>-9041.2275411080773</v>
      </c>
      <c r="C68" s="17">
        <f>$E$4</f>
        <v>17540.239126054727</v>
      </c>
      <c r="D68" s="17">
        <f t="shared" si="8"/>
        <v>8499.0115849466492</v>
      </c>
      <c r="E68" s="17">
        <f t="shared" si="7"/>
        <v>-789310.76067246229</v>
      </c>
    </row>
  </sheetData>
  <mergeCells count="6">
    <mergeCell ref="F1:F3"/>
    <mergeCell ref="A4:B4"/>
    <mergeCell ref="A5:B5"/>
    <mergeCell ref="A6:B6"/>
    <mergeCell ref="D5:E6"/>
    <mergeCell ref="A1:E3"/>
  </mergeCells>
  <pageMargins left="0.511811024" right="0.511811024" top="0.78740157499999996" bottom="0.78740157499999996" header="0.31496062000000002" footer="0.31496062000000002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G1" sqref="A1:XFD3"/>
    </sheetView>
  </sheetViews>
  <sheetFormatPr defaultRowHeight="15.7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9.140625" style="1"/>
    <col min="8" max="8" width="34.42578125" style="1" bestFit="1" customWidth="1"/>
    <col min="9" max="16384" width="9.140625" style="1"/>
  </cols>
  <sheetData>
    <row r="1" spans="1:6" x14ac:dyDescent="0.25">
      <c r="A1" s="9" t="s">
        <v>9</v>
      </c>
      <c r="B1" s="9"/>
      <c r="C1" s="9"/>
      <c r="D1" s="9"/>
      <c r="E1" s="9"/>
      <c r="F1" s="8" t="s">
        <v>13</v>
      </c>
    </row>
    <row r="2" spans="1:6" x14ac:dyDescent="0.25">
      <c r="A2" s="9"/>
      <c r="B2" s="9"/>
      <c r="C2" s="9"/>
      <c r="D2" s="9"/>
      <c r="E2" s="9"/>
      <c r="F2" s="8"/>
    </row>
    <row r="3" spans="1:6" x14ac:dyDescent="0.25">
      <c r="A3" s="10"/>
      <c r="B3" s="10"/>
      <c r="C3" s="10"/>
      <c r="D3" s="10"/>
      <c r="E3" s="10"/>
      <c r="F3" s="8"/>
    </row>
    <row r="4" spans="1:6" ht="30" customHeight="1" x14ac:dyDescent="0.25">
      <c r="A4" s="5" t="s">
        <v>4</v>
      </c>
      <c r="B4" s="5"/>
      <c r="C4" s="12">
        <v>240000</v>
      </c>
      <c r="D4" s="11" t="s">
        <v>12</v>
      </c>
      <c r="E4" s="3">
        <f>C4*((C6*(1+C6)^C5)/((1+C6)^C5-1))</f>
        <v>17540.239126054727</v>
      </c>
    </row>
    <row r="5" spans="1:6" ht="39.75" customHeight="1" x14ac:dyDescent="0.25">
      <c r="A5" s="5" t="s">
        <v>5</v>
      </c>
      <c r="B5" s="5"/>
      <c r="C5" s="13">
        <v>15</v>
      </c>
      <c r="D5" s="7" t="s">
        <v>8</v>
      </c>
      <c r="E5" s="7"/>
      <c r="F5" s="15">
        <v>0.15</v>
      </c>
    </row>
    <row r="6" spans="1:6" ht="30" customHeight="1" x14ac:dyDescent="0.25">
      <c r="A6" s="6" t="s">
        <v>6</v>
      </c>
      <c r="B6" s="6"/>
      <c r="C6" s="14">
        <f>F6</f>
        <v>1.171491691985338E-2</v>
      </c>
      <c r="D6" s="7"/>
      <c r="E6" s="7"/>
      <c r="F6" s="4">
        <f>(1+F5)^(1/12) -1</f>
        <v>1.171491691985338E-2</v>
      </c>
    </row>
    <row r="7" spans="1:6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7</v>
      </c>
    </row>
    <row r="8" spans="1:6" x14ac:dyDescent="0.25">
      <c r="A8" s="16">
        <v>0</v>
      </c>
      <c r="B8" s="17">
        <v>0</v>
      </c>
      <c r="C8" s="17">
        <v>0</v>
      </c>
      <c r="D8" s="17">
        <v>0</v>
      </c>
      <c r="E8" s="18">
        <f>C4</f>
        <v>240000</v>
      </c>
    </row>
    <row r="9" spans="1:6" x14ac:dyDescent="0.25">
      <c r="A9" s="16">
        <v>1</v>
      </c>
      <c r="B9" s="17">
        <f>E8*C6</f>
        <v>2811.5800607648112</v>
      </c>
      <c r="C9" s="17">
        <v>0</v>
      </c>
      <c r="D9" s="17">
        <f>SUM(B9:C9)</f>
        <v>2811.5800607648112</v>
      </c>
      <c r="E9" s="17">
        <f>E8-C9</f>
        <v>240000</v>
      </c>
    </row>
    <row r="10" spans="1:6" x14ac:dyDescent="0.25">
      <c r="A10" s="16">
        <v>2</v>
      </c>
      <c r="B10" s="17">
        <f>E9*C6</f>
        <v>2811.5800607648112</v>
      </c>
      <c r="C10" s="17">
        <v>0</v>
      </c>
      <c r="D10" s="17">
        <f>SUM(B10:C10)</f>
        <v>2811.5800607648112</v>
      </c>
      <c r="E10" s="17">
        <f t="shared" ref="E10:E68" si="0">E9-C10</f>
        <v>240000</v>
      </c>
    </row>
    <row r="11" spans="1:6" x14ac:dyDescent="0.25">
      <c r="A11" s="16">
        <f>A10+1</f>
        <v>3</v>
      </c>
      <c r="B11" s="17">
        <f>E10*C6</f>
        <v>2811.5800607648112</v>
      </c>
      <c r="C11" s="17">
        <v>0</v>
      </c>
      <c r="D11" s="17">
        <f t="shared" ref="D11:D27" si="1">SUM(B11:C11)</f>
        <v>2811.5800607648112</v>
      </c>
      <c r="E11" s="17">
        <f t="shared" si="0"/>
        <v>240000</v>
      </c>
    </row>
    <row r="12" spans="1:6" x14ac:dyDescent="0.25">
      <c r="A12" s="16">
        <f t="shared" ref="A12:A68" si="2">A11+1</f>
        <v>4</v>
      </c>
      <c r="B12" s="17">
        <f>E11*$C$6</f>
        <v>2811.5800607648112</v>
      </c>
      <c r="C12" s="17">
        <f>D12-B12</f>
        <v>14728.659065289916</v>
      </c>
      <c r="D12" s="17">
        <f>$E$4</f>
        <v>17540.239126054727</v>
      </c>
      <c r="E12" s="17">
        <f t="shared" si="0"/>
        <v>225271.34093471008</v>
      </c>
    </row>
    <row r="13" spans="1:6" x14ac:dyDescent="0.25">
      <c r="A13" s="16">
        <f t="shared" si="2"/>
        <v>5</v>
      </c>
      <c r="B13" s="17">
        <f t="shared" ref="B13:B27" si="3">E12*$C$6</f>
        <v>2639.0350434740944</v>
      </c>
      <c r="C13" s="17">
        <f t="shared" ref="C13:C68" si="4">D13-B13</f>
        <v>14901.204082580633</v>
      </c>
      <c r="D13" s="17">
        <f t="shared" ref="D13:D68" si="5">$E$4</f>
        <v>17540.239126054727</v>
      </c>
      <c r="E13" s="17">
        <f t="shared" si="0"/>
        <v>210370.13685212945</v>
      </c>
    </row>
    <row r="14" spans="1:6" x14ac:dyDescent="0.25">
      <c r="A14" s="16">
        <f t="shared" si="2"/>
        <v>6</v>
      </c>
      <c r="B14" s="17">
        <f t="shared" si="3"/>
        <v>2464.4686756408823</v>
      </c>
      <c r="C14" s="17">
        <f t="shared" si="4"/>
        <v>15075.770450413844</v>
      </c>
      <c r="D14" s="17">
        <f t="shared" si="5"/>
        <v>17540.239126054727</v>
      </c>
      <c r="E14" s="17">
        <f t="shared" si="0"/>
        <v>195294.36640171561</v>
      </c>
    </row>
    <row r="15" spans="1:6" x14ac:dyDescent="0.25">
      <c r="A15" s="16">
        <f t="shared" si="2"/>
        <v>7</v>
      </c>
      <c r="B15" s="17">
        <f t="shared" si="3"/>
        <v>2287.8572773115038</v>
      </c>
      <c r="C15" s="17">
        <f t="shared" si="4"/>
        <v>15252.381848743222</v>
      </c>
      <c r="D15" s="17">
        <f t="shared" si="5"/>
        <v>17540.239126054727</v>
      </c>
      <c r="E15" s="17">
        <f t="shared" si="0"/>
        <v>180041.9845529724</v>
      </c>
    </row>
    <row r="16" spans="1:6" x14ac:dyDescent="0.25">
      <c r="A16" s="16">
        <f t="shared" si="2"/>
        <v>8</v>
      </c>
      <c r="B16" s="17">
        <f t="shared" si="3"/>
        <v>2109.1768911235972</v>
      </c>
      <c r="C16" s="17">
        <f t="shared" si="4"/>
        <v>15431.062234931129</v>
      </c>
      <c r="D16" s="17">
        <f t="shared" si="5"/>
        <v>17540.239126054727</v>
      </c>
      <c r="E16" s="17">
        <f t="shared" si="0"/>
        <v>164610.92231804127</v>
      </c>
    </row>
    <row r="17" spans="1:5" x14ac:dyDescent="0.25">
      <c r="A17" s="16">
        <f t="shared" si="2"/>
        <v>9</v>
      </c>
      <c r="B17" s="17">
        <f t="shared" si="3"/>
        <v>1928.4032790562919</v>
      </c>
      <c r="C17" s="17">
        <f t="shared" si="4"/>
        <v>15611.835846998434</v>
      </c>
      <c r="D17" s="17">
        <f t="shared" si="5"/>
        <v>17540.239126054727</v>
      </c>
      <c r="E17" s="17">
        <f t="shared" si="0"/>
        <v>148999.08647104283</v>
      </c>
    </row>
    <row r="18" spans="1:5" x14ac:dyDescent="0.25">
      <c r="A18" s="16">
        <f t="shared" si="2"/>
        <v>10</v>
      </c>
      <c r="B18" s="17">
        <f t="shared" si="3"/>
        <v>1745.5119191423164</v>
      </c>
      <c r="C18" s="17">
        <f t="shared" si="4"/>
        <v>15794.72720691241</v>
      </c>
      <c r="D18" s="17">
        <f t="shared" si="5"/>
        <v>17540.239126054727</v>
      </c>
      <c r="E18" s="17">
        <f t="shared" si="0"/>
        <v>133204.35926413041</v>
      </c>
    </row>
    <row r="19" spans="1:5" x14ac:dyDescent="0.25">
      <c r="A19" s="16">
        <f t="shared" si="2"/>
        <v>11</v>
      </c>
      <c r="B19" s="17">
        <f t="shared" si="3"/>
        <v>1560.4780021415897</v>
      </c>
      <c r="C19" s="17">
        <f t="shared" si="4"/>
        <v>15979.761123913137</v>
      </c>
      <c r="D19" s="17">
        <f t="shared" si="5"/>
        <v>17540.239126054727</v>
      </c>
      <c r="E19" s="17">
        <f t="shared" si="0"/>
        <v>117224.59814021728</v>
      </c>
    </row>
    <row r="20" spans="1:5" x14ac:dyDescent="0.25">
      <c r="A20" s="16">
        <f t="shared" si="2"/>
        <v>12</v>
      </c>
      <c r="B20" s="17">
        <f t="shared" si="3"/>
        <v>1373.2764281758443</v>
      </c>
      <c r="C20" s="17">
        <f t="shared" si="4"/>
        <v>16166.962697878882</v>
      </c>
      <c r="D20" s="17">
        <f t="shared" si="5"/>
        <v>17540.239126054727</v>
      </c>
      <c r="E20" s="17">
        <f t="shared" si="0"/>
        <v>101057.63544233839</v>
      </c>
    </row>
    <row r="21" spans="1:5" x14ac:dyDescent="0.25">
      <c r="A21" s="16">
        <f t="shared" si="2"/>
        <v>13</v>
      </c>
      <c r="B21" s="17">
        <f t="shared" si="3"/>
        <v>1183.8818033238247</v>
      </c>
      <c r="C21" s="17">
        <f t="shared" si="4"/>
        <v>16356.357322730903</v>
      </c>
      <c r="D21" s="17">
        <f t="shared" si="5"/>
        <v>17540.239126054727</v>
      </c>
      <c r="E21" s="17">
        <f t="shared" si="0"/>
        <v>84701.278119607479</v>
      </c>
    </row>
    <row r="22" spans="1:5" x14ac:dyDescent="0.25">
      <c r="A22" s="16">
        <f t="shared" si="2"/>
        <v>14</v>
      </c>
      <c r="B22" s="17">
        <f t="shared" si="3"/>
        <v>992.26843617659654</v>
      </c>
      <c r="C22" s="17">
        <f t="shared" si="4"/>
        <v>16547.97068987813</v>
      </c>
      <c r="D22" s="17">
        <f t="shared" si="5"/>
        <v>17540.239126054727</v>
      </c>
      <c r="E22" s="17">
        <f t="shared" si="0"/>
        <v>68153.30742972935</v>
      </c>
    </row>
    <row r="23" spans="1:5" x14ac:dyDescent="0.25">
      <c r="A23" s="16">
        <f t="shared" si="2"/>
        <v>15</v>
      </c>
      <c r="B23" s="17">
        <f t="shared" si="3"/>
        <v>798.4103343525054</v>
      </c>
      <c r="C23" s="17">
        <f t="shared" si="4"/>
        <v>16741.828791702221</v>
      </c>
      <c r="D23" s="17">
        <f t="shared" si="5"/>
        <v>17540.239126054727</v>
      </c>
      <c r="E23" s="17">
        <f t="shared" si="0"/>
        <v>51411.478638027125</v>
      </c>
    </row>
    <row r="24" spans="1:5" x14ac:dyDescent="0.25">
      <c r="A24" s="16">
        <f t="shared" si="2"/>
        <v>16</v>
      </c>
      <c r="B24" s="17">
        <f t="shared" si="3"/>
        <v>602.28120097130454</v>
      </c>
      <c r="C24" s="17">
        <f t="shared" si="4"/>
        <v>16937.957925083421</v>
      </c>
      <c r="D24" s="17">
        <f t="shared" si="5"/>
        <v>17540.239126054727</v>
      </c>
      <c r="E24" s="17">
        <f t="shared" si="0"/>
        <v>34473.520712943704</v>
      </c>
    </row>
    <row r="25" spans="1:5" x14ac:dyDescent="0.25">
      <c r="A25" s="16">
        <f t="shared" si="2"/>
        <v>17</v>
      </c>
      <c r="B25" s="17">
        <f t="shared" si="3"/>
        <v>403.85443108698013</v>
      </c>
      <c r="C25" s="17">
        <f t="shared" si="4"/>
        <v>17136.384694967746</v>
      </c>
      <c r="D25" s="17">
        <f t="shared" si="5"/>
        <v>17540.239126054727</v>
      </c>
      <c r="E25" s="17">
        <f t="shared" si="0"/>
        <v>17337.136017975958</v>
      </c>
    </row>
    <row r="26" spans="1:5" x14ac:dyDescent="0.25">
      <c r="A26" s="19">
        <f t="shared" si="2"/>
        <v>18</v>
      </c>
      <c r="B26" s="18">
        <f t="shared" si="3"/>
        <v>203.10310807878599</v>
      </c>
      <c r="C26" s="18">
        <f t="shared" si="4"/>
        <v>17337.136017975939</v>
      </c>
      <c r="D26" s="18">
        <f t="shared" si="5"/>
        <v>17540.239126054727</v>
      </c>
      <c r="E26" s="18">
        <f t="shared" si="0"/>
        <v>0</v>
      </c>
    </row>
    <row r="27" spans="1:5" x14ac:dyDescent="0.25">
      <c r="A27" s="16">
        <f t="shared" si="2"/>
        <v>19</v>
      </c>
      <c r="B27" s="17">
        <f t="shared" ref="B27:B68" si="6">E26*$C$6</f>
        <v>0</v>
      </c>
      <c r="C27" s="17">
        <f t="shared" si="4"/>
        <v>17540.239126054727</v>
      </c>
      <c r="D27" s="17">
        <f t="shared" si="5"/>
        <v>17540.239126054727</v>
      </c>
      <c r="E27" s="17">
        <f t="shared" ref="E27:E68" si="7">E26-C27</f>
        <v>-17540.239126054727</v>
      </c>
    </row>
    <row r="28" spans="1:5" x14ac:dyDescent="0.25">
      <c r="A28" s="16">
        <f t="shared" si="2"/>
        <v>20</v>
      </c>
      <c r="B28" s="17">
        <f t="shared" si="6"/>
        <v>-205.48244411609278</v>
      </c>
      <c r="C28" s="17">
        <f t="shared" si="4"/>
        <v>17745.721570170819</v>
      </c>
      <c r="D28" s="17">
        <f t="shared" si="5"/>
        <v>17540.239126054727</v>
      </c>
      <c r="E28" s="17">
        <f t="shared" si="7"/>
        <v>-35285.960696225549</v>
      </c>
    </row>
    <row r="29" spans="1:5" x14ac:dyDescent="0.25">
      <c r="A29" s="16">
        <f t="shared" si="2"/>
        <v>21</v>
      </c>
      <c r="B29" s="17">
        <f t="shared" si="6"/>
        <v>-413.37209799349404</v>
      </c>
      <c r="C29" s="17">
        <f t="shared" si="4"/>
        <v>17953.611224048222</v>
      </c>
      <c r="D29" s="17">
        <f t="shared" si="5"/>
        <v>17540.239126054727</v>
      </c>
      <c r="E29" s="17">
        <f t="shared" si="7"/>
        <v>-53239.571920273767</v>
      </c>
    </row>
    <row r="30" spans="1:5" x14ac:dyDescent="0.25">
      <c r="A30" s="16">
        <f t="shared" si="2"/>
        <v>22</v>
      </c>
      <c r="B30" s="17">
        <f t="shared" si="6"/>
        <v>-623.69716189456608</v>
      </c>
      <c r="C30" s="17">
        <f t="shared" si="4"/>
        <v>18163.936287949291</v>
      </c>
      <c r="D30" s="17">
        <f t="shared" si="5"/>
        <v>17540.239126054727</v>
      </c>
      <c r="E30" s="17">
        <f t="shared" si="7"/>
        <v>-71403.508208223066</v>
      </c>
    </row>
    <row r="31" spans="1:5" x14ac:dyDescent="0.25">
      <c r="A31" s="16">
        <f t="shared" si="2"/>
        <v>23</v>
      </c>
      <c r="B31" s="17">
        <f t="shared" si="6"/>
        <v>-836.48616644540209</v>
      </c>
      <c r="C31" s="17">
        <f t="shared" si="4"/>
        <v>18376.72529250013</v>
      </c>
      <c r="D31" s="17">
        <f t="shared" si="5"/>
        <v>17540.239126054727</v>
      </c>
      <c r="E31" s="17">
        <f t="shared" si="7"/>
        <v>-89780.233500723203</v>
      </c>
    </row>
    <row r="32" spans="1:5" x14ac:dyDescent="0.25">
      <c r="A32" s="16">
        <f t="shared" si="2"/>
        <v>24</v>
      </c>
      <c r="B32" s="17">
        <f t="shared" si="6"/>
        <v>-1051.7679765060095</v>
      </c>
      <c r="C32" s="17">
        <f t="shared" si="4"/>
        <v>18592.007102560736</v>
      </c>
      <c r="D32" s="17">
        <f t="shared" si="5"/>
        <v>17540.239126054727</v>
      </c>
      <c r="E32" s="17">
        <f t="shared" si="7"/>
        <v>-108372.24060328394</v>
      </c>
    </row>
    <row r="33" spans="1:5" x14ac:dyDescent="0.25">
      <c r="A33" s="16">
        <f t="shared" si="2"/>
        <v>25</v>
      </c>
      <c r="B33" s="17">
        <f t="shared" si="6"/>
        <v>-1269.5717950858325</v>
      </c>
      <c r="C33" s="17">
        <f t="shared" si="4"/>
        <v>18809.810921140561</v>
      </c>
      <c r="D33" s="17">
        <f t="shared" si="5"/>
        <v>17540.239126054727</v>
      </c>
      <c r="E33" s="17">
        <f t="shared" si="7"/>
        <v>-127182.05152442449</v>
      </c>
    </row>
    <row r="34" spans="1:5" x14ac:dyDescent="0.25">
      <c r="A34" s="16">
        <f t="shared" si="2"/>
        <v>26</v>
      </c>
      <c r="B34" s="17">
        <f t="shared" si="6"/>
        <v>-1489.9271673051448</v>
      </c>
      <c r="C34" s="17">
        <f t="shared" si="4"/>
        <v>19030.166293359871</v>
      </c>
      <c r="D34" s="17">
        <f t="shared" si="5"/>
        <v>17540.239126054727</v>
      </c>
      <c r="E34" s="17">
        <f t="shared" si="7"/>
        <v>-146212.21781778435</v>
      </c>
    </row>
    <row r="35" spans="1:5" x14ac:dyDescent="0.25">
      <c r="A35" s="16">
        <f t="shared" si="2"/>
        <v>27</v>
      </c>
      <c r="B35" s="17">
        <f t="shared" si="6"/>
        <v>-1712.8639844028496</v>
      </c>
      <c r="C35" s="17">
        <f t="shared" si="4"/>
        <v>19253.103110457578</v>
      </c>
      <c r="D35" s="17">
        <f t="shared" si="5"/>
        <v>17540.239126054727</v>
      </c>
      <c r="E35" s="17">
        <f t="shared" si="7"/>
        <v>-165465.32092824191</v>
      </c>
    </row>
    <row r="36" spans="1:5" x14ac:dyDescent="0.25">
      <c r="A36" s="16">
        <f t="shared" si="2"/>
        <v>28</v>
      </c>
      <c r="B36" s="17">
        <f t="shared" si="6"/>
        <v>-1938.4124877912307</v>
      </c>
      <c r="C36" s="17">
        <f t="shared" si="4"/>
        <v>19478.651613845956</v>
      </c>
      <c r="D36" s="17">
        <f t="shared" si="5"/>
        <v>17540.239126054727</v>
      </c>
      <c r="E36" s="17">
        <f t="shared" si="7"/>
        <v>-184943.97254208787</v>
      </c>
    </row>
    <row r="37" spans="1:5" x14ac:dyDescent="0.25">
      <c r="A37" s="16">
        <f t="shared" si="2"/>
        <v>29</v>
      </c>
      <c r="B37" s="17">
        <f t="shared" si="6"/>
        <v>-2166.603273158204</v>
      </c>
      <c r="C37" s="17">
        <f t="shared" si="4"/>
        <v>19706.842399212932</v>
      </c>
      <c r="D37" s="17">
        <f t="shared" si="5"/>
        <v>17540.239126054727</v>
      </c>
      <c r="E37" s="17">
        <f t="shared" si="7"/>
        <v>-204650.81494130081</v>
      </c>
    </row>
    <row r="38" spans="1:5" x14ac:dyDescent="0.25">
      <c r="A38" s="16">
        <f t="shared" si="2"/>
        <v>30</v>
      </c>
      <c r="B38" s="17">
        <f t="shared" si="6"/>
        <v>-2397.4672946176279</v>
      </c>
      <c r="C38" s="17">
        <f t="shared" si="4"/>
        <v>19937.706420672355</v>
      </c>
      <c r="D38" s="17">
        <f t="shared" si="5"/>
        <v>17540.239126054727</v>
      </c>
      <c r="E38" s="17">
        <f t="shared" si="7"/>
        <v>-224588.52136197317</v>
      </c>
    </row>
    <row r="39" spans="1:5" x14ac:dyDescent="0.25">
      <c r="A39" s="16">
        <f t="shared" si="2"/>
        <v>31</v>
      </c>
      <c r="B39" s="17">
        <f t="shared" si="6"/>
        <v>-2631.0358689082318</v>
      </c>
      <c r="C39" s="17">
        <f t="shared" si="4"/>
        <v>20171.274994962958</v>
      </c>
      <c r="D39" s="17">
        <f t="shared" si="5"/>
        <v>17540.239126054727</v>
      </c>
      <c r="E39" s="17">
        <f t="shared" si="7"/>
        <v>-244759.79635693613</v>
      </c>
    </row>
    <row r="40" spans="1:5" x14ac:dyDescent="0.25">
      <c r="A40" s="16">
        <f t="shared" si="2"/>
        <v>32</v>
      </c>
      <c r="B40" s="17">
        <f t="shared" si="6"/>
        <v>-2867.3406796417389</v>
      </c>
      <c r="C40" s="17">
        <f t="shared" si="4"/>
        <v>20407.579805696467</v>
      </c>
      <c r="D40" s="17">
        <f t="shared" si="5"/>
        <v>17540.239126054727</v>
      </c>
      <c r="E40" s="17">
        <f t="shared" si="7"/>
        <v>-265167.3761626326</v>
      </c>
    </row>
    <row r="41" spans="1:5" x14ac:dyDescent="0.25">
      <c r="A41" s="16">
        <f t="shared" si="2"/>
        <v>33</v>
      </c>
      <c r="B41" s="17">
        <f t="shared" si="6"/>
        <v>-3106.4137816007506</v>
      </c>
      <c r="C41" s="17">
        <f t="shared" si="4"/>
        <v>20646.652907655476</v>
      </c>
      <c r="D41" s="17">
        <f t="shared" si="5"/>
        <v>17540.239126054727</v>
      </c>
      <c r="E41" s="17">
        <f t="shared" si="7"/>
        <v>-285814.02907028806</v>
      </c>
    </row>
    <row r="42" spans="1:5" x14ac:dyDescent="0.25">
      <c r="A42" s="16">
        <f t="shared" si="2"/>
        <v>34</v>
      </c>
      <c r="B42" s="17">
        <f t="shared" si="6"/>
        <v>-3348.2876050869831</v>
      </c>
      <c r="C42" s="17">
        <f t="shared" si="4"/>
        <v>20888.526731141708</v>
      </c>
      <c r="D42" s="17">
        <f t="shared" si="5"/>
        <v>17540.239126054727</v>
      </c>
      <c r="E42" s="17">
        <f t="shared" si="7"/>
        <v>-306702.55580142979</v>
      </c>
    </row>
    <row r="43" spans="1:5" x14ac:dyDescent="0.25">
      <c r="A43" s="16">
        <f t="shared" si="2"/>
        <v>35</v>
      </c>
      <c r="B43" s="17">
        <f t="shared" si="6"/>
        <v>-3592.994960320445</v>
      </c>
      <c r="C43" s="17">
        <f t="shared" si="4"/>
        <v>21133.234086375171</v>
      </c>
      <c r="D43" s="17">
        <f t="shared" si="5"/>
        <v>17540.239126054727</v>
      </c>
      <c r="E43" s="17">
        <f t="shared" si="7"/>
        <v>-327835.78988780495</v>
      </c>
    </row>
    <row r="44" spans="1:5" x14ac:dyDescent="0.25">
      <c r="A44" s="16">
        <f t="shared" si="2"/>
        <v>36</v>
      </c>
      <c r="B44" s="17">
        <f t="shared" si="6"/>
        <v>-3840.5690418901436</v>
      </c>
      <c r="C44" s="17">
        <f t="shared" si="4"/>
        <v>21380.80816794487</v>
      </c>
      <c r="D44" s="17">
        <f t="shared" si="5"/>
        <v>17540.239126054727</v>
      </c>
      <c r="E44" s="17">
        <f t="shared" si="7"/>
        <v>-349216.59805574984</v>
      </c>
    </row>
    <row r="45" spans="1:5" x14ac:dyDescent="0.25">
      <c r="A45" s="16">
        <f t="shared" si="2"/>
        <v>37</v>
      </c>
      <c r="B45" s="17">
        <f t="shared" si="6"/>
        <v>-4091.0434332569407</v>
      </c>
      <c r="C45" s="17">
        <f t="shared" si="4"/>
        <v>21631.282559311669</v>
      </c>
      <c r="D45" s="17">
        <f t="shared" si="5"/>
        <v>17540.239126054727</v>
      </c>
      <c r="E45" s="17">
        <f t="shared" si="7"/>
        <v>-370847.8806150615</v>
      </c>
    </row>
    <row r="46" spans="1:5" x14ac:dyDescent="0.25">
      <c r="A46" s="16">
        <f t="shared" si="2"/>
        <v>38</v>
      </c>
      <c r="B46" s="17">
        <f t="shared" si="6"/>
        <v>-4344.4521113091505</v>
      </c>
      <c r="C46" s="17">
        <f t="shared" si="4"/>
        <v>21884.691237363877</v>
      </c>
      <c r="D46" s="17">
        <f t="shared" si="5"/>
        <v>17540.239126054727</v>
      </c>
      <c r="E46" s="17">
        <f t="shared" si="7"/>
        <v>-392732.57185242535</v>
      </c>
    </row>
    <row r="47" spans="1:5" x14ac:dyDescent="0.25">
      <c r="A47" s="16">
        <f t="shared" si="2"/>
        <v>39</v>
      </c>
      <c r="B47" s="17">
        <f t="shared" si="6"/>
        <v>-4600.8294509715106</v>
      </c>
      <c r="C47" s="17">
        <f t="shared" si="4"/>
        <v>22141.068577026235</v>
      </c>
      <c r="D47" s="17">
        <f t="shared" si="5"/>
        <v>17540.239126054727</v>
      </c>
      <c r="E47" s="17">
        <f t="shared" si="7"/>
        <v>-414873.6404294516</v>
      </c>
    </row>
    <row r="48" spans="1:5" x14ac:dyDescent="0.25">
      <c r="A48" s="16">
        <f t="shared" si="2"/>
        <v>40</v>
      </c>
      <c r="B48" s="17">
        <f t="shared" si="6"/>
        <v>-4860.2102298681493</v>
      </c>
      <c r="C48" s="17">
        <f t="shared" si="4"/>
        <v>22400.449355922876</v>
      </c>
      <c r="D48" s="17">
        <f t="shared" si="5"/>
        <v>17540.239126054727</v>
      </c>
      <c r="E48" s="17">
        <f t="shared" si="7"/>
        <v>-437274.08978537447</v>
      </c>
    </row>
    <row r="49" spans="1:5" x14ac:dyDescent="0.25">
      <c r="A49" s="16">
        <f t="shared" si="2"/>
        <v>41</v>
      </c>
      <c r="B49" s="17">
        <f t="shared" si="6"/>
        <v>-5122.6296330401692</v>
      </c>
      <c r="C49" s="17">
        <f t="shared" si="4"/>
        <v>22662.868759094898</v>
      </c>
      <c r="D49" s="17">
        <f t="shared" si="5"/>
        <v>17540.239126054727</v>
      </c>
      <c r="E49" s="17">
        <f t="shared" si="7"/>
        <v>-459936.95854446938</v>
      </c>
    </row>
    <row r="50" spans="1:5" x14ac:dyDescent="0.25">
      <c r="A50" s="16">
        <f t="shared" si="2"/>
        <v>42</v>
      </c>
      <c r="B50" s="17">
        <f t="shared" si="6"/>
        <v>-5388.1232577185065</v>
      </c>
      <c r="C50" s="17">
        <f t="shared" si="4"/>
        <v>22928.362383773234</v>
      </c>
      <c r="D50" s="17">
        <f t="shared" si="5"/>
        <v>17540.239126054727</v>
      </c>
      <c r="E50" s="17">
        <f t="shared" si="7"/>
        <v>-482865.32092824264</v>
      </c>
    </row>
    <row r="51" spans="1:5" x14ac:dyDescent="0.25">
      <c r="A51" s="16">
        <f t="shared" si="2"/>
        <v>43</v>
      </c>
      <c r="B51" s="17">
        <f t="shared" si="6"/>
        <v>-5656.7271181527021</v>
      </c>
      <c r="C51" s="17">
        <f t="shared" si="4"/>
        <v>23196.96624420743</v>
      </c>
      <c r="D51" s="17">
        <f t="shared" si="5"/>
        <v>17540.239126054727</v>
      </c>
      <c r="E51" s="17">
        <f t="shared" si="7"/>
        <v>-506062.28717245004</v>
      </c>
    </row>
    <row r="52" spans="1:5" x14ac:dyDescent="0.25">
      <c r="A52" s="16">
        <f t="shared" si="2"/>
        <v>44</v>
      </c>
      <c r="B52" s="17">
        <f t="shared" si="6"/>
        <v>-5928.4776504962347</v>
      </c>
      <c r="C52" s="17">
        <f t="shared" si="4"/>
        <v>23468.716776550962</v>
      </c>
      <c r="D52" s="17">
        <f t="shared" si="5"/>
        <v>17540.239126054727</v>
      </c>
      <c r="E52" s="17">
        <f t="shared" si="7"/>
        <v>-529531.00394900097</v>
      </c>
    </row>
    <row r="53" spans="1:5" x14ac:dyDescent="0.25">
      <c r="A53" s="16">
        <f t="shared" si="2"/>
        <v>45</v>
      </c>
      <c r="B53" s="17">
        <f t="shared" si="6"/>
        <v>-6203.411717749098</v>
      </c>
      <c r="C53" s="17">
        <f t="shared" si="4"/>
        <v>23743.650843803825</v>
      </c>
      <c r="D53" s="17">
        <f t="shared" si="5"/>
        <v>17540.239126054727</v>
      </c>
      <c r="E53" s="17">
        <f t="shared" si="7"/>
        <v>-553274.65479280474</v>
      </c>
    </row>
    <row r="54" spans="1:5" x14ac:dyDescent="0.25">
      <c r="A54" s="16">
        <f t="shared" si="2"/>
        <v>46</v>
      </c>
      <c r="B54" s="17">
        <f t="shared" si="6"/>
        <v>-6481.566614758266</v>
      </c>
      <c r="C54" s="17">
        <f t="shared" si="4"/>
        <v>24021.805740812993</v>
      </c>
      <c r="D54" s="17">
        <f t="shared" si="5"/>
        <v>17540.239126054727</v>
      </c>
      <c r="E54" s="17">
        <f t="shared" si="7"/>
        <v>-577296.46053361776</v>
      </c>
    </row>
    <row r="55" spans="1:5" x14ac:dyDescent="0.25">
      <c r="A55" s="16">
        <f t="shared" si="2"/>
        <v>47</v>
      </c>
      <c r="B55" s="17">
        <f t="shared" si="6"/>
        <v>-6762.980073276748</v>
      </c>
      <c r="C55" s="17">
        <f t="shared" si="4"/>
        <v>24303.219199331474</v>
      </c>
      <c r="D55" s="17">
        <f t="shared" si="5"/>
        <v>17540.239126054727</v>
      </c>
      <c r="E55" s="17">
        <f t="shared" si="7"/>
        <v>-601599.67973294924</v>
      </c>
    </row>
    <row r="56" spans="1:5" x14ac:dyDescent="0.25">
      <c r="A56" s="16">
        <f t="shared" si="2"/>
        <v>48</v>
      </c>
      <c r="B56" s="17">
        <f t="shared" si="6"/>
        <v>-7047.6902670819018</v>
      </c>
      <c r="C56" s="17">
        <f t="shared" si="4"/>
        <v>24587.929393136626</v>
      </c>
      <c r="D56" s="17">
        <f t="shared" si="5"/>
        <v>17540.239126054727</v>
      </c>
      <c r="E56" s="17">
        <f t="shared" si="7"/>
        <v>-626187.60912608588</v>
      </c>
    </row>
    <row r="57" spans="1:5" x14ac:dyDescent="0.25">
      <c r="A57" s="16">
        <f t="shared" si="2"/>
        <v>49</v>
      </c>
      <c r="B57" s="17">
        <f t="shared" si="6"/>
        <v>-7335.735817153718</v>
      </c>
      <c r="C57" s="17">
        <f t="shared" si="4"/>
        <v>24875.974943208443</v>
      </c>
      <c r="D57" s="17">
        <f t="shared" si="5"/>
        <v>17540.239126054727</v>
      </c>
      <c r="E57" s="17">
        <f t="shared" si="7"/>
        <v>-651063.58406929427</v>
      </c>
    </row>
    <row r="58" spans="1:5" x14ac:dyDescent="0.25">
      <c r="A58" s="16">
        <f t="shared" si="2"/>
        <v>50</v>
      </c>
      <c r="B58" s="17">
        <f t="shared" si="6"/>
        <v>-7627.1557969137584</v>
      </c>
      <c r="C58" s="17">
        <f t="shared" si="4"/>
        <v>25167.394922968484</v>
      </c>
      <c r="D58" s="17">
        <f t="shared" si="5"/>
        <v>17540.239126054727</v>
      </c>
      <c r="E58" s="17">
        <f t="shared" si="7"/>
        <v>-676230.97899226274</v>
      </c>
    </row>
    <row r="59" spans="1:5" x14ac:dyDescent="0.25">
      <c r="A59" s="16">
        <f t="shared" si="2"/>
        <v>51</v>
      </c>
      <c r="B59" s="17">
        <f t="shared" si="6"/>
        <v>-7921.9897375254741</v>
      </c>
      <c r="C59" s="17">
        <f t="shared" si="4"/>
        <v>25462.2288635802</v>
      </c>
      <c r="D59" s="17">
        <f t="shared" si="5"/>
        <v>17540.239126054727</v>
      </c>
      <c r="E59" s="17">
        <f t="shared" si="7"/>
        <v>-701693.20785584289</v>
      </c>
    </row>
    <row r="60" spans="1:5" x14ac:dyDescent="0.25">
      <c r="A60" s="16">
        <f t="shared" si="2"/>
        <v>52</v>
      </c>
      <c r="B60" s="17">
        <f t="shared" si="6"/>
        <v>-8220.2776332566082</v>
      </c>
      <c r="C60" s="17">
        <f t="shared" si="4"/>
        <v>25760.516759311337</v>
      </c>
      <c r="D60" s="17">
        <f t="shared" si="5"/>
        <v>17540.239126054727</v>
      </c>
      <c r="E60" s="17">
        <f t="shared" si="7"/>
        <v>-727453.72461515421</v>
      </c>
    </row>
    <row r="61" spans="1:5" x14ac:dyDescent="0.25">
      <c r="A61" s="16">
        <f t="shared" si="2"/>
        <v>53</v>
      </c>
      <c r="B61" s="17">
        <f t="shared" si="6"/>
        <v>-8522.0599469044319</v>
      </c>
      <c r="C61" s="17">
        <f t="shared" si="4"/>
        <v>26062.299072959158</v>
      </c>
      <c r="D61" s="17">
        <f t="shared" si="5"/>
        <v>17540.239126054727</v>
      </c>
      <c r="E61" s="17">
        <f t="shared" si="7"/>
        <v>-753516.02368811332</v>
      </c>
    </row>
    <row r="62" spans="1:5" x14ac:dyDescent="0.25">
      <c r="A62" s="16">
        <f t="shared" si="2"/>
        <v>54</v>
      </c>
      <c r="B62" s="17">
        <f t="shared" si="6"/>
        <v>-8827.3776152845185</v>
      </c>
      <c r="C62" s="17">
        <f t="shared" si="4"/>
        <v>26367.616741339247</v>
      </c>
      <c r="D62" s="17">
        <f t="shared" si="5"/>
        <v>17540.239126054727</v>
      </c>
      <c r="E62" s="17">
        <f t="shared" si="7"/>
        <v>-779883.64042945253</v>
      </c>
    </row>
    <row r="63" spans="1:5" x14ac:dyDescent="0.25">
      <c r="A63" s="16">
        <f t="shared" si="2"/>
        <v>55</v>
      </c>
      <c r="B63" s="17">
        <f t="shared" si="6"/>
        <v>-9136.2720547838435</v>
      </c>
      <c r="C63" s="17">
        <f t="shared" si="4"/>
        <v>26676.51118083857</v>
      </c>
      <c r="D63" s="17">
        <f t="shared" si="5"/>
        <v>17540.239126054727</v>
      </c>
      <c r="E63" s="17">
        <f t="shared" si="7"/>
        <v>-806560.1516102911</v>
      </c>
    </row>
    <row r="64" spans="1:5" x14ac:dyDescent="0.25">
      <c r="A64" s="16">
        <f t="shared" si="2"/>
        <v>56</v>
      </c>
      <c r="B64" s="17">
        <f t="shared" si="6"/>
        <v>-9448.785166978907</v>
      </c>
      <c r="C64" s="17">
        <f t="shared" si="4"/>
        <v>26989.024293033632</v>
      </c>
      <c r="D64" s="17">
        <f t="shared" si="5"/>
        <v>17540.239126054727</v>
      </c>
      <c r="E64" s="17">
        <f t="shared" si="7"/>
        <v>-833549.17590332474</v>
      </c>
    </row>
    <row r="65" spans="1:5" x14ac:dyDescent="0.25">
      <c r="A65" s="16">
        <f t="shared" si="2"/>
        <v>57</v>
      </c>
      <c r="B65" s="17">
        <f t="shared" si="6"/>
        <v>-9764.9593443197009</v>
      </c>
      <c r="C65" s="17">
        <f t="shared" si="4"/>
        <v>27305.198470374427</v>
      </c>
      <c r="D65" s="17">
        <f t="shared" si="5"/>
        <v>17540.239126054727</v>
      </c>
      <c r="E65" s="17">
        <f t="shared" si="7"/>
        <v>-860854.37437369919</v>
      </c>
    </row>
    <row r="66" spans="1:5" x14ac:dyDescent="0.25">
      <c r="A66" s="16">
        <f t="shared" si="2"/>
        <v>58</v>
      </c>
      <c r="B66" s="17">
        <f t="shared" si="6"/>
        <v>-10084.837475880244</v>
      </c>
      <c r="C66" s="17">
        <f t="shared" si="4"/>
        <v>27625.076601934968</v>
      </c>
      <c r="D66" s="17">
        <f t="shared" si="5"/>
        <v>17540.239126054727</v>
      </c>
      <c r="E66" s="17">
        <f t="shared" si="7"/>
        <v>-888479.45097563416</v>
      </c>
    </row>
    <row r="67" spans="1:5" x14ac:dyDescent="0.25">
      <c r="A67" s="16">
        <f t="shared" si="2"/>
        <v>59</v>
      </c>
      <c r="B67" s="17">
        <f t="shared" si="6"/>
        <v>-10408.462953176499</v>
      </c>
      <c r="C67" s="17">
        <f t="shared" si="4"/>
        <v>27948.702079231225</v>
      </c>
      <c r="D67" s="17">
        <f t="shared" si="5"/>
        <v>17540.239126054727</v>
      </c>
      <c r="E67" s="17">
        <f t="shared" si="7"/>
        <v>-916428.15305486543</v>
      </c>
    </row>
    <row r="68" spans="1:5" x14ac:dyDescent="0.25">
      <c r="A68" s="16">
        <f t="shared" si="2"/>
        <v>60</v>
      </c>
      <c r="B68" s="17">
        <f t="shared" si="6"/>
        <v>-10735.879676052426</v>
      </c>
      <c r="C68" s="17">
        <f t="shared" si="4"/>
        <v>28276.11880210715</v>
      </c>
      <c r="D68" s="17">
        <f t="shared" si="5"/>
        <v>17540.239126054727</v>
      </c>
      <c r="E68" s="17">
        <f t="shared" si="7"/>
        <v>-944704.2718569726</v>
      </c>
    </row>
  </sheetData>
  <mergeCells count="6">
    <mergeCell ref="F1:F3"/>
    <mergeCell ref="A4:B4"/>
    <mergeCell ref="A5:B5"/>
    <mergeCell ref="D5:E6"/>
    <mergeCell ref="A6:B6"/>
    <mergeCell ref="A1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A4" sqref="A4:XFD68"/>
    </sheetView>
  </sheetViews>
  <sheetFormatPr defaultRowHeight="15.7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9.140625" style="1"/>
    <col min="8" max="8" width="34.42578125" style="1" bestFit="1" customWidth="1"/>
    <col min="9" max="16384" width="9.140625" style="1"/>
  </cols>
  <sheetData>
    <row r="1" spans="1:6" ht="15.75" customHeight="1" x14ac:dyDescent="0.25">
      <c r="A1" s="9" t="s">
        <v>10</v>
      </c>
      <c r="B1" s="9"/>
      <c r="C1" s="9"/>
      <c r="D1" s="9"/>
      <c r="E1" s="23"/>
      <c r="F1" s="20" t="s">
        <v>13</v>
      </c>
    </row>
    <row r="2" spans="1:6" ht="15.75" customHeight="1" x14ac:dyDescent="0.25">
      <c r="A2" s="9"/>
      <c r="B2" s="9"/>
      <c r="C2" s="9"/>
      <c r="D2" s="9"/>
      <c r="E2" s="23"/>
      <c r="F2" s="21"/>
    </row>
    <row r="3" spans="1:6" ht="15.75" customHeight="1" x14ac:dyDescent="0.25">
      <c r="A3" s="10"/>
      <c r="B3" s="10"/>
      <c r="C3" s="10"/>
      <c r="D3" s="10"/>
      <c r="E3" s="24"/>
      <c r="F3" s="22"/>
    </row>
    <row r="4" spans="1:6" ht="30" customHeight="1" x14ac:dyDescent="0.25">
      <c r="A4" s="5" t="s">
        <v>4</v>
      </c>
      <c r="B4" s="5"/>
      <c r="C4" s="12">
        <v>240000</v>
      </c>
      <c r="D4" s="11" t="s">
        <v>12</v>
      </c>
      <c r="E4" s="3">
        <f>C4*((C6*(1+C6)^C5)/((1+C6)^C5-1))</f>
        <v>17540.239126054727</v>
      </c>
    </row>
    <row r="5" spans="1:6" ht="39.75" customHeight="1" x14ac:dyDescent="0.25">
      <c r="A5" s="5" t="s">
        <v>5</v>
      </c>
      <c r="B5" s="5"/>
      <c r="C5" s="13">
        <v>15</v>
      </c>
      <c r="D5" s="7" t="s">
        <v>8</v>
      </c>
      <c r="E5" s="7"/>
      <c r="F5" s="15">
        <v>0.15</v>
      </c>
    </row>
    <row r="6" spans="1:6" ht="30" customHeight="1" x14ac:dyDescent="0.25">
      <c r="A6" s="6" t="s">
        <v>6</v>
      </c>
      <c r="B6" s="6"/>
      <c r="C6" s="14">
        <f>F6</f>
        <v>1.171491691985338E-2</v>
      </c>
      <c r="D6" s="7"/>
      <c r="E6" s="7"/>
      <c r="F6" s="4">
        <f>(1+F5)^(1/12) -1</f>
        <v>1.171491691985338E-2</v>
      </c>
    </row>
    <row r="7" spans="1:6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7</v>
      </c>
    </row>
    <row r="8" spans="1:6" x14ac:dyDescent="0.25">
      <c r="A8" s="16">
        <v>0</v>
      </c>
      <c r="B8" s="17">
        <v>0</v>
      </c>
      <c r="C8" s="17">
        <v>0</v>
      </c>
      <c r="D8" s="17">
        <v>0</v>
      </c>
      <c r="E8" s="18">
        <f>C4</f>
        <v>240000</v>
      </c>
    </row>
    <row r="9" spans="1:6" x14ac:dyDescent="0.25">
      <c r="A9" s="16">
        <v>1</v>
      </c>
      <c r="B9" s="17">
        <f>E8*C6</f>
        <v>2811.5800607648112</v>
      </c>
      <c r="C9" s="17">
        <v>0</v>
      </c>
      <c r="D9" s="17">
        <v>0</v>
      </c>
      <c r="E9" s="17">
        <f>E8+B9</f>
        <v>242811.5800607648</v>
      </c>
    </row>
    <row r="10" spans="1:6" x14ac:dyDescent="0.25">
      <c r="A10" s="16">
        <v>2</v>
      </c>
      <c r="B10" s="17">
        <f>E9*C6</f>
        <v>2844.5174875901871</v>
      </c>
      <c r="C10" s="17">
        <v>0</v>
      </c>
      <c r="D10" s="17">
        <v>0</v>
      </c>
      <c r="E10" s="17">
        <f>E9+B10</f>
        <v>245656.097548355</v>
      </c>
    </row>
    <row r="11" spans="1:6" x14ac:dyDescent="0.25">
      <c r="A11" s="16">
        <f>A10+1</f>
        <v>3</v>
      </c>
      <c r="B11" s="17">
        <f>E10*C6</f>
        <v>2877.8407736343765</v>
      </c>
      <c r="C11" s="17">
        <v>0</v>
      </c>
      <c r="D11" s="17">
        <v>0</v>
      </c>
      <c r="E11" s="17">
        <f t="shared" ref="E10:E68" si="0">E10-C11</f>
        <v>245656.097548355</v>
      </c>
    </row>
    <row r="12" spans="1:6" x14ac:dyDescent="0.25">
      <c r="A12" s="16">
        <f t="shared" ref="A12:A68" si="1">A11+1</f>
        <v>4</v>
      </c>
      <c r="B12" s="17">
        <v>11411.78</v>
      </c>
      <c r="C12" s="17">
        <v>14728.66</v>
      </c>
      <c r="D12" s="17">
        <f>SUM(B12:C12)</f>
        <v>26140.440000000002</v>
      </c>
      <c r="E12" s="17">
        <f>E8-C12</f>
        <v>225271.34</v>
      </c>
    </row>
    <row r="13" spans="1:6" x14ac:dyDescent="0.25">
      <c r="A13" s="16">
        <f t="shared" si="1"/>
        <v>5</v>
      </c>
      <c r="B13" s="17">
        <f t="shared" ref="B13:B68" si="2">E12*$C$6</f>
        <v>2639.0350325240433</v>
      </c>
      <c r="C13" s="17">
        <f t="shared" ref="C13:C68" si="3">D13-B13</f>
        <v>14901.204093530683</v>
      </c>
      <c r="D13" s="17">
        <f t="shared" ref="D13:D68" si="4">$E$4</f>
        <v>17540.239126054727</v>
      </c>
      <c r="E13" s="17">
        <f t="shared" si="0"/>
        <v>210370.13590646931</v>
      </c>
    </row>
    <row r="14" spans="1:6" x14ac:dyDescent="0.25">
      <c r="A14" s="16">
        <f t="shared" si="1"/>
        <v>6</v>
      </c>
      <c r="B14" s="17">
        <f t="shared" si="2"/>
        <v>2464.4686645625525</v>
      </c>
      <c r="C14" s="17">
        <f t="shared" si="3"/>
        <v>15075.770461492175</v>
      </c>
      <c r="D14" s="17">
        <f t="shared" si="4"/>
        <v>17540.239126054727</v>
      </c>
      <c r="E14" s="17">
        <f t="shared" si="0"/>
        <v>195294.36544497713</v>
      </c>
    </row>
    <row r="15" spans="1:6" x14ac:dyDescent="0.25">
      <c r="A15" s="16">
        <f t="shared" si="1"/>
        <v>7</v>
      </c>
      <c r="B15" s="17">
        <f t="shared" si="2"/>
        <v>2287.8572661033918</v>
      </c>
      <c r="C15" s="17">
        <f t="shared" si="3"/>
        <v>15252.381859951334</v>
      </c>
      <c r="D15" s="17">
        <f t="shared" si="4"/>
        <v>17540.239126054727</v>
      </c>
      <c r="E15" s="17">
        <f t="shared" si="0"/>
        <v>180041.9835850258</v>
      </c>
    </row>
    <row r="16" spans="1:6" x14ac:dyDescent="0.25">
      <c r="A16" s="16">
        <f t="shared" si="1"/>
        <v>8</v>
      </c>
      <c r="B16" s="17">
        <f t="shared" si="2"/>
        <v>2109.1768797841833</v>
      </c>
      <c r="C16" s="17">
        <f t="shared" si="3"/>
        <v>15431.062246270543</v>
      </c>
      <c r="D16" s="17">
        <f t="shared" si="4"/>
        <v>17540.239126054727</v>
      </c>
      <c r="E16" s="17">
        <f t="shared" si="0"/>
        <v>164610.92133875526</v>
      </c>
    </row>
    <row r="17" spans="1:5" x14ac:dyDescent="0.25">
      <c r="A17" s="16">
        <f t="shared" si="1"/>
        <v>9</v>
      </c>
      <c r="B17" s="17">
        <f t="shared" si="2"/>
        <v>1928.4032675840378</v>
      </c>
      <c r="C17" s="17">
        <f t="shared" si="3"/>
        <v>15611.835858470689</v>
      </c>
      <c r="D17" s="17">
        <f t="shared" si="4"/>
        <v>17540.239126054727</v>
      </c>
      <c r="E17" s="17">
        <f t="shared" si="0"/>
        <v>148999.08548028456</v>
      </c>
    </row>
    <row r="18" spans="1:5" x14ac:dyDescent="0.25">
      <c r="A18" s="16">
        <f t="shared" si="1"/>
        <v>10</v>
      </c>
      <c r="B18" s="17">
        <f t="shared" si="2"/>
        <v>1745.5119075356656</v>
      </c>
      <c r="C18" s="17">
        <f t="shared" si="3"/>
        <v>15794.727218519061</v>
      </c>
      <c r="D18" s="17">
        <f t="shared" si="4"/>
        <v>17540.239126054727</v>
      </c>
      <c r="E18" s="17">
        <f t="shared" si="0"/>
        <v>133204.3582617655</v>
      </c>
    </row>
    <row r="19" spans="1:5" x14ac:dyDescent="0.25">
      <c r="A19" s="16">
        <f t="shared" si="1"/>
        <v>11</v>
      </c>
      <c r="B19" s="17">
        <f t="shared" si="2"/>
        <v>1560.4779903989681</v>
      </c>
      <c r="C19" s="17">
        <f t="shared" si="3"/>
        <v>15979.761135655759</v>
      </c>
      <c r="D19" s="17">
        <f t="shared" si="4"/>
        <v>17540.239126054727</v>
      </c>
      <c r="E19" s="17">
        <f t="shared" si="0"/>
        <v>117224.59712610974</v>
      </c>
    </row>
    <row r="20" spans="1:5" x14ac:dyDescent="0.25">
      <c r="A20" s="16">
        <f t="shared" si="1"/>
        <v>12</v>
      </c>
      <c r="B20" s="17">
        <f t="shared" si="2"/>
        <v>1373.2764162956589</v>
      </c>
      <c r="C20" s="17">
        <f t="shared" si="3"/>
        <v>16166.962709759067</v>
      </c>
      <c r="D20" s="17">
        <f t="shared" si="4"/>
        <v>17540.239126054727</v>
      </c>
      <c r="E20" s="17">
        <f t="shared" si="0"/>
        <v>101057.63441635067</v>
      </c>
    </row>
    <row r="21" spans="1:5" x14ac:dyDescent="0.25">
      <c r="A21" s="16">
        <f t="shared" si="1"/>
        <v>13</v>
      </c>
      <c r="B21" s="17">
        <f t="shared" si="2"/>
        <v>1183.8817913044638</v>
      </c>
      <c r="C21" s="17">
        <f t="shared" si="3"/>
        <v>16356.357334750262</v>
      </c>
      <c r="D21" s="17">
        <f t="shared" si="4"/>
        <v>17540.239126054727</v>
      </c>
      <c r="E21" s="17">
        <f t="shared" si="0"/>
        <v>84701.277081600405</v>
      </c>
    </row>
    <row r="22" spans="1:5" x14ac:dyDescent="0.25">
      <c r="A22" s="16">
        <f t="shared" si="1"/>
        <v>14</v>
      </c>
      <c r="B22" s="17">
        <f t="shared" si="2"/>
        <v>992.26842401642989</v>
      </c>
      <c r="C22" s="17">
        <f t="shared" si="3"/>
        <v>16547.970702038296</v>
      </c>
      <c r="D22" s="17">
        <f t="shared" si="4"/>
        <v>17540.239126054727</v>
      </c>
      <c r="E22" s="17">
        <f t="shared" si="0"/>
        <v>68153.306379562113</v>
      </c>
    </row>
    <row r="23" spans="1:5" x14ac:dyDescent="0.25">
      <c r="A23" s="16">
        <f t="shared" si="1"/>
        <v>15</v>
      </c>
      <c r="B23" s="17">
        <f t="shared" si="2"/>
        <v>798.41032204988346</v>
      </c>
      <c r="C23" s="17">
        <f t="shared" si="3"/>
        <v>16741.828804004843</v>
      </c>
      <c r="D23" s="17">
        <f t="shared" si="4"/>
        <v>17540.239126054727</v>
      </c>
      <c r="E23" s="17">
        <f t="shared" si="0"/>
        <v>51411.47757555727</v>
      </c>
    </row>
    <row r="24" spans="1:5" x14ac:dyDescent="0.25">
      <c r="A24" s="16">
        <f t="shared" si="1"/>
        <v>16</v>
      </c>
      <c r="B24" s="17">
        <f t="shared" si="2"/>
        <v>602.2811885245585</v>
      </c>
      <c r="C24" s="17">
        <f t="shared" si="3"/>
        <v>16937.957937530169</v>
      </c>
      <c r="D24" s="17">
        <f t="shared" si="4"/>
        <v>17540.239126054727</v>
      </c>
      <c r="E24" s="17">
        <f t="shared" si="0"/>
        <v>34473.519638027101</v>
      </c>
    </row>
    <row r="25" spans="1:5" x14ac:dyDescent="0.25">
      <c r="A25" s="16">
        <f t="shared" si="1"/>
        <v>17</v>
      </c>
      <c r="B25" s="17">
        <f t="shared" si="2"/>
        <v>403.85441849442145</v>
      </c>
      <c r="C25" s="17">
        <f t="shared" si="3"/>
        <v>17136.384707560304</v>
      </c>
      <c r="D25" s="17">
        <f t="shared" si="4"/>
        <v>17540.239126054727</v>
      </c>
      <c r="E25" s="17">
        <f t="shared" si="0"/>
        <v>17337.134930466797</v>
      </c>
    </row>
    <row r="26" spans="1:5" x14ac:dyDescent="0.25">
      <c r="A26" s="19">
        <f t="shared" si="1"/>
        <v>18</v>
      </c>
      <c r="B26" s="18">
        <f t="shared" si="2"/>
        <v>203.10309533870651</v>
      </c>
      <c r="C26" s="18">
        <f t="shared" si="3"/>
        <v>17337.136030716021</v>
      </c>
      <c r="D26" s="18">
        <f t="shared" si="4"/>
        <v>17540.239126054727</v>
      </c>
      <c r="E26" s="18">
        <f t="shared" si="0"/>
        <v>-1.1002492246916518E-3</v>
      </c>
    </row>
    <row r="27" spans="1:5" x14ac:dyDescent="0.25">
      <c r="A27" s="16">
        <f t="shared" si="1"/>
        <v>19</v>
      </c>
      <c r="B27" s="17">
        <f t="shared" si="2"/>
        <v>-1.2889328258395795E-5</v>
      </c>
      <c r="C27" s="17">
        <f t="shared" si="3"/>
        <v>17540.239138944056</v>
      </c>
      <c r="D27" s="17">
        <f t="shared" si="4"/>
        <v>17540.239126054727</v>
      </c>
      <c r="E27" s="17">
        <f t="shared" si="0"/>
        <v>-17540.240239193281</v>
      </c>
    </row>
    <row r="28" spans="1:5" x14ac:dyDescent="0.25">
      <c r="A28" s="16">
        <f t="shared" si="1"/>
        <v>20</v>
      </c>
      <c r="B28" s="17">
        <f t="shared" si="2"/>
        <v>-205.48245715641846</v>
      </c>
      <c r="C28" s="17">
        <f t="shared" si="3"/>
        <v>17745.721583211143</v>
      </c>
      <c r="D28" s="17">
        <f t="shared" si="4"/>
        <v>17540.239126054727</v>
      </c>
      <c r="E28" s="17">
        <f t="shared" si="0"/>
        <v>-35285.961822404424</v>
      </c>
    </row>
    <row r="29" spans="1:5" x14ac:dyDescent="0.25">
      <c r="A29" s="16">
        <f t="shared" si="1"/>
        <v>21</v>
      </c>
      <c r="B29" s="17">
        <f t="shared" si="2"/>
        <v>-413.37211118658598</v>
      </c>
      <c r="C29" s="17">
        <f t="shared" si="3"/>
        <v>17953.611237241312</v>
      </c>
      <c r="D29" s="17">
        <f t="shared" si="4"/>
        <v>17540.239126054727</v>
      </c>
      <c r="E29" s="17">
        <f t="shared" si="0"/>
        <v>-53239.573059645736</v>
      </c>
    </row>
    <row r="30" spans="1:5" x14ac:dyDescent="0.25">
      <c r="A30" s="16">
        <f t="shared" si="1"/>
        <v>22</v>
      </c>
      <c r="B30" s="17">
        <f t="shared" si="2"/>
        <v>-623.69717524221403</v>
      </c>
      <c r="C30" s="17">
        <f t="shared" si="3"/>
        <v>18163.936301296941</v>
      </c>
      <c r="D30" s="17">
        <f t="shared" si="4"/>
        <v>17540.239126054727</v>
      </c>
      <c r="E30" s="17">
        <f t="shared" si="0"/>
        <v>-71403.509360942669</v>
      </c>
    </row>
    <row r="31" spans="1:5" x14ac:dyDescent="0.25">
      <c r="A31" s="16">
        <f t="shared" si="1"/>
        <v>23</v>
      </c>
      <c r="B31" s="17">
        <f t="shared" si="2"/>
        <v>-836.48617994941651</v>
      </c>
      <c r="C31" s="17">
        <f t="shared" si="3"/>
        <v>18376.725306004144</v>
      </c>
      <c r="D31" s="17">
        <f t="shared" si="4"/>
        <v>17540.239126054727</v>
      </c>
      <c r="E31" s="17">
        <f t="shared" si="0"/>
        <v>-89780.23466694681</v>
      </c>
    </row>
    <row r="32" spans="1:5" x14ac:dyDescent="0.25">
      <c r="A32" s="16">
        <f t="shared" si="1"/>
        <v>24</v>
      </c>
      <c r="B32" s="17">
        <f t="shared" si="2"/>
        <v>-1051.7679901682222</v>
      </c>
      <c r="C32" s="17">
        <f t="shared" si="3"/>
        <v>18592.007116222951</v>
      </c>
      <c r="D32" s="17">
        <f t="shared" si="4"/>
        <v>17540.239126054727</v>
      </c>
      <c r="E32" s="17">
        <f t="shared" si="0"/>
        <v>-108372.24178316977</v>
      </c>
    </row>
    <row r="33" spans="1:5" x14ac:dyDescent="0.25">
      <c r="A33" s="16">
        <f t="shared" si="1"/>
        <v>25</v>
      </c>
      <c r="B33" s="17">
        <f t="shared" si="2"/>
        <v>-1269.571808908097</v>
      </c>
      <c r="C33" s="17">
        <f t="shared" si="3"/>
        <v>18809.810934962825</v>
      </c>
      <c r="D33" s="17">
        <f t="shared" si="4"/>
        <v>17540.239126054727</v>
      </c>
      <c r="E33" s="17">
        <f t="shared" si="0"/>
        <v>-127182.05271813259</v>
      </c>
    </row>
    <row r="34" spans="1:5" x14ac:dyDescent="0.25">
      <c r="A34" s="16">
        <f t="shared" si="1"/>
        <v>26</v>
      </c>
      <c r="B34" s="17">
        <f t="shared" si="2"/>
        <v>-1489.927181289336</v>
      </c>
      <c r="C34" s="17">
        <f t="shared" si="3"/>
        <v>19030.166307344061</v>
      </c>
      <c r="D34" s="17">
        <f t="shared" si="4"/>
        <v>17540.239126054727</v>
      </c>
      <c r="E34" s="17">
        <f t="shared" si="0"/>
        <v>-146212.21902547666</v>
      </c>
    </row>
    <row r="35" spans="1:5" x14ac:dyDescent="0.25">
      <c r="A35" s="16">
        <f t="shared" si="1"/>
        <v>27</v>
      </c>
      <c r="B35" s="17">
        <f t="shared" si="2"/>
        <v>-1712.8639985508648</v>
      </c>
      <c r="C35" s="17">
        <f t="shared" si="3"/>
        <v>19253.10312460559</v>
      </c>
      <c r="D35" s="17">
        <f t="shared" si="4"/>
        <v>17540.239126054727</v>
      </c>
      <c r="E35" s="17">
        <f t="shared" si="0"/>
        <v>-165465.32215008224</v>
      </c>
    </row>
    <row r="36" spans="1:5" x14ac:dyDescent="0.25">
      <c r="A36" s="16">
        <f t="shared" si="1"/>
        <v>28</v>
      </c>
      <c r="B36" s="17">
        <f t="shared" si="2"/>
        <v>-1938.4125021049886</v>
      </c>
      <c r="C36" s="17">
        <f t="shared" si="3"/>
        <v>19478.651628159714</v>
      </c>
      <c r="D36" s="17">
        <f t="shared" si="4"/>
        <v>17540.239126054727</v>
      </c>
      <c r="E36" s="17">
        <f t="shared" si="0"/>
        <v>-184943.97377824195</v>
      </c>
    </row>
    <row r="37" spans="1:5" x14ac:dyDescent="0.25">
      <c r="A37" s="16">
        <f t="shared" si="1"/>
        <v>29</v>
      </c>
      <c r="B37" s="17">
        <f t="shared" si="2"/>
        <v>-2166.6032876396466</v>
      </c>
      <c r="C37" s="17">
        <f t="shared" si="3"/>
        <v>19706.842413694372</v>
      </c>
      <c r="D37" s="17">
        <f t="shared" si="4"/>
        <v>17540.239126054727</v>
      </c>
      <c r="E37" s="17">
        <f t="shared" si="0"/>
        <v>-204650.81619193632</v>
      </c>
    </row>
    <row r="38" spans="1:5" x14ac:dyDescent="0.25">
      <c r="A38" s="16">
        <f t="shared" si="1"/>
        <v>30</v>
      </c>
      <c r="B38" s="17">
        <f t="shared" si="2"/>
        <v>-2397.467309268719</v>
      </c>
      <c r="C38" s="17">
        <f t="shared" si="3"/>
        <v>19937.706435323445</v>
      </c>
      <c r="D38" s="17">
        <f t="shared" si="4"/>
        <v>17540.239126054727</v>
      </c>
      <c r="E38" s="17">
        <f t="shared" si="0"/>
        <v>-224588.52262725978</v>
      </c>
    </row>
    <row r="39" spans="1:5" x14ac:dyDescent="0.25">
      <c r="A39" s="16">
        <f t="shared" si="1"/>
        <v>31</v>
      </c>
      <c r="B39" s="17">
        <f t="shared" si="2"/>
        <v>-2631.0358837309591</v>
      </c>
      <c r="C39" s="17">
        <f t="shared" si="3"/>
        <v>20171.275009785684</v>
      </c>
      <c r="D39" s="17">
        <f t="shared" si="4"/>
        <v>17540.239126054727</v>
      </c>
      <c r="E39" s="17">
        <f t="shared" si="0"/>
        <v>-244759.79763704547</v>
      </c>
    </row>
    <row r="40" spans="1:5" x14ac:dyDescent="0.25">
      <c r="A40" s="16">
        <f t="shared" si="1"/>
        <v>32</v>
      </c>
      <c r="B40" s="17">
        <f t="shared" si="2"/>
        <v>-2867.3406946381133</v>
      </c>
      <c r="C40" s="17">
        <f t="shared" si="3"/>
        <v>20407.579820692841</v>
      </c>
      <c r="D40" s="17">
        <f t="shared" si="4"/>
        <v>17540.239126054727</v>
      </c>
      <c r="E40" s="17">
        <f t="shared" si="0"/>
        <v>-265167.37745773833</v>
      </c>
    </row>
    <row r="41" spans="1:5" x14ac:dyDescent="0.25">
      <c r="A41" s="16">
        <f t="shared" si="1"/>
        <v>33</v>
      </c>
      <c r="B41" s="17">
        <f t="shared" si="2"/>
        <v>-3106.4137967728066</v>
      </c>
      <c r="C41" s="17">
        <f t="shared" si="3"/>
        <v>20646.652922827532</v>
      </c>
      <c r="D41" s="17">
        <f t="shared" si="4"/>
        <v>17540.239126054727</v>
      </c>
      <c r="E41" s="17">
        <f t="shared" si="0"/>
        <v>-285814.03038056585</v>
      </c>
    </row>
    <row r="42" spans="1:5" x14ac:dyDescent="0.25">
      <c r="A42" s="16">
        <f t="shared" si="1"/>
        <v>34</v>
      </c>
      <c r="B42" s="17">
        <f t="shared" si="2"/>
        <v>-3348.287620436779</v>
      </c>
      <c r="C42" s="17">
        <f t="shared" si="3"/>
        <v>20888.526746491505</v>
      </c>
      <c r="D42" s="17">
        <f t="shared" si="4"/>
        <v>17540.239126054727</v>
      </c>
      <c r="E42" s="17">
        <f t="shared" si="0"/>
        <v>-306702.55712705734</v>
      </c>
    </row>
    <row r="43" spans="1:5" x14ac:dyDescent="0.25">
      <c r="A43" s="16">
        <f t="shared" si="1"/>
        <v>35</v>
      </c>
      <c r="B43" s="17">
        <f t="shared" si="2"/>
        <v>-3592.994975850062</v>
      </c>
      <c r="C43" s="17">
        <f t="shared" si="3"/>
        <v>21133.234101904789</v>
      </c>
      <c r="D43" s="17">
        <f t="shared" si="4"/>
        <v>17540.239126054727</v>
      </c>
      <c r="E43" s="17">
        <f t="shared" si="0"/>
        <v>-327835.79122896213</v>
      </c>
    </row>
    <row r="44" spans="1:5" x14ac:dyDescent="0.25">
      <c r="A44" s="16">
        <f t="shared" si="1"/>
        <v>36</v>
      </c>
      <c r="B44" s="17">
        <f t="shared" si="2"/>
        <v>-3840.5690576016887</v>
      </c>
      <c r="C44" s="17">
        <f t="shared" si="3"/>
        <v>21380.808183656416</v>
      </c>
      <c r="D44" s="17">
        <f t="shared" si="4"/>
        <v>17540.239126054727</v>
      </c>
      <c r="E44" s="17">
        <f t="shared" si="0"/>
        <v>-349216.59941261855</v>
      </c>
    </row>
    <row r="45" spans="1:5" x14ac:dyDescent="0.25">
      <c r="A45" s="16">
        <f t="shared" si="1"/>
        <v>37</v>
      </c>
      <c r="B45" s="17">
        <f t="shared" si="2"/>
        <v>-4091.0434491525448</v>
      </c>
      <c r="C45" s="17">
        <f t="shared" si="3"/>
        <v>21631.282575207271</v>
      </c>
      <c r="D45" s="17">
        <f t="shared" si="4"/>
        <v>17540.239126054727</v>
      </c>
      <c r="E45" s="17">
        <f t="shared" si="0"/>
        <v>-370847.88198782585</v>
      </c>
    </row>
    <row r="46" spans="1:5" x14ac:dyDescent="0.25">
      <c r="A46" s="16">
        <f t="shared" si="1"/>
        <v>38</v>
      </c>
      <c r="B46" s="17">
        <f t="shared" si="2"/>
        <v>-4344.4521273909704</v>
      </c>
      <c r="C46" s="17">
        <f t="shared" si="3"/>
        <v>21884.691253445697</v>
      </c>
      <c r="D46" s="17">
        <f t="shared" si="4"/>
        <v>17540.239126054727</v>
      </c>
      <c r="E46" s="17">
        <f t="shared" si="0"/>
        <v>-392732.57324127154</v>
      </c>
    </row>
    <row r="47" spans="1:5" x14ac:dyDescent="0.25">
      <c r="A47" s="16">
        <f t="shared" si="1"/>
        <v>39</v>
      </c>
      <c r="B47" s="17">
        <f t="shared" si="2"/>
        <v>-4600.8294672417287</v>
      </c>
      <c r="C47" s="17">
        <f t="shared" si="3"/>
        <v>22141.068593296455</v>
      </c>
      <c r="D47" s="17">
        <f t="shared" si="4"/>
        <v>17540.239126054727</v>
      </c>
      <c r="E47" s="17">
        <f t="shared" si="0"/>
        <v>-414873.641834568</v>
      </c>
    </row>
    <row r="48" spans="1:5" x14ac:dyDescent="0.25">
      <c r="A48" s="16">
        <f t="shared" si="1"/>
        <v>40</v>
      </c>
      <c r="B48" s="17">
        <f t="shared" si="2"/>
        <v>-4860.2102463289721</v>
      </c>
      <c r="C48" s="17">
        <f t="shared" si="3"/>
        <v>22400.4493723837</v>
      </c>
      <c r="D48" s="17">
        <f t="shared" si="4"/>
        <v>17540.239126054727</v>
      </c>
      <c r="E48" s="17">
        <f t="shared" si="0"/>
        <v>-437274.09120695171</v>
      </c>
    </row>
    <row r="49" spans="1:5" x14ac:dyDescent="0.25">
      <c r="A49" s="16">
        <f t="shared" si="1"/>
        <v>41</v>
      </c>
      <c r="B49" s="17">
        <f t="shared" si="2"/>
        <v>-5122.6296496938285</v>
      </c>
      <c r="C49" s="17">
        <f t="shared" si="3"/>
        <v>22662.868775748553</v>
      </c>
      <c r="D49" s="17">
        <f t="shared" si="4"/>
        <v>17540.239126054727</v>
      </c>
      <c r="E49" s="17">
        <f t="shared" si="0"/>
        <v>-459936.95998270024</v>
      </c>
    </row>
    <row r="50" spans="1:5" x14ac:dyDescent="0.25">
      <c r="A50" s="16">
        <f t="shared" si="1"/>
        <v>42</v>
      </c>
      <c r="B50" s="17">
        <f t="shared" si="2"/>
        <v>-5388.1232745672614</v>
      </c>
      <c r="C50" s="17">
        <f t="shared" si="3"/>
        <v>22928.362400621987</v>
      </c>
      <c r="D50" s="17">
        <f t="shared" si="4"/>
        <v>17540.239126054727</v>
      </c>
      <c r="E50" s="17">
        <f t="shared" si="0"/>
        <v>-482865.32238332223</v>
      </c>
    </row>
    <row r="51" spans="1:5" x14ac:dyDescent="0.25">
      <c r="A51" s="16">
        <f t="shared" si="1"/>
        <v>43</v>
      </c>
      <c r="B51" s="17">
        <f t="shared" si="2"/>
        <v>-5656.7271351988384</v>
      </c>
      <c r="C51" s="17">
        <f t="shared" si="3"/>
        <v>23196.966261253565</v>
      </c>
      <c r="D51" s="17">
        <f t="shared" si="4"/>
        <v>17540.239126054727</v>
      </c>
      <c r="E51" s="17">
        <f t="shared" si="0"/>
        <v>-506062.2886445758</v>
      </c>
    </row>
    <row r="52" spans="1:5" x14ac:dyDescent="0.25">
      <c r="A52" s="16">
        <f t="shared" si="1"/>
        <v>44</v>
      </c>
      <c r="B52" s="17">
        <f t="shared" si="2"/>
        <v>-5928.4776677420659</v>
      </c>
      <c r="C52" s="17">
        <f t="shared" si="3"/>
        <v>23468.716793796793</v>
      </c>
      <c r="D52" s="17">
        <f t="shared" si="4"/>
        <v>17540.239126054727</v>
      </c>
      <c r="E52" s="17">
        <f t="shared" si="0"/>
        <v>-529531.00543837261</v>
      </c>
    </row>
    <row r="53" spans="1:5" x14ac:dyDescent="0.25">
      <c r="A53" s="16">
        <f t="shared" si="1"/>
        <v>45</v>
      </c>
      <c r="B53" s="17">
        <f t="shared" si="2"/>
        <v>-6203.4117351969635</v>
      </c>
      <c r="C53" s="17">
        <f t="shared" si="3"/>
        <v>23743.650861251692</v>
      </c>
      <c r="D53" s="17">
        <f t="shared" si="4"/>
        <v>17540.239126054727</v>
      </c>
      <c r="E53" s="17">
        <f t="shared" si="0"/>
        <v>-553274.65629962436</v>
      </c>
    </row>
    <row r="54" spans="1:5" x14ac:dyDescent="0.25">
      <c r="A54" s="16">
        <f t="shared" si="1"/>
        <v>46</v>
      </c>
      <c r="B54" s="17">
        <f t="shared" si="2"/>
        <v>-6481.5666324105332</v>
      </c>
      <c r="C54" s="17">
        <f t="shared" si="3"/>
        <v>24021.80575846526</v>
      </c>
      <c r="D54" s="17">
        <f t="shared" si="4"/>
        <v>17540.239126054727</v>
      </c>
      <c r="E54" s="17">
        <f t="shared" si="0"/>
        <v>-577296.46205808967</v>
      </c>
    </row>
    <row r="55" spans="1:5" x14ac:dyDescent="0.25">
      <c r="A55" s="16">
        <f t="shared" si="1"/>
        <v>47</v>
      </c>
      <c r="B55" s="17">
        <f t="shared" si="2"/>
        <v>-6762.9800911358097</v>
      </c>
      <c r="C55" s="17">
        <f t="shared" si="3"/>
        <v>24303.219217190537</v>
      </c>
      <c r="D55" s="17">
        <f t="shared" si="4"/>
        <v>17540.239126054727</v>
      </c>
      <c r="E55" s="17">
        <f t="shared" si="0"/>
        <v>-601599.68127528019</v>
      </c>
    </row>
    <row r="56" spans="1:5" x14ac:dyDescent="0.25">
      <c r="A56" s="16">
        <f t="shared" si="1"/>
        <v>48</v>
      </c>
      <c r="B56" s="17">
        <f t="shared" si="2"/>
        <v>-7047.69028515018</v>
      </c>
      <c r="C56" s="17">
        <f t="shared" si="3"/>
        <v>24587.929411204907</v>
      </c>
      <c r="D56" s="17">
        <f t="shared" si="4"/>
        <v>17540.239126054727</v>
      </c>
      <c r="E56" s="17">
        <f t="shared" si="0"/>
        <v>-626187.61068648507</v>
      </c>
    </row>
    <row r="57" spans="1:5" x14ac:dyDescent="0.25">
      <c r="A57" s="16">
        <f t="shared" si="1"/>
        <v>49</v>
      </c>
      <c r="B57" s="17">
        <f t="shared" si="2"/>
        <v>-7335.7358354336648</v>
      </c>
      <c r="C57" s="17">
        <f t="shared" si="3"/>
        <v>24875.974961488391</v>
      </c>
      <c r="D57" s="17">
        <f t="shared" si="4"/>
        <v>17540.239126054727</v>
      </c>
      <c r="E57" s="17">
        <f t="shared" si="0"/>
        <v>-651063.58564797346</v>
      </c>
    </row>
    <row r="58" spans="1:5" x14ac:dyDescent="0.25">
      <c r="A58" s="16">
        <f t="shared" si="1"/>
        <v>50</v>
      </c>
      <c r="B58" s="17">
        <f t="shared" si="2"/>
        <v>-7627.1558154078548</v>
      </c>
      <c r="C58" s="17">
        <f t="shared" si="3"/>
        <v>25167.394941462582</v>
      </c>
      <c r="D58" s="17">
        <f t="shared" si="4"/>
        <v>17540.239126054727</v>
      </c>
      <c r="E58" s="17">
        <f t="shared" si="0"/>
        <v>-676230.98058943602</v>
      </c>
    </row>
    <row r="59" spans="1:5" x14ac:dyDescent="0.25">
      <c r="A59" s="16">
        <f t="shared" si="1"/>
        <v>51</v>
      </c>
      <c r="B59" s="17">
        <f t="shared" si="2"/>
        <v>-7921.9897562362266</v>
      </c>
      <c r="C59" s="17">
        <f t="shared" si="3"/>
        <v>25462.228882290954</v>
      </c>
      <c r="D59" s="17">
        <f t="shared" si="4"/>
        <v>17540.239126054727</v>
      </c>
      <c r="E59" s="17">
        <f t="shared" si="0"/>
        <v>-701693.20947172702</v>
      </c>
    </row>
    <row r="60" spans="1:5" x14ac:dyDescent="0.25">
      <c r="A60" s="16">
        <f t="shared" si="1"/>
        <v>52</v>
      </c>
      <c r="B60" s="17">
        <f t="shared" si="2"/>
        <v>-8220.2776521865562</v>
      </c>
      <c r="C60" s="17">
        <f t="shared" si="3"/>
        <v>25760.516778241283</v>
      </c>
      <c r="D60" s="17">
        <f t="shared" si="4"/>
        <v>17540.239126054727</v>
      </c>
      <c r="E60" s="17">
        <f t="shared" si="0"/>
        <v>-727453.72624996828</v>
      </c>
    </row>
    <row r="61" spans="1:5" x14ac:dyDescent="0.25">
      <c r="A61" s="16">
        <f t="shared" si="1"/>
        <v>53</v>
      </c>
      <c r="B61" s="17">
        <f t="shared" si="2"/>
        <v>-8522.059966056142</v>
      </c>
      <c r="C61" s="17">
        <f t="shared" si="3"/>
        <v>26062.299092110869</v>
      </c>
      <c r="D61" s="17">
        <f t="shared" si="4"/>
        <v>17540.239126054727</v>
      </c>
      <c r="E61" s="17">
        <f t="shared" si="0"/>
        <v>-753516.02534207911</v>
      </c>
    </row>
    <row r="62" spans="1:5" x14ac:dyDescent="0.25">
      <c r="A62" s="16">
        <f t="shared" si="1"/>
        <v>54</v>
      </c>
      <c r="B62" s="17">
        <f t="shared" si="2"/>
        <v>-8827.37763466059</v>
      </c>
      <c r="C62" s="17">
        <f t="shared" si="3"/>
        <v>26367.616760715318</v>
      </c>
      <c r="D62" s="17">
        <f t="shared" si="4"/>
        <v>17540.239126054727</v>
      </c>
      <c r="E62" s="17">
        <f t="shared" si="0"/>
        <v>-779883.64210279449</v>
      </c>
    </row>
    <row r="63" spans="1:5" x14ac:dyDescent="0.25">
      <c r="A63" s="16">
        <f t="shared" si="1"/>
        <v>55</v>
      </c>
      <c r="B63" s="17">
        <f t="shared" si="2"/>
        <v>-9136.2720743869049</v>
      </c>
      <c r="C63" s="17">
        <f t="shared" si="3"/>
        <v>26676.51120044163</v>
      </c>
      <c r="D63" s="17">
        <f t="shared" si="4"/>
        <v>17540.239126054727</v>
      </c>
      <c r="E63" s="17">
        <f t="shared" si="0"/>
        <v>-806560.15330323612</v>
      </c>
    </row>
    <row r="64" spans="1:5" x14ac:dyDescent="0.25">
      <c r="A64" s="16">
        <f t="shared" si="1"/>
        <v>56</v>
      </c>
      <c r="B64" s="17">
        <f t="shared" si="2"/>
        <v>-9448.7851868116159</v>
      </c>
      <c r="C64" s="17">
        <f t="shared" si="3"/>
        <v>26989.024312866342</v>
      </c>
      <c r="D64" s="17">
        <f t="shared" si="4"/>
        <v>17540.239126054727</v>
      </c>
      <c r="E64" s="17">
        <f t="shared" si="0"/>
        <v>-833549.1776161025</v>
      </c>
    </row>
    <row r="65" spans="1:5" x14ac:dyDescent="0.25">
      <c r="A65" s="16">
        <f t="shared" si="1"/>
        <v>57</v>
      </c>
      <c r="B65" s="17">
        <f t="shared" si="2"/>
        <v>-9764.9593643847493</v>
      </c>
      <c r="C65" s="17">
        <f t="shared" si="3"/>
        <v>27305.198490439478</v>
      </c>
      <c r="D65" s="17">
        <f t="shared" si="4"/>
        <v>17540.239126054727</v>
      </c>
      <c r="E65" s="17">
        <f t="shared" si="0"/>
        <v>-860854.37610654195</v>
      </c>
    </row>
    <row r="66" spans="1:5" x14ac:dyDescent="0.25">
      <c r="A66" s="16">
        <f t="shared" si="1"/>
        <v>58</v>
      </c>
      <c r="B66" s="17">
        <f t="shared" si="2"/>
        <v>-10084.837496180353</v>
      </c>
      <c r="C66" s="17">
        <f t="shared" si="3"/>
        <v>27625.076622235079</v>
      </c>
      <c r="D66" s="17">
        <f t="shared" si="4"/>
        <v>17540.239126054727</v>
      </c>
      <c r="E66" s="17">
        <f t="shared" si="0"/>
        <v>-888479.45272877708</v>
      </c>
    </row>
    <row r="67" spans="1:5" x14ac:dyDescent="0.25">
      <c r="A67" s="16">
        <f t="shared" si="1"/>
        <v>59</v>
      </c>
      <c r="B67" s="17">
        <f t="shared" si="2"/>
        <v>-10408.462973714422</v>
      </c>
      <c r="C67" s="17">
        <f t="shared" si="3"/>
        <v>27948.702099769151</v>
      </c>
      <c r="D67" s="17">
        <f t="shared" si="4"/>
        <v>17540.239126054727</v>
      </c>
      <c r="E67" s="17">
        <f t="shared" si="0"/>
        <v>-916428.15482854622</v>
      </c>
    </row>
    <row r="68" spans="1:5" x14ac:dyDescent="0.25">
      <c r="A68" s="16">
        <f t="shared" si="1"/>
        <v>60</v>
      </c>
      <c r="B68" s="17">
        <f t="shared" si="2"/>
        <v>-10735.879696830949</v>
      </c>
      <c r="C68" s="17">
        <f t="shared" si="3"/>
        <v>28276.118822885677</v>
      </c>
      <c r="D68" s="17">
        <f t="shared" si="4"/>
        <v>17540.239126054727</v>
      </c>
      <c r="E68" s="17">
        <f t="shared" si="0"/>
        <v>-944704.2736514319</v>
      </c>
    </row>
  </sheetData>
  <mergeCells count="6">
    <mergeCell ref="A1:E3"/>
    <mergeCell ref="F1:F3"/>
    <mergeCell ref="A4:B4"/>
    <mergeCell ref="A5:B5"/>
    <mergeCell ref="D5:E6"/>
    <mergeCell ref="A6:B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F4" sqref="F4"/>
    </sheetView>
  </sheetViews>
  <sheetFormatPr defaultRowHeight="15.7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9.140625" style="1"/>
    <col min="8" max="8" width="34.42578125" style="1" bestFit="1" customWidth="1"/>
    <col min="9" max="16384" width="9.140625" style="1"/>
  </cols>
  <sheetData>
    <row r="1" spans="1:6" x14ac:dyDescent="0.25">
      <c r="A1" s="9" t="s">
        <v>11</v>
      </c>
      <c r="B1" s="9"/>
      <c r="C1" s="9"/>
      <c r="D1" s="9"/>
      <c r="E1" s="9"/>
      <c r="F1" s="8" t="s">
        <v>13</v>
      </c>
    </row>
    <row r="2" spans="1:6" x14ac:dyDescent="0.25">
      <c r="A2" s="9"/>
      <c r="B2" s="9"/>
      <c r="C2" s="9"/>
      <c r="D2" s="9"/>
      <c r="E2" s="9"/>
      <c r="F2" s="8"/>
    </row>
    <row r="3" spans="1:6" x14ac:dyDescent="0.25">
      <c r="A3" s="10"/>
      <c r="B3" s="10"/>
      <c r="C3" s="10"/>
      <c r="D3" s="10"/>
      <c r="E3" s="10"/>
      <c r="F3" s="8"/>
    </row>
    <row r="4" spans="1:6" ht="30" customHeight="1" x14ac:dyDescent="0.25">
      <c r="A4" s="5" t="s">
        <v>4</v>
      </c>
      <c r="B4" s="5"/>
      <c r="C4" s="12">
        <v>248533.94</v>
      </c>
      <c r="D4" s="11" t="s">
        <v>12</v>
      </c>
      <c r="E4" s="3">
        <f>C4*((C6*(1+C6)^C5)/((1+C6)^C5-1))</f>
        <v>18163.936410585575</v>
      </c>
    </row>
    <row r="5" spans="1:6" ht="39.75" customHeight="1" x14ac:dyDescent="0.25">
      <c r="A5" s="5" t="s">
        <v>5</v>
      </c>
      <c r="B5" s="5"/>
      <c r="C5" s="13">
        <v>15</v>
      </c>
      <c r="D5" s="7" t="s">
        <v>8</v>
      </c>
      <c r="E5" s="7"/>
      <c r="F5" s="15">
        <v>0.15</v>
      </c>
    </row>
    <row r="6" spans="1:6" ht="30" customHeight="1" x14ac:dyDescent="0.25">
      <c r="A6" s="6" t="s">
        <v>6</v>
      </c>
      <c r="B6" s="6"/>
      <c r="C6" s="14">
        <f>F6</f>
        <v>1.171491691985338E-2</v>
      </c>
      <c r="D6" s="7"/>
      <c r="E6" s="7"/>
      <c r="F6" s="4">
        <f>(1+F5)^(1/12) -1</f>
        <v>1.171491691985338E-2</v>
      </c>
    </row>
    <row r="7" spans="1:6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7</v>
      </c>
    </row>
    <row r="8" spans="1:6" x14ac:dyDescent="0.25">
      <c r="A8" s="16">
        <v>0</v>
      </c>
      <c r="B8" s="17">
        <v>0</v>
      </c>
      <c r="C8" s="17">
        <v>0</v>
      </c>
      <c r="D8" s="17">
        <v>0</v>
      </c>
      <c r="E8" s="18">
        <v>240000</v>
      </c>
    </row>
    <row r="9" spans="1:6" x14ac:dyDescent="0.25">
      <c r="A9" s="16">
        <v>1</v>
      </c>
      <c r="B9" s="17">
        <f>E8*C6</f>
        <v>2811.5800607648112</v>
      </c>
      <c r="C9" s="17">
        <v>0</v>
      </c>
      <c r="D9" s="17">
        <v>0</v>
      </c>
      <c r="E9" s="17">
        <f>E8+B9</f>
        <v>242811.5800607648</v>
      </c>
    </row>
    <row r="10" spans="1:6" x14ac:dyDescent="0.25">
      <c r="A10" s="16">
        <v>2</v>
      </c>
      <c r="B10" s="17">
        <f>E9*C6</f>
        <v>2844.5174875901871</v>
      </c>
      <c r="C10" s="17">
        <v>0</v>
      </c>
      <c r="D10" s="17">
        <v>0</v>
      </c>
      <c r="E10" s="17">
        <f>E9+B10</f>
        <v>245656.097548355</v>
      </c>
    </row>
    <row r="11" spans="1:6" x14ac:dyDescent="0.25">
      <c r="A11" s="16">
        <f>A10+1</f>
        <v>3</v>
      </c>
      <c r="B11" s="17">
        <f>E10*C6</f>
        <v>2877.8407736343765</v>
      </c>
      <c r="C11" s="17">
        <v>0</v>
      </c>
      <c r="D11" s="17">
        <v>0</v>
      </c>
      <c r="E11" s="17">
        <f>E10+B11</f>
        <v>248533.93832198938</v>
      </c>
    </row>
    <row r="12" spans="1:6" x14ac:dyDescent="0.25">
      <c r="A12" s="16">
        <f t="shared" ref="A12:A68" si="0">A11+1</f>
        <v>4</v>
      </c>
      <c r="B12" s="17">
        <f>E11*C6</f>
        <v>2911.5544392060697</v>
      </c>
      <c r="C12" s="17">
        <f>D12-B12</f>
        <v>15252.385560793929</v>
      </c>
      <c r="D12" s="17">
        <v>18163.939999999999</v>
      </c>
      <c r="E12" s="17">
        <f>E11-C12</f>
        <v>233281.55276119546</v>
      </c>
    </row>
    <row r="13" spans="1:6" x14ac:dyDescent="0.25">
      <c r="A13" s="16">
        <f t="shared" si="0"/>
        <v>5</v>
      </c>
      <c r="B13" s="17">
        <f t="shared" ref="B13:B68" si="1">E12*$C$6</f>
        <v>2732.8740095317976</v>
      </c>
      <c r="C13" s="17">
        <f t="shared" ref="C13:C26" si="2">D13-B13</f>
        <v>15431.062401053778</v>
      </c>
      <c r="D13" s="17">
        <f t="shared" ref="D13:D68" si="3">$E$4</f>
        <v>18163.936410585575</v>
      </c>
      <c r="E13" s="17">
        <f t="shared" ref="E11:E68" si="4">E12-C13</f>
        <v>217850.49036014167</v>
      </c>
    </row>
    <row r="14" spans="1:6" x14ac:dyDescent="0.25">
      <c r="A14" s="16">
        <f t="shared" si="0"/>
        <v>6</v>
      </c>
      <c r="B14" s="17">
        <f t="shared" si="1"/>
        <v>2552.1003955183792</v>
      </c>
      <c r="C14" s="17">
        <f t="shared" si="2"/>
        <v>15611.836015067196</v>
      </c>
      <c r="D14" s="17">
        <f t="shared" si="3"/>
        <v>18163.936410585575</v>
      </c>
      <c r="E14" s="17">
        <f t="shared" si="4"/>
        <v>202238.65434507446</v>
      </c>
    </row>
    <row r="15" spans="1:6" x14ac:dyDescent="0.25">
      <c r="A15" s="16">
        <f t="shared" si="0"/>
        <v>7</v>
      </c>
      <c r="B15" s="17">
        <f t="shared" si="1"/>
        <v>2369.2090336354922</v>
      </c>
      <c r="C15" s="17">
        <f t="shared" si="2"/>
        <v>15794.727376950083</v>
      </c>
      <c r="D15" s="17">
        <f t="shared" si="3"/>
        <v>18163.936410585575</v>
      </c>
      <c r="E15" s="17">
        <f t="shared" si="4"/>
        <v>186443.92696812437</v>
      </c>
    </row>
    <row r="16" spans="1:6" x14ac:dyDescent="0.25">
      <c r="A16" s="16">
        <f t="shared" si="0"/>
        <v>8</v>
      </c>
      <c r="B16" s="17">
        <f t="shared" si="1"/>
        <v>2184.1751146427882</v>
      </c>
      <c r="C16" s="17">
        <f t="shared" si="2"/>
        <v>15979.761295942786</v>
      </c>
      <c r="D16" s="17">
        <f t="shared" si="3"/>
        <v>18163.936410585575</v>
      </c>
      <c r="E16" s="17">
        <f t="shared" si="4"/>
        <v>170464.16567218158</v>
      </c>
    </row>
    <row r="17" spans="1:5" x14ac:dyDescent="0.25">
      <c r="A17" s="16">
        <f t="shared" si="0"/>
        <v>9</v>
      </c>
      <c r="B17" s="17">
        <f t="shared" si="1"/>
        <v>1996.9735386617297</v>
      </c>
      <c r="C17" s="17">
        <f t="shared" si="2"/>
        <v>16166.962871923844</v>
      </c>
      <c r="D17" s="17">
        <f t="shared" si="3"/>
        <v>18163.936410585575</v>
      </c>
      <c r="E17" s="17">
        <f t="shared" si="4"/>
        <v>154297.20280025774</v>
      </c>
    </row>
    <row r="18" spans="1:5" x14ac:dyDescent="0.25">
      <c r="A18" s="16">
        <f t="shared" si="0"/>
        <v>10</v>
      </c>
      <c r="B18" s="17">
        <f t="shared" si="1"/>
        <v>1807.5789117707877</v>
      </c>
      <c r="C18" s="17">
        <f t="shared" si="2"/>
        <v>16356.357498814787</v>
      </c>
      <c r="D18" s="17">
        <f t="shared" si="3"/>
        <v>18163.936410585575</v>
      </c>
      <c r="E18" s="17">
        <f t="shared" si="4"/>
        <v>137940.84530144295</v>
      </c>
    </row>
    <row r="19" spans="1:5" x14ac:dyDescent="0.25">
      <c r="A19" s="16">
        <f t="shared" si="0"/>
        <v>11</v>
      </c>
      <c r="B19" s="17">
        <f t="shared" si="1"/>
        <v>1615.9655425607516</v>
      </c>
      <c r="C19" s="17">
        <f t="shared" si="2"/>
        <v>16547.970868024822</v>
      </c>
      <c r="D19" s="17">
        <f t="shared" si="3"/>
        <v>18163.936410585575</v>
      </c>
      <c r="E19" s="17">
        <f t="shared" si="4"/>
        <v>121392.87443341812</v>
      </c>
    </row>
    <row r="20" spans="1:5" x14ac:dyDescent="0.25">
      <c r="A20" s="16">
        <f t="shared" si="0"/>
        <v>12</v>
      </c>
      <c r="B20" s="17">
        <f t="shared" si="1"/>
        <v>1422.1074386496869</v>
      </c>
      <c r="C20" s="17">
        <f t="shared" si="2"/>
        <v>16741.828971935887</v>
      </c>
      <c r="D20" s="17">
        <f t="shared" si="3"/>
        <v>18163.936410585575</v>
      </c>
      <c r="E20" s="17">
        <f t="shared" si="4"/>
        <v>104651.04546148224</v>
      </c>
    </row>
    <row r="21" spans="1:5" x14ac:dyDescent="0.25">
      <c r="A21" s="16">
        <f t="shared" si="0"/>
        <v>13</v>
      </c>
      <c r="B21" s="17">
        <f t="shared" si="1"/>
        <v>1225.9783031570635</v>
      </c>
      <c r="C21" s="17">
        <f t="shared" si="2"/>
        <v>16937.958107428512</v>
      </c>
      <c r="D21" s="17">
        <f t="shared" si="3"/>
        <v>18163.936410585575</v>
      </c>
      <c r="E21" s="17">
        <f t="shared" si="4"/>
        <v>87713.087354053729</v>
      </c>
    </row>
    <row r="22" spans="1:5" x14ac:dyDescent="0.25">
      <c r="A22" s="16">
        <f t="shared" si="0"/>
        <v>14</v>
      </c>
      <c r="B22" s="17">
        <f t="shared" si="1"/>
        <v>1027.5515311365816</v>
      </c>
      <c r="C22" s="17">
        <f t="shared" si="2"/>
        <v>17136.384879448993</v>
      </c>
      <c r="D22" s="17">
        <f t="shared" si="3"/>
        <v>18163.936410585575</v>
      </c>
      <c r="E22" s="17">
        <f t="shared" si="4"/>
        <v>70576.702474604739</v>
      </c>
    </row>
    <row r="23" spans="1:5" x14ac:dyDescent="0.25">
      <c r="A23" s="16">
        <f t="shared" si="0"/>
        <v>15</v>
      </c>
      <c r="B23" s="17">
        <f t="shared" si="1"/>
        <v>826.80020596720499</v>
      </c>
      <c r="C23" s="17">
        <f t="shared" si="2"/>
        <v>17337.136204618371</v>
      </c>
      <c r="D23" s="17">
        <f t="shared" si="3"/>
        <v>18163.936410585575</v>
      </c>
      <c r="E23" s="17">
        <f t="shared" si="4"/>
        <v>53239.566269986368</v>
      </c>
    </row>
    <row r="24" spans="1:5" x14ac:dyDescent="0.25">
      <c r="A24" s="16">
        <f t="shared" si="0"/>
        <v>16</v>
      </c>
      <c r="B24" s="17">
        <f t="shared" si="1"/>
        <v>623.69709570191856</v>
      </c>
      <c r="C24" s="17">
        <f t="shared" si="2"/>
        <v>17540.239314883656</v>
      </c>
      <c r="D24" s="17">
        <f t="shared" si="3"/>
        <v>18163.936410585575</v>
      </c>
      <c r="E24" s="17">
        <f t="shared" si="4"/>
        <v>35699.326955102712</v>
      </c>
    </row>
    <row r="25" spans="1:5" x14ac:dyDescent="0.25">
      <c r="A25" s="16">
        <f t="shared" si="0"/>
        <v>17</v>
      </c>
      <c r="B25" s="17">
        <f t="shared" si="1"/>
        <v>418.21464937371059</v>
      </c>
      <c r="C25" s="17">
        <f t="shared" si="2"/>
        <v>17745.721761211866</v>
      </c>
      <c r="D25" s="17">
        <f t="shared" si="3"/>
        <v>18163.936410585575</v>
      </c>
      <c r="E25" s="17">
        <f t="shared" si="4"/>
        <v>17953.605193890846</v>
      </c>
    </row>
    <row r="26" spans="1:5" x14ac:dyDescent="0.25">
      <c r="A26" s="19">
        <f t="shared" si="0"/>
        <v>18</v>
      </c>
      <c r="B26" s="18">
        <f t="shared" si="1"/>
        <v>210.32499325827939</v>
      </c>
      <c r="C26" s="18">
        <f t="shared" si="2"/>
        <v>17953.611417327294</v>
      </c>
      <c r="D26" s="18">
        <f t="shared" si="3"/>
        <v>18163.936410585575</v>
      </c>
      <c r="E26" s="18">
        <v>0</v>
      </c>
    </row>
    <row r="27" spans="1:5" x14ac:dyDescent="0.25">
      <c r="A27" s="16">
        <f t="shared" si="0"/>
        <v>19</v>
      </c>
      <c r="B27" s="17">
        <f t="shared" si="1"/>
        <v>0</v>
      </c>
      <c r="C27" s="17">
        <f t="shared" ref="C13:C68" si="5">D27-B27</f>
        <v>18163.936410585575</v>
      </c>
      <c r="D27" s="17">
        <f t="shared" si="3"/>
        <v>18163.936410585575</v>
      </c>
      <c r="E27" s="17">
        <f t="shared" si="4"/>
        <v>-18163.936410585575</v>
      </c>
    </row>
    <row r="28" spans="1:5" x14ac:dyDescent="0.25">
      <c r="A28" s="16">
        <f t="shared" si="0"/>
        <v>20</v>
      </c>
      <c r="B28" s="17">
        <f t="shared" si="1"/>
        <v>-212.78900598750982</v>
      </c>
      <c r="C28" s="17">
        <f t="shared" si="5"/>
        <v>18376.725416573085</v>
      </c>
      <c r="D28" s="17">
        <f t="shared" si="3"/>
        <v>18163.936410585575</v>
      </c>
      <c r="E28" s="17">
        <f t="shared" si="4"/>
        <v>-36540.661827158663</v>
      </c>
    </row>
    <row r="29" spans="1:5" x14ac:dyDescent="0.25">
      <c r="A29" s="16">
        <f t="shared" si="0"/>
        <v>21</v>
      </c>
      <c r="B29" s="17">
        <f t="shared" si="1"/>
        <v>-428.07081750162155</v>
      </c>
      <c r="C29" s="17">
        <f t="shared" si="5"/>
        <v>18592.007228087197</v>
      </c>
      <c r="D29" s="17">
        <f t="shared" si="3"/>
        <v>18163.936410585575</v>
      </c>
      <c r="E29" s="17">
        <f t="shared" si="4"/>
        <v>-55132.66905524586</v>
      </c>
    </row>
    <row r="30" spans="1:5" x14ac:dyDescent="0.25">
      <c r="A30" s="16">
        <f t="shared" si="0"/>
        <v>22</v>
      </c>
      <c r="B30" s="17">
        <f t="shared" si="1"/>
        <v>-645.87463755197655</v>
      </c>
      <c r="C30" s="17">
        <f t="shared" si="5"/>
        <v>18809.811048137552</v>
      </c>
      <c r="D30" s="17">
        <f t="shared" si="3"/>
        <v>18163.936410585575</v>
      </c>
      <c r="E30" s="17">
        <f t="shared" si="4"/>
        <v>-73942.480103383408</v>
      </c>
    </row>
    <row r="31" spans="1:5" x14ac:dyDescent="0.25">
      <c r="A31" s="16">
        <f t="shared" si="0"/>
        <v>23</v>
      </c>
      <c r="B31" s="17">
        <f t="shared" si="1"/>
        <v>-866.23001125904818</v>
      </c>
      <c r="C31" s="17">
        <f t="shared" si="5"/>
        <v>19030.166421844624</v>
      </c>
      <c r="D31" s="17">
        <f t="shared" si="3"/>
        <v>18163.936410585575</v>
      </c>
      <c r="E31" s="17">
        <f t="shared" si="4"/>
        <v>-92972.646525228032</v>
      </c>
    </row>
    <row r="32" spans="1:5" x14ac:dyDescent="0.25">
      <c r="A32" s="16">
        <f t="shared" si="0"/>
        <v>24</v>
      </c>
      <c r="B32" s="17">
        <f t="shared" si="1"/>
        <v>-1089.1668298619413</v>
      </c>
      <c r="C32" s="17">
        <f t="shared" si="5"/>
        <v>19253.103240447515</v>
      </c>
      <c r="D32" s="17">
        <f t="shared" si="3"/>
        <v>18163.936410585575</v>
      </c>
      <c r="E32" s="17">
        <f t="shared" si="4"/>
        <v>-112225.74976567554</v>
      </c>
    </row>
    <row r="33" spans="1:5" x14ac:dyDescent="0.25">
      <c r="A33" s="16">
        <f t="shared" si="0"/>
        <v>25</v>
      </c>
      <c r="B33" s="17">
        <f t="shared" si="1"/>
        <v>-1314.7153347731439</v>
      </c>
      <c r="C33" s="17">
        <f t="shared" si="5"/>
        <v>19478.651745358718</v>
      </c>
      <c r="D33" s="17">
        <f t="shared" si="3"/>
        <v>18163.936410585575</v>
      </c>
      <c r="E33" s="17">
        <f t="shared" si="4"/>
        <v>-131704.40151103426</v>
      </c>
    </row>
    <row r="34" spans="1:5" x14ac:dyDescent="0.25">
      <c r="A34" s="16">
        <f t="shared" si="0"/>
        <v>26</v>
      </c>
      <c r="B34" s="17">
        <f t="shared" si="1"/>
        <v>-1542.9061216807784</v>
      </c>
      <c r="C34" s="17">
        <f t="shared" si="5"/>
        <v>19706.842532266353</v>
      </c>
      <c r="D34" s="17">
        <f t="shared" si="3"/>
        <v>18163.936410585575</v>
      </c>
      <c r="E34" s="17">
        <f t="shared" si="4"/>
        <v>-151411.24404330063</v>
      </c>
    </row>
    <row r="35" spans="1:5" x14ac:dyDescent="0.25">
      <c r="A35" s="16">
        <f t="shared" si="0"/>
        <v>27</v>
      </c>
      <c r="B35" s="17">
        <f t="shared" si="1"/>
        <v>-1773.7701446989117</v>
      </c>
      <c r="C35" s="17">
        <f t="shared" si="5"/>
        <v>19937.706555284487</v>
      </c>
      <c r="D35" s="17">
        <f t="shared" si="3"/>
        <v>18163.936410585575</v>
      </c>
      <c r="E35" s="17">
        <f t="shared" si="4"/>
        <v>-171348.95059858513</v>
      </c>
    </row>
    <row r="36" spans="1:5" x14ac:dyDescent="0.25">
      <c r="A36" s="16">
        <f t="shared" si="0"/>
        <v>28</v>
      </c>
      <c r="B36" s="17">
        <f t="shared" si="1"/>
        <v>-2007.3387205664858</v>
      </c>
      <c r="C36" s="17">
        <f t="shared" si="5"/>
        <v>20171.275131152062</v>
      </c>
      <c r="D36" s="17">
        <f t="shared" si="3"/>
        <v>18163.936410585575</v>
      </c>
      <c r="E36" s="17">
        <f t="shared" si="4"/>
        <v>-191520.2257297372</v>
      </c>
    </row>
    <row r="37" spans="1:5" x14ac:dyDescent="0.25">
      <c r="A37" s="16">
        <f t="shared" si="0"/>
        <v>29</v>
      </c>
      <c r="B37" s="17">
        <f t="shared" si="1"/>
        <v>-2243.6435328954367</v>
      </c>
      <c r="C37" s="17">
        <f t="shared" si="5"/>
        <v>20407.579943481011</v>
      </c>
      <c r="D37" s="17">
        <f t="shared" si="3"/>
        <v>18163.936410585575</v>
      </c>
      <c r="E37" s="17">
        <f t="shared" si="4"/>
        <v>-211927.80567321822</v>
      </c>
    </row>
    <row r="38" spans="1:5" x14ac:dyDescent="0.25">
      <c r="A38" s="16">
        <f t="shared" si="0"/>
        <v>30</v>
      </c>
      <c r="B38" s="17">
        <f t="shared" si="1"/>
        <v>-2482.7166364685831</v>
      </c>
      <c r="C38" s="17">
        <f t="shared" si="5"/>
        <v>20646.653047054158</v>
      </c>
      <c r="D38" s="17">
        <f t="shared" si="3"/>
        <v>18163.936410585575</v>
      </c>
      <c r="E38" s="17">
        <f t="shared" si="4"/>
        <v>-232574.45872027238</v>
      </c>
    </row>
    <row r="39" spans="1:5" x14ac:dyDescent="0.25">
      <c r="A39" s="16">
        <f t="shared" si="0"/>
        <v>31</v>
      </c>
      <c r="B39" s="17">
        <f t="shared" si="1"/>
        <v>-2724.5904615878603</v>
      </c>
      <c r="C39" s="17">
        <f t="shared" si="5"/>
        <v>20888.526872173436</v>
      </c>
      <c r="D39" s="17">
        <f t="shared" si="3"/>
        <v>18163.936410585575</v>
      </c>
      <c r="E39" s="17">
        <f t="shared" si="4"/>
        <v>-253462.98559244582</v>
      </c>
    </row>
    <row r="40" spans="1:5" x14ac:dyDescent="0.25">
      <c r="A40" s="16">
        <f t="shared" si="0"/>
        <v>32</v>
      </c>
      <c r="B40" s="17">
        <f t="shared" si="1"/>
        <v>-2969.297818473497</v>
      </c>
      <c r="C40" s="17">
        <f t="shared" si="5"/>
        <v>21133.234229059071</v>
      </c>
      <c r="D40" s="17">
        <f t="shared" si="3"/>
        <v>18163.936410585575</v>
      </c>
      <c r="E40" s="17">
        <f t="shared" si="4"/>
        <v>-274596.2198215049</v>
      </c>
    </row>
    <row r="41" spans="1:5" x14ac:dyDescent="0.25">
      <c r="A41" s="16">
        <f t="shared" si="0"/>
        <v>33</v>
      </c>
      <c r="B41" s="17">
        <f t="shared" si="1"/>
        <v>-3216.8719017147259</v>
      </c>
      <c r="C41" s="17">
        <f t="shared" si="5"/>
        <v>21380.808312300302</v>
      </c>
      <c r="D41" s="17">
        <f t="shared" si="3"/>
        <v>18163.936410585575</v>
      </c>
      <c r="E41" s="17">
        <f t="shared" si="4"/>
        <v>-295977.0281338052</v>
      </c>
    </row>
    <row r="42" spans="1:5" x14ac:dyDescent="0.25">
      <c r="A42" s="16">
        <f t="shared" si="0"/>
        <v>34</v>
      </c>
      <c r="B42" s="17">
        <f t="shared" si="1"/>
        <v>-3467.3462947726343</v>
      </c>
      <c r="C42" s="17">
        <f t="shared" si="5"/>
        <v>21631.282705358208</v>
      </c>
      <c r="D42" s="17">
        <f t="shared" si="3"/>
        <v>18163.936410585575</v>
      </c>
      <c r="E42" s="17">
        <f t="shared" si="4"/>
        <v>-317608.31083916343</v>
      </c>
    </row>
    <row r="43" spans="1:5" x14ac:dyDescent="0.25">
      <c r="A43" s="16">
        <f t="shared" si="0"/>
        <v>35</v>
      </c>
      <c r="B43" s="17">
        <f t="shared" si="1"/>
        <v>-3720.7549745357674</v>
      </c>
      <c r="C43" s="17">
        <f t="shared" si="5"/>
        <v>21884.691385121343</v>
      </c>
      <c r="D43" s="17">
        <f t="shared" si="3"/>
        <v>18163.936410585575</v>
      </c>
      <c r="E43" s="17">
        <f t="shared" si="4"/>
        <v>-339493.00222428475</v>
      </c>
    </row>
    <row r="44" spans="1:5" x14ac:dyDescent="0.25">
      <c r="A44" s="16">
        <f t="shared" si="0"/>
        <v>36</v>
      </c>
      <c r="B44" s="17">
        <f t="shared" si="1"/>
        <v>-3977.1323159290946</v>
      </c>
      <c r="C44" s="17">
        <f t="shared" si="5"/>
        <v>22141.06872651467</v>
      </c>
      <c r="D44" s="17">
        <f t="shared" si="3"/>
        <v>18163.936410585575</v>
      </c>
      <c r="E44" s="17">
        <f t="shared" si="4"/>
        <v>-361634.07095079939</v>
      </c>
    </row>
    <row r="45" spans="1:5" x14ac:dyDescent="0.25">
      <c r="A45" s="16">
        <f t="shared" si="0"/>
        <v>37</v>
      </c>
      <c r="B45" s="17">
        <f t="shared" si="1"/>
        <v>-4236.5130965769777</v>
      </c>
      <c r="C45" s="17">
        <f t="shared" si="5"/>
        <v>22400.449507162553</v>
      </c>
      <c r="D45" s="17">
        <f t="shared" si="3"/>
        <v>18163.936410585575</v>
      </c>
      <c r="E45" s="17">
        <f t="shared" si="4"/>
        <v>-384034.52045796195</v>
      </c>
    </row>
    <row r="46" spans="1:5" x14ac:dyDescent="0.25">
      <c r="A46" s="16">
        <f t="shared" si="0"/>
        <v>38</v>
      </c>
      <c r="B46" s="17">
        <f t="shared" si="1"/>
        <v>-4498.9325015207569</v>
      </c>
      <c r="C46" s="17">
        <f t="shared" si="5"/>
        <v>22662.868912106333</v>
      </c>
      <c r="D46" s="17">
        <f t="shared" si="3"/>
        <v>18163.936410585575</v>
      </c>
      <c r="E46" s="17">
        <f t="shared" si="4"/>
        <v>-406697.38937006827</v>
      </c>
    </row>
    <row r="47" spans="1:5" x14ac:dyDescent="0.25">
      <c r="A47" s="16">
        <f t="shared" si="0"/>
        <v>39</v>
      </c>
      <c r="B47" s="17">
        <f t="shared" si="1"/>
        <v>-4764.4261279916109</v>
      </c>
      <c r="C47" s="17">
        <f t="shared" si="5"/>
        <v>22928.362538577185</v>
      </c>
      <c r="D47" s="17">
        <f t="shared" si="3"/>
        <v>18163.936410585575</v>
      </c>
      <c r="E47" s="17">
        <f t="shared" si="4"/>
        <v>-429625.75190864544</v>
      </c>
    </row>
    <row r="48" spans="1:5" x14ac:dyDescent="0.25">
      <c r="A48" s="16">
        <f t="shared" si="0"/>
        <v>40</v>
      </c>
      <c r="B48" s="17">
        <f t="shared" si="1"/>
        <v>-5033.0299902393208</v>
      </c>
      <c r="C48" s="17">
        <f t="shared" si="5"/>
        <v>23196.966400824895</v>
      </c>
      <c r="D48" s="17">
        <f t="shared" si="3"/>
        <v>18163.936410585575</v>
      </c>
      <c r="E48" s="17">
        <f t="shared" si="4"/>
        <v>-452822.71830947034</v>
      </c>
    </row>
    <row r="49" spans="1:5" x14ac:dyDescent="0.25">
      <c r="A49" s="16">
        <f t="shared" si="0"/>
        <v>41</v>
      </c>
      <c r="B49" s="17">
        <f t="shared" si="1"/>
        <v>-5304.7805244176152</v>
      </c>
      <c r="C49" s="17">
        <f t="shared" si="5"/>
        <v>23468.716935003191</v>
      </c>
      <c r="D49" s="17">
        <f t="shared" si="3"/>
        <v>18163.936410585575</v>
      </c>
      <c r="E49" s="17">
        <f t="shared" si="4"/>
        <v>-476291.43524447351</v>
      </c>
    </row>
    <row r="50" spans="1:5" x14ac:dyDescent="0.25">
      <c r="A50" s="16">
        <f t="shared" si="0"/>
        <v>42</v>
      </c>
      <c r="B50" s="17">
        <f t="shared" si="1"/>
        <v>-5579.7145935267336</v>
      </c>
      <c r="C50" s="17">
        <f t="shared" si="5"/>
        <v>23743.651004112307</v>
      </c>
      <c r="D50" s="17">
        <f t="shared" si="3"/>
        <v>18163.936410585575</v>
      </c>
      <c r="E50" s="17">
        <f t="shared" si="4"/>
        <v>-500035.08624858584</v>
      </c>
    </row>
    <row r="51" spans="1:5" x14ac:dyDescent="0.25">
      <c r="A51" s="16">
        <f t="shared" si="0"/>
        <v>43</v>
      </c>
      <c r="B51" s="17">
        <f t="shared" si="1"/>
        <v>-5857.8694924139027</v>
      </c>
      <c r="C51" s="17">
        <f t="shared" si="5"/>
        <v>24021.805902999477</v>
      </c>
      <c r="D51" s="17">
        <f t="shared" si="3"/>
        <v>18163.936410585575</v>
      </c>
      <c r="E51" s="17">
        <f t="shared" si="4"/>
        <v>-524056.89215158531</v>
      </c>
    </row>
    <row r="52" spans="1:5" x14ac:dyDescent="0.25">
      <c r="A52" s="16">
        <f t="shared" si="0"/>
        <v>44</v>
      </c>
      <c r="B52" s="17">
        <f t="shared" si="1"/>
        <v>-6139.2829528323846</v>
      </c>
      <c r="C52" s="17">
        <f t="shared" si="5"/>
        <v>24303.21936341796</v>
      </c>
      <c r="D52" s="17">
        <f t="shared" si="3"/>
        <v>18163.936410585575</v>
      </c>
      <c r="E52" s="17">
        <f t="shared" si="4"/>
        <v>-548360.11151500326</v>
      </c>
    </row>
    <row r="53" spans="1:5" x14ac:dyDescent="0.25">
      <c r="A53" s="16">
        <f t="shared" si="0"/>
        <v>45</v>
      </c>
      <c r="B53" s="17">
        <f t="shared" si="1"/>
        <v>-6423.9931485597981</v>
      </c>
      <c r="C53" s="17">
        <f t="shared" si="5"/>
        <v>24587.929559145374</v>
      </c>
      <c r="D53" s="17">
        <f t="shared" si="3"/>
        <v>18163.936410585575</v>
      </c>
      <c r="E53" s="17">
        <f t="shared" si="4"/>
        <v>-572948.04107414861</v>
      </c>
    </row>
    <row r="54" spans="1:5" x14ac:dyDescent="0.25">
      <c r="A54" s="16">
        <f t="shared" si="0"/>
        <v>46</v>
      </c>
      <c r="B54" s="17">
        <f t="shared" si="1"/>
        <v>-6712.0387005763932</v>
      </c>
      <c r="C54" s="17">
        <f t="shared" si="5"/>
        <v>24875.97511116197</v>
      </c>
      <c r="D54" s="17">
        <f t="shared" si="3"/>
        <v>18163.936410585575</v>
      </c>
      <c r="E54" s="17">
        <f t="shared" si="4"/>
        <v>-597824.01618531055</v>
      </c>
    </row>
    <row r="55" spans="1:5" x14ac:dyDescent="0.25">
      <c r="A55" s="16">
        <f t="shared" si="0"/>
        <v>47</v>
      </c>
      <c r="B55" s="17">
        <f t="shared" si="1"/>
        <v>-7003.4586823039954</v>
      </c>
      <c r="C55" s="17">
        <f t="shared" si="5"/>
        <v>25167.395092889572</v>
      </c>
      <c r="D55" s="17">
        <f t="shared" si="3"/>
        <v>18163.936410585575</v>
      </c>
      <c r="E55" s="17">
        <f t="shared" si="4"/>
        <v>-622991.4112782001</v>
      </c>
    </row>
    <row r="56" spans="1:5" x14ac:dyDescent="0.25">
      <c r="A56" s="16">
        <f t="shared" si="0"/>
        <v>48</v>
      </c>
      <c r="B56" s="17">
        <f t="shared" si="1"/>
        <v>-7298.2926249063221</v>
      </c>
      <c r="C56" s="17">
        <f t="shared" si="5"/>
        <v>25462.229035491895</v>
      </c>
      <c r="D56" s="17">
        <f t="shared" si="3"/>
        <v>18163.936410585575</v>
      </c>
      <c r="E56" s="17">
        <f t="shared" si="4"/>
        <v>-648453.64031369204</v>
      </c>
    </row>
    <row r="57" spans="1:5" x14ac:dyDescent="0.25">
      <c r="A57" s="16">
        <f t="shared" si="0"/>
        <v>49</v>
      </c>
      <c r="B57" s="17">
        <f t="shared" si="1"/>
        <v>-7596.5805226513885</v>
      </c>
      <c r="C57" s="17">
        <f t="shared" si="5"/>
        <v>25760.516933236962</v>
      </c>
      <c r="D57" s="17">
        <f t="shared" si="3"/>
        <v>18163.936410585575</v>
      </c>
      <c r="E57" s="17">
        <f t="shared" si="4"/>
        <v>-674214.15724692901</v>
      </c>
    </row>
    <row r="58" spans="1:5" x14ac:dyDescent="0.25">
      <c r="A58" s="16">
        <f t="shared" si="0"/>
        <v>50</v>
      </c>
      <c r="B58" s="17">
        <f t="shared" si="1"/>
        <v>-7898.3628383367359</v>
      </c>
      <c r="C58" s="17">
        <f t="shared" si="5"/>
        <v>26062.299248922311</v>
      </c>
      <c r="D58" s="17">
        <f t="shared" si="3"/>
        <v>18163.936410585575</v>
      </c>
      <c r="E58" s="17">
        <f t="shared" si="4"/>
        <v>-700276.45649585128</v>
      </c>
    </row>
    <row r="59" spans="1:5" x14ac:dyDescent="0.25">
      <c r="A59" s="16">
        <f t="shared" si="0"/>
        <v>51</v>
      </c>
      <c r="B59" s="17">
        <f t="shared" si="1"/>
        <v>-8203.6805087782177</v>
      </c>
      <c r="C59" s="17">
        <f t="shared" si="5"/>
        <v>26367.616919363791</v>
      </c>
      <c r="D59" s="17">
        <f t="shared" si="3"/>
        <v>18163.936410585575</v>
      </c>
      <c r="E59" s="17">
        <f t="shared" si="4"/>
        <v>-726644.07341521513</v>
      </c>
    </row>
    <row r="60" spans="1:5" x14ac:dyDescent="0.25">
      <c r="A60" s="16">
        <f t="shared" si="0"/>
        <v>52</v>
      </c>
      <c r="B60" s="17">
        <f t="shared" si="1"/>
        <v>-8512.574950363085</v>
      </c>
      <c r="C60" s="17">
        <f t="shared" si="5"/>
        <v>26676.511360948658</v>
      </c>
      <c r="D60" s="17">
        <f t="shared" si="3"/>
        <v>18163.936410585575</v>
      </c>
      <c r="E60" s="17">
        <f t="shared" si="4"/>
        <v>-753320.5847761638</v>
      </c>
    </row>
    <row r="61" spans="1:5" x14ac:dyDescent="0.25">
      <c r="A61" s="16">
        <f t="shared" si="0"/>
        <v>53</v>
      </c>
      <c r="B61" s="17">
        <f t="shared" si="1"/>
        <v>-8825.0880646681235</v>
      </c>
      <c r="C61" s="17">
        <f t="shared" si="5"/>
        <v>26989.024475253696</v>
      </c>
      <c r="D61" s="17">
        <f t="shared" si="3"/>
        <v>18163.936410585575</v>
      </c>
      <c r="E61" s="17">
        <f t="shared" si="4"/>
        <v>-780309.60925141745</v>
      </c>
    </row>
    <row r="62" spans="1:5" x14ac:dyDescent="0.25">
      <c r="A62" s="16">
        <f t="shared" si="0"/>
        <v>54</v>
      </c>
      <c r="B62" s="17">
        <f t="shared" si="1"/>
        <v>-9141.2622441436106</v>
      </c>
      <c r="C62" s="17">
        <f t="shared" si="5"/>
        <v>27305.198654729185</v>
      </c>
      <c r="D62" s="17">
        <f t="shared" si="3"/>
        <v>18163.936410585575</v>
      </c>
      <c r="E62" s="17">
        <f t="shared" si="4"/>
        <v>-807614.80790614663</v>
      </c>
    </row>
    <row r="63" spans="1:5" x14ac:dyDescent="0.25">
      <c r="A63" s="16">
        <f t="shared" si="0"/>
        <v>55</v>
      </c>
      <c r="B63" s="17">
        <f t="shared" si="1"/>
        <v>-9461.1403778638542</v>
      </c>
      <c r="C63" s="17">
        <f t="shared" si="5"/>
        <v>27625.076788449427</v>
      </c>
      <c r="D63" s="17">
        <f t="shared" si="3"/>
        <v>18163.936410585575</v>
      </c>
      <c r="E63" s="17">
        <f t="shared" si="4"/>
        <v>-835239.88469459605</v>
      </c>
    </row>
    <row r="64" spans="1:5" x14ac:dyDescent="0.25">
      <c r="A64" s="16">
        <f t="shared" si="0"/>
        <v>56</v>
      </c>
      <c r="B64" s="17">
        <f t="shared" si="1"/>
        <v>-9784.7658573451099</v>
      </c>
      <c r="C64" s="17">
        <f t="shared" si="5"/>
        <v>27948.702267930683</v>
      </c>
      <c r="D64" s="17">
        <f t="shared" si="3"/>
        <v>18163.936410585575</v>
      </c>
      <c r="E64" s="17">
        <f t="shared" si="4"/>
        <v>-863188.58696252678</v>
      </c>
    </row>
    <row r="65" spans="1:5" x14ac:dyDescent="0.25">
      <c r="A65" s="16">
        <f t="shared" si="0"/>
        <v>57</v>
      </c>
      <c r="B65" s="17">
        <f t="shared" si="1"/>
        <v>-10112.182582431635</v>
      </c>
      <c r="C65" s="17">
        <f t="shared" si="5"/>
        <v>28276.118993017211</v>
      </c>
      <c r="D65" s="17">
        <f t="shared" si="3"/>
        <v>18163.936410585575</v>
      </c>
      <c r="E65" s="17">
        <f t="shared" si="4"/>
        <v>-891464.70595554402</v>
      </c>
    </row>
    <row r="66" spans="1:5" x14ac:dyDescent="0.25">
      <c r="A66" s="16">
        <f t="shared" si="0"/>
        <v>58</v>
      </c>
      <c r="B66" s="17">
        <f t="shared" si="1"/>
        <v>-10443.434967250721</v>
      </c>
      <c r="C66" s="17">
        <f t="shared" si="5"/>
        <v>28607.371377836294</v>
      </c>
      <c r="D66" s="17">
        <f t="shared" si="3"/>
        <v>18163.936410585575</v>
      </c>
      <c r="E66" s="17">
        <f t="shared" si="4"/>
        <v>-920072.07733338035</v>
      </c>
    </row>
    <row r="67" spans="1:5" x14ac:dyDescent="0.25">
      <c r="A67" s="16">
        <f t="shared" si="0"/>
        <v>59</v>
      </c>
      <c r="B67" s="17">
        <f t="shared" si="1"/>
        <v>-10778.567946237465</v>
      </c>
      <c r="C67" s="17">
        <f t="shared" si="5"/>
        <v>28942.504356823039</v>
      </c>
      <c r="D67" s="17">
        <f t="shared" si="3"/>
        <v>18163.936410585575</v>
      </c>
      <c r="E67" s="17">
        <f t="shared" si="4"/>
        <v>-949014.5816902034</v>
      </c>
    </row>
    <row r="68" spans="1:5" x14ac:dyDescent="0.25">
      <c r="A68" s="16">
        <f t="shared" si="0"/>
        <v>60</v>
      </c>
      <c r="B68" s="17">
        <f t="shared" si="1"/>
        <v>-11117.626980230141</v>
      </c>
      <c r="C68" s="17">
        <f t="shared" si="5"/>
        <v>29281.563390815718</v>
      </c>
      <c r="D68" s="17">
        <f t="shared" si="3"/>
        <v>18163.936410585575</v>
      </c>
      <c r="E68" s="17">
        <f t="shared" si="4"/>
        <v>-978296.14508101915</v>
      </c>
    </row>
  </sheetData>
  <mergeCells count="6">
    <mergeCell ref="A1:E3"/>
    <mergeCell ref="F1:F3"/>
    <mergeCell ref="A4:B4"/>
    <mergeCell ref="A5:B5"/>
    <mergeCell ref="D5:E6"/>
    <mergeCell ref="A6:B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SEM CARÊNCIA</vt:lpstr>
      <vt:lpstr>COM CARÊNCIA-1</vt:lpstr>
      <vt:lpstr>COM CARÊNCIA-2</vt:lpstr>
      <vt:lpstr>COM CARÊNCIA-3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Sec_Infor_Adm</dc:creator>
  <cp:lastModifiedBy>Sec_Infor_Adm</cp:lastModifiedBy>
  <cp:lastPrinted>2016-03-23T19:18:58Z</cp:lastPrinted>
  <dcterms:created xsi:type="dcterms:W3CDTF">2016-03-18T10:57:34Z</dcterms:created>
  <dcterms:modified xsi:type="dcterms:W3CDTF">2016-09-01T17:59:41Z</dcterms:modified>
</cp:coreProperties>
</file>