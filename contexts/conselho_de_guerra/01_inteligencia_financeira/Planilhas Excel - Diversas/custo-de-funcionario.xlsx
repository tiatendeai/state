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760"/>
  </bookViews>
  <sheets>
    <sheet name="Extras 2017" sheetId="5" r:id="rId1"/>
    <sheet name="Plan3" sheetId="3" r:id="rId2"/>
  </sheets>
  <calcPr calcId="145621"/>
</workbook>
</file>

<file path=xl/calcChain.xml><?xml version="1.0" encoding="utf-8"?>
<calcChain xmlns="http://schemas.openxmlformats.org/spreadsheetml/2006/main">
  <c r="Q42" i="5" l="1"/>
  <c r="Q41" i="5"/>
  <c r="Q24" i="5"/>
  <c r="Q23" i="5"/>
  <c r="Q6" i="5"/>
  <c r="Q5" i="5"/>
  <c r="H60" i="5"/>
  <c r="H59" i="5"/>
  <c r="H42" i="5"/>
  <c r="H41" i="5"/>
  <c r="H24" i="5"/>
  <c r="H23" i="5"/>
  <c r="B70" i="5" l="1"/>
  <c r="D70" i="5" s="1"/>
  <c r="B69" i="5"/>
  <c r="D69" i="5" s="1"/>
  <c r="B68" i="5"/>
  <c r="D68" i="5" s="1"/>
  <c r="B67" i="5"/>
  <c r="D67" i="5" s="1"/>
  <c r="B66" i="5"/>
  <c r="D66" i="5" s="1"/>
  <c r="B65" i="5"/>
  <c r="D65" i="5" s="1"/>
  <c r="B64" i="5"/>
  <c r="D64" i="5" s="1"/>
  <c r="B63" i="5"/>
  <c r="D63" i="5" s="1"/>
  <c r="K52" i="5"/>
  <c r="M52" i="5" s="1"/>
  <c r="K51" i="5"/>
  <c r="M51" i="5" s="1"/>
  <c r="K50" i="5"/>
  <c r="M50" i="5" s="1"/>
  <c r="K49" i="5"/>
  <c r="M49" i="5" s="1"/>
  <c r="K48" i="5"/>
  <c r="M48" i="5" s="1"/>
  <c r="K47" i="5"/>
  <c r="M47" i="5" s="1"/>
  <c r="K46" i="5"/>
  <c r="M46" i="5" s="1"/>
  <c r="K45" i="5"/>
  <c r="M45" i="5" s="1"/>
  <c r="K34" i="5"/>
  <c r="M34" i="5" s="1"/>
  <c r="K33" i="5"/>
  <c r="M33" i="5" s="1"/>
  <c r="K32" i="5"/>
  <c r="M32" i="5" s="1"/>
  <c r="K31" i="5"/>
  <c r="M31" i="5" s="1"/>
  <c r="K30" i="5"/>
  <c r="M30" i="5" s="1"/>
  <c r="K29" i="5"/>
  <c r="M29" i="5" s="1"/>
  <c r="K28" i="5"/>
  <c r="M28" i="5" s="1"/>
  <c r="K27" i="5"/>
  <c r="M27" i="5" s="1"/>
  <c r="M16" i="5"/>
  <c r="K16" i="5"/>
  <c r="K15" i="5"/>
  <c r="M15" i="5" s="1"/>
  <c r="K14" i="5"/>
  <c r="M14" i="5" s="1"/>
  <c r="K13" i="5"/>
  <c r="M13" i="5" s="1"/>
  <c r="K12" i="5"/>
  <c r="M12" i="5" s="1"/>
  <c r="K11" i="5"/>
  <c r="M11" i="5" s="1"/>
  <c r="K10" i="5"/>
  <c r="M10" i="5" s="1"/>
  <c r="K9" i="5"/>
  <c r="M9" i="5" s="1"/>
  <c r="H6" i="5"/>
  <c r="H5" i="5"/>
  <c r="B52" i="5"/>
  <c r="D52" i="5" s="1"/>
  <c r="B51" i="5"/>
  <c r="D51" i="5" s="1"/>
  <c r="B50" i="5"/>
  <c r="D50" i="5" s="1"/>
  <c r="B49" i="5"/>
  <c r="D49" i="5" s="1"/>
  <c r="B48" i="5"/>
  <c r="D48" i="5" s="1"/>
  <c r="B47" i="5"/>
  <c r="D47" i="5" s="1"/>
  <c r="B46" i="5"/>
  <c r="D46" i="5" s="1"/>
  <c r="B45" i="5"/>
  <c r="D45" i="5" s="1"/>
  <c r="B16" i="5"/>
  <c r="D16" i="5" s="1"/>
  <c r="B15" i="5"/>
  <c r="D15" i="5" s="1"/>
  <c r="B14" i="5"/>
  <c r="D14" i="5" s="1"/>
  <c r="B13" i="5"/>
  <c r="D13" i="5" s="1"/>
  <c r="B12" i="5"/>
  <c r="D12" i="5" s="1"/>
  <c r="B11" i="5"/>
  <c r="D11" i="5" s="1"/>
  <c r="B10" i="5"/>
  <c r="D10" i="5" s="1"/>
  <c r="B9" i="5"/>
  <c r="D9" i="5" s="1"/>
  <c r="B34" i="5"/>
  <c r="D34" i="5" s="1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B35" i="5" l="1"/>
  <c r="D71" i="5"/>
  <c r="D73" i="5" s="1"/>
  <c r="H58" i="5" s="1"/>
  <c r="B71" i="5"/>
  <c r="K17" i="5"/>
  <c r="K35" i="5"/>
  <c r="K53" i="5"/>
  <c r="M17" i="5"/>
  <c r="M19" i="5" s="1"/>
  <c r="Q4" i="5" s="1"/>
  <c r="M35" i="5"/>
  <c r="M37" i="5" s="1"/>
  <c r="Q22" i="5" s="1"/>
  <c r="M53" i="5"/>
  <c r="M55" i="5" s="1"/>
  <c r="Q40" i="5" s="1"/>
  <c r="D53" i="5"/>
  <c r="B53" i="5"/>
  <c r="D17" i="5"/>
  <c r="D19" i="5" s="1"/>
  <c r="H4" i="5" s="1"/>
  <c r="B17" i="5"/>
  <c r="D27" i="5"/>
  <c r="Q17" i="5" l="1"/>
  <c r="Q10" i="5"/>
  <c r="Q13" i="5"/>
  <c r="Q11" i="5"/>
  <c r="Q12" i="5" s="1"/>
  <c r="Q53" i="5"/>
  <c r="Q47" i="5"/>
  <c r="Q48" i="5" s="1"/>
  <c r="Q46" i="5"/>
  <c r="Q49" i="5"/>
  <c r="H71" i="5"/>
  <c r="H67" i="5"/>
  <c r="H65" i="5"/>
  <c r="H66" i="5" s="1"/>
  <c r="H64" i="5"/>
  <c r="Q35" i="5"/>
  <c r="Q31" i="5"/>
  <c r="Q28" i="5"/>
  <c r="Q29" i="5"/>
  <c r="Q30" i="5" s="1"/>
  <c r="H10" i="5"/>
  <c r="H13" i="5"/>
  <c r="H11" i="5"/>
  <c r="H12" i="5" s="1"/>
  <c r="H17" i="5"/>
  <c r="D35" i="5"/>
  <c r="D37" i="5" s="1"/>
  <c r="H22" i="5" s="1"/>
  <c r="D55" i="5"/>
  <c r="H40" i="5" s="1"/>
  <c r="H53" i="5" l="1"/>
  <c r="H47" i="5"/>
  <c r="H48" i="5" s="1"/>
  <c r="H49" i="5"/>
  <c r="H46" i="5"/>
  <c r="Q36" i="5"/>
  <c r="P37" i="5" s="1"/>
  <c r="Q32" i="5"/>
  <c r="P33" i="5" s="1"/>
  <c r="H35" i="5"/>
  <c r="H31" i="5"/>
  <c r="H29" i="5"/>
  <c r="H30" i="5" s="1"/>
  <c r="H28" i="5"/>
  <c r="Q14" i="5"/>
  <c r="P15" i="5" s="1"/>
  <c r="Q18" i="5"/>
  <c r="P19" i="5" s="1"/>
  <c r="Q50" i="5"/>
  <c r="P51" i="5" s="1"/>
  <c r="Q54" i="5"/>
  <c r="P55" i="5" s="1"/>
  <c r="H68" i="5"/>
  <c r="G69" i="5" s="1"/>
  <c r="H72" i="5"/>
  <c r="G73" i="5" s="1"/>
  <c r="H18" i="5"/>
  <c r="G19" i="5" s="1"/>
  <c r="H14" i="5"/>
  <c r="G15" i="5" s="1"/>
  <c r="H32" i="5" l="1"/>
  <c r="G33" i="5" s="1"/>
  <c r="H36" i="5"/>
  <c r="G37" i="5" s="1"/>
  <c r="H50" i="5"/>
  <c r="G51" i="5" s="1"/>
  <c r="H54" i="5"/>
  <c r="G55" i="5" s="1"/>
</calcChain>
</file>

<file path=xl/sharedStrings.xml><?xml version="1.0" encoding="utf-8"?>
<sst xmlns="http://schemas.openxmlformats.org/spreadsheetml/2006/main" count="324" uniqueCount="44">
  <si>
    <t>SALÁRIO BASE:</t>
  </si>
  <si>
    <t>NOME:</t>
  </si>
  <si>
    <t>FUNÇÃO:</t>
  </si>
  <si>
    <t>H.E. 50%</t>
  </si>
  <si>
    <t>H.E. 100%</t>
  </si>
  <si>
    <t>H.E.N. 50%</t>
  </si>
  <si>
    <t>H.E.N. 100%</t>
  </si>
  <si>
    <t>A.N.</t>
  </si>
  <si>
    <t>DSR</t>
  </si>
  <si>
    <t>I.J.</t>
  </si>
  <si>
    <t>I.J.N.</t>
  </si>
  <si>
    <t>Total:</t>
  </si>
  <si>
    <t>V.Unit.</t>
  </si>
  <si>
    <t>Horas</t>
  </si>
  <si>
    <t>V.Total</t>
  </si>
  <si>
    <t>Horas Mensais:</t>
  </si>
  <si>
    <t>FISCAL</t>
  </si>
  <si>
    <t>EVENTO:</t>
  </si>
  <si>
    <t>ASG</t>
  </si>
  <si>
    <t>PORTEIRO</t>
  </si>
  <si>
    <t>AGENTE DE PORTARIA</t>
  </si>
  <si>
    <t>H.E.N.R.</t>
  </si>
  <si>
    <t>Evento</t>
  </si>
  <si>
    <t>Referencia</t>
  </si>
  <si>
    <t>Valor</t>
  </si>
  <si>
    <t>-</t>
  </si>
  <si>
    <t>Vale transporte</t>
  </si>
  <si>
    <t>Desconto vale transporte</t>
  </si>
  <si>
    <t>Vale refeição</t>
  </si>
  <si>
    <t>Plano de saúde</t>
  </si>
  <si>
    <t>Outros benefícios</t>
  </si>
  <si>
    <t>Provisão 13º salário</t>
  </si>
  <si>
    <t>Provisão Férias</t>
  </si>
  <si>
    <t>Provisão 1/3 Férias</t>
  </si>
  <si>
    <t>FGTS</t>
  </si>
  <si>
    <t>Provisão FGTS (13º e Férias)</t>
  </si>
  <si>
    <t>INSS</t>
  </si>
  <si>
    <t>Provisão INSS (13º e Férias)</t>
  </si>
  <si>
    <t>Custo Funcionário</t>
  </si>
  <si>
    <t>Salário + Extras</t>
  </si>
  <si>
    <t>1/12 avos</t>
  </si>
  <si>
    <t>CUSTO FUNCIONÁRIOS DO DIA</t>
  </si>
  <si>
    <t>CUSTO FUNCIONÁRIOS DA NOITE</t>
  </si>
  <si>
    <t>Valor descont. do funcionário e repassado ao 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</si>
</sst>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mbria"/>
      <family val="1"/>
      <scheme val="major"/>
    </font>
    <font>
      <sz val="10"/>
      <color rgb="FF333333"/>
      <name val="Cambria"/>
      <family val="1"/>
      <scheme val="major"/>
    </font>
    <font>
      <b/>
      <sz val="10"/>
      <color rgb="FF27754D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3" fillId="0" borderId="0" xfId="0" applyFont="1"/>
    <xf numFmtId="0" fontId="1" fillId="0" borderId="4" xfId="0" applyFont="1" applyBorder="1"/>
    <xf numFmtId="44" fontId="1" fillId="0" borderId="0" xfId="2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4" fontId="1" fillId="0" borderId="5" xfId="2" applyFont="1" applyBorder="1"/>
    <xf numFmtId="43" fontId="1" fillId="0" borderId="0" xfId="1" applyFont="1" applyBorder="1"/>
    <xf numFmtId="0" fontId="1" fillId="0" borderId="6" xfId="0" applyFont="1" applyBorder="1"/>
    <xf numFmtId="43" fontId="1" fillId="0" borderId="7" xfId="1" applyFont="1" applyBorder="1"/>
    <xf numFmtId="0" fontId="1" fillId="0" borderId="7" xfId="0" applyFont="1" applyBorder="1"/>
    <xf numFmtId="44" fontId="1" fillId="0" borderId="8" xfId="2" applyFont="1" applyBorder="1"/>
    <xf numFmtId="44" fontId="1" fillId="0" borderId="0" xfId="2" applyFont="1" applyBorder="1" applyAlignment="1"/>
    <xf numFmtId="44" fontId="1" fillId="0" borderId="0" xfId="2" applyNumberFormat="1" applyFont="1" applyBorder="1"/>
    <xf numFmtId="0" fontId="4" fillId="2" borderId="12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top" wrapText="1"/>
    </xf>
    <xf numFmtId="44" fontId="5" fillId="2" borderId="9" xfId="0" applyNumberFormat="1" applyFont="1" applyFill="1" applyBorder="1" applyAlignment="1">
      <alignment horizontal="right" vertical="top" wrapText="1"/>
    </xf>
    <xf numFmtId="8" fontId="5" fillId="2" borderId="9" xfId="0" applyNumberFormat="1" applyFont="1" applyFill="1" applyBorder="1" applyAlignment="1">
      <alignment horizontal="right" vertical="top" wrapText="1"/>
    </xf>
    <xf numFmtId="16" fontId="5" fillId="2" borderId="9" xfId="0" applyNumberFormat="1" applyFont="1" applyFill="1" applyBorder="1" applyAlignment="1">
      <alignment horizontal="center" vertical="top" wrapText="1"/>
    </xf>
    <xf numFmtId="9" fontId="5" fillId="2" borderId="9" xfId="0" applyNumberFormat="1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vertical="top" wrapText="1"/>
    </xf>
    <xf numFmtId="0" fontId="3" fillId="4" borderId="0" xfId="0" applyFont="1" applyFill="1"/>
    <xf numFmtId="0" fontId="5" fillId="5" borderId="9" xfId="0" applyFont="1" applyFill="1" applyBorder="1" applyAlignment="1">
      <alignment vertical="top" wrapText="1"/>
    </xf>
    <xf numFmtId="9" fontId="5" fillId="5" borderId="9" xfId="0" applyNumberFormat="1" applyFont="1" applyFill="1" applyBorder="1" applyAlignment="1">
      <alignment horizontal="center" vertical="top" wrapText="1"/>
    </xf>
    <xf numFmtId="8" fontId="5" fillId="5" borderId="9" xfId="0" applyNumberFormat="1" applyFont="1" applyFill="1" applyBorder="1" applyAlignment="1">
      <alignment horizontal="right" vertical="top" wrapText="1"/>
    </xf>
    <xf numFmtId="16" fontId="5" fillId="5" borderId="9" xfId="0" applyNumberFormat="1" applyFont="1" applyFill="1" applyBorder="1" applyAlignment="1">
      <alignment horizontal="center" vertical="top" wrapText="1"/>
    </xf>
    <xf numFmtId="0" fontId="6" fillId="5" borderId="9" xfId="0" applyFont="1" applyFill="1" applyBorder="1" applyAlignment="1">
      <alignment vertical="top" wrapText="1"/>
    </xf>
    <xf numFmtId="44" fontId="6" fillId="3" borderId="10" xfId="0" applyNumberFormat="1" applyFont="1" applyFill="1" applyBorder="1" applyAlignment="1">
      <alignment horizontal="right" vertical="top" wrapText="1"/>
    </xf>
    <xf numFmtId="8" fontId="6" fillId="3" borderId="11" xfId="0" applyNumberFormat="1" applyFont="1" applyFill="1" applyBorder="1" applyAlignment="1">
      <alignment horizontal="right" vertical="top" wrapText="1"/>
    </xf>
    <xf numFmtId="0" fontId="6" fillId="5" borderId="10" xfId="0" applyFont="1" applyFill="1" applyBorder="1" applyAlignment="1">
      <alignment horizontal="center" vertical="top" wrapText="1"/>
    </xf>
    <xf numFmtId="0" fontId="6" fillId="5" borderId="13" xfId="0" applyFont="1" applyFill="1" applyBorder="1" applyAlignment="1">
      <alignment horizontal="center" vertical="top" wrapText="1"/>
    </xf>
    <xf numFmtId="0" fontId="6" fillId="5" borderId="1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8" fontId="6" fillId="5" borderId="10" xfId="0" applyNumberFormat="1" applyFont="1" applyFill="1" applyBorder="1" applyAlignment="1">
      <alignment horizontal="right" vertical="top" wrapText="1"/>
    </xf>
    <xf numFmtId="8" fontId="6" fillId="5" borderId="11" xfId="0" applyNumberFormat="1" applyFont="1" applyFill="1" applyBorder="1" applyAlignment="1">
      <alignment horizontal="right" vertical="top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zoomScaleNormal="100" workbookViewId="0">
      <selection activeCell="F42" sqref="F42"/>
    </sheetView>
  </sheetViews>
  <sheetFormatPr defaultRowHeight="12.75" x14ac:dyDescent="0.2"/>
  <cols>
    <col min="1" max="1" width="13.28515625" style="5" customWidth="1"/>
    <col min="2" max="2" width="12.42578125" style="5" customWidth="1"/>
    <col min="3" max="3" width="6" style="5" customWidth="1"/>
    <col min="4" max="4" width="11" style="5" customWidth="1"/>
    <col min="5" max="5" width="3.42578125" style="5" customWidth="1"/>
    <col min="6" max="6" width="24.28515625" style="4" bestFit="1" customWidth="1"/>
    <col min="7" max="7" width="10.28515625" style="4" bestFit="1" customWidth="1"/>
    <col min="8" max="8" width="12.42578125" style="4" customWidth="1"/>
    <col min="9" max="9" width="9.140625" style="5"/>
    <col min="10" max="10" width="13.28515625" style="5" customWidth="1"/>
    <col min="11" max="11" width="12.28515625" style="5" customWidth="1"/>
    <col min="12" max="12" width="6" style="5" customWidth="1"/>
    <col min="13" max="13" width="11" style="5" customWidth="1"/>
    <col min="14" max="14" width="3.5703125" style="5" customWidth="1"/>
    <col min="15" max="15" width="24.28515625" style="4" bestFit="1" customWidth="1"/>
    <col min="16" max="16" width="10.28515625" style="4" bestFit="1" customWidth="1"/>
    <col min="17" max="17" width="11.7109375" style="4" customWidth="1"/>
    <col min="18" max="16384" width="9.140625" style="5"/>
  </cols>
  <sheetData>
    <row r="1" spans="1:17" x14ac:dyDescent="0.2">
      <c r="A1" s="40" t="s">
        <v>41</v>
      </c>
      <c r="B1" s="40"/>
      <c r="C1" s="40"/>
      <c r="D1" s="40"/>
      <c r="E1" s="40"/>
      <c r="F1" s="40"/>
      <c r="G1" s="40"/>
      <c r="H1" s="40"/>
      <c r="I1" s="29"/>
      <c r="J1" s="40" t="s">
        <v>42</v>
      </c>
      <c r="K1" s="40"/>
      <c r="L1" s="40"/>
      <c r="M1" s="40"/>
      <c r="N1" s="40"/>
      <c r="O1" s="40"/>
      <c r="P1" s="40"/>
      <c r="Q1" s="40"/>
    </row>
    <row r="2" spans="1:17" ht="13.5" thickBot="1" x14ac:dyDescent="0.25">
      <c r="I2" s="29"/>
    </row>
    <row r="3" spans="1:17" ht="13.5" thickBot="1" x14ac:dyDescent="0.25">
      <c r="A3" s="1" t="s">
        <v>2</v>
      </c>
      <c r="B3" s="2" t="s">
        <v>16</v>
      </c>
      <c r="C3" s="2"/>
      <c r="D3" s="3"/>
      <c r="E3" s="4"/>
      <c r="F3" s="21" t="s">
        <v>22</v>
      </c>
      <c r="G3" s="21" t="s">
        <v>23</v>
      </c>
      <c r="H3" s="21" t="s">
        <v>24</v>
      </c>
      <c r="I3" s="29"/>
      <c r="J3" s="1" t="s">
        <v>2</v>
      </c>
      <c r="K3" s="2" t="s">
        <v>16</v>
      </c>
      <c r="L3" s="2"/>
      <c r="M3" s="3"/>
      <c r="N3" s="4"/>
      <c r="O3" s="21" t="s">
        <v>22</v>
      </c>
      <c r="P3" s="21" t="s">
        <v>23</v>
      </c>
      <c r="Q3" s="21" t="s">
        <v>24</v>
      </c>
    </row>
    <row r="4" spans="1:17" ht="14.25" thickTop="1" thickBot="1" x14ac:dyDescent="0.25">
      <c r="A4" s="6" t="s">
        <v>0</v>
      </c>
      <c r="B4" s="19">
        <v>1046.1600000000001</v>
      </c>
      <c r="C4" s="19"/>
      <c r="D4" s="9"/>
      <c r="E4" s="4"/>
      <c r="F4" s="22" t="s">
        <v>39</v>
      </c>
      <c r="G4" s="23" t="s">
        <v>25</v>
      </c>
      <c r="H4" s="24">
        <f>D19+B4</f>
        <v>1203.0840000000001</v>
      </c>
      <c r="I4" s="29"/>
      <c r="J4" s="6" t="s">
        <v>0</v>
      </c>
      <c r="K4" s="19">
        <v>1046.1600000000001</v>
      </c>
      <c r="L4" s="19"/>
      <c r="M4" s="9"/>
      <c r="N4" s="4"/>
      <c r="O4" s="22" t="s">
        <v>39</v>
      </c>
      <c r="P4" s="23" t="s">
        <v>25</v>
      </c>
      <c r="Q4" s="24">
        <f>M19+K4</f>
        <v>1676.0355</v>
      </c>
    </row>
    <row r="5" spans="1:17" ht="13.5" thickBot="1" x14ac:dyDescent="0.25">
      <c r="A5" s="6" t="s">
        <v>15</v>
      </c>
      <c r="B5" s="8">
        <v>180</v>
      </c>
      <c r="C5" s="8"/>
      <c r="D5" s="9"/>
      <c r="E5" s="4"/>
      <c r="F5" s="22" t="s">
        <v>26</v>
      </c>
      <c r="G5" s="23">
        <v>40</v>
      </c>
      <c r="H5" s="25">
        <f>G5*3.1</f>
        <v>124</v>
      </c>
      <c r="I5" s="29"/>
      <c r="J5" s="6" t="s">
        <v>15</v>
      </c>
      <c r="K5" s="8">
        <v>180</v>
      </c>
      <c r="L5" s="8"/>
      <c r="M5" s="9"/>
      <c r="N5" s="4"/>
      <c r="O5" s="22" t="s">
        <v>26</v>
      </c>
      <c r="P5" s="23">
        <v>40</v>
      </c>
      <c r="Q5" s="25">
        <f>P5*3.1</f>
        <v>124</v>
      </c>
    </row>
    <row r="6" spans="1:17" ht="13.5" thickBot="1" x14ac:dyDescent="0.25">
      <c r="A6" s="6" t="s">
        <v>1</v>
      </c>
      <c r="B6" s="8"/>
      <c r="C6" s="8"/>
      <c r="D6" s="9"/>
      <c r="E6" s="4"/>
      <c r="F6" s="22" t="s">
        <v>27</v>
      </c>
      <c r="G6" s="23" t="s">
        <v>25</v>
      </c>
      <c r="H6" s="25">
        <f>(B4*0.06)*-1</f>
        <v>-62.769600000000004</v>
      </c>
      <c r="I6" s="29"/>
      <c r="J6" s="6" t="s">
        <v>1</v>
      </c>
      <c r="K6" s="8"/>
      <c r="L6" s="8"/>
      <c r="M6" s="9"/>
      <c r="N6" s="4"/>
      <c r="O6" s="22" t="s">
        <v>27</v>
      </c>
      <c r="P6" s="23" t="s">
        <v>25</v>
      </c>
      <c r="Q6" s="25">
        <f>(K4*0.06)*-1</f>
        <v>-62.769600000000004</v>
      </c>
    </row>
    <row r="7" spans="1:17" ht="13.5" thickBot="1" x14ac:dyDescent="0.25">
      <c r="A7" s="6"/>
      <c r="B7" s="8"/>
      <c r="C7" s="8"/>
      <c r="D7" s="9"/>
      <c r="E7" s="4"/>
      <c r="F7" s="22" t="s">
        <v>28</v>
      </c>
      <c r="G7" s="23" t="s">
        <v>25</v>
      </c>
      <c r="H7" s="25">
        <v>380</v>
      </c>
      <c r="I7" s="29"/>
      <c r="J7" s="6"/>
      <c r="K7" s="8"/>
      <c r="L7" s="8"/>
      <c r="M7" s="9"/>
      <c r="N7" s="4"/>
      <c r="O7" s="22" t="s">
        <v>28</v>
      </c>
      <c r="P7" s="23" t="s">
        <v>25</v>
      </c>
      <c r="Q7" s="25">
        <v>380</v>
      </c>
    </row>
    <row r="8" spans="1:17" ht="13.5" thickBot="1" x14ac:dyDescent="0.25">
      <c r="A8" s="10" t="s">
        <v>17</v>
      </c>
      <c r="B8" s="11" t="s">
        <v>12</v>
      </c>
      <c r="C8" s="11" t="s">
        <v>13</v>
      </c>
      <c r="D8" s="12" t="s">
        <v>14</v>
      </c>
      <c r="E8" s="4"/>
      <c r="F8" s="22" t="s">
        <v>29</v>
      </c>
      <c r="G8" s="23" t="s">
        <v>25</v>
      </c>
      <c r="H8" s="25">
        <v>0</v>
      </c>
      <c r="I8" s="29"/>
      <c r="J8" s="10" t="s">
        <v>17</v>
      </c>
      <c r="K8" s="11" t="s">
        <v>12</v>
      </c>
      <c r="L8" s="11" t="s">
        <v>13</v>
      </c>
      <c r="M8" s="12" t="s">
        <v>14</v>
      </c>
      <c r="N8" s="4"/>
      <c r="O8" s="22" t="s">
        <v>29</v>
      </c>
      <c r="P8" s="23" t="s">
        <v>25</v>
      </c>
      <c r="Q8" s="25">
        <v>0</v>
      </c>
    </row>
    <row r="9" spans="1:17" ht="13.5" thickBot="1" x14ac:dyDescent="0.25">
      <c r="A9" s="6" t="s">
        <v>3</v>
      </c>
      <c r="B9" s="7">
        <f>B4/B5*1.5</f>
        <v>8.718</v>
      </c>
      <c r="C9" s="8"/>
      <c r="D9" s="13">
        <f>C9*B9</f>
        <v>0</v>
      </c>
      <c r="E9" s="4"/>
      <c r="F9" s="22" t="s">
        <v>30</v>
      </c>
      <c r="G9" s="23" t="s">
        <v>25</v>
      </c>
      <c r="H9" s="25">
        <v>0</v>
      </c>
      <c r="I9" s="29"/>
      <c r="J9" s="6" t="s">
        <v>3</v>
      </c>
      <c r="K9" s="7">
        <f>K4/K5*1.5</f>
        <v>8.718</v>
      </c>
      <c r="L9" s="8"/>
      <c r="M9" s="13">
        <f>L9*K9</f>
        <v>0</v>
      </c>
      <c r="N9" s="4"/>
      <c r="O9" s="22" t="s">
        <v>30</v>
      </c>
      <c r="P9" s="23" t="s">
        <v>25</v>
      </c>
      <c r="Q9" s="25">
        <v>0</v>
      </c>
    </row>
    <row r="10" spans="1:17" ht="13.5" thickBot="1" x14ac:dyDescent="0.25">
      <c r="A10" s="6" t="s">
        <v>4</v>
      </c>
      <c r="B10" s="7">
        <f>B4/B5*2</f>
        <v>11.624000000000001</v>
      </c>
      <c r="C10" s="8"/>
      <c r="D10" s="13">
        <f t="shared" ref="D10:D16" si="0">C10*B10</f>
        <v>0</v>
      </c>
      <c r="E10" s="4"/>
      <c r="F10" s="22" t="s">
        <v>31</v>
      </c>
      <c r="G10" s="26" t="s">
        <v>40</v>
      </c>
      <c r="H10" s="25">
        <f>H4/12</f>
        <v>100.25700000000001</v>
      </c>
      <c r="I10" s="29"/>
      <c r="J10" s="6" t="s">
        <v>4</v>
      </c>
      <c r="K10" s="7">
        <f>K4/K5*2</f>
        <v>11.624000000000001</v>
      </c>
      <c r="L10" s="8"/>
      <c r="M10" s="13">
        <f t="shared" ref="M10:M16" si="1">L10*K10</f>
        <v>0</v>
      </c>
      <c r="N10" s="4"/>
      <c r="O10" s="22" t="s">
        <v>31</v>
      </c>
      <c r="P10" s="26" t="s">
        <v>40</v>
      </c>
      <c r="Q10" s="25">
        <f>Q4/12</f>
        <v>139.669625</v>
      </c>
    </row>
    <row r="11" spans="1:17" ht="13.5" thickBot="1" x14ac:dyDescent="0.25">
      <c r="A11" s="6" t="s">
        <v>5</v>
      </c>
      <c r="B11" s="7">
        <f>(B4/B5*1.5)+(B4/B5*1.5)*0.25</f>
        <v>10.897500000000001</v>
      </c>
      <c r="C11" s="8"/>
      <c r="D11" s="13">
        <f t="shared" si="0"/>
        <v>0</v>
      </c>
      <c r="E11" s="4"/>
      <c r="F11" s="22" t="s">
        <v>32</v>
      </c>
      <c r="G11" s="26" t="s">
        <v>40</v>
      </c>
      <c r="H11" s="25">
        <f>H4/12</f>
        <v>100.25700000000001</v>
      </c>
      <c r="I11" s="29"/>
      <c r="J11" s="6" t="s">
        <v>5</v>
      </c>
      <c r="K11" s="7">
        <f>(K4/K5*1.5)+(K4/K5*1.5)*0.25</f>
        <v>10.897500000000001</v>
      </c>
      <c r="L11" s="8"/>
      <c r="M11" s="13">
        <f t="shared" si="1"/>
        <v>0</v>
      </c>
      <c r="N11" s="4"/>
      <c r="O11" s="22" t="s">
        <v>32</v>
      </c>
      <c r="P11" s="26" t="s">
        <v>40</v>
      </c>
      <c r="Q11" s="25">
        <f>Q4/12</f>
        <v>139.669625</v>
      </c>
    </row>
    <row r="12" spans="1:17" ht="13.5" thickBot="1" x14ac:dyDescent="0.25">
      <c r="A12" s="6" t="s">
        <v>6</v>
      </c>
      <c r="B12" s="7">
        <f>(B4/B5*2)+(B4/B5*2)*0.25</f>
        <v>14.530000000000001</v>
      </c>
      <c r="C12" s="8"/>
      <c r="D12" s="13">
        <f t="shared" si="0"/>
        <v>0</v>
      </c>
      <c r="E12" s="4"/>
      <c r="F12" s="22" t="s">
        <v>33</v>
      </c>
      <c r="G12" s="26" t="s">
        <v>40</v>
      </c>
      <c r="H12" s="25">
        <f>H11/3</f>
        <v>33.419000000000004</v>
      </c>
      <c r="I12" s="29"/>
      <c r="J12" s="6" t="s">
        <v>6</v>
      </c>
      <c r="K12" s="7">
        <f>(K4/K5*2)+(K4/K5*2)*0.25</f>
        <v>14.530000000000001</v>
      </c>
      <c r="L12" s="8"/>
      <c r="M12" s="13">
        <f t="shared" si="1"/>
        <v>0</v>
      </c>
      <c r="N12" s="4"/>
      <c r="O12" s="22" t="s">
        <v>33</v>
      </c>
      <c r="P12" s="26" t="s">
        <v>40</v>
      </c>
      <c r="Q12" s="25">
        <f>Q11/3</f>
        <v>46.556541666666668</v>
      </c>
    </row>
    <row r="13" spans="1:17" ht="13.5" thickBot="1" x14ac:dyDescent="0.25">
      <c r="A13" s="6" t="s">
        <v>7</v>
      </c>
      <c r="B13" s="7">
        <f>B4/B5*0.25</f>
        <v>1.4530000000000001</v>
      </c>
      <c r="C13" s="8"/>
      <c r="D13" s="13">
        <f t="shared" si="0"/>
        <v>0</v>
      </c>
      <c r="E13" s="4"/>
      <c r="F13" s="22" t="s">
        <v>34</v>
      </c>
      <c r="G13" s="27">
        <v>0.08</v>
      </c>
      <c r="H13" s="25">
        <f>H4*G13</f>
        <v>96.24672000000001</v>
      </c>
      <c r="I13" s="29"/>
      <c r="J13" s="6" t="s">
        <v>7</v>
      </c>
      <c r="K13" s="7">
        <f>K4/K5*0.25</f>
        <v>1.4530000000000001</v>
      </c>
      <c r="L13" s="8">
        <v>155</v>
      </c>
      <c r="M13" s="13">
        <f t="shared" si="1"/>
        <v>225.215</v>
      </c>
      <c r="N13" s="4"/>
      <c r="O13" s="22" t="s">
        <v>34</v>
      </c>
      <c r="P13" s="27">
        <v>0.08</v>
      </c>
      <c r="Q13" s="25">
        <f>Q4*P13</f>
        <v>134.08284</v>
      </c>
    </row>
    <row r="14" spans="1:17" ht="13.5" thickBot="1" x14ac:dyDescent="0.25">
      <c r="A14" s="6" t="s">
        <v>9</v>
      </c>
      <c r="B14" s="7">
        <f>B4/B5*1.5</f>
        <v>8.718</v>
      </c>
      <c r="C14" s="8">
        <v>15</v>
      </c>
      <c r="D14" s="13">
        <f t="shared" si="0"/>
        <v>130.77000000000001</v>
      </c>
      <c r="E14" s="4"/>
      <c r="F14" s="22" t="s">
        <v>35</v>
      </c>
      <c r="G14" s="26"/>
      <c r="H14" s="25">
        <f>SUM(H10:H12)*0.08</f>
        <v>18.714640000000003</v>
      </c>
      <c r="I14" s="29"/>
      <c r="J14" s="6" t="s">
        <v>9</v>
      </c>
      <c r="K14" s="7">
        <f>K4/K5*1.5</f>
        <v>8.718</v>
      </c>
      <c r="L14" s="8"/>
      <c r="M14" s="13">
        <f t="shared" si="1"/>
        <v>0</v>
      </c>
      <c r="N14" s="4"/>
      <c r="O14" s="22" t="s">
        <v>35</v>
      </c>
      <c r="P14" s="26"/>
      <c r="Q14" s="25">
        <f>SUM(Q10:Q12)*0.08</f>
        <v>26.071663333333333</v>
      </c>
    </row>
    <row r="15" spans="1:17" ht="13.5" thickBot="1" x14ac:dyDescent="0.25">
      <c r="A15" s="6" t="s">
        <v>10</v>
      </c>
      <c r="B15" s="7">
        <f>(B4/B5*1.5)+(B4/B5*1.5)*0.25</f>
        <v>10.897500000000001</v>
      </c>
      <c r="C15" s="8"/>
      <c r="D15" s="13">
        <f t="shared" si="0"/>
        <v>0</v>
      </c>
      <c r="E15" s="4"/>
      <c r="F15" s="28" t="s">
        <v>38</v>
      </c>
      <c r="G15" s="35">
        <f>SUM(H3:H14)</f>
        <v>1993.2087600000002</v>
      </c>
      <c r="H15" s="36"/>
      <c r="I15" s="29"/>
      <c r="J15" s="6" t="s">
        <v>10</v>
      </c>
      <c r="K15" s="7">
        <f>(K4/K5*1.5)+(K4/K5*1.5)*0.25</f>
        <v>10.897500000000001</v>
      </c>
      <c r="L15" s="8">
        <v>15</v>
      </c>
      <c r="M15" s="13">
        <f t="shared" si="1"/>
        <v>163.46250000000001</v>
      </c>
      <c r="N15" s="4"/>
      <c r="O15" s="28" t="s">
        <v>38</v>
      </c>
      <c r="P15" s="35">
        <f>SUM(Q3:Q14)</f>
        <v>2603.3161949999999</v>
      </c>
      <c r="Q15" s="36"/>
    </row>
    <row r="16" spans="1:17" ht="13.5" thickBot="1" x14ac:dyDescent="0.25">
      <c r="A16" s="6" t="s">
        <v>21</v>
      </c>
      <c r="B16" s="20">
        <f>(B4/B5*1.5)+(B4/B5*1.5)*0.25</f>
        <v>10.897500000000001</v>
      </c>
      <c r="C16" s="8"/>
      <c r="D16" s="13">
        <f t="shared" si="0"/>
        <v>0</v>
      </c>
      <c r="E16" s="4"/>
      <c r="F16" s="37" t="s">
        <v>43</v>
      </c>
      <c r="G16" s="38"/>
      <c r="H16" s="39"/>
      <c r="I16" s="29"/>
      <c r="J16" s="6" t="s">
        <v>21</v>
      </c>
      <c r="K16" s="20">
        <f>(K4/K5*1.5)+(K4/K5*1.5)*0.25</f>
        <v>10.897500000000001</v>
      </c>
      <c r="L16" s="8">
        <v>15</v>
      </c>
      <c r="M16" s="13">
        <f t="shared" si="1"/>
        <v>163.46250000000001</v>
      </c>
      <c r="N16" s="4"/>
      <c r="O16" s="37" t="s">
        <v>43</v>
      </c>
      <c r="P16" s="38"/>
      <c r="Q16" s="39"/>
    </row>
    <row r="17" spans="1:17" ht="13.5" thickBot="1" x14ac:dyDescent="0.25">
      <c r="A17" s="6" t="s">
        <v>8</v>
      </c>
      <c r="B17" s="7">
        <f>((B9+B10+B11+B12+B13+B14+B15)/25)*5</f>
        <v>13.367599999999999</v>
      </c>
      <c r="C17" s="8"/>
      <c r="D17" s="13">
        <f>((D9+D10+D11+D12+D13+D14+D15)/25)*5</f>
        <v>26.154000000000003</v>
      </c>
      <c r="E17" s="4"/>
      <c r="F17" s="30" t="s">
        <v>36</v>
      </c>
      <c r="G17" s="31">
        <v>0.08</v>
      </c>
      <c r="H17" s="32">
        <f>H4*G17</f>
        <v>96.24672000000001</v>
      </c>
      <c r="I17" s="29"/>
      <c r="J17" s="6" t="s">
        <v>8</v>
      </c>
      <c r="K17" s="7">
        <f>((K9+K10+K11+K12+K13+K14+K15)/25)*5</f>
        <v>13.367599999999999</v>
      </c>
      <c r="L17" s="8"/>
      <c r="M17" s="13">
        <f>((M9+M10+M11+M12+M13+M14+M15)/25)*5</f>
        <v>77.735500000000002</v>
      </c>
      <c r="N17" s="4"/>
      <c r="O17" s="30" t="s">
        <v>36</v>
      </c>
      <c r="P17" s="31">
        <v>0.08</v>
      </c>
      <c r="Q17" s="32">
        <f>Q4*P17</f>
        <v>134.08284</v>
      </c>
    </row>
    <row r="18" spans="1:17" ht="13.5" thickBot="1" x14ac:dyDescent="0.25">
      <c r="A18" s="6"/>
      <c r="B18" s="7"/>
      <c r="C18" s="8"/>
      <c r="D18" s="13"/>
      <c r="E18" s="4"/>
      <c r="F18" s="30" t="s">
        <v>37</v>
      </c>
      <c r="G18" s="33"/>
      <c r="H18" s="32">
        <f>SUM(H10:H12)*0.2</f>
        <v>46.786600000000007</v>
      </c>
      <c r="I18" s="29"/>
      <c r="J18" s="6"/>
      <c r="K18" s="7"/>
      <c r="L18" s="8"/>
      <c r="M18" s="13"/>
      <c r="N18" s="4"/>
      <c r="O18" s="30" t="s">
        <v>37</v>
      </c>
      <c r="P18" s="33"/>
      <c r="Q18" s="32">
        <f>SUM(Q10:Q12)*0.2</f>
        <v>65.179158333333334</v>
      </c>
    </row>
    <row r="19" spans="1:17" ht="13.5" thickBot="1" x14ac:dyDescent="0.25">
      <c r="A19" s="15" t="s">
        <v>11</v>
      </c>
      <c r="B19" s="16"/>
      <c r="C19" s="17"/>
      <c r="D19" s="18">
        <f>SUM(D9:D17)</f>
        <v>156.92400000000001</v>
      </c>
      <c r="E19" s="4"/>
      <c r="F19" s="34" t="s">
        <v>38</v>
      </c>
      <c r="G19" s="41">
        <f>SUM(H17:H18)</f>
        <v>143.03332</v>
      </c>
      <c r="H19" s="42"/>
      <c r="I19" s="29"/>
      <c r="J19" s="15" t="s">
        <v>11</v>
      </c>
      <c r="K19" s="16"/>
      <c r="L19" s="17"/>
      <c r="M19" s="18">
        <f>SUM(M9:M17)</f>
        <v>629.87549999999999</v>
      </c>
      <c r="N19" s="4"/>
      <c r="O19" s="34" t="s">
        <v>38</v>
      </c>
      <c r="P19" s="41">
        <f>SUM(Q17:Q18)</f>
        <v>199.26199833333334</v>
      </c>
      <c r="Q19" s="42"/>
    </row>
    <row r="20" spans="1:17" ht="13.5" thickBot="1" x14ac:dyDescent="0.25">
      <c r="I20" s="29"/>
    </row>
    <row r="21" spans="1:17" ht="13.5" thickBot="1" x14ac:dyDescent="0.25">
      <c r="A21" s="1" t="s">
        <v>2</v>
      </c>
      <c r="B21" s="2" t="s">
        <v>19</v>
      </c>
      <c r="C21" s="2"/>
      <c r="D21" s="3"/>
      <c r="F21" s="21" t="s">
        <v>22</v>
      </c>
      <c r="G21" s="21" t="s">
        <v>23</v>
      </c>
      <c r="H21" s="21" t="s">
        <v>24</v>
      </c>
      <c r="I21" s="29"/>
      <c r="J21" s="1" t="s">
        <v>2</v>
      </c>
      <c r="K21" s="2" t="s">
        <v>19</v>
      </c>
      <c r="L21" s="2"/>
      <c r="M21" s="3"/>
      <c r="O21" s="21" t="s">
        <v>22</v>
      </c>
      <c r="P21" s="21" t="s">
        <v>23</v>
      </c>
      <c r="Q21" s="21" t="s">
        <v>24</v>
      </c>
    </row>
    <row r="22" spans="1:17" ht="14.25" thickTop="1" thickBot="1" x14ac:dyDescent="0.25">
      <c r="A22" s="6" t="s">
        <v>0</v>
      </c>
      <c r="B22" s="19">
        <v>937</v>
      </c>
      <c r="C22" s="19"/>
      <c r="D22" s="9"/>
      <c r="F22" s="22" t="s">
        <v>39</v>
      </c>
      <c r="G22" s="23" t="s">
        <v>25</v>
      </c>
      <c r="H22" s="24">
        <f>D37+B22</f>
        <v>1077.55</v>
      </c>
      <c r="I22" s="29"/>
      <c r="J22" s="6" t="s">
        <v>0</v>
      </c>
      <c r="K22" s="19">
        <v>937</v>
      </c>
      <c r="L22" s="19"/>
      <c r="M22" s="9"/>
      <c r="O22" s="22" t="s">
        <v>39</v>
      </c>
      <c r="P22" s="23" t="s">
        <v>25</v>
      </c>
      <c r="Q22" s="24">
        <f>M37+K22</f>
        <v>1501.1520833333334</v>
      </c>
    </row>
    <row r="23" spans="1:17" ht="13.5" thickBot="1" x14ac:dyDescent="0.25">
      <c r="A23" s="6" t="s">
        <v>15</v>
      </c>
      <c r="B23" s="8">
        <v>180</v>
      </c>
      <c r="C23" s="8"/>
      <c r="D23" s="9"/>
      <c r="F23" s="22" t="s">
        <v>26</v>
      </c>
      <c r="G23" s="23">
        <v>40</v>
      </c>
      <c r="H23" s="25">
        <f>G23*3.1</f>
        <v>124</v>
      </c>
      <c r="I23" s="29"/>
      <c r="J23" s="6" t="s">
        <v>15</v>
      </c>
      <c r="K23" s="8">
        <v>180</v>
      </c>
      <c r="L23" s="8"/>
      <c r="M23" s="9"/>
      <c r="O23" s="22" t="s">
        <v>26</v>
      </c>
      <c r="P23" s="23">
        <v>40</v>
      </c>
      <c r="Q23" s="25">
        <f>P23*3.1</f>
        <v>124</v>
      </c>
    </row>
    <row r="24" spans="1:17" ht="13.5" thickBot="1" x14ac:dyDescent="0.25">
      <c r="A24" s="6" t="s">
        <v>1</v>
      </c>
      <c r="B24" s="8"/>
      <c r="C24" s="8"/>
      <c r="D24" s="9"/>
      <c r="F24" s="22" t="s">
        <v>27</v>
      </c>
      <c r="G24" s="23" t="s">
        <v>25</v>
      </c>
      <c r="H24" s="25">
        <f>(B22*0.06)*-1</f>
        <v>-56.22</v>
      </c>
      <c r="I24" s="29"/>
      <c r="J24" s="6" t="s">
        <v>1</v>
      </c>
      <c r="K24" s="8"/>
      <c r="L24" s="8"/>
      <c r="M24" s="9"/>
      <c r="O24" s="22" t="s">
        <v>27</v>
      </c>
      <c r="P24" s="23" t="s">
        <v>25</v>
      </c>
      <c r="Q24" s="25">
        <f>(K22*0.06)*-1</f>
        <v>-56.22</v>
      </c>
    </row>
    <row r="25" spans="1:17" ht="13.5" thickBot="1" x14ac:dyDescent="0.25">
      <c r="A25" s="6"/>
      <c r="B25" s="8"/>
      <c r="C25" s="8"/>
      <c r="D25" s="9"/>
      <c r="F25" s="22" t="s">
        <v>28</v>
      </c>
      <c r="G25" s="23" t="s">
        <v>25</v>
      </c>
      <c r="H25" s="25">
        <v>380</v>
      </c>
      <c r="I25" s="29"/>
      <c r="J25" s="6"/>
      <c r="K25" s="8"/>
      <c r="L25" s="8"/>
      <c r="M25" s="9"/>
      <c r="O25" s="22" t="s">
        <v>28</v>
      </c>
      <c r="P25" s="23" t="s">
        <v>25</v>
      </c>
      <c r="Q25" s="25">
        <v>380</v>
      </c>
    </row>
    <row r="26" spans="1:17" ht="13.5" thickBot="1" x14ac:dyDescent="0.25">
      <c r="A26" s="10" t="s">
        <v>17</v>
      </c>
      <c r="B26" s="11" t="s">
        <v>12</v>
      </c>
      <c r="C26" s="11" t="s">
        <v>13</v>
      </c>
      <c r="D26" s="12" t="s">
        <v>14</v>
      </c>
      <c r="F26" s="22" t="s">
        <v>29</v>
      </c>
      <c r="G26" s="23" t="s">
        <v>25</v>
      </c>
      <c r="H26" s="25">
        <v>0</v>
      </c>
      <c r="I26" s="29"/>
      <c r="J26" s="10" t="s">
        <v>17</v>
      </c>
      <c r="K26" s="11" t="s">
        <v>12</v>
      </c>
      <c r="L26" s="11" t="s">
        <v>13</v>
      </c>
      <c r="M26" s="12" t="s">
        <v>14</v>
      </c>
      <c r="O26" s="22" t="s">
        <v>29</v>
      </c>
      <c r="P26" s="23" t="s">
        <v>25</v>
      </c>
      <c r="Q26" s="25">
        <v>0</v>
      </c>
    </row>
    <row r="27" spans="1:17" ht="13.5" thickBot="1" x14ac:dyDescent="0.25">
      <c r="A27" s="6" t="s">
        <v>3</v>
      </c>
      <c r="B27" s="7">
        <f>B22/B23*1.5</f>
        <v>7.8083333333333336</v>
      </c>
      <c r="C27" s="8"/>
      <c r="D27" s="13">
        <f>C27*B27</f>
        <v>0</v>
      </c>
      <c r="F27" s="22" t="s">
        <v>30</v>
      </c>
      <c r="G27" s="23" t="s">
        <v>25</v>
      </c>
      <c r="H27" s="25">
        <v>0</v>
      </c>
      <c r="I27" s="29"/>
      <c r="J27" s="6" t="s">
        <v>3</v>
      </c>
      <c r="K27" s="7">
        <f>K22/K23*1.5</f>
        <v>7.8083333333333336</v>
      </c>
      <c r="L27" s="8"/>
      <c r="M27" s="13">
        <f>L27*K27</f>
        <v>0</v>
      </c>
      <c r="O27" s="22" t="s">
        <v>30</v>
      </c>
      <c r="P27" s="23" t="s">
        <v>25</v>
      </c>
      <c r="Q27" s="25">
        <v>0</v>
      </c>
    </row>
    <row r="28" spans="1:17" ht="13.5" thickBot="1" x14ac:dyDescent="0.25">
      <c r="A28" s="6" t="s">
        <v>4</v>
      </c>
      <c r="B28" s="7">
        <f>B22/B23*2</f>
        <v>10.411111111111111</v>
      </c>
      <c r="C28" s="8"/>
      <c r="D28" s="13">
        <f t="shared" ref="D28:D31" si="2">C28*B28</f>
        <v>0</v>
      </c>
      <c r="F28" s="22" t="s">
        <v>31</v>
      </c>
      <c r="G28" s="26" t="s">
        <v>40</v>
      </c>
      <c r="H28" s="25">
        <f>H22/12</f>
        <v>89.795833333333334</v>
      </c>
      <c r="I28" s="29"/>
      <c r="J28" s="6" t="s">
        <v>4</v>
      </c>
      <c r="K28" s="7">
        <f>K22/K23*2</f>
        <v>10.411111111111111</v>
      </c>
      <c r="L28" s="8"/>
      <c r="M28" s="13">
        <f t="shared" ref="M28:M34" si="3">L28*K28</f>
        <v>0</v>
      </c>
      <c r="O28" s="22" t="s">
        <v>31</v>
      </c>
      <c r="P28" s="26" t="s">
        <v>40</v>
      </c>
      <c r="Q28" s="25">
        <f>Q22/12</f>
        <v>125.09600694444445</v>
      </c>
    </row>
    <row r="29" spans="1:17" ht="13.5" thickBot="1" x14ac:dyDescent="0.25">
      <c r="A29" s="6" t="s">
        <v>5</v>
      </c>
      <c r="B29" s="7">
        <f>(B22/B23*1.5)+(B22/B23*1.5)*0.25</f>
        <v>9.7604166666666679</v>
      </c>
      <c r="C29" s="8"/>
      <c r="D29" s="13">
        <f t="shared" si="2"/>
        <v>0</v>
      </c>
      <c r="F29" s="22" t="s">
        <v>32</v>
      </c>
      <c r="G29" s="26" t="s">
        <v>40</v>
      </c>
      <c r="H29" s="25">
        <f>H22/12</f>
        <v>89.795833333333334</v>
      </c>
      <c r="I29" s="29"/>
      <c r="J29" s="6" t="s">
        <v>5</v>
      </c>
      <c r="K29" s="7">
        <f>(K22/K23*1.5)+(K22/K23*1.5)*0.25</f>
        <v>9.7604166666666679</v>
      </c>
      <c r="L29" s="8"/>
      <c r="M29" s="13">
        <f t="shared" si="3"/>
        <v>0</v>
      </c>
      <c r="O29" s="22" t="s">
        <v>32</v>
      </c>
      <c r="P29" s="26" t="s">
        <v>40</v>
      </c>
      <c r="Q29" s="25">
        <f>Q22/12</f>
        <v>125.09600694444445</v>
      </c>
    </row>
    <row r="30" spans="1:17" ht="13.5" thickBot="1" x14ac:dyDescent="0.25">
      <c r="A30" s="6" t="s">
        <v>6</v>
      </c>
      <c r="B30" s="7">
        <f>(B22/B23*2)+(B22/B23*2)*0.25</f>
        <v>13.013888888888889</v>
      </c>
      <c r="C30" s="8"/>
      <c r="D30" s="13">
        <f t="shared" si="2"/>
        <v>0</v>
      </c>
      <c r="F30" s="22" t="s">
        <v>33</v>
      </c>
      <c r="G30" s="26" t="s">
        <v>40</v>
      </c>
      <c r="H30" s="25">
        <f>H29/3</f>
        <v>29.931944444444444</v>
      </c>
      <c r="I30" s="29"/>
      <c r="J30" s="6" t="s">
        <v>6</v>
      </c>
      <c r="K30" s="7">
        <f>(K22/K23*2)+(K22/K23*2)*0.25</f>
        <v>13.013888888888889</v>
      </c>
      <c r="L30" s="8"/>
      <c r="M30" s="13">
        <f t="shared" si="3"/>
        <v>0</v>
      </c>
      <c r="O30" s="22" t="s">
        <v>33</v>
      </c>
      <c r="P30" s="26" t="s">
        <v>40</v>
      </c>
      <c r="Q30" s="25">
        <f>Q29/3</f>
        <v>41.698668981481482</v>
      </c>
    </row>
    <row r="31" spans="1:17" ht="13.5" thickBot="1" x14ac:dyDescent="0.25">
      <c r="A31" s="6" t="s">
        <v>7</v>
      </c>
      <c r="B31" s="7">
        <f>B22/B23*0.25</f>
        <v>1.3013888888888889</v>
      </c>
      <c r="C31" s="8"/>
      <c r="D31" s="13">
        <f t="shared" si="2"/>
        <v>0</v>
      </c>
      <c r="F31" s="22" t="s">
        <v>34</v>
      </c>
      <c r="G31" s="27">
        <v>0.08</v>
      </c>
      <c r="H31" s="25">
        <f>H22*G31</f>
        <v>86.203999999999994</v>
      </c>
      <c r="I31" s="29"/>
      <c r="J31" s="6" t="s">
        <v>7</v>
      </c>
      <c r="K31" s="7">
        <f>K22/K23*0.25</f>
        <v>1.3013888888888889</v>
      </c>
      <c r="L31" s="8">
        <v>155</v>
      </c>
      <c r="M31" s="13">
        <f t="shared" si="3"/>
        <v>201.71527777777777</v>
      </c>
      <c r="O31" s="22" t="s">
        <v>34</v>
      </c>
      <c r="P31" s="27">
        <v>0.08</v>
      </c>
      <c r="Q31" s="25">
        <f>Q22*P31</f>
        <v>120.09216666666667</v>
      </c>
    </row>
    <row r="32" spans="1:17" ht="13.5" thickBot="1" x14ac:dyDescent="0.25">
      <c r="A32" s="6" t="s">
        <v>9</v>
      </c>
      <c r="B32" s="7">
        <f>B22/B23*1.5</f>
        <v>7.8083333333333336</v>
      </c>
      <c r="C32" s="8">
        <v>15</v>
      </c>
      <c r="D32" s="13">
        <f t="shared" ref="D32:D33" si="4">C32*B32</f>
        <v>117.125</v>
      </c>
      <c r="F32" s="22" t="s">
        <v>35</v>
      </c>
      <c r="G32" s="26"/>
      <c r="H32" s="25">
        <f>SUM(H28:H30)*0.08</f>
        <v>16.76188888888889</v>
      </c>
      <c r="I32" s="29"/>
      <c r="J32" s="6" t="s">
        <v>9</v>
      </c>
      <c r="K32" s="7">
        <f>K22/K23*1.5</f>
        <v>7.8083333333333336</v>
      </c>
      <c r="L32" s="8"/>
      <c r="M32" s="13">
        <f t="shared" si="3"/>
        <v>0</v>
      </c>
      <c r="O32" s="22" t="s">
        <v>35</v>
      </c>
      <c r="P32" s="26"/>
      <c r="Q32" s="25">
        <f>SUM(Q28:Q30)*0.08</f>
        <v>23.351254629629629</v>
      </c>
    </row>
    <row r="33" spans="1:17" ht="13.5" thickBot="1" x14ac:dyDescent="0.25">
      <c r="A33" s="6" t="s">
        <v>10</v>
      </c>
      <c r="B33" s="7">
        <f>(B22/B23*1.5)+(B22/B23*1.5)*0.25</f>
        <v>9.7604166666666679</v>
      </c>
      <c r="C33" s="8"/>
      <c r="D33" s="13">
        <f t="shared" si="4"/>
        <v>0</v>
      </c>
      <c r="F33" s="28" t="s">
        <v>38</v>
      </c>
      <c r="G33" s="35">
        <f>SUM(H21:H32)</f>
        <v>1837.8195000000001</v>
      </c>
      <c r="H33" s="36"/>
      <c r="I33" s="29"/>
      <c r="J33" s="6" t="s">
        <v>10</v>
      </c>
      <c r="K33" s="7">
        <f>(K22/K23*1.5)+(K22/K23*1.5)*0.25</f>
        <v>9.7604166666666679</v>
      </c>
      <c r="L33" s="8">
        <v>15</v>
      </c>
      <c r="M33" s="13">
        <f t="shared" si="3"/>
        <v>146.40625000000003</v>
      </c>
      <c r="O33" s="28" t="s">
        <v>38</v>
      </c>
      <c r="P33" s="35">
        <f>SUM(Q21:Q32)</f>
        <v>2384.2661875000003</v>
      </c>
      <c r="Q33" s="36"/>
    </row>
    <row r="34" spans="1:17" ht="13.5" thickBot="1" x14ac:dyDescent="0.25">
      <c r="A34" s="6" t="s">
        <v>21</v>
      </c>
      <c r="B34" s="20">
        <f>(B22/B23*1.5)+(B22/B23*1.5)*0.25</f>
        <v>9.7604166666666679</v>
      </c>
      <c r="C34" s="8"/>
      <c r="D34" s="13">
        <f t="shared" ref="D34" si="5">C34*B34</f>
        <v>0</v>
      </c>
      <c r="F34" s="37" t="s">
        <v>43</v>
      </c>
      <c r="G34" s="38"/>
      <c r="H34" s="39"/>
      <c r="I34" s="29"/>
      <c r="J34" s="6" t="s">
        <v>21</v>
      </c>
      <c r="K34" s="20">
        <f>(K22/K23*1.5)+(K22/K23*1.5)*0.25</f>
        <v>9.7604166666666679</v>
      </c>
      <c r="L34" s="8">
        <v>15</v>
      </c>
      <c r="M34" s="13">
        <f t="shared" si="3"/>
        <v>146.40625000000003</v>
      </c>
      <c r="O34" s="37" t="s">
        <v>43</v>
      </c>
      <c r="P34" s="38"/>
      <c r="Q34" s="39"/>
    </row>
    <row r="35" spans="1:17" ht="13.5" thickBot="1" x14ac:dyDescent="0.25">
      <c r="A35" s="6" t="s">
        <v>8</v>
      </c>
      <c r="B35" s="7">
        <f>((B27+B28+B29+B30+B31+B32+B33)/25)*5</f>
        <v>11.972777777777779</v>
      </c>
      <c r="C35" s="8"/>
      <c r="D35" s="13">
        <f>((D27+D28+D29+D30+D31+D32+D33)/25)*5</f>
        <v>23.424999999999997</v>
      </c>
      <c r="F35" s="30" t="s">
        <v>36</v>
      </c>
      <c r="G35" s="31">
        <v>0.08</v>
      </c>
      <c r="H35" s="32">
        <f>H22*G35</f>
        <v>86.203999999999994</v>
      </c>
      <c r="I35" s="29"/>
      <c r="J35" s="6" t="s">
        <v>8</v>
      </c>
      <c r="K35" s="7">
        <f>((K27+K28+K29+K30+K31+K32+K33)/25)*5</f>
        <v>11.972777777777779</v>
      </c>
      <c r="L35" s="8"/>
      <c r="M35" s="13">
        <f>((M27+M28+M29+M30+M31+M32+M33)/25)*5</f>
        <v>69.624305555555566</v>
      </c>
      <c r="O35" s="30" t="s">
        <v>36</v>
      </c>
      <c r="P35" s="31">
        <v>0.08</v>
      </c>
      <c r="Q35" s="32">
        <f>Q22*P35</f>
        <v>120.09216666666667</v>
      </c>
    </row>
    <row r="36" spans="1:17" ht="13.5" thickBot="1" x14ac:dyDescent="0.25">
      <c r="A36" s="6"/>
      <c r="B36" s="14"/>
      <c r="C36" s="8"/>
      <c r="D36" s="13"/>
      <c r="F36" s="30" t="s">
        <v>37</v>
      </c>
      <c r="G36" s="33"/>
      <c r="H36" s="32">
        <f>SUM(H28:H30)*0.2</f>
        <v>41.904722222222226</v>
      </c>
      <c r="I36" s="29"/>
      <c r="J36" s="6"/>
      <c r="K36" s="14"/>
      <c r="L36" s="8"/>
      <c r="M36" s="13"/>
      <c r="O36" s="30" t="s">
        <v>37</v>
      </c>
      <c r="P36" s="33"/>
      <c r="Q36" s="32">
        <f>SUM(Q28:Q30)*0.2</f>
        <v>58.378136574074077</v>
      </c>
    </row>
    <row r="37" spans="1:17" ht="13.5" thickBot="1" x14ac:dyDescent="0.25">
      <c r="A37" s="15" t="s">
        <v>11</v>
      </c>
      <c r="B37" s="16"/>
      <c r="C37" s="17"/>
      <c r="D37" s="18">
        <f>SUM(D27:D36)</f>
        <v>140.55000000000001</v>
      </c>
      <c r="F37" s="34" t="s">
        <v>38</v>
      </c>
      <c r="G37" s="41">
        <f>SUM(H35:H36)</f>
        <v>128.10872222222221</v>
      </c>
      <c r="H37" s="42"/>
      <c r="I37" s="29"/>
      <c r="J37" s="15" t="s">
        <v>11</v>
      </c>
      <c r="K37" s="16"/>
      <c r="L37" s="17"/>
      <c r="M37" s="18">
        <f>SUM(M27:M36)</f>
        <v>564.15208333333339</v>
      </c>
      <c r="O37" s="34" t="s">
        <v>38</v>
      </c>
      <c r="P37" s="41">
        <f>SUM(Q35:Q36)</f>
        <v>178.47030324074075</v>
      </c>
      <c r="Q37" s="42"/>
    </row>
    <row r="38" spans="1:17" ht="13.5" thickBot="1" x14ac:dyDescent="0.25">
      <c r="I38" s="29"/>
    </row>
    <row r="39" spans="1:17" ht="13.5" thickBot="1" x14ac:dyDescent="0.25">
      <c r="A39" s="1" t="s">
        <v>2</v>
      </c>
      <c r="B39" s="2" t="s">
        <v>20</v>
      </c>
      <c r="C39" s="2"/>
      <c r="D39" s="3"/>
      <c r="F39" s="21" t="s">
        <v>22</v>
      </c>
      <c r="G39" s="21" t="s">
        <v>23</v>
      </c>
      <c r="H39" s="21" t="s">
        <v>24</v>
      </c>
      <c r="I39" s="29"/>
      <c r="J39" s="1" t="s">
        <v>2</v>
      </c>
      <c r="K39" s="2" t="s">
        <v>20</v>
      </c>
      <c r="L39" s="2"/>
      <c r="M39" s="3"/>
      <c r="O39" s="21" t="s">
        <v>22</v>
      </c>
      <c r="P39" s="21" t="s">
        <v>23</v>
      </c>
      <c r="Q39" s="21" t="s">
        <v>24</v>
      </c>
    </row>
    <row r="40" spans="1:17" ht="14.25" thickTop="1" thickBot="1" x14ac:dyDescent="0.25">
      <c r="A40" s="6" t="s">
        <v>0</v>
      </c>
      <c r="B40" s="19">
        <v>1114.3599999999999</v>
      </c>
      <c r="C40" s="19"/>
      <c r="D40" s="9"/>
      <c r="F40" s="22" t="s">
        <v>39</v>
      </c>
      <c r="G40" s="23" t="s">
        <v>25</v>
      </c>
      <c r="H40" s="24">
        <f>D55+B40</f>
        <v>1114.3599999999999</v>
      </c>
      <c r="I40" s="29"/>
      <c r="J40" s="6" t="s">
        <v>0</v>
      </c>
      <c r="K40" s="19">
        <v>1114.3599999999999</v>
      </c>
      <c r="L40" s="19"/>
      <c r="M40" s="9"/>
      <c r="O40" s="22" t="s">
        <v>39</v>
      </c>
      <c r="P40" s="23" t="s">
        <v>25</v>
      </c>
      <c r="Q40" s="24">
        <f>M55+K40</f>
        <v>1785.2975833333333</v>
      </c>
    </row>
    <row r="41" spans="1:17" ht="13.5" thickBot="1" x14ac:dyDescent="0.25">
      <c r="A41" s="6" t="s">
        <v>15</v>
      </c>
      <c r="B41" s="8">
        <v>180</v>
      </c>
      <c r="C41" s="8"/>
      <c r="D41" s="9"/>
      <c r="F41" s="22" t="s">
        <v>26</v>
      </c>
      <c r="G41" s="23">
        <v>40</v>
      </c>
      <c r="H41" s="25">
        <f>G41*3.1</f>
        <v>124</v>
      </c>
      <c r="I41" s="29"/>
      <c r="J41" s="6" t="s">
        <v>15</v>
      </c>
      <c r="K41" s="8">
        <v>180</v>
      </c>
      <c r="L41" s="8"/>
      <c r="M41" s="9"/>
      <c r="O41" s="22" t="s">
        <v>26</v>
      </c>
      <c r="P41" s="23">
        <v>40</v>
      </c>
      <c r="Q41" s="25">
        <f>P41*3.1</f>
        <v>124</v>
      </c>
    </row>
    <row r="42" spans="1:17" ht="13.5" thickBot="1" x14ac:dyDescent="0.25">
      <c r="A42" s="6" t="s">
        <v>1</v>
      </c>
      <c r="B42" s="8"/>
      <c r="C42" s="8"/>
      <c r="D42" s="9"/>
      <c r="F42" s="22" t="s">
        <v>27</v>
      </c>
      <c r="G42" s="23" t="s">
        <v>25</v>
      </c>
      <c r="H42" s="25">
        <f>(B40*0.06)*-1</f>
        <v>-66.861599999999996</v>
      </c>
      <c r="I42" s="29"/>
      <c r="J42" s="6" t="s">
        <v>1</v>
      </c>
      <c r="K42" s="8"/>
      <c r="L42" s="8"/>
      <c r="M42" s="9"/>
      <c r="O42" s="22" t="s">
        <v>27</v>
      </c>
      <c r="P42" s="23" t="s">
        <v>25</v>
      </c>
      <c r="Q42" s="25">
        <f>(K40*0.06)*-1</f>
        <v>-66.861599999999996</v>
      </c>
    </row>
    <row r="43" spans="1:17" ht="13.5" thickBot="1" x14ac:dyDescent="0.25">
      <c r="A43" s="6"/>
      <c r="B43" s="8"/>
      <c r="C43" s="8"/>
      <c r="D43" s="9"/>
      <c r="F43" s="22" t="s">
        <v>28</v>
      </c>
      <c r="G43" s="23" t="s">
        <v>25</v>
      </c>
      <c r="H43" s="25">
        <v>380</v>
      </c>
      <c r="I43" s="29"/>
      <c r="J43" s="6"/>
      <c r="K43" s="8"/>
      <c r="L43" s="8"/>
      <c r="M43" s="9"/>
      <c r="O43" s="22" t="s">
        <v>28</v>
      </c>
      <c r="P43" s="23" t="s">
        <v>25</v>
      </c>
      <c r="Q43" s="25">
        <v>380</v>
      </c>
    </row>
    <row r="44" spans="1:17" ht="13.5" thickBot="1" x14ac:dyDescent="0.25">
      <c r="A44" s="10" t="s">
        <v>17</v>
      </c>
      <c r="B44" s="11" t="s">
        <v>12</v>
      </c>
      <c r="C44" s="11" t="s">
        <v>13</v>
      </c>
      <c r="D44" s="12" t="s">
        <v>14</v>
      </c>
      <c r="F44" s="22" t="s">
        <v>29</v>
      </c>
      <c r="G44" s="23" t="s">
        <v>25</v>
      </c>
      <c r="H44" s="25">
        <v>0</v>
      </c>
      <c r="I44" s="29"/>
      <c r="J44" s="10" t="s">
        <v>17</v>
      </c>
      <c r="K44" s="11" t="s">
        <v>12</v>
      </c>
      <c r="L44" s="11" t="s">
        <v>13</v>
      </c>
      <c r="M44" s="12" t="s">
        <v>14</v>
      </c>
      <c r="O44" s="22" t="s">
        <v>29</v>
      </c>
      <c r="P44" s="23" t="s">
        <v>25</v>
      </c>
      <c r="Q44" s="25">
        <v>0</v>
      </c>
    </row>
    <row r="45" spans="1:17" ht="13.5" thickBot="1" x14ac:dyDescent="0.25">
      <c r="A45" s="6" t="s">
        <v>3</v>
      </c>
      <c r="B45" s="7">
        <f>B40/B41*1.5</f>
        <v>9.2863333333333316</v>
      </c>
      <c r="C45" s="8"/>
      <c r="D45" s="13">
        <f>C45*B45</f>
        <v>0</v>
      </c>
      <c r="F45" s="22" t="s">
        <v>30</v>
      </c>
      <c r="G45" s="23" t="s">
        <v>25</v>
      </c>
      <c r="H45" s="25">
        <v>0</v>
      </c>
      <c r="I45" s="29"/>
      <c r="J45" s="6" t="s">
        <v>3</v>
      </c>
      <c r="K45" s="7">
        <f>K40/K41*1.5</f>
        <v>9.2863333333333316</v>
      </c>
      <c r="L45" s="8"/>
      <c r="M45" s="13">
        <f>L45*K45</f>
        <v>0</v>
      </c>
      <c r="O45" s="22" t="s">
        <v>30</v>
      </c>
      <c r="P45" s="23" t="s">
        <v>25</v>
      </c>
      <c r="Q45" s="25">
        <v>0</v>
      </c>
    </row>
    <row r="46" spans="1:17" ht="13.5" thickBot="1" x14ac:dyDescent="0.25">
      <c r="A46" s="6" t="s">
        <v>4</v>
      </c>
      <c r="B46" s="7">
        <f>B40/B41*2</f>
        <v>12.381777777777776</v>
      </c>
      <c r="C46" s="8"/>
      <c r="D46" s="13">
        <f t="shared" ref="D46:D52" si="6">C46*B46</f>
        <v>0</v>
      </c>
      <c r="F46" s="22" t="s">
        <v>31</v>
      </c>
      <c r="G46" s="26" t="s">
        <v>40</v>
      </c>
      <c r="H46" s="25">
        <f>H40/12</f>
        <v>92.86333333333333</v>
      </c>
      <c r="I46" s="29"/>
      <c r="J46" s="6" t="s">
        <v>4</v>
      </c>
      <c r="K46" s="7">
        <f>K40/K41*2</f>
        <v>12.381777777777776</v>
      </c>
      <c r="L46" s="8"/>
      <c r="M46" s="13">
        <f t="shared" ref="M46:M52" si="7">L46*K46</f>
        <v>0</v>
      </c>
      <c r="O46" s="22" t="s">
        <v>31</v>
      </c>
      <c r="P46" s="26" t="s">
        <v>40</v>
      </c>
      <c r="Q46" s="25">
        <f>Q40/12</f>
        <v>148.77479861111109</v>
      </c>
    </row>
    <row r="47" spans="1:17" ht="13.5" thickBot="1" x14ac:dyDescent="0.25">
      <c r="A47" s="6" t="s">
        <v>5</v>
      </c>
      <c r="B47" s="7">
        <f>(B40/B41*1.5)+(B40/B41*1.5)*0.25</f>
        <v>11.607916666666664</v>
      </c>
      <c r="C47" s="8"/>
      <c r="D47" s="13">
        <f t="shared" si="6"/>
        <v>0</v>
      </c>
      <c r="F47" s="22" t="s">
        <v>32</v>
      </c>
      <c r="G47" s="26" t="s">
        <v>40</v>
      </c>
      <c r="H47" s="25">
        <f>H40/12</f>
        <v>92.86333333333333</v>
      </c>
      <c r="I47" s="29"/>
      <c r="J47" s="6" t="s">
        <v>5</v>
      </c>
      <c r="K47" s="7">
        <f>(K40/K41*1.5)+(K40/K41*1.5)*0.25</f>
        <v>11.607916666666664</v>
      </c>
      <c r="L47" s="8"/>
      <c r="M47" s="13">
        <f t="shared" si="7"/>
        <v>0</v>
      </c>
      <c r="O47" s="22" t="s">
        <v>32</v>
      </c>
      <c r="P47" s="26" t="s">
        <v>40</v>
      </c>
      <c r="Q47" s="25">
        <f>Q40/12</f>
        <v>148.77479861111109</v>
      </c>
    </row>
    <row r="48" spans="1:17" ht="13.5" thickBot="1" x14ac:dyDescent="0.25">
      <c r="A48" s="6" t="s">
        <v>6</v>
      </c>
      <c r="B48" s="7">
        <f>(B40/B41*2)+(B40/B41*2)*0.25</f>
        <v>15.47722222222222</v>
      </c>
      <c r="C48" s="8"/>
      <c r="D48" s="13">
        <f t="shared" si="6"/>
        <v>0</v>
      </c>
      <c r="F48" s="22" t="s">
        <v>33</v>
      </c>
      <c r="G48" s="26" t="s">
        <v>40</v>
      </c>
      <c r="H48" s="25">
        <f>H47/3</f>
        <v>30.954444444444444</v>
      </c>
      <c r="I48" s="29"/>
      <c r="J48" s="6" t="s">
        <v>6</v>
      </c>
      <c r="K48" s="7">
        <f>(K40/K41*2)+(K40/K41*2)*0.25</f>
        <v>15.47722222222222</v>
      </c>
      <c r="L48" s="8"/>
      <c r="M48" s="13">
        <f t="shared" si="7"/>
        <v>0</v>
      </c>
      <c r="O48" s="22" t="s">
        <v>33</v>
      </c>
      <c r="P48" s="26" t="s">
        <v>40</v>
      </c>
      <c r="Q48" s="25">
        <f>Q47/3</f>
        <v>49.591599537037034</v>
      </c>
    </row>
    <row r="49" spans="1:17" ht="13.5" thickBot="1" x14ac:dyDescent="0.25">
      <c r="A49" s="6" t="s">
        <v>7</v>
      </c>
      <c r="B49" s="7">
        <f>B40/B41*0.25</f>
        <v>1.547722222222222</v>
      </c>
      <c r="C49" s="8"/>
      <c r="D49" s="13">
        <f t="shared" si="6"/>
        <v>0</v>
      </c>
      <c r="F49" s="22" t="s">
        <v>34</v>
      </c>
      <c r="G49" s="27">
        <v>0.08</v>
      </c>
      <c r="H49" s="25">
        <f>H40*G49</f>
        <v>89.148799999999994</v>
      </c>
      <c r="I49" s="29"/>
      <c r="J49" s="6" t="s">
        <v>7</v>
      </c>
      <c r="K49" s="7">
        <f>K40/K41*0.25</f>
        <v>1.547722222222222</v>
      </c>
      <c r="L49" s="8">
        <v>155</v>
      </c>
      <c r="M49" s="13">
        <f t="shared" si="7"/>
        <v>239.89694444444442</v>
      </c>
      <c r="O49" s="22" t="s">
        <v>34</v>
      </c>
      <c r="P49" s="27">
        <v>0.08</v>
      </c>
      <c r="Q49" s="25">
        <f>Q40*P49</f>
        <v>142.82380666666666</v>
      </c>
    </row>
    <row r="50" spans="1:17" ht="13.5" thickBot="1" x14ac:dyDescent="0.25">
      <c r="A50" s="6" t="s">
        <v>9</v>
      </c>
      <c r="B50" s="7">
        <f>B40/B41*1.5</f>
        <v>9.2863333333333316</v>
      </c>
      <c r="C50" s="8"/>
      <c r="D50" s="13">
        <f t="shared" si="6"/>
        <v>0</v>
      </c>
      <c r="F50" s="22" t="s">
        <v>35</v>
      </c>
      <c r="G50" s="26"/>
      <c r="H50" s="25">
        <f>SUM(H46:H48)*0.08</f>
        <v>17.334488888888888</v>
      </c>
      <c r="I50" s="29"/>
      <c r="J50" s="6" t="s">
        <v>9</v>
      </c>
      <c r="K50" s="7">
        <f>K40/K41*1.5</f>
        <v>9.2863333333333316</v>
      </c>
      <c r="L50" s="8"/>
      <c r="M50" s="13">
        <f t="shared" si="7"/>
        <v>0</v>
      </c>
      <c r="O50" s="22" t="s">
        <v>35</v>
      </c>
      <c r="P50" s="26"/>
      <c r="Q50" s="25">
        <f>SUM(Q46:Q48)*0.08</f>
        <v>27.77129574074074</v>
      </c>
    </row>
    <row r="51" spans="1:17" ht="13.5" thickBot="1" x14ac:dyDescent="0.25">
      <c r="A51" s="6" t="s">
        <v>10</v>
      </c>
      <c r="B51" s="7">
        <f>(B40/B41*1.5)+(B40/B41*1.5)*0.25</f>
        <v>11.607916666666664</v>
      </c>
      <c r="C51" s="8"/>
      <c r="D51" s="13">
        <f t="shared" si="6"/>
        <v>0</v>
      </c>
      <c r="F51" s="28" t="s">
        <v>38</v>
      </c>
      <c r="G51" s="35">
        <f>SUM(H39:H50)</f>
        <v>1874.6627999999996</v>
      </c>
      <c r="H51" s="36"/>
      <c r="I51" s="29"/>
      <c r="J51" s="6" t="s">
        <v>10</v>
      </c>
      <c r="K51" s="7">
        <f>(K40/K41*1.5)+(K40/K41*1.5)*0.25</f>
        <v>11.607916666666664</v>
      </c>
      <c r="L51" s="8">
        <v>15</v>
      </c>
      <c r="M51" s="13">
        <f t="shared" si="7"/>
        <v>174.11874999999998</v>
      </c>
      <c r="O51" s="28" t="s">
        <v>38</v>
      </c>
      <c r="P51" s="35">
        <f>SUM(Q39:Q50)</f>
        <v>2740.1722825000002</v>
      </c>
      <c r="Q51" s="36"/>
    </row>
    <row r="52" spans="1:17" ht="13.5" thickBot="1" x14ac:dyDescent="0.25">
      <c r="A52" s="6" t="s">
        <v>21</v>
      </c>
      <c r="B52" s="20">
        <f>(B40/B41*1.5)+(B40/B41*1.5)*0.25</f>
        <v>11.607916666666664</v>
      </c>
      <c r="C52" s="8"/>
      <c r="D52" s="13">
        <f t="shared" si="6"/>
        <v>0</v>
      </c>
      <c r="F52" s="37" t="s">
        <v>43</v>
      </c>
      <c r="G52" s="38"/>
      <c r="H52" s="39"/>
      <c r="I52" s="29"/>
      <c r="J52" s="6" t="s">
        <v>21</v>
      </c>
      <c r="K52" s="20">
        <f>(K40/K41*1.5)+(K40/K41*1.5)*0.25</f>
        <v>11.607916666666664</v>
      </c>
      <c r="L52" s="8">
        <v>15</v>
      </c>
      <c r="M52" s="13">
        <f t="shared" si="7"/>
        <v>174.11874999999998</v>
      </c>
      <c r="O52" s="37" t="s">
        <v>43</v>
      </c>
      <c r="P52" s="38"/>
      <c r="Q52" s="39"/>
    </row>
    <row r="53" spans="1:17" ht="13.5" thickBot="1" x14ac:dyDescent="0.25">
      <c r="A53" s="6" t="s">
        <v>8</v>
      </c>
      <c r="B53" s="7">
        <f>((B45+B46+B47+B48+B49+B50+B51)/25)*5</f>
        <v>14.239044444444442</v>
      </c>
      <c r="C53" s="8"/>
      <c r="D53" s="13">
        <f>((D45+D46+D47+D48+D49+D50+D51)/25)*5</f>
        <v>0</v>
      </c>
      <c r="F53" s="30" t="s">
        <v>36</v>
      </c>
      <c r="G53" s="31">
        <v>0.08</v>
      </c>
      <c r="H53" s="32">
        <f>H40*G53</f>
        <v>89.148799999999994</v>
      </c>
      <c r="I53" s="29"/>
      <c r="J53" s="6" t="s">
        <v>8</v>
      </c>
      <c r="K53" s="7">
        <f>((K45+K46+K47+K48+K49+K50+K51)/25)*5</f>
        <v>14.239044444444442</v>
      </c>
      <c r="L53" s="8"/>
      <c r="M53" s="13">
        <f>((M45+M46+M47+M48+M49+M50+M51)/25)*5</f>
        <v>82.803138888888896</v>
      </c>
      <c r="O53" s="30" t="s">
        <v>36</v>
      </c>
      <c r="P53" s="31">
        <v>0.08</v>
      </c>
      <c r="Q53" s="32">
        <f>Q40*P53</f>
        <v>142.82380666666666</v>
      </c>
    </row>
    <row r="54" spans="1:17" ht="13.5" thickBot="1" x14ac:dyDescent="0.25">
      <c r="A54" s="6"/>
      <c r="B54" s="14"/>
      <c r="C54" s="8"/>
      <c r="D54" s="13"/>
      <c r="F54" s="30" t="s">
        <v>37</v>
      </c>
      <c r="G54" s="33"/>
      <c r="H54" s="32">
        <f>SUM(H46:H48)*0.2</f>
        <v>43.336222222222226</v>
      </c>
      <c r="I54" s="29"/>
      <c r="J54" s="6"/>
      <c r="K54" s="14"/>
      <c r="L54" s="8"/>
      <c r="M54" s="13"/>
      <c r="O54" s="30" t="s">
        <v>37</v>
      </c>
      <c r="P54" s="33"/>
      <c r="Q54" s="32">
        <f>SUM(Q46:Q48)*0.2</f>
        <v>69.428239351851843</v>
      </c>
    </row>
    <row r="55" spans="1:17" ht="13.5" thickBot="1" x14ac:dyDescent="0.25">
      <c r="A55" s="15" t="s">
        <v>11</v>
      </c>
      <c r="B55" s="16"/>
      <c r="C55" s="17"/>
      <c r="D55" s="18">
        <f>SUM(D45:D54)</f>
        <v>0</v>
      </c>
      <c r="F55" s="34" t="s">
        <v>38</v>
      </c>
      <c r="G55" s="41">
        <f>SUM(H53:H54)</f>
        <v>132.48502222222223</v>
      </c>
      <c r="H55" s="42"/>
      <c r="I55" s="29"/>
      <c r="J55" s="15" t="s">
        <v>11</v>
      </c>
      <c r="K55" s="16"/>
      <c r="L55" s="17"/>
      <c r="M55" s="18">
        <f>SUM(M45:M54)</f>
        <v>670.93758333333335</v>
      </c>
      <c r="O55" s="34" t="s">
        <v>38</v>
      </c>
      <c r="P55" s="41">
        <f>SUM(Q53:Q54)</f>
        <v>212.25204601851851</v>
      </c>
      <c r="Q55" s="42"/>
    </row>
    <row r="56" spans="1:17" ht="13.5" thickBot="1" x14ac:dyDescent="0.25">
      <c r="I56" s="29"/>
    </row>
    <row r="57" spans="1:17" ht="13.5" thickBot="1" x14ac:dyDescent="0.25">
      <c r="A57" s="1" t="s">
        <v>2</v>
      </c>
      <c r="B57" s="2" t="s">
        <v>18</v>
      </c>
      <c r="C57" s="2"/>
      <c r="D57" s="3"/>
      <c r="F57" s="21" t="s">
        <v>22</v>
      </c>
      <c r="G57" s="21" t="s">
        <v>23</v>
      </c>
      <c r="H57" s="21" t="s">
        <v>24</v>
      </c>
      <c r="I57" s="29"/>
      <c r="O57" s="5"/>
      <c r="P57" s="5"/>
      <c r="Q57" s="5"/>
    </row>
    <row r="58" spans="1:17" ht="14.25" thickTop="1" thickBot="1" x14ac:dyDescent="0.25">
      <c r="A58" s="6" t="s">
        <v>0</v>
      </c>
      <c r="B58" s="7">
        <v>937</v>
      </c>
      <c r="C58" s="8"/>
      <c r="D58" s="9"/>
      <c r="F58" s="22" t="s">
        <v>39</v>
      </c>
      <c r="G58" s="23" t="s">
        <v>25</v>
      </c>
      <c r="H58" s="24">
        <f>D73+B58</f>
        <v>937</v>
      </c>
      <c r="I58" s="29"/>
      <c r="O58" s="5"/>
      <c r="P58" s="5"/>
      <c r="Q58" s="5"/>
    </row>
    <row r="59" spans="1:17" ht="13.5" thickBot="1" x14ac:dyDescent="0.25">
      <c r="A59" s="6" t="s">
        <v>15</v>
      </c>
      <c r="B59" s="8">
        <v>220</v>
      </c>
      <c r="C59" s="8"/>
      <c r="D59" s="9"/>
      <c r="F59" s="22" t="s">
        <v>26</v>
      </c>
      <c r="G59" s="23">
        <v>40</v>
      </c>
      <c r="H59" s="25">
        <f>G59*3.1</f>
        <v>124</v>
      </c>
      <c r="I59" s="29"/>
      <c r="O59" s="5"/>
      <c r="P59" s="5"/>
      <c r="Q59" s="5"/>
    </row>
    <row r="60" spans="1:17" ht="13.5" thickBot="1" x14ac:dyDescent="0.25">
      <c r="A60" s="6" t="s">
        <v>1</v>
      </c>
      <c r="B60" s="8"/>
      <c r="C60" s="8"/>
      <c r="D60" s="9"/>
      <c r="F60" s="22" t="s">
        <v>27</v>
      </c>
      <c r="G60" s="23" t="s">
        <v>25</v>
      </c>
      <c r="H60" s="25">
        <f>(B58*0.06)*-1</f>
        <v>-56.22</v>
      </c>
      <c r="I60" s="29"/>
      <c r="O60" s="5"/>
      <c r="P60" s="5"/>
      <c r="Q60" s="5"/>
    </row>
    <row r="61" spans="1:17" ht="13.5" thickBot="1" x14ac:dyDescent="0.25">
      <c r="A61" s="6"/>
      <c r="B61" s="8"/>
      <c r="C61" s="8"/>
      <c r="D61" s="9"/>
      <c r="F61" s="22" t="s">
        <v>28</v>
      </c>
      <c r="G61" s="23" t="s">
        <v>25</v>
      </c>
      <c r="H61" s="25">
        <v>380</v>
      </c>
      <c r="I61" s="29"/>
      <c r="O61" s="5"/>
      <c r="P61" s="5"/>
      <c r="Q61" s="5"/>
    </row>
    <row r="62" spans="1:17" ht="13.5" thickBot="1" x14ac:dyDescent="0.25">
      <c r="A62" s="10" t="s">
        <v>17</v>
      </c>
      <c r="B62" s="11" t="s">
        <v>12</v>
      </c>
      <c r="C62" s="11" t="s">
        <v>13</v>
      </c>
      <c r="D62" s="12" t="s">
        <v>14</v>
      </c>
      <c r="F62" s="22" t="s">
        <v>29</v>
      </c>
      <c r="G62" s="23" t="s">
        <v>25</v>
      </c>
      <c r="H62" s="25">
        <v>0</v>
      </c>
      <c r="I62" s="29"/>
      <c r="O62" s="5"/>
      <c r="P62" s="5"/>
      <c r="Q62" s="5"/>
    </row>
    <row r="63" spans="1:17" ht="13.5" thickBot="1" x14ac:dyDescent="0.25">
      <c r="A63" s="6" t="s">
        <v>3</v>
      </c>
      <c r="B63" s="7">
        <f>B58/B59*1.5</f>
        <v>6.3886363636363637</v>
      </c>
      <c r="C63" s="8"/>
      <c r="D63" s="13">
        <f>C63*B63</f>
        <v>0</v>
      </c>
      <c r="F63" s="22" t="s">
        <v>30</v>
      </c>
      <c r="G63" s="23" t="s">
        <v>25</v>
      </c>
      <c r="H63" s="25">
        <v>0</v>
      </c>
      <c r="I63" s="29"/>
      <c r="O63" s="5"/>
      <c r="P63" s="5"/>
      <c r="Q63" s="5"/>
    </row>
    <row r="64" spans="1:17" ht="13.5" thickBot="1" x14ac:dyDescent="0.25">
      <c r="A64" s="6" t="s">
        <v>4</v>
      </c>
      <c r="B64" s="7">
        <f>B58/B59*2</f>
        <v>8.5181818181818176</v>
      </c>
      <c r="C64" s="8"/>
      <c r="D64" s="13">
        <f t="shared" ref="D64:D70" si="8">C64*B64</f>
        <v>0</v>
      </c>
      <c r="F64" s="22" t="s">
        <v>31</v>
      </c>
      <c r="G64" s="26" t="s">
        <v>40</v>
      </c>
      <c r="H64" s="25">
        <f>H58/12</f>
        <v>78.083333333333329</v>
      </c>
      <c r="I64" s="29"/>
      <c r="O64" s="5"/>
      <c r="P64" s="5"/>
      <c r="Q64" s="5"/>
    </row>
    <row r="65" spans="1:17" ht="13.5" thickBot="1" x14ac:dyDescent="0.25">
      <c r="A65" s="6" t="s">
        <v>5</v>
      </c>
      <c r="B65" s="7">
        <f>(B58/B59*1.5)+(B58/B59*1.5)*0.25</f>
        <v>7.985795454545455</v>
      </c>
      <c r="C65" s="8"/>
      <c r="D65" s="13">
        <f t="shared" si="8"/>
        <v>0</v>
      </c>
      <c r="F65" s="22" t="s">
        <v>32</v>
      </c>
      <c r="G65" s="26" t="s">
        <v>40</v>
      </c>
      <c r="H65" s="25">
        <f>H58/12</f>
        <v>78.083333333333329</v>
      </c>
      <c r="I65" s="29"/>
      <c r="O65" s="5"/>
      <c r="P65" s="5"/>
      <c r="Q65" s="5"/>
    </row>
    <row r="66" spans="1:17" ht="13.5" thickBot="1" x14ac:dyDescent="0.25">
      <c r="A66" s="6" t="s">
        <v>6</v>
      </c>
      <c r="B66" s="7">
        <f>(B58/B59*2)+(B58/B59*2)*0.25</f>
        <v>10.647727272727272</v>
      </c>
      <c r="C66" s="8"/>
      <c r="D66" s="13">
        <f t="shared" si="8"/>
        <v>0</v>
      </c>
      <c r="F66" s="22" t="s">
        <v>33</v>
      </c>
      <c r="G66" s="26" t="s">
        <v>40</v>
      </c>
      <c r="H66" s="25">
        <f>H65/3</f>
        <v>26.027777777777775</v>
      </c>
      <c r="I66" s="29"/>
      <c r="O66" s="5"/>
      <c r="P66" s="5"/>
      <c r="Q66" s="5"/>
    </row>
    <row r="67" spans="1:17" ht="13.5" thickBot="1" x14ac:dyDescent="0.25">
      <c r="A67" s="6" t="s">
        <v>7</v>
      </c>
      <c r="B67" s="7">
        <f>B58/B59*0.25</f>
        <v>1.0647727272727272</v>
      </c>
      <c r="C67" s="8"/>
      <c r="D67" s="13">
        <f t="shared" si="8"/>
        <v>0</v>
      </c>
      <c r="F67" s="22" t="s">
        <v>34</v>
      </c>
      <c r="G67" s="27">
        <v>0.08</v>
      </c>
      <c r="H67" s="25">
        <f>H58*G67</f>
        <v>74.960000000000008</v>
      </c>
      <c r="I67" s="29"/>
      <c r="O67" s="5"/>
      <c r="P67" s="5"/>
      <c r="Q67" s="5"/>
    </row>
    <row r="68" spans="1:17" ht="13.5" thickBot="1" x14ac:dyDescent="0.25">
      <c r="A68" s="6" t="s">
        <v>9</v>
      </c>
      <c r="B68" s="7">
        <f>B58/B59*1.5</f>
        <v>6.3886363636363637</v>
      </c>
      <c r="C68" s="8"/>
      <c r="D68" s="13">
        <f t="shared" si="8"/>
        <v>0</v>
      </c>
      <c r="F68" s="22" t="s">
        <v>35</v>
      </c>
      <c r="G68" s="26"/>
      <c r="H68" s="25">
        <f>SUM(H64:H66)*0.08</f>
        <v>14.575555555555555</v>
      </c>
      <c r="I68" s="29"/>
      <c r="O68" s="5"/>
      <c r="P68" s="5"/>
      <c r="Q68" s="5"/>
    </row>
    <row r="69" spans="1:17" ht="13.5" thickBot="1" x14ac:dyDescent="0.25">
      <c r="A69" s="6" t="s">
        <v>10</v>
      </c>
      <c r="B69" s="7">
        <f>(B58/B59*1.5)+(B58/B59*1.5)*0.25</f>
        <v>7.985795454545455</v>
      </c>
      <c r="C69" s="8"/>
      <c r="D69" s="13">
        <f t="shared" si="8"/>
        <v>0</v>
      </c>
      <c r="F69" s="28" t="s">
        <v>38</v>
      </c>
      <c r="G69" s="35">
        <f>SUM(H57:H68)</f>
        <v>1656.51</v>
      </c>
      <c r="H69" s="36"/>
      <c r="I69" s="29"/>
      <c r="O69" s="5"/>
      <c r="P69" s="5"/>
      <c r="Q69" s="5"/>
    </row>
    <row r="70" spans="1:17" ht="13.5" thickBot="1" x14ac:dyDescent="0.25">
      <c r="A70" s="6" t="s">
        <v>21</v>
      </c>
      <c r="B70" s="20">
        <f>(B58/B59*1.5)+(B58/B59*1.5)*0.25</f>
        <v>7.985795454545455</v>
      </c>
      <c r="C70" s="8"/>
      <c r="D70" s="13">
        <f t="shared" si="8"/>
        <v>0</v>
      </c>
      <c r="F70" s="37" t="s">
        <v>43</v>
      </c>
      <c r="G70" s="38"/>
      <c r="H70" s="39"/>
      <c r="I70" s="29"/>
      <c r="O70" s="5"/>
      <c r="P70" s="5"/>
      <c r="Q70" s="5"/>
    </row>
    <row r="71" spans="1:17" ht="13.5" thickBot="1" x14ac:dyDescent="0.25">
      <c r="A71" s="6" t="s">
        <v>8</v>
      </c>
      <c r="B71" s="7">
        <f>((B63+B64+B65+B66+B67+B68+B69)/25)*5</f>
        <v>9.79590909090909</v>
      </c>
      <c r="C71" s="8"/>
      <c r="D71" s="13">
        <f>((D63+D64+D65+D66+D67+D68+D69)/25)*5</f>
        <v>0</v>
      </c>
      <c r="F71" s="30" t="s">
        <v>36</v>
      </c>
      <c r="G71" s="31">
        <v>0.08</v>
      </c>
      <c r="H71" s="32">
        <f>H58*G71</f>
        <v>74.960000000000008</v>
      </c>
      <c r="I71" s="29"/>
      <c r="O71" s="5"/>
      <c r="P71" s="5"/>
      <c r="Q71" s="5"/>
    </row>
    <row r="72" spans="1:17" ht="13.5" thickBot="1" x14ac:dyDescent="0.25">
      <c r="A72" s="6"/>
      <c r="B72" s="14"/>
      <c r="C72" s="8"/>
      <c r="D72" s="13"/>
      <c r="F72" s="30" t="s">
        <v>37</v>
      </c>
      <c r="G72" s="33"/>
      <c r="H72" s="32">
        <f>SUM(H64:H66)*0.2</f>
        <v>36.43888888888889</v>
      </c>
      <c r="I72" s="29"/>
      <c r="O72" s="5"/>
      <c r="P72" s="5"/>
      <c r="Q72" s="5"/>
    </row>
    <row r="73" spans="1:17" ht="13.5" thickBot="1" x14ac:dyDescent="0.25">
      <c r="A73" s="15" t="s">
        <v>11</v>
      </c>
      <c r="B73" s="16"/>
      <c r="C73" s="17"/>
      <c r="D73" s="18">
        <f>SUM(D63:D72)</f>
        <v>0</v>
      </c>
      <c r="F73" s="34" t="s">
        <v>38</v>
      </c>
      <c r="G73" s="41">
        <f>SUM(H71:H72)</f>
        <v>111.39888888888891</v>
      </c>
      <c r="H73" s="42"/>
      <c r="I73" s="29"/>
      <c r="O73" s="5"/>
      <c r="P73" s="5"/>
      <c r="Q73" s="5"/>
    </row>
  </sheetData>
  <mergeCells count="23">
    <mergeCell ref="G55:H55"/>
    <mergeCell ref="G69:H69"/>
    <mergeCell ref="F70:H70"/>
    <mergeCell ref="G73:H73"/>
    <mergeCell ref="P15:Q15"/>
    <mergeCell ref="O16:Q16"/>
    <mergeCell ref="P19:Q19"/>
    <mergeCell ref="P33:Q33"/>
    <mergeCell ref="O34:Q34"/>
    <mergeCell ref="P37:Q37"/>
    <mergeCell ref="P51:Q51"/>
    <mergeCell ref="O52:Q52"/>
    <mergeCell ref="P55:Q55"/>
    <mergeCell ref="G33:H33"/>
    <mergeCell ref="F34:H34"/>
    <mergeCell ref="G37:H37"/>
    <mergeCell ref="G51:H51"/>
    <mergeCell ref="F52:H52"/>
    <mergeCell ref="A1:H1"/>
    <mergeCell ref="J1:Q1"/>
    <mergeCell ref="G19:H19"/>
    <mergeCell ref="G15:H15"/>
    <mergeCell ref="F16:H16"/>
  </mergeCells>
  <pageMargins left="0.51181102362204722" right="0.31496062992125984" top="0.59055118110236227" bottom="0.39370078740157483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Extras 2017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</dc:creator>
  <cp:lastModifiedBy>Claudia</cp:lastModifiedBy>
  <cp:lastPrinted>2016-09-28T03:59:56Z</cp:lastPrinted>
  <dcterms:created xsi:type="dcterms:W3CDTF">2016-06-24T03:19:46Z</dcterms:created>
  <dcterms:modified xsi:type="dcterms:W3CDTF">2017-03-23T00:11:21Z</dcterms:modified>
</cp:coreProperties>
</file>