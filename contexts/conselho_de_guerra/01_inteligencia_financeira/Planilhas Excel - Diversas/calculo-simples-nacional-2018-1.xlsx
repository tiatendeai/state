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60" windowHeight="7590" tabRatio="909" activeTab="4"/>
  </bookViews>
  <sheets>
    <sheet name="ANEXO I" sheetId="10" r:id="rId1"/>
    <sheet name="ANEXO II" sheetId="11" r:id="rId2"/>
    <sheet name="ANEXO III" sheetId="12" r:id="rId3"/>
    <sheet name="ANEXO IV" sheetId="13" r:id="rId4"/>
    <sheet name="ANEXO V" sheetId="14" r:id="rId5"/>
    <sheet name="SUBLIMITES PARA ICMS E ISS" sheetId="15" r:id="rId6"/>
    <sheet name="Tabelas 2017" sheetId="9" r:id="rId7"/>
    <sheet name="Cálculo 2018" sheetId="8" r:id="rId8"/>
  </sheets>
  <externalReferences>
    <externalReference r:id="rId9"/>
  </externalReferenc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5"/>
  <c r="C47"/>
  <c r="C45"/>
  <c r="C43"/>
  <c r="C41"/>
  <c r="C39"/>
  <c r="C35" l="1"/>
  <c r="C33"/>
  <c r="C12"/>
  <c r="C10"/>
  <c r="I10" i="14"/>
  <c r="C37" i="15" l="1"/>
  <c r="C34"/>
  <c r="C36" s="1"/>
  <c r="C38" s="1"/>
  <c r="C14"/>
  <c r="C11"/>
  <c r="C13" l="1"/>
  <c r="C15" s="1"/>
  <c r="C17" s="1"/>
  <c r="C19" s="1"/>
  <c r="C46"/>
  <c r="D46" s="1"/>
  <c r="C50"/>
  <c r="D50" s="1"/>
  <c r="C48"/>
  <c r="D48" s="1"/>
  <c r="C40"/>
  <c r="D40" s="1"/>
  <c r="C44"/>
  <c r="D44" s="1"/>
  <c r="C42"/>
  <c r="D42" s="1"/>
  <c r="C14" i="14"/>
  <c r="C13"/>
  <c r="C12"/>
  <c r="C11"/>
  <c r="C10"/>
  <c r="C14" i="13"/>
  <c r="C13"/>
  <c r="C12"/>
  <c r="C11"/>
  <c r="C10"/>
  <c r="D52" i="15" l="1"/>
  <c r="I12" i="14"/>
  <c r="H11"/>
  <c r="I11" i="13"/>
  <c r="I10"/>
  <c r="I12" l="1"/>
  <c r="I13" s="1"/>
  <c r="G12" i="14"/>
  <c r="B22" i="13"/>
  <c r="B19"/>
  <c r="B23"/>
  <c r="B18"/>
  <c r="B21"/>
  <c r="B20"/>
  <c r="C14" i="12"/>
  <c r="C13"/>
  <c r="C12"/>
  <c r="C11"/>
  <c r="C10"/>
  <c r="C10" i="11"/>
  <c r="C11"/>
  <c r="C12"/>
  <c r="C13"/>
  <c r="C14"/>
  <c r="G22" i="13" l="1"/>
  <c r="L11" i="14"/>
  <c r="L10"/>
  <c r="L10" i="12"/>
  <c r="F22" i="13"/>
  <c r="E22"/>
  <c r="D22"/>
  <c r="C22"/>
  <c r="G23"/>
  <c r="C23"/>
  <c r="F23"/>
  <c r="E23"/>
  <c r="D23"/>
  <c r="G18"/>
  <c r="C18"/>
  <c r="F18"/>
  <c r="D18"/>
  <c r="E18"/>
  <c r="E20"/>
  <c r="D20"/>
  <c r="F20"/>
  <c r="G20"/>
  <c r="C20"/>
  <c r="F19"/>
  <c r="C19"/>
  <c r="E19"/>
  <c r="D19"/>
  <c r="G19"/>
  <c r="D21"/>
  <c r="E21"/>
  <c r="G21"/>
  <c r="C21"/>
  <c r="F21"/>
  <c r="I12" i="12"/>
  <c r="H11"/>
  <c r="L11"/>
  <c r="I11" i="11"/>
  <c r="I10"/>
  <c r="L12" i="12" l="1"/>
  <c r="L13" s="1"/>
  <c r="B23" i="14"/>
  <c r="B20"/>
  <c r="B19"/>
  <c r="B21"/>
  <c r="B22"/>
  <c r="B18"/>
  <c r="L12"/>
  <c r="L13" s="1"/>
  <c r="H19" i="13"/>
  <c r="H20"/>
  <c r="H23"/>
  <c r="H21"/>
  <c r="G12" i="12"/>
  <c r="B20"/>
  <c r="B22"/>
  <c r="B19"/>
  <c r="B21"/>
  <c r="B23"/>
  <c r="B18"/>
  <c r="E18" s="1"/>
  <c r="B22" i="11"/>
  <c r="I12"/>
  <c r="B21"/>
  <c r="B19"/>
  <c r="B20"/>
  <c r="B23"/>
  <c r="B18"/>
  <c r="C10" i="10"/>
  <c r="C11"/>
  <c r="C12"/>
  <c r="C13"/>
  <c r="C14"/>
  <c r="H22" i="12" l="1"/>
  <c r="F19" i="14"/>
  <c r="E19"/>
  <c r="G19"/>
  <c r="C19"/>
  <c r="H19"/>
  <c r="D19"/>
  <c r="F18"/>
  <c r="D18"/>
  <c r="G18"/>
  <c r="H18"/>
  <c r="E18"/>
  <c r="C18"/>
  <c r="F20"/>
  <c r="E20"/>
  <c r="C20"/>
  <c r="G20"/>
  <c r="D20"/>
  <c r="H20"/>
  <c r="D22"/>
  <c r="E22"/>
  <c r="G22"/>
  <c r="C22"/>
  <c r="H22"/>
  <c r="F22"/>
  <c r="C23"/>
  <c r="H23"/>
  <c r="D23"/>
  <c r="F23"/>
  <c r="E23"/>
  <c r="G23"/>
  <c r="G21"/>
  <c r="E21"/>
  <c r="H21"/>
  <c r="C21"/>
  <c r="F21"/>
  <c r="D21"/>
  <c r="H18" i="12"/>
  <c r="D18"/>
  <c r="G18"/>
  <c r="C18"/>
  <c r="F18"/>
  <c r="E22"/>
  <c r="D22"/>
  <c r="G22"/>
  <c r="C22"/>
  <c r="F22"/>
  <c r="E21"/>
  <c r="H21"/>
  <c r="D21"/>
  <c r="G21"/>
  <c r="C21"/>
  <c r="F21"/>
  <c r="C19"/>
  <c r="G19"/>
  <c r="F19"/>
  <c r="E19"/>
  <c r="H19"/>
  <c r="D19"/>
  <c r="G23"/>
  <c r="F23"/>
  <c r="C23"/>
  <c r="E23"/>
  <c r="H23"/>
  <c r="D23"/>
  <c r="F20"/>
  <c r="E20"/>
  <c r="H20"/>
  <c r="D20"/>
  <c r="G20"/>
  <c r="C20"/>
  <c r="I23" i="11"/>
  <c r="H23"/>
  <c r="I20"/>
  <c r="H20"/>
  <c r="I19"/>
  <c r="H19"/>
  <c r="I18"/>
  <c r="H18"/>
  <c r="H21"/>
  <c r="I21"/>
  <c r="H22"/>
  <c r="I22"/>
  <c r="E19"/>
  <c r="G19"/>
  <c r="D19"/>
  <c r="C19"/>
  <c r="F19"/>
  <c r="F18"/>
  <c r="G18"/>
  <c r="E18"/>
  <c r="C18"/>
  <c r="E21"/>
  <c r="C21"/>
  <c r="F21"/>
  <c r="G21"/>
  <c r="D21"/>
  <c r="D18"/>
  <c r="I13"/>
  <c r="E23"/>
  <c r="G23"/>
  <c r="F23"/>
  <c r="C23"/>
  <c r="D23"/>
  <c r="F20"/>
  <c r="D20"/>
  <c r="E20"/>
  <c r="C20"/>
  <c r="G20"/>
  <c r="F22"/>
  <c r="G22"/>
  <c r="E22"/>
  <c r="C22"/>
  <c r="D22"/>
  <c r="I10" i="10"/>
  <c r="I11"/>
  <c r="S3" i="8"/>
  <c r="S5" s="1"/>
  <c r="S7" s="1"/>
  <c r="S9" s="1"/>
  <c r="I20" i="14" l="1"/>
  <c r="I18"/>
  <c r="I19"/>
  <c r="I21"/>
  <c r="I22"/>
  <c r="I23"/>
  <c r="J23" i="11"/>
  <c r="J19"/>
  <c r="I19" i="12"/>
  <c r="I21"/>
  <c r="I18"/>
  <c r="I20"/>
  <c r="I23"/>
  <c r="I22"/>
  <c r="J21" i="11"/>
  <c r="J22"/>
  <c r="J20"/>
  <c r="J18"/>
  <c r="B19" i="10"/>
  <c r="B23"/>
  <c r="B20"/>
  <c r="B22"/>
  <c r="B21"/>
  <c r="I12"/>
  <c r="I13" s="1"/>
  <c r="B18"/>
  <c r="C25" i="9"/>
  <c r="B26" s="1"/>
  <c r="B25"/>
  <c r="A25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K21"/>
  <c r="I21"/>
  <c r="G21"/>
  <c r="E21"/>
  <c r="K20"/>
  <c r="I20"/>
  <c r="G20"/>
  <c r="E20"/>
  <c r="K19"/>
  <c r="I19"/>
  <c r="G19"/>
  <c r="E19"/>
  <c r="K18"/>
  <c r="I18"/>
  <c r="G18"/>
  <c r="E18"/>
  <c r="K17"/>
  <c r="I17"/>
  <c r="G17"/>
  <c r="E17"/>
  <c r="K16"/>
  <c r="I16"/>
  <c r="G16"/>
  <c r="E16"/>
  <c r="K15"/>
  <c r="I15"/>
  <c r="G15"/>
  <c r="E15"/>
  <c r="K14"/>
  <c r="I14"/>
  <c r="G14"/>
  <c r="E14"/>
  <c r="K13"/>
  <c r="I13"/>
  <c r="G13"/>
  <c r="E13"/>
  <c r="K12"/>
  <c r="I12"/>
  <c r="G12"/>
  <c r="E12"/>
  <c r="K11"/>
  <c r="I11"/>
  <c r="G11"/>
  <c r="E11"/>
  <c r="K10"/>
  <c r="I10"/>
  <c r="G10"/>
  <c r="E10"/>
  <c r="K9"/>
  <c r="I9"/>
  <c r="G9"/>
  <c r="E9"/>
  <c r="K8"/>
  <c r="I8"/>
  <c r="G8"/>
  <c r="E8"/>
  <c r="K7"/>
  <c r="I7"/>
  <c r="G7"/>
  <c r="E7"/>
  <c r="K6"/>
  <c r="I6"/>
  <c r="G6"/>
  <c r="E6"/>
  <c r="K5"/>
  <c r="I5"/>
  <c r="G5"/>
  <c r="E5"/>
  <c r="K4"/>
  <c r="I4"/>
  <c r="G4"/>
  <c r="E4"/>
  <c r="K3"/>
  <c r="I3"/>
  <c r="G3"/>
  <c r="E3"/>
  <c r="C3"/>
  <c r="C4" s="1"/>
  <c r="B3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K2"/>
  <c r="I2"/>
  <c r="G2"/>
  <c r="E2"/>
  <c r="C26" l="1"/>
  <c r="C27" s="1"/>
  <c r="C28" s="1"/>
  <c r="H18" i="10"/>
  <c r="D18"/>
  <c r="G18"/>
  <c r="C18"/>
  <c r="F18"/>
  <c r="E18"/>
  <c r="D22"/>
  <c r="E22"/>
  <c r="C22"/>
  <c r="F22"/>
  <c r="H22"/>
  <c r="G22"/>
  <c r="G20"/>
  <c r="F20"/>
  <c r="D20"/>
  <c r="C20"/>
  <c r="E20"/>
  <c r="H20"/>
  <c r="D23"/>
  <c r="H23"/>
  <c r="G23"/>
  <c r="E23"/>
  <c r="F23"/>
  <c r="C23"/>
  <c r="D21"/>
  <c r="F21"/>
  <c r="E21"/>
  <c r="G21"/>
  <c r="H21"/>
  <c r="C21"/>
  <c r="D19"/>
  <c r="H19"/>
  <c r="G19"/>
  <c r="F19"/>
  <c r="E19"/>
  <c r="C19"/>
  <c r="C5" i="9"/>
  <c r="B5"/>
  <c r="B28"/>
  <c r="B4"/>
  <c r="B27" l="1"/>
  <c r="I22" i="10"/>
  <c r="I19"/>
  <c r="I23"/>
  <c r="I21"/>
  <c r="I18"/>
  <c r="I20"/>
  <c r="B29" i="9"/>
  <c r="C29"/>
  <c r="B6"/>
  <c r="C6"/>
  <c r="B7" l="1"/>
  <c r="C7"/>
  <c r="B30"/>
  <c r="C30"/>
  <c r="C31" l="1"/>
  <c r="B31"/>
  <c r="C8"/>
  <c r="B8"/>
  <c r="C9" l="1"/>
  <c r="B9"/>
  <c r="C32"/>
  <c r="B32"/>
  <c r="C33" l="1"/>
  <c r="B33"/>
  <c r="C10"/>
  <c r="B10"/>
  <c r="B11" l="1"/>
  <c r="C11"/>
  <c r="B34"/>
  <c r="C34"/>
  <c r="K12" i="13" l="1"/>
  <c r="L12" s="1"/>
  <c r="M12" s="1"/>
  <c r="K12" i="11"/>
  <c r="L12" s="1"/>
  <c r="M12" s="1"/>
  <c r="C35" i="9"/>
  <c r="B35"/>
  <c r="C12"/>
  <c r="B12"/>
  <c r="C13" l="1"/>
  <c r="B13"/>
  <c r="C36"/>
  <c r="B36"/>
  <c r="H22" i="13" l="1"/>
  <c r="H18"/>
  <c r="B37" i="9"/>
  <c r="C37"/>
  <c r="B14"/>
  <c r="C14"/>
  <c r="B15" l="1"/>
  <c r="C15"/>
  <c r="B38"/>
  <c r="C38"/>
  <c r="C39" l="1"/>
  <c r="B39"/>
  <c r="C16"/>
  <c r="B16"/>
  <c r="C17" l="1"/>
  <c r="B17"/>
  <c r="C40"/>
  <c r="B40"/>
  <c r="B41" l="1"/>
  <c r="C41"/>
  <c r="C18"/>
  <c r="B18"/>
  <c r="B19" l="1"/>
  <c r="K12" i="10" s="1"/>
  <c r="L12" s="1"/>
  <c r="M12" s="1"/>
  <c r="C19" i="9"/>
  <c r="B42"/>
  <c r="C42"/>
  <c r="C43" l="1"/>
  <c r="B43"/>
  <c r="C20"/>
  <c r="B20"/>
  <c r="C21" l="1"/>
  <c r="B21"/>
</calcChain>
</file>

<file path=xl/comments1.xml><?xml version="1.0" encoding="utf-8"?>
<comments xmlns="http://schemas.openxmlformats.org/spreadsheetml/2006/main">
  <authors>
    <author>User</author>
  </authors>
  <commentList>
    <comment ref="H8" author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H8" author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K8" author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>
      <text>
        <r>
          <rPr>
            <b/>
            <sz val="9"/>
            <color indexed="81"/>
            <rFont val="Segoe UI"/>
            <family val="2"/>
          </rPr>
          <t>Folha de Salários Acumulada da empresa nos 12 meses anteriores ao PA.</t>
        </r>
      </text>
    </comment>
    <comment ref="K9" author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0" authorId="0">
      <text>
        <r>
          <rPr>
            <b/>
            <sz val="9"/>
            <color indexed="81"/>
            <rFont val="Segoe UI"/>
            <family val="2"/>
          </rPr>
          <t>Relação entre a FS12 e a RBT12</t>
        </r>
      </text>
    </comment>
    <comment ref="H11" authorId="0">
      <text>
        <r>
          <rPr>
            <b/>
            <sz val="9"/>
            <color indexed="81"/>
            <rFont val="Segoe UI"/>
            <family val="2"/>
          </rPr>
          <t>5º-J. As atividades de prestação de serviços a que se refere o § 5º-I serão tributadas na forma do Anexo III desta Lei Complementar caso a razão entre a folha de salários e a receita bruta da pessoa jurídica seja igual ou superior a 28% (vinte e oito por cento).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H8" author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K8" author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>
      <text>
        <r>
          <rPr>
            <b/>
            <sz val="9"/>
            <color indexed="81"/>
            <rFont val="Segoe UI"/>
            <family val="2"/>
          </rPr>
          <t>Folha de Salários Acumulada da empresa nos 12 meses anteriores ao PA.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9" author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0" authorId="0">
      <text>
        <r>
          <rPr>
            <b/>
            <sz val="9"/>
            <color indexed="81"/>
            <rFont val="Segoe UI"/>
            <family val="2"/>
          </rPr>
          <t>Relação entre a FS12 e a RBT12</t>
        </r>
      </text>
    </comment>
    <comment ref="H11" authorId="0">
      <text>
        <r>
          <rPr>
            <b/>
            <sz val="9"/>
            <color indexed="81"/>
            <rFont val="Segoe UI"/>
            <family val="2"/>
          </rPr>
          <t>§ 5º-M. Quando a relação entre a folha de salários e a receita bruta da microempresa ou da empresa de pequeno porte for inferior a 28% (vinte e oito por cento), serão tributadas na forma do Anexo V desta Lei Complementar as atividades previstas: I - nos incisos XVI, XVIII, XIX, XX e XXI do § 5º-B deste artigo; II - no § 5º-D deste artigo.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<sst xmlns="http://schemas.openxmlformats.org/spreadsheetml/2006/main" count="252" uniqueCount="106">
  <si>
    <t>Alíquota</t>
  </si>
  <si>
    <t>ANEXO III - SERV
não relacionados § 5º C art 18 LC 123.</t>
  </si>
  <si>
    <t>ANEXO V - SERV 
relacionados § 5º I art 18 LC 123.</t>
  </si>
  <si>
    <t>Faixa</t>
  </si>
  <si>
    <t>ANEXO IV - SERV 
relacionados § 5º C art 18 LC 123.</t>
  </si>
  <si>
    <t>Receita Bruta em 12 Meses</t>
  </si>
  <si>
    <t>Dedução</t>
  </si>
  <si>
    <t>Simples</t>
  </si>
  <si>
    <t>Alíq efetiva</t>
  </si>
  <si>
    <t>Alíq nominal</t>
  </si>
  <si>
    <t>FS 12</t>
  </si>
  <si>
    <t>% RBT12</t>
  </si>
  <si>
    <t>Anexo</t>
  </si>
  <si>
    <t>Receita bruta 12 meses anteriores</t>
  </si>
  <si>
    <t>Anexo I
Comércio</t>
  </si>
  <si>
    <t>Anexo II Indústria</t>
  </si>
  <si>
    <t>Anexo III
Serviços</t>
  </si>
  <si>
    <t>Anexo IV
Serviços</t>
  </si>
  <si>
    <t>Anexo VI
Serviços</t>
  </si>
  <si>
    <t>Anexo V Serviços  (r)&lt;0,10</t>
  </si>
  <si>
    <t xml:space="preserve"> Anexo V 0,10=&lt; (r)       e (r)&lt;0,15</t>
  </si>
  <si>
    <t>Anexo V  0,15=&lt; (r)       e (r)&lt;0,20</t>
  </si>
  <si>
    <t>Anexo V  0,20=&lt; (r)       e (r)&lt;0,25</t>
  </si>
  <si>
    <t xml:space="preserve">  Anexo V 0,25=&lt;(r)       e (r)&lt;0,30</t>
  </si>
  <si>
    <t>Anexo V  0,30=&lt; (r)       e (r)&lt;0,35</t>
  </si>
  <si>
    <t>Anexo V  0,35=&lt; (r)       e (r)&lt;0,40</t>
  </si>
  <si>
    <t>Anexo V Serviços  (r)&gt;=0,40</t>
  </si>
  <si>
    <t>Até</t>
  </si>
  <si>
    <t xml:space="preserve">     r = Folha de salários + encargos nos 12 meses anteriores / Receita bruta total acumulada nos 12 meses anteriores </t>
  </si>
  <si>
    <t xml:space="preserve">     Somar-se-á a alíquota do Simples Nacional relativa ao IRPJ, PIS/Pasep, CSLL, Cofins e CPP apurada na forma acima a parcela correspondente ao ISS prevista no Anexo IV.</t>
  </si>
  <si>
    <r>
      <t xml:space="preserve">Sublimites até </t>
    </r>
    <r>
      <rPr>
        <u/>
        <sz val="9"/>
        <color indexed="8"/>
        <rFont val="Arial"/>
        <family val="2"/>
      </rPr>
      <t>faixa 10</t>
    </r>
    <r>
      <rPr>
        <sz val="9"/>
        <color indexed="8"/>
        <rFont val="Arial"/>
        <family val="2"/>
      </rPr>
      <t xml:space="preserve"> (AC, AP, RO e RR)  até faixa 14 (MA, PA e TO), Resolução CGSN 130/2016, 06/12/2016.</t>
    </r>
  </si>
  <si>
    <t>Aliquota</t>
  </si>
  <si>
    <t>Variação</t>
  </si>
  <si>
    <t>ANEXO I - COMERCIO</t>
  </si>
  <si>
    <t>RBT12</t>
  </si>
  <si>
    <t>RBM</t>
  </si>
  <si>
    <t>Cálculo até 2017</t>
  </si>
  <si>
    <t>CALCULO DO SIMPLES NACIONAL PARA 2018 - ANEXO I - COMÉRCIO</t>
  </si>
  <si>
    <t>CALCULO DO SIMPLES NACIONAL PARA 2018 - ANEXO II - INDUSTRIA</t>
  </si>
  <si>
    <t>ANEXO II - INDUSTRIA</t>
  </si>
  <si>
    <t>CALCULO DO SIMPLES NACIONAL PARA 2018 - ANEXO III - SERVIÇOS</t>
  </si>
  <si>
    <t>FS AC 12</t>
  </si>
  <si>
    <t>CALCULO DO SIMPLES NACIONAL PARA 2018 - ANEXO IV - SERVIÇOS COM CESSÃO DE MÃO DE OBRA</t>
  </si>
  <si>
    <t>CALCULO DO SIMPLES NACIONAL PARA 2018 - ANEXO V - SERVIÇOS PROFISSIONAIS</t>
  </si>
  <si>
    <t>FORMULA CONFORME ITEM 2 LETRA b INCISO I ARTIGO 24 DA RESOLUÇÃO CGSN 94/11</t>
  </si>
  <si>
    <t>Parcela a deduzir da 5º Faixa</t>
  </si>
  <si>
    <t>Sublimite</t>
  </si>
  <si>
    <t xml:space="preserve">Multiplicação </t>
  </si>
  <si>
    <t>Subtração</t>
  </si>
  <si>
    <t>Divisão</t>
  </si>
  <si>
    <t>Aliquota efetiva</t>
  </si>
  <si>
    <t>Receita Bruta total mensal que ultrapassou o limite</t>
  </si>
  <si>
    <t>ICMS a recolher do excesso</t>
  </si>
  <si>
    <t>Parcela a deduzir da 6º Faixa</t>
  </si>
  <si>
    <t>Percentual de distribuição da 6º Faixa - IRPJ</t>
  </si>
  <si>
    <t>IRPJ</t>
  </si>
  <si>
    <t>Percentual de distribuição da 6º Faixa - CSLL</t>
  </si>
  <si>
    <t>CSLL</t>
  </si>
  <si>
    <t>Percentual de distribuição da 6º Faixa - COFINS</t>
  </si>
  <si>
    <t>COFINS</t>
  </si>
  <si>
    <t>Percentual de distribuição da 6º Faixa - PIS</t>
  </si>
  <si>
    <t>PIS</t>
  </si>
  <si>
    <t>Percentual de distribuição da 6º Faixa - CPP</t>
  </si>
  <si>
    <t>CPP</t>
  </si>
  <si>
    <t>TOTAL</t>
  </si>
  <si>
    <t>Quando ultrapassa os R$ 3.600.000,00 no ano, mas não ultrapassa os R$ 4.800.000,00</t>
  </si>
  <si>
    <t>Alíquota nominal 5º Faixa</t>
  </si>
  <si>
    <t>e o segundo método é o demonstrado acima, somente referente ao ICMS ou ISS</t>
  </si>
  <si>
    <t>Percentual de distribuição da 5º Faixa ICMS ou ISS</t>
  </si>
  <si>
    <t>FORMULA CONFORME LETRA "A" INCISO II ARTIGO 24 DA RESOLUÇÃO CGSN 94/11</t>
  </si>
  <si>
    <r>
      <t xml:space="preserve">OBS 1: </t>
    </r>
    <r>
      <rPr>
        <sz val="10"/>
        <color theme="1"/>
        <rFont val="Arial"/>
        <family val="2"/>
      </rPr>
      <t>Será feito 2 calculos o primeiro quanto ao método convencional tributando o valor total da receita na 6º faixa com os 19%</t>
    </r>
  </si>
  <si>
    <r>
      <rPr>
        <b/>
        <sz val="10"/>
        <color theme="1"/>
        <rFont val="Arial"/>
        <family val="2"/>
      </rPr>
      <t>OBS 2:</t>
    </r>
    <r>
      <rPr>
        <sz val="10"/>
        <color theme="1"/>
        <rFont val="Arial"/>
        <family val="2"/>
      </rPr>
      <t xml:space="preserve"> Quando o percentual efetivo do ISS for superior a 5%, o resultado limitar-se-á a 5%, transferindo-se a diferença</t>
    </r>
  </si>
  <si>
    <t xml:space="preserve">para os tributos federais, de forma proporcional aos percentuais de cada tributo. </t>
  </si>
  <si>
    <t>Quando ultrapassar os R$ 4.800.000,00 Tributos Federais</t>
  </si>
  <si>
    <t>Alíquota nominal 6º Faixa</t>
  </si>
  <si>
    <t>Percentual de distribuição da 6º Faixa - IPI</t>
  </si>
  <si>
    <t>Cofins</t>
  </si>
  <si>
    <t>PIS/Pasep</t>
  </si>
  <si>
    <t>ICMS</t>
  </si>
  <si>
    <t>Total</t>
  </si>
  <si>
    <r>
      <t xml:space="preserve">Percentual de Repartição dos Tributos </t>
    </r>
    <r>
      <rPr>
        <b/>
        <sz val="9"/>
        <color theme="1"/>
        <rFont val="Arial"/>
        <family val="2"/>
      </rPr>
      <t>(Anexo I)</t>
    </r>
  </si>
  <si>
    <t>Percentual de Repartição dos Tributos (Anexo I)</t>
  </si>
  <si>
    <r>
      <t>Percentual de Repartição dos Tributos</t>
    </r>
    <r>
      <rPr>
        <b/>
        <sz val="9"/>
        <color theme="1"/>
        <rFont val="Arial"/>
        <family val="2"/>
      </rPr>
      <t xml:space="preserve"> (Anexo II)</t>
    </r>
  </si>
  <si>
    <t>IPI</t>
  </si>
  <si>
    <t>Percentual de Repartição dos Tributos (Anexo II)</t>
  </si>
  <si>
    <t>ISS</t>
  </si>
  <si>
    <t>(*)</t>
  </si>
  <si>
    <r>
      <t>(*) O percentual efetivo máximo devido ao ISS será de 5%, transferindo-se a diferença, de forma proporcional, aos tributos federais da mesma faixa de receita bruta anual. Sendo assim, na 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 faixa, quando a alíquota efetiva for superior a 14,92537%, a repartição será:</t>
    </r>
  </si>
  <si>
    <r>
      <t>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 Faixa, com alíquota efetiva superior a </t>
    </r>
    <r>
      <rPr>
        <b/>
        <u/>
        <sz val="8"/>
        <rFont val="Arial"/>
        <family val="2"/>
      </rPr>
      <t>14,92537%</t>
    </r>
  </si>
  <si>
    <t>(Alíquota efetiva – 5%) x 6,02%</t>
  </si>
  <si>
    <t>(Alíquota efetiva – 5%) x 5,26%</t>
  </si>
  <si>
    <t>(Alíquota efetiva – 5%) x 19,28%</t>
  </si>
  <si>
    <t>Alíquota efetiva –
 5%) x 4,18%</t>
  </si>
  <si>
    <t>Alíquota efetiva –
 5%) x 65,26%</t>
  </si>
  <si>
    <t xml:space="preserve"> fixo em 5%</t>
  </si>
  <si>
    <t>Percentual de Repartição dos Tributos (Anexo III)</t>
  </si>
  <si>
    <t>Percentual de Repartição dos Tributos (Anexo IV)</t>
  </si>
  <si>
    <r>
      <t xml:space="preserve">Percentual de Repartição dos Tributos </t>
    </r>
    <r>
      <rPr>
        <b/>
        <sz val="9"/>
        <color theme="1"/>
        <rFont val="Arial"/>
        <family val="2"/>
      </rPr>
      <t>(Anexo IV)</t>
    </r>
  </si>
  <si>
    <t>(*) O percentual efetivo máximo devido ao ISS será de 5%, transferindo-se a diferença, de forma proporcional, aos tributos federais da mesma faixa de receita bruta anual. Sendo assim, na 5a faixa, quando a alíquota efetiva for superior a 12,5%, a repartição será:</t>
  </si>
  <si>
    <r>
      <t>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 Faixa, com alíquota efetiva superior a </t>
    </r>
    <r>
      <rPr>
        <b/>
        <u/>
        <sz val="8"/>
        <rFont val="Arial"/>
        <family val="2"/>
      </rPr>
      <t>12,5%</t>
    </r>
  </si>
  <si>
    <t>(Alíquota efetiva – 5%) x 31,33%</t>
  </si>
  <si>
    <t>(Alíquota efetiva – 5%) x 32%</t>
  </si>
  <si>
    <t>(Alíquota efetiva – 5%) x 30,13%</t>
  </si>
  <si>
    <t>Alíquota efetiva –
 5%) x 6,54%</t>
  </si>
  <si>
    <t>Percentual de Repartição dos Tributos (Anexo V)</t>
  </si>
  <si>
    <t>Opção do anexo =&gt;</t>
  </si>
</sst>
</file>

<file path=xl/styles.xml><?xml version="1.0" encoding="utf-8"?>
<styleSheet xmlns="http://schemas.openxmlformats.org/spreadsheetml/2006/main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9"/>
      <color indexed="8"/>
      <name val="Arial"/>
      <family val="2"/>
    </font>
    <font>
      <sz val="9"/>
      <color indexed="8"/>
      <name val="Arial"/>
      <family val="2"/>
    </font>
    <font>
      <sz val="7"/>
      <color rgb="FF67677E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u/>
      <vertAlign val="superscript"/>
      <sz val="8"/>
      <color rgb="FF000000"/>
      <name val="Arial"/>
      <family val="2"/>
    </font>
    <font>
      <b/>
      <u/>
      <sz val="8"/>
      <name val="Arial"/>
      <family val="2"/>
    </font>
    <font>
      <b/>
      <i/>
      <u/>
      <sz val="11"/>
      <color rgb="FFFF0000"/>
      <name val="Calibri"/>
      <family val="2"/>
      <scheme val="minor"/>
    </font>
    <font>
      <b/>
      <i/>
      <u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3">
    <xf numFmtId="0" fontId="0" fillId="0" borderId="0" xfId="0"/>
    <xf numFmtId="0" fontId="3" fillId="0" borderId="0" xfId="0" applyFont="1"/>
    <xf numFmtId="0" fontId="3" fillId="0" borderId="0" xfId="0" applyFont="1" applyBorder="1"/>
    <xf numFmtId="0" fontId="4" fillId="0" borderId="0" xfId="0" applyFont="1"/>
    <xf numFmtId="10" fontId="4" fillId="0" borderId="0" xfId="0" applyNumberFormat="1" applyFont="1"/>
    <xf numFmtId="0" fontId="3" fillId="0" borderId="0" xfId="0" applyFont="1" applyAlignment="1">
      <alignment horizontal="right"/>
    </xf>
    <xf numFmtId="43" fontId="3" fillId="0" borderId="0" xfId="1" applyFont="1"/>
    <xf numFmtId="0" fontId="3" fillId="0" borderId="0" xfId="0" applyFont="1" applyFill="1"/>
    <xf numFmtId="10" fontId="3" fillId="0" borderId="0" xfId="0" applyNumberFormat="1" applyFont="1"/>
    <xf numFmtId="43" fontId="3" fillId="0" borderId="0" xfId="1" applyFont="1" applyFill="1" applyBorder="1"/>
    <xf numFmtId="10" fontId="3" fillId="0" borderId="0" xfId="2" applyNumberFormat="1" applyFont="1" applyFill="1" applyBorder="1"/>
    <xf numFmtId="43" fontId="3" fillId="0" borderId="0" xfId="0" applyNumberFormat="1" applyFont="1" applyFill="1" applyBorder="1"/>
    <xf numFmtId="9" fontId="3" fillId="0" borderId="0" xfId="2" applyFont="1" applyFill="1"/>
    <xf numFmtId="0" fontId="4" fillId="0" borderId="0" xfId="0" applyFont="1" applyFill="1"/>
    <xf numFmtId="10" fontId="4" fillId="0" borderId="0" xfId="0" applyNumberFormat="1" applyFont="1" applyFill="1"/>
    <xf numFmtId="43" fontId="7" fillId="0" borderId="0" xfId="1" applyFont="1" applyFill="1"/>
    <xf numFmtId="164" fontId="7" fillId="0" borderId="0" xfId="0" applyNumberFormat="1" applyFont="1" applyFill="1" applyAlignment="1">
      <alignment horizontal="center"/>
    </xf>
    <xf numFmtId="10" fontId="7" fillId="0" borderId="0" xfId="0" applyNumberFormat="1" applyFont="1" applyFill="1" applyAlignment="1">
      <alignment horizontal="center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/>
    <xf numFmtId="43" fontId="7" fillId="0" borderId="1" xfId="1" applyFont="1" applyBorder="1"/>
    <xf numFmtId="0" fontId="7" fillId="0" borderId="0" xfId="0" applyFont="1"/>
    <xf numFmtId="10" fontId="7" fillId="0" borderId="0" xfId="0" applyNumberFormat="1" applyFont="1"/>
    <xf numFmtId="0" fontId="7" fillId="0" borderId="0" xfId="0" applyFont="1" applyAlignment="1">
      <alignment horizontal="center" vertical="center"/>
    </xf>
    <xf numFmtId="43" fontId="3" fillId="0" borderId="3" xfId="1" applyFont="1" applyBorder="1"/>
    <xf numFmtId="0" fontId="3" fillId="2" borderId="6" xfId="0" applyFont="1" applyFill="1" applyBorder="1"/>
    <xf numFmtId="0" fontId="9" fillId="2" borderId="7" xfId="0" applyFont="1" applyFill="1" applyBorder="1"/>
    <xf numFmtId="0" fontId="9" fillId="0" borderId="0" xfId="0" applyFont="1"/>
    <xf numFmtId="0" fontId="9" fillId="2" borderId="8" xfId="0" applyFont="1" applyFill="1" applyBorder="1"/>
    <xf numFmtId="0" fontId="7" fillId="0" borderId="2" xfId="3" applyFont="1" applyFill="1" applyBorder="1" applyAlignment="1">
      <alignment horizontal="center" vertical="center" textRotation="90"/>
    </xf>
    <xf numFmtId="165" fontId="7" fillId="0" borderId="0" xfId="4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/>
    </xf>
    <xf numFmtId="0" fontId="10" fillId="0" borderId="0" xfId="3" applyFill="1" applyBorder="1" applyAlignment="1">
      <alignment horizontal="center"/>
    </xf>
    <xf numFmtId="0" fontId="7" fillId="0" borderId="0" xfId="3" applyFont="1" applyFill="1" applyBorder="1" applyAlignment="1">
      <alignment horizontal="center" wrapText="1"/>
    </xf>
    <xf numFmtId="0" fontId="10" fillId="0" borderId="0" xfId="3" applyFill="1" applyBorder="1"/>
    <xf numFmtId="0" fontId="10" fillId="0" borderId="0" xfId="3" applyFill="1" applyBorder="1" applyAlignment="1">
      <alignment horizontal="left" wrapText="1"/>
    </xf>
    <xf numFmtId="0" fontId="7" fillId="0" borderId="0" xfId="3" applyFont="1" applyFill="1"/>
    <xf numFmtId="0" fontId="7" fillId="0" borderId="2" xfId="3" applyFont="1" applyFill="1" applyBorder="1"/>
    <xf numFmtId="165" fontId="7" fillId="0" borderId="1" xfId="4" applyFont="1" applyFill="1" applyBorder="1" applyAlignment="1">
      <alignment horizontal="center"/>
    </xf>
    <xf numFmtId="165" fontId="7" fillId="0" borderId="1" xfId="4" applyFont="1" applyFill="1" applyBorder="1"/>
    <xf numFmtId="165" fontId="7" fillId="0" borderId="0" xfId="4" applyFont="1" applyFill="1" applyBorder="1"/>
    <xf numFmtId="10" fontId="7" fillId="0" borderId="1" xfId="3" applyNumberFormat="1" applyFont="1" applyFill="1" applyBorder="1"/>
    <xf numFmtId="10" fontId="7" fillId="0" borderId="0" xfId="3" applyNumberFormat="1" applyFont="1" applyFill="1" applyBorder="1"/>
    <xf numFmtId="10" fontId="10" fillId="0" borderId="0" xfId="3" applyNumberFormat="1" applyFill="1" applyBorder="1"/>
    <xf numFmtId="165" fontId="8" fillId="0" borderId="1" xfId="4" applyFont="1" applyFill="1" applyBorder="1"/>
    <xf numFmtId="0" fontId="7" fillId="0" borderId="0" xfId="3" applyFont="1" applyFill="1" applyBorder="1"/>
    <xf numFmtId="0" fontId="10" fillId="0" borderId="0" xfId="3" applyFill="1" applyBorder="1" applyAlignment="1">
      <alignment horizontal="center" vertical="center"/>
    </xf>
    <xf numFmtId="0" fontId="10" fillId="0" borderId="0" xfId="3" applyFill="1" applyAlignment="1">
      <alignment horizontal="center" vertical="center"/>
    </xf>
    <xf numFmtId="0" fontId="10" fillId="0" borderId="0" xfId="3" applyFill="1" applyBorder="1" applyAlignment="1">
      <alignment horizontal="center" vertical="center" wrapText="1"/>
    </xf>
    <xf numFmtId="10" fontId="10" fillId="0" borderId="1" xfId="3" applyNumberFormat="1" applyFill="1" applyBorder="1"/>
    <xf numFmtId="0" fontId="10" fillId="0" borderId="0" xfId="3" applyFill="1"/>
    <xf numFmtId="10" fontId="10" fillId="0" borderId="7" xfId="3" applyNumberFormat="1" applyFill="1" applyBorder="1"/>
    <xf numFmtId="0" fontId="8" fillId="0" borderId="0" xfId="3" applyFont="1" applyFill="1" applyBorder="1" applyAlignment="1"/>
    <xf numFmtId="165" fontId="7" fillId="0" borderId="0" xfId="4" applyFont="1" applyFill="1"/>
    <xf numFmtId="165" fontId="11" fillId="0" borderId="0" xfId="4" applyFont="1" applyFill="1" applyBorder="1"/>
    <xf numFmtId="0" fontId="14" fillId="0" borderId="0" xfId="3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44" fontId="3" fillId="0" borderId="0" xfId="5" applyFont="1"/>
    <xf numFmtId="10" fontId="3" fillId="0" borderId="0" xfId="2" applyNumberFormat="1" applyFont="1"/>
    <xf numFmtId="44" fontId="3" fillId="0" borderId="0" xfId="0" applyNumberFormat="1" applyFont="1"/>
    <xf numFmtId="44" fontId="0" fillId="0" borderId="0" xfId="0" applyNumberFormat="1"/>
    <xf numFmtId="0" fontId="6" fillId="2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vertical="center" wrapText="1"/>
    </xf>
    <xf numFmtId="0" fontId="3" fillId="3" borderId="6" xfId="0" applyFont="1" applyFill="1" applyBorder="1"/>
    <xf numFmtId="0" fontId="3" fillId="3" borderId="7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10" fontId="2" fillId="2" borderId="1" xfId="0" applyNumberFormat="1" applyFont="1" applyFill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right" vertical="center"/>
    </xf>
    <xf numFmtId="10" fontId="7" fillId="4" borderId="1" xfId="0" applyNumberFormat="1" applyFont="1" applyFill="1" applyBorder="1" applyAlignment="1">
      <alignment horizontal="right" vertical="center"/>
    </xf>
    <xf numFmtId="10" fontId="7" fillId="4" borderId="1" xfId="0" applyNumberFormat="1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center"/>
    </xf>
    <xf numFmtId="10" fontId="8" fillId="4" borderId="1" xfId="0" applyNumberFormat="1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0" fontId="9" fillId="4" borderId="7" xfId="0" applyFont="1" applyFill="1" applyBorder="1"/>
    <xf numFmtId="0" fontId="9" fillId="4" borderId="8" xfId="0" applyFont="1" applyFill="1" applyBorder="1"/>
    <xf numFmtId="0" fontId="6" fillId="5" borderId="1" xfId="0" applyFont="1" applyFill="1" applyBorder="1" applyAlignment="1">
      <alignment horizontal="right" vertical="center" wrapText="1"/>
    </xf>
    <xf numFmtId="43" fontId="6" fillId="5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vertical="center" wrapText="1"/>
    </xf>
    <xf numFmtId="10" fontId="2" fillId="5" borderId="1" xfId="0" applyNumberFormat="1" applyFont="1" applyFill="1" applyBorder="1" applyAlignment="1">
      <alignment horizontal="right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3" fontId="6" fillId="5" borderId="1" xfId="1" applyFont="1" applyFill="1" applyBorder="1" applyAlignment="1">
      <alignment vertical="center" wrapText="1"/>
    </xf>
    <xf numFmtId="10" fontId="6" fillId="5" borderId="1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/>
    <xf numFmtId="0" fontId="3" fillId="5" borderId="7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10" fontId="3" fillId="5" borderId="4" xfId="2" applyNumberFormat="1" applyFont="1" applyFill="1" applyBorder="1" applyAlignment="1">
      <alignment horizontal="center"/>
    </xf>
    <xf numFmtId="43" fontId="3" fillId="5" borderId="4" xfId="1" applyFont="1" applyFill="1" applyBorder="1" applyAlignment="1">
      <alignment horizontal="center"/>
    </xf>
    <xf numFmtId="10" fontId="9" fillId="5" borderId="4" xfId="0" applyNumberFormat="1" applyFont="1" applyFill="1" applyBorder="1" applyAlignment="1">
      <alignment horizontal="center"/>
    </xf>
    <xf numFmtId="43" fontId="9" fillId="5" borderId="5" xfId="1" applyFont="1" applyFill="1" applyBorder="1" applyAlignment="1">
      <alignment horizontal="center"/>
    </xf>
    <xf numFmtId="10" fontId="9" fillId="4" borderId="4" xfId="2" applyNumberFormat="1" applyFont="1" applyFill="1" applyBorder="1" applyAlignment="1">
      <alignment horizontal="center"/>
    </xf>
    <xf numFmtId="43" fontId="3" fillId="4" borderId="4" xfId="1" applyFont="1" applyFill="1" applyBorder="1" applyAlignment="1">
      <alignment horizontal="center"/>
    </xf>
    <xf numFmtId="10" fontId="9" fillId="4" borderId="4" xfId="0" applyNumberFormat="1" applyFont="1" applyFill="1" applyBorder="1" applyAlignment="1">
      <alignment horizontal="center"/>
    </xf>
    <xf numFmtId="43" fontId="9" fillId="4" borderId="5" xfId="1" applyFont="1" applyFill="1" applyBorder="1" applyAlignment="1">
      <alignment horizontal="center"/>
    </xf>
    <xf numFmtId="10" fontId="3" fillId="3" borderId="4" xfId="2" applyNumberFormat="1" applyFont="1" applyFill="1" applyBorder="1" applyAlignment="1">
      <alignment horizontal="center"/>
    </xf>
    <xf numFmtId="43" fontId="3" fillId="3" borderId="4" xfId="1" applyFont="1" applyFill="1" applyBorder="1" applyAlignment="1">
      <alignment horizontal="center"/>
    </xf>
    <xf numFmtId="10" fontId="9" fillId="3" borderId="4" xfId="0" applyNumberFormat="1" applyFont="1" applyFill="1" applyBorder="1" applyAlignment="1">
      <alignment horizontal="center"/>
    </xf>
    <xf numFmtId="43" fontId="9" fillId="3" borderId="5" xfId="1" applyFont="1" applyFill="1" applyBorder="1" applyAlignment="1">
      <alignment horizontal="center"/>
    </xf>
    <xf numFmtId="10" fontId="3" fillId="2" borderId="4" xfId="2" applyNumberFormat="1" applyFont="1" applyFill="1" applyBorder="1" applyAlignment="1">
      <alignment horizontal="center"/>
    </xf>
    <xf numFmtId="43" fontId="3" fillId="2" borderId="4" xfId="1" applyFont="1" applyFill="1" applyBorder="1" applyAlignment="1">
      <alignment horizontal="center"/>
    </xf>
    <xf numFmtId="10" fontId="9" fillId="2" borderId="4" xfId="0" applyNumberFormat="1" applyFont="1" applyFill="1" applyBorder="1" applyAlignment="1">
      <alignment horizontal="center"/>
    </xf>
    <xf numFmtId="43" fontId="9" fillId="2" borderId="5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right" vertical="center" wrapText="1"/>
    </xf>
    <xf numFmtId="43" fontId="6" fillId="6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horizontal="right" vertical="center" wrapText="1"/>
    </xf>
    <xf numFmtId="43" fontId="2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3" fontId="6" fillId="6" borderId="1" xfId="1" applyFont="1" applyFill="1" applyBorder="1" applyAlignment="1">
      <alignment vertical="center" wrapText="1"/>
    </xf>
    <xf numFmtId="10" fontId="6" fillId="6" borderId="1" xfId="0" applyNumberFormat="1" applyFont="1" applyFill="1" applyBorder="1" applyAlignment="1">
      <alignment horizontal="right" vertical="center" wrapText="1"/>
    </xf>
    <xf numFmtId="10" fontId="8" fillId="6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center"/>
    </xf>
    <xf numFmtId="10" fontId="8" fillId="6" borderId="1" xfId="0" applyNumberFormat="1" applyFont="1" applyFill="1" applyBorder="1" applyAlignment="1">
      <alignment horizontal="center"/>
    </xf>
    <xf numFmtId="0" fontId="3" fillId="6" borderId="6" xfId="0" applyFont="1" applyFill="1" applyBorder="1"/>
    <xf numFmtId="0" fontId="3" fillId="6" borderId="7" xfId="0" applyFont="1" applyFill="1" applyBorder="1"/>
    <xf numFmtId="0" fontId="9" fillId="6" borderId="7" xfId="0" applyFont="1" applyFill="1" applyBorder="1"/>
    <xf numFmtId="0" fontId="9" fillId="6" borderId="8" xfId="0" applyFont="1" applyFill="1" applyBorder="1"/>
    <xf numFmtId="10" fontId="9" fillId="6" borderId="4" xfId="2" applyNumberFormat="1" applyFont="1" applyFill="1" applyBorder="1" applyAlignment="1">
      <alignment horizontal="center"/>
    </xf>
    <xf numFmtId="43" fontId="3" fillId="6" borderId="4" xfId="1" applyFont="1" applyFill="1" applyBorder="1" applyAlignment="1">
      <alignment horizontal="center"/>
    </xf>
    <xf numFmtId="10" fontId="9" fillId="6" borderId="4" xfId="0" applyNumberFormat="1" applyFont="1" applyFill="1" applyBorder="1" applyAlignment="1">
      <alignment horizontal="center"/>
    </xf>
    <xf numFmtId="43" fontId="9" fillId="6" borderId="5" xfId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3" fillId="4" borderId="12" xfId="0" applyFont="1" applyFill="1" applyBorder="1"/>
    <xf numFmtId="44" fontId="3" fillId="4" borderId="14" xfId="5" applyFont="1" applyFill="1" applyBorder="1"/>
    <xf numFmtId="0" fontId="3" fillId="4" borderId="18" xfId="0" applyFont="1" applyFill="1" applyBorder="1"/>
    <xf numFmtId="44" fontId="3" fillId="4" borderId="19" xfId="5" applyFont="1" applyFill="1" applyBorder="1" applyAlignment="1">
      <alignment horizontal="center"/>
    </xf>
    <xf numFmtId="43" fontId="3" fillId="4" borderId="19" xfId="1" applyFont="1" applyFill="1" applyBorder="1" applyAlignment="1">
      <alignment horizontal="center"/>
    </xf>
    <xf numFmtId="44" fontId="3" fillId="4" borderId="19" xfId="0" applyNumberFormat="1" applyFont="1" applyFill="1" applyBorder="1" applyAlignment="1">
      <alignment horizontal="center"/>
    </xf>
    <xf numFmtId="0" fontId="9" fillId="4" borderId="18" xfId="0" applyFont="1" applyFill="1" applyBorder="1"/>
    <xf numFmtId="10" fontId="0" fillId="4" borderId="19" xfId="0" applyNumberFormat="1" applyFill="1" applyBorder="1" applyAlignment="1">
      <alignment horizontal="center"/>
    </xf>
    <xf numFmtId="44" fontId="0" fillId="0" borderId="19" xfId="5" applyFont="1" applyBorder="1"/>
    <xf numFmtId="0" fontId="9" fillId="4" borderId="15" xfId="0" applyFont="1" applyFill="1" applyBorder="1"/>
    <xf numFmtId="10" fontId="9" fillId="4" borderId="19" xfId="2" applyNumberFormat="1" applyFont="1" applyFill="1" applyBorder="1" applyAlignment="1">
      <alignment horizontal="center" vertical="center"/>
    </xf>
    <xf numFmtId="10" fontId="17" fillId="4" borderId="19" xfId="2" applyNumberFormat="1" applyFont="1" applyFill="1" applyBorder="1" applyAlignment="1">
      <alignment horizontal="center"/>
    </xf>
    <xf numFmtId="44" fontId="0" fillId="4" borderId="17" xfId="0" applyNumberFormat="1" applyFill="1" applyBorder="1"/>
    <xf numFmtId="0" fontId="0" fillId="0" borderId="0" xfId="0" applyBorder="1"/>
    <xf numFmtId="44" fontId="0" fillId="0" borderId="0" xfId="5" applyFont="1" applyBorder="1"/>
    <xf numFmtId="10" fontId="17" fillId="5" borderId="0" xfId="2" applyNumberFormat="1" applyFont="1" applyFill="1" applyBorder="1" applyAlignment="1">
      <alignment horizontal="center"/>
    </xf>
    <xf numFmtId="44" fontId="3" fillId="5" borderId="0" xfId="0" applyNumberFormat="1" applyFont="1" applyFill="1" applyBorder="1" applyAlignment="1">
      <alignment horizontal="center"/>
    </xf>
    <xf numFmtId="10" fontId="9" fillId="5" borderId="0" xfId="2" applyNumberFormat="1" applyFont="1" applyFill="1" applyBorder="1" applyAlignment="1">
      <alignment horizontal="center" vertical="center"/>
    </xf>
    <xf numFmtId="44" fontId="0" fillId="5" borderId="0" xfId="0" applyNumberFormat="1" applyFill="1" applyBorder="1"/>
    <xf numFmtId="44" fontId="17" fillId="5" borderId="20" xfId="0" applyNumberFormat="1" applyFont="1" applyFill="1" applyBorder="1"/>
    <xf numFmtId="0" fontId="17" fillId="5" borderId="20" xfId="0" applyFont="1" applyFill="1" applyBorder="1" applyAlignment="1">
      <alignment horizontal="center"/>
    </xf>
    <xf numFmtId="0" fontId="0" fillId="5" borderId="0" xfId="0" applyFill="1" applyBorder="1"/>
    <xf numFmtId="0" fontId="3" fillId="5" borderId="12" xfId="0" applyFont="1" applyFill="1" applyBorder="1"/>
    <xf numFmtId="0" fontId="3" fillId="5" borderId="18" xfId="0" applyFont="1" applyFill="1" applyBorder="1"/>
    <xf numFmtId="0" fontId="0" fillId="5" borderId="19" xfId="0" applyFill="1" applyBorder="1"/>
    <xf numFmtId="0" fontId="9" fillId="5" borderId="18" xfId="0" applyFont="1" applyFill="1" applyBorder="1"/>
    <xf numFmtId="0" fontId="17" fillId="5" borderId="19" xfId="0" applyFont="1" applyFill="1" applyBorder="1" applyAlignment="1">
      <alignment horizontal="center"/>
    </xf>
    <xf numFmtId="0" fontId="9" fillId="5" borderId="15" xfId="0" applyFont="1" applyFill="1" applyBorder="1"/>
    <xf numFmtId="10" fontId="17" fillId="5" borderId="16" xfId="2" applyNumberFormat="1" applyFont="1" applyFill="1" applyBorder="1" applyAlignment="1">
      <alignment horizontal="center"/>
    </xf>
    <xf numFmtId="44" fontId="0" fillId="5" borderId="16" xfId="0" applyNumberFormat="1" applyFill="1" applyBorder="1"/>
    <xf numFmtId="0" fontId="17" fillId="5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8" fillId="0" borderId="0" xfId="0" applyFont="1"/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0" fontId="19" fillId="2" borderId="1" xfId="2" applyNumberFormat="1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0" fontId="19" fillId="3" borderId="1" xfId="2" applyNumberFormat="1" applyFont="1" applyFill="1" applyBorder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0" fontId="19" fillId="4" borderId="1" xfId="2" applyNumberFormat="1" applyFont="1" applyFill="1" applyBorder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right"/>
    </xf>
    <xf numFmtId="0" fontId="0" fillId="0" borderId="0" xfId="0" applyFill="1"/>
    <xf numFmtId="0" fontId="17" fillId="0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0" fontId="19" fillId="5" borderId="1" xfId="2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10" fontId="19" fillId="6" borderId="1" xfId="2" applyNumberFormat="1" applyFont="1" applyFill="1" applyBorder="1" applyAlignment="1">
      <alignment horizontal="center" vertical="center"/>
    </xf>
    <xf numFmtId="10" fontId="9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43" fontId="5" fillId="6" borderId="1" xfId="1" applyFont="1" applyFill="1" applyBorder="1" applyAlignment="1">
      <alignment horizontal="center" vertical="center" wrapText="1"/>
    </xf>
    <xf numFmtId="43" fontId="3" fillId="0" borderId="0" xfId="1" applyFont="1" applyAlignment="1">
      <alignment vertical="center"/>
    </xf>
    <xf numFmtId="10" fontId="4" fillId="4" borderId="19" xfId="2" applyNumberFormat="1" applyFont="1" applyFill="1" applyBorder="1" applyAlignment="1">
      <alignment horizontal="right"/>
    </xf>
    <xf numFmtId="44" fontId="4" fillId="4" borderId="19" xfId="5" applyFont="1" applyFill="1" applyBorder="1" applyAlignment="1">
      <alignment vertical="center"/>
    </xf>
    <xf numFmtId="0" fontId="27" fillId="7" borderId="21" xfId="0" applyFont="1" applyFill="1" applyBorder="1" applyAlignment="1">
      <alignment horizontal="center"/>
    </xf>
    <xf numFmtId="10" fontId="28" fillId="5" borderId="0" xfId="2" applyNumberFormat="1" applyFont="1" applyFill="1" applyAlignment="1">
      <alignment vertical="center"/>
    </xf>
    <xf numFmtId="10" fontId="28" fillId="5" borderId="0" xfId="0" applyNumberFormat="1" applyFont="1" applyFill="1" applyBorder="1" applyAlignment="1">
      <alignment horizontal="right"/>
    </xf>
    <xf numFmtId="44" fontId="3" fillId="5" borderId="23" xfId="5" applyFont="1" applyFill="1" applyBorder="1"/>
    <xf numFmtId="10" fontId="4" fillId="5" borderId="4" xfId="2" applyNumberFormat="1" applyFont="1" applyFill="1" applyBorder="1" applyAlignment="1">
      <alignment vertical="center"/>
    </xf>
    <xf numFmtId="44" fontId="3" fillId="5" borderId="4" xfId="5" applyFont="1" applyFill="1" applyBorder="1" applyAlignment="1">
      <alignment horizontal="center"/>
    </xf>
    <xf numFmtId="44" fontId="4" fillId="5" borderId="4" xfId="5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textRotation="90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justify" vertical="justify" wrapText="1"/>
    </xf>
    <xf numFmtId="0" fontId="22" fillId="4" borderId="22" xfId="0" applyFont="1" applyFill="1" applyBorder="1" applyAlignment="1">
      <alignment horizontal="justify" vertical="justify" wrapText="1"/>
    </xf>
    <xf numFmtId="0" fontId="22" fillId="4" borderId="3" xfId="0" applyFont="1" applyFill="1" applyBorder="1" applyAlignment="1">
      <alignment horizontal="justify" vertical="justify" wrapText="1"/>
    </xf>
    <xf numFmtId="0" fontId="17" fillId="4" borderId="2" xfId="0" applyFont="1" applyFill="1" applyBorder="1" applyAlignment="1">
      <alignment horizontal="center"/>
    </xf>
    <xf numFmtId="0" fontId="17" fillId="4" borderId="22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7" fillId="5" borderId="10" xfId="0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2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justify" vertical="justify" wrapText="1"/>
    </xf>
    <xf numFmtId="0" fontId="22" fillId="5" borderId="22" xfId="0" applyFont="1" applyFill="1" applyBorder="1" applyAlignment="1">
      <alignment horizontal="justify" vertical="justify" wrapText="1"/>
    </xf>
    <xf numFmtId="0" fontId="22" fillId="5" borderId="3" xfId="0" applyFont="1" applyFill="1" applyBorder="1" applyAlignment="1">
      <alignment horizontal="justify" vertical="justify" wrapText="1"/>
    </xf>
    <xf numFmtId="0" fontId="9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22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 wrapText="1"/>
    </xf>
    <xf numFmtId="0" fontId="9" fillId="5" borderId="11" xfId="0" applyFont="1" applyFill="1" applyBorder="1" applyAlignment="1">
      <alignment horizontal="center" wrapText="1"/>
    </xf>
    <xf numFmtId="165" fontId="7" fillId="0" borderId="2" xfId="4" applyFont="1" applyFill="1" applyBorder="1" applyAlignment="1">
      <alignment horizontal="center" vertical="center"/>
    </xf>
    <xf numFmtId="165" fontId="7" fillId="0" borderId="3" xfId="4" applyFont="1" applyFill="1" applyBorder="1" applyAlignment="1">
      <alignment horizontal="center" vertical="center"/>
    </xf>
    <xf numFmtId="0" fontId="5" fillId="0" borderId="0" xfId="3" applyFont="1" applyFill="1" applyAlignment="1">
      <alignment horizontal="left"/>
    </xf>
    <xf numFmtId="0" fontId="9" fillId="0" borderId="0" xfId="0" applyFont="1" applyFill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 2" xfId="3"/>
    <cellStyle name="Porcentagem" xfId="2" builtinId="5"/>
    <cellStyle name="Separador de milhares" xfId="1" builtinId="3"/>
    <cellStyle name="Vírgula 2" xfId="4"/>
  </cellStyles>
  <dxfs count="50"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9" tint="0.59996337778862885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theme="7" tint="0.59996337778862885"/>
      </font>
    </dxf>
    <dxf>
      <font>
        <color theme="7" tint="0.59996337778862885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47623</xdr:colOff>
      <xdr:row>0</xdr:row>
      <xdr:rowOff>57150</xdr:rowOff>
    </xdr:from>
    <xdr:to>
      <xdr:col>4</xdr:col>
      <xdr:colOff>114875</xdr:colOff>
      <xdr:row>4</xdr:row>
      <xdr:rowOff>152400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3" y="5715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14654</xdr:rowOff>
    </xdr:from>
    <xdr:to>
      <xdr:col>3</xdr:col>
      <xdr:colOff>807481</xdr:colOff>
      <xdr:row>4</xdr:row>
      <xdr:rowOff>109904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4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11</xdr:row>
      <xdr:rowOff>95250</xdr:rowOff>
    </xdr:from>
    <xdr:to>
      <xdr:col>9</xdr:col>
      <xdr:colOff>219075</xdr:colOff>
      <xdr:row>11</xdr:row>
      <xdr:rowOff>95250</xdr:rowOff>
    </xdr:to>
    <xdr:cxnSp macro="">
      <xdr:nvCxnSpPr>
        <xdr:cNvPr id="2" name="Conector de seta reta 1"/>
        <xdr:cNvCxnSpPr/>
      </xdr:nvCxnSpPr>
      <xdr:spPr>
        <a:xfrm>
          <a:off x="5410200" y="3333750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807481</xdr:colOff>
      <xdr:row>4</xdr:row>
      <xdr:rowOff>95250</xdr:rowOff>
    </xdr:to>
    <xdr:pic>
      <xdr:nvPicPr>
        <xdr:cNvPr id="3" name="Imagem 2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868714</xdr:colOff>
      <xdr:row>4</xdr:row>
      <xdr:rowOff>95250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</xdr:row>
      <xdr:rowOff>85725</xdr:rowOff>
    </xdr:from>
    <xdr:to>
      <xdr:col>9</xdr:col>
      <xdr:colOff>228600</xdr:colOff>
      <xdr:row>11</xdr:row>
      <xdr:rowOff>85725</xdr:rowOff>
    </xdr:to>
    <xdr:cxnSp macro="">
      <xdr:nvCxnSpPr>
        <xdr:cNvPr id="2" name="Conector de seta reta 1"/>
        <xdr:cNvCxnSpPr/>
      </xdr:nvCxnSpPr>
      <xdr:spPr>
        <a:xfrm>
          <a:off x="5419725" y="5915025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807481</xdr:colOff>
      <xdr:row>4</xdr:row>
      <xdr:rowOff>95250</xdr:rowOff>
    </xdr:to>
    <xdr:pic>
      <xdr:nvPicPr>
        <xdr:cNvPr id="3" name="Imagem 2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2483881</xdr:colOff>
      <xdr:row>4</xdr:row>
      <xdr:rowOff>95250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OBERTO/RAC/SimplesNacional/TabelasSimples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123 2015.1"/>
      <sheetName val="LC123 2012.2"/>
      <sheetName val="LC123 2012.1 "/>
      <sheetName val="V-A"/>
      <sheetName val="LC123 2007"/>
      <sheetName val="Lei9317"/>
      <sheetName val="LC123 2015.1 (2)"/>
    </sheetNames>
    <sheetDataSet>
      <sheetData sheetId="0"/>
      <sheetData sheetId="1"/>
      <sheetData sheetId="2"/>
      <sheetData sheetId="3"/>
      <sheetData sheetId="4">
        <row r="3">
          <cell r="D3">
            <v>3.9999999999999994E-2</v>
          </cell>
          <cell r="M3">
            <v>4.4999999999999991E-2</v>
          </cell>
        </row>
        <row r="4">
          <cell r="D4">
            <v>5.4699999999999999E-2</v>
          </cell>
          <cell r="M4">
            <v>5.9699999999999996E-2</v>
          </cell>
        </row>
        <row r="5">
          <cell r="D5">
            <v>6.8400000000000002E-2</v>
          </cell>
          <cell r="M5">
            <v>7.3400000000000007E-2</v>
          </cell>
        </row>
        <row r="6">
          <cell r="D6">
            <v>7.5399999999999995E-2</v>
          </cell>
          <cell r="M6">
            <v>8.0399999999999999E-2</v>
          </cell>
        </row>
        <row r="7">
          <cell r="D7">
            <v>7.5999999999999998E-2</v>
          </cell>
          <cell r="M7">
            <v>8.1000000000000003E-2</v>
          </cell>
        </row>
        <row r="8">
          <cell r="D8">
            <v>8.2799999999999999E-2</v>
          </cell>
          <cell r="M8">
            <v>8.7800000000000003E-2</v>
          </cell>
        </row>
        <row r="9">
          <cell r="D9">
            <v>8.3600000000000008E-2</v>
          </cell>
          <cell r="M9">
            <v>8.8600000000000012E-2</v>
          </cell>
        </row>
        <row r="10">
          <cell r="D10">
            <v>8.4500000000000006E-2</v>
          </cell>
          <cell r="M10">
            <v>8.950000000000001E-2</v>
          </cell>
        </row>
        <row r="11">
          <cell r="D11">
            <v>9.0300000000000005E-2</v>
          </cell>
          <cell r="M11">
            <v>9.530000000000001E-2</v>
          </cell>
        </row>
        <row r="12">
          <cell r="D12">
            <v>9.1200000000000003E-2</v>
          </cell>
          <cell r="M12">
            <v>9.6200000000000008E-2</v>
          </cell>
        </row>
        <row r="13">
          <cell r="D13">
            <v>9.9499999999999991E-2</v>
          </cell>
          <cell r="M13">
            <v>0.1045</v>
          </cell>
        </row>
        <row r="14">
          <cell r="D14">
            <v>0.10039999999999999</v>
          </cell>
          <cell r="M14">
            <v>0.10539999999999999</v>
          </cell>
        </row>
        <row r="15">
          <cell r="D15">
            <v>0.1013</v>
          </cell>
          <cell r="M15">
            <v>0.10630000000000001</v>
          </cell>
        </row>
        <row r="16">
          <cell r="D16">
            <v>0.1023</v>
          </cell>
          <cell r="M16">
            <v>0.10730000000000001</v>
          </cell>
        </row>
        <row r="17">
          <cell r="D17">
            <v>0.10319999999999999</v>
          </cell>
          <cell r="M17">
            <v>0.10819999999999999</v>
          </cell>
        </row>
        <row r="18">
          <cell r="D18">
            <v>0.1123</v>
          </cell>
          <cell r="M18">
            <v>0.1173</v>
          </cell>
        </row>
        <row r="19">
          <cell r="D19">
            <v>0.1132</v>
          </cell>
          <cell r="M19">
            <v>0.1182</v>
          </cell>
        </row>
        <row r="20">
          <cell r="D20">
            <v>0.1142</v>
          </cell>
          <cell r="M20">
            <v>0.1192</v>
          </cell>
        </row>
        <row r="21">
          <cell r="D21">
            <v>0.11510000000000001</v>
          </cell>
          <cell r="M21">
            <v>0.12010000000000001</v>
          </cell>
        </row>
        <row r="22">
          <cell r="D22">
            <v>0.11610000000000001</v>
          </cell>
          <cell r="M22">
            <v>0.12110000000000001</v>
          </cell>
        </row>
        <row r="26">
          <cell r="D26">
            <v>0.06</v>
          </cell>
          <cell r="M26">
            <v>4.4999999999999998E-2</v>
          </cell>
        </row>
        <row r="27">
          <cell r="D27">
            <v>8.2100000000000006E-2</v>
          </cell>
          <cell r="M27">
            <v>6.54E-2</v>
          </cell>
        </row>
        <row r="28">
          <cell r="D28">
            <v>0.1026</v>
          </cell>
          <cell r="M28">
            <v>7.6999999999999999E-2</v>
          </cell>
        </row>
        <row r="29">
          <cell r="D29">
            <v>0.11310000000000001</v>
          </cell>
          <cell r="M29">
            <v>8.4900000000000003E-2</v>
          </cell>
        </row>
        <row r="30">
          <cell r="D30">
            <v>0.114</v>
          </cell>
          <cell r="M30">
            <v>8.9700000000000002E-2</v>
          </cell>
        </row>
        <row r="31">
          <cell r="D31">
            <v>0.1242</v>
          </cell>
          <cell r="M31">
            <v>9.7799999999999998E-2</v>
          </cell>
        </row>
        <row r="32">
          <cell r="D32">
            <v>0.12540000000000001</v>
          </cell>
          <cell r="M32">
            <v>0.1026</v>
          </cell>
        </row>
        <row r="33">
          <cell r="D33">
            <v>0.1268</v>
          </cell>
          <cell r="M33">
            <v>0.1076</v>
          </cell>
        </row>
        <row r="34">
          <cell r="D34">
            <v>0.13550000000000001</v>
          </cell>
          <cell r="M34">
            <v>0.11509999999999999</v>
          </cell>
        </row>
        <row r="35">
          <cell r="D35">
            <v>0.13679999999999998</v>
          </cell>
          <cell r="M35">
            <v>0.12</v>
          </cell>
        </row>
        <row r="36">
          <cell r="D36">
            <v>0.14929999999999999</v>
          </cell>
          <cell r="M36">
            <v>0.128</v>
          </cell>
        </row>
        <row r="37">
          <cell r="D37">
            <v>0.15060000000000001</v>
          </cell>
          <cell r="M37">
            <v>0.13250000000000001</v>
          </cell>
        </row>
        <row r="38">
          <cell r="D38">
            <v>0.15200000000000002</v>
          </cell>
          <cell r="M38">
            <v>0.13700000000000001</v>
          </cell>
        </row>
        <row r="39">
          <cell r="D39">
            <v>0.15350000000000003</v>
          </cell>
          <cell r="M39">
            <v>0.14150000000000001</v>
          </cell>
        </row>
        <row r="40">
          <cell r="D40">
            <v>0.15479999999999999</v>
          </cell>
          <cell r="M40">
            <v>0.14600000000000002</v>
          </cell>
        </row>
        <row r="41">
          <cell r="D41">
            <v>0.16849999999999998</v>
          </cell>
          <cell r="M41">
            <v>0.15050000000000002</v>
          </cell>
        </row>
        <row r="42">
          <cell r="D42">
            <v>0.16980000000000001</v>
          </cell>
          <cell r="M42">
            <v>0.15500000000000003</v>
          </cell>
        </row>
        <row r="43">
          <cell r="D43">
            <v>0.17130000000000001</v>
          </cell>
          <cell r="M43">
            <v>0.1595</v>
          </cell>
        </row>
        <row r="44">
          <cell r="D44">
            <v>0.17270000000000002</v>
          </cell>
          <cell r="M44">
            <v>0.16400000000000003</v>
          </cell>
        </row>
        <row r="45">
          <cell r="D45">
            <v>0.17419999999999999</v>
          </cell>
          <cell r="M45">
            <v>0.16849999999999998</v>
          </cell>
        </row>
      </sheetData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M32"/>
  <sheetViews>
    <sheetView showGridLines="0" topLeftCell="B16" zoomScale="140" zoomScaleNormal="140" workbookViewId="0">
      <selection activeCell="I10" sqref="I10"/>
    </sheetView>
  </sheetViews>
  <sheetFormatPr defaultRowHeight="15"/>
  <cols>
    <col min="3" max="4" width="13.5703125" bestFit="1" customWidth="1"/>
    <col min="5" max="5" width="9" customWidth="1"/>
    <col min="6" max="6" width="12" bestFit="1" customWidth="1"/>
    <col min="7" max="7" width="9.7109375" customWidth="1"/>
    <col min="8" max="8" width="13.140625" bestFit="1" customWidth="1"/>
    <col min="9" max="9" width="13.85546875" bestFit="1" customWidth="1"/>
    <col min="10" max="10" width="2.85546875" customWidth="1"/>
    <col min="12" max="12" width="9.7109375" bestFit="1" customWidth="1"/>
    <col min="16" max="16" width="14.28515625" bestFit="1" customWidth="1"/>
  </cols>
  <sheetData>
    <row r="5" spans="1:13" ht="15.75" thickBot="1"/>
    <row r="6" spans="1:13" ht="15.75" thickBot="1">
      <c r="A6" s="261" t="s">
        <v>37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3"/>
    </row>
    <row r="7" spans="1:13" ht="7.5" customHeight="1"/>
    <row r="8" spans="1:13" ht="19.5" customHeight="1">
      <c r="A8" s="258" t="s">
        <v>33</v>
      </c>
      <c r="B8" s="259" t="s">
        <v>5</v>
      </c>
      <c r="C8" s="259"/>
      <c r="D8" s="259"/>
      <c r="E8" s="70" t="s">
        <v>0</v>
      </c>
      <c r="F8" s="21" t="s">
        <v>6</v>
      </c>
      <c r="G8" s="1"/>
      <c r="H8" s="29" t="s">
        <v>35</v>
      </c>
      <c r="I8" s="28">
        <v>67</v>
      </c>
      <c r="J8" s="9"/>
      <c r="K8" s="1"/>
      <c r="L8" s="1"/>
      <c r="M8" s="1"/>
    </row>
    <row r="9" spans="1:13">
      <c r="A9" s="258"/>
      <c r="B9" s="65">
        <v>1</v>
      </c>
      <c r="C9" s="19">
        <v>0</v>
      </c>
      <c r="D9" s="19">
        <v>180000</v>
      </c>
      <c r="E9" s="82">
        <v>0.04</v>
      </c>
      <c r="F9" s="18">
        <v>0</v>
      </c>
      <c r="G9" s="1"/>
      <c r="H9" s="23" t="s">
        <v>34</v>
      </c>
      <c r="I9" s="28">
        <v>3005256.18</v>
      </c>
      <c r="J9" s="9"/>
      <c r="K9" s="8"/>
      <c r="L9" s="1"/>
      <c r="M9" s="1"/>
    </row>
    <row r="10" spans="1:13">
      <c r="A10" s="258"/>
      <c r="B10" s="65">
        <v>2</v>
      </c>
      <c r="C10" s="19">
        <f>D9+0.01</f>
        <v>180000.01</v>
      </c>
      <c r="D10" s="19">
        <v>360000</v>
      </c>
      <c r="E10" s="82">
        <v>7.2999999999999995E-2</v>
      </c>
      <c r="F10" s="18">
        <v>5940</v>
      </c>
      <c r="G10" s="2"/>
      <c r="H10" s="23" t="s">
        <v>9</v>
      </c>
      <c r="I10" s="128">
        <f>IFERROR(VLOOKUP(I9,$C$9:$E14,3),"ISENTO")</f>
        <v>0.14299999999999999</v>
      </c>
      <c r="J10" s="10"/>
      <c r="K10" s="260" t="s">
        <v>36</v>
      </c>
      <c r="L10" s="260"/>
      <c r="M10" s="260"/>
    </row>
    <row r="11" spans="1:13">
      <c r="A11" s="258"/>
      <c r="B11" s="65">
        <v>3</v>
      </c>
      <c r="C11" s="19">
        <f>D10+0.01</f>
        <v>360000.01</v>
      </c>
      <c r="D11" s="19">
        <v>720000</v>
      </c>
      <c r="E11" s="82">
        <v>9.5000000000000001E-2</v>
      </c>
      <c r="F11" s="18">
        <v>13860</v>
      </c>
      <c r="G11" s="1"/>
      <c r="H11" s="23" t="s">
        <v>6</v>
      </c>
      <c r="I11" s="129">
        <f>IFERROR(VLOOKUP(I9,$C$9:$F$14,4),0)</f>
        <v>87300</v>
      </c>
      <c r="J11" s="9"/>
      <c r="K11" s="155" t="s">
        <v>31</v>
      </c>
      <c r="L11" s="155" t="s">
        <v>7</v>
      </c>
      <c r="M11" s="155" t="s">
        <v>32</v>
      </c>
    </row>
    <row r="12" spans="1:13">
      <c r="A12" s="258"/>
      <c r="B12" s="65">
        <v>4</v>
      </c>
      <c r="C12" s="19">
        <f>D11+0.01</f>
        <v>720000.01</v>
      </c>
      <c r="D12" s="19">
        <v>1800000</v>
      </c>
      <c r="E12" s="82">
        <v>0.107</v>
      </c>
      <c r="F12" s="18">
        <v>22500</v>
      </c>
      <c r="G12" s="1"/>
      <c r="H12" s="30" t="s">
        <v>8</v>
      </c>
      <c r="I12" s="130">
        <f>IFERROR(ROUND((I9*I10-I11)/I9,4),"")</f>
        <v>0.114</v>
      </c>
      <c r="J12" s="11"/>
      <c r="K12" s="156">
        <f>IFERROR(VLOOKUP(I9,'Tabelas 2017'!$B$2:$M$21,4),"ISENTO")</f>
        <v>0.1132</v>
      </c>
      <c r="L12" s="157">
        <f>I8*K12</f>
        <v>7.5843999999999996</v>
      </c>
      <c r="M12" s="156">
        <f>IFERROR(I13/L12-1,0)</f>
        <v>7.0671378091873294E-3</v>
      </c>
    </row>
    <row r="13" spans="1:13">
      <c r="A13" s="258"/>
      <c r="B13" s="65">
        <v>5</v>
      </c>
      <c r="C13" s="19">
        <f>D12+0.01</f>
        <v>1800000.01</v>
      </c>
      <c r="D13" s="19">
        <v>3600000</v>
      </c>
      <c r="E13" s="82">
        <v>0.14299999999999999</v>
      </c>
      <c r="F13" s="18">
        <v>87300</v>
      </c>
      <c r="G13" s="1"/>
      <c r="H13" s="32" t="s">
        <v>7</v>
      </c>
      <c r="I13" s="131">
        <f>IFERROR(I8*I12,"")</f>
        <v>7.6379999999999999</v>
      </c>
      <c r="J13" s="9"/>
      <c r="K13" s="1"/>
      <c r="L13" s="1"/>
      <c r="M13" s="1"/>
    </row>
    <row r="14" spans="1:13">
      <c r="A14" s="258"/>
      <c r="B14" s="22">
        <v>6</v>
      </c>
      <c r="C14" s="20">
        <f>D13+0.01</f>
        <v>3600000.01</v>
      </c>
      <c r="D14" s="20">
        <v>4800000</v>
      </c>
      <c r="E14" s="83">
        <v>0.19</v>
      </c>
      <c r="F14" s="21">
        <v>378000</v>
      </c>
      <c r="G14" s="1"/>
      <c r="H14" s="1"/>
      <c r="I14" s="1"/>
      <c r="J14" s="7"/>
      <c r="K14" s="1"/>
      <c r="L14" s="1"/>
      <c r="M14" s="1"/>
    </row>
    <row r="16" spans="1:13">
      <c r="B16" s="265" t="s">
        <v>81</v>
      </c>
      <c r="C16" s="266"/>
      <c r="D16" s="266"/>
      <c r="E16" s="266"/>
      <c r="F16" s="266"/>
      <c r="G16" s="266"/>
      <c r="H16" s="266"/>
      <c r="I16" s="267"/>
    </row>
    <row r="17" spans="2:9">
      <c r="B17" s="197" t="s">
        <v>3</v>
      </c>
      <c r="C17" s="196" t="s">
        <v>55</v>
      </c>
      <c r="D17" s="196" t="s">
        <v>57</v>
      </c>
      <c r="E17" s="196" t="s">
        <v>76</v>
      </c>
      <c r="F17" s="196" t="s">
        <v>77</v>
      </c>
      <c r="G17" s="196" t="s">
        <v>63</v>
      </c>
      <c r="H17" s="196" t="s">
        <v>78</v>
      </c>
      <c r="I17" s="206" t="s">
        <v>79</v>
      </c>
    </row>
    <row r="18" spans="2:9">
      <c r="B18" s="207">
        <f>IF($I$10=E9,1,0)</f>
        <v>0</v>
      </c>
      <c r="C18" s="208">
        <f>IFERROR(IF(B18=1,$I$12*C27,0),"")</f>
        <v>0</v>
      </c>
      <c r="D18" s="208">
        <f>IFERROR(IF(B18=1,$I$12*D27,0),"")</f>
        <v>0</v>
      </c>
      <c r="E18" s="208">
        <f>IFERROR(IF(B18=1,$I$12*E27,0),"")</f>
        <v>0</v>
      </c>
      <c r="F18" s="208">
        <f>IFERROR(IF(B18=1,$I$12*F27,0),"")</f>
        <v>0</v>
      </c>
      <c r="G18" s="208">
        <f>IFERROR(IF(B18=1,$I$12*G27,0),0)</f>
        <v>0</v>
      </c>
      <c r="H18" s="208">
        <f>IFERROR(IF(B18=1,$I$12*H27,0),"")</f>
        <v>0</v>
      </c>
      <c r="I18" s="209">
        <f>SUM(C18:H18)</f>
        <v>0</v>
      </c>
    </row>
    <row r="19" spans="2:9">
      <c r="B19" s="207">
        <f>IF($I$10=E10,2,0)</f>
        <v>0</v>
      </c>
      <c r="C19" s="208">
        <f>IF(B19=2,$I$12*C28,0)</f>
        <v>0</v>
      </c>
      <c r="D19" s="208">
        <f>IF(B19=2,$I$12*D28,0)</f>
        <v>0</v>
      </c>
      <c r="E19" s="208">
        <f>IF(B19=2,$I$12*E28,0)</f>
        <v>0</v>
      </c>
      <c r="F19" s="208">
        <f>IF(B19=2,$I$12*F28,0)</f>
        <v>0</v>
      </c>
      <c r="G19" s="208">
        <f>IF(B19=2,$I$12*G28,0)</f>
        <v>0</v>
      </c>
      <c r="H19" s="208">
        <f>IF(B19=2,$I$12*H28,0)</f>
        <v>0</v>
      </c>
      <c r="I19" s="209">
        <f t="shared" ref="I19:I23" si="0">SUM(C19:H19)</f>
        <v>0</v>
      </c>
    </row>
    <row r="20" spans="2:9">
      <c r="B20" s="207">
        <f>IF($I$10=E11,3,0)</f>
        <v>0</v>
      </c>
      <c r="C20" s="208">
        <f>IF(B20=3,$I$12*C29,0)</f>
        <v>0</v>
      </c>
      <c r="D20" s="208">
        <f>IF(B20=3,$I$12*D29,0)</f>
        <v>0</v>
      </c>
      <c r="E20" s="208">
        <f>IF(B20=3,$I$12*E29,0)</f>
        <v>0</v>
      </c>
      <c r="F20" s="208">
        <f>IF(B20=3,$I$12*F29,0)</f>
        <v>0</v>
      </c>
      <c r="G20" s="208">
        <f>IF(B20=3,$I$12*G29,0)</f>
        <v>0</v>
      </c>
      <c r="H20" s="208">
        <f>IF(B20=3,$I$12*H29,0)</f>
        <v>0</v>
      </c>
      <c r="I20" s="209">
        <f t="shared" si="0"/>
        <v>0</v>
      </c>
    </row>
    <row r="21" spans="2:9">
      <c r="B21" s="207">
        <f>IF($I$10=E12,4,0)</f>
        <v>0</v>
      </c>
      <c r="C21" s="208">
        <f>IF(B21=4,$I$12*C30,0)</f>
        <v>0</v>
      </c>
      <c r="D21" s="208">
        <f>IF(B21=4,$I$12*D30,0)</f>
        <v>0</v>
      </c>
      <c r="E21" s="208">
        <f>IF(B21=4,$I$12*E30,0)</f>
        <v>0</v>
      </c>
      <c r="F21" s="208">
        <f>IF(B21=4,$I$12*F30,0)</f>
        <v>0</v>
      </c>
      <c r="G21" s="208">
        <f>IF(B21=4,$I$12*G30,0)</f>
        <v>0</v>
      </c>
      <c r="H21" s="208">
        <f>IF(B21=4,$I$12*H30,0)</f>
        <v>0</v>
      </c>
      <c r="I21" s="209">
        <f t="shared" si="0"/>
        <v>0</v>
      </c>
    </row>
    <row r="22" spans="2:9">
      <c r="B22" s="207">
        <f>IF($I$10=E13,5,0)</f>
        <v>5</v>
      </c>
      <c r="C22" s="208">
        <f>IF(B22=5,$I$12*C31,0)</f>
        <v>6.2700000000000004E-3</v>
      </c>
      <c r="D22" s="208">
        <f>IF(B22=5,$I$12*D31,0)</f>
        <v>3.9900000000000005E-3</v>
      </c>
      <c r="E22" s="208">
        <f>IF(B22=5,$I$12*E31,0)</f>
        <v>1.4523600000000003E-2</v>
      </c>
      <c r="F22" s="208">
        <f>IF(B22=5,$I$12*F31,0)</f>
        <v>3.1464000000000002E-3</v>
      </c>
      <c r="G22" s="208">
        <f>IF(B22=5,$I$12*G31,0)</f>
        <v>4.7879999999999999E-2</v>
      </c>
      <c r="H22" s="208">
        <f>IF(B22=5,$I$12*H31,0)</f>
        <v>3.8190000000000002E-2</v>
      </c>
      <c r="I22" s="209">
        <f t="shared" si="0"/>
        <v>0.114</v>
      </c>
    </row>
    <row r="23" spans="2:9">
      <c r="B23" s="207">
        <f>IF($I$10=E14,6,0)</f>
        <v>0</v>
      </c>
      <c r="C23" s="208">
        <f>IF(B23=6,$I$12*C32,0)</f>
        <v>0</v>
      </c>
      <c r="D23" s="208">
        <f>IF(B23=6,$I$12*D32,0)</f>
        <v>0</v>
      </c>
      <c r="E23" s="208">
        <f>IF(B23=6,$I$12*E32,0)</f>
        <v>0</v>
      </c>
      <c r="F23" s="208">
        <f>IF(B23=6,$I$12*F32,0)</f>
        <v>0</v>
      </c>
      <c r="G23" s="208">
        <f>IF(B23=6,$I$12*G32,0)</f>
        <v>0</v>
      </c>
      <c r="H23" s="208">
        <f>IF(B23=6,$I$12*H32,0)</f>
        <v>0</v>
      </c>
      <c r="I23" s="209">
        <f t="shared" si="0"/>
        <v>0</v>
      </c>
    </row>
    <row r="24" spans="2:9">
      <c r="B24" s="1"/>
      <c r="C24" s="13"/>
      <c r="D24" s="1"/>
      <c r="E24" s="1"/>
      <c r="F24" s="7"/>
      <c r="G24" s="1"/>
      <c r="H24" s="1"/>
      <c r="I24" s="1"/>
    </row>
    <row r="25" spans="2:9">
      <c r="B25" s="1"/>
      <c r="C25" s="264" t="s">
        <v>80</v>
      </c>
      <c r="D25" s="264"/>
      <c r="E25" s="264"/>
      <c r="F25" s="264"/>
      <c r="G25" s="264"/>
      <c r="H25" s="264"/>
      <c r="I25" s="1"/>
    </row>
    <row r="26" spans="2:9">
      <c r="B26" s="3"/>
      <c r="C26" s="210" t="s">
        <v>55</v>
      </c>
      <c r="D26" s="210" t="s">
        <v>57</v>
      </c>
      <c r="E26" s="210" t="s">
        <v>76</v>
      </c>
      <c r="F26" s="210" t="s">
        <v>77</v>
      </c>
      <c r="G26" s="210" t="s">
        <v>63</v>
      </c>
      <c r="H26" s="210" t="s">
        <v>78</v>
      </c>
      <c r="I26" s="1"/>
    </row>
    <row r="27" spans="2:9">
      <c r="B27" s="3"/>
      <c r="C27" s="211">
        <v>5.5E-2</v>
      </c>
      <c r="D27" s="211">
        <v>3.5000000000000003E-2</v>
      </c>
      <c r="E27" s="211">
        <v>0.12740000000000001</v>
      </c>
      <c r="F27" s="211">
        <v>2.76E-2</v>
      </c>
      <c r="G27" s="211">
        <v>0.41499999999999998</v>
      </c>
      <c r="H27" s="211">
        <v>0.34</v>
      </c>
      <c r="I27" s="1"/>
    </row>
    <row r="28" spans="2:9">
      <c r="B28" s="3"/>
      <c r="C28" s="211">
        <v>5.5E-2</v>
      </c>
      <c r="D28" s="211">
        <v>3.5000000000000003E-2</v>
      </c>
      <c r="E28" s="211">
        <v>0.12740000000000001</v>
      </c>
      <c r="F28" s="211">
        <v>2.76E-2</v>
      </c>
      <c r="G28" s="211">
        <v>0.41499999999999998</v>
      </c>
      <c r="H28" s="211">
        <v>0.34</v>
      </c>
      <c r="I28" s="1"/>
    </row>
    <row r="29" spans="2:9">
      <c r="B29" s="3"/>
      <c r="C29" s="211">
        <v>5.5E-2</v>
      </c>
      <c r="D29" s="211">
        <v>3.5000000000000003E-2</v>
      </c>
      <c r="E29" s="211">
        <v>0.12740000000000001</v>
      </c>
      <c r="F29" s="211">
        <v>2.76E-2</v>
      </c>
      <c r="G29" s="211">
        <v>0.42</v>
      </c>
      <c r="H29" s="211">
        <v>0.33500000000000002</v>
      </c>
      <c r="I29" s="1"/>
    </row>
    <row r="30" spans="2:9">
      <c r="B30" s="3"/>
      <c r="C30" s="211">
        <v>5.5E-2</v>
      </c>
      <c r="D30" s="211">
        <v>3.5000000000000003E-2</v>
      </c>
      <c r="E30" s="211">
        <v>0.12740000000000001</v>
      </c>
      <c r="F30" s="211">
        <v>2.76E-2</v>
      </c>
      <c r="G30" s="211">
        <v>0.42</v>
      </c>
      <c r="H30" s="211">
        <v>0.33500000000000002</v>
      </c>
      <c r="I30" s="1"/>
    </row>
    <row r="31" spans="2:9">
      <c r="B31" s="3"/>
      <c r="C31" s="211">
        <v>5.5E-2</v>
      </c>
      <c r="D31" s="211">
        <v>3.5000000000000003E-2</v>
      </c>
      <c r="E31" s="211">
        <v>0.12740000000000001</v>
      </c>
      <c r="F31" s="211">
        <v>2.76E-2</v>
      </c>
      <c r="G31" s="211">
        <v>0.42</v>
      </c>
      <c r="H31" s="211">
        <v>0.33500000000000002</v>
      </c>
      <c r="I31" s="1"/>
    </row>
    <row r="32" spans="2:9">
      <c r="B32" s="3"/>
      <c r="C32" s="211">
        <v>0.13500000000000001</v>
      </c>
      <c r="D32" s="211">
        <v>0.1</v>
      </c>
      <c r="E32" s="211">
        <v>0.28270000000000001</v>
      </c>
      <c r="F32" s="211">
        <v>6.13E-2</v>
      </c>
      <c r="G32" s="211">
        <v>0.42099999999999999</v>
      </c>
      <c r="H32" s="212">
        <v>0</v>
      </c>
      <c r="I32" s="1"/>
    </row>
  </sheetData>
  <mergeCells count="6">
    <mergeCell ref="A8:A14"/>
    <mergeCell ref="B8:D8"/>
    <mergeCell ref="K10:M10"/>
    <mergeCell ref="A6:M6"/>
    <mergeCell ref="C25:H25"/>
    <mergeCell ref="B16:I16"/>
  </mergeCells>
  <conditionalFormatting sqref="M12">
    <cfRule type="cellIs" dxfId="49" priority="4" operator="greaterThan">
      <formula>0</formula>
    </cfRule>
    <cfRule type="cellIs" dxfId="48" priority="6" operator="greaterThan">
      <formula>0</formula>
    </cfRule>
  </conditionalFormatting>
  <conditionalFormatting sqref="M12">
    <cfRule type="cellIs" dxfId="47" priority="5" operator="greaterThan">
      <formula>0</formula>
    </cfRule>
  </conditionalFormatting>
  <conditionalFormatting sqref="B18:H23">
    <cfRule type="cellIs" dxfId="46" priority="2" operator="equal">
      <formula>0</formula>
    </cfRule>
    <cfRule type="cellIs" dxfId="45" priority="3" operator="equal">
      <formula>0</formula>
    </cfRule>
  </conditionalFormatting>
  <conditionalFormatting sqref="I18:I23">
    <cfRule type="cellIs" dxfId="44" priority="1" operator="equal">
      <formula>0</formula>
    </cfRule>
  </conditionalFormatting>
  <printOptions horizontalCentered="1"/>
  <pageMargins left="0" right="0" top="0" bottom="0" header="0" footer="0"/>
  <pageSetup paperSize="9" pageOrder="overThenDown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5:M32"/>
  <sheetViews>
    <sheetView showGridLines="0" topLeftCell="B6" zoomScale="130" zoomScaleNormal="130" workbookViewId="0">
      <selection activeCell="I10" sqref="I10"/>
    </sheetView>
  </sheetViews>
  <sheetFormatPr defaultRowHeight="15"/>
  <cols>
    <col min="3" max="3" width="16" bestFit="1" customWidth="1"/>
    <col min="4" max="4" width="13.5703125" bestFit="1" customWidth="1"/>
    <col min="5" max="5" width="8.7109375" bestFit="1" customWidth="1"/>
    <col min="6" max="6" width="12" bestFit="1" customWidth="1"/>
    <col min="7" max="7" width="10.42578125" customWidth="1"/>
    <col min="8" max="8" width="11.28515625" bestFit="1" customWidth="1"/>
    <col min="9" max="9" width="13.42578125" bestFit="1" customWidth="1"/>
    <col min="10" max="10" width="8.7109375" customWidth="1"/>
    <col min="12" max="12" width="9.7109375" bestFit="1" customWidth="1"/>
  </cols>
  <sheetData>
    <row r="5" spans="1:13" ht="15.75" thickBot="1"/>
    <row r="6" spans="1:13" ht="15.75" thickBot="1">
      <c r="A6" s="271" t="s">
        <v>38</v>
      </c>
      <c r="B6" s="272"/>
      <c r="C6" s="272"/>
      <c r="D6" s="272"/>
      <c r="E6" s="272"/>
      <c r="F6" s="272"/>
      <c r="G6" s="272"/>
      <c r="H6" s="272"/>
      <c r="I6" s="272"/>
      <c r="J6" s="273"/>
    </row>
    <row r="7" spans="1:13" ht="6.75" customHeight="1"/>
    <row r="8" spans="1:13" ht="16.5" customHeight="1">
      <c r="A8" s="268" t="s">
        <v>39</v>
      </c>
      <c r="B8" s="269" t="s">
        <v>5</v>
      </c>
      <c r="C8" s="269"/>
      <c r="D8" s="269"/>
      <c r="E8" s="71" t="s">
        <v>0</v>
      </c>
      <c r="F8" s="72" t="s">
        <v>6</v>
      </c>
      <c r="G8" s="1"/>
      <c r="H8" s="78" t="s">
        <v>35</v>
      </c>
      <c r="I8" s="28">
        <v>0</v>
      </c>
      <c r="J8" s="12"/>
      <c r="K8" s="1"/>
      <c r="L8" s="1"/>
      <c r="M8" s="1"/>
    </row>
    <row r="9" spans="1:13">
      <c r="A9" s="268"/>
      <c r="B9" s="73">
        <v>1</v>
      </c>
      <c r="C9" s="74">
        <v>0</v>
      </c>
      <c r="D9" s="74">
        <v>180000</v>
      </c>
      <c r="E9" s="84">
        <v>4.4999999999999998E-2</v>
      </c>
      <c r="F9" s="75">
        <v>0</v>
      </c>
      <c r="G9" s="1"/>
      <c r="H9" s="79" t="s">
        <v>34</v>
      </c>
      <c r="I9" s="28">
        <v>624708.31999999995</v>
      </c>
      <c r="J9" s="9"/>
      <c r="K9" s="1"/>
      <c r="L9" s="1"/>
      <c r="M9" s="1"/>
    </row>
    <row r="10" spans="1:13" ht="15.75" customHeight="1">
      <c r="A10" s="268"/>
      <c r="B10" s="73">
        <v>2</v>
      </c>
      <c r="C10" s="74">
        <f>D9+0.01</f>
        <v>180000.01</v>
      </c>
      <c r="D10" s="74">
        <v>360000</v>
      </c>
      <c r="E10" s="84">
        <v>7.8E-2</v>
      </c>
      <c r="F10" s="75">
        <v>5940</v>
      </c>
      <c r="G10" s="1"/>
      <c r="H10" s="79" t="s">
        <v>9</v>
      </c>
      <c r="I10" s="124">
        <f>IFERROR(VLOOKUP(I9,$C$9:$E14,3),"ISENTO")</f>
        <v>0.1</v>
      </c>
      <c r="J10" s="9"/>
      <c r="K10" s="270" t="s">
        <v>36</v>
      </c>
      <c r="L10" s="270"/>
      <c r="M10" s="270"/>
    </row>
    <row r="11" spans="1:13" ht="19.5" customHeight="1">
      <c r="A11" s="268"/>
      <c r="B11" s="73">
        <v>3</v>
      </c>
      <c r="C11" s="74">
        <f>D10+0.01</f>
        <v>360000.01</v>
      </c>
      <c r="D11" s="74">
        <v>720000</v>
      </c>
      <c r="E11" s="84">
        <v>0.1</v>
      </c>
      <c r="F11" s="75">
        <v>13860</v>
      </c>
      <c r="G11" s="1"/>
      <c r="H11" s="79" t="s">
        <v>6</v>
      </c>
      <c r="I11" s="125">
        <f>IFERROR(VLOOKUP(I9,$C$9:$F$14,4),0)</f>
        <v>13860</v>
      </c>
      <c r="J11" s="10"/>
      <c r="K11" s="158" t="s">
        <v>31</v>
      </c>
      <c r="L11" s="158" t="s">
        <v>7</v>
      </c>
      <c r="M11" s="158" t="s">
        <v>32</v>
      </c>
    </row>
    <row r="12" spans="1:13">
      <c r="A12" s="268"/>
      <c r="B12" s="73">
        <v>4</v>
      </c>
      <c r="C12" s="74">
        <f>D11+0.01</f>
        <v>720000.01</v>
      </c>
      <c r="D12" s="74">
        <v>1800000</v>
      </c>
      <c r="E12" s="84">
        <v>0.112</v>
      </c>
      <c r="F12" s="75">
        <v>22500</v>
      </c>
      <c r="G12" s="1"/>
      <c r="H12" s="80" t="s">
        <v>8</v>
      </c>
      <c r="I12" s="126">
        <f>IFERROR(ROUND((I9*I10-I11)/I9,4),"")</f>
        <v>7.7799999999999994E-2</v>
      </c>
      <c r="J12" s="9"/>
      <c r="K12" s="159">
        <f>IFERROR(VLOOKUP(I9,'Tabelas 2017'!$B$2:$M$21,6),"ISENTO")</f>
        <v>8.0399999999999999E-2</v>
      </c>
      <c r="L12" s="160">
        <f>I8*K12</f>
        <v>0</v>
      </c>
      <c r="M12" s="159">
        <f>IFERROR(I13/L12-1,0)</f>
        <v>0</v>
      </c>
    </row>
    <row r="13" spans="1:13" ht="17.25" customHeight="1">
      <c r="A13" s="268"/>
      <c r="B13" s="73">
        <v>5</v>
      </c>
      <c r="C13" s="74">
        <f>D12+0.01</f>
        <v>1800000.01</v>
      </c>
      <c r="D13" s="74">
        <v>3600000</v>
      </c>
      <c r="E13" s="84">
        <v>0.14699999999999999</v>
      </c>
      <c r="F13" s="75">
        <v>85500</v>
      </c>
      <c r="G13" s="1"/>
      <c r="H13" s="81" t="s">
        <v>7</v>
      </c>
      <c r="I13" s="127">
        <f>IFERROR(I8*I12,"")</f>
        <v>0</v>
      </c>
      <c r="J13" s="11"/>
      <c r="K13" s="1"/>
      <c r="L13" s="1"/>
      <c r="M13" s="1"/>
    </row>
    <row r="14" spans="1:13" ht="16.5" customHeight="1">
      <c r="A14" s="268"/>
      <c r="B14" s="76">
        <v>6</v>
      </c>
      <c r="C14" s="77">
        <f>D13+0.01</f>
        <v>3600000.01</v>
      </c>
      <c r="D14" s="77">
        <v>4800000</v>
      </c>
      <c r="E14" s="85">
        <v>0.3</v>
      </c>
      <c r="F14" s="72">
        <v>720000</v>
      </c>
      <c r="G14" s="1"/>
      <c r="H14" s="1"/>
      <c r="I14" s="1"/>
      <c r="J14" s="9"/>
      <c r="K14" s="1"/>
      <c r="L14" s="1"/>
      <c r="M14" s="1"/>
    </row>
    <row r="16" spans="1:13">
      <c r="B16" s="275" t="s">
        <v>84</v>
      </c>
      <c r="C16" s="276"/>
      <c r="D16" s="276"/>
      <c r="E16" s="276"/>
      <c r="F16" s="276"/>
      <c r="G16" s="276"/>
      <c r="H16" s="276"/>
      <c r="I16" s="276"/>
      <c r="J16" s="277"/>
    </row>
    <row r="17" spans="2:10">
      <c r="B17" s="199" t="s">
        <v>3</v>
      </c>
      <c r="C17" s="198" t="s">
        <v>55</v>
      </c>
      <c r="D17" s="198" t="s">
        <v>57</v>
      </c>
      <c r="E17" s="198" t="s">
        <v>76</v>
      </c>
      <c r="F17" s="198" t="s">
        <v>77</v>
      </c>
      <c r="G17" s="198" t="s">
        <v>63</v>
      </c>
      <c r="H17" s="198" t="s">
        <v>83</v>
      </c>
      <c r="I17" s="198" t="s">
        <v>78</v>
      </c>
      <c r="J17" s="213" t="s">
        <v>79</v>
      </c>
    </row>
    <row r="18" spans="2:10">
      <c r="B18" s="214">
        <f>IF($I$10=E9,1,0)</f>
        <v>0</v>
      </c>
      <c r="C18" s="215">
        <f>IFERROR(IF(B18=1,$I$12*C27,0),"")</f>
        <v>0</v>
      </c>
      <c r="D18" s="215">
        <f>IFERROR(IF(B18=1,$I$12*D27,0),"")</f>
        <v>0</v>
      </c>
      <c r="E18" s="215">
        <f>IFERROR(IF(B18=1,$I$12*E27,0),"")</f>
        <v>0</v>
      </c>
      <c r="F18" s="215">
        <f>IFERROR(IF(B18=1,$I$12*F27,0),"")</f>
        <v>0</v>
      </c>
      <c r="G18" s="215">
        <f>IFERROR(IF(B18=1,$I$12*G27,0),0)</f>
        <v>0</v>
      </c>
      <c r="H18" s="215">
        <f>IFERROR(IF(B18=1,$I$12*H27,0),0)</f>
        <v>0</v>
      </c>
      <c r="I18" s="215">
        <f>IFERROR(IF(B18=1,$I$12*I27,0),"")</f>
        <v>0</v>
      </c>
      <c r="J18" s="216">
        <f>SUM(C18:I18)</f>
        <v>0</v>
      </c>
    </row>
    <row r="19" spans="2:10">
      <c r="B19" s="214">
        <f>IF($I$10=E10,2,0)</f>
        <v>0</v>
      </c>
      <c r="C19" s="215">
        <f>IF(B19=2,$I$12*C28,0)</f>
        <v>0</v>
      </c>
      <c r="D19" s="215">
        <f>IF(B19=2,$I$12*D28,0)</f>
        <v>0</v>
      </c>
      <c r="E19" s="215">
        <f>IF(B19=2,$I$12*E28,0)</f>
        <v>0</v>
      </c>
      <c r="F19" s="215">
        <f>IF(B19=2,$I$12*F28,0)</f>
        <v>0</v>
      </c>
      <c r="G19" s="215">
        <f>IF(B19=2,$I$12*G28,0)</f>
        <v>0</v>
      </c>
      <c r="H19" s="215">
        <f>IFERROR(IF(B19=2,$I$12*H28,0),0)</f>
        <v>0</v>
      </c>
      <c r="I19" s="215">
        <f>IF(B19=2,$I$12*I28,0)</f>
        <v>0</v>
      </c>
      <c r="J19" s="216">
        <f t="shared" ref="J19:J23" si="0">SUM(C19:I19)</f>
        <v>0</v>
      </c>
    </row>
    <row r="20" spans="2:10">
      <c r="B20" s="214">
        <f>IF($I$10=E11,3,0)</f>
        <v>3</v>
      </c>
      <c r="C20" s="215">
        <f>IF(B20=3,$I$12*C29,0)</f>
        <v>4.2789999999999998E-3</v>
      </c>
      <c r="D20" s="215">
        <f>IF(B20=3,$I$12*D29,0)</f>
        <v>2.7230000000000002E-3</v>
      </c>
      <c r="E20" s="215">
        <f>IF(B20=3,$I$12*E29,0)</f>
        <v>8.954779999999999E-3</v>
      </c>
      <c r="F20" s="215">
        <f>IF(B20=3,$I$12*F29,0)</f>
        <v>1.9372199999999997E-3</v>
      </c>
      <c r="G20" s="215">
        <f>IF(B20=3,$I$12*G29,0)</f>
        <v>2.9175E-2</v>
      </c>
      <c r="H20" s="215">
        <f>IFERROR(IF(B20=3,$I$12*H29,0),0)</f>
        <v>5.834999999999999E-3</v>
      </c>
      <c r="I20" s="215">
        <f>IF(B20=3,$I$12*I29,0)</f>
        <v>2.4895999999999998E-2</v>
      </c>
      <c r="J20" s="216">
        <f t="shared" si="0"/>
        <v>7.7799999999999994E-2</v>
      </c>
    </row>
    <row r="21" spans="2:10">
      <c r="B21" s="214">
        <f>IF($I$10=E12,4,0)</f>
        <v>0</v>
      </c>
      <c r="C21" s="215">
        <f>IF(B21=4,$I$12*C30,0)</f>
        <v>0</v>
      </c>
      <c r="D21" s="215">
        <f>IF(B21=4,$I$12*D30,0)</f>
        <v>0</v>
      </c>
      <c r="E21" s="215">
        <f>IF(B21=4,$I$12*E30,0)</f>
        <v>0</v>
      </c>
      <c r="F21" s="215">
        <f>IF(B21=4,$I$12*F30,0)</f>
        <v>0</v>
      </c>
      <c r="G21" s="215">
        <f>IF(B21=4,$I$12*G30,0)</f>
        <v>0</v>
      </c>
      <c r="H21" s="215">
        <f>IFERROR(IF(B21=4,$I$12*H30,0),0)</f>
        <v>0</v>
      </c>
      <c r="I21" s="215">
        <f>IF(B21=4,$I$12*I30,0)</f>
        <v>0</v>
      </c>
      <c r="J21" s="216">
        <f t="shared" si="0"/>
        <v>0</v>
      </c>
    </row>
    <row r="22" spans="2:10">
      <c r="B22" s="214">
        <f>IF($I$10=E13,5,0)</f>
        <v>0</v>
      </c>
      <c r="C22" s="215">
        <f>IF(B22=5,$I$12*C31,0)</f>
        <v>0</v>
      </c>
      <c r="D22" s="215">
        <f>IF(B22=5,$I$12*D31,0)</f>
        <v>0</v>
      </c>
      <c r="E22" s="215">
        <f>IF(B22=5,$I$12*E31,0)</f>
        <v>0</v>
      </c>
      <c r="F22" s="215">
        <f>IF(B22=5,$I$12*F31,0)</f>
        <v>0</v>
      </c>
      <c r="G22" s="215">
        <f>IF(B22=5,$I$12*G31,0)</f>
        <v>0</v>
      </c>
      <c r="H22" s="215">
        <f>IFERROR(IF(B22=5,$I$12*H31,0),0)</f>
        <v>0</v>
      </c>
      <c r="I22" s="215">
        <f>IF(B22=5,$I$12*I31,0)</f>
        <v>0</v>
      </c>
      <c r="J22" s="216">
        <f t="shared" si="0"/>
        <v>0</v>
      </c>
    </row>
    <row r="23" spans="2:10">
      <c r="B23" s="214">
        <f>IF($I$10=E14,6,0)</f>
        <v>0</v>
      </c>
      <c r="C23" s="215">
        <f>IF(B23=6,$I$12*C32,0)</f>
        <v>0</v>
      </c>
      <c r="D23" s="215">
        <f>IF(B23=6,$I$12*D32,0)</f>
        <v>0</v>
      </c>
      <c r="E23" s="215">
        <f>IF(B23=6,$I$12*E32,0)</f>
        <v>0</v>
      </c>
      <c r="F23" s="215">
        <f>IF(B23=6,$I$12*F32,0)</f>
        <v>0</v>
      </c>
      <c r="G23" s="215">
        <f>IF(B23=6,$I$12*G32,0)</f>
        <v>0</v>
      </c>
      <c r="H23" s="215">
        <f>IFERROR(IF(B23=6,$I$12*H32,0),0)</f>
        <v>0</v>
      </c>
      <c r="I23" s="215">
        <f>IF(B23=6,$I$12*I32,0)</f>
        <v>0</v>
      </c>
      <c r="J23" s="216">
        <f t="shared" si="0"/>
        <v>0</v>
      </c>
    </row>
    <row r="25" spans="2:10">
      <c r="C25" s="274" t="s">
        <v>82</v>
      </c>
      <c r="D25" s="274"/>
      <c r="E25" s="274"/>
      <c r="F25" s="274"/>
      <c r="G25" s="274"/>
      <c r="H25" s="274"/>
      <c r="I25" s="274"/>
    </row>
    <row r="26" spans="2:10">
      <c r="C26" s="217" t="s">
        <v>55</v>
      </c>
      <c r="D26" s="217" t="s">
        <v>57</v>
      </c>
      <c r="E26" s="217" t="s">
        <v>76</v>
      </c>
      <c r="F26" s="217" t="s">
        <v>77</v>
      </c>
      <c r="G26" s="217" t="s">
        <v>63</v>
      </c>
      <c r="H26" s="217" t="s">
        <v>83</v>
      </c>
      <c r="I26" s="217" t="s">
        <v>78</v>
      </c>
    </row>
    <row r="27" spans="2:10">
      <c r="C27" s="218">
        <v>5.5E-2</v>
      </c>
      <c r="D27" s="218">
        <v>3.5000000000000003E-2</v>
      </c>
      <c r="E27" s="218">
        <v>0.11509999999999999</v>
      </c>
      <c r="F27" s="218">
        <v>2.4899999999999999E-2</v>
      </c>
      <c r="G27" s="218">
        <v>0.375</v>
      </c>
      <c r="H27" s="218">
        <v>7.4999999999999997E-2</v>
      </c>
      <c r="I27" s="218">
        <v>0.32</v>
      </c>
    </row>
    <row r="28" spans="2:10">
      <c r="C28" s="218">
        <v>5.5E-2</v>
      </c>
      <c r="D28" s="218">
        <v>3.5000000000000003E-2</v>
      </c>
      <c r="E28" s="218">
        <v>0.11509999999999999</v>
      </c>
      <c r="F28" s="218">
        <v>2.4899999999999999E-2</v>
      </c>
      <c r="G28" s="218">
        <v>0.375</v>
      </c>
      <c r="H28" s="218">
        <v>7.4999999999999997E-2</v>
      </c>
      <c r="I28" s="218">
        <v>0.32</v>
      </c>
    </row>
    <row r="29" spans="2:10">
      <c r="C29" s="218">
        <v>5.5E-2</v>
      </c>
      <c r="D29" s="218">
        <v>3.5000000000000003E-2</v>
      </c>
      <c r="E29" s="218">
        <v>0.11509999999999999</v>
      </c>
      <c r="F29" s="218">
        <v>2.4899999999999999E-2</v>
      </c>
      <c r="G29" s="218">
        <v>0.375</v>
      </c>
      <c r="H29" s="218">
        <v>7.4999999999999997E-2</v>
      </c>
      <c r="I29" s="218">
        <v>0.32</v>
      </c>
    </row>
    <row r="30" spans="2:10">
      <c r="C30" s="218">
        <v>5.5E-2</v>
      </c>
      <c r="D30" s="218">
        <v>3.5000000000000003E-2</v>
      </c>
      <c r="E30" s="218">
        <v>0.11509999999999999</v>
      </c>
      <c r="F30" s="218">
        <v>2.4899999999999999E-2</v>
      </c>
      <c r="G30" s="218">
        <v>0.375</v>
      </c>
      <c r="H30" s="218">
        <v>7.4999999999999997E-2</v>
      </c>
      <c r="I30" s="218">
        <v>0.32</v>
      </c>
    </row>
    <row r="31" spans="2:10">
      <c r="C31" s="218">
        <v>5.5E-2</v>
      </c>
      <c r="D31" s="218">
        <v>3.5000000000000003E-2</v>
      </c>
      <c r="E31" s="218">
        <v>0.11509999999999999</v>
      </c>
      <c r="F31" s="218">
        <v>2.4899999999999999E-2</v>
      </c>
      <c r="G31" s="218">
        <v>0.375</v>
      </c>
      <c r="H31" s="218">
        <v>7.4999999999999997E-2</v>
      </c>
      <c r="I31" s="218">
        <v>0.32</v>
      </c>
    </row>
    <row r="32" spans="2:10">
      <c r="C32" s="218">
        <v>8.5000000000000006E-2</v>
      </c>
      <c r="D32" s="218">
        <v>7.4999999999999997E-2</v>
      </c>
      <c r="E32" s="218">
        <v>0.20960000000000001</v>
      </c>
      <c r="F32" s="218">
        <v>4.5400000000000003E-2</v>
      </c>
      <c r="G32" s="218">
        <v>0.23499999999999999</v>
      </c>
      <c r="H32" s="218">
        <v>0.35</v>
      </c>
      <c r="I32" s="219">
        <v>0</v>
      </c>
    </row>
  </sheetData>
  <mergeCells count="6">
    <mergeCell ref="A8:A14"/>
    <mergeCell ref="B8:D8"/>
    <mergeCell ref="K10:M10"/>
    <mergeCell ref="A6:J6"/>
    <mergeCell ref="C25:I25"/>
    <mergeCell ref="B16:J16"/>
  </mergeCells>
  <conditionalFormatting sqref="M12">
    <cfRule type="cellIs" dxfId="43" priority="6" operator="greaterThan">
      <formula>0</formula>
    </cfRule>
    <cfRule type="cellIs" dxfId="42" priority="7" operator="greaterThan">
      <formula>0</formula>
    </cfRule>
  </conditionalFormatting>
  <conditionalFormatting sqref="B18:H23">
    <cfRule type="cellIs" dxfId="41" priority="4" operator="equal">
      <formula>0</formula>
    </cfRule>
    <cfRule type="cellIs" dxfId="40" priority="5" operator="equal">
      <formula>0</formula>
    </cfRule>
  </conditionalFormatting>
  <conditionalFormatting sqref="I18:I23">
    <cfRule type="cellIs" dxfId="39" priority="2" operator="equal">
      <formula>0</formula>
    </cfRule>
    <cfRule type="cellIs" dxfId="38" priority="3" operator="equal">
      <formula>0</formula>
    </cfRule>
  </conditionalFormatting>
  <conditionalFormatting sqref="J18:J23">
    <cfRule type="cellIs" dxfId="37" priority="1" operator="equal">
      <formula>0</formula>
    </cfRule>
  </conditionalFormatting>
  <pageMargins left="0" right="0" top="0" bottom="0" header="0" footer="0"/>
  <pageSetup paperSize="9" scale="95" pageOrder="overThenDown" orientation="landscape" horizontalDpi="4294967293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5:L36"/>
  <sheetViews>
    <sheetView showGridLines="0" topLeftCell="D8" zoomScale="140" zoomScaleNormal="140" workbookViewId="0">
      <selection activeCell="L10" sqref="L10"/>
    </sheetView>
  </sheetViews>
  <sheetFormatPr defaultRowHeight="15"/>
  <cols>
    <col min="3" max="3" width="16" bestFit="1" customWidth="1"/>
    <col min="4" max="4" width="13.5703125" bestFit="1" customWidth="1"/>
    <col min="6" max="6" width="12" bestFit="1" customWidth="1"/>
    <col min="7" max="7" width="9" bestFit="1" customWidth="1"/>
    <col min="9" max="9" width="13.42578125" bestFit="1" customWidth="1"/>
    <col min="10" max="10" width="4.28515625" customWidth="1"/>
    <col min="11" max="11" width="11.28515625" bestFit="1" customWidth="1"/>
    <col min="12" max="12" width="13.42578125" bestFit="1" customWidth="1"/>
  </cols>
  <sheetData>
    <row r="5" spans="1:12" ht="15.75" thickBot="1"/>
    <row r="6" spans="1:12" ht="15.75" thickBot="1">
      <c r="A6" s="287" t="s">
        <v>40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9"/>
    </row>
    <row r="7" spans="1:12" ht="6.75" customHeight="1"/>
    <row r="8" spans="1:12">
      <c r="A8" s="284" t="s">
        <v>1</v>
      </c>
      <c r="B8" s="286" t="s">
        <v>5</v>
      </c>
      <c r="C8" s="286"/>
      <c r="D8" s="286"/>
      <c r="E8" s="86" t="s">
        <v>0</v>
      </c>
      <c r="F8" s="87" t="s">
        <v>6</v>
      </c>
      <c r="G8" s="1"/>
      <c r="H8" s="25"/>
      <c r="I8" s="3"/>
      <c r="J8" s="14"/>
      <c r="K8" s="99" t="s">
        <v>35</v>
      </c>
      <c r="L8" s="28">
        <v>0</v>
      </c>
    </row>
    <row r="9" spans="1:12">
      <c r="A9" s="285"/>
      <c r="B9" s="88">
        <v>1</v>
      </c>
      <c r="C9" s="89">
        <v>0</v>
      </c>
      <c r="D9" s="89">
        <v>180000</v>
      </c>
      <c r="E9" s="90">
        <v>0.06</v>
      </c>
      <c r="F9" s="91">
        <v>0</v>
      </c>
      <c r="G9" s="1"/>
      <c r="H9" s="94" t="s">
        <v>41</v>
      </c>
      <c r="I9" s="24">
        <v>0</v>
      </c>
      <c r="J9" s="15"/>
      <c r="K9" s="100" t="s">
        <v>34</v>
      </c>
      <c r="L9" s="28">
        <v>318042.26</v>
      </c>
    </row>
    <row r="10" spans="1:12">
      <c r="A10" s="285"/>
      <c r="B10" s="88">
        <v>2</v>
      </c>
      <c r="C10" s="89">
        <f>D9+0.01</f>
        <v>180000.01</v>
      </c>
      <c r="D10" s="89">
        <v>360000</v>
      </c>
      <c r="E10" s="90">
        <v>0.112</v>
      </c>
      <c r="F10" s="91">
        <v>9360</v>
      </c>
      <c r="G10" s="1"/>
      <c r="H10" s="94" t="s">
        <v>11</v>
      </c>
      <c r="I10" s="97">
        <v>28</v>
      </c>
      <c r="J10" s="16"/>
      <c r="K10" s="100" t="s">
        <v>9</v>
      </c>
      <c r="L10" s="120">
        <f>IFERROR(IF(I10&gt;=28,VLOOKUP(L9,$C$9:$E$14,3),VLOOKUP(L9,'ANEXO V'!$C$9:$E$14,3)),"")</f>
        <v>0.112</v>
      </c>
    </row>
    <row r="11" spans="1:12">
      <c r="A11" s="285"/>
      <c r="B11" s="88">
        <v>3</v>
      </c>
      <c r="C11" s="89">
        <f>D10+0.01</f>
        <v>360000.01</v>
      </c>
      <c r="D11" s="89">
        <v>720000</v>
      </c>
      <c r="E11" s="90">
        <v>0.13500000000000001</v>
      </c>
      <c r="F11" s="91">
        <v>17640</v>
      </c>
      <c r="G11" s="1"/>
      <c r="H11" s="95" t="str">
        <f>IF(I10&lt;28,"FS&lt;28%","FS&gt;=28%")</f>
        <v>FS&gt;=28%</v>
      </c>
      <c r="I11" s="3"/>
      <c r="J11" s="17"/>
      <c r="K11" s="100" t="s">
        <v>6</v>
      </c>
      <c r="L11" s="121">
        <f>IF(I10&gt;=28,VLOOKUP(L9,$C$9:$F$14,4),VLOOKUP(L9,'ANEXO V'!$C$9:$F$14,4))</f>
        <v>9360</v>
      </c>
    </row>
    <row r="12" spans="1:12">
      <c r="A12" s="285"/>
      <c r="B12" s="88">
        <v>4</v>
      </c>
      <c r="C12" s="89">
        <f>D11+0.01</f>
        <v>720000.01</v>
      </c>
      <c r="D12" s="89">
        <v>1800000</v>
      </c>
      <c r="E12" s="90">
        <v>0.16</v>
      </c>
      <c r="F12" s="91">
        <v>35640</v>
      </c>
      <c r="G12" s="232" t="str">
        <f>IF(I12="V", "(**)","")</f>
        <v/>
      </c>
      <c r="H12" s="96" t="s">
        <v>12</v>
      </c>
      <c r="I12" s="98" t="str">
        <f>IF(I10&lt;28,"V","III")</f>
        <v>III</v>
      </c>
      <c r="J12" s="14"/>
      <c r="K12" s="101" t="s">
        <v>8</v>
      </c>
      <c r="L12" s="122">
        <f>IFERROR(ROUND((L9*L10-L11)/L9,4),"")</f>
        <v>8.2600000000000007E-2</v>
      </c>
    </row>
    <row r="13" spans="1:12">
      <c r="A13" s="285"/>
      <c r="B13" s="88">
        <v>5</v>
      </c>
      <c r="C13" s="89">
        <f>D12+0.01</f>
        <v>1800000.01</v>
      </c>
      <c r="D13" s="89">
        <v>3600000</v>
      </c>
      <c r="E13" s="90">
        <v>0.21</v>
      </c>
      <c r="F13" s="91">
        <v>125640</v>
      </c>
      <c r="G13" s="1"/>
      <c r="I13" s="4"/>
      <c r="J13" s="14"/>
      <c r="K13" s="102" t="s">
        <v>7</v>
      </c>
      <c r="L13" s="123">
        <f>IFERROR(L8*L12,"")</f>
        <v>0</v>
      </c>
    </row>
    <row r="14" spans="1:12">
      <c r="A14" s="285"/>
      <c r="B14" s="86">
        <v>6</v>
      </c>
      <c r="C14" s="92">
        <f>D13+0.01</f>
        <v>3600000.01</v>
      </c>
      <c r="D14" s="92">
        <v>4800000</v>
      </c>
      <c r="E14" s="93">
        <v>0.33</v>
      </c>
      <c r="F14" s="87">
        <v>648000</v>
      </c>
      <c r="G14" s="1"/>
      <c r="I14" s="3"/>
      <c r="J14" s="13"/>
      <c r="K14" s="1"/>
      <c r="L14" s="1"/>
    </row>
    <row r="15" spans="1:12">
      <c r="K15">
        <v>225136.36</v>
      </c>
    </row>
    <row r="16" spans="1:12">
      <c r="B16" s="281" t="s">
        <v>95</v>
      </c>
      <c r="C16" s="282"/>
      <c r="D16" s="282"/>
      <c r="E16" s="282"/>
      <c r="F16" s="282"/>
      <c r="G16" s="282"/>
      <c r="H16" s="282"/>
      <c r="I16" s="283"/>
    </row>
    <row r="17" spans="1:10">
      <c r="B17" s="201" t="s">
        <v>3</v>
      </c>
      <c r="C17" s="200" t="s">
        <v>55</v>
      </c>
      <c r="D17" s="200" t="s">
        <v>57</v>
      </c>
      <c r="E17" s="200" t="s">
        <v>76</v>
      </c>
      <c r="F17" s="200" t="s">
        <v>77</v>
      </c>
      <c r="G17" s="200" t="s">
        <v>63</v>
      </c>
      <c r="H17" s="200" t="s">
        <v>85</v>
      </c>
      <c r="I17" s="228" t="s">
        <v>79</v>
      </c>
    </row>
    <row r="18" spans="1:10">
      <c r="B18" s="229">
        <f>IF(AND($L$10=E9,$I$12="III"),1,0)</f>
        <v>0</v>
      </c>
      <c r="C18" s="230">
        <f>IFERROR(IF(B18=1,$L$12*C27,0),"")</f>
        <v>0</v>
      </c>
      <c r="D18" s="230">
        <f>IFERROR(IF(B18=1,$L$12*D27,0),"")</f>
        <v>0</v>
      </c>
      <c r="E18" s="230" t="str">
        <f>IFERROR(IF(B18=1,$L$12*E27,O),"")</f>
        <v/>
      </c>
      <c r="F18" s="230">
        <f>IFERROR(IF(B18=1,$L$12*F27,0),"")</f>
        <v>0</v>
      </c>
      <c r="G18" s="230">
        <f>IFERROR(IF(B18=1,$L$12*G27,0),"")</f>
        <v>0</v>
      </c>
      <c r="H18" s="230">
        <f>IFERROR(IF(B18=1,$L$12*H27,0),"")</f>
        <v>0</v>
      </c>
      <c r="I18" s="231">
        <f t="shared" ref="I18" si="0">SUM(C18:H18)</f>
        <v>0</v>
      </c>
    </row>
    <row r="19" spans="1:10">
      <c r="B19" s="229">
        <f>IF(AND($L$10=E10,$I$12="III"),2,0)</f>
        <v>2</v>
      </c>
      <c r="C19" s="230">
        <f>IF(B19=2,$L$12*C28,0)</f>
        <v>3.3040000000000005E-3</v>
      </c>
      <c r="D19" s="230">
        <f>IF(B19=2,$L$12*D28,0)</f>
        <v>2.8910000000000003E-3</v>
      </c>
      <c r="E19" s="230">
        <f>IF(B19=2,$L$12*E28,0)</f>
        <v>1.1605300000000002E-2</v>
      </c>
      <c r="F19" s="230">
        <f>IF(B19=2,$L$12*F28,0)</f>
        <v>2.5193000000000004E-3</v>
      </c>
      <c r="G19" s="230">
        <f>IF(B19=2,$L$12*G28,0)</f>
        <v>3.5848400000000002E-2</v>
      </c>
      <c r="H19" s="230">
        <f>IF(B19=2,$L$12*H28,0)</f>
        <v>2.6432000000000004E-2</v>
      </c>
      <c r="I19" s="231">
        <f t="shared" ref="I19:I23" si="1">SUM(C19:H19)</f>
        <v>8.2600000000000007E-2</v>
      </c>
    </row>
    <row r="20" spans="1:10">
      <c r="B20" s="229">
        <f>IF(AND($L$10=E11,$I$12="III"),3,0)</f>
        <v>0</v>
      </c>
      <c r="C20" s="230">
        <f>IF(B20=3,$L$12*C29,0)</f>
        <v>0</v>
      </c>
      <c r="D20" s="230">
        <f>IF(B20=3,$L$12*D29,0)</f>
        <v>0</v>
      </c>
      <c r="E20" s="230">
        <f>IF(B20=3,$L$12*E29,0)</f>
        <v>0</v>
      </c>
      <c r="F20" s="230">
        <f>IF(B20=3,$L$12*F29,0)</f>
        <v>0</v>
      </c>
      <c r="G20" s="230">
        <f>IF(B20=3,$L$12*G29,0)</f>
        <v>0</v>
      </c>
      <c r="H20" s="230">
        <f>IF(B20=3,$L$12*H29,0)</f>
        <v>0</v>
      </c>
      <c r="I20" s="231">
        <f t="shared" si="1"/>
        <v>0</v>
      </c>
    </row>
    <row r="21" spans="1:10">
      <c r="B21" s="229">
        <f>IF(AND($L$10=E12,$I$12="III"),4,0)</f>
        <v>0</v>
      </c>
      <c r="C21" s="230">
        <f>IF(B21=4,$L$12*C30,0)</f>
        <v>0</v>
      </c>
      <c r="D21" s="230">
        <f>IF(B21=4,$L$12*D30,0)</f>
        <v>0</v>
      </c>
      <c r="E21" s="230">
        <f>IF(B21=4,$L$12*E30,0)</f>
        <v>0</v>
      </c>
      <c r="F21" s="230">
        <f>IF(B21=4,$L$12*F30,0)</f>
        <v>0</v>
      </c>
      <c r="G21" s="230">
        <f>IF(B21=4,$L$12*G30,0)</f>
        <v>0</v>
      </c>
      <c r="H21" s="230">
        <f>IF(B21=4,$L$12*H30,0)</f>
        <v>0</v>
      </c>
      <c r="I21" s="231">
        <f t="shared" si="1"/>
        <v>0</v>
      </c>
    </row>
    <row r="22" spans="1:10">
      <c r="A22" s="233"/>
      <c r="B22" s="229">
        <f>IF(AND($L$10=E13,$I$12="III"),5,0)</f>
        <v>0</v>
      </c>
      <c r="C22" s="230">
        <f>IF(AND($B$22=5,$L$12&lt;=14.92537%),$L$12*C31,($L$12-5%)*6.02%)</f>
        <v>1.9625200000000001E-3</v>
      </c>
      <c r="D22" s="230">
        <f>IF(AND($B$22=5,$L$12&lt;=14.92537%),$L$12*D31,($L$12-5%)*5.26%)</f>
        <v>1.7147600000000003E-3</v>
      </c>
      <c r="E22" s="230">
        <f>IF(AND($B$22=5,$L$12&lt;=14.92537%),$L$12*E31,($L$12-5%)*19.28%)</f>
        <v>6.2852800000000007E-3</v>
      </c>
      <c r="F22" s="230">
        <f>IF(AND($B$22=5,$L$12&lt;=14.92537%),$L$12*F31,($L$12-5%)*4.18%)</f>
        <v>1.36268E-3</v>
      </c>
      <c r="G22" s="230">
        <f>IF(AND($B$22=5,$L$12&lt;=14.92537%),$L$12*G31,($L$12-5%)*65.26%)</f>
        <v>2.1274760000000004E-2</v>
      </c>
      <c r="H22" s="230">
        <f>IF(AND($B$22=5,$L$12&lt;=14.92537%),$L$12*H31,5%)</f>
        <v>0.05</v>
      </c>
      <c r="I22" s="231">
        <f t="shared" si="1"/>
        <v>8.2600000000000007E-2</v>
      </c>
      <c r="J22" s="233"/>
    </row>
    <row r="23" spans="1:10">
      <c r="B23" s="229">
        <f>IF(AND($L$10=E14,$I$12="III"),6,0)</f>
        <v>0</v>
      </c>
      <c r="C23" s="230">
        <f>IF(B23=6,$L$12*C32,0)</f>
        <v>0</v>
      </c>
      <c r="D23" s="230">
        <f>IF(B23=6,$L$12*D32,0)</f>
        <v>0</v>
      </c>
      <c r="E23" s="230">
        <f>IF(B23=6,$L$12*E32,0)</f>
        <v>0</v>
      </c>
      <c r="F23" s="230">
        <f>IF(B23=6,$L$12*F32,0)</f>
        <v>0</v>
      </c>
      <c r="G23" s="230">
        <f>IF(B23=6,$L$12*G32,0)</f>
        <v>0</v>
      </c>
      <c r="H23" s="230">
        <f>IF(B23=6,$L$12*H32,0)</f>
        <v>0</v>
      </c>
      <c r="I23" s="231">
        <f t="shared" si="1"/>
        <v>0</v>
      </c>
    </row>
    <row r="25" spans="1:10">
      <c r="C25" s="290" t="s">
        <v>95</v>
      </c>
      <c r="D25" s="290"/>
      <c r="E25" s="290"/>
      <c r="F25" s="290"/>
      <c r="G25" s="290"/>
      <c r="H25" s="290"/>
      <c r="I25" s="1"/>
    </row>
    <row r="26" spans="1:10">
      <c r="C26" s="224" t="s">
        <v>55</v>
      </c>
      <c r="D26" s="224" t="s">
        <v>57</v>
      </c>
      <c r="E26" s="224" t="s">
        <v>76</v>
      </c>
      <c r="F26" s="224" t="s">
        <v>77</v>
      </c>
      <c r="G26" s="224" t="s">
        <v>63</v>
      </c>
      <c r="H26" s="224" t="s">
        <v>85</v>
      </c>
      <c r="I26" s="1"/>
    </row>
    <row r="27" spans="1:10">
      <c r="C27" s="225">
        <v>0.04</v>
      </c>
      <c r="D27" s="225">
        <v>3.5000000000000003E-2</v>
      </c>
      <c r="E27" s="225">
        <v>0.12820000000000001</v>
      </c>
      <c r="F27" s="225">
        <v>2.7799999999999998E-2</v>
      </c>
      <c r="G27" s="225">
        <v>0.434</v>
      </c>
      <c r="H27" s="225">
        <v>0.33500000000000002</v>
      </c>
      <c r="I27" s="1"/>
    </row>
    <row r="28" spans="1:10">
      <c r="C28" s="225">
        <v>0.04</v>
      </c>
      <c r="D28" s="225">
        <v>3.5000000000000003E-2</v>
      </c>
      <c r="E28" s="225">
        <v>0.14050000000000001</v>
      </c>
      <c r="F28" s="225">
        <v>3.0499999999999999E-2</v>
      </c>
      <c r="G28" s="225">
        <v>0.434</v>
      </c>
      <c r="H28" s="225">
        <v>0.32</v>
      </c>
      <c r="I28" s="1"/>
    </row>
    <row r="29" spans="1:10">
      <c r="C29" s="225">
        <v>0.04</v>
      </c>
      <c r="D29" s="225">
        <v>3.5000000000000003E-2</v>
      </c>
      <c r="E29" s="225">
        <v>0.13639999999999999</v>
      </c>
      <c r="F29" s="225">
        <v>2.9600000000000001E-2</v>
      </c>
      <c r="G29" s="225">
        <v>0.434</v>
      </c>
      <c r="H29" s="225">
        <v>0.32500000000000001</v>
      </c>
      <c r="I29" s="1"/>
    </row>
    <row r="30" spans="1:10">
      <c r="C30" s="225">
        <v>0.04</v>
      </c>
      <c r="D30" s="225">
        <v>3.5000000000000003E-2</v>
      </c>
      <c r="E30" s="225">
        <v>0.13639999999999999</v>
      </c>
      <c r="F30" s="225">
        <v>2.9600000000000001E-2</v>
      </c>
      <c r="G30" s="225">
        <v>0.434</v>
      </c>
      <c r="H30" s="225">
        <v>0.32500000000000001</v>
      </c>
      <c r="I30" s="1"/>
    </row>
    <row r="31" spans="1:10">
      <c r="C31" s="225">
        <v>0.04</v>
      </c>
      <c r="D31" s="225">
        <v>3.5000000000000003E-2</v>
      </c>
      <c r="E31" s="225">
        <v>0.12820000000000001</v>
      </c>
      <c r="F31" s="225">
        <v>2.7799999999999998E-2</v>
      </c>
      <c r="G31" s="225">
        <v>0.434</v>
      </c>
      <c r="H31" s="225">
        <v>0.33500000000000002</v>
      </c>
      <c r="I31" s="1" t="s">
        <v>86</v>
      </c>
    </row>
    <row r="32" spans="1:10">
      <c r="C32" s="225">
        <v>0.35</v>
      </c>
      <c r="D32" s="225">
        <v>0.15</v>
      </c>
      <c r="E32" s="225">
        <v>0.1603</v>
      </c>
      <c r="F32" s="225">
        <v>3.4700000000000002E-2</v>
      </c>
      <c r="G32" s="225">
        <v>0.30499999999999999</v>
      </c>
      <c r="H32" s="226">
        <v>0</v>
      </c>
      <c r="I32" s="1"/>
    </row>
    <row r="34" spans="2:8" ht="34.5" customHeight="1">
      <c r="B34" s="278" t="s">
        <v>87</v>
      </c>
      <c r="C34" s="279"/>
      <c r="D34" s="279"/>
      <c r="E34" s="279"/>
      <c r="F34" s="279"/>
      <c r="G34" s="279"/>
      <c r="H34" s="280"/>
    </row>
    <row r="35" spans="2:8">
      <c r="B35" s="227" t="s">
        <v>3</v>
      </c>
      <c r="C35" s="227" t="s">
        <v>55</v>
      </c>
      <c r="D35" s="227" t="s">
        <v>57</v>
      </c>
      <c r="E35" s="227" t="s">
        <v>76</v>
      </c>
      <c r="F35" s="227" t="s">
        <v>61</v>
      </c>
      <c r="G35" s="227" t="s">
        <v>63</v>
      </c>
      <c r="H35" s="227" t="s">
        <v>85</v>
      </c>
    </row>
    <row r="36" spans="2:8" ht="67.5">
      <c r="B36" s="227" t="s">
        <v>88</v>
      </c>
      <c r="C36" s="227" t="s">
        <v>89</v>
      </c>
      <c r="D36" s="227" t="s">
        <v>90</v>
      </c>
      <c r="E36" s="227" t="s">
        <v>91</v>
      </c>
      <c r="F36" s="227" t="s">
        <v>92</v>
      </c>
      <c r="G36" s="227" t="s">
        <v>93</v>
      </c>
      <c r="H36" s="227" t="s">
        <v>94</v>
      </c>
    </row>
  </sheetData>
  <mergeCells count="6">
    <mergeCell ref="B34:H34"/>
    <mergeCell ref="B16:I16"/>
    <mergeCell ref="A8:A14"/>
    <mergeCell ref="B8:D8"/>
    <mergeCell ref="A6:L6"/>
    <mergeCell ref="C25:H25"/>
  </mergeCells>
  <conditionalFormatting sqref="I12">
    <cfRule type="cellIs" dxfId="36" priority="27" operator="equal">
      <formula>"V"</formula>
    </cfRule>
  </conditionalFormatting>
  <conditionalFormatting sqref="I10">
    <cfRule type="cellIs" dxfId="35" priority="26" operator="lessThan">
      <formula>28</formula>
    </cfRule>
  </conditionalFormatting>
  <conditionalFormatting sqref="H11">
    <cfRule type="cellIs" dxfId="34" priority="25" operator="equal">
      <formula>"FS&lt;28%"</formula>
    </cfRule>
  </conditionalFormatting>
  <conditionalFormatting sqref="B18:H21 B23:H23 B22">
    <cfRule type="cellIs" dxfId="33" priority="21" operator="equal">
      <formula>0</formula>
    </cfRule>
    <cfRule type="cellIs" dxfId="32" priority="22" operator="equal">
      <formula>0</formula>
    </cfRule>
  </conditionalFormatting>
  <conditionalFormatting sqref="I18:I21 I23">
    <cfRule type="cellIs" dxfId="31" priority="20" operator="equal">
      <formula>0</formula>
    </cfRule>
  </conditionalFormatting>
  <conditionalFormatting sqref="C22">
    <cfRule type="expression" dxfId="30" priority="8">
      <formula>B22&lt;5</formula>
    </cfRule>
  </conditionalFormatting>
  <conditionalFormatting sqref="D22">
    <cfRule type="expression" dxfId="29" priority="6">
      <formula>B22&lt;5</formula>
    </cfRule>
    <cfRule type="expression" priority="7">
      <formula>B22&lt;5</formula>
    </cfRule>
  </conditionalFormatting>
  <conditionalFormatting sqref="E22">
    <cfRule type="expression" dxfId="28" priority="5">
      <formula>B22&lt;5</formula>
    </cfRule>
  </conditionalFormatting>
  <conditionalFormatting sqref="F22">
    <cfRule type="expression" dxfId="27" priority="4">
      <formula>B22&lt;5</formula>
    </cfRule>
  </conditionalFormatting>
  <conditionalFormatting sqref="G22">
    <cfRule type="expression" dxfId="26" priority="3">
      <formula>B22&lt;5</formula>
    </cfRule>
  </conditionalFormatting>
  <conditionalFormatting sqref="H22">
    <cfRule type="expression" dxfId="25" priority="2">
      <formula>B22&lt;5</formula>
    </cfRule>
  </conditionalFormatting>
  <conditionalFormatting sqref="I22">
    <cfRule type="expression" dxfId="24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4294967293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5:M36"/>
  <sheetViews>
    <sheetView showGridLines="0" topLeftCell="A4" zoomScale="140" zoomScaleNormal="140" workbookViewId="0">
      <selection activeCell="I10" sqref="I10"/>
    </sheetView>
  </sheetViews>
  <sheetFormatPr defaultRowHeight="15"/>
  <cols>
    <col min="2" max="2" width="8.28515625" customWidth="1"/>
    <col min="3" max="3" width="16" bestFit="1" customWidth="1"/>
    <col min="4" max="4" width="13.5703125" bestFit="1" customWidth="1"/>
    <col min="5" max="5" width="9" bestFit="1" customWidth="1"/>
    <col min="6" max="6" width="12" bestFit="1" customWidth="1"/>
    <col min="7" max="7" width="9" bestFit="1" customWidth="1"/>
    <col min="8" max="8" width="11.28515625" bestFit="1" customWidth="1"/>
    <col min="9" max="9" width="13.42578125" bestFit="1" customWidth="1"/>
    <col min="10" max="10" width="2.140625" customWidth="1"/>
    <col min="12" max="12" width="10.28515625" bestFit="1" customWidth="1"/>
  </cols>
  <sheetData>
    <row r="5" spans="1:13" ht="15.75" thickBot="1"/>
    <row r="6" spans="1:13" ht="15.75" thickBot="1">
      <c r="A6" s="291" t="s">
        <v>42</v>
      </c>
      <c r="B6" s="292"/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3"/>
    </row>
    <row r="7" spans="1:13" ht="8.25" customHeight="1"/>
    <row r="8" spans="1:13">
      <c r="A8" s="302" t="s">
        <v>4</v>
      </c>
      <c r="B8" s="304" t="s">
        <v>5</v>
      </c>
      <c r="C8" s="304"/>
      <c r="D8" s="304"/>
      <c r="E8" s="103" t="s">
        <v>0</v>
      </c>
      <c r="F8" s="104" t="s">
        <v>6</v>
      </c>
      <c r="G8" s="13"/>
      <c r="H8" s="112" t="s">
        <v>35</v>
      </c>
      <c r="I8" s="28">
        <v>0</v>
      </c>
      <c r="J8" s="7"/>
      <c r="K8" s="1"/>
      <c r="L8" s="1"/>
      <c r="M8" s="1"/>
    </row>
    <row r="9" spans="1:13">
      <c r="A9" s="303"/>
      <c r="B9" s="105">
        <v>1</v>
      </c>
      <c r="C9" s="106">
        <v>0</v>
      </c>
      <c r="D9" s="106">
        <v>180000</v>
      </c>
      <c r="E9" s="107">
        <v>4.4999999999999998E-2</v>
      </c>
      <c r="F9" s="108">
        <v>0</v>
      </c>
      <c r="G9" s="14"/>
      <c r="H9" s="113" t="s">
        <v>34</v>
      </c>
      <c r="I9" s="28">
        <v>207252.16</v>
      </c>
      <c r="J9" s="9"/>
      <c r="K9" s="1"/>
      <c r="L9" s="1"/>
      <c r="M9" s="1"/>
    </row>
    <row r="10" spans="1:13">
      <c r="A10" s="303"/>
      <c r="B10" s="105">
        <v>2</v>
      </c>
      <c r="C10" s="106">
        <f>D9+0.01</f>
        <v>180000.01</v>
      </c>
      <c r="D10" s="106">
        <v>360000</v>
      </c>
      <c r="E10" s="107">
        <v>0.09</v>
      </c>
      <c r="F10" s="108">
        <v>8100</v>
      </c>
      <c r="G10" s="14"/>
      <c r="H10" s="113" t="s">
        <v>9</v>
      </c>
      <c r="I10" s="116">
        <f>IFERROR(VLOOKUP(I9,$C$9:$E$14,3),"ISENTO")</f>
        <v>0.09</v>
      </c>
      <c r="J10" s="9"/>
      <c r="K10" s="301" t="s">
        <v>36</v>
      </c>
      <c r="L10" s="301"/>
      <c r="M10" s="301"/>
    </row>
    <row r="11" spans="1:13">
      <c r="A11" s="303"/>
      <c r="B11" s="105">
        <v>3</v>
      </c>
      <c r="C11" s="106">
        <f>D10+0.01</f>
        <v>360000.01</v>
      </c>
      <c r="D11" s="106">
        <v>720000</v>
      </c>
      <c r="E11" s="107">
        <v>0.10199999999999999</v>
      </c>
      <c r="F11" s="108">
        <v>12420</v>
      </c>
      <c r="G11" s="14"/>
      <c r="H11" s="113" t="s">
        <v>6</v>
      </c>
      <c r="I11" s="117">
        <f>IFERROR(VLOOKUP(I9,$C$9:$F$14,4),"ISENTO")</f>
        <v>8100</v>
      </c>
      <c r="J11" s="10"/>
      <c r="K11" s="161" t="s">
        <v>31</v>
      </c>
      <c r="L11" s="161" t="s">
        <v>7</v>
      </c>
      <c r="M11" s="161" t="s">
        <v>32</v>
      </c>
    </row>
    <row r="12" spans="1:13">
      <c r="A12" s="303"/>
      <c r="B12" s="105">
        <v>4</v>
      </c>
      <c r="C12" s="106">
        <f>D11+0.01</f>
        <v>720000.01</v>
      </c>
      <c r="D12" s="106">
        <v>1800000</v>
      </c>
      <c r="E12" s="107">
        <v>0.14000000000000001</v>
      </c>
      <c r="F12" s="108">
        <v>39780</v>
      </c>
      <c r="G12" s="14"/>
      <c r="H12" s="114" t="s">
        <v>8</v>
      </c>
      <c r="I12" s="118">
        <f>IFERROR(ROUND((I9*I10-I11)/I9,4),"")</f>
        <v>5.0900000000000001E-2</v>
      </c>
      <c r="J12" s="9"/>
      <c r="K12" s="162">
        <f>IFERROR(VLOOKUP(I9,'Tabelas 2017'!$B$2:$M$21,10),"ISENTO")</f>
        <v>6.54E-2</v>
      </c>
      <c r="L12" s="163">
        <f>I8*K12</f>
        <v>0</v>
      </c>
      <c r="M12" s="162" t="str">
        <f>IFERROR(I13/L12-1,"")</f>
        <v/>
      </c>
    </row>
    <row r="13" spans="1:13">
      <c r="A13" s="303"/>
      <c r="B13" s="105">
        <v>5</v>
      </c>
      <c r="C13" s="106">
        <f>D12+0.01</f>
        <v>1800000.01</v>
      </c>
      <c r="D13" s="106">
        <v>3600000</v>
      </c>
      <c r="E13" s="107">
        <v>0.22</v>
      </c>
      <c r="F13" s="108">
        <v>183780</v>
      </c>
      <c r="G13" s="14"/>
      <c r="H13" s="115" t="s">
        <v>7</v>
      </c>
      <c r="I13" s="119">
        <f>IFERROR(I8*I12,"")</f>
        <v>0</v>
      </c>
      <c r="J13" s="11"/>
      <c r="K13" s="1"/>
      <c r="L13" s="1"/>
      <c r="M13" s="1"/>
    </row>
    <row r="14" spans="1:13">
      <c r="A14" s="303"/>
      <c r="B14" s="109">
        <v>6</v>
      </c>
      <c r="C14" s="110">
        <f>D13+0.01</f>
        <v>3600000.01</v>
      </c>
      <c r="D14" s="110">
        <v>4800000</v>
      </c>
      <c r="E14" s="111">
        <v>0.33</v>
      </c>
      <c r="F14" s="104">
        <v>828000</v>
      </c>
      <c r="G14" s="14"/>
      <c r="H14" s="1"/>
      <c r="I14" s="1"/>
      <c r="J14" s="9"/>
      <c r="K14" s="1"/>
      <c r="L14" s="1"/>
      <c r="M14" s="1"/>
    </row>
    <row r="16" spans="1:13">
      <c r="B16" s="294" t="s">
        <v>96</v>
      </c>
      <c r="C16" s="295"/>
      <c r="D16" s="295"/>
      <c r="E16" s="295"/>
      <c r="F16" s="295"/>
      <c r="G16" s="295"/>
      <c r="H16" s="296"/>
      <c r="I16" s="234"/>
    </row>
    <row r="17" spans="2:8">
      <c r="B17" s="202" t="s">
        <v>3</v>
      </c>
      <c r="C17" s="203" t="s">
        <v>55</v>
      </c>
      <c r="D17" s="203" t="s">
        <v>57</v>
      </c>
      <c r="E17" s="203" t="s">
        <v>76</v>
      </c>
      <c r="F17" s="203" t="s">
        <v>77</v>
      </c>
      <c r="G17" s="203" t="s">
        <v>85</v>
      </c>
      <c r="H17" s="235" t="s">
        <v>79</v>
      </c>
    </row>
    <row r="18" spans="2:8">
      <c r="B18" s="236">
        <f>IF($I$10=E9,1,0)</f>
        <v>0</v>
      </c>
      <c r="C18" s="237">
        <f>IFERROR(IF(B18=1,$I$12*C27,0),"")</f>
        <v>0</v>
      </c>
      <c r="D18" s="237">
        <f>IFERROR(IF(B18=1,$I$12*D27,0),"")</f>
        <v>0</v>
      </c>
      <c r="E18" s="237">
        <f>IFERROR(IF(B18=1,$I$12*E27,0),"")</f>
        <v>0</v>
      </c>
      <c r="F18" s="237">
        <f>IFERROR(IF(B18=1,$I$12*F27,0),"")</f>
        <v>0</v>
      </c>
      <c r="G18" s="237">
        <f>IFERROR(IF(B18=1,$I$12*G27,0),0)</f>
        <v>0</v>
      </c>
      <c r="H18" s="238">
        <f t="shared" ref="H18:H23" si="0">SUM(C18:G18)</f>
        <v>0</v>
      </c>
    </row>
    <row r="19" spans="2:8">
      <c r="B19" s="236">
        <f>IF($I$10=E10,2,0)</f>
        <v>2</v>
      </c>
      <c r="C19" s="237">
        <f>IF(B19=2,$I$12*C28,0)</f>
        <v>1.0078200000000001E-2</v>
      </c>
      <c r="D19" s="237">
        <f>IF(B19=2,$I$12*D28,0)</f>
        <v>7.7368000000000003E-3</v>
      </c>
      <c r="E19" s="237">
        <f>IF(B19=2,$I$12*E28,0)</f>
        <v>1.0459949999999999E-2</v>
      </c>
      <c r="F19" s="237">
        <f>IF(B19=2,$I$12*F28,0)</f>
        <v>2.2650499999999998E-3</v>
      </c>
      <c r="G19" s="237">
        <f>IF(B19=2,$I$12*G28,0)</f>
        <v>2.0360000000000003E-2</v>
      </c>
      <c r="H19" s="238">
        <f t="shared" si="0"/>
        <v>5.0900000000000001E-2</v>
      </c>
    </row>
    <row r="20" spans="2:8">
      <c r="B20" s="236">
        <f>IF($I$10=E11,3,0)</f>
        <v>0</v>
      </c>
      <c r="C20" s="237">
        <f>IF(B20=3,$I$12*C29,0)</f>
        <v>0</v>
      </c>
      <c r="D20" s="237">
        <f>IF(B20=3,$I$12*D29,0)</f>
        <v>0</v>
      </c>
      <c r="E20" s="237">
        <f>IF(B20=3,$I$12*E29,0)</f>
        <v>0</v>
      </c>
      <c r="F20" s="237">
        <f>IF(B20=3,$I$12*F29,0)</f>
        <v>0</v>
      </c>
      <c r="G20" s="237">
        <f>IF(B20=3,$I$12*G29,0)</f>
        <v>0</v>
      </c>
      <c r="H20" s="238">
        <f t="shared" si="0"/>
        <v>0</v>
      </c>
    </row>
    <row r="21" spans="2:8">
      <c r="B21" s="236">
        <f>IF($I$10=E12,4,0)</f>
        <v>0</v>
      </c>
      <c r="C21" s="237">
        <f>IF(B21=4,$I$12*C30,0)</f>
        <v>0</v>
      </c>
      <c r="D21" s="237">
        <f>IF(B21=4,$I$12*D30,0)</f>
        <v>0</v>
      </c>
      <c r="E21" s="237">
        <f>IF(B21=4,$I$12*E30,0)</f>
        <v>0</v>
      </c>
      <c r="F21" s="237">
        <f>IF(B21=4,$I$12*F30,0)</f>
        <v>0</v>
      </c>
      <c r="G21" s="237">
        <f>IF(B21=4,$I$12*G30,0)</f>
        <v>0</v>
      </c>
      <c r="H21" s="238">
        <f t="shared" si="0"/>
        <v>0</v>
      </c>
    </row>
    <row r="22" spans="2:8">
      <c r="B22" s="236">
        <f>IF($I$10=E13,5,0)</f>
        <v>0</v>
      </c>
      <c r="C22" s="237">
        <f>IF(AND($B$22=5,$I$12&lt;=12.5%),$I$12*C31,($I$12-5%)*31.33%)</f>
        <v>2.8196999999999933E-4</v>
      </c>
      <c r="D22" s="237">
        <f>IF(AND($B$22=5,$I$12&lt;=12.5%),$I$12*D31,($I$12-5%)*32%)</f>
        <v>2.8799999999999936E-4</v>
      </c>
      <c r="E22" s="237">
        <f>IF(AND($B$22=5,$I$12&lt;=12.5%),$I$12*E31,($I$12-5%)*30.13%)</f>
        <v>2.711699999999994E-4</v>
      </c>
      <c r="F22" s="237">
        <f>IF(AND($B$22=5,$I$12&lt;=12.5%),$I$12*F31,($I$12-5%)*6.54%)</f>
        <v>5.8859999999999874E-5</v>
      </c>
      <c r="G22" s="237">
        <f>IF(AND($B$22=5,$I$12&lt;=12.5%),$I$12*G31,5%)</f>
        <v>0.05</v>
      </c>
      <c r="H22" s="238">
        <f t="shared" si="0"/>
        <v>5.0900000000000001E-2</v>
      </c>
    </row>
    <row r="23" spans="2:8">
      <c r="B23" s="236">
        <f>IF($I$10=E14,6,0)</f>
        <v>0</v>
      </c>
      <c r="C23" s="237">
        <f>IF(B23=6,$I$12*C32,0)</f>
        <v>0</v>
      </c>
      <c r="D23" s="237">
        <f>IF(B23=6,$I$12*D32,0)</f>
        <v>0</v>
      </c>
      <c r="E23" s="237">
        <f>IF(B23=6,$I$12*E32,0)</f>
        <v>0</v>
      </c>
      <c r="F23" s="237">
        <f>IF(B23=6,$I$12*F32,0)</f>
        <v>0</v>
      </c>
      <c r="G23" s="237">
        <f>IF(B23=6,$I$12*G32,0)</f>
        <v>0</v>
      </c>
      <c r="H23" s="238">
        <f t="shared" si="0"/>
        <v>0</v>
      </c>
    </row>
    <row r="25" spans="2:8">
      <c r="C25" s="297" t="s">
        <v>97</v>
      </c>
      <c r="D25" s="297"/>
      <c r="E25" s="297"/>
      <c r="F25" s="297"/>
      <c r="G25" s="297"/>
      <c r="H25" s="1"/>
    </row>
    <row r="26" spans="2:8">
      <c r="C26" s="220" t="s">
        <v>55</v>
      </c>
      <c r="D26" s="220" t="s">
        <v>57</v>
      </c>
      <c r="E26" s="220" t="s">
        <v>76</v>
      </c>
      <c r="F26" s="220" t="s">
        <v>77</v>
      </c>
      <c r="G26" s="220" t="s">
        <v>85</v>
      </c>
      <c r="H26" s="1"/>
    </row>
    <row r="27" spans="2:8">
      <c r="C27" s="221">
        <v>0.188</v>
      </c>
      <c r="D27" s="221">
        <v>0.152</v>
      </c>
      <c r="E27" s="221">
        <v>0.1767</v>
      </c>
      <c r="F27" s="221">
        <v>3.8300000000000001E-2</v>
      </c>
      <c r="G27" s="221">
        <v>0.44500000000000001</v>
      </c>
      <c r="H27" s="1"/>
    </row>
    <row r="28" spans="2:8">
      <c r="C28" s="221">
        <v>0.19800000000000001</v>
      </c>
      <c r="D28" s="221">
        <v>0.152</v>
      </c>
      <c r="E28" s="221">
        <v>0.20549999999999999</v>
      </c>
      <c r="F28" s="221">
        <v>4.4499999999999998E-2</v>
      </c>
      <c r="G28" s="221">
        <v>0.4</v>
      </c>
      <c r="H28" s="1"/>
    </row>
    <row r="29" spans="2:8">
      <c r="C29" s="221">
        <v>0.20799999999999999</v>
      </c>
      <c r="D29" s="221">
        <v>0.152</v>
      </c>
      <c r="E29" s="221">
        <v>0.1973</v>
      </c>
      <c r="F29" s="221">
        <v>4.2700000000000002E-2</v>
      </c>
      <c r="G29" s="221">
        <v>0.4</v>
      </c>
      <c r="H29" s="1"/>
    </row>
    <row r="30" spans="2:8">
      <c r="C30" s="221">
        <v>0.17799999999999999</v>
      </c>
      <c r="D30" s="221">
        <v>0.192</v>
      </c>
      <c r="E30" s="221">
        <v>0.189</v>
      </c>
      <c r="F30" s="221">
        <v>4.1000000000000002E-2</v>
      </c>
      <c r="G30" s="221">
        <v>0.4</v>
      </c>
      <c r="H30" s="1"/>
    </row>
    <row r="31" spans="2:8">
      <c r="C31" s="221">
        <v>0.188</v>
      </c>
      <c r="D31" s="221">
        <v>0.192</v>
      </c>
      <c r="E31" s="221">
        <v>0.18079999999999999</v>
      </c>
      <c r="F31" s="221">
        <v>3.9199999999999999E-2</v>
      </c>
      <c r="G31" s="221">
        <v>0.4</v>
      </c>
      <c r="H31" s="1" t="s">
        <v>86</v>
      </c>
    </row>
    <row r="32" spans="2:8">
      <c r="C32" s="221">
        <v>0.53500000000000003</v>
      </c>
      <c r="D32" s="221">
        <v>0.215</v>
      </c>
      <c r="E32" s="221">
        <v>0.20549999999999999</v>
      </c>
      <c r="F32" s="221">
        <v>4.4499999999999998E-2</v>
      </c>
      <c r="G32" s="222">
        <v>0</v>
      </c>
      <c r="H32" s="1"/>
    </row>
    <row r="33" spans="3:8">
      <c r="C33" s="1"/>
      <c r="D33" s="1"/>
      <c r="E33" s="1"/>
      <c r="F33" s="1"/>
      <c r="G33" s="1"/>
      <c r="H33" s="1"/>
    </row>
    <row r="34" spans="3:8" ht="36.75" customHeight="1">
      <c r="C34" s="298" t="s">
        <v>98</v>
      </c>
      <c r="D34" s="299"/>
      <c r="E34" s="299"/>
      <c r="F34" s="299"/>
      <c r="G34" s="299"/>
      <c r="H34" s="300"/>
    </row>
    <row r="35" spans="3:8">
      <c r="C35" s="223" t="s">
        <v>3</v>
      </c>
      <c r="D35" s="223" t="s">
        <v>55</v>
      </c>
      <c r="E35" s="223" t="s">
        <v>57</v>
      </c>
      <c r="F35" s="223" t="s">
        <v>76</v>
      </c>
      <c r="G35" s="223" t="s">
        <v>61</v>
      </c>
      <c r="H35" s="223" t="s">
        <v>85</v>
      </c>
    </row>
    <row r="36" spans="3:8" ht="66.75" customHeight="1">
      <c r="C36" s="223" t="s">
        <v>99</v>
      </c>
      <c r="D36" s="223" t="s">
        <v>100</v>
      </c>
      <c r="E36" s="223" t="s">
        <v>101</v>
      </c>
      <c r="F36" s="223" t="s">
        <v>102</v>
      </c>
      <c r="G36" s="223" t="s">
        <v>103</v>
      </c>
      <c r="H36" s="223" t="s">
        <v>94</v>
      </c>
    </row>
  </sheetData>
  <mergeCells count="7">
    <mergeCell ref="A6:M6"/>
    <mergeCell ref="B16:H16"/>
    <mergeCell ref="C25:G25"/>
    <mergeCell ref="C34:H34"/>
    <mergeCell ref="K10:M10"/>
    <mergeCell ref="A8:A14"/>
    <mergeCell ref="B8:D8"/>
  </mergeCells>
  <conditionalFormatting sqref="M12">
    <cfRule type="cellIs" dxfId="23" priority="24" operator="greaterThan">
      <formula>0</formula>
    </cfRule>
    <cfRule type="cellIs" dxfId="22" priority="25" operator="greaterThan">
      <formula>0</formula>
    </cfRule>
  </conditionalFormatting>
  <conditionalFormatting sqref="C18">
    <cfRule type="cellIs" dxfId="21" priority="22" operator="equal">
      <formula>0</formula>
    </cfRule>
    <cfRule type="cellIs" dxfId="20" priority="23" operator="equal">
      <formula>0</formula>
    </cfRule>
  </conditionalFormatting>
  <conditionalFormatting sqref="H18:H21 H23">
    <cfRule type="cellIs" dxfId="19" priority="21" operator="equal">
      <formula>0</formula>
    </cfRule>
  </conditionalFormatting>
  <conditionalFormatting sqref="B18:B23">
    <cfRule type="cellIs" dxfId="18" priority="11" operator="equal">
      <formula>0</formula>
    </cfRule>
    <cfRule type="cellIs" dxfId="17" priority="12" operator="equal">
      <formula>0</formula>
    </cfRule>
  </conditionalFormatting>
  <conditionalFormatting sqref="D18:G18">
    <cfRule type="cellIs" dxfId="16" priority="9" operator="equal">
      <formula>0</formula>
    </cfRule>
    <cfRule type="cellIs" dxfId="15" priority="10" operator="equal">
      <formula>0</formula>
    </cfRule>
  </conditionalFormatting>
  <conditionalFormatting sqref="C19:G21">
    <cfRule type="cellIs" dxfId="14" priority="7" operator="equal">
      <formula>0</formula>
    </cfRule>
    <cfRule type="cellIs" dxfId="13" priority="8" operator="equal">
      <formula>0</formula>
    </cfRule>
  </conditionalFormatting>
  <conditionalFormatting sqref="C23:G23">
    <cfRule type="cellIs" dxfId="12" priority="3" operator="equal">
      <formula>0</formula>
    </cfRule>
    <cfRule type="cellIs" dxfId="11" priority="4" operator="equal">
      <formula>0</formula>
    </cfRule>
  </conditionalFormatting>
  <conditionalFormatting sqref="C22:H22">
    <cfRule type="expression" dxfId="10" priority="2">
      <formula>$B$22&lt;5</formula>
    </cfRule>
  </conditionalFormatting>
  <conditionalFormatting sqref="C22">
    <cfRule type="expression" dxfId="9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5:M32"/>
  <sheetViews>
    <sheetView showGridLines="0" tabSelected="1" topLeftCell="E9" zoomScale="140" zoomScaleNormal="140" workbookViewId="0">
      <selection activeCell="M10" sqref="M10"/>
    </sheetView>
  </sheetViews>
  <sheetFormatPr defaultRowHeight="15"/>
  <cols>
    <col min="3" max="3" width="16" bestFit="1" customWidth="1"/>
    <col min="4" max="4" width="13.5703125" bestFit="1" customWidth="1"/>
    <col min="5" max="5" width="8.28515625" bestFit="1" customWidth="1"/>
    <col min="6" max="6" width="12" bestFit="1" customWidth="1"/>
    <col min="7" max="7" width="7" bestFit="1" customWidth="1"/>
    <col min="9" max="9" width="11.7109375" bestFit="1" customWidth="1"/>
    <col min="10" max="10" width="4.7109375" customWidth="1"/>
    <col min="11" max="11" width="11.28515625" bestFit="1" customWidth="1"/>
    <col min="12" max="12" width="13.85546875" bestFit="1" customWidth="1"/>
  </cols>
  <sheetData>
    <row r="5" spans="1:13" ht="15.75" thickBot="1"/>
    <row r="6" spans="1:13" ht="15.75" thickBot="1">
      <c r="A6" s="308" t="s">
        <v>43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10"/>
    </row>
    <row r="7" spans="1:13" ht="7.5" customHeight="1"/>
    <row r="8" spans="1:13" ht="25.5">
      <c r="A8" s="305" t="s">
        <v>2</v>
      </c>
      <c r="B8" s="307" t="s">
        <v>5</v>
      </c>
      <c r="C8" s="307"/>
      <c r="D8" s="307"/>
      <c r="E8" s="133" t="s">
        <v>0</v>
      </c>
      <c r="F8" s="134" t="s">
        <v>6</v>
      </c>
      <c r="G8" s="1"/>
      <c r="H8" s="25"/>
      <c r="I8" s="3"/>
      <c r="J8" s="13"/>
      <c r="K8" s="147" t="s">
        <v>35</v>
      </c>
      <c r="L8" s="28">
        <v>0</v>
      </c>
    </row>
    <row r="9" spans="1:13">
      <c r="A9" s="306"/>
      <c r="B9" s="135">
        <v>1</v>
      </c>
      <c r="C9" s="136">
        <v>0</v>
      </c>
      <c r="D9" s="136">
        <v>180000</v>
      </c>
      <c r="E9" s="137">
        <v>0.155</v>
      </c>
      <c r="F9" s="138">
        <v>0</v>
      </c>
      <c r="G9" s="1"/>
      <c r="H9" s="142" t="s">
        <v>10</v>
      </c>
      <c r="I9" s="24">
        <v>0</v>
      </c>
      <c r="J9" s="15"/>
      <c r="K9" s="148" t="s">
        <v>34</v>
      </c>
      <c r="L9" s="28">
        <v>150000</v>
      </c>
    </row>
    <row r="10" spans="1:13">
      <c r="A10" s="306"/>
      <c r="B10" s="135">
        <v>2</v>
      </c>
      <c r="C10" s="136">
        <f>D9+0.01</f>
        <v>180000.01</v>
      </c>
      <c r="D10" s="136">
        <v>360000</v>
      </c>
      <c r="E10" s="137">
        <v>0.18</v>
      </c>
      <c r="F10" s="138">
        <v>4500</v>
      </c>
      <c r="G10" s="1"/>
      <c r="H10" s="142" t="s">
        <v>11</v>
      </c>
      <c r="I10" s="145">
        <f>IFERROR(I9/L9%,"")</f>
        <v>0</v>
      </c>
      <c r="J10" s="16"/>
      <c r="K10" s="148" t="s">
        <v>9</v>
      </c>
      <c r="L10" s="151">
        <f>IF(I10&gt;=28,VLOOKUP(L9,'ANEXO III'!$C$9:$E$14,3),VLOOKUP(L9,$C$9:$E$14,3))</f>
        <v>0.155</v>
      </c>
    </row>
    <row r="11" spans="1:13">
      <c r="A11" s="306"/>
      <c r="B11" s="135">
        <v>3</v>
      </c>
      <c r="C11" s="136">
        <f>D10+0.01</f>
        <v>360000.01</v>
      </c>
      <c r="D11" s="136">
        <v>720000</v>
      </c>
      <c r="E11" s="137">
        <v>0.19500000000000001</v>
      </c>
      <c r="F11" s="138">
        <v>9900</v>
      </c>
      <c r="G11" s="1"/>
      <c r="H11" s="143" t="str">
        <f>IF(I10&lt;28,"FS&lt;28%","FS&gt;=28%")</f>
        <v>FS&lt;28%</v>
      </c>
      <c r="I11" s="3"/>
      <c r="J11" s="17"/>
      <c r="K11" s="148" t="s">
        <v>6</v>
      </c>
      <c r="L11" s="152">
        <f>IF(I10&gt;=28,VLOOKUP(L9,'ANEXO III'!$C$9:$F$14,4),VLOOKUP(L9,$C$9:$F$14,4))</f>
        <v>0</v>
      </c>
    </row>
    <row r="12" spans="1:13">
      <c r="A12" s="306"/>
      <c r="B12" s="135">
        <v>4</v>
      </c>
      <c r="C12" s="136">
        <f>D11+0.01</f>
        <v>720000.01</v>
      </c>
      <c r="D12" s="136">
        <v>1800000</v>
      </c>
      <c r="E12" s="137">
        <v>0.20499999999999999</v>
      </c>
      <c r="F12" s="138">
        <v>17100</v>
      </c>
      <c r="G12" s="232" t="str">
        <f>IF(I12="III", "(**)","")</f>
        <v/>
      </c>
      <c r="H12" s="144" t="s">
        <v>12</v>
      </c>
      <c r="I12" s="146" t="str">
        <f>IF(I10&lt;28,"V","III")</f>
        <v>V</v>
      </c>
      <c r="J12" s="14"/>
      <c r="K12" s="149" t="s">
        <v>8</v>
      </c>
      <c r="L12" s="153">
        <f>IFERROR(ROUND((L9*L10-L11)/L9,4),)</f>
        <v>0.155</v>
      </c>
    </row>
    <row r="13" spans="1:13">
      <c r="A13" s="306"/>
      <c r="B13" s="135">
        <v>5</v>
      </c>
      <c r="C13" s="136">
        <f>D12+0.01</f>
        <v>1800000.01</v>
      </c>
      <c r="D13" s="136">
        <v>3600000</v>
      </c>
      <c r="E13" s="137">
        <v>0.23</v>
      </c>
      <c r="F13" s="138">
        <v>62100</v>
      </c>
      <c r="G13" s="1"/>
      <c r="H13" s="25"/>
      <c r="I13" s="4"/>
      <c r="J13" s="14"/>
      <c r="K13" s="150" t="s">
        <v>7</v>
      </c>
      <c r="L13" s="154">
        <f>L8*L12</f>
        <v>0</v>
      </c>
    </row>
    <row r="14" spans="1:13">
      <c r="A14" s="306"/>
      <c r="B14" s="139">
        <v>6</v>
      </c>
      <c r="C14" s="140">
        <f>D13+0.01</f>
        <v>3600000.01</v>
      </c>
      <c r="D14" s="140">
        <v>4800000</v>
      </c>
      <c r="E14" s="141">
        <v>0.30499999999999999</v>
      </c>
      <c r="F14" s="134">
        <v>540000</v>
      </c>
      <c r="G14" s="1"/>
      <c r="H14" s="26"/>
      <c r="I14" s="4"/>
      <c r="J14" s="14"/>
      <c r="K14" s="1"/>
      <c r="L14" s="132"/>
    </row>
    <row r="16" spans="1:13">
      <c r="B16" s="311" t="s">
        <v>104</v>
      </c>
      <c r="C16" s="312"/>
      <c r="D16" s="312"/>
      <c r="E16" s="312"/>
      <c r="F16" s="312"/>
      <c r="G16" s="312"/>
      <c r="H16" s="312"/>
      <c r="I16" s="313"/>
    </row>
    <row r="17" spans="2:9">
      <c r="B17" s="239" t="s">
        <v>3</v>
      </c>
      <c r="C17" s="204" t="s">
        <v>55</v>
      </c>
      <c r="D17" s="204" t="s">
        <v>57</v>
      </c>
      <c r="E17" s="204" t="s">
        <v>76</v>
      </c>
      <c r="F17" s="204" t="s">
        <v>77</v>
      </c>
      <c r="G17" s="204" t="s">
        <v>63</v>
      </c>
      <c r="H17" s="204" t="s">
        <v>85</v>
      </c>
      <c r="I17" s="240" t="s">
        <v>79</v>
      </c>
    </row>
    <row r="18" spans="2:9">
      <c r="B18" s="241">
        <f>IF(AND($L$10=E9,$I$12="V"),1,0)</f>
        <v>1</v>
      </c>
      <c r="C18" s="242">
        <f>IFERROR(IF(B18=1,$L$12*C27,0),"")</f>
        <v>3.875E-2</v>
      </c>
      <c r="D18" s="242">
        <f>IFERROR(IF(B18=1,$L$12*D27,0),"")</f>
        <v>2.325E-2</v>
      </c>
      <c r="E18" s="242">
        <f>IFERROR(IF(B18=1,$L$12*E27,0),"")</f>
        <v>2.1854999999999999E-2</v>
      </c>
      <c r="F18" s="242">
        <f>IFERROR(IF(B18=1,$L$12*F27,0),"")</f>
        <v>4.7274999999999999E-3</v>
      </c>
      <c r="G18" s="242">
        <f>IFERROR(IF(B18=1,$L$12*G27,0),"")</f>
        <v>4.4717499999999993E-2</v>
      </c>
      <c r="H18" s="242">
        <f>IFERROR(IF(B18=1,$L$12*H27,0),"")</f>
        <v>2.1700000000000001E-2</v>
      </c>
      <c r="I18" s="243">
        <f t="shared" ref="I18:I23" si="0">SUM(C18:H18)</f>
        <v>0.15499999999999997</v>
      </c>
    </row>
    <row r="19" spans="2:9">
      <c r="B19" s="241">
        <f>IF(AND($L$10=E10,$I$12="V"),2,0)</f>
        <v>0</v>
      </c>
      <c r="C19" s="242">
        <f>IF(B19=2,$L$12*C28,0)</f>
        <v>0</v>
      </c>
      <c r="D19" s="242">
        <f>IF(B19=2,$L$12*D28,0)</f>
        <v>0</v>
      </c>
      <c r="E19" s="242">
        <f>IF(B19=2,$L$12*E28,0)</f>
        <v>0</v>
      </c>
      <c r="F19" s="242">
        <f>IF(B19=2,$L$12*F28,0)</f>
        <v>0</v>
      </c>
      <c r="G19" s="242">
        <f>IF(B19=2,$L$12*G28,0)</f>
        <v>0</v>
      </c>
      <c r="H19" s="242">
        <f>IF(B19=2,$L$12*H28,0)</f>
        <v>0</v>
      </c>
      <c r="I19" s="243">
        <f t="shared" si="0"/>
        <v>0</v>
      </c>
    </row>
    <row r="20" spans="2:9">
      <c r="B20" s="241">
        <f>IF(AND($L$10=E11,$I$12="V"),3,0)</f>
        <v>0</v>
      </c>
      <c r="C20" s="242">
        <f>IF(B20=3,$L$12*C29,0)</f>
        <v>0</v>
      </c>
      <c r="D20" s="242">
        <f>IF(B20=3,$L$12*D29,0)</f>
        <v>0</v>
      </c>
      <c r="E20" s="242">
        <f>IF(B20=3,$L$12*E29,0)</f>
        <v>0</v>
      </c>
      <c r="F20" s="242">
        <f>IF(B20=3,$L$12*F29,0)</f>
        <v>0</v>
      </c>
      <c r="G20" s="242">
        <f>IF(B20=3,$L$12*G29,0)</f>
        <v>0</v>
      </c>
      <c r="H20" s="242">
        <f>IF(B20=3,$L$12*H29,0)</f>
        <v>0</v>
      </c>
      <c r="I20" s="243">
        <f t="shared" si="0"/>
        <v>0</v>
      </c>
    </row>
    <row r="21" spans="2:9">
      <c r="B21" s="241">
        <f>IF(AND($L$10=E12,$I$12="V"),4,0)</f>
        <v>0</v>
      </c>
      <c r="C21" s="242">
        <f>IF(B21=4,$L$12*C30,0)</f>
        <v>0</v>
      </c>
      <c r="D21" s="242">
        <f>IF(B21=4,$L$12*D30,0)</f>
        <v>0</v>
      </c>
      <c r="E21" s="242">
        <f>IF(B21=4,$L$12*E30,0)</f>
        <v>0</v>
      </c>
      <c r="F21" s="242">
        <f>IF(B21=4,$L$12*F30,0)</f>
        <v>0</v>
      </c>
      <c r="G21" s="242">
        <f>IF(B21=4,$L$12*G30,0)</f>
        <v>0</v>
      </c>
      <c r="H21" s="242">
        <f>IF(B21=4,$L$12*H30,0)</f>
        <v>0</v>
      </c>
      <c r="I21" s="243">
        <f t="shared" si="0"/>
        <v>0</v>
      </c>
    </row>
    <row r="22" spans="2:9">
      <c r="B22" s="241">
        <f>IF(AND($L$10=E13,$I$12="V"),5,0)</f>
        <v>0</v>
      </c>
      <c r="C22" s="242">
        <f>IF(B22=5,$L$12*C31,0)</f>
        <v>0</v>
      </c>
      <c r="D22" s="242">
        <f>IF(B22=5,$L$12*D31,0)</f>
        <v>0</v>
      </c>
      <c r="E22" s="242">
        <f>IF(B22=5,$L$12*E31,0)</f>
        <v>0</v>
      </c>
      <c r="F22" s="242">
        <f>IF(B22=5,$L$12*F31,0)</f>
        <v>0</v>
      </c>
      <c r="G22" s="242">
        <f>IF(B22=5,$L$12*G31,0)</f>
        <v>0</v>
      </c>
      <c r="H22" s="242">
        <f>IF(B22=5,$L$12*H31,0)</f>
        <v>0</v>
      </c>
      <c r="I22" s="243">
        <f t="shared" si="0"/>
        <v>0</v>
      </c>
    </row>
    <row r="23" spans="2:9">
      <c r="B23" s="241">
        <f>IF(AND($L$10=E14,$I$12="V"),6,0)</f>
        <v>0</v>
      </c>
      <c r="C23" s="242">
        <f>IF(B23=6,$L$12*C32,0)</f>
        <v>0</v>
      </c>
      <c r="D23" s="242">
        <f>IF(B23=6,$L$12*D32,0)</f>
        <v>0</v>
      </c>
      <c r="E23" s="242">
        <f>IF(B23=6,$L$12*E32,0)</f>
        <v>0</v>
      </c>
      <c r="F23" s="242">
        <f>IF(B23=6,$L$12*F32,0)</f>
        <v>0</v>
      </c>
      <c r="G23" s="242">
        <f>IF(B23=6,$L$12*G32,0)</f>
        <v>0</v>
      </c>
      <c r="H23" s="242">
        <f>IF(B23=6,$L$12*H32,0)</f>
        <v>0</v>
      </c>
      <c r="I23" s="243">
        <f t="shared" si="0"/>
        <v>0</v>
      </c>
    </row>
    <row r="25" spans="2:9">
      <c r="C25" s="314" t="s">
        <v>95</v>
      </c>
      <c r="D25" s="314"/>
      <c r="E25" s="314"/>
      <c r="F25" s="314"/>
      <c r="G25" s="314"/>
      <c r="H25" s="314"/>
      <c r="I25" s="1"/>
    </row>
    <row r="26" spans="2:9">
      <c r="C26" s="244" t="s">
        <v>55</v>
      </c>
      <c r="D26" s="244" t="s">
        <v>57</v>
      </c>
      <c r="E26" s="244" t="s">
        <v>76</v>
      </c>
      <c r="F26" s="244" t="s">
        <v>77</v>
      </c>
      <c r="G26" s="244" t="s">
        <v>63</v>
      </c>
      <c r="H26" s="244" t="s">
        <v>85</v>
      </c>
      <c r="I26" s="1"/>
    </row>
    <row r="27" spans="2:9">
      <c r="C27" s="245">
        <v>0.25</v>
      </c>
      <c r="D27" s="245">
        <v>0.15</v>
      </c>
      <c r="E27" s="245">
        <v>0.14099999999999999</v>
      </c>
      <c r="F27" s="245">
        <v>3.0499999999999999E-2</v>
      </c>
      <c r="G27" s="245">
        <v>0.28849999999999998</v>
      </c>
      <c r="H27" s="245">
        <v>0.14000000000000001</v>
      </c>
      <c r="I27" s="1"/>
    </row>
    <row r="28" spans="2:9">
      <c r="C28" s="245">
        <v>0.23</v>
      </c>
      <c r="D28" s="245">
        <v>0.15</v>
      </c>
      <c r="E28" s="245">
        <v>0.14099999999999999</v>
      </c>
      <c r="F28" s="245">
        <v>3.0499999999999999E-2</v>
      </c>
      <c r="G28" s="245">
        <v>0.27850000000000003</v>
      </c>
      <c r="H28" s="245">
        <v>0.17</v>
      </c>
      <c r="I28" s="1"/>
    </row>
    <row r="29" spans="2:9">
      <c r="C29" s="245">
        <v>0.24</v>
      </c>
      <c r="D29" s="245">
        <v>0.15</v>
      </c>
      <c r="E29" s="245">
        <v>0.1492</v>
      </c>
      <c r="F29" s="245">
        <v>3.2300000000000002E-2</v>
      </c>
      <c r="G29" s="245">
        <v>0.23849999999999999</v>
      </c>
      <c r="H29" s="245">
        <v>0.19</v>
      </c>
      <c r="I29" s="1"/>
    </row>
    <row r="30" spans="2:9">
      <c r="C30" s="245">
        <v>0.21</v>
      </c>
      <c r="D30" s="245">
        <v>0.15</v>
      </c>
      <c r="E30" s="245">
        <v>0.15740000000000001</v>
      </c>
      <c r="F30" s="245">
        <v>3.4099999999999998E-2</v>
      </c>
      <c r="G30" s="245">
        <v>0.23849999999999999</v>
      </c>
      <c r="H30" s="245">
        <v>0.21</v>
      </c>
      <c r="I30" s="1"/>
    </row>
    <row r="31" spans="2:9">
      <c r="C31" s="245">
        <v>0.23</v>
      </c>
      <c r="D31" s="245">
        <v>0.125</v>
      </c>
      <c r="E31" s="245">
        <v>0.14099999999999999</v>
      </c>
      <c r="F31" s="245">
        <v>3.0499999999999999E-2</v>
      </c>
      <c r="G31" s="245">
        <v>0.23849999999999999</v>
      </c>
      <c r="H31" s="245">
        <v>0.23499999999999999</v>
      </c>
      <c r="I31" s="1"/>
    </row>
    <row r="32" spans="2:9">
      <c r="C32" s="245">
        <v>0.35</v>
      </c>
      <c r="D32" s="245">
        <v>0.155</v>
      </c>
      <c r="E32" s="245">
        <v>0.16439999999999999</v>
      </c>
      <c r="F32" s="245">
        <v>3.56E-2</v>
      </c>
      <c r="G32" s="245">
        <v>0.29499999999999998</v>
      </c>
      <c r="H32" s="246">
        <v>0</v>
      </c>
      <c r="I32" s="1"/>
    </row>
  </sheetData>
  <mergeCells count="5">
    <mergeCell ref="A8:A14"/>
    <mergeCell ref="B8:D8"/>
    <mergeCell ref="A6:M6"/>
    <mergeCell ref="B16:I16"/>
    <mergeCell ref="C25:H25"/>
  </mergeCells>
  <conditionalFormatting sqref="I12">
    <cfRule type="cellIs" dxfId="8" priority="14" operator="equal">
      <formula>"V"</formula>
    </cfRule>
  </conditionalFormatting>
  <conditionalFormatting sqref="I10">
    <cfRule type="cellIs" dxfId="7" priority="13" operator="lessThan">
      <formula>28</formula>
    </cfRule>
  </conditionalFormatting>
  <conditionalFormatting sqref="H11">
    <cfRule type="cellIs" dxfId="6" priority="12" operator="equal">
      <formula>"FS&lt;28%"</formula>
    </cfRule>
  </conditionalFormatting>
  <conditionalFormatting sqref="B18:H23">
    <cfRule type="cellIs" dxfId="5" priority="10" operator="equal">
      <formula>0</formula>
    </cfRule>
    <cfRule type="cellIs" dxfId="4" priority="11" operator="equal">
      <formula>0</formula>
    </cfRule>
  </conditionalFormatting>
  <conditionalFormatting sqref="I18:I21 I23">
    <cfRule type="cellIs" dxfId="3" priority="9" operator="equal">
      <formula>0</formula>
    </cfRule>
  </conditionalFormatting>
  <conditionalFormatting sqref="I22">
    <cfRule type="expression" dxfId="2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4294967293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B1:G53"/>
  <sheetViews>
    <sheetView showGridLines="0" zoomScaleNormal="100" workbookViewId="0">
      <selection activeCell="F18" sqref="F18"/>
    </sheetView>
  </sheetViews>
  <sheetFormatPr defaultRowHeight="15"/>
  <cols>
    <col min="2" max="2" width="43.28515625" customWidth="1"/>
    <col min="3" max="3" width="16.42578125" bestFit="1" customWidth="1"/>
    <col min="4" max="4" width="23.7109375" customWidth="1"/>
    <col min="5" max="5" width="7.5703125" bestFit="1" customWidth="1"/>
    <col min="7" max="7" width="12.28515625" bestFit="1" customWidth="1"/>
  </cols>
  <sheetData>
    <row r="1" spans="2:7">
      <c r="G1" s="205">
        <v>1</v>
      </c>
    </row>
    <row r="2" spans="2:7">
      <c r="G2" s="205">
        <v>2</v>
      </c>
    </row>
    <row r="3" spans="2:7">
      <c r="G3" s="205">
        <v>3</v>
      </c>
    </row>
    <row r="4" spans="2:7">
      <c r="G4" s="205">
        <v>4</v>
      </c>
    </row>
    <row r="5" spans="2:7" ht="15.75" thickBot="1">
      <c r="G5" s="205">
        <v>5</v>
      </c>
    </row>
    <row r="6" spans="2:7">
      <c r="B6" s="315" t="s">
        <v>44</v>
      </c>
      <c r="C6" s="316"/>
      <c r="D6" s="317"/>
    </row>
    <row r="7" spans="2:7" ht="15.75" thickBot="1">
      <c r="B7" s="318" t="s">
        <v>65</v>
      </c>
      <c r="C7" s="319"/>
      <c r="D7" s="320"/>
    </row>
    <row r="8" spans="2:7" ht="15.75" thickBot="1"/>
    <row r="9" spans="2:7" ht="15.75" thickBot="1">
      <c r="B9" s="165" t="s">
        <v>46</v>
      </c>
      <c r="C9" s="166">
        <v>3600000</v>
      </c>
    </row>
    <row r="10" spans="2:7" ht="16.5" thickBot="1">
      <c r="B10" s="167" t="s">
        <v>66</v>
      </c>
      <c r="C10" s="248">
        <f>IF(E10=1,'ANEXO I'!E13,IF(E10=2,'ANEXO II'!E13,IF(E10=3,'ANEXO III'!E13,IF(E10=4,'ANEXO IV'!E13,IF(E10=5,'ANEXO V'!E13,0)))))</f>
        <v>0.22</v>
      </c>
      <c r="D10" s="257" t="s">
        <v>105</v>
      </c>
      <c r="E10" s="250">
        <v>4</v>
      </c>
    </row>
    <row r="11" spans="2:7">
      <c r="B11" s="167" t="s">
        <v>47</v>
      </c>
      <c r="C11" s="168">
        <f>C9*C10</f>
        <v>792000</v>
      </c>
    </row>
    <row r="12" spans="2:7">
      <c r="B12" s="167" t="s">
        <v>45</v>
      </c>
      <c r="C12" s="249">
        <f>IF(E10=1,'ANEXO I'!F13,IF(E10=2,'ANEXO II'!F13,IF(E10=3,'ANEXO III'!F13,IF(E10=4,'ANEXO IV'!F13,IF(E10=5,'ANEXO V'!F13,0)))))</f>
        <v>183780</v>
      </c>
    </row>
    <row r="13" spans="2:7">
      <c r="B13" s="167" t="s">
        <v>48</v>
      </c>
      <c r="C13" s="169">
        <f>C11-C12</f>
        <v>608220</v>
      </c>
    </row>
    <row r="14" spans="2:7">
      <c r="B14" s="167" t="s">
        <v>46</v>
      </c>
      <c r="C14" s="170">
        <f>C9</f>
        <v>3600000</v>
      </c>
    </row>
    <row r="15" spans="2:7">
      <c r="B15" s="171" t="s">
        <v>49</v>
      </c>
      <c r="C15" s="175">
        <f>C13/C14</f>
        <v>0.16894999999999999</v>
      </c>
    </row>
    <row r="16" spans="2:7">
      <c r="B16" s="167" t="s">
        <v>68</v>
      </c>
      <c r="C16" s="172">
        <v>0.33500000000000002</v>
      </c>
    </row>
    <row r="17" spans="2:7">
      <c r="B17" s="171" t="s">
        <v>50</v>
      </c>
      <c r="C17" s="176">
        <f>C15*C16</f>
        <v>5.6598250000000003E-2</v>
      </c>
    </row>
    <row r="18" spans="2:7">
      <c r="B18" s="167" t="s">
        <v>51</v>
      </c>
      <c r="C18" s="173">
        <v>0</v>
      </c>
    </row>
    <row r="19" spans="2:7" ht="15.75" thickBot="1">
      <c r="B19" s="174" t="s">
        <v>52</v>
      </c>
      <c r="C19" s="177">
        <f>C18*C17</f>
        <v>0</v>
      </c>
    </row>
    <row r="20" spans="2:7">
      <c r="B20" s="164"/>
      <c r="C20" s="69"/>
    </row>
    <row r="21" spans="2:7">
      <c r="B21" s="164" t="s">
        <v>70</v>
      </c>
      <c r="C21" s="69"/>
    </row>
    <row r="22" spans="2:7">
      <c r="B22" s="61" t="s">
        <v>67</v>
      </c>
      <c r="C22" s="69"/>
    </row>
    <row r="23" spans="2:7">
      <c r="B23" s="61"/>
      <c r="C23" s="69"/>
    </row>
    <row r="24" spans="2:7">
      <c r="B24" s="61" t="s">
        <v>71</v>
      </c>
      <c r="C24" s="69"/>
    </row>
    <row r="25" spans="2:7">
      <c r="B25" s="61" t="s">
        <v>72</v>
      </c>
      <c r="C25" s="69"/>
    </row>
    <row r="26" spans="2:7">
      <c r="B26" s="61"/>
      <c r="C26" s="69"/>
      <c r="G26" s="247"/>
    </row>
    <row r="27" spans="2:7">
      <c r="B27" s="61"/>
      <c r="C27" s="69"/>
      <c r="G27" s="247"/>
    </row>
    <row r="28" spans="2:7" ht="15.75" thickBot="1">
      <c r="B28" s="164"/>
      <c r="C28" s="69"/>
    </row>
    <row r="29" spans="2:7">
      <c r="B29" s="321" t="s">
        <v>69</v>
      </c>
      <c r="C29" s="322"/>
      <c r="D29" s="323"/>
    </row>
    <row r="30" spans="2:7" ht="15.75" thickBot="1">
      <c r="B30" s="324" t="s">
        <v>73</v>
      </c>
      <c r="C30" s="325"/>
      <c r="D30" s="326"/>
    </row>
    <row r="31" spans="2:7" ht="11.25" customHeight="1" thickBot="1"/>
    <row r="32" spans="2:7" ht="15.75" thickBot="1">
      <c r="B32" s="187" t="s">
        <v>46</v>
      </c>
      <c r="C32" s="253">
        <v>4800000</v>
      </c>
      <c r="D32" s="178"/>
      <c r="E32" s="178"/>
    </row>
    <row r="33" spans="2:5" ht="16.5" thickBot="1">
      <c r="B33" s="188" t="s">
        <v>74</v>
      </c>
      <c r="C33" s="254">
        <f>IF(E33=1,'ANEXO I'!E14,IF(E33=2,'ANEXO II'!E14,IF(E33=3,'ANEXO III'!E14,IF(E33=4,'ANEXO IV'!E14,IF(E33=5,'ANEXO V'!E14,0)))))</f>
        <v>0.19</v>
      </c>
      <c r="D33" s="257" t="s">
        <v>105</v>
      </c>
      <c r="E33" s="250">
        <v>1</v>
      </c>
    </row>
    <row r="34" spans="2:5">
      <c r="B34" s="188" t="s">
        <v>47</v>
      </c>
      <c r="C34" s="255">
        <f>C32*C33</f>
        <v>912000</v>
      </c>
      <c r="D34" s="178"/>
      <c r="E34" s="178"/>
    </row>
    <row r="35" spans="2:5">
      <c r="B35" s="188" t="s">
        <v>53</v>
      </c>
      <c r="C35" s="256">
        <f>IF(E33=1,'ANEXO I'!F14,IF(E33=2,'ANEXO II'!F14,IF(E33=3,'ANEXO III'!F14,IF(E33=4,'ANEXO IV'!F14,IF(E33=5,'ANEXO V'!F14,0)))))</f>
        <v>378000</v>
      </c>
      <c r="D35" s="178"/>
      <c r="E35" s="178"/>
    </row>
    <row r="36" spans="2:5" ht="15.75" thickBot="1">
      <c r="B36" s="188" t="s">
        <v>48</v>
      </c>
      <c r="C36" s="117">
        <f>C34-C35</f>
        <v>534000</v>
      </c>
      <c r="D36" s="178"/>
      <c r="E36" s="178"/>
    </row>
    <row r="37" spans="2:5" ht="39" customHeight="1" thickBot="1">
      <c r="B37" s="188" t="s">
        <v>46</v>
      </c>
      <c r="C37" s="181">
        <f>C32</f>
        <v>4800000</v>
      </c>
      <c r="D37" s="327" t="s">
        <v>51</v>
      </c>
      <c r="E37" s="328"/>
    </row>
    <row r="38" spans="2:5">
      <c r="B38" s="190" t="s">
        <v>49</v>
      </c>
      <c r="C38" s="182">
        <f>C36/C37</f>
        <v>0.11125</v>
      </c>
      <c r="D38" s="179">
        <v>0</v>
      </c>
      <c r="E38" s="189"/>
    </row>
    <row r="39" spans="2:5">
      <c r="B39" s="188" t="s">
        <v>54</v>
      </c>
      <c r="C39" s="251">
        <f>IF(E33=1,'ANEXO I'!C32,IF(E33=2,'ANEXO II'!C32,IF(E33=3,'ANEXO III'!C32,IF(E33=4,'ANEXO IV'!C32,IF(E33=5,'ANEXO V'!C32,0)))))</f>
        <v>0.13500000000000001</v>
      </c>
      <c r="D39" s="186"/>
      <c r="E39" s="189"/>
    </row>
    <row r="40" spans="2:5">
      <c r="B40" s="190" t="s">
        <v>50</v>
      </c>
      <c r="C40" s="180">
        <f>$C$38*C39</f>
        <v>1.5018750000000001E-2</v>
      </c>
      <c r="D40" s="183">
        <f>$D$38*C40</f>
        <v>0</v>
      </c>
      <c r="E40" s="191" t="s">
        <v>55</v>
      </c>
    </row>
    <row r="41" spans="2:5">
      <c r="B41" s="188" t="s">
        <v>56</v>
      </c>
      <c r="C41" s="251">
        <f>IF(E33=1,'ANEXO I'!D32,IF(E33=2,'ANEXO II'!D32,IF(E33=3,'ANEXO III'!D32,IF(E33=4,'ANEXO IV'!D32,IF(E33=5,'ANEXO V'!D32,0)))))</f>
        <v>0.1</v>
      </c>
      <c r="D41" s="186"/>
      <c r="E41" s="189"/>
    </row>
    <row r="42" spans="2:5">
      <c r="B42" s="190" t="s">
        <v>50</v>
      </c>
      <c r="C42" s="180">
        <f>$C$38*C41</f>
        <v>1.1125000000000001E-2</v>
      </c>
      <c r="D42" s="183">
        <f>$D$38*C42</f>
        <v>0</v>
      </c>
      <c r="E42" s="191" t="s">
        <v>57</v>
      </c>
    </row>
    <row r="43" spans="2:5">
      <c r="B43" s="188" t="s">
        <v>58</v>
      </c>
      <c r="C43" s="251">
        <f>IF(E33=1,'ANEXO I'!E32,IF(E33=2,'ANEXO II'!E32,IF(E33=3,'ANEXO III'!E32,IF(E33=4,'ANEXO IV'!E32,IF(E33=5,'ANEXO V'!E32,0)))))</f>
        <v>0.28270000000000001</v>
      </c>
      <c r="D43" s="186"/>
      <c r="E43" s="189"/>
    </row>
    <row r="44" spans="2:5">
      <c r="B44" s="190" t="s">
        <v>50</v>
      </c>
      <c r="C44" s="180">
        <f>$C$38*C43</f>
        <v>3.1450375000000003E-2</v>
      </c>
      <c r="D44" s="183">
        <f>$D$38*C44</f>
        <v>0</v>
      </c>
      <c r="E44" s="191" t="s">
        <v>59</v>
      </c>
    </row>
    <row r="45" spans="2:5">
      <c r="B45" s="188" t="s">
        <v>60</v>
      </c>
      <c r="C45" s="251">
        <f>IF(E33=1,'ANEXO I'!F32,IF(E33=2,'ANEXO II'!F32,IF(E33=3,'ANEXO III'!F32,IF(E33=4,'ANEXO IV'!F32,IF(E33=5,'ANEXO V'!F32,0)))))</f>
        <v>6.13E-2</v>
      </c>
      <c r="D45" s="186"/>
      <c r="E45" s="189"/>
    </row>
    <row r="46" spans="2:5">
      <c r="B46" s="190" t="s">
        <v>50</v>
      </c>
      <c r="C46" s="180">
        <f>$C$38*C45</f>
        <v>6.8196250000000002E-3</v>
      </c>
      <c r="D46" s="183">
        <f>$D$38*C46</f>
        <v>0</v>
      </c>
      <c r="E46" s="191" t="s">
        <v>61</v>
      </c>
    </row>
    <row r="47" spans="2:5">
      <c r="B47" s="188" t="s">
        <v>62</v>
      </c>
      <c r="C47" s="251">
        <f>IF(E33=1,'ANEXO I'!G32,IF(E33=2,'ANEXO II'!G32,IF(E33=3,'ANEXO III'!G32,IF(E33=4,'ANEXO IV'!G32,IF(E33=5,'ANEXO V'!G32,0)))))</f>
        <v>0.42099999999999999</v>
      </c>
      <c r="D47" s="186"/>
      <c r="E47" s="189"/>
    </row>
    <row r="48" spans="2:5">
      <c r="B48" s="190" t="s">
        <v>50</v>
      </c>
      <c r="C48" s="180">
        <f>$C$38*C47</f>
        <v>4.6836249999999996E-2</v>
      </c>
      <c r="D48" s="183">
        <f>$D$38*C48</f>
        <v>0</v>
      </c>
      <c r="E48" s="191" t="s">
        <v>63</v>
      </c>
    </row>
    <row r="49" spans="2:5">
      <c r="B49" s="188" t="s">
        <v>75</v>
      </c>
      <c r="C49" s="252">
        <f>IF(E33=2,'ANEXO II'!H32,0)</f>
        <v>0</v>
      </c>
      <c r="D49" s="186"/>
      <c r="E49" s="189"/>
    </row>
    <row r="50" spans="2:5" ht="15.75" thickBot="1">
      <c r="B50" s="192" t="s">
        <v>50</v>
      </c>
      <c r="C50" s="193">
        <f>$C$38*C49</f>
        <v>0</v>
      </c>
      <c r="D50" s="194">
        <f>$D$38*C50</f>
        <v>0</v>
      </c>
      <c r="E50" s="195" t="s">
        <v>63</v>
      </c>
    </row>
    <row r="51" spans="2:5" ht="5.25" customHeight="1">
      <c r="B51" s="178"/>
      <c r="C51" s="178"/>
      <c r="D51" s="178"/>
      <c r="E51" s="178"/>
    </row>
    <row r="52" spans="2:5" ht="15.75" thickBot="1">
      <c r="B52" s="178"/>
      <c r="C52" s="178"/>
      <c r="D52" s="184">
        <f>SUM(D40:D50)</f>
        <v>0</v>
      </c>
      <c r="E52" s="185" t="s">
        <v>64</v>
      </c>
    </row>
    <row r="53" spans="2:5" ht="15.75" thickTop="1"/>
  </sheetData>
  <mergeCells count="5">
    <mergeCell ref="B6:D6"/>
    <mergeCell ref="B7:D7"/>
    <mergeCell ref="B29:D29"/>
    <mergeCell ref="B30:D30"/>
    <mergeCell ref="D37:E37"/>
  </mergeCells>
  <dataValidations count="1">
    <dataValidation type="list" allowBlank="1" showInputMessage="1" showErrorMessage="1" sqref="E10 E33">
      <formula1>$G$1:$G$5</formula1>
    </dataValidation>
  </dataValidations>
  <pageMargins left="0" right="0" top="0" bottom="0" header="0" footer="0"/>
  <pageSetup paperSize="9" pageOrder="overThenDown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Z54"/>
  <sheetViews>
    <sheetView showGridLines="0" zoomScaleNormal="100" workbookViewId="0"/>
  </sheetViews>
  <sheetFormatPr defaultRowHeight="12.75"/>
  <cols>
    <col min="1" max="1" width="3.28515625" style="41" customWidth="1"/>
    <col min="2" max="2" width="14.7109375" style="58" customWidth="1"/>
    <col min="3" max="3" width="15.140625" style="58" customWidth="1"/>
    <col min="4" max="4" width="0.85546875" style="58" customWidth="1"/>
    <col min="5" max="5" width="10.7109375" style="41" customWidth="1"/>
    <col min="6" max="6" width="0.85546875" style="50" customWidth="1"/>
    <col min="7" max="7" width="10.7109375" style="41" customWidth="1"/>
    <col min="8" max="8" width="0.85546875" style="50" customWidth="1"/>
    <col min="9" max="9" width="10.7109375" style="41" customWidth="1"/>
    <col min="10" max="10" width="0.85546875" style="41" customWidth="1"/>
    <col min="11" max="11" width="10.7109375" style="41" customWidth="1"/>
    <col min="12" max="12" width="0.85546875" style="50" customWidth="1"/>
    <col min="13" max="13" width="10.7109375" style="41" customWidth="1"/>
    <col min="14" max="14" width="0.85546875" style="50" customWidth="1"/>
    <col min="15" max="15" width="10.7109375" style="41" customWidth="1"/>
    <col min="16" max="16" width="0.85546875" style="41" customWidth="1"/>
    <col min="17" max="17" width="10.7109375" style="41" customWidth="1"/>
    <col min="18" max="18" width="0.85546875" style="41" customWidth="1"/>
    <col min="19" max="19" width="10.7109375" style="41" customWidth="1"/>
    <col min="20" max="20" width="0.85546875" style="41" customWidth="1"/>
    <col min="21" max="21" width="9" style="41" bestFit="1" customWidth="1"/>
    <col min="22" max="22" width="0.85546875" style="41" customWidth="1"/>
    <col min="23" max="23" width="9.140625" style="41"/>
    <col min="24" max="24" width="0.85546875" style="41" customWidth="1"/>
    <col min="25" max="25" width="9.140625" style="41" customWidth="1"/>
    <col min="26" max="26" width="0.85546875" style="41" customWidth="1"/>
    <col min="27" max="256" width="9.140625" style="41"/>
    <col min="257" max="257" width="3.28515625" style="41" customWidth="1"/>
    <col min="258" max="258" width="14.7109375" style="41" customWidth="1"/>
    <col min="259" max="259" width="15.140625" style="41" customWidth="1"/>
    <col min="260" max="260" width="0.85546875" style="41" customWidth="1"/>
    <col min="261" max="261" width="10.7109375" style="41" customWidth="1"/>
    <col min="262" max="262" width="0.85546875" style="41" customWidth="1"/>
    <col min="263" max="263" width="10.7109375" style="41" customWidth="1"/>
    <col min="264" max="264" width="0.85546875" style="41" customWidth="1"/>
    <col min="265" max="265" width="10.7109375" style="41" customWidth="1"/>
    <col min="266" max="266" width="0.85546875" style="41" customWidth="1"/>
    <col min="267" max="267" width="10.7109375" style="41" customWidth="1"/>
    <col min="268" max="268" width="0.85546875" style="41" customWidth="1"/>
    <col min="269" max="269" width="10.7109375" style="41" customWidth="1"/>
    <col min="270" max="270" width="0.85546875" style="41" customWidth="1"/>
    <col min="271" max="271" width="10.7109375" style="41" customWidth="1"/>
    <col min="272" max="272" width="0.85546875" style="41" customWidth="1"/>
    <col min="273" max="273" width="10.7109375" style="41" customWidth="1"/>
    <col min="274" max="274" width="0.85546875" style="41" customWidth="1"/>
    <col min="275" max="275" width="10.7109375" style="41" customWidth="1"/>
    <col min="276" max="276" width="0.85546875" style="41" customWidth="1"/>
    <col min="277" max="277" width="9" style="41" bestFit="1" customWidth="1"/>
    <col min="278" max="278" width="0.85546875" style="41" customWidth="1"/>
    <col min="279" max="279" width="9.140625" style="41"/>
    <col min="280" max="280" width="0.85546875" style="41" customWidth="1"/>
    <col min="281" max="281" width="9.140625" style="41" customWidth="1"/>
    <col min="282" max="282" width="0.85546875" style="41" customWidth="1"/>
    <col min="283" max="512" width="9.140625" style="41"/>
    <col min="513" max="513" width="3.28515625" style="41" customWidth="1"/>
    <col min="514" max="514" width="14.7109375" style="41" customWidth="1"/>
    <col min="515" max="515" width="15.140625" style="41" customWidth="1"/>
    <col min="516" max="516" width="0.85546875" style="41" customWidth="1"/>
    <col min="517" max="517" width="10.7109375" style="41" customWidth="1"/>
    <col min="518" max="518" width="0.85546875" style="41" customWidth="1"/>
    <col min="519" max="519" width="10.7109375" style="41" customWidth="1"/>
    <col min="520" max="520" width="0.85546875" style="41" customWidth="1"/>
    <col min="521" max="521" width="10.7109375" style="41" customWidth="1"/>
    <col min="522" max="522" width="0.85546875" style="41" customWidth="1"/>
    <col min="523" max="523" width="10.7109375" style="41" customWidth="1"/>
    <col min="524" max="524" width="0.85546875" style="41" customWidth="1"/>
    <col min="525" max="525" width="10.7109375" style="41" customWidth="1"/>
    <col min="526" max="526" width="0.85546875" style="41" customWidth="1"/>
    <col min="527" max="527" width="10.7109375" style="41" customWidth="1"/>
    <col min="528" max="528" width="0.85546875" style="41" customWidth="1"/>
    <col min="529" max="529" width="10.7109375" style="41" customWidth="1"/>
    <col min="530" max="530" width="0.85546875" style="41" customWidth="1"/>
    <col min="531" max="531" width="10.7109375" style="41" customWidth="1"/>
    <col min="532" max="532" width="0.85546875" style="41" customWidth="1"/>
    <col min="533" max="533" width="9" style="41" bestFit="1" customWidth="1"/>
    <col min="534" max="534" width="0.85546875" style="41" customWidth="1"/>
    <col min="535" max="535" width="9.140625" style="41"/>
    <col min="536" max="536" width="0.85546875" style="41" customWidth="1"/>
    <col min="537" max="537" width="9.140625" style="41" customWidth="1"/>
    <col min="538" max="538" width="0.85546875" style="41" customWidth="1"/>
    <col min="539" max="768" width="9.140625" style="41"/>
    <col min="769" max="769" width="3.28515625" style="41" customWidth="1"/>
    <col min="770" max="770" width="14.7109375" style="41" customWidth="1"/>
    <col min="771" max="771" width="15.140625" style="41" customWidth="1"/>
    <col min="772" max="772" width="0.85546875" style="41" customWidth="1"/>
    <col min="773" max="773" width="10.7109375" style="41" customWidth="1"/>
    <col min="774" max="774" width="0.85546875" style="41" customWidth="1"/>
    <col min="775" max="775" width="10.7109375" style="41" customWidth="1"/>
    <col min="776" max="776" width="0.85546875" style="41" customWidth="1"/>
    <col min="777" max="777" width="10.7109375" style="41" customWidth="1"/>
    <col min="778" max="778" width="0.85546875" style="41" customWidth="1"/>
    <col min="779" max="779" width="10.7109375" style="41" customWidth="1"/>
    <col min="780" max="780" width="0.85546875" style="41" customWidth="1"/>
    <col min="781" max="781" width="10.7109375" style="41" customWidth="1"/>
    <col min="782" max="782" width="0.85546875" style="41" customWidth="1"/>
    <col min="783" max="783" width="10.7109375" style="41" customWidth="1"/>
    <col min="784" max="784" width="0.85546875" style="41" customWidth="1"/>
    <col min="785" max="785" width="10.7109375" style="41" customWidth="1"/>
    <col min="786" max="786" width="0.85546875" style="41" customWidth="1"/>
    <col min="787" max="787" width="10.7109375" style="41" customWidth="1"/>
    <col min="788" max="788" width="0.85546875" style="41" customWidth="1"/>
    <col min="789" max="789" width="9" style="41" bestFit="1" customWidth="1"/>
    <col min="790" max="790" width="0.85546875" style="41" customWidth="1"/>
    <col min="791" max="791" width="9.140625" style="41"/>
    <col min="792" max="792" width="0.85546875" style="41" customWidth="1"/>
    <col min="793" max="793" width="9.140625" style="41" customWidth="1"/>
    <col min="794" max="794" width="0.85546875" style="41" customWidth="1"/>
    <col min="795" max="1024" width="9.140625" style="41"/>
    <col min="1025" max="1025" width="3.28515625" style="41" customWidth="1"/>
    <col min="1026" max="1026" width="14.7109375" style="41" customWidth="1"/>
    <col min="1027" max="1027" width="15.140625" style="41" customWidth="1"/>
    <col min="1028" max="1028" width="0.85546875" style="41" customWidth="1"/>
    <col min="1029" max="1029" width="10.7109375" style="41" customWidth="1"/>
    <col min="1030" max="1030" width="0.85546875" style="41" customWidth="1"/>
    <col min="1031" max="1031" width="10.7109375" style="41" customWidth="1"/>
    <col min="1032" max="1032" width="0.85546875" style="41" customWidth="1"/>
    <col min="1033" max="1033" width="10.7109375" style="41" customWidth="1"/>
    <col min="1034" max="1034" width="0.85546875" style="41" customWidth="1"/>
    <col min="1035" max="1035" width="10.7109375" style="41" customWidth="1"/>
    <col min="1036" max="1036" width="0.85546875" style="41" customWidth="1"/>
    <col min="1037" max="1037" width="10.7109375" style="41" customWidth="1"/>
    <col min="1038" max="1038" width="0.85546875" style="41" customWidth="1"/>
    <col min="1039" max="1039" width="10.7109375" style="41" customWidth="1"/>
    <col min="1040" max="1040" width="0.85546875" style="41" customWidth="1"/>
    <col min="1041" max="1041" width="10.7109375" style="41" customWidth="1"/>
    <col min="1042" max="1042" width="0.85546875" style="41" customWidth="1"/>
    <col min="1043" max="1043" width="10.7109375" style="41" customWidth="1"/>
    <col min="1044" max="1044" width="0.85546875" style="41" customWidth="1"/>
    <col min="1045" max="1045" width="9" style="41" bestFit="1" customWidth="1"/>
    <col min="1046" max="1046" width="0.85546875" style="41" customWidth="1"/>
    <col min="1047" max="1047" width="9.140625" style="41"/>
    <col min="1048" max="1048" width="0.85546875" style="41" customWidth="1"/>
    <col min="1049" max="1049" width="9.140625" style="41" customWidth="1"/>
    <col min="1050" max="1050" width="0.85546875" style="41" customWidth="1"/>
    <col min="1051" max="1280" width="9.140625" style="41"/>
    <col min="1281" max="1281" width="3.28515625" style="41" customWidth="1"/>
    <col min="1282" max="1282" width="14.7109375" style="41" customWidth="1"/>
    <col min="1283" max="1283" width="15.140625" style="41" customWidth="1"/>
    <col min="1284" max="1284" width="0.85546875" style="41" customWidth="1"/>
    <col min="1285" max="1285" width="10.7109375" style="41" customWidth="1"/>
    <col min="1286" max="1286" width="0.85546875" style="41" customWidth="1"/>
    <col min="1287" max="1287" width="10.7109375" style="41" customWidth="1"/>
    <col min="1288" max="1288" width="0.85546875" style="41" customWidth="1"/>
    <col min="1289" max="1289" width="10.7109375" style="41" customWidth="1"/>
    <col min="1290" max="1290" width="0.85546875" style="41" customWidth="1"/>
    <col min="1291" max="1291" width="10.7109375" style="41" customWidth="1"/>
    <col min="1292" max="1292" width="0.85546875" style="41" customWidth="1"/>
    <col min="1293" max="1293" width="10.7109375" style="41" customWidth="1"/>
    <col min="1294" max="1294" width="0.85546875" style="41" customWidth="1"/>
    <col min="1295" max="1295" width="10.7109375" style="41" customWidth="1"/>
    <col min="1296" max="1296" width="0.85546875" style="41" customWidth="1"/>
    <col min="1297" max="1297" width="10.7109375" style="41" customWidth="1"/>
    <col min="1298" max="1298" width="0.85546875" style="41" customWidth="1"/>
    <col min="1299" max="1299" width="10.7109375" style="41" customWidth="1"/>
    <col min="1300" max="1300" width="0.85546875" style="41" customWidth="1"/>
    <col min="1301" max="1301" width="9" style="41" bestFit="1" customWidth="1"/>
    <col min="1302" max="1302" width="0.85546875" style="41" customWidth="1"/>
    <col min="1303" max="1303" width="9.140625" style="41"/>
    <col min="1304" max="1304" width="0.85546875" style="41" customWidth="1"/>
    <col min="1305" max="1305" width="9.140625" style="41" customWidth="1"/>
    <col min="1306" max="1306" width="0.85546875" style="41" customWidth="1"/>
    <col min="1307" max="1536" width="9.140625" style="41"/>
    <col min="1537" max="1537" width="3.28515625" style="41" customWidth="1"/>
    <col min="1538" max="1538" width="14.7109375" style="41" customWidth="1"/>
    <col min="1539" max="1539" width="15.140625" style="41" customWidth="1"/>
    <col min="1540" max="1540" width="0.85546875" style="41" customWidth="1"/>
    <col min="1541" max="1541" width="10.7109375" style="41" customWidth="1"/>
    <col min="1542" max="1542" width="0.85546875" style="41" customWidth="1"/>
    <col min="1543" max="1543" width="10.7109375" style="41" customWidth="1"/>
    <col min="1544" max="1544" width="0.85546875" style="41" customWidth="1"/>
    <col min="1545" max="1545" width="10.7109375" style="41" customWidth="1"/>
    <col min="1546" max="1546" width="0.85546875" style="41" customWidth="1"/>
    <col min="1547" max="1547" width="10.7109375" style="41" customWidth="1"/>
    <col min="1548" max="1548" width="0.85546875" style="41" customWidth="1"/>
    <col min="1549" max="1549" width="10.7109375" style="41" customWidth="1"/>
    <col min="1550" max="1550" width="0.85546875" style="41" customWidth="1"/>
    <col min="1551" max="1551" width="10.7109375" style="41" customWidth="1"/>
    <col min="1552" max="1552" width="0.85546875" style="41" customWidth="1"/>
    <col min="1553" max="1553" width="10.7109375" style="41" customWidth="1"/>
    <col min="1554" max="1554" width="0.85546875" style="41" customWidth="1"/>
    <col min="1555" max="1555" width="10.7109375" style="41" customWidth="1"/>
    <col min="1556" max="1556" width="0.85546875" style="41" customWidth="1"/>
    <col min="1557" max="1557" width="9" style="41" bestFit="1" customWidth="1"/>
    <col min="1558" max="1558" width="0.85546875" style="41" customWidth="1"/>
    <col min="1559" max="1559" width="9.140625" style="41"/>
    <col min="1560" max="1560" width="0.85546875" style="41" customWidth="1"/>
    <col min="1561" max="1561" width="9.140625" style="41" customWidth="1"/>
    <col min="1562" max="1562" width="0.85546875" style="41" customWidth="1"/>
    <col min="1563" max="1792" width="9.140625" style="41"/>
    <col min="1793" max="1793" width="3.28515625" style="41" customWidth="1"/>
    <col min="1794" max="1794" width="14.7109375" style="41" customWidth="1"/>
    <col min="1795" max="1795" width="15.140625" style="41" customWidth="1"/>
    <col min="1796" max="1796" width="0.85546875" style="41" customWidth="1"/>
    <col min="1797" max="1797" width="10.7109375" style="41" customWidth="1"/>
    <col min="1798" max="1798" width="0.85546875" style="41" customWidth="1"/>
    <col min="1799" max="1799" width="10.7109375" style="41" customWidth="1"/>
    <col min="1800" max="1800" width="0.85546875" style="41" customWidth="1"/>
    <col min="1801" max="1801" width="10.7109375" style="41" customWidth="1"/>
    <col min="1802" max="1802" width="0.85546875" style="41" customWidth="1"/>
    <col min="1803" max="1803" width="10.7109375" style="41" customWidth="1"/>
    <col min="1804" max="1804" width="0.85546875" style="41" customWidth="1"/>
    <col min="1805" max="1805" width="10.7109375" style="41" customWidth="1"/>
    <col min="1806" max="1806" width="0.85546875" style="41" customWidth="1"/>
    <col min="1807" max="1807" width="10.7109375" style="41" customWidth="1"/>
    <col min="1808" max="1808" width="0.85546875" style="41" customWidth="1"/>
    <col min="1809" max="1809" width="10.7109375" style="41" customWidth="1"/>
    <col min="1810" max="1810" width="0.85546875" style="41" customWidth="1"/>
    <col min="1811" max="1811" width="10.7109375" style="41" customWidth="1"/>
    <col min="1812" max="1812" width="0.85546875" style="41" customWidth="1"/>
    <col min="1813" max="1813" width="9" style="41" bestFit="1" customWidth="1"/>
    <col min="1814" max="1814" width="0.85546875" style="41" customWidth="1"/>
    <col min="1815" max="1815" width="9.140625" style="41"/>
    <col min="1816" max="1816" width="0.85546875" style="41" customWidth="1"/>
    <col min="1817" max="1817" width="9.140625" style="41" customWidth="1"/>
    <col min="1818" max="1818" width="0.85546875" style="41" customWidth="1"/>
    <col min="1819" max="2048" width="9.140625" style="41"/>
    <col min="2049" max="2049" width="3.28515625" style="41" customWidth="1"/>
    <col min="2050" max="2050" width="14.7109375" style="41" customWidth="1"/>
    <col min="2051" max="2051" width="15.140625" style="41" customWidth="1"/>
    <col min="2052" max="2052" width="0.85546875" style="41" customWidth="1"/>
    <col min="2053" max="2053" width="10.7109375" style="41" customWidth="1"/>
    <col min="2054" max="2054" width="0.85546875" style="41" customWidth="1"/>
    <col min="2055" max="2055" width="10.7109375" style="41" customWidth="1"/>
    <col min="2056" max="2056" width="0.85546875" style="41" customWidth="1"/>
    <col min="2057" max="2057" width="10.7109375" style="41" customWidth="1"/>
    <col min="2058" max="2058" width="0.85546875" style="41" customWidth="1"/>
    <col min="2059" max="2059" width="10.7109375" style="41" customWidth="1"/>
    <col min="2060" max="2060" width="0.85546875" style="41" customWidth="1"/>
    <col min="2061" max="2061" width="10.7109375" style="41" customWidth="1"/>
    <col min="2062" max="2062" width="0.85546875" style="41" customWidth="1"/>
    <col min="2063" max="2063" width="10.7109375" style="41" customWidth="1"/>
    <col min="2064" max="2064" width="0.85546875" style="41" customWidth="1"/>
    <col min="2065" max="2065" width="10.7109375" style="41" customWidth="1"/>
    <col min="2066" max="2066" width="0.85546875" style="41" customWidth="1"/>
    <col min="2067" max="2067" width="10.7109375" style="41" customWidth="1"/>
    <col min="2068" max="2068" width="0.85546875" style="41" customWidth="1"/>
    <col min="2069" max="2069" width="9" style="41" bestFit="1" customWidth="1"/>
    <col min="2070" max="2070" width="0.85546875" style="41" customWidth="1"/>
    <col min="2071" max="2071" width="9.140625" style="41"/>
    <col min="2072" max="2072" width="0.85546875" style="41" customWidth="1"/>
    <col min="2073" max="2073" width="9.140625" style="41" customWidth="1"/>
    <col min="2074" max="2074" width="0.85546875" style="41" customWidth="1"/>
    <col min="2075" max="2304" width="9.140625" style="41"/>
    <col min="2305" max="2305" width="3.28515625" style="41" customWidth="1"/>
    <col min="2306" max="2306" width="14.7109375" style="41" customWidth="1"/>
    <col min="2307" max="2307" width="15.140625" style="41" customWidth="1"/>
    <col min="2308" max="2308" width="0.85546875" style="41" customWidth="1"/>
    <col min="2309" max="2309" width="10.7109375" style="41" customWidth="1"/>
    <col min="2310" max="2310" width="0.85546875" style="41" customWidth="1"/>
    <col min="2311" max="2311" width="10.7109375" style="41" customWidth="1"/>
    <col min="2312" max="2312" width="0.85546875" style="41" customWidth="1"/>
    <col min="2313" max="2313" width="10.7109375" style="41" customWidth="1"/>
    <col min="2314" max="2314" width="0.85546875" style="41" customWidth="1"/>
    <col min="2315" max="2315" width="10.7109375" style="41" customWidth="1"/>
    <col min="2316" max="2316" width="0.85546875" style="41" customWidth="1"/>
    <col min="2317" max="2317" width="10.7109375" style="41" customWidth="1"/>
    <col min="2318" max="2318" width="0.85546875" style="41" customWidth="1"/>
    <col min="2319" max="2319" width="10.7109375" style="41" customWidth="1"/>
    <col min="2320" max="2320" width="0.85546875" style="41" customWidth="1"/>
    <col min="2321" max="2321" width="10.7109375" style="41" customWidth="1"/>
    <col min="2322" max="2322" width="0.85546875" style="41" customWidth="1"/>
    <col min="2323" max="2323" width="10.7109375" style="41" customWidth="1"/>
    <col min="2324" max="2324" width="0.85546875" style="41" customWidth="1"/>
    <col min="2325" max="2325" width="9" style="41" bestFit="1" customWidth="1"/>
    <col min="2326" max="2326" width="0.85546875" style="41" customWidth="1"/>
    <col min="2327" max="2327" width="9.140625" style="41"/>
    <col min="2328" max="2328" width="0.85546875" style="41" customWidth="1"/>
    <col min="2329" max="2329" width="9.140625" style="41" customWidth="1"/>
    <col min="2330" max="2330" width="0.85546875" style="41" customWidth="1"/>
    <col min="2331" max="2560" width="9.140625" style="41"/>
    <col min="2561" max="2561" width="3.28515625" style="41" customWidth="1"/>
    <col min="2562" max="2562" width="14.7109375" style="41" customWidth="1"/>
    <col min="2563" max="2563" width="15.140625" style="41" customWidth="1"/>
    <col min="2564" max="2564" width="0.85546875" style="41" customWidth="1"/>
    <col min="2565" max="2565" width="10.7109375" style="41" customWidth="1"/>
    <col min="2566" max="2566" width="0.85546875" style="41" customWidth="1"/>
    <col min="2567" max="2567" width="10.7109375" style="41" customWidth="1"/>
    <col min="2568" max="2568" width="0.85546875" style="41" customWidth="1"/>
    <col min="2569" max="2569" width="10.7109375" style="41" customWidth="1"/>
    <col min="2570" max="2570" width="0.85546875" style="41" customWidth="1"/>
    <col min="2571" max="2571" width="10.7109375" style="41" customWidth="1"/>
    <col min="2572" max="2572" width="0.85546875" style="41" customWidth="1"/>
    <col min="2573" max="2573" width="10.7109375" style="41" customWidth="1"/>
    <col min="2574" max="2574" width="0.85546875" style="41" customWidth="1"/>
    <col min="2575" max="2575" width="10.7109375" style="41" customWidth="1"/>
    <col min="2576" max="2576" width="0.85546875" style="41" customWidth="1"/>
    <col min="2577" max="2577" width="10.7109375" style="41" customWidth="1"/>
    <col min="2578" max="2578" width="0.85546875" style="41" customWidth="1"/>
    <col min="2579" max="2579" width="10.7109375" style="41" customWidth="1"/>
    <col min="2580" max="2580" width="0.85546875" style="41" customWidth="1"/>
    <col min="2581" max="2581" width="9" style="41" bestFit="1" customWidth="1"/>
    <col min="2582" max="2582" width="0.85546875" style="41" customWidth="1"/>
    <col min="2583" max="2583" width="9.140625" style="41"/>
    <col min="2584" max="2584" width="0.85546875" style="41" customWidth="1"/>
    <col min="2585" max="2585" width="9.140625" style="41" customWidth="1"/>
    <col min="2586" max="2586" width="0.85546875" style="41" customWidth="1"/>
    <col min="2587" max="2816" width="9.140625" style="41"/>
    <col min="2817" max="2817" width="3.28515625" style="41" customWidth="1"/>
    <col min="2818" max="2818" width="14.7109375" style="41" customWidth="1"/>
    <col min="2819" max="2819" width="15.140625" style="41" customWidth="1"/>
    <col min="2820" max="2820" width="0.85546875" style="41" customWidth="1"/>
    <col min="2821" max="2821" width="10.7109375" style="41" customWidth="1"/>
    <col min="2822" max="2822" width="0.85546875" style="41" customWidth="1"/>
    <col min="2823" max="2823" width="10.7109375" style="41" customWidth="1"/>
    <col min="2824" max="2824" width="0.85546875" style="41" customWidth="1"/>
    <col min="2825" max="2825" width="10.7109375" style="41" customWidth="1"/>
    <col min="2826" max="2826" width="0.85546875" style="41" customWidth="1"/>
    <col min="2827" max="2827" width="10.7109375" style="41" customWidth="1"/>
    <col min="2828" max="2828" width="0.85546875" style="41" customWidth="1"/>
    <col min="2829" max="2829" width="10.7109375" style="41" customWidth="1"/>
    <col min="2830" max="2830" width="0.85546875" style="41" customWidth="1"/>
    <col min="2831" max="2831" width="10.7109375" style="41" customWidth="1"/>
    <col min="2832" max="2832" width="0.85546875" style="41" customWidth="1"/>
    <col min="2833" max="2833" width="10.7109375" style="41" customWidth="1"/>
    <col min="2834" max="2834" width="0.85546875" style="41" customWidth="1"/>
    <col min="2835" max="2835" width="10.7109375" style="41" customWidth="1"/>
    <col min="2836" max="2836" width="0.85546875" style="41" customWidth="1"/>
    <col min="2837" max="2837" width="9" style="41" bestFit="1" customWidth="1"/>
    <col min="2838" max="2838" width="0.85546875" style="41" customWidth="1"/>
    <col min="2839" max="2839" width="9.140625" style="41"/>
    <col min="2840" max="2840" width="0.85546875" style="41" customWidth="1"/>
    <col min="2841" max="2841" width="9.140625" style="41" customWidth="1"/>
    <col min="2842" max="2842" width="0.85546875" style="41" customWidth="1"/>
    <col min="2843" max="3072" width="9.140625" style="41"/>
    <col min="3073" max="3073" width="3.28515625" style="41" customWidth="1"/>
    <col min="3074" max="3074" width="14.7109375" style="41" customWidth="1"/>
    <col min="3075" max="3075" width="15.140625" style="41" customWidth="1"/>
    <col min="3076" max="3076" width="0.85546875" style="41" customWidth="1"/>
    <col min="3077" max="3077" width="10.7109375" style="41" customWidth="1"/>
    <col min="3078" max="3078" width="0.85546875" style="41" customWidth="1"/>
    <col min="3079" max="3079" width="10.7109375" style="41" customWidth="1"/>
    <col min="3080" max="3080" width="0.85546875" style="41" customWidth="1"/>
    <col min="3081" max="3081" width="10.7109375" style="41" customWidth="1"/>
    <col min="3082" max="3082" width="0.85546875" style="41" customWidth="1"/>
    <col min="3083" max="3083" width="10.7109375" style="41" customWidth="1"/>
    <col min="3084" max="3084" width="0.85546875" style="41" customWidth="1"/>
    <col min="3085" max="3085" width="10.7109375" style="41" customWidth="1"/>
    <col min="3086" max="3086" width="0.85546875" style="41" customWidth="1"/>
    <col min="3087" max="3087" width="10.7109375" style="41" customWidth="1"/>
    <col min="3088" max="3088" width="0.85546875" style="41" customWidth="1"/>
    <col min="3089" max="3089" width="10.7109375" style="41" customWidth="1"/>
    <col min="3090" max="3090" width="0.85546875" style="41" customWidth="1"/>
    <col min="3091" max="3091" width="10.7109375" style="41" customWidth="1"/>
    <col min="3092" max="3092" width="0.85546875" style="41" customWidth="1"/>
    <col min="3093" max="3093" width="9" style="41" bestFit="1" customWidth="1"/>
    <col min="3094" max="3094" width="0.85546875" style="41" customWidth="1"/>
    <col min="3095" max="3095" width="9.140625" style="41"/>
    <col min="3096" max="3096" width="0.85546875" style="41" customWidth="1"/>
    <col min="3097" max="3097" width="9.140625" style="41" customWidth="1"/>
    <col min="3098" max="3098" width="0.85546875" style="41" customWidth="1"/>
    <col min="3099" max="3328" width="9.140625" style="41"/>
    <col min="3329" max="3329" width="3.28515625" style="41" customWidth="1"/>
    <col min="3330" max="3330" width="14.7109375" style="41" customWidth="1"/>
    <col min="3331" max="3331" width="15.140625" style="41" customWidth="1"/>
    <col min="3332" max="3332" width="0.85546875" style="41" customWidth="1"/>
    <col min="3333" max="3333" width="10.7109375" style="41" customWidth="1"/>
    <col min="3334" max="3334" width="0.85546875" style="41" customWidth="1"/>
    <col min="3335" max="3335" width="10.7109375" style="41" customWidth="1"/>
    <col min="3336" max="3336" width="0.85546875" style="41" customWidth="1"/>
    <col min="3337" max="3337" width="10.7109375" style="41" customWidth="1"/>
    <col min="3338" max="3338" width="0.85546875" style="41" customWidth="1"/>
    <col min="3339" max="3339" width="10.7109375" style="41" customWidth="1"/>
    <col min="3340" max="3340" width="0.85546875" style="41" customWidth="1"/>
    <col min="3341" max="3341" width="10.7109375" style="41" customWidth="1"/>
    <col min="3342" max="3342" width="0.85546875" style="41" customWidth="1"/>
    <col min="3343" max="3343" width="10.7109375" style="41" customWidth="1"/>
    <col min="3344" max="3344" width="0.85546875" style="41" customWidth="1"/>
    <col min="3345" max="3345" width="10.7109375" style="41" customWidth="1"/>
    <col min="3346" max="3346" width="0.85546875" style="41" customWidth="1"/>
    <col min="3347" max="3347" width="10.7109375" style="41" customWidth="1"/>
    <col min="3348" max="3348" width="0.85546875" style="41" customWidth="1"/>
    <col min="3349" max="3349" width="9" style="41" bestFit="1" customWidth="1"/>
    <col min="3350" max="3350" width="0.85546875" style="41" customWidth="1"/>
    <col min="3351" max="3351" width="9.140625" style="41"/>
    <col min="3352" max="3352" width="0.85546875" style="41" customWidth="1"/>
    <col min="3353" max="3353" width="9.140625" style="41" customWidth="1"/>
    <col min="3354" max="3354" width="0.85546875" style="41" customWidth="1"/>
    <col min="3355" max="3584" width="9.140625" style="41"/>
    <col min="3585" max="3585" width="3.28515625" style="41" customWidth="1"/>
    <col min="3586" max="3586" width="14.7109375" style="41" customWidth="1"/>
    <col min="3587" max="3587" width="15.140625" style="41" customWidth="1"/>
    <col min="3588" max="3588" width="0.85546875" style="41" customWidth="1"/>
    <col min="3589" max="3589" width="10.7109375" style="41" customWidth="1"/>
    <col min="3590" max="3590" width="0.85546875" style="41" customWidth="1"/>
    <col min="3591" max="3591" width="10.7109375" style="41" customWidth="1"/>
    <col min="3592" max="3592" width="0.85546875" style="41" customWidth="1"/>
    <col min="3593" max="3593" width="10.7109375" style="41" customWidth="1"/>
    <col min="3594" max="3594" width="0.85546875" style="41" customWidth="1"/>
    <col min="3595" max="3595" width="10.7109375" style="41" customWidth="1"/>
    <col min="3596" max="3596" width="0.85546875" style="41" customWidth="1"/>
    <col min="3597" max="3597" width="10.7109375" style="41" customWidth="1"/>
    <col min="3598" max="3598" width="0.85546875" style="41" customWidth="1"/>
    <col min="3599" max="3599" width="10.7109375" style="41" customWidth="1"/>
    <col min="3600" max="3600" width="0.85546875" style="41" customWidth="1"/>
    <col min="3601" max="3601" width="10.7109375" style="41" customWidth="1"/>
    <col min="3602" max="3602" width="0.85546875" style="41" customWidth="1"/>
    <col min="3603" max="3603" width="10.7109375" style="41" customWidth="1"/>
    <col min="3604" max="3604" width="0.85546875" style="41" customWidth="1"/>
    <col min="3605" max="3605" width="9" style="41" bestFit="1" customWidth="1"/>
    <col min="3606" max="3606" width="0.85546875" style="41" customWidth="1"/>
    <col min="3607" max="3607" width="9.140625" style="41"/>
    <col min="3608" max="3608" width="0.85546875" style="41" customWidth="1"/>
    <col min="3609" max="3609" width="9.140625" style="41" customWidth="1"/>
    <col min="3610" max="3610" width="0.85546875" style="41" customWidth="1"/>
    <col min="3611" max="3840" width="9.140625" style="41"/>
    <col min="3841" max="3841" width="3.28515625" style="41" customWidth="1"/>
    <col min="3842" max="3842" width="14.7109375" style="41" customWidth="1"/>
    <col min="3843" max="3843" width="15.140625" style="41" customWidth="1"/>
    <col min="3844" max="3844" width="0.85546875" style="41" customWidth="1"/>
    <col min="3845" max="3845" width="10.7109375" style="41" customWidth="1"/>
    <col min="3846" max="3846" width="0.85546875" style="41" customWidth="1"/>
    <col min="3847" max="3847" width="10.7109375" style="41" customWidth="1"/>
    <col min="3848" max="3848" width="0.85546875" style="41" customWidth="1"/>
    <col min="3849" max="3849" width="10.7109375" style="41" customWidth="1"/>
    <col min="3850" max="3850" width="0.85546875" style="41" customWidth="1"/>
    <col min="3851" max="3851" width="10.7109375" style="41" customWidth="1"/>
    <col min="3852" max="3852" width="0.85546875" style="41" customWidth="1"/>
    <col min="3853" max="3853" width="10.7109375" style="41" customWidth="1"/>
    <col min="3854" max="3854" width="0.85546875" style="41" customWidth="1"/>
    <col min="3855" max="3855" width="10.7109375" style="41" customWidth="1"/>
    <col min="3856" max="3856" width="0.85546875" style="41" customWidth="1"/>
    <col min="3857" max="3857" width="10.7109375" style="41" customWidth="1"/>
    <col min="3858" max="3858" width="0.85546875" style="41" customWidth="1"/>
    <col min="3859" max="3859" width="10.7109375" style="41" customWidth="1"/>
    <col min="3860" max="3860" width="0.85546875" style="41" customWidth="1"/>
    <col min="3861" max="3861" width="9" style="41" bestFit="1" customWidth="1"/>
    <col min="3862" max="3862" width="0.85546875" style="41" customWidth="1"/>
    <col min="3863" max="3863" width="9.140625" style="41"/>
    <col min="3864" max="3864" width="0.85546875" style="41" customWidth="1"/>
    <col min="3865" max="3865" width="9.140625" style="41" customWidth="1"/>
    <col min="3866" max="3866" width="0.85546875" style="41" customWidth="1"/>
    <col min="3867" max="4096" width="9.140625" style="41"/>
    <col min="4097" max="4097" width="3.28515625" style="41" customWidth="1"/>
    <col min="4098" max="4098" width="14.7109375" style="41" customWidth="1"/>
    <col min="4099" max="4099" width="15.140625" style="41" customWidth="1"/>
    <col min="4100" max="4100" width="0.85546875" style="41" customWidth="1"/>
    <col min="4101" max="4101" width="10.7109375" style="41" customWidth="1"/>
    <col min="4102" max="4102" width="0.85546875" style="41" customWidth="1"/>
    <col min="4103" max="4103" width="10.7109375" style="41" customWidth="1"/>
    <col min="4104" max="4104" width="0.85546875" style="41" customWidth="1"/>
    <col min="4105" max="4105" width="10.7109375" style="41" customWidth="1"/>
    <col min="4106" max="4106" width="0.85546875" style="41" customWidth="1"/>
    <col min="4107" max="4107" width="10.7109375" style="41" customWidth="1"/>
    <col min="4108" max="4108" width="0.85546875" style="41" customWidth="1"/>
    <col min="4109" max="4109" width="10.7109375" style="41" customWidth="1"/>
    <col min="4110" max="4110" width="0.85546875" style="41" customWidth="1"/>
    <col min="4111" max="4111" width="10.7109375" style="41" customWidth="1"/>
    <col min="4112" max="4112" width="0.85546875" style="41" customWidth="1"/>
    <col min="4113" max="4113" width="10.7109375" style="41" customWidth="1"/>
    <col min="4114" max="4114" width="0.85546875" style="41" customWidth="1"/>
    <col min="4115" max="4115" width="10.7109375" style="41" customWidth="1"/>
    <col min="4116" max="4116" width="0.85546875" style="41" customWidth="1"/>
    <col min="4117" max="4117" width="9" style="41" bestFit="1" customWidth="1"/>
    <col min="4118" max="4118" width="0.85546875" style="41" customWidth="1"/>
    <col min="4119" max="4119" width="9.140625" style="41"/>
    <col min="4120" max="4120" width="0.85546875" style="41" customWidth="1"/>
    <col min="4121" max="4121" width="9.140625" style="41" customWidth="1"/>
    <col min="4122" max="4122" width="0.85546875" style="41" customWidth="1"/>
    <col min="4123" max="4352" width="9.140625" style="41"/>
    <col min="4353" max="4353" width="3.28515625" style="41" customWidth="1"/>
    <col min="4354" max="4354" width="14.7109375" style="41" customWidth="1"/>
    <col min="4355" max="4355" width="15.140625" style="41" customWidth="1"/>
    <col min="4356" max="4356" width="0.85546875" style="41" customWidth="1"/>
    <col min="4357" max="4357" width="10.7109375" style="41" customWidth="1"/>
    <col min="4358" max="4358" width="0.85546875" style="41" customWidth="1"/>
    <col min="4359" max="4359" width="10.7109375" style="41" customWidth="1"/>
    <col min="4360" max="4360" width="0.85546875" style="41" customWidth="1"/>
    <col min="4361" max="4361" width="10.7109375" style="41" customWidth="1"/>
    <col min="4362" max="4362" width="0.85546875" style="41" customWidth="1"/>
    <col min="4363" max="4363" width="10.7109375" style="41" customWidth="1"/>
    <col min="4364" max="4364" width="0.85546875" style="41" customWidth="1"/>
    <col min="4365" max="4365" width="10.7109375" style="41" customWidth="1"/>
    <col min="4366" max="4366" width="0.85546875" style="41" customWidth="1"/>
    <col min="4367" max="4367" width="10.7109375" style="41" customWidth="1"/>
    <col min="4368" max="4368" width="0.85546875" style="41" customWidth="1"/>
    <col min="4369" max="4369" width="10.7109375" style="41" customWidth="1"/>
    <col min="4370" max="4370" width="0.85546875" style="41" customWidth="1"/>
    <col min="4371" max="4371" width="10.7109375" style="41" customWidth="1"/>
    <col min="4372" max="4372" width="0.85546875" style="41" customWidth="1"/>
    <col min="4373" max="4373" width="9" style="41" bestFit="1" customWidth="1"/>
    <col min="4374" max="4374" width="0.85546875" style="41" customWidth="1"/>
    <col min="4375" max="4375" width="9.140625" style="41"/>
    <col min="4376" max="4376" width="0.85546875" style="41" customWidth="1"/>
    <col min="4377" max="4377" width="9.140625" style="41" customWidth="1"/>
    <col min="4378" max="4378" width="0.85546875" style="41" customWidth="1"/>
    <col min="4379" max="4608" width="9.140625" style="41"/>
    <col min="4609" max="4609" width="3.28515625" style="41" customWidth="1"/>
    <col min="4610" max="4610" width="14.7109375" style="41" customWidth="1"/>
    <col min="4611" max="4611" width="15.140625" style="41" customWidth="1"/>
    <col min="4612" max="4612" width="0.85546875" style="41" customWidth="1"/>
    <col min="4613" max="4613" width="10.7109375" style="41" customWidth="1"/>
    <col min="4614" max="4614" width="0.85546875" style="41" customWidth="1"/>
    <col min="4615" max="4615" width="10.7109375" style="41" customWidth="1"/>
    <col min="4616" max="4616" width="0.85546875" style="41" customWidth="1"/>
    <col min="4617" max="4617" width="10.7109375" style="41" customWidth="1"/>
    <col min="4618" max="4618" width="0.85546875" style="41" customWidth="1"/>
    <col min="4619" max="4619" width="10.7109375" style="41" customWidth="1"/>
    <col min="4620" max="4620" width="0.85546875" style="41" customWidth="1"/>
    <col min="4621" max="4621" width="10.7109375" style="41" customWidth="1"/>
    <col min="4622" max="4622" width="0.85546875" style="41" customWidth="1"/>
    <col min="4623" max="4623" width="10.7109375" style="41" customWidth="1"/>
    <col min="4624" max="4624" width="0.85546875" style="41" customWidth="1"/>
    <col min="4625" max="4625" width="10.7109375" style="41" customWidth="1"/>
    <col min="4626" max="4626" width="0.85546875" style="41" customWidth="1"/>
    <col min="4627" max="4627" width="10.7109375" style="41" customWidth="1"/>
    <col min="4628" max="4628" width="0.85546875" style="41" customWidth="1"/>
    <col min="4629" max="4629" width="9" style="41" bestFit="1" customWidth="1"/>
    <col min="4630" max="4630" width="0.85546875" style="41" customWidth="1"/>
    <col min="4631" max="4631" width="9.140625" style="41"/>
    <col min="4632" max="4632" width="0.85546875" style="41" customWidth="1"/>
    <col min="4633" max="4633" width="9.140625" style="41" customWidth="1"/>
    <col min="4634" max="4634" width="0.85546875" style="41" customWidth="1"/>
    <col min="4635" max="4864" width="9.140625" style="41"/>
    <col min="4865" max="4865" width="3.28515625" style="41" customWidth="1"/>
    <col min="4866" max="4866" width="14.7109375" style="41" customWidth="1"/>
    <col min="4867" max="4867" width="15.140625" style="41" customWidth="1"/>
    <col min="4868" max="4868" width="0.85546875" style="41" customWidth="1"/>
    <col min="4869" max="4869" width="10.7109375" style="41" customWidth="1"/>
    <col min="4870" max="4870" width="0.85546875" style="41" customWidth="1"/>
    <col min="4871" max="4871" width="10.7109375" style="41" customWidth="1"/>
    <col min="4872" max="4872" width="0.85546875" style="41" customWidth="1"/>
    <col min="4873" max="4873" width="10.7109375" style="41" customWidth="1"/>
    <col min="4874" max="4874" width="0.85546875" style="41" customWidth="1"/>
    <col min="4875" max="4875" width="10.7109375" style="41" customWidth="1"/>
    <col min="4876" max="4876" width="0.85546875" style="41" customWidth="1"/>
    <col min="4877" max="4877" width="10.7109375" style="41" customWidth="1"/>
    <col min="4878" max="4878" width="0.85546875" style="41" customWidth="1"/>
    <col min="4879" max="4879" width="10.7109375" style="41" customWidth="1"/>
    <col min="4880" max="4880" width="0.85546875" style="41" customWidth="1"/>
    <col min="4881" max="4881" width="10.7109375" style="41" customWidth="1"/>
    <col min="4882" max="4882" width="0.85546875" style="41" customWidth="1"/>
    <col min="4883" max="4883" width="10.7109375" style="41" customWidth="1"/>
    <col min="4884" max="4884" width="0.85546875" style="41" customWidth="1"/>
    <col min="4885" max="4885" width="9" style="41" bestFit="1" customWidth="1"/>
    <col min="4886" max="4886" width="0.85546875" style="41" customWidth="1"/>
    <col min="4887" max="4887" width="9.140625" style="41"/>
    <col min="4888" max="4888" width="0.85546875" style="41" customWidth="1"/>
    <col min="4889" max="4889" width="9.140625" style="41" customWidth="1"/>
    <col min="4890" max="4890" width="0.85546875" style="41" customWidth="1"/>
    <col min="4891" max="5120" width="9.140625" style="41"/>
    <col min="5121" max="5121" width="3.28515625" style="41" customWidth="1"/>
    <col min="5122" max="5122" width="14.7109375" style="41" customWidth="1"/>
    <col min="5123" max="5123" width="15.140625" style="41" customWidth="1"/>
    <col min="5124" max="5124" width="0.85546875" style="41" customWidth="1"/>
    <col min="5125" max="5125" width="10.7109375" style="41" customWidth="1"/>
    <col min="5126" max="5126" width="0.85546875" style="41" customWidth="1"/>
    <col min="5127" max="5127" width="10.7109375" style="41" customWidth="1"/>
    <col min="5128" max="5128" width="0.85546875" style="41" customWidth="1"/>
    <col min="5129" max="5129" width="10.7109375" style="41" customWidth="1"/>
    <col min="5130" max="5130" width="0.85546875" style="41" customWidth="1"/>
    <col min="5131" max="5131" width="10.7109375" style="41" customWidth="1"/>
    <col min="5132" max="5132" width="0.85546875" style="41" customWidth="1"/>
    <col min="5133" max="5133" width="10.7109375" style="41" customWidth="1"/>
    <col min="5134" max="5134" width="0.85546875" style="41" customWidth="1"/>
    <col min="5135" max="5135" width="10.7109375" style="41" customWidth="1"/>
    <col min="5136" max="5136" width="0.85546875" style="41" customWidth="1"/>
    <col min="5137" max="5137" width="10.7109375" style="41" customWidth="1"/>
    <col min="5138" max="5138" width="0.85546875" style="41" customWidth="1"/>
    <col min="5139" max="5139" width="10.7109375" style="41" customWidth="1"/>
    <col min="5140" max="5140" width="0.85546875" style="41" customWidth="1"/>
    <col min="5141" max="5141" width="9" style="41" bestFit="1" customWidth="1"/>
    <col min="5142" max="5142" width="0.85546875" style="41" customWidth="1"/>
    <col min="5143" max="5143" width="9.140625" style="41"/>
    <col min="5144" max="5144" width="0.85546875" style="41" customWidth="1"/>
    <col min="5145" max="5145" width="9.140625" style="41" customWidth="1"/>
    <col min="5146" max="5146" width="0.85546875" style="41" customWidth="1"/>
    <col min="5147" max="5376" width="9.140625" style="41"/>
    <col min="5377" max="5377" width="3.28515625" style="41" customWidth="1"/>
    <col min="5378" max="5378" width="14.7109375" style="41" customWidth="1"/>
    <col min="5379" max="5379" width="15.140625" style="41" customWidth="1"/>
    <col min="5380" max="5380" width="0.85546875" style="41" customWidth="1"/>
    <col min="5381" max="5381" width="10.7109375" style="41" customWidth="1"/>
    <col min="5382" max="5382" width="0.85546875" style="41" customWidth="1"/>
    <col min="5383" max="5383" width="10.7109375" style="41" customWidth="1"/>
    <col min="5384" max="5384" width="0.85546875" style="41" customWidth="1"/>
    <col min="5385" max="5385" width="10.7109375" style="41" customWidth="1"/>
    <col min="5386" max="5386" width="0.85546875" style="41" customWidth="1"/>
    <col min="5387" max="5387" width="10.7109375" style="41" customWidth="1"/>
    <col min="5388" max="5388" width="0.85546875" style="41" customWidth="1"/>
    <col min="5389" max="5389" width="10.7109375" style="41" customWidth="1"/>
    <col min="5390" max="5390" width="0.85546875" style="41" customWidth="1"/>
    <col min="5391" max="5391" width="10.7109375" style="41" customWidth="1"/>
    <col min="5392" max="5392" width="0.85546875" style="41" customWidth="1"/>
    <col min="5393" max="5393" width="10.7109375" style="41" customWidth="1"/>
    <col min="5394" max="5394" width="0.85546875" style="41" customWidth="1"/>
    <col min="5395" max="5395" width="10.7109375" style="41" customWidth="1"/>
    <col min="5396" max="5396" width="0.85546875" style="41" customWidth="1"/>
    <col min="5397" max="5397" width="9" style="41" bestFit="1" customWidth="1"/>
    <col min="5398" max="5398" width="0.85546875" style="41" customWidth="1"/>
    <col min="5399" max="5399" width="9.140625" style="41"/>
    <col min="5400" max="5400" width="0.85546875" style="41" customWidth="1"/>
    <col min="5401" max="5401" width="9.140625" style="41" customWidth="1"/>
    <col min="5402" max="5402" width="0.85546875" style="41" customWidth="1"/>
    <col min="5403" max="5632" width="9.140625" style="41"/>
    <col min="5633" max="5633" width="3.28515625" style="41" customWidth="1"/>
    <col min="5634" max="5634" width="14.7109375" style="41" customWidth="1"/>
    <col min="5635" max="5635" width="15.140625" style="41" customWidth="1"/>
    <col min="5636" max="5636" width="0.85546875" style="41" customWidth="1"/>
    <col min="5637" max="5637" width="10.7109375" style="41" customWidth="1"/>
    <col min="5638" max="5638" width="0.85546875" style="41" customWidth="1"/>
    <col min="5639" max="5639" width="10.7109375" style="41" customWidth="1"/>
    <col min="5640" max="5640" width="0.85546875" style="41" customWidth="1"/>
    <col min="5641" max="5641" width="10.7109375" style="41" customWidth="1"/>
    <col min="5642" max="5642" width="0.85546875" style="41" customWidth="1"/>
    <col min="5643" max="5643" width="10.7109375" style="41" customWidth="1"/>
    <col min="5644" max="5644" width="0.85546875" style="41" customWidth="1"/>
    <col min="5645" max="5645" width="10.7109375" style="41" customWidth="1"/>
    <col min="5646" max="5646" width="0.85546875" style="41" customWidth="1"/>
    <col min="5647" max="5647" width="10.7109375" style="41" customWidth="1"/>
    <col min="5648" max="5648" width="0.85546875" style="41" customWidth="1"/>
    <col min="5649" max="5649" width="10.7109375" style="41" customWidth="1"/>
    <col min="5650" max="5650" width="0.85546875" style="41" customWidth="1"/>
    <col min="5651" max="5651" width="10.7109375" style="41" customWidth="1"/>
    <col min="5652" max="5652" width="0.85546875" style="41" customWidth="1"/>
    <col min="5653" max="5653" width="9" style="41" bestFit="1" customWidth="1"/>
    <col min="5654" max="5654" width="0.85546875" style="41" customWidth="1"/>
    <col min="5655" max="5655" width="9.140625" style="41"/>
    <col min="5656" max="5656" width="0.85546875" style="41" customWidth="1"/>
    <col min="5657" max="5657" width="9.140625" style="41" customWidth="1"/>
    <col min="5658" max="5658" width="0.85546875" style="41" customWidth="1"/>
    <col min="5659" max="5888" width="9.140625" style="41"/>
    <col min="5889" max="5889" width="3.28515625" style="41" customWidth="1"/>
    <col min="5890" max="5890" width="14.7109375" style="41" customWidth="1"/>
    <col min="5891" max="5891" width="15.140625" style="41" customWidth="1"/>
    <col min="5892" max="5892" width="0.85546875" style="41" customWidth="1"/>
    <col min="5893" max="5893" width="10.7109375" style="41" customWidth="1"/>
    <col min="5894" max="5894" width="0.85546875" style="41" customWidth="1"/>
    <col min="5895" max="5895" width="10.7109375" style="41" customWidth="1"/>
    <col min="5896" max="5896" width="0.85546875" style="41" customWidth="1"/>
    <col min="5897" max="5897" width="10.7109375" style="41" customWidth="1"/>
    <col min="5898" max="5898" width="0.85546875" style="41" customWidth="1"/>
    <col min="5899" max="5899" width="10.7109375" style="41" customWidth="1"/>
    <col min="5900" max="5900" width="0.85546875" style="41" customWidth="1"/>
    <col min="5901" max="5901" width="10.7109375" style="41" customWidth="1"/>
    <col min="5902" max="5902" width="0.85546875" style="41" customWidth="1"/>
    <col min="5903" max="5903" width="10.7109375" style="41" customWidth="1"/>
    <col min="5904" max="5904" width="0.85546875" style="41" customWidth="1"/>
    <col min="5905" max="5905" width="10.7109375" style="41" customWidth="1"/>
    <col min="5906" max="5906" width="0.85546875" style="41" customWidth="1"/>
    <col min="5907" max="5907" width="10.7109375" style="41" customWidth="1"/>
    <col min="5908" max="5908" width="0.85546875" style="41" customWidth="1"/>
    <col min="5909" max="5909" width="9" style="41" bestFit="1" customWidth="1"/>
    <col min="5910" max="5910" width="0.85546875" style="41" customWidth="1"/>
    <col min="5911" max="5911" width="9.140625" style="41"/>
    <col min="5912" max="5912" width="0.85546875" style="41" customWidth="1"/>
    <col min="5913" max="5913" width="9.140625" style="41" customWidth="1"/>
    <col min="5914" max="5914" width="0.85546875" style="41" customWidth="1"/>
    <col min="5915" max="6144" width="9.140625" style="41"/>
    <col min="6145" max="6145" width="3.28515625" style="41" customWidth="1"/>
    <col min="6146" max="6146" width="14.7109375" style="41" customWidth="1"/>
    <col min="6147" max="6147" width="15.140625" style="41" customWidth="1"/>
    <col min="6148" max="6148" width="0.85546875" style="41" customWidth="1"/>
    <col min="6149" max="6149" width="10.7109375" style="41" customWidth="1"/>
    <col min="6150" max="6150" width="0.85546875" style="41" customWidth="1"/>
    <col min="6151" max="6151" width="10.7109375" style="41" customWidth="1"/>
    <col min="6152" max="6152" width="0.85546875" style="41" customWidth="1"/>
    <col min="6153" max="6153" width="10.7109375" style="41" customWidth="1"/>
    <col min="6154" max="6154" width="0.85546875" style="41" customWidth="1"/>
    <col min="6155" max="6155" width="10.7109375" style="41" customWidth="1"/>
    <col min="6156" max="6156" width="0.85546875" style="41" customWidth="1"/>
    <col min="6157" max="6157" width="10.7109375" style="41" customWidth="1"/>
    <col min="6158" max="6158" width="0.85546875" style="41" customWidth="1"/>
    <col min="6159" max="6159" width="10.7109375" style="41" customWidth="1"/>
    <col min="6160" max="6160" width="0.85546875" style="41" customWidth="1"/>
    <col min="6161" max="6161" width="10.7109375" style="41" customWidth="1"/>
    <col min="6162" max="6162" width="0.85546875" style="41" customWidth="1"/>
    <col min="6163" max="6163" width="10.7109375" style="41" customWidth="1"/>
    <col min="6164" max="6164" width="0.85546875" style="41" customWidth="1"/>
    <col min="6165" max="6165" width="9" style="41" bestFit="1" customWidth="1"/>
    <col min="6166" max="6166" width="0.85546875" style="41" customWidth="1"/>
    <col min="6167" max="6167" width="9.140625" style="41"/>
    <col min="6168" max="6168" width="0.85546875" style="41" customWidth="1"/>
    <col min="6169" max="6169" width="9.140625" style="41" customWidth="1"/>
    <col min="6170" max="6170" width="0.85546875" style="41" customWidth="1"/>
    <col min="6171" max="6400" width="9.140625" style="41"/>
    <col min="6401" max="6401" width="3.28515625" style="41" customWidth="1"/>
    <col min="6402" max="6402" width="14.7109375" style="41" customWidth="1"/>
    <col min="6403" max="6403" width="15.140625" style="41" customWidth="1"/>
    <col min="6404" max="6404" width="0.85546875" style="41" customWidth="1"/>
    <col min="6405" max="6405" width="10.7109375" style="41" customWidth="1"/>
    <col min="6406" max="6406" width="0.85546875" style="41" customWidth="1"/>
    <col min="6407" max="6407" width="10.7109375" style="41" customWidth="1"/>
    <col min="6408" max="6408" width="0.85546875" style="41" customWidth="1"/>
    <col min="6409" max="6409" width="10.7109375" style="41" customWidth="1"/>
    <col min="6410" max="6410" width="0.85546875" style="41" customWidth="1"/>
    <col min="6411" max="6411" width="10.7109375" style="41" customWidth="1"/>
    <col min="6412" max="6412" width="0.85546875" style="41" customWidth="1"/>
    <col min="6413" max="6413" width="10.7109375" style="41" customWidth="1"/>
    <col min="6414" max="6414" width="0.85546875" style="41" customWidth="1"/>
    <col min="6415" max="6415" width="10.7109375" style="41" customWidth="1"/>
    <col min="6416" max="6416" width="0.85546875" style="41" customWidth="1"/>
    <col min="6417" max="6417" width="10.7109375" style="41" customWidth="1"/>
    <col min="6418" max="6418" width="0.85546875" style="41" customWidth="1"/>
    <col min="6419" max="6419" width="10.7109375" style="41" customWidth="1"/>
    <col min="6420" max="6420" width="0.85546875" style="41" customWidth="1"/>
    <col min="6421" max="6421" width="9" style="41" bestFit="1" customWidth="1"/>
    <col min="6422" max="6422" width="0.85546875" style="41" customWidth="1"/>
    <col min="6423" max="6423" width="9.140625" style="41"/>
    <col min="6424" max="6424" width="0.85546875" style="41" customWidth="1"/>
    <col min="6425" max="6425" width="9.140625" style="41" customWidth="1"/>
    <col min="6426" max="6426" width="0.85546875" style="41" customWidth="1"/>
    <col min="6427" max="6656" width="9.140625" style="41"/>
    <col min="6657" max="6657" width="3.28515625" style="41" customWidth="1"/>
    <col min="6658" max="6658" width="14.7109375" style="41" customWidth="1"/>
    <col min="6659" max="6659" width="15.140625" style="41" customWidth="1"/>
    <col min="6660" max="6660" width="0.85546875" style="41" customWidth="1"/>
    <col min="6661" max="6661" width="10.7109375" style="41" customWidth="1"/>
    <col min="6662" max="6662" width="0.85546875" style="41" customWidth="1"/>
    <col min="6663" max="6663" width="10.7109375" style="41" customWidth="1"/>
    <col min="6664" max="6664" width="0.85546875" style="41" customWidth="1"/>
    <col min="6665" max="6665" width="10.7109375" style="41" customWidth="1"/>
    <col min="6666" max="6666" width="0.85546875" style="41" customWidth="1"/>
    <col min="6667" max="6667" width="10.7109375" style="41" customWidth="1"/>
    <col min="6668" max="6668" width="0.85546875" style="41" customWidth="1"/>
    <col min="6669" max="6669" width="10.7109375" style="41" customWidth="1"/>
    <col min="6670" max="6670" width="0.85546875" style="41" customWidth="1"/>
    <col min="6671" max="6671" width="10.7109375" style="41" customWidth="1"/>
    <col min="6672" max="6672" width="0.85546875" style="41" customWidth="1"/>
    <col min="6673" max="6673" width="10.7109375" style="41" customWidth="1"/>
    <col min="6674" max="6674" width="0.85546875" style="41" customWidth="1"/>
    <col min="6675" max="6675" width="10.7109375" style="41" customWidth="1"/>
    <col min="6676" max="6676" width="0.85546875" style="41" customWidth="1"/>
    <col min="6677" max="6677" width="9" style="41" bestFit="1" customWidth="1"/>
    <col min="6678" max="6678" width="0.85546875" style="41" customWidth="1"/>
    <col min="6679" max="6679" width="9.140625" style="41"/>
    <col min="6680" max="6680" width="0.85546875" style="41" customWidth="1"/>
    <col min="6681" max="6681" width="9.140625" style="41" customWidth="1"/>
    <col min="6682" max="6682" width="0.85546875" style="41" customWidth="1"/>
    <col min="6683" max="6912" width="9.140625" style="41"/>
    <col min="6913" max="6913" width="3.28515625" style="41" customWidth="1"/>
    <col min="6914" max="6914" width="14.7109375" style="41" customWidth="1"/>
    <col min="6915" max="6915" width="15.140625" style="41" customWidth="1"/>
    <col min="6916" max="6916" width="0.85546875" style="41" customWidth="1"/>
    <col min="6917" max="6917" width="10.7109375" style="41" customWidth="1"/>
    <col min="6918" max="6918" width="0.85546875" style="41" customWidth="1"/>
    <col min="6919" max="6919" width="10.7109375" style="41" customWidth="1"/>
    <col min="6920" max="6920" width="0.85546875" style="41" customWidth="1"/>
    <col min="6921" max="6921" width="10.7109375" style="41" customWidth="1"/>
    <col min="6922" max="6922" width="0.85546875" style="41" customWidth="1"/>
    <col min="6923" max="6923" width="10.7109375" style="41" customWidth="1"/>
    <col min="6924" max="6924" width="0.85546875" style="41" customWidth="1"/>
    <col min="6925" max="6925" width="10.7109375" style="41" customWidth="1"/>
    <col min="6926" max="6926" width="0.85546875" style="41" customWidth="1"/>
    <col min="6927" max="6927" width="10.7109375" style="41" customWidth="1"/>
    <col min="6928" max="6928" width="0.85546875" style="41" customWidth="1"/>
    <col min="6929" max="6929" width="10.7109375" style="41" customWidth="1"/>
    <col min="6930" max="6930" width="0.85546875" style="41" customWidth="1"/>
    <col min="6931" max="6931" width="10.7109375" style="41" customWidth="1"/>
    <col min="6932" max="6932" width="0.85546875" style="41" customWidth="1"/>
    <col min="6933" max="6933" width="9" style="41" bestFit="1" customWidth="1"/>
    <col min="6934" max="6934" width="0.85546875" style="41" customWidth="1"/>
    <col min="6935" max="6935" width="9.140625" style="41"/>
    <col min="6936" max="6936" width="0.85546875" style="41" customWidth="1"/>
    <col min="6937" max="6937" width="9.140625" style="41" customWidth="1"/>
    <col min="6938" max="6938" width="0.85546875" style="41" customWidth="1"/>
    <col min="6939" max="7168" width="9.140625" style="41"/>
    <col min="7169" max="7169" width="3.28515625" style="41" customWidth="1"/>
    <col min="7170" max="7170" width="14.7109375" style="41" customWidth="1"/>
    <col min="7171" max="7171" width="15.140625" style="41" customWidth="1"/>
    <col min="7172" max="7172" width="0.85546875" style="41" customWidth="1"/>
    <col min="7173" max="7173" width="10.7109375" style="41" customWidth="1"/>
    <col min="7174" max="7174" width="0.85546875" style="41" customWidth="1"/>
    <col min="7175" max="7175" width="10.7109375" style="41" customWidth="1"/>
    <col min="7176" max="7176" width="0.85546875" style="41" customWidth="1"/>
    <col min="7177" max="7177" width="10.7109375" style="41" customWidth="1"/>
    <col min="7178" max="7178" width="0.85546875" style="41" customWidth="1"/>
    <col min="7179" max="7179" width="10.7109375" style="41" customWidth="1"/>
    <col min="7180" max="7180" width="0.85546875" style="41" customWidth="1"/>
    <col min="7181" max="7181" width="10.7109375" style="41" customWidth="1"/>
    <col min="7182" max="7182" width="0.85546875" style="41" customWidth="1"/>
    <col min="7183" max="7183" width="10.7109375" style="41" customWidth="1"/>
    <col min="7184" max="7184" width="0.85546875" style="41" customWidth="1"/>
    <col min="7185" max="7185" width="10.7109375" style="41" customWidth="1"/>
    <col min="7186" max="7186" width="0.85546875" style="41" customWidth="1"/>
    <col min="7187" max="7187" width="10.7109375" style="41" customWidth="1"/>
    <col min="7188" max="7188" width="0.85546875" style="41" customWidth="1"/>
    <col min="7189" max="7189" width="9" style="41" bestFit="1" customWidth="1"/>
    <col min="7190" max="7190" width="0.85546875" style="41" customWidth="1"/>
    <col min="7191" max="7191" width="9.140625" style="41"/>
    <col min="7192" max="7192" width="0.85546875" style="41" customWidth="1"/>
    <col min="7193" max="7193" width="9.140625" style="41" customWidth="1"/>
    <col min="7194" max="7194" width="0.85546875" style="41" customWidth="1"/>
    <col min="7195" max="7424" width="9.140625" style="41"/>
    <col min="7425" max="7425" width="3.28515625" style="41" customWidth="1"/>
    <col min="7426" max="7426" width="14.7109375" style="41" customWidth="1"/>
    <col min="7427" max="7427" width="15.140625" style="41" customWidth="1"/>
    <col min="7428" max="7428" width="0.85546875" style="41" customWidth="1"/>
    <col min="7429" max="7429" width="10.7109375" style="41" customWidth="1"/>
    <col min="7430" max="7430" width="0.85546875" style="41" customWidth="1"/>
    <col min="7431" max="7431" width="10.7109375" style="41" customWidth="1"/>
    <col min="7432" max="7432" width="0.85546875" style="41" customWidth="1"/>
    <col min="7433" max="7433" width="10.7109375" style="41" customWidth="1"/>
    <col min="7434" max="7434" width="0.85546875" style="41" customWidth="1"/>
    <col min="7435" max="7435" width="10.7109375" style="41" customWidth="1"/>
    <col min="7436" max="7436" width="0.85546875" style="41" customWidth="1"/>
    <col min="7437" max="7437" width="10.7109375" style="41" customWidth="1"/>
    <col min="7438" max="7438" width="0.85546875" style="41" customWidth="1"/>
    <col min="7439" max="7439" width="10.7109375" style="41" customWidth="1"/>
    <col min="7440" max="7440" width="0.85546875" style="41" customWidth="1"/>
    <col min="7441" max="7441" width="10.7109375" style="41" customWidth="1"/>
    <col min="7442" max="7442" width="0.85546875" style="41" customWidth="1"/>
    <col min="7443" max="7443" width="10.7109375" style="41" customWidth="1"/>
    <col min="7444" max="7444" width="0.85546875" style="41" customWidth="1"/>
    <col min="7445" max="7445" width="9" style="41" bestFit="1" customWidth="1"/>
    <col min="7446" max="7446" width="0.85546875" style="41" customWidth="1"/>
    <col min="7447" max="7447" width="9.140625" style="41"/>
    <col min="7448" max="7448" width="0.85546875" style="41" customWidth="1"/>
    <col min="7449" max="7449" width="9.140625" style="41" customWidth="1"/>
    <col min="7450" max="7450" width="0.85546875" style="41" customWidth="1"/>
    <col min="7451" max="7680" width="9.140625" style="41"/>
    <col min="7681" max="7681" width="3.28515625" style="41" customWidth="1"/>
    <col min="7682" max="7682" width="14.7109375" style="41" customWidth="1"/>
    <col min="7683" max="7683" width="15.140625" style="41" customWidth="1"/>
    <col min="7684" max="7684" width="0.85546875" style="41" customWidth="1"/>
    <col min="7685" max="7685" width="10.7109375" style="41" customWidth="1"/>
    <col min="7686" max="7686" width="0.85546875" style="41" customWidth="1"/>
    <col min="7687" max="7687" width="10.7109375" style="41" customWidth="1"/>
    <col min="7688" max="7688" width="0.85546875" style="41" customWidth="1"/>
    <col min="7689" max="7689" width="10.7109375" style="41" customWidth="1"/>
    <col min="7690" max="7690" width="0.85546875" style="41" customWidth="1"/>
    <col min="7691" max="7691" width="10.7109375" style="41" customWidth="1"/>
    <col min="7692" max="7692" width="0.85546875" style="41" customWidth="1"/>
    <col min="7693" max="7693" width="10.7109375" style="41" customWidth="1"/>
    <col min="7694" max="7694" width="0.85546875" style="41" customWidth="1"/>
    <col min="7695" max="7695" width="10.7109375" style="41" customWidth="1"/>
    <col min="7696" max="7696" width="0.85546875" style="41" customWidth="1"/>
    <col min="7697" max="7697" width="10.7109375" style="41" customWidth="1"/>
    <col min="7698" max="7698" width="0.85546875" style="41" customWidth="1"/>
    <col min="7699" max="7699" width="10.7109375" style="41" customWidth="1"/>
    <col min="7700" max="7700" width="0.85546875" style="41" customWidth="1"/>
    <col min="7701" max="7701" width="9" style="41" bestFit="1" customWidth="1"/>
    <col min="7702" max="7702" width="0.85546875" style="41" customWidth="1"/>
    <col min="7703" max="7703" width="9.140625" style="41"/>
    <col min="7704" max="7704" width="0.85546875" style="41" customWidth="1"/>
    <col min="7705" max="7705" width="9.140625" style="41" customWidth="1"/>
    <col min="7706" max="7706" width="0.85546875" style="41" customWidth="1"/>
    <col min="7707" max="7936" width="9.140625" style="41"/>
    <col min="7937" max="7937" width="3.28515625" style="41" customWidth="1"/>
    <col min="7938" max="7938" width="14.7109375" style="41" customWidth="1"/>
    <col min="7939" max="7939" width="15.140625" style="41" customWidth="1"/>
    <col min="7940" max="7940" width="0.85546875" style="41" customWidth="1"/>
    <col min="7941" max="7941" width="10.7109375" style="41" customWidth="1"/>
    <col min="7942" max="7942" width="0.85546875" style="41" customWidth="1"/>
    <col min="7943" max="7943" width="10.7109375" style="41" customWidth="1"/>
    <col min="7944" max="7944" width="0.85546875" style="41" customWidth="1"/>
    <col min="7945" max="7945" width="10.7109375" style="41" customWidth="1"/>
    <col min="7946" max="7946" width="0.85546875" style="41" customWidth="1"/>
    <col min="7947" max="7947" width="10.7109375" style="41" customWidth="1"/>
    <col min="7948" max="7948" width="0.85546875" style="41" customWidth="1"/>
    <col min="7949" max="7949" width="10.7109375" style="41" customWidth="1"/>
    <col min="7950" max="7950" width="0.85546875" style="41" customWidth="1"/>
    <col min="7951" max="7951" width="10.7109375" style="41" customWidth="1"/>
    <col min="7952" max="7952" width="0.85546875" style="41" customWidth="1"/>
    <col min="7953" max="7953" width="10.7109375" style="41" customWidth="1"/>
    <col min="7954" max="7954" width="0.85546875" style="41" customWidth="1"/>
    <col min="7955" max="7955" width="10.7109375" style="41" customWidth="1"/>
    <col min="7956" max="7956" width="0.85546875" style="41" customWidth="1"/>
    <col min="7957" max="7957" width="9" style="41" bestFit="1" customWidth="1"/>
    <col min="7958" max="7958" width="0.85546875" style="41" customWidth="1"/>
    <col min="7959" max="7959" width="9.140625" style="41"/>
    <col min="7960" max="7960" width="0.85546875" style="41" customWidth="1"/>
    <col min="7961" max="7961" width="9.140625" style="41" customWidth="1"/>
    <col min="7962" max="7962" width="0.85546875" style="41" customWidth="1"/>
    <col min="7963" max="8192" width="9.140625" style="41"/>
    <col min="8193" max="8193" width="3.28515625" style="41" customWidth="1"/>
    <col min="8194" max="8194" width="14.7109375" style="41" customWidth="1"/>
    <col min="8195" max="8195" width="15.140625" style="41" customWidth="1"/>
    <col min="8196" max="8196" width="0.85546875" style="41" customWidth="1"/>
    <col min="8197" max="8197" width="10.7109375" style="41" customWidth="1"/>
    <col min="8198" max="8198" width="0.85546875" style="41" customWidth="1"/>
    <col min="8199" max="8199" width="10.7109375" style="41" customWidth="1"/>
    <col min="8200" max="8200" width="0.85546875" style="41" customWidth="1"/>
    <col min="8201" max="8201" width="10.7109375" style="41" customWidth="1"/>
    <col min="8202" max="8202" width="0.85546875" style="41" customWidth="1"/>
    <col min="8203" max="8203" width="10.7109375" style="41" customWidth="1"/>
    <col min="8204" max="8204" width="0.85546875" style="41" customWidth="1"/>
    <col min="8205" max="8205" width="10.7109375" style="41" customWidth="1"/>
    <col min="8206" max="8206" width="0.85546875" style="41" customWidth="1"/>
    <col min="8207" max="8207" width="10.7109375" style="41" customWidth="1"/>
    <col min="8208" max="8208" width="0.85546875" style="41" customWidth="1"/>
    <col min="8209" max="8209" width="10.7109375" style="41" customWidth="1"/>
    <col min="8210" max="8210" width="0.85546875" style="41" customWidth="1"/>
    <col min="8211" max="8211" width="10.7109375" style="41" customWidth="1"/>
    <col min="8212" max="8212" width="0.85546875" style="41" customWidth="1"/>
    <col min="8213" max="8213" width="9" style="41" bestFit="1" customWidth="1"/>
    <col min="8214" max="8214" width="0.85546875" style="41" customWidth="1"/>
    <col min="8215" max="8215" width="9.140625" style="41"/>
    <col min="8216" max="8216" width="0.85546875" style="41" customWidth="1"/>
    <col min="8217" max="8217" width="9.140625" style="41" customWidth="1"/>
    <col min="8218" max="8218" width="0.85546875" style="41" customWidth="1"/>
    <col min="8219" max="8448" width="9.140625" style="41"/>
    <col min="8449" max="8449" width="3.28515625" style="41" customWidth="1"/>
    <col min="8450" max="8450" width="14.7109375" style="41" customWidth="1"/>
    <col min="8451" max="8451" width="15.140625" style="41" customWidth="1"/>
    <col min="8452" max="8452" width="0.85546875" style="41" customWidth="1"/>
    <col min="8453" max="8453" width="10.7109375" style="41" customWidth="1"/>
    <col min="8454" max="8454" width="0.85546875" style="41" customWidth="1"/>
    <col min="8455" max="8455" width="10.7109375" style="41" customWidth="1"/>
    <col min="8456" max="8456" width="0.85546875" style="41" customWidth="1"/>
    <col min="8457" max="8457" width="10.7109375" style="41" customWidth="1"/>
    <col min="8458" max="8458" width="0.85546875" style="41" customWidth="1"/>
    <col min="8459" max="8459" width="10.7109375" style="41" customWidth="1"/>
    <col min="8460" max="8460" width="0.85546875" style="41" customWidth="1"/>
    <col min="8461" max="8461" width="10.7109375" style="41" customWidth="1"/>
    <col min="8462" max="8462" width="0.85546875" style="41" customWidth="1"/>
    <col min="8463" max="8463" width="10.7109375" style="41" customWidth="1"/>
    <col min="8464" max="8464" width="0.85546875" style="41" customWidth="1"/>
    <col min="8465" max="8465" width="10.7109375" style="41" customWidth="1"/>
    <col min="8466" max="8466" width="0.85546875" style="41" customWidth="1"/>
    <col min="8467" max="8467" width="10.7109375" style="41" customWidth="1"/>
    <col min="8468" max="8468" width="0.85546875" style="41" customWidth="1"/>
    <col min="8469" max="8469" width="9" style="41" bestFit="1" customWidth="1"/>
    <col min="8470" max="8470" width="0.85546875" style="41" customWidth="1"/>
    <col min="8471" max="8471" width="9.140625" style="41"/>
    <col min="8472" max="8472" width="0.85546875" style="41" customWidth="1"/>
    <col min="8473" max="8473" width="9.140625" style="41" customWidth="1"/>
    <col min="8474" max="8474" width="0.85546875" style="41" customWidth="1"/>
    <col min="8475" max="8704" width="9.140625" style="41"/>
    <col min="8705" max="8705" width="3.28515625" style="41" customWidth="1"/>
    <col min="8706" max="8706" width="14.7109375" style="41" customWidth="1"/>
    <col min="8707" max="8707" width="15.140625" style="41" customWidth="1"/>
    <col min="8708" max="8708" width="0.85546875" style="41" customWidth="1"/>
    <col min="8709" max="8709" width="10.7109375" style="41" customWidth="1"/>
    <col min="8710" max="8710" width="0.85546875" style="41" customWidth="1"/>
    <col min="8711" max="8711" width="10.7109375" style="41" customWidth="1"/>
    <col min="8712" max="8712" width="0.85546875" style="41" customWidth="1"/>
    <col min="8713" max="8713" width="10.7109375" style="41" customWidth="1"/>
    <col min="8714" max="8714" width="0.85546875" style="41" customWidth="1"/>
    <col min="8715" max="8715" width="10.7109375" style="41" customWidth="1"/>
    <col min="8716" max="8716" width="0.85546875" style="41" customWidth="1"/>
    <col min="8717" max="8717" width="10.7109375" style="41" customWidth="1"/>
    <col min="8718" max="8718" width="0.85546875" style="41" customWidth="1"/>
    <col min="8719" max="8719" width="10.7109375" style="41" customWidth="1"/>
    <col min="8720" max="8720" width="0.85546875" style="41" customWidth="1"/>
    <col min="8721" max="8721" width="10.7109375" style="41" customWidth="1"/>
    <col min="8722" max="8722" width="0.85546875" style="41" customWidth="1"/>
    <col min="8723" max="8723" width="10.7109375" style="41" customWidth="1"/>
    <col min="8724" max="8724" width="0.85546875" style="41" customWidth="1"/>
    <col min="8725" max="8725" width="9" style="41" bestFit="1" customWidth="1"/>
    <col min="8726" max="8726" width="0.85546875" style="41" customWidth="1"/>
    <col min="8727" max="8727" width="9.140625" style="41"/>
    <col min="8728" max="8728" width="0.85546875" style="41" customWidth="1"/>
    <col min="8729" max="8729" width="9.140625" style="41" customWidth="1"/>
    <col min="8730" max="8730" width="0.85546875" style="41" customWidth="1"/>
    <col min="8731" max="8960" width="9.140625" style="41"/>
    <col min="8961" max="8961" width="3.28515625" style="41" customWidth="1"/>
    <col min="8962" max="8962" width="14.7109375" style="41" customWidth="1"/>
    <col min="8963" max="8963" width="15.140625" style="41" customWidth="1"/>
    <col min="8964" max="8964" width="0.85546875" style="41" customWidth="1"/>
    <col min="8965" max="8965" width="10.7109375" style="41" customWidth="1"/>
    <col min="8966" max="8966" width="0.85546875" style="41" customWidth="1"/>
    <col min="8967" max="8967" width="10.7109375" style="41" customWidth="1"/>
    <col min="8968" max="8968" width="0.85546875" style="41" customWidth="1"/>
    <col min="8969" max="8969" width="10.7109375" style="41" customWidth="1"/>
    <col min="8970" max="8970" width="0.85546875" style="41" customWidth="1"/>
    <col min="8971" max="8971" width="10.7109375" style="41" customWidth="1"/>
    <col min="8972" max="8972" width="0.85546875" style="41" customWidth="1"/>
    <col min="8973" max="8973" width="10.7109375" style="41" customWidth="1"/>
    <col min="8974" max="8974" width="0.85546875" style="41" customWidth="1"/>
    <col min="8975" max="8975" width="10.7109375" style="41" customWidth="1"/>
    <col min="8976" max="8976" width="0.85546875" style="41" customWidth="1"/>
    <col min="8977" max="8977" width="10.7109375" style="41" customWidth="1"/>
    <col min="8978" max="8978" width="0.85546875" style="41" customWidth="1"/>
    <col min="8979" max="8979" width="10.7109375" style="41" customWidth="1"/>
    <col min="8980" max="8980" width="0.85546875" style="41" customWidth="1"/>
    <col min="8981" max="8981" width="9" style="41" bestFit="1" customWidth="1"/>
    <col min="8982" max="8982" width="0.85546875" style="41" customWidth="1"/>
    <col min="8983" max="8983" width="9.140625" style="41"/>
    <col min="8984" max="8984" width="0.85546875" style="41" customWidth="1"/>
    <col min="8985" max="8985" width="9.140625" style="41" customWidth="1"/>
    <col min="8986" max="8986" width="0.85546875" style="41" customWidth="1"/>
    <col min="8987" max="9216" width="9.140625" style="41"/>
    <col min="9217" max="9217" width="3.28515625" style="41" customWidth="1"/>
    <col min="9218" max="9218" width="14.7109375" style="41" customWidth="1"/>
    <col min="9219" max="9219" width="15.140625" style="41" customWidth="1"/>
    <col min="9220" max="9220" width="0.85546875" style="41" customWidth="1"/>
    <col min="9221" max="9221" width="10.7109375" style="41" customWidth="1"/>
    <col min="9222" max="9222" width="0.85546875" style="41" customWidth="1"/>
    <col min="9223" max="9223" width="10.7109375" style="41" customWidth="1"/>
    <col min="9224" max="9224" width="0.85546875" style="41" customWidth="1"/>
    <col min="9225" max="9225" width="10.7109375" style="41" customWidth="1"/>
    <col min="9226" max="9226" width="0.85546875" style="41" customWidth="1"/>
    <col min="9227" max="9227" width="10.7109375" style="41" customWidth="1"/>
    <col min="9228" max="9228" width="0.85546875" style="41" customWidth="1"/>
    <col min="9229" max="9229" width="10.7109375" style="41" customWidth="1"/>
    <col min="9230" max="9230" width="0.85546875" style="41" customWidth="1"/>
    <col min="9231" max="9231" width="10.7109375" style="41" customWidth="1"/>
    <col min="9232" max="9232" width="0.85546875" style="41" customWidth="1"/>
    <col min="9233" max="9233" width="10.7109375" style="41" customWidth="1"/>
    <col min="9234" max="9234" width="0.85546875" style="41" customWidth="1"/>
    <col min="9235" max="9235" width="10.7109375" style="41" customWidth="1"/>
    <col min="9236" max="9236" width="0.85546875" style="41" customWidth="1"/>
    <col min="9237" max="9237" width="9" style="41" bestFit="1" customWidth="1"/>
    <col min="9238" max="9238" width="0.85546875" style="41" customWidth="1"/>
    <col min="9239" max="9239" width="9.140625" style="41"/>
    <col min="9240" max="9240" width="0.85546875" style="41" customWidth="1"/>
    <col min="9241" max="9241" width="9.140625" style="41" customWidth="1"/>
    <col min="9242" max="9242" width="0.85546875" style="41" customWidth="1"/>
    <col min="9243" max="9472" width="9.140625" style="41"/>
    <col min="9473" max="9473" width="3.28515625" style="41" customWidth="1"/>
    <col min="9474" max="9474" width="14.7109375" style="41" customWidth="1"/>
    <col min="9475" max="9475" width="15.140625" style="41" customWidth="1"/>
    <col min="9476" max="9476" width="0.85546875" style="41" customWidth="1"/>
    <col min="9477" max="9477" width="10.7109375" style="41" customWidth="1"/>
    <col min="9478" max="9478" width="0.85546875" style="41" customWidth="1"/>
    <col min="9479" max="9479" width="10.7109375" style="41" customWidth="1"/>
    <col min="9480" max="9480" width="0.85546875" style="41" customWidth="1"/>
    <col min="9481" max="9481" width="10.7109375" style="41" customWidth="1"/>
    <col min="9482" max="9482" width="0.85546875" style="41" customWidth="1"/>
    <col min="9483" max="9483" width="10.7109375" style="41" customWidth="1"/>
    <col min="9484" max="9484" width="0.85546875" style="41" customWidth="1"/>
    <col min="9485" max="9485" width="10.7109375" style="41" customWidth="1"/>
    <col min="9486" max="9486" width="0.85546875" style="41" customWidth="1"/>
    <col min="9487" max="9487" width="10.7109375" style="41" customWidth="1"/>
    <col min="9488" max="9488" width="0.85546875" style="41" customWidth="1"/>
    <col min="9489" max="9489" width="10.7109375" style="41" customWidth="1"/>
    <col min="9490" max="9490" width="0.85546875" style="41" customWidth="1"/>
    <col min="9491" max="9491" width="10.7109375" style="41" customWidth="1"/>
    <col min="9492" max="9492" width="0.85546875" style="41" customWidth="1"/>
    <col min="9493" max="9493" width="9" style="41" bestFit="1" customWidth="1"/>
    <col min="9494" max="9494" width="0.85546875" style="41" customWidth="1"/>
    <col min="9495" max="9495" width="9.140625" style="41"/>
    <col min="9496" max="9496" width="0.85546875" style="41" customWidth="1"/>
    <col min="9497" max="9497" width="9.140625" style="41" customWidth="1"/>
    <col min="9498" max="9498" width="0.85546875" style="41" customWidth="1"/>
    <col min="9499" max="9728" width="9.140625" style="41"/>
    <col min="9729" max="9729" width="3.28515625" style="41" customWidth="1"/>
    <col min="9730" max="9730" width="14.7109375" style="41" customWidth="1"/>
    <col min="9731" max="9731" width="15.140625" style="41" customWidth="1"/>
    <col min="9732" max="9732" width="0.85546875" style="41" customWidth="1"/>
    <col min="9733" max="9733" width="10.7109375" style="41" customWidth="1"/>
    <col min="9734" max="9734" width="0.85546875" style="41" customWidth="1"/>
    <col min="9735" max="9735" width="10.7109375" style="41" customWidth="1"/>
    <col min="9736" max="9736" width="0.85546875" style="41" customWidth="1"/>
    <col min="9737" max="9737" width="10.7109375" style="41" customWidth="1"/>
    <col min="9738" max="9738" width="0.85546875" style="41" customWidth="1"/>
    <col min="9739" max="9739" width="10.7109375" style="41" customWidth="1"/>
    <col min="9740" max="9740" width="0.85546875" style="41" customWidth="1"/>
    <col min="9741" max="9741" width="10.7109375" style="41" customWidth="1"/>
    <col min="9742" max="9742" width="0.85546875" style="41" customWidth="1"/>
    <col min="9743" max="9743" width="10.7109375" style="41" customWidth="1"/>
    <col min="9744" max="9744" width="0.85546875" style="41" customWidth="1"/>
    <col min="9745" max="9745" width="10.7109375" style="41" customWidth="1"/>
    <col min="9746" max="9746" width="0.85546875" style="41" customWidth="1"/>
    <col min="9747" max="9747" width="10.7109375" style="41" customWidth="1"/>
    <col min="9748" max="9748" width="0.85546875" style="41" customWidth="1"/>
    <col min="9749" max="9749" width="9" style="41" bestFit="1" customWidth="1"/>
    <col min="9750" max="9750" width="0.85546875" style="41" customWidth="1"/>
    <col min="9751" max="9751" width="9.140625" style="41"/>
    <col min="9752" max="9752" width="0.85546875" style="41" customWidth="1"/>
    <col min="9753" max="9753" width="9.140625" style="41" customWidth="1"/>
    <col min="9754" max="9754" width="0.85546875" style="41" customWidth="1"/>
    <col min="9755" max="9984" width="9.140625" style="41"/>
    <col min="9985" max="9985" width="3.28515625" style="41" customWidth="1"/>
    <col min="9986" max="9986" width="14.7109375" style="41" customWidth="1"/>
    <col min="9987" max="9987" width="15.140625" style="41" customWidth="1"/>
    <col min="9988" max="9988" width="0.85546875" style="41" customWidth="1"/>
    <col min="9989" max="9989" width="10.7109375" style="41" customWidth="1"/>
    <col min="9990" max="9990" width="0.85546875" style="41" customWidth="1"/>
    <col min="9991" max="9991" width="10.7109375" style="41" customWidth="1"/>
    <col min="9992" max="9992" width="0.85546875" style="41" customWidth="1"/>
    <col min="9993" max="9993" width="10.7109375" style="41" customWidth="1"/>
    <col min="9994" max="9994" width="0.85546875" style="41" customWidth="1"/>
    <col min="9995" max="9995" width="10.7109375" style="41" customWidth="1"/>
    <col min="9996" max="9996" width="0.85546875" style="41" customWidth="1"/>
    <col min="9997" max="9997" width="10.7109375" style="41" customWidth="1"/>
    <col min="9998" max="9998" width="0.85546875" style="41" customWidth="1"/>
    <col min="9999" max="9999" width="10.7109375" style="41" customWidth="1"/>
    <col min="10000" max="10000" width="0.85546875" style="41" customWidth="1"/>
    <col min="10001" max="10001" width="10.7109375" style="41" customWidth="1"/>
    <col min="10002" max="10002" width="0.85546875" style="41" customWidth="1"/>
    <col min="10003" max="10003" width="10.7109375" style="41" customWidth="1"/>
    <col min="10004" max="10004" width="0.85546875" style="41" customWidth="1"/>
    <col min="10005" max="10005" width="9" style="41" bestFit="1" customWidth="1"/>
    <col min="10006" max="10006" width="0.85546875" style="41" customWidth="1"/>
    <col min="10007" max="10007" width="9.140625" style="41"/>
    <col min="10008" max="10008" width="0.85546875" style="41" customWidth="1"/>
    <col min="10009" max="10009" width="9.140625" style="41" customWidth="1"/>
    <col min="10010" max="10010" width="0.85546875" style="41" customWidth="1"/>
    <col min="10011" max="10240" width="9.140625" style="41"/>
    <col min="10241" max="10241" width="3.28515625" style="41" customWidth="1"/>
    <col min="10242" max="10242" width="14.7109375" style="41" customWidth="1"/>
    <col min="10243" max="10243" width="15.140625" style="41" customWidth="1"/>
    <col min="10244" max="10244" width="0.85546875" style="41" customWidth="1"/>
    <col min="10245" max="10245" width="10.7109375" style="41" customWidth="1"/>
    <col min="10246" max="10246" width="0.85546875" style="41" customWidth="1"/>
    <col min="10247" max="10247" width="10.7109375" style="41" customWidth="1"/>
    <col min="10248" max="10248" width="0.85546875" style="41" customWidth="1"/>
    <col min="10249" max="10249" width="10.7109375" style="41" customWidth="1"/>
    <col min="10250" max="10250" width="0.85546875" style="41" customWidth="1"/>
    <col min="10251" max="10251" width="10.7109375" style="41" customWidth="1"/>
    <col min="10252" max="10252" width="0.85546875" style="41" customWidth="1"/>
    <col min="10253" max="10253" width="10.7109375" style="41" customWidth="1"/>
    <col min="10254" max="10254" width="0.85546875" style="41" customWidth="1"/>
    <col min="10255" max="10255" width="10.7109375" style="41" customWidth="1"/>
    <col min="10256" max="10256" width="0.85546875" style="41" customWidth="1"/>
    <col min="10257" max="10257" width="10.7109375" style="41" customWidth="1"/>
    <col min="10258" max="10258" width="0.85546875" style="41" customWidth="1"/>
    <col min="10259" max="10259" width="10.7109375" style="41" customWidth="1"/>
    <col min="10260" max="10260" width="0.85546875" style="41" customWidth="1"/>
    <col min="10261" max="10261" width="9" style="41" bestFit="1" customWidth="1"/>
    <col min="10262" max="10262" width="0.85546875" style="41" customWidth="1"/>
    <col min="10263" max="10263" width="9.140625" style="41"/>
    <col min="10264" max="10264" width="0.85546875" style="41" customWidth="1"/>
    <col min="10265" max="10265" width="9.140625" style="41" customWidth="1"/>
    <col min="10266" max="10266" width="0.85546875" style="41" customWidth="1"/>
    <col min="10267" max="10496" width="9.140625" style="41"/>
    <col min="10497" max="10497" width="3.28515625" style="41" customWidth="1"/>
    <col min="10498" max="10498" width="14.7109375" style="41" customWidth="1"/>
    <col min="10499" max="10499" width="15.140625" style="41" customWidth="1"/>
    <col min="10500" max="10500" width="0.85546875" style="41" customWidth="1"/>
    <col min="10501" max="10501" width="10.7109375" style="41" customWidth="1"/>
    <col min="10502" max="10502" width="0.85546875" style="41" customWidth="1"/>
    <col min="10503" max="10503" width="10.7109375" style="41" customWidth="1"/>
    <col min="10504" max="10504" width="0.85546875" style="41" customWidth="1"/>
    <col min="10505" max="10505" width="10.7109375" style="41" customWidth="1"/>
    <col min="10506" max="10506" width="0.85546875" style="41" customWidth="1"/>
    <col min="10507" max="10507" width="10.7109375" style="41" customWidth="1"/>
    <col min="10508" max="10508" width="0.85546875" style="41" customWidth="1"/>
    <col min="10509" max="10509" width="10.7109375" style="41" customWidth="1"/>
    <col min="10510" max="10510" width="0.85546875" style="41" customWidth="1"/>
    <col min="10511" max="10511" width="10.7109375" style="41" customWidth="1"/>
    <col min="10512" max="10512" width="0.85546875" style="41" customWidth="1"/>
    <col min="10513" max="10513" width="10.7109375" style="41" customWidth="1"/>
    <col min="10514" max="10514" width="0.85546875" style="41" customWidth="1"/>
    <col min="10515" max="10515" width="10.7109375" style="41" customWidth="1"/>
    <col min="10516" max="10516" width="0.85546875" style="41" customWidth="1"/>
    <col min="10517" max="10517" width="9" style="41" bestFit="1" customWidth="1"/>
    <col min="10518" max="10518" width="0.85546875" style="41" customWidth="1"/>
    <col min="10519" max="10519" width="9.140625" style="41"/>
    <col min="10520" max="10520" width="0.85546875" style="41" customWidth="1"/>
    <col min="10521" max="10521" width="9.140625" style="41" customWidth="1"/>
    <col min="10522" max="10522" width="0.85546875" style="41" customWidth="1"/>
    <col min="10523" max="10752" width="9.140625" style="41"/>
    <col min="10753" max="10753" width="3.28515625" style="41" customWidth="1"/>
    <col min="10754" max="10754" width="14.7109375" style="41" customWidth="1"/>
    <col min="10755" max="10755" width="15.140625" style="41" customWidth="1"/>
    <col min="10756" max="10756" width="0.85546875" style="41" customWidth="1"/>
    <col min="10757" max="10757" width="10.7109375" style="41" customWidth="1"/>
    <col min="10758" max="10758" width="0.85546875" style="41" customWidth="1"/>
    <col min="10759" max="10759" width="10.7109375" style="41" customWidth="1"/>
    <col min="10760" max="10760" width="0.85546875" style="41" customWidth="1"/>
    <col min="10761" max="10761" width="10.7109375" style="41" customWidth="1"/>
    <col min="10762" max="10762" width="0.85546875" style="41" customWidth="1"/>
    <col min="10763" max="10763" width="10.7109375" style="41" customWidth="1"/>
    <col min="10764" max="10764" width="0.85546875" style="41" customWidth="1"/>
    <col min="10765" max="10765" width="10.7109375" style="41" customWidth="1"/>
    <col min="10766" max="10766" width="0.85546875" style="41" customWidth="1"/>
    <col min="10767" max="10767" width="10.7109375" style="41" customWidth="1"/>
    <col min="10768" max="10768" width="0.85546875" style="41" customWidth="1"/>
    <col min="10769" max="10769" width="10.7109375" style="41" customWidth="1"/>
    <col min="10770" max="10770" width="0.85546875" style="41" customWidth="1"/>
    <col min="10771" max="10771" width="10.7109375" style="41" customWidth="1"/>
    <col min="10772" max="10772" width="0.85546875" style="41" customWidth="1"/>
    <col min="10773" max="10773" width="9" style="41" bestFit="1" customWidth="1"/>
    <col min="10774" max="10774" width="0.85546875" style="41" customWidth="1"/>
    <col min="10775" max="10775" width="9.140625" style="41"/>
    <col min="10776" max="10776" width="0.85546875" style="41" customWidth="1"/>
    <col min="10777" max="10777" width="9.140625" style="41" customWidth="1"/>
    <col min="10778" max="10778" width="0.85546875" style="41" customWidth="1"/>
    <col min="10779" max="11008" width="9.140625" style="41"/>
    <col min="11009" max="11009" width="3.28515625" style="41" customWidth="1"/>
    <col min="11010" max="11010" width="14.7109375" style="41" customWidth="1"/>
    <col min="11011" max="11011" width="15.140625" style="41" customWidth="1"/>
    <col min="11012" max="11012" width="0.85546875" style="41" customWidth="1"/>
    <col min="11013" max="11013" width="10.7109375" style="41" customWidth="1"/>
    <col min="11014" max="11014" width="0.85546875" style="41" customWidth="1"/>
    <col min="11015" max="11015" width="10.7109375" style="41" customWidth="1"/>
    <col min="11016" max="11016" width="0.85546875" style="41" customWidth="1"/>
    <col min="11017" max="11017" width="10.7109375" style="41" customWidth="1"/>
    <col min="11018" max="11018" width="0.85546875" style="41" customWidth="1"/>
    <col min="11019" max="11019" width="10.7109375" style="41" customWidth="1"/>
    <col min="11020" max="11020" width="0.85546875" style="41" customWidth="1"/>
    <col min="11021" max="11021" width="10.7109375" style="41" customWidth="1"/>
    <col min="11022" max="11022" width="0.85546875" style="41" customWidth="1"/>
    <col min="11023" max="11023" width="10.7109375" style="41" customWidth="1"/>
    <col min="11024" max="11024" width="0.85546875" style="41" customWidth="1"/>
    <col min="11025" max="11025" width="10.7109375" style="41" customWidth="1"/>
    <col min="11026" max="11026" width="0.85546875" style="41" customWidth="1"/>
    <col min="11027" max="11027" width="10.7109375" style="41" customWidth="1"/>
    <col min="11028" max="11028" width="0.85546875" style="41" customWidth="1"/>
    <col min="11029" max="11029" width="9" style="41" bestFit="1" customWidth="1"/>
    <col min="11030" max="11030" width="0.85546875" style="41" customWidth="1"/>
    <col min="11031" max="11031" width="9.140625" style="41"/>
    <col min="11032" max="11032" width="0.85546875" style="41" customWidth="1"/>
    <col min="11033" max="11033" width="9.140625" style="41" customWidth="1"/>
    <col min="11034" max="11034" width="0.85546875" style="41" customWidth="1"/>
    <col min="11035" max="11264" width="9.140625" style="41"/>
    <col min="11265" max="11265" width="3.28515625" style="41" customWidth="1"/>
    <col min="11266" max="11266" width="14.7109375" style="41" customWidth="1"/>
    <col min="11267" max="11267" width="15.140625" style="41" customWidth="1"/>
    <col min="11268" max="11268" width="0.85546875" style="41" customWidth="1"/>
    <col min="11269" max="11269" width="10.7109375" style="41" customWidth="1"/>
    <col min="11270" max="11270" width="0.85546875" style="41" customWidth="1"/>
    <col min="11271" max="11271" width="10.7109375" style="41" customWidth="1"/>
    <col min="11272" max="11272" width="0.85546875" style="41" customWidth="1"/>
    <col min="11273" max="11273" width="10.7109375" style="41" customWidth="1"/>
    <col min="11274" max="11274" width="0.85546875" style="41" customWidth="1"/>
    <col min="11275" max="11275" width="10.7109375" style="41" customWidth="1"/>
    <col min="11276" max="11276" width="0.85546875" style="41" customWidth="1"/>
    <col min="11277" max="11277" width="10.7109375" style="41" customWidth="1"/>
    <col min="11278" max="11278" width="0.85546875" style="41" customWidth="1"/>
    <col min="11279" max="11279" width="10.7109375" style="41" customWidth="1"/>
    <col min="11280" max="11280" width="0.85546875" style="41" customWidth="1"/>
    <col min="11281" max="11281" width="10.7109375" style="41" customWidth="1"/>
    <col min="11282" max="11282" width="0.85546875" style="41" customWidth="1"/>
    <col min="11283" max="11283" width="10.7109375" style="41" customWidth="1"/>
    <col min="11284" max="11284" width="0.85546875" style="41" customWidth="1"/>
    <col min="11285" max="11285" width="9" style="41" bestFit="1" customWidth="1"/>
    <col min="11286" max="11286" width="0.85546875" style="41" customWidth="1"/>
    <col min="11287" max="11287" width="9.140625" style="41"/>
    <col min="11288" max="11288" width="0.85546875" style="41" customWidth="1"/>
    <col min="11289" max="11289" width="9.140625" style="41" customWidth="1"/>
    <col min="11290" max="11290" width="0.85546875" style="41" customWidth="1"/>
    <col min="11291" max="11520" width="9.140625" style="41"/>
    <col min="11521" max="11521" width="3.28515625" style="41" customWidth="1"/>
    <col min="11522" max="11522" width="14.7109375" style="41" customWidth="1"/>
    <col min="11523" max="11523" width="15.140625" style="41" customWidth="1"/>
    <col min="11524" max="11524" width="0.85546875" style="41" customWidth="1"/>
    <col min="11525" max="11525" width="10.7109375" style="41" customWidth="1"/>
    <col min="11526" max="11526" width="0.85546875" style="41" customWidth="1"/>
    <col min="11527" max="11527" width="10.7109375" style="41" customWidth="1"/>
    <col min="11528" max="11528" width="0.85546875" style="41" customWidth="1"/>
    <col min="11529" max="11529" width="10.7109375" style="41" customWidth="1"/>
    <col min="11530" max="11530" width="0.85546875" style="41" customWidth="1"/>
    <col min="11531" max="11531" width="10.7109375" style="41" customWidth="1"/>
    <col min="11532" max="11532" width="0.85546875" style="41" customWidth="1"/>
    <col min="11533" max="11533" width="10.7109375" style="41" customWidth="1"/>
    <col min="11534" max="11534" width="0.85546875" style="41" customWidth="1"/>
    <col min="11535" max="11535" width="10.7109375" style="41" customWidth="1"/>
    <col min="11536" max="11536" width="0.85546875" style="41" customWidth="1"/>
    <col min="11537" max="11537" width="10.7109375" style="41" customWidth="1"/>
    <col min="11538" max="11538" width="0.85546875" style="41" customWidth="1"/>
    <col min="11539" max="11539" width="10.7109375" style="41" customWidth="1"/>
    <col min="11540" max="11540" width="0.85546875" style="41" customWidth="1"/>
    <col min="11541" max="11541" width="9" style="41" bestFit="1" customWidth="1"/>
    <col min="11542" max="11542" width="0.85546875" style="41" customWidth="1"/>
    <col min="11543" max="11543" width="9.140625" style="41"/>
    <col min="11544" max="11544" width="0.85546875" style="41" customWidth="1"/>
    <col min="11545" max="11545" width="9.140625" style="41" customWidth="1"/>
    <col min="11546" max="11546" width="0.85546875" style="41" customWidth="1"/>
    <col min="11547" max="11776" width="9.140625" style="41"/>
    <col min="11777" max="11777" width="3.28515625" style="41" customWidth="1"/>
    <col min="11778" max="11778" width="14.7109375" style="41" customWidth="1"/>
    <col min="11779" max="11779" width="15.140625" style="41" customWidth="1"/>
    <col min="11780" max="11780" width="0.85546875" style="41" customWidth="1"/>
    <col min="11781" max="11781" width="10.7109375" style="41" customWidth="1"/>
    <col min="11782" max="11782" width="0.85546875" style="41" customWidth="1"/>
    <col min="11783" max="11783" width="10.7109375" style="41" customWidth="1"/>
    <col min="11784" max="11784" width="0.85546875" style="41" customWidth="1"/>
    <col min="11785" max="11785" width="10.7109375" style="41" customWidth="1"/>
    <col min="11786" max="11786" width="0.85546875" style="41" customWidth="1"/>
    <col min="11787" max="11787" width="10.7109375" style="41" customWidth="1"/>
    <col min="11788" max="11788" width="0.85546875" style="41" customWidth="1"/>
    <col min="11789" max="11789" width="10.7109375" style="41" customWidth="1"/>
    <col min="11790" max="11790" width="0.85546875" style="41" customWidth="1"/>
    <col min="11791" max="11791" width="10.7109375" style="41" customWidth="1"/>
    <col min="11792" max="11792" width="0.85546875" style="41" customWidth="1"/>
    <col min="11793" max="11793" width="10.7109375" style="41" customWidth="1"/>
    <col min="11794" max="11794" width="0.85546875" style="41" customWidth="1"/>
    <col min="11795" max="11795" width="10.7109375" style="41" customWidth="1"/>
    <col min="11796" max="11796" width="0.85546875" style="41" customWidth="1"/>
    <col min="11797" max="11797" width="9" style="41" bestFit="1" customWidth="1"/>
    <col min="11798" max="11798" width="0.85546875" style="41" customWidth="1"/>
    <col min="11799" max="11799" width="9.140625" style="41"/>
    <col min="11800" max="11800" width="0.85546875" style="41" customWidth="1"/>
    <col min="11801" max="11801" width="9.140625" style="41" customWidth="1"/>
    <col min="11802" max="11802" width="0.85546875" style="41" customWidth="1"/>
    <col min="11803" max="12032" width="9.140625" style="41"/>
    <col min="12033" max="12033" width="3.28515625" style="41" customWidth="1"/>
    <col min="12034" max="12034" width="14.7109375" style="41" customWidth="1"/>
    <col min="12035" max="12035" width="15.140625" style="41" customWidth="1"/>
    <col min="12036" max="12036" width="0.85546875" style="41" customWidth="1"/>
    <col min="12037" max="12037" width="10.7109375" style="41" customWidth="1"/>
    <col min="12038" max="12038" width="0.85546875" style="41" customWidth="1"/>
    <col min="12039" max="12039" width="10.7109375" style="41" customWidth="1"/>
    <col min="12040" max="12040" width="0.85546875" style="41" customWidth="1"/>
    <col min="12041" max="12041" width="10.7109375" style="41" customWidth="1"/>
    <col min="12042" max="12042" width="0.85546875" style="41" customWidth="1"/>
    <col min="12043" max="12043" width="10.7109375" style="41" customWidth="1"/>
    <col min="12044" max="12044" width="0.85546875" style="41" customWidth="1"/>
    <col min="12045" max="12045" width="10.7109375" style="41" customWidth="1"/>
    <col min="12046" max="12046" width="0.85546875" style="41" customWidth="1"/>
    <col min="12047" max="12047" width="10.7109375" style="41" customWidth="1"/>
    <col min="12048" max="12048" width="0.85546875" style="41" customWidth="1"/>
    <col min="12049" max="12049" width="10.7109375" style="41" customWidth="1"/>
    <col min="12050" max="12050" width="0.85546875" style="41" customWidth="1"/>
    <col min="12051" max="12051" width="10.7109375" style="41" customWidth="1"/>
    <col min="12052" max="12052" width="0.85546875" style="41" customWidth="1"/>
    <col min="12053" max="12053" width="9" style="41" bestFit="1" customWidth="1"/>
    <col min="12054" max="12054" width="0.85546875" style="41" customWidth="1"/>
    <col min="12055" max="12055" width="9.140625" style="41"/>
    <col min="12056" max="12056" width="0.85546875" style="41" customWidth="1"/>
    <col min="12057" max="12057" width="9.140625" style="41" customWidth="1"/>
    <col min="12058" max="12058" width="0.85546875" style="41" customWidth="1"/>
    <col min="12059" max="12288" width="9.140625" style="41"/>
    <col min="12289" max="12289" width="3.28515625" style="41" customWidth="1"/>
    <col min="12290" max="12290" width="14.7109375" style="41" customWidth="1"/>
    <col min="12291" max="12291" width="15.140625" style="41" customWidth="1"/>
    <col min="12292" max="12292" width="0.85546875" style="41" customWidth="1"/>
    <col min="12293" max="12293" width="10.7109375" style="41" customWidth="1"/>
    <col min="12294" max="12294" width="0.85546875" style="41" customWidth="1"/>
    <col min="12295" max="12295" width="10.7109375" style="41" customWidth="1"/>
    <col min="12296" max="12296" width="0.85546875" style="41" customWidth="1"/>
    <col min="12297" max="12297" width="10.7109375" style="41" customWidth="1"/>
    <col min="12298" max="12298" width="0.85546875" style="41" customWidth="1"/>
    <col min="12299" max="12299" width="10.7109375" style="41" customWidth="1"/>
    <col min="12300" max="12300" width="0.85546875" style="41" customWidth="1"/>
    <col min="12301" max="12301" width="10.7109375" style="41" customWidth="1"/>
    <col min="12302" max="12302" width="0.85546875" style="41" customWidth="1"/>
    <col min="12303" max="12303" width="10.7109375" style="41" customWidth="1"/>
    <col min="12304" max="12304" width="0.85546875" style="41" customWidth="1"/>
    <col min="12305" max="12305" width="10.7109375" style="41" customWidth="1"/>
    <col min="12306" max="12306" width="0.85546875" style="41" customWidth="1"/>
    <col min="12307" max="12307" width="10.7109375" style="41" customWidth="1"/>
    <col min="12308" max="12308" width="0.85546875" style="41" customWidth="1"/>
    <col min="12309" max="12309" width="9" style="41" bestFit="1" customWidth="1"/>
    <col min="12310" max="12310" width="0.85546875" style="41" customWidth="1"/>
    <col min="12311" max="12311" width="9.140625" style="41"/>
    <col min="12312" max="12312" width="0.85546875" style="41" customWidth="1"/>
    <col min="12313" max="12313" width="9.140625" style="41" customWidth="1"/>
    <col min="12314" max="12314" width="0.85546875" style="41" customWidth="1"/>
    <col min="12315" max="12544" width="9.140625" style="41"/>
    <col min="12545" max="12545" width="3.28515625" style="41" customWidth="1"/>
    <col min="12546" max="12546" width="14.7109375" style="41" customWidth="1"/>
    <col min="12547" max="12547" width="15.140625" style="41" customWidth="1"/>
    <col min="12548" max="12548" width="0.85546875" style="41" customWidth="1"/>
    <col min="12549" max="12549" width="10.7109375" style="41" customWidth="1"/>
    <col min="12550" max="12550" width="0.85546875" style="41" customWidth="1"/>
    <col min="12551" max="12551" width="10.7109375" style="41" customWidth="1"/>
    <col min="12552" max="12552" width="0.85546875" style="41" customWidth="1"/>
    <col min="12553" max="12553" width="10.7109375" style="41" customWidth="1"/>
    <col min="12554" max="12554" width="0.85546875" style="41" customWidth="1"/>
    <col min="12555" max="12555" width="10.7109375" style="41" customWidth="1"/>
    <col min="12556" max="12556" width="0.85546875" style="41" customWidth="1"/>
    <col min="12557" max="12557" width="10.7109375" style="41" customWidth="1"/>
    <col min="12558" max="12558" width="0.85546875" style="41" customWidth="1"/>
    <col min="12559" max="12559" width="10.7109375" style="41" customWidth="1"/>
    <col min="12560" max="12560" width="0.85546875" style="41" customWidth="1"/>
    <col min="12561" max="12561" width="10.7109375" style="41" customWidth="1"/>
    <col min="12562" max="12562" width="0.85546875" style="41" customWidth="1"/>
    <col min="12563" max="12563" width="10.7109375" style="41" customWidth="1"/>
    <col min="12564" max="12564" width="0.85546875" style="41" customWidth="1"/>
    <col min="12565" max="12565" width="9" style="41" bestFit="1" customWidth="1"/>
    <col min="12566" max="12566" width="0.85546875" style="41" customWidth="1"/>
    <col min="12567" max="12567" width="9.140625" style="41"/>
    <col min="12568" max="12568" width="0.85546875" style="41" customWidth="1"/>
    <col min="12569" max="12569" width="9.140625" style="41" customWidth="1"/>
    <col min="12570" max="12570" width="0.85546875" style="41" customWidth="1"/>
    <col min="12571" max="12800" width="9.140625" style="41"/>
    <col min="12801" max="12801" width="3.28515625" style="41" customWidth="1"/>
    <col min="12802" max="12802" width="14.7109375" style="41" customWidth="1"/>
    <col min="12803" max="12803" width="15.140625" style="41" customWidth="1"/>
    <col min="12804" max="12804" width="0.85546875" style="41" customWidth="1"/>
    <col min="12805" max="12805" width="10.7109375" style="41" customWidth="1"/>
    <col min="12806" max="12806" width="0.85546875" style="41" customWidth="1"/>
    <col min="12807" max="12807" width="10.7109375" style="41" customWidth="1"/>
    <col min="12808" max="12808" width="0.85546875" style="41" customWidth="1"/>
    <col min="12809" max="12809" width="10.7109375" style="41" customWidth="1"/>
    <col min="12810" max="12810" width="0.85546875" style="41" customWidth="1"/>
    <col min="12811" max="12811" width="10.7109375" style="41" customWidth="1"/>
    <col min="12812" max="12812" width="0.85546875" style="41" customWidth="1"/>
    <col min="12813" max="12813" width="10.7109375" style="41" customWidth="1"/>
    <col min="12814" max="12814" width="0.85546875" style="41" customWidth="1"/>
    <col min="12815" max="12815" width="10.7109375" style="41" customWidth="1"/>
    <col min="12816" max="12816" width="0.85546875" style="41" customWidth="1"/>
    <col min="12817" max="12817" width="10.7109375" style="41" customWidth="1"/>
    <col min="12818" max="12818" width="0.85546875" style="41" customWidth="1"/>
    <col min="12819" max="12819" width="10.7109375" style="41" customWidth="1"/>
    <col min="12820" max="12820" width="0.85546875" style="41" customWidth="1"/>
    <col min="12821" max="12821" width="9" style="41" bestFit="1" customWidth="1"/>
    <col min="12822" max="12822" width="0.85546875" style="41" customWidth="1"/>
    <col min="12823" max="12823" width="9.140625" style="41"/>
    <col min="12824" max="12824" width="0.85546875" style="41" customWidth="1"/>
    <col min="12825" max="12825" width="9.140625" style="41" customWidth="1"/>
    <col min="12826" max="12826" width="0.85546875" style="41" customWidth="1"/>
    <col min="12827" max="13056" width="9.140625" style="41"/>
    <col min="13057" max="13057" width="3.28515625" style="41" customWidth="1"/>
    <col min="13058" max="13058" width="14.7109375" style="41" customWidth="1"/>
    <col min="13059" max="13059" width="15.140625" style="41" customWidth="1"/>
    <col min="13060" max="13060" width="0.85546875" style="41" customWidth="1"/>
    <col min="13061" max="13061" width="10.7109375" style="41" customWidth="1"/>
    <col min="13062" max="13062" width="0.85546875" style="41" customWidth="1"/>
    <col min="13063" max="13063" width="10.7109375" style="41" customWidth="1"/>
    <col min="13064" max="13064" width="0.85546875" style="41" customWidth="1"/>
    <col min="13065" max="13065" width="10.7109375" style="41" customWidth="1"/>
    <col min="13066" max="13066" width="0.85546875" style="41" customWidth="1"/>
    <col min="13067" max="13067" width="10.7109375" style="41" customWidth="1"/>
    <col min="13068" max="13068" width="0.85546875" style="41" customWidth="1"/>
    <col min="13069" max="13069" width="10.7109375" style="41" customWidth="1"/>
    <col min="13070" max="13070" width="0.85546875" style="41" customWidth="1"/>
    <col min="13071" max="13071" width="10.7109375" style="41" customWidth="1"/>
    <col min="13072" max="13072" width="0.85546875" style="41" customWidth="1"/>
    <col min="13073" max="13073" width="10.7109375" style="41" customWidth="1"/>
    <col min="13074" max="13074" width="0.85546875" style="41" customWidth="1"/>
    <col min="13075" max="13075" width="10.7109375" style="41" customWidth="1"/>
    <col min="13076" max="13076" width="0.85546875" style="41" customWidth="1"/>
    <col min="13077" max="13077" width="9" style="41" bestFit="1" customWidth="1"/>
    <col min="13078" max="13078" width="0.85546875" style="41" customWidth="1"/>
    <col min="13079" max="13079" width="9.140625" style="41"/>
    <col min="13080" max="13080" width="0.85546875" style="41" customWidth="1"/>
    <col min="13081" max="13081" width="9.140625" style="41" customWidth="1"/>
    <col min="13082" max="13082" width="0.85546875" style="41" customWidth="1"/>
    <col min="13083" max="13312" width="9.140625" style="41"/>
    <col min="13313" max="13313" width="3.28515625" style="41" customWidth="1"/>
    <col min="13314" max="13314" width="14.7109375" style="41" customWidth="1"/>
    <col min="13315" max="13315" width="15.140625" style="41" customWidth="1"/>
    <col min="13316" max="13316" width="0.85546875" style="41" customWidth="1"/>
    <col min="13317" max="13317" width="10.7109375" style="41" customWidth="1"/>
    <col min="13318" max="13318" width="0.85546875" style="41" customWidth="1"/>
    <col min="13319" max="13319" width="10.7109375" style="41" customWidth="1"/>
    <col min="13320" max="13320" width="0.85546875" style="41" customWidth="1"/>
    <col min="13321" max="13321" width="10.7109375" style="41" customWidth="1"/>
    <col min="13322" max="13322" width="0.85546875" style="41" customWidth="1"/>
    <col min="13323" max="13323" width="10.7109375" style="41" customWidth="1"/>
    <col min="13324" max="13324" width="0.85546875" style="41" customWidth="1"/>
    <col min="13325" max="13325" width="10.7109375" style="41" customWidth="1"/>
    <col min="13326" max="13326" width="0.85546875" style="41" customWidth="1"/>
    <col min="13327" max="13327" width="10.7109375" style="41" customWidth="1"/>
    <col min="13328" max="13328" width="0.85546875" style="41" customWidth="1"/>
    <col min="13329" max="13329" width="10.7109375" style="41" customWidth="1"/>
    <col min="13330" max="13330" width="0.85546875" style="41" customWidth="1"/>
    <col min="13331" max="13331" width="10.7109375" style="41" customWidth="1"/>
    <col min="13332" max="13332" width="0.85546875" style="41" customWidth="1"/>
    <col min="13333" max="13333" width="9" style="41" bestFit="1" customWidth="1"/>
    <col min="13334" max="13334" width="0.85546875" style="41" customWidth="1"/>
    <col min="13335" max="13335" width="9.140625" style="41"/>
    <col min="13336" max="13336" width="0.85546875" style="41" customWidth="1"/>
    <col min="13337" max="13337" width="9.140625" style="41" customWidth="1"/>
    <col min="13338" max="13338" width="0.85546875" style="41" customWidth="1"/>
    <col min="13339" max="13568" width="9.140625" style="41"/>
    <col min="13569" max="13569" width="3.28515625" style="41" customWidth="1"/>
    <col min="13570" max="13570" width="14.7109375" style="41" customWidth="1"/>
    <col min="13571" max="13571" width="15.140625" style="41" customWidth="1"/>
    <col min="13572" max="13572" width="0.85546875" style="41" customWidth="1"/>
    <col min="13573" max="13573" width="10.7109375" style="41" customWidth="1"/>
    <col min="13574" max="13574" width="0.85546875" style="41" customWidth="1"/>
    <col min="13575" max="13575" width="10.7109375" style="41" customWidth="1"/>
    <col min="13576" max="13576" width="0.85546875" style="41" customWidth="1"/>
    <col min="13577" max="13577" width="10.7109375" style="41" customWidth="1"/>
    <col min="13578" max="13578" width="0.85546875" style="41" customWidth="1"/>
    <col min="13579" max="13579" width="10.7109375" style="41" customWidth="1"/>
    <col min="13580" max="13580" width="0.85546875" style="41" customWidth="1"/>
    <col min="13581" max="13581" width="10.7109375" style="41" customWidth="1"/>
    <col min="13582" max="13582" width="0.85546875" style="41" customWidth="1"/>
    <col min="13583" max="13583" width="10.7109375" style="41" customWidth="1"/>
    <col min="13584" max="13584" width="0.85546875" style="41" customWidth="1"/>
    <col min="13585" max="13585" width="10.7109375" style="41" customWidth="1"/>
    <col min="13586" max="13586" width="0.85546875" style="41" customWidth="1"/>
    <col min="13587" max="13587" width="10.7109375" style="41" customWidth="1"/>
    <col min="13588" max="13588" width="0.85546875" style="41" customWidth="1"/>
    <col min="13589" max="13589" width="9" style="41" bestFit="1" customWidth="1"/>
    <col min="13590" max="13590" width="0.85546875" style="41" customWidth="1"/>
    <col min="13591" max="13591" width="9.140625" style="41"/>
    <col min="13592" max="13592" width="0.85546875" style="41" customWidth="1"/>
    <col min="13593" max="13593" width="9.140625" style="41" customWidth="1"/>
    <col min="13594" max="13594" width="0.85546875" style="41" customWidth="1"/>
    <col min="13595" max="13824" width="9.140625" style="41"/>
    <col min="13825" max="13825" width="3.28515625" style="41" customWidth="1"/>
    <col min="13826" max="13826" width="14.7109375" style="41" customWidth="1"/>
    <col min="13827" max="13827" width="15.140625" style="41" customWidth="1"/>
    <col min="13828" max="13828" width="0.85546875" style="41" customWidth="1"/>
    <col min="13829" max="13829" width="10.7109375" style="41" customWidth="1"/>
    <col min="13830" max="13830" width="0.85546875" style="41" customWidth="1"/>
    <col min="13831" max="13831" width="10.7109375" style="41" customWidth="1"/>
    <col min="13832" max="13832" width="0.85546875" style="41" customWidth="1"/>
    <col min="13833" max="13833" width="10.7109375" style="41" customWidth="1"/>
    <col min="13834" max="13834" width="0.85546875" style="41" customWidth="1"/>
    <col min="13835" max="13835" width="10.7109375" style="41" customWidth="1"/>
    <col min="13836" max="13836" width="0.85546875" style="41" customWidth="1"/>
    <col min="13837" max="13837" width="10.7109375" style="41" customWidth="1"/>
    <col min="13838" max="13838" width="0.85546875" style="41" customWidth="1"/>
    <col min="13839" max="13839" width="10.7109375" style="41" customWidth="1"/>
    <col min="13840" max="13840" width="0.85546875" style="41" customWidth="1"/>
    <col min="13841" max="13841" width="10.7109375" style="41" customWidth="1"/>
    <col min="13842" max="13842" width="0.85546875" style="41" customWidth="1"/>
    <col min="13843" max="13843" width="10.7109375" style="41" customWidth="1"/>
    <col min="13844" max="13844" width="0.85546875" style="41" customWidth="1"/>
    <col min="13845" max="13845" width="9" style="41" bestFit="1" customWidth="1"/>
    <col min="13846" max="13846" width="0.85546875" style="41" customWidth="1"/>
    <col min="13847" max="13847" width="9.140625" style="41"/>
    <col min="13848" max="13848" width="0.85546875" style="41" customWidth="1"/>
    <col min="13849" max="13849" width="9.140625" style="41" customWidth="1"/>
    <col min="13850" max="13850" width="0.85546875" style="41" customWidth="1"/>
    <col min="13851" max="14080" width="9.140625" style="41"/>
    <col min="14081" max="14081" width="3.28515625" style="41" customWidth="1"/>
    <col min="14082" max="14082" width="14.7109375" style="41" customWidth="1"/>
    <col min="14083" max="14083" width="15.140625" style="41" customWidth="1"/>
    <col min="14084" max="14084" width="0.85546875" style="41" customWidth="1"/>
    <col min="14085" max="14085" width="10.7109375" style="41" customWidth="1"/>
    <col min="14086" max="14086" width="0.85546875" style="41" customWidth="1"/>
    <col min="14087" max="14087" width="10.7109375" style="41" customWidth="1"/>
    <col min="14088" max="14088" width="0.85546875" style="41" customWidth="1"/>
    <col min="14089" max="14089" width="10.7109375" style="41" customWidth="1"/>
    <col min="14090" max="14090" width="0.85546875" style="41" customWidth="1"/>
    <col min="14091" max="14091" width="10.7109375" style="41" customWidth="1"/>
    <col min="14092" max="14092" width="0.85546875" style="41" customWidth="1"/>
    <col min="14093" max="14093" width="10.7109375" style="41" customWidth="1"/>
    <col min="14094" max="14094" width="0.85546875" style="41" customWidth="1"/>
    <col min="14095" max="14095" width="10.7109375" style="41" customWidth="1"/>
    <col min="14096" max="14096" width="0.85546875" style="41" customWidth="1"/>
    <col min="14097" max="14097" width="10.7109375" style="41" customWidth="1"/>
    <col min="14098" max="14098" width="0.85546875" style="41" customWidth="1"/>
    <col min="14099" max="14099" width="10.7109375" style="41" customWidth="1"/>
    <col min="14100" max="14100" width="0.85546875" style="41" customWidth="1"/>
    <col min="14101" max="14101" width="9" style="41" bestFit="1" customWidth="1"/>
    <col min="14102" max="14102" width="0.85546875" style="41" customWidth="1"/>
    <col min="14103" max="14103" width="9.140625" style="41"/>
    <col min="14104" max="14104" width="0.85546875" style="41" customWidth="1"/>
    <col min="14105" max="14105" width="9.140625" style="41" customWidth="1"/>
    <col min="14106" max="14106" width="0.85546875" style="41" customWidth="1"/>
    <col min="14107" max="14336" width="9.140625" style="41"/>
    <col min="14337" max="14337" width="3.28515625" style="41" customWidth="1"/>
    <col min="14338" max="14338" width="14.7109375" style="41" customWidth="1"/>
    <col min="14339" max="14339" width="15.140625" style="41" customWidth="1"/>
    <col min="14340" max="14340" width="0.85546875" style="41" customWidth="1"/>
    <col min="14341" max="14341" width="10.7109375" style="41" customWidth="1"/>
    <col min="14342" max="14342" width="0.85546875" style="41" customWidth="1"/>
    <col min="14343" max="14343" width="10.7109375" style="41" customWidth="1"/>
    <col min="14344" max="14344" width="0.85546875" style="41" customWidth="1"/>
    <col min="14345" max="14345" width="10.7109375" style="41" customWidth="1"/>
    <col min="14346" max="14346" width="0.85546875" style="41" customWidth="1"/>
    <col min="14347" max="14347" width="10.7109375" style="41" customWidth="1"/>
    <col min="14348" max="14348" width="0.85546875" style="41" customWidth="1"/>
    <col min="14349" max="14349" width="10.7109375" style="41" customWidth="1"/>
    <col min="14350" max="14350" width="0.85546875" style="41" customWidth="1"/>
    <col min="14351" max="14351" width="10.7109375" style="41" customWidth="1"/>
    <col min="14352" max="14352" width="0.85546875" style="41" customWidth="1"/>
    <col min="14353" max="14353" width="10.7109375" style="41" customWidth="1"/>
    <col min="14354" max="14354" width="0.85546875" style="41" customWidth="1"/>
    <col min="14355" max="14355" width="10.7109375" style="41" customWidth="1"/>
    <col min="14356" max="14356" width="0.85546875" style="41" customWidth="1"/>
    <col min="14357" max="14357" width="9" style="41" bestFit="1" customWidth="1"/>
    <col min="14358" max="14358" width="0.85546875" style="41" customWidth="1"/>
    <col min="14359" max="14359" width="9.140625" style="41"/>
    <col min="14360" max="14360" width="0.85546875" style="41" customWidth="1"/>
    <col min="14361" max="14361" width="9.140625" style="41" customWidth="1"/>
    <col min="14362" max="14362" width="0.85546875" style="41" customWidth="1"/>
    <col min="14363" max="14592" width="9.140625" style="41"/>
    <col min="14593" max="14593" width="3.28515625" style="41" customWidth="1"/>
    <col min="14594" max="14594" width="14.7109375" style="41" customWidth="1"/>
    <col min="14595" max="14595" width="15.140625" style="41" customWidth="1"/>
    <col min="14596" max="14596" width="0.85546875" style="41" customWidth="1"/>
    <col min="14597" max="14597" width="10.7109375" style="41" customWidth="1"/>
    <col min="14598" max="14598" width="0.85546875" style="41" customWidth="1"/>
    <col min="14599" max="14599" width="10.7109375" style="41" customWidth="1"/>
    <col min="14600" max="14600" width="0.85546875" style="41" customWidth="1"/>
    <col min="14601" max="14601" width="10.7109375" style="41" customWidth="1"/>
    <col min="14602" max="14602" width="0.85546875" style="41" customWidth="1"/>
    <col min="14603" max="14603" width="10.7109375" style="41" customWidth="1"/>
    <col min="14604" max="14604" width="0.85546875" style="41" customWidth="1"/>
    <col min="14605" max="14605" width="10.7109375" style="41" customWidth="1"/>
    <col min="14606" max="14606" width="0.85546875" style="41" customWidth="1"/>
    <col min="14607" max="14607" width="10.7109375" style="41" customWidth="1"/>
    <col min="14608" max="14608" width="0.85546875" style="41" customWidth="1"/>
    <col min="14609" max="14609" width="10.7109375" style="41" customWidth="1"/>
    <col min="14610" max="14610" width="0.85546875" style="41" customWidth="1"/>
    <col min="14611" max="14611" width="10.7109375" style="41" customWidth="1"/>
    <col min="14612" max="14612" width="0.85546875" style="41" customWidth="1"/>
    <col min="14613" max="14613" width="9" style="41" bestFit="1" customWidth="1"/>
    <col min="14614" max="14614" width="0.85546875" style="41" customWidth="1"/>
    <col min="14615" max="14615" width="9.140625" style="41"/>
    <col min="14616" max="14616" width="0.85546875" style="41" customWidth="1"/>
    <col min="14617" max="14617" width="9.140625" style="41" customWidth="1"/>
    <col min="14618" max="14618" width="0.85546875" style="41" customWidth="1"/>
    <col min="14619" max="14848" width="9.140625" style="41"/>
    <col min="14849" max="14849" width="3.28515625" style="41" customWidth="1"/>
    <col min="14850" max="14850" width="14.7109375" style="41" customWidth="1"/>
    <col min="14851" max="14851" width="15.140625" style="41" customWidth="1"/>
    <col min="14852" max="14852" width="0.85546875" style="41" customWidth="1"/>
    <col min="14853" max="14853" width="10.7109375" style="41" customWidth="1"/>
    <col min="14854" max="14854" width="0.85546875" style="41" customWidth="1"/>
    <col min="14855" max="14855" width="10.7109375" style="41" customWidth="1"/>
    <col min="14856" max="14856" width="0.85546875" style="41" customWidth="1"/>
    <col min="14857" max="14857" width="10.7109375" style="41" customWidth="1"/>
    <col min="14858" max="14858" width="0.85546875" style="41" customWidth="1"/>
    <col min="14859" max="14859" width="10.7109375" style="41" customWidth="1"/>
    <col min="14860" max="14860" width="0.85546875" style="41" customWidth="1"/>
    <col min="14861" max="14861" width="10.7109375" style="41" customWidth="1"/>
    <col min="14862" max="14862" width="0.85546875" style="41" customWidth="1"/>
    <col min="14863" max="14863" width="10.7109375" style="41" customWidth="1"/>
    <col min="14864" max="14864" width="0.85546875" style="41" customWidth="1"/>
    <col min="14865" max="14865" width="10.7109375" style="41" customWidth="1"/>
    <col min="14866" max="14866" width="0.85546875" style="41" customWidth="1"/>
    <col min="14867" max="14867" width="10.7109375" style="41" customWidth="1"/>
    <col min="14868" max="14868" width="0.85546875" style="41" customWidth="1"/>
    <col min="14869" max="14869" width="9" style="41" bestFit="1" customWidth="1"/>
    <col min="14870" max="14870" width="0.85546875" style="41" customWidth="1"/>
    <col min="14871" max="14871" width="9.140625" style="41"/>
    <col min="14872" max="14872" width="0.85546875" style="41" customWidth="1"/>
    <col min="14873" max="14873" width="9.140625" style="41" customWidth="1"/>
    <col min="14874" max="14874" width="0.85546875" style="41" customWidth="1"/>
    <col min="14875" max="15104" width="9.140625" style="41"/>
    <col min="15105" max="15105" width="3.28515625" style="41" customWidth="1"/>
    <col min="15106" max="15106" width="14.7109375" style="41" customWidth="1"/>
    <col min="15107" max="15107" width="15.140625" style="41" customWidth="1"/>
    <col min="15108" max="15108" width="0.85546875" style="41" customWidth="1"/>
    <col min="15109" max="15109" width="10.7109375" style="41" customWidth="1"/>
    <col min="15110" max="15110" width="0.85546875" style="41" customWidth="1"/>
    <col min="15111" max="15111" width="10.7109375" style="41" customWidth="1"/>
    <col min="15112" max="15112" width="0.85546875" style="41" customWidth="1"/>
    <col min="15113" max="15113" width="10.7109375" style="41" customWidth="1"/>
    <col min="15114" max="15114" width="0.85546875" style="41" customWidth="1"/>
    <col min="15115" max="15115" width="10.7109375" style="41" customWidth="1"/>
    <col min="15116" max="15116" width="0.85546875" style="41" customWidth="1"/>
    <col min="15117" max="15117" width="10.7109375" style="41" customWidth="1"/>
    <col min="15118" max="15118" width="0.85546875" style="41" customWidth="1"/>
    <col min="15119" max="15119" width="10.7109375" style="41" customWidth="1"/>
    <col min="15120" max="15120" width="0.85546875" style="41" customWidth="1"/>
    <col min="15121" max="15121" width="10.7109375" style="41" customWidth="1"/>
    <col min="15122" max="15122" width="0.85546875" style="41" customWidth="1"/>
    <col min="15123" max="15123" width="10.7109375" style="41" customWidth="1"/>
    <col min="15124" max="15124" width="0.85546875" style="41" customWidth="1"/>
    <col min="15125" max="15125" width="9" style="41" bestFit="1" customWidth="1"/>
    <col min="15126" max="15126" width="0.85546875" style="41" customWidth="1"/>
    <col min="15127" max="15127" width="9.140625" style="41"/>
    <col min="15128" max="15128" width="0.85546875" style="41" customWidth="1"/>
    <col min="15129" max="15129" width="9.140625" style="41" customWidth="1"/>
    <col min="15130" max="15130" width="0.85546875" style="41" customWidth="1"/>
    <col min="15131" max="15360" width="9.140625" style="41"/>
    <col min="15361" max="15361" width="3.28515625" style="41" customWidth="1"/>
    <col min="15362" max="15362" width="14.7109375" style="41" customWidth="1"/>
    <col min="15363" max="15363" width="15.140625" style="41" customWidth="1"/>
    <col min="15364" max="15364" width="0.85546875" style="41" customWidth="1"/>
    <col min="15365" max="15365" width="10.7109375" style="41" customWidth="1"/>
    <col min="15366" max="15366" width="0.85546875" style="41" customWidth="1"/>
    <col min="15367" max="15367" width="10.7109375" style="41" customWidth="1"/>
    <col min="15368" max="15368" width="0.85546875" style="41" customWidth="1"/>
    <col min="15369" max="15369" width="10.7109375" style="41" customWidth="1"/>
    <col min="15370" max="15370" width="0.85546875" style="41" customWidth="1"/>
    <col min="15371" max="15371" width="10.7109375" style="41" customWidth="1"/>
    <col min="15372" max="15372" width="0.85546875" style="41" customWidth="1"/>
    <col min="15373" max="15373" width="10.7109375" style="41" customWidth="1"/>
    <col min="15374" max="15374" width="0.85546875" style="41" customWidth="1"/>
    <col min="15375" max="15375" width="10.7109375" style="41" customWidth="1"/>
    <col min="15376" max="15376" width="0.85546875" style="41" customWidth="1"/>
    <col min="15377" max="15377" width="10.7109375" style="41" customWidth="1"/>
    <col min="15378" max="15378" width="0.85546875" style="41" customWidth="1"/>
    <col min="15379" max="15379" width="10.7109375" style="41" customWidth="1"/>
    <col min="15380" max="15380" width="0.85546875" style="41" customWidth="1"/>
    <col min="15381" max="15381" width="9" style="41" bestFit="1" customWidth="1"/>
    <col min="15382" max="15382" width="0.85546875" style="41" customWidth="1"/>
    <col min="15383" max="15383" width="9.140625" style="41"/>
    <col min="15384" max="15384" width="0.85546875" style="41" customWidth="1"/>
    <col min="15385" max="15385" width="9.140625" style="41" customWidth="1"/>
    <col min="15386" max="15386" width="0.85546875" style="41" customWidth="1"/>
    <col min="15387" max="15616" width="9.140625" style="41"/>
    <col min="15617" max="15617" width="3.28515625" style="41" customWidth="1"/>
    <col min="15618" max="15618" width="14.7109375" style="41" customWidth="1"/>
    <col min="15619" max="15619" width="15.140625" style="41" customWidth="1"/>
    <col min="15620" max="15620" width="0.85546875" style="41" customWidth="1"/>
    <col min="15621" max="15621" width="10.7109375" style="41" customWidth="1"/>
    <col min="15622" max="15622" width="0.85546875" style="41" customWidth="1"/>
    <col min="15623" max="15623" width="10.7109375" style="41" customWidth="1"/>
    <col min="15624" max="15624" width="0.85546875" style="41" customWidth="1"/>
    <col min="15625" max="15625" width="10.7109375" style="41" customWidth="1"/>
    <col min="15626" max="15626" width="0.85546875" style="41" customWidth="1"/>
    <col min="15627" max="15627" width="10.7109375" style="41" customWidth="1"/>
    <col min="15628" max="15628" width="0.85546875" style="41" customWidth="1"/>
    <col min="15629" max="15629" width="10.7109375" style="41" customWidth="1"/>
    <col min="15630" max="15630" width="0.85546875" style="41" customWidth="1"/>
    <col min="15631" max="15631" width="10.7109375" style="41" customWidth="1"/>
    <col min="15632" max="15632" width="0.85546875" style="41" customWidth="1"/>
    <col min="15633" max="15633" width="10.7109375" style="41" customWidth="1"/>
    <col min="15634" max="15634" width="0.85546875" style="41" customWidth="1"/>
    <col min="15635" max="15635" width="10.7109375" style="41" customWidth="1"/>
    <col min="15636" max="15636" width="0.85546875" style="41" customWidth="1"/>
    <col min="15637" max="15637" width="9" style="41" bestFit="1" customWidth="1"/>
    <col min="15638" max="15638" width="0.85546875" style="41" customWidth="1"/>
    <col min="15639" max="15639" width="9.140625" style="41"/>
    <col min="15640" max="15640" width="0.85546875" style="41" customWidth="1"/>
    <col min="15641" max="15641" width="9.140625" style="41" customWidth="1"/>
    <col min="15642" max="15642" width="0.85546875" style="41" customWidth="1"/>
    <col min="15643" max="15872" width="9.140625" style="41"/>
    <col min="15873" max="15873" width="3.28515625" style="41" customWidth="1"/>
    <col min="15874" max="15874" width="14.7109375" style="41" customWidth="1"/>
    <col min="15875" max="15875" width="15.140625" style="41" customWidth="1"/>
    <col min="15876" max="15876" width="0.85546875" style="41" customWidth="1"/>
    <col min="15877" max="15877" width="10.7109375" style="41" customWidth="1"/>
    <col min="15878" max="15878" width="0.85546875" style="41" customWidth="1"/>
    <col min="15879" max="15879" width="10.7109375" style="41" customWidth="1"/>
    <col min="15880" max="15880" width="0.85546875" style="41" customWidth="1"/>
    <col min="15881" max="15881" width="10.7109375" style="41" customWidth="1"/>
    <col min="15882" max="15882" width="0.85546875" style="41" customWidth="1"/>
    <col min="15883" max="15883" width="10.7109375" style="41" customWidth="1"/>
    <col min="15884" max="15884" width="0.85546875" style="41" customWidth="1"/>
    <col min="15885" max="15885" width="10.7109375" style="41" customWidth="1"/>
    <col min="15886" max="15886" width="0.85546875" style="41" customWidth="1"/>
    <col min="15887" max="15887" width="10.7109375" style="41" customWidth="1"/>
    <col min="15888" max="15888" width="0.85546875" style="41" customWidth="1"/>
    <col min="15889" max="15889" width="10.7109375" style="41" customWidth="1"/>
    <col min="15890" max="15890" width="0.85546875" style="41" customWidth="1"/>
    <col min="15891" max="15891" width="10.7109375" style="41" customWidth="1"/>
    <col min="15892" max="15892" width="0.85546875" style="41" customWidth="1"/>
    <col min="15893" max="15893" width="9" style="41" bestFit="1" customWidth="1"/>
    <col min="15894" max="15894" width="0.85546875" style="41" customWidth="1"/>
    <col min="15895" max="15895" width="9.140625" style="41"/>
    <col min="15896" max="15896" width="0.85546875" style="41" customWidth="1"/>
    <col min="15897" max="15897" width="9.140625" style="41" customWidth="1"/>
    <col min="15898" max="15898" width="0.85546875" style="41" customWidth="1"/>
    <col min="15899" max="16128" width="9.140625" style="41"/>
    <col min="16129" max="16129" width="3.28515625" style="41" customWidth="1"/>
    <col min="16130" max="16130" width="14.7109375" style="41" customWidth="1"/>
    <col min="16131" max="16131" width="15.140625" style="41" customWidth="1"/>
    <col min="16132" max="16132" width="0.85546875" style="41" customWidth="1"/>
    <col min="16133" max="16133" width="10.7109375" style="41" customWidth="1"/>
    <col min="16134" max="16134" width="0.85546875" style="41" customWidth="1"/>
    <col min="16135" max="16135" width="10.7109375" style="41" customWidth="1"/>
    <col min="16136" max="16136" width="0.85546875" style="41" customWidth="1"/>
    <col min="16137" max="16137" width="10.7109375" style="41" customWidth="1"/>
    <col min="16138" max="16138" width="0.85546875" style="41" customWidth="1"/>
    <col min="16139" max="16139" width="10.7109375" style="41" customWidth="1"/>
    <col min="16140" max="16140" width="0.85546875" style="41" customWidth="1"/>
    <col min="16141" max="16141" width="10.7109375" style="41" customWidth="1"/>
    <col min="16142" max="16142" width="0.85546875" style="41" customWidth="1"/>
    <col min="16143" max="16143" width="10.7109375" style="41" customWidth="1"/>
    <col min="16144" max="16144" width="0.85546875" style="41" customWidth="1"/>
    <col min="16145" max="16145" width="10.7109375" style="41" customWidth="1"/>
    <col min="16146" max="16146" width="0.85546875" style="41" customWidth="1"/>
    <col min="16147" max="16147" width="10.7109375" style="41" customWidth="1"/>
    <col min="16148" max="16148" width="0.85546875" style="41" customWidth="1"/>
    <col min="16149" max="16149" width="9" style="41" bestFit="1" customWidth="1"/>
    <col min="16150" max="16150" width="0.85546875" style="41" customWidth="1"/>
    <col min="16151" max="16151" width="9.140625" style="41"/>
    <col min="16152" max="16152" width="0.85546875" style="41" customWidth="1"/>
    <col min="16153" max="16153" width="9.140625" style="41" customWidth="1"/>
    <col min="16154" max="16154" width="0.85546875" style="41" customWidth="1"/>
    <col min="16155" max="16384" width="9.140625" style="41"/>
  </cols>
  <sheetData>
    <row r="1" spans="1:26" ht="37.5" customHeight="1">
      <c r="A1" s="33" t="s">
        <v>3</v>
      </c>
      <c r="B1" s="329" t="s">
        <v>13</v>
      </c>
      <c r="C1" s="330"/>
      <c r="D1" s="34"/>
      <c r="E1" s="35" t="s">
        <v>14</v>
      </c>
      <c r="F1" s="36"/>
      <c r="G1" s="35" t="s">
        <v>15</v>
      </c>
      <c r="H1" s="36"/>
      <c r="I1" s="35" t="s">
        <v>16</v>
      </c>
      <c r="J1" s="36"/>
      <c r="K1" s="35" t="s">
        <v>17</v>
      </c>
      <c r="L1" s="36"/>
      <c r="M1" s="35" t="s">
        <v>18</v>
      </c>
      <c r="N1" s="37"/>
      <c r="O1" s="38"/>
      <c r="P1" s="37"/>
      <c r="Q1" s="38"/>
      <c r="R1" s="37"/>
      <c r="S1" s="38"/>
      <c r="T1" s="37"/>
      <c r="U1" s="38"/>
      <c r="V1" s="39"/>
      <c r="W1" s="38"/>
      <c r="X1" s="39"/>
      <c r="Y1" s="38"/>
      <c r="Z1" s="40"/>
    </row>
    <row r="2" spans="1:26">
      <c r="A2" s="42">
        <v>1</v>
      </c>
      <c r="B2" s="43">
        <v>0</v>
      </c>
      <c r="C2" s="44">
        <v>180000</v>
      </c>
      <c r="D2" s="45"/>
      <c r="E2" s="46">
        <f>'[1]LC123 2007'!D3</f>
        <v>3.9999999999999994E-2</v>
      </c>
      <c r="F2" s="47"/>
      <c r="G2" s="46">
        <f>'[1]LC123 2007'!M3</f>
        <v>4.4999999999999991E-2</v>
      </c>
      <c r="H2" s="47"/>
      <c r="I2" s="46">
        <f>'[1]LC123 2007'!D26</f>
        <v>0.06</v>
      </c>
      <c r="J2" s="47"/>
      <c r="K2" s="46">
        <f>'[1]LC123 2007'!M26</f>
        <v>4.4999999999999998E-2</v>
      </c>
      <c r="L2" s="47"/>
      <c r="M2" s="46">
        <v>0.16930000000000001</v>
      </c>
      <c r="N2" s="48"/>
      <c r="O2" s="48"/>
      <c r="P2" s="48"/>
      <c r="Q2" s="48"/>
      <c r="R2" s="48"/>
      <c r="S2" s="48"/>
      <c r="T2" s="48"/>
      <c r="U2" s="48"/>
      <c r="V2" s="39"/>
      <c r="W2" s="48"/>
      <c r="X2" s="39"/>
      <c r="Y2" s="48"/>
      <c r="Z2" s="48"/>
    </row>
    <row r="3" spans="1:26">
      <c r="A3" s="42">
        <f t="shared" ref="A3:A21" si="0">A2+1</f>
        <v>2</v>
      </c>
      <c r="B3" s="44">
        <f t="shared" ref="B3:B21" si="1">C2+0.01</f>
        <v>180000.01</v>
      </c>
      <c r="C3" s="44">
        <f>C$2*2</f>
        <v>360000</v>
      </c>
      <c r="D3" s="45"/>
      <c r="E3" s="46">
        <f>'[1]LC123 2007'!D4</f>
        <v>5.4699999999999999E-2</v>
      </c>
      <c r="F3" s="47"/>
      <c r="G3" s="46">
        <f>'[1]LC123 2007'!M4</f>
        <v>5.9699999999999996E-2</v>
      </c>
      <c r="H3" s="47"/>
      <c r="I3" s="46">
        <f>'[1]LC123 2007'!D27</f>
        <v>8.2100000000000006E-2</v>
      </c>
      <c r="J3" s="47"/>
      <c r="K3" s="46">
        <f>'[1]LC123 2007'!M27</f>
        <v>6.54E-2</v>
      </c>
      <c r="L3" s="47"/>
      <c r="M3" s="46">
        <v>0.1772</v>
      </c>
      <c r="N3" s="48"/>
      <c r="O3" s="48"/>
      <c r="P3" s="48"/>
      <c r="Q3" s="48"/>
      <c r="R3" s="48"/>
      <c r="S3" s="48"/>
      <c r="T3" s="48"/>
      <c r="U3" s="48"/>
      <c r="V3" s="39"/>
      <c r="W3" s="48"/>
      <c r="X3" s="39"/>
      <c r="Y3" s="48"/>
      <c r="Z3" s="48"/>
    </row>
    <row r="4" spans="1:26">
      <c r="A4" s="42">
        <f t="shared" si="0"/>
        <v>3</v>
      </c>
      <c r="B4" s="44">
        <f t="shared" si="1"/>
        <v>360000.01</v>
      </c>
      <c r="C4" s="44">
        <f t="shared" ref="C4:C21" si="2">C3+C$2</f>
        <v>540000</v>
      </c>
      <c r="D4" s="45"/>
      <c r="E4" s="46">
        <f>'[1]LC123 2007'!D5</f>
        <v>6.8400000000000002E-2</v>
      </c>
      <c r="F4" s="47"/>
      <c r="G4" s="46">
        <f>'[1]LC123 2007'!M5</f>
        <v>7.3400000000000007E-2</v>
      </c>
      <c r="H4" s="47"/>
      <c r="I4" s="46">
        <f>'[1]LC123 2007'!D28</f>
        <v>0.1026</v>
      </c>
      <c r="J4" s="47"/>
      <c r="K4" s="46">
        <f>'[1]LC123 2007'!M28</f>
        <v>7.6999999999999999E-2</v>
      </c>
      <c r="L4" s="47"/>
      <c r="M4" s="46">
        <v>0.18429999999999999</v>
      </c>
      <c r="N4" s="48"/>
      <c r="O4" s="48"/>
      <c r="P4" s="48"/>
      <c r="Q4" s="48"/>
      <c r="R4" s="48"/>
      <c r="S4" s="48"/>
      <c r="T4" s="48"/>
      <c r="U4" s="48"/>
      <c r="V4" s="39"/>
      <c r="W4" s="48"/>
      <c r="X4" s="39"/>
      <c r="Y4" s="48"/>
      <c r="Z4" s="48"/>
    </row>
    <row r="5" spans="1:26">
      <c r="A5" s="42">
        <f t="shared" si="0"/>
        <v>4</v>
      </c>
      <c r="B5" s="44">
        <f t="shared" si="1"/>
        <v>540000.01</v>
      </c>
      <c r="C5" s="44">
        <f t="shared" si="2"/>
        <v>720000</v>
      </c>
      <c r="D5" s="45"/>
      <c r="E5" s="46">
        <f>'[1]LC123 2007'!D6</f>
        <v>7.5399999999999995E-2</v>
      </c>
      <c r="F5" s="47"/>
      <c r="G5" s="46">
        <f>'[1]LC123 2007'!M6</f>
        <v>8.0399999999999999E-2</v>
      </c>
      <c r="H5" s="47"/>
      <c r="I5" s="46">
        <f>'[1]LC123 2007'!D29</f>
        <v>0.11310000000000001</v>
      </c>
      <c r="J5" s="47"/>
      <c r="K5" s="46">
        <f>'[1]LC123 2007'!M29</f>
        <v>8.4900000000000003E-2</v>
      </c>
      <c r="L5" s="47"/>
      <c r="M5" s="46">
        <v>0.18770000000000001</v>
      </c>
      <c r="N5" s="48"/>
      <c r="O5" s="48"/>
      <c r="P5" s="48"/>
      <c r="Q5" s="48"/>
      <c r="R5" s="48"/>
      <c r="S5" s="48"/>
      <c r="T5" s="48"/>
      <c r="U5" s="48"/>
      <c r="V5" s="39"/>
      <c r="W5" s="48"/>
      <c r="X5" s="39"/>
      <c r="Y5" s="48"/>
      <c r="Z5" s="48"/>
    </row>
    <row r="6" spans="1:26">
      <c r="A6" s="42">
        <f t="shared" si="0"/>
        <v>5</v>
      </c>
      <c r="B6" s="44">
        <f t="shared" si="1"/>
        <v>720000.01</v>
      </c>
      <c r="C6" s="44">
        <f t="shared" si="2"/>
        <v>900000</v>
      </c>
      <c r="D6" s="45"/>
      <c r="E6" s="46">
        <f>'[1]LC123 2007'!D7</f>
        <v>7.5999999999999998E-2</v>
      </c>
      <c r="F6" s="47"/>
      <c r="G6" s="46">
        <f>'[1]LC123 2007'!M7</f>
        <v>8.1000000000000003E-2</v>
      </c>
      <c r="H6" s="47"/>
      <c r="I6" s="46">
        <f>'[1]LC123 2007'!D30</f>
        <v>0.114</v>
      </c>
      <c r="J6" s="47"/>
      <c r="K6" s="46">
        <f>'[1]LC123 2007'!M30</f>
        <v>8.9700000000000002E-2</v>
      </c>
      <c r="L6" s="47"/>
      <c r="M6" s="46">
        <v>0.19040000000000001</v>
      </c>
      <c r="N6" s="48"/>
      <c r="O6" s="48"/>
      <c r="P6" s="48"/>
      <c r="Q6" s="48"/>
      <c r="R6" s="48"/>
      <c r="S6" s="48"/>
      <c r="T6" s="48"/>
      <c r="U6" s="48"/>
      <c r="V6" s="39"/>
      <c r="W6" s="48"/>
      <c r="X6" s="39"/>
      <c r="Y6" s="48"/>
      <c r="Z6" s="48"/>
    </row>
    <row r="7" spans="1:26">
      <c r="A7" s="42">
        <f t="shared" si="0"/>
        <v>6</v>
      </c>
      <c r="B7" s="44">
        <f t="shared" si="1"/>
        <v>900000.01</v>
      </c>
      <c r="C7" s="44">
        <f t="shared" si="2"/>
        <v>1080000</v>
      </c>
      <c r="D7" s="45"/>
      <c r="E7" s="46">
        <f>'[1]LC123 2007'!D8</f>
        <v>8.2799999999999999E-2</v>
      </c>
      <c r="F7" s="47"/>
      <c r="G7" s="46">
        <f>'[1]LC123 2007'!M8</f>
        <v>8.7800000000000003E-2</v>
      </c>
      <c r="H7" s="47"/>
      <c r="I7" s="46">
        <f>'[1]LC123 2007'!D31</f>
        <v>0.1242</v>
      </c>
      <c r="J7" s="47"/>
      <c r="K7" s="46">
        <f>'[1]LC123 2007'!M31</f>
        <v>9.7799999999999998E-2</v>
      </c>
      <c r="L7" s="47"/>
      <c r="M7" s="46">
        <v>0.19939999999999999</v>
      </c>
      <c r="N7" s="48"/>
      <c r="O7" s="48"/>
      <c r="P7" s="48"/>
      <c r="Q7" s="48"/>
      <c r="R7" s="48"/>
      <c r="S7" s="48"/>
      <c r="T7" s="48"/>
      <c r="U7" s="48"/>
      <c r="V7" s="39"/>
      <c r="W7" s="48"/>
      <c r="X7" s="39"/>
      <c r="Y7" s="48"/>
      <c r="Z7" s="48"/>
    </row>
    <row r="8" spans="1:26">
      <c r="A8" s="42">
        <f t="shared" si="0"/>
        <v>7</v>
      </c>
      <c r="B8" s="44">
        <f t="shared" si="1"/>
        <v>1080000.01</v>
      </c>
      <c r="C8" s="44">
        <f t="shared" si="2"/>
        <v>1260000</v>
      </c>
      <c r="D8" s="45"/>
      <c r="E8" s="46">
        <f>'[1]LC123 2007'!D9</f>
        <v>8.3600000000000008E-2</v>
      </c>
      <c r="F8" s="47"/>
      <c r="G8" s="46">
        <f>'[1]LC123 2007'!M9</f>
        <v>8.8600000000000012E-2</v>
      </c>
      <c r="H8" s="47"/>
      <c r="I8" s="46">
        <f>'[1]LC123 2007'!D32</f>
        <v>0.12540000000000001</v>
      </c>
      <c r="J8" s="47"/>
      <c r="K8" s="46">
        <f>'[1]LC123 2007'!M32</f>
        <v>0.1026</v>
      </c>
      <c r="L8" s="47"/>
      <c r="M8" s="46">
        <v>0.2034</v>
      </c>
      <c r="N8" s="48"/>
      <c r="O8" s="48"/>
      <c r="P8" s="48"/>
      <c r="Q8" s="48"/>
      <c r="R8" s="48"/>
      <c r="S8" s="48"/>
      <c r="T8" s="48"/>
      <c r="U8" s="48"/>
      <c r="V8" s="39"/>
      <c r="W8" s="48"/>
      <c r="X8" s="39"/>
      <c r="Y8" s="48"/>
      <c r="Z8" s="48"/>
    </row>
    <row r="9" spans="1:26">
      <c r="A9" s="42">
        <f t="shared" si="0"/>
        <v>8</v>
      </c>
      <c r="B9" s="44">
        <f t="shared" si="1"/>
        <v>1260000.01</v>
      </c>
      <c r="C9" s="44">
        <f t="shared" si="2"/>
        <v>1440000</v>
      </c>
      <c r="D9" s="45"/>
      <c r="E9" s="46">
        <f>'[1]LC123 2007'!D10</f>
        <v>8.4500000000000006E-2</v>
      </c>
      <c r="F9" s="47"/>
      <c r="G9" s="46">
        <f>'[1]LC123 2007'!M10</f>
        <v>8.950000000000001E-2</v>
      </c>
      <c r="H9" s="47"/>
      <c r="I9" s="46">
        <f>'[1]LC123 2007'!D33</f>
        <v>0.1268</v>
      </c>
      <c r="J9" s="47"/>
      <c r="K9" s="46">
        <f>'[1]LC123 2007'!M33</f>
        <v>0.1076</v>
      </c>
      <c r="L9" s="47"/>
      <c r="M9" s="46">
        <v>0.20660000000000001</v>
      </c>
      <c r="N9" s="48"/>
      <c r="O9" s="48"/>
      <c r="P9" s="48"/>
      <c r="Q9" s="48"/>
      <c r="R9" s="48"/>
      <c r="S9" s="48"/>
      <c r="T9" s="48"/>
      <c r="U9" s="48"/>
      <c r="V9" s="39"/>
      <c r="W9" s="48"/>
      <c r="X9" s="39"/>
      <c r="Y9" s="48"/>
      <c r="Z9" s="48"/>
    </row>
    <row r="10" spans="1:26">
      <c r="A10" s="42">
        <f t="shared" si="0"/>
        <v>9</v>
      </c>
      <c r="B10" s="44">
        <f t="shared" si="1"/>
        <v>1440000.01</v>
      </c>
      <c r="C10" s="44">
        <f t="shared" si="2"/>
        <v>1620000</v>
      </c>
      <c r="D10" s="45"/>
      <c r="E10" s="46">
        <f>'[1]LC123 2007'!D11</f>
        <v>9.0300000000000005E-2</v>
      </c>
      <c r="F10" s="47"/>
      <c r="G10" s="46">
        <f>'[1]LC123 2007'!M11</f>
        <v>9.530000000000001E-2</v>
      </c>
      <c r="H10" s="47"/>
      <c r="I10" s="46">
        <f>'[1]LC123 2007'!D34</f>
        <v>0.13550000000000001</v>
      </c>
      <c r="J10" s="47"/>
      <c r="K10" s="46">
        <f>'[1]LC123 2007'!M34</f>
        <v>0.11509999999999999</v>
      </c>
      <c r="L10" s="47"/>
      <c r="M10" s="46">
        <v>0.2117</v>
      </c>
      <c r="N10" s="48"/>
      <c r="O10" s="48"/>
      <c r="P10" s="48"/>
      <c r="Q10" s="48"/>
      <c r="R10" s="48"/>
      <c r="S10" s="48"/>
      <c r="T10" s="48"/>
      <c r="U10" s="48"/>
      <c r="V10" s="39"/>
      <c r="W10" s="48"/>
      <c r="X10" s="39"/>
      <c r="Y10" s="48"/>
      <c r="Z10" s="48"/>
    </row>
    <row r="11" spans="1:26">
      <c r="A11" s="42">
        <f t="shared" si="0"/>
        <v>10</v>
      </c>
      <c r="B11" s="44">
        <f t="shared" si="1"/>
        <v>1620000.01</v>
      </c>
      <c r="C11" s="49">
        <f t="shared" si="2"/>
        <v>1800000</v>
      </c>
      <c r="D11" s="45"/>
      <c r="E11" s="46">
        <f>'[1]LC123 2007'!D12</f>
        <v>9.1200000000000003E-2</v>
      </c>
      <c r="F11" s="47"/>
      <c r="G11" s="46">
        <f>'[1]LC123 2007'!M12</f>
        <v>9.6200000000000008E-2</v>
      </c>
      <c r="H11" s="47"/>
      <c r="I11" s="46">
        <f>'[1]LC123 2007'!D35</f>
        <v>0.13679999999999998</v>
      </c>
      <c r="J11" s="47"/>
      <c r="K11" s="46">
        <f>'[1]LC123 2007'!M35</f>
        <v>0.12</v>
      </c>
      <c r="L11" s="47"/>
      <c r="M11" s="46">
        <v>0.21379999999999999</v>
      </c>
      <c r="N11" s="48"/>
      <c r="O11" s="48"/>
      <c r="P11" s="48"/>
      <c r="Q11" s="48"/>
      <c r="R11" s="48"/>
      <c r="S11" s="48"/>
      <c r="T11" s="48"/>
      <c r="U11" s="48"/>
      <c r="V11" s="39"/>
      <c r="W11" s="48"/>
      <c r="X11" s="39"/>
      <c r="Y11" s="48"/>
      <c r="Z11" s="48"/>
    </row>
    <row r="12" spans="1:26">
      <c r="A12" s="42">
        <f t="shared" si="0"/>
        <v>11</v>
      </c>
      <c r="B12" s="44">
        <f t="shared" si="1"/>
        <v>1800000.01</v>
      </c>
      <c r="C12" s="44">
        <f t="shared" si="2"/>
        <v>1980000</v>
      </c>
      <c r="D12" s="45"/>
      <c r="E12" s="46">
        <f>'[1]LC123 2007'!D13</f>
        <v>9.9499999999999991E-2</v>
      </c>
      <c r="F12" s="47"/>
      <c r="G12" s="46">
        <f>'[1]LC123 2007'!M13</f>
        <v>0.1045</v>
      </c>
      <c r="H12" s="47"/>
      <c r="I12" s="46">
        <f>'[1]LC123 2007'!D36</f>
        <v>0.14929999999999999</v>
      </c>
      <c r="J12" s="47"/>
      <c r="K12" s="46">
        <f>'[1]LC123 2007'!M36</f>
        <v>0.128</v>
      </c>
      <c r="L12" s="47"/>
      <c r="M12" s="46">
        <v>0.21859999999999999</v>
      </c>
      <c r="N12" s="48"/>
      <c r="O12" s="48"/>
      <c r="P12" s="48"/>
      <c r="Q12" s="48"/>
      <c r="R12" s="48"/>
      <c r="S12" s="48"/>
      <c r="T12" s="48"/>
      <c r="U12" s="48"/>
      <c r="V12" s="39"/>
      <c r="W12" s="48"/>
      <c r="X12" s="39"/>
      <c r="Y12" s="48"/>
      <c r="Z12" s="48"/>
    </row>
    <row r="13" spans="1:26">
      <c r="A13" s="42">
        <f t="shared" si="0"/>
        <v>12</v>
      </c>
      <c r="B13" s="44">
        <f t="shared" si="1"/>
        <v>1980000.01</v>
      </c>
      <c r="C13" s="44">
        <f t="shared" si="2"/>
        <v>2160000</v>
      </c>
      <c r="D13" s="45"/>
      <c r="E13" s="46">
        <f>'[1]LC123 2007'!D14</f>
        <v>0.10039999999999999</v>
      </c>
      <c r="F13" s="47"/>
      <c r="G13" s="46">
        <f>'[1]LC123 2007'!M14</f>
        <v>0.10539999999999999</v>
      </c>
      <c r="H13" s="47"/>
      <c r="I13" s="46">
        <f>'[1]LC123 2007'!D37</f>
        <v>0.15060000000000001</v>
      </c>
      <c r="J13" s="47"/>
      <c r="K13" s="46">
        <f>'[1]LC123 2007'!M37</f>
        <v>0.13250000000000001</v>
      </c>
      <c r="L13" s="47"/>
      <c r="M13" s="46">
        <v>0.21970000000000001</v>
      </c>
      <c r="N13" s="48"/>
      <c r="O13" s="48"/>
      <c r="P13" s="48"/>
      <c r="Q13" s="48"/>
      <c r="R13" s="48"/>
      <c r="S13" s="48"/>
      <c r="T13" s="48"/>
      <c r="U13" s="48"/>
      <c r="V13" s="39"/>
      <c r="W13" s="48"/>
      <c r="X13" s="39"/>
      <c r="Y13" s="48"/>
      <c r="Z13" s="48"/>
    </row>
    <row r="14" spans="1:26">
      <c r="A14" s="42">
        <f t="shared" si="0"/>
        <v>13</v>
      </c>
      <c r="B14" s="44">
        <f t="shared" si="1"/>
        <v>2160000.0099999998</v>
      </c>
      <c r="C14" s="44">
        <f t="shared" si="2"/>
        <v>2340000</v>
      </c>
      <c r="D14" s="45"/>
      <c r="E14" s="46">
        <f>'[1]LC123 2007'!D15</f>
        <v>0.1013</v>
      </c>
      <c r="F14" s="47"/>
      <c r="G14" s="46">
        <f>'[1]LC123 2007'!M15</f>
        <v>0.10630000000000001</v>
      </c>
      <c r="H14" s="47"/>
      <c r="I14" s="46">
        <f>'[1]LC123 2007'!D38</f>
        <v>0.15200000000000002</v>
      </c>
      <c r="J14" s="47"/>
      <c r="K14" s="46">
        <f>'[1]LC123 2007'!M38</f>
        <v>0.13700000000000001</v>
      </c>
      <c r="L14" s="47"/>
      <c r="M14" s="46">
        <v>0.22059999999999999</v>
      </c>
      <c r="N14" s="48"/>
      <c r="O14" s="48"/>
      <c r="P14" s="48"/>
      <c r="Q14" s="48"/>
      <c r="R14" s="48"/>
      <c r="S14" s="48"/>
      <c r="T14" s="48"/>
      <c r="U14" s="48"/>
      <c r="V14" s="39"/>
      <c r="W14" s="48"/>
      <c r="X14" s="39"/>
      <c r="Y14" s="48"/>
      <c r="Z14" s="48"/>
    </row>
    <row r="15" spans="1:26">
      <c r="A15" s="42">
        <f t="shared" si="0"/>
        <v>14</v>
      </c>
      <c r="B15" s="44">
        <f t="shared" si="1"/>
        <v>2340000.0099999998</v>
      </c>
      <c r="C15" s="49">
        <f t="shared" si="2"/>
        <v>2520000</v>
      </c>
      <c r="D15" s="45"/>
      <c r="E15" s="46">
        <f>'[1]LC123 2007'!D16</f>
        <v>0.1023</v>
      </c>
      <c r="F15" s="47"/>
      <c r="G15" s="46">
        <f>'[1]LC123 2007'!M16</f>
        <v>0.10730000000000001</v>
      </c>
      <c r="H15" s="47"/>
      <c r="I15" s="46">
        <f>'[1]LC123 2007'!D39</f>
        <v>0.15350000000000003</v>
      </c>
      <c r="J15" s="47"/>
      <c r="K15" s="46">
        <f>'[1]LC123 2007'!M39</f>
        <v>0.14150000000000001</v>
      </c>
      <c r="L15" s="47"/>
      <c r="M15" s="46">
        <v>0.22140000000000001</v>
      </c>
      <c r="N15" s="48"/>
      <c r="O15" s="48"/>
      <c r="P15" s="48"/>
      <c r="Q15" s="48"/>
      <c r="R15" s="48"/>
      <c r="S15" s="48"/>
      <c r="T15" s="48"/>
      <c r="U15" s="48"/>
      <c r="V15" s="39"/>
      <c r="W15" s="48"/>
      <c r="X15" s="39"/>
      <c r="Y15" s="48"/>
      <c r="Z15" s="48"/>
    </row>
    <row r="16" spans="1:26">
      <c r="A16" s="42">
        <f t="shared" si="0"/>
        <v>15</v>
      </c>
      <c r="B16" s="44">
        <f t="shared" si="1"/>
        <v>2520000.0099999998</v>
      </c>
      <c r="C16" s="44">
        <f t="shared" si="2"/>
        <v>2700000</v>
      </c>
      <c r="D16" s="45"/>
      <c r="E16" s="46">
        <f>'[1]LC123 2007'!D17</f>
        <v>0.10319999999999999</v>
      </c>
      <c r="F16" s="47"/>
      <c r="G16" s="46">
        <f>'[1]LC123 2007'!M17</f>
        <v>0.10819999999999999</v>
      </c>
      <c r="H16" s="47"/>
      <c r="I16" s="46">
        <f>'[1]LC123 2007'!D40</f>
        <v>0.15479999999999999</v>
      </c>
      <c r="J16" s="47"/>
      <c r="K16" s="46">
        <f>'[1]LC123 2007'!M40</f>
        <v>0.14600000000000002</v>
      </c>
      <c r="L16" s="47"/>
      <c r="M16" s="46">
        <v>0.22209999999999999</v>
      </c>
      <c r="N16" s="48"/>
      <c r="O16" s="48"/>
      <c r="P16" s="48"/>
      <c r="Q16" s="48"/>
      <c r="R16" s="48"/>
      <c r="S16" s="48"/>
      <c r="T16" s="48"/>
      <c r="U16" s="48"/>
      <c r="V16" s="39"/>
      <c r="W16" s="48"/>
      <c r="X16" s="39"/>
      <c r="Y16" s="48"/>
      <c r="Z16" s="48"/>
    </row>
    <row r="17" spans="1:26">
      <c r="A17" s="42">
        <f t="shared" si="0"/>
        <v>16</v>
      </c>
      <c r="B17" s="44">
        <f t="shared" si="1"/>
        <v>2700000.01</v>
      </c>
      <c r="C17" s="44">
        <f t="shared" si="2"/>
        <v>2880000</v>
      </c>
      <c r="D17" s="45"/>
      <c r="E17" s="46">
        <f>'[1]LC123 2007'!D18</f>
        <v>0.1123</v>
      </c>
      <c r="F17" s="47"/>
      <c r="G17" s="46">
        <f>'[1]LC123 2007'!M18</f>
        <v>0.1173</v>
      </c>
      <c r="H17" s="47"/>
      <c r="I17" s="46">
        <f>'[1]LC123 2007'!D41</f>
        <v>0.16849999999999998</v>
      </c>
      <c r="J17" s="47"/>
      <c r="K17" s="46">
        <f>'[1]LC123 2007'!M41</f>
        <v>0.15050000000000002</v>
      </c>
      <c r="L17" s="47"/>
      <c r="M17" s="46">
        <v>0.22209999999999999</v>
      </c>
      <c r="N17" s="48"/>
      <c r="O17" s="48"/>
      <c r="P17" s="48"/>
      <c r="Q17" s="48"/>
      <c r="R17" s="48"/>
      <c r="S17" s="48"/>
      <c r="T17" s="48"/>
      <c r="U17" s="48"/>
      <c r="V17" s="39"/>
      <c r="W17" s="48"/>
      <c r="X17" s="39"/>
      <c r="Y17" s="48"/>
      <c r="Z17" s="48"/>
    </row>
    <row r="18" spans="1:26">
      <c r="A18" s="42">
        <f t="shared" si="0"/>
        <v>17</v>
      </c>
      <c r="B18" s="44">
        <f t="shared" si="1"/>
        <v>2880000.01</v>
      </c>
      <c r="C18" s="44">
        <f t="shared" si="2"/>
        <v>3060000</v>
      </c>
      <c r="D18" s="45"/>
      <c r="E18" s="46">
        <f>'[1]LC123 2007'!D19</f>
        <v>0.1132</v>
      </c>
      <c r="F18" s="47"/>
      <c r="G18" s="46">
        <f>'[1]LC123 2007'!M19</f>
        <v>0.1182</v>
      </c>
      <c r="H18" s="47"/>
      <c r="I18" s="46">
        <f>'[1]LC123 2007'!D42</f>
        <v>0.16980000000000001</v>
      </c>
      <c r="J18" s="47"/>
      <c r="K18" s="46">
        <f>'[1]LC123 2007'!M42</f>
        <v>0.15500000000000003</v>
      </c>
      <c r="L18" s="47"/>
      <c r="M18" s="46">
        <v>0.22320000000000001</v>
      </c>
      <c r="N18" s="48"/>
      <c r="O18" s="48"/>
      <c r="P18" s="48"/>
      <c r="Q18" s="48"/>
      <c r="R18" s="48"/>
      <c r="S18" s="48"/>
      <c r="T18" s="48"/>
      <c r="U18" s="48"/>
      <c r="V18" s="39"/>
      <c r="W18" s="48"/>
      <c r="X18" s="39"/>
      <c r="Y18" s="48"/>
      <c r="Z18" s="48"/>
    </row>
    <row r="19" spans="1:26">
      <c r="A19" s="42">
        <f t="shared" si="0"/>
        <v>18</v>
      </c>
      <c r="B19" s="44">
        <f t="shared" si="1"/>
        <v>3060000.01</v>
      </c>
      <c r="C19" s="44">
        <f t="shared" si="2"/>
        <v>3240000</v>
      </c>
      <c r="D19" s="45"/>
      <c r="E19" s="46">
        <f>'[1]LC123 2007'!D20</f>
        <v>0.1142</v>
      </c>
      <c r="F19" s="47"/>
      <c r="G19" s="46">
        <f>'[1]LC123 2007'!M20</f>
        <v>0.1192</v>
      </c>
      <c r="H19" s="47"/>
      <c r="I19" s="46">
        <f>'[1]LC123 2007'!D43</f>
        <v>0.17130000000000001</v>
      </c>
      <c r="J19" s="47"/>
      <c r="K19" s="46">
        <f>'[1]LC123 2007'!M43</f>
        <v>0.1595</v>
      </c>
      <c r="L19" s="47"/>
      <c r="M19" s="46">
        <v>0.22370000000000001</v>
      </c>
      <c r="N19" s="48"/>
      <c r="O19" s="48"/>
      <c r="P19" s="48"/>
      <c r="Q19" s="48"/>
      <c r="R19" s="48"/>
      <c r="S19" s="48"/>
      <c r="T19" s="48"/>
      <c r="U19" s="48"/>
      <c r="V19" s="39"/>
      <c r="W19" s="48"/>
      <c r="X19" s="39"/>
      <c r="Y19" s="48"/>
      <c r="Z19" s="48"/>
    </row>
    <row r="20" spans="1:26">
      <c r="A20" s="42">
        <f t="shared" si="0"/>
        <v>19</v>
      </c>
      <c r="B20" s="44">
        <f t="shared" si="1"/>
        <v>3240000.01</v>
      </c>
      <c r="C20" s="44">
        <f t="shared" si="2"/>
        <v>3420000</v>
      </c>
      <c r="D20" s="45"/>
      <c r="E20" s="46">
        <f>'[1]LC123 2007'!D21</f>
        <v>0.11510000000000001</v>
      </c>
      <c r="F20" s="47"/>
      <c r="G20" s="46">
        <f>'[1]LC123 2007'!M21</f>
        <v>0.12010000000000001</v>
      </c>
      <c r="H20" s="47"/>
      <c r="I20" s="46">
        <f>'[1]LC123 2007'!D44</f>
        <v>0.17270000000000002</v>
      </c>
      <c r="J20" s="47"/>
      <c r="K20" s="46">
        <f>'[1]LC123 2007'!M44</f>
        <v>0.16400000000000003</v>
      </c>
      <c r="L20" s="47"/>
      <c r="M20" s="46">
        <v>0.22409999999999999</v>
      </c>
      <c r="N20" s="48"/>
      <c r="O20" s="48"/>
      <c r="P20" s="48"/>
      <c r="Q20" s="48"/>
      <c r="R20" s="48"/>
      <c r="S20" s="48"/>
      <c r="T20" s="48"/>
      <c r="U20" s="48"/>
      <c r="V20" s="39"/>
      <c r="W20" s="48"/>
      <c r="X20" s="39"/>
      <c r="Y20" s="48"/>
      <c r="Z20" s="48"/>
    </row>
    <row r="21" spans="1:26">
      <c r="A21" s="42">
        <f t="shared" si="0"/>
        <v>20</v>
      </c>
      <c r="B21" s="44">
        <f t="shared" si="1"/>
        <v>3420000.01</v>
      </c>
      <c r="C21" s="44">
        <f t="shared" si="2"/>
        <v>3600000</v>
      </c>
      <c r="D21" s="45"/>
      <c r="E21" s="46">
        <f>'[1]LC123 2007'!D22</f>
        <v>0.11610000000000001</v>
      </c>
      <c r="F21" s="47"/>
      <c r="G21" s="46">
        <f>'[1]LC123 2007'!M22</f>
        <v>0.12110000000000001</v>
      </c>
      <c r="H21" s="47"/>
      <c r="I21" s="46">
        <f>'[1]LC123 2007'!D45</f>
        <v>0.17419999999999999</v>
      </c>
      <c r="J21" s="47"/>
      <c r="K21" s="46">
        <f>'[1]LC123 2007'!M45</f>
        <v>0.16849999999999998</v>
      </c>
      <c r="L21" s="47"/>
      <c r="M21" s="46">
        <v>0.22450000000000001</v>
      </c>
      <c r="N21" s="48"/>
      <c r="O21" s="48"/>
      <c r="P21" s="48"/>
      <c r="Q21" s="48"/>
      <c r="R21" s="48"/>
      <c r="S21" s="48"/>
      <c r="T21" s="48"/>
      <c r="U21" s="48"/>
      <c r="V21" s="39"/>
      <c r="W21" s="48"/>
      <c r="X21" s="39"/>
      <c r="Y21" s="48"/>
      <c r="Z21" s="48"/>
    </row>
    <row r="22" spans="1:26">
      <c r="B22" s="45"/>
      <c r="C22" s="45"/>
      <c r="D22" s="45"/>
      <c r="E22" s="50"/>
      <c r="G22" s="50"/>
      <c r="I22" s="50"/>
      <c r="J22" s="50"/>
      <c r="K22" s="50"/>
      <c r="M22" s="50"/>
      <c r="O22" s="50"/>
      <c r="P22" s="50"/>
      <c r="Q22" s="50"/>
      <c r="R22" s="50"/>
      <c r="S22" s="50"/>
    </row>
    <row r="23" spans="1:26" ht="38.25">
      <c r="A23" s="33" t="s">
        <v>3</v>
      </c>
      <c r="B23" s="329" t="s">
        <v>13</v>
      </c>
      <c r="C23" s="330"/>
      <c r="D23" s="34"/>
      <c r="E23" s="35" t="s">
        <v>19</v>
      </c>
      <c r="F23" s="51"/>
      <c r="G23" s="35" t="s">
        <v>20</v>
      </c>
      <c r="H23" s="51"/>
      <c r="I23" s="35" t="s">
        <v>21</v>
      </c>
      <c r="J23" s="51"/>
      <c r="K23" s="35" t="s">
        <v>22</v>
      </c>
      <c r="L23" s="51"/>
      <c r="M23" s="35" t="s">
        <v>23</v>
      </c>
      <c r="N23" s="51"/>
      <c r="O23" s="35" t="s">
        <v>24</v>
      </c>
      <c r="P23" s="52"/>
      <c r="Q23" s="35" t="s">
        <v>25</v>
      </c>
      <c r="R23" s="53"/>
      <c r="S23" s="35" t="s">
        <v>26</v>
      </c>
      <c r="T23" s="37"/>
      <c r="U23" s="38"/>
      <c r="V23" s="39"/>
      <c r="W23" s="38"/>
      <c r="X23" s="39"/>
      <c r="Y23" s="38"/>
      <c r="Z23" s="40"/>
    </row>
    <row r="24" spans="1:26">
      <c r="A24" s="42">
        <v>1</v>
      </c>
      <c r="B24" s="43" t="s">
        <v>27</v>
      </c>
      <c r="C24" s="44">
        <v>180000</v>
      </c>
      <c r="D24" s="45"/>
      <c r="E24" s="54">
        <v>0.17499999999999999</v>
      </c>
      <c r="F24" s="48"/>
      <c r="G24" s="54">
        <v>0.157</v>
      </c>
      <c r="H24" s="48"/>
      <c r="I24" s="54">
        <v>0.13700000000000001</v>
      </c>
      <c r="J24" s="48"/>
      <c r="K24" s="54">
        <v>0.1182</v>
      </c>
      <c r="L24" s="48"/>
      <c r="M24" s="54">
        <v>0.1047</v>
      </c>
      <c r="N24" s="39"/>
      <c r="O24" s="54">
        <v>9.9699999999999997E-2</v>
      </c>
      <c r="P24" s="55"/>
      <c r="Q24" s="54">
        <v>8.7999999999999995E-2</v>
      </c>
      <c r="R24" s="48"/>
      <c r="S24" s="54">
        <v>0.08</v>
      </c>
      <c r="T24" s="48"/>
      <c r="U24" s="48"/>
      <c r="V24" s="39"/>
      <c r="W24" s="48"/>
      <c r="X24" s="39"/>
      <c r="Y24" s="48"/>
      <c r="Z24" s="48"/>
    </row>
    <row r="25" spans="1:26">
      <c r="A25" s="42">
        <f t="shared" ref="A25:A43" si="3">A24+1</f>
        <v>2</v>
      </c>
      <c r="B25" s="44">
        <f t="shared" ref="B25:B43" si="4">C24+0.01</f>
        <v>180000.01</v>
      </c>
      <c r="C25" s="44">
        <f>C$2*2</f>
        <v>360000</v>
      </c>
      <c r="D25" s="45"/>
      <c r="E25" s="54">
        <v>0.17519999999999999</v>
      </c>
      <c r="F25" s="48"/>
      <c r="G25" s="54">
        <v>0.1575</v>
      </c>
      <c r="H25" s="48"/>
      <c r="I25" s="54">
        <v>0.13900000000000001</v>
      </c>
      <c r="J25" s="48"/>
      <c r="K25" s="54">
        <v>0.126</v>
      </c>
      <c r="L25" s="48"/>
      <c r="M25" s="54">
        <v>0.12330000000000001</v>
      </c>
      <c r="N25" s="39"/>
      <c r="O25" s="54">
        <v>0.1072</v>
      </c>
      <c r="P25" s="55"/>
      <c r="Q25" s="54">
        <v>9.0999999999999998E-2</v>
      </c>
      <c r="R25" s="48"/>
      <c r="S25" s="54">
        <v>8.48E-2</v>
      </c>
      <c r="T25" s="48"/>
      <c r="U25" s="48"/>
      <c r="V25" s="39"/>
      <c r="W25" s="48"/>
      <c r="X25" s="39"/>
      <c r="Y25" s="48"/>
      <c r="Z25" s="48"/>
    </row>
    <row r="26" spans="1:26">
      <c r="A26" s="42">
        <f t="shared" si="3"/>
        <v>3</v>
      </c>
      <c r="B26" s="44">
        <f t="shared" si="4"/>
        <v>360000.01</v>
      </c>
      <c r="C26" s="44">
        <f t="shared" ref="C26:C43" si="5">C25+C$2</f>
        <v>540000</v>
      </c>
      <c r="D26" s="45"/>
      <c r="E26" s="54">
        <v>0.17549999999999999</v>
      </c>
      <c r="F26" s="48"/>
      <c r="G26" s="54">
        <v>0.1595</v>
      </c>
      <c r="H26" s="48"/>
      <c r="I26" s="54">
        <v>0.14199999999999999</v>
      </c>
      <c r="J26" s="48"/>
      <c r="K26" s="54">
        <v>0.129</v>
      </c>
      <c r="L26" s="48"/>
      <c r="M26" s="54">
        <v>0.12640000000000001</v>
      </c>
      <c r="N26" s="39"/>
      <c r="O26" s="54">
        <v>0.1111</v>
      </c>
      <c r="P26" s="55"/>
      <c r="Q26" s="54">
        <v>9.5799999999999996E-2</v>
      </c>
      <c r="R26" s="48"/>
      <c r="S26" s="54">
        <v>9.0300000000000005E-2</v>
      </c>
      <c r="T26" s="48"/>
      <c r="U26" s="48"/>
      <c r="V26" s="39"/>
      <c r="W26" s="48"/>
      <c r="X26" s="39"/>
      <c r="Y26" s="48"/>
      <c r="Z26" s="48"/>
    </row>
    <row r="27" spans="1:26">
      <c r="A27" s="42">
        <f t="shared" si="3"/>
        <v>4</v>
      </c>
      <c r="B27" s="44">
        <f t="shared" si="4"/>
        <v>540000.01</v>
      </c>
      <c r="C27" s="44">
        <f t="shared" si="5"/>
        <v>720000</v>
      </c>
      <c r="D27" s="45"/>
      <c r="E27" s="54">
        <v>0.17949999999999999</v>
      </c>
      <c r="F27" s="48"/>
      <c r="G27" s="54">
        <v>0.16700000000000001</v>
      </c>
      <c r="H27" s="48"/>
      <c r="I27" s="54">
        <v>0.15</v>
      </c>
      <c r="J27" s="48"/>
      <c r="K27" s="54">
        <v>0.13700000000000001</v>
      </c>
      <c r="L27" s="48"/>
      <c r="M27" s="54">
        <v>0.13450000000000001</v>
      </c>
      <c r="N27" s="39"/>
      <c r="O27" s="54">
        <v>0.12</v>
      </c>
      <c r="P27" s="55"/>
      <c r="Q27" s="54">
        <v>0.1056</v>
      </c>
      <c r="R27" s="48"/>
      <c r="S27" s="54">
        <v>9.3399999999999997E-2</v>
      </c>
      <c r="T27" s="48"/>
      <c r="U27" s="48"/>
      <c r="V27" s="39"/>
      <c r="W27" s="48"/>
      <c r="X27" s="39"/>
      <c r="Y27" s="48"/>
      <c r="Z27" s="48"/>
    </row>
    <row r="28" spans="1:26">
      <c r="A28" s="42">
        <f t="shared" si="3"/>
        <v>5</v>
      </c>
      <c r="B28" s="44">
        <f t="shared" si="4"/>
        <v>720000.01</v>
      </c>
      <c r="C28" s="44">
        <f t="shared" si="5"/>
        <v>900000</v>
      </c>
      <c r="D28" s="45"/>
      <c r="E28" s="54">
        <v>0.18149999999999999</v>
      </c>
      <c r="F28" s="48"/>
      <c r="G28" s="54">
        <v>0.16950000000000001</v>
      </c>
      <c r="H28" s="48"/>
      <c r="I28" s="54">
        <v>0.153</v>
      </c>
      <c r="J28" s="48"/>
      <c r="K28" s="54">
        <v>0.14030000000000001</v>
      </c>
      <c r="L28" s="48"/>
      <c r="M28" s="54">
        <v>0.1353</v>
      </c>
      <c r="N28" s="39"/>
      <c r="O28" s="54">
        <v>0.124</v>
      </c>
      <c r="P28" s="55"/>
      <c r="Q28" s="54">
        <v>0.1104</v>
      </c>
      <c r="R28" s="48"/>
      <c r="S28" s="54">
        <v>0.10059999999999999</v>
      </c>
      <c r="T28" s="48"/>
      <c r="U28" s="48"/>
      <c r="V28" s="39"/>
      <c r="W28" s="48"/>
      <c r="X28" s="39"/>
      <c r="Y28" s="48"/>
      <c r="Z28" s="48"/>
    </row>
    <row r="29" spans="1:26">
      <c r="A29" s="42">
        <f t="shared" si="3"/>
        <v>6</v>
      </c>
      <c r="B29" s="44">
        <f t="shared" si="4"/>
        <v>900000.01</v>
      </c>
      <c r="C29" s="44">
        <f t="shared" si="5"/>
        <v>1080000</v>
      </c>
      <c r="D29" s="45"/>
      <c r="E29" s="54">
        <v>0.1845</v>
      </c>
      <c r="F29" s="48"/>
      <c r="G29" s="54">
        <v>0.17199999999999999</v>
      </c>
      <c r="H29" s="48"/>
      <c r="I29" s="54">
        <v>0.154</v>
      </c>
      <c r="J29" s="48"/>
      <c r="K29" s="54">
        <v>0.14099999999999999</v>
      </c>
      <c r="L29" s="48"/>
      <c r="M29" s="54">
        <v>0.13600000000000001</v>
      </c>
      <c r="N29" s="39"/>
      <c r="O29" s="54">
        <v>0.126</v>
      </c>
      <c r="P29" s="55"/>
      <c r="Q29" s="54">
        <v>0.11600000000000001</v>
      </c>
      <c r="R29" s="48"/>
      <c r="S29" s="54">
        <v>0.106</v>
      </c>
      <c r="T29" s="48"/>
      <c r="U29" s="48"/>
      <c r="V29" s="39"/>
      <c r="W29" s="48"/>
      <c r="X29" s="39"/>
      <c r="Y29" s="48"/>
      <c r="Z29" s="48"/>
    </row>
    <row r="30" spans="1:26">
      <c r="A30" s="42">
        <f t="shared" si="3"/>
        <v>7</v>
      </c>
      <c r="B30" s="44">
        <f t="shared" si="4"/>
        <v>1080000.01</v>
      </c>
      <c r="C30" s="44">
        <f t="shared" si="5"/>
        <v>1260000</v>
      </c>
      <c r="D30" s="45"/>
      <c r="E30" s="54">
        <v>0.1855</v>
      </c>
      <c r="F30" s="48"/>
      <c r="G30" s="54">
        <v>0.17299999999999999</v>
      </c>
      <c r="H30" s="48"/>
      <c r="I30" s="54">
        <v>0.155</v>
      </c>
      <c r="J30" s="48"/>
      <c r="K30" s="54">
        <v>0.1411</v>
      </c>
      <c r="L30" s="48"/>
      <c r="M30" s="54">
        <v>0.1368</v>
      </c>
      <c r="N30" s="39"/>
      <c r="O30" s="54">
        <v>0.1268</v>
      </c>
      <c r="P30" s="55"/>
      <c r="Q30" s="54">
        <v>0.1168</v>
      </c>
      <c r="R30" s="48"/>
      <c r="S30" s="56">
        <v>0.10679999999999999</v>
      </c>
      <c r="T30" s="48"/>
      <c r="U30" s="48"/>
      <c r="V30" s="39"/>
      <c r="W30" s="48"/>
      <c r="X30" s="39"/>
      <c r="Y30" s="48"/>
      <c r="Z30" s="48"/>
    </row>
    <row r="31" spans="1:26">
      <c r="A31" s="42">
        <f t="shared" si="3"/>
        <v>8</v>
      </c>
      <c r="B31" s="44">
        <f t="shared" si="4"/>
        <v>1260000.01</v>
      </c>
      <c r="C31" s="44">
        <f t="shared" si="5"/>
        <v>1440000</v>
      </c>
      <c r="D31" s="45"/>
      <c r="E31" s="54">
        <v>0.1862</v>
      </c>
      <c r="F31" s="48"/>
      <c r="G31" s="54">
        <v>0.17319999999999999</v>
      </c>
      <c r="H31" s="48"/>
      <c r="I31" s="54">
        <v>0.156</v>
      </c>
      <c r="J31" s="48"/>
      <c r="K31" s="54">
        <v>0.14119999999999999</v>
      </c>
      <c r="L31" s="48"/>
      <c r="M31" s="54">
        <v>0.13689999999999999</v>
      </c>
      <c r="N31" s="39"/>
      <c r="O31" s="54">
        <v>0.12690000000000001</v>
      </c>
      <c r="P31" s="55"/>
      <c r="Q31" s="54">
        <v>0.1169</v>
      </c>
      <c r="R31" s="48"/>
      <c r="S31" s="54">
        <v>0.1069</v>
      </c>
      <c r="T31" s="48"/>
      <c r="U31" s="48"/>
      <c r="V31" s="39"/>
      <c r="W31" s="48"/>
      <c r="X31" s="39"/>
      <c r="Y31" s="48"/>
      <c r="Z31" s="48"/>
    </row>
    <row r="32" spans="1:26">
      <c r="A32" s="42">
        <f t="shared" si="3"/>
        <v>9</v>
      </c>
      <c r="B32" s="44">
        <f t="shared" si="4"/>
        <v>1440000.01</v>
      </c>
      <c r="C32" s="44">
        <f t="shared" si="5"/>
        <v>1620000</v>
      </c>
      <c r="D32" s="45"/>
      <c r="E32" s="54">
        <v>0.18720000000000001</v>
      </c>
      <c r="F32" s="48"/>
      <c r="G32" s="54">
        <v>0.17419999999999999</v>
      </c>
      <c r="H32" s="48"/>
      <c r="I32" s="54">
        <v>0.157</v>
      </c>
      <c r="J32" s="48"/>
      <c r="K32" s="54">
        <v>0.14130000000000001</v>
      </c>
      <c r="L32" s="48"/>
      <c r="M32" s="54">
        <v>0.14080000000000001</v>
      </c>
      <c r="N32" s="39"/>
      <c r="O32" s="54">
        <v>0.1308</v>
      </c>
      <c r="P32" s="55"/>
      <c r="Q32" s="54">
        <v>0.1208</v>
      </c>
      <c r="R32" s="48"/>
      <c r="S32" s="54">
        <v>0.1108</v>
      </c>
      <c r="T32" s="48"/>
      <c r="U32" s="48"/>
      <c r="V32" s="39"/>
      <c r="W32" s="48"/>
      <c r="X32" s="39"/>
      <c r="Y32" s="48"/>
      <c r="Z32" s="48"/>
    </row>
    <row r="33" spans="1:26">
      <c r="A33" s="42">
        <f t="shared" si="3"/>
        <v>10</v>
      </c>
      <c r="B33" s="44">
        <f t="shared" si="4"/>
        <v>1620000.01</v>
      </c>
      <c r="C33" s="49">
        <f t="shared" si="5"/>
        <v>1800000</v>
      </c>
      <c r="D33" s="45"/>
      <c r="E33" s="54">
        <v>0.18859999999999999</v>
      </c>
      <c r="F33" s="48"/>
      <c r="G33" s="54">
        <v>0.17560000000000001</v>
      </c>
      <c r="H33" s="48"/>
      <c r="I33" s="54">
        <v>0.158</v>
      </c>
      <c r="J33" s="48"/>
      <c r="K33" s="54">
        <v>0.1414</v>
      </c>
      <c r="L33" s="48"/>
      <c r="M33" s="54">
        <v>0.1409</v>
      </c>
      <c r="N33" s="39"/>
      <c r="O33" s="54">
        <v>0.13089999999999999</v>
      </c>
      <c r="P33" s="55"/>
      <c r="Q33" s="54">
        <v>0.12089999999999999</v>
      </c>
      <c r="R33" s="48"/>
      <c r="S33" s="54">
        <v>0.1109</v>
      </c>
      <c r="T33" s="48"/>
      <c r="U33" s="48"/>
      <c r="V33" s="39"/>
      <c r="W33" s="48"/>
      <c r="X33" s="39"/>
      <c r="Y33" s="48"/>
      <c r="Z33" s="48"/>
    </row>
    <row r="34" spans="1:26">
      <c r="A34" s="42">
        <f t="shared" si="3"/>
        <v>11</v>
      </c>
      <c r="B34" s="44">
        <f t="shared" si="4"/>
        <v>1800000.01</v>
      </c>
      <c r="C34" s="44">
        <f t="shared" si="5"/>
        <v>1980000</v>
      </c>
      <c r="D34" s="45"/>
      <c r="E34" s="54">
        <v>0.18959999999999999</v>
      </c>
      <c r="F34" s="48"/>
      <c r="G34" s="54">
        <v>0.17660000000000001</v>
      </c>
      <c r="H34" s="48"/>
      <c r="I34" s="54">
        <v>0.159</v>
      </c>
      <c r="J34" s="48"/>
      <c r="K34" s="54">
        <v>0.1449</v>
      </c>
      <c r="L34" s="48"/>
      <c r="M34" s="54">
        <v>0.14449999999999999</v>
      </c>
      <c r="N34" s="39"/>
      <c r="O34" s="54">
        <v>0.1361</v>
      </c>
      <c r="P34" s="55"/>
      <c r="Q34" s="54">
        <v>0.1278</v>
      </c>
      <c r="R34" s="48"/>
      <c r="S34" s="54">
        <v>0.1187</v>
      </c>
      <c r="T34" s="48"/>
      <c r="U34" s="48"/>
      <c r="V34" s="39"/>
      <c r="W34" s="48"/>
      <c r="X34" s="39"/>
      <c r="Y34" s="48"/>
      <c r="Z34" s="48"/>
    </row>
    <row r="35" spans="1:26">
      <c r="A35" s="42">
        <f t="shared" si="3"/>
        <v>12</v>
      </c>
      <c r="B35" s="44">
        <f t="shared" si="4"/>
        <v>1980000.01</v>
      </c>
      <c r="C35" s="44">
        <f t="shared" si="5"/>
        <v>2160000</v>
      </c>
      <c r="D35" s="45"/>
      <c r="E35" s="54">
        <v>0.19059999999999999</v>
      </c>
      <c r="F35" s="48"/>
      <c r="G35" s="54">
        <v>0.17760000000000001</v>
      </c>
      <c r="H35" s="48"/>
      <c r="I35" s="54">
        <v>0.16</v>
      </c>
      <c r="J35" s="48"/>
      <c r="K35" s="54">
        <v>0.1467</v>
      </c>
      <c r="L35" s="48"/>
      <c r="M35" s="54">
        <v>0.1464</v>
      </c>
      <c r="N35" s="39"/>
      <c r="O35" s="54">
        <v>0.1389</v>
      </c>
      <c r="P35" s="55"/>
      <c r="Q35" s="54">
        <v>0.13150000000000001</v>
      </c>
      <c r="R35" s="48"/>
      <c r="S35" s="54">
        <v>0.12280000000000001</v>
      </c>
      <c r="T35" s="48"/>
      <c r="U35" s="48"/>
      <c r="V35" s="39"/>
      <c r="W35" s="48"/>
      <c r="X35" s="39"/>
      <c r="Y35" s="48"/>
      <c r="Z35" s="48"/>
    </row>
    <row r="36" spans="1:26">
      <c r="A36" s="42">
        <f t="shared" si="3"/>
        <v>13</v>
      </c>
      <c r="B36" s="44">
        <f t="shared" si="4"/>
        <v>2160000.0099999998</v>
      </c>
      <c r="C36" s="44">
        <f t="shared" si="5"/>
        <v>2340000</v>
      </c>
      <c r="D36" s="45"/>
      <c r="E36" s="54">
        <v>0.19259999999999999</v>
      </c>
      <c r="F36" s="48"/>
      <c r="G36" s="54">
        <v>0.17960000000000001</v>
      </c>
      <c r="H36" s="48"/>
      <c r="I36" s="54">
        <v>0.16200000000000001</v>
      </c>
      <c r="J36" s="48"/>
      <c r="K36" s="54">
        <v>0.14860000000000001</v>
      </c>
      <c r="L36" s="48"/>
      <c r="M36" s="54">
        <v>0.1482</v>
      </c>
      <c r="N36" s="39"/>
      <c r="O36" s="54">
        <v>0.14169999999999999</v>
      </c>
      <c r="P36" s="55"/>
      <c r="Q36" s="54">
        <v>0.1351</v>
      </c>
      <c r="R36" s="48"/>
      <c r="S36" s="54">
        <v>0.1268</v>
      </c>
      <c r="T36" s="48"/>
      <c r="U36" s="48"/>
      <c r="V36" s="39"/>
      <c r="W36" s="48"/>
      <c r="X36" s="39"/>
      <c r="Y36" s="48"/>
      <c r="Z36" s="48"/>
    </row>
    <row r="37" spans="1:26">
      <c r="A37" s="42">
        <f t="shared" si="3"/>
        <v>14</v>
      </c>
      <c r="B37" s="44">
        <f t="shared" si="4"/>
        <v>2340000.0099999998</v>
      </c>
      <c r="C37" s="49">
        <f t="shared" si="5"/>
        <v>2520000</v>
      </c>
      <c r="D37" s="45"/>
      <c r="E37" s="54">
        <v>0.1956</v>
      </c>
      <c r="F37" s="48"/>
      <c r="G37" s="54">
        <v>0.183</v>
      </c>
      <c r="H37" s="48"/>
      <c r="I37" s="54">
        <v>0.16500000000000001</v>
      </c>
      <c r="J37" s="48"/>
      <c r="K37" s="54">
        <v>0.15459999999999999</v>
      </c>
      <c r="L37" s="48"/>
      <c r="M37" s="54">
        <v>0.15179999999999999</v>
      </c>
      <c r="N37" s="39"/>
      <c r="O37" s="54">
        <v>0.14610000000000001</v>
      </c>
      <c r="P37" s="55"/>
      <c r="Q37" s="54">
        <v>0.1404</v>
      </c>
      <c r="R37" s="48"/>
      <c r="S37" s="54">
        <v>0.1326</v>
      </c>
      <c r="T37" s="48"/>
      <c r="U37" s="48"/>
      <c r="V37" s="39"/>
      <c r="W37" s="48"/>
      <c r="X37" s="39"/>
      <c r="Y37" s="48"/>
      <c r="Z37" s="48"/>
    </row>
    <row r="38" spans="1:26">
      <c r="A38" s="42">
        <f t="shared" si="3"/>
        <v>15</v>
      </c>
      <c r="B38" s="44">
        <f t="shared" si="4"/>
        <v>2520000.0099999998</v>
      </c>
      <c r="C38" s="44">
        <f t="shared" si="5"/>
        <v>2700000</v>
      </c>
      <c r="D38" s="45"/>
      <c r="E38" s="54">
        <v>0.20699999999999999</v>
      </c>
      <c r="F38" s="48"/>
      <c r="G38" s="54">
        <v>0.193</v>
      </c>
      <c r="H38" s="48"/>
      <c r="I38" s="54">
        <v>0.17449999999999999</v>
      </c>
      <c r="J38" s="48"/>
      <c r="K38" s="54">
        <v>0.16239999999999999</v>
      </c>
      <c r="L38" s="48"/>
      <c r="M38" s="54">
        <v>0.16</v>
      </c>
      <c r="N38" s="39"/>
      <c r="O38" s="54">
        <v>0.1552</v>
      </c>
      <c r="P38" s="55"/>
      <c r="Q38" s="54">
        <v>0.15029999999999999</v>
      </c>
      <c r="R38" s="48"/>
      <c r="S38" s="54">
        <v>0.1429</v>
      </c>
      <c r="T38" s="48"/>
      <c r="U38" s="48"/>
      <c r="V38" s="39"/>
      <c r="W38" s="48"/>
      <c r="X38" s="39"/>
      <c r="Y38" s="48"/>
      <c r="Z38" s="48"/>
    </row>
    <row r="39" spans="1:26">
      <c r="A39" s="42">
        <f t="shared" si="3"/>
        <v>16</v>
      </c>
      <c r="B39" s="44">
        <f t="shared" si="4"/>
        <v>2700000.01</v>
      </c>
      <c r="C39" s="44">
        <f t="shared" si="5"/>
        <v>2880000</v>
      </c>
      <c r="D39" s="45"/>
      <c r="E39" s="54">
        <v>0.21199999999999999</v>
      </c>
      <c r="F39" s="48"/>
      <c r="G39" s="54">
        <v>0.2</v>
      </c>
      <c r="H39" s="48"/>
      <c r="I39" s="54">
        <v>0.182</v>
      </c>
      <c r="J39" s="48"/>
      <c r="K39" s="54">
        <v>0.1691</v>
      </c>
      <c r="L39" s="48"/>
      <c r="M39" s="54">
        <v>0.16719999999999999</v>
      </c>
      <c r="N39" s="39"/>
      <c r="O39" s="54">
        <v>0.16320000000000001</v>
      </c>
      <c r="P39" s="55"/>
      <c r="Q39" s="54">
        <v>0.1593</v>
      </c>
      <c r="R39" s="48"/>
      <c r="S39" s="54">
        <v>0.15229999999999999</v>
      </c>
      <c r="T39" s="48"/>
      <c r="U39" s="48"/>
      <c r="V39" s="39"/>
      <c r="W39" s="48"/>
      <c r="X39" s="39"/>
      <c r="Y39" s="48"/>
      <c r="Z39" s="48"/>
    </row>
    <row r="40" spans="1:26">
      <c r="A40" s="42">
        <f t="shared" si="3"/>
        <v>17</v>
      </c>
      <c r="B40" s="44">
        <f t="shared" si="4"/>
        <v>2880000.01</v>
      </c>
      <c r="C40" s="44">
        <f t="shared" si="5"/>
        <v>3060000</v>
      </c>
      <c r="D40" s="45"/>
      <c r="E40" s="54">
        <v>0.217</v>
      </c>
      <c r="F40" s="48"/>
      <c r="G40" s="54">
        <v>0.20499999999999999</v>
      </c>
      <c r="H40" s="48"/>
      <c r="I40" s="54">
        <v>0.187</v>
      </c>
      <c r="J40" s="48"/>
      <c r="K40" s="54">
        <v>0.17399999999999999</v>
      </c>
      <c r="L40" s="48"/>
      <c r="M40" s="54">
        <v>0.17130000000000001</v>
      </c>
      <c r="N40" s="39"/>
      <c r="O40" s="54">
        <v>0.16819999999999999</v>
      </c>
      <c r="P40" s="55"/>
      <c r="Q40" s="54">
        <v>0.1638</v>
      </c>
      <c r="R40" s="48"/>
      <c r="S40" s="54">
        <v>0.16170000000000001</v>
      </c>
      <c r="T40" s="48"/>
      <c r="U40" s="48"/>
      <c r="V40" s="39"/>
      <c r="W40" s="48"/>
      <c r="X40" s="39"/>
      <c r="Y40" s="48"/>
      <c r="Z40" s="48"/>
    </row>
    <row r="41" spans="1:26">
      <c r="A41" s="42">
        <f t="shared" si="3"/>
        <v>18</v>
      </c>
      <c r="B41" s="44">
        <f t="shared" si="4"/>
        <v>3060000.01</v>
      </c>
      <c r="C41" s="44">
        <f t="shared" si="5"/>
        <v>3240000</v>
      </c>
      <c r="D41" s="45"/>
      <c r="E41" s="54">
        <v>0.222</v>
      </c>
      <c r="F41" s="48"/>
      <c r="G41" s="54">
        <v>0.20899999999999999</v>
      </c>
      <c r="H41" s="48"/>
      <c r="I41" s="54">
        <v>0.191</v>
      </c>
      <c r="J41" s="48"/>
      <c r="K41" s="54">
        <v>0.17799999999999999</v>
      </c>
      <c r="L41" s="48"/>
      <c r="M41" s="54">
        <v>0.17549999999999999</v>
      </c>
      <c r="N41" s="39"/>
      <c r="O41" s="54">
        <v>0.17219999999999999</v>
      </c>
      <c r="P41" s="55"/>
      <c r="Q41" s="54">
        <v>0.16819999999999999</v>
      </c>
      <c r="R41" s="48"/>
      <c r="S41" s="54">
        <v>0.1651</v>
      </c>
      <c r="T41" s="48"/>
      <c r="U41" s="48"/>
      <c r="V41" s="39"/>
      <c r="W41" s="48"/>
      <c r="X41" s="39"/>
      <c r="Y41" s="48"/>
      <c r="Z41" s="48"/>
    </row>
    <row r="42" spans="1:26">
      <c r="A42" s="42">
        <f t="shared" si="3"/>
        <v>19</v>
      </c>
      <c r="B42" s="44">
        <f t="shared" si="4"/>
        <v>3240000.01</v>
      </c>
      <c r="C42" s="44">
        <f t="shared" si="5"/>
        <v>3420000</v>
      </c>
      <c r="D42" s="45"/>
      <c r="E42" s="54">
        <v>0.22500000000000001</v>
      </c>
      <c r="F42" s="48"/>
      <c r="G42" s="54">
        <v>0.21299999999999999</v>
      </c>
      <c r="H42" s="48"/>
      <c r="I42" s="54">
        <v>0.19500000000000001</v>
      </c>
      <c r="J42" s="48"/>
      <c r="K42" s="54">
        <v>0.182</v>
      </c>
      <c r="L42" s="48"/>
      <c r="M42" s="54">
        <v>0.1797</v>
      </c>
      <c r="N42" s="39"/>
      <c r="O42" s="54">
        <v>0.1744</v>
      </c>
      <c r="P42" s="55"/>
      <c r="Q42" s="54">
        <v>0.1721</v>
      </c>
      <c r="R42" s="48"/>
      <c r="S42" s="54">
        <v>0.1694</v>
      </c>
      <c r="T42" s="48"/>
      <c r="U42" s="48"/>
      <c r="V42" s="39"/>
      <c r="W42" s="48"/>
      <c r="X42" s="39"/>
      <c r="Y42" s="48"/>
      <c r="Z42" s="48"/>
    </row>
    <row r="43" spans="1:26">
      <c r="A43" s="42">
        <f t="shared" si="3"/>
        <v>20</v>
      </c>
      <c r="B43" s="44">
        <f t="shared" si="4"/>
        <v>3420000.01</v>
      </c>
      <c r="C43" s="44">
        <f t="shared" si="5"/>
        <v>3600000</v>
      </c>
      <c r="D43" s="45"/>
      <c r="E43" s="54">
        <v>0.22900000000000001</v>
      </c>
      <c r="F43" s="48"/>
      <c r="G43" s="54">
        <v>0.218</v>
      </c>
      <c r="H43" s="48"/>
      <c r="I43" s="54">
        <v>0.2</v>
      </c>
      <c r="J43" s="48"/>
      <c r="K43" s="54">
        <v>0.186</v>
      </c>
      <c r="L43" s="48"/>
      <c r="M43" s="54">
        <v>0.184</v>
      </c>
      <c r="N43" s="39"/>
      <c r="O43" s="54">
        <v>0.17849999999999999</v>
      </c>
      <c r="P43" s="55"/>
      <c r="Q43" s="54">
        <v>0.17599999999999999</v>
      </c>
      <c r="R43" s="48"/>
      <c r="S43" s="54">
        <v>0.17180000000000001</v>
      </c>
      <c r="T43" s="48"/>
      <c r="U43" s="48"/>
      <c r="V43" s="39"/>
      <c r="W43" s="48"/>
      <c r="X43" s="39"/>
      <c r="Y43" s="48"/>
      <c r="Z43" s="48"/>
    </row>
    <row r="44" spans="1:26">
      <c r="A44" s="57" t="s">
        <v>28</v>
      </c>
    </row>
    <row r="45" spans="1:26">
      <c r="A45" s="59" t="s">
        <v>29</v>
      </c>
    </row>
    <row r="46" spans="1:26">
      <c r="A46" s="331" t="s">
        <v>30</v>
      </c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1"/>
    </row>
    <row r="52" spans="9:9">
      <c r="I52" s="60"/>
    </row>
    <row r="54" spans="9:9">
      <c r="I54" s="60"/>
    </row>
  </sheetData>
  <mergeCells count="3">
    <mergeCell ref="B1:C1"/>
    <mergeCell ref="B23:C23"/>
    <mergeCell ref="A46:Z46"/>
  </mergeCells>
  <printOptions horizontalCentered="1"/>
  <pageMargins left="0" right="0" top="0.31496062992125984" bottom="0" header="0" footer="0"/>
  <pageSetup paperSize="9" scale="80" pageOrder="overThenDown" orientation="landscape" r:id="rId1"/>
  <headerFooter alignWithMargins="0">
    <oddHeader xml:space="preserve">&amp;RSIMPLES NACIONAL - LEI COMPLEMENTAR 123 14/12/2006.
Vigência até 31/12/2017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C1:S39"/>
  <sheetViews>
    <sheetView showGridLines="0" workbookViewId="0"/>
  </sheetViews>
  <sheetFormatPr defaultRowHeight="12.75"/>
  <cols>
    <col min="1" max="1" width="9" style="1" customWidth="1"/>
    <col min="2" max="2" width="2" style="1" bestFit="1" customWidth="1"/>
    <col min="3" max="4" width="12.85546875" style="6" bestFit="1" customWidth="1"/>
    <col min="5" max="5" width="7.7109375" style="5" bestFit="1" customWidth="1"/>
    <col min="6" max="6" width="11.28515625" style="6" bestFit="1" customWidth="1"/>
    <col min="7" max="7" width="2.7109375" style="1" customWidth="1"/>
    <col min="8" max="8" width="9.42578125" style="25" bestFit="1" customWidth="1"/>
    <col min="9" max="9" width="12.85546875" style="3" bestFit="1" customWidth="1"/>
    <col min="10" max="10" width="3.7109375" style="13" customWidth="1"/>
    <col min="11" max="11" width="11.28515625" style="1" bestFit="1" customWidth="1"/>
    <col min="12" max="12" width="12.85546875" style="1" bestFit="1" customWidth="1"/>
    <col min="13" max="13" width="1.7109375" style="7" customWidth="1"/>
    <col min="14" max="14" width="7.7109375" style="1" bestFit="1" customWidth="1"/>
    <col min="15" max="15" width="10.28515625" style="1" bestFit="1" customWidth="1"/>
    <col min="16" max="16" width="9.140625" style="1" bestFit="1" customWidth="1"/>
    <col min="17" max="18" width="9.140625" style="1"/>
    <col min="19" max="19" width="15.85546875" style="1" bestFit="1" customWidth="1"/>
    <col min="20" max="16384" width="9.140625" style="1"/>
  </cols>
  <sheetData>
    <row r="1" spans="19:19">
      <c r="S1" s="66">
        <v>800000</v>
      </c>
    </row>
    <row r="2" spans="19:19">
      <c r="S2" s="8">
        <v>0.112</v>
      </c>
    </row>
    <row r="3" spans="19:19" s="2" customFormat="1">
      <c r="S3" s="66">
        <f>S1*S2</f>
        <v>89600</v>
      </c>
    </row>
    <row r="4" spans="19:19">
      <c r="S4" s="66">
        <v>22500</v>
      </c>
    </row>
    <row r="5" spans="19:19">
      <c r="S5" s="66">
        <f>S3-S4</f>
        <v>67100</v>
      </c>
    </row>
    <row r="6" spans="19:19">
      <c r="S6" s="66">
        <v>800000</v>
      </c>
    </row>
    <row r="7" spans="19:19">
      <c r="S7" s="67">
        <f>S5/S6</f>
        <v>8.3875000000000005E-2</v>
      </c>
    </row>
    <row r="8" spans="19:19">
      <c r="S8" s="66">
        <v>30000</v>
      </c>
    </row>
    <row r="9" spans="19:19">
      <c r="S9" s="68">
        <f>S8*S7</f>
        <v>2516.25</v>
      </c>
    </row>
    <row r="18" spans="8:16">
      <c r="M18" s="9"/>
    </row>
    <row r="19" spans="8:16">
      <c r="M19" s="9"/>
      <c r="N19" s="61"/>
      <c r="O19" s="61"/>
      <c r="P19" s="61"/>
    </row>
    <row r="20" spans="8:16">
      <c r="M20" s="10"/>
      <c r="N20" s="332"/>
      <c r="O20" s="332"/>
      <c r="P20" s="332"/>
    </row>
    <row r="21" spans="8:16">
      <c r="M21" s="9"/>
      <c r="N21" s="62"/>
      <c r="O21" s="62"/>
      <c r="P21" s="63"/>
    </row>
    <row r="22" spans="8:16">
      <c r="M22" s="11"/>
      <c r="N22" s="64"/>
      <c r="O22" s="11"/>
      <c r="P22" s="64"/>
    </row>
    <row r="23" spans="8:16">
      <c r="M23" s="9"/>
    </row>
    <row r="24" spans="8:16">
      <c r="H24" s="27"/>
      <c r="P24" s="31"/>
    </row>
    <row r="32" spans="8:16">
      <c r="H32" s="27"/>
    </row>
    <row r="34" spans="13:13">
      <c r="M34" s="9"/>
    </row>
    <row r="35" spans="13:13">
      <c r="M35" s="9"/>
    </row>
    <row r="36" spans="13:13">
      <c r="M36" s="10"/>
    </row>
    <row r="37" spans="13:13">
      <c r="M37" s="9"/>
    </row>
    <row r="38" spans="13:13">
      <c r="M38" s="11"/>
    </row>
    <row r="39" spans="13:13">
      <c r="M39" s="9"/>
    </row>
  </sheetData>
  <mergeCells count="1">
    <mergeCell ref="N20:P20"/>
  </mergeCells>
  <conditionalFormatting sqref="P22">
    <cfRule type="cellIs" dxfId="1" priority="7" operator="greaterThan">
      <formula>0</formula>
    </cfRule>
    <cfRule type="cellIs" dxfId="0" priority="8" operator="greaterThan">
      <formula>0</formula>
    </cfRule>
  </conditionalFormatting>
  <printOptions horizontalCentered="1"/>
  <pageMargins left="0" right="0" top="0.78740157480314965" bottom="0.39370078740157483" header="0.31496062992125984" footer="0.31496062992125984"/>
  <pageSetup paperSize="9" pageOrder="overThenDown" orientation="landscape" horizontalDpi="4294967293" verticalDpi="4294967293" r:id="rId1"/>
  <headerFooter>
    <oddHeader>&amp;CSIMPLES NACIONAL - LEI COMPLEMENTAR 123 14/12/2006.
Vigência a partir de 01/01/2018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ANEXO I</vt:lpstr>
      <vt:lpstr>ANEXO II</vt:lpstr>
      <vt:lpstr>ANEXO III</vt:lpstr>
      <vt:lpstr>ANEXO IV</vt:lpstr>
      <vt:lpstr>ANEXO V</vt:lpstr>
      <vt:lpstr>SUBLIMITES PARA ICMS E ISS</vt:lpstr>
      <vt:lpstr>Tabelas 2017</vt:lpstr>
      <vt:lpstr>Cálculo 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PC1</cp:lastModifiedBy>
  <cp:lastPrinted>2019-08-05T14:10:18Z</cp:lastPrinted>
  <dcterms:created xsi:type="dcterms:W3CDTF">2016-12-19T14:55:06Z</dcterms:created>
  <dcterms:modified xsi:type="dcterms:W3CDTF">2019-11-18T20:59:51Z</dcterms:modified>
</cp:coreProperties>
</file>