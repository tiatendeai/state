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1ed\AC\Temp\"/>
    </mc:Choice>
  </mc:AlternateContent>
  <xr:revisionPtr revIDLastSave="0" documentId="8_{5756D120-9E66-9143-80D0-7C09BD9A3EFD}" xr6:coauthVersionLast="36" xr6:coauthVersionMax="36" xr10:uidLastSave="{00000000-0000-0000-0000-000000000000}"/>
  <bookViews>
    <workbookView xWindow="240" yWindow="135" windowWidth="19155" windowHeight="9015" xr2:uid="{00000000-000D-0000-FFFF-FFFF00000000}"/>
  </bookViews>
  <sheets>
    <sheet name="INSTRUÇÕES" sheetId="3" r:id="rId1"/>
    <sheet name="CALCULO" sheetId="1" r:id="rId2"/>
  </sheets>
  <definedNames>
    <definedName name="_xlnm.Print_Area" localSheetId="1">CALCULO!$A$1:$Q$506</definedName>
  </definedNames>
  <calcPr calcId="179020"/>
</workbook>
</file>

<file path=xl/calcChain.xml><?xml version="1.0" encoding="utf-8"?>
<calcChain xmlns="http://schemas.openxmlformats.org/spreadsheetml/2006/main">
  <c r="P6" i="1" l="1"/>
  <c r="P14" i="1"/>
  <c r="Q6" i="1"/>
  <c r="P5" i="1"/>
  <c r="I39" i="1"/>
  <c r="L39" i="1"/>
  <c r="I71" i="1"/>
  <c r="L71" i="1"/>
  <c r="I103" i="1"/>
  <c r="L103" i="1"/>
  <c r="I135" i="1"/>
  <c r="L135" i="1"/>
  <c r="I167" i="1"/>
  <c r="L167" i="1"/>
  <c r="I199" i="1"/>
  <c r="L199" i="1"/>
  <c r="I207" i="1"/>
  <c r="L207" i="1"/>
  <c r="I215" i="1"/>
  <c r="L215" i="1"/>
  <c r="I223" i="1"/>
  <c r="L223" i="1"/>
  <c r="I231" i="1"/>
  <c r="L231" i="1"/>
  <c r="I239" i="1"/>
  <c r="L239" i="1"/>
  <c r="I247" i="1"/>
  <c r="L247" i="1"/>
  <c r="I255" i="1"/>
  <c r="L255" i="1"/>
  <c r="I263" i="1"/>
  <c r="L263" i="1"/>
  <c r="I271" i="1"/>
  <c r="L271" i="1"/>
  <c r="I279" i="1"/>
  <c r="L279" i="1"/>
  <c r="I287" i="1"/>
  <c r="L287" i="1"/>
  <c r="I295" i="1"/>
  <c r="L295" i="1"/>
  <c r="I303" i="1"/>
  <c r="L303" i="1"/>
  <c r="I311" i="1"/>
  <c r="L311" i="1"/>
  <c r="I319" i="1"/>
  <c r="L319" i="1"/>
  <c r="I327" i="1"/>
  <c r="L327" i="1"/>
  <c r="I335" i="1"/>
  <c r="L335" i="1"/>
  <c r="I343" i="1"/>
  <c r="L343" i="1"/>
  <c r="I384" i="1"/>
  <c r="L384" i="1"/>
  <c r="I388" i="1"/>
  <c r="L388" i="1"/>
  <c r="I392" i="1"/>
  <c r="L392" i="1"/>
  <c r="I400" i="1"/>
  <c r="L400" i="1"/>
  <c r="I416" i="1"/>
  <c r="L416" i="1"/>
  <c r="I448" i="1"/>
  <c r="L448" i="1"/>
  <c r="I480" i="1"/>
  <c r="L480" i="1"/>
  <c r="F12" i="1"/>
  <c r="G12" i="1"/>
  <c r="H12" i="1"/>
  <c r="F13" i="1"/>
  <c r="F14" i="1"/>
  <c r="F15" i="1"/>
  <c r="G13" i="1"/>
  <c r="G14" i="1"/>
  <c r="G15" i="1"/>
  <c r="H13" i="1"/>
  <c r="I13" i="1"/>
  <c r="L13" i="1"/>
  <c r="H14" i="1"/>
  <c r="H15" i="1"/>
  <c r="F16" i="1"/>
  <c r="F17" i="1"/>
  <c r="G16" i="1"/>
  <c r="G17" i="1"/>
  <c r="H16" i="1"/>
  <c r="H17" i="1"/>
  <c r="F18" i="1"/>
  <c r="G18" i="1"/>
  <c r="H18" i="1"/>
  <c r="F19" i="1"/>
  <c r="G19" i="1"/>
  <c r="H19" i="1"/>
  <c r="F20" i="1"/>
  <c r="F21" i="1"/>
  <c r="I20" i="1"/>
  <c r="L20" i="1"/>
  <c r="G20" i="1"/>
  <c r="G21" i="1"/>
  <c r="H20" i="1"/>
  <c r="H21" i="1"/>
  <c r="F22" i="1"/>
  <c r="G22" i="1"/>
  <c r="I22" i="1"/>
  <c r="H22" i="1"/>
  <c r="F23" i="1"/>
  <c r="G23" i="1"/>
  <c r="I23" i="1"/>
  <c r="H23" i="1"/>
  <c r="F24" i="1"/>
  <c r="G24" i="1"/>
  <c r="H24" i="1"/>
  <c r="F25" i="1"/>
  <c r="G25" i="1"/>
  <c r="H25" i="1"/>
  <c r="P15" i="1"/>
  <c r="H6" i="1"/>
  <c r="H8" i="1"/>
  <c r="H9" i="1"/>
  <c r="H10" i="1"/>
  <c r="H11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7" i="1"/>
  <c r="F207" i="1"/>
  <c r="G207" i="1"/>
  <c r="J207" i="1"/>
  <c r="F208" i="1"/>
  <c r="G208" i="1"/>
  <c r="I208" i="1"/>
  <c r="L208" i="1"/>
  <c r="J208" i="1"/>
  <c r="F209" i="1"/>
  <c r="G209" i="1"/>
  <c r="I209" i="1"/>
  <c r="L209" i="1"/>
  <c r="J209" i="1"/>
  <c r="F210" i="1"/>
  <c r="G210" i="1"/>
  <c r="I210" i="1"/>
  <c r="L210" i="1"/>
  <c r="J210" i="1"/>
  <c r="F211" i="1"/>
  <c r="G211" i="1"/>
  <c r="I211" i="1"/>
  <c r="L211" i="1"/>
  <c r="J211" i="1"/>
  <c r="F212" i="1"/>
  <c r="G212" i="1"/>
  <c r="I212" i="1"/>
  <c r="L212" i="1"/>
  <c r="J212" i="1"/>
  <c r="F213" i="1"/>
  <c r="G213" i="1"/>
  <c r="I213" i="1"/>
  <c r="L213" i="1"/>
  <c r="J213" i="1"/>
  <c r="F214" i="1"/>
  <c r="G214" i="1"/>
  <c r="I214" i="1"/>
  <c r="L214" i="1"/>
  <c r="J214" i="1"/>
  <c r="F215" i="1"/>
  <c r="G215" i="1"/>
  <c r="J215" i="1"/>
  <c r="F216" i="1"/>
  <c r="G216" i="1"/>
  <c r="I216" i="1"/>
  <c r="L216" i="1"/>
  <c r="J216" i="1"/>
  <c r="F217" i="1"/>
  <c r="G217" i="1"/>
  <c r="I217" i="1"/>
  <c r="L217" i="1"/>
  <c r="J217" i="1"/>
  <c r="F218" i="1"/>
  <c r="G218" i="1"/>
  <c r="I218" i="1"/>
  <c r="L218" i="1"/>
  <c r="J218" i="1"/>
  <c r="F219" i="1"/>
  <c r="G219" i="1"/>
  <c r="I219" i="1"/>
  <c r="L219" i="1"/>
  <c r="J219" i="1"/>
  <c r="F220" i="1"/>
  <c r="G220" i="1"/>
  <c r="I220" i="1"/>
  <c r="L220" i="1"/>
  <c r="J220" i="1"/>
  <c r="F221" i="1"/>
  <c r="G221" i="1"/>
  <c r="I221" i="1"/>
  <c r="L221" i="1"/>
  <c r="J221" i="1"/>
  <c r="F222" i="1"/>
  <c r="G222" i="1"/>
  <c r="I222" i="1"/>
  <c r="L222" i="1"/>
  <c r="J222" i="1"/>
  <c r="F223" i="1"/>
  <c r="G223" i="1"/>
  <c r="J223" i="1"/>
  <c r="F224" i="1"/>
  <c r="G224" i="1"/>
  <c r="I224" i="1"/>
  <c r="L224" i="1"/>
  <c r="J224" i="1"/>
  <c r="F225" i="1"/>
  <c r="G225" i="1"/>
  <c r="I225" i="1"/>
  <c r="L225" i="1"/>
  <c r="J225" i="1"/>
  <c r="F226" i="1"/>
  <c r="G226" i="1"/>
  <c r="I226" i="1"/>
  <c r="L226" i="1"/>
  <c r="J226" i="1"/>
  <c r="F227" i="1"/>
  <c r="G227" i="1"/>
  <c r="I227" i="1"/>
  <c r="L227" i="1"/>
  <c r="J227" i="1"/>
  <c r="F228" i="1"/>
  <c r="G228" i="1"/>
  <c r="I228" i="1"/>
  <c r="L228" i="1"/>
  <c r="J228" i="1"/>
  <c r="F229" i="1"/>
  <c r="G229" i="1"/>
  <c r="I229" i="1"/>
  <c r="L229" i="1"/>
  <c r="J229" i="1"/>
  <c r="F230" i="1"/>
  <c r="G230" i="1"/>
  <c r="I230" i="1"/>
  <c r="L230" i="1"/>
  <c r="J230" i="1"/>
  <c r="F231" i="1"/>
  <c r="G231" i="1"/>
  <c r="J231" i="1"/>
  <c r="F232" i="1"/>
  <c r="G232" i="1"/>
  <c r="I232" i="1"/>
  <c r="L232" i="1"/>
  <c r="J232" i="1"/>
  <c r="F233" i="1"/>
  <c r="G233" i="1"/>
  <c r="I233" i="1"/>
  <c r="L233" i="1"/>
  <c r="J233" i="1"/>
  <c r="F234" i="1"/>
  <c r="G234" i="1"/>
  <c r="I234" i="1"/>
  <c r="L234" i="1"/>
  <c r="J234" i="1"/>
  <c r="F235" i="1"/>
  <c r="G235" i="1"/>
  <c r="I235" i="1"/>
  <c r="L235" i="1"/>
  <c r="J235" i="1"/>
  <c r="F236" i="1"/>
  <c r="G236" i="1"/>
  <c r="I236" i="1"/>
  <c r="L236" i="1"/>
  <c r="J236" i="1"/>
  <c r="F237" i="1"/>
  <c r="G237" i="1"/>
  <c r="I237" i="1"/>
  <c r="L237" i="1"/>
  <c r="J237" i="1"/>
  <c r="F238" i="1"/>
  <c r="G238" i="1"/>
  <c r="I238" i="1"/>
  <c r="L238" i="1"/>
  <c r="J238" i="1"/>
  <c r="F239" i="1"/>
  <c r="G239" i="1"/>
  <c r="J239" i="1"/>
  <c r="F240" i="1"/>
  <c r="G240" i="1"/>
  <c r="I240" i="1"/>
  <c r="L240" i="1"/>
  <c r="J240" i="1"/>
  <c r="F241" i="1"/>
  <c r="G241" i="1"/>
  <c r="I241" i="1"/>
  <c r="L241" i="1"/>
  <c r="F242" i="1"/>
  <c r="G242" i="1"/>
  <c r="I242" i="1"/>
  <c r="L242" i="1"/>
  <c r="F243" i="1"/>
  <c r="G243" i="1"/>
  <c r="I243" i="1"/>
  <c r="L243" i="1"/>
  <c r="F244" i="1"/>
  <c r="G244" i="1"/>
  <c r="I244" i="1"/>
  <c r="L244" i="1"/>
  <c r="F245" i="1"/>
  <c r="G245" i="1"/>
  <c r="I245" i="1"/>
  <c r="L245" i="1"/>
  <c r="F246" i="1"/>
  <c r="G246" i="1"/>
  <c r="I246" i="1"/>
  <c r="L246" i="1"/>
  <c r="F247" i="1"/>
  <c r="G247" i="1"/>
  <c r="F248" i="1"/>
  <c r="G248" i="1"/>
  <c r="I248" i="1"/>
  <c r="L248" i="1"/>
  <c r="F249" i="1"/>
  <c r="G249" i="1"/>
  <c r="I249" i="1"/>
  <c r="L249" i="1"/>
  <c r="F250" i="1"/>
  <c r="G250" i="1"/>
  <c r="I250" i="1"/>
  <c r="L250" i="1"/>
  <c r="F251" i="1"/>
  <c r="G251" i="1"/>
  <c r="I251" i="1"/>
  <c r="L251" i="1"/>
  <c r="F252" i="1"/>
  <c r="G252" i="1"/>
  <c r="I252" i="1"/>
  <c r="L252" i="1"/>
  <c r="F253" i="1"/>
  <c r="G253" i="1"/>
  <c r="I253" i="1"/>
  <c r="L253" i="1"/>
  <c r="F254" i="1"/>
  <c r="G254" i="1"/>
  <c r="I254" i="1"/>
  <c r="L254" i="1"/>
  <c r="F255" i="1"/>
  <c r="G255" i="1"/>
  <c r="F256" i="1"/>
  <c r="G256" i="1"/>
  <c r="I256" i="1"/>
  <c r="L256" i="1"/>
  <c r="F257" i="1"/>
  <c r="G257" i="1"/>
  <c r="I257" i="1"/>
  <c r="L257" i="1"/>
  <c r="F258" i="1"/>
  <c r="G258" i="1"/>
  <c r="I258" i="1"/>
  <c r="L258" i="1"/>
  <c r="F259" i="1"/>
  <c r="G259" i="1"/>
  <c r="I259" i="1"/>
  <c r="L259" i="1"/>
  <c r="F260" i="1"/>
  <c r="G260" i="1"/>
  <c r="I260" i="1"/>
  <c r="L260" i="1"/>
  <c r="F261" i="1"/>
  <c r="G261" i="1"/>
  <c r="I261" i="1"/>
  <c r="L261" i="1"/>
  <c r="F262" i="1"/>
  <c r="G262" i="1"/>
  <c r="I262" i="1"/>
  <c r="L262" i="1"/>
  <c r="F263" i="1"/>
  <c r="G263" i="1"/>
  <c r="F264" i="1"/>
  <c r="G264" i="1"/>
  <c r="I264" i="1"/>
  <c r="L264" i="1"/>
  <c r="F265" i="1"/>
  <c r="G265" i="1"/>
  <c r="I265" i="1"/>
  <c r="L265" i="1"/>
  <c r="F266" i="1"/>
  <c r="G266" i="1"/>
  <c r="I266" i="1"/>
  <c r="L266" i="1"/>
  <c r="F267" i="1"/>
  <c r="G267" i="1"/>
  <c r="I267" i="1"/>
  <c r="L267" i="1"/>
  <c r="F268" i="1"/>
  <c r="G268" i="1"/>
  <c r="I268" i="1"/>
  <c r="L268" i="1"/>
  <c r="F269" i="1"/>
  <c r="G269" i="1"/>
  <c r="I269" i="1"/>
  <c r="L269" i="1"/>
  <c r="F270" i="1"/>
  <c r="G270" i="1"/>
  <c r="I270" i="1"/>
  <c r="L270" i="1"/>
  <c r="F271" i="1"/>
  <c r="G271" i="1"/>
  <c r="F272" i="1"/>
  <c r="G272" i="1"/>
  <c r="I272" i="1"/>
  <c r="L272" i="1"/>
  <c r="F273" i="1"/>
  <c r="G273" i="1"/>
  <c r="I273" i="1"/>
  <c r="L273" i="1"/>
  <c r="F274" i="1"/>
  <c r="G274" i="1"/>
  <c r="I274" i="1"/>
  <c r="L274" i="1"/>
  <c r="F275" i="1"/>
  <c r="G275" i="1"/>
  <c r="I275" i="1"/>
  <c r="L275" i="1"/>
  <c r="F276" i="1"/>
  <c r="G276" i="1"/>
  <c r="I276" i="1"/>
  <c r="L276" i="1"/>
  <c r="F277" i="1"/>
  <c r="G277" i="1"/>
  <c r="I277" i="1"/>
  <c r="L277" i="1"/>
  <c r="F278" i="1"/>
  <c r="G278" i="1"/>
  <c r="I278" i="1"/>
  <c r="L278" i="1"/>
  <c r="F279" i="1"/>
  <c r="G279" i="1"/>
  <c r="F280" i="1"/>
  <c r="G280" i="1"/>
  <c r="I280" i="1"/>
  <c r="L280" i="1"/>
  <c r="F281" i="1"/>
  <c r="G281" i="1"/>
  <c r="I281" i="1"/>
  <c r="L281" i="1"/>
  <c r="F282" i="1"/>
  <c r="G282" i="1"/>
  <c r="I282" i="1"/>
  <c r="L282" i="1"/>
  <c r="F283" i="1"/>
  <c r="G283" i="1"/>
  <c r="I283" i="1"/>
  <c r="L283" i="1"/>
  <c r="F284" i="1"/>
  <c r="G284" i="1"/>
  <c r="I284" i="1"/>
  <c r="L284" i="1"/>
  <c r="F285" i="1"/>
  <c r="G285" i="1"/>
  <c r="I285" i="1"/>
  <c r="L285" i="1"/>
  <c r="F286" i="1"/>
  <c r="G286" i="1"/>
  <c r="I286" i="1"/>
  <c r="L286" i="1"/>
  <c r="F287" i="1"/>
  <c r="G287" i="1"/>
  <c r="F288" i="1"/>
  <c r="G288" i="1"/>
  <c r="I288" i="1"/>
  <c r="L288" i="1"/>
  <c r="F289" i="1"/>
  <c r="G289" i="1"/>
  <c r="I289" i="1"/>
  <c r="L289" i="1"/>
  <c r="F290" i="1"/>
  <c r="G290" i="1"/>
  <c r="I290" i="1"/>
  <c r="L290" i="1"/>
  <c r="F291" i="1"/>
  <c r="G291" i="1"/>
  <c r="I291" i="1"/>
  <c r="L291" i="1"/>
  <c r="F292" i="1"/>
  <c r="G292" i="1"/>
  <c r="I292" i="1"/>
  <c r="L292" i="1"/>
  <c r="F293" i="1"/>
  <c r="G293" i="1"/>
  <c r="I293" i="1"/>
  <c r="L293" i="1"/>
  <c r="F294" i="1"/>
  <c r="G294" i="1"/>
  <c r="I294" i="1"/>
  <c r="L294" i="1"/>
  <c r="F295" i="1"/>
  <c r="G295" i="1"/>
  <c r="F296" i="1"/>
  <c r="G296" i="1"/>
  <c r="I296" i="1"/>
  <c r="L296" i="1"/>
  <c r="F297" i="1"/>
  <c r="G297" i="1"/>
  <c r="I297" i="1"/>
  <c r="L297" i="1"/>
  <c r="F298" i="1"/>
  <c r="G298" i="1"/>
  <c r="I298" i="1"/>
  <c r="L298" i="1"/>
  <c r="F299" i="1"/>
  <c r="G299" i="1"/>
  <c r="I299" i="1"/>
  <c r="L299" i="1"/>
  <c r="F300" i="1"/>
  <c r="G300" i="1"/>
  <c r="I300" i="1"/>
  <c r="L300" i="1"/>
  <c r="F301" i="1"/>
  <c r="G301" i="1"/>
  <c r="I301" i="1"/>
  <c r="L301" i="1"/>
  <c r="F302" i="1"/>
  <c r="G302" i="1"/>
  <c r="I302" i="1"/>
  <c r="L302" i="1"/>
  <c r="F303" i="1"/>
  <c r="G303" i="1"/>
  <c r="F304" i="1"/>
  <c r="G304" i="1"/>
  <c r="I304" i="1"/>
  <c r="L304" i="1"/>
  <c r="F305" i="1"/>
  <c r="G305" i="1"/>
  <c r="I305" i="1"/>
  <c r="L305" i="1"/>
  <c r="F306" i="1"/>
  <c r="G306" i="1"/>
  <c r="I306" i="1"/>
  <c r="L306" i="1"/>
  <c r="F307" i="1"/>
  <c r="G307" i="1"/>
  <c r="I307" i="1"/>
  <c r="L307" i="1"/>
  <c r="F308" i="1"/>
  <c r="G308" i="1"/>
  <c r="I308" i="1"/>
  <c r="L308" i="1"/>
  <c r="F309" i="1"/>
  <c r="G309" i="1"/>
  <c r="I309" i="1"/>
  <c r="L309" i="1"/>
  <c r="F310" i="1"/>
  <c r="G310" i="1"/>
  <c r="I310" i="1"/>
  <c r="L310" i="1"/>
  <c r="F311" i="1"/>
  <c r="G311" i="1"/>
  <c r="F312" i="1"/>
  <c r="G312" i="1"/>
  <c r="I312" i="1"/>
  <c r="F313" i="1"/>
  <c r="G313" i="1"/>
  <c r="I313" i="1"/>
  <c r="L313" i="1"/>
  <c r="F314" i="1"/>
  <c r="G314" i="1"/>
  <c r="I314" i="1"/>
  <c r="L314" i="1"/>
  <c r="F315" i="1"/>
  <c r="G315" i="1"/>
  <c r="I315" i="1"/>
  <c r="L315" i="1"/>
  <c r="F316" i="1"/>
  <c r="G316" i="1"/>
  <c r="I316" i="1"/>
  <c r="F317" i="1"/>
  <c r="G317" i="1"/>
  <c r="I317" i="1"/>
  <c r="L317" i="1"/>
  <c r="F318" i="1"/>
  <c r="G318" i="1"/>
  <c r="I318" i="1"/>
  <c r="L318" i="1"/>
  <c r="F319" i="1"/>
  <c r="G319" i="1"/>
  <c r="F320" i="1"/>
  <c r="G320" i="1"/>
  <c r="I320" i="1"/>
  <c r="F321" i="1"/>
  <c r="G321" i="1"/>
  <c r="I321" i="1"/>
  <c r="L321" i="1"/>
  <c r="F322" i="1"/>
  <c r="G322" i="1"/>
  <c r="I322" i="1"/>
  <c r="L322" i="1"/>
  <c r="F323" i="1"/>
  <c r="G323" i="1"/>
  <c r="I323" i="1"/>
  <c r="L323" i="1"/>
  <c r="F324" i="1"/>
  <c r="G324" i="1"/>
  <c r="I324" i="1"/>
  <c r="F325" i="1"/>
  <c r="G325" i="1"/>
  <c r="I325" i="1"/>
  <c r="L325" i="1"/>
  <c r="F326" i="1"/>
  <c r="G326" i="1"/>
  <c r="I326" i="1"/>
  <c r="L326" i="1"/>
  <c r="F327" i="1"/>
  <c r="G327" i="1"/>
  <c r="F328" i="1"/>
  <c r="G328" i="1"/>
  <c r="I328" i="1"/>
  <c r="F329" i="1"/>
  <c r="G329" i="1"/>
  <c r="I329" i="1"/>
  <c r="L329" i="1"/>
  <c r="F330" i="1"/>
  <c r="G330" i="1"/>
  <c r="I330" i="1"/>
  <c r="L330" i="1"/>
  <c r="F331" i="1"/>
  <c r="G331" i="1"/>
  <c r="I331" i="1"/>
  <c r="L331" i="1"/>
  <c r="F332" i="1"/>
  <c r="G332" i="1"/>
  <c r="I332" i="1"/>
  <c r="F333" i="1"/>
  <c r="G333" i="1"/>
  <c r="I333" i="1"/>
  <c r="L333" i="1"/>
  <c r="F334" i="1"/>
  <c r="G334" i="1"/>
  <c r="I334" i="1"/>
  <c r="L334" i="1"/>
  <c r="F335" i="1"/>
  <c r="G335" i="1"/>
  <c r="F336" i="1"/>
  <c r="G336" i="1"/>
  <c r="I336" i="1"/>
  <c r="F337" i="1"/>
  <c r="G337" i="1"/>
  <c r="I337" i="1"/>
  <c r="L337" i="1"/>
  <c r="F338" i="1"/>
  <c r="G338" i="1"/>
  <c r="I338" i="1"/>
  <c r="L338" i="1"/>
  <c r="F339" i="1"/>
  <c r="G339" i="1"/>
  <c r="I339" i="1"/>
  <c r="L339" i="1"/>
  <c r="F340" i="1"/>
  <c r="G340" i="1"/>
  <c r="I340" i="1"/>
  <c r="F341" i="1"/>
  <c r="G341" i="1"/>
  <c r="I341" i="1"/>
  <c r="L341" i="1"/>
  <c r="F342" i="1"/>
  <c r="G342" i="1"/>
  <c r="I342" i="1"/>
  <c r="L342" i="1"/>
  <c r="F343" i="1"/>
  <c r="G343" i="1"/>
  <c r="F344" i="1"/>
  <c r="G344" i="1"/>
  <c r="I344" i="1"/>
  <c r="F345" i="1"/>
  <c r="G345" i="1"/>
  <c r="I345" i="1"/>
  <c r="L345" i="1"/>
  <c r="F346" i="1"/>
  <c r="G346" i="1"/>
  <c r="I346" i="1"/>
  <c r="L346" i="1"/>
  <c r="F347" i="1"/>
  <c r="G347" i="1"/>
  <c r="I347" i="1"/>
  <c r="L347" i="1"/>
  <c r="F348" i="1"/>
  <c r="G348" i="1"/>
  <c r="I348" i="1"/>
  <c r="F349" i="1"/>
  <c r="G349" i="1"/>
  <c r="I349" i="1"/>
  <c r="L349" i="1"/>
  <c r="F350" i="1"/>
  <c r="G350" i="1"/>
  <c r="I350" i="1"/>
  <c r="L350" i="1"/>
  <c r="F351" i="1"/>
  <c r="G351" i="1"/>
  <c r="I351" i="1"/>
  <c r="L351" i="1"/>
  <c r="F352" i="1"/>
  <c r="G352" i="1"/>
  <c r="I352" i="1"/>
  <c r="F353" i="1"/>
  <c r="G353" i="1"/>
  <c r="I353" i="1"/>
  <c r="L353" i="1"/>
  <c r="F354" i="1"/>
  <c r="G354" i="1"/>
  <c r="I354" i="1"/>
  <c r="L354" i="1"/>
  <c r="F355" i="1"/>
  <c r="G355" i="1"/>
  <c r="I355" i="1"/>
  <c r="L355" i="1"/>
  <c r="F356" i="1"/>
  <c r="G356" i="1"/>
  <c r="I356" i="1"/>
  <c r="F357" i="1"/>
  <c r="G357" i="1"/>
  <c r="I357" i="1"/>
  <c r="L357" i="1"/>
  <c r="F358" i="1"/>
  <c r="G358" i="1"/>
  <c r="I358" i="1"/>
  <c r="L358" i="1"/>
  <c r="F359" i="1"/>
  <c r="G359" i="1"/>
  <c r="I359" i="1"/>
  <c r="L359" i="1"/>
  <c r="F360" i="1"/>
  <c r="G360" i="1"/>
  <c r="I360" i="1"/>
  <c r="K360" i="1"/>
  <c r="F361" i="1"/>
  <c r="G361" i="1"/>
  <c r="I361" i="1"/>
  <c r="L361" i="1"/>
  <c r="F362" i="1"/>
  <c r="G362" i="1"/>
  <c r="I362" i="1"/>
  <c r="L362" i="1"/>
  <c r="F363" i="1"/>
  <c r="G363" i="1"/>
  <c r="I363" i="1"/>
  <c r="L363" i="1"/>
  <c r="F364" i="1"/>
  <c r="G364" i="1"/>
  <c r="I364" i="1"/>
  <c r="F365" i="1"/>
  <c r="G365" i="1"/>
  <c r="I365" i="1"/>
  <c r="L365" i="1"/>
  <c r="F366" i="1"/>
  <c r="G366" i="1"/>
  <c r="I366" i="1"/>
  <c r="L366" i="1"/>
  <c r="F367" i="1"/>
  <c r="G367" i="1"/>
  <c r="I367" i="1"/>
  <c r="L367" i="1"/>
  <c r="F368" i="1"/>
  <c r="G368" i="1"/>
  <c r="I368" i="1"/>
  <c r="L368" i="1"/>
  <c r="F369" i="1"/>
  <c r="G369" i="1"/>
  <c r="I369" i="1"/>
  <c r="L369" i="1"/>
  <c r="F370" i="1"/>
  <c r="G370" i="1"/>
  <c r="I370" i="1"/>
  <c r="L370" i="1"/>
  <c r="F371" i="1"/>
  <c r="G371" i="1"/>
  <c r="I371" i="1"/>
  <c r="L371" i="1"/>
  <c r="F372" i="1"/>
  <c r="G372" i="1"/>
  <c r="I372" i="1"/>
  <c r="F373" i="1"/>
  <c r="G373" i="1"/>
  <c r="I373" i="1"/>
  <c r="L373" i="1"/>
  <c r="F374" i="1"/>
  <c r="G374" i="1"/>
  <c r="I374" i="1"/>
  <c r="L374" i="1"/>
  <c r="F375" i="1"/>
  <c r="G375" i="1"/>
  <c r="I375" i="1"/>
  <c r="L375" i="1"/>
  <c r="F376" i="1"/>
  <c r="G376" i="1"/>
  <c r="I376" i="1"/>
  <c r="F377" i="1"/>
  <c r="G377" i="1"/>
  <c r="I377" i="1"/>
  <c r="L377" i="1"/>
  <c r="F378" i="1"/>
  <c r="G378" i="1"/>
  <c r="I378" i="1"/>
  <c r="L378" i="1"/>
  <c r="F379" i="1"/>
  <c r="G379" i="1"/>
  <c r="I379" i="1"/>
  <c r="L379" i="1"/>
  <c r="F380" i="1"/>
  <c r="G380" i="1"/>
  <c r="I380" i="1"/>
  <c r="F381" i="1"/>
  <c r="G381" i="1"/>
  <c r="I381" i="1"/>
  <c r="L381" i="1"/>
  <c r="F382" i="1"/>
  <c r="G382" i="1"/>
  <c r="I382" i="1"/>
  <c r="L382" i="1"/>
  <c r="F383" i="1"/>
  <c r="G383" i="1"/>
  <c r="I383" i="1"/>
  <c r="L383" i="1"/>
  <c r="F384" i="1"/>
  <c r="G384" i="1"/>
  <c r="F385" i="1"/>
  <c r="G385" i="1"/>
  <c r="I385" i="1"/>
  <c r="L385" i="1"/>
  <c r="F386" i="1"/>
  <c r="G386" i="1"/>
  <c r="I386" i="1"/>
  <c r="L386" i="1"/>
  <c r="F387" i="1"/>
  <c r="G387" i="1"/>
  <c r="I387" i="1"/>
  <c r="L387" i="1"/>
  <c r="F388" i="1"/>
  <c r="G388" i="1"/>
  <c r="F389" i="1"/>
  <c r="G389" i="1"/>
  <c r="I389" i="1"/>
  <c r="L389" i="1"/>
  <c r="F390" i="1"/>
  <c r="G390" i="1"/>
  <c r="I390" i="1"/>
  <c r="L390" i="1"/>
  <c r="F391" i="1"/>
  <c r="G391" i="1"/>
  <c r="I391" i="1"/>
  <c r="L391" i="1"/>
  <c r="F392" i="1"/>
  <c r="G392" i="1"/>
  <c r="K392" i="1"/>
  <c r="F393" i="1"/>
  <c r="G393" i="1"/>
  <c r="I393" i="1"/>
  <c r="L393" i="1"/>
  <c r="F394" i="1"/>
  <c r="G394" i="1"/>
  <c r="I394" i="1"/>
  <c r="L394" i="1"/>
  <c r="F395" i="1"/>
  <c r="G395" i="1"/>
  <c r="I395" i="1"/>
  <c r="L395" i="1"/>
  <c r="F396" i="1"/>
  <c r="G396" i="1"/>
  <c r="I396" i="1"/>
  <c r="L396" i="1"/>
  <c r="F397" i="1"/>
  <c r="G397" i="1"/>
  <c r="I397" i="1"/>
  <c r="L397" i="1"/>
  <c r="F398" i="1"/>
  <c r="G398" i="1"/>
  <c r="I398" i="1"/>
  <c r="F399" i="1"/>
  <c r="G399" i="1"/>
  <c r="I399" i="1"/>
  <c r="L399" i="1"/>
  <c r="F400" i="1"/>
  <c r="G400" i="1"/>
  <c r="F401" i="1"/>
  <c r="G401" i="1"/>
  <c r="I401" i="1"/>
  <c r="F402" i="1"/>
  <c r="G402" i="1"/>
  <c r="I402" i="1"/>
  <c r="L402" i="1"/>
  <c r="F403" i="1"/>
  <c r="G403" i="1"/>
  <c r="I403" i="1"/>
  <c r="L403" i="1"/>
  <c r="F404" i="1"/>
  <c r="G404" i="1"/>
  <c r="I404" i="1"/>
  <c r="L404" i="1"/>
  <c r="F405" i="1"/>
  <c r="G405" i="1"/>
  <c r="I405" i="1"/>
  <c r="L405" i="1"/>
  <c r="F406" i="1"/>
  <c r="G406" i="1"/>
  <c r="I406" i="1"/>
  <c r="L406" i="1"/>
  <c r="F407" i="1"/>
  <c r="G407" i="1"/>
  <c r="I407" i="1"/>
  <c r="L407" i="1"/>
  <c r="F408" i="1"/>
  <c r="G408" i="1"/>
  <c r="I408" i="1"/>
  <c r="L408" i="1"/>
  <c r="F409" i="1"/>
  <c r="G409" i="1"/>
  <c r="I409" i="1"/>
  <c r="L409" i="1"/>
  <c r="F410" i="1"/>
  <c r="G410" i="1"/>
  <c r="I410" i="1"/>
  <c r="L410" i="1"/>
  <c r="K410" i="1"/>
  <c r="F411" i="1"/>
  <c r="G411" i="1"/>
  <c r="I411" i="1"/>
  <c r="L411" i="1"/>
  <c r="F412" i="1"/>
  <c r="G412" i="1"/>
  <c r="I412" i="1"/>
  <c r="L412" i="1"/>
  <c r="F413" i="1"/>
  <c r="G413" i="1"/>
  <c r="I413" i="1"/>
  <c r="L413" i="1"/>
  <c r="F414" i="1"/>
  <c r="G414" i="1"/>
  <c r="I414" i="1"/>
  <c r="L414" i="1"/>
  <c r="F415" i="1"/>
  <c r="G415" i="1"/>
  <c r="I415" i="1"/>
  <c r="L415" i="1"/>
  <c r="F416" i="1"/>
  <c r="G416" i="1"/>
  <c r="K416" i="1"/>
  <c r="F417" i="1"/>
  <c r="G417" i="1"/>
  <c r="I417" i="1"/>
  <c r="L417" i="1"/>
  <c r="F418" i="1"/>
  <c r="G418" i="1"/>
  <c r="I418" i="1"/>
  <c r="L418" i="1"/>
  <c r="F419" i="1"/>
  <c r="G419" i="1"/>
  <c r="I419" i="1"/>
  <c r="F420" i="1"/>
  <c r="G420" i="1"/>
  <c r="I420" i="1"/>
  <c r="L420" i="1"/>
  <c r="F421" i="1"/>
  <c r="G421" i="1"/>
  <c r="I421" i="1"/>
  <c r="L421" i="1"/>
  <c r="F422" i="1"/>
  <c r="G422" i="1"/>
  <c r="I422" i="1"/>
  <c r="L422" i="1"/>
  <c r="F423" i="1"/>
  <c r="G423" i="1"/>
  <c r="I423" i="1"/>
  <c r="F424" i="1"/>
  <c r="G424" i="1"/>
  <c r="I424" i="1"/>
  <c r="L424" i="1"/>
  <c r="F425" i="1"/>
  <c r="G425" i="1"/>
  <c r="I425" i="1"/>
  <c r="L425" i="1"/>
  <c r="F426" i="1"/>
  <c r="G426" i="1"/>
  <c r="I426" i="1"/>
  <c r="L426" i="1"/>
  <c r="F427" i="1"/>
  <c r="G427" i="1"/>
  <c r="I427" i="1"/>
  <c r="L427" i="1"/>
  <c r="F428" i="1"/>
  <c r="G428" i="1"/>
  <c r="I428" i="1"/>
  <c r="L428" i="1"/>
  <c r="F429" i="1"/>
  <c r="G429" i="1"/>
  <c r="I429" i="1"/>
  <c r="L429" i="1"/>
  <c r="F430" i="1"/>
  <c r="G430" i="1"/>
  <c r="I430" i="1"/>
  <c r="L430" i="1"/>
  <c r="K430" i="1"/>
  <c r="F431" i="1"/>
  <c r="G431" i="1"/>
  <c r="I431" i="1"/>
  <c r="L431" i="1"/>
  <c r="F432" i="1"/>
  <c r="G432" i="1"/>
  <c r="I432" i="1"/>
  <c r="F433" i="1"/>
  <c r="G433" i="1"/>
  <c r="I433" i="1"/>
  <c r="L433" i="1"/>
  <c r="F434" i="1"/>
  <c r="G434" i="1"/>
  <c r="I434" i="1"/>
  <c r="L434" i="1"/>
  <c r="F435" i="1"/>
  <c r="G435" i="1"/>
  <c r="I435" i="1"/>
  <c r="L435" i="1"/>
  <c r="F436" i="1"/>
  <c r="G436" i="1"/>
  <c r="I436" i="1"/>
  <c r="L436" i="1"/>
  <c r="F437" i="1"/>
  <c r="G437" i="1"/>
  <c r="I437" i="1"/>
  <c r="L437" i="1"/>
  <c r="F438" i="1"/>
  <c r="G438" i="1"/>
  <c r="I438" i="1"/>
  <c r="L438" i="1"/>
  <c r="F439" i="1"/>
  <c r="G439" i="1"/>
  <c r="I439" i="1"/>
  <c r="L439" i="1"/>
  <c r="F440" i="1"/>
  <c r="G440" i="1"/>
  <c r="I440" i="1"/>
  <c r="F441" i="1"/>
  <c r="G441" i="1"/>
  <c r="I441" i="1"/>
  <c r="F442" i="1"/>
  <c r="G442" i="1"/>
  <c r="I442" i="1"/>
  <c r="L442" i="1"/>
  <c r="F443" i="1"/>
  <c r="G443" i="1"/>
  <c r="I443" i="1"/>
  <c r="L443" i="1"/>
  <c r="F444" i="1"/>
  <c r="G444" i="1"/>
  <c r="I444" i="1"/>
  <c r="L444" i="1"/>
  <c r="K444" i="1"/>
  <c r="F445" i="1"/>
  <c r="G445" i="1"/>
  <c r="I445" i="1"/>
  <c r="L445" i="1"/>
  <c r="F446" i="1"/>
  <c r="G446" i="1"/>
  <c r="I446" i="1"/>
  <c r="L446" i="1"/>
  <c r="F447" i="1"/>
  <c r="G447" i="1"/>
  <c r="I447" i="1"/>
  <c r="L447" i="1"/>
  <c r="F448" i="1"/>
  <c r="G448" i="1"/>
  <c r="F449" i="1"/>
  <c r="G449" i="1"/>
  <c r="I449" i="1"/>
  <c r="L449" i="1"/>
  <c r="F450" i="1"/>
  <c r="G450" i="1"/>
  <c r="I450" i="1"/>
  <c r="F451" i="1"/>
  <c r="G451" i="1"/>
  <c r="I451" i="1"/>
  <c r="L451" i="1"/>
  <c r="F452" i="1"/>
  <c r="G452" i="1"/>
  <c r="I452" i="1"/>
  <c r="L452" i="1"/>
  <c r="F453" i="1"/>
  <c r="G453" i="1"/>
  <c r="I453" i="1"/>
  <c r="L453" i="1"/>
  <c r="F454" i="1"/>
  <c r="G454" i="1"/>
  <c r="I454" i="1"/>
  <c r="L454" i="1"/>
  <c r="F455" i="1"/>
  <c r="G455" i="1"/>
  <c r="I455" i="1"/>
  <c r="F456" i="1"/>
  <c r="G456" i="1"/>
  <c r="I456" i="1"/>
  <c r="L456" i="1"/>
  <c r="F457" i="1"/>
  <c r="G457" i="1"/>
  <c r="I457" i="1"/>
  <c r="L457" i="1"/>
  <c r="F458" i="1"/>
  <c r="G458" i="1"/>
  <c r="I458" i="1"/>
  <c r="L458" i="1"/>
  <c r="F459" i="1"/>
  <c r="G459" i="1"/>
  <c r="I459" i="1"/>
  <c r="L459" i="1"/>
  <c r="F460" i="1"/>
  <c r="G460" i="1"/>
  <c r="I460" i="1"/>
  <c r="L460" i="1"/>
  <c r="K460" i="1"/>
  <c r="F461" i="1"/>
  <c r="G461" i="1"/>
  <c r="I461" i="1"/>
  <c r="L461" i="1"/>
  <c r="F462" i="1"/>
  <c r="G462" i="1"/>
  <c r="I462" i="1"/>
  <c r="L462" i="1"/>
  <c r="F463" i="1"/>
  <c r="G463" i="1"/>
  <c r="I463" i="1"/>
  <c r="L463" i="1"/>
  <c r="F464" i="1"/>
  <c r="G464" i="1"/>
  <c r="I464" i="1"/>
  <c r="F465" i="1"/>
  <c r="G465" i="1"/>
  <c r="I465" i="1"/>
  <c r="F466" i="1"/>
  <c r="G466" i="1"/>
  <c r="I466" i="1"/>
  <c r="L466" i="1"/>
  <c r="F467" i="1"/>
  <c r="G467" i="1"/>
  <c r="I467" i="1"/>
  <c r="L467" i="1"/>
  <c r="F468" i="1"/>
  <c r="G468" i="1"/>
  <c r="I468" i="1"/>
  <c r="L468" i="1"/>
  <c r="F469" i="1"/>
  <c r="G469" i="1"/>
  <c r="I469" i="1"/>
  <c r="L469" i="1"/>
  <c r="F470" i="1"/>
  <c r="G470" i="1"/>
  <c r="I470" i="1"/>
  <c r="L470" i="1"/>
  <c r="F471" i="1"/>
  <c r="G471" i="1"/>
  <c r="I471" i="1"/>
  <c r="L471" i="1"/>
  <c r="F472" i="1"/>
  <c r="G472" i="1"/>
  <c r="I472" i="1"/>
  <c r="L472" i="1"/>
  <c r="F473" i="1"/>
  <c r="G473" i="1"/>
  <c r="I473" i="1"/>
  <c r="L473" i="1"/>
  <c r="F474" i="1"/>
  <c r="G474" i="1"/>
  <c r="I474" i="1"/>
  <c r="L474" i="1"/>
  <c r="K474" i="1"/>
  <c r="F475" i="1"/>
  <c r="G475" i="1"/>
  <c r="I475" i="1"/>
  <c r="L475" i="1"/>
  <c r="F476" i="1"/>
  <c r="G476" i="1"/>
  <c r="I476" i="1"/>
  <c r="L476" i="1"/>
  <c r="F477" i="1"/>
  <c r="G477" i="1"/>
  <c r="I477" i="1"/>
  <c r="L477" i="1"/>
  <c r="F478" i="1"/>
  <c r="G478" i="1"/>
  <c r="I478" i="1"/>
  <c r="L478" i="1"/>
  <c r="F479" i="1"/>
  <c r="G479" i="1"/>
  <c r="I479" i="1"/>
  <c r="L479" i="1"/>
  <c r="F480" i="1"/>
  <c r="G480" i="1"/>
  <c r="K480" i="1"/>
  <c r="F481" i="1"/>
  <c r="G481" i="1"/>
  <c r="I481" i="1"/>
  <c r="L481" i="1"/>
  <c r="F482" i="1"/>
  <c r="G482" i="1"/>
  <c r="I482" i="1"/>
  <c r="L482" i="1"/>
  <c r="F483" i="1"/>
  <c r="G483" i="1"/>
  <c r="I483" i="1"/>
  <c r="L483" i="1"/>
  <c r="F484" i="1"/>
  <c r="G484" i="1"/>
  <c r="I484" i="1"/>
  <c r="L484" i="1"/>
  <c r="F485" i="1"/>
  <c r="G485" i="1"/>
  <c r="I485" i="1"/>
  <c r="L485" i="1"/>
  <c r="F486" i="1"/>
  <c r="G486" i="1"/>
  <c r="I486" i="1"/>
  <c r="L486" i="1"/>
  <c r="F487" i="1"/>
  <c r="G487" i="1"/>
  <c r="I487" i="1"/>
  <c r="F488" i="1"/>
  <c r="G488" i="1"/>
  <c r="I488" i="1"/>
  <c r="L488" i="1"/>
  <c r="F489" i="1"/>
  <c r="G489" i="1"/>
  <c r="I489" i="1"/>
  <c r="L489" i="1"/>
  <c r="F490" i="1"/>
  <c r="G490" i="1"/>
  <c r="I490" i="1"/>
  <c r="L490" i="1"/>
  <c r="F491" i="1"/>
  <c r="G491" i="1"/>
  <c r="I491" i="1"/>
  <c r="F492" i="1"/>
  <c r="G492" i="1"/>
  <c r="I492" i="1"/>
  <c r="L492" i="1"/>
  <c r="F493" i="1"/>
  <c r="G493" i="1"/>
  <c r="I493" i="1"/>
  <c r="L493" i="1"/>
  <c r="F494" i="1"/>
  <c r="G494" i="1"/>
  <c r="I494" i="1"/>
  <c r="L494" i="1"/>
  <c r="K494" i="1"/>
  <c r="F495" i="1"/>
  <c r="G495" i="1"/>
  <c r="I495" i="1"/>
  <c r="L495" i="1"/>
  <c r="F496" i="1"/>
  <c r="G496" i="1"/>
  <c r="I496" i="1"/>
  <c r="J496" i="1"/>
  <c r="F497" i="1"/>
  <c r="G497" i="1"/>
  <c r="I497" i="1"/>
  <c r="L497" i="1"/>
  <c r="F498" i="1"/>
  <c r="G498" i="1"/>
  <c r="I498" i="1"/>
  <c r="L498" i="1"/>
  <c r="F499" i="1"/>
  <c r="G499" i="1"/>
  <c r="I499" i="1"/>
  <c r="L499" i="1"/>
  <c r="F500" i="1"/>
  <c r="G500" i="1"/>
  <c r="I500" i="1"/>
  <c r="L500" i="1"/>
  <c r="F501" i="1"/>
  <c r="G501" i="1"/>
  <c r="I501" i="1"/>
  <c r="L501" i="1"/>
  <c r="F502" i="1"/>
  <c r="G502" i="1"/>
  <c r="I502" i="1"/>
  <c r="L502" i="1"/>
  <c r="F503" i="1"/>
  <c r="G503" i="1"/>
  <c r="I503" i="1"/>
  <c r="L503" i="1"/>
  <c r="F504" i="1"/>
  <c r="G504" i="1"/>
  <c r="I504" i="1"/>
  <c r="L504" i="1"/>
  <c r="F505" i="1"/>
  <c r="G505" i="1"/>
  <c r="I505" i="1"/>
  <c r="F506" i="1"/>
  <c r="G506" i="1"/>
  <c r="I506" i="1"/>
  <c r="L506" i="1"/>
  <c r="F107" i="1"/>
  <c r="G107" i="1"/>
  <c r="I107" i="1"/>
  <c r="L107" i="1"/>
  <c r="F108" i="1"/>
  <c r="G108" i="1"/>
  <c r="I108" i="1"/>
  <c r="L108" i="1"/>
  <c r="F109" i="1"/>
  <c r="G109" i="1"/>
  <c r="I109" i="1"/>
  <c r="F110" i="1"/>
  <c r="G110" i="1"/>
  <c r="I110" i="1"/>
  <c r="L110" i="1"/>
  <c r="F111" i="1"/>
  <c r="G111" i="1"/>
  <c r="I111" i="1"/>
  <c r="L111" i="1"/>
  <c r="F112" i="1"/>
  <c r="G112" i="1"/>
  <c r="I112" i="1"/>
  <c r="L112" i="1"/>
  <c r="F113" i="1"/>
  <c r="G113" i="1"/>
  <c r="I113" i="1"/>
  <c r="F114" i="1"/>
  <c r="G114" i="1"/>
  <c r="I114" i="1"/>
  <c r="L114" i="1"/>
  <c r="F115" i="1"/>
  <c r="G115" i="1"/>
  <c r="I115" i="1"/>
  <c r="L115" i="1"/>
  <c r="F116" i="1"/>
  <c r="G116" i="1"/>
  <c r="I116" i="1"/>
  <c r="L116" i="1"/>
  <c r="F117" i="1"/>
  <c r="G117" i="1"/>
  <c r="I117" i="1"/>
  <c r="L117" i="1"/>
  <c r="F118" i="1"/>
  <c r="G118" i="1"/>
  <c r="I118" i="1"/>
  <c r="L118" i="1"/>
  <c r="F119" i="1"/>
  <c r="G119" i="1"/>
  <c r="I119" i="1"/>
  <c r="L119" i="1"/>
  <c r="F120" i="1"/>
  <c r="G120" i="1"/>
  <c r="I120" i="1"/>
  <c r="L120" i="1"/>
  <c r="F121" i="1"/>
  <c r="G121" i="1"/>
  <c r="I121" i="1"/>
  <c r="L121" i="1"/>
  <c r="F122" i="1"/>
  <c r="G122" i="1"/>
  <c r="I122" i="1"/>
  <c r="L122" i="1"/>
  <c r="F123" i="1"/>
  <c r="G123" i="1"/>
  <c r="I123" i="1"/>
  <c r="L123" i="1"/>
  <c r="F124" i="1"/>
  <c r="G124" i="1"/>
  <c r="I124" i="1"/>
  <c r="L124" i="1"/>
  <c r="F125" i="1"/>
  <c r="G125" i="1"/>
  <c r="I125" i="1"/>
  <c r="F126" i="1"/>
  <c r="G126" i="1"/>
  <c r="I126" i="1"/>
  <c r="L126" i="1"/>
  <c r="F127" i="1"/>
  <c r="G127" i="1"/>
  <c r="I127" i="1"/>
  <c r="L127" i="1"/>
  <c r="F128" i="1"/>
  <c r="G128" i="1"/>
  <c r="I128" i="1"/>
  <c r="L128" i="1"/>
  <c r="F129" i="1"/>
  <c r="G129" i="1"/>
  <c r="I129" i="1"/>
  <c r="F130" i="1"/>
  <c r="G130" i="1"/>
  <c r="I130" i="1"/>
  <c r="L130" i="1"/>
  <c r="F131" i="1"/>
  <c r="G131" i="1"/>
  <c r="I131" i="1"/>
  <c r="L131" i="1"/>
  <c r="F132" i="1"/>
  <c r="G132" i="1"/>
  <c r="I132" i="1"/>
  <c r="L132" i="1"/>
  <c r="F133" i="1"/>
  <c r="G133" i="1"/>
  <c r="I133" i="1"/>
  <c r="F134" i="1"/>
  <c r="G134" i="1"/>
  <c r="I134" i="1"/>
  <c r="L134" i="1"/>
  <c r="F135" i="1"/>
  <c r="G135" i="1"/>
  <c r="F136" i="1"/>
  <c r="G136" i="1"/>
  <c r="I136" i="1"/>
  <c r="L136" i="1"/>
  <c r="F137" i="1"/>
  <c r="G137" i="1"/>
  <c r="I137" i="1"/>
  <c r="F138" i="1"/>
  <c r="G138" i="1"/>
  <c r="I138" i="1"/>
  <c r="L138" i="1"/>
  <c r="F139" i="1"/>
  <c r="G139" i="1"/>
  <c r="I139" i="1"/>
  <c r="L139" i="1"/>
  <c r="F140" i="1"/>
  <c r="G140" i="1"/>
  <c r="I140" i="1"/>
  <c r="L140" i="1"/>
  <c r="F141" i="1"/>
  <c r="G141" i="1"/>
  <c r="I141" i="1"/>
  <c r="F142" i="1"/>
  <c r="G142" i="1"/>
  <c r="I142" i="1"/>
  <c r="L142" i="1"/>
  <c r="F143" i="1"/>
  <c r="G143" i="1"/>
  <c r="I143" i="1"/>
  <c r="L143" i="1"/>
  <c r="F144" i="1"/>
  <c r="G144" i="1"/>
  <c r="I144" i="1"/>
  <c r="L144" i="1"/>
  <c r="F145" i="1"/>
  <c r="G145" i="1"/>
  <c r="I145" i="1"/>
  <c r="L145" i="1"/>
  <c r="F146" i="1"/>
  <c r="G146" i="1"/>
  <c r="I146" i="1"/>
  <c r="L146" i="1"/>
  <c r="F147" i="1"/>
  <c r="G147" i="1"/>
  <c r="I147" i="1"/>
  <c r="L147" i="1"/>
  <c r="F148" i="1"/>
  <c r="G148" i="1"/>
  <c r="I148" i="1"/>
  <c r="L148" i="1"/>
  <c r="F149" i="1"/>
  <c r="G149" i="1"/>
  <c r="I149" i="1"/>
  <c r="L149" i="1"/>
  <c r="F150" i="1"/>
  <c r="G150" i="1"/>
  <c r="I150" i="1"/>
  <c r="L150" i="1"/>
  <c r="F151" i="1"/>
  <c r="G151" i="1"/>
  <c r="I151" i="1"/>
  <c r="L151" i="1"/>
  <c r="F152" i="1"/>
  <c r="G152" i="1"/>
  <c r="I152" i="1"/>
  <c r="L152" i="1"/>
  <c r="F153" i="1"/>
  <c r="G153" i="1"/>
  <c r="I153" i="1"/>
  <c r="L153" i="1"/>
  <c r="F154" i="1"/>
  <c r="G154" i="1"/>
  <c r="I154" i="1"/>
  <c r="L154" i="1"/>
  <c r="F155" i="1"/>
  <c r="G155" i="1"/>
  <c r="I155" i="1"/>
  <c r="L155" i="1"/>
  <c r="F156" i="1"/>
  <c r="G156" i="1"/>
  <c r="I156" i="1"/>
  <c r="L156" i="1"/>
  <c r="F157" i="1"/>
  <c r="G157" i="1"/>
  <c r="I157" i="1"/>
  <c r="F158" i="1"/>
  <c r="G158" i="1"/>
  <c r="I158" i="1"/>
  <c r="L158" i="1"/>
  <c r="F159" i="1"/>
  <c r="G159" i="1"/>
  <c r="I159" i="1"/>
  <c r="L159" i="1"/>
  <c r="F160" i="1"/>
  <c r="G160" i="1"/>
  <c r="I160" i="1"/>
  <c r="L160" i="1"/>
  <c r="F161" i="1"/>
  <c r="G161" i="1"/>
  <c r="I161" i="1"/>
  <c r="F162" i="1"/>
  <c r="G162" i="1"/>
  <c r="I162" i="1"/>
  <c r="L162" i="1"/>
  <c r="F163" i="1"/>
  <c r="G163" i="1"/>
  <c r="I163" i="1"/>
  <c r="L163" i="1"/>
  <c r="F164" i="1"/>
  <c r="G164" i="1"/>
  <c r="I164" i="1"/>
  <c r="L164" i="1"/>
  <c r="F165" i="1"/>
  <c r="G165" i="1"/>
  <c r="I165" i="1"/>
  <c r="F166" i="1"/>
  <c r="G166" i="1"/>
  <c r="I166" i="1"/>
  <c r="L166" i="1"/>
  <c r="F167" i="1"/>
  <c r="G167" i="1"/>
  <c r="F168" i="1"/>
  <c r="G168" i="1"/>
  <c r="I168" i="1"/>
  <c r="L168" i="1"/>
  <c r="F169" i="1"/>
  <c r="G169" i="1"/>
  <c r="I169" i="1"/>
  <c r="F170" i="1"/>
  <c r="G170" i="1"/>
  <c r="I170" i="1"/>
  <c r="L170" i="1"/>
  <c r="F171" i="1"/>
  <c r="G171" i="1"/>
  <c r="I171" i="1"/>
  <c r="L171" i="1"/>
  <c r="F172" i="1"/>
  <c r="G172" i="1"/>
  <c r="I172" i="1"/>
  <c r="L172" i="1"/>
  <c r="F173" i="1"/>
  <c r="G173" i="1"/>
  <c r="I173" i="1"/>
  <c r="F174" i="1"/>
  <c r="G174" i="1"/>
  <c r="I174" i="1"/>
  <c r="L174" i="1"/>
  <c r="F175" i="1"/>
  <c r="G175" i="1"/>
  <c r="I175" i="1"/>
  <c r="L175" i="1"/>
  <c r="F176" i="1"/>
  <c r="G176" i="1"/>
  <c r="I176" i="1"/>
  <c r="L176" i="1"/>
  <c r="F177" i="1"/>
  <c r="G177" i="1"/>
  <c r="I177" i="1"/>
  <c r="F178" i="1"/>
  <c r="G178" i="1"/>
  <c r="I178" i="1"/>
  <c r="L178" i="1"/>
  <c r="F179" i="1"/>
  <c r="G179" i="1"/>
  <c r="I179" i="1"/>
  <c r="L179" i="1"/>
  <c r="F180" i="1"/>
  <c r="G180" i="1"/>
  <c r="I180" i="1"/>
  <c r="L180" i="1"/>
  <c r="F181" i="1"/>
  <c r="G181" i="1"/>
  <c r="I181" i="1"/>
  <c r="F182" i="1"/>
  <c r="G182" i="1"/>
  <c r="I182" i="1"/>
  <c r="L182" i="1"/>
  <c r="F183" i="1"/>
  <c r="G183" i="1"/>
  <c r="I183" i="1"/>
  <c r="L183" i="1"/>
  <c r="F184" i="1"/>
  <c r="G184" i="1"/>
  <c r="I184" i="1"/>
  <c r="L184" i="1"/>
  <c r="F185" i="1"/>
  <c r="G185" i="1"/>
  <c r="I185" i="1"/>
  <c r="F186" i="1"/>
  <c r="G186" i="1"/>
  <c r="I186" i="1"/>
  <c r="L186" i="1"/>
  <c r="F187" i="1"/>
  <c r="G187" i="1"/>
  <c r="I187" i="1"/>
  <c r="L187" i="1"/>
  <c r="F188" i="1"/>
  <c r="G188" i="1"/>
  <c r="I188" i="1"/>
  <c r="L188" i="1"/>
  <c r="F189" i="1"/>
  <c r="G189" i="1"/>
  <c r="I189" i="1"/>
  <c r="F190" i="1"/>
  <c r="G190" i="1"/>
  <c r="I190" i="1"/>
  <c r="L190" i="1"/>
  <c r="F191" i="1"/>
  <c r="G191" i="1"/>
  <c r="I191" i="1"/>
  <c r="L191" i="1"/>
  <c r="F192" i="1"/>
  <c r="G192" i="1"/>
  <c r="I192" i="1"/>
  <c r="L192" i="1"/>
  <c r="F193" i="1"/>
  <c r="G193" i="1"/>
  <c r="I193" i="1"/>
  <c r="F194" i="1"/>
  <c r="G194" i="1"/>
  <c r="I194" i="1"/>
  <c r="L194" i="1"/>
  <c r="F195" i="1"/>
  <c r="G195" i="1"/>
  <c r="I195" i="1"/>
  <c r="L195" i="1"/>
  <c r="F196" i="1"/>
  <c r="G196" i="1"/>
  <c r="I196" i="1"/>
  <c r="L196" i="1"/>
  <c r="F197" i="1"/>
  <c r="G197" i="1"/>
  <c r="I197" i="1"/>
  <c r="F198" i="1"/>
  <c r="G198" i="1"/>
  <c r="I198" i="1"/>
  <c r="L198" i="1"/>
  <c r="F199" i="1"/>
  <c r="G199" i="1"/>
  <c r="F200" i="1"/>
  <c r="G200" i="1"/>
  <c r="I200" i="1"/>
  <c r="L200" i="1"/>
  <c r="F201" i="1"/>
  <c r="G201" i="1"/>
  <c r="I201" i="1"/>
  <c r="F202" i="1"/>
  <c r="G202" i="1"/>
  <c r="I202" i="1"/>
  <c r="L202" i="1"/>
  <c r="F203" i="1"/>
  <c r="G203" i="1"/>
  <c r="I203" i="1"/>
  <c r="L203" i="1"/>
  <c r="F204" i="1"/>
  <c r="G204" i="1"/>
  <c r="I204" i="1"/>
  <c r="L204" i="1"/>
  <c r="F205" i="1"/>
  <c r="G205" i="1"/>
  <c r="I205" i="1"/>
  <c r="F206" i="1"/>
  <c r="G206" i="1"/>
  <c r="I206" i="1"/>
  <c r="L206" i="1"/>
  <c r="F10" i="1"/>
  <c r="G10" i="1"/>
  <c r="I10" i="1"/>
  <c r="F11" i="1"/>
  <c r="G11" i="1"/>
  <c r="I11" i="1"/>
  <c r="L11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G7" i="1"/>
  <c r="G8" i="1"/>
  <c r="G9" i="1"/>
  <c r="F7" i="1"/>
  <c r="I7" i="1"/>
  <c r="F8" i="1"/>
  <c r="F9" i="1"/>
  <c r="I102" i="1"/>
  <c r="L102" i="1"/>
  <c r="I104" i="1"/>
  <c r="L104" i="1"/>
  <c r="I106" i="1"/>
  <c r="L106" i="1"/>
  <c r="I26" i="1"/>
  <c r="I28" i="1"/>
  <c r="L28" i="1"/>
  <c r="I30" i="1"/>
  <c r="L30" i="1"/>
  <c r="I32" i="1"/>
  <c r="L32" i="1"/>
  <c r="I34" i="1"/>
  <c r="I36" i="1"/>
  <c r="L36" i="1"/>
  <c r="I38" i="1"/>
  <c r="L38" i="1"/>
  <c r="I40" i="1"/>
  <c r="L40" i="1"/>
  <c r="I42" i="1"/>
  <c r="I44" i="1"/>
  <c r="L44" i="1"/>
  <c r="I46" i="1"/>
  <c r="L46" i="1"/>
  <c r="I48" i="1"/>
  <c r="L48" i="1"/>
  <c r="I50" i="1"/>
  <c r="I52" i="1"/>
  <c r="L52" i="1"/>
  <c r="I54" i="1"/>
  <c r="L54" i="1"/>
  <c r="I56" i="1"/>
  <c r="L56" i="1"/>
  <c r="I58" i="1"/>
  <c r="I60" i="1"/>
  <c r="L60" i="1"/>
  <c r="I62" i="1"/>
  <c r="L62" i="1"/>
  <c r="I64" i="1"/>
  <c r="L64" i="1"/>
  <c r="I66" i="1"/>
  <c r="L66" i="1"/>
  <c r="I68" i="1"/>
  <c r="L68" i="1"/>
  <c r="I70" i="1"/>
  <c r="L70" i="1"/>
  <c r="I72" i="1"/>
  <c r="L72" i="1"/>
  <c r="I74" i="1"/>
  <c r="L74" i="1"/>
  <c r="I76" i="1"/>
  <c r="L76" i="1"/>
  <c r="I78" i="1"/>
  <c r="L78" i="1"/>
  <c r="I80" i="1"/>
  <c r="L80" i="1"/>
  <c r="I82" i="1"/>
  <c r="L82" i="1"/>
  <c r="I84" i="1"/>
  <c r="L84" i="1"/>
  <c r="I86" i="1"/>
  <c r="L86" i="1"/>
  <c r="I88" i="1"/>
  <c r="L88" i="1"/>
  <c r="I90" i="1"/>
  <c r="I92" i="1"/>
  <c r="L92" i="1"/>
  <c r="I94" i="1"/>
  <c r="L94" i="1"/>
  <c r="I96" i="1"/>
  <c r="L96" i="1"/>
  <c r="I98" i="1"/>
  <c r="I100" i="1"/>
  <c r="L100" i="1"/>
  <c r="I16" i="1"/>
  <c r="I14" i="1"/>
  <c r="L14" i="1"/>
  <c r="K456" i="1"/>
  <c r="K214" i="1"/>
  <c r="K318" i="1"/>
  <c r="K230" i="1"/>
  <c r="K448" i="1"/>
  <c r="K326" i="1"/>
  <c r="K262" i="1"/>
  <c r="K234" i="1"/>
  <c r="K226" i="1"/>
  <c r="K468" i="1"/>
  <c r="K222" i="1"/>
  <c r="K322" i="1"/>
  <c r="K290" i="1"/>
  <c r="K258" i="1"/>
  <c r="K242" i="1"/>
  <c r="K218" i="1"/>
  <c r="K142" i="1"/>
  <c r="K110" i="1"/>
  <c r="K486" i="1"/>
  <c r="K122" i="1"/>
  <c r="K490" i="1"/>
  <c r="J487" i="1"/>
  <c r="K482" i="1"/>
  <c r="K479" i="1"/>
  <c r="K182" i="1"/>
  <c r="K466" i="1"/>
  <c r="K434" i="1"/>
  <c r="K418" i="1"/>
  <c r="K402" i="1"/>
  <c r="K386" i="1"/>
  <c r="K370" i="1"/>
  <c r="K354" i="1"/>
  <c r="K300" i="1"/>
  <c r="K284" i="1"/>
  <c r="K268" i="1"/>
  <c r="K252" i="1"/>
  <c r="K244" i="1"/>
  <c r="K236" i="1"/>
  <c r="K232" i="1"/>
  <c r="K228" i="1"/>
  <c r="K224" i="1"/>
  <c r="K220" i="1"/>
  <c r="K216" i="1"/>
  <c r="K212" i="1"/>
  <c r="K208" i="1"/>
  <c r="K343" i="1"/>
  <c r="K335" i="1"/>
  <c r="K210" i="1"/>
  <c r="K493" i="1"/>
  <c r="K477" i="1"/>
  <c r="K461" i="1"/>
  <c r="K445" i="1"/>
  <c r="K429" i="1"/>
  <c r="K413" i="1"/>
  <c r="K397" i="1"/>
  <c r="K381" i="1"/>
  <c r="K365" i="1"/>
  <c r="K349" i="1"/>
  <c r="K333" i="1"/>
  <c r="K315" i="1"/>
  <c r="K299" i="1"/>
  <c r="K283" i="1"/>
  <c r="K267" i="1"/>
  <c r="K251" i="1"/>
  <c r="K235" i="1"/>
  <c r="K219" i="1"/>
  <c r="K86" i="1"/>
  <c r="I8" i="1"/>
  <c r="L8" i="1"/>
  <c r="I105" i="1"/>
  <c r="L105" i="1"/>
  <c r="I27" i="1"/>
  <c r="I29" i="1"/>
  <c r="L29" i="1"/>
  <c r="I31" i="1"/>
  <c r="L31" i="1"/>
  <c r="I33" i="1"/>
  <c r="L33" i="1"/>
  <c r="I35" i="1"/>
  <c r="I37" i="1"/>
  <c r="L37" i="1"/>
  <c r="I41" i="1"/>
  <c r="L41" i="1"/>
  <c r="I43" i="1"/>
  <c r="L43" i="1"/>
  <c r="I45" i="1"/>
  <c r="L45" i="1"/>
  <c r="I47" i="1"/>
  <c r="L47" i="1"/>
  <c r="I49" i="1"/>
  <c r="L49" i="1"/>
  <c r="I51" i="1"/>
  <c r="L51" i="1"/>
  <c r="I53" i="1"/>
  <c r="L53" i="1"/>
  <c r="I55" i="1"/>
  <c r="K55" i="1"/>
  <c r="I57" i="1"/>
  <c r="L57" i="1"/>
  <c r="I59" i="1"/>
  <c r="L59" i="1"/>
  <c r="I61" i="1"/>
  <c r="L61" i="1"/>
  <c r="I63" i="1"/>
  <c r="L63" i="1"/>
  <c r="I65" i="1"/>
  <c r="L65" i="1"/>
  <c r="I67" i="1"/>
  <c r="I69" i="1"/>
  <c r="L69" i="1"/>
  <c r="K71" i="1"/>
  <c r="I73" i="1"/>
  <c r="L73" i="1"/>
  <c r="I75" i="1"/>
  <c r="L75" i="1"/>
  <c r="I77" i="1"/>
  <c r="L77" i="1"/>
  <c r="I79" i="1"/>
  <c r="L79" i="1"/>
  <c r="I81" i="1"/>
  <c r="L81" i="1"/>
  <c r="I83" i="1"/>
  <c r="L83" i="1"/>
  <c r="I85" i="1"/>
  <c r="L85" i="1"/>
  <c r="I87" i="1"/>
  <c r="J87" i="1"/>
  <c r="I89" i="1"/>
  <c r="L89" i="1"/>
  <c r="I91" i="1"/>
  <c r="I93" i="1"/>
  <c r="L93" i="1"/>
  <c r="I95" i="1"/>
  <c r="L95" i="1"/>
  <c r="I97" i="1"/>
  <c r="L97" i="1"/>
  <c r="I99" i="1"/>
  <c r="L99" i="1"/>
  <c r="I101" i="1"/>
  <c r="L101" i="1"/>
  <c r="I12" i="1"/>
  <c r="L12" i="1"/>
  <c r="K215" i="1"/>
  <c r="K231" i="1"/>
  <c r="K247" i="1"/>
  <c r="K263" i="1"/>
  <c r="K279" i="1"/>
  <c r="K295" i="1"/>
  <c r="K311" i="1"/>
  <c r="K327" i="1"/>
  <c r="K345" i="1"/>
  <c r="K361" i="1"/>
  <c r="K377" i="1"/>
  <c r="K393" i="1"/>
  <c r="K409" i="1"/>
  <c r="K425" i="1"/>
  <c r="K457" i="1"/>
  <c r="K497" i="1"/>
  <c r="K209" i="1"/>
  <c r="K217" i="1"/>
  <c r="K225" i="1"/>
  <c r="K233" i="1"/>
  <c r="K241" i="1"/>
  <c r="K249" i="1"/>
  <c r="K257" i="1"/>
  <c r="K265" i="1"/>
  <c r="K273" i="1"/>
  <c r="K281" i="1"/>
  <c r="K289" i="1"/>
  <c r="K297" i="1"/>
  <c r="K305" i="1"/>
  <c r="K313" i="1"/>
  <c r="K321" i="1"/>
  <c r="K329" i="1"/>
  <c r="K351" i="1"/>
  <c r="K359" i="1"/>
  <c r="K367" i="1"/>
  <c r="K375" i="1"/>
  <c r="K383" i="1"/>
  <c r="K391" i="1"/>
  <c r="K399" i="1"/>
  <c r="K407" i="1"/>
  <c r="K415" i="1"/>
  <c r="K431" i="1"/>
  <c r="K439" i="1"/>
  <c r="K447" i="1"/>
  <c r="K463" i="1"/>
  <c r="K471" i="1"/>
  <c r="K20" i="1"/>
  <c r="K52" i="1"/>
  <c r="K504" i="1"/>
  <c r="K428" i="1"/>
  <c r="K108" i="1"/>
  <c r="K172" i="1"/>
  <c r="K408" i="1"/>
  <c r="K424" i="1"/>
  <c r="J45" i="1"/>
  <c r="J53" i="1"/>
  <c r="K13" i="1"/>
  <c r="K475" i="1"/>
  <c r="K467" i="1"/>
  <c r="K459" i="1"/>
  <c r="K451" i="1"/>
  <c r="K443" i="1"/>
  <c r="K435" i="1"/>
  <c r="K427" i="1"/>
  <c r="K411" i="1"/>
  <c r="K403" i="1"/>
  <c r="K395" i="1"/>
  <c r="K387" i="1"/>
  <c r="K379" i="1"/>
  <c r="K371" i="1"/>
  <c r="K363" i="1"/>
  <c r="K355" i="1"/>
  <c r="K347" i="1"/>
  <c r="K325" i="1"/>
  <c r="K317" i="1"/>
  <c r="K309" i="1"/>
  <c r="K301" i="1"/>
  <c r="K293" i="1"/>
  <c r="K285" i="1"/>
  <c r="K277" i="1"/>
  <c r="K269" i="1"/>
  <c r="K261" i="1"/>
  <c r="K253" i="1"/>
  <c r="K245" i="1"/>
  <c r="K237" i="1"/>
  <c r="K229" i="1"/>
  <c r="K221" i="1"/>
  <c r="K213" i="1"/>
  <c r="K207" i="1"/>
  <c r="K481" i="1"/>
  <c r="K449" i="1"/>
  <c r="K433" i="1"/>
  <c r="K417" i="1"/>
  <c r="K385" i="1"/>
  <c r="K369" i="1"/>
  <c r="K353" i="1"/>
  <c r="K337" i="1"/>
  <c r="K319" i="1"/>
  <c r="K303" i="1"/>
  <c r="K287" i="1"/>
  <c r="K271" i="1"/>
  <c r="K255" i="1"/>
  <c r="K239" i="1"/>
  <c r="K223" i="1"/>
  <c r="K38" i="1"/>
  <c r="K70" i="1"/>
  <c r="K211" i="1"/>
  <c r="K227" i="1"/>
  <c r="K243" i="1"/>
  <c r="K259" i="1"/>
  <c r="K275" i="1"/>
  <c r="K291" i="1"/>
  <c r="K307" i="1"/>
  <c r="K323" i="1"/>
  <c r="K341" i="1"/>
  <c r="K357" i="1"/>
  <c r="K373" i="1"/>
  <c r="K389" i="1"/>
  <c r="K405" i="1"/>
  <c r="K421" i="1"/>
  <c r="K437" i="1"/>
  <c r="K453" i="1"/>
  <c r="K469" i="1"/>
  <c r="K485" i="1"/>
  <c r="K331" i="1"/>
  <c r="K339" i="1"/>
  <c r="J483" i="1"/>
  <c r="J93" i="1"/>
  <c r="K31" i="1"/>
  <c r="K96" i="1"/>
  <c r="K64" i="1"/>
  <c r="K74" i="1"/>
  <c r="K30" i="1"/>
  <c r="K62" i="1"/>
  <c r="K78" i="1"/>
  <c r="K94" i="1"/>
  <c r="K170" i="1"/>
  <c r="K186" i="1"/>
  <c r="K202" i="1"/>
  <c r="K114" i="1"/>
  <c r="K146" i="1"/>
  <c r="K118" i="1"/>
  <c r="K150" i="1"/>
  <c r="K180" i="1"/>
  <c r="J33" i="1"/>
  <c r="K49" i="1"/>
  <c r="J65" i="1"/>
  <c r="K97" i="1"/>
  <c r="J63" i="1"/>
  <c r="J8" i="1"/>
  <c r="K160" i="1"/>
  <c r="K356" i="1"/>
  <c r="K156" i="1"/>
  <c r="K404" i="1"/>
  <c r="K476" i="1"/>
  <c r="K412" i="1"/>
  <c r="K120" i="1"/>
  <c r="K489" i="1"/>
  <c r="K501" i="1"/>
  <c r="K338" i="1"/>
  <c r="K240" i="1"/>
  <c r="K256" i="1"/>
  <c r="K272" i="1"/>
  <c r="K288" i="1"/>
  <c r="K304" i="1"/>
  <c r="K320" i="1"/>
  <c r="K358" i="1"/>
  <c r="K374" i="1"/>
  <c r="K390" i="1"/>
  <c r="K406" i="1"/>
  <c r="K422" i="1"/>
  <c r="K438" i="1"/>
  <c r="K454" i="1"/>
  <c r="K470" i="1"/>
  <c r="K112" i="1"/>
  <c r="K163" i="1"/>
  <c r="K167" i="1"/>
  <c r="K171" i="1"/>
  <c r="K175" i="1"/>
  <c r="K179" i="1"/>
  <c r="K183" i="1"/>
  <c r="K187" i="1"/>
  <c r="K191" i="1"/>
  <c r="K195" i="1"/>
  <c r="K199" i="1"/>
  <c r="K203" i="1"/>
  <c r="K495" i="1"/>
  <c r="J503" i="1"/>
  <c r="K111" i="1"/>
  <c r="J119" i="1"/>
  <c r="K127" i="1"/>
  <c r="J135" i="1"/>
  <c r="K143" i="1"/>
  <c r="J151" i="1"/>
  <c r="K159" i="1"/>
  <c r="J499" i="1"/>
  <c r="K107" i="1"/>
  <c r="J115" i="1"/>
  <c r="K123" i="1"/>
  <c r="J131" i="1"/>
  <c r="K139" i="1"/>
  <c r="J147" i="1"/>
  <c r="K155" i="1"/>
  <c r="K266" i="1"/>
  <c r="K298" i="1"/>
  <c r="K330" i="1"/>
  <c r="K384" i="1"/>
  <c r="K420" i="1"/>
  <c r="K492" i="1"/>
  <c r="K278" i="1"/>
  <c r="K484" i="1"/>
  <c r="K148" i="1"/>
  <c r="K388" i="1"/>
  <c r="K500" i="1"/>
  <c r="K238" i="1"/>
  <c r="I17" i="1"/>
  <c r="J85" i="1"/>
  <c r="J77" i="1"/>
  <c r="K79" i="1"/>
  <c r="J43" i="1"/>
  <c r="J14" i="1"/>
  <c r="K48" i="1"/>
  <c r="K80" i="1"/>
  <c r="J101" i="1"/>
  <c r="K84" i="1"/>
  <c r="K103" i="1"/>
  <c r="K166" i="1"/>
  <c r="K198" i="1"/>
  <c r="K154" i="1"/>
  <c r="I25" i="1"/>
  <c r="L25" i="1"/>
  <c r="J244" i="1"/>
  <c r="J243" i="1"/>
  <c r="J242" i="1"/>
  <c r="J241" i="1"/>
  <c r="I21" i="1"/>
  <c r="I18" i="1"/>
  <c r="L18" i="1"/>
  <c r="J22" i="1"/>
  <c r="K302" i="1"/>
  <c r="K124" i="1"/>
  <c r="K286" i="1"/>
  <c r="K164" i="1"/>
  <c r="K310" i="1"/>
  <c r="K246" i="1"/>
  <c r="K192" i="1"/>
  <c r="K352" i="1"/>
  <c r="K314" i="1"/>
  <c r="K282" i="1"/>
  <c r="K250" i="1"/>
  <c r="K144" i="1"/>
  <c r="K366" i="1"/>
  <c r="K350" i="1"/>
  <c r="K312" i="1"/>
  <c r="K296" i="1"/>
  <c r="K280" i="1"/>
  <c r="K264" i="1"/>
  <c r="K248" i="1"/>
  <c r="K342" i="1"/>
  <c r="K334" i="1"/>
  <c r="K152" i="1"/>
  <c r="K184" i="1"/>
  <c r="K204" i="1"/>
  <c r="J51" i="1"/>
  <c r="K39" i="1"/>
  <c r="J75" i="1"/>
  <c r="J89" i="1"/>
  <c r="J73" i="1"/>
  <c r="J57" i="1"/>
  <c r="S22" i="1"/>
  <c r="K188" i="1"/>
  <c r="K134" i="1"/>
  <c r="K130" i="1"/>
  <c r="K194" i="1"/>
  <c r="K178" i="1"/>
  <c r="K162" i="1"/>
  <c r="K106" i="1"/>
  <c r="K40" i="1"/>
  <c r="K56" i="1"/>
  <c r="K72" i="1"/>
  <c r="K88" i="1"/>
  <c r="K200" i="1"/>
  <c r="J47" i="1"/>
  <c r="J59" i="1"/>
  <c r="J12" i="1"/>
  <c r="S12" i="1"/>
  <c r="S13" i="1"/>
  <c r="S14" i="1"/>
  <c r="K69" i="1"/>
  <c r="J37" i="1"/>
  <c r="J29" i="1"/>
  <c r="K61" i="1"/>
  <c r="K105" i="1"/>
  <c r="K83" i="1"/>
  <c r="K168" i="1"/>
  <c r="K116" i="1"/>
  <c r="K136" i="1"/>
  <c r="K100" i="1"/>
  <c r="K68" i="1"/>
  <c r="K36" i="1"/>
  <c r="K12" i="1"/>
  <c r="Q7" i="1"/>
  <c r="K87" i="1"/>
  <c r="K85" i="1"/>
  <c r="J83" i="1"/>
  <c r="J79" i="1"/>
  <c r="K77" i="1"/>
  <c r="K75" i="1"/>
  <c r="J71" i="1"/>
  <c r="J69" i="1"/>
  <c r="J67" i="1"/>
  <c r="K63" i="1"/>
  <c r="J61" i="1"/>
  <c r="K59" i="1"/>
  <c r="J55" i="1"/>
  <c r="K53" i="1"/>
  <c r="K51" i="1"/>
  <c r="K47" i="1"/>
  <c r="K45" i="1"/>
  <c r="K43" i="1"/>
  <c r="J39" i="1"/>
  <c r="K37" i="1"/>
  <c r="J35" i="1"/>
  <c r="J31" i="1"/>
  <c r="K29" i="1"/>
  <c r="J27" i="1"/>
  <c r="J105" i="1"/>
  <c r="K8" i="1"/>
  <c r="K260" i="1"/>
  <c r="K276" i="1"/>
  <c r="K292" i="1"/>
  <c r="K308" i="1"/>
  <c r="K324" i="1"/>
  <c r="K346" i="1"/>
  <c r="K362" i="1"/>
  <c r="K128" i="1"/>
  <c r="K174" i="1"/>
  <c r="K190" i="1"/>
  <c r="K138" i="1"/>
  <c r="K126" i="1"/>
  <c r="K158" i="1"/>
  <c r="K274" i="1"/>
  <c r="K306" i="1"/>
  <c r="K344" i="1"/>
  <c r="K176" i="1"/>
  <c r="K140" i="1"/>
  <c r="K294" i="1"/>
  <c r="K132" i="1"/>
  <c r="K254" i="1"/>
  <c r="K270" i="1"/>
  <c r="I19" i="1"/>
  <c r="L19" i="1"/>
  <c r="K25" i="1"/>
  <c r="J25" i="1"/>
  <c r="K19" i="1"/>
  <c r="S19" i="1"/>
  <c r="S20" i="1"/>
  <c r="K10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I24" i="1"/>
  <c r="L24" i="1"/>
  <c r="Q10" i="1"/>
  <c r="J111" i="1"/>
  <c r="J107" i="1"/>
  <c r="K503" i="1"/>
  <c r="J501" i="1"/>
  <c r="K499" i="1"/>
  <c r="J497" i="1"/>
  <c r="J495" i="1"/>
  <c r="J493" i="1"/>
  <c r="J491" i="1"/>
  <c r="J489" i="1"/>
  <c r="J485" i="1"/>
  <c r="K483" i="1"/>
  <c r="J481" i="1"/>
  <c r="J479" i="1"/>
  <c r="J477" i="1"/>
  <c r="J475" i="1"/>
  <c r="J473" i="1"/>
  <c r="J471" i="1"/>
  <c r="J469" i="1"/>
  <c r="J467" i="1"/>
  <c r="J465" i="1"/>
  <c r="J463" i="1"/>
  <c r="J461" i="1"/>
  <c r="J459" i="1"/>
  <c r="J457" i="1"/>
  <c r="J453" i="1"/>
  <c r="J451" i="1"/>
  <c r="J449" i="1"/>
  <c r="J447" i="1"/>
  <c r="J445" i="1"/>
  <c r="J443" i="1"/>
  <c r="J439" i="1"/>
  <c r="J437" i="1"/>
  <c r="J435" i="1"/>
  <c r="J433" i="1"/>
  <c r="J431" i="1"/>
  <c r="J429" i="1"/>
  <c r="J427" i="1"/>
  <c r="J425" i="1"/>
  <c r="J421" i="1"/>
  <c r="J419" i="1"/>
  <c r="J417" i="1"/>
  <c r="J415" i="1"/>
  <c r="J413" i="1"/>
  <c r="J411" i="1"/>
  <c r="J409" i="1"/>
  <c r="J407" i="1"/>
  <c r="J405" i="1"/>
  <c r="J403" i="1"/>
  <c r="J401" i="1"/>
  <c r="J399" i="1"/>
  <c r="J397" i="1"/>
  <c r="J395" i="1"/>
  <c r="J393" i="1"/>
  <c r="J391" i="1"/>
  <c r="J389" i="1"/>
  <c r="J387" i="1"/>
  <c r="J385" i="1"/>
  <c r="J383" i="1"/>
  <c r="J381" i="1"/>
  <c r="J379" i="1"/>
  <c r="J377" i="1"/>
  <c r="J375" i="1"/>
  <c r="J24" i="1"/>
  <c r="J112" i="1"/>
  <c r="J110" i="1"/>
  <c r="J108" i="1"/>
  <c r="J506" i="1"/>
  <c r="J504" i="1"/>
  <c r="J502" i="1"/>
  <c r="J500" i="1"/>
  <c r="J498" i="1"/>
  <c r="J494" i="1"/>
  <c r="J492" i="1"/>
  <c r="J490" i="1"/>
  <c r="J488" i="1"/>
  <c r="J486" i="1"/>
  <c r="J484" i="1"/>
  <c r="J482" i="1"/>
  <c r="J480" i="1"/>
  <c r="J476" i="1"/>
  <c r="J474" i="1"/>
  <c r="J472" i="1"/>
  <c r="J470" i="1"/>
  <c r="J468" i="1"/>
  <c r="J466" i="1"/>
  <c r="J462" i="1"/>
  <c r="J460" i="1"/>
  <c r="J458" i="1"/>
  <c r="J456" i="1"/>
  <c r="J454" i="1"/>
  <c r="J452" i="1"/>
  <c r="J450" i="1"/>
  <c r="J448" i="1"/>
  <c r="J446" i="1"/>
  <c r="J444" i="1"/>
  <c r="J442" i="1"/>
  <c r="J438" i="1"/>
  <c r="J436" i="1"/>
  <c r="J434" i="1"/>
  <c r="J430" i="1"/>
  <c r="J428" i="1"/>
  <c r="J426" i="1"/>
  <c r="J424" i="1"/>
  <c r="J422" i="1"/>
  <c r="J420" i="1"/>
  <c r="J418" i="1"/>
  <c r="J416" i="1"/>
  <c r="J414" i="1"/>
  <c r="J412" i="1"/>
  <c r="J410" i="1"/>
  <c r="J408" i="1"/>
  <c r="J406" i="1"/>
  <c r="J404" i="1"/>
  <c r="J402" i="1"/>
  <c r="J400" i="1"/>
  <c r="J398" i="1"/>
  <c r="J396" i="1"/>
  <c r="J394" i="1"/>
  <c r="J392" i="1"/>
  <c r="J390" i="1"/>
  <c r="J388" i="1"/>
  <c r="J386" i="1"/>
  <c r="J384" i="1"/>
  <c r="J382" i="1"/>
  <c r="J380" i="1"/>
  <c r="J378" i="1"/>
  <c r="J374" i="1"/>
  <c r="K95" i="1"/>
  <c r="K92" i="1"/>
  <c r="K76" i="1"/>
  <c r="K60" i="1"/>
  <c r="K44" i="1"/>
  <c r="K28" i="1"/>
  <c r="K82" i="1"/>
  <c r="K101" i="1"/>
  <c r="K99" i="1"/>
  <c r="J97" i="1"/>
  <c r="J95" i="1"/>
  <c r="K93" i="1"/>
  <c r="J91" i="1"/>
  <c r="K54" i="1"/>
  <c r="K206" i="1"/>
  <c r="K196" i="1"/>
  <c r="K14" i="1"/>
  <c r="K16" i="1"/>
  <c r="S18" i="1"/>
  <c r="J23" i="1"/>
  <c r="J100" i="1"/>
  <c r="J98" i="1"/>
  <c r="J96" i="1"/>
  <c r="J94" i="1"/>
  <c r="J92" i="1"/>
  <c r="J90" i="1"/>
  <c r="J88" i="1"/>
  <c r="J86" i="1"/>
  <c r="J84" i="1"/>
  <c r="J82" i="1"/>
  <c r="J80" i="1"/>
  <c r="J78" i="1"/>
  <c r="J76" i="1"/>
  <c r="J74" i="1"/>
  <c r="J72" i="1"/>
  <c r="J70" i="1"/>
  <c r="J68" i="1"/>
  <c r="J66" i="1"/>
  <c r="J64" i="1"/>
  <c r="J62" i="1"/>
  <c r="J60" i="1"/>
  <c r="J58" i="1"/>
  <c r="J56" i="1"/>
  <c r="J54" i="1"/>
  <c r="J52" i="1"/>
  <c r="J50" i="1"/>
  <c r="J48" i="1"/>
  <c r="J46" i="1"/>
  <c r="J44" i="1"/>
  <c r="J42" i="1"/>
  <c r="J40" i="1"/>
  <c r="J38" i="1"/>
  <c r="J36" i="1"/>
  <c r="J34" i="1"/>
  <c r="J32" i="1"/>
  <c r="J30" i="1"/>
  <c r="J28" i="1"/>
  <c r="J26" i="1"/>
  <c r="J106" i="1"/>
  <c r="J104" i="1"/>
  <c r="J103" i="1"/>
  <c r="J102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K151" i="1"/>
  <c r="J150" i="1"/>
  <c r="J149" i="1"/>
  <c r="J148" i="1"/>
  <c r="K147" i="1"/>
  <c r="J146" i="1"/>
  <c r="J145" i="1"/>
  <c r="J144" i="1"/>
  <c r="J143" i="1"/>
  <c r="J142" i="1"/>
  <c r="J141" i="1"/>
  <c r="J140" i="1"/>
  <c r="J139" i="1"/>
  <c r="J138" i="1"/>
  <c r="J137" i="1"/>
  <c r="J136" i="1"/>
  <c r="K135" i="1"/>
  <c r="J134" i="1"/>
  <c r="J133" i="1"/>
  <c r="J132" i="1"/>
  <c r="K131" i="1"/>
  <c r="J130" i="1"/>
  <c r="J129" i="1"/>
  <c r="J128" i="1"/>
  <c r="J127" i="1"/>
  <c r="J126" i="1"/>
  <c r="J125" i="1"/>
  <c r="J124" i="1"/>
  <c r="J123" i="1"/>
  <c r="J122" i="1"/>
  <c r="J121" i="1"/>
  <c r="J120" i="1"/>
  <c r="K119" i="1"/>
  <c r="J118" i="1"/>
  <c r="J117" i="1"/>
  <c r="J116" i="1"/>
  <c r="K115" i="1"/>
  <c r="J114" i="1"/>
  <c r="J113" i="1"/>
  <c r="J20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13" i="1"/>
  <c r="K21" i="1"/>
  <c r="J19" i="1"/>
  <c r="J18" i="1"/>
  <c r="K18" i="1"/>
  <c r="S24" i="1"/>
  <c r="K24" i="1"/>
  <c r="I9" i="1"/>
  <c r="L9" i="1"/>
  <c r="I15" i="1"/>
  <c r="P8" i="1"/>
  <c r="S6" i="1"/>
  <c r="K7" i="1"/>
  <c r="T11" i="1"/>
  <c r="S11" i="1"/>
  <c r="J11" i="1"/>
  <c r="K11" i="1"/>
  <c r="K382" i="1"/>
  <c r="K506" i="1"/>
  <c r="K498" i="1"/>
  <c r="K488" i="1"/>
  <c r="K478" i="1"/>
  <c r="K472" i="1"/>
  <c r="K462" i="1"/>
  <c r="K458" i="1"/>
  <c r="K446" i="1"/>
  <c r="K442" i="1"/>
  <c r="K436" i="1"/>
  <c r="K426" i="1"/>
  <c r="K414" i="1"/>
  <c r="K400" i="1"/>
  <c r="K396" i="1"/>
  <c r="L15" i="1"/>
  <c r="P9" i="1"/>
  <c r="K394" i="1"/>
  <c r="K378" i="1"/>
  <c r="T25" i="1"/>
  <c r="T19" i="1"/>
  <c r="T20" i="1"/>
  <c r="T24" i="1"/>
  <c r="T12" i="1"/>
  <c r="T13" i="1"/>
  <c r="T14" i="1"/>
  <c r="T15" i="1"/>
  <c r="J15" i="1"/>
  <c r="S15" i="1"/>
  <c r="S16" i="1"/>
  <c r="K15" i="1"/>
  <c r="T9" i="1"/>
  <c r="J9" i="1"/>
  <c r="S9" i="1"/>
  <c r="K9" i="1"/>
  <c r="P10" i="1"/>
  <c r="T18" i="1"/>
  <c r="L21" i="1"/>
  <c r="S21" i="1"/>
  <c r="Q8" i="1"/>
  <c r="J21" i="1"/>
  <c r="Q9" i="1"/>
  <c r="J16" i="1"/>
  <c r="L16" i="1"/>
  <c r="T16" i="1"/>
  <c r="L7" i="1"/>
  <c r="S7" i="1"/>
  <c r="S8" i="1"/>
  <c r="J7" i="1"/>
  <c r="L10" i="1"/>
  <c r="T10" i="1"/>
  <c r="J10" i="1"/>
  <c r="S10" i="1"/>
  <c r="L205" i="1"/>
  <c r="K205" i="1"/>
  <c r="L201" i="1"/>
  <c r="K201" i="1"/>
  <c r="L197" i="1"/>
  <c r="K197" i="1"/>
  <c r="L193" i="1"/>
  <c r="K193" i="1"/>
  <c r="L189" i="1"/>
  <c r="K189" i="1"/>
  <c r="L185" i="1"/>
  <c r="L181" i="1"/>
  <c r="K181" i="1"/>
  <c r="L177" i="1"/>
  <c r="K177" i="1"/>
  <c r="L173" i="1"/>
  <c r="K173" i="1"/>
  <c r="L169" i="1"/>
  <c r="K169" i="1"/>
  <c r="L165" i="1"/>
  <c r="K165" i="1"/>
  <c r="L161" i="1"/>
  <c r="K161" i="1"/>
  <c r="L157" i="1"/>
  <c r="K157" i="1"/>
  <c r="K185" i="1"/>
  <c r="L17" i="1"/>
  <c r="T17" i="1"/>
  <c r="K17" i="1"/>
  <c r="S17" i="1"/>
  <c r="J17" i="1"/>
  <c r="L141" i="1"/>
  <c r="K141" i="1"/>
  <c r="L137" i="1"/>
  <c r="K137" i="1"/>
  <c r="L133" i="1"/>
  <c r="K133" i="1"/>
  <c r="L129" i="1"/>
  <c r="K129" i="1"/>
  <c r="L125" i="1"/>
  <c r="K125" i="1"/>
  <c r="L113" i="1"/>
  <c r="K113" i="1"/>
  <c r="L109" i="1"/>
  <c r="K109" i="1"/>
  <c r="L505" i="1"/>
  <c r="K505" i="1"/>
  <c r="L450" i="1"/>
  <c r="K450" i="1"/>
  <c r="L441" i="1"/>
  <c r="K441" i="1"/>
  <c r="K102" i="1"/>
  <c r="J478" i="1"/>
  <c r="J441" i="1"/>
  <c r="J109" i="1"/>
  <c r="J99" i="1"/>
  <c r="K473" i="1"/>
  <c r="K496" i="1"/>
  <c r="K464" i="1"/>
  <c r="J464" i="1"/>
  <c r="L455" i="1"/>
  <c r="J455" i="1"/>
  <c r="K455" i="1"/>
  <c r="L464" i="1"/>
  <c r="K149" i="1"/>
  <c r="K121" i="1"/>
  <c r="L98" i="1"/>
  <c r="K98" i="1"/>
  <c r="L90" i="1"/>
  <c r="K90" i="1"/>
  <c r="L58" i="1"/>
  <c r="K58" i="1"/>
  <c r="L50" i="1"/>
  <c r="K50" i="1"/>
  <c r="L42" i="1"/>
  <c r="K42" i="1"/>
  <c r="L34" i="1"/>
  <c r="K34" i="1"/>
  <c r="L26" i="1"/>
  <c r="T26" i="1"/>
  <c r="K26" i="1"/>
  <c r="L465" i="1"/>
  <c r="K465" i="1"/>
  <c r="L401" i="1"/>
  <c r="K401" i="1"/>
  <c r="K380" i="1"/>
  <c r="L380" i="1"/>
  <c r="J376" i="1"/>
  <c r="L376" i="1"/>
  <c r="K376" i="1"/>
  <c r="L372" i="1"/>
  <c r="K372" i="1"/>
  <c r="K368" i="1"/>
  <c r="K364" i="1"/>
  <c r="L364" i="1"/>
  <c r="L360" i="1"/>
  <c r="L356" i="1"/>
  <c r="L348" i="1"/>
  <c r="K348" i="1"/>
  <c r="L344" i="1"/>
  <c r="L340" i="1"/>
  <c r="K340" i="1"/>
  <c r="L336" i="1"/>
  <c r="K336" i="1"/>
  <c r="L332" i="1"/>
  <c r="K332" i="1"/>
  <c r="L328" i="1"/>
  <c r="K328" i="1"/>
  <c r="L324" i="1"/>
  <c r="L320" i="1"/>
  <c r="L316" i="1"/>
  <c r="K316" i="1"/>
  <c r="L312" i="1"/>
  <c r="Q5" i="1"/>
  <c r="Q15" i="1"/>
  <c r="Q14" i="1"/>
  <c r="L23" i="1"/>
  <c r="T23" i="1"/>
  <c r="K23" i="1"/>
  <c r="S23" i="1"/>
  <c r="L22" i="1"/>
  <c r="T22" i="1"/>
  <c r="K22" i="1"/>
  <c r="L352" i="1"/>
  <c r="J505" i="1"/>
  <c r="K117" i="1"/>
  <c r="K153" i="1"/>
  <c r="K66" i="1"/>
  <c r="K145" i="1"/>
  <c r="L91" i="1"/>
  <c r="K91" i="1"/>
  <c r="L67" i="1"/>
  <c r="K67" i="1"/>
  <c r="L35" i="1"/>
  <c r="K35" i="1"/>
  <c r="L27" i="1"/>
  <c r="T27" i="1"/>
  <c r="T28" i="1"/>
  <c r="T29" i="1"/>
  <c r="T30" i="1"/>
  <c r="T31" i="1"/>
  <c r="T32" i="1"/>
  <c r="T33" i="1"/>
  <c r="K27" i="1"/>
  <c r="L491" i="1"/>
  <c r="K491" i="1"/>
  <c r="L487" i="1"/>
  <c r="K487" i="1"/>
  <c r="K440" i="1"/>
  <c r="J440" i="1"/>
  <c r="L440" i="1"/>
  <c r="J432" i="1"/>
  <c r="K432" i="1"/>
  <c r="L423" i="1"/>
  <c r="J423" i="1"/>
  <c r="K423" i="1"/>
  <c r="L419" i="1"/>
  <c r="K419" i="1"/>
  <c r="L496" i="1"/>
  <c r="L432" i="1"/>
  <c r="K502" i="1"/>
  <c r="K452" i="1"/>
  <c r="L398" i="1"/>
  <c r="K398" i="1"/>
  <c r="P7" i="1"/>
  <c r="L87" i="1"/>
  <c r="L55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K33" i="1"/>
  <c r="K41" i="1"/>
  <c r="J49" i="1"/>
  <c r="K57" i="1"/>
  <c r="K65" i="1"/>
  <c r="K73" i="1"/>
  <c r="J81" i="1"/>
  <c r="K89" i="1"/>
  <c r="J41" i="1"/>
  <c r="K81" i="1"/>
  <c r="K46" i="1"/>
  <c r="K32" i="1"/>
  <c r="K104" i="1"/>
  <c r="P12" i="1"/>
  <c r="P11" i="1"/>
  <c r="T6" i="1"/>
  <c r="T7" i="1"/>
  <c r="T8" i="1"/>
  <c r="P1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Q13" i="1"/>
  <c r="Q12" i="1"/>
  <c r="T21" i="1"/>
  <c r="Q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DBP</author>
    <author>Daniel Brooke Peig</author>
  </authors>
  <commentList>
    <comment ref="B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Quilometragem do veículo. Não confundir com a quilometragem parcial.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Responder se o tanque foi completamente cheio ou não neste abastecimento.</t>
        </r>
      </text>
    </comment>
    <comment ref="L4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Custo estimado. Em caso de multiplos abastecimentos considera o último valor pago.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Ingorar estes dados. Apenas para elaboração do gráfico.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Alterar para indicar quantos abastecimentos serão considerados na estatística parcial.</t>
        </r>
      </text>
    </comment>
  </commentList>
</comments>
</file>

<file path=xl/sharedStrings.xml><?xml version="1.0" encoding="utf-8"?>
<sst xmlns="http://schemas.openxmlformats.org/spreadsheetml/2006/main" count="74" uniqueCount="43">
  <si>
    <t>L</t>
  </si>
  <si>
    <t>km</t>
  </si>
  <si>
    <t>$/L</t>
  </si>
  <si>
    <t>Completou?</t>
  </si>
  <si>
    <t>Consumo</t>
  </si>
  <si>
    <t>km/L</t>
  </si>
  <si>
    <t>L/100km</t>
  </si>
  <si>
    <t>milhas/galão</t>
  </si>
  <si>
    <t>Data</t>
  </si>
  <si>
    <t>dd/mm/aaaa</t>
  </si>
  <si>
    <t>Sim</t>
  </si>
  <si>
    <t>Não</t>
  </si>
  <si>
    <t>Parcial acumulado</t>
  </si>
  <si>
    <t>Estatísticas</t>
  </si>
  <si>
    <t>Geral</t>
  </si>
  <si>
    <t>Distância percorrida</t>
  </si>
  <si>
    <t>Volume de combustível</t>
  </si>
  <si>
    <t>Consumo médio</t>
  </si>
  <si>
    <t>Consumo mínimo</t>
  </si>
  <si>
    <t>Consumo máximo</t>
  </si>
  <si>
    <t>$</t>
  </si>
  <si>
    <t>Custo do km médio</t>
  </si>
  <si>
    <t>$/km</t>
  </si>
  <si>
    <t>Total gasto em combustível</t>
  </si>
  <si>
    <t>Valor</t>
  </si>
  <si>
    <t>Período considerado</t>
  </si>
  <si>
    <t>dias</t>
  </si>
  <si>
    <t>Abastecimentos realizados</t>
  </si>
  <si>
    <t>Últimos X abastecimentos</t>
  </si>
  <si>
    <t>X=</t>
  </si>
  <si>
    <t>Consumo gráfico</t>
  </si>
  <si>
    <t>Preço do Litro</t>
  </si>
  <si>
    <t>http://www.danbp.org</t>
  </si>
  <si>
    <t>© 2010 - Daniel Brooke Peig</t>
  </si>
  <si>
    <t>Volume abastecido</t>
  </si>
  <si>
    <t>Cálculo do consumo de combustível de veículos</t>
  </si>
  <si>
    <t>Odômetro total</t>
  </si>
  <si>
    <t>Custo do km</t>
  </si>
  <si>
    <t>Custo do km mínimo</t>
  </si>
  <si>
    <t>Custo do km máximo</t>
  </si>
  <si>
    <t>Gráfico custo km</t>
  </si>
  <si>
    <t>© Daniel Brooke Peig (daniel@brookepeig.com)</t>
  </si>
  <si>
    <t>© Daniel Brooke Peig (daniel@brookepeig.com). Versão 09/03/2016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</si>
</sst>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8"/>
      <color theme="1" tint="0.249977111117893"/>
      <name val="Arial"/>
      <family val="2"/>
    </font>
    <font>
      <u/>
      <sz val="8"/>
      <color theme="1" tint="0.249977111117893"/>
      <name val="Arial"/>
      <family val="2"/>
    </font>
    <font>
      <b/>
      <sz val="12"/>
      <color theme="1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C6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0" fillId="2" borderId="1" xfId="0" applyFill="1" applyBorder="1"/>
    <xf numFmtId="164" fontId="0" fillId="0" borderId="1" xfId="0" applyNumberFormat="1" applyBorder="1"/>
    <xf numFmtId="164" fontId="0" fillId="0" borderId="2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3" xfId="0" applyFill="1" applyBorder="1"/>
    <xf numFmtId="164" fontId="0" fillId="3" borderId="3" xfId="0" applyNumberFormat="1" applyFill="1" applyBorder="1"/>
    <xf numFmtId="14" fontId="0" fillId="4" borderId="4" xfId="0" applyNumberFormat="1" applyFill="1" applyBorder="1" applyProtection="1">
      <protection locked="0"/>
    </xf>
    <xf numFmtId="0" fontId="0" fillId="4" borderId="1" xfId="0" applyFill="1" applyBorder="1" applyProtection="1">
      <protection locked="0"/>
    </xf>
    <xf numFmtId="14" fontId="0" fillId="5" borderId="4" xfId="0" applyNumberFormat="1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center"/>
      <protection locked="0"/>
    </xf>
    <xf numFmtId="14" fontId="0" fillId="5" borderId="5" xfId="0" applyNumberFormat="1" applyFill="1" applyBorder="1" applyProtection="1">
      <protection locked="0"/>
    </xf>
    <xf numFmtId="0" fontId="0" fillId="5" borderId="3" xfId="0" applyFill="1" applyBorder="1" applyProtection="1"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</xf>
    <xf numFmtId="164" fontId="0" fillId="0" borderId="0" xfId="0" applyNumberFormat="1"/>
    <xf numFmtId="1" fontId="0" fillId="0" borderId="1" xfId="0" applyNumberFormat="1" applyBorder="1"/>
    <xf numFmtId="0" fontId="7" fillId="0" borderId="1" xfId="0" applyFont="1" applyBorder="1"/>
    <xf numFmtId="0" fontId="0" fillId="5" borderId="6" xfId="0" applyFill="1" applyBorder="1" applyProtection="1">
      <protection locked="0"/>
    </xf>
    <xf numFmtId="0" fontId="7" fillId="0" borderId="4" xfId="0" applyFont="1" applyBorder="1"/>
    <xf numFmtId="0" fontId="0" fillId="0" borderId="2" xfId="0" applyBorder="1"/>
    <xf numFmtId="0" fontId="7" fillId="0" borderId="5" xfId="0" applyFont="1" applyFill="1" applyBorder="1"/>
    <xf numFmtId="0" fontId="7" fillId="0" borderId="3" xfId="0" applyFont="1" applyFill="1" applyBorder="1"/>
    <xf numFmtId="1" fontId="0" fillId="0" borderId="3" xfId="0" applyNumberFormat="1" applyBorder="1"/>
    <xf numFmtId="0" fontId="0" fillId="0" borderId="7" xfId="0" applyBorder="1"/>
    <xf numFmtId="0" fontId="8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8" fillId="7" borderId="11" xfId="0" applyFont="1" applyFill="1" applyBorder="1" applyAlignment="1">
      <alignment horizontal="right"/>
    </xf>
    <xf numFmtId="0" fontId="9" fillId="0" borderId="0" xfId="0" applyFont="1"/>
    <xf numFmtId="0" fontId="10" fillId="0" borderId="0" xfId="1" applyFont="1" applyAlignment="1" applyProtection="1"/>
    <xf numFmtId="0" fontId="11" fillId="0" borderId="0" xfId="0" applyFont="1"/>
    <xf numFmtId="0" fontId="12" fillId="0" borderId="0" xfId="0" applyFont="1"/>
    <xf numFmtId="2" fontId="0" fillId="0" borderId="1" xfId="0" applyNumberFormat="1" applyBorder="1"/>
    <xf numFmtId="2" fontId="0" fillId="0" borderId="2" xfId="0" applyNumberFormat="1" applyBorder="1"/>
    <xf numFmtId="0" fontId="8" fillId="7" borderId="10" xfId="0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2" fontId="0" fillId="0" borderId="0" xfId="0" applyNumberFormat="1"/>
    <xf numFmtId="2" fontId="8" fillId="7" borderId="8" xfId="0" applyNumberFormat="1" applyFont="1" applyFill="1" applyBorder="1" applyAlignment="1">
      <alignment horizontal="center" wrapText="1"/>
    </xf>
    <xf numFmtId="2" fontId="8" fillId="7" borderId="2" xfId="0" applyNumberFormat="1" applyFont="1" applyFill="1" applyBorder="1" applyAlignment="1">
      <alignment horizontal="center" wrapText="1"/>
    </xf>
    <xf numFmtId="2" fontId="0" fillId="2" borderId="2" xfId="0" applyNumberFormat="1" applyFill="1" applyBorder="1"/>
    <xf numFmtId="2" fontId="0" fillId="3" borderId="2" xfId="0" applyNumberFormat="1" applyFill="1" applyBorder="1"/>
    <xf numFmtId="2" fontId="0" fillId="0" borderId="7" xfId="0" applyNumberFormat="1" applyBorder="1"/>
    <xf numFmtId="164" fontId="8" fillId="7" borderId="10" xfId="0" applyNumberFormat="1" applyFont="1" applyFill="1" applyBorder="1" applyAlignment="1">
      <alignment horizontal="center" vertical="center" wrapText="1"/>
    </xf>
    <xf numFmtId="164" fontId="8" fillId="7" borderId="8" xfId="0" applyNumberFormat="1" applyFont="1" applyFill="1" applyBorder="1" applyAlignment="1">
      <alignment horizontal="center" vertical="center" wrapText="1"/>
    </xf>
    <xf numFmtId="164" fontId="8" fillId="7" borderId="4" xfId="0" applyNumberFormat="1" applyFont="1" applyFill="1" applyBorder="1" applyAlignment="1">
      <alignment horizontal="center" vertical="center" wrapText="1"/>
    </xf>
    <xf numFmtId="164" fontId="8" fillId="7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ill="1" applyBorder="1"/>
    <xf numFmtId="2" fontId="0" fillId="6" borderId="2" xfId="0" applyNumberFormat="1" applyFill="1" applyBorder="1"/>
    <xf numFmtId="164" fontId="0" fillId="0" borderId="4" xfId="0" applyNumberFormat="1" applyBorder="1"/>
    <xf numFmtId="164" fontId="0" fillId="0" borderId="5" xfId="0" applyNumberFormat="1" applyBorder="1"/>
    <xf numFmtId="0" fontId="7" fillId="8" borderId="4" xfId="0" applyFont="1" applyFill="1" applyBorder="1"/>
    <xf numFmtId="0" fontId="7" fillId="8" borderId="1" xfId="0" applyFont="1" applyFill="1" applyBorder="1"/>
    <xf numFmtId="164" fontId="0" fillId="8" borderId="1" xfId="0" applyNumberFormat="1" applyFill="1" applyBorder="1"/>
    <xf numFmtId="164" fontId="0" fillId="8" borderId="2" xfId="0" applyNumberFormat="1" applyFill="1" applyBorder="1"/>
    <xf numFmtId="2" fontId="0" fillId="8" borderId="1" xfId="0" applyNumberFormat="1" applyFill="1" applyBorder="1"/>
    <xf numFmtId="2" fontId="0" fillId="8" borderId="2" xfId="0" applyNumberFormat="1" applyFill="1" applyBorder="1"/>
    <xf numFmtId="0" fontId="8" fillId="7" borderId="9" xfId="0" applyFont="1" applyFill="1" applyBorder="1" applyAlignment="1">
      <alignment horizontal="center" wrapText="1"/>
    </xf>
    <xf numFmtId="0" fontId="8" fillId="7" borderId="9" xfId="0" applyFont="1" applyFill="1" applyBorder="1" applyAlignment="1">
      <alignment horizontal="center" wrapText="1"/>
    </xf>
    <xf numFmtId="0" fontId="8" fillId="7" borderId="12" xfId="0" applyFont="1" applyFill="1" applyBorder="1" applyAlignment="1">
      <alignment horizontal="center" wrapText="1"/>
    </xf>
    <xf numFmtId="0" fontId="8" fillId="7" borderId="13" xfId="0" applyFont="1" applyFill="1" applyBorder="1" applyAlignment="1">
      <alignment horizont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Consumo x Distância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Consumo x Distancia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CALCULO!$B$7:$B$506</c:f>
              <c:numCache>
                <c:formatCode>General</c:formatCode>
                <c:ptCount val="500"/>
                <c:pt idx="0">
                  <c:v>72300</c:v>
                </c:pt>
                <c:pt idx="1">
                  <c:v>72800</c:v>
                </c:pt>
                <c:pt idx="2">
                  <c:v>72950</c:v>
                </c:pt>
                <c:pt idx="3">
                  <c:v>73200</c:v>
                </c:pt>
                <c:pt idx="4">
                  <c:v>73500</c:v>
                </c:pt>
                <c:pt idx="5">
                  <c:v>73800</c:v>
                </c:pt>
                <c:pt idx="6">
                  <c:v>74100</c:v>
                </c:pt>
                <c:pt idx="7">
                  <c:v>74400</c:v>
                </c:pt>
                <c:pt idx="8">
                  <c:v>74700</c:v>
                </c:pt>
                <c:pt idx="9">
                  <c:v>75000</c:v>
                </c:pt>
                <c:pt idx="10">
                  <c:v>75300</c:v>
                </c:pt>
                <c:pt idx="11">
                  <c:v>75600</c:v>
                </c:pt>
                <c:pt idx="12">
                  <c:v>75900</c:v>
                </c:pt>
                <c:pt idx="13">
                  <c:v>76200</c:v>
                </c:pt>
                <c:pt idx="14">
                  <c:v>76550</c:v>
                </c:pt>
                <c:pt idx="15">
                  <c:v>76820</c:v>
                </c:pt>
                <c:pt idx="16">
                  <c:v>77110</c:v>
                </c:pt>
                <c:pt idx="17">
                  <c:v>77460</c:v>
                </c:pt>
                <c:pt idx="18">
                  <c:v>77690</c:v>
                </c:pt>
              </c:numCache>
            </c:numRef>
          </c:xVal>
          <c:yVal>
            <c:numRef>
              <c:f>CALCULO!$S$7:$S$506</c:f>
              <c:numCache>
                <c:formatCode>0.0</c:formatCode>
                <c:ptCount val="500"/>
                <c:pt idx="0">
                  <c:v>10</c:v>
                </c:pt>
                <c:pt idx="1">
                  <c:v>10</c:v>
                </c:pt>
                <c:pt idx="2">
                  <c:v>10.833333333333334</c:v>
                </c:pt>
                <c:pt idx="3">
                  <c:v>8.3333333333333339</c:v>
                </c:pt>
                <c:pt idx="4">
                  <c:v>10</c:v>
                </c:pt>
                <c:pt idx="5">
                  <c:v>10.344827586206897</c:v>
                </c:pt>
                <c:pt idx="6">
                  <c:v>10.344827586206897</c:v>
                </c:pt>
                <c:pt idx="7">
                  <c:v>10.344827586206897</c:v>
                </c:pt>
                <c:pt idx="8">
                  <c:v>11.111111111111111</c:v>
                </c:pt>
                <c:pt idx="9">
                  <c:v>11.111111111111111</c:v>
                </c:pt>
                <c:pt idx="10">
                  <c:v>9.5238095238095237</c:v>
                </c:pt>
                <c:pt idx="11">
                  <c:v>12</c:v>
                </c:pt>
                <c:pt idx="12">
                  <c:v>11.111111111111111</c:v>
                </c:pt>
                <c:pt idx="13">
                  <c:v>11.111111111111111</c:v>
                </c:pt>
                <c:pt idx="14">
                  <c:v>10.317460317460318</c:v>
                </c:pt>
                <c:pt idx="15">
                  <c:v>9</c:v>
                </c:pt>
                <c:pt idx="16">
                  <c:v>10</c:v>
                </c:pt>
                <c:pt idx="17">
                  <c:v>12.962962962962964</c:v>
                </c:pt>
                <c:pt idx="18">
                  <c:v>8.2142857142857135</c:v>
                </c:pt>
                <c:pt idx="19">
                  <c:v>8.2142857142857135</c:v>
                </c:pt>
                <c:pt idx="20">
                  <c:v>8.2142857142857135</c:v>
                </c:pt>
                <c:pt idx="21">
                  <c:v>8.2142857142857135</c:v>
                </c:pt>
                <c:pt idx="22">
                  <c:v>8.2142857142857135</c:v>
                </c:pt>
                <c:pt idx="23">
                  <c:v>8.2142857142857135</c:v>
                </c:pt>
                <c:pt idx="24">
                  <c:v>8.2142857142857135</c:v>
                </c:pt>
                <c:pt idx="25">
                  <c:v>8.2142857142857135</c:v>
                </c:pt>
                <c:pt idx="26">
                  <c:v>8.2142857142857135</c:v>
                </c:pt>
                <c:pt idx="27">
                  <c:v>8.2142857142857135</c:v>
                </c:pt>
                <c:pt idx="28">
                  <c:v>8.2142857142857135</c:v>
                </c:pt>
                <c:pt idx="29">
                  <c:v>8.2142857142857135</c:v>
                </c:pt>
                <c:pt idx="30">
                  <c:v>8.2142857142857135</c:v>
                </c:pt>
                <c:pt idx="31">
                  <c:v>8.2142857142857135</c:v>
                </c:pt>
                <c:pt idx="32">
                  <c:v>8.2142857142857135</c:v>
                </c:pt>
                <c:pt idx="33">
                  <c:v>8.2142857142857135</c:v>
                </c:pt>
                <c:pt idx="34">
                  <c:v>8.2142857142857135</c:v>
                </c:pt>
                <c:pt idx="35">
                  <c:v>8.2142857142857135</c:v>
                </c:pt>
                <c:pt idx="36">
                  <c:v>8.2142857142857135</c:v>
                </c:pt>
                <c:pt idx="37">
                  <c:v>8.2142857142857135</c:v>
                </c:pt>
                <c:pt idx="38">
                  <c:v>8.2142857142857135</c:v>
                </c:pt>
                <c:pt idx="39">
                  <c:v>8.2142857142857135</c:v>
                </c:pt>
                <c:pt idx="40">
                  <c:v>8.2142857142857135</c:v>
                </c:pt>
                <c:pt idx="41">
                  <c:v>8.2142857142857135</c:v>
                </c:pt>
                <c:pt idx="42">
                  <c:v>8.2142857142857135</c:v>
                </c:pt>
                <c:pt idx="43">
                  <c:v>8.2142857142857135</c:v>
                </c:pt>
                <c:pt idx="44">
                  <c:v>8.2142857142857135</c:v>
                </c:pt>
                <c:pt idx="45">
                  <c:v>8.2142857142857135</c:v>
                </c:pt>
                <c:pt idx="46">
                  <c:v>8.2142857142857135</c:v>
                </c:pt>
                <c:pt idx="47">
                  <c:v>8.2142857142857135</c:v>
                </c:pt>
                <c:pt idx="48">
                  <c:v>8.2142857142857135</c:v>
                </c:pt>
                <c:pt idx="49">
                  <c:v>8.2142857142857135</c:v>
                </c:pt>
                <c:pt idx="50">
                  <c:v>8.2142857142857135</c:v>
                </c:pt>
                <c:pt idx="51">
                  <c:v>8.2142857142857135</c:v>
                </c:pt>
                <c:pt idx="52">
                  <c:v>8.2142857142857135</c:v>
                </c:pt>
                <c:pt idx="53">
                  <c:v>8.2142857142857135</c:v>
                </c:pt>
                <c:pt idx="54">
                  <c:v>8.2142857142857135</c:v>
                </c:pt>
                <c:pt idx="55">
                  <c:v>8.2142857142857135</c:v>
                </c:pt>
                <c:pt idx="56">
                  <c:v>8.2142857142857135</c:v>
                </c:pt>
                <c:pt idx="57">
                  <c:v>8.2142857142857135</c:v>
                </c:pt>
                <c:pt idx="58">
                  <c:v>8.2142857142857135</c:v>
                </c:pt>
                <c:pt idx="59">
                  <c:v>8.2142857142857135</c:v>
                </c:pt>
                <c:pt idx="60">
                  <c:v>8.2142857142857135</c:v>
                </c:pt>
                <c:pt idx="61">
                  <c:v>8.2142857142857135</c:v>
                </c:pt>
                <c:pt idx="62">
                  <c:v>8.2142857142857135</c:v>
                </c:pt>
                <c:pt idx="63">
                  <c:v>8.2142857142857135</c:v>
                </c:pt>
                <c:pt idx="64">
                  <c:v>8.2142857142857135</c:v>
                </c:pt>
                <c:pt idx="65">
                  <c:v>8.2142857142857135</c:v>
                </c:pt>
                <c:pt idx="66">
                  <c:v>8.2142857142857135</c:v>
                </c:pt>
                <c:pt idx="67">
                  <c:v>8.2142857142857135</c:v>
                </c:pt>
                <c:pt idx="68">
                  <c:v>8.2142857142857135</c:v>
                </c:pt>
                <c:pt idx="69">
                  <c:v>8.2142857142857135</c:v>
                </c:pt>
                <c:pt idx="70">
                  <c:v>8.2142857142857135</c:v>
                </c:pt>
                <c:pt idx="71">
                  <c:v>8.2142857142857135</c:v>
                </c:pt>
                <c:pt idx="72">
                  <c:v>8.2142857142857135</c:v>
                </c:pt>
                <c:pt idx="73">
                  <c:v>8.2142857142857135</c:v>
                </c:pt>
                <c:pt idx="74">
                  <c:v>8.2142857142857135</c:v>
                </c:pt>
                <c:pt idx="75">
                  <c:v>8.2142857142857135</c:v>
                </c:pt>
                <c:pt idx="76">
                  <c:v>8.2142857142857135</c:v>
                </c:pt>
                <c:pt idx="77">
                  <c:v>8.2142857142857135</c:v>
                </c:pt>
                <c:pt idx="78">
                  <c:v>8.2142857142857135</c:v>
                </c:pt>
                <c:pt idx="79">
                  <c:v>8.2142857142857135</c:v>
                </c:pt>
                <c:pt idx="80">
                  <c:v>8.2142857142857135</c:v>
                </c:pt>
                <c:pt idx="81">
                  <c:v>8.2142857142857135</c:v>
                </c:pt>
                <c:pt idx="82">
                  <c:v>8.2142857142857135</c:v>
                </c:pt>
                <c:pt idx="83">
                  <c:v>8.2142857142857135</c:v>
                </c:pt>
                <c:pt idx="84">
                  <c:v>8.2142857142857135</c:v>
                </c:pt>
                <c:pt idx="85">
                  <c:v>8.2142857142857135</c:v>
                </c:pt>
                <c:pt idx="86">
                  <c:v>8.2142857142857135</c:v>
                </c:pt>
                <c:pt idx="87">
                  <c:v>8.2142857142857135</c:v>
                </c:pt>
                <c:pt idx="88">
                  <c:v>8.2142857142857135</c:v>
                </c:pt>
                <c:pt idx="89">
                  <c:v>8.2142857142857135</c:v>
                </c:pt>
                <c:pt idx="90">
                  <c:v>8.2142857142857135</c:v>
                </c:pt>
                <c:pt idx="91">
                  <c:v>8.2142857142857135</c:v>
                </c:pt>
                <c:pt idx="92">
                  <c:v>8.2142857142857135</c:v>
                </c:pt>
                <c:pt idx="93">
                  <c:v>8.2142857142857135</c:v>
                </c:pt>
                <c:pt idx="94">
                  <c:v>8.2142857142857135</c:v>
                </c:pt>
                <c:pt idx="95">
                  <c:v>8.2142857142857135</c:v>
                </c:pt>
                <c:pt idx="96">
                  <c:v>8.2142857142857135</c:v>
                </c:pt>
                <c:pt idx="97">
                  <c:v>8.2142857142857135</c:v>
                </c:pt>
                <c:pt idx="98">
                  <c:v>8.2142857142857135</c:v>
                </c:pt>
                <c:pt idx="99">
                  <c:v>8.2142857142857135</c:v>
                </c:pt>
                <c:pt idx="100">
                  <c:v>8.2142857142857135</c:v>
                </c:pt>
                <c:pt idx="101">
                  <c:v>8.2142857142857135</c:v>
                </c:pt>
                <c:pt idx="102">
                  <c:v>8.2142857142857135</c:v>
                </c:pt>
                <c:pt idx="103">
                  <c:v>8.2142857142857135</c:v>
                </c:pt>
                <c:pt idx="104">
                  <c:v>8.2142857142857135</c:v>
                </c:pt>
                <c:pt idx="105">
                  <c:v>8.2142857142857135</c:v>
                </c:pt>
                <c:pt idx="106">
                  <c:v>8.2142857142857135</c:v>
                </c:pt>
                <c:pt idx="107">
                  <c:v>8.2142857142857135</c:v>
                </c:pt>
                <c:pt idx="108">
                  <c:v>8.2142857142857135</c:v>
                </c:pt>
                <c:pt idx="109">
                  <c:v>8.2142857142857135</c:v>
                </c:pt>
                <c:pt idx="110">
                  <c:v>8.2142857142857135</c:v>
                </c:pt>
                <c:pt idx="111">
                  <c:v>8.2142857142857135</c:v>
                </c:pt>
                <c:pt idx="112">
                  <c:v>8.2142857142857135</c:v>
                </c:pt>
                <c:pt idx="113">
                  <c:v>8.2142857142857135</c:v>
                </c:pt>
                <c:pt idx="114">
                  <c:v>8.2142857142857135</c:v>
                </c:pt>
                <c:pt idx="115">
                  <c:v>8.2142857142857135</c:v>
                </c:pt>
                <c:pt idx="116">
                  <c:v>8.2142857142857135</c:v>
                </c:pt>
                <c:pt idx="117">
                  <c:v>8.2142857142857135</c:v>
                </c:pt>
                <c:pt idx="118">
                  <c:v>8.2142857142857135</c:v>
                </c:pt>
                <c:pt idx="119">
                  <c:v>8.2142857142857135</c:v>
                </c:pt>
                <c:pt idx="120">
                  <c:v>8.2142857142857135</c:v>
                </c:pt>
                <c:pt idx="121">
                  <c:v>8.2142857142857135</c:v>
                </c:pt>
                <c:pt idx="122">
                  <c:v>8.2142857142857135</c:v>
                </c:pt>
                <c:pt idx="123">
                  <c:v>8.2142857142857135</c:v>
                </c:pt>
                <c:pt idx="124">
                  <c:v>8.2142857142857135</c:v>
                </c:pt>
                <c:pt idx="125">
                  <c:v>8.2142857142857135</c:v>
                </c:pt>
                <c:pt idx="126">
                  <c:v>8.2142857142857135</c:v>
                </c:pt>
                <c:pt idx="127">
                  <c:v>8.2142857142857135</c:v>
                </c:pt>
                <c:pt idx="128">
                  <c:v>8.2142857142857135</c:v>
                </c:pt>
                <c:pt idx="129">
                  <c:v>8.2142857142857135</c:v>
                </c:pt>
                <c:pt idx="130">
                  <c:v>8.2142857142857135</c:v>
                </c:pt>
                <c:pt idx="131">
                  <c:v>8.2142857142857135</c:v>
                </c:pt>
                <c:pt idx="132">
                  <c:v>8.2142857142857135</c:v>
                </c:pt>
                <c:pt idx="133">
                  <c:v>8.2142857142857135</c:v>
                </c:pt>
                <c:pt idx="134">
                  <c:v>8.2142857142857135</c:v>
                </c:pt>
                <c:pt idx="135">
                  <c:v>8.2142857142857135</c:v>
                </c:pt>
                <c:pt idx="136">
                  <c:v>8.2142857142857135</c:v>
                </c:pt>
                <c:pt idx="137">
                  <c:v>8.2142857142857135</c:v>
                </c:pt>
                <c:pt idx="138">
                  <c:v>8.2142857142857135</c:v>
                </c:pt>
                <c:pt idx="139">
                  <c:v>8.2142857142857135</c:v>
                </c:pt>
                <c:pt idx="140">
                  <c:v>8.2142857142857135</c:v>
                </c:pt>
                <c:pt idx="141">
                  <c:v>8.2142857142857135</c:v>
                </c:pt>
                <c:pt idx="142">
                  <c:v>8.2142857142857135</c:v>
                </c:pt>
                <c:pt idx="143">
                  <c:v>8.2142857142857135</c:v>
                </c:pt>
                <c:pt idx="144">
                  <c:v>8.2142857142857135</c:v>
                </c:pt>
                <c:pt idx="145">
                  <c:v>8.2142857142857135</c:v>
                </c:pt>
                <c:pt idx="146">
                  <c:v>8.2142857142857135</c:v>
                </c:pt>
                <c:pt idx="147">
                  <c:v>8.2142857142857135</c:v>
                </c:pt>
                <c:pt idx="148">
                  <c:v>8.2142857142857135</c:v>
                </c:pt>
                <c:pt idx="149">
                  <c:v>8.2142857142857135</c:v>
                </c:pt>
                <c:pt idx="150">
                  <c:v>8.2142857142857135</c:v>
                </c:pt>
                <c:pt idx="151">
                  <c:v>8.2142857142857135</c:v>
                </c:pt>
                <c:pt idx="152">
                  <c:v>8.2142857142857135</c:v>
                </c:pt>
                <c:pt idx="153">
                  <c:v>8.2142857142857135</c:v>
                </c:pt>
                <c:pt idx="154">
                  <c:v>8.2142857142857135</c:v>
                </c:pt>
                <c:pt idx="155">
                  <c:v>8.2142857142857135</c:v>
                </c:pt>
                <c:pt idx="156">
                  <c:v>8.2142857142857135</c:v>
                </c:pt>
                <c:pt idx="157">
                  <c:v>8.2142857142857135</c:v>
                </c:pt>
                <c:pt idx="158">
                  <c:v>8.2142857142857135</c:v>
                </c:pt>
                <c:pt idx="159">
                  <c:v>8.2142857142857135</c:v>
                </c:pt>
                <c:pt idx="160">
                  <c:v>8.2142857142857135</c:v>
                </c:pt>
                <c:pt idx="161">
                  <c:v>8.2142857142857135</c:v>
                </c:pt>
                <c:pt idx="162">
                  <c:v>8.2142857142857135</c:v>
                </c:pt>
                <c:pt idx="163">
                  <c:v>8.2142857142857135</c:v>
                </c:pt>
                <c:pt idx="164">
                  <c:v>8.2142857142857135</c:v>
                </c:pt>
                <c:pt idx="165">
                  <c:v>8.2142857142857135</c:v>
                </c:pt>
                <c:pt idx="166">
                  <c:v>8.2142857142857135</c:v>
                </c:pt>
                <c:pt idx="167">
                  <c:v>8.2142857142857135</c:v>
                </c:pt>
                <c:pt idx="168">
                  <c:v>8.2142857142857135</c:v>
                </c:pt>
                <c:pt idx="169">
                  <c:v>8.2142857142857135</c:v>
                </c:pt>
                <c:pt idx="170">
                  <c:v>8.2142857142857135</c:v>
                </c:pt>
                <c:pt idx="171">
                  <c:v>8.2142857142857135</c:v>
                </c:pt>
                <c:pt idx="172">
                  <c:v>8.2142857142857135</c:v>
                </c:pt>
                <c:pt idx="173">
                  <c:v>8.2142857142857135</c:v>
                </c:pt>
                <c:pt idx="174">
                  <c:v>8.2142857142857135</c:v>
                </c:pt>
                <c:pt idx="175">
                  <c:v>8.2142857142857135</c:v>
                </c:pt>
                <c:pt idx="176">
                  <c:v>8.2142857142857135</c:v>
                </c:pt>
                <c:pt idx="177">
                  <c:v>8.2142857142857135</c:v>
                </c:pt>
                <c:pt idx="178">
                  <c:v>8.2142857142857135</c:v>
                </c:pt>
                <c:pt idx="179">
                  <c:v>8.2142857142857135</c:v>
                </c:pt>
                <c:pt idx="180">
                  <c:v>8.2142857142857135</c:v>
                </c:pt>
                <c:pt idx="181">
                  <c:v>8.2142857142857135</c:v>
                </c:pt>
                <c:pt idx="182">
                  <c:v>8.2142857142857135</c:v>
                </c:pt>
                <c:pt idx="183">
                  <c:v>8.2142857142857135</c:v>
                </c:pt>
                <c:pt idx="184">
                  <c:v>8.2142857142857135</c:v>
                </c:pt>
                <c:pt idx="185">
                  <c:v>8.2142857142857135</c:v>
                </c:pt>
                <c:pt idx="186">
                  <c:v>8.2142857142857135</c:v>
                </c:pt>
                <c:pt idx="187">
                  <c:v>8.2142857142857135</c:v>
                </c:pt>
                <c:pt idx="188">
                  <c:v>8.2142857142857135</c:v>
                </c:pt>
                <c:pt idx="189">
                  <c:v>8.2142857142857135</c:v>
                </c:pt>
                <c:pt idx="190">
                  <c:v>8.2142857142857135</c:v>
                </c:pt>
                <c:pt idx="191">
                  <c:v>8.2142857142857135</c:v>
                </c:pt>
                <c:pt idx="192">
                  <c:v>8.2142857142857135</c:v>
                </c:pt>
                <c:pt idx="193">
                  <c:v>8.2142857142857135</c:v>
                </c:pt>
                <c:pt idx="194">
                  <c:v>8.2142857142857135</c:v>
                </c:pt>
                <c:pt idx="195">
                  <c:v>8.2142857142857135</c:v>
                </c:pt>
                <c:pt idx="196">
                  <c:v>8.2142857142857135</c:v>
                </c:pt>
                <c:pt idx="197">
                  <c:v>8.2142857142857135</c:v>
                </c:pt>
                <c:pt idx="198">
                  <c:v>8.2142857142857135</c:v>
                </c:pt>
                <c:pt idx="199">
                  <c:v>8.2142857142857135</c:v>
                </c:pt>
                <c:pt idx="200">
                  <c:v>8.2142857142857135</c:v>
                </c:pt>
                <c:pt idx="201">
                  <c:v>8.2142857142857135</c:v>
                </c:pt>
                <c:pt idx="202">
                  <c:v>8.2142857142857135</c:v>
                </c:pt>
                <c:pt idx="203">
                  <c:v>8.2142857142857135</c:v>
                </c:pt>
                <c:pt idx="204">
                  <c:v>8.2142857142857135</c:v>
                </c:pt>
                <c:pt idx="205">
                  <c:v>8.2142857142857135</c:v>
                </c:pt>
                <c:pt idx="206">
                  <c:v>8.2142857142857135</c:v>
                </c:pt>
                <c:pt idx="207">
                  <c:v>8.2142857142857135</c:v>
                </c:pt>
                <c:pt idx="208">
                  <c:v>8.2142857142857135</c:v>
                </c:pt>
                <c:pt idx="209">
                  <c:v>8.2142857142857135</c:v>
                </c:pt>
                <c:pt idx="210">
                  <c:v>8.2142857142857135</c:v>
                </c:pt>
                <c:pt idx="211">
                  <c:v>8.2142857142857135</c:v>
                </c:pt>
                <c:pt idx="212">
                  <c:v>8.2142857142857135</c:v>
                </c:pt>
                <c:pt idx="213">
                  <c:v>8.2142857142857135</c:v>
                </c:pt>
                <c:pt idx="214">
                  <c:v>8.2142857142857135</c:v>
                </c:pt>
                <c:pt idx="215">
                  <c:v>8.2142857142857135</c:v>
                </c:pt>
                <c:pt idx="216">
                  <c:v>8.2142857142857135</c:v>
                </c:pt>
                <c:pt idx="217">
                  <c:v>8.2142857142857135</c:v>
                </c:pt>
                <c:pt idx="218">
                  <c:v>8.2142857142857135</c:v>
                </c:pt>
                <c:pt idx="219">
                  <c:v>8.2142857142857135</c:v>
                </c:pt>
                <c:pt idx="220">
                  <c:v>8.2142857142857135</c:v>
                </c:pt>
                <c:pt idx="221">
                  <c:v>8.2142857142857135</c:v>
                </c:pt>
                <c:pt idx="222">
                  <c:v>8.2142857142857135</c:v>
                </c:pt>
                <c:pt idx="223">
                  <c:v>8.2142857142857135</c:v>
                </c:pt>
                <c:pt idx="224">
                  <c:v>8.2142857142857135</c:v>
                </c:pt>
                <c:pt idx="225">
                  <c:v>8.2142857142857135</c:v>
                </c:pt>
                <c:pt idx="226">
                  <c:v>8.2142857142857135</c:v>
                </c:pt>
                <c:pt idx="227">
                  <c:v>8.2142857142857135</c:v>
                </c:pt>
                <c:pt idx="228">
                  <c:v>8.2142857142857135</c:v>
                </c:pt>
                <c:pt idx="229">
                  <c:v>8.2142857142857135</c:v>
                </c:pt>
                <c:pt idx="230">
                  <c:v>8.2142857142857135</c:v>
                </c:pt>
                <c:pt idx="231">
                  <c:v>8.2142857142857135</c:v>
                </c:pt>
                <c:pt idx="232">
                  <c:v>8.2142857142857135</c:v>
                </c:pt>
                <c:pt idx="233">
                  <c:v>8.2142857142857135</c:v>
                </c:pt>
                <c:pt idx="234">
                  <c:v>8.2142857142857135</c:v>
                </c:pt>
                <c:pt idx="235">
                  <c:v>8.2142857142857135</c:v>
                </c:pt>
                <c:pt idx="236">
                  <c:v>8.2142857142857135</c:v>
                </c:pt>
                <c:pt idx="237">
                  <c:v>8.2142857142857135</c:v>
                </c:pt>
                <c:pt idx="238">
                  <c:v>8.2142857142857135</c:v>
                </c:pt>
                <c:pt idx="239">
                  <c:v>8.2142857142857135</c:v>
                </c:pt>
                <c:pt idx="240">
                  <c:v>8.2142857142857135</c:v>
                </c:pt>
                <c:pt idx="241">
                  <c:v>8.2142857142857135</c:v>
                </c:pt>
                <c:pt idx="242">
                  <c:v>8.2142857142857135</c:v>
                </c:pt>
                <c:pt idx="243">
                  <c:v>8.2142857142857135</c:v>
                </c:pt>
                <c:pt idx="244">
                  <c:v>8.2142857142857135</c:v>
                </c:pt>
                <c:pt idx="245">
                  <c:v>8.2142857142857135</c:v>
                </c:pt>
                <c:pt idx="246">
                  <c:v>8.2142857142857135</c:v>
                </c:pt>
                <c:pt idx="247">
                  <c:v>8.2142857142857135</c:v>
                </c:pt>
                <c:pt idx="248">
                  <c:v>8.2142857142857135</c:v>
                </c:pt>
                <c:pt idx="249">
                  <c:v>8.2142857142857135</c:v>
                </c:pt>
                <c:pt idx="250">
                  <c:v>8.2142857142857135</c:v>
                </c:pt>
                <c:pt idx="251">
                  <c:v>8.2142857142857135</c:v>
                </c:pt>
                <c:pt idx="252">
                  <c:v>8.2142857142857135</c:v>
                </c:pt>
                <c:pt idx="253">
                  <c:v>8.2142857142857135</c:v>
                </c:pt>
                <c:pt idx="254">
                  <c:v>8.2142857142857135</c:v>
                </c:pt>
                <c:pt idx="255">
                  <c:v>8.2142857142857135</c:v>
                </c:pt>
                <c:pt idx="256">
                  <c:v>8.2142857142857135</c:v>
                </c:pt>
                <c:pt idx="257">
                  <c:v>8.2142857142857135</c:v>
                </c:pt>
                <c:pt idx="258">
                  <c:v>8.2142857142857135</c:v>
                </c:pt>
                <c:pt idx="259">
                  <c:v>8.2142857142857135</c:v>
                </c:pt>
                <c:pt idx="260">
                  <c:v>8.2142857142857135</c:v>
                </c:pt>
                <c:pt idx="261">
                  <c:v>8.2142857142857135</c:v>
                </c:pt>
                <c:pt idx="262">
                  <c:v>8.2142857142857135</c:v>
                </c:pt>
                <c:pt idx="263">
                  <c:v>8.2142857142857135</c:v>
                </c:pt>
                <c:pt idx="264">
                  <c:v>8.2142857142857135</c:v>
                </c:pt>
                <c:pt idx="265">
                  <c:v>8.2142857142857135</c:v>
                </c:pt>
                <c:pt idx="266">
                  <c:v>8.2142857142857135</c:v>
                </c:pt>
                <c:pt idx="267">
                  <c:v>8.2142857142857135</c:v>
                </c:pt>
                <c:pt idx="268">
                  <c:v>8.2142857142857135</c:v>
                </c:pt>
                <c:pt idx="269">
                  <c:v>8.2142857142857135</c:v>
                </c:pt>
                <c:pt idx="270">
                  <c:v>8.2142857142857135</c:v>
                </c:pt>
                <c:pt idx="271">
                  <c:v>8.2142857142857135</c:v>
                </c:pt>
                <c:pt idx="272">
                  <c:v>8.2142857142857135</c:v>
                </c:pt>
                <c:pt idx="273">
                  <c:v>8.2142857142857135</c:v>
                </c:pt>
                <c:pt idx="274">
                  <c:v>8.2142857142857135</c:v>
                </c:pt>
                <c:pt idx="275">
                  <c:v>8.2142857142857135</c:v>
                </c:pt>
                <c:pt idx="276">
                  <c:v>8.2142857142857135</c:v>
                </c:pt>
                <c:pt idx="277">
                  <c:v>8.2142857142857135</c:v>
                </c:pt>
                <c:pt idx="278">
                  <c:v>8.2142857142857135</c:v>
                </c:pt>
                <c:pt idx="279">
                  <c:v>8.2142857142857135</c:v>
                </c:pt>
                <c:pt idx="280">
                  <c:v>8.2142857142857135</c:v>
                </c:pt>
                <c:pt idx="281">
                  <c:v>8.2142857142857135</c:v>
                </c:pt>
                <c:pt idx="282">
                  <c:v>8.2142857142857135</c:v>
                </c:pt>
                <c:pt idx="283">
                  <c:v>8.2142857142857135</c:v>
                </c:pt>
                <c:pt idx="284">
                  <c:v>8.2142857142857135</c:v>
                </c:pt>
                <c:pt idx="285">
                  <c:v>8.2142857142857135</c:v>
                </c:pt>
                <c:pt idx="286">
                  <c:v>8.2142857142857135</c:v>
                </c:pt>
                <c:pt idx="287">
                  <c:v>8.2142857142857135</c:v>
                </c:pt>
                <c:pt idx="288">
                  <c:v>8.2142857142857135</c:v>
                </c:pt>
                <c:pt idx="289">
                  <c:v>8.2142857142857135</c:v>
                </c:pt>
                <c:pt idx="290">
                  <c:v>8.2142857142857135</c:v>
                </c:pt>
                <c:pt idx="291">
                  <c:v>8.2142857142857135</c:v>
                </c:pt>
                <c:pt idx="292">
                  <c:v>8.2142857142857135</c:v>
                </c:pt>
                <c:pt idx="293">
                  <c:v>8.2142857142857135</c:v>
                </c:pt>
                <c:pt idx="294">
                  <c:v>8.2142857142857135</c:v>
                </c:pt>
                <c:pt idx="295">
                  <c:v>8.2142857142857135</c:v>
                </c:pt>
                <c:pt idx="296">
                  <c:v>8.2142857142857135</c:v>
                </c:pt>
                <c:pt idx="297">
                  <c:v>8.2142857142857135</c:v>
                </c:pt>
                <c:pt idx="298">
                  <c:v>8.2142857142857135</c:v>
                </c:pt>
                <c:pt idx="299">
                  <c:v>8.2142857142857135</c:v>
                </c:pt>
                <c:pt idx="300">
                  <c:v>8.2142857142857135</c:v>
                </c:pt>
                <c:pt idx="301">
                  <c:v>8.2142857142857135</c:v>
                </c:pt>
                <c:pt idx="302">
                  <c:v>8.2142857142857135</c:v>
                </c:pt>
                <c:pt idx="303">
                  <c:v>8.2142857142857135</c:v>
                </c:pt>
                <c:pt idx="304">
                  <c:v>8.2142857142857135</c:v>
                </c:pt>
                <c:pt idx="305">
                  <c:v>8.2142857142857135</c:v>
                </c:pt>
                <c:pt idx="306">
                  <c:v>8.2142857142857135</c:v>
                </c:pt>
                <c:pt idx="307">
                  <c:v>8.2142857142857135</c:v>
                </c:pt>
                <c:pt idx="308">
                  <c:v>8.2142857142857135</c:v>
                </c:pt>
                <c:pt idx="309">
                  <c:v>8.2142857142857135</c:v>
                </c:pt>
                <c:pt idx="310">
                  <c:v>8.2142857142857135</c:v>
                </c:pt>
                <c:pt idx="311">
                  <c:v>8.2142857142857135</c:v>
                </c:pt>
                <c:pt idx="312">
                  <c:v>8.2142857142857135</c:v>
                </c:pt>
                <c:pt idx="313">
                  <c:v>8.2142857142857135</c:v>
                </c:pt>
                <c:pt idx="314">
                  <c:v>8.2142857142857135</c:v>
                </c:pt>
                <c:pt idx="315">
                  <c:v>8.2142857142857135</c:v>
                </c:pt>
                <c:pt idx="316">
                  <c:v>8.2142857142857135</c:v>
                </c:pt>
                <c:pt idx="317">
                  <c:v>8.2142857142857135</c:v>
                </c:pt>
                <c:pt idx="318">
                  <c:v>8.2142857142857135</c:v>
                </c:pt>
                <c:pt idx="319">
                  <c:v>8.2142857142857135</c:v>
                </c:pt>
                <c:pt idx="320">
                  <c:v>8.2142857142857135</c:v>
                </c:pt>
                <c:pt idx="321">
                  <c:v>8.2142857142857135</c:v>
                </c:pt>
                <c:pt idx="322">
                  <c:v>8.2142857142857135</c:v>
                </c:pt>
                <c:pt idx="323">
                  <c:v>8.2142857142857135</c:v>
                </c:pt>
                <c:pt idx="324">
                  <c:v>8.2142857142857135</c:v>
                </c:pt>
                <c:pt idx="325">
                  <c:v>8.2142857142857135</c:v>
                </c:pt>
                <c:pt idx="326">
                  <c:v>8.2142857142857135</c:v>
                </c:pt>
                <c:pt idx="327">
                  <c:v>8.2142857142857135</c:v>
                </c:pt>
                <c:pt idx="328">
                  <c:v>8.2142857142857135</c:v>
                </c:pt>
                <c:pt idx="329">
                  <c:v>8.2142857142857135</c:v>
                </c:pt>
                <c:pt idx="330">
                  <c:v>8.2142857142857135</c:v>
                </c:pt>
                <c:pt idx="331">
                  <c:v>8.2142857142857135</c:v>
                </c:pt>
                <c:pt idx="332">
                  <c:v>8.2142857142857135</c:v>
                </c:pt>
                <c:pt idx="333">
                  <c:v>8.2142857142857135</c:v>
                </c:pt>
                <c:pt idx="334">
                  <c:v>8.2142857142857135</c:v>
                </c:pt>
                <c:pt idx="335">
                  <c:v>8.2142857142857135</c:v>
                </c:pt>
                <c:pt idx="336">
                  <c:v>8.2142857142857135</c:v>
                </c:pt>
                <c:pt idx="337">
                  <c:v>8.2142857142857135</c:v>
                </c:pt>
                <c:pt idx="338">
                  <c:v>8.2142857142857135</c:v>
                </c:pt>
                <c:pt idx="339">
                  <c:v>8.2142857142857135</c:v>
                </c:pt>
                <c:pt idx="340">
                  <c:v>8.2142857142857135</c:v>
                </c:pt>
                <c:pt idx="341">
                  <c:v>8.2142857142857135</c:v>
                </c:pt>
                <c:pt idx="342">
                  <c:v>8.2142857142857135</c:v>
                </c:pt>
                <c:pt idx="343">
                  <c:v>8.2142857142857135</c:v>
                </c:pt>
                <c:pt idx="344">
                  <c:v>8.2142857142857135</c:v>
                </c:pt>
                <c:pt idx="345">
                  <c:v>8.2142857142857135</c:v>
                </c:pt>
                <c:pt idx="346">
                  <c:v>8.2142857142857135</c:v>
                </c:pt>
                <c:pt idx="347">
                  <c:v>8.2142857142857135</c:v>
                </c:pt>
                <c:pt idx="348">
                  <c:v>8.2142857142857135</c:v>
                </c:pt>
                <c:pt idx="349">
                  <c:v>8.2142857142857135</c:v>
                </c:pt>
                <c:pt idx="350">
                  <c:v>8.2142857142857135</c:v>
                </c:pt>
                <c:pt idx="351">
                  <c:v>8.2142857142857135</c:v>
                </c:pt>
                <c:pt idx="352">
                  <c:v>8.2142857142857135</c:v>
                </c:pt>
                <c:pt idx="353">
                  <c:v>8.2142857142857135</c:v>
                </c:pt>
                <c:pt idx="354">
                  <c:v>8.2142857142857135</c:v>
                </c:pt>
                <c:pt idx="355">
                  <c:v>8.2142857142857135</c:v>
                </c:pt>
                <c:pt idx="356">
                  <c:v>8.2142857142857135</c:v>
                </c:pt>
                <c:pt idx="357">
                  <c:v>8.2142857142857135</c:v>
                </c:pt>
                <c:pt idx="358">
                  <c:v>8.2142857142857135</c:v>
                </c:pt>
                <c:pt idx="359">
                  <c:v>8.2142857142857135</c:v>
                </c:pt>
                <c:pt idx="360">
                  <c:v>8.2142857142857135</c:v>
                </c:pt>
                <c:pt idx="361">
                  <c:v>8.2142857142857135</c:v>
                </c:pt>
                <c:pt idx="362">
                  <c:v>8.2142857142857135</c:v>
                </c:pt>
                <c:pt idx="363">
                  <c:v>8.2142857142857135</c:v>
                </c:pt>
                <c:pt idx="364">
                  <c:v>8.2142857142857135</c:v>
                </c:pt>
                <c:pt idx="365">
                  <c:v>8.2142857142857135</c:v>
                </c:pt>
                <c:pt idx="366">
                  <c:v>8.2142857142857135</c:v>
                </c:pt>
                <c:pt idx="367">
                  <c:v>8.2142857142857135</c:v>
                </c:pt>
                <c:pt idx="368">
                  <c:v>8.2142857142857135</c:v>
                </c:pt>
                <c:pt idx="369">
                  <c:v>8.2142857142857135</c:v>
                </c:pt>
                <c:pt idx="370">
                  <c:v>8.2142857142857135</c:v>
                </c:pt>
                <c:pt idx="371">
                  <c:v>8.2142857142857135</c:v>
                </c:pt>
                <c:pt idx="372">
                  <c:v>8.2142857142857135</c:v>
                </c:pt>
                <c:pt idx="373">
                  <c:v>8.2142857142857135</c:v>
                </c:pt>
                <c:pt idx="374">
                  <c:v>8.2142857142857135</c:v>
                </c:pt>
                <c:pt idx="375">
                  <c:v>8.2142857142857135</c:v>
                </c:pt>
                <c:pt idx="376">
                  <c:v>8.2142857142857135</c:v>
                </c:pt>
                <c:pt idx="377">
                  <c:v>8.2142857142857135</c:v>
                </c:pt>
                <c:pt idx="378">
                  <c:v>8.2142857142857135</c:v>
                </c:pt>
                <c:pt idx="379">
                  <c:v>8.2142857142857135</c:v>
                </c:pt>
                <c:pt idx="380">
                  <c:v>8.2142857142857135</c:v>
                </c:pt>
                <c:pt idx="381">
                  <c:v>8.2142857142857135</c:v>
                </c:pt>
                <c:pt idx="382">
                  <c:v>8.2142857142857135</c:v>
                </c:pt>
                <c:pt idx="383">
                  <c:v>8.2142857142857135</c:v>
                </c:pt>
                <c:pt idx="384">
                  <c:v>8.2142857142857135</c:v>
                </c:pt>
                <c:pt idx="385">
                  <c:v>8.2142857142857135</c:v>
                </c:pt>
                <c:pt idx="386">
                  <c:v>8.2142857142857135</c:v>
                </c:pt>
                <c:pt idx="387">
                  <c:v>8.2142857142857135</c:v>
                </c:pt>
                <c:pt idx="388">
                  <c:v>8.2142857142857135</c:v>
                </c:pt>
                <c:pt idx="389">
                  <c:v>8.2142857142857135</c:v>
                </c:pt>
                <c:pt idx="390">
                  <c:v>8.2142857142857135</c:v>
                </c:pt>
                <c:pt idx="391">
                  <c:v>8.2142857142857135</c:v>
                </c:pt>
                <c:pt idx="392">
                  <c:v>8.2142857142857135</c:v>
                </c:pt>
                <c:pt idx="393">
                  <c:v>8.2142857142857135</c:v>
                </c:pt>
                <c:pt idx="394">
                  <c:v>8.2142857142857135</c:v>
                </c:pt>
                <c:pt idx="395">
                  <c:v>8.2142857142857135</c:v>
                </c:pt>
                <c:pt idx="396">
                  <c:v>8.2142857142857135</c:v>
                </c:pt>
                <c:pt idx="397">
                  <c:v>8.2142857142857135</c:v>
                </c:pt>
                <c:pt idx="398">
                  <c:v>8.2142857142857135</c:v>
                </c:pt>
                <c:pt idx="399">
                  <c:v>8.2142857142857135</c:v>
                </c:pt>
                <c:pt idx="400">
                  <c:v>8.2142857142857135</c:v>
                </c:pt>
                <c:pt idx="401">
                  <c:v>8.2142857142857135</c:v>
                </c:pt>
                <c:pt idx="402">
                  <c:v>8.2142857142857135</c:v>
                </c:pt>
                <c:pt idx="403">
                  <c:v>8.2142857142857135</c:v>
                </c:pt>
                <c:pt idx="404">
                  <c:v>8.2142857142857135</c:v>
                </c:pt>
                <c:pt idx="405">
                  <c:v>8.2142857142857135</c:v>
                </c:pt>
                <c:pt idx="406">
                  <c:v>8.2142857142857135</c:v>
                </c:pt>
                <c:pt idx="407">
                  <c:v>8.2142857142857135</c:v>
                </c:pt>
                <c:pt idx="408">
                  <c:v>8.2142857142857135</c:v>
                </c:pt>
                <c:pt idx="409">
                  <c:v>8.2142857142857135</c:v>
                </c:pt>
                <c:pt idx="410">
                  <c:v>8.2142857142857135</c:v>
                </c:pt>
                <c:pt idx="411">
                  <c:v>8.2142857142857135</c:v>
                </c:pt>
                <c:pt idx="412">
                  <c:v>8.2142857142857135</c:v>
                </c:pt>
                <c:pt idx="413">
                  <c:v>8.2142857142857135</c:v>
                </c:pt>
                <c:pt idx="414">
                  <c:v>8.2142857142857135</c:v>
                </c:pt>
                <c:pt idx="415">
                  <c:v>8.2142857142857135</c:v>
                </c:pt>
                <c:pt idx="416">
                  <c:v>8.2142857142857135</c:v>
                </c:pt>
                <c:pt idx="417">
                  <c:v>8.2142857142857135</c:v>
                </c:pt>
                <c:pt idx="418">
                  <c:v>8.2142857142857135</c:v>
                </c:pt>
                <c:pt idx="419">
                  <c:v>8.2142857142857135</c:v>
                </c:pt>
                <c:pt idx="420">
                  <c:v>8.2142857142857135</c:v>
                </c:pt>
                <c:pt idx="421">
                  <c:v>8.2142857142857135</c:v>
                </c:pt>
                <c:pt idx="422">
                  <c:v>8.2142857142857135</c:v>
                </c:pt>
                <c:pt idx="423">
                  <c:v>8.2142857142857135</c:v>
                </c:pt>
                <c:pt idx="424">
                  <c:v>8.2142857142857135</c:v>
                </c:pt>
                <c:pt idx="425">
                  <c:v>8.2142857142857135</c:v>
                </c:pt>
                <c:pt idx="426">
                  <c:v>8.2142857142857135</c:v>
                </c:pt>
                <c:pt idx="427">
                  <c:v>8.2142857142857135</c:v>
                </c:pt>
                <c:pt idx="428">
                  <c:v>8.2142857142857135</c:v>
                </c:pt>
                <c:pt idx="429">
                  <c:v>8.2142857142857135</c:v>
                </c:pt>
                <c:pt idx="430">
                  <c:v>8.2142857142857135</c:v>
                </c:pt>
                <c:pt idx="431">
                  <c:v>8.2142857142857135</c:v>
                </c:pt>
                <c:pt idx="432">
                  <c:v>8.2142857142857135</c:v>
                </c:pt>
                <c:pt idx="433">
                  <c:v>8.2142857142857135</c:v>
                </c:pt>
                <c:pt idx="434">
                  <c:v>8.2142857142857135</c:v>
                </c:pt>
                <c:pt idx="435">
                  <c:v>8.2142857142857135</c:v>
                </c:pt>
                <c:pt idx="436">
                  <c:v>8.2142857142857135</c:v>
                </c:pt>
                <c:pt idx="437">
                  <c:v>8.2142857142857135</c:v>
                </c:pt>
                <c:pt idx="438">
                  <c:v>8.2142857142857135</c:v>
                </c:pt>
                <c:pt idx="439">
                  <c:v>8.2142857142857135</c:v>
                </c:pt>
                <c:pt idx="440">
                  <c:v>8.2142857142857135</c:v>
                </c:pt>
                <c:pt idx="441">
                  <c:v>8.2142857142857135</c:v>
                </c:pt>
                <c:pt idx="442">
                  <c:v>8.2142857142857135</c:v>
                </c:pt>
                <c:pt idx="443">
                  <c:v>8.2142857142857135</c:v>
                </c:pt>
                <c:pt idx="444">
                  <c:v>8.2142857142857135</c:v>
                </c:pt>
                <c:pt idx="445">
                  <c:v>8.2142857142857135</c:v>
                </c:pt>
                <c:pt idx="446">
                  <c:v>8.2142857142857135</c:v>
                </c:pt>
                <c:pt idx="447">
                  <c:v>8.2142857142857135</c:v>
                </c:pt>
                <c:pt idx="448">
                  <c:v>8.2142857142857135</c:v>
                </c:pt>
                <c:pt idx="449">
                  <c:v>8.2142857142857135</c:v>
                </c:pt>
                <c:pt idx="450">
                  <c:v>8.2142857142857135</c:v>
                </c:pt>
                <c:pt idx="451">
                  <c:v>8.2142857142857135</c:v>
                </c:pt>
                <c:pt idx="452">
                  <c:v>8.2142857142857135</c:v>
                </c:pt>
                <c:pt idx="453">
                  <c:v>8.2142857142857135</c:v>
                </c:pt>
                <c:pt idx="454">
                  <c:v>8.2142857142857135</c:v>
                </c:pt>
                <c:pt idx="455">
                  <c:v>8.2142857142857135</c:v>
                </c:pt>
                <c:pt idx="456">
                  <c:v>8.2142857142857135</c:v>
                </c:pt>
                <c:pt idx="457">
                  <c:v>8.2142857142857135</c:v>
                </c:pt>
                <c:pt idx="458">
                  <c:v>8.2142857142857135</c:v>
                </c:pt>
                <c:pt idx="459">
                  <c:v>8.2142857142857135</c:v>
                </c:pt>
                <c:pt idx="460">
                  <c:v>8.2142857142857135</c:v>
                </c:pt>
                <c:pt idx="461">
                  <c:v>8.2142857142857135</c:v>
                </c:pt>
                <c:pt idx="462">
                  <c:v>8.2142857142857135</c:v>
                </c:pt>
                <c:pt idx="463">
                  <c:v>8.2142857142857135</c:v>
                </c:pt>
                <c:pt idx="464">
                  <c:v>8.2142857142857135</c:v>
                </c:pt>
                <c:pt idx="465">
                  <c:v>8.2142857142857135</c:v>
                </c:pt>
                <c:pt idx="466">
                  <c:v>8.2142857142857135</c:v>
                </c:pt>
                <c:pt idx="467">
                  <c:v>8.2142857142857135</c:v>
                </c:pt>
                <c:pt idx="468">
                  <c:v>8.2142857142857135</c:v>
                </c:pt>
                <c:pt idx="469">
                  <c:v>8.2142857142857135</c:v>
                </c:pt>
                <c:pt idx="470">
                  <c:v>8.2142857142857135</c:v>
                </c:pt>
                <c:pt idx="471">
                  <c:v>8.2142857142857135</c:v>
                </c:pt>
                <c:pt idx="472">
                  <c:v>8.2142857142857135</c:v>
                </c:pt>
                <c:pt idx="473">
                  <c:v>8.2142857142857135</c:v>
                </c:pt>
                <c:pt idx="474">
                  <c:v>8.2142857142857135</c:v>
                </c:pt>
                <c:pt idx="475">
                  <c:v>8.2142857142857135</c:v>
                </c:pt>
                <c:pt idx="476">
                  <c:v>8.2142857142857135</c:v>
                </c:pt>
                <c:pt idx="477">
                  <c:v>8.2142857142857135</c:v>
                </c:pt>
                <c:pt idx="478">
                  <c:v>8.2142857142857135</c:v>
                </c:pt>
                <c:pt idx="479">
                  <c:v>8.2142857142857135</c:v>
                </c:pt>
                <c:pt idx="480">
                  <c:v>8.2142857142857135</c:v>
                </c:pt>
                <c:pt idx="481">
                  <c:v>8.2142857142857135</c:v>
                </c:pt>
                <c:pt idx="482">
                  <c:v>8.2142857142857135</c:v>
                </c:pt>
                <c:pt idx="483">
                  <c:v>8.2142857142857135</c:v>
                </c:pt>
                <c:pt idx="484">
                  <c:v>8.2142857142857135</c:v>
                </c:pt>
                <c:pt idx="485">
                  <c:v>8.2142857142857135</c:v>
                </c:pt>
                <c:pt idx="486">
                  <c:v>8.2142857142857135</c:v>
                </c:pt>
                <c:pt idx="487">
                  <c:v>8.2142857142857135</c:v>
                </c:pt>
                <c:pt idx="488">
                  <c:v>8.2142857142857135</c:v>
                </c:pt>
                <c:pt idx="489">
                  <c:v>8.2142857142857135</c:v>
                </c:pt>
                <c:pt idx="490">
                  <c:v>8.2142857142857135</c:v>
                </c:pt>
                <c:pt idx="491">
                  <c:v>8.2142857142857135</c:v>
                </c:pt>
                <c:pt idx="492">
                  <c:v>8.2142857142857135</c:v>
                </c:pt>
                <c:pt idx="493">
                  <c:v>8.2142857142857135</c:v>
                </c:pt>
                <c:pt idx="494">
                  <c:v>8.2142857142857135</c:v>
                </c:pt>
                <c:pt idx="495">
                  <c:v>8.2142857142857135</c:v>
                </c:pt>
                <c:pt idx="496">
                  <c:v>8.2142857142857135</c:v>
                </c:pt>
                <c:pt idx="497">
                  <c:v>8.2142857142857135</c:v>
                </c:pt>
                <c:pt idx="498">
                  <c:v>8.2142857142857135</c:v>
                </c:pt>
                <c:pt idx="499">
                  <c:v>8.2142857142857135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BE-4A34-B400-BC5913E5D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183087"/>
        <c:axId val="1"/>
      </c:scatterChart>
      <c:valAx>
        <c:axId val="149218308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Distância total (km)</a:t>
                </a:r>
              </a:p>
            </c:rich>
          </c:tx>
          <c:layout>
            <c:manualLayout>
              <c:xMode val="edge"/>
              <c:yMode val="edge"/>
              <c:x val="0.40423345263660221"/>
              <c:y val="0.8833100029163021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Consumo (km/L)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9218308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Preço do Combustível x Tempo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13185116566312"/>
          <c:y val="0.13174714606457325"/>
          <c:w val="0.66902295301322634"/>
          <c:h val="0.54689403282421034"/>
        </c:manualLayout>
      </c:layout>
      <c:scatterChart>
        <c:scatterStyle val="lineMarker"/>
        <c:varyColors val="0"/>
        <c:ser>
          <c:idx val="0"/>
          <c:order val="0"/>
          <c:tx>
            <c:v>Preço vs Tempo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CALCULO!$A$7:$A$506</c:f>
              <c:numCache>
                <c:formatCode>m/d/yyyy</c:formatCode>
                <c:ptCount val="500"/>
                <c:pt idx="0">
                  <c:v>40262</c:v>
                </c:pt>
                <c:pt idx="1">
                  <c:v>40266</c:v>
                </c:pt>
                <c:pt idx="2">
                  <c:v>40270</c:v>
                </c:pt>
                <c:pt idx="3">
                  <c:v>40274</c:v>
                </c:pt>
                <c:pt idx="4">
                  <c:v>40278</c:v>
                </c:pt>
                <c:pt idx="5">
                  <c:v>40282</c:v>
                </c:pt>
                <c:pt idx="6">
                  <c:v>40286</c:v>
                </c:pt>
                <c:pt idx="7">
                  <c:v>40290</c:v>
                </c:pt>
                <c:pt idx="8">
                  <c:v>40294</c:v>
                </c:pt>
                <c:pt idx="9">
                  <c:v>40298</c:v>
                </c:pt>
                <c:pt idx="10">
                  <c:v>40302</c:v>
                </c:pt>
                <c:pt idx="11">
                  <c:v>40306</c:v>
                </c:pt>
                <c:pt idx="12">
                  <c:v>40310</c:v>
                </c:pt>
                <c:pt idx="13">
                  <c:v>40314</c:v>
                </c:pt>
                <c:pt idx="14">
                  <c:v>40318</c:v>
                </c:pt>
                <c:pt idx="15">
                  <c:v>40322</c:v>
                </c:pt>
                <c:pt idx="16">
                  <c:v>40326</c:v>
                </c:pt>
                <c:pt idx="17">
                  <c:v>40330</c:v>
                </c:pt>
                <c:pt idx="18">
                  <c:v>40334</c:v>
                </c:pt>
              </c:numCache>
            </c:numRef>
          </c:xVal>
          <c:yVal>
            <c:numRef>
              <c:f>CALCULO!$D$7:$D$506</c:f>
              <c:numCache>
                <c:formatCode>General</c:formatCode>
                <c:ptCount val="500"/>
                <c:pt idx="0">
                  <c:v>1.6</c:v>
                </c:pt>
                <c:pt idx="1">
                  <c:v>1.55</c:v>
                </c:pt>
                <c:pt idx="2">
                  <c:v>1.4</c:v>
                </c:pt>
                <c:pt idx="3">
                  <c:v>1.39</c:v>
                </c:pt>
                <c:pt idx="4">
                  <c:v>1.39</c:v>
                </c:pt>
                <c:pt idx="5">
                  <c:v>1.37</c:v>
                </c:pt>
                <c:pt idx="6">
                  <c:v>1.4</c:v>
                </c:pt>
                <c:pt idx="7">
                  <c:v>1.29</c:v>
                </c:pt>
                <c:pt idx="8">
                  <c:v>1.34</c:v>
                </c:pt>
                <c:pt idx="9">
                  <c:v>1.5</c:v>
                </c:pt>
                <c:pt idx="10">
                  <c:v>1.6</c:v>
                </c:pt>
                <c:pt idx="11">
                  <c:v>1.6</c:v>
                </c:pt>
                <c:pt idx="12">
                  <c:v>1.4</c:v>
                </c:pt>
                <c:pt idx="13">
                  <c:v>1.35</c:v>
                </c:pt>
                <c:pt idx="14">
                  <c:v>1.25</c:v>
                </c:pt>
                <c:pt idx="15">
                  <c:v>1.32</c:v>
                </c:pt>
                <c:pt idx="16">
                  <c:v>1.4</c:v>
                </c:pt>
                <c:pt idx="17">
                  <c:v>1.33</c:v>
                </c:pt>
                <c:pt idx="18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AC-4809-8505-53BDE59E6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703151"/>
        <c:axId val="1"/>
      </c:scatterChart>
      <c:valAx>
        <c:axId val="152970315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Data</a:t>
                </a:r>
              </a:p>
            </c:rich>
          </c:tx>
          <c:layout>
            <c:manualLayout>
              <c:xMode val="edge"/>
              <c:yMode val="edge"/>
              <c:x val="0.48920068535736833"/>
              <c:y val="0.92347057521424269"/>
            </c:manualLayout>
          </c:layout>
          <c:overlay val="0"/>
        </c:title>
        <c:numFmt formatCode="m/d/yyyy" sourceLinked="1"/>
        <c:majorTickMark val="out"/>
        <c:minorTickMark val="none"/>
        <c:tickLblPos val="nextTo"/>
        <c:txPr>
          <a:bodyPr rot="15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Preço ($/L)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29703151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Custo do km x Distância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Custo x Distancia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CALCULO!$B$7:$B$506</c:f>
              <c:numCache>
                <c:formatCode>General</c:formatCode>
                <c:ptCount val="500"/>
                <c:pt idx="0">
                  <c:v>72300</c:v>
                </c:pt>
                <c:pt idx="1">
                  <c:v>72800</c:v>
                </c:pt>
                <c:pt idx="2">
                  <c:v>72950</c:v>
                </c:pt>
                <c:pt idx="3">
                  <c:v>73200</c:v>
                </c:pt>
                <c:pt idx="4">
                  <c:v>73500</c:v>
                </c:pt>
                <c:pt idx="5">
                  <c:v>73800</c:v>
                </c:pt>
                <c:pt idx="6">
                  <c:v>74100</c:v>
                </c:pt>
                <c:pt idx="7">
                  <c:v>74400</c:v>
                </c:pt>
                <c:pt idx="8">
                  <c:v>74700</c:v>
                </c:pt>
                <c:pt idx="9">
                  <c:v>75000</c:v>
                </c:pt>
                <c:pt idx="10">
                  <c:v>75300</c:v>
                </c:pt>
                <c:pt idx="11">
                  <c:v>75600</c:v>
                </c:pt>
                <c:pt idx="12">
                  <c:v>75900</c:v>
                </c:pt>
                <c:pt idx="13">
                  <c:v>76200</c:v>
                </c:pt>
                <c:pt idx="14">
                  <c:v>76550</c:v>
                </c:pt>
                <c:pt idx="15">
                  <c:v>76820</c:v>
                </c:pt>
                <c:pt idx="16">
                  <c:v>77110</c:v>
                </c:pt>
                <c:pt idx="17">
                  <c:v>77460</c:v>
                </c:pt>
                <c:pt idx="18">
                  <c:v>77690</c:v>
                </c:pt>
              </c:numCache>
            </c:numRef>
          </c:xVal>
          <c:yVal>
            <c:numRef>
              <c:f>CALCULO!$T$7:$T$506</c:f>
              <c:numCache>
                <c:formatCode>0.00</c:formatCode>
                <c:ptCount val="500"/>
                <c:pt idx="0">
                  <c:v>0.17500000000000002</c:v>
                </c:pt>
                <c:pt idx="1">
                  <c:v>0.17500000000000002</c:v>
                </c:pt>
                <c:pt idx="2">
                  <c:v>0.14307692307692307</c:v>
                </c:pt>
                <c:pt idx="3">
                  <c:v>0.16799999999999998</c:v>
                </c:pt>
                <c:pt idx="4">
                  <c:v>0.13899999999999998</c:v>
                </c:pt>
                <c:pt idx="5">
                  <c:v>0.13436666666666666</c:v>
                </c:pt>
                <c:pt idx="6">
                  <c:v>0.13436666666666666</c:v>
                </c:pt>
                <c:pt idx="7">
                  <c:v>0.13436666666666666</c:v>
                </c:pt>
                <c:pt idx="8">
                  <c:v>0.11609999999999999</c:v>
                </c:pt>
                <c:pt idx="9">
                  <c:v>0.11609999999999999</c:v>
                </c:pt>
                <c:pt idx="10">
                  <c:v>0.1575</c:v>
                </c:pt>
                <c:pt idx="11">
                  <c:v>0.13333333333333333</c:v>
                </c:pt>
                <c:pt idx="12">
                  <c:v>0.14399999999999999</c:v>
                </c:pt>
                <c:pt idx="13">
                  <c:v>0.14399999999999999</c:v>
                </c:pt>
                <c:pt idx="14">
                  <c:v>0.13084615384615383</c:v>
                </c:pt>
                <c:pt idx="15">
                  <c:v>0.1388888888888889</c:v>
                </c:pt>
                <c:pt idx="16">
                  <c:v>0.13200000000000001</c:v>
                </c:pt>
                <c:pt idx="17">
                  <c:v>0.10799999999999998</c:v>
                </c:pt>
                <c:pt idx="18">
                  <c:v>0.16191304347826088</c:v>
                </c:pt>
                <c:pt idx="19">
                  <c:v>0.16191304347826088</c:v>
                </c:pt>
                <c:pt idx="20">
                  <c:v>0.16191304347826088</c:v>
                </c:pt>
                <c:pt idx="21">
                  <c:v>0.16191304347826088</c:v>
                </c:pt>
                <c:pt idx="22">
                  <c:v>0.16191304347826088</c:v>
                </c:pt>
                <c:pt idx="23">
                  <c:v>0.16191304347826088</c:v>
                </c:pt>
                <c:pt idx="24">
                  <c:v>0.16191304347826088</c:v>
                </c:pt>
                <c:pt idx="25">
                  <c:v>0.16191304347826088</c:v>
                </c:pt>
                <c:pt idx="26">
                  <c:v>0.16191304347826088</c:v>
                </c:pt>
                <c:pt idx="27">
                  <c:v>0.16191304347826088</c:v>
                </c:pt>
                <c:pt idx="28">
                  <c:v>0.16191304347826088</c:v>
                </c:pt>
                <c:pt idx="29">
                  <c:v>0.16191304347826088</c:v>
                </c:pt>
                <c:pt idx="30">
                  <c:v>0.16191304347826088</c:v>
                </c:pt>
                <c:pt idx="31">
                  <c:v>0.16191304347826088</c:v>
                </c:pt>
                <c:pt idx="32">
                  <c:v>0.16191304347826088</c:v>
                </c:pt>
                <c:pt idx="33">
                  <c:v>0.16191304347826088</c:v>
                </c:pt>
                <c:pt idx="34">
                  <c:v>0.16191304347826088</c:v>
                </c:pt>
                <c:pt idx="35">
                  <c:v>0.16191304347826088</c:v>
                </c:pt>
                <c:pt idx="36">
                  <c:v>0.16191304347826088</c:v>
                </c:pt>
                <c:pt idx="37">
                  <c:v>0.16191304347826088</c:v>
                </c:pt>
                <c:pt idx="38">
                  <c:v>0.16191304347826088</c:v>
                </c:pt>
                <c:pt idx="39">
                  <c:v>0.16191304347826088</c:v>
                </c:pt>
                <c:pt idx="40">
                  <c:v>0.16191304347826088</c:v>
                </c:pt>
                <c:pt idx="41">
                  <c:v>0.16191304347826088</c:v>
                </c:pt>
                <c:pt idx="42">
                  <c:v>0.16191304347826088</c:v>
                </c:pt>
                <c:pt idx="43">
                  <c:v>0.16191304347826088</c:v>
                </c:pt>
                <c:pt idx="44">
                  <c:v>0.16191304347826088</c:v>
                </c:pt>
                <c:pt idx="45">
                  <c:v>0.16191304347826088</c:v>
                </c:pt>
                <c:pt idx="46">
                  <c:v>0.16191304347826088</c:v>
                </c:pt>
                <c:pt idx="47">
                  <c:v>0.16191304347826088</c:v>
                </c:pt>
                <c:pt idx="48">
                  <c:v>0.16191304347826088</c:v>
                </c:pt>
                <c:pt idx="49">
                  <c:v>0.16191304347826088</c:v>
                </c:pt>
                <c:pt idx="50">
                  <c:v>0.16191304347826088</c:v>
                </c:pt>
                <c:pt idx="51">
                  <c:v>0.16191304347826088</c:v>
                </c:pt>
                <c:pt idx="52">
                  <c:v>0.16191304347826088</c:v>
                </c:pt>
                <c:pt idx="53">
                  <c:v>0.16191304347826088</c:v>
                </c:pt>
                <c:pt idx="54">
                  <c:v>0.16191304347826088</c:v>
                </c:pt>
                <c:pt idx="55">
                  <c:v>0.16191304347826088</c:v>
                </c:pt>
                <c:pt idx="56">
                  <c:v>0.16191304347826088</c:v>
                </c:pt>
                <c:pt idx="57">
                  <c:v>0.16191304347826088</c:v>
                </c:pt>
                <c:pt idx="58">
                  <c:v>0.16191304347826088</c:v>
                </c:pt>
                <c:pt idx="59">
                  <c:v>0.16191304347826088</c:v>
                </c:pt>
                <c:pt idx="60">
                  <c:v>0.16191304347826088</c:v>
                </c:pt>
                <c:pt idx="61">
                  <c:v>0.16191304347826088</c:v>
                </c:pt>
                <c:pt idx="62">
                  <c:v>0.16191304347826088</c:v>
                </c:pt>
                <c:pt idx="63">
                  <c:v>0.16191304347826088</c:v>
                </c:pt>
                <c:pt idx="64">
                  <c:v>0.16191304347826088</c:v>
                </c:pt>
                <c:pt idx="65">
                  <c:v>0.16191304347826088</c:v>
                </c:pt>
                <c:pt idx="66">
                  <c:v>0.16191304347826088</c:v>
                </c:pt>
                <c:pt idx="67">
                  <c:v>0.16191304347826088</c:v>
                </c:pt>
                <c:pt idx="68">
                  <c:v>0.16191304347826088</c:v>
                </c:pt>
                <c:pt idx="69">
                  <c:v>0.16191304347826088</c:v>
                </c:pt>
                <c:pt idx="70">
                  <c:v>0.16191304347826088</c:v>
                </c:pt>
                <c:pt idx="71">
                  <c:v>0.16191304347826088</c:v>
                </c:pt>
                <c:pt idx="72">
                  <c:v>0.16191304347826088</c:v>
                </c:pt>
                <c:pt idx="73">
                  <c:v>0.16191304347826088</c:v>
                </c:pt>
                <c:pt idx="74">
                  <c:v>0.16191304347826088</c:v>
                </c:pt>
                <c:pt idx="75">
                  <c:v>0.16191304347826088</c:v>
                </c:pt>
                <c:pt idx="76">
                  <c:v>0.16191304347826088</c:v>
                </c:pt>
                <c:pt idx="77">
                  <c:v>0.16191304347826088</c:v>
                </c:pt>
                <c:pt idx="78">
                  <c:v>0.16191304347826088</c:v>
                </c:pt>
                <c:pt idx="79">
                  <c:v>0.16191304347826088</c:v>
                </c:pt>
                <c:pt idx="80">
                  <c:v>0.16191304347826088</c:v>
                </c:pt>
                <c:pt idx="81">
                  <c:v>0.16191304347826088</c:v>
                </c:pt>
                <c:pt idx="82">
                  <c:v>0.16191304347826088</c:v>
                </c:pt>
                <c:pt idx="83">
                  <c:v>0.16191304347826088</c:v>
                </c:pt>
                <c:pt idx="84">
                  <c:v>0.16191304347826088</c:v>
                </c:pt>
                <c:pt idx="85">
                  <c:v>0.16191304347826088</c:v>
                </c:pt>
                <c:pt idx="86">
                  <c:v>0.16191304347826088</c:v>
                </c:pt>
                <c:pt idx="87">
                  <c:v>0.16191304347826088</c:v>
                </c:pt>
                <c:pt idx="88">
                  <c:v>0.16191304347826088</c:v>
                </c:pt>
                <c:pt idx="89">
                  <c:v>0.16191304347826088</c:v>
                </c:pt>
                <c:pt idx="90">
                  <c:v>0.16191304347826088</c:v>
                </c:pt>
                <c:pt idx="91">
                  <c:v>0.16191304347826088</c:v>
                </c:pt>
                <c:pt idx="92">
                  <c:v>0.16191304347826088</c:v>
                </c:pt>
                <c:pt idx="93">
                  <c:v>0.16191304347826088</c:v>
                </c:pt>
                <c:pt idx="94">
                  <c:v>0.16191304347826088</c:v>
                </c:pt>
                <c:pt idx="95">
                  <c:v>0.16191304347826088</c:v>
                </c:pt>
                <c:pt idx="96">
                  <c:v>0.16191304347826088</c:v>
                </c:pt>
                <c:pt idx="97">
                  <c:v>0.16191304347826088</c:v>
                </c:pt>
                <c:pt idx="98">
                  <c:v>0.16191304347826088</c:v>
                </c:pt>
                <c:pt idx="99">
                  <c:v>0.16191304347826088</c:v>
                </c:pt>
                <c:pt idx="100">
                  <c:v>0.16191304347826088</c:v>
                </c:pt>
                <c:pt idx="101">
                  <c:v>0.16191304347826088</c:v>
                </c:pt>
                <c:pt idx="102">
                  <c:v>0.16191304347826088</c:v>
                </c:pt>
                <c:pt idx="103">
                  <c:v>0.16191304347826088</c:v>
                </c:pt>
                <c:pt idx="104">
                  <c:v>0.16191304347826088</c:v>
                </c:pt>
                <c:pt idx="105">
                  <c:v>0.16191304347826088</c:v>
                </c:pt>
                <c:pt idx="106">
                  <c:v>0.16191304347826088</c:v>
                </c:pt>
                <c:pt idx="107">
                  <c:v>0.16191304347826088</c:v>
                </c:pt>
                <c:pt idx="108">
                  <c:v>0.16191304347826088</c:v>
                </c:pt>
                <c:pt idx="109">
                  <c:v>0.16191304347826088</c:v>
                </c:pt>
                <c:pt idx="110">
                  <c:v>0.16191304347826088</c:v>
                </c:pt>
                <c:pt idx="111">
                  <c:v>0.16191304347826088</c:v>
                </c:pt>
                <c:pt idx="112">
                  <c:v>0.16191304347826088</c:v>
                </c:pt>
                <c:pt idx="113">
                  <c:v>0.16191304347826088</c:v>
                </c:pt>
                <c:pt idx="114">
                  <c:v>0.16191304347826088</c:v>
                </c:pt>
                <c:pt idx="115">
                  <c:v>0.16191304347826088</c:v>
                </c:pt>
                <c:pt idx="116">
                  <c:v>0.16191304347826088</c:v>
                </c:pt>
                <c:pt idx="117">
                  <c:v>0.16191304347826088</c:v>
                </c:pt>
                <c:pt idx="118">
                  <c:v>0.16191304347826088</c:v>
                </c:pt>
                <c:pt idx="119">
                  <c:v>0.16191304347826088</c:v>
                </c:pt>
                <c:pt idx="120">
                  <c:v>0.16191304347826088</c:v>
                </c:pt>
                <c:pt idx="121">
                  <c:v>0.16191304347826088</c:v>
                </c:pt>
                <c:pt idx="122">
                  <c:v>0.16191304347826088</c:v>
                </c:pt>
                <c:pt idx="123">
                  <c:v>0.16191304347826088</c:v>
                </c:pt>
                <c:pt idx="124">
                  <c:v>0.16191304347826088</c:v>
                </c:pt>
                <c:pt idx="125">
                  <c:v>0.16191304347826088</c:v>
                </c:pt>
                <c:pt idx="126">
                  <c:v>0.16191304347826088</c:v>
                </c:pt>
                <c:pt idx="127">
                  <c:v>0.16191304347826088</c:v>
                </c:pt>
                <c:pt idx="128">
                  <c:v>0.16191304347826088</c:v>
                </c:pt>
                <c:pt idx="129">
                  <c:v>0.16191304347826088</c:v>
                </c:pt>
                <c:pt idx="130">
                  <c:v>0.16191304347826088</c:v>
                </c:pt>
                <c:pt idx="131">
                  <c:v>0.16191304347826088</c:v>
                </c:pt>
                <c:pt idx="132">
                  <c:v>0.16191304347826088</c:v>
                </c:pt>
                <c:pt idx="133">
                  <c:v>0.16191304347826088</c:v>
                </c:pt>
                <c:pt idx="134">
                  <c:v>0.16191304347826088</c:v>
                </c:pt>
                <c:pt idx="135">
                  <c:v>0.16191304347826088</c:v>
                </c:pt>
                <c:pt idx="136">
                  <c:v>0.16191304347826088</c:v>
                </c:pt>
                <c:pt idx="137">
                  <c:v>0.16191304347826088</c:v>
                </c:pt>
                <c:pt idx="138">
                  <c:v>0.16191304347826088</c:v>
                </c:pt>
                <c:pt idx="139">
                  <c:v>0.16191304347826088</c:v>
                </c:pt>
                <c:pt idx="140">
                  <c:v>0.16191304347826088</c:v>
                </c:pt>
                <c:pt idx="141">
                  <c:v>0.16191304347826088</c:v>
                </c:pt>
                <c:pt idx="142">
                  <c:v>0.16191304347826088</c:v>
                </c:pt>
                <c:pt idx="143">
                  <c:v>0.16191304347826088</c:v>
                </c:pt>
                <c:pt idx="144">
                  <c:v>0.16191304347826088</c:v>
                </c:pt>
                <c:pt idx="145">
                  <c:v>0.16191304347826088</c:v>
                </c:pt>
                <c:pt idx="146">
                  <c:v>0.16191304347826088</c:v>
                </c:pt>
                <c:pt idx="147">
                  <c:v>0.16191304347826088</c:v>
                </c:pt>
                <c:pt idx="148">
                  <c:v>0.16191304347826088</c:v>
                </c:pt>
                <c:pt idx="149">
                  <c:v>0.16191304347826088</c:v>
                </c:pt>
                <c:pt idx="150">
                  <c:v>0.16191304347826088</c:v>
                </c:pt>
                <c:pt idx="151">
                  <c:v>0.16191304347826088</c:v>
                </c:pt>
                <c:pt idx="152">
                  <c:v>0.16191304347826088</c:v>
                </c:pt>
                <c:pt idx="153">
                  <c:v>0.16191304347826088</c:v>
                </c:pt>
                <c:pt idx="154">
                  <c:v>0.16191304347826088</c:v>
                </c:pt>
                <c:pt idx="155">
                  <c:v>0.16191304347826088</c:v>
                </c:pt>
                <c:pt idx="156">
                  <c:v>0.16191304347826088</c:v>
                </c:pt>
                <c:pt idx="157">
                  <c:v>0.16191304347826088</c:v>
                </c:pt>
                <c:pt idx="158">
                  <c:v>0.16191304347826088</c:v>
                </c:pt>
                <c:pt idx="159">
                  <c:v>0.16191304347826088</c:v>
                </c:pt>
                <c:pt idx="160">
                  <c:v>0.16191304347826088</c:v>
                </c:pt>
                <c:pt idx="161">
                  <c:v>0.16191304347826088</c:v>
                </c:pt>
                <c:pt idx="162">
                  <c:v>0.16191304347826088</c:v>
                </c:pt>
                <c:pt idx="163">
                  <c:v>0.16191304347826088</c:v>
                </c:pt>
                <c:pt idx="164">
                  <c:v>0.16191304347826088</c:v>
                </c:pt>
                <c:pt idx="165">
                  <c:v>0.16191304347826088</c:v>
                </c:pt>
                <c:pt idx="166">
                  <c:v>0.16191304347826088</c:v>
                </c:pt>
                <c:pt idx="167">
                  <c:v>0.16191304347826088</c:v>
                </c:pt>
                <c:pt idx="168">
                  <c:v>0.16191304347826088</c:v>
                </c:pt>
                <c:pt idx="169">
                  <c:v>0.16191304347826088</c:v>
                </c:pt>
                <c:pt idx="170">
                  <c:v>0.16191304347826088</c:v>
                </c:pt>
                <c:pt idx="171">
                  <c:v>0.16191304347826088</c:v>
                </c:pt>
                <c:pt idx="172">
                  <c:v>0.16191304347826088</c:v>
                </c:pt>
                <c:pt idx="173">
                  <c:v>0.16191304347826088</c:v>
                </c:pt>
                <c:pt idx="174">
                  <c:v>0.16191304347826088</c:v>
                </c:pt>
                <c:pt idx="175">
                  <c:v>0.16191304347826088</c:v>
                </c:pt>
                <c:pt idx="176">
                  <c:v>0.16191304347826088</c:v>
                </c:pt>
                <c:pt idx="177">
                  <c:v>0.16191304347826088</c:v>
                </c:pt>
                <c:pt idx="178">
                  <c:v>0.16191304347826088</c:v>
                </c:pt>
                <c:pt idx="179">
                  <c:v>0.16191304347826088</c:v>
                </c:pt>
                <c:pt idx="180">
                  <c:v>0.16191304347826088</c:v>
                </c:pt>
                <c:pt idx="181">
                  <c:v>0.16191304347826088</c:v>
                </c:pt>
                <c:pt idx="182">
                  <c:v>0.16191304347826088</c:v>
                </c:pt>
                <c:pt idx="183">
                  <c:v>0.16191304347826088</c:v>
                </c:pt>
                <c:pt idx="184">
                  <c:v>0.16191304347826088</c:v>
                </c:pt>
                <c:pt idx="185">
                  <c:v>0.16191304347826088</c:v>
                </c:pt>
                <c:pt idx="186">
                  <c:v>0.16191304347826088</c:v>
                </c:pt>
                <c:pt idx="187">
                  <c:v>0.16191304347826088</c:v>
                </c:pt>
                <c:pt idx="188">
                  <c:v>0.16191304347826088</c:v>
                </c:pt>
                <c:pt idx="189">
                  <c:v>0.16191304347826088</c:v>
                </c:pt>
                <c:pt idx="190">
                  <c:v>0.16191304347826088</c:v>
                </c:pt>
                <c:pt idx="191">
                  <c:v>0.16191304347826088</c:v>
                </c:pt>
                <c:pt idx="192">
                  <c:v>0.16191304347826088</c:v>
                </c:pt>
                <c:pt idx="193">
                  <c:v>0.16191304347826088</c:v>
                </c:pt>
                <c:pt idx="194">
                  <c:v>0.16191304347826088</c:v>
                </c:pt>
                <c:pt idx="195">
                  <c:v>0.16191304347826088</c:v>
                </c:pt>
                <c:pt idx="196">
                  <c:v>0.16191304347826088</c:v>
                </c:pt>
                <c:pt idx="197">
                  <c:v>0.16191304347826088</c:v>
                </c:pt>
                <c:pt idx="198">
                  <c:v>0.16191304347826088</c:v>
                </c:pt>
                <c:pt idx="199">
                  <c:v>0.16191304347826088</c:v>
                </c:pt>
                <c:pt idx="200">
                  <c:v>0.16191304347826088</c:v>
                </c:pt>
                <c:pt idx="201">
                  <c:v>0.16191304347826088</c:v>
                </c:pt>
                <c:pt idx="202">
                  <c:v>0.16191304347826088</c:v>
                </c:pt>
                <c:pt idx="203">
                  <c:v>0.16191304347826088</c:v>
                </c:pt>
                <c:pt idx="204">
                  <c:v>0.16191304347826088</c:v>
                </c:pt>
                <c:pt idx="205">
                  <c:v>0.16191304347826088</c:v>
                </c:pt>
                <c:pt idx="206">
                  <c:v>0.16191304347826088</c:v>
                </c:pt>
                <c:pt idx="207">
                  <c:v>0.16191304347826088</c:v>
                </c:pt>
                <c:pt idx="208">
                  <c:v>0.16191304347826088</c:v>
                </c:pt>
                <c:pt idx="209">
                  <c:v>0.16191304347826088</c:v>
                </c:pt>
                <c:pt idx="210">
                  <c:v>0.16191304347826088</c:v>
                </c:pt>
                <c:pt idx="211">
                  <c:v>0.16191304347826088</c:v>
                </c:pt>
                <c:pt idx="212">
                  <c:v>0.16191304347826088</c:v>
                </c:pt>
                <c:pt idx="213">
                  <c:v>0.16191304347826088</c:v>
                </c:pt>
                <c:pt idx="214">
                  <c:v>0.16191304347826088</c:v>
                </c:pt>
                <c:pt idx="215">
                  <c:v>0.16191304347826088</c:v>
                </c:pt>
                <c:pt idx="216">
                  <c:v>0.16191304347826088</c:v>
                </c:pt>
                <c:pt idx="217">
                  <c:v>0.16191304347826088</c:v>
                </c:pt>
                <c:pt idx="218">
                  <c:v>0.16191304347826088</c:v>
                </c:pt>
                <c:pt idx="219">
                  <c:v>0.16191304347826088</c:v>
                </c:pt>
                <c:pt idx="220">
                  <c:v>0.16191304347826088</c:v>
                </c:pt>
                <c:pt idx="221">
                  <c:v>0.16191304347826088</c:v>
                </c:pt>
                <c:pt idx="222">
                  <c:v>0.16191304347826088</c:v>
                </c:pt>
                <c:pt idx="223">
                  <c:v>0.16191304347826088</c:v>
                </c:pt>
                <c:pt idx="224">
                  <c:v>0.16191304347826088</c:v>
                </c:pt>
                <c:pt idx="225">
                  <c:v>0.16191304347826088</c:v>
                </c:pt>
                <c:pt idx="226">
                  <c:v>0.16191304347826088</c:v>
                </c:pt>
                <c:pt idx="227">
                  <c:v>0.16191304347826088</c:v>
                </c:pt>
                <c:pt idx="228">
                  <c:v>0.16191304347826088</c:v>
                </c:pt>
                <c:pt idx="229">
                  <c:v>0.16191304347826088</c:v>
                </c:pt>
                <c:pt idx="230">
                  <c:v>0.16191304347826088</c:v>
                </c:pt>
                <c:pt idx="231">
                  <c:v>0.16191304347826088</c:v>
                </c:pt>
                <c:pt idx="232">
                  <c:v>0.16191304347826088</c:v>
                </c:pt>
                <c:pt idx="233">
                  <c:v>0.16191304347826088</c:v>
                </c:pt>
                <c:pt idx="234">
                  <c:v>0.16191304347826088</c:v>
                </c:pt>
                <c:pt idx="235">
                  <c:v>0.16191304347826088</c:v>
                </c:pt>
                <c:pt idx="236">
                  <c:v>0.16191304347826088</c:v>
                </c:pt>
                <c:pt idx="237">
                  <c:v>0.16191304347826088</c:v>
                </c:pt>
                <c:pt idx="238">
                  <c:v>0.16191304347826088</c:v>
                </c:pt>
                <c:pt idx="239">
                  <c:v>0.16191304347826088</c:v>
                </c:pt>
                <c:pt idx="240">
                  <c:v>0.16191304347826088</c:v>
                </c:pt>
                <c:pt idx="241">
                  <c:v>0.16191304347826088</c:v>
                </c:pt>
                <c:pt idx="242">
                  <c:v>0.16191304347826088</c:v>
                </c:pt>
                <c:pt idx="243">
                  <c:v>0.16191304347826088</c:v>
                </c:pt>
                <c:pt idx="244">
                  <c:v>0.16191304347826088</c:v>
                </c:pt>
                <c:pt idx="245">
                  <c:v>0.16191304347826088</c:v>
                </c:pt>
                <c:pt idx="246">
                  <c:v>0.16191304347826088</c:v>
                </c:pt>
                <c:pt idx="247">
                  <c:v>0.16191304347826088</c:v>
                </c:pt>
                <c:pt idx="248">
                  <c:v>0.16191304347826088</c:v>
                </c:pt>
                <c:pt idx="249">
                  <c:v>0.16191304347826088</c:v>
                </c:pt>
                <c:pt idx="250">
                  <c:v>0.16191304347826088</c:v>
                </c:pt>
                <c:pt idx="251">
                  <c:v>0.16191304347826088</c:v>
                </c:pt>
                <c:pt idx="252">
                  <c:v>0.16191304347826088</c:v>
                </c:pt>
                <c:pt idx="253">
                  <c:v>0.16191304347826088</c:v>
                </c:pt>
                <c:pt idx="254">
                  <c:v>0.16191304347826088</c:v>
                </c:pt>
                <c:pt idx="255">
                  <c:v>0.16191304347826088</c:v>
                </c:pt>
                <c:pt idx="256">
                  <c:v>0.16191304347826088</c:v>
                </c:pt>
                <c:pt idx="257">
                  <c:v>0.16191304347826088</c:v>
                </c:pt>
                <c:pt idx="258">
                  <c:v>0.16191304347826088</c:v>
                </c:pt>
                <c:pt idx="259">
                  <c:v>0.16191304347826088</c:v>
                </c:pt>
                <c:pt idx="260">
                  <c:v>0.16191304347826088</c:v>
                </c:pt>
                <c:pt idx="261">
                  <c:v>0.16191304347826088</c:v>
                </c:pt>
                <c:pt idx="262">
                  <c:v>0.16191304347826088</c:v>
                </c:pt>
                <c:pt idx="263">
                  <c:v>0.16191304347826088</c:v>
                </c:pt>
                <c:pt idx="264">
                  <c:v>0.16191304347826088</c:v>
                </c:pt>
                <c:pt idx="265">
                  <c:v>0.16191304347826088</c:v>
                </c:pt>
                <c:pt idx="266">
                  <c:v>0.16191304347826088</c:v>
                </c:pt>
                <c:pt idx="267">
                  <c:v>0.16191304347826088</c:v>
                </c:pt>
                <c:pt idx="268">
                  <c:v>0.16191304347826088</c:v>
                </c:pt>
                <c:pt idx="269">
                  <c:v>0.16191304347826088</c:v>
                </c:pt>
                <c:pt idx="270">
                  <c:v>0.16191304347826088</c:v>
                </c:pt>
                <c:pt idx="271">
                  <c:v>0.16191304347826088</c:v>
                </c:pt>
                <c:pt idx="272">
                  <c:v>0.16191304347826088</c:v>
                </c:pt>
                <c:pt idx="273">
                  <c:v>0.16191304347826088</c:v>
                </c:pt>
                <c:pt idx="274">
                  <c:v>0.16191304347826088</c:v>
                </c:pt>
                <c:pt idx="275">
                  <c:v>0.16191304347826088</c:v>
                </c:pt>
                <c:pt idx="276">
                  <c:v>0.16191304347826088</c:v>
                </c:pt>
                <c:pt idx="277">
                  <c:v>0.16191304347826088</c:v>
                </c:pt>
                <c:pt idx="278">
                  <c:v>0.16191304347826088</c:v>
                </c:pt>
                <c:pt idx="279">
                  <c:v>0.16191304347826088</c:v>
                </c:pt>
                <c:pt idx="280">
                  <c:v>0.16191304347826088</c:v>
                </c:pt>
                <c:pt idx="281">
                  <c:v>0.16191304347826088</c:v>
                </c:pt>
                <c:pt idx="282">
                  <c:v>0.16191304347826088</c:v>
                </c:pt>
                <c:pt idx="283">
                  <c:v>0.16191304347826088</c:v>
                </c:pt>
                <c:pt idx="284">
                  <c:v>0.16191304347826088</c:v>
                </c:pt>
                <c:pt idx="285">
                  <c:v>0.16191304347826088</c:v>
                </c:pt>
                <c:pt idx="286">
                  <c:v>0.16191304347826088</c:v>
                </c:pt>
                <c:pt idx="287">
                  <c:v>0.16191304347826088</c:v>
                </c:pt>
                <c:pt idx="288">
                  <c:v>0.16191304347826088</c:v>
                </c:pt>
                <c:pt idx="289">
                  <c:v>0.16191304347826088</c:v>
                </c:pt>
                <c:pt idx="290">
                  <c:v>0.16191304347826088</c:v>
                </c:pt>
                <c:pt idx="291">
                  <c:v>0.16191304347826088</c:v>
                </c:pt>
                <c:pt idx="292">
                  <c:v>0.16191304347826088</c:v>
                </c:pt>
                <c:pt idx="293">
                  <c:v>0.16191304347826088</c:v>
                </c:pt>
                <c:pt idx="294">
                  <c:v>0.16191304347826088</c:v>
                </c:pt>
                <c:pt idx="295">
                  <c:v>0.16191304347826088</c:v>
                </c:pt>
                <c:pt idx="296">
                  <c:v>0.16191304347826088</c:v>
                </c:pt>
                <c:pt idx="297">
                  <c:v>0.16191304347826088</c:v>
                </c:pt>
                <c:pt idx="298">
                  <c:v>0.16191304347826088</c:v>
                </c:pt>
                <c:pt idx="299">
                  <c:v>0.16191304347826088</c:v>
                </c:pt>
                <c:pt idx="300">
                  <c:v>0.16191304347826088</c:v>
                </c:pt>
                <c:pt idx="301">
                  <c:v>0.16191304347826088</c:v>
                </c:pt>
                <c:pt idx="302">
                  <c:v>0.16191304347826088</c:v>
                </c:pt>
                <c:pt idx="303">
                  <c:v>0.16191304347826088</c:v>
                </c:pt>
                <c:pt idx="304">
                  <c:v>0.16191304347826088</c:v>
                </c:pt>
                <c:pt idx="305">
                  <c:v>0.16191304347826088</c:v>
                </c:pt>
                <c:pt idx="306">
                  <c:v>0.16191304347826088</c:v>
                </c:pt>
                <c:pt idx="307">
                  <c:v>0.16191304347826088</c:v>
                </c:pt>
                <c:pt idx="308">
                  <c:v>0.16191304347826088</c:v>
                </c:pt>
                <c:pt idx="309">
                  <c:v>0.16191304347826088</c:v>
                </c:pt>
                <c:pt idx="310">
                  <c:v>0.16191304347826088</c:v>
                </c:pt>
                <c:pt idx="311">
                  <c:v>0.16191304347826088</c:v>
                </c:pt>
                <c:pt idx="312">
                  <c:v>0.16191304347826088</c:v>
                </c:pt>
                <c:pt idx="313">
                  <c:v>0.16191304347826088</c:v>
                </c:pt>
                <c:pt idx="314">
                  <c:v>0.16191304347826088</c:v>
                </c:pt>
                <c:pt idx="315">
                  <c:v>0.16191304347826088</c:v>
                </c:pt>
                <c:pt idx="316">
                  <c:v>0.16191304347826088</c:v>
                </c:pt>
                <c:pt idx="317">
                  <c:v>0.16191304347826088</c:v>
                </c:pt>
                <c:pt idx="318">
                  <c:v>0.16191304347826088</c:v>
                </c:pt>
                <c:pt idx="319">
                  <c:v>0.16191304347826088</c:v>
                </c:pt>
                <c:pt idx="320">
                  <c:v>0.16191304347826088</c:v>
                </c:pt>
                <c:pt idx="321">
                  <c:v>0.16191304347826088</c:v>
                </c:pt>
                <c:pt idx="322">
                  <c:v>0.16191304347826088</c:v>
                </c:pt>
                <c:pt idx="323">
                  <c:v>0.16191304347826088</c:v>
                </c:pt>
                <c:pt idx="324">
                  <c:v>0.16191304347826088</c:v>
                </c:pt>
                <c:pt idx="325">
                  <c:v>0.16191304347826088</c:v>
                </c:pt>
                <c:pt idx="326">
                  <c:v>0.16191304347826088</c:v>
                </c:pt>
                <c:pt idx="327">
                  <c:v>0.16191304347826088</c:v>
                </c:pt>
                <c:pt idx="328">
                  <c:v>0.16191304347826088</c:v>
                </c:pt>
                <c:pt idx="329">
                  <c:v>0.16191304347826088</c:v>
                </c:pt>
                <c:pt idx="330">
                  <c:v>0.16191304347826088</c:v>
                </c:pt>
                <c:pt idx="331">
                  <c:v>0.16191304347826088</c:v>
                </c:pt>
                <c:pt idx="332">
                  <c:v>0.16191304347826088</c:v>
                </c:pt>
                <c:pt idx="333">
                  <c:v>0.16191304347826088</c:v>
                </c:pt>
                <c:pt idx="334">
                  <c:v>0.16191304347826088</c:v>
                </c:pt>
                <c:pt idx="335">
                  <c:v>0.16191304347826088</c:v>
                </c:pt>
                <c:pt idx="336">
                  <c:v>0.16191304347826088</c:v>
                </c:pt>
                <c:pt idx="337">
                  <c:v>0.16191304347826088</c:v>
                </c:pt>
                <c:pt idx="338">
                  <c:v>0.16191304347826088</c:v>
                </c:pt>
                <c:pt idx="339">
                  <c:v>0.16191304347826088</c:v>
                </c:pt>
                <c:pt idx="340">
                  <c:v>0.16191304347826088</c:v>
                </c:pt>
                <c:pt idx="341">
                  <c:v>0.16191304347826088</c:v>
                </c:pt>
                <c:pt idx="342">
                  <c:v>0.16191304347826088</c:v>
                </c:pt>
                <c:pt idx="343">
                  <c:v>0.16191304347826088</c:v>
                </c:pt>
                <c:pt idx="344">
                  <c:v>0.16191304347826088</c:v>
                </c:pt>
                <c:pt idx="345">
                  <c:v>0.16191304347826088</c:v>
                </c:pt>
                <c:pt idx="346">
                  <c:v>0.16191304347826088</c:v>
                </c:pt>
                <c:pt idx="347">
                  <c:v>0.16191304347826088</c:v>
                </c:pt>
                <c:pt idx="348">
                  <c:v>0.16191304347826088</c:v>
                </c:pt>
                <c:pt idx="349">
                  <c:v>0.16191304347826088</c:v>
                </c:pt>
                <c:pt idx="350">
                  <c:v>0.16191304347826088</c:v>
                </c:pt>
                <c:pt idx="351">
                  <c:v>0.16191304347826088</c:v>
                </c:pt>
                <c:pt idx="352">
                  <c:v>0.16191304347826088</c:v>
                </c:pt>
                <c:pt idx="353">
                  <c:v>0.16191304347826088</c:v>
                </c:pt>
                <c:pt idx="354">
                  <c:v>0.16191304347826088</c:v>
                </c:pt>
                <c:pt idx="355">
                  <c:v>0.16191304347826088</c:v>
                </c:pt>
                <c:pt idx="356">
                  <c:v>0.16191304347826088</c:v>
                </c:pt>
                <c:pt idx="357">
                  <c:v>0.16191304347826088</c:v>
                </c:pt>
                <c:pt idx="358">
                  <c:v>0.16191304347826088</c:v>
                </c:pt>
                <c:pt idx="359">
                  <c:v>0.16191304347826088</c:v>
                </c:pt>
                <c:pt idx="360">
                  <c:v>0.16191304347826088</c:v>
                </c:pt>
                <c:pt idx="361">
                  <c:v>0.16191304347826088</c:v>
                </c:pt>
                <c:pt idx="362">
                  <c:v>0.16191304347826088</c:v>
                </c:pt>
                <c:pt idx="363">
                  <c:v>0.16191304347826088</c:v>
                </c:pt>
                <c:pt idx="364">
                  <c:v>0.16191304347826088</c:v>
                </c:pt>
                <c:pt idx="365">
                  <c:v>0.16191304347826088</c:v>
                </c:pt>
                <c:pt idx="366">
                  <c:v>0.16191304347826088</c:v>
                </c:pt>
                <c:pt idx="367">
                  <c:v>0.16191304347826088</c:v>
                </c:pt>
                <c:pt idx="368">
                  <c:v>0.16191304347826088</c:v>
                </c:pt>
                <c:pt idx="369">
                  <c:v>0.16191304347826088</c:v>
                </c:pt>
                <c:pt idx="370">
                  <c:v>0.16191304347826088</c:v>
                </c:pt>
                <c:pt idx="371">
                  <c:v>0.16191304347826088</c:v>
                </c:pt>
                <c:pt idx="372">
                  <c:v>0.16191304347826088</c:v>
                </c:pt>
                <c:pt idx="373">
                  <c:v>0.16191304347826088</c:v>
                </c:pt>
                <c:pt idx="374">
                  <c:v>0.16191304347826088</c:v>
                </c:pt>
                <c:pt idx="375">
                  <c:v>0.16191304347826088</c:v>
                </c:pt>
                <c:pt idx="376">
                  <c:v>0.16191304347826088</c:v>
                </c:pt>
                <c:pt idx="377">
                  <c:v>0.16191304347826088</c:v>
                </c:pt>
                <c:pt idx="378">
                  <c:v>0.16191304347826088</c:v>
                </c:pt>
                <c:pt idx="379">
                  <c:v>0.16191304347826088</c:v>
                </c:pt>
                <c:pt idx="380">
                  <c:v>0.16191304347826088</c:v>
                </c:pt>
                <c:pt idx="381">
                  <c:v>0.16191304347826088</c:v>
                </c:pt>
                <c:pt idx="382">
                  <c:v>0.16191304347826088</c:v>
                </c:pt>
                <c:pt idx="383">
                  <c:v>0.16191304347826088</c:v>
                </c:pt>
                <c:pt idx="384">
                  <c:v>0.16191304347826088</c:v>
                </c:pt>
                <c:pt idx="385">
                  <c:v>0.16191304347826088</c:v>
                </c:pt>
                <c:pt idx="386">
                  <c:v>0.16191304347826088</c:v>
                </c:pt>
                <c:pt idx="387">
                  <c:v>0.16191304347826088</c:v>
                </c:pt>
                <c:pt idx="388">
                  <c:v>0.16191304347826088</c:v>
                </c:pt>
                <c:pt idx="389">
                  <c:v>0.16191304347826088</c:v>
                </c:pt>
                <c:pt idx="390">
                  <c:v>0.16191304347826088</c:v>
                </c:pt>
                <c:pt idx="391">
                  <c:v>0.16191304347826088</c:v>
                </c:pt>
                <c:pt idx="392">
                  <c:v>0.16191304347826088</c:v>
                </c:pt>
                <c:pt idx="393">
                  <c:v>0.16191304347826088</c:v>
                </c:pt>
                <c:pt idx="394">
                  <c:v>0.16191304347826088</c:v>
                </c:pt>
                <c:pt idx="395">
                  <c:v>0.16191304347826088</c:v>
                </c:pt>
                <c:pt idx="396">
                  <c:v>0.16191304347826088</c:v>
                </c:pt>
                <c:pt idx="397">
                  <c:v>0.16191304347826088</c:v>
                </c:pt>
                <c:pt idx="398">
                  <c:v>0.16191304347826088</c:v>
                </c:pt>
                <c:pt idx="399">
                  <c:v>0.16191304347826088</c:v>
                </c:pt>
                <c:pt idx="400">
                  <c:v>0.16191304347826088</c:v>
                </c:pt>
                <c:pt idx="401">
                  <c:v>0.16191304347826088</c:v>
                </c:pt>
                <c:pt idx="402">
                  <c:v>0.16191304347826088</c:v>
                </c:pt>
                <c:pt idx="403">
                  <c:v>0.16191304347826088</c:v>
                </c:pt>
                <c:pt idx="404">
                  <c:v>0.16191304347826088</c:v>
                </c:pt>
                <c:pt idx="405">
                  <c:v>0.16191304347826088</c:v>
                </c:pt>
                <c:pt idx="406">
                  <c:v>0.16191304347826088</c:v>
                </c:pt>
                <c:pt idx="407">
                  <c:v>0.16191304347826088</c:v>
                </c:pt>
                <c:pt idx="408">
                  <c:v>0.16191304347826088</c:v>
                </c:pt>
                <c:pt idx="409">
                  <c:v>0.16191304347826088</c:v>
                </c:pt>
                <c:pt idx="410">
                  <c:v>0.16191304347826088</c:v>
                </c:pt>
                <c:pt idx="411">
                  <c:v>0.16191304347826088</c:v>
                </c:pt>
                <c:pt idx="412">
                  <c:v>0.16191304347826088</c:v>
                </c:pt>
                <c:pt idx="413">
                  <c:v>0.16191304347826088</c:v>
                </c:pt>
                <c:pt idx="414">
                  <c:v>0.16191304347826088</c:v>
                </c:pt>
                <c:pt idx="415">
                  <c:v>0.16191304347826088</c:v>
                </c:pt>
                <c:pt idx="416">
                  <c:v>0.16191304347826088</c:v>
                </c:pt>
                <c:pt idx="417">
                  <c:v>0.16191304347826088</c:v>
                </c:pt>
                <c:pt idx="418">
                  <c:v>0.16191304347826088</c:v>
                </c:pt>
                <c:pt idx="419">
                  <c:v>0.16191304347826088</c:v>
                </c:pt>
                <c:pt idx="420">
                  <c:v>0.16191304347826088</c:v>
                </c:pt>
                <c:pt idx="421">
                  <c:v>0.16191304347826088</c:v>
                </c:pt>
                <c:pt idx="422">
                  <c:v>0.16191304347826088</c:v>
                </c:pt>
                <c:pt idx="423">
                  <c:v>0.16191304347826088</c:v>
                </c:pt>
                <c:pt idx="424">
                  <c:v>0.16191304347826088</c:v>
                </c:pt>
                <c:pt idx="425">
                  <c:v>0.16191304347826088</c:v>
                </c:pt>
                <c:pt idx="426">
                  <c:v>0.16191304347826088</c:v>
                </c:pt>
                <c:pt idx="427">
                  <c:v>0.16191304347826088</c:v>
                </c:pt>
                <c:pt idx="428">
                  <c:v>0.16191304347826088</c:v>
                </c:pt>
                <c:pt idx="429">
                  <c:v>0.16191304347826088</c:v>
                </c:pt>
                <c:pt idx="430">
                  <c:v>0.16191304347826088</c:v>
                </c:pt>
                <c:pt idx="431">
                  <c:v>0.16191304347826088</c:v>
                </c:pt>
                <c:pt idx="432">
                  <c:v>0.16191304347826088</c:v>
                </c:pt>
                <c:pt idx="433">
                  <c:v>0.16191304347826088</c:v>
                </c:pt>
                <c:pt idx="434">
                  <c:v>0.16191304347826088</c:v>
                </c:pt>
                <c:pt idx="435">
                  <c:v>0.16191304347826088</c:v>
                </c:pt>
                <c:pt idx="436">
                  <c:v>0.16191304347826088</c:v>
                </c:pt>
                <c:pt idx="437">
                  <c:v>0.16191304347826088</c:v>
                </c:pt>
                <c:pt idx="438">
                  <c:v>0.16191304347826088</c:v>
                </c:pt>
                <c:pt idx="439">
                  <c:v>0.16191304347826088</c:v>
                </c:pt>
                <c:pt idx="440">
                  <c:v>0.16191304347826088</c:v>
                </c:pt>
                <c:pt idx="441">
                  <c:v>0.16191304347826088</c:v>
                </c:pt>
                <c:pt idx="442">
                  <c:v>0.16191304347826088</c:v>
                </c:pt>
                <c:pt idx="443">
                  <c:v>0.16191304347826088</c:v>
                </c:pt>
                <c:pt idx="444">
                  <c:v>0.16191304347826088</c:v>
                </c:pt>
                <c:pt idx="445">
                  <c:v>0.16191304347826088</c:v>
                </c:pt>
                <c:pt idx="446">
                  <c:v>0.16191304347826088</c:v>
                </c:pt>
                <c:pt idx="447">
                  <c:v>0.16191304347826088</c:v>
                </c:pt>
                <c:pt idx="448">
                  <c:v>0.16191304347826088</c:v>
                </c:pt>
                <c:pt idx="449">
                  <c:v>0.16191304347826088</c:v>
                </c:pt>
                <c:pt idx="450">
                  <c:v>0.16191304347826088</c:v>
                </c:pt>
                <c:pt idx="451">
                  <c:v>0.16191304347826088</c:v>
                </c:pt>
                <c:pt idx="452">
                  <c:v>0.16191304347826088</c:v>
                </c:pt>
                <c:pt idx="453">
                  <c:v>0.16191304347826088</c:v>
                </c:pt>
                <c:pt idx="454">
                  <c:v>0.16191304347826088</c:v>
                </c:pt>
                <c:pt idx="455">
                  <c:v>0.16191304347826088</c:v>
                </c:pt>
                <c:pt idx="456">
                  <c:v>0.16191304347826088</c:v>
                </c:pt>
                <c:pt idx="457">
                  <c:v>0.16191304347826088</c:v>
                </c:pt>
                <c:pt idx="458">
                  <c:v>0.16191304347826088</c:v>
                </c:pt>
                <c:pt idx="459">
                  <c:v>0.16191304347826088</c:v>
                </c:pt>
                <c:pt idx="460">
                  <c:v>0.16191304347826088</c:v>
                </c:pt>
                <c:pt idx="461">
                  <c:v>0.16191304347826088</c:v>
                </c:pt>
                <c:pt idx="462">
                  <c:v>0.16191304347826088</c:v>
                </c:pt>
                <c:pt idx="463">
                  <c:v>0.16191304347826088</c:v>
                </c:pt>
                <c:pt idx="464">
                  <c:v>0.16191304347826088</c:v>
                </c:pt>
                <c:pt idx="465">
                  <c:v>0.16191304347826088</c:v>
                </c:pt>
                <c:pt idx="466">
                  <c:v>0.16191304347826088</c:v>
                </c:pt>
                <c:pt idx="467">
                  <c:v>0.16191304347826088</c:v>
                </c:pt>
                <c:pt idx="468">
                  <c:v>0.16191304347826088</c:v>
                </c:pt>
                <c:pt idx="469">
                  <c:v>0.16191304347826088</c:v>
                </c:pt>
                <c:pt idx="470">
                  <c:v>0.16191304347826088</c:v>
                </c:pt>
                <c:pt idx="471">
                  <c:v>0.16191304347826088</c:v>
                </c:pt>
                <c:pt idx="472">
                  <c:v>0.16191304347826088</c:v>
                </c:pt>
                <c:pt idx="473">
                  <c:v>0.16191304347826088</c:v>
                </c:pt>
                <c:pt idx="474">
                  <c:v>0.16191304347826088</c:v>
                </c:pt>
                <c:pt idx="475">
                  <c:v>0.16191304347826088</c:v>
                </c:pt>
                <c:pt idx="476">
                  <c:v>0.16191304347826088</c:v>
                </c:pt>
                <c:pt idx="477">
                  <c:v>0.16191304347826088</c:v>
                </c:pt>
                <c:pt idx="478">
                  <c:v>0.16191304347826088</c:v>
                </c:pt>
                <c:pt idx="479">
                  <c:v>0.16191304347826088</c:v>
                </c:pt>
                <c:pt idx="480">
                  <c:v>0.16191304347826088</c:v>
                </c:pt>
                <c:pt idx="481">
                  <c:v>0.16191304347826088</c:v>
                </c:pt>
                <c:pt idx="482">
                  <c:v>0.16191304347826088</c:v>
                </c:pt>
                <c:pt idx="483">
                  <c:v>0.16191304347826088</c:v>
                </c:pt>
                <c:pt idx="484">
                  <c:v>0.16191304347826088</c:v>
                </c:pt>
                <c:pt idx="485">
                  <c:v>0.16191304347826088</c:v>
                </c:pt>
                <c:pt idx="486">
                  <c:v>0.16191304347826088</c:v>
                </c:pt>
                <c:pt idx="487">
                  <c:v>0.16191304347826088</c:v>
                </c:pt>
                <c:pt idx="488">
                  <c:v>0.16191304347826088</c:v>
                </c:pt>
                <c:pt idx="489">
                  <c:v>0.16191304347826088</c:v>
                </c:pt>
                <c:pt idx="490">
                  <c:v>0.16191304347826088</c:v>
                </c:pt>
                <c:pt idx="491">
                  <c:v>0.16191304347826088</c:v>
                </c:pt>
                <c:pt idx="492">
                  <c:v>0.16191304347826088</c:v>
                </c:pt>
                <c:pt idx="493">
                  <c:v>0.16191304347826088</c:v>
                </c:pt>
                <c:pt idx="494">
                  <c:v>0.16191304347826088</c:v>
                </c:pt>
                <c:pt idx="495">
                  <c:v>0.16191304347826088</c:v>
                </c:pt>
                <c:pt idx="496">
                  <c:v>0.16191304347826088</c:v>
                </c:pt>
                <c:pt idx="497">
                  <c:v>0.16191304347826088</c:v>
                </c:pt>
                <c:pt idx="498">
                  <c:v>0.16191304347826088</c:v>
                </c:pt>
                <c:pt idx="499">
                  <c:v>0.16191304347826088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5-48F9-9106-55A0ACE21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704399"/>
        <c:axId val="1"/>
      </c:scatterChart>
      <c:valAx>
        <c:axId val="152970439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Distância total (km)</a:t>
                </a:r>
              </a:p>
            </c:rich>
          </c:tx>
          <c:layout>
            <c:manualLayout>
              <c:xMode val="edge"/>
              <c:yMode val="edge"/>
              <c:x val="0.40423345263660221"/>
              <c:y val="0.8833100029163021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Custo do km rodado ($/km)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297043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 /><Relationship Id="rId2" Type="http://schemas.openxmlformats.org/officeDocument/2006/relationships/hyperlink" Target="http://www.danbp.org/" TargetMode="External" /><Relationship Id="rId1" Type="http://schemas.openxmlformats.org/officeDocument/2006/relationships/chart" Target="../charts/chart1.xml" /><Relationship Id="rId5" Type="http://schemas.openxmlformats.org/officeDocument/2006/relationships/chart" Target="../charts/chart3.xml" /><Relationship Id="rId4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85725</xdr:rowOff>
    </xdr:from>
    <xdr:to>
      <xdr:col>6</xdr:col>
      <xdr:colOff>352424</xdr:colOff>
      <xdr:row>24</xdr:row>
      <xdr:rowOff>98427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11E1759-0FFF-448A-8F26-EA32407759BE}"/>
            </a:ext>
          </a:extLst>
        </xdr:cNvPr>
        <xdr:cNvSpPr txBox="1"/>
      </xdr:nvSpPr>
      <xdr:spPr>
        <a:xfrm>
          <a:off x="133350" y="85725"/>
          <a:ext cx="3876674" cy="389890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1400" b="1">
              <a:latin typeface="Arial" pitchFamily="34" charset="0"/>
              <a:cs typeface="Arial" pitchFamily="34" charset="0"/>
            </a:rPr>
            <a:t>Instruções</a:t>
          </a:r>
        </a:p>
        <a:p>
          <a:endParaRPr lang="pt-BR" sz="1100" baseline="0">
            <a:latin typeface="Arial" pitchFamily="34" charset="0"/>
            <a:cs typeface="Arial" pitchFamily="34" charset="0"/>
          </a:endParaRPr>
        </a:p>
        <a:p>
          <a:r>
            <a:rPr lang="pt-BR" sz="1100" baseline="0">
              <a:latin typeface="Arial" pitchFamily="34" charset="0"/>
              <a:cs typeface="Arial" pitchFamily="34" charset="0"/>
            </a:rPr>
            <a:t>Em cada abastecimento, tomar nota da quilometragem do veículo (odômetro), do volume abastecido (litros) e do preço cobrado pelo litro do combustível ($/L).</a:t>
          </a:r>
        </a:p>
        <a:p>
          <a:endParaRPr lang="pt-BR" sz="1100" baseline="0">
            <a:latin typeface="Arial" pitchFamily="34" charset="0"/>
            <a:cs typeface="Arial" pitchFamily="34" charset="0"/>
          </a:endParaRPr>
        </a:p>
        <a:p>
          <a:r>
            <a:rPr lang="pt-BR" sz="1100" baseline="0">
              <a:latin typeface="Arial" pitchFamily="34" charset="0"/>
              <a:cs typeface="Arial" pitchFamily="34" charset="0"/>
            </a:rPr>
            <a:t>Para o início do controle, </a:t>
          </a:r>
          <a:r>
            <a:rPr lang="pt-BR" sz="1100" u="sng" baseline="0">
              <a:latin typeface="Arial" pitchFamily="34" charset="0"/>
              <a:cs typeface="Arial" pitchFamily="34" charset="0"/>
            </a:rPr>
            <a:t>completar o nível do tanque </a:t>
          </a:r>
          <a:r>
            <a:rPr lang="pt-BR" sz="1100" baseline="0">
              <a:latin typeface="Arial" pitchFamily="34" charset="0"/>
              <a:cs typeface="Arial" pitchFamily="34" charset="0"/>
            </a:rPr>
            <a:t>e preencher a primeira linha (azul claro) da planilha. Para os demais abastecimentos, preencher as linhas verdes informando se o nível foi completo ou não. Esta planilha funciona independente do combustível utilizado.</a:t>
          </a:r>
        </a:p>
        <a:p>
          <a:endParaRPr lang="pt-BR" sz="1100" baseline="0">
            <a:latin typeface="Arial" pitchFamily="34" charset="0"/>
            <a:cs typeface="Arial" pitchFamily="34" charset="0"/>
          </a:endParaRPr>
        </a:p>
        <a:p>
          <a:r>
            <a:rPr lang="pt-BR" sz="1100" b="1" baseline="0">
              <a:latin typeface="Arial" pitchFamily="34" charset="0"/>
              <a:cs typeface="Arial" pitchFamily="34" charset="0"/>
            </a:rPr>
            <a:t>Nota 1: </a:t>
          </a:r>
          <a:r>
            <a:rPr lang="pt-BR" sz="1100" baseline="0">
              <a:latin typeface="Arial" pitchFamily="34" charset="0"/>
              <a:cs typeface="Arial" pitchFamily="34" charset="0"/>
            </a:rPr>
            <a:t>O consumo será calculado apenas quando o tanque for completamente cheio. Se o abastecimento foi parcial, a distância e o consumo serão acumulados até o próximo abastecimento completo. O resultado do consumo engloba todos os abastecimentos parciais.</a:t>
          </a:r>
        </a:p>
        <a:p>
          <a:endParaRPr lang="pt-BR" sz="1100" baseline="0">
            <a:latin typeface="Arial" pitchFamily="34" charset="0"/>
            <a:cs typeface="Arial" pitchFamily="34" charset="0"/>
          </a:endParaRPr>
        </a:p>
        <a:p>
          <a:r>
            <a:rPr lang="pt-BR" sz="1100" b="1" baseline="0">
              <a:latin typeface="Arial" pitchFamily="34" charset="0"/>
              <a:cs typeface="Arial" pitchFamily="34" charset="0"/>
            </a:rPr>
            <a:t>Nota 2: </a:t>
          </a:r>
          <a:r>
            <a:rPr lang="pt-BR" sz="1100" baseline="0">
              <a:latin typeface="Arial" pitchFamily="34" charset="0"/>
              <a:cs typeface="Arial" pitchFamily="34" charset="0"/>
            </a:rPr>
            <a:t>O valor de "X" para as estatísticas dos últimos abastecimentos pode ser alterado para o cálculo das distâncias e consumo parcial.</a:t>
          </a:r>
        </a:p>
        <a:p>
          <a:endParaRPr lang="pt-BR" sz="1100" baseline="0">
            <a:latin typeface="Arial" pitchFamily="34" charset="0"/>
            <a:cs typeface="Arial" pitchFamily="34" charset="0"/>
          </a:endParaRPr>
        </a:p>
        <a:p>
          <a:r>
            <a:rPr lang="pt-BR" sz="1100" b="1" baseline="0">
              <a:latin typeface="Arial" pitchFamily="34" charset="0"/>
              <a:cs typeface="Arial" pitchFamily="34" charset="0"/>
            </a:rPr>
            <a:t>Nota 3: </a:t>
          </a:r>
          <a:r>
            <a:rPr lang="pt-BR" sz="1100" baseline="0">
              <a:latin typeface="Arial" pitchFamily="34" charset="0"/>
              <a:cs typeface="Arial" pitchFamily="34" charset="0"/>
            </a:rPr>
            <a:t>A planilha NÃO está protegida por senha.</a:t>
          </a:r>
          <a:endParaRPr lang="pt-BR" sz="11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17</xdr:row>
      <xdr:rowOff>66675</xdr:rowOff>
    </xdr:from>
    <xdr:to>
      <xdr:col>17</xdr:col>
      <xdr:colOff>1276350</xdr:colOff>
      <xdr:row>34</xdr:row>
      <xdr:rowOff>57150</xdr:rowOff>
    </xdr:to>
    <xdr:graphicFrame macro="">
      <xdr:nvGraphicFramePr>
        <xdr:cNvPr id="1191" name="Gráfico 2">
          <a:extLst>
            <a:ext uri="{FF2B5EF4-FFF2-40B4-BE49-F238E27FC236}">
              <a16:creationId xmlns:a16="http://schemas.microsoft.com/office/drawing/2014/main" id="{EED297A4-9046-43EC-B18D-0D8FA1519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428625</xdr:colOff>
      <xdr:row>0</xdr:row>
      <xdr:rowOff>38100</xdr:rowOff>
    </xdr:from>
    <xdr:to>
      <xdr:col>10</xdr:col>
      <xdr:colOff>800100</xdr:colOff>
      <xdr:row>2</xdr:row>
      <xdr:rowOff>57150</xdr:rowOff>
    </xdr:to>
    <xdr:pic>
      <xdr:nvPicPr>
        <xdr:cNvPr id="1192" name="Imagem 2" descr="logo_grande_png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986C8E-DC41-421E-80B4-69340966D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38100"/>
          <a:ext cx="9810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200025</xdr:colOff>
      <xdr:row>54</xdr:row>
      <xdr:rowOff>85725</xdr:rowOff>
    </xdr:from>
    <xdr:to>
      <xdr:col>17</xdr:col>
      <xdr:colOff>1276350</xdr:colOff>
      <xdr:row>74</xdr:row>
      <xdr:rowOff>9525</xdr:rowOff>
    </xdr:to>
    <xdr:graphicFrame macro="">
      <xdr:nvGraphicFramePr>
        <xdr:cNvPr id="1193" name="Gráfico 2">
          <a:extLst>
            <a:ext uri="{FF2B5EF4-FFF2-40B4-BE49-F238E27FC236}">
              <a16:creationId xmlns:a16="http://schemas.microsoft.com/office/drawing/2014/main" id="{23703741-E849-413C-B844-2A2B32796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36</xdr:row>
      <xdr:rowOff>0</xdr:rowOff>
    </xdr:from>
    <xdr:to>
      <xdr:col>17</xdr:col>
      <xdr:colOff>1247775</xdr:colOff>
      <xdr:row>52</xdr:row>
      <xdr:rowOff>152400</xdr:rowOff>
    </xdr:to>
    <xdr:graphicFrame macro="">
      <xdr:nvGraphicFramePr>
        <xdr:cNvPr id="1194" name="Gráfico 2">
          <a:extLst>
            <a:ext uri="{FF2B5EF4-FFF2-40B4-BE49-F238E27FC236}">
              <a16:creationId xmlns:a16="http://schemas.microsoft.com/office/drawing/2014/main" id="{35C47AB0-5A46-45B5-9127-8B0F20FC8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hyperlink" Target="http://www.danbp.org/" TargetMode="External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"/>
  <sheetViews>
    <sheetView showGridLines="0" tabSelected="1" workbookViewId="0" xr3:uid="{AEA406A1-0E4B-5B11-9CD5-51D6E497D94C}">
      <selection activeCell="I16" sqref="I16"/>
    </sheetView>
  </sheetViews>
  <sheetFormatPr defaultRowHeight="12.75" x14ac:dyDescent="0.15"/>
  <sheetData/>
  <sheetProtection sheet="1"/>
  <pageMargins left="0.511811024" right="0.511811024" top="0.78740157499999996" bottom="0.78740157499999996" header="0.31496062000000002" footer="0.31496062000000002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T578"/>
  <sheetViews>
    <sheetView showGridLines="0" zoomScaleNormal="100" workbookViewId="0" xr3:uid="{958C4451-9541-5A59-BF78-D2F731DF1C81}">
      <selection activeCell="P5" sqref="P5"/>
    </sheetView>
  </sheetViews>
  <sheetFormatPr defaultRowHeight="12.75" x14ac:dyDescent="0.15"/>
  <cols>
    <col min="1" max="1" width="12.13671875" customWidth="1"/>
    <col min="2" max="2" width="10.3828125" customWidth="1"/>
    <col min="3" max="3" width="13.078125" customWidth="1"/>
    <col min="5" max="5" width="12" style="2" customWidth="1"/>
    <col min="6" max="6" width="8.62890625" customWidth="1"/>
    <col min="7" max="7" width="5.93359375" customWidth="1"/>
    <col min="8" max="8" width="11.59375" customWidth="1"/>
    <col min="11" max="11" width="12.67578125" customWidth="1"/>
    <col min="12" max="12" width="10.78515625" style="43" customWidth="1"/>
    <col min="13" max="13" width="2.96484375" customWidth="1"/>
    <col min="14" max="14" width="28.5859375" customWidth="1"/>
    <col min="15" max="15" width="6.60546875" customWidth="1"/>
    <col min="16" max="16" width="8.8984375" customWidth="1"/>
    <col min="17" max="17" width="15.91015625" customWidth="1"/>
    <col min="18" max="18" width="96.5546875" customWidth="1"/>
    <col min="19" max="19" width="9.9765625" style="19" customWidth="1"/>
    <col min="20" max="20" width="9.57421875" bestFit="1" customWidth="1"/>
  </cols>
  <sheetData>
    <row r="1" spans="1:20" ht="14.25" x14ac:dyDescent="0.15">
      <c r="A1" s="36" t="s">
        <v>35</v>
      </c>
      <c r="B1" s="1"/>
    </row>
    <row r="2" spans="1:20" ht="13.5" x14ac:dyDescent="0.15">
      <c r="A2" s="1"/>
      <c r="B2" s="1"/>
    </row>
    <row r="3" spans="1:20" ht="13.5" thickBot="1" x14ac:dyDescent="0.2"/>
    <row r="4" spans="1:20" ht="25.5" customHeight="1" x14ac:dyDescent="0.15">
      <c r="A4" s="40" t="s">
        <v>8</v>
      </c>
      <c r="B4" s="63" t="s">
        <v>36</v>
      </c>
      <c r="C4" s="63" t="s">
        <v>34</v>
      </c>
      <c r="D4" s="63" t="s">
        <v>31</v>
      </c>
      <c r="E4" s="63" t="s">
        <v>3</v>
      </c>
      <c r="F4" s="65" t="s">
        <v>12</v>
      </c>
      <c r="G4" s="66"/>
      <c r="H4" s="63" t="s">
        <v>24</v>
      </c>
      <c r="I4" s="64" t="s">
        <v>4</v>
      </c>
      <c r="J4" s="64"/>
      <c r="K4" s="64"/>
      <c r="L4" s="44" t="s">
        <v>37</v>
      </c>
      <c r="N4" s="31" t="s">
        <v>13</v>
      </c>
      <c r="O4" s="32"/>
      <c r="P4" s="30" t="s">
        <v>14</v>
      </c>
      <c r="Q4" s="29" t="s">
        <v>28</v>
      </c>
      <c r="S4" s="49" t="s">
        <v>30</v>
      </c>
      <c r="T4" s="50" t="s">
        <v>40</v>
      </c>
    </row>
    <row r="5" spans="1:20" ht="12.75" customHeight="1" x14ac:dyDescent="0.15">
      <c r="A5" s="41" t="s">
        <v>9</v>
      </c>
      <c r="B5" s="42" t="s">
        <v>1</v>
      </c>
      <c r="C5" s="42" t="s">
        <v>0</v>
      </c>
      <c r="D5" s="42" t="s">
        <v>2</v>
      </c>
      <c r="E5" s="42"/>
      <c r="F5" s="42" t="s">
        <v>1</v>
      </c>
      <c r="G5" s="42" t="s">
        <v>0</v>
      </c>
      <c r="H5" s="42" t="s">
        <v>20</v>
      </c>
      <c r="I5" s="42" t="s">
        <v>5</v>
      </c>
      <c r="J5" s="42" t="s">
        <v>6</v>
      </c>
      <c r="K5" s="42" t="s">
        <v>7</v>
      </c>
      <c r="L5" s="45" t="s">
        <v>22</v>
      </c>
      <c r="N5" s="23" t="s">
        <v>15</v>
      </c>
      <c r="O5" s="21" t="s">
        <v>1</v>
      </c>
      <c r="P5" s="20">
        <f>MAX(B:B)-B6</f>
        <v>5690</v>
      </c>
      <c r="Q5" s="24">
        <f ca="1">MAX(B:B)-OFFSET(B6,$P$14-$O$17-1,0,1)</f>
        <v>1490</v>
      </c>
      <c r="S5" s="51" t="s">
        <v>1</v>
      </c>
      <c r="T5" s="52" t="s">
        <v>22</v>
      </c>
    </row>
    <row r="6" spans="1:20" x14ac:dyDescent="0.15">
      <c r="A6" s="10">
        <v>40258</v>
      </c>
      <c r="B6" s="11">
        <v>72000</v>
      </c>
      <c r="C6" s="11">
        <v>20</v>
      </c>
      <c r="D6" s="11">
        <v>1.75</v>
      </c>
      <c r="E6" s="18" t="s">
        <v>10</v>
      </c>
      <c r="F6" s="3"/>
      <c r="G6" s="3"/>
      <c r="H6" s="3">
        <f>C6*D6</f>
        <v>35</v>
      </c>
      <c r="I6" s="3"/>
      <c r="J6" s="3"/>
      <c r="K6" s="3"/>
      <c r="L6" s="46"/>
      <c r="N6" s="23" t="s">
        <v>16</v>
      </c>
      <c r="O6" s="21" t="s">
        <v>0</v>
      </c>
      <c r="P6" s="20">
        <f>SUM(C6:C506)</f>
        <v>572</v>
      </c>
      <c r="Q6" s="24">
        <f ca="1">SUM(OFFSET(C6,$P$14-$O$17,0,$O$17))</f>
        <v>145</v>
      </c>
      <c r="S6" s="53">
        <f>P8</f>
        <v>10.268016785258165</v>
      </c>
      <c r="T6" s="54">
        <f>P11</f>
        <v>0.14157321494930192</v>
      </c>
    </row>
    <row r="7" spans="1:20" x14ac:dyDescent="0.15">
      <c r="A7" s="12">
        <v>40262</v>
      </c>
      <c r="B7" s="13">
        <v>72300</v>
      </c>
      <c r="C7" s="13">
        <v>30</v>
      </c>
      <c r="D7" s="13">
        <v>1.6</v>
      </c>
      <c r="E7" s="14" t="s">
        <v>10</v>
      </c>
      <c r="F7" s="6">
        <f>IF(B7&gt;0,IF(E6="Sim",B7-B6,F6+B7-B6),"")</f>
        <v>300</v>
      </c>
      <c r="G7" s="6">
        <f>IF(B7&gt;0,IF(E6="Sim",C7,G6+C7),"")</f>
        <v>30</v>
      </c>
      <c r="H7" s="6">
        <f>IF(C7&lt;&gt;"",C7*D7,"")</f>
        <v>48</v>
      </c>
      <c r="I7" s="7">
        <f>IF(E7="Sim",F7/G7,"")</f>
        <v>10</v>
      </c>
      <c r="J7" s="7">
        <f>IF(I7&lt;&gt;"",1/I7*100,"")</f>
        <v>10</v>
      </c>
      <c r="K7" s="7">
        <f>IF(I7&lt;&gt;"",I7*0.62137/0.2641,"")</f>
        <v>23.527830367285116</v>
      </c>
      <c r="L7" s="47">
        <f>IF(I7&lt;&gt;"",1/I7*D6,"")</f>
        <v>0.17500000000000002</v>
      </c>
      <c r="N7" s="23" t="s">
        <v>23</v>
      </c>
      <c r="O7" s="21" t="s">
        <v>20</v>
      </c>
      <c r="P7" s="4">
        <f>SUM(H6:H506)</f>
        <v>810.13000000000011</v>
      </c>
      <c r="Q7" s="5">
        <f ca="1">SUM(OFFSET(H6,$P$14-$O$17,0,$O$17))</f>
        <v>188.45999999999998</v>
      </c>
      <c r="S7" s="55">
        <f>IF(I7="",S6,I7)</f>
        <v>10</v>
      </c>
      <c r="T7" s="39">
        <f>IF(L7="",T6,L7)</f>
        <v>0.17500000000000002</v>
      </c>
    </row>
    <row r="8" spans="1:20" x14ac:dyDescent="0.15">
      <c r="A8" s="12">
        <v>40266</v>
      </c>
      <c r="B8" s="13">
        <v>72800</v>
      </c>
      <c r="C8" s="13">
        <v>30</v>
      </c>
      <c r="D8" s="13">
        <v>1.55</v>
      </c>
      <c r="E8" s="14" t="s">
        <v>11</v>
      </c>
      <c r="F8" s="6">
        <f t="shared" ref="F8:F71" si="0">IF(B8&gt;0,IF(E7="Sim",B8-B7,F7+B8-B7),"")</f>
        <v>500</v>
      </c>
      <c r="G8" s="6">
        <f t="shared" ref="G8:G71" si="1">IF(B8&gt;0,IF(E7="Sim",C8,G7+C8),"")</f>
        <v>30</v>
      </c>
      <c r="H8" s="6">
        <f t="shared" ref="H8:H71" si="2">IF(C8&lt;&gt;"",C8*D8,"")</f>
        <v>46.5</v>
      </c>
      <c r="I8" s="7" t="str">
        <f>IF(E8="Sim",F8/G8,"")</f>
        <v/>
      </c>
      <c r="J8" s="7" t="str">
        <f>IF(I8&lt;&gt;"",1/I8*100,"")</f>
        <v/>
      </c>
      <c r="K8" s="7" t="str">
        <f>IF(I8&lt;&gt;"",I8*0.62137/0.2641,"")</f>
        <v/>
      </c>
      <c r="L8" s="47" t="str">
        <f t="shared" ref="L8:L71" si="3">IF(I8&lt;&gt;"",1/I8*D7,"")</f>
        <v/>
      </c>
      <c r="N8" s="57" t="s">
        <v>17</v>
      </c>
      <c r="O8" s="58" t="s">
        <v>5</v>
      </c>
      <c r="P8" s="59">
        <f>AVERAGE(I7:I506)</f>
        <v>10.268016785258165</v>
      </c>
      <c r="Q8" s="60">
        <f ca="1">AVERAGE(OFFSET(I6,$P$14-$O$17,0,$O$17))</f>
        <v>10.098941798941798</v>
      </c>
      <c r="S8" s="55">
        <f t="shared" ref="S8:S71" si="4">IF(I8="",S7,I8)</f>
        <v>10</v>
      </c>
      <c r="T8" s="39">
        <f t="shared" ref="T8:T71" si="5">IF(L8="",T7,L8)</f>
        <v>0.17500000000000002</v>
      </c>
    </row>
    <row r="9" spans="1:20" x14ac:dyDescent="0.15">
      <c r="A9" s="12">
        <v>40270</v>
      </c>
      <c r="B9" s="13">
        <v>72950</v>
      </c>
      <c r="C9" s="13">
        <v>30</v>
      </c>
      <c r="D9" s="13">
        <v>1.4</v>
      </c>
      <c r="E9" s="14" t="s">
        <v>10</v>
      </c>
      <c r="F9" s="6">
        <f t="shared" si="0"/>
        <v>650</v>
      </c>
      <c r="G9" s="6">
        <f t="shared" si="1"/>
        <v>60</v>
      </c>
      <c r="H9" s="6">
        <f t="shared" si="2"/>
        <v>42</v>
      </c>
      <c r="I9" s="7">
        <f>IF(E9="Sim",F9/G9,"")</f>
        <v>10.833333333333334</v>
      </c>
      <c r="J9" s="7">
        <f>IF(I9&lt;&gt;"",1/I9*100,"")</f>
        <v>9.2307692307692299</v>
      </c>
      <c r="K9" s="7">
        <f>IF(I9&lt;&gt;"",I9*0.62137/0.2641,"")</f>
        <v>25.488482897892212</v>
      </c>
      <c r="L9" s="47">
        <f t="shared" si="3"/>
        <v>0.14307692307692307</v>
      </c>
      <c r="N9" s="23" t="s">
        <v>18</v>
      </c>
      <c r="O9" s="21" t="s">
        <v>5</v>
      </c>
      <c r="P9" s="4">
        <f>MIN(I7:I506)</f>
        <v>8.2142857142857135</v>
      </c>
      <c r="Q9" s="5">
        <f ca="1">MIN(OFFSET(I6,$P$14-$O$17,0,$O$17))</f>
        <v>8.2142857142857135</v>
      </c>
      <c r="S9" s="55">
        <f t="shared" si="4"/>
        <v>10.833333333333334</v>
      </c>
      <c r="T9" s="39">
        <f t="shared" si="5"/>
        <v>0.14307692307692307</v>
      </c>
    </row>
    <row r="10" spans="1:20" x14ac:dyDescent="0.15">
      <c r="A10" s="12">
        <v>40274</v>
      </c>
      <c r="B10" s="13">
        <v>73200</v>
      </c>
      <c r="C10" s="13">
        <v>30</v>
      </c>
      <c r="D10" s="13">
        <v>1.39</v>
      </c>
      <c r="E10" s="14" t="s">
        <v>10</v>
      </c>
      <c r="F10" s="6">
        <f t="shared" si="0"/>
        <v>250</v>
      </c>
      <c r="G10" s="6">
        <f t="shared" si="1"/>
        <v>30</v>
      </c>
      <c r="H10" s="6">
        <f t="shared" si="2"/>
        <v>41.699999999999996</v>
      </c>
      <c r="I10" s="7">
        <f>IF(E10="Sim",F10/G10,"")</f>
        <v>8.3333333333333339</v>
      </c>
      <c r="J10" s="7">
        <f t="shared" ref="J10:J73" si="6">IF(I10&lt;&gt;"",1/I10*100,"")</f>
        <v>12</v>
      </c>
      <c r="K10" s="7">
        <f>IF(I10&lt;&gt;"",I10*0.62137/0.2641,"")</f>
        <v>19.606525306070932</v>
      </c>
      <c r="L10" s="47">
        <f t="shared" si="3"/>
        <v>0.16799999999999998</v>
      </c>
      <c r="N10" s="23" t="s">
        <v>19</v>
      </c>
      <c r="O10" s="21" t="s">
        <v>5</v>
      </c>
      <c r="P10" s="4">
        <f>MAX(I7:I506)</f>
        <v>12.962962962962964</v>
      </c>
      <c r="Q10" s="5">
        <f ca="1">MAX(OFFSET(I6,$P$14-$O$17,0,$O$17))</f>
        <v>12.962962962962964</v>
      </c>
      <c r="S10" s="55">
        <f t="shared" si="4"/>
        <v>8.3333333333333339</v>
      </c>
      <c r="T10" s="39">
        <f t="shared" si="5"/>
        <v>0.16799999999999998</v>
      </c>
    </row>
    <row r="11" spans="1:20" x14ac:dyDescent="0.15">
      <c r="A11" s="12">
        <v>40278</v>
      </c>
      <c r="B11" s="13">
        <v>73500</v>
      </c>
      <c r="C11" s="13">
        <v>30</v>
      </c>
      <c r="D11" s="13">
        <v>1.39</v>
      </c>
      <c r="E11" s="14" t="s">
        <v>10</v>
      </c>
      <c r="F11" s="6">
        <f t="shared" si="0"/>
        <v>300</v>
      </c>
      <c r="G11" s="6">
        <f t="shared" si="1"/>
        <v>30</v>
      </c>
      <c r="H11" s="6">
        <f t="shared" si="2"/>
        <v>41.699999999999996</v>
      </c>
      <c r="I11" s="7">
        <f>IF(E11="Sim",F11/G11,"")</f>
        <v>10</v>
      </c>
      <c r="J11" s="7">
        <f t="shared" si="6"/>
        <v>10</v>
      </c>
      <c r="K11" s="7">
        <f>IF(I11&lt;&gt;"",I11*0.62137/0.2641,"")</f>
        <v>23.527830367285116</v>
      </c>
      <c r="L11" s="47">
        <f t="shared" si="3"/>
        <v>0.13899999999999998</v>
      </c>
      <c r="N11" s="57" t="s">
        <v>21</v>
      </c>
      <c r="O11" s="58" t="s">
        <v>22</v>
      </c>
      <c r="P11" s="61">
        <f>AVERAGE(L7:L506)</f>
        <v>0.14157321494930192</v>
      </c>
      <c r="Q11" s="62">
        <f ca="1">AVERAGE(OFFSET(L6,$P$14-$O$17,0,$O$17))</f>
        <v>0.13432961724266071</v>
      </c>
      <c r="S11" s="55">
        <f t="shared" si="4"/>
        <v>10</v>
      </c>
      <c r="T11" s="39">
        <f t="shared" si="5"/>
        <v>0.13899999999999998</v>
      </c>
    </row>
    <row r="12" spans="1:20" x14ac:dyDescent="0.15">
      <c r="A12" s="12">
        <v>40282</v>
      </c>
      <c r="B12" s="13">
        <v>73800</v>
      </c>
      <c r="C12" s="13">
        <v>29</v>
      </c>
      <c r="D12" s="13">
        <v>1.37</v>
      </c>
      <c r="E12" s="14" t="s">
        <v>10</v>
      </c>
      <c r="F12" s="6">
        <f t="shared" ref="F12:F25" si="7">IF(B12&gt;0,IF(E11="Sim",B12-B11,F11+B12-B11),"")</f>
        <v>300</v>
      </c>
      <c r="G12" s="6">
        <f t="shared" ref="G12:G25" si="8">IF(B12&gt;0,IF(E11="Sim",C12,G11+C12),"")</f>
        <v>29</v>
      </c>
      <c r="H12" s="6">
        <f t="shared" ref="H12:H25" si="9">IF(C12&lt;&gt;"",C12*D12,"")</f>
        <v>39.730000000000004</v>
      </c>
      <c r="I12" s="7">
        <f t="shared" ref="I12:I25" si="10">IF(E12="Sim",F12/G12,"")</f>
        <v>10.344827586206897</v>
      </c>
      <c r="J12" s="7">
        <f t="shared" si="6"/>
        <v>9.6666666666666661</v>
      </c>
      <c r="K12" s="7">
        <f t="shared" ref="K12:K25" si="11">IF(I12&lt;&gt;"",I12*0.62137/0.2641,"")</f>
        <v>24.339134862708743</v>
      </c>
      <c r="L12" s="47">
        <f t="shared" si="3"/>
        <v>0.13436666666666666</v>
      </c>
      <c r="N12" s="23" t="s">
        <v>38</v>
      </c>
      <c r="O12" s="21" t="s">
        <v>22</v>
      </c>
      <c r="P12" s="38">
        <f>MIN(L7:L506)</f>
        <v>0.10799999999999998</v>
      </c>
      <c r="Q12" s="39">
        <f ca="1">MIN(OFFSET(L6,$P$14-$O$17,0,$O$17))</f>
        <v>0.10799999999999998</v>
      </c>
      <c r="S12" s="55">
        <f t="shared" si="4"/>
        <v>10.344827586206897</v>
      </c>
      <c r="T12" s="39">
        <f t="shared" si="5"/>
        <v>0.13436666666666666</v>
      </c>
    </row>
    <row r="13" spans="1:20" x14ac:dyDescent="0.15">
      <c r="A13" s="12">
        <v>40286</v>
      </c>
      <c r="B13" s="13">
        <v>74100</v>
      </c>
      <c r="C13" s="13">
        <v>25</v>
      </c>
      <c r="D13" s="13">
        <v>1.4</v>
      </c>
      <c r="E13" s="14" t="s">
        <v>11</v>
      </c>
      <c r="F13" s="6">
        <f t="shared" si="7"/>
        <v>300</v>
      </c>
      <c r="G13" s="6">
        <f t="shared" si="8"/>
        <v>25</v>
      </c>
      <c r="H13" s="6">
        <f t="shared" si="9"/>
        <v>35</v>
      </c>
      <c r="I13" s="7" t="str">
        <f t="shared" si="10"/>
        <v/>
      </c>
      <c r="J13" s="7" t="str">
        <f t="shared" si="6"/>
        <v/>
      </c>
      <c r="K13" s="7" t="str">
        <f t="shared" si="11"/>
        <v/>
      </c>
      <c r="L13" s="47" t="str">
        <f t="shared" si="3"/>
        <v/>
      </c>
      <c r="N13" s="23" t="s">
        <v>39</v>
      </c>
      <c r="O13" s="21" t="s">
        <v>22</v>
      </c>
      <c r="P13" s="38">
        <f>MAX(L7:L506)</f>
        <v>0.17500000000000002</v>
      </c>
      <c r="Q13" s="39">
        <f ca="1">MAX(OFFSET(L6,$P$14-$O$17,0,$O$17))</f>
        <v>0.16191304347826088</v>
      </c>
      <c r="S13" s="55">
        <f t="shared" si="4"/>
        <v>10.344827586206897</v>
      </c>
      <c r="T13" s="39">
        <f t="shared" si="5"/>
        <v>0.13436666666666666</v>
      </c>
    </row>
    <row r="14" spans="1:20" x14ac:dyDescent="0.15">
      <c r="A14" s="12">
        <v>40290</v>
      </c>
      <c r="B14" s="13">
        <v>74400</v>
      </c>
      <c r="C14" s="13">
        <v>32</v>
      </c>
      <c r="D14" s="13">
        <v>1.29</v>
      </c>
      <c r="E14" s="14" t="s">
        <v>11</v>
      </c>
      <c r="F14" s="6">
        <f t="shared" si="7"/>
        <v>600</v>
      </c>
      <c r="G14" s="6">
        <f t="shared" si="8"/>
        <v>57</v>
      </c>
      <c r="H14" s="6">
        <f t="shared" si="9"/>
        <v>41.28</v>
      </c>
      <c r="I14" s="7" t="str">
        <f t="shared" si="10"/>
        <v/>
      </c>
      <c r="J14" s="7" t="str">
        <f t="shared" si="6"/>
        <v/>
      </c>
      <c r="K14" s="7" t="str">
        <f t="shared" si="11"/>
        <v/>
      </c>
      <c r="L14" s="47" t="str">
        <f t="shared" si="3"/>
        <v/>
      </c>
      <c r="N14" s="23" t="s">
        <v>27</v>
      </c>
      <c r="O14" s="21"/>
      <c r="P14" s="20">
        <f>COUNT(C6:C506)</f>
        <v>20</v>
      </c>
      <c r="Q14" s="24">
        <f ca="1">COUNT(OFFSET(A6,$P$14-$O$17,0,$O$17))</f>
        <v>5</v>
      </c>
      <c r="S14" s="55">
        <f t="shared" si="4"/>
        <v>10.344827586206897</v>
      </c>
      <c r="T14" s="39">
        <f t="shared" si="5"/>
        <v>0.13436666666666666</v>
      </c>
    </row>
    <row r="15" spans="1:20" ht="13.5" thickBot="1" x14ac:dyDescent="0.2">
      <c r="A15" s="12">
        <v>40294</v>
      </c>
      <c r="B15" s="13">
        <v>74700</v>
      </c>
      <c r="C15" s="13">
        <v>24</v>
      </c>
      <c r="D15" s="13">
        <v>1.34</v>
      </c>
      <c r="E15" s="14" t="s">
        <v>10</v>
      </c>
      <c r="F15" s="6">
        <f t="shared" si="7"/>
        <v>900</v>
      </c>
      <c r="G15" s="6">
        <f t="shared" si="8"/>
        <v>81</v>
      </c>
      <c r="H15" s="6">
        <f t="shared" si="9"/>
        <v>32.160000000000004</v>
      </c>
      <c r="I15" s="7">
        <f t="shared" si="10"/>
        <v>11.111111111111111</v>
      </c>
      <c r="J15" s="7">
        <f t="shared" si="6"/>
        <v>9</v>
      </c>
      <c r="K15" s="7">
        <f t="shared" si="11"/>
        <v>26.142033741427909</v>
      </c>
      <c r="L15" s="47">
        <f t="shared" si="3"/>
        <v>0.11609999999999999</v>
      </c>
      <c r="N15" s="25" t="s">
        <v>25</v>
      </c>
      <c r="O15" s="26" t="s">
        <v>26</v>
      </c>
      <c r="P15" s="27">
        <f>MAX(A6:A506)-MIN(A6:A506)</f>
        <v>76</v>
      </c>
      <c r="Q15" s="28">
        <f ca="1">MAX(OFFSET(A6,$P$14-$O$17,0,$O$17))-MIN(OFFSET(A6,$P$14-$O$17,0,$O$17))</f>
        <v>16</v>
      </c>
      <c r="S15" s="55">
        <f t="shared" si="4"/>
        <v>11.111111111111111</v>
      </c>
      <c r="T15" s="39">
        <f t="shared" si="5"/>
        <v>0.11609999999999999</v>
      </c>
    </row>
    <row r="16" spans="1:20" ht="13.5" thickBot="1" x14ac:dyDescent="0.2">
      <c r="A16" s="12">
        <v>40298</v>
      </c>
      <c r="B16" s="13">
        <v>75000</v>
      </c>
      <c r="C16" s="13">
        <v>32</v>
      </c>
      <c r="D16" s="13">
        <v>1.5</v>
      </c>
      <c r="E16" s="14" t="s">
        <v>11</v>
      </c>
      <c r="F16" s="6">
        <f t="shared" si="7"/>
        <v>300</v>
      </c>
      <c r="G16" s="6">
        <f t="shared" si="8"/>
        <v>32</v>
      </c>
      <c r="H16" s="6">
        <f t="shared" si="9"/>
        <v>48</v>
      </c>
      <c r="I16" s="7" t="str">
        <f t="shared" si="10"/>
        <v/>
      </c>
      <c r="J16" s="7" t="str">
        <f t="shared" si="6"/>
        <v/>
      </c>
      <c r="K16" s="7" t="str">
        <f t="shared" si="11"/>
        <v/>
      </c>
      <c r="L16" s="47" t="str">
        <f t="shared" si="3"/>
        <v/>
      </c>
      <c r="S16" s="55">
        <f t="shared" si="4"/>
        <v>11.111111111111111</v>
      </c>
      <c r="T16" s="39">
        <f t="shared" si="5"/>
        <v>0.11609999999999999</v>
      </c>
    </row>
    <row r="17" spans="1:20" ht="13.5" thickBot="1" x14ac:dyDescent="0.2">
      <c r="A17" s="12">
        <v>40302</v>
      </c>
      <c r="B17" s="13">
        <v>75300</v>
      </c>
      <c r="C17" s="13">
        <v>31</v>
      </c>
      <c r="D17" s="13">
        <v>1.6</v>
      </c>
      <c r="E17" s="14" t="s">
        <v>10</v>
      </c>
      <c r="F17" s="6">
        <f t="shared" si="7"/>
        <v>600</v>
      </c>
      <c r="G17" s="6">
        <f t="shared" si="8"/>
        <v>63</v>
      </c>
      <c r="H17" s="6">
        <f t="shared" si="9"/>
        <v>49.6</v>
      </c>
      <c r="I17" s="7">
        <f t="shared" si="10"/>
        <v>9.5238095238095237</v>
      </c>
      <c r="J17" s="7">
        <f t="shared" si="6"/>
        <v>10.5</v>
      </c>
      <c r="K17" s="7">
        <f t="shared" si="11"/>
        <v>22.407457492652494</v>
      </c>
      <c r="L17" s="47">
        <f t="shared" si="3"/>
        <v>0.1575</v>
      </c>
      <c r="N17" s="33" t="s">
        <v>29</v>
      </c>
      <c r="O17" s="22">
        <v>5</v>
      </c>
      <c r="S17" s="55">
        <f t="shared" si="4"/>
        <v>9.5238095238095237</v>
      </c>
      <c r="T17" s="39">
        <f t="shared" si="5"/>
        <v>0.1575</v>
      </c>
    </row>
    <row r="18" spans="1:20" x14ac:dyDescent="0.15">
      <c r="A18" s="12">
        <v>40306</v>
      </c>
      <c r="B18" s="13">
        <v>75600</v>
      </c>
      <c r="C18" s="13">
        <v>25</v>
      </c>
      <c r="D18" s="13">
        <v>1.6</v>
      </c>
      <c r="E18" s="14" t="s">
        <v>10</v>
      </c>
      <c r="F18" s="6">
        <f t="shared" si="7"/>
        <v>300</v>
      </c>
      <c r="G18" s="6">
        <f t="shared" si="8"/>
        <v>25</v>
      </c>
      <c r="H18" s="6">
        <f t="shared" si="9"/>
        <v>40</v>
      </c>
      <c r="I18" s="7">
        <f t="shared" si="10"/>
        <v>12</v>
      </c>
      <c r="J18" s="7">
        <f t="shared" si="6"/>
        <v>8.3333333333333321</v>
      </c>
      <c r="K18" s="7">
        <f t="shared" si="11"/>
        <v>28.23339644074214</v>
      </c>
      <c r="L18" s="47">
        <f t="shared" si="3"/>
        <v>0.13333333333333333</v>
      </c>
      <c r="S18" s="55">
        <f t="shared" si="4"/>
        <v>12</v>
      </c>
      <c r="T18" s="39">
        <f t="shared" si="5"/>
        <v>0.13333333333333333</v>
      </c>
    </row>
    <row r="19" spans="1:20" x14ac:dyDescent="0.15">
      <c r="A19" s="12">
        <v>40310</v>
      </c>
      <c r="B19" s="13">
        <v>75900</v>
      </c>
      <c r="C19" s="13">
        <v>27</v>
      </c>
      <c r="D19" s="13">
        <v>1.4</v>
      </c>
      <c r="E19" s="14" t="s">
        <v>10</v>
      </c>
      <c r="F19" s="6">
        <f t="shared" si="7"/>
        <v>300</v>
      </c>
      <c r="G19" s="6">
        <f t="shared" si="8"/>
        <v>27</v>
      </c>
      <c r="H19" s="6">
        <f t="shared" si="9"/>
        <v>37.799999999999997</v>
      </c>
      <c r="I19" s="7">
        <f t="shared" si="10"/>
        <v>11.111111111111111</v>
      </c>
      <c r="J19" s="7">
        <f t="shared" si="6"/>
        <v>9</v>
      </c>
      <c r="K19" s="7">
        <f t="shared" si="11"/>
        <v>26.142033741427909</v>
      </c>
      <c r="L19" s="47">
        <f t="shared" si="3"/>
        <v>0.14399999999999999</v>
      </c>
      <c r="S19" s="55">
        <f t="shared" si="4"/>
        <v>11.111111111111111</v>
      </c>
      <c r="T19" s="39">
        <f t="shared" si="5"/>
        <v>0.14399999999999999</v>
      </c>
    </row>
    <row r="20" spans="1:20" x14ac:dyDescent="0.15">
      <c r="A20" s="12">
        <v>40314</v>
      </c>
      <c r="B20" s="13">
        <v>76200</v>
      </c>
      <c r="C20" s="13">
        <v>32</v>
      </c>
      <c r="D20" s="13">
        <v>1.35</v>
      </c>
      <c r="E20" s="14" t="s">
        <v>11</v>
      </c>
      <c r="F20" s="6">
        <f t="shared" si="7"/>
        <v>300</v>
      </c>
      <c r="G20" s="6">
        <f t="shared" si="8"/>
        <v>32</v>
      </c>
      <c r="H20" s="6">
        <f t="shared" si="9"/>
        <v>43.2</v>
      </c>
      <c r="I20" s="7" t="str">
        <f t="shared" si="10"/>
        <v/>
      </c>
      <c r="J20" s="7" t="str">
        <f t="shared" si="6"/>
        <v/>
      </c>
      <c r="K20" s="7" t="str">
        <f t="shared" si="11"/>
        <v/>
      </c>
      <c r="L20" s="47" t="str">
        <f t="shared" si="3"/>
        <v/>
      </c>
      <c r="S20" s="55">
        <f t="shared" si="4"/>
        <v>11.111111111111111</v>
      </c>
      <c r="T20" s="39">
        <f t="shared" si="5"/>
        <v>0.14399999999999999</v>
      </c>
    </row>
    <row r="21" spans="1:20" x14ac:dyDescent="0.15">
      <c r="A21" s="12">
        <v>40318</v>
      </c>
      <c r="B21" s="13">
        <v>76550</v>
      </c>
      <c r="C21" s="13">
        <v>31</v>
      </c>
      <c r="D21" s="13">
        <v>1.25</v>
      </c>
      <c r="E21" s="14" t="s">
        <v>10</v>
      </c>
      <c r="F21" s="6">
        <f t="shared" si="7"/>
        <v>650</v>
      </c>
      <c r="G21" s="6">
        <f t="shared" si="8"/>
        <v>63</v>
      </c>
      <c r="H21" s="6">
        <f t="shared" si="9"/>
        <v>38.75</v>
      </c>
      <c r="I21" s="7">
        <f t="shared" si="10"/>
        <v>10.317460317460318</v>
      </c>
      <c r="J21" s="7">
        <f t="shared" si="6"/>
        <v>9.6923076923076916</v>
      </c>
      <c r="K21" s="7">
        <f t="shared" si="11"/>
        <v>24.274745617040203</v>
      </c>
      <c r="L21" s="47">
        <f t="shared" si="3"/>
        <v>0.13084615384615383</v>
      </c>
      <c r="S21" s="55">
        <f t="shared" si="4"/>
        <v>10.317460317460318</v>
      </c>
      <c r="T21" s="39">
        <f t="shared" si="5"/>
        <v>0.13084615384615383</v>
      </c>
    </row>
    <row r="22" spans="1:20" x14ac:dyDescent="0.15">
      <c r="A22" s="12">
        <v>40322</v>
      </c>
      <c r="B22" s="13">
        <v>76820</v>
      </c>
      <c r="C22" s="13">
        <v>30</v>
      </c>
      <c r="D22" s="13">
        <v>1.32</v>
      </c>
      <c r="E22" s="14" t="s">
        <v>10</v>
      </c>
      <c r="F22" s="6">
        <f t="shared" si="7"/>
        <v>270</v>
      </c>
      <c r="G22" s="6">
        <f t="shared" si="8"/>
        <v>30</v>
      </c>
      <c r="H22" s="6">
        <f t="shared" si="9"/>
        <v>39.6</v>
      </c>
      <c r="I22" s="7">
        <f t="shared" si="10"/>
        <v>9</v>
      </c>
      <c r="J22" s="7">
        <f t="shared" si="6"/>
        <v>11.111111111111111</v>
      </c>
      <c r="K22" s="7">
        <f t="shared" si="11"/>
        <v>21.175047330556605</v>
      </c>
      <c r="L22" s="47">
        <f t="shared" si="3"/>
        <v>0.1388888888888889</v>
      </c>
      <c r="S22" s="55">
        <f t="shared" si="4"/>
        <v>9</v>
      </c>
      <c r="T22" s="39">
        <f t="shared" si="5"/>
        <v>0.1388888888888889</v>
      </c>
    </row>
    <row r="23" spans="1:20" x14ac:dyDescent="0.15">
      <c r="A23" s="12">
        <v>40326</v>
      </c>
      <c r="B23" s="13">
        <v>77110</v>
      </c>
      <c r="C23" s="13">
        <v>29</v>
      </c>
      <c r="D23" s="13">
        <v>1.4</v>
      </c>
      <c r="E23" s="14" t="s">
        <v>10</v>
      </c>
      <c r="F23" s="6">
        <f t="shared" si="7"/>
        <v>290</v>
      </c>
      <c r="G23" s="6">
        <f t="shared" si="8"/>
        <v>29</v>
      </c>
      <c r="H23" s="6">
        <f t="shared" si="9"/>
        <v>40.599999999999994</v>
      </c>
      <c r="I23" s="7">
        <f t="shared" si="10"/>
        <v>10</v>
      </c>
      <c r="J23" s="7">
        <f t="shared" si="6"/>
        <v>10</v>
      </c>
      <c r="K23" s="7">
        <f t="shared" si="11"/>
        <v>23.527830367285116</v>
      </c>
      <c r="L23" s="47">
        <f t="shared" si="3"/>
        <v>0.13200000000000001</v>
      </c>
      <c r="S23" s="55">
        <f t="shared" si="4"/>
        <v>10</v>
      </c>
      <c r="T23" s="39">
        <f t="shared" si="5"/>
        <v>0.13200000000000001</v>
      </c>
    </row>
    <row r="24" spans="1:20" x14ac:dyDescent="0.15">
      <c r="A24" s="12">
        <v>40330</v>
      </c>
      <c r="B24" s="13">
        <v>77460</v>
      </c>
      <c r="C24" s="13">
        <v>27</v>
      </c>
      <c r="D24" s="13">
        <v>1.33</v>
      </c>
      <c r="E24" s="14" t="s">
        <v>10</v>
      </c>
      <c r="F24" s="6">
        <f t="shared" si="7"/>
        <v>350</v>
      </c>
      <c r="G24" s="6">
        <f t="shared" si="8"/>
        <v>27</v>
      </c>
      <c r="H24" s="6">
        <f t="shared" si="9"/>
        <v>35.910000000000004</v>
      </c>
      <c r="I24" s="7">
        <f t="shared" si="10"/>
        <v>12.962962962962964</v>
      </c>
      <c r="J24" s="7">
        <f t="shared" si="6"/>
        <v>7.7142857142857135</v>
      </c>
      <c r="K24" s="7">
        <f t="shared" si="11"/>
        <v>30.499039364999234</v>
      </c>
      <c r="L24" s="47">
        <f t="shared" si="3"/>
        <v>0.10799999999999998</v>
      </c>
      <c r="S24" s="55">
        <f t="shared" si="4"/>
        <v>12.962962962962964</v>
      </c>
      <c r="T24" s="39">
        <f t="shared" si="5"/>
        <v>0.10799999999999998</v>
      </c>
    </row>
    <row r="25" spans="1:20" x14ac:dyDescent="0.15">
      <c r="A25" s="12">
        <v>40334</v>
      </c>
      <c r="B25" s="13">
        <v>77690</v>
      </c>
      <c r="C25" s="13">
        <v>28</v>
      </c>
      <c r="D25" s="13">
        <v>1.2</v>
      </c>
      <c r="E25" s="14" t="s">
        <v>10</v>
      </c>
      <c r="F25" s="6">
        <f t="shared" si="7"/>
        <v>230</v>
      </c>
      <c r="G25" s="6">
        <f t="shared" si="8"/>
        <v>28</v>
      </c>
      <c r="H25" s="6">
        <f t="shared" si="9"/>
        <v>33.6</v>
      </c>
      <c r="I25" s="7">
        <f t="shared" si="10"/>
        <v>8.2142857142857135</v>
      </c>
      <c r="J25" s="7">
        <f t="shared" si="6"/>
        <v>12.173913043478262</v>
      </c>
      <c r="K25" s="7">
        <f t="shared" si="11"/>
        <v>19.326432087412773</v>
      </c>
      <c r="L25" s="47">
        <f t="shared" si="3"/>
        <v>0.16191304347826088</v>
      </c>
      <c r="S25" s="55">
        <f t="shared" si="4"/>
        <v>8.2142857142857135</v>
      </c>
      <c r="T25" s="39">
        <f t="shared" si="5"/>
        <v>0.16191304347826088</v>
      </c>
    </row>
    <row r="26" spans="1:20" x14ac:dyDescent="0.15">
      <c r="A26" s="12"/>
      <c r="B26" s="13"/>
      <c r="C26" s="13"/>
      <c r="D26" s="13"/>
      <c r="E26" s="14"/>
      <c r="F26" s="6" t="str">
        <f t="shared" si="0"/>
        <v/>
      </c>
      <c r="G26" s="6" t="str">
        <f t="shared" si="1"/>
        <v/>
      </c>
      <c r="H26" s="6" t="str">
        <f t="shared" si="2"/>
        <v/>
      </c>
      <c r="I26" s="7" t="str">
        <f t="shared" ref="I26:I75" si="12">IF(E26="Sim",F26/G26,"")</f>
        <v/>
      </c>
      <c r="J26" s="7" t="str">
        <f t="shared" si="6"/>
        <v/>
      </c>
      <c r="K26" s="7" t="str">
        <f t="shared" ref="K26:K75" si="13">IF(I26&lt;&gt;"",I26*0.62137/0.2641,"")</f>
        <v/>
      </c>
      <c r="L26" s="47" t="str">
        <f t="shared" si="3"/>
        <v/>
      </c>
      <c r="S26" s="55">
        <f t="shared" si="4"/>
        <v>8.2142857142857135</v>
      </c>
      <c r="T26" s="39">
        <f t="shared" si="5"/>
        <v>0.16191304347826088</v>
      </c>
    </row>
    <row r="27" spans="1:20" x14ac:dyDescent="0.15">
      <c r="A27" s="12"/>
      <c r="B27" s="13"/>
      <c r="C27" s="13"/>
      <c r="D27" s="13"/>
      <c r="E27" s="14"/>
      <c r="F27" s="6" t="str">
        <f t="shared" si="0"/>
        <v/>
      </c>
      <c r="G27" s="6" t="str">
        <f t="shared" si="1"/>
        <v/>
      </c>
      <c r="H27" s="6" t="str">
        <f t="shared" si="2"/>
        <v/>
      </c>
      <c r="I27" s="7" t="str">
        <f t="shared" si="12"/>
        <v/>
      </c>
      <c r="J27" s="7" t="str">
        <f t="shared" si="6"/>
        <v/>
      </c>
      <c r="K27" s="7" t="str">
        <f t="shared" si="13"/>
        <v/>
      </c>
      <c r="L27" s="47" t="str">
        <f t="shared" si="3"/>
        <v/>
      </c>
      <c r="S27" s="55">
        <f t="shared" si="4"/>
        <v>8.2142857142857135</v>
      </c>
      <c r="T27" s="39">
        <f t="shared" si="5"/>
        <v>0.16191304347826088</v>
      </c>
    </row>
    <row r="28" spans="1:20" x14ac:dyDescent="0.15">
      <c r="A28" s="12"/>
      <c r="B28" s="13"/>
      <c r="C28" s="13"/>
      <c r="D28" s="13"/>
      <c r="E28" s="14"/>
      <c r="F28" s="6" t="str">
        <f t="shared" si="0"/>
        <v/>
      </c>
      <c r="G28" s="6" t="str">
        <f t="shared" si="1"/>
        <v/>
      </c>
      <c r="H28" s="6" t="str">
        <f t="shared" si="2"/>
        <v/>
      </c>
      <c r="I28" s="7" t="str">
        <f t="shared" si="12"/>
        <v/>
      </c>
      <c r="J28" s="7" t="str">
        <f t="shared" si="6"/>
        <v/>
      </c>
      <c r="K28" s="7" t="str">
        <f t="shared" si="13"/>
        <v/>
      </c>
      <c r="L28" s="47" t="str">
        <f t="shared" si="3"/>
        <v/>
      </c>
      <c r="S28" s="55">
        <f t="shared" si="4"/>
        <v>8.2142857142857135</v>
      </c>
      <c r="T28" s="39">
        <f t="shared" si="5"/>
        <v>0.16191304347826088</v>
      </c>
    </row>
    <row r="29" spans="1:20" x14ac:dyDescent="0.15">
      <c r="A29" s="12"/>
      <c r="B29" s="13"/>
      <c r="C29" s="13"/>
      <c r="D29" s="13"/>
      <c r="E29" s="14"/>
      <c r="F29" s="6" t="str">
        <f t="shared" si="0"/>
        <v/>
      </c>
      <c r="G29" s="6" t="str">
        <f t="shared" si="1"/>
        <v/>
      </c>
      <c r="H29" s="6" t="str">
        <f t="shared" si="2"/>
        <v/>
      </c>
      <c r="I29" s="7" t="str">
        <f t="shared" si="12"/>
        <v/>
      </c>
      <c r="J29" s="7" t="str">
        <f t="shared" si="6"/>
        <v/>
      </c>
      <c r="K29" s="7" t="str">
        <f t="shared" si="13"/>
        <v/>
      </c>
      <c r="L29" s="47" t="str">
        <f t="shared" si="3"/>
        <v/>
      </c>
      <c r="S29" s="55">
        <f t="shared" si="4"/>
        <v>8.2142857142857135</v>
      </c>
      <c r="T29" s="39">
        <f t="shared" si="5"/>
        <v>0.16191304347826088</v>
      </c>
    </row>
    <row r="30" spans="1:20" x14ac:dyDescent="0.15">
      <c r="A30" s="12"/>
      <c r="B30" s="13"/>
      <c r="C30" s="13"/>
      <c r="D30" s="13"/>
      <c r="E30" s="14"/>
      <c r="F30" s="6" t="str">
        <f t="shared" si="0"/>
        <v/>
      </c>
      <c r="G30" s="6" t="str">
        <f t="shared" si="1"/>
        <v/>
      </c>
      <c r="H30" s="6" t="str">
        <f t="shared" si="2"/>
        <v/>
      </c>
      <c r="I30" s="7" t="str">
        <f t="shared" si="12"/>
        <v/>
      </c>
      <c r="J30" s="7" t="str">
        <f t="shared" si="6"/>
        <v/>
      </c>
      <c r="K30" s="7" t="str">
        <f t="shared" si="13"/>
        <v/>
      </c>
      <c r="L30" s="47" t="str">
        <f t="shared" si="3"/>
        <v/>
      </c>
      <c r="S30" s="55">
        <f t="shared" si="4"/>
        <v>8.2142857142857135</v>
      </c>
      <c r="T30" s="39">
        <f t="shared" si="5"/>
        <v>0.16191304347826088</v>
      </c>
    </row>
    <row r="31" spans="1:20" x14ac:dyDescent="0.15">
      <c r="A31" s="12"/>
      <c r="B31" s="13"/>
      <c r="C31" s="13"/>
      <c r="D31" s="13"/>
      <c r="E31" s="14"/>
      <c r="F31" s="6" t="str">
        <f t="shared" si="0"/>
        <v/>
      </c>
      <c r="G31" s="6" t="str">
        <f t="shared" si="1"/>
        <v/>
      </c>
      <c r="H31" s="6" t="str">
        <f t="shared" si="2"/>
        <v/>
      </c>
      <c r="I31" s="7" t="str">
        <f t="shared" si="12"/>
        <v/>
      </c>
      <c r="J31" s="7" t="str">
        <f t="shared" si="6"/>
        <v/>
      </c>
      <c r="K31" s="7" t="str">
        <f t="shared" si="13"/>
        <v/>
      </c>
      <c r="L31" s="47" t="str">
        <f t="shared" si="3"/>
        <v/>
      </c>
      <c r="S31" s="55">
        <f t="shared" si="4"/>
        <v>8.2142857142857135</v>
      </c>
      <c r="T31" s="39">
        <f t="shared" si="5"/>
        <v>0.16191304347826088</v>
      </c>
    </row>
    <row r="32" spans="1:20" x14ac:dyDescent="0.15">
      <c r="A32" s="12"/>
      <c r="B32" s="13"/>
      <c r="C32" s="13"/>
      <c r="D32" s="13"/>
      <c r="E32" s="14"/>
      <c r="F32" s="6" t="str">
        <f t="shared" si="0"/>
        <v/>
      </c>
      <c r="G32" s="6" t="str">
        <f t="shared" si="1"/>
        <v/>
      </c>
      <c r="H32" s="6" t="str">
        <f t="shared" si="2"/>
        <v/>
      </c>
      <c r="I32" s="7" t="str">
        <f t="shared" si="12"/>
        <v/>
      </c>
      <c r="J32" s="7" t="str">
        <f t="shared" si="6"/>
        <v/>
      </c>
      <c r="K32" s="7" t="str">
        <f t="shared" si="13"/>
        <v/>
      </c>
      <c r="L32" s="47" t="str">
        <f t="shared" si="3"/>
        <v/>
      </c>
      <c r="S32" s="55">
        <f t="shared" si="4"/>
        <v>8.2142857142857135</v>
      </c>
      <c r="T32" s="39">
        <f t="shared" si="5"/>
        <v>0.16191304347826088</v>
      </c>
    </row>
    <row r="33" spans="1:20" x14ac:dyDescent="0.15">
      <c r="A33" s="12"/>
      <c r="B33" s="13"/>
      <c r="C33" s="13"/>
      <c r="D33" s="13"/>
      <c r="E33" s="14"/>
      <c r="F33" s="6" t="str">
        <f t="shared" si="0"/>
        <v/>
      </c>
      <c r="G33" s="6" t="str">
        <f t="shared" si="1"/>
        <v/>
      </c>
      <c r="H33" s="6" t="str">
        <f t="shared" si="2"/>
        <v/>
      </c>
      <c r="I33" s="7" t="str">
        <f t="shared" si="12"/>
        <v/>
      </c>
      <c r="J33" s="7" t="str">
        <f t="shared" si="6"/>
        <v/>
      </c>
      <c r="K33" s="7" t="str">
        <f t="shared" si="13"/>
        <v/>
      </c>
      <c r="L33" s="47" t="str">
        <f t="shared" si="3"/>
        <v/>
      </c>
      <c r="S33" s="55">
        <f t="shared" si="4"/>
        <v>8.2142857142857135</v>
      </c>
      <c r="T33" s="39">
        <f t="shared" si="5"/>
        <v>0.16191304347826088</v>
      </c>
    </row>
    <row r="34" spans="1:20" x14ac:dyDescent="0.15">
      <c r="A34" s="12"/>
      <c r="B34" s="13"/>
      <c r="C34" s="13"/>
      <c r="D34" s="13"/>
      <c r="E34" s="14"/>
      <c r="F34" s="6" t="str">
        <f t="shared" si="0"/>
        <v/>
      </c>
      <c r="G34" s="6" t="str">
        <f t="shared" si="1"/>
        <v/>
      </c>
      <c r="H34" s="6" t="str">
        <f t="shared" si="2"/>
        <v/>
      </c>
      <c r="I34" s="7" t="str">
        <f t="shared" si="12"/>
        <v/>
      </c>
      <c r="J34" s="7" t="str">
        <f t="shared" si="6"/>
        <v/>
      </c>
      <c r="K34" s="7" t="str">
        <f t="shared" si="13"/>
        <v/>
      </c>
      <c r="L34" s="47" t="str">
        <f t="shared" si="3"/>
        <v/>
      </c>
      <c r="S34" s="55">
        <f t="shared" si="4"/>
        <v>8.2142857142857135</v>
      </c>
      <c r="T34" s="39">
        <f t="shared" si="5"/>
        <v>0.16191304347826088</v>
      </c>
    </row>
    <row r="35" spans="1:20" x14ac:dyDescent="0.15">
      <c r="A35" s="12"/>
      <c r="B35" s="13"/>
      <c r="C35" s="13"/>
      <c r="D35" s="13"/>
      <c r="E35" s="14"/>
      <c r="F35" s="6" t="str">
        <f t="shared" si="0"/>
        <v/>
      </c>
      <c r="G35" s="6" t="str">
        <f t="shared" si="1"/>
        <v/>
      </c>
      <c r="H35" s="6" t="str">
        <f t="shared" si="2"/>
        <v/>
      </c>
      <c r="I35" s="7" t="str">
        <f t="shared" si="12"/>
        <v/>
      </c>
      <c r="J35" s="7" t="str">
        <f t="shared" si="6"/>
        <v/>
      </c>
      <c r="K35" s="7" t="str">
        <f t="shared" si="13"/>
        <v/>
      </c>
      <c r="L35" s="47" t="str">
        <f t="shared" si="3"/>
        <v/>
      </c>
      <c r="S35" s="55">
        <f t="shared" si="4"/>
        <v>8.2142857142857135</v>
      </c>
      <c r="T35" s="39">
        <f t="shared" si="5"/>
        <v>0.16191304347826088</v>
      </c>
    </row>
    <row r="36" spans="1:20" x14ac:dyDescent="0.15">
      <c r="A36" s="12"/>
      <c r="B36" s="13"/>
      <c r="C36" s="13"/>
      <c r="D36" s="13"/>
      <c r="E36" s="14"/>
      <c r="F36" s="6" t="str">
        <f t="shared" si="0"/>
        <v/>
      </c>
      <c r="G36" s="6" t="str">
        <f t="shared" si="1"/>
        <v/>
      </c>
      <c r="H36" s="6" t="str">
        <f t="shared" si="2"/>
        <v/>
      </c>
      <c r="I36" s="7" t="str">
        <f t="shared" si="12"/>
        <v/>
      </c>
      <c r="J36" s="7" t="str">
        <f t="shared" si="6"/>
        <v/>
      </c>
      <c r="K36" s="7" t="str">
        <f t="shared" si="13"/>
        <v/>
      </c>
      <c r="L36" s="47" t="str">
        <f t="shared" si="3"/>
        <v/>
      </c>
      <c r="S36" s="55">
        <f t="shared" si="4"/>
        <v>8.2142857142857135</v>
      </c>
      <c r="T36" s="39">
        <f t="shared" si="5"/>
        <v>0.16191304347826088</v>
      </c>
    </row>
    <row r="37" spans="1:20" x14ac:dyDescent="0.15">
      <c r="A37" s="12"/>
      <c r="B37" s="13"/>
      <c r="C37" s="13"/>
      <c r="D37" s="13"/>
      <c r="E37" s="14"/>
      <c r="F37" s="6" t="str">
        <f t="shared" si="0"/>
        <v/>
      </c>
      <c r="G37" s="6" t="str">
        <f t="shared" si="1"/>
        <v/>
      </c>
      <c r="H37" s="6" t="str">
        <f t="shared" si="2"/>
        <v/>
      </c>
      <c r="I37" s="7" t="str">
        <f t="shared" si="12"/>
        <v/>
      </c>
      <c r="J37" s="7" t="str">
        <f t="shared" si="6"/>
        <v/>
      </c>
      <c r="K37" s="7" t="str">
        <f t="shared" si="13"/>
        <v/>
      </c>
      <c r="L37" s="47" t="str">
        <f t="shared" si="3"/>
        <v/>
      </c>
      <c r="S37" s="55">
        <f t="shared" si="4"/>
        <v>8.2142857142857135</v>
      </c>
      <c r="T37" s="39">
        <f t="shared" si="5"/>
        <v>0.16191304347826088</v>
      </c>
    </row>
    <row r="38" spans="1:20" x14ac:dyDescent="0.15">
      <c r="A38" s="12"/>
      <c r="B38" s="13"/>
      <c r="C38" s="13"/>
      <c r="D38" s="13"/>
      <c r="E38" s="14"/>
      <c r="F38" s="6" t="str">
        <f t="shared" si="0"/>
        <v/>
      </c>
      <c r="G38" s="6" t="str">
        <f t="shared" si="1"/>
        <v/>
      </c>
      <c r="H38" s="6" t="str">
        <f t="shared" si="2"/>
        <v/>
      </c>
      <c r="I38" s="7" t="str">
        <f t="shared" si="12"/>
        <v/>
      </c>
      <c r="J38" s="7" t="str">
        <f t="shared" si="6"/>
        <v/>
      </c>
      <c r="K38" s="7" t="str">
        <f t="shared" si="13"/>
        <v/>
      </c>
      <c r="L38" s="47" t="str">
        <f t="shared" si="3"/>
        <v/>
      </c>
      <c r="S38" s="55">
        <f t="shared" si="4"/>
        <v>8.2142857142857135</v>
      </c>
      <c r="T38" s="39">
        <f t="shared" si="5"/>
        <v>0.16191304347826088</v>
      </c>
    </row>
    <row r="39" spans="1:20" x14ac:dyDescent="0.15">
      <c r="A39" s="12"/>
      <c r="B39" s="13"/>
      <c r="C39" s="13"/>
      <c r="D39" s="13"/>
      <c r="E39" s="14"/>
      <c r="F39" s="6" t="str">
        <f t="shared" si="0"/>
        <v/>
      </c>
      <c r="G39" s="6" t="str">
        <f t="shared" si="1"/>
        <v/>
      </c>
      <c r="H39" s="6" t="str">
        <f t="shared" si="2"/>
        <v/>
      </c>
      <c r="I39" s="7" t="str">
        <f t="shared" si="12"/>
        <v/>
      </c>
      <c r="J39" s="7" t="str">
        <f t="shared" si="6"/>
        <v/>
      </c>
      <c r="K39" s="7" t="str">
        <f t="shared" si="13"/>
        <v/>
      </c>
      <c r="L39" s="47" t="str">
        <f t="shared" si="3"/>
        <v/>
      </c>
      <c r="S39" s="55">
        <f t="shared" si="4"/>
        <v>8.2142857142857135</v>
      </c>
      <c r="T39" s="39">
        <f t="shared" si="5"/>
        <v>0.16191304347826088</v>
      </c>
    </row>
    <row r="40" spans="1:20" x14ac:dyDescent="0.15">
      <c r="A40" s="12"/>
      <c r="B40" s="13"/>
      <c r="C40" s="13"/>
      <c r="D40" s="13"/>
      <c r="E40" s="14"/>
      <c r="F40" s="6" t="str">
        <f t="shared" si="0"/>
        <v/>
      </c>
      <c r="G40" s="6" t="str">
        <f t="shared" si="1"/>
        <v/>
      </c>
      <c r="H40" s="6" t="str">
        <f t="shared" si="2"/>
        <v/>
      </c>
      <c r="I40" s="7" t="str">
        <f t="shared" si="12"/>
        <v/>
      </c>
      <c r="J40" s="7" t="str">
        <f t="shared" si="6"/>
        <v/>
      </c>
      <c r="K40" s="7" t="str">
        <f t="shared" si="13"/>
        <v/>
      </c>
      <c r="L40" s="47" t="str">
        <f t="shared" si="3"/>
        <v/>
      </c>
      <c r="S40" s="55">
        <f t="shared" si="4"/>
        <v>8.2142857142857135</v>
      </c>
      <c r="T40" s="39">
        <f t="shared" si="5"/>
        <v>0.16191304347826088</v>
      </c>
    </row>
    <row r="41" spans="1:20" x14ac:dyDescent="0.15">
      <c r="A41" s="12"/>
      <c r="B41" s="13"/>
      <c r="C41" s="13"/>
      <c r="D41" s="13"/>
      <c r="E41" s="14"/>
      <c r="F41" s="6" t="str">
        <f t="shared" si="0"/>
        <v/>
      </c>
      <c r="G41" s="6" t="str">
        <f t="shared" si="1"/>
        <v/>
      </c>
      <c r="H41" s="6" t="str">
        <f t="shared" si="2"/>
        <v/>
      </c>
      <c r="I41" s="7" t="str">
        <f t="shared" si="12"/>
        <v/>
      </c>
      <c r="J41" s="7" t="str">
        <f t="shared" si="6"/>
        <v/>
      </c>
      <c r="K41" s="7" t="str">
        <f t="shared" si="13"/>
        <v/>
      </c>
      <c r="L41" s="47" t="str">
        <f t="shared" si="3"/>
        <v/>
      </c>
      <c r="S41" s="55">
        <f t="shared" si="4"/>
        <v>8.2142857142857135</v>
      </c>
      <c r="T41" s="39">
        <f t="shared" si="5"/>
        <v>0.16191304347826088</v>
      </c>
    </row>
    <row r="42" spans="1:20" x14ac:dyDescent="0.15">
      <c r="A42" s="12"/>
      <c r="B42" s="13"/>
      <c r="C42" s="13"/>
      <c r="D42" s="13"/>
      <c r="E42" s="14"/>
      <c r="F42" s="6" t="str">
        <f t="shared" si="0"/>
        <v/>
      </c>
      <c r="G42" s="6" t="str">
        <f t="shared" si="1"/>
        <v/>
      </c>
      <c r="H42" s="6" t="str">
        <f t="shared" si="2"/>
        <v/>
      </c>
      <c r="I42" s="7" t="str">
        <f t="shared" si="12"/>
        <v/>
      </c>
      <c r="J42" s="7" t="str">
        <f t="shared" si="6"/>
        <v/>
      </c>
      <c r="K42" s="7" t="str">
        <f t="shared" si="13"/>
        <v/>
      </c>
      <c r="L42" s="47" t="str">
        <f t="shared" si="3"/>
        <v/>
      </c>
      <c r="S42" s="55">
        <f t="shared" si="4"/>
        <v>8.2142857142857135</v>
      </c>
      <c r="T42" s="39">
        <f t="shared" si="5"/>
        <v>0.16191304347826088</v>
      </c>
    </row>
    <row r="43" spans="1:20" x14ac:dyDescent="0.15">
      <c r="A43" s="12"/>
      <c r="B43" s="13"/>
      <c r="C43" s="13"/>
      <c r="D43" s="13"/>
      <c r="E43" s="14"/>
      <c r="F43" s="6" t="str">
        <f t="shared" si="0"/>
        <v/>
      </c>
      <c r="G43" s="6" t="str">
        <f t="shared" si="1"/>
        <v/>
      </c>
      <c r="H43" s="6" t="str">
        <f t="shared" si="2"/>
        <v/>
      </c>
      <c r="I43" s="7" t="str">
        <f t="shared" si="12"/>
        <v/>
      </c>
      <c r="J43" s="7" t="str">
        <f t="shared" si="6"/>
        <v/>
      </c>
      <c r="K43" s="7" t="str">
        <f t="shared" si="13"/>
        <v/>
      </c>
      <c r="L43" s="47" t="str">
        <f t="shared" si="3"/>
        <v/>
      </c>
      <c r="S43" s="55">
        <f t="shared" si="4"/>
        <v>8.2142857142857135</v>
      </c>
      <c r="T43" s="39">
        <f t="shared" si="5"/>
        <v>0.16191304347826088</v>
      </c>
    </row>
    <row r="44" spans="1:20" x14ac:dyDescent="0.15">
      <c r="A44" s="12"/>
      <c r="B44" s="13"/>
      <c r="C44" s="13"/>
      <c r="D44" s="13"/>
      <c r="E44" s="14"/>
      <c r="F44" s="6" t="str">
        <f t="shared" si="0"/>
        <v/>
      </c>
      <c r="G44" s="6" t="str">
        <f t="shared" si="1"/>
        <v/>
      </c>
      <c r="H44" s="6" t="str">
        <f t="shared" si="2"/>
        <v/>
      </c>
      <c r="I44" s="7" t="str">
        <f t="shared" si="12"/>
        <v/>
      </c>
      <c r="J44" s="7" t="str">
        <f t="shared" si="6"/>
        <v/>
      </c>
      <c r="K44" s="7" t="str">
        <f t="shared" si="13"/>
        <v/>
      </c>
      <c r="L44" s="47" t="str">
        <f t="shared" si="3"/>
        <v/>
      </c>
      <c r="S44" s="55">
        <f t="shared" si="4"/>
        <v>8.2142857142857135</v>
      </c>
      <c r="T44" s="39">
        <f t="shared" si="5"/>
        <v>0.16191304347826088</v>
      </c>
    </row>
    <row r="45" spans="1:20" x14ac:dyDescent="0.15">
      <c r="A45" s="12"/>
      <c r="B45" s="13"/>
      <c r="C45" s="13"/>
      <c r="D45" s="13"/>
      <c r="E45" s="14"/>
      <c r="F45" s="6" t="str">
        <f t="shared" si="0"/>
        <v/>
      </c>
      <c r="G45" s="6" t="str">
        <f t="shared" si="1"/>
        <v/>
      </c>
      <c r="H45" s="6" t="str">
        <f t="shared" si="2"/>
        <v/>
      </c>
      <c r="I45" s="7" t="str">
        <f t="shared" si="12"/>
        <v/>
      </c>
      <c r="J45" s="7" t="str">
        <f t="shared" si="6"/>
        <v/>
      </c>
      <c r="K45" s="7" t="str">
        <f t="shared" si="13"/>
        <v/>
      </c>
      <c r="L45" s="47" t="str">
        <f t="shared" si="3"/>
        <v/>
      </c>
      <c r="S45" s="55">
        <f t="shared" si="4"/>
        <v>8.2142857142857135</v>
      </c>
      <c r="T45" s="39">
        <f t="shared" si="5"/>
        <v>0.16191304347826088</v>
      </c>
    </row>
    <row r="46" spans="1:20" x14ac:dyDescent="0.15">
      <c r="A46" s="12"/>
      <c r="B46" s="13"/>
      <c r="C46" s="13"/>
      <c r="D46" s="13"/>
      <c r="E46" s="14"/>
      <c r="F46" s="6" t="str">
        <f t="shared" si="0"/>
        <v/>
      </c>
      <c r="G46" s="6" t="str">
        <f t="shared" si="1"/>
        <v/>
      </c>
      <c r="H46" s="6" t="str">
        <f t="shared" si="2"/>
        <v/>
      </c>
      <c r="I46" s="7" t="str">
        <f t="shared" si="12"/>
        <v/>
      </c>
      <c r="J46" s="7" t="str">
        <f t="shared" si="6"/>
        <v/>
      </c>
      <c r="K46" s="7" t="str">
        <f t="shared" si="13"/>
        <v/>
      </c>
      <c r="L46" s="47" t="str">
        <f t="shared" si="3"/>
        <v/>
      </c>
      <c r="S46" s="55">
        <f t="shared" si="4"/>
        <v>8.2142857142857135</v>
      </c>
      <c r="T46" s="39">
        <f t="shared" si="5"/>
        <v>0.16191304347826088</v>
      </c>
    </row>
    <row r="47" spans="1:20" x14ac:dyDescent="0.15">
      <c r="A47" s="12"/>
      <c r="B47" s="13"/>
      <c r="C47" s="13"/>
      <c r="D47" s="13"/>
      <c r="E47" s="14"/>
      <c r="F47" s="6" t="str">
        <f t="shared" si="0"/>
        <v/>
      </c>
      <c r="G47" s="6" t="str">
        <f t="shared" si="1"/>
        <v/>
      </c>
      <c r="H47" s="6" t="str">
        <f t="shared" si="2"/>
        <v/>
      </c>
      <c r="I47" s="7" t="str">
        <f t="shared" si="12"/>
        <v/>
      </c>
      <c r="J47" s="7" t="str">
        <f t="shared" si="6"/>
        <v/>
      </c>
      <c r="K47" s="7" t="str">
        <f t="shared" si="13"/>
        <v/>
      </c>
      <c r="L47" s="47" t="str">
        <f t="shared" si="3"/>
        <v/>
      </c>
      <c r="S47" s="55">
        <f t="shared" si="4"/>
        <v>8.2142857142857135</v>
      </c>
      <c r="T47" s="39">
        <f t="shared" si="5"/>
        <v>0.16191304347826088</v>
      </c>
    </row>
    <row r="48" spans="1:20" x14ac:dyDescent="0.15">
      <c r="A48" s="12"/>
      <c r="B48" s="13"/>
      <c r="C48" s="13"/>
      <c r="D48" s="13"/>
      <c r="E48" s="14"/>
      <c r="F48" s="6" t="str">
        <f t="shared" si="0"/>
        <v/>
      </c>
      <c r="G48" s="6" t="str">
        <f t="shared" si="1"/>
        <v/>
      </c>
      <c r="H48" s="6" t="str">
        <f t="shared" si="2"/>
        <v/>
      </c>
      <c r="I48" s="7" t="str">
        <f t="shared" si="12"/>
        <v/>
      </c>
      <c r="J48" s="7" t="str">
        <f t="shared" si="6"/>
        <v/>
      </c>
      <c r="K48" s="7" t="str">
        <f t="shared" si="13"/>
        <v/>
      </c>
      <c r="L48" s="47" t="str">
        <f t="shared" si="3"/>
        <v/>
      </c>
      <c r="S48" s="55">
        <f t="shared" si="4"/>
        <v>8.2142857142857135</v>
      </c>
      <c r="T48" s="39">
        <f t="shared" si="5"/>
        <v>0.16191304347826088</v>
      </c>
    </row>
    <row r="49" spans="1:20" x14ac:dyDescent="0.15">
      <c r="A49" s="12"/>
      <c r="B49" s="13"/>
      <c r="C49" s="13"/>
      <c r="D49" s="13"/>
      <c r="E49" s="14"/>
      <c r="F49" s="6" t="str">
        <f t="shared" si="0"/>
        <v/>
      </c>
      <c r="G49" s="6" t="str">
        <f t="shared" si="1"/>
        <v/>
      </c>
      <c r="H49" s="6" t="str">
        <f t="shared" si="2"/>
        <v/>
      </c>
      <c r="I49" s="7" t="str">
        <f t="shared" si="12"/>
        <v/>
      </c>
      <c r="J49" s="7" t="str">
        <f t="shared" si="6"/>
        <v/>
      </c>
      <c r="K49" s="7" t="str">
        <f t="shared" si="13"/>
        <v/>
      </c>
      <c r="L49" s="47" t="str">
        <f t="shared" si="3"/>
        <v/>
      </c>
      <c r="S49" s="55">
        <f t="shared" si="4"/>
        <v>8.2142857142857135</v>
      </c>
      <c r="T49" s="39">
        <f t="shared" si="5"/>
        <v>0.16191304347826088</v>
      </c>
    </row>
    <row r="50" spans="1:20" x14ac:dyDescent="0.15">
      <c r="A50" s="12"/>
      <c r="B50" s="13"/>
      <c r="C50" s="13"/>
      <c r="D50" s="13"/>
      <c r="E50" s="14"/>
      <c r="F50" s="6" t="str">
        <f t="shared" si="0"/>
        <v/>
      </c>
      <c r="G50" s="6" t="str">
        <f t="shared" si="1"/>
        <v/>
      </c>
      <c r="H50" s="6" t="str">
        <f t="shared" si="2"/>
        <v/>
      </c>
      <c r="I50" s="7" t="str">
        <f t="shared" si="12"/>
        <v/>
      </c>
      <c r="J50" s="7" t="str">
        <f t="shared" si="6"/>
        <v/>
      </c>
      <c r="K50" s="7" t="str">
        <f t="shared" si="13"/>
        <v/>
      </c>
      <c r="L50" s="47" t="str">
        <f t="shared" si="3"/>
        <v/>
      </c>
      <c r="S50" s="55">
        <f t="shared" si="4"/>
        <v>8.2142857142857135</v>
      </c>
      <c r="T50" s="39">
        <f t="shared" si="5"/>
        <v>0.16191304347826088</v>
      </c>
    </row>
    <row r="51" spans="1:20" x14ac:dyDescent="0.15">
      <c r="A51" s="12"/>
      <c r="B51" s="13"/>
      <c r="C51" s="13"/>
      <c r="D51" s="13"/>
      <c r="E51" s="14"/>
      <c r="F51" s="6" t="str">
        <f t="shared" si="0"/>
        <v/>
      </c>
      <c r="G51" s="6" t="str">
        <f t="shared" si="1"/>
        <v/>
      </c>
      <c r="H51" s="6" t="str">
        <f t="shared" si="2"/>
        <v/>
      </c>
      <c r="I51" s="7" t="str">
        <f t="shared" si="12"/>
        <v/>
      </c>
      <c r="J51" s="7" t="str">
        <f t="shared" si="6"/>
        <v/>
      </c>
      <c r="K51" s="7" t="str">
        <f t="shared" si="13"/>
        <v/>
      </c>
      <c r="L51" s="47" t="str">
        <f t="shared" si="3"/>
        <v/>
      </c>
      <c r="S51" s="55">
        <f t="shared" si="4"/>
        <v>8.2142857142857135</v>
      </c>
      <c r="T51" s="39">
        <f t="shared" si="5"/>
        <v>0.16191304347826088</v>
      </c>
    </row>
    <row r="52" spans="1:20" x14ac:dyDescent="0.15">
      <c r="A52" s="12"/>
      <c r="B52" s="13"/>
      <c r="C52" s="13"/>
      <c r="D52" s="13"/>
      <c r="E52" s="14"/>
      <c r="F52" s="6" t="str">
        <f t="shared" si="0"/>
        <v/>
      </c>
      <c r="G52" s="6" t="str">
        <f t="shared" si="1"/>
        <v/>
      </c>
      <c r="H52" s="6" t="str">
        <f t="shared" si="2"/>
        <v/>
      </c>
      <c r="I52" s="7" t="str">
        <f t="shared" si="12"/>
        <v/>
      </c>
      <c r="J52" s="7" t="str">
        <f t="shared" si="6"/>
        <v/>
      </c>
      <c r="K52" s="7" t="str">
        <f t="shared" si="13"/>
        <v/>
      </c>
      <c r="L52" s="47" t="str">
        <f t="shared" si="3"/>
        <v/>
      </c>
      <c r="S52" s="55">
        <f t="shared" si="4"/>
        <v>8.2142857142857135</v>
      </c>
      <c r="T52" s="39">
        <f t="shared" si="5"/>
        <v>0.16191304347826088</v>
      </c>
    </row>
    <row r="53" spans="1:20" x14ac:dyDescent="0.15">
      <c r="A53" s="12"/>
      <c r="B53" s="13"/>
      <c r="C53" s="13"/>
      <c r="D53" s="13"/>
      <c r="E53" s="14"/>
      <c r="F53" s="6" t="str">
        <f t="shared" si="0"/>
        <v/>
      </c>
      <c r="G53" s="6" t="str">
        <f t="shared" si="1"/>
        <v/>
      </c>
      <c r="H53" s="6" t="str">
        <f t="shared" si="2"/>
        <v/>
      </c>
      <c r="I53" s="7" t="str">
        <f t="shared" si="12"/>
        <v/>
      </c>
      <c r="J53" s="7" t="str">
        <f t="shared" si="6"/>
        <v/>
      </c>
      <c r="K53" s="7" t="str">
        <f t="shared" si="13"/>
        <v/>
      </c>
      <c r="L53" s="47" t="str">
        <f t="shared" si="3"/>
        <v/>
      </c>
      <c r="S53" s="55">
        <f t="shared" si="4"/>
        <v>8.2142857142857135</v>
      </c>
      <c r="T53" s="39">
        <f t="shared" si="5"/>
        <v>0.16191304347826088</v>
      </c>
    </row>
    <row r="54" spans="1:20" x14ac:dyDescent="0.15">
      <c r="A54" s="12"/>
      <c r="B54" s="13"/>
      <c r="C54" s="13"/>
      <c r="D54" s="13"/>
      <c r="E54" s="14"/>
      <c r="F54" s="6" t="str">
        <f t="shared" si="0"/>
        <v/>
      </c>
      <c r="G54" s="6" t="str">
        <f t="shared" si="1"/>
        <v/>
      </c>
      <c r="H54" s="6" t="str">
        <f t="shared" si="2"/>
        <v/>
      </c>
      <c r="I54" s="7" t="str">
        <f t="shared" si="12"/>
        <v/>
      </c>
      <c r="J54" s="7" t="str">
        <f t="shared" si="6"/>
        <v/>
      </c>
      <c r="K54" s="7" t="str">
        <f t="shared" si="13"/>
        <v/>
      </c>
      <c r="L54" s="47" t="str">
        <f t="shared" si="3"/>
        <v/>
      </c>
      <c r="S54" s="55">
        <f t="shared" si="4"/>
        <v>8.2142857142857135</v>
      </c>
      <c r="T54" s="39">
        <f t="shared" si="5"/>
        <v>0.16191304347826088</v>
      </c>
    </row>
    <row r="55" spans="1:20" x14ac:dyDescent="0.15">
      <c r="A55" s="12"/>
      <c r="B55" s="13"/>
      <c r="C55" s="13"/>
      <c r="D55" s="13"/>
      <c r="E55" s="14"/>
      <c r="F55" s="6" t="str">
        <f t="shared" si="0"/>
        <v/>
      </c>
      <c r="G55" s="6" t="str">
        <f t="shared" si="1"/>
        <v/>
      </c>
      <c r="H55" s="6" t="str">
        <f t="shared" si="2"/>
        <v/>
      </c>
      <c r="I55" s="7" t="str">
        <f t="shared" si="12"/>
        <v/>
      </c>
      <c r="J55" s="7" t="str">
        <f t="shared" si="6"/>
        <v/>
      </c>
      <c r="K55" s="7" t="str">
        <f t="shared" si="13"/>
        <v/>
      </c>
      <c r="L55" s="47" t="str">
        <f t="shared" si="3"/>
        <v/>
      </c>
      <c r="S55" s="55">
        <f>IF(I55="",S54,I55)</f>
        <v>8.2142857142857135</v>
      </c>
      <c r="T55" s="39">
        <f t="shared" si="5"/>
        <v>0.16191304347826088</v>
      </c>
    </row>
    <row r="56" spans="1:20" x14ac:dyDescent="0.15">
      <c r="A56" s="12"/>
      <c r="B56" s="13"/>
      <c r="C56" s="13"/>
      <c r="D56" s="13"/>
      <c r="E56" s="14"/>
      <c r="F56" s="6" t="str">
        <f t="shared" si="0"/>
        <v/>
      </c>
      <c r="G56" s="6" t="str">
        <f t="shared" si="1"/>
        <v/>
      </c>
      <c r="H56" s="6" t="str">
        <f t="shared" si="2"/>
        <v/>
      </c>
      <c r="I56" s="7" t="str">
        <f t="shared" si="12"/>
        <v/>
      </c>
      <c r="J56" s="7" t="str">
        <f t="shared" si="6"/>
        <v/>
      </c>
      <c r="K56" s="7" t="str">
        <f t="shared" si="13"/>
        <v/>
      </c>
      <c r="L56" s="47" t="str">
        <f t="shared" si="3"/>
        <v/>
      </c>
      <c r="S56" s="55">
        <f>IF(I56="",S55,I56)</f>
        <v>8.2142857142857135</v>
      </c>
      <c r="T56" s="39">
        <f t="shared" si="5"/>
        <v>0.16191304347826088</v>
      </c>
    </row>
    <row r="57" spans="1:20" x14ac:dyDescent="0.15">
      <c r="A57" s="12"/>
      <c r="B57" s="13"/>
      <c r="C57" s="13"/>
      <c r="D57" s="13"/>
      <c r="E57" s="14"/>
      <c r="F57" s="6" t="str">
        <f t="shared" si="0"/>
        <v/>
      </c>
      <c r="G57" s="6" t="str">
        <f t="shared" si="1"/>
        <v/>
      </c>
      <c r="H57" s="6" t="str">
        <f t="shared" si="2"/>
        <v/>
      </c>
      <c r="I57" s="7" t="str">
        <f t="shared" si="12"/>
        <v/>
      </c>
      <c r="J57" s="7" t="str">
        <f t="shared" si="6"/>
        <v/>
      </c>
      <c r="K57" s="7" t="str">
        <f t="shared" si="13"/>
        <v/>
      </c>
      <c r="L57" s="47" t="str">
        <f t="shared" si="3"/>
        <v/>
      </c>
      <c r="S57" s="55">
        <f>IF(I57="",S56,I57)</f>
        <v>8.2142857142857135</v>
      </c>
      <c r="T57" s="39">
        <f t="shared" si="5"/>
        <v>0.16191304347826088</v>
      </c>
    </row>
    <row r="58" spans="1:20" x14ac:dyDescent="0.15">
      <c r="A58" s="12"/>
      <c r="B58" s="13"/>
      <c r="C58" s="13"/>
      <c r="D58" s="13"/>
      <c r="E58" s="14"/>
      <c r="F58" s="6" t="str">
        <f t="shared" si="0"/>
        <v/>
      </c>
      <c r="G58" s="6" t="str">
        <f t="shared" si="1"/>
        <v/>
      </c>
      <c r="H58" s="6" t="str">
        <f t="shared" si="2"/>
        <v/>
      </c>
      <c r="I58" s="7" t="str">
        <f t="shared" si="12"/>
        <v/>
      </c>
      <c r="J58" s="7" t="str">
        <f t="shared" si="6"/>
        <v/>
      </c>
      <c r="K58" s="7" t="str">
        <f t="shared" si="13"/>
        <v/>
      </c>
      <c r="L58" s="47" t="str">
        <f t="shared" si="3"/>
        <v/>
      </c>
      <c r="S58" s="55">
        <f t="shared" si="4"/>
        <v>8.2142857142857135</v>
      </c>
      <c r="T58" s="39">
        <f t="shared" si="5"/>
        <v>0.16191304347826088</v>
      </c>
    </row>
    <row r="59" spans="1:20" x14ac:dyDescent="0.15">
      <c r="A59" s="12"/>
      <c r="B59" s="13"/>
      <c r="C59" s="13"/>
      <c r="D59" s="13"/>
      <c r="E59" s="14"/>
      <c r="F59" s="6" t="str">
        <f t="shared" si="0"/>
        <v/>
      </c>
      <c r="G59" s="6" t="str">
        <f t="shared" si="1"/>
        <v/>
      </c>
      <c r="H59" s="6" t="str">
        <f t="shared" si="2"/>
        <v/>
      </c>
      <c r="I59" s="7" t="str">
        <f t="shared" si="12"/>
        <v/>
      </c>
      <c r="J59" s="7" t="str">
        <f t="shared" si="6"/>
        <v/>
      </c>
      <c r="K59" s="7" t="str">
        <f t="shared" si="13"/>
        <v/>
      </c>
      <c r="L59" s="47" t="str">
        <f t="shared" si="3"/>
        <v/>
      </c>
      <c r="S59" s="55">
        <f t="shared" si="4"/>
        <v>8.2142857142857135</v>
      </c>
      <c r="T59" s="39">
        <f t="shared" si="5"/>
        <v>0.16191304347826088</v>
      </c>
    </row>
    <row r="60" spans="1:20" x14ac:dyDescent="0.15">
      <c r="A60" s="12"/>
      <c r="B60" s="13"/>
      <c r="C60" s="13"/>
      <c r="D60" s="13"/>
      <c r="E60" s="14"/>
      <c r="F60" s="6" t="str">
        <f t="shared" si="0"/>
        <v/>
      </c>
      <c r="G60" s="6" t="str">
        <f t="shared" si="1"/>
        <v/>
      </c>
      <c r="H60" s="6" t="str">
        <f t="shared" si="2"/>
        <v/>
      </c>
      <c r="I60" s="7" t="str">
        <f t="shared" si="12"/>
        <v/>
      </c>
      <c r="J60" s="7" t="str">
        <f t="shared" si="6"/>
        <v/>
      </c>
      <c r="K60" s="7" t="str">
        <f t="shared" si="13"/>
        <v/>
      </c>
      <c r="L60" s="47" t="str">
        <f t="shared" si="3"/>
        <v/>
      </c>
      <c r="S60" s="55">
        <f t="shared" si="4"/>
        <v>8.2142857142857135</v>
      </c>
      <c r="T60" s="39">
        <f t="shared" si="5"/>
        <v>0.16191304347826088</v>
      </c>
    </row>
    <row r="61" spans="1:20" x14ac:dyDescent="0.15">
      <c r="A61" s="12"/>
      <c r="B61" s="13"/>
      <c r="C61" s="13"/>
      <c r="D61" s="13"/>
      <c r="E61" s="14"/>
      <c r="F61" s="6" t="str">
        <f t="shared" si="0"/>
        <v/>
      </c>
      <c r="G61" s="6" t="str">
        <f t="shared" si="1"/>
        <v/>
      </c>
      <c r="H61" s="6" t="str">
        <f t="shared" si="2"/>
        <v/>
      </c>
      <c r="I61" s="7" t="str">
        <f t="shared" si="12"/>
        <v/>
      </c>
      <c r="J61" s="7" t="str">
        <f t="shared" si="6"/>
        <v/>
      </c>
      <c r="K61" s="7" t="str">
        <f t="shared" si="13"/>
        <v/>
      </c>
      <c r="L61" s="47" t="str">
        <f t="shared" si="3"/>
        <v/>
      </c>
      <c r="S61" s="55">
        <f t="shared" si="4"/>
        <v>8.2142857142857135</v>
      </c>
      <c r="T61" s="39">
        <f t="shared" si="5"/>
        <v>0.16191304347826088</v>
      </c>
    </row>
    <row r="62" spans="1:20" x14ac:dyDescent="0.15">
      <c r="A62" s="12"/>
      <c r="B62" s="13"/>
      <c r="C62" s="13"/>
      <c r="D62" s="13"/>
      <c r="E62" s="14"/>
      <c r="F62" s="6" t="str">
        <f t="shared" si="0"/>
        <v/>
      </c>
      <c r="G62" s="6" t="str">
        <f t="shared" si="1"/>
        <v/>
      </c>
      <c r="H62" s="6" t="str">
        <f t="shared" si="2"/>
        <v/>
      </c>
      <c r="I62" s="7" t="str">
        <f t="shared" si="12"/>
        <v/>
      </c>
      <c r="J62" s="7" t="str">
        <f t="shared" si="6"/>
        <v/>
      </c>
      <c r="K62" s="7" t="str">
        <f t="shared" si="13"/>
        <v/>
      </c>
      <c r="L62" s="47" t="str">
        <f t="shared" si="3"/>
        <v/>
      </c>
      <c r="S62" s="55">
        <f t="shared" si="4"/>
        <v>8.2142857142857135</v>
      </c>
      <c r="T62" s="39">
        <f t="shared" si="5"/>
        <v>0.16191304347826088</v>
      </c>
    </row>
    <row r="63" spans="1:20" x14ac:dyDescent="0.15">
      <c r="A63" s="12"/>
      <c r="B63" s="13"/>
      <c r="C63" s="13"/>
      <c r="D63" s="13"/>
      <c r="E63" s="14"/>
      <c r="F63" s="6" t="str">
        <f t="shared" si="0"/>
        <v/>
      </c>
      <c r="G63" s="6" t="str">
        <f t="shared" si="1"/>
        <v/>
      </c>
      <c r="H63" s="6" t="str">
        <f t="shared" si="2"/>
        <v/>
      </c>
      <c r="I63" s="7" t="str">
        <f t="shared" si="12"/>
        <v/>
      </c>
      <c r="J63" s="7" t="str">
        <f t="shared" si="6"/>
        <v/>
      </c>
      <c r="K63" s="7" t="str">
        <f t="shared" si="13"/>
        <v/>
      </c>
      <c r="L63" s="47" t="str">
        <f t="shared" si="3"/>
        <v/>
      </c>
      <c r="S63" s="55">
        <f t="shared" si="4"/>
        <v>8.2142857142857135</v>
      </c>
      <c r="T63" s="39">
        <f t="shared" si="5"/>
        <v>0.16191304347826088</v>
      </c>
    </row>
    <row r="64" spans="1:20" x14ac:dyDescent="0.15">
      <c r="A64" s="12"/>
      <c r="B64" s="13"/>
      <c r="C64" s="13"/>
      <c r="D64" s="13"/>
      <c r="E64" s="14"/>
      <c r="F64" s="6" t="str">
        <f t="shared" si="0"/>
        <v/>
      </c>
      <c r="G64" s="6" t="str">
        <f t="shared" si="1"/>
        <v/>
      </c>
      <c r="H64" s="6" t="str">
        <f t="shared" si="2"/>
        <v/>
      </c>
      <c r="I64" s="7" t="str">
        <f t="shared" si="12"/>
        <v/>
      </c>
      <c r="J64" s="7" t="str">
        <f t="shared" si="6"/>
        <v/>
      </c>
      <c r="K64" s="7" t="str">
        <f t="shared" si="13"/>
        <v/>
      </c>
      <c r="L64" s="47" t="str">
        <f t="shared" si="3"/>
        <v/>
      </c>
      <c r="S64" s="55">
        <f t="shared" si="4"/>
        <v>8.2142857142857135</v>
      </c>
      <c r="T64" s="39">
        <f t="shared" si="5"/>
        <v>0.16191304347826088</v>
      </c>
    </row>
    <row r="65" spans="1:20" x14ac:dyDescent="0.15">
      <c r="A65" s="12"/>
      <c r="B65" s="13"/>
      <c r="C65" s="13"/>
      <c r="D65" s="13"/>
      <c r="E65" s="14"/>
      <c r="F65" s="6" t="str">
        <f t="shared" si="0"/>
        <v/>
      </c>
      <c r="G65" s="6" t="str">
        <f t="shared" si="1"/>
        <v/>
      </c>
      <c r="H65" s="6" t="str">
        <f t="shared" si="2"/>
        <v/>
      </c>
      <c r="I65" s="7" t="str">
        <f t="shared" si="12"/>
        <v/>
      </c>
      <c r="J65" s="7" t="str">
        <f t="shared" si="6"/>
        <v/>
      </c>
      <c r="K65" s="7" t="str">
        <f t="shared" si="13"/>
        <v/>
      </c>
      <c r="L65" s="47" t="str">
        <f t="shared" si="3"/>
        <v/>
      </c>
      <c r="S65" s="55">
        <f t="shared" si="4"/>
        <v>8.2142857142857135</v>
      </c>
      <c r="T65" s="39">
        <f t="shared" si="5"/>
        <v>0.16191304347826088</v>
      </c>
    </row>
    <row r="66" spans="1:20" x14ac:dyDescent="0.15">
      <c r="A66" s="12"/>
      <c r="B66" s="13"/>
      <c r="C66" s="13"/>
      <c r="D66" s="13"/>
      <c r="E66" s="14"/>
      <c r="F66" s="6" t="str">
        <f t="shared" si="0"/>
        <v/>
      </c>
      <c r="G66" s="6" t="str">
        <f t="shared" si="1"/>
        <v/>
      </c>
      <c r="H66" s="6" t="str">
        <f t="shared" si="2"/>
        <v/>
      </c>
      <c r="I66" s="7" t="str">
        <f t="shared" si="12"/>
        <v/>
      </c>
      <c r="J66" s="7" t="str">
        <f t="shared" si="6"/>
        <v/>
      </c>
      <c r="K66" s="7" t="str">
        <f t="shared" si="13"/>
        <v/>
      </c>
      <c r="L66" s="47" t="str">
        <f t="shared" si="3"/>
        <v/>
      </c>
      <c r="S66" s="55">
        <f t="shared" si="4"/>
        <v>8.2142857142857135</v>
      </c>
      <c r="T66" s="39">
        <f t="shared" si="5"/>
        <v>0.16191304347826088</v>
      </c>
    </row>
    <row r="67" spans="1:20" x14ac:dyDescent="0.15">
      <c r="A67" s="12"/>
      <c r="B67" s="13"/>
      <c r="C67" s="13"/>
      <c r="D67" s="13"/>
      <c r="E67" s="14"/>
      <c r="F67" s="6" t="str">
        <f t="shared" si="0"/>
        <v/>
      </c>
      <c r="G67" s="6" t="str">
        <f t="shared" si="1"/>
        <v/>
      </c>
      <c r="H67" s="6" t="str">
        <f t="shared" si="2"/>
        <v/>
      </c>
      <c r="I67" s="7" t="str">
        <f t="shared" si="12"/>
        <v/>
      </c>
      <c r="J67" s="7" t="str">
        <f t="shared" si="6"/>
        <v/>
      </c>
      <c r="K67" s="7" t="str">
        <f t="shared" si="13"/>
        <v/>
      </c>
      <c r="L67" s="47" t="str">
        <f t="shared" si="3"/>
        <v/>
      </c>
      <c r="S67" s="55">
        <f t="shared" si="4"/>
        <v>8.2142857142857135</v>
      </c>
      <c r="T67" s="39">
        <f t="shared" si="5"/>
        <v>0.16191304347826088</v>
      </c>
    </row>
    <row r="68" spans="1:20" x14ac:dyDescent="0.15">
      <c r="A68" s="12"/>
      <c r="B68" s="13"/>
      <c r="C68" s="13"/>
      <c r="D68" s="13"/>
      <c r="E68" s="14"/>
      <c r="F68" s="6" t="str">
        <f t="shared" si="0"/>
        <v/>
      </c>
      <c r="G68" s="6" t="str">
        <f t="shared" si="1"/>
        <v/>
      </c>
      <c r="H68" s="6" t="str">
        <f t="shared" si="2"/>
        <v/>
      </c>
      <c r="I68" s="7" t="str">
        <f t="shared" si="12"/>
        <v/>
      </c>
      <c r="J68" s="7" t="str">
        <f t="shared" si="6"/>
        <v/>
      </c>
      <c r="K68" s="7" t="str">
        <f t="shared" si="13"/>
        <v/>
      </c>
      <c r="L68" s="47" t="str">
        <f t="shared" si="3"/>
        <v/>
      </c>
      <c r="S68" s="55">
        <f t="shared" si="4"/>
        <v>8.2142857142857135</v>
      </c>
      <c r="T68" s="39">
        <f t="shared" si="5"/>
        <v>0.16191304347826088</v>
      </c>
    </row>
    <row r="69" spans="1:20" x14ac:dyDescent="0.15">
      <c r="A69" s="12"/>
      <c r="B69" s="13"/>
      <c r="C69" s="13"/>
      <c r="D69" s="13"/>
      <c r="E69" s="14"/>
      <c r="F69" s="6" t="str">
        <f t="shared" si="0"/>
        <v/>
      </c>
      <c r="G69" s="6" t="str">
        <f t="shared" si="1"/>
        <v/>
      </c>
      <c r="H69" s="6" t="str">
        <f t="shared" si="2"/>
        <v/>
      </c>
      <c r="I69" s="7" t="str">
        <f t="shared" si="12"/>
        <v/>
      </c>
      <c r="J69" s="7" t="str">
        <f t="shared" si="6"/>
        <v/>
      </c>
      <c r="K69" s="7" t="str">
        <f t="shared" si="13"/>
        <v/>
      </c>
      <c r="L69" s="47" t="str">
        <f t="shared" si="3"/>
        <v/>
      </c>
      <c r="S69" s="55">
        <f t="shared" si="4"/>
        <v>8.2142857142857135</v>
      </c>
      <c r="T69" s="39">
        <f t="shared" si="5"/>
        <v>0.16191304347826088</v>
      </c>
    </row>
    <row r="70" spans="1:20" x14ac:dyDescent="0.15">
      <c r="A70" s="12"/>
      <c r="B70" s="13"/>
      <c r="C70" s="13"/>
      <c r="D70" s="13"/>
      <c r="E70" s="14"/>
      <c r="F70" s="6" t="str">
        <f t="shared" si="0"/>
        <v/>
      </c>
      <c r="G70" s="6" t="str">
        <f t="shared" si="1"/>
        <v/>
      </c>
      <c r="H70" s="6" t="str">
        <f t="shared" si="2"/>
        <v/>
      </c>
      <c r="I70" s="7" t="str">
        <f t="shared" si="12"/>
        <v/>
      </c>
      <c r="J70" s="7" t="str">
        <f t="shared" si="6"/>
        <v/>
      </c>
      <c r="K70" s="7" t="str">
        <f t="shared" si="13"/>
        <v/>
      </c>
      <c r="L70" s="47" t="str">
        <f t="shared" si="3"/>
        <v/>
      </c>
      <c r="S70" s="55">
        <f t="shared" si="4"/>
        <v>8.2142857142857135</v>
      </c>
      <c r="T70" s="39">
        <f t="shared" si="5"/>
        <v>0.16191304347826088</v>
      </c>
    </row>
    <row r="71" spans="1:20" x14ac:dyDescent="0.15">
      <c r="A71" s="12"/>
      <c r="B71" s="13"/>
      <c r="C71" s="13"/>
      <c r="D71" s="13"/>
      <c r="E71" s="14"/>
      <c r="F71" s="6" t="str">
        <f t="shared" si="0"/>
        <v/>
      </c>
      <c r="G71" s="6" t="str">
        <f t="shared" si="1"/>
        <v/>
      </c>
      <c r="H71" s="6" t="str">
        <f t="shared" si="2"/>
        <v/>
      </c>
      <c r="I71" s="7" t="str">
        <f t="shared" si="12"/>
        <v/>
      </c>
      <c r="J71" s="7" t="str">
        <f t="shared" si="6"/>
        <v/>
      </c>
      <c r="K71" s="7" t="str">
        <f t="shared" si="13"/>
        <v/>
      </c>
      <c r="L71" s="47" t="str">
        <f t="shared" si="3"/>
        <v/>
      </c>
      <c r="S71" s="55">
        <f t="shared" si="4"/>
        <v>8.2142857142857135</v>
      </c>
      <c r="T71" s="39">
        <f t="shared" si="5"/>
        <v>0.16191304347826088</v>
      </c>
    </row>
    <row r="72" spans="1:20" x14ac:dyDescent="0.15">
      <c r="A72" s="12"/>
      <c r="B72" s="13"/>
      <c r="C72" s="13"/>
      <c r="D72" s="13"/>
      <c r="E72" s="14"/>
      <c r="F72" s="6" t="str">
        <f t="shared" ref="F72:F106" si="14">IF(B72&gt;0,IF(E71="Sim",B72-B71,F71+B72-B71),"")</f>
        <v/>
      </c>
      <c r="G72" s="6" t="str">
        <f t="shared" ref="G72:G106" si="15">IF(B72&gt;0,IF(E71="Sim",C72,G71+C72),"")</f>
        <v/>
      </c>
      <c r="H72" s="6" t="str">
        <f t="shared" ref="H72:H135" si="16">IF(C72&lt;&gt;"",C72*D72,"")</f>
        <v/>
      </c>
      <c r="I72" s="7" t="str">
        <f t="shared" si="12"/>
        <v/>
      </c>
      <c r="J72" s="7" t="str">
        <f t="shared" si="6"/>
        <v/>
      </c>
      <c r="K72" s="7" t="str">
        <f t="shared" si="13"/>
        <v/>
      </c>
      <c r="L72" s="47" t="str">
        <f t="shared" ref="L72:L135" si="17">IF(I72&lt;&gt;"",1/I72*D71,"")</f>
        <v/>
      </c>
      <c r="S72" s="55">
        <f t="shared" ref="S72:S135" si="18">IF(I72="",S71,I72)</f>
        <v>8.2142857142857135</v>
      </c>
      <c r="T72" s="39">
        <f t="shared" ref="T72:T135" si="19">IF(L72="",T71,L72)</f>
        <v>0.16191304347826088</v>
      </c>
    </row>
    <row r="73" spans="1:20" x14ac:dyDescent="0.15">
      <c r="A73" s="12"/>
      <c r="B73" s="13"/>
      <c r="C73" s="13"/>
      <c r="D73" s="13"/>
      <c r="E73" s="14"/>
      <c r="F73" s="6" t="str">
        <f t="shared" si="14"/>
        <v/>
      </c>
      <c r="G73" s="6" t="str">
        <f t="shared" si="15"/>
        <v/>
      </c>
      <c r="H73" s="6" t="str">
        <f t="shared" si="16"/>
        <v/>
      </c>
      <c r="I73" s="7" t="str">
        <f t="shared" si="12"/>
        <v/>
      </c>
      <c r="J73" s="7" t="str">
        <f t="shared" si="6"/>
        <v/>
      </c>
      <c r="K73" s="7" t="str">
        <f t="shared" si="13"/>
        <v/>
      </c>
      <c r="L73" s="47" t="str">
        <f t="shared" si="17"/>
        <v/>
      </c>
      <c r="S73" s="55">
        <f t="shared" si="18"/>
        <v>8.2142857142857135</v>
      </c>
      <c r="T73" s="39">
        <f t="shared" si="19"/>
        <v>0.16191304347826088</v>
      </c>
    </row>
    <row r="74" spans="1:20" x14ac:dyDescent="0.15">
      <c r="A74" s="12"/>
      <c r="B74" s="13"/>
      <c r="C74" s="13"/>
      <c r="D74" s="13"/>
      <c r="E74" s="14"/>
      <c r="F74" s="6" t="str">
        <f t="shared" si="14"/>
        <v/>
      </c>
      <c r="G74" s="6" t="str">
        <f t="shared" si="15"/>
        <v/>
      </c>
      <c r="H74" s="6" t="str">
        <f t="shared" si="16"/>
        <v/>
      </c>
      <c r="I74" s="7" t="str">
        <f t="shared" si="12"/>
        <v/>
      </c>
      <c r="J74" s="7" t="str">
        <f t="shared" ref="J74:J137" si="20">IF(I74&lt;&gt;"",1/I74*100,"")</f>
        <v/>
      </c>
      <c r="K74" s="7" t="str">
        <f t="shared" si="13"/>
        <v/>
      </c>
      <c r="L74" s="47" t="str">
        <f t="shared" si="17"/>
        <v/>
      </c>
      <c r="S74" s="55">
        <f t="shared" si="18"/>
        <v>8.2142857142857135</v>
      </c>
      <c r="T74" s="39">
        <f t="shared" si="19"/>
        <v>0.16191304347826088</v>
      </c>
    </row>
    <row r="75" spans="1:20" x14ac:dyDescent="0.15">
      <c r="A75" s="12"/>
      <c r="B75" s="13"/>
      <c r="C75" s="13"/>
      <c r="D75" s="13"/>
      <c r="E75" s="14"/>
      <c r="F75" s="6" t="str">
        <f t="shared" si="14"/>
        <v/>
      </c>
      <c r="G75" s="6" t="str">
        <f t="shared" si="15"/>
        <v/>
      </c>
      <c r="H75" s="6" t="str">
        <f t="shared" si="16"/>
        <v/>
      </c>
      <c r="I75" s="7" t="str">
        <f t="shared" si="12"/>
        <v/>
      </c>
      <c r="J75" s="7" t="str">
        <f t="shared" si="20"/>
        <v/>
      </c>
      <c r="K75" s="7" t="str">
        <f t="shared" si="13"/>
        <v/>
      </c>
      <c r="L75" s="47" t="str">
        <f t="shared" si="17"/>
        <v/>
      </c>
      <c r="S75" s="55">
        <f t="shared" si="18"/>
        <v>8.2142857142857135</v>
      </c>
      <c r="T75" s="39">
        <f t="shared" si="19"/>
        <v>0.16191304347826088</v>
      </c>
    </row>
    <row r="76" spans="1:20" x14ac:dyDescent="0.15">
      <c r="A76" s="12"/>
      <c r="B76" s="13"/>
      <c r="C76" s="13"/>
      <c r="D76" s="13"/>
      <c r="E76" s="14"/>
      <c r="F76" s="6" t="str">
        <f t="shared" si="14"/>
        <v/>
      </c>
      <c r="G76" s="6" t="str">
        <f t="shared" si="15"/>
        <v/>
      </c>
      <c r="H76" s="6" t="str">
        <f t="shared" si="16"/>
        <v/>
      </c>
      <c r="I76" s="7" t="str">
        <f t="shared" ref="I76:I101" si="21">IF(E76="Sim",F76/G76,"")</f>
        <v/>
      </c>
      <c r="J76" s="7" t="str">
        <f t="shared" si="20"/>
        <v/>
      </c>
      <c r="K76" s="7" t="str">
        <f t="shared" ref="K76:K101" si="22">IF(I76&lt;&gt;"",I76*0.62137/0.2641,"")</f>
        <v/>
      </c>
      <c r="L76" s="47" t="str">
        <f t="shared" si="17"/>
        <v/>
      </c>
      <c r="S76" s="55">
        <f t="shared" si="18"/>
        <v>8.2142857142857135</v>
      </c>
      <c r="T76" s="39">
        <f t="shared" si="19"/>
        <v>0.16191304347826088</v>
      </c>
    </row>
    <row r="77" spans="1:20" x14ac:dyDescent="0.15">
      <c r="A77" s="12"/>
      <c r="B77" s="13"/>
      <c r="C77" s="13"/>
      <c r="D77" s="13"/>
      <c r="E77" s="14"/>
      <c r="F77" s="6" t="str">
        <f t="shared" si="14"/>
        <v/>
      </c>
      <c r="G77" s="6" t="str">
        <f t="shared" si="15"/>
        <v/>
      </c>
      <c r="H77" s="6" t="str">
        <f t="shared" si="16"/>
        <v/>
      </c>
      <c r="I77" s="7" t="str">
        <f t="shared" si="21"/>
        <v/>
      </c>
      <c r="J77" s="7" t="str">
        <f t="shared" si="20"/>
        <v/>
      </c>
      <c r="K77" s="7" t="str">
        <f t="shared" si="22"/>
        <v/>
      </c>
      <c r="L77" s="47" t="str">
        <f t="shared" si="17"/>
        <v/>
      </c>
      <c r="S77" s="55">
        <f t="shared" si="18"/>
        <v>8.2142857142857135</v>
      </c>
      <c r="T77" s="39">
        <f t="shared" si="19"/>
        <v>0.16191304347826088</v>
      </c>
    </row>
    <row r="78" spans="1:20" x14ac:dyDescent="0.15">
      <c r="A78" s="12"/>
      <c r="B78" s="13"/>
      <c r="C78" s="13"/>
      <c r="D78" s="13"/>
      <c r="E78" s="14"/>
      <c r="F78" s="6" t="str">
        <f t="shared" si="14"/>
        <v/>
      </c>
      <c r="G78" s="6" t="str">
        <f t="shared" si="15"/>
        <v/>
      </c>
      <c r="H78" s="6" t="str">
        <f t="shared" si="16"/>
        <v/>
      </c>
      <c r="I78" s="7" t="str">
        <f t="shared" si="21"/>
        <v/>
      </c>
      <c r="J78" s="7" t="str">
        <f t="shared" si="20"/>
        <v/>
      </c>
      <c r="K78" s="7" t="str">
        <f t="shared" si="22"/>
        <v/>
      </c>
      <c r="L78" s="47" t="str">
        <f t="shared" si="17"/>
        <v/>
      </c>
      <c r="S78" s="55">
        <f t="shared" si="18"/>
        <v>8.2142857142857135</v>
      </c>
      <c r="T78" s="39">
        <f t="shared" si="19"/>
        <v>0.16191304347826088</v>
      </c>
    </row>
    <row r="79" spans="1:20" x14ac:dyDescent="0.15">
      <c r="A79" s="12"/>
      <c r="B79" s="13"/>
      <c r="C79" s="13"/>
      <c r="D79" s="13"/>
      <c r="E79" s="14"/>
      <c r="F79" s="6" t="str">
        <f t="shared" si="14"/>
        <v/>
      </c>
      <c r="G79" s="6" t="str">
        <f t="shared" si="15"/>
        <v/>
      </c>
      <c r="H79" s="6" t="str">
        <f t="shared" si="16"/>
        <v/>
      </c>
      <c r="I79" s="7" t="str">
        <f t="shared" si="21"/>
        <v/>
      </c>
      <c r="J79" s="7" t="str">
        <f t="shared" si="20"/>
        <v/>
      </c>
      <c r="K79" s="7" t="str">
        <f t="shared" si="22"/>
        <v/>
      </c>
      <c r="L79" s="47" t="str">
        <f t="shared" si="17"/>
        <v/>
      </c>
      <c r="N79" s="34" t="s">
        <v>42</v>
      </c>
      <c r="S79" s="55">
        <f t="shared" si="18"/>
        <v>8.2142857142857135</v>
      </c>
      <c r="T79" s="39">
        <f t="shared" si="19"/>
        <v>0.16191304347826088</v>
      </c>
    </row>
    <row r="80" spans="1:20" x14ac:dyDescent="0.15">
      <c r="A80" s="12"/>
      <c r="B80" s="13"/>
      <c r="C80" s="13"/>
      <c r="D80" s="13"/>
      <c r="E80" s="14"/>
      <c r="F80" s="6" t="str">
        <f t="shared" si="14"/>
        <v/>
      </c>
      <c r="G80" s="6" t="str">
        <f t="shared" si="15"/>
        <v/>
      </c>
      <c r="H80" s="6" t="str">
        <f t="shared" si="16"/>
        <v/>
      </c>
      <c r="I80" s="7" t="str">
        <f t="shared" si="21"/>
        <v/>
      </c>
      <c r="J80" s="7" t="str">
        <f t="shared" si="20"/>
        <v/>
      </c>
      <c r="K80" s="7" t="str">
        <f t="shared" si="22"/>
        <v/>
      </c>
      <c r="L80" s="47" t="str">
        <f t="shared" si="17"/>
        <v/>
      </c>
      <c r="N80" s="35" t="s">
        <v>32</v>
      </c>
      <c r="S80" s="55">
        <f t="shared" si="18"/>
        <v>8.2142857142857135</v>
      </c>
      <c r="T80" s="39">
        <f t="shared" si="19"/>
        <v>0.16191304347826088</v>
      </c>
    </row>
    <row r="81" spans="1:20" x14ac:dyDescent="0.15">
      <c r="A81" s="12"/>
      <c r="B81" s="13"/>
      <c r="C81" s="13"/>
      <c r="D81" s="13"/>
      <c r="E81" s="14"/>
      <c r="F81" s="6" t="str">
        <f t="shared" si="14"/>
        <v/>
      </c>
      <c r="G81" s="6" t="str">
        <f t="shared" si="15"/>
        <v/>
      </c>
      <c r="H81" s="6" t="str">
        <f t="shared" si="16"/>
        <v/>
      </c>
      <c r="I81" s="7" t="str">
        <f t="shared" si="21"/>
        <v/>
      </c>
      <c r="J81" s="7" t="str">
        <f t="shared" si="20"/>
        <v/>
      </c>
      <c r="K81" s="7" t="str">
        <f t="shared" si="22"/>
        <v/>
      </c>
      <c r="L81" s="47" t="str">
        <f t="shared" si="17"/>
        <v/>
      </c>
      <c r="S81" s="55">
        <f t="shared" si="18"/>
        <v>8.2142857142857135</v>
      </c>
      <c r="T81" s="39">
        <f t="shared" si="19"/>
        <v>0.16191304347826088</v>
      </c>
    </row>
    <row r="82" spans="1:20" x14ac:dyDescent="0.15">
      <c r="A82" s="12"/>
      <c r="B82" s="13"/>
      <c r="C82" s="13"/>
      <c r="D82" s="13"/>
      <c r="E82" s="14"/>
      <c r="F82" s="6" t="str">
        <f t="shared" si="14"/>
        <v/>
      </c>
      <c r="G82" s="6" t="str">
        <f t="shared" si="15"/>
        <v/>
      </c>
      <c r="H82" s="6" t="str">
        <f t="shared" si="16"/>
        <v/>
      </c>
      <c r="I82" s="7" t="str">
        <f t="shared" si="21"/>
        <v/>
      </c>
      <c r="J82" s="7" t="str">
        <f t="shared" si="20"/>
        <v/>
      </c>
      <c r="K82" s="7" t="str">
        <f t="shared" si="22"/>
        <v/>
      </c>
      <c r="L82" s="47" t="str">
        <f t="shared" si="17"/>
        <v/>
      </c>
      <c r="S82" s="55">
        <f t="shared" si="18"/>
        <v>8.2142857142857135</v>
      </c>
      <c r="T82" s="39">
        <f t="shared" si="19"/>
        <v>0.16191304347826088</v>
      </c>
    </row>
    <row r="83" spans="1:20" x14ac:dyDescent="0.15">
      <c r="A83" s="12"/>
      <c r="B83" s="13"/>
      <c r="C83" s="13"/>
      <c r="D83" s="13"/>
      <c r="E83" s="14"/>
      <c r="F83" s="6" t="str">
        <f t="shared" si="14"/>
        <v/>
      </c>
      <c r="G83" s="6" t="str">
        <f t="shared" si="15"/>
        <v/>
      </c>
      <c r="H83" s="6" t="str">
        <f t="shared" si="16"/>
        <v/>
      </c>
      <c r="I83" s="7" t="str">
        <f t="shared" si="21"/>
        <v/>
      </c>
      <c r="J83" s="7" t="str">
        <f t="shared" si="20"/>
        <v/>
      </c>
      <c r="K83" s="7" t="str">
        <f t="shared" si="22"/>
        <v/>
      </c>
      <c r="L83" s="47" t="str">
        <f t="shared" si="17"/>
        <v/>
      </c>
      <c r="S83" s="55">
        <f t="shared" si="18"/>
        <v>8.2142857142857135</v>
      </c>
      <c r="T83" s="39">
        <f t="shared" si="19"/>
        <v>0.16191304347826088</v>
      </c>
    </row>
    <row r="84" spans="1:20" x14ac:dyDescent="0.15">
      <c r="A84" s="12"/>
      <c r="B84" s="13"/>
      <c r="C84" s="13"/>
      <c r="D84" s="13"/>
      <c r="E84" s="14"/>
      <c r="F84" s="6" t="str">
        <f t="shared" si="14"/>
        <v/>
      </c>
      <c r="G84" s="6" t="str">
        <f t="shared" si="15"/>
        <v/>
      </c>
      <c r="H84" s="6" t="str">
        <f t="shared" si="16"/>
        <v/>
      </c>
      <c r="I84" s="7" t="str">
        <f t="shared" si="21"/>
        <v/>
      </c>
      <c r="J84" s="7" t="str">
        <f t="shared" si="20"/>
        <v/>
      </c>
      <c r="K84" s="7" t="str">
        <f t="shared" si="22"/>
        <v/>
      </c>
      <c r="L84" s="47" t="str">
        <f t="shared" si="17"/>
        <v/>
      </c>
      <c r="N84" s="37" t="s">
        <v>33</v>
      </c>
      <c r="S84" s="55">
        <f t="shared" si="18"/>
        <v>8.2142857142857135</v>
      </c>
      <c r="T84" s="39">
        <f t="shared" si="19"/>
        <v>0.16191304347826088</v>
      </c>
    </row>
    <row r="85" spans="1:20" x14ac:dyDescent="0.15">
      <c r="A85" s="12"/>
      <c r="B85" s="13"/>
      <c r="C85" s="13"/>
      <c r="D85" s="13"/>
      <c r="E85" s="14"/>
      <c r="F85" s="6" t="str">
        <f t="shared" si="14"/>
        <v/>
      </c>
      <c r="G85" s="6" t="str">
        <f t="shared" si="15"/>
        <v/>
      </c>
      <c r="H85" s="6" t="str">
        <f t="shared" si="16"/>
        <v/>
      </c>
      <c r="I85" s="7" t="str">
        <f t="shared" si="21"/>
        <v/>
      </c>
      <c r="J85" s="7" t="str">
        <f t="shared" si="20"/>
        <v/>
      </c>
      <c r="K85" s="7" t="str">
        <f t="shared" si="22"/>
        <v/>
      </c>
      <c r="L85" s="47" t="str">
        <f t="shared" si="17"/>
        <v/>
      </c>
      <c r="S85" s="55">
        <f t="shared" si="18"/>
        <v>8.2142857142857135</v>
      </c>
      <c r="T85" s="39">
        <f t="shared" si="19"/>
        <v>0.16191304347826088</v>
      </c>
    </row>
    <row r="86" spans="1:20" x14ac:dyDescent="0.15">
      <c r="A86" s="12"/>
      <c r="B86" s="13"/>
      <c r="C86" s="13"/>
      <c r="D86" s="13"/>
      <c r="E86" s="14"/>
      <c r="F86" s="6" t="str">
        <f t="shared" si="14"/>
        <v/>
      </c>
      <c r="G86" s="6" t="str">
        <f t="shared" si="15"/>
        <v/>
      </c>
      <c r="H86" s="6" t="str">
        <f t="shared" si="16"/>
        <v/>
      </c>
      <c r="I86" s="7" t="str">
        <f t="shared" si="21"/>
        <v/>
      </c>
      <c r="J86" s="7" t="str">
        <f t="shared" si="20"/>
        <v/>
      </c>
      <c r="K86" s="7" t="str">
        <f t="shared" si="22"/>
        <v/>
      </c>
      <c r="L86" s="47" t="str">
        <f t="shared" si="17"/>
        <v/>
      </c>
      <c r="S86" s="55">
        <f t="shared" si="18"/>
        <v>8.2142857142857135</v>
      </c>
      <c r="T86" s="39">
        <f t="shared" si="19"/>
        <v>0.16191304347826088</v>
      </c>
    </row>
    <row r="87" spans="1:20" x14ac:dyDescent="0.15">
      <c r="A87" s="12"/>
      <c r="B87" s="13"/>
      <c r="C87" s="13"/>
      <c r="D87" s="13"/>
      <c r="E87" s="14"/>
      <c r="F87" s="6" t="str">
        <f t="shared" si="14"/>
        <v/>
      </c>
      <c r="G87" s="6" t="str">
        <f t="shared" si="15"/>
        <v/>
      </c>
      <c r="H87" s="6" t="str">
        <f t="shared" si="16"/>
        <v/>
      </c>
      <c r="I87" s="7" t="str">
        <f t="shared" si="21"/>
        <v/>
      </c>
      <c r="J87" s="7" t="str">
        <f t="shared" si="20"/>
        <v/>
      </c>
      <c r="K87" s="7" t="str">
        <f t="shared" si="22"/>
        <v/>
      </c>
      <c r="L87" s="47" t="str">
        <f t="shared" si="17"/>
        <v/>
      </c>
      <c r="S87" s="55">
        <f t="shared" si="18"/>
        <v>8.2142857142857135</v>
      </c>
      <c r="T87" s="39">
        <f t="shared" si="19"/>
        <v>0.16191304347826088</v>
      </c>
    </row>
    <row r="88" spans="1:20" x14ac:dyDescent="0.15">
      <c r="A88" s="12"/>
      <c r="B88" s="13"/>
      <c r="C88" s="13"/>
      <c r="D88" s="13"/>
      <c r="E88" s="14"/>
      <c r="F88" s="6" t="str">
        <f t="shared" si="14"/>
        <v/>
      </c>
      <c r="G88" s="6" t="str">
        <f t="shared" si="15"/>
        <v/>
      </c>
      <c r="H88" s="6" t="str">
        <f t="shared" si="16"/>
        <v/>
      </c>
      <c r="I88" s="7" t="str">
        <f t="shared" si="21"/>
        <v/>
      </c>
      <c r="J88" s="7" t="str">
        <f t="shared" si="20"/>
        <v/>
      </c>
      <c r="K88" s="7" t="str">
        <f t="shared" si="22"/>
        <v/>
      </c>
      <c r="L88" s="47" t="str">
        <f t="shared" si="17"/>
        <v/>
      </c>
      <c r="S88" s="55">
        <f t="shared" si="18"/>
        <v>8.2142857142857135</v>
      </c>
      <c r="T88" s="39">
        <f t="shared" si="19"/>
        <v>0.16191304347826088</v>
      </c>
    </row>
    <row r="89" spans="1:20" x14ac:dyDescent="0.15">
      <c r="A89" s="12"/>
      <c r="B89" s="13"/>
      <c r="C89" s="13"/>
      <c r="D89" s="13"/>
      <c r="E89" s="14"/>
      <c r="F89" s="6" t="str">
        <f t="shared" si="14"/>
        <v/>
      </c>
      <c r="G89" s="6" t="str">
        <f t="shared" si="15"/>
        <v/>
      </c>
      <c r="H89" s="6" t="str">
        <f t="shared" si="16"/>
        <v/>
      </c>
      <c r="I89" s="7" t="str">
        <f t="shared" si="21"/>
        <v/>
      </c>
      <c r="J89" s="7" t="str">
        <f t="shared" si="20"/>
        <v/>
      </c>
      <c r="K89" s="7" t="str">
        <f t="shared" si="22"/>
        <v/>
      </c>
      <c r="L89" s="47" t="str">
        <f t="shared" si="17"/>
        <v/>
      </c>
      <c r="S89" s="55">
        <f t="shared" si="18"/>
        <v>8.2142857142857135</v>
      </c>
      <c r="T89" s="39">
        <f t="shared" si="19"/>
        <v>0.16191304347826088</v>
      </c>
    </row>
    <row r="90" spans="1:20" x14ac:dyDescent="0.15">
      <c r="A90" s="12"/>
      <c r="B90" s="13"/>
      <c r="C90" s="13"/>
      <c r="D90" s="13"/>
      <c r="E90" s="14"/>
      <c r="F90" s="6" t="str">
        <f t="shared" si="14"/>
        <v/>
      </c>
      <c r="G90" s="6" t="str">
        <f t="shared" si="15"/>
        <v/>
      </c>
      <c r="H90" s="6" t="str">
        <f t="shared" si="16"/>
        <v/>
      </c>
      <c r="I90" s="7" t="str">
        <f t="shared" si="21"/>
        <v/>
      </c>
      <c r="J90" s="7" t="str">
        <f t="shared" si="20"/>
        <v/>
      </c>
      <c r="K90" s="7" t="str">
        <f t="shared" si="22"/>
        <v/>
      </c>
      <c r="L90" s="47" t="str">
        <f t="shared" si="17"/>
        <v/>
      </c>
      <c r="S90" s="55">
        <f t="shared" si="18"/>
        <v>8.2142857142857135</v>
      </c>
      <c r="T90" s="39">
        <f t="shared" si="19"/>
        <v>0.16191304347826088</v>
      </c>
    </row>
    <row r="91" spans="1:20" x14ac:dyDescent="0.15">
      <c r="A91" s="12"/>
      <c r="B91" s="13"/>
      <c r="C91" s="13"/>
      <c r="D91" s="13"/>
      <c r="E91" s="14"/>
      <c r="F91" s="6" t="str">
        <f t="shared" si="14"/>
        <v/>
      </c>
      <c r="G91" s="6" t="str">
        <f t="shared" si="15"/>
        <v/>
      </c>
      <c r="H91" s="6" t="str">
        <f t="shared" si="16"/>
        <v/>
      </c>
      <c r="I91" s="7" t="str">
        <f t="shared" si="21"/>
        <v/>
      </c>
      <c r="J91" s="7" t="str">
        <f t="shared" si="20"/>
        <v/>
      </c>
      <c r="K91" s="7" t="str">
        <f t="shared" si="22"/>
        <v/>
      </c>
      <c r="L91" s="47" t="str">
        <f t="shared" si="17"/>
        <v/>
      </c>
      <c r="S91" s="55">
        <f t="shared" si="18"/>
        <v>8.2142857142857135</v>
      </c>
      <c r="T91" s="39">
        <f t="shared" si="19"/>
        <v>0.16191304347826088</v>
      </c>
    </row>
    <row r="92" spans="1:20" x14ac:dyDescent="0.15">
      <c r="A92" s="12"/>
      <c r="B92" s="13"/>
      <c r="C92" s="13"/>
      <c r="D92" s="13"/>
      <c r="E92" s="14"/>
      <c r="F92" s="6" t="str">
        <f t="shared" si="14"/>
        <v/>
      </c>
      <c r="G92" s="6" t="str">
        <f t="shared" si="15"/>
        <v/>
      </c>
      <c r="H92" s="6" t="str">
        <f t="shared" si="16"/>
        <v/>
      </c>
      <c r="I92" s="7" t="str">
        <f t="shared" si="21"/>
        <v/>
      </c>
      <c r="J92" s="7" t="str">
        <f t="shared" si="20"/>
        <v/>
      </c>
      <c r="K92" s="7" t="str">
        <f t="shared" si="22"/>
        <v/>
      </c>
      <c r="L92" s="47" t="str">
        <f t="shared" si="17"/>
        <v/>
      </c>
      <c r="S92" s="55">
        <f t="shared" si="18"/>
        <v>8.2142857142857135</v>
      </c>
      <c r="T92" s="39">
        <f t="shared" si="19"/>
        <v>0.16191304347826088</v>
      </c>
    </row>
    <row r="93" spans="1:20" x14ac:dyDescent="0.15">
      <c r="A93" s="12"/>
      <c r="B93" s="13"/>
      <c r="C93" s="13"/>
      <c r="D93" s="13"/>
      <c r="E93" s="14"/>
      <c r="F93" s="6" t="str">
        <f t="shared" si="14"/>
        <v/>
      </c>
      <c r="G93" s="6" t="str">
        <f t="shared" si="15"/>
        <v/>
      </c>
      <c r="H93" s="6" t="str">
        <f t="shared" si="16"/>
        <v/>
      </c>
      <c r="I93" s="7" t="str">
        <f t="shared" si="21"/>
        <v/>
      </c>
      <c r="J93" s="7" t="str">
        <f t="shared" si="20"/>
        <v/>
      </c>
      <c r="K93" s="7" t="str">
        <f t="shared" si="22"/>
        <v/>
      </c>
      <c r="L93" s="47" t="str">
        <f t="shared" si="17"/>
        <v/>
      </c>
      <c r="S93" s="55">
        <f t="shared" si="18"/>
        <v>8.2142857142857135</v>
      </c>
      <c r="T93" s="39">
        <f t="shared" si="19"/>
        <v>0.16191304347826088</v>
      </c>
    </row>
    <row r="94" spans="1:20" x14ac:dyDescent="0.15">
      <c r="A94" s="12"/>
      <c r="B94" s="13"/>
      <c r="C94" s="13"/>
      <c r="D94" s="13"/>
      <c r="E94" s="14"/>
      <c r="F94" s="6" t="str">
        <f t="shared" si="14"/>
        <v/>
      </c>
      <c r="G94" s="6" t="str">
        <f t="shared" si="15"/>
        <v/>
      </c>
      <c r="H94" s="6" t="str">
        <f t="shared" si="16"/>
        <v/>
      </c>
      <c r="I94" s="7" t="str">
        <f t="shared" si="21"/>
        <v/>
      </c>
      <c r="J94" s="7" t="str">
        <f t="shared" si="20"/>
        <v/>
      </c>
      <c r="K94" s="7" t="str">
        <f t="shared" si="22"/>
        <v/>
      </c>
      <c r="L94" s="47" t="str">
        <f t="shared" si="17"/>
        <v/>
      </c>
      <c r="S94" s="55">
        <f t="shared" si="18"/>
        <v>8.2142857142857135</v>
      </c>
      <c r="T94" s="39">
        <f t="shared" si="19"/>
        <v>0.16191304347826088</v>
      </c>
    </row>
    <row r="95" spans="1:20" x14ac:dyDescent="0.15">
      <c r="A95" s="12"/>
      <c r="B95" s="13"/>
      <c r="C95" s="13"/>
      <c r="D95" s="13"/>
      <c r="E95" s="14"/>
      <c r="F95" s="6" t="str">
        <f t="shared" si="14"/>
        <v/>
      </c>
      <c r="G95" s="6" t="str">
        <f t="shared" si="15"/>
        <v/>
      </c>
      <c r="H95" s="6" t="str">
        <f t="shared" si="16"/>
        <v/>
      </c>
      <c r="I95" s="7" t="str">
        <f t="shared" si="21"/>
        <v/>
      </c>
      <c r="J95" s="7" t="str">
        <f t="shared" si="20"/>
        <v/>
      </c>
      <c r="K95" s="7" t="str">
        <f t="shared" si="22"/>
        <v/>
      </c>
      <c r="L95" s="47" t="str">
        <f t="shared" si="17"/>
        <v/>
      </c>
      <c r="S95" s="55">
        <f t="shared" si="18"/>
        <v>8.2142857142857135</v>
      </c>
      <c r="T95" s="39">
        <f t="shared" si="19"/>
        <v>0.16191304347826088</v>
      </c>
    </row>
    <row r="96" spans="1:20" x14ac:dyDescent="0.15">
      <c r="A96" s="12"/>
      <c r="B96" s="13"/>
      <c r="C96" s="13"/>
      <c r="D96" s="13"/>
      <c r="E96" s="14"/>
      <c r="F96" s="6" t="str">
        <f t="shared" si="14"/>
        <v/>
      </c>
      <c r="G96" s="6" t="str">
        <f t="shared" si="15"/>
        <v/>
      </c>
      <c r="H96" s="6" t="str">
        <f t="shared" si="16"/>
        <v/>
      </c>
      <c r="I96" s="7" t="str">
        <f t="shared" si="21"/>
        <v/>
      </c>
      <c r="J96" s="7" t="str">
        <f t="shared" si="20"/>
        <v/>
      </c>
      <c r="K96" s="7" t="str">
        <f t="shared" si="22"/>
        <v/>
      </c>
      <c r="L96" s="47" t="str">
        <f t="shared" si="17"/>
        <v/>
      </c>
      <c r="S96" s="55">
        <f t="shared" si="18"/>
        <v>8.2142857142857135</v>
      </c>
      <c r="T96" s="39">
        <f t="shared" si="19"/>
        <v>0.16191304347826088</v>
      </c>
    </row>
    <row r="97" spans="1:20" x14ac:dyDescent="0.15">
      <c r="A97" s="12"/>
      <c r="B97" s="13"/>
      <c r="C97" s="13"/>
      <c r="D97" s="13"/>
      <c r="E97" s="14"/>
      <c r="F97" s="6" t="str">
        <f t="shared" si="14"/>
        <v/>
      </c>
      <c r="G97" s="6" t="str">
        <f t="shared" si="15"/>
        <v/>
      </c>
      <c r="H97" s="6" t="str">
        <f t="shared" si="16"/>
        <v/>
      </c>
      <c r="I97" s="7" t="str">
        <f t="shared" si="21"/>
        <v/>
      </c>
      <c r="J97" s="7" t="str">
        <f t="shared" si="20"/>
        <v/>
      </c>
      <c r="K97" s="7" t="str">
        <f t="shared" si="22"/>
        <v/>
      </c>
      <c r="L97" s="47" t="str">
        <f t="shared" si="17"/>
        <v/>
      </c>
      <c r="S97" s="55">
        <f t="shared" si="18"/>
        <v>8.2142857142857135</v>
      </c>
      <c r="T97" s="39">
        <f t="shared" si="19"/>
        <v>0.16191304347826088</v>
      </c>
    </row>
    <row r="98" spans="1:20" x14ac:dyDescent="0.15">
      <c r="A98" s="12"/>
      <c r="B98" s="13"/>
      <c r="C98" s="13"/>
      <c r="D98" s="13"/>
      <c r="E98" s="14"/>
      <c r="F98" s="6" t="str">
        <f t="shared" si="14"/>
        <v/>
      </c>
      <c r="G98" s="6" t="str">
        <f t="shared" si="15"/>
        <v/>
      </c>
      <c r="H98" s="6" t="str">
        <f t="shared" si="16"/>
        <v/>
      </c>
      <c r="I98" s="7" t="str">
        <f t="shared" si="21"/>
        <v/>
      </c>
      <c r="J98" s="7" t="str">
        <f t="shared" si="20"/>
        <v/>
      </c>
      <c r="K98" s="7" t="str">
        <f t="shared" si="22"/>
        <v/>
      </c>
      <c r="L98" s="47" t="str">
        <f t="shared" si="17"/>
        <v/>
      </c>
      <c r="S98" s="55">
        <f t="shared" si="18"/>
        <v>8.2142857142857135</v>
      </c>
      <c r="T98" s="39">
        <f t="shared" si="19"/>
        <v>0.16191304347826088</v>
      </c>
    </row>
    <row r="99" spans="1:20" x14ac:dyDescent="0.15">
      <c r="A99" s="12"/>
      <c r="B99" s="13"/>
      <c r="C99" s="13"/>
      <c r="D99" s="13"/>
      <c r="E99" s="14"/>
      <c r="F99" s="6" t="str">
        <f t="shared" si="14"/>
        <v/>
      </c>
      <c r="G99" s="6" t="str">
        <f t="shared" si="15"/>
        <v/>
      </c>
      <c r="H99" s="6" t="str">
        <f t="shared" si="16"/>
        <v/>
      </c>
      <c r="I99" s="7" t="str">
        <f t="shared" si="21"/>
        <v/>
      </c>
      <c r="J99" s="7" t="str">
        <f t="shared" si="20"/>
        <v/>
      </c>
      <c r="K99" s="7" t="str">
        <f t="shared" si="22"/>
        <v/>
      </c>
      <c r="L99" s="47" t="str">
        <f t="shared" si="17"/>
        <v/>
      </c>
      <c r="S99" s="55">
        <f t="shared" si="18"/>
        <v>8.2142857142857135</v>
      </c>
      <c r="T99" s="39">
        <f t="shared" si="19"/>
        <v>0.16191304347826088</v>
      </c>
    </row>
    <row r="100" spans="1:20" x14ac:dyDescent="0.15">
      <c r="A100" s="12"/>
      <c r="B100" s="13"/>
      <c r="C100" s="13"/>
      <c r="D100" s="13"/>
      <c r="E100" s="14"/>
      <c r="F100" s="6" t="str">
        <f t="shared" si="14"/>
        <v/>
      </c>
      <c r="G100" s="6" t="str">
        <f t="shared" si="15"/>
        <v/>
      </c>
      <c r="H100" s="6" t="str">
        <f t="shared" si="16"/>
        <v/>
      </c>
      <c r="I100" s="7" t="str">
        <f t="shared" si="21"/>
        <v/>
      </c>
      <c r="J100" s="7" t="str">
        <f t="shared" si="20"/>
        <v/>
      </c>
      <c r="K100" s="7" t="str">
        <f t="shared" si="22"/>
        <v/>
      </c>
      <c r="L100" s="47" t="str">
        <f t="shared" si="17"/>
        <v/>
      </c>
      <c r="S100" s="55">
        <f t="shared" si="18"/>
        <v>8.2142857142857135</v>
      </c>
      <c r="T100" s="39">
        <f t="shared" si="19"/>
        <v>0.16191304347826088</v>
      </c>
    </row>
    <row r="101" spans="1:20" x14ac:dyDescent="0.15">
      <c r="A101" s="12"/>
      <c r="B101" s="13"/>
      <c r="C101" s="13"/>
      <c r="D101" s="13"/>
      <c r="E101" s="14"/>
      <c r="F101" s="6" t="str">
        <f t="shared" si="14"/>
        <v/>
      </c>
      <c r="G101" s="6" t="str">
        <f t="shared" si="15"/>
        <v/>
      </c>
      <c r="H101" s="6" t="str">
        <f t="shared" si="16"/>
        <v/>
      </c>
      <c r="I101" s="7" t="str">
        <f t="shared" si="21"/>
        <v/>
      </c>
      <c r="J101" s="7" t="str">
        <f t="shared" si="20"/>
        <v/>
      </c>
      <c r="K101" s="7" t="str">
        <f t="shared" si="22"/>
        <v/>
      </c>
      <c r="L101" s="47" t="str">
        <f t="shared" si="17"/>
        <v/>
      </c>
      <c r="S101" s="55">
        <f t="shared" si="18"/>
        <v>8.2142857142857135</v>
      </c>
      <c r="T101" s="39">
        <f t="shared" si="19"/>
        <v>0.16191304347826088</v>
      </c>
    </row>
    <row r="102" spans="1:20" x14ac:dyDescent="0.15">
      <c r="A102" s="12"/>
      <c r="B102" s="13"/>
      <c r="C102" s="13"/>
      <c r="D102" s="13"/>
      <c r="E102" s="14"/>
      <c r="F102" s="6" t="str">
        <f t="shared" si="14"/>
        <v/>
      </c>
      <c r="G102" s="6" t="str">
        <f t="shared" si="15"/>
        <v/>
      </c>
      <c r="H102" s="6" t="str">
        <f t="shared" si="16"/>
        <v/>
      </c>
      <c r="I102" s="7" t="str">
        <f>IF(E102="Sim",F102/G102,"")</f>
        <v/>
      </c>
      <c r="J102" s="7" t="str">
        <f t="shared" si="20"/>
        <v/>
      </c>
      <c r="K102" s="7" t="str">
        <f>IF(I102&lt;&gt;"",I102*0.62137/0.2641,"")</f>
        <v/>
      </c>
      <c r="L102" s="47" t="str">
        <f t="shared" si="17"/>
        <v/>
      </c>
      <c r="S102" s="55">
        <f t="shared" si="18"/>
        <v>8.2142857142857135</v>
      </c>
      <c r="T102" s="39">
        <f t="shared" si="19"/>
        <v>0.16191304347826088</v>
      </c>
    </row>
    <row r="103" spans="1:20" x14ac:dyDescent="0.15">
      <c r="A103" s="12"/>
      <c r="B103" s="13"/>
      <c r="C103" s="13"/>
      <c r="D103" s="13"/>
      <c r="E103" s="14"/>
      <c r="F103" s="6" t="str">
        <f t="shared" si="14"/>
        <v/>
      </c>
      <c r="G103" s="6" t="str">
        <f t="shared" si="15"/>
        <v/>
      </c>
      <c r="H103" s="6" t="str">
        <f t="shared" si="16"/>
        <v/>
      </c>
      <c r="I103" s="7" t="str">
        <f>IF(E103="Sim",F103/G103,"")</f>
        <v/>
      </c>
      <c r="J103" s="7" t="str">
        <f t="shared" si="20"/>
        <v/>
      </c>
      <c r="K103" s="7" t="str">
        <f>IF(I103&lt;&gt;"",I103*0.62137/0.2641,"")</f>
        <v/>
      </c>
      <c r="L103" s="47" t="str">
        <f t="shared" si="17"/>
        <v/>
      </c>
      <c r="S103" s="55">
        <f t="shared" si="18"/>
        <v>8.2142857142857135</v>
      </c>
      <c r="T103" s="39">
        <f t="shared" si="19"/>
        <v>0.16191304347826088</v>
      </c>
    </row>
    <row r="104" spans="1:20" x14ac:dyDescent="0.15">
      <c r="A104" s="12"/>
      <c r="B104" s="13"/>
      <c r="C104" s="13"/>
      <c r="D104" s="13"/>
      <c r="E104" s="14"/>
      <c r="F104" s="6" t="str">
        <f t="shared" si="14"/>
        <v/>
      </c>
      <c r="G104" s="6" t="str">
        <f t="shared" si="15"/>
        <v/>
      </c>
      <c r="H104" s="6" t="str">
        <f t="shared" si="16"/>
        <v/>
      </c>
      <c r="I104" s="7" t="str">
        <f>IF(E104="Sim",F104/G104,"")</f>
        <v/>
      </c>
      <c r="J104" s="7" t="str">
        <f t="shared" si="20"/>
        <v/>
      </c>
      <c r="K104" s="7" t="str">
        <f>IF(I104&lt;&gt;"",I104*0.62137/0.2641,"")</f>
        <v/>
      </c>
      <c r="L104" s="47" t="str">
        <f t="shared" si="17"/>
        <v/>
      </c>
      <c r="S104" s="55">
        <f t="shared" si="18"/>
        <v>8.2142857142857135</v>
      </c>
      <c r="T104" s="39">
        <f t="shared" si="19"/>
        <v>0.16191304347826088</v>
      </c>
    </row>
    <row r="105" spans="1:20" x14ac:dyDescent="0.15">
      <c r="A105" s="12"/>
      <c r="B105" s="13"/>
      <c r="C105" s="13"/>
      <c r="D105" s="13"/>
      <c r="E105" s="14"/>
      <c r="F105" s="6" t="str">
        <f t="shared" si="14"/>
        <v/>
      </c>
      <c r="G105" s="6" t="str">
        <f t="shared" si="15"/>
        <v/>
      </c>
      <c r="H105" s="6" t="str">
        <f t="shared" si="16"/>
        <v/>
      </c>
      <c r="I105" s="7" t="str">
        <f>IF(E105="Sim",F105/G105,"")</f>
        <v/>
      </c>
      <c r="J105" s="7" t="str">
        <f t="shared" si="20"/>
        <v/>
      </c>
      <c r="K105" s="7" t="str">
        <f>IF(I105&lt;&gt;"",I105*0.62137/0.2641,"")</f>
        <v/>
      </c>
      <c r="L105" s="47" t="str">
        <f t="shared" si="17"/>
        <v/>
      </c>
      <c r="S105" s="55">
        <f t="shared" si="18"/>
        <v>8.2142857142857135</v>
      </c>
      <c r="T105" s="39">
        <f t="shared" si="19"/>
        <v>0.16191304347826088</v>
      </c>
    </row>
    <row r="106" spans="1:20" x14ac:dyDescent="0.15">
      <c r="A106" s="12"/>
      <c r="B106" s="13"/>
      <c r="C106" s="13"/>
      <c r="D106" s="13"/>
      <c r="E106" s="14"/>
      <c r="F106" s="6" t="str">
        <f t="shared" si="14"/>
        <v/>
      </c>
      <c r="G106" s="6" t="str">
        <f t="shared" si="15"/>
        <v/>
      </c>
      <c r="H106" s="6" t="str">
        <f t="shared" si="16"/>
        <v/>
      </c>
      <c r="I106" s="7" t="str">
        <f>IF(E106="Sim",F106/G106,"")</f>
        <v/>
      </c>
      <c r="J106" s="7" t="str">
        <f t="shared" si="20"/>
        <v/>
      </c>
      <c r="K106" s="7" t="str">
        <f>IF(I106&lt;&gt;"",I106*0.62137/0.2641,"")</f>
        <v/>
      </c>
      <c r="L106" s="47" t="str">
        <f t="shared" si="17"/>
        <v/>
      </c>
      <c r="S106" s="55">
        <f t="shared" si="18"/>
        <v>8.2142857142857135</v>
      </c>
      <c r="T106" s="39">
        <f t="shared" si="19"/>
        <v>0.16191304347826088</v>
      </c>
    </row>
    <row r="107" spans="1:20" x14ac:dyDescent="0.15">
      <c r="A107" s="12"/>
      <c r="B107" s="13"/>
      <c r="C107" s="13"/>
      <c r="D107" s="13"/>
      <c r="E107" s="14"/>
      <c r="F107" s="6" t="str">
        <f t="shared" ref="F107:F170" si="23">IF(B107&gt;0,IF(E106="Sim",B107-B106,F106+B107-B106),"")</f>
        <v/>
      </c>
      <c r="G107" s="6" t="str">
        <f t="shared" ref="G107:G170" si="24">IF(B107&gt;0,IF(E106="Sim",C107,G106+C107),"")</f>
        <v/>
      </c>
      <c r="H107" s="6" t="str">
        <f t="shared" si="16"/>
        <v/>
      </c>
      <c r="I107" s="7" t="str">
        <f t="shared" ref="I107:I170" si="25">IF(E107="Sim",F107/G107,"")</f>
        <v/>
      </c>
      <c r="J107" s="7" t="str">
        <f t="shared" si="20"/>
        <v/>
      </c>
      <c r="K107" s="7" t="str">
        <f t="shared" ref="K107:K170" si="26">IF(I107&lt;&gt;"",I107*0.62137/0.2641,"")</f>
        <v/>
      </c>
      <c r="L107" s="47" t="str">
        <f t="shared" si="17"/>
        <v/>
      </c>
      <c r="S107" s="55">
        <f t="shared" si="18"/>
        <v>8.2142857142857135</v>
      </c>
      <c r="T107" s="39">
        <f t="shared" si="19"/>
        <v>0.16191304347826088</v>
      </c>
    </row>
    <row r="108" spans="1:20" x14ac:dyDescent="0.15">
      <c r="A108" s="12"/>
      <c r="B108" s="13"/>
      <c r="C108" s="13"/>
      <c r="D108" s="13"/>
      <c r="E108" s="14"/>
      <c r="F108" s="6" t="str">
        <f t="shared" si="23"/>
        <v/>
      </c>
      <c r="G108" s="6" t="str">
        <f t="shared" si="24"/>
        <v/>
      </c>
      <c r="H108" s="6" t="str">
        <f t="shared" si="16"/>
        <v/>
      </c>
      <c r="I108" s="7" t="str">
        <f t="shared" si="25"/>
        <v/>
      </c>
      <c r="J108" s="7" t="str">
        <f t="shared" si="20"/>
        <v/>
      </c>
      <c r="K108" s="7" t="str">
        <f t="shared" si="26"/>
        <v/>
      </c>
      <c r="L108" s="47" t="str">
        <f t="shared" si="17"/>
        <v/>
      </c>
      <c r="S108" s="55">
        <f t="shared" si="18"/>
        <v>8.2142857142857135</v>
      </c>
      <c r="T108" s="39">
        <f t="shared" si="19"/>
        <v>0.16191304347826088</v>
      </c>
    </row>
    <row r="109" spans="1:20" x14ac:dyDescent="0.15">
      <c r="A109" s="12"/>
      <c r="B109" s="13"/>
      <c r="C109" s="13"/>
      <c r="D109" s="13"/>
      <c r="E109" s="14"/>
      <c r="F109" s="6" t="str">
        <f t="shared" si="23"/>
        <v/>
      </c>
      <c r="G109" s="6" t="str">
        <f t="shared" si="24"/>
        <v/>
      </c>
      <c r="H109" s="6" t="str">
        <f t="shared" si="16"/>
        <v/>
      </c>
      <c r="I109" s="7" t="str">
        <f t="shared" si="25"/>
        <v/>
      </c>
      <c r="J109" s="7" t="str">
        <f t="shared" si="20"/>
        <v/>
      </c>
      <c r="K109" s="7" t="str">
        <f t="shared" si="26"/>
        <v/>
      </c>
      <c r="L109" s="47" t="str">
        <f t="shared" si="17"/>
        <v/>
      </c>
      <c r="S109" s="55">
        <f t="shared" si="18"/>
        <v>8.2142857142857135</v>
      </c>
      <c r="T109" s="39">
        <f t="shared" si="19"/>
        <v>0.16191304347826088</v>
      </c>
    </row>
    <row r="110" spans="1:20" x14ac:dyDescent="0.15">
      <c r="A110" s="12"/>
      <c r="B110" s="13"/>
      <c r="C110" s="13"/>
      <c r="D110" s="13"/>
      <c r="E110" s="14"/>
      <c r="F110" s="6" t="str">
        <f t="shared" si="23"/>
        <v/>
      </c>
      <c r="G110" s="6" t="str">
        <f t="shared" si="24"/>
        <v/>
      </c>
      <c r="H110" s="6" t="str">
        <f t="shared" si="16"/>
        <v/>
      </c>
      <c r="I110" s="7" t="str">
        <f t="shared" si="25"/>
        <v/>
      </c>
      <c r="J110" s="7" t="str">
        <f t="shared" si="20"/>
        <v/>
      </c>
      <c r="K110" s="7" t="str">
        <f t="shared" si="26"/>
        <v/>
      </c>
      <c r="L110" s="47" t="str">
        <f t="shared" si="17"/>
        <v/>
      </c>
      <c r="S110" s="55">
        <f t="shared" si="18"/>
        <v>8.2142857142857135</v>
      </c>
      <c r="T110" s="39">
        <f t="shared" si="19"/>
        <v>0.16191304347826088</v>
      </c>
    </row>
    <row r="111" spans="1:20" x14ac:dyDescent="0.15">
      <c r="A111" s="12"/>
      <c r="B111" s="13"/>
      <c r="C111" s="13"/>
      <c r="D111" s="13"/>
      <c r="E111" s="14"/>
      <c r="F111" s="6" t="str">
        <f t="shared" si="23"/>
        <v/>
      </c>
      <c r="G111" s="6" t="str">
        <f t="shared" si="24"/>
        <v/>
      </c>
      <c r="H111" s="6" t="str">
        <f t="shared" si="16"/>
        <v/>
      </c>
      <c r="I111" s="7" t="str">
        <f t="shared" si="25"/>
        <v/>
      </c>
      <c r="J111" s="7" t="str">
        <f t="shared" si="20"/>
        <v/>
      </c>
      <c r="K111" s="7" t="str">
        <f t="shared" si="26"/>
        <v/>
      </c>
      <c r="L111" s="47" t="str">
        <f t="shared" si="17"/>
        <v/>
      </c>
      <c r="S111" s="55">
        <f t="shared" si="18"/>
        <v>8.2142857142857135</v>
      </c>
      <c r="T111" s="39">
        <f t="shared" si="19"/>
        <v>0.16191304347826088</v>
      </c>
    </row>
    <row r="112" spans="1:20" x14ac:dyDescent="0.15">
      <c r="A112" s="12"/>
      <c r="B112" s="13"/>
      <c r="C112" s="13"/>
      <c r="D112" s="13"/>
      <c r="E112" s="14"/>
      <c r="F112" s="6" t="str">
        <f t="shared" si="23"/>
        <v/>
      </c>
      <c r="G112" s="6" t="str">
        <f t="shared" si="24"/>
        <v/>
      </c>
      <c r="H112" s="6" t="str">
        <f t="shared" si="16"/>
        <v/>
      </c>
      <c r="I112" s="7" t="str">
        <f t="shared" si="25"/>
        <v/>
      </c>
      <c r="J112" s="7" t="str">
        <f t="shared" si="20"/>
        <v/>
      </c>
      <c r="K112" s="7" t="str">
        <f t="shared" si="26"/>
        <v/>
      </c>
      <c r="L112" s="47" t="str">
        <f t="shared" si="17"/>
        <v/>
      </c>
      <c r="S112" s="55">
        <f t="shared" si="18"/>
        <v>8.2142857142857135</v>
      </c>
      <c r="T112" s="39">
        <f t="shared" si="19"/>
        <v>0.16191304347826088</v>
      </c>
    </row>
    <row r="113" spans="1:20" x14ac:dyDescent="0.15">
      <c r="A113" s="12"/>
      <c r="B113" s="13"/>
      <c r="C113" s="13"/>
      <c r="D113" s="13"/>
      <c r="E113" s="14"/>
      <c r="F113" s="6" t="str">
        <f t="shared" si="23"/>
        <v/>
      </c>
      <c r="G113" s="6" t="str">
        <f t="shared" si="24"/>
        <v/>
      </c>
      <c r="H113" s="6" t="str">
        <f t="shared" si="16"/>
        <v/>
      </c>
      <c r="I113" s="7" t="str">
        <f t="shared" si="25"/>
        <v/>
      </c>
      <c r="J113" s="7" t="str">
        <f t="shared" si="20"/>
        <v/>
      </c>
      <c r="K113" s="7" t="str">
        <f t="shared" si="26"/>
        <v/>
      </c>
      <c r="L113" s="47" t="str">
        <f t="shared" si="17"/>
        <v/>
      </c>
      <c r="S113" s="55">
        <f t="shared" si="18"/>
        <v>8.2142857142857135</v>
      </c>
      <c r="T113" s="39">
        <f t="shared" si="19"/>
        <v>0.16191304347826088</v>
      </c>
    </row>
    <row r="114" spans="1:20" x14ac:dyDescent="0.15">
      <c r="A114" s="12"/>
      <c r="B114" s="13"/>
      <c r="C114" s="13"/>
      <c r="D114" s="13"/>
      <c r="E114" s="14"/>
      <c r="F114" s="6" t="str">
        <f t="shared" si="23"/>
        <v/>
      </c>
      <c r="G114" s="6" t="str">
        <f t="shared" si="24"/>
        <v/>
      </c>
      <c r="H114" s="6" t="str">
        <f t="shared" si="16"/>
        <v/>
      </c>
      <c r="I114" s="7" t="str">
        <f t="shared" si="25"/>
        <v/>
      </c>
      <c r="J114" s="7" t="str">
        <f t="shared" si="20"/>
        <v/>
      </c>
      <c r="K114" s="7" t="str">
        <f t="shared" si="26"/>
        <v/>
      </c>
      <c r="L114" s="47" t="str">
        <f t="shared" si="17"/>
        <v/>
      </c>
      <c r="S114" s="55">
        <f t="shared" si="18"/>
        <v>8.2142857142857135</v>
      </c>
      <c r="T114" s="39">
        <f t="shared" si="19"/>
        <v>0.16191304347826088</v>
      </c>
    </row>
    <row r="115" spans="1:20" x14ac:dyDescent="0.15">
      <c r="A115" s="12"/>
      <c r="B115" s="13"/>
      <c r="C115" s="13"/>
      <c r="D115" s="13"/>
      <c r="E115" s="14"/>
      <c r="F115" s="6" t="str">
        <f t="shared" si="23"/>
        <v/>
      </c>
      <c r="G115" s="6" t="str">
        <f t="shared" si="24"/>
        <v/>
      </c>
      <c r="H115" s="6" t="str">
        <f t="shared" si="16"/>
        <v/>
      </c>
      <c r="I115" s="7" t="str">
        <f t="shared" si="25"/>
        <v/>
      </c>
      <c r="J115" s="7" t="str">
        <f t="shared" si="20"/>
        <v/>
      </c>
      <c r="K115" s="7" t="str">
        <f t="shared" si="26"/>
        <v/>
      </c>
      <c r="L115" s="47" t="str">
        <f t="shared" si="17"/>
        <v/>
      </c>
      <c r="S115" s="55">
        <f t="shared" si="18"/>
        <v>8.2142857142857135</v>
      </c>
      <c r="T115" s="39">
        <f t="shared" si="19"/>
        <v>0.16191304347826088</v>
      </c>
    </row>
    <row r="116" spans="1:20" x14ac:dyDescent="0.15">
      <c r="A116" s="12"/>
      <c r="B116" s="13"/>
      <c r="C116" s="13"/>
      <c r="D116" s="13"/>
      <c r="E116" s="14"/>
      <c r="F116" s="6" t="str">
        <f t="shared" si="23"/>
        <v/>
      </c>
      <c r="G116" s="6" t="str">
        <f t="shared" si="24"/>
        <v/>
      </c>
      <c r="H116" s="6" t="str">
        <f t="shared" si="16"/>
        <v/>
      </c>
      <c r="I116" s="7" t="str">
        <f t="shared" si="25"/>
        <v/>
      </c>
      <c r="J116" s="7" t="str">
        <f t="shared" si="20"/>
        <v/>
      </c>
      <c r="K116" s="7" t="str">
        <f t="shared" si="26"/>
        <v/>
      </c>
      <c r="L116" s="47" t="str">
        <f t="shared" si="17"/>
        <v/>
      </c>
      <c r="S116" s="55">
        <f t="shared" si="18"/>
        <v>8.2142857142857135</v>
      </c>
      <c r="T116" s="39">
        <f t="shared" si="19"/>
        <v>0.16191304347826088</v>
      </c>
    </row>
    <row r="117" spans="1:20" x14ac:dyDescent="0.15">
      <c r="A117" s="12"/>
      <c r="B117" s="13"/>
      <c r="C117" s="13"/>
      <c r="D117" s="13"/>
      <c r="E117" s="14"/>
      <c r="F117" s="6" t="str">
        <f t="shared" si="23"/>
        <v/>
      </c>
      <c r="G117" s="6" t="str">
        <f t="shared" si="24"/>
        <v/>
      </c>
      <c r="H117" s="6" t="str">
        <f t="shared" si="16"/>
        <v/>
      </c>
      <c r="I117" s="7" t="str">
        <f t="shared" si="25"/>
        <v/>
      </c>
      <c r="J117" s="7" t="str">
        <f t="shared" si="20"/>
        <v/>
      </c>
      <c r="K117" s="7" t="str">
        <f t="shared" si="26"/>
        <v/>
      </c>
      <c r="L117" s="47" t="str">
        <f t="shared" si="17"/>
        <v/>
      </c>
      <c r="S117" s="55">
        <f t="shared" si="18"/>
        <v>8.2142857142857135</v>
      </c>
      <c r="T117" s="39">
        <f t="shared" si="19"/>
        <v>0.16191304347826088</v>
      </c>
    </row>
    <row r="118" spans="1:20" x14ac:dyDescent="0.15">
      <c r="A118" s="12"/>
      <c r="B118" s="13"/>
      <c r="C118" s="13"/>
      <c r="D118" s="13"/>
      <c r="E118" s="14"/>
      <c r="F118" s="6" t="str">
        <f t="shared" si="23"/>
        <v/>
      </c>
      <c r="G118" s="6" t="str">
        <f t="shared" si="24"/>
        <v/>
      </c>
      <c r="H118" s="6" t="str">
        <f t="shared" si="16"/>
        <v/>
      </c>
      <c r="I118" s="7" t="str">
        <f t="shared" si="25"/>
        <v/>
      </c>
      <c r="J118" s="7" t="str">
        <f t="shared" si="20"/>
        <v/>
      </c>
      <c r="K118" s="7" t="str">
        <f t="shared" si="26"/>
        <v/>
      </c>
      <c r="L118" s="47" t="str">
        <f t="shared" si="17"/>
        <v/>
      </c>
      <c r="S118" s="55">
        <f t="shared" si="18"/>
        <v>8.2142857142857135</v>
      </c>
      <c r="T118" s="39">
        <f t="shared" si="19"/>
        <v>0.16191304347826088</v>
      </c>
    </row>
    <row r="119" spans="1:20" x14ac:dyDescent="0.15">
      <c r="A119" s="12"/>
      <c r="B119" s="13"/>
      <c r="C119" s="13"/>
      <c r="D119" s="13"/>
      <c r="E119" s="14"/>
      <c r="F119" s="6" t="str">
        <f t="shared" si="23"/>
        <v/>
      </c>
      <c r="G119" s="6" t="str">
        <f t="shared" si="24"/>
        <v/>
      </c>
      <c r="H119" s="6" t="str">
        <f t="shared" si="16"/>
        <v/>
      </c>
      <c r="I119" s="7" t="str">
        <f t="shared" si="25"/>
        <v/>
      </c>
      <c r="J119" s="7" t="str">
        <f t="shared" si="20"/>
        <v/>
      </c>
      <c r="K119" s="7" t="str">
        <f t="shared" si="26"/>
        <v/>
      </c>
      <c r="L119" s="47" t="str">
        <f t="shared" si="17"/>
        <v/>
      </c>
      <c r="S119" s="55">
        <f t="shared" si="18"/>
        <v>8.2142857142857135</v>
      </c>
      <c r="T119" s="39">
        <f t="shared" si="19"/>
        <v>0.16191304347826088</v>
      </c>
    </row>
    <row r="120" spans="1:20" x14ac:dyDescent="0.15">
      <c r="A120" s="12"/>
      <c r="B120" s="13"/>
      <c r="C120" s="13"/>
      <c r="D120" s="13"/>
      <c r="E120" s="14"/>
      <c r="F120" s="6" t="str">
        <f t="shared" si="23"/>
        <v/>
      </c>
      <c r="G120" s="6" t="str">
        <f t="shared" si="24"/>
        <v/>
      </c>
      <c r="H120" s="6" t="str">
        <f t="shared" si="16"/>
        <v/>
      </c>
      <c r="I120" s="7" t="str">
        <f t="shared" si="25"/>
        <v/>
      </c>
      <c r="J120" s="7" t="str">
        <f t="shared" si="20"/>
        <v/>
      </c>
      <c r="K120" s="7" t="str">
        <f t="shared" si="26"/>
        <v/>
      </c>
      <c r="L120" s="47" t="str">
        <f t="shared" si="17"/>
        <v/>
      </c>
      <c r="S120" s="55">
        <f t="shared" si="18"/>
        <v>8.2142857142857135</v>
      </c>
      <c r="T120" s="39">
        <f t="shared" si="19"/>
        <v>0.16191304347826088</v>
      </c>
    </row>
    <row r="121" spans="1:20" x14ac:dyDescent="0.15">
      <c r="A121" s="12"/>
      <c r="B121" s="13"/>
      <c r="C121" s="13"/>
      <c r="D121" s="13"/>
      <c r="E121" s="14"/>
      <c r="F121" s="6" t="str">
        <f t="shared" si="23"/>
        <v/>
      </c>
      <c r="G121" s="6" t="str">
        <f t="shared" si="24"/>
        <v/>
      </c>
      <c r="H121" s="6" t="str">
        <f t="shared" si="16"/>
        <v/>
      </c>
      <c r="I121" s="7" t="str">
        <f t="shared" si="25"/>
        <v/>
      </c>
      <c r="J121" s="7" t="str">
        <f t="shared" si="20"/>
        <v/>
      </c>
      <c r="K121" s="7" t="str">
        <f t="shared" si="26"/>
        <v/>
      </c>
      <c r="L121" s="47" t="str">
        <f t="shared" si="17"/>
        <v/>
      </c>
      <c r="S121" s="55">
        <f t="shared" si="18"/>
        <v>8.2142857142857135</v>
      </c>
      <c r="T121" s="39">
        <f t="shared" si="19"/>
        <v>0.16191304347826088</v>
      </c>
    </row>
    <row r="122" spans="1:20" x14ac:dyDescent="0.15">
      <c r="A122" s="12"/>
      <c r="B122" s="13"/>
      <c r="C122" s="13"/>
      <c r="D122" s="13"/>
      <c r="E122" s="14"/>
      <c r="F122" s="6" t="str">
        <f t="shared" si="23"/>
        <v/>
      </c>
      <c r="G122" s="6" t="str">
        <f t="shared" si="24"/>
        <v/>
      </c>
      <c r="H122" s="6" t="str">
        <f t="shared" si="16"/>
        <v/>
      </c>
      <c r="I122" s="7" t="str">
        <f t="shared" si="25"/>
        <v/>
      </c>
      <c r="J122" s="7" t="str">
        <f t="shared" si="20"/>
        <v/>
      </c>
      <c r="K122" s="7" t="str">
        <f t="shared" si="26"/>
        <v/>
      </c>
      <c r="L122" s="47" t="str">
        <f t="shared" si="17"/>
        <v/>
      </c>
      <c r="S122" s="55">
        <f t="shared" si="18"/>
        <v>8.2142857142857135</v>
      </c>
      <c r="T122" s="39">
        <f t="shared" si="19"/>
        <v>0.16191304347826088</v>
      </c>
    </row>
    <row r="123" spans="1:20" x14ac:dyDescent="0.15">
      <c r="A123" s="12"/>
      <c r="B123" s="13"/>
      <c r="C123" s="13"/>
      <c r="D123" s="13"/>
      <c r="E123" s="14"/>
      <c r="F123" s="6" t="str">
        <f t="shared" si="23"/>
        <v/>
      </c>
      <c r="G123" s="6" t="str">
        <f t="shared" si="24"/>
        <v/>
      </c>
      <c r="H123" s="6" t="str">
        <f t="shared" si="16"/>
        <v/>
      </c>
      <c r="I123" s="7" t="str">
        <f t="shared" si="25"/>
        <v/>
      </c>
      <c r="J123" s="7" t="str">
        <f t="shared" si="20"/>
        <v/>
      </c>
      <c r="K123" s="7" t="str">
        <f t="shared" si="26"/>
        <v/>
      </c>
      <c r="L123" s="47" t="str">
        <f t="shared" si="17"/>
        <v/>
      </c>
      <c r="S123" s="55">
        <f t="shared" si="18"/>
        <v>8.2142857142857135</v>
      </c>
      <c r="T123" s="39">
        <f t="shared" si="19"/>
        <v>0.16191304347826088</v>
      </c>
    </row>
    <row r="124" spans="1:20" x14ac:dyDescent="0.15">
      <c r="A124" s="12"/>
      <c r="B124" s="13"/>
      <c r="C124" s="13"/>
      <c r="D124" s="13"/>
      <c r="E124" s="14"/>
      <c r="F124" s="6" t="str">
        <f t="shared" si="23"/>
        <v/>
      </c>
      <c r="G124" s="6" t="str">
        <f t="shared" si="24"/>
        <v/>
      </c>
      <c r="H124" s="6" t="str">
        <f t="shared" si="16"/>
        <v/>
      </c>
      <c r="I124" s="7" t="str">
        <f t="shared" si="25"/>
        <v/>
      </c>
      <c r="J124" s="7" t="str">
        <f t="shared" si="20"/>
        <v/>
      </c>
      <c r="K124" s="7" t="str">
        <f t="shared" si="26"/>
        <v/>
      </c>
      <c r="L124" s="47" t="str">
        <f t="shared" si="17"/>
        <v/>
      </c>
      <c r="S124" s="55">
        <f t="shared" si="18"/>
        <v>8.2142857142857135</v>
      </c>
      <c r="T124" s="39">
        <f t="shared" si="19"/>
        <v>0.16191304347826088</v>
      </c>
    </row>
    <row r="125" spans="1:20" x14ac:dyDescent="0.15">
      <c r="A125" s="12"/>
      <c r="B125" s="13"/>
      <c r="C125" s="13"/>
      <c r="D125" s="13"/>
      <c r="E125" s="14"/>
      <c r="F125" s="6" t="str">
        <f t="shared" si="23"/>
        <v/>
      </c>
      <c r="G125" s="6" t="str">
        <f t="shared" si="24"/>
        <v/>
      </c>
      <c r="H125" s="6" t="str">
        <f t="shared" si="16"/>
        <v/>
      </c>
      <c r="I125" s="7" t="str">
        <f t="shared" si="25"/>
        <v/>
      </c>
      <c r="J125" s="7" t="str">
        <f t="shared" si="20"/>
        <v/>
      </c>
      <c r="K125" s="7" t="str">
        <f t="shared" si="26"/>
        <v/>
      </c>
      <c r="L125" s="47" t="str">
        <f t="shared" si="17"/>
        <v/>
      </c>
      <c r="S125" s="55">
        <f t="shared" si="18"/>
        <v>8.2142857142857135</v>
      </c>
      <c r="T125" s="39">
        <f t="shared" si="19"/>
        <v>0.16191304347826088</v>
      </c>
    </row>
    <row r="126" spans="1:20" x14ac:dyDescent="0.15">
      <c r="A126" s="12"/>
      <c r="B126" s="13"/>
      <c r="C126" s="13"/>
      <c r="D126" s="13"/>
      <c r="E126" s="14"/>
      <c r="F126" s="6" t="str">
        <f t="shared" si="23"/>
        <v/>
      </c>
      <c r="G126" s="6" t="str">
        <f t="shared" si="24"/>
        <v/>
      </c>
      <c r="H126" s="6" t="str">
        <f t="shared" si="16"/>
        <v/>
      </c>
      <c r="I126" s="7" t="str">
        <f t="shared" si="25"/>
        <v/>
      </c>
      <c r="J126" s="7" t="str">
        <f t="shared" si="20"/>
        <v/>
      </c>
      <c r="K126" s="7" t="str">
        <f t="shared" si="26"/>
        <v/>
      </c>
      <c r="L126" s="47" t="str">
        <f t="shared" si="17"/>
        <v/>
      </c>
      <c r="S126" s="55">
        <f t="shared" si="18"/>
        <v>8.2142857142857135</v>
      </c>
      <c r="T126" s="39">
        <f t="shared" si="19"/>
        <v>0.16191304347826088</v>
      </c>
    </row>
    <row r="127" spans="1:20" x14ac:dyDescent="0.15">
      <c r="A127" s="12"/>
      <c r="B127" s="13"/>
      <c r="C127" s="13"/>
      <c r="D127" s="13"/>
      <c r="E127" s="14"/>
      <c r="F127" s="6" t="str">
        <f t="shared" si="23"/>
        <v/>
      </c>
      <c r="G127" s="6" t="str">
        <f t="shared" si="24"/>
        <v/>
      </c>
      <c r="H127" s="6" t="str">
        <f t="shared" si="16"/>
        <v/>
      </c>
      <c r="I127" s="7" t="str">
        <f t="shared" si="25"/>
        <v/>
      </c>
      <c r="J127" s="7" t="str">
        <f t="shared" si="20"/>
        <v/>
      </c>
      <c r="K127" s="7" t="str">
        <f t="shared" si="26"/>
        <v/>
      </c>
      <c r="L127" s="47" t="str">
        <f t="shared" si="17"/>
        <v/>
      </c>
      <c r="S127" s="55">
        <f t="shared" si="18"/>
        <v>8.2142857142857135</v>
      </c>
      <c r="T127" s="39">
        <f t="shared" si="19"/>
        <v>0.16191304347826088</v>
      </c>
    </row>
    <row r="128" spans="1:20" x14ac:dyDescent="0.15">
      <c r="A128" s="12"/>
      <c r="B128" s="13"/>
      <c r="C128" s="13"/>
      <c r="D128" s="13"/>
      <c r="E128" s="14"/>
      <c r="F128" s="6" t="str">
        <f t="shared" si="23"/>
        <v/>
      </c>
      <c r="G128" s="6" t="str">
        <f t="shared" si="24"/>
        <v/>
      </c>
      <c r="H128" s="6" t="str">
        <f t="shared" si="16"/>
        <v/>
      </c>
      <c r="I128" s="7" t="str">
        <f t="shared" si="25"/>
        <v/>
      </c>
      <c r="J128" s="7" t="str">
        <f t="shared" si="20"/>
        <v/>
      </c>
      <c r="K128" s="7" t="str">
        <f t="shared" si="26"/>
        <v/>
      </c>
      <c r="L128" s="47" t="str">
        <f t="shared" si="17"/>
        <v/>
      </c>
      <c r="S128" s="55">
        <f t="shared" si="18"/>
        <v>8.2142857142857135</v>
      </c>
      <c r="T128" s="39">
        <f t="shared" si="19"/>
        <v>0.16191304347826088</v>
      </c>
    </row>
    <row r="129" spans="1:20" x14ac:dyDescent="0.15">
      <c r="A129" s="12"/>
      <c r="B129" s="13"/>
      <c r="C129" s="13"/>
      <c r="D129" s="13"/>
      <c r="E129" s="14"/>
      <c r="F129" s="6" t="str">
        <f t="shared" si="23"/>
        <v/>
      </c>
      <c r="G129" s="6" t="str">
        <f t="shared" si="24"/>
        <v/>
      </c>
      <c r="H129" s="6" t="str">
        <f t="shared" si="16"/>
        <v/>
      </c>
      <c r="I129" s="7" t="str">
        <f t="shared" si="25"/>
        <v/>
      </c>
      <c r="J129" s="7" t="str">
        <f t="shared" si="20"/>
        <v/>
      </c>
      <c r="K129" s="7" t="str">
        <f t="shared" si="26"/>
        <v/>
      </c>
      <c r="L129" s="47" t="str">
        <f t="shared" si="17"/>
        <v/>
      </c>
      <c r="S129" s="55">
        <f t="shared" si="18"/>
        <v>8.2142857142857135</v>
      </c>
      <c r="T129" s="39">
        <f t="shared" si="19"/>
        <v>0.16191304347826088</v>
      </c>
    </row>
    <row r="130" spans="1:20" x14ac:dyDescent="0.15">
      <c r="A130" s="12"/>
      <c r="B130" s="13"/>
      <c r="C130" s="13"/>
      <c r="D130" s="13"/>
      <c r="E130" s="14"/>
      <c r="F130" s="6" t="str">
        <f t="shared" si="23"/>
        <v/>
      </c>
      <c r="G130" s="6" t="str">
        <f t="shared" si="24"/>
        <v/>
      </c>
      <c r="H130" s="6" t="str">
        <f t="shared" si="16"/>
        <v/>
      </c>
      <c r="I130" s="7" t="str">
        <f t="shared" si="25"/>
        <v/>
      </c>
      <c r="J130" s="7" t="str">
        <f t="shared" si="20"/>
        <v/>
      </c>
      <c r="K130" s="7" t="str">
        <f t="shared" si="26"/>
        <v/>
      </c>
      <c r="L130" s="47" t="str">
        <f t="shared" si="17"/>
        <v/>
      </c>
      <c r="S130" s="55">
        <f t="shared" si="18"/>
        <v>8.2142857142857135</v>
      </c>
      <c r="T130" s="39">
        <f t="shared" si="19"/>
        <v>0.16191304347826088</v>
      </c>
    </row>
    <row r="131" spans="1:20" x14ac:dyDescent="0.15">
      <c r="A131" s="12"/>
      <c r="B131" s="13"/>
      <c r="C131" s="13"/>
      <c r="D131" s="13"/>
      <c r="E131" s="14"/>
      <c r="F131" s="6" t="str">
        <f t="shared" si="23"/>
        <v/>
      </c>
      <c r="G131" s="6" t="str">
        <f t="shared" si="24"/>
        <v/>
      </c>
      <c r="H131" s="6" t="str">
        <f t="shared" si="16"/>
        <v/>
      </c>
      <c r="I131" s="7" t="str">
        <f t="shared" si="25"/>
        <v/>
      </c>
      <c r="J131" s="7" t="str">
        <f t="shared" si="20"/>
        <v/>
      </c>
      <c r="K131" s="7" t="str">
        <f t="shared" si="26"/>
        <v/>
      </c>
      <c r="L131" s="47" t="str">
        <f t="shared" si="17"/>
        <v/>
      </c>
      <c r="S131" s="55">
        <f t="shared" si="18"/>
        <v>8.2142857142857135</v>
      </c>
      <c r="T131" s="39">
        <f t="shared" si="19"/>
        <v>0.16191304347826088</v>
      </c>
    </row>
    <row r="132" spans="1:20" x14ac:dyDescent="0.15">
      <c r="A132" s="12"/>
      <c r="B132" s="13"/>
      <c r="C132" s="13"/>
      <c r="D132" s="13"/>
      <c r="E132" s="14"/>
      <c r="F132" s="6" t="str">
        <f t="shared" si="23"/>
        <v/>
      </c>
      <c r="G132" s="6" t="str">
        <f t="shared" si="24"/>
        <v/>
      </c>
      <c r="H132" s="6" t="str">
        <f t="shared" si="16"/>
        <v/>
      </c>
      <c r="I132" s="7" t="str">
        <f t="shared" si="25"/>
        <v/>
      </c>
      <c r="J132" s="7" t="str">
        <f t="shared" si="20"/>
        <v/>
      </c>
      <c r="K132" s="7" t="str">
        <f t="shared" si="26"/>
        <v/>
      </c>
      <c r="L132" s="47" t="str">
        <f t="shared" si="17"/>
        <v/>
      </c>
      <c r="S132" s="55">
        <f t="shared" si="18"/>
        <v>8.2142857142857135</v>
      </c>
      <c r="T132" s="39">
        <f t="shared" si="19"/>
        <v>0.16191304347826088</v>
      </c>
    </row>
    <row r="133" spans="1:20" x14ac:dyDescent="0.15">
      <c r="A133" s="12"/>
      <c r="B133" s="13"/>
      <c r="C133" s="13"/>
      <c r="D133" s="13"/>
      <c r="E133" s="14"/>
      <c r="F133" s="6" t="str">
        <f t="shared" si="23"/>
        <v/>
      </c>
      <c r="G133" s="6" t="str">
        <f t="shared" si="24"/>
        <v/>
      </c>
      <c r="H133" s="6" t="str">
        <f t="shared" si="16"/>
        <v/>
      </c>
      <c r="I133" s="7" t="str">
        <f t="shared" si="25"/>
        <v/>
      </c>
      <c r="J133" s="7" t="str">
        <f t="shared" si="20"/>
        <v/>
      </c>
      <c r="K133" s="7" t="str">
        <f t="shared" si="26"/>
        <v/>
      </c>
      <c r="L133" s="47" t="str">
        <f t="shared" si="17"/>
        <v/>
      </c>
      <c r="S133" s="55">
        <f t="shared" si="18"/>
        <v>8.2142857142857135</v>
      </c>
      <c r="T133" s="39">
        <f t="shared" si="19"/>
        <v>0.16191304347826088</v>
      </c>
    </row>
    <row r="134" spans="1:20" x14ac:dyDescent="0.15">
      <c r="A134" s="12"/>
      <c r="B134" s="13"/>
      <c r="C134" s="13"/>
      <c r="D134" s="13"/>
      <c r="E134" s="14"/>
      <c r="F134" s="6" t="str">
        <f t="shared" si="23"/>
        <v/>
      </c>
      <c r="G134" s="6" t="str">
        <f t="shared" si="24"/>
        <v/>
      </c>
      <c r="H134" s="6" t="str">
        <f t="shared" si="16"/>
        <v/>
      </c>
      <c r="I134" s="7" t="str">
        <f t="shared" si="25"/>
        <v/>
      </c>
      <c r="J134" s="7" t="str">
        <f t="shared" si="20"/>
        <v/>
      </c>
      <c r="K134" s="7" t="str">
        <f t="shared" si="26"/>
        <v/>
      </c>
      <c r="L134" s="47" t="str">
        <f t="shared" si="17"/>
        <v/>
      </c>
      <c r="S134" s="55">
        <f t="shared" si="18"/>
        <v>8.2142857142857135</v>
      </c>
      <c r="T134" s="39">
        <f t="shared" si="19"/>
        <v>0.16191304347826088</v>
      </c>
    </row>
    <row r="135" spans="1:20" x14ac:dyDescent="0.15">
      <c r="A135" s="12"/>
      <c r="B135" s="13"/>
      <c r="C135" s="13"/>
      <c r="D135" s="13"/>
      <c r="E135" s="14"/>
      <c r="F135" s="6" t="str">
        <f t="shared" si="23"/>
        <v/>
      </c>
      <c r="G135" s="6" t="str">
        <f t="shared" si="24"/>
        <v/>
      </c>
      <c r="H135" s="6" t="str">
        <f t="shared" si="16"/>
        <v/>
      </c>
      <c r="I135" s="7" t="str">
        <f t="shared" si="25"/>
        <v/>
      </c>
      <c r="J135" s="7" t="str">
        <f t="shared" si="20"/>
        <v/>
      </c>
      <c r="K135" s="7" t="str">
        <f t="shared" si="26"/>
        <v/>
      </c>
      <c r="L135" s="47" t="str">
        <f t="shared" si="17"/>
        <v/>
      </c>
      <c r="S135" s="55">
        <f t="shared" si="18"/>
        <v>8.2142857142857135</v>
      </c>
      <c r="T135" s="39">
        <f t="shared" si="19"/>
        <v>0.16191304347826088</v>
      </c>
    </row>
    <row r="136" spans="1:20" x14ac:dyDescent="0.15">
      <c r="A136" s="12"/>
      <c r="B136" s="13"/>
      <c r="C136" s="13"/>
      <c r="D136" s="13"/>
      <c r="E136" s="14"/>
      <c r="F136" s="6" t="str">
        <f t="shared" si="23"/>
        <v/>
      </c>
      <c r="G136" s="6" t="str">
        <f t="shared" si="24"/>
        <v/>
      </c>
      <c r="H136" s="6" t="str">
        <f t="shared" ref="H136:H199" si="27">IF(C136&lt;&gt;"",C136*D136,"")</f>
        <v/>
      </c>
      <c r="I136" s="7" t="str">
        <f t="shared" si="25"/>
        <v/>
      </c>
      <c r="J136" s="7" t="str">
        <f t="shared" si="20"/>
        <v/>
      </c>
      <c r="K136" s="7" t="str">
        <f t="shared" si="26"/>
        <v/>
      </c>
      <c r="L136" s="47" t="str">
        <f t="shared" ref="L136:L199" si="28">IF(I136&lt;&gt;"",1/I136*D135,"")</f>
        <v/>
      </c>
      <c r="S136" s="55">
        <f t="shared" ref="S136:S199" si="29">IF(I136="",S135,I136)</f>
        <v>8.2142857142857135</v>
      </c>
      <c r="T136" s="39">
        <f t="shared" ref="T136:T199" si="30">IF(L136="",T135,L136)</f>
        <v>0.16191304347826088</v>
      </c>
    </row>
    <row r="137" spans="1:20" x14ac:dyDescent="0.15">
      <c r="A137" s="12"/>
      <c r="B137" s="13"/>
      <c r="C137" s="13"/>
      <c r="D137" s="13"/>
      <c r="E137" s="14"/>
      <c r="F137" s="6" t="str">
        <f t="shared" si="23"/>
        <v/>
      </c>
      <c r="G137" s="6" t="str">
        <f t="shared" si="24"/>
        <v/>
      </c>
      <c r="H137" s="6" t="str">
        <f t="shared" si="27"/>
        <v/>
      </c>
      <c r="I137" s="7" t="str">
        <f t="shared" si="25"/>
        <v/>
      </c>
      <c r="J137" s="7" t="str">
        <f t="shared" si="20"/>
        <v/>
      </c>
      <c r="K137" s="7" t="str">
        <f t="shared" si="26"/>
        <v/>
      </c>
      <c r="L137" s="47" t="str">
        <f t="shared" si="28"/>
        <v/>
      </c>
      <c r="S137" s="55">
        <f t="shared" si="29"/>
        <v>8.2142857142857135</v>
      </c>
      <c r="T137" s="39">
        <f t="shared" si="30"/>
        <v>0.16191304347826088</v>
      </c>
    </row>
    <row r="138" spans="1:20" x14ac:dyDescent="0.15">
      <c r="A138" s="12"/>
      <c r="B138" s="13"/>
      <c r="C138" s="13"/>
      <c r="D138" s="13"/>
      <c r="E138" s="14"/>
      <c r="F138" s="6" t="str">
        <f t="shared" si="23"/>
        <v/>
      </c>
      <c r="G138" s="6" t="str">
        <f t="shared" si="24"/>
        <v/>
      </c>
      <c r="H138" s="6" t="str">
        <f t="shared" si="27"/>
        <v/>
      </c>
      <c r="I138" s="7" t="str">
        <f t="shared" si="25"/>
        <v/>
      </c>
      <c r="J138" s="7" t="str">
        <f t="shared" ref="J138:J201" si="31">IF(I138&lt;&gt;"",1/I138*100,"")</f>
        <v/>
      </c>
      <c r="K138" s="7" t="str">
        <f t="shared" si="26"/>
        <v/>
      </c>
      <c r="L138" s="47" t="str">
        <f t="shared" si="28"/>
        <v/>
      </c>
      <c r="S138" s="55">
        <f t="shared" si="29"/>
        <v>8.2142857142857135</v>
      </c>
      <c r="T138" s="39">
        <f t="shared" si="30"/>
        <v>0.16191304347826088</v>
      </c>
    </row>
    <row r="139" spans="1:20" x14ac:dyDescent="0.15">
      <c r="A139" s="12"/>
      <c r="B139" s="13"/>
      <c r="C139" s="13"/>
      <c r="D139" s="13"/>
      <c r="E139" s="14"/>
      <c r="F139" s="6" t="str">
        <f t="shared" si="23"/>
        <v/>
      </c>
      <c r="G139" s="6" t="str">
        <f t="shared" si="24"/>
        <v/>
      </c>
      <c r="H139" s="6" t="str">
        <f t="shared" si="27"/>
        <v/>
      </c>
      <c r="I139" s="7" t="str">
        <f t="shared" si="25"/>
        <v/>
      </c>
      <c r="J139" s="7" t="str">
        <f t="shared" si="31"/>
        <v/>
      </c>
      <c r="K139" s="7" t="str">
        <f t="shared" si="26"/>
        <v/>
      </c>
      <c r="L139" s="47" t="str">
        <f t="shared" si="28"/>
        <v/>
      </c>
      <c r="S139" s="55">
        <f t="shared" si="29"/>
        <v>8.2142857142857135</v>
      </c>
      <c r="T139" s="39">
        <f t="shared" si="30"/>
        <v>0.16191304347826088</v>
      </c>
    </row>
    <row r="140" spans="1:20" x14ac:dyDescent="0.15">
      <c r="A140" s="12"/>
      <c r="B140" s="13"/>
      <c r="C140" s="13"/>
      <c r="D140" s="13"/>
      <c r="E140" s="14"/>
      <c r="F140" s="6" t="str">
        <f t="shared" si="23"/>
        <v/>
      </c>
      <c r="G140" s="6" t="str">
        <f t="shared" si="24"/>
        <v/>
      </c>
      <c r="H140" s="6" t="str">
        <f t="shared" si="27"/>
        <v/>
      </c>
      <c r="I140" s="7" t="str">
        <f t="shared" si="25"/>
        <v/>
      </c>
      <c r="J140" s="7" t="str">
        <f t="shared" si="31"/>
        <v/>
      </c>
      <c r="K140" s="7" t="str">
        <f t="shared" si="26"/>
        <v/>
      </c>
      <c r="L140" s="47" t="str">
        <f t="shared" si="28"/>
        <v/>
      </c>
      <c r="S140" s="55">
        <f t="shared" si="29"/>
        <v>8.2142857142857135</v>
      </c>
      <c r="T140" s="39">
        <f t="shared" si="30"/>
        <v>0.16191304347826088</v>
      </c>
    </row>
    <row r="141" spans="1:20" x14ac:dyDescent="0.15">
      <c r="A141" s="12"/>
      <c r="B141" s="13"/>
      <c r="C141" s="13"/>
      <c r="D141" s="13"/>
      <c r="E141" s="14"/>
      <c r="F141" s="6" t="str">
        <f t="shared" si="23"/>
        <v/>
      </c>
      <c r="G141" s="6" t="str">
        <f t="shared" si="24"/>
        <v/>
      </c>
      <c r="H141" s="6" t="str">
        <f t="shared" si="27"/>
        <v/>
      </c>
      <c r="I141" s="7" t="str">
        <f t="shared" si="25"/>
        <v/>
      </c>
      <c r="J141" s="7" t="str">
        <f t="shared" si="31"/>
        <v/>
      </c>
      <c r="K141" s="7" t="str">
        <f t="shared" si="26"/>
        <v/>
      </c>
      <c r="L141" s="47" t="str">
        <f t="shared" si="28"/>
        <v/>
      </c>
      <c r="S141" s="55">
        <f t="shared" si="29"/>
        <v>8.2142857142857135</v>
      </c>
      <c r="T141" s="39">
        <f t="shared" si="30"/>
        <v>0.16191304347826088</v>
      </c>
    </row>
    <row r="142" spans="1:20" x14ac:dyDescent="0.15">
      <c r="A142" s="12"/>
      <c r="B142" s="13"/>
      <c r="C142" s="13"/>
      <c r="D142" s="13"/>
      <c r="E142" s="14"/>
      <c r="F142" s="6" t="str">
        <f t="shared" si="23"/>
        <v/>
      </c>
      <c r="G142" s="6" t="str">
        <f t="shared" si="24"/>
        <v/>
      </c>
      <c r="H142" s="6" t="str">
        <f t="shared" si="27"/>
        <v/>
      </c>
      <c r="I142" s="7" t="str">
        <f t="shared" si="25"/>
        <v/>
      </c>
      <c r="J142" s="7" t="str">
        <f t="shared" si="31"/>
        <v/>
      </c>
      <c r="K142" s="7" t="str">
        <f t="shared" si="26"/>
        <v/>
      </c>
      <c r="L142" s="47" t="str">
        <f t="shared" si="28"/>
        <v/>
      </c>
      <c r="S142" s="55">
        <f t="shared" si="29"/>
        <v>8.2142857142857135</v>
      </c>
      <c r="T142" s="39">
        <f t="shared" si="30"/>
        <v>0.16191304347826088</v>
      </c>
    </row>
    <row r="143" spans="1:20" x14ac:dyDescent="0.15">
      <c r="A143" s="12"/>
      <c r="B143" s="13"/>
      <c r="C143" s="13"/>
      <c r="D143" s="13"/>
      <c r="E143" s="14"/>
      <c r="F143" s="6" t="str">
        <f t="shared" si="23"/>
        <v/>
      </c>
      <c r="G143" s="6" t="str">
        <f t="shared" si="24"/>
        <v/>
      </c>
      <c r="H143" s="6" t="str">
        <f t="shared" si="27"/>
        <v/>
      </c>
      <c r="I143" s="7" t="str">
        <f t="shared" si="25"/>
        <v/>
      </c>
      <c r="J143" s="7" t="str">
        <f t="shared" si="31"/>
        <v/>
      </c>
      <c r="K143" s="7" t="str">
        <f t="shared" si="26"/>
        <v/>
      </c>
      <c r="L143" s="47" t="str">
        <f t="shared" si="28"/>
        <v/>
      </c>
      <c r="S143" s="55">
        <f t="shared" si="29"/>
        <v>8.2142857142857135</v>
      </c>
      <c r="T143" s="39">
        <f t="shared" si="30"/>
        <v>0.16191304347826088</v>
      </c>
    </row>
    <row r="144" spans="1:20" x14ac:dyDescent="0.15">
      <c r="A144" s="12"/>
      <c r="B144" s="13"/>
      <c r="C144" s="13"/>
      <c r="D144" s="13"/>
      <c r="E144" s="14"/>
      <c r="F144" s="6" t="str">
        <f t="shared" si="23"/>
        <v/>
      </c>
      <c r="G144" s="6" t="str">
        <f t="shared" si="24"/>
        <v/>
      </c>
      <c r="H144" s="6" t="str">
        <f t="shared" si="27"/>
        <v/>
      </c>
      <c r="I144" s="7" t="str">
        <f t="shared" si="25"/>
        <v/>
      </c>
      <c r="J144" s="7" t="str">
        <f t="shared" si="31"/>
        <v/>
      </c>
      <c r="K144" s="7" t="str">
        <f t="shared" si="26"/>
        <v/>
      </c>
      <c r="L144" s="47" t="str">
        <f t="shared" si="28"/>
        <v/>
      </c>
      <c r="S144" s="55">
        <f t="shared" si="29"/>
        <v>8.2142857142857135</v>
      </c>
      <c r="T144" s="39">
        <f t="shared" si="30"/>
        <v>0.16191304347826088</v>
      </c>
    </row>
    <row r="145" spans="1:20" x14ac:dyDescent="0.15">
      <c r="A145" s="12"/>
      <c r="B145" s="13"/>
      <c r="C145" s="13"/>
      <c r="D145" s="13"/>
      <c r="E145" s="14"/>
      <c r="F145" s="6" t="str">
        <f t="shared" si="23"/>
        <v/>
      </c>
      <c r="G145" s="6" t="str">
        <f t="shared" si="24"/>
        <v/>
      </c>
      <c r="H145" s="6" t="str">
        <f t="shared" si="27"/>
        <v/>
      </c>
      <c r="I145" s="7" t="str">
        <f t="shared" si="25"/>
        <v/>
      </c>
      <c r="J145" s="7" t="str">
        <f t="shared" si="31"/>
        <v/>
      </c>
      <c r="K145" s="7" t="str">
        <f t="shared" si="26"/>
        <v/>
      </c>
      <c r="L145" s="47" t="str">
        <f t="shared" si="28"/>
        <v/>
      </c>
      <c r="S145" s="55">
        <f t="shared" si="29"/>
        <v>8.2142857142857135</v>
      </c>
      <c r="T145" s="39">
        <f t="shared" si="30"/>
        <v>0.16191304347826088</v>
      </c>
    </row>
    <row r="146" spans="1:20" x14ac:dyDescent="0.15">
      <c r="A146" s="12"/>
      <c r="B146" s="13"/>
      <c r="C146" s="13"/>
      <c r="D146" s="13"/>
      <c r="E146" s="14"/>
      <c r="F146" s="6" t="str">
        <f t="shared" si="23"/>
        <v/>
      </c>
      <c r="G146" s="6" t="str">
        <f t="shared" si="24"/>
        <v/>
      </c>
      <c r="H146" s="6" t="str">
        <f t="shared" si="27"/>
        <v/>
      </c>
      <c r="I146" s="7" t="str">
        <f t="shared" si="25"/>
        <v/>
      </c>
      <c r="J146" s="7" t="str">
        <f t="shared" si="31"/>
        <v/>
      </c>
      <c r="K146" s="7" t="str">
        <f t="shared" si="26"/>
        <v/>
      </c>
      <c r="L146" s="47" t="str">
        <f t="shared" si="28"/>
        <v/>
      </c>
      <c r="S146" s="55">
        <f t="shared" si="29"/>
        <v>8.2142857142857135</v>
      </c>
      <c r="T146" s="39">
        <f t="shared" si="30"/>
        <v>0.16191304347826088</v>
      </c>
    </row>
    <row r="147" spans="1:20" x14ac:dyDescent="0.15">
      <c r="A147" s="12"/>
      <c r="B147" s="13"/>
      <c r="C147" s="13"/>
      <c r="D147" s="13"/>
      <c r="E147" s="14"/>
      <c r="F147" s="6" t="str">
        <f t="shared" si="23"/>
        <v/>
      </c>
      <c r="G147" s="6" t="str">
        <f t="shared" si="24"/>
        <v/>
      </c>
      <c r="H147" s="6" t="str">
        <f t="shared" si="27"/>
        <v/>
      </c>
      <c r="I147" s="7" t="str">
        <f t="shared" si="25"/>
        <v/>
      </c>
      <c r="J147" s="7" t="str">
        <f t="shared" si="31"/>
        <v/>
      </c>
      <c r="K147" s="7" t="str">
        <f t="shared" si="26"/>
        <v/>
      </c>
      <c r="L147" s="47" t="str">
        <f t="shared" si="28"/>
        <v/>
      </c>
      <c r="S147" s="55">
        <f t="shared" si="29"/>
        <v>8.2142857142857135</v>
      </c>
      <c r="T147" s="39">
        <f t="shared" si="30"/>
        <v>0.16191304347826088</v>
      </c>
    </row>
    <row r="148" spans="1:20" x14ac:dyDescent="0.15">
      <c r="A148" s="12"/>
      <c r="B148" s="13"/>
      <c r="C148" s="13"/>
      <c r="D148" s="13"/>
      <c r="E148" s="14"/>
      <c r="F148" s="6" t="str">
        <f t="shared" si="23"/>
        <v/>
      </c>
      <c r="G148" s="6" t="str">
        <f t="shared" si="24"/>
        <v/>
      </c>
      <c r="H148" s="6" t="str">
        <f t="shared" si="27"/>
        <v/>
      </c>
      <c r="I148" s="7" t="str">
        <f t="shared" si="25"/>
        <v/>
      </c>
      <c r="J148" s="7" t="str">
        <f t="shared" si="31"/>
        <v/>
      </c>
      <c r="K148" s="7" t="str">
        <f t="shared" si="26"/>
        <v/>
      </c>
      <c r="L148" s="47" t="str">
        <f t="shared" si="28"/>
        <v/>
      </c>
      <c r="S148" s="55">
        <f t="shared" si="29"/>
        <v>8.2142857142857135</v>
      </c>
      <c r="T148" s="39">
        <f t="shared" si="30"/>
        <v>0.16191304347826088</v>
      </c>
    </row>
    <row r="149" spans="1:20" x14ac:dyDescent="0.15">
      <c r="A149" s="12"/>
      <c r="B149" s="13"/>
      <c r="C149" s="13"/>
      <c r="D149" s="13"/>
      <c r="E149" s="14"/>
      <c r="F149" s="6" t="str">
        <f t="shared" si="23"/>
        <v/>
      </c>
      <c r="G149" s="6" t="str">
        <f t="shared" si="24"/>
        <v/>
      </c>
      <c r="H149" s="6" t="str">
        <f t="shared" si="27"/>
        <v/>
      </c>
      <c r="I149" s="7" t="str">
        <f t="shared" si="25"/>
        <v/>
      </c>
      <c r="J149" s="7" t="str">
        <f t="shared" si="31"/>
        <v/>
      </c>
      <c r="K149" s="7" t="str">
        <f t="shared" si="26"/>
        <v/>
      </c>
      <c r="L149" s="47" t="str">
        <f t="shared" si="28"/>
        <v/>
      </c>
      <c r="S149" s="55">
        <f t="shared" si="29"/>
        <v>8.2142857142857135</v>
      </c>
      <c r="T149" s="39">
        <f t="shared" si="30"/>
        <v>0.16191304347826088</v>
      </c>
    </row>
    <row r="150" spans="1:20" x14ac:dyDescent="0.15">
      <c r="A150" s="12"/>
      <c r="B150" s="13"/>
      <c r="C150" s="13"/>
      <c r="D150" s="13"/>
      <c r="E150" s="14"/>
      <c r="F150" s="6" t="str">
        <f t="shared" si="23"/>
        <v/>
      </c>
      <c r="G150" s="6" t="str">
        <f t="shared" si="24"/>
        <v/>
      </c>
      <c r="H150" s="6" t="str">
        <f t="shared" si="27"/>
        <v/>
      </c>
      <c r="I150" s="7" t="str">
        <f t="shared" si="25"/>
        <v/>
      </c>
      <c r="J150" s="7" t="str">
        <f t="shared" si="31"/>
        <v/>
      </c>
      <c r="K150" s="7" t="str">
        <f t="shared" si="26"/>
        <v/>
      </c>
      <c r="L150" s="47" t="str">
        <f t="shared" si="28"/>
        <v/>
      </c>
      <c r="S150" s="55">
        <f t="shared" si="29"/>
        <v>8.2142857142857135</v>
      </c>
      <c r="T150" s="39">
        <f t="shared" si="30"/>
        <v>0.16191304347826088</v>
      </c>
    </row>
    <row r="151" spans="1:20" x14ac:dyDescent="0.15">
      <c r="A151" s="12"/>
      <c r="B151" s="13"/>
      <c r="C151" s="13"/>
      <c r="D151" s="13"/>
      <c r="E151" s="14"/>
      <c r="F151" s="6" t="str">
        <f t="shared" si="23"/>
        <v/>
      </c>
      <c r="G151" s="6" t="str">
        <f t="shared" si="24"/>
        <v/>
      </c>
      <c r="H151" s="6" t="str">
        <f t="shared" si="27"/>
        <v/>
      </c>
      <c r="I151" s="7" t="str">
        <f t="shared" si="25"/>
        <v/>
      </c>
      <c r="J151" s="7" t="str">
        <f t="shared" si="31"/>
        <v/>
      </c>
      <c r="K151" s="7" t="str">
        <f t="shared" si="26"/>
        <v/>
      </c>
      <c r="L151" s="47" t="str">
        <f t="shared" si="28"/>
        <v/>
      </c>
      <c r="S151" s="55">
        <f t="shared" si="29"/>
        <v>8.2142857142857135</v>
      </c>
      <c r="T151" s="39">
        <f t="shared" si="30"/>
        <v>0.16191304347826088</v>
      </c>
    </row>
    <row r="152" spans="1:20" x14ac:dyDescent="0.15">
      <c r="A152" s="12"/>
      <c r="B152" s="13"/>
      <c r="C152" s="13"/>
      <c r="D152" s="13"/>
      <c r="E152" s="14"/>
      <c r="F152" s="6" t="str">
        <f t="shared" si="23"/>
        <v/>
      </c>
      <c r="G152" s="6" t="str">
        <f t="shared" si="24"/>
        <v/>
      </c>
      <c r="H152" s="6" t="str">
        <f t="shared" si="27"/>
        <v/>
      </c>
      <c r="I152" s="7" t="str">
        <f t="shared" si="25"/>
        <v/>
      </c>
      <c r="J152" s="7" t="str">
        <f t="shared" si="31"/>
        <v/>
      </c>
      <c r="K152" s="7" t="str">
        <f t="shared" si="26"/>
        <v/>
      </c>
      <c r="L152" s="47" t="str">
        <f t="shared" si="28"/>
        <v/>
      </c>
      <c r="S152" s="55">
        <f t="shared" si="29"/>
        <v>8.2142857142857135</v>
      </c>
      <c r="T152" s="39">
        <f t="shared" si="30"/>
        <v>0.16191304347826088</v>
      </c>
    </row>
    <row r="153" spans="1:20" x14ac:dyDescent="0.15">
      <c r="A153" s="12"/>
      <c r="B153" s="13"/>
      <c r="C153" s="13"/>
      <c r="D153" s="13"/>
      <c r="E153" s="14"/>
      <c r="F153" s="6" t="str">
        <f t="shared" si="23"/>
        <v/>
      </c>
      <c r="G153" s="6" t="str">
        <f t="shared" si="24"/>
        <v/>
      </c>
      <c r="H153" s="6" t="str">
        <f t="shared" si="27"/>
        <v/>
      </c>
      <c r="I153" s="7" t="str">
        <f t="shared" si="25"/>
        <v/>
      </c>
      <c r="J153" s="7" t="str">
        <f t="shared" si="31"/>
        <v/>
      </c>
      <c r="K153" s="7" t="str">
        <f t="shared" si="26"/>
        <v/>
      </c>
      <c r="L153" s="47" t="str">
        <f t="shared" si="28"/>
        <v/>
      </c>
      <c r="S153" s="55">
        <f t="shared" si="29"/>
        <v>8.2142857142857135</v>
      </c>
      <c r="T153" s="39">
        <f t="shared" si="30"/>
        <v>0.16191304347826088</v>
      </c>
    </row>
    <row r="154" spans="1:20" x14ac:dyDescent="0.15">
      <c r="A154" s="12"/>
      <c r="B154" s="13"/>
      <c r="C154" s="13"/>
      <c r="D154" s="13"/>
      <c r="E154" s="14"/>
      <c r="F154" s="6" t="str">
        <f t="shared" si="23"/>
        <v/>
      </c>
      <c r="G154" s="6" t="str">
        <f t="shared" si="24"/>
        <v/>
      </c>
      <c r="H154" s="6" t="str">
        <f t="shared" si="27"/>
        <v/>
      </c>
      <c r="I154" s="7" t="str">
        <f t="shared" si="25"/>
        <v/>
      </c>
      <c r="J154" s="7" t="str">
        <f t="shared" si="31"/>
        <v/>
      </c>
      <c r="K154" s="7" t="str">
        <f t="shared" si="26"/>
        <v/>
      </c>
      <c r="L154" s="47" t="str">
        <f t="shared" si="28"/>
        <v/>
      </c>
      <c r="S154" s="55">
        <f t="shared" si="29"/>
        <v>8.2142857142857135</v>
      </c>
      <c r="T154" s="39">
        <f t="shared" si="30"/>
        <v>0.16191304347826088</v>
      </c>
    </row>
    <row r="155" spans="1:20" x14ac:dyDescent="0.15">
      <c r="A155" s="12"/>
      <c r="B155" s="13"/>
      <c r="C155" s="13"/>
      <c r="D155" s="13"/>
      <c r="E155" s="14"/>
      <c r="F155" s="6" t="str">
        <f t="shared" si="23"/>
        <v/>
      </c>
      <c r="G155" s="6" t="str">
        <f t="shared" si="24"/>
        <v/>
      </c>
      <c r="H155" s="6" t="str">
        <f t="shared" si="27"/>
        <v/>
      </c>
      <c r="I155" s="7" t="str">
        <f t="shared" si="25"/>
        <v/>
      </c>
      <c r="J155" s="7" t="str">
        <f t="shared" si="31"/>
        <v/>
      </c>
      <c r="K155" s="7" t="str">
        <f t="shared" si="26"/>
        <v/>
      </c>
      <c r="L155" s="47" t="str">
        <f t="shared" si="28"/>
        <v/>
      </c>
      <c r="S155" s="55">
        <f t="shared" si="29"/>
        <v>8.2142857142857135</v>
      </c>
      <c r="T155" s="39">
        <f t="shared" si="30"/>
        <v>0.16191304347826088</v>
      </c>
    </row>
    <row r="156" spans="1:20" x14ac:dyDescent="0.15">
      <c r="A156" s="12"/>
      <c r="B156" s="13"/>
      <c r="C156" s="13"/>
      <c r="D156" s="13"/>
      <c r="E156" s="14"/>
      <c r="F156" s="6" t="str">
        <f t="shared" si="23"/>
        <v/>
      </c>
      <c r="G156" s="6" t="str">
        <f t="shared" si="24"/>
        <v/>
      </c>
      <c r="H156" s="6" t="str">
        <f t="shared" si="27"/>
        <v/>
      </c>
      <c r="I156" s="7" t="str">
        <f t="shared" si="25"/>
        <v/>
      </c>
      <c r="J156" s="7" t="str">
        <f t="shared" si="31"/>
        <v/>
      </c>
      <c r="K156" s="7" t="str">
        <f t="shared" si="26"/>
        <v/>
      </c>
      <c r="L156" s="47" t="str">
        <f t="shared" si="28"/>
        <v/>
      </c>
      <c r="S156" s="55">
        <f t="shared" si="29"/>
        <v>8.2142857142857135</v>
      </c>
      <c r="T156" s="39">
        <f t="shared" si="30"/>
        <v>0.16191304347826088</v>
      </c>
    </row>
    <row r="157" spans="1:20" x14ac:dyDescent="0.15">
      <c r="A157" s="12"/>
      <c r="B157" s="13"/>
      <c r="C157" s="13"/>
      <c r="D157" s="13"/>
      <c r="E157" s="14"/>
      <c r="F157" s="6" t="str">
        <f t="shared" si="23"/>
        <v/>
      </c>
      <c r="G157" s="6" t="str">
        <f t="shared" si="24"/>
        <v/>
      </c>
      <c r="H157" s="6" t="str">
        <f t="shared" si="27"/>
        <v/>
      </c>
      <c r="I157" s="7" t="str">
        <f t="shared" si="25"/>
        <v/>
      </c>
      <c r="J157" s="7" t="str">
        <f t="shared" si="31"/>
        <v/>
      </c>
      <c r="K157" s="7" t="str">
        <f t="shared" si="26"/>
        <v/>
      </c>
      <c r="L157" s="47" t="str">
        <f t="shared" si="28"/>
        <v/>
      </c>
      <c r="S157" s="55">
        <f t="shared" si="29"/>
        <v>8.2142857142857135</v>
      </c>
      <c r="T157" s="39">
        <f t="shared" si="30"/>
        <v>0.16191304347826088</v>
      </c>
    </row>
    <row r="158" spans="1:20" x14ac:dyDescent="0.15">
      <c r="A158" s="12"/>
      <c r="B158" s="13"/>
      <c r="C158" s="13"/>
      <c r="D158" s="13"/>
      <c r="E158" s="14"/>
      <c r="F158" s="6" t="str">
        <f t="shared" si="23"/>
        <v/>
      </c>
      <c r="G158" s="6" t="str">
        <f t="shared" si="24"/>
        <v/>
      </c>
      <c r="H158" s="6" t="str">
        <f t="shared" si="27"/>
        <v/>
      </c>
      <c r="I158" s="7" t="str">
        <f t="shared" si="25"/>
        <v/>
      </c>
      <c r="J158" s="7" t="str">
        <f t="shared" si="31"/>
        <v/>
      </c>
      <c r="K158" s="7" t="str">
        <f t="shared" si="26"/>
        <v/>
      </c>
      <c r="L158" s="47" t="str">
        <f t="shared" si="28"/>
        <v/>
      </c>
      <c r="S158" s="55">
        <f t="shared" si="29"/>
        <v>8.2142857142857135</v>
      </c>
      <c r="T158" s="39">
        <f t="shared" si="30"/>
        <v>0.16191304347826088</v>
      </c>
    </row>
    <row r="159" spans="1:20" x14ac:dyDescent="0.15">
      <c r="A159" s="12"/>
      <c r="B159" s="13"/>
      <c r="C159" s="13"/>
      <c r="D159" s="13"/>
      <c r="E159" s="14"/>
      <c r="F159" s="6" t="str">
        <f t="shared" si="23"/>
        <v/>
      </c>
      <c r="G159" s="6" t="str">
        <f t="shared" si="24"/>
        <v/>
      </c>
      <c r="H159" s="6" t="str">
        <f t="shared" si="27"/>
        <v/>
      </c>
      <c r="I159" s="7" t="str">
        <f t="shared" si="25"/>
        <v/>
      </c>
      <c r="J159" s="7" t="str">
        <f t="shared" si="31"/>
        <v/>
      </c>
      <c r="K159" s="7" t="str">
        <f t="shared" si="26"/>
        <v/>
      </c>
      <c r="L159" s="47" t="str">
        <f t="shared" si="28"/>
        <v/>
      </c>
      <c r="S159" s="55">
        <f t="shared" si="29"/>
        <v>8.2142857142857135</v>
      </c>
      <c r="T159" s="39">
        <f t="shared" si="30"/>
        <v>0.16191304347826088</v>
      </c>
    </row>
    <row r="160" spans="1:20" x14ac:dyDescent="0.15">
      <c r="A160" s="12"/>
      <c r="B160" s="13"/>
      <c r="C160" s="13"/>
      <c r="D160" s="13"/>
      <c r="E160" s="14"/>
      <c r="F160" s="6" t="str">
        <f t="shared" si="23"/>
        <v/>
      </c>
      <c r="G160" s="6" t="str">
        <f t="shared" si="24"/>
        <v/>
      </c>
      <c r="H160" s="6" t="str">
        <f t="shared" si="27"/>
        <v/>
      </c>
      <c r="I160" s="7" t="str">
        <f t="shared" si="25"/>
        <v/>
      </c>
      <c r="J160" s="7" t="str">
        <f t="shared" si="31"/>
        <v/>
      </c>
      <c r="K160" s="7" t="str">
        <f t="shared" si="26"/>
        <v/>
      </c>
      <c r="L160" s="47" t="str">
        <f t="shared" si="28"/>
        <v/>
      </c>
      <c r="S160" s="55">
        <f t="shared" si="29"/>
        <v>8.2142857142857135</v>
      </c>
      <c r="T160" s="39">
        <f t="shared" si="30"/>
        <v>0.16191304347826088</v>
      </c>
    </row>
    <row r="161" spans="1:20" x14ac:dyDescent="0.15">
      <c r="A161" s="12"/>
      <c r="B161" s="13"/>
      <c r="C161" s="13"/>
      <c r="D161" s="13"/>
      <c r="E161" s="14"/>
      <c r="F161" s="6" t="str">
        <f t="shared" si="23"/>
        <v/>
      </c>
      <c r="G161" s="6" t="str">
        <f t="shared" si="24"/>
        <v/>
      </c>
      <c r="H161" s="6" t="str">
        <f t="shared" si="27"/>
        <v/>
      </c>
      <c r="I161" s="7" t="str">
        <f t="shared" si="25"/>
        <v/>
      </c>
      <c r="J161" s="7" t="str">
        <f t="shared" si="31"/>
        <v/>
      </c>
      <c r="K161" s="7" t="str">
        <f t="shared" si="26"/>
        <v/>
      </c>
      <c r="L161" s="47" t="str">
        <f t="shared" si="28"/>
        <v/>
      </c>
      <c r="S161" s="55">
        <f t="shared" si="29"/>
        <v>8.2142857142857135</v>
      </c>
      <c r="T161" s="39">
        <f t="shared" si="30"/>
        <v>0.16191304347826088</v>
      </c>
    </row>
    <row r="162" spans="1:20" x14ac:dyDescent="0.15">
      <c r="A162" s="12"/>
      <c r="B162" s="13"/>
      <c r="C162" s="13"/>
      <c r="D162" s="13"/>
      <c r="E162" s="14"/>
      <c r="F162" s="6" t="str">
        <f t="shared" si="23"/>
        <v/>
      </c>
      <c r="G162" s="6" t="str">
        <f t="shared" si="24"/>
        <v/>
      </c>
      <c r="H162" s="6" t="str">
        <f t="shared" si="27"/>
        <v/>
      </c>
      <c r="I162" s="7" t="str">
        <f t="shared" si="25"/>
        <v/>
      </c>
      <c r="J162" s="7" t="str">
        <f t="shared" si="31"/>
        <v/>
      </c>
      <c r="K162" s="7" t="str">
        <f t="shared" si="26"/>
        <v/>
      </c>
      <c r="L162" s="47" t="str">
        <f t="shared" si="28"/>
        <v/>
      </c>
      <c r="S162" s="55">
        <f t="shared" si="29"/>
        <v>8.2142857142857135</v>
      </c>
      <c r="T162" s="39">
        <f t="shared" si="30"/>
        <v>0.16191304347826088</v>
      </c>
    </row>
    <row r="163" spans="1:20" x14ac:dyDescent="0.15">
      <c r="A163" s="12"/>
      <c r="B163" s="13"/>
      <c r="C163" s="13"/>
      <c r="D163" s="13"/>
      <c r="E163" s="14"/>
      <c r="F163" s="6" t="str">
        <f t="shared" si="23"/>
        <v/>
      </c>
      <c r="G163" s="6" t="str">
        <f t="shared" si="24"/>
        <v/>
      </c>
      <c r="H163" s="6" t="str">
        <f t="shared" si="27"/>
        <v/>
      </c>
      <c r="I163" s="7" t="str">
        <f t="shared" si="25"/>
        <v/>
      </c>
      <c r="J163" s="7" t="str">
        <f t="shared" si="31"/>
        <v/>
      </c>
      <c r="K163" s="7" t="str">
        <f t="shared" si="26"/>
        <v/>
      </c>
      <c r="L163" s="47" t="str">
        <f t="shared" si="28"/>
        <v/>
      </c>
      <c r="S163" s="55">
        <f t="shared" si="29"/>
        <v>8.2142857142857135</v>
      </c>
      <c r="T163" s="39">
        <f t="shared" si="30"/>
        <v>0.16191304347826088</v>
      </c>
    </row>
    <row r="164" spans="1:20" x14ac:dyDescent="0.15">
      <c r="A164" s="12"/>
      <c r="B164" s="13"/>
      <c r="C164" s="13"/>
      <c r="D164" s="13"/>
      <c r="E164" s="14"/>
      <c r="F164" s="6" t="str">
        <f t="shared" si="23"/>
        <v/>
      </c>
      <c r="G164" s="6" t="str">
        <f t="shared" si="24"/>
        <v/>
      </c>
      <c r="H164" s="6" t="str">
        <f t="shared" si="27"/>
        <v/>
      </c>
      <c r="I164" s="7" t="str">
        <f t="shared" si="25"/>
        <v/>
      </c>
      <c r="J164" s="7" t="str">
        <f t="shared" si="31"/>
        <v/>
      </c>
      <c r="K164" s="7" t="str">
        <f t="shared" si="26"/>
        <v/>
      </c>
      <c r="L164" s="47" t="str">
        <f t="shared" si="28"/>
        <v/>
      </c>
      <c r="S164" s="55">
        <f t="shared" si="29"/>
        <v>8.2142857142857135</v>
      </c>
      <c r="T164" s="39">
        <f t="shared" si="30"/>
        <v>0.16191304347826088</v>
      </c>
    </row>
    <row r="165" spans="1:20" x14ac:dyDescent="0.15">
      <c r="A165" s="12"/>
      <c r="B165" s="13"/>
      <c r="C165" s="13"/>
      <c r="D165" s="13"/>
      <c r="E165" s="14"/>
      <c r="F165" s="6" t="str">
        <f t="shared" si="23"/>
        <v/>
      </c>
      <c r="G165" s="6" t="str">
        <f t="shared" si="24"/>
        <v/>
      </c>
      <c r="H165" s="6" t="str">
        <f t="shared" si="27"/>
        <v/>
      </c>
      <c r="I165" s="7" t="str">
        <f t="shared" si="25"/>
        <v/>
      </c>
      <c r="J165" s="7" t="str">
        <f t="shared" si="31"/>
        <v/>
      </c>
      <c r="K165" s="7" t="str">
        <f t="shared" si="26"/>
        <v/>
      </c>
      <c r="L165" s="47" t="str">
        <f t="shared" si="28"/>
        <v/>
      </c>
      <c r="S165" s="55">
        <f t="shared" si="29"/>
        <v>8.2142857142857135</v>
      </c>
      <c r="T165" s="39">
        <f t="shared" si="30"/>
        <v>0.16191304347826088</v>
      </c>
    </row>
    <row r="166" spans="1:20" x14ac:dyDescent="0.15">
      <c r="A166" s="12"/>
      <c r="B166" s="13"/>
      <c r="C166" s="13"/>
      <c r="D166" s="13"/>
      <c r="E166" s="14"/>
      <c r="F166" s="6" t="str">
        <f t="shared" si="23"/>
        <v/>
      </c>
      <c r="G166" s="6" t="str">
        <f t="shared" si="24"/>
        <v/>
      </c>
      <c r="H166" s="6" t="str">
        <f t="shared" si="27"/>
        <v/>
      </c>
      <c r="I166" s="7" t="str">
        <f t="shared" si="25"/>
        <v/>
      </c>
      <c r="J166" s="7" t="str">
        <f t="shared" si="31"/>
        <v/>
      </c>
      <c r="K166" s="7" t="str">
        <f t="shared" si="26"/>
        <v/>
      </c>
      <c r="L166" s="47" t="str">
        <f t="shared" si="28"/>
        <v/>
      </c>
      <c r="S166" s="55">
        <f t="shared" si="29"/>
        <v>8.2142857142857135</v>
      </c>
      <c r="T166" s="39">
        <f t="shared" si="30"/>
        <v>0.16191304347826088</v>
      </c>
    </row>
    <row r="167" spans="1:20" x14ac:dyDescent="0.15">
      <c r="A167" s="12"/>
      <c r="B167" s="13"/>
      <c r="C167" s="13"/>
      <c r="D167" s="13"/>
      <c r="E167" s="14"/>
      <c r="F167" s="6" t="str">
        <f t="shared" si="23"/>
        <v/>
      </c>
      <c r="G167" s="6" t="str">
        <f t="shared" si="24"/>
        <v/>
      </c>
      <c r="H167" s="6" t="str">
        <f t="shared" si="27"/>
        <v/>
      </c>
      <c r="I167" s="7" t="str">
        <f t="shared" si="25"/>
        <v/>
      </c>
      <c r="J167" s="7" t="str">
        <f t="shared" si="31"/>
        <v/>
      </c>
      <c r="K167" s="7" t="str">
        <f t="shared" si="26"/>
        <v/>
      </c>
      <c r="L167" s="47" t="str">
        <f t="shared" si="28"/>
        <v/>
      </c>
      <c r="S167" s="55">
        <f t="shared" si="29"/>
        <v>8.2142857142857135</v>
      </c>
      <c r="T167" s="39">
        <f t="shared" si="30"/>
        <v>0.16191304347826088</v>
      </c>
    </row>
    <row r="168" spans="1:20" x14ac:dyDescent="0.15">
      <c r="A168" s="12"/>
      <c r="B168" s="13"/>
      <c r="C168" s="13"/>
      <c r="D168" s="13"/>
      <c r="E168" s="14"/>
      <c r="F168" s="6" t="str">
        <f t="shared" si="23"/>
        <v/>
      </c>
      <c r="G168" s="6" t="str">
        <f t="shared" si="24"/>
        <v/>
      </c>
      <c r="H168" s="6" t="str">
        <f t="shared" si="27"/>
        <v/>
      </c>
      <c r="I168" s="7" t="str">
        <f t="shared" si="25"/>
        <v/>
      </c>
      <c r="J168" s="7" t="str">
        <f t="shared" si="31"/>
        <v/>
      </c>
      <c r="K168" s="7" t="str">
        <f t="shared" si="26"/>
        <v/>
      </c>
      <c r="L168" s="47" t="str">
        <f t="shared" si="28"/>
        <v/>
      </c>
      <c r="S168" s="55">
        <f t="shared" si="29"/>
        <v>8.2142857142857135</v>
      </c>
      <c r="T168" s="39">
        <f t="shared" si="30"/>
        <v>0.16191304347826088</v>
      </c>
    </row>
    <row r="169" spans="1:20" x14ac:dyDescent="0.15">
      <c r="A169" s="12"/>
      <c r="B169" s="13"/>
      <c r="C169" s="13"/>
      <c r="D169" s="13"/>
      <c r="E169" s="14"/>
      <c r="F169" s="6" t="str">
        <f t="shared" si="23"/>
        <v/>
      </c>
      <c r="G169" s="6" t="str">
        <f t="shared" si="24"/>
        <v/>
      </c>
      <c r="H169" s="6" t="str">
        <f t="shared" si="27"/>
        <v/>
      </c>
      <c r="I169" s="7" t="str">
        <f t="shared" si="25"/>
        <v/>
      </c>
      <c r="J169" s="7" t="str">
        <f t="shared" si="31"/>
        <v/>
      </c>
      <c r="K169" s="7" t="str">
        <f t="shared" si="26"/>
        <v/>
      </c>
      <c r="L169" s="47" t="str">
        <f t="shared" si="28"/>
        <v/>
      </c>
      <c r="S169" s="55">
        <f t="shared" si="29"/>
        <v>8.2142857142857135</v>
      </c>
      <c r="T169" s="39">
        <f t="shared" si="30"/>
        <v>0.16191304347826088</v>
      </c>
    </row>
    <row r="170" spans="1:20" x14ac:dyDescent="0.15">
      <c r="A170" s="12"/>
      <c r="B170" s="13"/>
      <c r="C170" s="13"/>
      <c r="D170" s="13"/>
      <c r="E170" s="14"/>
      <c r="F170" s="6" t="str">
        <f t="shared" si="23"/>
        <v/>
      </c>
      <c r="G170" s="6" t="str">
        <f t="shared" si="24"/>
        <v/>
      </c>
      <c r="H170" s="6" t="str">
        <f t="shared" si="27"/>
        <v/>
      </c>
      <c r="I170" s="7" t="str">
        <f t="shared" si="25"/>
        <v/>
      </c>
      <c r="J170" s="7" t="str">
        <f t="shared" si="31"/>
        <v/>
      </c>
      <c r="K170" s="7" t="str">
        <f t="shared" si="26"/>
        <v/>
      </c>
      <c r="L170" s="47" t="str">
        <f t="shared" si="28"/>
        <v/>
      </c>
      <c r="S170" s="55">
        <f t="shared" si="29"/>
        <v>8.2142857142857135</v>
      </c>
      <c r="T170" s="39">
        <f t="shared" si="30"/>
        <v>0.16191304347826088</v>
      </c>
    </row>
    <row r="171" spans="1:20" x14ac:dyDescent="0.15">
      <c r="A171" s="12"/>
      <c r="B171" s="13"/>
      <c r="C171" s="13"/>
      <c r="D171" s="13"/>
      <c r="E171" s="14"/>
      <c r="F171" s="6" t="str">
        <f t="shared" ref="F171:F206" si="32">IF(B171&gt;0,IF(E170="Sim",B171-B170,F170+B171-B170),"")</f>
        <v/>
      </c>
      <c r="G171" s="6" t="str">
        <f t="shared" ref="G171:G206" si="33">IF(B171&gt;0,IF(E170="Sim",C171,G170+C171),"")</f>
        <v/>
      </c>
      <c r="H171" s="6" t="str">
        <f t="shared" si="27"/>
        <v/>
      </c>
      <c r="I171" s="7" t="str">
        <f t="shared" ref="I171:I206" si="34">IF(E171="Sim",F171/G171,"")</f>
        <v/>
      </c>
      <c r="J171" s="7" t="str">
        <f t="shared" si="31"/>
        <v/>
      </c>
      <c r="K171" s="7" t="str">
        <f t="shared" ref="K171:K206" si="35">IF(I171&lt;&gt;"",I171*0.62137/0.2641,"")</f>
        <v/>
      </c>
      <c r="L171" s="47" t="str">
        <f t="shared" si="28"/>
        <v/>
      </c>
      <c r="S171" s="55">
        <f t="shared" si="29"/>
        <v>8.2142857142857135</v>
      </c>
      <c r="T171" s="39">
        <f t="shared" si="30"/>
        <v>0.16191304347826088</v>
      </c>
    </row>
    <row r="172" spans="1:20" x14ac:dyDescent="0.15">
      <c r="A172" s="12"/>
      <c r="B172" s="13"/>
      <c r="C172" s="13"/>
      <c r="D172" s="13"/>
      <c r="E172" s="14"/>
      <c r="F172" s="6" t="str">
        <f t="shared" si="32"/>
        <v/>
      </c>
      <c r="G172" s="6" t="str">
        <f t="shared" si="33"/>
        <v/>
      </c>
      <c r="H172" s="6" t="str">
        <f t="shared" si="27"/>
        <v/>
      </c>
      <c r="I172" s="7" t="str">
        <f t="shared" si="34"/>
        <v/>
      </c>
      <c r="J172" s="7" t="str">
        <f t="shared" si="31"/>
        <v/>
      </c>
      <c r="K172" s="7" t="str">
        <f t="shared" si="35"/>
        <v/>
      </c>
      <c r="L172" s="47" t="str">
        <f t="shared" si="28"/>
        <v/>
      </c>
      <c r="S172" s="55">
        <f t="shared" si="29"/>
        <v>8.2142857142857135</v>
      </c>
      <c r="T172" s="39">
        <f t="shared" si="30"/>
        <v>0.16191304347826088</v>
      </c>
    </row>
    <row r="173" spans="1:20" x14ac:dyDescent="0.15">
      <c r="A173" s="12"/>
      <c r="B173" s="13"/>
      <c r="C173" s="13"/>
      <c r="D173" s="13"/>
      <c r="E173" s="14"/>
      <c r="F173" s="6" t="str">
        <f t="shared" si="32"/>
        <v/>
      </c>
      <c r="G173" s="6" t="str">
        <f t="shared" si="33"/>
        <v/>
      </c>
      <c r="H173" s="6" t="str">
        <f t="shared" si="27"/>
        <v/>
      </c>
      <c r="I173" s="7" t="str">
        <f t="shared" si="34"/>
        <v/>
      </c>
      <c r="J173" s="7" t="str">
        <f t="shared" si="31"/>
        <v/>
      </c>
      <c r="K173" s="7" t="str">
        <f t="shared" si="35"/>
        <v/>
      </c>
      <c r="L173" s="47" t="str">
        <f t="shared" si="28"/>
        <v/>
      </c>
      <c r="S173" s="55">
        <f t="shared" si="29"/>
        <v>8.2142857142857135</v>
      </c>
      <c r="T173" s="39">
        <f t="shared" si="30"/>
        <v>0.16191304347826088</v>
      </c>
    </row>
    <row r="174" spans="1:20" x14ac:dyDescent="0.15">
      <c r="A174" s="12"/>
      <c r="B174" s="13"/>
      <c r="C174" s="13"/>
      <c r="D174" s="13"/>
      <c r="E174" s="14"/>
      <c r="F174" s="6" t="str">
        <f t="shared" si="32"/>
        <v/>
      </c>
      <c r="G174" s="6" t="str">
        <f t="shared" si="33"/>
        <v/>
      </c>
      <c r="H174" s="6" t="str">
        <f t="shared" si="27"/>
        <v/>
      </c>
      <c r="I174" s="7" t="str">
        <f t="shared" si="34"/>
        <v/>
      </c>
      <c r="J174" s="7" t="str">
        <f t="shared" si="31"/>
        <v/>
      </c>
      <c r="K174" s="7" t="str">
        <f t="shared" si="35"/>
        <v/>
      </c>
      <c r="L174" s="47" t="str">
        <f t="shared" si="28"/>
        <v/>
      </c>
      <c r="S174" s="55">
        <f t="shared" si="29"/>
        <v>8.2142857142857135</v>
      </c>
      <c r="T174" s="39">
        <f t="shared" si="30"/>
        <v>0.16191304347826088</v>
      </c>
    </row>
    <row r="175" spans="1:20" x14ac:dyDescent="0.15">
      <c r="A175" s="12"/>
      <c r="B175" s="13"/>
      <c r="C175" s="13"/>
      <c r="D175" s="13"/>
      <c r="E175" s="14"/>
      <c r="F175" s="6" t="str">
        <f t="shared" si="32"/>
        <v/>
      </c>
      <c r="G175" s="6" t="str">
        <f t="shared" si="33"/>
        <v/>
      </c>
      <c r="H175" s="6" t="str">
        <f t="shared" si="27"/>
        <v/>
      </c>
      <c r="I175" s="7" t="str">
        <f t="shared" si="34"/>
        <v/>
      </c>
      <c r="J175" s="7" t="str">
        <f t="shared" si="31"/>
        <v/>
      </c>
      <c r="K175" s="7" t="str">
        <f t="shared" si="35"/>
        <v/>
      </c>
      <c r="L175" s="47" t="str">
        <f t="shared" si="28"/>
        <v/>
      </c>
      <c r="S175" s="55">
        <f t="shared" si="29"/>
        <v>8.2142857142857135</v>
      </c>
      <c r="T175" s="39">
        <f t="shared" si="30"/>
        <v>0.16191304347826088</v>
      </c>
    </row>
    <row r="176" spans="1:20" x14ac:dyDescent="0.15">
      <c r="A176" s="12"/>
      <c r="B176" s="13"/>
      <c r="C176" s="13"/>
      <c r="D176" s="13"/>
      <c r="E176" s="14"/>
      <c r="F176" s="6" t="str">
        <f t="shared" si="32"/>
        <v/>
      </c>
      <c r="G176" s="6" t="str">
        <f t="shared" si="33"/>
        <v/>
      </c>
      <c r="H176" s="6" t="str">
        <f t="shared" si="27"/>
        <v/>
      </c>
      <c r="I176" s="7" t="str">
        <f t="shared" si="34"/>
        <v/>
      </c>
      <c r="J176" s="7" t="str">
        <f t="shared" si="31"/>
        <v/>
      </c>
      <c r="K176" s="7" t="str">
        <f t="shared" si="35"/>
        <v/>
      </c>
      <c r="L176" s="47" t="str">
        <f t="shared" si="28"/>
        <v/>
      </c>
      <c r="S176" s="55">
        <f t="shared" si="29"/>
        <v>8.2142857142857135</v>
      </c>
      <c r="T176" s="39">
        <f t="shared" si="30"/>
        <v>0.16191304347826088</v>
      </c>
    </row>
    <row r="177" spans="1:20" x14ac:dyDescent="0.15">
      <c r="A177" s="12"/>
      <c r="B177" s="13"/>
      <c r="C177" s="13"/>
      <c r="D177" s="13"/>
      <c r="E177" s="14"/>
      <c r="F177" s="6" t="str">
        <f t="shared" si="32"/>
        <v/>
      </c>
      <c r="G177" s="6" t="str">
        <f t="shared" si="33"/>
        <v/>
      </c>
      <c r="H177" s="6" t="str">
        <f t="shared" si="27"/>
        <v/>
      </c>
      <c r="I177" s="7" t="str">
        <f t="shared" si="34"/>
        <v/>
      </c>
      <c r="J177" s="7" t="str">
        <f t="shared" si="31"/>
        <v/>
      </c>
      <c r="K177" s="7" t="str">
        <f t="shared" si="35"/>
        <v/>
      </c>
      <c r="L177" s="47" t="str">
        <f t="shared" si="28"/>
        <v/>
      </c>
      <c r="S177" s="55">
        <f t="shared" si="29"/>
        <v>8.2142857142857135</v>
      </c>
      <c r="T177" s="39">
        <f t="shared" si="30"/>
        <v>0.16191304347826088</v>
      </c>
    </row>
    <row r="178" spans="1:20" x14ac:dyDescent="0.15">
      <c r="A178" s="12"/>
      <c r="B178" s="13"/>
      <c r="C178" s="13"/>
      <c r="D178" s="13"/>
      <c r="E178" s="14"/>
      <c r="F178" s="6" t="str">
        <f t="shared" si="32"/>
        <v/>
      </c>
      <c r="G178" s="6" t="str">
        <f t="shared" si="33"/>
        <v/>
      </c>
      <c r="H178" s="6" t="str">
        <f t="shared" si="27"/>
        <v/>
      </c>
      <c r="I178" s="7" t="str">
        <f t="shared" si="34"/>
        <v/>
      </c>
      <c r="J178" s="7" t="str">
        <f t="shared" si="31"/>
        <v/>
      </c>
      <c r="K178" s="7" t="str">
        <f t="shared" si="35"/>
        <v/>
      </c>
      <c r="L178" s="47" t="str">
        <f t="shared" si="28"/>
        <v/>
      </c>
      <c r="S178" s="55">
        <f t="shared" si="29"/>
        <v>8.2142857142857135</v>
      </c>
      <c r="T178" s="39">
        <f t="shared" si="30"/>
        <v>0.16191304347826088</v>
      </c>
    </row>
    <row r="179" spans="1:20" x14ac:dyDescent="0.15">
      <c r="A179" s="12"/>
      <c r="B179" s="13"/>
      <c r="C179" s="13"/>
      <c r="D179" s="13"/>
      <c r="E179" s="14"/>
      <c r="F179" s="6" t="str">
        <f t="shared" si="32"/>
        <v/>
      </c>
      <c r="G179" s="6" t="str">
        <f t="shared" si="33"/>
        <v/>
      </c>
      <c r="H179" s="6" t="str">
        <f t="shared" si="27"/>
        <v/>
      </c>
      <c r="I179" s="7" t="str">
        <f t="shared" si="34"/>
        <v/>
      </c>
      <c r="J179" s="7" t="str">
        <f t="shared" si="31"/>
        <v/>
      </c>
      <c r="K179" s="7" t="str">
        <f t="shared" si="35"/>
        <v/>
      </c>
      <c r="L179" s="47" t="str">
        <f t="shared" si="28"/>
        <v/>
      </c>
      <c r="S179" s="55">
        <f t="shared" si="29"/>
        <v>8.2142857142857135</v>
      </c>
      <c r="T179" s="39">
        <f t="shared" si="30"/>
        <v>0.16191304347826088</v>
      </c>
    </row>
    <row r="180" spans="1:20" x14ac:dyDescent="0.15">
      <c r="A180" s="12"/>
      <c r="B180" s="13"/>
      <c r="C180" s="13"/>
      <c r="D180" s="13"/>
      <c r="E180" s="14"/>
      <c r="F180" s="6" t="str">
        <f t="shared" si="32"/>
        <v/>
      </c>
      <c r="G180" s="6" t="str">
        <f t="shared" si="33"/>
        <v/>
      </c>
      <c r="H180" s="6" t="str">
        <f t="shared" si="27"/>
        <v/>
      </c>
      <c r="I180" s="7" t="str">
        <f t="shared" si="34"/>
        <v/>
      </c>
      <c r="J180" s="7" t="str">
        <f t="shared" si="31"/>
        <v/>
      </c>
      <c r="K180" s="7" t="str">
        <f t="shared" si="35"/>
        <v/>
      </c>
      <c r="L180" s="47" t="str">
        <f t="shared" si="28"/>
        <v/>
      </c>
      <c r="S180" s="55">
        <f t="shared" si="29"/>
        <v>8.2142857142857135</v>
      </c>
      <c r="T180" s="39">
        <f t="shared" si="30"/>
        <v>0.16191304347826088</v>
      </c>
    </row>
    <row r="181" spans="1:20" x14ac:dyDescent="0.15">
      <c r="A181" s="12"/>
      <c r="B181" s="13"/>
      <c r="C181" s="13"/>
      <c r="D181" s="13"/>
      <c r="E181" s="14"/>
      <c r="F181" s="6" t="str">
        <f t="shared" si="32"/>
        <v/>
      </c>
      <c r="G181" s="6" t="str">
        <f t="shared" si="33"/>
        <v/>
      </c>
      <c r="H181" s="6" t="str">
        <f t="shared" si="27"/>
        <v/>
      </c>
      <c r="I181" s="7" t="str">
        <f t="shared" si="34"/>
        <v/>
      </c>
      <c r="J181" s="7" t="str">
        <f t="shared" si="31"/>
        <v/>
      </c>
      <c r="K181" s="7" t="str">
        <f t="shared" si="35"/>
        <v/>
      </c>
      <c r="L181" s="47" t="str">
        <f t="shared" si="28"/>
        <v/>
      </c>
      <c r="S181" s="55">
        <f t="shared" si="29"/>
        <v>8.2142857142857135</v>
      </c>
      <c r="T181" s="39">
        <f t="shared" si="30"/>
        <v>0.16191304347826088</v>
      </c>
    </row>
    <row r="182" spans="1:20" x14ac:dyDescent="0.15">
      <c r="A182" s="12"/>
      <c r="B182" s="13"/>
      <c r="C182" s="13"/>
      <c r="D182" s="13"/>
      <c r="E182" s="14"/>
      <c r="F182" s="6" t="str">
        <f t="shared" si="32"/>
        <v/>
      </c>
      <c r="G182" s="6" t="str">
        <f t="shared" si="33"/>
        <v/>
      </c>
      <c r="H182" s="6" t="str">
        <f t="shared" si="27"/>
        <v/>
      </c>
      <c r="I182" s="7" t="str">
        <f t="shared" si="34"/>
        <v/>
      </c>
      <c r="J182" s="7" t="str">
        <f t="shared" si="31"/>
        <v/>
      </c>
      <c r="K182" s="7" t="str">
        <f t="shared" si="35"/>
        <v/>
      </c>
      <c r="L182" s="47" t="str">
        <f t="shared" si="28"/>
        <v/>
      </c>
      <c r="S182" s="55">
        <f t="shared" si="29"/>
        <v>8.2142857142857135</v>
      </c>
      <c r="T182" s="39">
        <f t="shared" si="30"/>
        <v>0.16191304347826088</v>
      </c>
    </row>
    <row r="183" spans="1:20" x14ac:dyDescent="0.15">
      <c r="A183" s="12"/>
      <c r="B183" s="13"/>
      <c r="C183" s="13"/>
      <c r="D183" s="13"/>
      <c r="E183" s="14"/>
      <c r="F183" s="6" t="str">
        <f t="shared" si="32"/>
        <v/>
      </c>
      <c r="G183" s="6" t="str">
        <f t="shared" si="33"/>
        <v/>
      </c>
      <c r="H183" s="6" t="str">
        <f t="shared" si="27"/>
        <v/>
      </c>
      <c r="I183" s="7" t="str">
        <f t="shared" si="34"/>
        <v/>
      </c>
      <c r="J183" s="7" t="str">
        <f t="shared" si="31"/>
        <v/>
      </c>
      <c r="K183" s="7" t="str">
        <f t="shared" si="35"/>
        <v/>
      </c>
      <c r="L183" s="47" t="str">
        <f t="shared" si="28"/>
        <v/>
      </c>
      <c r="S183" s="55">
        <f t="shared" si="29"/>
        <v>8.2142857142857135</v>
      </c>
      <c r="T183" s="39">
        <f t="shared" si="30"/>
        <v>0.16191304347826088</v>
      </c>
    </row>
    <row r="184" spans="1:20" x14ac:dyDescent="0.15">
      <c r="A184" s="12"/>
      <c r="B184" s="13"/>
      <c r="C184" s="13"/>
      <c r="D184" s="13"/>
      <c r="E184" s="14"/>
      <c r="F184" s="6" t="str">
        <f t="shared" si="32"/>
        <v/>
      </c>
      <c r="G184" s="6" t="str">
        <f t="shared" si="33"/>
        <v/>
      </c>
      <c r="H184" s="6" t="str">
        <f t="shared" si="27"/>
        <v/>
      </c>
      <c r="I184" s="7" t="str">
        <f t="shared" si="34"/>
        <v/>
      </c>
      <c r="J184" s="7" t="str">
        <f t="shared" si="31"/>
        <v/>
      </c>
      <c r="K184" s="7" t="str">
        <f t="shared" si="35"/>
        <v/>
      </c>
      <c r="L184" s="47" t="str">
        <f t="shared" si="28"/>
        <v/>
      </c>
      <c r="S184" s="55">
        <f t="shared" si="29"/>
        <v>8.2142857142857135</v>
      </c>
      <c r="T184" s="39">
        <f t="shared" si="30"/>
        <v>0.16191304347826088</v>
      </c>
    </row>
    <row r="185" spans="1:20" x14ac:dyDescent="0.15">
      <c r="A185" s="12"/>
      <c r="B185" s="13"/>
      <c r="C185" s="13"/>
      <c r="D185" s="13"/>
      <c r="E185" s="14"/>
      <c r="F185" s="6" t="str">
        <f t="shared" si="32"/>
        <v/>
      </c>
      <c r="G185" s="6" t="str">
        <f t="shared" si="33"/>
        <v/>
      </c>
      <c r="H185" s="6" t="str">
        <f t="shared" si="27"/>
        <v/>
      </c>
      <c r="I185" s="7" t="str">
        <f t="shared" si="34"/>
        <v/>
      </c>
      <c r="J185" s="7" t="str">
        <f t="shared" si="31"/>
        <v/>
      </c>
      <c r="K185" s="7" t="str">
        <f t="shared" si="35"/>
        <v/>
      </c>
      <c r="L185" s="47" t="str">
        <f t="shared" si="28"/>
        <v/>
      </c>
      <c r="S185" s="55">
        <f t="shared" si="29"/>
        <v>8.2142857142857135</v>
      </c>
      <c r="T185" s="39">
        <f t="shared" si="30"/>
        <v>0.16191304347826088</v>
      </c>
    </row>
    <row r="186" spans="1:20" x14ac:dyDescent="0.15">
      <c r="A186" s="12"/>
      <c r="B186" s="13"/>
      <c r="C186" s="13"/>
      <c r="D186" s="13"/>
      <c r="E186" s="14"/>
      <c r="F186" s="6" t="str">
        <f t="shared" si="32"/>
        <v/>
      </c>
      <c r="G186" s="6" t="str">
        <f t="shared" si="33"/>
        <v/>
      </c>
      <c r="H186" s="6" t="str">
        <f t="shared" si="27"/>
        <v/>
      </c>
      <c r="I186" s="7" t="str">
        <f t="shared" si="34"/>
        <v/>
      </c>
      <c r="J186" s="7" t="str">
        <f t="shared" si="31"/>
        <v/>
      </c>
      <c r="K186" s="7" t="str">
        <f t="shared" si="35"/>
        <v/>
      </c>
      <c r="L186" s="47" t="str">
        <f t="shared" si="28"/>
        <v/>
      </c>
      <c r="S186" s="55">
        <f t="shared" si="29"/>
        <v>8.2142857142857135</v>
      </c>
      <c r="T186" s="39">
        <f t="shared" si="30"/>
        <v>0.16191304347826088</v>
      </c>
    </row>
    <row r="187" spans="1:20" x14ac:dyDescent="0.15">
      <c r="A187" s="12"/>
      <c r="B187" s="13"/>
      <c r="C187" s="13"/>
      <c r="D187" s="13"/>
      <c r="E187" s="14"/>
      <c r="F187" s="6" t="str">
        <f t="shared" si="32"/>
        <v/>
      </c>
      <c r="G187" s="6" t="str">
        <f t="shared" si="33"/>
        <v/>
      </c>
      <c r="H187" s="6" t="str">
        <f t="shared" si="27"/>
        <v/>
      </c>
      <c r="I187" s="7" t="str">
        <f t="shared" si="34"/>
        <v/>
      </c>
      <c r="J187" s="7" t="str">
        <f t="shared" si="31"/>
        <v/>
      </c>
      <c r="K187" s="7" t="str">
        <f t="shared" si="35"/>
        <v/>
      </c>
      <c r="L187" s="47" t="str">
        <f t="shared" si="28"/>
        <v/>
      </c>
      <c r="S187" s="55">
        <f t="shared" si="29"/>
        <v>8.2142857142857135</v>
      </c>
      <c r="T187" s="39">
        <f t="shared" si="30"/>
        <v>0.16191304347826088</v>
      </c>
    </row>
    <row r="188" spans="1:20" x14ac:dyDescent="0.15">
      <c r="A188" s="12"/>
      <c r="B188" s="13"/>
      <c r="C188" s="13"/>
      <c r="D188" s="13"/>
      <c r="E188" s="14"/>
      <c r="F188" s="6" t="str">
        <f t="shared" si="32"/>
        <v/>
      </c>
      <c r="G188" s="6" t="str">
        <f t="shared" si="33"/>
        <v/>
      </c>
      <c r="H188" s="6" t="str">
        <f t="shared" si="27"/>
        <v/>
      </c>
      <c r="I188" s="7" t="str">
        <f t="shared" si="34"/>
        <v/>
      </c>
      <c r="J188" s="7" t="str">
        <f t="shared" si="31"/>
        <v/>
      </c>
      <c r="K188" s="7" t="str">
        <f t="shared" si="35"/>
        <v/>
      </c>
      <c r="L188" s="47" t="str">
        <f t="shared" si="28"/>
        <v/>
      </c>
      <c r="S188" s="55">
        <f t="shared" si="29"/>
        <v>8.2142857142857135</v>
      </c>
      <c r="T188" s="39">
        <f t="shared" si="30"/>
        <v>0.16191304347826088</v>
      </c>
    </row>
    <row r="189" spans="1:20" x14ac:dyDescent="0.15">
      <c r="A189" s="12"/>
      <c r="B189" s="13"/>
      <c r="C189" s="13"/>
      <c r="D189" s="13"/>
      <c r="E189" s="14"/>
      <c r="F189" s="6" t="str">
        <f t="shared" si="32"/>
        <v/>
      </c>
      <c r="G189" s="6" t="str">
        <f t="shared" si="33"/>
        <v/>
      </c>
      <c r="H189" s="6" t="str">
        <f t="shared" si="27"/>
        <v/>
      </c>
      <c r="I189" s="7" t="str">
        <f t="shared" si="34"/>
        <v/>
      </c>
      <c r="J189" s="7" t="str">
        <f t="shared" si="31"/>
        <v/>
      </c>
      <c r="K189" s="7" t="str">
        <f t="shared" si="35"/>
        <v/>
      </c>
      <c r="L189" s="47" t="str">
        <f t="shared" si="28"/>
        <v/>
      </c>
      <c r="S189" s="55">
        <f t="shared" si="29"/>
        <v>8.2142857142857135</v>
      </c>
      <c r="T189" s="39">
        <f t="shared" si="30"/>
        <v>0.16191304347826088</v>
      </c>
    </row>
    <row r="190" spans="1:20" x14ac:dyDescent="0.15">
      <c r="A190" s="12"/>
      <c r="B190" s="13"/>
      <c r="C190" s="13"/>
      <c r="D190" s="13"/>
      <c r="E190" s="14"/>
      <c r="F190" s="6" t="str">
        <f t="shared" si="32"/>
        <v/>
      </c>
      <c r="G190" s="6" t="str">
        <f t="shared" si="33"/>
        <v/>
      </c>
      <c r="H190" s="6" t="str">
        <f t="shared" si="27"/>
        <v/>
      </c>
      <c r="I190" s="7" t="str">
        <f t="shared" si="34"/>
        <v/>
      </c>
      <c r="J190" s="7" t="str">
        <f t="shared" si="31"/>
        <v/>
      </c>
      <c r="K190" s="7" t="str">
        <f t="shared" si="35"/>
        <v/>
      </c>
      <c r="L190" s="47" t="str">
        <f t="shared" si="28"/>
        <v/>
      </c>
      <c r="S190" s="55">
        <f t="shared" si="29"/>
        <v>8.2142857142857135</v>
      </c>
      <c r="T190" s="39">
        <f t="shared" si="30"/>
        <v>0.16191304347826088</v>
      </c>
    </row>
    <row r="191" spans="1:20" x14ac:dyDescent="0.15">
      <c r="A191" s="12"/>
      <c r="B191" s="13"/>
      <c r="C191" s="13"/>
      <c r="D191" s="13"/>
      <c r="E191" s="14"/>
      <c r="F191" s="6" t="str">
        <f t="shared" si="32"/>
        <v/>
      </c>
      <c r="G191" s="6" t="str">
        <f t="shared" si="33"/>
        <v/>
      </c>
      <c r="H191" s="6" t="str">
        <f t="shared" si="27"/>
        <v/>
      </c>
      <c r="I191" s="7" t="str">
        <f t="shared" si="34"/>
        <v/>
      </c>
      <c r="J191" s="7" t="str">
        <f t="shared" si="31"/>
        <v/>
      </c>
      <c r="K191" s="7" t="str">
        <f t="shared" si="35"/>
        <v/>
      </c>
      <c r="L191" s="47" t="str">
        <f t="shared" si="28"/>
        <v/>
      </c>
      <c r="S191" s="55">
        <f t="shared" si="29"/>
        <v>8.2142857142857135</v>
      </c>
      <c r="T191" s="39">
        <f t="shared" si="30"/>
        <v>0.16191304347826088</v>
      </c>
    </row>
    <row r="192" spans="1:20" x14ac:dyDescent="0.15">
      <c r="A192" s="12"/>
      <c r="B192" s="13"/>
      <c r="C192" s="13"/>
      <c r="D192" s="13"/>
      <c r="E192" s="14"/>
      <c r="F192" s="6" t="str">
        <f t="shared" si="32"/>
        <v/>
      </c>
      <c r="G192" s="6" t="str">
        <f t="shared" si="33"/>
        <v/>
      </c>
      <c r="H192" s="6" t="str">
        <f t="shared" si="27"/>
        <v/>
      </c>
      <c r="I192" s="7" t="str">
        <f t="shared" si="34"/>
        <v/>
      </c>
      <c r="J192" s="7" t="str">
        <f t="shared" si="31"/>
        <v/>
      </c>
      <c r="K192" s="7" t="str">
        <f t="shared" si="35"/>
        <v/>
      </c>
      <c r="L192" s="47" t="str">
        <f t="shared" si="28"/>
        <v/>
      </c>
      <c r="S192" s="55">
        <f t="shared" si="29"/>
        <v>8.2142857142857135</v>
      </c>
      <c r="T192" s="39">
        <f t="shared" si="30"/>
        <v>0.16191304347826088</v>
      </c>
    </row>
    <row r="193" spans="1:20" x14ac:dyDescent="0.15">
      <c r="A193" s="12"/>
      <c r="B193" s="13"/>
      <c r="C193" s="13"/>
      <c r="D193" s="13"/>
      <c r="E193" s="14"/>
      <c r="F193" s="6" t="str">
        <f t="shared" si="32"/>
        <v/>
      </c>
      <c r="G193" s="6" t="str">
        <f t="shared" si="33"/>
        <v/>
      </c>
      <c r="H193" s="6" t="str">
        <f t="shared" si="27"/>
        <v/>
      </c>
      <c r="I193" s="7" t="str">
        <f t="shared" si="34"/>
        <v/>
      </c>
      <c r="J193" s="7" t="str">
        <f t="shared" si="31"/>
        <v/>
      </c>
      <c r="K193" s="7" t="str">
        <f t="shared" si="35"/>
        <v/>
      </c>
      <c r="L193" s="47" t="str">
        <f t="shared" si="28"/>
        <v/>
      </c>
      <c r="S193" s="55">
        <f t="shared" si="29"/>
        <v>8.2142857142857135</v>
      </c>
      <c r="T193" s="39">
        <f t="shared" si="30"/>
        <v>0.16191304347826088</v>
      </c>
    </row>
    <row r="194" spans="1:20" x14ac:dyDescent="0.15">
      <c r="A194" s="12"/>
      <c r="B194" s="13"/>
      <c r="C194" s="13"/>
      <c r="D194" s="13"/>
      <c r="E194" s="14"/>
      <c r="F194" s="6" t="str">
        <f t="shared" si="32"/>
        <v/>
      </c>
      <c r="G194" s="6" t="str">
        <f t="shared" si="33"/>
        <v/>
      </c>
      <c r="H194" s="6" t="str">
        <f t="shared" si="27"/>
        <v/>
      </c>
      <c r="I194" s="7" t="str">
        <f t="shared" si="34"/>
        <v/>
      </c>
      <c r="J194" s="7" t="str">
        <f t="shared" si="31"/>
        <v/>
      </c>
      <c r="K194" s="7" t="str">
        <f t="shared" si="35"/>
        <v/>
      </c>
      <c r="L194" s="47" t="str">
        <f t="shared" si="28"/>
        <v/>
      </c>
      <c r="S194" s="55">
        <f t="shared" si="29"/>
        <v>8.2142857142857135</v>
      </c>
      <c r="T194" s="39">
        <f t="shared" si="30"/>
        <v>0.16191304347826088</v>
      </c>
    </row>
    <row r="195" spans="1:20" x14ac:dyDescent="0.15">
      <c r="A195" s="12"/>
      <c r="B195" s="13"/>
      <c r="C195" s="13"/>
      <c r="D195" s="13"/>
      <c r="E195" s="14"/>
      <c r="F195" s="6" t="str">
        <f t="shared" si="32"/>
        <v/>
      </c>
      <c r="G195" s="6" t="str">
        <f t="shared" si="33"/>
        <v/>
      </c>
      <c r="H195" s="6" t="str">
        <f t="shared" si="27"/>
        <v/>
      </c>
      <c r="I195" s="7" t="str">
        <f t="shared" si="34"/>
        <v/>
      </c>
      <c r="J195" s="7" t="str">
        <f t="shared" si="31"/>
        <v/>
      </c>
      <c r="K195" s="7" t="str">
        <f t="shared" si="35"/>
        <v/>
      </c>
      <c r="L195" s="47" t="str">
        <f t="shared" si="28"/>
        <v/>
      </c>
      <c r="S195" s="55">
        <f t="shared" si="29"/>
        <v>8.2142857142857135</v>
      </c>
      <c r="T195" s="39">
        <f t="shared" si="30"/>
        <v>0.16191304347826088</v>
      </c>
    </row>
    <row r="196" spans="1:20" x14ac:dyDescent="0.15">
      <c r="A196" s="12"/>
      <c r="B196" s="13"/>
      <c r="C196" s="13"/>
      <c r="D196" s="13"/>
      <c r="E196" s="14"/>
      <c r="F196" s="6" t="str">
        <f t="shared" si="32"/>
        <v/>
      </c>
      <c r="G196" s="6" t="str">
        <f t="shared" si="33"/>
        <v/>
      </c>
      <c r="H196" s="6" t="str">
        <f t="shared" si="27"/>
        <v/>
      </c>
      <c r="I196" s="7" t="str">
        <f t="shared" si="34"/>
        <v/>
      </c>
      <c r="J196" s="7" t="str">
        <f t="shared" si="31"/>
        <v/>
      </c>
      <c r="K196" s="7" t="str">
        <f t="shared" si="35"/>
        <v/>
      </c>
      <c r="L196" s="47" t="str">
        <f t="shared" si="28"/>
        <v/>
      </c>
      <c r="S196" s="55">
        <f t="shared" si="29"/>
        <v>8.2142857142857135</v>
      </c>
      <c r="T196" s="39">
        <f t="shared" si="30"/>
        <v>0.16191304347826088</v>
      </c>
    </row>
    <row r="197" spans="1:20" x14ac:dyDescent="0.15">
      <c r="A197" s="12"/>
      <c r="B197" s="13"/>
      <c r="C197" s="13"/>
      <c r="D197" s="13"/>
      <c r="E197" s="14"/>
      <c r="F197" s="6" t="str">
        <f t="shared" si="32"/>
        <v/>
      </c>
      <c r="G197" s="6" t="str">
        <f t="shared" si="33"/>
        <v/>
      </c>
      <c r="H197" s="6" t="str">
        <f t="shared" si="27"/>
        <v/>
      </c>
      <c r="I197" s="7" t="str">
        <f t="shared" si="34"/>
        <v/>
      </c>
      <c r="J197" s="7" t="str">
        <f t="shared" si="31"/>
        <v/>
      </c>
      <c r="K197" s="7" t="str">
        <f t="shared" si="35"/>
        <v/>
      </c>
      <c r="L197" s="47" t="str">
        <f t="shared" si="28"/>
        <v/>
      </c>
      <c r="S197" s="55">
        <f t="shared" si="29"/>
        <v>8.2142857142857135</v>
      </c>
      <c r="T197" s="39">
        <f t="shared" si="30"/>
        <v>0.16191304347826088</v>
      </c>
    </row>
    <row r="198" spans="1:20" x14ac:dyDescent="0.15">
      <c r="A198" s="12"/>
      <c r="B198" s="13"/>
      <c r="C198" s="13"/>
      <c r="D198" s="13"/>
      <c r="E198" s="14"/>
      <c r="F198" s="6" t="str">
        <f t="shared" si="32"/>
        <v/>
      </c>
      <c r="G198" s="6" t="str">
        <f t="shared" si="33"/>
        <v/>
      </c>
      <c r="H198" s="6" t="str">
        <f t="shared" si="27"/>
        <v/>
      </c>
      <c r="I198" s="7" t="str">
        <f t="shared" si="34"/>
        <v/>
      </c>
      <c r="J198" s="7" t="str">
        <f t="shared" si="31"/>
        <v/>
      </c>
      <c r="K198" s="7" t="str">
        <f t="shared" si="35"/>
        <v/>
      </c>
      <c r="L198" s="47" t="str">
        <f t="shared" si="28"/>
        <v/>
      </c>
      <c r="S198" s="55">
        <f t="shared" si="29"/>
        <v>8.2142857142857135</v>
      </c>
      <c r="T198" s="39">
        <f t="shared" si="30"/>
        <v>0.16191304347826088</v>
      </c>
    </row>
    <row r="199" spans="1:20" x14ac:dyDescent="0.15">
      <c r="A199" s="12"/>
      <c r="B199" s="13"/>
      <c r="C199" s="13"/>
      <c r="D199" s="13"/>
      <c r="E199" s="14"/>
      <c r="F199" s="6" t="str">
        <f t="shared" si="32"/>
        <v/>
      </c>
      <c r="G199" s="6" t="str">
        <f t="shared" si="33"/>
        <v/>
      </c>
      <c r="H199" s="6" t="str">
        <f t="shared" si="27"/>
        <v/>
      </c>
      <c r="I199" s="7" t="str">
        <f t="shared" si="34"/>
        <v/>
      </c>
      <c r="J199" s="7" t="str">
        <f t="shared" si="31"/>
        <v/>
      </c>
      <c r="K199" s="7" t="str">
        <f t="shared" si="35"/>
        <v/>
      </c>
      <c r="L199" s="47" t="str">
        <f t="shared" si="28"/>
        <v/>
      </c>
      <c r="S199" s="55">
        <f t="shared" si="29"/>
        <v>8.2142857142857135</v>
      </c>
      <c r="T199" s="39">
        <f t="shared" si="30"/>
        <v>0.16191304347826088</v>
      </c>
    </row>
    <row r="200" spans="1:20" x14ac:dyDescent="0.15">
      <c r="A200" s="12"/>
      <c r="B200" s="13"/>
      <c r="C200" s="13"/>
      <c r="D200" s="13"/>
      <c r="E200" s="14"/>
      <c r="F200" s="6" t="str">
        <f t="shared" si="32"/>
        <v/>
      </c>
      <c r="G200" s="6" t="str">
        <f t="shared" si="33"/>
        <v/>
      </c>
      <c r="H200" s="6" t="str">
        <f t="shared" ref="H200:H263" si="36">IF(C200&lt;&gt;"",C200*D200,"")</f>
        <v/>
      </c>
      <c r="I200" s="7" t="str">
        <f t="shared" si="34"/>
        <v/>
      </c>
      <c r="J200" s="7" t="str">
        <f t="shared" si="31"/>
        <v/>
      </c>
      <c r="K200" s="7" t="str">
        <f t="shared" si="35"/>
        <v/>
      </c>
      <c r="L200" s="47" t="str">
        <f t="shared" ref="L200:L263" si="37">IF(I200&lt;&gt;"",1/I200*D199,"")</f>
        <v/>
      </c>
      <c r="S200" s="55">
        <f t="shared" ref="S200:S263" si="38">IF(I200="",S199,I200)</f>
        <v>8.2142857142857135</v>
      </c>
      <c r="T200" s="39">
        <f t="shared" ref="T200:T263" si="39">IF(L200="",T199,L200)</f>
        <v>0.16191304347826088</v>
      </c>
    </row>
    <row r="201" spans="1:20" x14ac:dyDescent="0.15">
      <c r="A201" s="12"/>
      <c r="B201" s="13"/>
      <c r="C201" s="13"/>
      <c r="D201" s="13"/>
      <c r="E201" s="14"/>
      <c r="F201" s="6" t="str">
        <f t="shared" si="32"/>
        <v/>
      </c>
      <c r="G201" s="6" t="str">
        <f t="shared" si="33"/>
        <v/>
      </c>
      <c r="H201" s="6" t="str">
        <f t="shared" si="36"/>
        <v/>
      </c>
      <c r="I201" s="7" t="str">
        <f t="shared" si="34"/>
        <v/>
      </c>
      <c r="J201" s="7" t="str">
        <f t="shared" si="31"/>
        <v/>
      </c>
      <c r="K201" s="7" t="str">
        <f t="shared" si="35"/>
        <v/>
      </c>
      <c r="L201" s="47" t="str">
        <f t="shared" si="37"/>
        <v/>
      </c>
      <c r="S201" s="55">
        <f t="shared" si="38"/>
        <v>8.2142857142857135</v>
      </c>
      <c r="T201" s="39">
        <f t="shared" si="39"/>
        <v>0.16191304347826088</v>
      </c>
    </row>
    <row r="202" spans="1:20" x14ac:dyDescent="0.15">
      <c r="A202" s="12"/>
      <c r="B202" s="13"/>
      <c r="C202" s="13"/>
      <c r="D202" s="13"/>
      <c r="E202" s="14"/>
      <c r="F202" s="6" t="str">
        <f t="shared" si="32"/>
        <v/>
      </c>
      <c r="G202" s="6" t="str">
        <f t="shared" si="33"/>
        <v/>
      </c>
      <c r="H202" s="6" t="str">
        <f t="shared" si="36"/>
        <v/>
      </c>
      <c r="I202" s="7" t="str">
        <f t="shared" si="34"/>
        <v/>
      </c>
      <c r="J202" s="7" t="str">
        <f t="shared" ref="J202:J265" si="40">IF(I202&lt;&gt;"",1/I202*100,"")</f>
        <v/>
      </c>
      <c r="K202" s="7" t="str">
        <f t="shared" si="35"/>
        <v/>
      </c>
      <c r="L202" s="47" t="str">
        <f t="shared" si="37"/>
        <v/>
      </c>
      <c r="S202" s="55">
        <f t="shared" si="38"/>
        <v>8.2142857142857135</v>
      </c>
      <c r="T202" s="39">
        <f t="shared" si="39"/>
        <v>0.16191304347826088</v>
      </c>
    </row>
    <row r="203" spans="1:20" x14ac:dyDescent="0.15">
      <c r="A203" s="12"/>
      <c r="B203" s="13"/>
      <c r="C203" s="13"/>
      <c r="D203" s="13"/>
      <c r="E203" s="14"/>
      <c r="F203" s="6" t="str">
        <f t="shared" si="32"/>
        <v/>
      </c>
      <c r="G203" s="6" t="str">
        <f t="shared" si="33"/>
        <v/>
      </c>
      <c r="H203" s="6" t="str">
        <f t="shared" si="36"/>
        <v/>
      </c>
      <c r="I203" s="7" t="str">
        <f t="shared" si="34"/>
        <v/>
      </c>
      <c r="J203" s="7" t="str">
        <f t="shared" si="40"/>
        <v/>
      </c>
      <c r="K203" s="7" t="str">
        <f t="shared" si="35"/>
        <v/>
      </c>
      <c r="L203" s="47" t="str">
        <f t="shared" si="37"/>
        <v/>
      </c>
      <c r="S203" s="55">
        <f t="shared" si="38"/>
        <v>8.2142857142857135</v>
      </c>
      <c r="T203" s="39">
        <f t="shared" si="39"/>
        <v>0.16191304347826088</v>
      </c>
    </row>
    <row r="204" spans="1:20" x14ac:dyDescent="0.15">
      <c r="A204" s="12"/>
      <c r="B204" s="13"/>
      <c r="C204" s="13"/>
      <c r="D204" s="13"/>
      <c r="E204" s="14"/>
      <c r="F204" s="6" t="str">
        <f t="shared" si="32"/>
        <v/>
      </c>
      <c r="G204" s="6" t="str">
        <f t="shared" si="33"/>
        <v/>
      </c>
      <c r="H204" s="6" t="str">
        <f t="shared" si="36"/>
        <v/>
      </c>
      <c r="I204" s="7" t="str">
        <f t="shared" si="34"/>
        <v/>
      </c>
      <c r="J204" s="7" t="str">
        <f t="shared" si="40"/>
        <v/>
      </c>
      <c r="K204" s="7" t="str">
        <f t="shared" si="35"/>
        <v/>
      </c>
      <c r="L204" s="47" t="str">
        <f t="shared" si="37"/>
        <v/>
      </c>
      <c r="S204" s="55">
        <f t="shared" si="38"/>
        <v>8.2142857142857135</v>
      </c>
      <c r="T204" s="39">
        <f t="shared" si="39"/>
        <v>0.16191304347826088</v>
      </c>
    </row>
    <row r="205" spans="1:20" x14ac:dyDescent="0.15">
      <c r="A205" s="12"/>
      <c r="B205" s="13"/>
      <c r="C205" s="13"/>
      <c r="D205" s="13"/>
      <c r="E205" s="14"/>
      <c r="F205" s="6" t="str">
        <f t="shared" si="32"/>
        <v/>
      </c>
      <c r="G205" s="6" t="str">
        <f t="shared" si="33"/>
        <v/>
      </c>
      <c r="H205" s="6" t="str">
        <f t="shared" si="36"/>
        <v/>
      </c>
      <c r="I205" s="7" t="str">
        <f t="shared" si="34"/>
        <v/>
      </c>
      <c r="J205" s="7" t="str">
        <f t="shared" si="40"/>
        <v/>
      </c>
      <c r="K205" s="7" t="str">
        <f t="shared" si="35"/>
        <v/>
      </c>
      <c r="L205" s="47" t="str">
        <f t="shared" si="37"/>
        <v/>
      </c>
      <c r="S205" s="55">
        <f t="shared" si="38"/>
        <v>8.2142857142857135</v>
      </c>
      <c r="T205" s="39">
        <f t="shared" si="39"/>
        <v>0.16191304347826088</v>
      </c>
    </row>
    <row r="206" spans="1:20" x14ac:dyDescent="0.15">
      <c r="A206" s="12"/>
      <c r="B206" s="13"/>
      <c r="C206" s="13"/>
      <c r="D206" s="13"/>
      <c r="E206" s="14"/>
      <c r="F206" s="6" t="str">
        <f t="shared" si="32"/>
        <v/>
      </c>
      <c r="G206" s="6" t="str">
        <f t="shared" si="33"/>
        <v/>
      </c>
      <c r="H206" s="6" t="str">
        <f t="shared" si="36"/>
        <v/>
      </c>
      <c r="I206" s="7" t="str">
        <f t="shared" si="34"/>
        <v/>
      </c>
      <c r="J206" s="7" t="str">
        <f t="shared" si="40"/>
        <v/>
      </c>
      <c r="K206" s="7" t="str">
        <f t="shared" si="35"/>
        <v/>
      </c>
      <c r="L206" s="47" t="str">
        <f t="shared" si="37"/>
        <v/>
      </c>
      <c r="S206" s="55">
        <f t="shared" si="38"/>
        <v>8.2142857142857135</v>
      </c>
      <c r="T206" s="39">
        <f t="shared" si="39"/>
        <v>0.16191304347826088</v>
      </c>
    </row>
    <row r="207" spans="1:20" x14ac:dyDescent="0.15">
      <c r="A207" s="12"/>
      <c r="B207" s="13"/>
      <c r="C207" s="13"/>
      <c r="D207" s="13"/>
      <c r="E207" s="14"/>
      <c r="F207" s="6" t="str">
        <f t="shared" ref="F207:F270" si="41">IF(B207&gt;0,IF(E206="Sim",B207-B206,F206+B207-B206),"")</f>
        <v/>
      </c>
      <c r="G207" s="6" t="str">
        <f t="shared" ref="G207:G270" si="42">IF(B207&gt;0,IF(E206="Sim",C207,G206+C207),"")</f>
        <v/>
      </c>
      <c r="H207" s="6" t="str">
        <f t="shared" si="36"/>
        <v/>
      </c>
      <c r="I207" s="7" t="str">
        <f t="shared" ref="I207:I270" si="43">IF(E207="Sim",F207/G207,"")</f>
        <v/>
      </c>
      <c r="J207" s="7" t="str">
        <f t="shared" si="40"/>
        <v/>
      </c>
      <c r="K207" s="7" t="str">
        <f t="shared" ref="K207:K270" si="44">IF(I207&lt;&gt;"",I207*0.62137/0.2641,"")</f>
        <v/>
      </c>
      <c r="L207" s="47" t="str">
        <f t="shared" si="37"/>
        <v/>
      </c>
      <c r="S207" s="55">
        <f t="shared" si="38"/>
        <v>8.2142857142857135</v>
      </c>
      <c r="T207" s="39">
        <f t="shared" si="39"/>
        <v>0.16191304347826088</v>
      </c>
    </row>
    <row r="208" spans="1:20" x14ac:dyDescent="0.15">
      <c r="A208" s="12"/>
      <c r="B208" s="13"/>
      <c r="C208" s="13"/>
      <c r="D208" s="13"/>
      <c r="E208" s="14"/>
      <c r="F208" s="6" t="str">
        <f t="shared" si="41"/>
        <v/>
      </c>
      <c r="G208" s="6" t="str">
        <f t="shared" si="42"/>
        <v/>
      </c>
      <c r="H208" s="6" t="str">
        <f t="shared" si="36"/>
        <v/>
      </c>
      <c r="I208" s="7" t="str">
        <f t="shared" si="43"/>
        <v/>
      </c>
      <c r="J208" s="7" t="str">
        <f t="shared" si="40"/>
        <v/>
      </c>
      <c r="K208" s="7" t="str">
        <f t="shared" si="44"/>
        <v/>
      </c>
      <c r="L208" s="47" t="str">
        <f t="shared" si="37"/>
        <v/>
      </c>
      <c r="S208" s="55">
        <f t="shared" si="38"/>
        <v>8.2142857142857135</v>
      </c>
      <c r="T208" s="39">
        <f t="shared" si="39"/>
        <v>0.16191304347826088</v>
      </c>
    </row>
    <row r="209" spans="1:20" x14ac:dyDescent="0.15">
      <c r="A209" s="12"/>
      <c r="B209" s="13"/>
      <c r="C209" s="13"/>
      <c r="D209" s="13"/>
      <c r="E209" s="14"/>
      <c r="F209" s="6" t="str">
        <f t="shared" si="41"/>
        <v/>
      </c>
      <c r="G209" s="6" t="str">
        <f t="shared" si="42"/>
        <v/>
      </c>
      <c r="H209" s="6" t="str">
        <f t="shared" si="36"/>
        <v/>
      </c>
      <c r="I209" s="7" t="str">
        <f t="shared" si="43"/>
        <v/>
      </c>
      <c r="J209" s="7" t="str">
        <f t="shared" si="40"/>
        <v/>
      </c>
      <c r="K209" s="7" t="str">
        <f t="shared" si="44"/>
        <v/>
      </c>
      <c r="L209" s="47" t="str">
        <f t="shared" si="37"/>
        <v/>
      </c>
      <c r="S209" s="55">
        <f t="shared" si="38"/>
        <v>8.2142857142857135</v>
      </c>
      <c r="T209" s="39">
        <f t="shared" si="39"/>
        <v>0.16191304347826088</v>
      </c>
    </row>
    <row r="210" spans="1:20" x14ac:dyDescent="0.15">
      <c r="A210" s="12"/>
      <c r="B210" s="13"/>
      <c r="C210" s="13"/>
      <c r="D210" s="13"/>
      <c r="E210" s="14"/>
      <c r="F210" s="6" t="str">
        <f t="shared" si="41"/>
        <v/>
      </c>
      <c r="G210" s="6" t="str">
        <f t="shared" si="42"/>
        <v/>
      </c>
      <c r="H210" s="6" t="str">
        <f t="shared" si="36"/>
        <v/>
      </c>
      <c r="I210" s="7" t="str">
        <f t="shared" si="43"/>
        <v/>
      </c>
      <c r="J210" s="7" t="str">
        <f t="shared" si="40"/>
        <v/>
      </c>
      <c r="K210" s="7" t="str">
        <f t="shared" si="44"/>
        <v/>
      </c>
      <c r="L210" s="47" t="str">
        <f t="shared" si="37"/>
        <v/>
      </c>
      <c r="S210" s="55">
        <f t="shared" si="38"/>
        <v>8.2142857142857135</v>
      </c>
      <c r="T210" s="39">
        <f t="shared" si="39"/>
        <v>0.16191304347826088</v>
      </c>
    </row>
    <row r="211" spans="1:20" x14ac:dyDescent="0.15">
      <c r="A211" s="12"/>
      <c r="B211" s="13"/>
      <c r="C211" s="13"/>
      <c r="D211" s="13"/>
      <c r="E211" s="14"/>
      <c r="F211" s="6" t="str">
        <f t="shared" si="41"/>
        <v/>
      </c>
      <c r="G211" s="6" t="str">
        <f t="shared" si="42"/>
        <v/>
      </c>
      <c r="H211" s="6" t="str">
        <f t="shared" si="36"/>
        <v/>
      </c>
      <c r="I211" s="7" t="str">
        <f t="shared" si="43"/>
        <v/>
      </c>
      <c r="J211" s="7" t="str">
        <f t="shared" si="40"/>
        <v/>
      </c>
      <c r="K211" s="7" t="str">
        <f t="shared" si="44"/>
        <v/>
      </c>
      <c r="L211" s="47" t="str">
        <f t="shared" si="37"/>
        <v/>
      </c>
      <c r="S211" s="55">
        <f t="shared" si="38"/>
        <v>8.2142857142857135</v>
      </c>
      <c r="T211" s="39">
        <f t="shared" si="39"/>
        <v>0.16191304347826088</v>
      </c>
    </row>
    <row r="212" spans="1:20" x14ac:dyDescent="0.15">
      <c r="A212" s="12"/>
      <c r="B212" s="13"/>
      <c r="C212" s="13"/>
      <c r="D212" s="13"/>
      <c r="E212" s="14"/>
      <c r="F212" s="6" t="str">
        <f t="shared" si="41"/>
        <v/>
      </c>
      <c r="G212" s="6" t="str">
        <f t="shared" si="42"/>
        <v/>
      </c>
      <c r="H212" s="6" t="str">
        <f t="shared" si="36"/>
        <v/>
      </c>
      <c r="I212" s="7" t="str">
        <f t="shared" si="43"/>
        <v/>
      </c>
      <c r="J212" s="7" t="str">
        <f t="shared" si="40"/>
        <v/>
      </c>
      <c r="K212" s="7" t="str">
        <f t="shared" si="44"/>
        <v/>
      </c>
      <c r="L212" s="47" t="str">
        <f t="shared" si="37"/>
        <v/>
      </c>
      <c r="S212" s="55">
        <f t="shared" si="38"/>
        <v>8.2142857142857135</v>
      </c>
      <c r="T212" s="39">
        <f t="shared" si="39"/>
        <v>0.16191304347826088</v>
      </c>
    </row>
    <row r="213" spans="1:20" x14ac:dyDescent="0.15">
      <c r="A213" s="12"/>
      <c r="B213" s="13"/>
      <c r="C213" s="13"/>
      <c r="D213" s="13"/>
      <c r="E213" s="14"/>
      <c r="F213" s="6" t="str">
        <f t="shared" si="41"/>
        <v/>
      </c>
      <c r="G213" s="6" t="str">
        <f t="shared" si="42"/>
        <v/>
      </c>
      <c r="H213" s="6" t="str">
        <f t="shared" si="36"/>
        <v/>
      </c>
      <c r="I213" s="7" t="str">
        <f t="shared" si="43"/>
        <v/>
      </c>
      <c r="J213" s="7" t="str">
        <f t="shared" si="40"/>
        <v/>
      </c>
      <c r="K213" s="7" t="str">
        <f t="shared" si="44"/>
        <v/>
      </c>
      <c r="L213" s="47" t="str">
        <f t="shared" si="37"/>
        <v/>
      </c>
      <c r="S213" s="55">
        <f t="shared" si="38"/>
        <v>8.2142857142857135</v>
      </c>
      <c r="T213" s="39">
        <f t="shared" si="39"/>
        <v>0.16191304347826088</v>
      </c>
    </row>
    <row r="214" spans="1:20" x14ac:dyDescent="0.15">
      <c r="A214" s="12"/>
      <c r="B214" s="13"/>
      <c r="C214" s="13"/>
      <c r="D214" s="13"/>
      <c r="E214" s="14"/>
      <c r="F214" s="6" t="str">
        <f t="shared" si="41"/>
        <v/>
      </c>
      <c r="G214" s="6" t="str">
        <f t="shared" si="42"/>
        <v/>
      </c>
      <c r="H214" s="6" t="str">
        <f t="shared" si="36"/>
        <v/>
      </c>
      <c r="I214" s="7" t="str">
        <f t="shared" si="43"/>
        <v/>
      </c>
      <c r="J214" s="7" t="str">
        <f t="shared" si="40"/>
        <v/>
      </c>
      <c r="K214" s="7" t="str">
        <f t="shared" si="44"/>
        <v/>
      </c>
      <c r="L214" s="47" t="str">
        <f t="shared" si="37"/>
        <v/>
      </c>
      <c r="S214" s="55">
        <f t="shared" si="38"/>
        <v>8.2142857142857135</v>
      </c>
      <c r="T214" s="39">
        <f t="shared" si="39"/>
        <v>0.16191304347826088</v>
      </c>
    </row>
    <row r="215" spans="1:20" x14ac:dyDescent="0.15">
      <c r="A215" s="12"/>
      <c r="B215" s="13"/>
      <c r="C215" s="13"/>
      <c r="D215" s="13"/>
      <c r="E215" s="14"/>
      <c r="F215" s="6" t="str">
        <f t="shared" si="41"/>
        <v/>
      </c>
      <c r="G215" s="6" t="str">
        <f t="shared" si="42"/>
        <v/>
      </c>
      <c r="H215" s="6" t="str">
        <f t="shared" si="36"/>
        <v/>
      </c>
      <c r="I215" s="7" t="str">
        <f t="shared" si="43"/>
        <v/>
      </c>
      <c r="J215" s="7" t="str">
        <f t="shared" si="40"/>
        <v/>
      </c>
      <c r="K215" s="7" t="str">
        <f t="shared" si="44"/>
        <v/>
      </c>
      <c r="L215" s="47" t="str">
        <f t="shared" si="37"/>
        <v/>
      </c>
      <c r="S215" s="55">
        <f t="shared" si="38"/>
        <v>8.2142857142857135</v>
      </c>
      <c r="T215" s="39">
        <f t="shared" si="39"/>
        <v>0.16191304347826088</v>
      </c>
    </row>
    <row r="216" spans="1:20" x14ac:dyDescent="0.15">
      <c r="A216" s="12"/>
      <c r="B216" s="13"/>
      <c r="C216" s="13"/>
      <c r="D216" s="13"/>
      <c r="E216" s="14"/>
      <c r="F216" s="6" t="str">
        <f t="shared" si="41"/>
        <v/>
      </c>
      <c r="G216" s="6" t="str">
        <f t="shared" si="42"/>
        <v/>
      </c>
      <c r="H216" s="6" t="str">
        <f t="shared" si="36"/>
        <v/>
      </c>
      <c r="I216" s="7" t="str">
        <f t="shared" si="43"/>
        <v/>
      </c>
      <c r="J216" s="7" t="str">
        <f t="shared" si="40"/>
        <v/>
      </c>
      <c r="K216" s="7" t="str">
        <f t="shared" si="44"/>
        <v/>
      </c>
      <c r="L216" s="47" t="str">
        <f t="shared" si="37"/>
        <v/>
      </c>
      <c r="S216" s="55">
        <f t="shared" si="38"/>
        <v>8.2142857142857135</v>
      </c>
      <c r="T216" s="39">
        <f t="shared" si="39"/>
        <v>0.16191304347826088</v>
      </c>
    </row>
    <row r="217" spans="1:20" x14ac:dyDescent="0.15">
      <c r="A217" s="12"/>
      <c r="B217" s="13"/>
      <c r="C217" s="13"/>
      <c r="D217" s="13"/>
      <c r="E217" s="14"/>
      <c r="F217" s="6" t="str">
        <f t="shared" si="41"/>
        <v/>
      </c>
      <c r="G217" s="6" t="str">
        <f t="shared" si="42"/>
        <v/>
      </c>
      <c r="H217" s="6" t="str">
        <f t="shared" si="36"/>
        <v/>
      </c>
      <c r="I217" s="7" t="str">
        <f t="shared" si="43"/>
        <v/>
      </c>
      <c r="J217" s="7" t="str">
        <f t="shared" si="40"/>
        <v/>
      </c>
      <c r="K217" s="7" t="str">
        <f t="shared" si="44"/>
        <v/>
      </c>
      <c r="L217" s="47" t="str">
        <f t="shared" si="37"/>
        <v/>
      </c>
      <c r="S217" s="55">
        <f t="shared" si="38"/>
        <v>8.2142857142857135</v>
      </c>
      <c r="T217" s="39">
        <f t="shared" si="39"/>
        <v>0.16191304347826088</v>
      </c>
    </row>
    <row r="218" spans="1:20" x14ac:dyDescent="0.15">
      <c r="A218" s="12"/>
      <c r="B218" s="13"/>
      <c r="C218" s="13"/>
      <c r="D218" s="13"/>
      <c r="E218" s="14"/>
      <c r="F218" s="6" t="str">
        <f t="shared" si="41"/>
        <v/>
      </c>
      <c r="G218" s="6" t="str">
        <f t="shared" si="42"/>
        <v/>
      </c>
      <c r="H218" s="6" t="str">
        <f t="shared" si="36"/>
        <v/>
      </c>
      <c r="I218" s="7" t="str">
        <f t="shared" si="43"/>
        <v/>
      </c>
      <c r="J218" s="7" t="str">
        <f t="shared" si="40"/>
        <v/>
      </c>
      <c r="K218" s="7" t="str">
        <f t="shared" si="44"/>
        <v/>
      </c>
      <c r="L218" s="47" t="str">
        <f t="shared" si="37"/>
        <v/>
      </c>
      <c r="S218" s="55">
        <f t="shared" si="38"/>
        <v>8.2142857142857135</v>
      </c>
      <c r="T218" s="39">
        <f t="shared" si="39"/>
        <v>0.16191304347826088</v>
      </c>
    </row>
    <row r="219" spans="1:20" x14ac:dyDescent="0.15">
      <c r="A219" s="12"/>
      <c r="B219" s="13"/>
      <c r="C219" s="13"/>
      <c r="D219" s="13"/>
      <c r="E219" s="14"/>
      <c r="F219" s="6" t="str">
        <f t="shared" si="41"/>
        <v/>
      </c>
      <c r="G219" s="6" t="str">
        <f t="shared" si="42"/>
        <v/>
      </c>
      <c r="H219" s="6" t="str">
        <f t="shared" si="36"/>
        <v/>
      </c>
      <c r="I219" s="7" t="str">
        <f t="shared" si="43"/>
        <v/>
      </c>
      <c r="J219" s="7" t="str">
        <f t="shared" si="40"/>
        <v/>
      </c>
      <c r="K219" s="7" t="str">
        <f t="shared" si="44"/>
        <v/>
      </c>
      <c r="L219" s="47" t="str">
        <f t="shared" si="37"/>
        <v/>
      </c>
      <c r="S219" s="55">
        <f t="shared" si="38"/>
        <v>8.2142857142857135</v>
      </c>
      <c r="T219" s="39">
        <f t="shared" si="39"/>
        <v>0.16191304347826088</v>
      </c>
    </row>
    <row r="220" spans="1:20" x14ac:dyDescent="0.15">
      <c r="A220" s="12"/>
      <c r="B220" s="13"/>
      <c r="C220" s="13"/>
      <c r="D220" s="13"/>
      <c r="E220" s="14"/>
      <c r="F220" s="6" t="str">
        <f t="shared" si="41"/>
        <v/>
      </c>
      <c r="G220" s="6" t="str">
        <f t="shared" si="42"/>
        <v/>
      </c>
      <c r="H220" s="6" t="str">
        <f t="shared" si="36"/>
        <v/>
      </c>
      <c r="I220" s="7" t="str">
        <f t="shared" si="43"/>
        <v/>
      </c>
      <c r="J220" s="7" t="str">
        <f t="shared" si="40"/>
        <v/>
      </c>
      <c r="K220" s="7" t="str">
        <f t="shared" si="44"/>
        <v/>
      </c>
      <c r="L220" s="47" t="str">
        <f t="shared" si="37"/>
        <v/>
      </c>
      <c r="S220" s="55">
        <f t="shared" si="38"/>
        <v>8.2142857142857135</v>
      </c>
      <c r="T220" s="39">
        <f t="shared" si="39"/>
        <v>0.16191304347826088</v>
      </c>
    </row>
    <row r="221" spans="1:20" x14ac:dyDescent="0.15">
      <c r="A221" s="12"/>
      <c r="B221" s="13"/>
      <c r="C221" s="13"/>
      <c r="D221" s="13"/>
      <c r="E221" s="14"/>
      <c r="F221" s="6" t="str">
        <f t="shared" si="41"/>
        <v/>
      </c>
      <c r="G221" s="6" t="str">
        <f t="shared" si="42"/>
        <v/>
      </c>
      <c r="H221" s="6" t="str">
        <f t="shared" si="36"/>
        <v/>
      </c>
      <c r="I221" s="7" t="str">
        <f t="shared" si="43"/>
        <v/>
      </c>
      <c r="J221" s="7" t="str">
        <f t="shared" si="40"/>
        <v/>
      </c>
      <c r="K221" s="7" t="str">
        <f t="shared" si="44"/>
        <v/>
      </c>
      <c r="L221" s="47" t="str">
        <f t="shared" si="37"/>
        <v/>
      </c>
      <c r="S221" s="55">
        <f t="shared" si="38"/>
        <v>8.2142857142857135</v>
      </c>
      <c r="T221" s="39">
        <f t="shared" si="39"/>
        <v>0.16191304347826088</v>
      </c>
    </row>
    <row r="222" spans="1:20" x14ac:dyDescent="0.15">
      <c r="A222" s="12"/>
      <c r="B222" s="13"/>
      <c r="C222" s="13"/>
      <c r="D222" s="13"/>
      <c r="E222" s="14"/>
      <c r="F222" s="6" t="str">
        <f t="shared" si="41"/>
        <v/>
      </c>
      <c r="G222" s="6" t="str">
        <f t="shared" si="42"/>
        <v/>
      </c>
      <c r="H222" s="6" t="str">
        <f t="shared" si="36"/>
        <v/>
      </c>
      <c r="I222" s="7" t="str">
        <f t="shared" si="43"/>
        <v/>
      </c>
      <c r="J222" s="7" t="str">
        <f t="shared" si="40"/>
        <v/>
      </c>
      <c r="K222" s="7" t="str">
        <f t="shared" si="44"/>
        <v/>
      </c>
      <c r="L222" s="47" t="str">
        <f t="shared" si="37"/>
        <v/>
      </c>
      <c r="S222" s="55">
        <f t="shared" si="38"/>
        <v>8.2142857142857135</v>
      </c>
      <c r="T222" s="39">
        <f t="shared" si="39"/>
        <v>0.16191304347826088</v>
      </c>
    </row>
    <row r="223" spans="1:20" x14ac:dyDescent="0.15">
      <c r="A223" s="12"/>
      <c r="B223" s="13"/>
      <c r="C223" s="13"/>
      <c r="D223" s="13"/>
      <c r="E223" s="14"/>
      <c r="F223" s="6" t="str">
        <f t="shared" si="41"/>
        <v/>
      </c>
      <c r="G223" s="6" t="str">
        <f t="shared" si="42"/>
        <v/>
      </c>
      <c r="H223" s="6" t="str">
        <f t="shared" si="36"/>
        <v/>
      </c>
      <c r="I223" s="7" t="str">
        <f t="shared" si="43"/>
        <v/>
      </c>
      <c r="J223" s="7" t="str">
        <f t="shared" si="40"/>
        <v/>
      </c>
      <c r="K223" s="7" t="str">
        <f t="shared" si="44"/>
        <v/>
      </c>
      <c r="L223" s="47" t="str">
        <f t="shared" si="37"/>
        <v/>
      </c>
      <c r="S223" s="55">
        <f t="shared" si="38"/>
        <v>8.2142857142857135</v>
      </c>
      <c r="T223" s="39">
        <f t="shared" si="39"/>
        <v>0.16191304347826088</v>
      </c>
    </row>
    <row r="224" spans="1:20" x14ac:dyDescent="0.15">
      <c r="A224" s="12"/>
      <c r="B224" s="13"/>
      <c r="C224" s="13"/>
      <c r="D224" s="13"/>
      <c r="E224" s="14"/>
      <c r="F224" s="6" t="str">
        <f t="shared" si="41"/>
        <v/>
      </c>
      <c r="G224" s="6" t="str">
        <f t="shared" si="42"/>
        <v/>
      </c>
      <c r="H224" s="6" t="str">
        <f t="shared" si="36"/>
        <v/>
      </c>
      <c r="I224" s="7" t="str">
        <f t="shared" si="43"/>
        <v/>
      </c>
      <c r="J224" s="7" t="str">
        <f t="shared" si="40"/>
        <v/>
      </c>
      <c r="K224" s="7" t="str">
        <f t="shared" si="44"/>
        <v/>
      </c>
      <c r="L224" s="47" t="str">
        <f t="shared" si="37"/>
        <v/>
      </c>
      <c r="S224" s="55">
        <f t="shared" si="38"/>
        <v>8.2142857142857135</v>
      </c>
      <c r="T224" s="39">
        <f t="shared" si="39"/>
        <v>0.16191304347826088</v>
      </c>
    </row>
    <row r="225" spans="1:20" x14ac:dyDescent="0.15">
      <c r="A225" s="12"/>
      <c r="B225" s="13"/>
      <c r="C225" s="13"/>
      <c r="D225" s="13"/>
      <c r="E225" s="14"/>
      <c r="F225" s="6" t="str">
        <f t="shared" si="41"/>
        <v/>
      </c>
      <c r="G225" s="6" t="str">
        <f t="shared" si="42"/>
        <v/>
      </c>
      <c r="H225" s="6" t="str">
        <f t="shared" si="36"/>
        <v/>
      </c>
      <c r="I225" s="7" t="str">
        <f t="shared" si="43"/>
        <v/>
      </c>
      <c r="J225" s="7" t="str">
        <f t="shared" si="40"/>
        <v/>
      </c>
      <c r="K225" s="7" t="str">
        <f t="shared" si="44"/>
        <v/>
      </c>
      <c r="L225" s="47" t="str">
        <f t="shared" si="37"/>
        <v/>
      </c>
      <c r="S225" s="55">
        <f t="shared" si="38"/>
        <v>8.2142857142857135</v>
      </c>
      <c r="T225" s="39">
        <f t="shared" si="39"/>
        <v>0.16191304347826088</v>
      </c>
    </row>
    <row r="226" spans="1:20" x14ac:dyDescent="0.15">
      <c r="A226" s="12"/>
      <c r="B226" s="13"/>
      <c r="C226" s="13"/>
      <c r="D226" s="13"/>
      <c r="E226" s="14"/>
      <c r="F226" s="6" t="str">
        <f t="shared" si="41"/>
        <v/>
      </c>
      <c r="G226" s="6" t="str">
        <f t="shared" si="42"/>
        <v/>
      </c>
      <c r="H226" s="6" t="str">
        <f t="shared" si="36"/>
        <v/>
      </c>
      <c r="I226" s="7" t="str">
        <f t="shared" si="43"/>
        <v/>
      </c>
      <c r="J226" s="7" t="str">
        <f t="shared" si="40"/>
        <v/>
      </c>
      <c r="K226" s="7" t="str">
        <f t="shared" si="44"/>
        <v/>
      </c>
      <c r="L226" s="47" t="str">
        <f t="shared" si="37"/>
        <v/>
      </c>
      <c r="S226" s="55">
        <f t="shared" si="38"/>
        <v>8.2142857142857135</v>
      </c>
      <c r="T226" s="39">
        <f t="shared" si="39"/>
        <v>0.16191304347826088</v>
      </c>
    </row>
    <row r="227" spans="1:20" x14ac:dyDescent="0.15">
      <c r="A227" s="12"/>
      <c r="B227" s="13"/>
      <c r="C227" s="13"/>
      <c r="D227" s="13"/>
      <c r="E227" s="14"/>
      <c r="F227" s="6" t="str">
        <f t="shared" si="41"/>
        <v/>
      </c>
      <c r="G227" s="6" t="str">
        <f t="shared" si="42"/>
        <v/>
      </c>
      <c r="H227" s="6" t="str">
        <f t="shared" si="36"/>
        <v/>
      </c>
      <c r="I227" s="7" t="str">
        <f t="shared" si="43"/>
        <v/>
      </c>
      <c r="J227" s="7" t="str">
        <f t="shared" si="40"/>
        <v/>
      </c>
      <c r="K227" s="7" t="str">
        <f t="shared" si="44"/>
        <v/>
      </c>
      <c r="L227" s="47" t="str">
        <f t="shared" si="37"/>
        <v/>
      </c>
      <c r="S227" s="55">
        <f t="shared" si="38"/>
        <v>8.2142857142857135</v>
      </c>
      <c r="T227" s="39">
        <f t="shared" si="39"/>
        <v>0.16191304347826088</v>
      </c>
    </row>
    <row r="228" spans="1:20" x14ac:dyDescent="0.15">
      <c r="A228" s="12"/>
      <c r="B228" s="13"/>
      <c r="C228" s="13"/>
      <c r="D228" s="13"/>
      <c r="E228" s="14"/>
      <c r="F228" s="6" t="str">
        <f t="shared" si="41"/>
        <v/>
      </c>
      <c r="G228" s="6" t="str">
        <f t="shared" si="42"/>
        <v/>
      </c>
      <c r="H228" s="6" t="str">
        <f t="shared" si="36"/>
        <v/>
      </c>
      <c r="I228" s="7" t="str">
        <f t="shared" si="43"/>
        <v/>
      </c>
      <c r="J228" s="7" t="str">
        <f t="shared" si="40"/>
        <v/>
      </c>
      <c r="K228" s="7" t="str">
        <f t="shared" si="44"/>
        <v/>
      </c>
      <c r="L228" s="47" t="str">
        <f t="shared" si="37"/>
        <v/>
      </c>
      <c r="S228" s="55">
        <f t="shared" si="38"/>
        <v>8.2142857142857135</v>
      </c>
      <c r="T228" s="39">
        <f t="shared" si="39"/>
        <v>0.16191304347826088</v>
      </c>
    </row>
    <row r="229" spans="1:20" x14ac:dyDescent="0.15">
      <c r="A229" s="12"/>
      <c r="B229" s="13"/>
      <c r="C229" s="13"/>
      <c r="D229" s="13"/>
      <c r="E229" s="14"/>
      <c r="F229" s="6" t="str">
        <f t="shared" si="41"/>
        <v/>
      </c>
      <c r="G229" s="6" t="str">
        <f t="shared" si="42"/>
        <v/>
      </c>
      <c r="H229" s="6" t="str">
        <f t="shared" si="36"/>
        <v/>
      </c>
      <c r="I229" s="7" t="str">
        <f t="shared" si="43"/>
        <v/>
      </c>
      <c r="J229" s="7" t="str">
        <f t="shared" si="40"/>
        <v/>
      </c>
      <c r="K229" s="7" t="str">
        <f t="shared" si="44"/>
        <v/>
      </c>
      <c r="L229" s="47" t="str">
        <f t="shared" si="37"/>
        <v/>
      </c>
      <c r="S229" s="55">
        <f t="shared" si="38"/>
        <v>8.2142857142857135</v>
      </c>
      <c r="T229" s="39">
        <f t="shared" si="39"/>
        <v>0.16191304347826088</v>
      </c>
    </row>
    <row r="230" spans="1:20" x14ac:dyDescent="0.15">
      <c r="A230" s="12"/>
      <c r="B230" s="13"/>
      <c r="C230" s="13"/>
      <c r="D230" s="13"/>
      <c r="E230" s="14"/>
      <c r="F230" s="6" t="str">
        <f t="shared" si="41"/>
        <v/>
      </c>
      <c r="G230" s="6" t="str">
        <f t="shared" si="42"/>
        <v/>
      </c>
      <c r="H230" s="6" t="str">
        <f t="shared" si="36"/>
        <v/>
      </c>
      <c r="I230" s="7" t="str">
        <f t="shared" si="43"/>
        <v/>
      </c>
      <c r="J230" s="7" t="str">
        <f t="shared" si="40"/>
        <v/>
      </c>
      <c r="K230" s="7" t="str">
        <f t="shared" si="44"/>
        <v/>
      </c>
      <c r="L230" s="47" t="str">
        <f t="shared" si="37"/>
        <v/>
      </c>
      <c r="S230" s="55">
        <f t="shared" si="38"/>
        <v>8.2142857142857135</v>
      </c>
      <c r="T230" s="39">
        <f t="shared" si="39"/>
        <v>0.16191304347826088</v>
      </c>
    </row>
    <row r="231" spans="1:20" x14ac:dyDescent="0.15">
      <c r="A231" s="12"/>
      <c r="B231" s="13"/>
      <c r="C231" s="13"/>
      <c r="D231" s="13"/>
      <c r="E231" s="14"/>
      <c r="F231" s="6" t="str">
        <f t="shared" si="41"/>
        <v/>
      </c>
      <c r="G231" s="6" t="str">
        <f t="shared" si="42"/>
        <v/>
      </c>
      <c r="H231" s="6" t="str">
        <f t="shared" si="36"/>
        <v/>
      </c>
      <c r="I231" s="7" t="str">
        <f t="shared" si="43"/>
        <v/>
      </c>
      <c r="J231" s="7" t="str">
        <f t="shared" si="40"/>
        <v/>
      </c>
      <c r="K231" s="7" t="str">
        <f t="shared" si="44"/>
        <v/>
      </c>
      <c r="L231" s="47" t="str">
        <f t="shared" si="37"/>
        <v/>
      </c>
      <c r="S231" s="55">
        <f t="shared" si="38"/>
        <v>8.2142857142857135</v>
      </c>
      <c r="T231" s="39">
        <f t="shared" si="39"/>
        <v>0.16191304347826088</v>
      </c>
    </row>
    <row r="232" spans="1:20" x14ac:dyDescent="0.15">
      <c r="A232" s="12"/>
      <c r="B232" s="13"/>
      <c r="C232" s="13"/>
      <c r="D232" s="13"/>
      <c r="E232" s="14"/>
      <c r="F232" s="6" t="str">
        <f t="shared" si="41"/>
        <v/>
      </c>
      <c r="G232" s="6" t="str">
        <f t="shared" si="42"/>
        <v/>
      </c>
      <c r="H232" s="6" t="str">
        <f t="shared" si="36"/>
        <v/>
      </c>
      <c r="I232" s="7" t="str">
        <f t="shared" si="43"/>
        <v/>
      </c>
      <c r="J232" s="7" t="str">
        <f t="shared" si="40"/>
        <v/>
      </c>
      <c r="K232" s="7" t="str">
        <f t="shared" si="44"/>
        <v/>
      </c>
      <c r="L232" s="47" t="str">
        <f t="shared" si="37"/>
        <v/>
      </c>
      <c r="S232" s="55">
        <f t="shared" si="38"/>
        <v>8.2142857142857135</v>
      </c>
      <c r="T232" s="39">
        <f t="shared" si="39"/>
        <v>0.16191304347826088</v>
      </c>
    </row>
    <row r="233" spans="1:20" x14ac:dyDescent="0.15">
      <c r="A233" s="12"/>
      <c r="B233" s="13"/>
      <c r="C233" s="13"/>
      <c r="D233" s="13"/>
      <c r="E233" s="14"/>
      <c r="F233" s="6" t="str">
        <f t="shared" si="41"/>
        <v/>
      </c>
      <c r="G233" s="6" t="str">
        <f t="shared" si="42"/>
        <v/>
      </c>
      <c r="H233" s="6" t="str">
        <f t="shared" si="36"/>
        <v/>
      </c>
      <c r="I233" s="7" t="str">
        <f t="shared" si="43"/>
        <v/>
      </c>
      <c r="J233" s="7" t="str">
        <f t="shared" si="40"/>
        <v/>
      </c>
      <c r="K233" s="7" t="str">
        <f t="shared" si="44"/>
        <v/>
      </c>
      <c r="L233" s="47" t="str">
        <f t="shared" si="37"/>
        <v/>
      </c>
      <c r="S233" s="55">
        <f t="shared" si="38"/>
        <v>8.2142857142857135</v>
      </c>
      <c r="T233" s="39">
        <f t="shared" si="39"/>
        <v>0.16191304347826088</v>
      </c>
    </row>
    <row r="234" spans="1:20" x14ac:dyDescent="0.15">
      <c r="A234" s="12"/>
      <c r="B234" s="13"/>
      <c r="C234" s="13"/>
      <c r="D234" s="13"/>
      <c r="E234" s="14"/>
      <c r="F234" s="6" t="str">
        <f t="shared" si="41"/>
        <v/>
      </c>
      <c r="G234" s="6" t="str">
        <f t="shared" si="42"/>
        <v/>
      </c>
      <c r="H234" s="6" t="str">
        <f t="shared" si="36"/>
        <v/>
      </c>
      <c r="I234" s="7" t="str">
        <f t="shared" si="43"/>
        <v/>
      </c>
      <c r="J234" s="7" t="str">
        <f t="shared" si="40"/>
        <v/>
      </c>
      <c r="K234" s="7" t="str">
        <f t="shared" si="44"/>
        <v/>
      </c>
      <c r="L234" s="47" t="str">
        <f t="shared" si="37"/>
        <v/>
      </c>
      <c r="S234" s="55">
        <f t="shared" si="38"/>
        <v>8.2142857142857135</v>
      </c>
      <c r="T234" s="39">
        <f t="shared" si="39"/>
        <v>0.16191304347826088</v>
      </c>
    </row>
    <row r="235" spans="1:20" x14ac:dyDescent="0.15">
      <c r="A235" s="12"/>
      <c r="B235" s="13"/>
      <c r="C235" s="13"/>
      <c r="D235" s="13"/>
      <c r="E235" s="14"/>
      <c r="F235" s="6" t="str">
        <f t="shared" si="41"/>
        <v/>
      </c>
      <c r="G235" s="6" t="str">
        <f t="shared" si="42"/>
        <v/>
      </c>
      <c r="H235" s="6" t="str">
        <f t="shared" si="36"/>
        <v/>
      </c>
      <c r="I235" s="7" t="str">
        <f t="shared" si="43"/>
        <v/>
      </c>
      <c r="J235" s="7" t="str">
        <f t="shared" si="40"/>
        <v/>
      </c>
      <c r="K235" s="7" t="str">
        <f t="shared" si="44"/>
        <v/>
      </c>
      <c r="L235" s="47" t="str">
        <f t="shared" si="37"/>
        <v/>
      </c>
      <c r="S235" s="55">
        <f t="shared" si="38"/>
        <v>8.2142857142857135</v>
      </c>
      <c r="T235" s="39">
        <f t="shared" si="39"/>
        <v>0.16191304347826088</v>
      </c>
    </row>
    <row r="236" spans="1:20" x14ac:dyDescent="0.15">
      <c r="A236" s="12"/>
      <c r="B236" s="13"/>
      <c r="C236" s="13"/>
      <c r="D236" s="13"/>
      <c r="E236" s="14"/>
      <c r="F236" s="6" t="str">
        <f t="shared" si="41"/>
        <v/>
      </c>
      <c r="G236" s="6" t="str">
        <f t="shared" si="42"/>
        <v/>
      </c>
      <c r="H236" s="6" t="str">
        <f t="shared" si="36"/>
        <v/>
      </c>
      <c r="I236" s="7" t="str">
        <f t="shared" si="43"/>
        <v/>
      </c>
      <c r="J236" s="7" t="str">
        <f t="shared" si="40"/>
        <v/>
      </c>
      <c r="K236" s="7" t="str">
        <f t="shared" si="44"/>
        <v/>
      </c>
      <c r="L236" s="47" t="str">
        <f t="shared" si="37"/>
        <v/>
      </c>
      <c r="S236" s="55">
        <f t="shared" si="38"/>
        <v>8.2142857142857135</v>
      </c>
      <c r="T236" s="39">
        <f t="shared" si="39"/>
        <v>0.16191304347826088</v>
      </c>
    </row>
    <row r="237" spans="1:20" x14ac:dyDescent="0.15">
      <c r="A237" s="12"/>
      <c r="B237" s="13"/>
      <c r="C237" s="13"/>
      <c r="D237" s="13"/>
      <c r="E237" s="14"/>
      <c r="F237" s="6" t="str">
        <f t="shared" si="41"/>
        <v/>
      </c>
      <c r="G237" s="6" t="str">
        <f t="shared" si="42"/>
        <v/>
      </c>
      <c r="H237" s="6" t="str">
        <f t="shared" si="36"/>
        <v/>
      </c>
      <c r="I237" s="7" t="str">
        <f t="shared" si="43"/>
        <v/>
      </c>
      <c r="J237" s="7" t="str">
        <f t="shared" si="40"/>
        <v/>
      </c>
      <c r="K237" s="7" t="str">
        <f t="shared" si="44"/>
        <v/>
      </c>
      <c r="L237" s="47" t="str">
        <f t="shared" si="37"/>
        <v/>
      </c>
      <c r="S237" s="55">
        <f t="shared" si="38"/>
        <v>8.2142857142857135</v>
      </c>
      <c r="T237" s="39">
        <f t="shared" si="39"/>
        <v>0.16191304347826088</v>
      </c>
    </row>
    <row r="238" spans="1:20" x14ac:dyDescent="0.15">
      <c r="A238" s="12"/>
      <c r="B238" s="13"/>
      <c r="C238" s="13"/>
      <c r="D238" s="13"/>
      <c r="E238" s="14"/>
      <c r="F238" s="6" t="str">
        <f t="shared" si="41"/>
        <v/>
      </c>
      <c r="G238" s="6" t="str">
        <f t="shared" si="42"/>
        <v/>
      </c>
      <c r="H238" s="6" t="str">
        <f t="shared" si="36"/>
        <v/>
      </c>
      <c r="I238" s="7" t="str">
        <f t="shared" si="43"/>
        <v/>
      </c>
      <c r="J238" s="7" t="str">
        <f t="shared" si="40"/>
        <v/>
      </c>
      <c r="K238" s="7" t="str">
        <f t="shared" si="44"/>
        <v/>
      </c>
      <c r="L238" s="47" t="str">
        <f t="shared" si="37"/>
        <v/>
      </c>
      <c r="S238" s="55">
        <f t="shared" si="38"/>
        <v>8.2142857142857135</v>
      </c>
      <c r="T238" s="39">
        <f t="shared" si="39"/>
        <v>0.16191304347826088</v>
      </c>
    </row>
    <row r="239" spans="1:20" x14ac:dyDescent="0.15">
      <c r="A239" s="12"/>
      <c r="B239" s="13"/>
      <c r="C239" s="13"/>
      <c r="D239" s="13"/>
      <c r="E239" s="14"/>
      <c r="F239" s="6" t="str">
        <f t="shared" si="41"/>
        <v/>
      </c>
      <c r="G239" s="6" t="str">
        <f t="shared" si="42"/>
        <v/>
      </c>
      <c r="H239" s="6" t="str">
        <f t="shared" si="36"/>
        <v/>
      </c>
      <c r="I239" s="7" t="str">
        <f t="shared" si="43"/>
        <v/>
      </c>
      <c r="J239" s="7" t="str">
        <f t="shared" si="40"/>
        <v/>
      </c>
      <c r="K239" s="7" t="str">
        <f t="shared" si="44"/>
        <v/>
      </c>
      <c r="L239" s="47" t="str">
        <f t="shared" si="37"/>
        <v/>
      </c>
      <c r="S239" s="55">
        <f t="shared" si="38"/>
        <v>8.2142857142857135</v>
      </c>
      <c r="T239" s="39">
        <f t="shared" si="39"/>
        <v>0.16191304347826088</v>
      </c>
    </row>
    <row r="240" spans="1:20" x14ac:dyDescent="0.15">
      <c r="A240" s="12"/>
      <c r="B240" s="13"/>
      <c r="C240" s="13"/>
      <c r="D240" s="13"/>
      <c r="E240" s="14"/>
      <c r="F240" s="6" t="str">
        <f t="shared" si="41"/>
        <v/>
      </c>
      <c r="G240" s="6" t="str">
        <f t="shared" si="42"/>
        <v/>
      </c>
      <c r="H240" s="6" t="str">
        <f t="shared" si="36"/>
        <v/>
      </c>
      <c r="I240" s="7" t="str">
        <f t="shared" si="43"/>
        <v/>
      </c>
      <c r="J240" s="7" t="str">
        <f t="shared" si="40"/>
        <v/>
      </c>
      <c r="K240" s="7" t="str">
        <f t="shared" si="44"/>
        <v/>
      </c>
      <c r="L240" s="47" t="str">
        <f t="shared" si="37"/>
        <v/>
      </c>
      <c r="S240" s="55">
        <f t="shared" si="38"/>
        <v>8.2142857142857135</v>
      </c>
      <c r="T240" s="39">
        <f t="shared" si="39"/>
        <v>0.16191304347826088</v>
      </c>
    </row>
    <row r="241" spans="1:20" x14ac:dyDescent="0.15">
      <c r="A241" s="12"/>
      <c r="B241" s="13"/>
      <c r="C241" s="13"/>
      <c r="D241" s="13"/>
      <c r="E241" s="14"/>
      <c r="F241" s="6" t="str">
        <f t="shared" si="41"/>
        <v/>
      </c>
      <c r="G241" s="6" t="str">
        <f t="shared" si="42"/>
        <v/>
      </c>
      <c r="H241" s="6" t="str">
        <f t="shared" si="36"/>
        <v/>
      </c>
      <c r="I241" s="7" t="str">
        <f t="shared" si="43"/>
        <v/>
      </c>
      <c r="J241" s="7" t="str">
        <f t="shared" si="40"/>
        <v/>
      </c>
      <c r="K241" s="7" t="str">
        <f t="shared" si="44"/>
        <v/>
      </c>
      <c r="L241" s="47" t="str">
        <f t="shared" si="37"/>
        <v/>
      </c>
      <c r="S241" s="55">
        <f t="shared" si="38"/>
        <v>8.2142857142857135</v>
      </c>
      <c r="T241" s="39">
        <f t="shared" si="39"/>
        <v>0.16191304347826088</v>
      </c>
    </row>
    <row r="242" spans="1:20" x14ac:dyDescent="0.15">
      <c r="A242" s="12"/>
      <c r="B242" s="13"/>
      <c r="C242" s="13"/>
      <c r="D242" s="13"/>
      <c r="E242" s="14"/>
      <c r="F242" s="6" t="str">
        <f t="shared" si="41"/>
        <v/>
      </c>
      <c r="G242" s="6" t="str">
        <f t="shared" si="42"/>
        <v/>
      </c>
      <c r="H242" s="6" t="str">
        <f t="shared" si="36"/>
        <v/>
      </c>
      <c r="I242" s="7" t="str">
        <f t="shared" si="43"/>
        <v/>
      </c>
      <c r="J242" s="7" t="str">
        <f t="shared" si="40"/>
        <v/>
      </c>
      <c r="K242" s="7" t="str">
        <f t="shared" si="44"/>
        <v/>
      </c>
      <c r="L242" s="47" t="str">
        <f t="shared" si="37"/>
        <v/>
      </c>
      <c r="S242" s="55">
        <f t="shared" si="38"/>
        <v>8.2142857142857135</v>
      </c>
      <c r="T242" s="39">
        <f t="shared" si="39"/>
        <v>0.16191304347826088</v>
      </c>
    </row>
    <row r="243" spans="1:20" x14ac:dyDescent="0.15">
      <c r="A243" s="12"/>
      <c r="B243" s="13"/>
      <c r="C243" s="13"/>
      <c r="D243" s="13"/>
      <c r="E243" s="14"/>
      <c r="F243" s="6" t="str">
        <f t="shared" si="41"/>
        <v/>
      </c>
      <c r="G243" s="6" t="str">
        <f t="shared" si="42"/>
        <v/>
      </c>
      <c r="H243" s="6" t="str">
        <f t="shared" si="36"/>
        <v/>
      </c>
      <c r="I243" s="7" t="str">
        <f t="shared" si="43"/>
        <v/>
      </c>
      <c r="J243" s="7" t="str">
        <f t="shared" si="40"/>
        <v/>
      </c>
      <c r="K243" s="7" t="str">
        <f t="shared" si="44"/>
        <v/>
      </c>
      <c r="L243" s="47" t="str">
        <f t="shared" si="37"/>
        <v/>
      </c>
      <c r="S243" s="55">
        <f t="shared" si="38"/>
        <v>8.2142857142857135</v>
      </c>
      <c r="T243" s="39">
        <f t="shared" si="39"/>
        <v>0.16191304347826088</v>
      </c>
    </row>
    <row r="244" spans="1:20" x14ac:dyDescent="0.15">
      <c r="A244" s="12"/>
      <c r="B244" s="13"/>
      <c r="C244" s="13"/>
      <c r="D244" s="13"/>
      <c r="E244" s="14"/>
      <c r="F244" s="6" t="str">
        <f t="shared" si="41"/>
        <v/>
      </c>
      <c r="G244" s="6" t="str">
        <f t="shared" si="42"/>
        <v/>
      </c>
      <c r="H244" s="6" t="str">
        <f t="shared" si="36"/>
        <v/>
      </c>
      <c r="I244" s="7" t="str">
        <f t="shared" si="43"/>
        <v/>
      </c>
      <c r="J244" s="7" t="str">
        <f t="shared" si="40"/>
        <v/>
      </c>
      <c r="K244" s="7" t="str">
        <f t="shared" si="44"/>
        <v/>
      </c>
      <c r="L244" s="47" t="str">
        <f t="shared" si="37"/>
        <v/>
      </c>
      <c r="S244" s="55">
        <f t="shared" si="38"/>
        <v>8.2142857142857135</v>
      </c>
      <c r="T244" s="39">
        <f t="shared" si="39"/>
        <v>0.16191304347826088</v>
      </c>
    </row>
    <row r="245" spans="1:20" x14ac:dyDescent="0.15">
      <c r="A245" s="12"/>
      <c r="B245" s="13"/>
      <c r="C245" s="13"/>
      <c r="D245" s="13"/>
      <c r="E245" s="14"/>
      <c r="F245" s="6" t="str">
        <f t="shared" si="41"/>
        <v/>
      </c>
      <c r="G245" s="6" t="str">
        <f t="shared" si="42"/>
        <v/>
      </c>
      <c r="H245" s="6" t="str">
        <f t="shared" si="36"/>
        <v/>
      </c>
      <c r="I245" s="7" t="str">
        <f t="shared" si="43"/>
        <v/>
      </c>
      <c r="J245" s="7" t="str">
        <f t="shared" si="40"/>
        <v/>
      </c>
      <c r="K245" s="7" t="str">
        <f t="shared" si="44"/>
        <v/>
      </c>
      <c r="L245" s="47" t="str">
        <f t="shared" si="37"/>
        <v/>
      </c>
      <c r="S245" s="55">
        <f t="shared" si="38"/>
        <v>8.2142857142857135</v>
      </c>
      <c r="T245" s="39">
        <f t="shared" si="39"/>
        <v>0.16191304347826088</v>
      </c>
    </row>
    <row r="246" spans="1:20" x14ac:dyDescent="0.15">
      <c r="A246" s="12"/>
      <c r="B246" s="13"/>
      <c r="C246" s="13"/>
      <c r="D246" s="13"/>
      <c r="E246" s="14"/>
      <c r="F246" s="6" t="str">
        <f t="shared" si="41"/>
        <v/>
      </c>
      <c r="G246" s="6" t="str">
        <f t="shared" si="42"/>
        <v/>
      </c>
      <c r="H246" s="6" t="str">
        <f t="shared" si="36"/>
        <v/>
      </c>
      <c r="I246" s="7" t="str">
        <f t="shared" si="43"/>
        <v/>
      </c>
      <c r="J246" s="7" t="str">
        <f t="shared" si="40"/>
        <v/>
      </c>
      <c r="K246" s="7" t="str">
        <f t="shared" si="44"/>
        <v/>
      </c>
      <c r="L246" s="47" t="str">
        <f t="shared" si="37"/>
        <v/>
      </c>
      <c r="S246" s="55">
        <f t="shared" si="38"/>
        <v>8.2142857142857135</v>
      </c>
      <c r="T246" s="39">
        <f t="shared" si="39"/>
        <v>0.16191304347826088</v>
      </c>
    </row>
    <row r="247" spans="1:20" x14ac:dyDescent="0.15">
      <c r="A247" s="12"/>
      <c r="B247" s="13"/>
      <c r="C247" s="13"/>
      <c r="D247" s="13"/>
      <c r="E247" s="14"/>
      <c r="F247" s="6" t="str">
        <f t="shared" si="41"/>
        <v/>
      </c>
      <c r="G247" s="6" t="str">
        <f t="shared" si="42"/>
        <v/>
      </c>
      <c r="H247" s="6" t="str">
        <f t="shared" si="36"/>
        <v/>
      </c>
      <c r="I247" s="7" t="str">
        <f t="shared" si="43"/>
        <v/>
      </c>
      <c r="J247" s="7" t="str">
        <f t="shared" si="40"/>
        <v/>
      </c>
      <c r="K247" s="7" t="str">
        <f t="shared" si="44"/>
        <v/>
      </c>
      <c r="L247" s="47" t="str">
        <f t="shared" si="37"/>
        <v/>
      </c>
      <c r="S247" s="55">
        <f t="shared" si="38"/>
        <v>8.2142857142857135</v>
      </c>
      <c r="T247" s="39">
        <f t="shared" si="39"/>
        <v>0.16191304347826088</v>
      </c>
    </row>
    <row r="248" spans="1:20" x14ac:dyDescent="0.15">
      <c r="A248" s="12"/>
      <c r="B248" s="13"/>
      <c r="C248" s="13"/>
      <c r="D248" s="13"/>
      <c r="E248" s="14"/>
      <c r="F248" s="6" t="str">
        <f t="shared" si="41"/>
        <v/>
      </c>
      <c r="G248" s="6" t="str">
        <f t="shared" si="42"/>
        <v/>
      </c>
      <c r="H248" s="6" t="str">
        <f t="shared" si="36"/>
        <v/>
      </c>
      <c r="I248" s="7" t="str">
        <f t="shared" si="43"/>
        <v/>
      </c>
      <c r="J248" s="7" t="str">
        <f t="shared" si="40"/>
        <v/>
      </c>
      <c r="K248" s="7" t="str">
        <f t="shared" si="44"/>
        <v/>
      </c>
      <c r="L248" s="47" t="str">
        <f t="shared" si="37"/>
        <v/>
      </c>
      <c r="S248" s="55">
        <f t="shared" si="38"/>
        <v>8.2142857142857135</v>
      </c>
      <c r="T248" s="39">
        <f t="shared" si="39"/>
        <v>0.16191304347826088</v>
      </c>
    </row>
    <row r="249" spans="1:20" x14ac:dyDescent="0.15">
      <c r="A249" s="12"/>
      <c r="B249" s="13"/>
      <c r="C249" s="13"/>
      <c r="D249" s="13"/>
      <c r="E249" s="14"/>
      <c r="F249" s="6" t="str">
        <f t="shared" si="41"/>
        <v/>
      </c>
      <c r="G249" s="6" t="str">
        <f t="shared" si="42"/>
        <v/>
      </c>
      <c r="H249" s="6" t="str">
        <f t="shared" si="36"/>
        <v/>
      </c>
      <c r="I249" s="7" t="str">
        <f t="shared" si="43"/>
        <v/>
      </c>
      <c r="J249" s="7" t="str">
        <f t="shared" si="40"/>
        <v/>
      </c>
      <c r="K249" s="7" t="str">
        <f t="shared" si="44"/>
        <v/>
      </c>
      <c r="L249" s="47" t="str">
        <f t="shared" si="37"/>
        <v/>
      </c>
      <c r="S249" s="55">
        <f t="shared" si="38"/>
        <v>8.2142857142857135</v>
      </c>
      <c r="T249" s="39">
        <f t="shared" si="39"/>
        <v>0.16191304347826088</v>
      </c>
    </row>
    <row r="250" spans="1:20" x14ac:dyDescent="0.15">
      <c r="A250" s="12"/>
      <c r="B250" s="13"/>
      <c r="C250" s="13"/>
      <c r="D250" s="13"/>
      <c r="E250" s="14"/>
      <c r="F250" s="6" t="str">
        <f t="shared" si="41"/>
        <v/>
      </c>
      <c r="G250" s="6" t="str">
        <f t="shared" si="42"/>
        <v/>
      </c>
      <c r="H250" s="6" t="str">
        <f t="shared" si="36"/>
        <v/>
      </c>
      <c r="I250" s="7" t="str">
        <f t="shared" si="43"/>
        <v/>
      </c>
      <c r="J250" s="7" t="str">
        <f t="shared" si="40"/>
        <v/>
      </c>
      <c r="K250" s="7" t="str">
        <f t="shared" si="44"/>
        <v/>
      </c>
      <c r="L250" s="47" t="str">
        <f t="shared" si="37"/>
        <v/>
      </c>
      <c r="S250" s="55">
        <f t="shared" si="38"/>
        <v>8.2142857142857135</v>
      </c>
      <c r="T250" s="39">
        <f t="shared" si="39"/>
        <v>0.16191304347826088</v>
      </c>
    </row>
    <row r="251" spans="1:20" x14ac:dyDescent="0.15">
      <c r="A251" s="12"/>
      <c r="B251" s="13"/>
      <c r="C251" s="13"/>
      <c r="D251" s="13"/>
      <c r="E251" s="14"/>
      <c r="F251" s="6" t="str">
        <f t="shared" si="41"/>
        <v/>
      </c>
      <c r="G251" s="6" t="str">
        <f t="shared" si="42"/>
        <v/>
      </c>
      <c r="H251" s="6" t="str">
        <f t="shared" si="36"/>
        <v/>
      </c>
      <c r="I251" s="7" t="str">
        <f t="shared" si="43"/>
        <v/>
      </c>
      <c r="J251" s="7" t="str">
        <f t="shared" si="40"/>
        <v/>
      </c>
      <c r="K251" s="7" t="str">
        <f t="shared" si="44"/>
        <v/>
      </c>
      <c r="L251" s="47" t="str">
        <f t="shared" si="37"/>
        <v/>
      </c>
      <c r="S251" s="55">
        <f t="shared" si="38"/>
        <v>8.2142857142857135</v>
      </c>
      <c r="T251" s="39">
        <f t="shared" si="39"/>
        <v>0.16191304347826088</v>
      </c>
    </row>
    <row r="252" spans="1:20" x14ac:dyDescent="0.15">
      <c r="A252" s="12"/>
      <c r="B252" s="13"/>
      <c r="C252" s="13"/>
      <c r="D252" s="13"/>
      <c r="E252" s="14"/>
      <c r="F252" s="6" t="str">
        <f t="shared" si="41"/>
        <v/>
      </c>
      <c r="G252" s="6" t="str">
        <f t="shared" si="42"/>
        <v/>
      </c>
      <c r="H252" s="6" t="str">
        <f t="shared" si="36"/>
        <v/>
      </c>
      <c r="I252" s="7" t="str">
        <f t="shared" si="43"/>
        <v/>
      </c>
      <c r="J252" s="7" t="str">
        <f t="shared" si="40"/>
        <v/>
      </c>
      <c r="K252" s="7" t="str">
        <f t="shared" si="44"/>
        <v/>
      </c>
      <c r="L252" s="47" t="str">
        <f t="shared" si="37"/>
        <v/>
      </c>
      <c r="S252" s="55">
        <f t="shared" si="38"/>
        <v>8.2142857142857135</v>
      </c>
      <c r="T252" s="39">
        <f t="shared" si="39"/>
        <v>0.16191304347826088</v>
      </c>
    </row>
    <row r="253" spans="1:20" x14ac:dyDescent="0.15">
      <c r="A253" s="12"/>
      <c r="B253" s="13"/>
      <c r="C253" s="13"/>
      <c r="D253" s="13"/>
      <c r="E253" s="14"/>
      <c r="F253" s="6" t="str">
        <f t="shared" si="41"/>
        <v/>
      </c>
      <c r="G253" s="6" t="str">
        <f t="shared" si="42"/>
        <v/>
      </c>
      <c r="H253" s="6" t="str">
        <f t="shared" si="36"/>
        <v/>
      </c>
      <c r="I253" s="7" t="str">
        <f t="shared" si="43"/>
        <v/>
      </c>
      <c r="J253" s="7" t="str">
        <f t="shared" si="40"/>
        <v/>
      </c>
      <c r="K253" s="7" t="str">
        <f t="shared" si="44"/>
        <v/>
      </c>
      <c r="L253" s="47" t="str">
        <f t="shared" si="37"/>
        <v/>
      </c>
      <c r="S253" s="55">
        <f t="shared" si="38"/>
        <v>8.2142857142857135</v>
      </c>
      <c r="T253" s="39">
        <f t="shared" si="39"/>
        <v>0.16191304347826088</v>
      </c>
    </row>
    <row r="254" spans="1:20" x14ac:dyDescent="0.15">
      <c r="A254" s="12"/>
      <c r="B254" s="13"/>
      <c r="C254" s="13"/>
      <c r="D254" s="13"/>
      <c r="E254" s="14"/>
      <c r="F254" s="6" t="str">
        <f t="shared" si="41"/>
        <v/>
      </c>
      <c r="G254" s="6" t="str">
        <f t="shared" si="42"/>
        <v/>
      </c>
      <c r="H254" s="6" t="str">
        <f t="shared" si="36"/>
        <v/>
      </c>
      <c r="I254" s="7" t="str">
        <f t="shared" si="43"/>
        <v/>
      </c>
      <c r="J254" s="7" t="str">
        <f t="shared" si="40"/>
        <v/>
      </c>
      <c r="K254" s="7" t="str">
        <f t="shared" si="44"/>
        <v/>
      </c>
      <c r="L254" s="47" t="str">
        <f t="shared" si="37"/>
        <v/>
      </c>
      <c r="S254" s="55">
        <f t="shared" si="38"/>
        <v>8.2142857142857135</v>
      </c>
      <c r="T254" s="39">
        <f t="shared" si="39"/>
        <v>0.16191304347826088</v>
      </c>
    </row>
    <row r="255" spans="1:20" x14ac:dyDescent="0.15">
      <c r="A255" s="12"/>
      <c r="B255" s="13"/>
      <c r="C255" s="13"/>
      <c r="D255" s="13"/>
      <c r="E255" s="14"/>
      <c r="F255" s="6" t="str">
        <f t="shared" si="41"/>
        <v/>
      </c>
      <c r="G255" s="6" t="str">
        <f t="shared" si="42"/>
        <v/>
      </c>
      <c r="H255" s="6" t="str">
        <f t="shared" si="36"/>
        <v/>
      </c>
      <c r="I255" s="7" t="str">
        <f t="shared" si="43"/>
        <v/>
      </c>
      <c r="J255" s="7" t="str">
        <f t="shared" si="40"/>
        <v/>
      </c>
      <c r="K255" s="7" t="str">
        <f t="shared" si="44"/>
        <v/>
      </c>
      <c r="L255" s="47" t="str">
        <f t="shared" si="37"/>
        <v/>
      </c>
      <c r="S255" s="55">
        <f t="shared" si="38"/>
        <v>8.2142857142857135</v>
      </c>
      <c r="T255" s="39">
        <f t="shared" si="39"/>
        <v>0.16191304347826088</v>
      </c>
    </row>
    <row r="256" spans="1:20" x14ac:dyDescent="0.15">
      <c r="A256" s="12"/>
      <c r="B256" s="13"/>
      <c r="C256" s="13"/>
      <c r="D256" s="13"/>
      <c r="E256" s="14"/>
      <c r="F256" s="6" t="str">
        <f t="shared" si="41"/>
        <v/>
      </c>
      <c r="G256" s="6" t="str">
        <f t="shared" si="42"/>
        <v/>
      </c>
      <c r="H256" s="6" t="str">
        <f t="shared" si="36"/>
        <v/>
      </c>
      <c r="I256" s="7" t="str">
        <f t="shared" si="43"/>
        <v/>
      </c>
      <c r="J256" s="7" t="str">
        <f t="shared" si="40"/>
        <v/>
      </c>
      <c r="K256" s="7" t="str">
        <f t="shared" si="44"/>
        <v/>
      </c>
      <c r="L256" s="47" t="str">
        <f t="shared" si="37"/>
        <v/>
      </c>
      <c r="S256" s="55">
        <f t="shared" si="38"/>
        <v>8.2142857142857135</v>
      </c>
      <c r="T256" s="39">
        <f t="shared" si="39"/>
        <v>0.16191304347826088</v>
      </c>
    </row>
    <row r="257" spans="1:20" x14ac:dyDescent="0.15">
      <c r="A257" s="12"/>
      <c r="B257" s="13"/>
      <c r="C257" s="13"/>
      <c r="D257" s="13"/>
      <c r="E257" s="14"/>
      <c r="F257" s="6" t="str">
        <f t="shared" si="41"/>
        <v/>
      </c>
      <c r="G257" s="6" t="str">
        <f t="shared" si="42"/>
        <v/>
      </c>
      <c r="H257" s="6" t="str">
        <f t="shared" si="36"/>
        <v/>
      </c>
      <c r="I257" s="7" t="str">
        <f t="shared" si="43"/>
        <v/>
      </c>
      <c r="J257" s="7" t="str">
        <f t="shared" si="40"/>
        <v/>
      </c>
      <c r="K257" s="7" t="str">
        <f t="shared" si="44"/>
        <v/>
      </c>
      <c r="L257" s="47" t="str">
        <f t="shared" si="37"/>
        <v/>
      </c>
      <c r="S257" s="55">
        <f t="shared" si="38"/>
        <v>8.2142857142857135</v>
      </c>
      <c r="T257" s="39">
        <f t="shared" si="39"/>
        <v>0.16191304347826088</v>
      </c>
    </row>
    <row r="258" spans="1:20" x14ac:dyDescent="0.15">
      <c r="A258" s="12"/>
      <c r="B258" s="13"/>
      <c r="C258" s="13"/>
      <c r="D258" s="13"/>
      <c r="E258" s="14"/>
      <c r="F258" s="6" t="str">
        <f t="shared" si="41"/>
        <v/>
      </c>
      <c r="G258" s="6" t="str">
        <f t="shared" si="42"/>
        <v/>
      </c>
      <c r="H258" s="6" t="str">
        <f t="shared" si="36"/>
        <v/>
      </c>
      <c r="I258" s="7" t="str">
        <f t="shared" si="43"/>
        <v/>
      </c>
      <c r="J258" s="7" t="str">
        <f t="shared" si="40"/>
        <v/>
      </c>
      <c r="K258" s="7" t="str">
        <f t="shared" si="44"/>
        <v/>
      </c>
      <c r="L258" s="47" t="str">
        <f t="shared" si="37"/>
        <v/>
      </c>
      <c r="S258" s="55">
        <f t="shared" si="38"/>
        <v>8.2142857142857135</v>
      </c>
      <c r="T258" s="39">
        <f t="shared" si="39"/>
        <v>0.16191304347826088</v>
      </c>
    </row>
    <row r="259" spans="1:20" x14ac:dyDescent="0.15">
      <c r="A259" s="12"/>
      <c r="B259" s="13"/>
      <c r="C259" s="13"/>
      <c r="D259" s="13"/>
      <c r="E259" s="14"/>
      <c r="F259" s="6" t="str">
        <f t="shared" si="41"/>
        <v/>
      </c>
      <c r="G259" s="6" t="str">
        <f t="shared" si="42"/>
        <v/>
      </c>
      <c r="H259" s="6" t="str">
        <f t="shared" si="36"/>
        <v/>
      </c>
      <c r="I259" s="7" t="str">
        <f t="shared" si="43"/>
        <v/>
      </c>
      <c r="J259" s="7" t="str">
        <f t="shared" si="40"/>
        <v/>
      </c>
      <c r="K259" s="7" t="str">
        <f t="shared" si="44"/>
        <v/>
      </c>
      <c r="L259" s="47" t="str">
        <f t="shared" si="37"/>
        <v/>
      </c>
      <c r="S259" s="55">
        <f t="shared" si="38"/>
        <v>8.2142857142857135</v>
      </c>
      <c r="T259" s="39">
        <f t="shared" si="39"/>
        <v>0.16191304347826088</v>
      </c>
    </row>
    <row r="260" spans="1:20" x14ac:dyDescent="0.15">
      <c r="A260" s="12"/>
      <c r="B260" s="13"/>
      <c r="C260" s="13"/>
      <c r="D260" s="13"/>
      <c r="E260" s="14"/>
      <c r="F260" s="6" t="str">
        <f t="shared" si="41"/>
        <v/>
      </c>
      <c r="G260" s="6" t="str">
        <f t="shared" si="42"/>
        <v/>
      </c>
      <c r="H260" s="6" t="str">
        <f t="shared" si="36"/>
        <v/>
      </c>
      <c r="I260" s="7" t="str">
        <f t="shared" si="43"/>
        <v/>
      </c>
      <c r="J260" s="7" t="str">
        <f t="shared" si="40"/>
        <v/>
      </c>
      <c r="K260" s="7" t="str">
        <f t="shared" si="44"/>
        <v/>
      </c>
      <c r="L260" s="47" t="str">
        <f t="shared" si="37"/>
        <v/>
      </c>
      <c r="S260" s="55">
        <f t="shared" si="38"/>
        <v>8.2142857142857135</v>
      </c>
      <c r="T260" s="39">
        <f t="shared" si="39"/>
        <v>0.16191304347826088</v>
      </c>
    </row>
    <row r="261" spans="1:20" x14ac:dyDescent="0.15">
      <c r="A261" s="12"/>
      <c r="B261" s="13"/>
      <c r="C261" s="13"/>
      <c r="D261" s="13"/>
      <c r="E261" s="14"/>
      <c r="F261" s="6" t="str">
        <f t="shared" si="41"/>
        <v/>
      </c>
      <c r="G261" s="6" t="str">
        <f t="shared" si="42"/>
        <v/>
      </c>
      <c r="H261" s="6" t="str">
        <f t="shared" si="36"/>
        <v/>
      </c>
      <c r="I261" s="7" t="str">
        <f t="shared" si="43"/>
        <v/>
      </c>
      <c r="J261" s="7" t="str">
        <f t="shared" si="40"/>
        <v/>
      </c>
      <c r="K261" s="7" t="str">
        <f t="shared" si="44"/>
        <v/>
      </c>
      <c r="L261" s="47" t="str">
        <f t="shared" si="37"/>
        <v/>
      </c>
      <c r="S261" s="55">
        <f t="shared" si="38"/>
        <v>8.2142857142857135</v>
      </c>
      <c r="T261" s="39">
        <f t="shared" si="39"/>
        <v>0.16191304347826088</v>
      </c>
    </row>
    <row r="262" spans="1:20" x14ac:dyDescent="0.15">
      <c r="A262" s="12"/>
      <c r="B262" s="13"/>
      <c r="C262" s="13"/>
      <c r="D262" s="13"/>
      <c r="E262" s="14"/>
      <c r="F262" s="6" t="str">
        <f t="shared" si="41"/>
        <v/>
      </c>
      <c r="G262" s="6" t="str">
        <f t="shared" si="42"/>
        <v/>
      </c>
      <c r="H262" s="6" t="str">
        <f t="shared" si="36"/>
        <v/>
      </c>
      <c r="I262" s="7" t="str">
        <f t="shared" si="43"/>
        <v/>
      </c>
      <c r="J262" s="7" t="str">
        <f t="shared" si="40"/>
        <v/>
      </c>
      <c r="K262" s="7" t="str">
        <f t="shared" si="44"/>
        <v/>
      </c>
      <c r="L262" s="47" t="str">
        <f t="shared" si="37"/>
        <v/>
      </c>
      <c r="S262" s="55">
        <f t="shared" si="38"/>
        <v>8.2142857142857135</v>
      </c>
      <c r="T262" s="39">
        <f t="shared" si="39"/>
        <v>0.16191304347826088</v>
      </c>
    </row>
    <row r="263" spans="1:20" x14ac:dyDescent="0.15">
      <c r="A263" s="12"/>
      <c r="B263" s="13"/>
      <c r="C263" s="13"/>
      <c r="D263" s="13"/>
      <c r="E263" s="14"/>
      <c r="F263" s="6" t="str">
        <f t="shared" si="41"/>
        <v/>
      </c>
      <c r="G263" s="6" t="str">
        <f t="shared" si="42"/>
        <v/>
      </c>
      <c r="H263" s="6" t="str">
        <f t="shared" si="36"/>
        <v/>
      </c>
      <c r="I263" s="7" t="str">
        <f t="shared" si="43"/>
        <v/>
      </c>
      <c r="J263" s="7" t="str">
        <f t="shared" si="40"/>
        <v/>
      </c>
      <c r="K263" s="7" t="str">
        <f t="shared" si="44"/>
        <v/>
      </c>
      <c r="L263" s="47" t="str">
        <f t="shared" si="37"/>
        <v/>
      </c>
      <c r="S263" s="55">
        <f t="shared" si="38"/>
        <v>8.2142857142857135</v>
      </c>
      <c r="T263" s="39">
        <f t="shared" si="39"/>
        <v>0.16191304347826088</v>
      </c>
    </row>
    <row r="264" spans="1:20" x14ac:dyDescent="0.15">
      <c r="A264" s="12"/>
      <c r="B264" s="13"/>
      <c r="C264" s="13"/>
      <c r="D264" s="13"/>
      <c r="E264" s="14"/>
      <c r="F264" s="6" t="str">
        <f t="shared" si="41"/>
        <v/>
      </c>
      <c r="G264" s="6" t="str">
        <f t="shared" si="42"/>
        <v/>
      </c>
      <c r="H264" s="6" t="str">
        <f t="shared" ref="H264:H327" si="45">IF(C264&lt;&gt;"",C264*D264,"")</f>
        <v/>
      </c>
      <c r="I264" s="7" t="str">
        <f t="shared" si="43"/>
        <v/>
      </c>
      <c r="J264" s="7" t="str">
        <f t="shared" si="40"/>
        <v/>
      </c>
      <c r="K264" s="7" t="str">
        <f t="shared" si="44"/>
        <v/>
      </c>
      <c r="L264" s="47" t="str">
        <f t="shared" ref="L264:L327" si="46">IF(I264&lt;&gt;"",1/I264*D263,"")</f>
        <v/>
      </c>
      <c r="S264" s="55">
        <f t="shared" ref="S264:S327" si="47">IF(I264="",S263,I264)</f>
        <v>8.2142857142857135</v>
      </c>
      <c r="T264" s="39">
        <f t="shared" ref="T264:T327" si="48">IF(L264="",T263,L264)</f>
        <v>0.16191304347826088</v>
      </c>
    </row>
    <row r="265" spans="1:20" x14ac:dyDescent="0.15">
      <c r="A265" s="12"/>
      <c r="B265" s="13"/>
      <c r="C265" s="13"/>
      <c r="D265" s="13"/>
      <c r="E265" s="14"/>
      <c r="F265" s="6" t="str">
        <f t="shared" si="41"/>
        <v/>
      </c>
      <c r="G265" s="6" t="str">
        <f t="shared" si="42"/>
        <v/>
      </c>
      <c r="H265" s="6" t="str">
        <f t="shared" si="45"/>
        <v/>
      </c>
      <c r="I265" s="7" t="str">
        <f t="shared" si="43"/>
        <v/>
      </c>
      <c r="J265" s="7" t="str">
        <f t="shared" si="40"/>
        <v/>
      </c>
      <c r="K265" s="7" t="str">
        <f t="shared" si="44"/>
        <v/>
      </c>
      <c r="L265" s="47" t="str">
        <f t="shared" si="46"/>
        <v/>
      </c>
      <c r="S265" s="55">
        <f t="shared" si="47"/>
        <v>8.2142857142857135</v>
      </c>
      <c r="T265" s="39">
        <f t="shared" si="48"/>
        <v>0.16191304347826088</v>
      </c>
    </row>
    <row r="266" spans="1:20" x14ac:dyDescent="0.15">
      <c r="A266" s="12"/>
      <c r="B266" s="13"/>
      <c r="C266" s="13"/>
      <c r="D266" s="13"/>
      <c r="E266" s="14"/>
      <c r="F266" s="6" t="str">
        <f t="shared" si="41"/>
        <v/>
      </c>
      <c r="G266" s="6" t="str">
        <f t="shared" si="42"/>
        <v/>
      </c>
      <c r="H266" s="6" t="str">
        <f t="shared" si="45"/>
        <v/>
      </c>
      <c r="I266" s="7" t="str">
        <f t="shared" si="43"/>
        <v/>
      </c>
      <c r="J266" s="7" t="str">
        <f t="shared" ref="J266:J329" si="49">IF(I266&lt;&gt;"",1/I266*100,"")</f>
        <v/>
      </c>
      <c r="K266" s="7" t="str">
        <f t="shared" si="44"/>
        <v/>
      </c>
      <c r="L266" s="47" t="str">
        <f t="shared" si="46"/>
        <v/>
      </c>
      <c r="S266" s="55">
        <f t="shared" si="47"/>
        <v>8.2142857142857135</v>
      </c>
      <c r="T266" s="39">
        <f t="shared" si="48"/>
        <v>0.16191304347826088</v>
      </c>
    </row>
    <row r="267" spans="1:20" x14ac:dyDescent="0.15">
      <c r="A267" s="12"/>
      <c r="B267" s="13"/>
      <c r="C267" s="13"/>
      <c r="D267" s="13"/>
      <c r="E267" s="14"/>
      <c r="F267" s="6" t="str">
        <f t="shared" si="41"/>
        <v/>
      </c>
      <c r="G267" s="6" t="str">
        <f t="shared" si="42"/>
        <v/>
      </c>
      <c r="H267" s="6" t="str">
        <f t="shared" si="45"/>
        <v/>
      </c>
      <c r="I267" s="7" t="str">
        <f t="shared" si="43"/>
        <v/>
      </c>
      <c r="J267" s="7" t="str">
        <f t="shared" si="49"/>
        <v/>
      </c>
      <c r="K267" s="7" t="str">
        <f t="shared" si="44"/>
        <v/>
      </c>
      <c r="L267" s="47" t="str">
        <f t="shared" si="46"/>
        <v/>
      </c>
      <c r="S267" s="55">
        <f t="shared" si="47"/>
        <v>8.2142857142857135</v>
      </c>
      <c r="T267" s="39">
        <f t="shared" si="48"/>
        <v>0.16191304347826088</v>
      </c>
    </row>
    <row r="268" spans="1:20" x14ac:dyDescent="0.15">
      <c r="A268" s="12"/>
      <c r="B268" s="13"/>
      <c r="C268" s="13"/>
      <c r="D268" s="13"/>
      <c r="E268" s="14"/>
      <c r="F268" s="6" t="str">
        <f t="shared" si="41"/>
        <v/>
      </c>
      <c r="G268" s="6" t="str">
        <f t="shared" si="42"/>
        <v/>
      </c>
      <c r="H268" s="6" t="str">
        <f t="shared" si="45"/>
        <v/>
      </c>
      <c r="I268" s="7" t="str">
        <f t="shared" si="43"/>
        <v/>
      </c>
      <c r="J268" s="7" t="str">
        <f t="shared" si="49"/>
        <v/>
      </c>
      <c r="K268" s="7" t="str">
        <f t="shared" si="44"/>
        <v/>
      </c>
      <c r="L268" s="47" t="str">
        <f t="shared" si="46"/>
        <v/>
      </c>
      <c r="S268" s="55">
        <f t="shared" si="47"/>
        <v>8.2142857142857135</v>
      </c>
      <c r="T268" s="39">
        <f t="shared" si="48"/>
        <v>0.16191304347826088</v>
      </c>
    </row>
    <row r="269" spans="1:20" x14ac:dyDescent="0.15">
      <c r="A269" s="12"/>
      <c r="B269" s="13"/>
      <c r="C269" s="13"/>
      <c r="D269" s="13"/>
      <c r="E269" s="14"/>
      <c r="F269" s="6" t="str">
        <f t="shared" si="41"/>
        <v/>
      </c>
      <c r="G269" s="6" t="str">
        <f t="shared" si="42"/>
        <v/>
      </c>
      <c r="H269" s="6" t="str">
        <f t="shared" si="45"/>
        <v/>
      </c>
      <c r="I269" s="7" t="str">
        <f t="shared" si="43"/>
        <v/>
      </c>
      <c r="J269" s="7" t="str">
        <f t="shared" si="49"/>
        <v/>
      </c>
      <c r="K269" s="7" t="str">
        <f t="shared" si="44"/>
        <v/>
      </c>
      <c r="L269" s="47" t="str">
        <f t="shared" si="46"/>
        <v/>
      </c>
      <c r="S269" s="55">
        <f t="shared" si="47"/>
        <v>8.2142857142857135</v>
      </c>
      <c r="T269" s="39">
        <f t="shared" si="48"/>
        <v>0.16191304347826088</v>
      </c>
    </row>
    <row r="270" spans="1:20" x14ac:dyDescent="0.15">
      <c r="A270" s="12"/>
      <c r="B270" s="13"/>
      <c r="C270" s="13"/>
      <c r="D270" s="13"/>
      <c r="E270" s="14"/>
      <c r="F270" s="6" t="str">
        <f t="shared" si="41"/>
        <v/>
      </c>
      <c r="G270" s="6" t="str">
        <f t="shared" si="42"/>
        <v/>
      </c>
      <c r="H270" s="6" t="str">
        <f t="shared" si="45"/>
        <v/>
      </c>
      <c r="I270" s="7" t="str">
        <f t="shared" si="43"/>
        <v/>
      </c>
      <c r="J270" s="7" t="str">
        <f t="shared" si="49"/>
        <v/>
      </c>
      <c r="K270" s="7" t="str">
        <f t="shared" si="44"/>
        <v/>
      </c>
      <c r="L270" s="47" t="str">
        <f t="shared" si="46"/>
        <v/>
      </c>
      <c r="S270" s="55">
        <f t="shared" si="47"/>
        <v>8.2142857142857135</v>
      </c>
      <c r="T270" s="39">
        <f t="shared" si="48"/>
        <v>0.16191304347826088</v>
      </c>
    </row>
    <row r="271" spans="1:20" x14ac:dyDescent="0.15">
      <c r="A271" s="12"/>
      <c r="B271" s="13"/>
      <c r="C271" s="13"/>
      <c r="D271" s="13"/>
      <c r="E271" s="14"/>
      <c r="F271" s="6" t="str">
        <f t="shared" ref="F271:F334" si="50">IF(B271&gt;0,IF(E270="Sim",B271-B270,F270+B271-B270),"")</f>
        <v/>
      </c>
      <c r="G271" s="6" t="str">
        <f t="shared" ref="G271:G334" si="51">IF(B271&gt;0,IF(E270="Sim",C271,G270+C271),"")</f>
        <v/>
      </c>
      <c r="H271" s="6" t="str">
        <f t="shared" si="45"/>
        <v/>
      </c>
      <c r="I271" s="7" t="str">
        <f t="shared" ref="I271:I334" si="52">IF(E271="Sim",F271/G271,"")</f>
        <v/>
      </c>
      <c r="J271" s="7" t="str">
        <f t="shared" si="49"/>
        <v/>
      </c>
      <c r="K271" s="7" t="str">
        <f t="shared" ref="K271:K334" si="53">IF(I271&lt;&gt;"",I271*0.62137/0.2641,"")</f>
        <v/>
      </c>
      <c r="L271" s="47" t="str">
        <f t="shared" si="46"/>
        <v/>
      </c>
      <c r="S271" s="55">
        <f t="shared" si="47"/>
        <v>8.2142857142857135</v>
      </c>
      <c r="T271" s="39">
        <f t="shared" si="48"/>
        <v>0.16191304347826088</v>
      </c>
    </row>
    <row r="272" spans="1:20" x14ac:dyDescent="0.15">
      <c r="A272" s="12"/>
      <c r="B272" s="13"/>
      <c r="C272" s="13"/>
      <c r="D272" s="13"/>
      <c r="E272" s="14"/>
      <c r="F272" s="6" t="str">
        <f t="shared" si="50"/>
        <v/>
      </c>
      <c r="G272" s="6" t="str">
        <f t="shared" si="51"/>
        <v/>
      </c>
      <c r="H272" s="6" t="str">
        <f t="shared" si="45"/>
        <v/>
      </c>
      <c r="I272" s="7" t="str">
        <f t="shared" si="52"/>
        <v/>
      </c>
      <c r="J272" s="7" t="str">
        <f t="shared" si="49"/>
        <v/>
      </c>
      <c r="K272" s="7" t="str">
        <f t="shared" si="53"/>
        <v/>
      </c>
      <c r="L272" s="47" t="str">
        <f t="shared" si="46"/>
        <v/>
      </c>
      <c r="S272" s="55">
        <f t="shared" si="47"/>
        <v>8.2142857142857135</v>
      </c>
      <c r="T272" s="39">
        <f t="shared" si="48"/>
        <v>0.16191304347826088</v>
      </c>
    </row>
    <row r="273" spans="1:20" x14ac:dyDescent="0.15">
      <c r="A273" s="12"/>
      <c r="B273" s="13"/>
      <c r="C273" s="13"/>
      <c r="D273" s="13"/>
      <c r="E273" s="14"/>
      <c r="F273" s="6" t="str">
        <f t="shared" si="50"/>
        <v/>
      </c>
      <c r="G273" s="6" t="str">
        <f t="shared" si="51"/>
        <v/>
      </c>
      <c r="H273" s="6" t="str">
        <f t="shared" si="45"/>
        <v/>
      </c>
      <c r="I273" s="7" t="str">
        <f t="shared" si="52"/>
        <v/>
      </c>
      <c r="J273" s="7" t="str">
        <f t="shared" si="49"/>
        <v/>
      </c>
      <c r="K273" s="7" t="str">
        <f t="shared" si="53"/>
        <v/>
      </c>
      <c r="L273" s="47" t="str">
        <f t="shared" si="46"/>
        <v/>
      </c>
      <c r="S273" s="55">
        <f t="shared" si="47"/>
        <v>8.2142857142857135</v>
      </c>
      <c r="T273" s="39">
        <f t="shared" si="48"/>
        <v>0.16191304347826088</v>
      </c>
    </row>
    <row r="274" spans="1:20" x14ac:dyDescent="0.15">
      <c r="A274" s="12"/>
      <c r="B274" s="13"/>
      <c r="C274" s="13"/>
      <c r="D274" s="13"/>
      <c r="E274" s="14"/>
      <c r="F274" s="6" t="str">
        <f t="shared" si="50"/>
        <v/>
      </c>
      <c r="G274" s="6" t="str">
        <f t="shared" si="51"/>
        <v/>
      </c>
      <c r="H274" s="6" t="str">
        <f t="shared" si="45"/>
        <v/>
      </c>
      <c r="I274" s="7" t="str">
        <f t="shared" si="52"/>
        <v/>
      </c>
      <c r="J274" s="7" t="str">
        <f t="shared" si="49"/>
        <v/>
      </c>
      <c r="K274" s="7" t="str">
        <f t="shared" si="53"/>
        <v/>
      </c>
      <c r="L274" s="47" t="str">
        <f t="shared" si="46"/>
        <v/>
      </c>
      <c r="S274" s="55">
        <f t="shared" si="47"/>
        <v>8.2142857142857135</v>
      </c>
      <c r="T274" s="39">
        <f t="shared" si="48"/>
        <v>0.16191304347826088</v>
      </c>
    </row>
    <row r="275" spans="1:20" x14ac:dyDescent="0.15">
      <c r="A275" s="12"/>
      <c r="B275" s="13"/>
      <c r="C275" s="13"/>
      <c r="D275" s="13"/>
      <c r="E275" s="14"/>
      <c r="F275" s="6" t="str">
        <f t="shared" si="50"/>
        <v/>
      </c>
      <c r="G275" s="6" t="str">
        <f t="shared" si="51"/>
        <v/>
      </c>
      <c r="H275" s="6" t="str">
        <f t="shared" si="45"/>
        <v/>
      </c>
      <c r="I275" s="7" t="str">
        <f t="shared" si="52"/>
        <v/>
      </c>
      <c r="J275" s="7" t="str">
        <f t="shared" si="49"/>
        <v/>
      </c>
      <c r="K275" s="7" t="str">
        <f t="shared" si="53"/>
        <v/>
      </c>
      <c r="L275" s="47" t="str">
        <f t="shared" si="46"/>
        <v/>
      </c>
      <c r="S275" s="55">
        <f t="shared" si="47"/>
        <v>8.2142857142857135</v>
      </c>
      <c r="T275" s="39">
        <f t="shared" si="48"/>
        <v>0.16191304347826088</v>
      </c>
    </row>
    <row r="276" spans="1:20" x14ac:dyDescent="0.15">
      <c r="A276" s="12"/>
      <c r="B276" s="13"/>
      <c r="C276" s="13"/>
      <c r="D276" s="13"/>
      <c r="E276" s="14"/>
      <c r="F276" s="6" t="str">
        <f t="shared" si="50"/>
        <v/>
      </c>
      <c r="G276" s="6" t="str">
        <f t="shared" si="51"/>
        <v/>
      </c>
      <c r="H276" s="6" t="str">
        <f t="shared" si="45"/>
        <v/>
      </c>
      <c r="I276" s="7" t="str">
        <f t="shared" si="52"/>
        <v/>
      </c>
      <c r="J276" s="7" t="str">
        <f t="shared" si="49"/>
        <v/>
      </c>
      <c r="K276" s="7" t="str">
        <f t="shared" si="53"/>
        <v/>
      </c>
      <c r="L276" s="47" t="str">
        <f t="shared" si="46"/>
        <v/>
      </c>
      <c r="S276" s="55">
        <f t="shared" si="47"/>
        <v>8.2142857142857135</v>
      </c>
      <c r="T276" s="39">
        <f t="shared" si="48"/>
        <v>0.16191304347826088</v>
      </c>
    </row>
    <row r="277" spans="1:20" x14ac:dyDescent="0.15">
      <c r="A277" s="12"/>
      <c r="B277" s="13"/>
      <c r="C277" s="13"/>
      <c r="D277" s="13"/>
      <c r="E277" s="14"/>
      <c r="F277" s="6" t="str">
        <f t="shared" si="50"/>
        <v/>
      </c>
      <c r="G277" s="6" t="str">
        <f t="shared" si="51"/>
        <v/>
      </c>
      <c r="H277" s="6" t="str">
        <f t="shared" si="45"/>
        <v/>
      </c>
      <c r="I277" s="7" t="str">
        <f t="shared" si="52"/>
        <v/>
      </c>
      <c r="J277" s="7" t="str">
        <f t="shared" si="49"/>
        <v/>
      </c>
      <c r="K277" s="7" t="str">
        <f t="shared" si="53"/>
        <v/>
      </c>
      <c r="L277" s="47" t="str">
        <f t="shared" si="46"/>
        <v/>
      </c>
      <c r="S277" s="55">
        <f t="shared" si="47"/>
        <v>8.2142857142857135</v>
      </c>
      <c r="T277" s="39">
        <f t="shared" si="48"/>
        <v>0.16191304347826088</v>
      </c>
    </row>
    <row r="278" spans="1:20" x14ac:dyDescent="0.15">
      <c r="A278" s="12"/>
      <c r="B278" s="13"/>
      <c r="C278" s="13"/>
      <c r="D278" s="13"/>
      <c r="E278" s="14"/>
      <c r="F278" s="6" t="str">
        <f t="shared" si="50"/>
        <v/>
      </c>
      <c r="G278" s="6" t="str">
        <f t="shared" si="51"/>
        <v/>
      </c>
      <c r="H278" s="6" t="str">
        <f t="shared" si="45"/>
        <v/>
      </c>
      <c r="I278" s="7" t="str">
        <f t="shared" si="52"/>
        <v/>
      </c>
      <c r="J278" s="7" t="str">
        <f t="shared" si="49"/>
        <v/>
      </c>
      <c r="K278" s="7" t="str">
        <f t="shared" si="53"/>
        <v/>
      </c>
      <c r="L278" s="47" t="str">
        <f t="shared" si="46"/>
        <v/>
      </c>
      <c r="S278" s="55">
        <f t="shared" si="47"/>
        <v>8.2142857142857135</v>
      </c>
      <c r="T278" s="39">
        <f t="shared" si="48"/>
        <v>0.16191304347826088</v>
      </c>
    </row>
    <row r="279" spans="1:20" x14ac:dyDescent="0.15">
      <c r="A279" s="12"/>
      <c r="B279" s="13"/>
      <c r="C279" s="13"/>
      <c r="D279" s="13"/>
      <c r="E279" s="14"/>
      <c r="F279" s="6" t="str">
        <f t="shared" si="50"/>
        <v/>
      </c>
      <c r="G279" s="6" t="str">
        <f t="shared" si="51"/>
        <v/>
      </c>
      <c r="H279" s="6" t="str">
        <f t="shared" si="45"/>
        <v/>
      </c>
      <c r="I279" s="7" t="str">
        <f t="shared" si="52"/>
        <v/>
      </c>
      <c r="J279" s="7" t="str">
        <f t="shared" si="49"/>
        <v/>
      </c>
      <c r="K279" s="7" t="str">
        <f t="shared" si="53"/>
        <v/>
      </c>
      <c r="L279" s="47" t="str">
        <f t="shared" si="46"/>
        <v/>
      </c>
      <c r="S279" s="55">
        <f t="shared" si="47"/>
        <v>8.2142857142857135</v>
      </c>
      <c r="T279" s="39">
        <f t="shared" si="48"/>
        <v>0.16191304347826088</v>
      </c>
    </row>
    <row r="280" spans="1:20" x14ac:dyDescent="0.15">
      <c r="A280" s="12"/>
      <c r="B280" s="13"/>
      <c r="C280" s="13"/>
      <c r="D280" s="13"/>
      <c r="E280" s="14"/>
      <c r="F280" s="6" t="str">
        <f t="shared" si="50"/>
        <v/>
      </c>
      <c r="G280" s="6" t="str">
        <f t="shared" si="51"/>
        <v/>
      </c>
      <c r="H280" s="6" t="str">
        <f t="shared" si="45"/>
        <v/>
      </c>
      <c r="I280" s="7" t="str">
        <f t="shared" si="52"/>
        <v/>
      </c>
      <c r="J280" s="7" t="str">
        <f t="shared" si="49"/>
        <v/>
      </c>
      <c r="K280" s="7" t="str">
        <f t="shared" si="53"/>
        <v/>
      </c>
      <c r="L280" s="47" t="str">
        <f t="shared" si="46"/>
        <v/>
      </c>
      <c r="S280" s="55">
        <f t="shared" si="47"/>
        <v>8.2142857142857135</v>
      </c>
      <c r="T280" s="39">
        <f t="shared" si="48"/>
        <v>0.16191304347826088</v>
      </c>
    </row>
    <row r="281" spans="1:20" x14ac:dyDescent="0.15">
      <c r="A281" s="12"/>
      <c r="B281" s="13"/>
      <c r="C281" s="13"/>
      <c r="D281" s="13"/>
      <c r="E281" s="14"/>
      <c r="F281" s="6" t="str">
        <f t="shared" si="50"/>
        <v/>
      </c>
      <c r="G281" s="6" t="str">
        <f t="shared" si="51"/>
        <v/>
      </c>
      <c r="H281" s="6" t="str">
        <f t="shared" si="45"/>
        <v/>
      </c>
      <c r="I281" s="7" t="str">
        <f t="shared" si="52"/>
        <v/>
      </c>
      <c r="J281" s="7" t="str">
        <f t="shared" si="49"/>
        <v/>
      </c>
      <c r="K281" s="7" t="str">
        <f t="shared" si="53"/>
        <v/>
      </c>
      <c r="L281" s="47" t="str">
        <f t="shared" si="46"/>
        <v/>
      </c>
      <c r="S281" s="55">
        <f t="shared" si="47"/>
        <v>8.2142857142857135</v>
      </c>
      <c r="T281" s="39">
        <f t="shared" si="48"/>
        <v>0.16191304347826088</v>
      </c>
    </row>
    <row r="282" spans="1:20" x14ac:dyDescent="0.15">
      <c r="A282" s="12"/>
      <c r="B282" s="13"/>
      <c r="C282" s="13"/>
      <c r="D282" s="13"/>
      <c r="E282" s="14"/>
      <c r="F282" s="6" t="str">
        <f t="shared" si="50"/>
        <v/>
      </c>
      <c r="G282" s="6" t="str">
        <f t="shared" si="51"/>
        <v/>
      </c>
      <c r="H282" s="6" t="str">
        <f t="shared" si="45"/>
        <v/>
      </c>
      <c r="I282" s="7" t="str">
        <f t="shared" si="52"/>
        <v/>
      </c>
      <c r="J282" s="7" t="str">
        <f t="shared" si="49"/>
        <v/>
      </c>
      <c r="K282" s="7" t="str">
        <f t="shared" si="53"/>
        <v/>
      </c>
      <c r="L282" s="47" t="str">
        <f t="shared" si="46"/>
        <v/>
      </c>
      <c r="S282" s="55">
        <f t="shared" si="47"/>
        <v>8.2142857142857135</v>
      </c>
      <c r="T282" s="39">
        <f t="shared" si="48"/>
        <v>0.16191304347826088</v>
      </c>
    </row>
    <row r="283" spans="1:20" x14ac:dyDescent="0.15">
      <c r="A283" s="12"/>
      <c r="B283" s="13"/>
      <c r="C283" s="13"/>
      <c r="D283" s="13"/>
      <c r="E283" s="14"/>
      <c r="F283" s="6" t="str">
        <f t="shared" si="50"/>
        <v/>
      </c>
      <c r="G283" s="6" t="str">
        <f t="shared" si="51"/>
        <v/>
      </c>
      <c r="H283" s="6" t="str">
        <f t="shared" si="45"/>
        <v/>
      </c>
      <c r="I283" s="7" t="str">
        <f t="shared" si="52"/>
        <v/>
      </c>
      <c r="J283" s="7" t="str">
        <f t="shared" si="49"/>
        <v/>
      </c>
      <c r="K283" s="7" t="str">
        <f t="shared" si="53"/>
        <v/>
      </c>
      <c r="L283" s="47" t="str">
        <f t="shared" si="46"/>
        <v/>
      </c>
      <c r="S283" s="55">
        <f t="shared" si="47"/>
        <v>8.2142857142857135</v>
      </c>
      <c r="T283" s="39">
        <f t="shared" si="48"/>
        <v>0.16191304347826088</v>
      </c>
    </row>
    <row r="284" spans="1:20" x14ac:dyDescent="0.15">
      <c r="A284" s="12"/>
      <c r="B284" s="13"/>
      <c r="C284" s="13"/>
      <c r="D284" s="13"/>
      <c r="E284" s="14"/>
      <c r="F284" s="6" t="str">
        <f t="shared" si="50"/>
        <v/>
      </c>
      <c r="G284" s="6" t="str">
        <f t="shared" si="51"/>
        <v/>
      </c>
      <c r="H284" s="6" t="str">
        <f t="shared" si="45"/>
        <v/>
      </c>
      <c r="I284" s="7" t="str">
        <f t="shared" si="52"/>
        <v/>
      </c>
      <c r="J284" s="7" t="str">
        <f t="shared" si="49"/>
        <v/>
      </c>
      <c r="K284" s="7" t="str">
        <f t="shared" si="53"/>
        <v/>
      </c>
      <c r="L284" s="47" t="str">
        <f t="shared" si="46"/>
        <v/>
      </c>
      <c r="S284" s="55">
        <f t="shared" si="47"/>
        <v>8.2142857142857135</v>
      </c>
      <c r="T284" s="39">
        <f t="shared" si="48"/>
        <v>0.16191304347826088</v>
      </c>
    </row>
    <row r="285" spans="1:20" x14ac:dyDescent="0.15">
      <c r="A285" s="12"/>
      <c r="B285" s="13"/>
      <c r="C285" s="13"/>
      <c r="D285" s="13"/>
      <c r="E285" s="14"/>
      <c r="F285" s="6" t="str">
        <f t="shared" si="50"/>
        <v/>
      </c>
      <c r="G285" s="6" t="str">
        <f t="shared" si="51"/>
        <v/>
      </c>
      <c r="H285" s="6" t="str">
        <f t="shared" si="45"/>
        <v/>
      </c>
      <c r="I285" s="7" t="str">
        <f t="shared" si="52"/>
        <v/>
      </c>
      <c r="J285" s="7" t="str">
        <f t="shared" si="49"/>
        <v/>
      </c>
      <c r="K285" s="7" t="str">
        <f t="shared" si="53"/>
        <v/>
      </c>
      <c r="L285" s="47" t="str">
        <f t="shared" si="46"/>
        <v/>
      </c>
      <c r="S285" s="55">
        <f t="shared" si="47"/>
        <v>8.2142857142857135</v>
      </c>
      <c r="T285" s="39">
        <f t="shared" si="48"/>
        <v>0.16191304347826088</v>
      </c>
    </row>
    <row r="286" spans="1:20" x14ac:dyDescent="0.15">
      <c r="A286" s="12"/>
      <c r="B286" s="13"/>
      <c r="C286" s="13"/>
      <c r="D286" s="13"/>
      <c r="E286" s="14"/>
      <c r="F286" s="6" t="str">
        <f t="shared" si="50"/>
        <v/>
      </c>
      <c r="G286" s="6" t="str">
        <f t="shared" si="51"/>
        <v/>
      </c>
      <c r="H286" s="6" t="str">
        <f t="shared" si="45"/>
        <v/>
      </c>
      <c r="I286" s="7" t="str">
        <f t="shared" si="52"/>
        <v/>
      </c>
      <c r="J286" s="7" t="str">
        <f t="shared" si="49"/>
        <v/>
      </c>
      <c r="K286" s="7" t="str">
        <f t="shared" si="53"/>
        <v/>
      </c>
      <c r="L286" s="47" t="str">
        <f t="shared" si="46"/>
        <v/>
      </c>
      <c r="S286" s="55">
        <f t="shared" si="47"/>
        <v>8.2142857142857135</v>
      </c>
      <c r="T286" s="39">
        <f t="shared" si="48"/>
        <v>0.16191304347826088</v>
      </c>
    </row>
    <row r="287" spans="1:20" x14ac:dyDescent="0.15">
      <c r="A287" s="12"/>
      <c r="B287" s="13"/>
      <c r="C287" s="13"/>
      <c r="D287" s="13"/>
      <c r="E287" s="14"/>
      <c r="F287" s="6" t="str">
        <f t="shared" si="50"/>
        <v/>
      </c>
      <c r="G287" s="6" t="str">
        <f t="shared" si="51"/>
        <v/>
      </c>
      <c r="H287" s="6" t="str">
        <f t="shared" si="45"/>
        <v/>
      </c>
      <c r="I287" s="7" t="str">
        <f t="shared" si="52"/>
        <v/>
      </c>
      <c r="J287" s="7" t="str">
        <f t="shared" si="49"/>
        <v/>
      </c>
      <c r="K287" s="7" t="str">
        <f t="shared" si="53"/>
        <v/>
      </c>
      <c r="L287" s="47" t="str">
        <f t="shared" si="46"/>
        <v/>
      </c>
      <c r="S287" s="55">
        <f t="shared" si="47"/>
        <v>8.2142857142857135</v>
      </c>
      <c r="T287" s="39">
        <f t="shared" si="48"/>
        <v>0.16191304347826088</v>
      </c>
    </row>
    <row r="288" spans="1:20" x14ac:dyDescent="0.15">
      <c r="A288" s="12"/>
      <c r="B288" s="13"/>
      <c r="C288" s="13"/>
      <c r="D288" s="13"/>
      <c r="E288" s="14"/>
      <c r="F288" s="6" t="str">
        <f t="shared" si="50"/>
        <v/>
      </c>
      <c r="G288" s="6" t="str">
        <f t="shared" si="51"/>
        <v/>
      </c>
      <c r="H288" s="6" t="str">
        <f t="shared" si="45"/>
        <v/>
      </c>
      <c r="I288" s="7" t="str">
        <f t="shared" si="52"/>
        <v/>
      </c>
      <c r="J288" s="7" t="str">
        <f t="shared" si="49"/>
        <v/>
      </c>
      <c r="K288" s="7" t="str">
        <f t="shared" si="53"/>
        <v/>
      </c>
      <c r="L288" s="47" t="str">
        <f t="shared" si="46"/>
        <v/>
      </c>
      <c r="S288" s="55">
        <f t="shared" si="47"/>
        <v>8.2142857142857135</v>
      </c>
      <c r="T288" s="39">
        <f t="shared" si="48"/>
        <v>0.16191304347826088</v>
      </c>
    </row>
    <row r="289" spans="1:20" x14ac:dyDescent="0.15">
      <c r="A289" s="12"/>
      <c r="B289" s="13"/>
      <c r="C289" s="13"/>
      <c r="D289" s="13"/>
      <c r="E289" s="14"/>
      <c r="F289" s="6" t="str">
        <f t="shared" si="50"/>
        <v/>
      </c>
      <c r="G289" s="6" t="str">
        <f t="shared" si="51"/>
        <v/>
      </c>
      <c r="H289" s="6" t="str">
        <f t="shared" si="45"/>
        <v/>
      </c>
      <c r="I289" s="7" t="str">
        <f t="shared" si="52"/>
        <v/>
      </c>
      <c r="J289" s="7" t="str">
        <f t="shared" si="49"/>
        <v/>
      </c>
      <c r="K289" s="7" t="str">
        <f t="shared" si="53"/>
        <v/>
      </c>
      <c r="L289" s="47" t="str">
        <f t="shared" si="46"/>
        <v/>
      </c>
      <c r="S289" s="55">
        <f t="shared" si="47"/>
        <v>8.2142857142857135</v>
      </c>
      <c r="T289" s="39">
        <f t="shared" si="48"/>
        <v>0.16191304347826088</v>
      </c>
    </row>
    <row r="290" spans="1:20" x14ac:dyDescent="0.15">
      <c r="A290" s="12"/>
      <c r="B290" s="13"/>
      <c r="C290" s="13"/>
      <c r="D290" s="13"/>
      <c r="E290" s="14"/>
      <c r="F290" s="6" t="str">
        <f t="shared" si="50"/>
        <v/>
      </c>
      <c r="G290" s="6" t="str">
        <f t="shared" si="51"/>
        <v/>
      </c>
      <c r="H290" s="6" t="str">
        <f t="shared" si="45"/>
        <v/>
      </c>
      <c r="I290" s="7" t="str">
        <f t="shared" si="52"/>
        <v/>
      </c>
      <c r="J290" s="7" t="str">
        <f t="shared" si="49"/>
        <v/>
      </c>
      <c r="K290" s="7" t="str">
        <f t="shared" si="53"/>
        <v/>
      </c>
      <c r="L290" s="47" t="str">
        <f t="shared" si="46"/>
        <v/>
      </c>
      <c r="S290" s="55">
        <f t="shared" si="47"/>
        <v>8.2142857142857135</v>
      </c>
      <c r="T290" s="39">
        <f t="shared" si="48"/>
        <v>0.16191304347826088</v>
      </c>
    </row>
    <row r="291" spans="1:20" x14ac:dyDescent="0.15">
      <c r="A291" s="12"/>
      <c r="B291" s="13"/>
      <c r="C291" s="13"/>
      <c r="D291" s="13"/>
      <c r="E291" s="14"/>
      <c r="F291" s="6" t="str">
        <f t="shared" si="50"/>
        <v/>
      </c>
      <c r="G291" s="6" t="str">
        <f t="shared" si="51"/>
        <v/>
      </c>
      <c r="H291" s="6" t="str">
        <f t="shared" si="45"/>
        <v/>
      </c>
      <c r="I291" s="7" t="str">
        <f t="shared" si="52"/>
        <v/>
      </c>
      <c r="J291" s="7" t="str">
        <f t="shared" si="49"/>
        <v/>
      </c>
      <c r="K291" s="7" t="str">
        <f t="shared" si="53"/>
        <v/>
      </c>
      <c r="L291" s="47" t="str">
        <f t="shared" si="46"/>
        <v/>
      </c>
      <c r="S291" s="55">
        <f t="shared" si="47"/>
        <v>8.2142857142857135</v>
      </c>
      <c r="T291" s="39">
        <f t="shared" si="48"/>
        <v>0.16191304347826088</v>
      </c>
    </row>
    <row r="292" spans="1:20" x14ac:dyDescent="0.15">
      <c r="A292" s="12"/>
      <c r="B292" s="13"/>
      <c r="C292" s="13"/>
      <c r="D292" s="13"/>
      <c r="E292" s="14"/>
      <c r="F292" s="6" t="str">
        <f t="shared" si="50"/>
        <v/>
      </c>
      <c r="G292" s="6" t="str">
        <f t="shared" si="51"/>
        <v/>
      </c>
      <c r="H292" s="6" t="str">
        <f t="shared" si="45"/>
        <v/>
      </c>
      <c r="I292" s="7" t="str">
        <f t="shared" si="52"/>
        <v/>
      </c>
      <c r="J292" s="7" t="str">
        <f t="shared" si="49"/>
        <v/>
      </c>
      <c r="K292" s="7" t="str">
        <f t="shared" si="53"/>
        <v/>
      </c>
      <c r="L292" s="47" t="str">
        <f t="shared" si="46"/>
        <v/>
      </c>
      <c r="S292" s="55">
        <f t="shared" si="47"/>
        <v>8.2142857142857135</v>
      </c>
      <c r="T292" s="39">
        <f t="shared" si="48"/>
        <v>0.16191304347826088</v>
      </c>
    </row>
    <row r="293" spans="1:20" x14ac:dyDescent="0.15">
      <c r="A293" s="12"/>
      <c r="B293" s="13"/>
      <c r="C293" s="13"/>
      <c r="D293" s="13"/>
      <c r="E293" s="14"/>
      <c r="F293" s="6" t="str">
        <f t="shared" si="50"/>
        <v/>
      </c>
      <c r="G293" s="6" t="str">
        <f t="shared" si="51"/>
        <v/>
      </c>
      <c r="H293" s="6" t="str">
        <f t="shared" si="45"/>
        <v/>
      </c>
      <c r="I293" s="7" t="str">
        <f t="shared" si="52"/>
        <v/>
      </c>
      <c r="J293" s="7" t="str">
        <f t="shared" si="49"/>
        <v/>
      </c>
      <c r="K293" s="7" t="str">
        <f t="shared" si="53"/>
        <v/>
      </c>
      <c r="L293" s="47" t="str">
        <f t="shared" si="46"/>
        <v/>
      </c>
      <c r="S293" s="55">
        <f t="shared" si="47"/>
        <v>8.2142857142857135</v>
      </c>
      <c r="T293" s="39">
        <f t="shared" si="48"/>
        <v>0.16191304347826088</v>
      </c>
    </row>
    <row r="294" spans="1:20" x14ac:dyDescent="0.15">
      <c r="A294" s="12"/>
      <c r="B294" s="13"/>
      <c r="C294" s="13"/>
      <c r="D294" s="13"/>
      <c r="E294" s="14"/>
      <c r="F294" s="6" t="str">
        <f t="shared" si="50"/>
        <v/>
      </c>
      <c r="G294" s="6" t="str">
        <f t="shared" si="51"/>
        <v/>
      </c>
      <c r="H294" s="6" t="str">
        <f t="shared" si="45"/>
        <v/>
      </c>
      <c r="I294" s="7" t="str">
        <f t="shared" si="52"/>
        <v/>
      </c>
      <c r="J294" s="7" t="str">
        <f t="shared" si="49"/>
        <v/>
      </c>
      <c r="K294" s="7" t="str">
        <f t="shared" si="53"/>
        <v/>
      </c>
      <c r="L294" s="47" t="str">
        <f t="shared" si="46"/>
        <v/>
      </c>
      <c r="S294" s="55">
        <f t="shared" si="47"/>
        <v>8.2142857142857135</v>
      </c>
      <c r="T294" s="39">
        <f t="shared" si="48"/>
        <v>0.16191304347826088</v>
      </c>
    </row>
    <row r="295" spans="1:20" x14ac:dyDescent="0.15">
      <c r="A295" s="12"/>
      <c r="B295" s="13"/>
      <c r="C295" s="13"/>
      <c r="D295" s="13"/>
      <c r="E295" s="14"/>
      <c r="F295" s="6" t="str">
        <f t="shared" si="50"/>
        <v/>
      </c>
      <c r="G295" s="6" t="str">
        <f t="shared" si="51"/>
        <v/>
      </c>
      <c r="H295" s="6" t="str">
        <f t="shared" si="45"/>
        <v/>
      </c>
      <c r="I295" s="7" t="str">
        <f t="shared" si="52"/>
        <v/>
      </c>
      <c r="J295" s="7" t="str">
        <f t="shared" si="49"/>
        <v/>
      </c>
      <c r="K295" s="7" t="str">
        <f t="shared" si="53"/>
        <v/>
      </c>
      <c r="L295" s="47" t="str">
        <f t="shared" si="46"/>
        <v/>
      </c>
      <c r="S295" s="55">
        <f t="shared" si="47"/>
        <v>8.2142857142857135</v>
      </c>
      <c r="T295" s="39">
        <f t="shared" si="48"/>
        <v>0.16191304347826088</v>
      </c>
    </row>
    <row r="296" spans="1:20" x14ac:dyDescent="0.15">
      <c r="A296" s="12"/>
      <c r="B296" s="13"/>
      <c r="C296" s="13"/>
      <c r="D296" s="13"/>
      <c r="E296" s="14"/>
      <c r="F296" s="6" t="str">
        <f t="shared" si="50"/>
        <v/>
      </c>
      <c r="G296" s="6" t="str">
        <f t="shared" si="51"/>
        <v/>
      </c>
      <c r="H296" s="6" t="str">
        <f t="shared" si="45"/>
        <v/>
      </c>
      <c r="I296" s="7" t="str">
        <f t="shared" si="52"/>
        <v/>
      </c>
      <c r="J296" s="7" t="str">
        <f t="shared" si="49"/>
        <v/>
      </c>
      <c r="K296" s="7" t="str">
        <f t="shared" si="53"/>
        <v/>
      </c>
      <c r="L296" s="47" t="str">
        <f t="shared" si="46"/>
        <v/>
      </c>
      <c r="S296" s="55">
        <f t="shared" si="47"/>
        <v>8.2142857142857135</v>
      </c>
      <c r="T296" s="39">
        <f t="shared" si="48"/>
        <v>0.16191304347826088</v>
      </c>
    </row>
    <row r="297" spans="1:20" x14ac:dyDescent="0.15">
      <c r="A297" s="12"/>
      <c r="B297" s="13"/>
      <c r="C297" s="13"/>
      <c r="D297" s="13"/>
      <c r="E297" s="14"/>
      <c r="F297" s="6" t="str">
        <f t="shared" si="50"/>
        <v/>
      </c>
      <c r="G297" s="6" t="str">
        <f t="shared" si="51"/>
        <v/>
      </c>
      <c r="H297" s="6" t="str">
        <f t="shared" si="45"/>
        <v/>
      </c>
      <c r="I297" s="7" t="str">
        <f t="shared" si="52"/>
        <v/>
      </c>
      <c r="J297" s="7" t="str">
        <f t="shared" si="49"/>
        <v/>
      </c>
      <c r="K297" s="7" t="str">
        <f t="shared" si="53"/>
        <v/>
      </c>
      <c r="L297" s="47" t="str">
        <f t="shared" si="46"/>
        <v/>
      </c>
      <c r="S297" s="55">
        <f t="shared" si="47"/>
        <v>8.2142857142857135</v>
      </c>
      <c r="T297" s="39">
        <f t="shared" si="48"/>
        <v>0.16191304347826088</v>
      </c>
    </row>
    <row r="298" spans="1:20" x14ac:dyDescent="0.15">
      <c r="A298" s="12"/>
      <c r="B298" s="13"/>
      <c r="C298" s="13"/>
      <c r="D298" s="13"/>
      <c r="E298" s="14"/>
      <c r="F298" s="6" t="str">
        <f t="shared" si="50"/>
        <v/>
      </c>
      <c r="G298" s="6" t="str">
        <f t="shared" si="51"/>
        <v/>
      </c>
      <c r="H298" s="6" t="str">
        <f t="shared" si="45"/>
        <v/>
      </c>
      <c r="I298" s="7" t="str">
        <f t="shared" si="52"/>
        <v/>
      </c>
      <c r="J298" s="7" t="str">
        <f t="shared" si="49"/>
        <v/>
      </c>
      <c r="K298" s="7" t="str">
        <f t="shared" si="53"/>
        <v/>
      </c>
      <c r="L298" s="47" t="str">
        <f t="shared" si="46"/>
        <v/>
      </c>
      <c r="S298" s="55">
        <f t="shared" si="47"/>
        <v>8.2142857142857135</v>
      </c>
      <c r="T298" s="39">
        <f t="shared" si="48"/>
        <v>0.16191304347826088</v>
      </c>
    </row>
    <row r="299" spans="1:20" x14ac:dyDescent="0.15">
      <c r="A299" s="12"/>
      <c r="B299" s="13"/>
      <c r="C299" s="13"/>
      <c r="D299" s="13"/>
      <c r="E299" s="14"/>
      <c r="F299" s="6" t="str">
        <f t="shared" si="50"/>
        <v/>
      </c>
      <c r="G299" s="6" t="str">
        <f t="shared" si="51"/>
        <v/>
      </c>
      <c r="H299" s="6" t="str">
        <f t="shared" si="45"/>
        <v/>
      </c>
      <c r="I299" s="7" t="str">
        <f t="shared" si="52"/>
        <v/>
      </c>
      <c r="J299" s="7" t="str">
        <f t="shared" si="49"/>
        <v/>
      </c>
      <c r="K299" s="7" t="str">
        <f t="shared" si="53"/>
        <v/>
      </c>
      <c r="L299" s="47" t="str">
        <f t="shared" si="46"/>
        <v/>
      </c>
      <c r="S299" s="55">
        <f t="shared" si="47"/>
        <v>8.2142857142857135</v>
      </c>
      <c r="T299" s="39">
        <f t="shared" si="48"/>
        <v>0.16191304347826088</v>
      </c>
    </row>
    <row r="300" spans="1:20" x14ac:dyDescent="0.15">
      <c r="A300" s="12"/>
      <c r="B300" s="13"/>
      <c r="C300" s="13"/>
      <c r="D300" s="13"/>
      <c r="E300" s="14"/>
      <c r="F300" s="6" t="str">
        <f t="shared" si="50"/>
        <v/>
      </c>
      <c r="G300" s="6" t="str">
        <f t="shared" si="51"/>
        <v/>
      </c>
      <c r="H300" s="6" t="str">
        <f t="shared" si="45"/>
        <v/>
      </c>
      <c r="I300" s="7" t="str">
        <f t="shared" si="52"/>
        <v/>
      </c>
      <c r="J300" s="7" t="str">
        <f t="shared" si="49"/>
        <v/>
      </c>
      <c r="K300" s="7" t="str">
        <f t="shared" si="53"/>
        <v/>
      </c>
      <c r="L300" s="47" t="str">
        <f t="shared" si="46"/>
        <v/>
      </c>
      <c r="S300" s="55">
        <f t="shared" si="47"/>
        <v>8.2142857142857135</v>
      </c>
      <c r="T300" s="39">
        <f t="shared" si="48"/>
        <v>0.16191304347826088</v>
      </c>
    </row>
    <row r="301" spans="1:20" x14ac:dyDescent="0.15">
      <c r="A301" s="12"/>
      <c r="B301" s="13"/>
      <c r="C301" s="13"/>
      <c r="D301" s="13"/>
      <c r="E301" s="14"/>
      <c r="F301" s="6" t="str">
        <f t="shared" si="50"/>
        <v/>
      </c>
      <c r="G301" s="6" t="str">
        <f t="shared" si="51"/>
        <v/>
      </c>
      <c r="H301" s="6" t="str">
        <f t="shared" si="45"/>
        <v/>
      </c>
      <c r="I301" s="7" t="str">
        <f t="shared" si="52"/>
        <v/>
      </c>
      <c r="J301" s="7" t="str">
        <f t="shared" si="49"/>
        <v/>
      </c>
      <c r="K301" s="7" t="str">
        <f t="shared" si="53"/>
        <v/>
      </c>
      <c r="L301" s="47" t="str">
        <f t="shared" si="46"/>
        <v/>
      </c>
      <c r="S301" s="55">
        <f t="shared" si="47"/>
        <v>8.2142857142857135</v>
      </c>
      <c r="T301" s="39">
        <f t="shared" si="48"/>
        <v>0.16191304347826088</v>
      </c>
    </row>
    <row r="302" spans="1:20" x14ac:dyDescent="0.15">
      <c r="A302" s="12"/>
      <c r="B302" s="13"/>
      <c r="C302" s="13"/>
      <c r="D302" s="13"/>
      <c r="E302" s="14"/>
      <c r="F302" s="6" t="str">
        <f t="shared" si="50"/>
        <v/>
      </c>
      <c r="G302" s="6" t="str">
        <f t="shared" si="51"/>
        <v/>
      </c>
      <c r="H302" s="6" t="str">
        <f t="shared" si="45"/>
        <v/>
      </c>
      <c r="I302" s="7" t="str">
        <f t="shared" si="52"/>
        <v/>
      </c>
      <c r="J302" s="7" t="str">
        <f t="shared" si="49"/>
        <v/>
      </c>
      <c r="K302" s="7" t="str">
        <f t="shared" si="53"/>
        <v/>
      </c>
      <c r="L302" s="47" t="str">
        <f t="shared" si="46"/>
        <v/>
      </c>
      <c r="S302" s="55">
        <f t="shared" si="47"/>
        <v>8.2142857142857135</v>
      </c>
      <c r="T302" s="39">
        <f t="shared" si="48"/>
        <v>0.16191304347826088</v>
      </c>
    </row>
    <row r="303" spans="1:20" x14ac:dyDescent="0.15">
      <c r="A303" s="12"/>
      <c r="B303" s="13"/>
      <c r="C303" s="13"/>
      <c r="D303" s="13"/>
      <c r="E303" s="14"/>
      <c r="F303" s="6" t="str">
        <f t="shared" si="50"/>
        <v/>
      </c>
      <c r="G303" s="6" t="str">
        <f t="shared" si="51"/>
        <v/>
      </c>
      <c r="H303" s="6" t="str">
        <f t="shared" si="45"/>
        <v/>
      </c>
      <c r="I303" s="7" t="str">
        <f t="shared" si="52"/>
        <v/>
      </c>
      <c r="J303" s="7" t="str">
        <f t="shared" si="49"/>
        <v/>
      </c>
      <c r="K303" s="7" t="str">
        <f t="shared" si="53"/>
        <v/>
      </c>
      <c r="L303" s="47" t="str">
        <f t="shared" si="46"/>
        <v/>
      </c>
      <c r="S303" s="55">
        <f t="shared" si="47"/>
        <v>8.2142857142857135</v>
      </c>
      <c r="T303" s="39">
        <f t="shared" si="48"/>
        <v>0.16191304347826088</v>
      </c>
    </row>
    <row r="304" spans="1:20" x14ac:dyDescent="0.15">
      <c r="A304" s="12"/>
      <c r="B304" s="13"/>
      <c r="C304" s="13"/>
      <c r="D304" s="13"/>
      <c r="E304" s="14"/>
      <c r="F304" s="6" t="str">
        <f t="shared" si="50"/>
        <v/>
      </c>
      <c r="G304" s="6" t="str">
        <f t="shared" si="51"/>
        <v/>
      </c>
      <c r="H304" s="6" t="str">
        <f t="shared" si="45"/>
        <v/>
      </c>
      <c r="I304" s="7" t="str">
        <f t="shared" si="52"/>
        <v/>
      </c>
      <c r="J304" s="7" t="str">
        <f t="shared" si="49"/>
        <v/>
      </c>
      <c r="K304" s="7" t="str">
        <f t="shared" si="53"/>
        <v/>
      </c>
      <c r="L304" s="47" t="str">
        <f t="shared" si="46"/>
        <v/>
      </c>
      <c r="S304" s="55">
        <f t="shared" si="47"/>
        <v>8.2142857142857135</v>
      </c>
      <c r="T304" s="39">
        <f t="shared" si="48"/>
        <v>0.16191304347826088</v>
      </c>
    </row>
    <row r="305" spans="1:20" x14ac:dyDescent="0.15">
      <c r="A305" s="12"/>
      <c r="B305" s="13"/>
      <c r="C305" s="13"/>
      <c r="D305" s="13"/>
      <c r="E305" s="14"/>
      <c r="F305" s="6" t="str">
        <f t="shared" si="50"/>
        <v/>
      </c>
      <c r="G305" s="6" t="str">
        <f t="shared" si="51"/>
        <v/>
      </c>
      <c r="H305" s="6" t="str">
        <f t="shared" si="45"/>
        <v/>
      </c>
      <c r="I305" s="7" t="str">
        <f t="shared" si="52"/>
        <v/>
      </c>
      <c r="J305" s="7" t="str">
        <f t="shared" si="49"/>
        <v/>
      </c>
      <c r="K305" s="7" t="str">
        <f t="shared" si="53"/>
        <v/>
      </c>
      <c r="L305" s="47" t="str">
        <f t="shared" si="46"/>
        <v/>
      </c>
      <c r="S305" s="55">
        <f t="shared" si="47"/>
        <v>8.2142857142857135</v>
      </c>
      <c r="T305" s="39">
        <f t="shared" si="48"/>
        <v>0.16191304347826088</v>
      </c>
    </row>
    <row r="306" spans="1:20" x14ac:dyDescent="0.15">
      <c r="A306" s="12"/>
      <c r="B306" s="13"/>
      <c r="C306" s="13"/>
      <c r="D306" s="13"/>
      <c r="E306" s="14"/>
      <c r="F306" s="6" t="str">
        <f t="shared" si="50"/>
        <v/>
      </c>
      <c r="G306" s="6" t="str">
        <f t="shared" si="51"/>
        <v/>
      </c>
      <c r="H306" s="6" t="str">
        <f t="shared" si="45"/>
        <v/>
      </c>
      <c r="I306" s="7" t="str">
        <f t="shared" si="52"/>
        <v/>
      </c>
      <c r="J306" s="7" t="str">
        <f t="shared" si="49"/>
        <v/>
      </c>
      <c r="K306" s="7" t="str">
        <f t="shared" si="53"/>
        <v/>
      </c>
      <c r="L306" s="47" t="str">
        <f t="shared" si="46"/>
        <v/>
      </c>
      <c r="S306" s="55">
        <f t="shared" si="47"/>
        <v>8.2142857142857135</v>
      </c>
      <c r="T306" s="39">
        <f t="shared" si="48"/>
        <v>0.16191304347826088</v>
      </c>
    </row>
    <row r="307" spans="1:20" x14ac:dyDescent="0.15">
      <c r="A307" s="12"/>
      <c r="B307" s="13"/>
      <c r="C307" s="13"/>
      <c r="D307" s="13"/>
      <c r="E307" s="14"/>
      <c r="F307" s="6" t="str">
        <f t="shared" si="50"/>
        <v/>
      </c>
      <c r="G307" s="6" t="str">
        <f t="shared" si="51"/>
        <v/>
      </c>
      <c r="H307" s="6" t="str">
        <f t="shared" si="45"/>
        <v/>
      </c>
      <c r="I307" s="7" t="str">
        <f t="shared" si="52"/>
        <v/>
      </c>
      <c r="J307" s="7" t="str">
        <f t="shared" si="49"/>
        <v/>
      </c>
      <c r="K307" s="7" t="str">
        <f t="shared" si="53"/>
        <v/>
      </c>
      <c r="L307" s="47" t="str">
        <f t="shared" si="46"/>
        <v/>
      </c>
      <c r="S307" s="55">
        <f t="shared" si="47"/>
        <v>8.2142857142857135</v>
      </c>
      <c r="T307" s="39">
        <f t="shared" si="48"/>
        <v>0.16191304347826088</v>
      </c>
    </row>
    <row r="308" spans="1:20" x14ac:dyDescent="0.15">
      <c r="A308" s="12"/>
      <c r="B308" s="13"/>
      <c r="C308" s="13"/>
      <c r="D308" s="13"/>
      <c r="E308" s="14"/>
      <c r="F308" s="6" t="str">
        <f t="shared" si="50"/>
        <v/>
      </c>
      <c r="G308" s="6" t="str">
        <f t="shared" si="51"/>
        <v/>
      </c>
      <c r="H308" s="6" t="str">
        <f t="shared" si="45"/>
        <v/>
      </c>
      <c r="I308" s="7" t="str">
        <f t="shared" si="52"/>
        <v/>
      </c>
      <c r="J308" s="7" t="str">
        <f t="shared" si="49"/>
        <v/>
      </c>
      <c r="K308" s="7" t="str">
        <f t="shared" si="53"/>
        <v/>
      </c>
      <c r="L308" s="47" t="str">
        <f t="shared" si="46"/>
        <v/>
      </c>
      <c r="S308" s="55">
        <f t="shared" si="47"/>
        <v>8.2142857142857135</v>
      </c>
      <c r="T308" s="39">
        <f t="shared" si="48"/>
        <v>0.16191304347826088</v>
      </c>
    </row>
    <row r="309" spans="1:20" x14ac:dyDescent="0.15">
      <c r="A309" s="12"/>
      <c r="B309" s="13"/>
      <c r="C309" s="13"/>
      <c r="D309" s="13"/>
      <c r="E309" s="14"/>
      <c r="F309" s="6" t="str">
        <f t="shared" si="50"/>
        <v/>
      </c>
      <c r="G309" s="6" t="str">
        <f t="shared" si="51"/>
        <v/>
      </c>
      <c r="H309" s="6" t="str">
        <f t="shared" si="45"/>
        <v/>
      </c>
      <c r="I309" s="7" t="str">
        <f t="shared" si="52"/>
        <v/>
      </c>
      <c r="J309" s="7" t="str">
        <f t="shared" si="49"/>
        <v/>
      </c>
      <c r="K309" s="7" t="str">
        <f t="shared" si="53"/>
        <v/>
      </c>
      <c r="L309" s="47" t="str">
        <f t="shared" si="46"/>
        <v/>
      </c>
      <c r="S309" s="55">
        <f t="shared" si="47"/>
        <v>8.2142857142857135</v>
      </c>
      <c r="T309" s="39">
        <f t="shared" si="48"/>
        <v>0.16191304347826088</v>
      </c>
    </row>
    <row r="310" spans="1:20" x14ac:dyDescent="0.15">
      <c r="A310" s="12"/>
      <c r="B310" s="13"/>
      <c r="C310" s="13"/>
      <c r="D310" s="13"/>
      <c r="E310" s="14"/>
      <c r="F310" s="6" t="str">
        <f t="shared" si="50"/>
        <v/>
      </c>
      <c r="G310" s="6" t="str">
        <f t="shared" si="51"/>
        <v/>
      </c>
      <c r="H310" s="6" t="str">
        <f t="shared" si="45"/>
        <v/>
      </c>
      <c r="I310" s="7" t="str">
        <f t="shared" si="52"/>
        <v/>
      </c>
      <c r="J310" s="7" t="str">
        <f t="shared" si="49"/>
        <v/>
      </c>
      <c r="K310" s="7" t="str">
        <f t="shared" si="53"/>
        <v/>
      </c>
      <c r="L310" s="47" t="str">
        <f t="shared" si="46"/>
        <v/>
      </c>
      <c r="S310" s="55">
        <f t="shared" si="47"/>
        <v>8.2142857142857135</v>
      </c>
      <c r="T310" s="39">
        <f t="shared" si="48"/>
        <v>0.16191304347826088</v>
      </c>
    </row>
    <row r="311" spans="1:20" x14ac:dyDescent="0.15">
      <c r="A311" s="12"/>
      <c r="B311" s="13"/>
      <c r="C311" s="13"/>
      <c r="D311" s="13"/>
      <c r="E311" s="14"/>
      <c r="F311" s="6" t="str">
        <f t="shared" si="50"/>
        <v/>
      </c>
      <c r="G311" s="6" t="str">
        <f t="shared" si="51"/>
        <v/>
      </c>
      <c r="H311" s="6" t="str">
        <f t="shared" si="45"/>
        <v/>
      </c>
      <c r="I311" s="7" t="str">
        <f t="shared" si="52"/>
        <v/>
      </c>
      <c r="J311" s="7" t="str">
        <f t="shared" si="49"/>
        <v/>
      </c>
      <c r="K311" s="7" t="str">
        <f t="shared" si="53"/>
        <v/>
      </c>
      <c r="L311" s="47" t="str">
        <f t="shared" si="46"/>
        <v/>
      </c>
      <c r="S311" s="55">
        <f t="shared" si="47"/>
        <v>8.2142857142857135</v>
      </c>
      <c r="T311" s="39">
        <f t="shared" si="48"/>
        <v>0.16191304347826088</v>
      </c>
    </row>
    <row r="312" spans="1:20" x14ac:dyDescent="0.15">
      <c r="A312" s="12"/>
      <c r="B312" s="13"/>
      <c r="C312" s="13"/>
      <c r="D312" s="13"/>
      <c r="E312" s="14"/>
      <c r="F312" s="6" t="str">
        <f t="shared" si="50"/>
        <v/>
      </c>
      <c r="G312" s="6" t="str">
        <f t="shared" si="51"/>
        <v/>
      </c>
      <c r="H312" s="6" t="str">
        <f t="shared" si="45"/>
        <v/>
      </c>
      <c r="I312" s="7" t="str">
        <f t="shared" si="52"/>
        <v/>
      </c>
      <c r="J312" s="7" t="str">
        <f t="shared" si="49"/>
        <v/>
      </c>
      <c r="K312" s="7" t="str">
        <f t="shared" si="53"/>
        <v/>
      </c>
      <c r="L312" s="47" t="str">
        <f t="shared" si="46"/>
        <v/>
      </c>
      <c r="S312" s="55">
        <f t="shared" si="47"/>
        <v>8.2142857142857135</v>
      </c>
      <c r="T312" s="39">
        <f t="shared" si="48"/>
        <v>0.16191304347826088</v>
      </c>
    </row>
    <row r="313" spans="1:20" x14ac:dyDescent="0.15">
      <c r="A313" s="12"/>
      <c r="B313" s="13"/>
      <c r="C313" s="13"/>
      <c r="D313" s="13"/>
      <c r="E313" s="14"/>
      <c r="F313" s="6" t="str">
        <f t="shared" si="50"/>
        <v/>
      </c>
      <c r="G313" s="6" t="str">
        <f t="shared" si="51"/>
        <v/>
      </c>
      <c r="H313" s="6" t="str">
        <f t="shared" si="45"/>
        <v/>
      </c>
      <c r="I313" s="7" t="str">
        <f t="shared" si="52"/>
        <v/>
      </c>
      <c r="J313" s="7" t="str">
        <f t="shared" si="49"/>
        <v/>
      </c>
      <c r="K313" s="7" t="str">
        <f t="shared" si="53"/>
        <v/>
      </c>
      <c r="L313" s="47" t="str">
        <f t="shared" si="46"/>
        <v/>
      </c>
      <c r="S313" s="55">
        <f t="shared" si="47"/>
        <v>8.2142857142857135</v>
      </c>
      <c r="T313" s="39">
        <f t="shared" si="48"/>
        <v>0.16191304347826088</v>
      </c>
    </row>
    <row r="314" spans="1:20" x14ac:dyDescent="0.15">
      <c r="A314" s="12"/>
      <c r="B314" s="13"/>
      <c r="C314" s="13"/>
      <c r="D314" s="13"/>
      <c r="E314" s="14"/>
      <c r="F314" s="6" t="str">
        <f t="shared" si="50"/>
        <v/>
      </c>
      <c r="G314" s="6" t="str">
        <f t="shared" si="51"/>
        <v/>
      </c>
      <c r="H314" s="6" t="str">
        <f t="shared" si="45"/>
        <v/>
      </c>
      <c r="I314" s="7" t="str">
        <f t="shared" si="52"/>
        <v/>
      </c>
      <c r="J314" s="7" t="str">
        <f t="shared" si="49"/>
        <v/>
      </c>
      <c r="K314" s="7" t="str">
        <f t="shared" si="53"/>
        <v/>
      </c>
      <c r="L314" s="47" t="str">
        <f t="shared" si="46"/>
        <v/>
      </c>
      <c r="S314" s="55">
        <f t="shared" si="47"/>
        <v>8.2142857142857135</v>
      </c>
      <c r="T314" s="39">
        <f t="shared" si="48"/>
        <v>0.16191304347826088</v>
      </c>
    </row>
    <row r="315" spans="1:20" x14ac:dyDescent="0.15">
      <c r="A315" s="12"/>
      <c r="B315" s="13"/>
      <c r="C315" s="13"/>
      <c r="D315" s="13"/>
      <c r="E315" s="14"/>
      <c r="F315" s="6" t="str">
        <f t="shared" si="50"/>
        <v/>
      </c>
      <c r="G315" s="6" t="str">
        <f t="shared" si="51"/>
        <v/>
      </c>
      <c r="H315" s="6" t="str">
        <f t="shared" si="45"/>
        <v/>
      </c>
      <c r="I315" s="7" t="str">
        <f t="shared" si="52"/>
        <v/>
      </c>
      <c r="J315" s="7" t="str">
        <f t="shared" si="49"/>
        <v/>
      </c>
      <c r="K315" s="7" t="str">
        <f t="shared" si="53"/>
        <v/>
      </c>
      <c r="L315" s="47" t="str">
        <f t="shared" si="46"/>
        <v/>
      </c>
      <c r="S315" s="55">
        <f t="shared" si="47"/>
        <v>8.2142857142857135</v>
      </c>
      <c r="T315" s="39">
        <f t="shared" si="48"/>
        <v>0.16191304347826088</v>
      </c>
    </row>
    <row r="316" spans="1:20" x14ac:dyDescent="0.15">
      <c r="A316" s="12"/>
      <c r="B316" s="13"/>
      <c r="C316" s="13"/>
      <c r="D316" s="13"/>
      <c r="E316" s="14"/>
      <c r="F316" s="6" t="str">
        <f t="shared" si="50"/>
        <v/>
      </c>
      <c r="G316" s="6" t="str">
        <f t="shared" si="51"/>
        <v/>
      </c>
      <c r="H316" s="6" t="str">
        <f t="shared" si="45"/>
        <v/>
      </c>
      <c r="I316" s="7" t="str">
        <f t="shared" si="52"/>
        <v/>
      </c>
      <c r="J316" s="7" t="str">
        <f t="shared" si="49"/>
        <v/>
      </c>
      <c r="K316" s="7" t="str">
        <f t="shared" si="53"/>
        <v/>
      </c>
      <c r="L316" s="47" t="str">
        <f t="shared" si="46"/>
        <v/>
      </c>
      <c r="S316" s="55">
        <f t="shared" si="47"/>
        <v>8.2142857142857135</v>
      </c>
      <c r="T316" s="39">
        <f t="shared" si="48"/>
        <v>0.16191304347826088</v>
      </c>
    </row>
    <row r="317" spans="1:20" x14ac:dyDescent="0.15">
      <c r="A317" s="12"/>
      <c r="B317" s="13"/>
      <c r="C317" s="13"/>
      <c r="D317" s="13"/>
      <c r="E317" s="14"/>
      <c r="F317" s="6" t="str">
        <f t="shared" si="50"/>
        <v/>
      </c>
      <c r="G317" s="6" t="str">
        <f t="shared" si="51"/>
        <v/>
      </c>
      <c r="H317" s="6" t="str">
        <f t="shared" si="45"/>
        <v/>
      </c>
      <c r="I317" s="7" t="str">
        <f t="shared" si="52"/>
        <v/>
      </c>
      <c r="J317" s="7" t="str">
        <f t="shared" si="49"/>
        <v/>
      </c>
      <c r="K317" s="7" t="str">
        <f t="shared" si="53"/>
        <v/>
      </c>
      <c r="L317" s="47" t="str">
        <f t="shared" si="46"/>
        <v/>
      </c>
      <c r="S317" s="55">
        <f t="shared" si="47"/>
        <v>8.2142857142857135</v>
      </c>
      <c r="T317" s="39">
        <f t="shared" si="48"/>
        <v>0.16191304347826088</v>
      </c>
    </row>
    <row r="318" spans="1:20" x14ac:dyDescent="0.15">
      <c r="A318" s="12"/>
      <c r="B318" s="13"/>
      <c r="C318" s="13"/>
      <c r="D318" s="13"/>
      <c r="E318" s="14"/>
      <c r="F318" s="6" t="str">
        <f t="shared" si="50"/>
        <v/>
      </c>
      <c r="G318" s="6" t="str">
        <f t="shared" si="51"/>
        <v/>
      </c>
      <c r="H318" s="6" t="str">
        <f t="shared" si="45"/>
        <v/>
      </c>
      <c r="I318" s="7" t="str">
        <f t="shared" si="52"/>
        <v/>
      </c>
      <c r="J318" s="7" t="str">
        <f t="shared" si="49"/>
        <v/>
      </c>
      <c r="K318" s="7" t="str">
        <f t="shared" si="53"/>
        <v/>
      </c>
      <c r="L318" s="47" t="str">
        <f t="shared" si="46"/>
        <v/>
      </c>
      <c r="S318" s="55">
        <f t="shared" si="47"/>
        <v>8.2142857142857135</v>
      </c>
      <c r="T318" s="39">
        <f t="shared" si="48"/>
        <v>0.16191304347826088</v>
      </c>
    </row>
    <row r="319" spans="1:20" x14ac:dyDescent="0.15">
      <c r="A319" s="12"/>
      <c r="B319" s="13"/>
      <c r="C319" s="13"/>
      <c r="D319" s="13"/>
      <c r="E319" s="14"/>
      <c r="F319" s="6" t="str">
        <f t="shared" si="50"/>
        <v/>
      </c>
      <c r="G319" s="6" t="str">
        <f t="shared" si="51"/>
        <v/>
      </c>
      <c r="H319" s="6" t="str">
        <f t="shared" si="45"/>
        <v/>
      </c>
      <c r="I319" s="7" t="str">
        <f t="shared" si="52"/>
        <v/>
      </c>
      <c r="J319" s="7" t="str">
        <f t="shared" si="49"/>
        <v/>
      </c>
      <c r="K319" s="7" t="str">
        <f t="shared" si="53"/>
        <v/>
      </c>
      <c r="L319" s="47" t="str">
        <f t="shared" si="46"/>
        <v/>
      </c>
      <c r="S319" s="55">
        <f t="shared" si="47"/>
        <v>8.2142857142857135</v>
      </c>
      <c r="T319" s="39">
        <f t="shared" si="48"/>
        <v>0.16191304347826088</v>
      </c>
    </row>
    <row r="320" spans="1:20" x14ac:dyDescent="0.15">
      <c r="A320" s="12"/>
      <c r="B320" s="13"/>
      <c r="C320" s="13"/>
      <c r="D320" s="13"/>
      <c r="E320" s="14"/>
      <c r="F320" s="6" t="str">
        <f t="shared" si="50"/>
        <v/>
      </c>
      <c r="G320" s="6" t="str">
        <f t="shared" si="51"/>
        <v/>
      </c>
      <c r="H320" s="6" t="str">
        <f t="shared" si="45"/>
        <v/>
      </c>
      <c r="I320" s="7" t="str">
        <f t="shared" si="52"/>
        <v/>
      </c>
      <c r="J320" s="7" t="str">
        <f t="shared" si="49"/>
        <v/>
      </c>
      <c r="K320" s="7" t="str">
        <f t="shared" si="53"/>
        <v/>
      </c>
      <c r="L320" s="47" t="str">
        <f t="shared" si="46"/>
        <v/>
      </c>
      <c r="S320" s="55">
        <f t="shared" si="47"/>
        <v>8.2142857142857135</v>
      </c>
      <c r="T320" s="39">
        <f t="shared" si="48"/>
        <v>0.16191304347826088</v>
      </c>
    </row>
    <row r="321" spans="1:20" x14ac:dyDescent="0.15">
      <c r="A321" s="12"/>
      <c r="B321" s="13"/>
      <c r="C321" s="13"/>
      <c r="D321" s="13"/>
      <c r="E321" s="14"/>
      <c r="F321" s="6" t="str">
        <f t="shared" si="50"/>
        <v/>
      </c>
      <c r="G321" s="6" t="str">
        <f t="shared" si="51"/>
        <v/>
      </c>
      <c r="H321" s="6" t="str">
        <f t="shared" si="45"/>
        <v/>
      </c>
      <c r="I321" s="7" t="str">
        <f t="shared" si="52"/>
        <v/>
      </c>
      <c r="J321" s="7" t="str">
        <f t="shared" si="49"/>
        <v/>
      </c>
      <c r="K321" s="7" t="str">
        <f t="shared" si="53"/>
        <v/>
      </c>
      <c r="L321" s="47" t="str">
        <f t="shared" si="46"/>
        <v/>
      </c>
      <c r="S321" s="55">
        <f t="shared" si="47"/>
        <v>8.2142857142857135</v>
      </c>
      <c r="T321" s="39">
        <f t="shared" si="48"/>
        <v>0.16191304347826088</v>
      </c>
    </row>
    <row r="322" spans="1:20" x14ac:dyDescent="0.15">
      <c r="A322" s="12"/>
      <c r="B322" s="13"/>
      <c r="C322" s="13"/>
      <c r="D322" s="13"/>
      <c r="E322" s="14"/>
      <c r="F322" s="6" t="str">
        <f t="shared" si="50"/>
        <v/>
      </c>
      <c r="G322" s="6" t="str">
        <f t="shared" si="51"/>
        <v/>
      </c>
      <c r="H322" s="6" t="str">
        <f t="shared" si="45"/>
        <v/>
      </c>
      <c r="I322" s="7" t="str">
        <f t="shared" si="52"/>
        <v/>
      </c>
      <c r="J322" s="7" t="str">
        <f t="shared" si="49"/>
        <v/>
      </c>
      <c r="K322" s="7" t="str">
        <f t="shared" si="53"/>
        <v/>
      </c>
      <c r="L322" s="47" t="str">
        <f t="shared" si="46"/>
        <v/>
      </c>
      <c r="S322" s="55">
        <f t="shared" si="47"/>
        <v>8.2142857142857135</v>
      </c>
      <c r="T322" s="39">
        <f t="shared" si="48"/>
        <v>0.16191304347826088</v>
      </c>
    </row>
    <row r="323" spans="1:20" x14ac:dyDescent="0.15">
      <c r="A323" s="12"/>
      <c r="B323" s="13"/>
      <c r="C323" s="13"/>
      <c r="D323" s="13"/>
      <c r="E323" s="14"/>
      <c r="F323" s="6" t="str">
        <f t="shared" si="50"/>
        <v/>
      </c>
      <c r="G323" s="6" t="str">
        <f t="shared" si="51"/>
        <v/>
      </c>
      <c r="H323" s="6" t="str">
        <f t="shared" si="45"/>
        <v/>
      </c>
      <c r="I323" s="7" t="str">
        <f t="shared" si="52"/>
        <v/>
      </c>
      <c r="J323" s="7" t="str">
        <f t="shared" si="49"/>
        <v/>
      </c>
      <c r="K323" s="7" t="str">
        <f t="shared" si="53"/>
        <v/>
      </c>
      <c r="L323" s="47" t="str">
        <f t="shared" si="46"/>
        <v/>
      </c>
      <c r="S323" s="55">
        <f t="shared" si="47"/>
        <v>8.2142857142857135</v>
      </c>
      <c r="T323" s="39">
        <f t="shared" si="48"/>
        <v>0.16191304347826088</v>
      </c>
    </row>
    <row r="324" spans="1:20" x14ac:dyDescent="0.15">
      <c r="A324" s="12"/>
      <c r="B324" s="13"/>
      <c r="C324" s="13"/>
      <c r="D324" s="13"/>
      <c r="E324" s="14"/>
      <c r="F324" s="6" t="str">
        <f t="shared" si="50"/>
        <v/>
      </c>
      <c r="G324" s="6" t="str">
        <f t="shared" si="51"/>
        <v/>
      </c>
      <c r="H324" s="6" t="str">
        <f t="shared" si="45"/>
        <v/>
      </c>
      <c r="I324" s="7" t="str">
        <f t="shared" si="52"/>
        <v/>
      </c>
      <c r="J324" s="7" t="str">
        <f t="shared" si="49"/>
        <v/>
      </c>
      <c r="K324" s="7" t="str">
        <f t="shared" si="53"/>
        <v/>
      </c>
      <c r="L324" s="47" t="str">
        <f t="shared" si="46"/>
        <v/>
      </c>
      <c r="S324" s="55">
        <f t="shared" si="47"/>
        <v>8.2142857142857135</v>
      </c>
      <c r="T324" s="39">
        <f t="shared" si="48"/>
        <v>0.16191304347826088</v>
      </c>
    </row>
    <row r="325" spans="1:20" x14ac:dyDescent="0.15">
      <c r="A325" s="12"/>
      <c r="B325" s="13"/>
      <c r="C325" s="13"/>
      <c r="D325" s="13"/>
      <c r="E325" s="14"/>
      <c r="F325" s="6" t="str">
        <f t="shared" si="50"/>
        <v/>
      </c>
      <c r="G325" s="6" t="str">
        <f t="shared" si="51"/>
        <v/>
      </c>
      <c r="H325" s="6" t="str">
        <f t="shared" si="45"/>
        <v/>
      </c>
      <c r="I325" s="7" t="str">
        <f t="shared" si="52"/>
        <v/>
      </c>
      <c r="J325" s="7" t="str">
        <f t="shared" si="49"/>
        <v/>
      </c>
      <c r="K325" s="7" t="str">
        <f t="shared" si="53"/>
        <v/>
      </c>
      <c r="L325" s="47" t="str">
        <f t="shared" si="46"/>
        <v/>
      </c>
      <c r="S325" s="55">
        <f t="shared" si="47"/>
        <v>8.2142857142857135</v>
      </c>
      <c r="T325" s="39">
        <f t="shared" si="48"/>
        <v>0.16191304347826088</v>
      </c>
    </row>
    <row r="326" spans="1:20" x14ac:dyDescent="0.15">
      <c r="A326" s="12"/>
      <c r="B326" s="13"/>
      <c r="C326" s="13"/>
      <c r="D326" s="13"/>
      <c r="E326" s="14"/>
      <c r="F326" s="6" t="str">
        <f t="shared" si="50"/>
        <v/>
      </c>
      <c r="G326" s="6" t="str">
        <f t="shared" si="51"/>
        <v/>
      </c>
      <c r="H326" s="6" t="str">
        <f t="shared" si="45"/>
        <v/>
      </c>
      <c r="I326" s="7" t="str">
        <f t="shared" si="52"/>
        <v/>
      </c>
      <c r="J326" s="7" t="str">
        <f t="shared" si="49"/>
        <v/>
      </c>
      <c r="K326" s="7" t="str">
        <f t="shared" si="53"/>
        <v/>
      </c>
      <c r="L326" s="47" t="str">
        <f t="shared" si="46"/>
        <v/>
      </c>
      <c r="S326" s="55">
        <f t="shared" si="47"/>
        <v>8.2142857142857135</v>
      </c>
      <c r="T326" s="39">
        <f t="shared" si="48"/>
        <v>0.16191304347826088</v>
      </c>
    </row>
    <row r="327" spans="1:20" x14ac:dyDescent="0.15">
      <c r="A327" s="12"/>
      <c r="B327" s="13"/>
      <c r="C327" s="13"/>
      <c r="D327" s="13"/>
      <c r="E327" s="14"/>
      <c r="F327" s="6" t="str">
        <f t="shared" si="50"/>
        <v/>
      </c>
      <c r="G327" s="6" t="str">
        <f t="shared" si="51"/>
        <v/>
      </c>
      <c r="H327" s="6" t="str">
        <f t="shared" si="45"/>
        <v/>
      </c>
      <c r="I327" s="7" t="str">
        <f t="shared" si="52"/>
        <v/>
      </c>
      <c r="J327" s="7" t="str">
        <f t="shared" si="49"/>
        <v/>
      </c>
      <c r="K327" s="7" t="str">
        <f t="shared" si="53"/>
        <v/>
      </c>
      <c r="L327" s="47" t="str">
        <f t="shared" si="46"/>
        <v/>
      </c>
      <c r="S327" s="55">
        <f t="shared" si="47"/>
        <v>8.2142857142857135</v>
      </c>
      <c r="T327" s="39">
        <f t="shared" si="48"/>
        <v>0.16191304347826088</v>
      </c>
    </row>
    <row r="328" spans="1:20" x14ac:dyDescent="0.15">
      <c r="A328" s="12"/>
      <c r="B328" s="13"/>
      <c r="C328" s="13"/>
      <c r="D328" s="13"/>
      <c r="E328" s="14"/>
      <c r="F328" s="6" t="str">
        <f t="shared" si="50"/>
        <v/>
      </c>
      <c r="G328" s="6" t="str">
        <f t="shared" si="51"/>
        <v/>
      </c>
      <c r="H328" s="6" t="str">
        <f t="shared" ref="H328:H391" si="54">IF(C328&lt;&gt;"",C328*D328,"")</f>
        <v/>
      </c>
      <c r="I328" s="7" t="str">
        <f t="shared" si="52"/>
        <v/>
      </c>
      <c r="J328" s="7" t="str">
        <f t="shared" si="49"/>
        <v/>
      </c>
      <c r="K328" s="7" t="str">
        <f t="shared" si="53"/>
        <v/>
      </c>
      <c r="L328" s="47" t="str">
        <f t="shared" ref="L328:L391" si="55">IF(I328&lt;&gt;"",1/I328*D327,"")</f>
        <v/>
      </c>
      <c r="S328" s="55">
        <f t="shared" ref="S328:S391" si="56">IF(I328="",S327,I328)</f>
        <v>8.2142857142857135</v>
      </c>
      <c r="T328" s="39">
        <f t="shared" ref="T328:T391" si="57">IF(L328="",T327,L328)</f>
        <v>0.16191304347826088</v>
      </c>
    </row>
    <row r="329" spans="1:20" x14ac:dyDescent="0.15">
      <c r="A329" s="12"/>
      <c r="B329" s="13"/>
      <c r="C329" s="13"/>
      <c r="D329" s="13"/>
      <c r="E329" s="14"/>
      <c r="F329" s="6" t="str">
        <f t="shared" si="50"/>
        <v/>
      </c>
      <c r="G329" s="6" t="str">
        <f t="shared" si="51"/>
        <v/>
      </c>
      <c r="H329" s="6" t="str">
        <f t="shared" si="54"/>
        <v/>
      </c>
      <c r="I329" s="7" t="str">
        <f t="shared" si="52"/>
        <v/>
      </c>
      <c r="J329" s="7" t="str">
        <f t="shared" si="49"/>
        <v/>
      </c>
      <c r="K329" s="7" t="str">
        <f t="shared" si="53"/>
        <v/>
      </c>
      <c r="L329" s="47" t="str">
        <f t="shared" si="55"/>
        <v/>
      </c>
      <c r="S329" s="55">
        <f t="shared" si="56"/>
        <v>8.2142857142857135</v>
      </c>
      <c r="T329" s="39">
        <f t="shared" si="57"/>
        <v>0.16191304347826088</v>
      </c>
    </row>
    <row r="330" spans="1:20" x14ac:dyDescent="0.15">
      <c r="A330" s="12"/>
      <c r="B330" s="13"/>
      <c r="C330" s="13"/>
      <c r="D330" s="13"/>
      <c r="E330" s="14"/>
      <c r="F330" s="6" t="str">
        <f t="shared" si="50"/>
        <v/>
      </c>
      <c r="G330" s="6" t="str">
        <f t="shared" si="51"/>
        <v/>
      </c>
      <c r="H330" s="6" t="str">
        <f t="shared" si="54"/>
        <v/>
      </c>
      <c r="I330" s="7" t="str">
        <f t="shared" si="52"/>
        <v/>
      </c>
      <c r="J330" s="7" t="str">
        <f t="shared" ref="J330:J393" si="58">IF(I330&lt;&gt;"",1/I330*100,"")</f>
        <v/>
      </c>
      <c r="K330" s="7" t="str">
        <f t="shared" si="53"/>
        <v/>
      </c>
      <c r="L330" s="47" t="str">
        <f t="shared" si="55"/>
        <v/>
      </c>
      <c r="S330" s="55">
        <f t="shared" si="56"/>
        <v>8.2142857142857135</v>
      </c>
      <c r="T330" s="39">
        <f t="shared" si="57"/>
        <v>0.16191304347826088</v>
      </c>
    </row>
    <row r="331" spans="1:20" x14ac:dyDescent="0.15">
      <c r="A331" s="12"/>
      <c r="B331" s="13"/>
      <c r="C331" s="13"/>
      <c r="D331" s="13"/>
      <c r="E331" s="14"/>
      <c r="F331" s="6" t="str">
        <f t="shared" si="50"/>
        <v/>
      </c>
      <c r="G331" s="6" t="str">
        <f t="shared" si="51"/>
        <v/>
      </c>
      <c r="H331" s="6" t="str">
        <f t="shared" si="54"/>
        <v/>
      </c>
      <c r="I331" s="7" t="str">
        <f t="shared" si="52"/>
        <v/>
      </c>
      <c r="J331" s="7" t="str">
        <f t="shared" si="58"/>
        <v/>
      </c>
      <c r="K331" s="7" t="str">
        <f t="shared" si="53"/>
        <v/>
      </c>
      <c r="L331" s="47" t="str">
        <f t="shared" si="55"/>
        <v/>
      </c>
      <c r="S331" s="55">
        <f t="shared" si="56"/>
        <v>8.2142857142857135</v>
      </c>
      <c r="T331" s="39">
        <f t="shared" si="57"/>
        <v>0.16191304347826088</v>
      </c>
    </row>
    <row r="332" spans="1:20" x14ac:dyDescent="0.15">
      <c r="A332" s="12"/>
      <c r="B332" s="13"/>
      <c r="C332" s="13"/>
      <c r="D332" s="13"/>
      <c r="E332" s="14"/>
      <c r="F332" s="6" t="str">
        <f t="shared" si="50"/>
        <v/>
      </c>
      <c r="G332" s="6" t="str">
        <f t="shared" si="51"/>
        <v/>
      </c>
      <c r="H332" s="6" t="str">
        <f t="shared" si="54"/>
        <v/>
      </c>
      <c r="I332" s="7" t="str">
        <f t="shared" si="52"/>
        <v/>
      </c>
      <c r="J332" s="7" t="str">
        <f t="shared" si="58"/>
        <v/>
      </c>
      <c r="K332" s="7" t="str">
        <f t="shared" si="53"/>
        <v/>
      </c>
      <c r="L332" s="47" t="str">
        <f t="shared" si="55"/>
        <v/>
      </c>
      <c r="S332" s="55">
        <f t="shared" si="56"/>
        <v>8.2142857142857135</v>
      </c>
      <c r="T332" s="39">
        <f t="shared" si="57"/>
        <v>0.16191304347826088</v>
      </c>
    </row>
    <row r="333" spans="1:20" x14ac:dyDescent="0.15">
      <c r="A333" s="12"/>
      <c r="B333" s="13"/>
      <c r="C333" s="13"/>
      <c r="D333" s="13"/>
      <c r="E333" s="14"/>
      <c r="F333" s="6" t="str">
        <f t="shared" si="50"/>
        <v/>
      </c>
      <c r="G333" s="6" t="str">
        <f t="shared" si="51"/>
        <v/>
      </c>
      <c r="H333" s="6" t="str">
        <f t="shared" si="54"/>
        <v/>
      </c>
      <c r="I333" s="7" t="str">
        <f t="shared" si="52"/>
        <v/>
      </c>
      <c r="J333" s="7" t="str">
        <f t="shared" si="58"/>
        <v/>
      </c>
      <c r="K333" s="7" t="str">
        <f t="shared" si="53"/>
        <v/>
      </c>
      <c r="L333" s="47" t="str">
        <f t="shared" si="55"/>
        <v/>
      </c>
      <c r="S333" s="55">
        <f t="shared" si="56"/>
        <v>8.2142857142857135</v>
      </c>
      <c r="T333" s="39">
        <f t="shared" si="57"/>
        <v>0.16191304347826088</v>
      </c>
    </row>
    <row r="334" spans="1:20" x14ac:dyDescent="0.15">
      <c r="A334" s="12"/>
      <c r="B334" s="13"/>
      <c r="C334" s="13"/>
      <c r="D334" s="13"/>
      <c r="E334" s="14"/>
      <c r="F334" s="6" t="str">
        <f t="shared" si="50"/>
        <v/>
      </c>
      <c r="G334" s="6" t="str">
        <f t="shared" si="51"/>
        <v/>
      </c>
      <c r="H334" s="6" t="str">
        <f t="shared" si="54"/>
        <v/>
      </c>
      <c r="I334" s="7" t="str">
        <f t="shared" si="52"/>
        <v/>
      </c>
      <c r="J334" s="7" t="str">
        <f t="shared" si="58"/>
        <v/>
      </c>
      <c r="K334" s="7" t="str">
        <f t="shared" si="53"/>
        <v/>
      </c>
      <c r="L334" s="47" t="str">
        <f t="shared" si="55"/>
        <v/>
      </c>
      <c r="S334" s="55">
        <f t="shared" si="56"/>
        <v>8.2142857142857135</v>
      </c>
      <c r="T334" s="39">
        <f t="shared" si="57"/>
        <v>0.16191304347826088</v>
      </c>
    </row>
    <row r="335" spans="1:20" x14ac:dyDescent="0.15">
      <c r="A335" s="12"/>
      <c r="B335" s="13"/>
      <c r="C335" s="13"/>
      <c r="D335" s="13"/>
      <c r="E335" s="14"/>
      <c r="F335" s="6" t="str">
        <f t="shared" ref="F335:F398" si="59">IF(B335&gt;0,IF(E334="Sim",B335-B334,F334+B335-B334),"")</f>
        <v/>
      </c>
      <c r="G335" s="6" t="str">
        <f t="shared" ref="G335:G398" si="60">IF(B335&gt;0,IF(E334="Sim",C335,G334+C335),"")</f>
        <v/>
      </c>
      <c r="H335" s="6" t="str">
        <f t="shared" si="54"/>
        <v/>
      </c>
      <c r="I335" s="7" t="str">
        <f t="shared" ref="I335:I398" si="61">IF(E335="Sim",F335/G335,"")</f>
        <v/>
      </c>
      <c r="J335" s="7" t="str">
        <f t="shared" si="58"/>
        <v/>
      </c>
      <c r="K335" s="7" t="str">
        <f t="shared" ref="K335:K398" si="62">IF(I335&lt;&gt;"",I335*0.62137/0.2641,"")</f>
        <v/>
      </c>
      <c r="L335" s="47" t="str">
        <f t="shared" si="55"/>
        <v/>
      </c>
      <c r="S335" s="55">
        <f t="shared" si="56"/>
        <v>8.2142857142857135</v>
      </c>
      <c r="T335" s="39">
        <f t="shared" si="57"/>
        <v>0.16191304347826088</v>
      </c>
    </row>
    <row r="336" spans="1:20" x14ac:dyDescent="0.15">
      <c r="A336" s="12"/>
      <c r="B336" s="13"/>
      <c r="C336" s="13"/>
      <c r="D336" s="13"/>
      <c r="E336" s="14"/>
      <c r="F336" s="6" t="str">
        <f t="shared" si="59"/>
        <v/>
      </c>
      <c r="G336" s="6" t="str">
        <f t="shared" si="60"/>
        <v/>
      </c>
      <c r="H336" s="6" t="str">
        <f t="shared" si="54"/>
        <v/>
      </c>
      <c r="I336" s="7" t="str">
        <f t="shared" si="61"/>
        <v/>
      </c>
      <c r="J336" s="7" t="str">
        <f t="shared" si="58"/>
        <v/>
      </c>
      <c r="K336" s="7" t="str">
        <f t="shared" si="62"/>
        <v/>
      </c>
      <c r="L336" s="47" t="str">
        <f t="shared" si="55"/>
        <v/>
      </c>
      <c r="S336" s="55">
        <f t="shared" si="56"/>
        <v>8.2142857142857135</v>
      </c>
      <c r="T336" s="39">
        <f t="shared" si="57"/>
        <v>0.16191304347826088</v>
      </c>
    </row>
    <row r="337" spans="1:20" x14ac:dyDescent="0.15">
      <c r="A337" s="12"/>
      <c r="B337" s="13"/>
      <c r="C337" s="13"/>
      <c r="D337" s="13"/>
      <c r="E337" s="14"/>
      <c r="F337" s="6" t="str">
        <f t="shared" si="59"/>
        <v/>
      </c>
      <c r="G337" s="6" t="str">
        <f t="shared" si="60"/>
        <v/>
      </c>
      <c r="H337" s="6" t="str">
        <f t="shared" si="54"/>
        <v/>
      </c>
      <c r="I337" s="7" t="str">
        <f t="shared" si="61"/>
        <v/>
      </c>
      <c r="J337" s="7" t="str">
        <f t="shared" si="58"/>
        <v/>
      </c>
      <c r="K337" s="7" t="str">
        <f t="shared" si="62"/>
        <v/>
      </c>
      <c r="L337" s="47" t="str">
        <f t="shared" si="55"/>
        <v/>
      </c>
      <c r="S337" s="55">
        <f t="shared" si="56"/>
        <v>8.2142857142857135</v>
      </c>
      <c r="T337" s="39">
        <f t="shared" si="57"/>
        <v>0.16191304347826088</v>
      </c>
    </row>
    <row r="338" spans="1:20" x14ac:dyDescent="0.15">
      <c r="A338" s="12"/>
      <c r="B338" s="13"/>
      <c r="C338" s="13"/>
      <c r="D338" s="13"/>
      <c r="E338" s="14"/>
      <c r="F338" s="6" t="str">
        <f t="shared" si="59"/>
        <v/>
      </c>
      <c r="G338" s="6" t="str">
        <f t="shared" si="60"/>
        <v/>
      </c>
      <c r="H338" s="6" t="str">
        <f t="shared" si="54"/>
        <v/>
      </c>
      <c r="I338" s="7" t="str">
        <f t="shared" si="61"/>
        <v/>
      </c>
      <c r="J338" s="7" t="str">
        <f t="shared" si="58"/>
        <v/>
      </c>
      <c r="K338" s="7" t="str">
        <f t="shared" si="62"/>
        <v/>
      </c>
      <c r="L338" s="47" t="str">
        <f t="shared" si="55"/>
        <v/>
      </c>
      <c r="S338" s="55">
        <f t="shared" si="56"/>
        <v>8.2142857142857135</v>
      </c>
      <c r="T338" s="39">
        <f t="shared" si="57"/>
        <v>0.16191304347826088</v>
      </c>
    </row>
    <row r="339" spans="1:20" x14ac:dyDescent="0.15">
      <c r="A339" s="12"/>
      <c r="B339" s="13"/>
      <c r="C339" s="13"/>
      <c r="D339" s="13"/>
      <c r="E339" s="14"/>
      <c r="F339" s="6" t="str">
        <f t="shared" si="59"/>
        <v/>
      </c>
      <c r="G339" s="6" t="str">
        <f t="shared" si="60"/>
        <v/>
      </c>
      <c r="H339" s="6" t="str">
        <f t="shared" si="54"/>
        <v/>
      </c>
      <c r="I339" s="7" t="str">
        <f t="shared" si="61"/>
        <v/>
      </c>
      <c r="J339" s="7" t="str">
        <f t="shared" si="58"/>
        <v/>
      </c>
      <c r="K339" s="7" t="str">
        <f t="shared" si="62"/>
        <v/>
      </c>
      <c r="L339" s="47" t="str">
        <f t="shared" si="55"/>
        <v/>
      </c>
      <c r="S339" s="55">
        <f t="shared" si="56"/>
        <v>8.2142857142857135</v>
      </c>
      <c r="T339" s="39">
        <f t="shared" si="57"/>
        <v>0.16191304347826088</v>
      </c>
    </row>
    <row r="340" spans="1:20" x14ac:dyDescent="0.15">
      <c r="A340" s="12"/>
      <c r="B340" s="13"/>
      <c r="C340" s="13"/>
      <c r="D340" s="13"/>
      <c r="E340" s="14"/>
      <c r="F340" s="6" t="str">
        <f t="shared" si="59"/>
        <v/>
      </c>
      <c r="G340" s="6" t="str">
        <f t="shared" si="60"/>
        <v/>
      </c>
      <c r="H340" s="6" t="str">
        <f t="shared" si="54"/>
        <v/>
      </c>
      <c r="I340" s="7" t="str">
        <f t="shared" si="61"/>
        <v/>
      </c>
      <c r="J340" s="7" t="str">
        <f t="shared" si="58"/>
        <v/>
      </c>
      <c r="K340" s="7" t="str">
        <f t="shared" si="62"/>
        <v/>
      </c>
      <c r="L340" s="47" t="str">
        <f t="shared" si="55"/>
        <v/>
      </c>
      <c r="S340" s="55">
        <f t="shared" si="56"/>
        <v>8.2142857142857135</v>
      </c>
      <c r="T340" s="39">
        <f t="shared" si="57"/>
        <v>0.16191304347826088</v>
      </c>
    </row>
    <row r="341" spans="1:20" x14ac:dyDescent="0.15">
      <c r="A341" s="12"/>
      <c r="B341" s="13"/>
      <c r="C341" s="13"/>
      <c r="D341" s="13"/>
      <c r="E341" s="14"/>
      <c r="F341" s="6" t="str">
        <f t="shared" si="59"/>
        <v/>
      </c>
      <c r="G341" s="6" t="str">
        <f t="shared" si="60"/>
        <v/>
      </c>
      <c r="H341" s="6" t="str">
        <f t="shared" si="54"/>
        <v/>
      </c>
      <c r="I341" s="7" t="str">
        <f t="shared" si="61"/>
        <v/>
      </c>
      <c r="J341" s="7" t="str">
        <f t="shared" si="58"/>
        <v/>
      </c>
      <c r="K341" s="7" t="str">
        <f t="shared" si="62"/>
        <v/>
      </c>
      <c r="L341" s="47" t="str">
        <f t="shared" si="55"/>
        <v/>
      </c>
      <c r="S341" s="55">
        <f t="shared" si="56"/>
        <v>8.2142857142857135</v>
      </c>
      <c r="T341" s="39">
        <f t="shared" si="57"/>
        <v>0.16191304347826088</v>
      </c>
    </row>
    <row r="342" spans="1:20" x14ac:dyDescent="0.15">
      <c r="A342" s="12"/>
      <c r="B342" s="13"/>
      <c r="C342" s="13"/>
      <c r="D342" s="13"/>
      <c r="E342" s="14"/>
      <c r="F342" s="6" t="str">
        <f t="shared" si="59"/>
        <v/>
      </c>
      <c r="G342" s="6" t="str">
        <f t="shared" si="60"/>
        <v/>
      </c>
      <c r="H342" s="6" t="str">
        <f t="shared" si="54"/>
        <v/>
      </c>
      <c r="I342" s="7" t="str">
        <f t="shared" si="61"/>
        <v/>
      </c>
      <c r="J342" s="7" t="str">
        <f t="shared" si="58"/>
        <v/>
      </c>
      <c r="K342" s="7" t="str">
        <f t="shared" si="62"/>
        <v/>
      </c>
      <c r="L342" s="47" t="str">
        <f t="shared" si="55"/>
        <v/>
      </c>
      <c r="S342" s="55">
        <f t="shared" si="56"/>
        <v>8.2142857142857135</v>
      </c>
      <c r="T342" s="39">
        <f t="shared" si="57"/>
        <v>0.16191304347826088</v>
      </c>
    </row>
    <row r="343" spans="1:20" x14ac:dyDescent="0.15">
      <c r="A343" s="12"/>
      <c r="B343" s="13"/>
      <c r="C343" s="13"/>
      <c r="D343" s="13"/>
      <c r="E343" s="14"/>
      <c r="F343" s="6" t="str">
        <f t="shared" si="59"/>
        <v/>
      </c>
      <c r="G343" s="6" t="str">
        <f t="shared" si="60"/>
        <v/>
      </c>
      <c r="H343" s="6" t="str">
        <f t="shared" si="54"/>
        <v/>
      </c>
      <c r="I343" s="7" t="str">
        <f t="shared" si="61"/>
        <v/>
      </c>
      <c r="J343" s="7" t="str">
        <f t="shared" si="58"/>
        <v/>
      </c>
      <c r="K343" s="7" t="str">
        <f t="shared" si="62"/>
        <v/>
      </c>
      <c r="L343" s="47" t="str">
        <f t="shared" si="55"/>
        <v/>
      </c>
      <c r="S343" s="55">
        <f t="shared" si="56"/>
        <v>8.2142857142857135</v>
      </c>
      <c r="T343" s="39">
        <f t="shared" si="57"/>
        <v>0.16191304347826088</v>
      </c>
    </row>
    <row r="344" spans="1:20" x14ac:dyDescent="0.15">
      <c r="A344" s="12"/>
      <c r="B344" s="13"/>
      <c r="C344" s="13"/>
      <c r="D344" s="13"/>
      <c r="E344" s="14"/>
      <c r="F344" s="6" t="str">
        <f t="shared" si="59"/>
        <v/>
      </c>
      <c r="G344" s="6" t="str">
        <f t="shared" si="60"/>
        <v/>
      </c>
      <c r="H344" s="6" t="str">
        <f t="shared" si="54"/>
        <v/>
      </c>
      <c r="I344" s="7" t="str">
        <f t="shared" si="61"/>
        <v/>
      </c>
      <c r="J344" s="7" t="str">
        <f t="shared" si="58"/>
        <v/>
      </c>
      <c r="K344" s="7" t="str">
        <f t="shared" si="62"/>
        <v/>
      </c>
      <c r="L344" s="47" t="str">
        <f t="shared" si="55"/>
        <v/>
      </c>
      <c r="S344" s="55">
        <f t="shared" si="56"/>
        <v>8.2142857142857135</v>
      </c>
      <c r="T344" s="39">
        <f t="shared" si="57"/>
        <v>0.16191304347826088</v>
      </c>
    </row>
    <row r="345" spans="1:20" x14ac:dyDescent="0.15">
      <c r="A345" s="12"/>
      <c r="B345" s="13"/>
      <c r="C345" s="13"/>
      <c r="D345" s="13"/>
      <c r="E345" s="14"/>
      <c r="F345" s="6" t="str">
        <f t="shared" si="59"/>
        <v/>
      </c>
      <c r="G345" s="6" t="str">
        <f t="shared" si="60"/>
        <v/>
      </c>
      <c r="H345" s="6" t="str">
        <f t="shared" si="54"/>
        <v/>
      </c>
      <c r="I345" s="7" t="str">
        <f t="shared" si="61"/>
        <v/>
      </c>
      <c r="J345" s="7" t="str">
        <f t="shared" si="58"/>
        <v/>
      </c>
      <c r="K345" s="7" t="str">
        <f t="shared" si="62"/>
        <v/>
      </c>
      <c r="L345" s="47" t="str">
        <f t="shared" si="55"/>
        <v/>
      </c>
      <c r="S345" s="55">
        <f t="shared" si="56"/>
        <v>8.2142857142857135</v>
      </c>
      <c r="T345" s="39">
        <f t="shared" si="57"/>
        <v>0.16191304347826088</v>
      </c>
    </row>
    <row r="346" spans="1:20" x14ac:dyDescent="0.15">
      <c r="A346" s="12"/>
      <c r="B346" s="13"/>
      <c r="C346" s="13"/>
      <c r="D346" s="13"/>
      <c r="E346" s="14"/>
      <c r="F346" s="6" t="str">
        <f t="shared" si="59"/>
        <v/>
      </c>
      <c r="G346" s="6" t="str">
        <f t="shared" si="60"/>
        <v/>
      </c>
      <c r="H346" s="6" t="str">
        <f t="shared" si="54"/>
        <v/>
      </c>
      <c r="I346" s="7" t="str">
        <f t="shared" si="61"/>
        <v/>
      </c>
      <c r="J346" s="7" t="str">
        <f t="shared" si="58"/>
        <v/>
      </c>
      <c r="K346" s="7" t="str">
        <f t="shared" si="62"/>
        <v/>
      </c>
      <c r="L346" s="47" t="str">
        <f t="shared" si="55"/>
        <v/>
      </c>
      <c r="S346" s="55">
        <f t="shared" si="56"/>
        <v>8.2142857142857135</v>
      </c>
      <c r="T346" s="39">
        <f t="shared" si="57"/>
        <v>0.16191304347826088</v>
      </c>
    </row>
    <row r="347" spans="1:20" x14ac:dyDescent="0.15">
      <c r="A347" s="12"/>
      <c r="B347" s="13"/>
      <c r="C347" s="13"/>
      <c r="D347" s="13"/>
      <c r="E347" s="14"/>
      <c r="F347" s="6" t="str">
        <f t="shared" si="59"/>
        <v/>
      </c>
      <c r="G347" s="6" t="str">
        <f t="shared" si="60"/>
        <v/>
      </c>
      <c r="H347" s="6" t="str">
        <f t="shared" si="54"/>
        <v/>
      </c>
      <c r="I347" s="7" t="str">
        <f t="shared" si="61"/>
        <v/>
      </c>
      <c r="J347" s="7" t="str">
        <f t="shared" si="58"/>
        <v/>
      </c>
      <c r="K347" s="7" t="str">
        <f t="shared" si="62"/>
        <v/>
      </c>
      <c r="L347" s="47" t="str">
        <f t="shared" si="55"/>
        <v/>
      </c>
      <c r="S347" s="55">
        <f t="shared" si="56"/>
        <v>8.2142857142857135</v>
      </c>
      <c r="T347" s="39">
        <f t="shared" si="57"/>
        <v>0.16191304347826088</v>
      </c>
    </row>
    <row r="348" spans="1:20" x14ac:dyDescent="0.15">
      <c r="A348" s="12"/>
      <c r="B348" s="13"/>
      <c r="C348" s="13"/>
      <c r="D348" s="13"/>
      <c r="E348" s="14"/>
      <c r="F348" s="6" t="str">
        <f t="shared" si="59"/>
        <v/>
      </c>
      <c r="G348" s="6" t="str">
        <f t="shared" si="60"/>
        <v/>
      </c>
      <c r="H348" s="6" t="str">
        <f t="shared" si="54"/>
        <v/>
      </c>
      <c r="I348" s="7" t="str">
        <f t="shared" si="61"/>
        <v/>
      </c>
      <c r="J348" s="7" t="str">
        <f t="shared" si="58"/>
        <v/>
      </c>
      <c r="K348" s="7" t="str">
        <f t="shared" si="62"/>
        <v/>
      </c>
      <c r="L348" s="47" t="str">
        <f t="shared" si="55"/>
        <v/>
      </c>
      <c r="S348" s="55">
        <f t="shared" si="56"/>
        <v>8.2142857142857135</v>
      </c>
      <c r="T348" s="39">
        <f t="shared" si="57"/>
        <v>0.16191304347826088</v>
      </c>
    </row>
    <row r="349" spans="1:20" x14ac:dyDescent="0.15">
      <c r="A349" s="12"/>
      <c r="B349" s="13"/>
      <c r="C349" s="13"/>
      <c r="D349" s="13"/>
      <c r="E349" s="14"/>
      <c r="F349" s="6" t="str">
        <f t="shared" si="59"/>
        <v/>
      </c>
      <c r="G349" s="6" t="str">
        <f t="shared" si="60"/>
        <v/>
      </c>
      <c r="H349" s="6" t="str">
        <f t="shared" si="54"/>
        <v/>
      </c>
      <c r="I349" s="7" t="str">
        <f t="shared" si="61"/>
        <v/>
      </c>
      <c r="J349" s="7" t="str">
        <f t="shared" si="58"/>
        <v/>
      </c>
      <c r="K349" s="7" t="str">
        <f t="shared" si="62"/>
        <v/>
      </c>
      <c r="L349" s="47" t="str">
        <f t="shared" si="55"/>
        <v/>
      </c>
      <c r="S349" s="55">
        <f t="shared" si="56"/>
        <v>8.2142857142857135</v>
      </c>
      <c r="T349" s="39">
        <f t="shared" si="57"/>
        <v>0.16191304347826088</v>
      </c>
    </row>
    <row r="350" spans="1:20" x14ac:dyDescent="0.15">
      <c r="A350" s="12"/>
      <c r="B350" s="13"/>
      <c r="C350" s="13"/>
      <c r="D350" s="13"/>
      <c r="E350" s="14"/>
      <c r="F350" s="6" t="str">
        <f t="shared" si="59"/>
        <v/>
      </c>
      <c r="G350" s="6" t="str">
        <f t="shared" si="60"/>
        <v/>
      </c>
      <c r="H350" s="6" t="str">
        <f t="shared" si="54"/>
        <v/>
      </c>
      <c r="I350" s="7" t="str">
        <f t="shared" si="61"/>
        <v/>
      </c>
      <c r="J350" s="7" t="str">
        <f t="shared" si="58"/>
        <v/>
      </c>
      <c r="K350" s="7" t="str">
        <f t="shared" si="62"/>
        <v/>
      </c>
      <c r="L350" s="47" t="str">
        <f t="shared" si="55"/>
        <v/>
      </c>
      <c r="S350" s="55">
        <f t="shared" si="56"/>
        <v>8.2142857142857135</v>
      </c>
      <c r="T350" s="39">
        <f t="shared" si="57"/>
        <v>0.16191304347826088</v>
      </c>
    </row>
    <row r="351" spans="1:20" x14ac:dyDescent="0.15">
      <c r="A351" s="12"/>
      <c r="B351" s="13"/>
      <c r="C351" s="13"/>
      <c r="D351" s="13"/>
      <c r="E351" s="14"/>
      <c r="F351" s="6" t="str">
        <f t="shared" si="59"/>
        <v/>
      </c>
      <c r="G351" s="6" t="str">
        <f t="shared" si="60"/>
        <v/>
      </c>
      <c r="H351" s="6" t="str">
        <f t="shared" si="54"/>
        <v/>
      </c>
      <c r="I351" s="7" t="str">
        <f t="shared" si="61"/>
        <v/>
      </c>
      <c r="J351" s="7" t="str">
        <f t="shared" si="58"/>
        <v/>
      </c>
      <c r="K351" s="7" t="str">
        <f t="shared" si="62"/>
        <v/>
      </c>
      <c r="L351" s="47" t="str">
        <f t="shared" si="55"/>
        <v/>
      </c>
      <c r="S351" s="55">
        <f t="shared" si="56"/>
        <v>8.2142857142857135</v>
      </c>
      <c r="T351" s="39">
        <f t="shared" si="57"/>
        <v>0.16191304347826088</v>
      </c>
    </row>
    <row r="352" spans="1:20" x14ac:dyDescent="0.15">
      <c r="A352" s="12"/>
      <c r="B352" s="13"/>
      <c r="C352" s="13"/>
      <c r="D352" s="13"/>
      <c r="E352" s="14"/>
      <c r="F352" s="6" t="str">
        <f t="shared" si="59"/>
        <v/>
      </c>
      <c r="G352" s="6" t="str">
        <f t="shared" si="60"/>
        <v/>
      </c>
      <c r="H352" s="6" t="str">
        <f t="shared" si="54"/>
        <v/>
      </c>
      <c r="I352" s="7" t="str">
        <f t="shared" si="61"/>
        <v/>
      </c>
      <c r="J352" s="7" t="str">
        <f t="shared" si="58"/>
        <v/>
      </c>
      <c r="K352" s="7" t="str">
        <f t="shared" si="62"/>
        <v/>
      </c>
      <c r="L352" s="47" t="str">
        <f t="shared" si="55"/>
        <v/>
      </c>
      <c r="S352" s="55">
        <f t="shared" si="56"/>
        <v>8.2142857142857135</v>
      </c>
      <c r="T352" s="39">
        <f t="shared" si="57"/>
        <v>0.16191304347826088</v>
      </c>
    </row>
    <row r="353" spans="1:20" x14ac:dyDescent="0.15">
      <c r="A353" s="12"/>
      <c r="B353" s="13"/>
      <c r="C353" s="13"/>
      <c r="D353" s="13"/>
      <c r="E353" s="14"/>
      <c r="F353" s="6" t="str">
        <f t="shared" si="59"/>
        <v/>
      </c>
      <c r="G353" s="6" t="str">
        <f t="shared" si="60"/>
        <v/>
      </c>
      <c r="H353" s="6" t="str">
        <f t="shared" si="54"/>
        <v/>
      </c>
      <c r="I353" s="7" t="str">
        <f t="shared" si="61"/>
        <v/>
      </c>
      <c r="J353" s="7" t="str">
        <f t="shared" si="58"/>
        <v/>
      </c>
      <c r="K353" s="7" t="str">
        <f t="shared" si="62"/>
        <v/>
      </c>
      <c r="L353" s="47" t="str">
        <f t="shared" si="55"/>
        <v/>
      </c>
      <c r="S353" s="55">
        <f t="shared" si="56"/>
        <v>8.2142857142857135</v>
      </c>
      <c r="T353" s="39">
        <f t="shared" si="57"/>
        <v>0.16191304347826088</v>
      </c>
    </row>
    <row r="354" spans="1:20" x14ac:dyDescent="0.15">
      <c r="A354" s="12"/>
      <c r="B354" s="13"/>
      <c r="C354" s="13"/>
      <c r="D354" s="13"/>
      <c r="E354" s="14"/>
      <c r="F354" s="6" t="str">
        <f t="shared" si="59"/>
        <v/>
      </c>
      <c r="G354" s="6" t="str">
        <f t="shared" si="60"/>
        <v/>
      </c>
      <c r="H354" s="6" t="str">
        <f t="shared" si="54"/>
        <v/>
      </c>
      <c r="I354" s="7" t="str">
        <f t="shared" si="61"/>
        <v/>
      </c>
      <c r="J354" s="7" t="str">
        <f t="shared" si="58"/>
        <v/>
      </c>
      <c r="K354" s="7" t="str">
        <f t="shared" si="62"/>
        <v/>
      </c>
      <c r="L354" s="47" t="str">
        <f t="shared" si="55"/>
        <v/>
      </c>
      <c r="S354" s="55">
        <f t="shared" si="56"/>
        <v>8.2142857142857135</v>
      </c>
      <c r="T354" s="39">
        <f t="shared" si="57"/>
        <v>0.16191304347826088</v>
      </c>
    </row>
    <row r="355" spans="1:20" x14ac:dyDescent="0.15">
      <c r="A355" s="12"/>
      <c r="B355" s="13"/>
      <c r="C355" s="13"/>
      <c r="D355" s="13"/>
      <c r="E355" s="14"/>
      <c r="F355" s="6" t="str">
        <f t="shared" si="59"/>
        <v/>
      </c>
      <c r="G355" s="6" t="str">
        <f t="shared" si="60"/>
        <v/>
      </c>
      <c r="H355" s="6" t="str">
        <f t="shared" si="54"/>
        <v/>
      </c>
      <c r="I355" s="7" t="str">
        <f t="shared" si="61"/>
        <v/>
      </c>
      <c r="J355" s="7" t="str">
        <f t="shared" si="58"/>
        <v/>
      </c>
      <c r="K355" s="7" t="str">
        <f t="shared" si="62"/>
        <v/>
      </c>
      <c r="L355" s="47" t="str">
        <f t="shared" si="55"/>
        <v/>
      </c>
      <c r="S355" s="55">
        <f t="shared" si="56"/>
        <v>8.2142857142857135</v>
      </c>
      <c r="T355" s="39">
        <f t="shared" si="57"/>
        <v>0.16191304347826088</v>
      </c>
    </row>
    <row r="356" spans="1:20" x14ac:dyDescent="0.15">
      <c r="A356" s="12"/>
      <c r="B356" s="13"/>
      <c r="C356" s="13"/>
      <c r="D356" s="13"/>
      <c r="E356" s="14"/>
      <c r="F356" s="6" t="str">
        <f t="shared" si="59"/>
        <v/>
      </c>
      <c r="G356" s="6" t="str">
        <f t="shared" si="60"/>
        <v/>
      </c>
      <c r="H356" s="6" t="str">
        <f t="shared" si="54"/>
        <v/>
      </c>
      <c r="I356" s="7" t="str">
        <f t="shared" si="61"/>
        <v/>
      </c>
      <c r="J356" s="7" t="str">
        <f t="shared" si="58"/>
        <v/>
      </c>
      <c r="K356" s="7" t="str">
        <f t="shared" si="62"/>
        <v/>
      </c>
      <c r="L356" s="47" t="str">
        <f t="shared" si="55"/>
        <v/>
      </c>
      <c r="S356" s="55">
        <f t="shared" si="56"/>
        <v>8.2142857142857135</v>
      </c>
      <c r="T356" s="39">
        <f t="shared" si="57"/>
        <v>0.16191304347826088</v>
      </c>
    </row>
    <row r="357" spans="1:20" x14ac:dyDescent="0.15">
      <c r="A357" s="12"/>
      <c r="B357" s="13"/>
      <c r="C357" s="13"/>
      <c r="D357" s="13"/>
      <c r="E357" s="14"/>
      <c r="F357" s="6" t="str">
        <f t="shared" si="59"/>
        <v/>
      </c>
      <c r="G357" s="6" t="str">
        <f t="shared" si="60"/>
        <v/>
      </c>
      <c r="H357" s="6" t="str">
        <f t="shared" si="54"/>
        <v/>
      </c>
      <c r="I357" s="7" t="str">
        <f t="shared" si="61"/>
        <v/>
      </c>
      <c r="J357" s="7" t="str">
        <f t="shared" si="58"/>
        <v/>
      </c>
      <c r="K357" s="7" t="str">
        <f t="shared" si="62"/>
        <v/>
      </c>
      <c r="L357" s="47" t="str">
        <f t="shared" si="55"/>
        <v/>
      </c>
      <c r="S357" s="55">
        <f t="shared" si="56"/>
        <v>8.2142857142857135</v>
      </c>
      <c r="T357" s="39">
        <f t="shared" si="57"/>
        <v>0.16191304347826088</v>
      </c>
    </row>
    <row r="358" spans="1:20" x14ac:dyDescent="0.15">
      <c r="A358" s="12"/>
      <c r="B358" s="13"/>
      <c r="C358" s="13"/>
      <c r="D358" s="13"/>
      <c r="E358" s="14"/>
      <c r="F358" s="6" t="str">
        <f t="shared" si="59"/>
        <v/>
      </c>
      <c r="G358" s="6" t="str">
        <f t="shared" si="60"/>
        <v/>
      </c>
      <c r="H358" s="6" t="str">
        <f t="shared" si="54"/>
        <v/>
      </c>
      <c r="I358" s="7" t="str">
        <f t="shared" si="61"/>
        <v/>
      </c>
      <c r="J358" s="7" t="str">
        <f t="shared" si="58"/>
        <v/>
      </c>
      <c r="K358" s="7" t="str">
        <f t="shared" si="62"/>
        <v/>
      </c>
      <c r="L358" s="47" t="str">
        <f t="shared" si="55"/>
        <v/>
      </c>
      <c r="S358" s="55">
        <f t="shared" si="56"/>
        <v>8.2142857142857135</v>
      </c>
      <c r="T358" s="39">
        <f t="shared" si="57"/>
        <v>0.16191304347826088</v>
      </c>
    </row>
    <row r="359" spans="1:20" x14ac:dyDescent="0.15">
      <c r="A359" s="12"/>
      <c r="B359" s="13"/>
      <c r="C359" s="13"/>
      <c r="D359" s="13"/>
      <c r="E359" s="14"/>
      <c r="F359" s="6" t="str">
        <f t="shared" si="59"/>
        <v/>
      </c>
      <c r="G359" s="6" t="str">
        <f t="shared" si="60"/>
        <v/>
      </c>
      <c r="H359" s="6" t="str">
        <f t="shared" si="54"/>
        <v/>
      </c>
      <c r="I359" s="7" t="str">
        <f t="shared" si="61"/>
        <v/>
      </c>
      <c r="J359" s="7" t="str">
        <f t="shared" si="58"/>
        <v/>
      </c>
      <c r="K359" s="7" t="str">
        <f t="shared" si="62"/>
        <v/>
      </c>
      <c r="L359" s="47" t="str">
        <f t="shared" si="55"/>
        <v/>
      </c>
      <c r="S359" s="55">
        <f t="shared" si="56"/>
        <v>8.2142857142857135</v>
      </c>
      <c r="T359" s="39">
        <f t="shared" si="57"/>
        <v>0.16191304347826088</v>
      </c>
    </row>
    <row r="360" spans="1:20" x14ac:dyDescent="0.15">
      <c r="A360" s="12"/>
      <c r="B360" s="13"/>
      <c r="C360" s="13"/>
      <c r="D360" s="13"/>
      <c r="E360" s="14"/>
      <c r="F360" s="6" t="str">
        <f t="shared" si="59"/>
        <v/>
      </c>
      <c r="G360" s="6" t="str">
        <f t="shared" si="60"/>
        <v/>
      </c>
      <c r="H360" s="6" t="str">
        <f t="shared" si="54"/>
        <v/>
      </c>
      <c r="I360" s="7" t="str">
        <f t="shared" si="61"/>
        <v/>
      </c>
      <c r="J360" s="7" t="str">
        <f t="shared" si="58"/>
        <v/>
      </c>
      <c r="K360" s="7" t="str">
        <f t="shared" si="62"/>
        <v/>
      </c>
      <c r="L360" s="47" t="str">
        <f t="shared" si="55"/>
        <v/>
      </c>
      <c r="S360" s="55">
        <f t="shared" si="56"/>
        <v>8.2142857142857135</v>
      </c>
      <c r="T360" s="39">
        <f t="shared" si="57"/>
        <v>0.16191304347826088</v>
      </c>
    </row>
    <row r="361" spans="1:20" x14ac:dyDescent="0.15">
      <c r="A361" s="12"/>
      <c r="B361" s="13"/>
      <c r="C361" s="13"/>
      <c r="D361" s="13"/>
      <c r="E361" s="14"/>
      <c r="F361" s="6" t="str">
        <f t="shared" si="59"/>
        <v/>
      </c>
      <c r="G361" s="6" t="str">
        <f t="shared" si="60"/>
        <v/>
      </c>
      <c r="H361" s="6" t="str">
        <f t="shared" si="54"/>
        <v/>
      </c>
      <c r="I361" s="7" t="str">
        <f t="shared" si="61"/>
        <v/>
      </c>
      <c r="J361" s="7" t="str">
        <f t="shared" si="58"/>
        <v/>
      </c>
      <c r="K361" s="7" t="str">
        <f t="shared" si="62"/>
        <v/>
      </c>
      <c r="L361" s="47" t="str">
        <f t="shared" si="55"/>
        <v/>
      </c>
      <c r="S361" s="55">
        <f t="shared" si="56"/>
        <v>8.2142857142857135</v>
      </c>
      <c r="T361" s="39">
        <f t="shared" si="57"/>
        <v>0.16191304347826088</v>
      </c>
    </row>
    <row r="362" spans="1:20" x14ac:dyDescent="0.15">
      <c r="A362" s="12"/>
      <c r="B362" s="13"/>
      <c r="C362" s="13"/>
      <c r="D362" s="13"/>
      <c r="E362" s="14"/>
      <c r="F362" s="6" t="str">
        <f t="shared" si="59"/>
        <v/>
      </c>
      <c r="G362" s="6" t="str">
        <f t="shared" si="60"/>
        <v/>
      </c>
      <c r="H362" s="6" t="str">
        <f t="shared" si="54"/>
        <v/>
      </c>
      <c r="I362" s="7" t="str">
        <f t="shared" si="61"/>
        <v/>
      </c>
      <c r="J362" s="7" t="str">
        <f t="shared" si="58"/>
        <v/>
      </c>
      <c r="K362" s="7" t="str">
        <f t="shared" si="62"/>
        <v/>
      </c>
      <c r="L362" s="47" t="str">
        <f t="shared" si="55"/>
        <v/>
      </c>
      <c r="S362" s="55">
        <f t="shared" si="56"/>
        <v>8.2142857142857135</v>
      </c>
      <c r="T362" s="39">
        <f t="shared" si="57"/>
        <v>0.16191304347826088</v>
      </c>
    </row>
    <row r="363" spans="1:20" x14ac:dyDescent="0.15">
      <c r="A363" s="12"/>
      <c r="B363" s="13"/>
      <c r="C363" s="13"/>
      <c r="D363" s="13"/>
      <c r="E363" s="14"/>
      <c r="F363" s="6" t="str">
        <f t="shared" si="59"/>
        <v/>
      </c>
      <c r="G363" s="6" t="str">
        <f t="shared" si="60"/>
        <v/>
      </c>
      <c r="H363" s="6" t="str">
        <f t="shared" si="54"/>
        <v/>
      </c>
      <c r="I363" s="7" t="str">
        <f t="shared" si="61"/>
        <v/>
      </c>
      <c r="J363" s="7" t="str">
        <f t="shared" si="58"/>
        <v/>
      </c>
      <c r="K363" s="7" t="str">
        <f t="shared" si="62"/>
        <v/>
      </c>
      <c r="L363" s="47" t="str">
        <f t="shared" si="55"/>
        <v/>
      </c>
      <c r="S363" s="55">
        <f t="shared" si="56"/>
        <v>8.2142857142857135</v>
      </c>
      <c r="T363" s="39">
        <f t="shared" si="57"/>
        <v>0.16191304347826088</v>
      </c>
    </row>
    <row r="364" spans="1:20" x14ac:dyDescent="0.15">
      <c r="A364" s="12"/>
      <c r="B364" s="13"/>
      <c r="C364" s="13"/>
      <c r="D364" s="13"/>
      <c r="E364" s="14"/>
      <c r="F364" s="6" t="str">
        <f t="shared" si="59"/>
        <v/>
      </c>
      <c r="G364" s="6" t="str">
        <f t="shared" si="60"/>
        <v/>
      </c>
      <c r="H364" s="6" t="str">
        <f t="shared" si="54"/>
        <v/>
      </c>
      <c r="I364" s="7" t="str">
        <f t="shared" si="61"/>
        <v/>
      </c>
      <c r="J364" s="7" t="str">
        <f t="shared" si="58"/>
        <v/>
      </c>
      <c r="K364" s="7" t="str">
        <f t="shared" si="62"/>
        <v/>
      </c>
      <c r="L364" s="47" t="str">
        <f t="shared" si="55"/>
        <v/>
      </c>
      <c r="S364" s="55">
        <f t="shared" si="56"/>
        <v>8.2142857142857135</v>
      </c>
      <c r="T364" s="39">
        <f t="shared" si="57"/>
        <v>0.16191304347826088</v>
      </c>
    </row>
    <row r="365" spans="1:20" x14ac:dyDescent="0.15">
      <c r="A365" s="12"/>
      <c r="B365" s="13"/>
      <c r="C365" s="13"/>
      <c r="D365" s="13"/>
      <c r="E365" s="14"/>
      <c r="F365" s="6" t="str">
        <f t="shared" si="59"/>
        <v/>
      </c>
      <c r="G365" s="6" t="str">
        <f t="shared" si="60"/>
        <v/>
      </c>
      <c r="H365" s="6" t="str">
        <f t="shared" si="54"/>
        <v/>
      </c>
      <c r="I365" s="7" t="str">
        <f t="shared" si="61"/>
        <v/>
      </c>
      <c r="J365" s="7" t="str">
        <f t="shared" si="58"/>
        <v/>
      </c>
      <c r="K365" s="7" t="str">
        <f t="shared" si="62"/>
        <v/>
      </c>
      <c r="L365" s="47" t="str">
        <f t="shared" si="55"/>
        <v/>
      </c>
      <c r="S365" s="55">
        <f t="shared" si="56"/>
        <v>8.2142857142857135</v>
      </c>
      <c r="T365" s="39">
        <f t="shared" si="57"/>
        <v>0.16191304347826088</v>
      </c>
    </row>
    <row r="366" spans="1:20" x14ac:dyDescent="0.15">
      <c r="A366" s="12"/>
      <c r="B366" s="13"/>
      <c r="C366" s="13"/>
      <c r="D366" s="13"/>
      <c r="E366" s="14"/>
      <c r="F366" s="6" t="str">
        <f t="shared" si="59"/>
        <v/>
      </c>
      <c r="G366" s="6" t="str">
        <f t="shared" si="60"/>
        <v/>
      </c>
      <c r="H366" s="6" t="str">
        <f t="shared" si="54"/>
        <v/>
      </c>
      <c r="I366" s="7" t="str">
        <f t="shared" si="61"/>
        <v/>
      </c>
      <c r="J366" s="7" t="str">
        <f t="shared" si="58"/>
        <v/>
      </c>
      <c r="K366" s="7" t="str">
        <f t="shared" si="62"/>
        <v/>
      </c>
      <c r="L366" s="47" t="str">
        <f t="shared" si="55"/>
        <v/>
      </c>
      <c r="S366" s="55">
        <f t="shared" si="56"/>
        <v>8.2142857142857135</v>
      </c>
      <c r="T366" s="39">
        <f t="shared" si="57"/>
        <v>0.16191304347826088</v>
      </c>
    </row>
    <row r="367" spans="1:20" x14ac:dyDescent="0.15">
      <c r="A367" s="12"/>
      <c r="B367" s="13"/>
      <c r="C367" s="13"/>
      <c r="D367" s="13"/>
      <c r="E367" s="14"/>
      <c r="F367" s="6" t="str">
        <f t="shared" si="59"/>
        <v/>
      </c>
      <c r="G367" s="6" t="str">
        <f t="shared" si="60"/>
        <v/>
      </c>
      <c r="H367" s="6" t="str">
        <f t="shared" si="54"/>
        <v/>
      </c>
      <c r="I367" s="7" t="str">
        <f t="shared" si="61"/>
        <v/>
      </c>
      <c r="J367" s="7" t="str">
        <f t="shared" si="58"/>
        <v/>
      </c>
      <c r="K367" s="7" t="str">
        <f t="shared" si="62"/>
        <v/>
      </c>
      <c r="L367" s="47" t="str">
        <f t="shared" si="55"/>
        <v/>
      </c>
      <c r="S367" s="55">
        <f t="shared" si="56"/>
        <v>8.2142857142857135</v>
      </c>
      <c r="T367" s="39">
        <f t="shared" si="57"/>
        <v>0.16191304347826088</v>
      </c>
    </row>
    <row r="368" spans="1:20" x14ac:dyDescent="0.15">
      <c r="A368" s="12"/>
      <c r="B368" s="13"/>
      <c r="C368" s="13"/>
      <c r="D368" s="13"/>
      <c r="E368" s="14"/>
      <c r="F368" s="6" t="str">
        <f t="shared" si="59"/>
        <v/>
      </c>
      <c r="G368" s="6" t="str">
        <f t="shared" si="60"/>
        <v/>
      </c>
      <c r="H368" s="6" t="str">
        <f t="shared" si="54"/>
        <v/>
      </c>
      <c r="I368" s="7" t="str">
        <f t="shared" si="61"/>
        <v/>
      </c>
      <c r="J368" s="7" t="str">
        <f t="shared" si="58"/>
        <v/>
      </c>
      <c r="K368" s="7" t="str">
        <f t="shared" si="62"/>
        <v/>
      </c>
      <c r="L368" s="47" t="str">
        <f t="shared" si="55"/>
        <v/>
      </c>
      <c r="S368" s="55">
        <f t="shared" si="56"/>
        <v>8.2142857142857135</v>
      </c>
      <c r="T368" s="39">
        <f t="shared" si="57"/>
        <v>0.16191304347826088</v>
      </c>
    </row>
    <row r="369" spans="1:20" x14ac:dyDescent="0.15">
      <c r="A369" s="12"/>
      <c r="B369" s="13"/>
      <c r="C369" s="13"/>
      <c r="D369" s="13"/>
      <c r="E369" s="14"/>
      <c r="F369" s="6" t="str">
        <f t="shared" si="59"/>
        <v/>
      </c>
      <c r="G369" s="6" t="str">
        <f t="shared" si="60"/>
        <v/>
      </c>
      <c r="H369" s="6" t="str">
        <f t="shared" si="54"/>
        <v/>
      </c>
      <c r="I369" s="7" t="str">
        <f t="shared" si="61"/>
        <v/>
      </c>
      <c r="J369" s="7" t="str">
        <f t="shared" si="58"/>
        <v/>
      </c>
      <c r="K369" s="7" t="str">
        <f t="shared" si="62"/>
        <v/>
      </c>
      <c r="L369" s="47" t="str">
        <f t="shared" si="55"/>
        <v/>
      </c>
      <c r="S369" s="55">
        <f t="shared" si="56"/>
        <v>8.2142857142857135</v>
      </c>
      <c r="T369" s="39">
        <f t="shared" si="57"/>
        <v>0.16191304347826088</v>
      </c>
    </row>
    <row r="370" spans="1:20" x14ac:dyDescent="0.15">
      <c r="A370" s="12"/>
      <c r="B370" s="13"/>
      <c r="C370" s="13"/>
      <c r="D370" s="13"/>
      <c r="E370" s="14"/>
      <c r="F370" s="6" t="str">
        <f t="shared" si="59"/>
        <v/>
      </c>
      <c r="G370" s="6" t="str">
        <f t="shared" si="60"/>
        <v/>
      </c>
      <c r="H370" s="6" t="str">
        <f t="shared" si="54"/>
        <v/>
      </c>
      <c r="I370" s="7" t="str">
        <f t="shared" si="61"/>
        <v/>
      </c>
      <c r="J370" s="7" t="str">
        <f t="shared" si="58"/>
        <v/>
      </c>
      <c r="K370" s="7" t="str">
        <f t="shared" si="62"/>
        <v/>
      </c>
      <c r="L370" s="47" t="str">
        <f t="shared" si="55"/>
        <v/>
      </c>
      <c r="S370" s="55">
        <f t="shared" si="56"/>
        <v>8.2142857142857135</v>
      </c>
      <c r="T370" s="39">
        <f t="shared" si="57"/>
        <v>0.16191304347826088</v>
      </c>
    </row>
    <row r="371" spans="1:20" x14ac:dyDescent="0.15">
      <c r="A371" s="12"/>
      <c r="B371" s="13"/>
      <c r="C371" s="13"/>
      <c r="D371" s="13"/>
      <c r="E371" s="14"/>
      <c r="F371" s="6" t="str">
        <f t="shared" si="59"/>
        <v/>
      </c>
      <c r="G371" s="6" t="str">
        <f t="shared" si="60"/>
        <v/>
      </c>
      <c r="H371" s="6" t="str">
        <f t="shared" si="54"/>
        <v/>
      </c>
      <c r="I371" s="7" t="str">
        <f t="shared" si="61"/>
        <v/>
      </c>
      <c r="J371" s="7" t="str">
        <f t="shared" si="58"/>
        <v/>
      </c>
      <c r="K371" s="7" t="str">
        <f t="shared" si="62"/>
        <v/>
      </c>
      <c r="L371" s="47" t="str">
        <f t="shared" si="55"/>
        <v/>
      </c>
      <c r="S371" s="55">
        <f t="shared" si="56"/>
        <v>8.2142857142857135</v>
      </c>
      <c r="T371" s="39">
        <f t="shared" si="57"/>
        <v>0.16191304347826088</v>
      </c>
    </row>
    <row r="372" spans="1:20" x14ac:dyDescent="0.15">
      <c r="A372" s="12"/>
      <c r="B372" s="13"/>
      <c r="C372" s="13"/>
      <c r="D372" s="13"/>
      <c r="E372" s="14"/>
      <c r="F372" s="6" t="str">
        <f t="shared" si="59"/>
        <v/>
      </c>
      <c r="G372" s="6" t="str">
        <f t="shared" si="60"/>
        <v/>
      </c>
      <c r="H372" s="6" t="str">
        <f t="shared" si="54"/>
        <v/>
      </c>
      <c r="I372" s="7" t="str">
        <f t="shared" si="61"/>
        <v/>
      </c>
      <c r="J372" s="7" t="str">
        <f t="shared" si="58"/>
        <v/>
      </c>
      <c r="K372" s="7" t="str">
        <f t="shared" si="62"/>
        <v/>
      </c>
      <c r="L372" s="47" t="str">
        <f t="shared" si="55"/>
        <v/>
      </c>
      <c r="S372" s="55">
        <f t="shared" si="56"/>
        <v>8.2142857142857135</v>
      </c>
      <c r="T372" s="39">
        <f t="shared" si="57"/>
        <v>0.16191304347826088</v>
      </c>
    </row>
    <row r="373" spans="1:20" x14ac:dyDescent="0.15">
      <c r="A373" s="12"/>
      <c r="B373" s="13"/>
      <c r="C373" s="13"/>
      <c r="D373" s="13"/>
      <c r="E373" s="14"/>
      <c r="F373" s="6" t="str">
        <f t="shared" si="59"/>
        <v/>
      </c>
      <c r="G373" s="6" t="str">
        <f t="shared" si="60"/>
        <v/>
      </c>
      <c r="H373" s="6" t="str">
        <f t="shared" si="54"/>
        <v/>
      </c>
      <c r="I373" s="7" t="str">
        <f t="shared" si="61"/>
        <v/>
      </c>
      <c r="J373" s="7" t="str">
        <f t="shared" si="58"/>
        <v/>
      </c>
      <c r="K373" s="7" t="str">
        <f t="shared" si="62"/>
        <v/>
      </c>
      <c r="L373" s="47" t="str">
        <f t="shared" si="55"/>
        <v/>
      </c>
      <c r="S373" s="55">
        <f t="shared" si="56"/>
        <v>8.2142857142857135</v>
      </c>
      <c r="T373" s="39">
        <f t="shared" si="57"/>
        <v>0.16191304347826088</v>
      </c>
    </row>
    <row r="374" spans="1:20" x14ac:dyDescent="0.15">
      <c r="A374" s="12"/>
      <c r="B374" s="13"/>
      <c r="C374" s="13"/>
      <c r="D374" s="13"/>
      <c r="E374" s="14"/>
      <c r="F374" s="6" t="str">
        <f t="shared" si="59"/>
        <v/>
      </c>
      <c r="G374" s="6" t="str">
        <f t="shared" si="60"/>
        <v/>
      </c>
      <c r="H374" s="6" t="str">
        <f t="shared" si="54"/>
        <v/>
      </c>
      <c r="I374" s="7" t="str">
        <f t="shared" si="61"/>
        <v/>
      </c>
      <c r="J374" s="7" t="str">
        <f t="shared" si="58"/>
        <v/>
      </c>
      <c r="K374" s="7" t="str">
        <f t="shared" si="62"/>
        <v/>
      </c>
      <c r="L374" s="47" t="str">
        <f t="shared" si="55"/>
        <v/>
      </c>
      <c r="S374" s="55">
        <f t="shared" si="56"/>
        <v>8.2142857142857135</v>
      </c>
      <c r="T374" s="39">
        <f t="shared" si="57"/>
        <v>0.16191304347826088</v>
      </c>
    </row>
    <row r="375" spans="1:20" x14ac:dyDescent="0.15">
      <c r="A375" s="12"/>
      <c r="B375" s="13"/>
      <c r="C375" s="13"/>
      <c r="D375" s="13"/>
      <c r="E375" s="14"/>
      <c r="F375" s="6" t="str">
        <f t="shared" si="59"/>
        <v/>
      </c>
      <c r="G375" s="6" t="str">
        <f t="shared" si="60"/>
        <v/>
      </c>
      <c r="H375" s="6" t="str">
        <f t="shared" si="54"/>
        <v/>
      </c>
      <c r="I375" s="7" t="str">
        <f t="shared" si="61"/>
        <v/>
      </c>
      <c r="J375" s="7" t="str">
        <f t="shared" si="58"/>
        <v/>
      </c>
      <c r="K375" s="7" t="str">
        <f t="shared" si="62"/>
        <v/>
      </c>
      <c r="L375" s="47" t="str">
        <f t="shared" si="55"/>
        <v/>
      </c>
      <c r="S375" s="55">
        <f t="shared" si="56"/>
        <v>8.2142857142857135</v>
      </c>
      <c r="T375" s="39">
        <f t="shared" si="57"/>
        <v>0.16191304347826088</v>
      </c>
    </row>
    <row r="376" spans="1:20" x14ac:dyDescent="0.15">
      <c r="A376" s="12"/>
      <c r="B376" s="13"/>
      <c r="C376" s="13"/>
      <c r="D376" s="13"/>
      <c r="E376" s="14"/>
      <c r="F376" s="6" t="str">
        <f t="shared" si="59"/>
        <v/>
      </c>
      <c r="G376" s="6" t="str">
        <f t="shared" si="60"/>
        <v/>
      </c>
      <c r="H376" s="6" t="str">
        <f t="shared" si="54"/>
        <v/>
      </c>
      <c r="I376" s="7" t="str">
        <f t="shared" si="61"/>
        <v/>
      </c>
      <c r="J376" s="7" t="str">
        <f t="shared" si="58"/>
        <v/>
      </c>
      <c r="K376" s="7" t="str">
        <f t="shared" si="62"/>
        <v/>
      </c>
      <c r="L376" s="47" t="str">
        <f t="shared" si="55"/>
        <v/>
      </c>
      <c r="S376" s="55">
        <f t="shared" si="56"/>
        <v>8.2142857142857135</v>
      </c>
      <c r="T376" s="39">
        <f t="shared" si="57"/>
        <v>0.16191304347826088</v>
      </c>
    </row>
    <row r="377" spans="1:20" x14ac:dyDescent="0.15">
      <c r="A377" s="12"/>
      <c r="B377" s="13"/>
      <c r="C377" s="13"/>
      <c r="D377" s="13"/>
      <c r="E377" s="14"/>
      <c r="F377" s="6" t="str">
        <f t="shared" si="59"/>
        <v/>
      </c>
      <c r="G377" s="6" t="str">
        <f t="shared" si="60"/>
        <v/>
      </c>
      <c r="H377" s="6" t="str">
        <f t="shared" si="54"/>
        <v/>
      </c>
      <c r="I377" s="7" t="str">
        <f t="shared" si="61"/>
        <v/>
      </c>
      <c r="J377" s="7" t="str">
        <f t="shared" si="58"/>
        <v/>
      </c>
      <c r="K377" s="7" t="str">
        <f t="shared" si="62"/>
        <v/>
      </c>
      <c r="L377" s="47" t="str">
        <f t="shared" si="55"/>
        <v/>
      </c>
      <c r="S377" s="55">
        <f t="shared" si="56"/>
        <v>8.2142857142857135</v>
      </c>
      <c r="T377" s="39">
        <f t="shared" si="57"/>
        <v>0.16191304347826088</v>
      </c>
    </row>
    <row r="378" spans="1:20" x14ac:dyDescent="0.15">
      <c r="A378" s="12"/>
      <c r="B378" s="13"/>
      <c r="C378" s="13"/>
      <c r="D378" s="13"/>
      <c r="E378" s="14"/>
      <c r="F378" s="6" t="str">
        <f t="shared" si="59"/>
        <v/>
      </c>
      <c r="G378" s="6" t="str">
        <f t="shared" si="60"/>
        <v/>
      </c>
      <c r="H378" s="6" t="str">
        <f t="shared" si="54"/>
        <v/>
      </c>
      <c r="I378" s="7" t="str">
        <f t="shared" si="61"/>
        <v/>
      </c>
      <c r="J378" s="7" t="str">
        <f t="shared" si="58"/>
        <v/>
      </c>
      <c r="K378" s="7" t="str">
        <f t="shared" si="62"/>
        <v/>
      </c>
      <c r="L378" s="47" t="str">
        <f t="shared" si="55"/>
        <v/>
      </c>
      <c r="S378" s="55">
        <f t="shared" si="56"/>
        <v>8.2142857142857135</v>
      </c>
      <c r="T378" s="39">
        <f t="shared" si="57"/>
        <v>0.16191304347826088</v>
      </c>
    </row>
    <row r="379" spans="1:20" x14ac:dyDescent="0.15">
      <c r="A379" s="12"/>
      <c r="B379" s="13"/>
      <c r="C379" s="13"/>
      <c r="D379" s="13"/>
      <c r="E379" s="14"/>
      <c r="F379" s="6" t="str">
        <f t="shared" si="59"/>
        <v/>
      </c>
      <c r="G379" s="6" t="str">
        <f t="shared" si="60"/>
        <v/>
      </c>
      <c r="H379" s="6" t="str">
        <f t="shared" si="54"/>
        <v/>
      </c>
      <c r="I379" s="7" t="str">
        <f t="shared" si="61"/>
        <v/>
      </c>
      <c r="J379" s="7" t="str">
        <f t="shared" si="58"/>
        <v/>
      </c>
      <c r="K379" s="7" t="str">
        <f t="shared" si="62"/>
        <v/>
      </c>
      <c r="L379" s="47" t="str">
        <f t="shared" si="55"/>
        <v/>
      </c>
      <c r="S379" s="55">
        <f t="shared" si="56"/>
        <v>8.2142857142857135</v>
      </c>
      <c r="T379" s="39">
        <f t="shared" si="57"/>
        <v>0.16191304347826088</v>
      </c>
    </row>
    <row r="380" spans="1:20" x14ac:dyDescent="0.15">
      <c r="A380" s="12"/>
      <c r="B380" s="13"/>
      <c r="C380" s="13"/>
      <c r="D380" s="13"/>
      <c r="E380" s="14"/>
      <c r="F380" s="6" t="str">
        <f t="shared" si="59"/>
        <v/>
      </c>
      <c r="G380" s="6" t="str">
        <f t="shared" si="60"/>
        <v/>
      </c>
      <c r="H380" s="6" t="str">
        <f t="shared" si="54"/>
        <v/>
      </c>
      <c r="I380" s="7" t="str">
        <f t="shared" si="61"/>
        <v/>
      </c>
      <c r="J380" s="7" t="str">
        <f t="shared" si="58"/>
        <v/>
      </c>
      <c r="K380" s="7" t="str">
        <f t="shared" si="62"/>
        <v/>
      </c>
      <c r="L380" s="47" t="str">
        <f t="shared" si="55"/>
        <v/>
      </c>
      <c r="S380" s="55">
        <f t="shared" si="56"/>
        <v>8.2142857142857135</v>
      </c>
      <c r="T380" s="39">
        <f t="shared" si="57"/>
        <v>0.16191304347826088</v>
      </c>
    </row>
    <row r="381" spans="1:20" x14ac:dyDescent="0.15">
      <c r="A381" s="12"/>
      <c r="B381" s="13"/>
      <c r="C381" s="13"/>
      <c r="D381" s="13"/>
      <c r="E381" s="14"/>
      <c r="F381" s="6" t="str">
        <f t="shared" si="59"/>
        <v/>
      </c>
      <c r="G381" s="6" t="str">
        <f t="shared" si="60"/>
        <v/>
      </c>
      <c r="H381" s="6" t="str">
        <f t="shared" si="54"/>
        <v/>
      </c>
      <c r="I381" s="7" t="str">
        <f t="shared" si="61"/>
        <v/>
      </c>
      <c r="J381" s="7" t="str">
        <f t="shared" si="58"/>
        <v/>
      </c>
      <c r="K381" s="7" t="str">
        <f t="shared" si="62"/>
        <v/>
      </c>
      <c r="L381" s="47" t="str">
        <f t="shared" si="55"/>
        <v/>
      </c>
      <c r="S381" s="55">
        <f t="shared" si="56"/>
        <v>8.2142857142857135</v>
      </c>
      <c r="T381" s="39">
        <f t="shared" si="57"/>
        <v>0.16191304347826088</v>
      </c>
    </row>
    <row r="382" spans="1:20" x14ac:dyDescent="0.15">
      <c r="A382" s="12"/>
      <c r="B382" s="13"/>
      <c r="C382" s="13"/>
      <c r="D382" s="13"/>
      <c r="E382" s="14"/>
      <c r="F382" s="6" t="str">
        <f t="shared" si="59"/>
        <v/>
      </c>
      <c r="G382" s="6" t="str">
        <f t="shared" si="60"/>
        <v/>
      </c>
      <c r="H382" s="6" t="str">
        <f t="shared" si="54"/>
        <v/>
      </c>
      <c r="I382" s="7" t="str">
        <f t="shared" si="61"/>
        <v/>
      </c>
      <c r="J382" s="7" t="str">
        <f t="shared" si="58"/>
        <v/>
      </c>
      <c r="K382" s="7" t="str">
        <f t="shared" si="62"/>
        <v/>
      </c>
      <c r="L382" s="47" t="str">
        <f t="shared" si="55"/>
        <v/>
      </c>
      <c r="S382" s="55">
        <f t="shared" si="56"/>
        <v>8.2142857142857135</v>
      </c>
      <c r="T382" s="39">
        <f t="shared" si="57"/>
        <v>0.16191304347826088</v>
      </c>
    </row>
    <row r="383" spans="1:20" x14ac:dyDescent="0.15">
      <c r="A383" s="12"/>
      <c r="B383" s="13"/>
      <c r="C383" s="13"/>
      <c r="D383" s="13"/>
      <c r="E383" s="14"/>
      <c r="F383" s="6" t="str">
        <f t="shared" si="59"/>
        <v/>
      </c>
      <c r="G383" s="6" t="str">
        <f t="shared" si="60"/>
        <v/>
      </c>
      <c r="H383" s="6" t="str">
        <f t="shared" si="54"/>
        <v/>
      </c>
      <c r="I383" s="7" t="str">
        <f t="shared" si="61"/>
        <v/>
      </c>
      <c r="J383" s="7" t="str">
        <f t="shared" si="58"/>
        <v/>
      </c>
      <c r="K383" s="7" t="str">
        <f t="shared" si="62"/>
        <v/>
      </c>
      <c r="L383" s="47" t="str">
        <f t="shared" si="55"/>
        <v/>
      </c>
      <c r="S383" s="55">
        <f t="shared" si="56"/>
        <v>8.2142857142857135</v>
      </c>
      <c r="T383" s="39">
        <f t="shared" si="57"/>
        <v>0.16191304347826088</v>
      </c>
    </row>
    <row r="384" spans="1:20" x14ac:dyDescent="0.15">
      <c r="A384" s="12"/>
      <c r="B384" s="13"/>
      <c r="C384" s="13"/>
      <c r="D384" s="13"/>
      <c r="E384" s="14"/>
      <c r="F384" s="6" t="str">
        <f t="shared" si="59"/>
        <v/>
      </c>
      <c r="G384" s="6" t="str">
        <f t="shared" si="60"/>
        <v/>
      </c>
      <c r="H384" s="6" t="str">
        <f t="shared" si="54"/>
        <v/>
      </c>
      <c r="I384" s="7" t="str">
        <f t="shared" si="61"/>
        <v/>
      </c>
      <c r="J384" s="7" t="str">
        <f t="shared" si="58"/>
        <v/>
      </c>
      <c r="K384" s="7" t="str">
        <f t="shared" si="62"/>
        <v/>
      </c>
      <c r="L384" s="47" t="str">
        <f t="shared" si="55"/>
        <v/>
      </c>
      <c r="S384" s="55">
        <f t="shared" si="56"/>
        <v>8.2142857142857135</v>
      </c>
      <c r="T384" s="39">
        <f t="shared" si="57"/>
        <v>0.16191304347826088</v>
      </c>
    </row>
    <row r="385" spans="1:20" x14ac:dyDescent="0.15">
      <c r="A385" s="12"/>
      <c r="B385" s="13"/>
      <c r="C385" s="13"/>
      <c r="D385" s="13"/>
      <c r="E385" s="14"/>
      <c r="F385" s="6" t="str">
        <f t="shared" si="59"/>
        <v/>
      </c>
      <c r="G385" s="6" t="str">
        <f t="shared" si="60"/>
        <v/>
      </c>
      <c r="H385" s="6" t="str">
        <f t="shared" si="54"/>
        <v/>
      </c>
      <c r="I385" s="7" t="str">
        <f t="shared" si="61"/>
        <v/>
      </c>
      <c r="J385" s="7" t="str">
        <f t="shared" si="58"/>
        <v/>
      </c>
      <c r="K385" s="7" t="str">
        <f t="shared" si="62"/>
        <v/>
      </c>
      <c r="L385" s="47" t="str">
        <f t="shared" si="55"/>
        <v/>
      </c>
      <c r="S385" s="55">
        <f t="shared" si="56"/>
        <v>8.2142857142857135</v>
      </c>
      <c r="T385" s="39">
        <f t="shared" si="57"/>
        <v>0.16191304347826088</v>
      </c>
    </row>
    <row r="386" spans="1:20" x14ac:dyDescent="0.15">
      <c r="A386" s="12"/>
      <c r="B386" s="13"/>
      <c r="C386" s="13"/>
      <c r="D386" s="13"/>
      <c r="E386" s="14"/>
      <c r="F386" s="6" t="str">
        <f t="shared" si="59"/>
        <v/>
      </c>
      <c r="G386" s="6" t="str">
        <f t="shared" si="60"/>
        <v/>
      </c>
      <c r="H386" s="6" t="str">
        <f t="shared" si="54"/>
        <v/>
      </c>
      <c r="I386" s="7" t="str">
        <f t="shared" si="61"/>
        <v/>
      </c>
      <c r="J386" s="7" t="str">
        <f t="shared" si="58"/>
        <v/>
      </c>
      <c r="K386" s="7" t="str">
        <f t="shared" si="62"/>
        <v/>
      </c>
      <c r="L386" s="47" t="str">
        <f t="shared" si="55"/>
        <v/>
      </c>
      <c r="S386" s="55">
        <f t="shared" si="56"/>
        <v>8.2142857142857135</v>
      </c>
      <c r="T386" s="39">
        <f t="shared" si="57"/>
        <v>0.16191304347826088</v>
      </c>
    </row>
    <row r="387" spans="1:20" x14ac:dyDescent="0.15">
      <c r="A387" s="12"/>
      <c r="B387" s="13"/>
      <c r="C387" s="13"/>
      <c r="D387" s="13"/>
      <c r="E387" s="14"/>
      <c r="F387" s="6" t="str">
        <f t="shared" si="59"/>
        <v/>
      </c>
      <c r="G387" s="6" t="str">
        <f t="shared" si="60"/>
        <v/>
      </c>
      <c r="H387" s="6" t="str">
        <f t="shared" si="54"/>
        <v/>
      </c>
      <c r="I387" s="7" t="str">
        <f t="shared" si="61"/>
        <v/>
      </c>
      <c r="J387" s="7" t="str">
        <f t="shared" si="58"/>
        <v/>
      </c>
      <c r="K387" s="7" t="str">
        <f t="shared" si="62"/>
        <v/>
      </c>
      <c r="L387" s="47" t="str">
        <f t="shared" si="55"/>
        <v/>
      </c>
      <c r="S387" s="55">
        <f t="shared" si="56"/>
        <v>8.2142857142857135</v>
      </c>
      <c r="T387" s="39">
        <f t="shared" si="57"/>
        <v>0.16191304347826088</v>
      </c>
    </row>
    <row r="388" spans="1:20" x14ac:dyDescent="0.15">
      <c r="A388" s="12"/>
      <c r="B388" s="13"/>
      <c r="C388" s="13"/>
      <c r="D388" s="13"/>
      <c r="E388" s="14"/>
      <c r="F388" s="6" t="str">
        <f t="shared" si="59"/>
        <v/>
      </c>
      <c r="G388" s="6" t="str">
        <f t="shared" si="60"/>
        <v/>
      </c>
      <c r="H388" s="6" t="str">
        <f t="shared" si="54"/>
        <v/>
      </c>
      <c r="I388" s="7" t="str">
        <f t="shared" si="61"/>
        <v/>
      </c>
      <c r="J388" s="7" t="str">
        <f t="shared" si="58"/>
        <v/>
      </c>
      <c r="K388" s="7" t="str">
        <f t="shared" si="62"/>
        <v/>
      </c>
      <c r="L388" s="47" t="str">
        <f t="shared" si="55"/>
        <v/>
      </c>
      <c r="S388" s="55">
        <f t="shared" si="56"/>
        <v>8.2142857142857135</v>
      </c>
      <c r="T388" s="39">
        <f t="shared" si="57"/>
        <v>0.16191304347826088</v>
      </c>
    </row>
    <row r="389" spans="1:20" x14ac:dyDescent="0.15">
      <c r="A389" s="12"/>
      <c r="B389" s="13"/>
      <c r="C389" s="13"/>
      <c r="D389" s="13"/>
      <c r="E389" s="14"/>
      <c r="F389" s="6" t="str">
        <f t="shared" si="59"/>
        <v/>
      </c>
      <c r="G389" s="6" t="str">
        <f t="shared" si="60"/>
        <v/>
      </c>
      <c r="H389" s="6" t="str">
        <f t="shared" si="54"/>
        <v/>
      </c>
      <c r="I389" s="7" t="str">
        <f t="shared" si="61"/>
        <v/>
      </c>
      <c r="J389" s="7" t="str">
        <f t="shared" si="58"/>
        <v/>
      </c>
      <c r="K389" s="7" t="str">
        <f t="shared" si="62"/>
        <v/>
      </c>
      <c r="L389" s="47" t="str">
        <f t="shared" si="55"/>
        <v/>
      </c>
      <c r="S389" s="55">
        <f t="shared" si="56"/>
        <v>8.2142857142857135</v>
      </c>
      <c r="T389" s="39">
        <f t="shared" si="57"/>
        <v>0.16191304347826088</v>
      </c>
    </row>
    <row r="390" spans="1:20" x14ac:dyDescent="0.15">
      <c r="A390" s="12"/>
      <c r="B390" s="13"/>
      <c r="C390" s="13"/>
      <c r="D390" s="13"/>
      <c r="E390" s="14"/>
      <c r="F390" s="6" t="str">
        <f t="shared" si="59"/>
        <v/>
      </c>
      <c r="G390" s="6" t="str">
        <f t="shared" si="60"/>
        <v/>
      </c>
      <c r="H390" s="6" t="str">
        <f t="shared" si="54"/>
        <v/>
      </c>
      <c r="I390" s="7" t="str">
        <f t="shared" si="61"/>
        <v/>
      </c>
      <c r="J390" s="7" t="str">
        <f t="shared" si="58"/>
        <v/>
      </c>
      <c r="K390" s="7" t="str">
        <f t="shared" si="62"/>
        <v/>
      </c>
      <c r="L390" s="47" t="str">
        <f t="shared" si="55"/>
        <v/>
      </c>
      <c r="S390" s="55">
        <f t="shared" si="56"/>
        <v>8.2142857142857135</v>
      </c>
      <c r="T390" s="39">
        <f t="shared" si="57"/>
        <v>0.16191304347826088</v>
      </c>
    </row>
    <row r="391" spans="1:20" x14ac:dyDescent="0.15">
      <c r="A391" s="12"/>
      <c r="B391" s="13"/>
      <c r="C391" s="13"/>
      <c r="D391" s="13"/>
      <c r="E391" s="14"/>
      <c r="F391" s="6" t="str">
        <f t="shared" si="59"/>
        <v/>
      </c>
      <c r="G391" s="6" t="str">
        <f t="shared" si="60"/>
        <v/>
      </c>
      <c r="H391" s="6" t="str">
        <f t="shared" si="54"/>
        <v/>
      </c>
      <c r="I391" s="7" t="str">
        <f t="shared" si="61"/>
        <v/>
      </c>
      <c r="J391" s="7" t="str">
        <f t="shared" si="58"/>
        <v/>
      </c>
      <c r="K391" s="7" t="str">
        <f t="shared" si="62"/>
        <v/>
      </c>
      <c r="L391" s="47" t="str">
        <f t="shared" si="55"/>
        <v/>
      </c>
      <c r="S391" s="55">
        <f t="shared" si="56"/>
        <v>8.2142857142857135</v>
      </c>
      <c r="T391" s="39">
        <f t="shared" si="57"/>
        <v>0.16191304347826088</v>
      </c>
    </row>
    <row r="392" spans="1:20" x14ac:dyDescent="0.15">
      <c r="A392" s="12"/>
      <c r="B392" s="13"/>
      <c r="C392" s="13"/>
      <c r="D392" s="13"/>
      <c r="E392" s="14"/>
      <c r="F392" s="6" t="str">
        <f t="shared" si="59"/>
        <v/>
      </c>
      <c r="G392" s="6" t="str">
        <f t="shared" si="60"/>
        <v/>
      </c>
      <c r="H392" s="6" t="str">
        <f t="shared" ref="H392:H455" si="63">IF(C392&lt;&gt;"",C392*D392,"")</f>
        <v/>
      </c>
      <c r="I392" s="7" t="str">
        <f t="shared" si="61"/>
        <v/>
      </c>
      <c r="J392" s="7" t="str">
        <f t="shared" si="58"/>
        <v/>
      </c>
      <c r="K392" s="7" t="str">
        <f t="shared" si="62"/>
        <v/>
      </c>
      <c r="L392" s="47" t="str">
        <f t="shared" ref="L392:L455" si="64">IF(I392&lt;&gt;"",1/I392*D391,"")</f>
        <v/>
      </c>
      <c r="S392" s="55">
        <f t="shared" ref="S392:S455" si="65">IF(I392="",S391,I392)</f>
        <v>8.2142857142857135</v>
      </c>
      <c r="T392" s="39">
        <f t="shared" ref="T392:T455" si="66">IF(L392="",T391,L392)</f>
        <v>0.16191304347826088</v>
      </c>
    </row>
    <row r="393" spans="1:20" x14ac:dyDescent="0.15">
      <c r="A393" s="12"/>
      <c r="B393" s="13"/>
      <c r="C393" s="13"/>
      <c r="D393" s="13"/>
      <c r="E393" s="14"/>
      <c r="F393" s="6" t="str">
        <f t="shared" si="59"/>
        <v/>
      </c>
      <c r="G393" s="6" t="str">
        <f t="shared" si="60"/>
        <v/>
      </c>
      <c r="H393" s="6" t="str">
        <f t="shared" si="63"/>
        <v/>
      </c>
      <c r="I393" s="7" t="str">
        <f t="shared" si="61"/>
        <v/>
      </c>
      <c r="J393" s="7" t="str">
        <f t="shared" si="58"/>
        <v/>
      </c>
      <c r="K393" s="7" t="str">
        <f t="shared" si="62"/>
        <v/>
      </c>
      <c r="L393" s="47" t="str">
        <f t="shared" si="64"/>
        <v/>
      </c>
      <c r="S393" s="55">
        <f t="shared" si="65"/>
        <v>8.2142857142857135</v>
      </c>
      <c r="T393" s="39">
        <f t="shared" si="66"/>
        <v>0.16191304347826088</v>
      </c>
    </row>
    <row r="394" spans="1:20" x14ac:dyDescent="0.15">
      <c r="A394" s="12"/>
      <c r="B394" s="13"/>
      <c r="C394" s="13"/>
      <c r="D394" s="13"/>
      <c r="E394" s="14"/>
      <c r="F394" s="6" t="str">
        <f t="shared" si="59"/>
        <v/>
      </c>
      <c r="G394" s="6" t="str">
        <f t="shared" si="60"/>
        <v/>
      </c>
      <c r="H394" s="6" t="str">
        <f t="shared" si="63"/>
        <v/>
      </c>
      <c r="I394" s="7" t="str">
        <f t="shared" si="61"/>
        <v/>
      </c>
      <c r="J394" s="7" t="str">
        <f t="shared" ref="J394:J457" si="67">IF(I394&lt;&gt;"",1/I394*100,"")</f>
        <v/>
      </c>
      <c r="K394" s="7" t="str">
        <f t="shared" si="62"/>
        <v/>
      </c>
      <c r="L394" s="47" t="str">
        <f t="shared" si="64"/>
        <v/>
      </c>
      <c r="S394" s="55">
        <f t="shared" si="65"/>
        <v>8.2142857142857135</v>
      </c>
      <c r="T394" s="39">
        <f t="shared" si="66"/>
        <v>0.16191304347826088</v>
      </c>
    </row>
    <row r="395" spans="1:20" x14ac:dyDescent="0.15">
      <c r="A395" s="12"/>
      <c r="B395" s="13"/>
      <c r="C395" s="13"/>
      <c r="D395" s="13"/>
      <c r="E395" s="14"/>
      <c r="F395" s="6" t="str">
        <f t="shared" si="59"/>
        <v/>
      </c>
      <c r="G395" s="6" t="str">
        <f t="shared" si="60"/>
        <v/>
      </c>
      <c r="H395" s="6" t="str">
        <f t="shared" si="63"/>
        <v/>
      </c>
      <c r="I395" s="7" t="str">
        <f t="shared" si="61"/>
        <v/>
      </c>
      <c r="J395" s="7" t="str">
        <f t="shared" si="67"/>
        <v/>
      </c>
      <c r="K395" s="7" t="str">
        <f t="shared" si="62"/>
        <v/>
      </c>
      <c r="L395" s="47" t="str">
        <f t="shared" si="64"/>
        <v/>
      </c>
      <c r="S395" s="55">
        <f t="shared" si="65"/>
        <v>8.2142857142857135</v>
      </c>
      <c r="T395" s="39">
        <f t="shared" si="66"/>
        <v>0.16191304347826088</v>
      </c>
    </row>
    <row r="396" spans="1:20" x14ac:dyDescent="0.15">
      <c r="A396" s="12"/>
      <c r="B396" s="13"/>
      <c r="C396" s="13"/>
      <c r="D396" s="13"/>
      <c r="E396" s="14"/>
      <c r="F396" s="6" t="str">
        <f t="shared" si="59"/>
        <v/>
      </c>
      <c r="G396" s="6" t="str">
        <f t="shared" si="60"/>
        <v/>
      </c>
      <c r="H396" s="6" t="str">
        <f t="shared" si="63"/>
        <v/>
      </c>
      <c r="I396" s="7" t="str">
        <f t="shared" si="61"/>
        <v/>
      </c>
      <c r="J396" s="7" t="str">
        <f t="shared" si="67"/>
        <v/>
      </c>
      <c r="K396" s="7" t="str">
        <f t="shared" si="62"/>
        <v/>
      </c>
      <c r="L396" s="47" t="str">
        <f t="shared" si="64"/>
        <v/>
      </c>
      <c r="S396" s="55">
        <f t="shared" si="65"/>
        <v>8.2142857142857135</v>
      </c>
      <c r="T396" s="39">
        <f t="shared" si="66"/>
        <v>0.16191304347826088</v>
      </c>
    </row>
    <row r="397" spans="1:20" x14ac:dyDescent="0.15">
      <c r="A397" s="12"/>
      <c r="B397" s="13"/>
      <c r="C397" s="13"/>
      <c r="D397" s="13"/>
      <c r="E397" s="14"/>
      <c r="F397" s="6" t="str">
        <f t="shared" si="59"/>
        <v/>
      </c>
      <c r="G397" s="6" t="str">
        <f t="shared" si="60"/>
        <v/>
      </c>
      <c r="H397" s="6" t="str">
        <f t="shared" si="63"/>
        <v/>
      </c>
      <c r="I397" s="7" t="str">
        <f t="shared" si="61"/>
        <v/>
      </c>
      <c r="J397" s="7" t="str">
        <f t="shared" si="67"/>
        <v/>
      </c>
      <c r="K397" s="7" t="str">
        <f t="shared" si="62"/>
        <v/>
      </c>
      <c r="L397" s="47" t="str">
        <f t="shared" si="64"/>
        <v/>
      </c>
      <c r="S397" s="55">
        <f t="shared" si="65"/>
        <v>8.2142857142857135</v>
      </c>
      <c r="T397" s="39">
        <f t="shared" si="66"/>
        <v>0.16191304347826088</v>
      </c>
    </row>
    <row r="398" spans="1:20" x14ac:dyDescent="0.15">
      <c r="A398" s="12"/>
      <c r="B398" s="13"/>
      <c r="C398" s="13"/>
      <c r="D398" s="13"/>
      <c r="E398" s="14"/>
      <c r="F398" s="6" t="str">
        <f t="shared" si="59"/>
        <v/>
      </c>
      <c r="G398" s="6" t="str">
        <f t="shared" si="60"/>
        <v/>
      </c>
      <c r="H398" s="6" t="str">
        <f t="shared" si="63"/>
        <v/>
      </c>
      <c r="I398" s="7" t="str">
        <f t="shared" si="61"/>
        <v/>
      </c>
      <c r="J398" s="7" t="str">
        <f t="shared" si="67"/>
        <v/>
      </c>
      <c r="K398" s="7" t="str">
        <f t="shared" si="62"/>
        <v/>
      </c>
      <c r="L398" s="47" t="str">
        <f t="shared" si="64"/>
        <v/>
      </c>
      <c r="S398" s="55">
        <f t="shared" si="65"/>
        <v>8.2142857142857135</v>
      </c>
      <c r="T398" s="39">
        <f t="shared" si="66"/>
        <v>0.16191304347826088</v>
      </c>
    </row>
    <row r="399" spans="1:20" x14ac:dyDescent="0.15">
      <c r="A399" s="12"/>
      <c r="B399" s="13"/>
      <c r="C399" s="13"/>
      <c r="D399" s="13"/>
      <c r="E399" s="14"/>
      <c r="F399" s="6" t="str">
        <f t="shared" ref="F399:F462" si="68">IF(B399&gt;0,IF(E398="Sim",B399-B398,F398+B399-B398),"")</f>
        <v/>
      </c>
      <c r="G399" s="6" t="str">
        <f t="shared" ref="G399:G462" si="69">IF(B399&gt;0,IF(E398="Sim",C399,G398+C399),"")</f>
        <v/>
      </c>
      <c r="H399" s="6" t="str">
        <f t="shared" si="63"/>
        <v/>
      </c>
      <c r="I399" s="7" t="str">
        <f t="shared" ref="I399:I462" si="70">IF(E399="Sim",F399/G399,"")</f>
        <v/>
      </c>
      <c r="J399" s="7" t="str">
        <f t="shared" si="67"/>
        <v/>
      </c>
      <c r="K399" s="7" t="str">
        <f t="shared" ref="K399:K462" si="71">IF(I399&lt;&gt;"",I399*0.62137/0.2641,"")</f>
        <v/>
      </c>
      <c r="L399" s="47" t="str">
        <f t="shared" si="64"/>
        <v/>
      </c>
      <c r="S399" s="55">
        <f t="shared" si="65"/>
        <v>8.2142857142857135</v>
      </c>
      <c r="T399" s="39">
        <f t="shared" si="66"/>
        <v>0.16191304347826088</v>
      </c>
    </row>
    <row r="400" spans="1:20" x14ac:dyDescent="0.15">
      <c r="A400" s="12"/>
      <c r="B400" s="13"/>
      <c r="C400" s="13"/>
      <c r="D400" s="13"/>
      <c r="E400" s="14"/>
      <c r="F400" s="6" t="str">
        <f t="shared" si="68"/>
        <v/>
      </c>
      <c r="G400" s="6" t="str">
        <f t="shared" si="69"/>
        <v/>
      </c>
      <c r="H400" s="6" t="str">
        <f t="shared" si="63"/>
        <v/>
      </c>
      <c r="I400" s="7" t="str">
        <f t="shared" si="70"/>
        <v/>
      </c>
      <c r="J400" s="7" t="str">
        <f t="shared" si="67"/>
        <v/>
      </c>
      <c r="K400" s="7" t="str">
        <f t="shared" si="71"/>
        <v/>
      </c>
      <c r="L400" s="47" t="str">
        <f t="shared" si="64"/>
        <v/>
      </c>
      <c r="S400" s="55">
        <f t="shared" si="65"/>
        <v>8.2142857142857135</v>
      </c>
      <c r="T400" s="39">
        <f t="shared" si="66"/>
        <v>0.16191304347826088</v>
      </c>
    </row>
    <row r="401" spans="1:20" x14ac:dyDescent="0.15">
      <c r="A401" s="12"/>
      <c r="B401" s="13"/>
      <c r="C401" s="13"/>
      <c r="D401" s="13"/>
      <c r="E401" s="14"/>
      <c r="F401" s="6" t="str">
        <f t="shared" si="68"/>
        <v/>
      </c>
      <c r="G401" s="6" t="str">
        <f t="shared" si="69"/>
        <v/>
      </c>
      <c r="H401" s="6" t="str">
        <f t="shared" si="63"/>
        <v/>
      </c>
      <c r="I401" s="7" t="str">
        <f t="shared" si="70"/>
        <v/>
      </c>
      <c r="J401" s="7" t="str">
        <f t="shared" si="67"/>
        <v/>
      </c>
      <c r="K401" s="7" t="str">
        <f t="shared" si="71"/>
        <v/>
      </c>
      <c r="L401" s="47" t="str">
        <f t="shared" si="64"/>
        <v/>
      </c>
      <c r="S401" s="55">
        <f t="shared" si="65"/>
        <v>8.2142857142857135</v>
      </c>
      <c r="T401" s="39">
        <f t="shared" si="66"/>
        <v>0.16191304347826088</v>
      </c>
    </row>
    <row r="402" spans="1:20" x14ac:dyDescent="0.15">
      <c r="A402" s="12"/>
      <c r="B402" s="13"/>
      <c r="C402" s="13"/>
      <c r="D402" s="13"/>
      <c r="E402" s="14"/>
      <c r="F402" s="6" t="str">
        <f t="shared" si="68"/>
        <v/>
      </c>
      <c r="G402" s="6" t="str">
        <f t="shared" si="69"/>
        <v/>
      </c>
      <c r="H402" s="6" t="str">
        <f t="shared" si="63"/>
        <v/>
      </c>
      <c r="I402" s="7" t="str">
        <f t="shared" si="70"/>
        <v/>
      </c>
      <c r="J402" s="7" t="str">
        <f t="shared" si="67"/>
        <v/>
      </c>
      <c r="K402" s="7" t="str">
        <f t="shared" si="71"/>
        <v/>
      </c>
      <c r="L402" s="47" t="str">
        <f t="shared" si="64"/>
        <v/>
      </c>
      <c r="S402" s="55">
        <f t="shared" si="65"/>
        <v>8.2142857142857135</v>
      </c>
      <c r="T402" s="39">
        <f t="shared" si="66"/>
        <v>0.16191304347826088</v>
      </c>
    </row>
    <row r="403" spans="1:20" x14ac:dyDescent="0.15">
      <c r="A403" s="12"/>
      <c r="B403" s="13"/>
      <c r="C403" s="13"/>
      <c r="D403" s="13"/>
      <c r="E403" s="14"/>
      <c r="F403" s="6" t="str">
        <f t="shared" si="68"/>
        <v/>
      </c>
      <c r="G403" s="6" t="str">
        <f t="shared" si="69"/>
        <v/>
      </c>
      <c r="H403" s="6" t="str">
        <f t="shared" si="63"/>
        <v/>
      </c>
      <c r="I403" s="7" t="str">
        <f t="shared" si="70"/>
        <v/>
      </c>
      <c r="J403" s="7" t="str">
        <f t="shared" si="67"/>
        <v/>
      </c>
      <c r="K403" s="7" t="str">
        <f t="shared" si="71"/>
        <v/>
      </c>
      <c r="L403" s="47" t="str">
        <f t="shared" si="64"/>
        <v/>
      </c>
      <c r="S403" s="55">
        <f t="shared" si="65"/>
        <v>8.2142857142857135</v>
      </c>
      <c r="T403" s="39">
        <f t="shared" si="66"/>
        <v>0.16191304347826088</v>
      </c>
    </row>
    <row r="404" spans="1:20" x14ac:dyDescent="0.15">
      <c r="A404" s="12"/>
      <c r="B404" s="13"/>
      <c r="C404" s="13"/>
      <c r="D404" s="13"/>
      <c r="E404" s="14"/>
      <c r="F404" s="6" t="str">
        <f t="shared" si="68"/>
        <v/>
      </c>
      <c r="G404" s="6" t="str">
        <f t="shared" si="69"/>
        <v/>
      </c>
      <c r="H404" s="6" t="str">
        <f t="shared" si="63"/>
        <v/>
      </c>
      <c r="I404" s="7" t="str">
        <f t="shared" si="70"/>
        <v/>
      </c>
      <c r="J404" s="7" t="str">
        <f t="shared" si="67"/>
        <v/>
      </c>
      <c r="K404" s="7" t="str">
        <f t="shared" si="71"/>
        <v/>
      </c>
      <c r="L404" s="47" t="str">
        <f t="shared" si="64"/>
        <v/>
      </c>
      <c r="S404" s="55">
        <f t="shared" si="65"/>
        <v>8.2142857142857135</v>
      </c>
      <c r="T404" s="39">
        <f t="shared" si="66"/>
        <v>0.16191304347826088</v>
      </c>
    </row>
    <row r="405" spans="1:20" x14ac:dyDescent="0.15">
      <c r="A405" s="12"/>
      <c r="B405" s="13"/>
      <c r="C405" s="13"/>
      <c r="D405" s="13"/>
      <c r="E405" s="14"/>
      <c r="F405" s="6" t="str">
        <f t="shared" si="68"/>
        <v/>
      </c>
      <c r="G405" s="6" t="str">
        <f t="shared" si="69"/>
        <v/>
      </c>
      <c r="H405" s="6" t="str">
        <f t="shared" si="63"/>
        <v/>
      </c>
      <c r="I405" s="7" t="str">
        <f t="shared" si="70"/>
        <v/>
      </c>
      <c r="J405" s="7" t="str">
        <f t="shared" si="67"/>
        <v/>
      </c>
      <c r="K405" s="7" t="str">
        <f t="shared" si="71"/>
        <v/>
      </c>
      <c r="L405" s="47" t="str">
        <f t="shared" si="64"/>
        <v/>
      </c>
      <c r="S405" s="55">
        <f t="shared" si="65"/>
        <v>8.2142857142857135</v>
      </c>
      <c r="T405" s="39">
        <f t="shared" si="66"/>
        <v>0.16191304347826088</v>
      </c>
    </row>
    <row r="406" spans="1:20" x14ac:dyDescent="0.15">
      <c r="A406" s="12"/>
      <c r="B406" s="13"/>
      <c r="C406" s="13"/>
      <c r="D406" s="13"/>
      <c r="E406" s="14"/>
      <c r="F406" s="6" t="str">
        <f t="shared" si="68"/>
        <v/>
      </c>
      <c r="G406" s="6" t="str">
        <f t="shared" si="69"/>
        <v/>
      </c>
      <c r="H406" s="6" t="str">
        <f t="shared" si="63"/>
        <v/>
      </c>
      <c r="I406" s="7" t="str">
        <f t="shared" si="70"/>
        <v/>
      </c>
      <c r="J406" s="7" t="str">
        <f t="shared" si="67"/>
        <v/>
      </c>
      <c r="K406" s="7" t="str">
        <f t="shared" si="71"/>
        <v/>
      </c>
      <c r="L406" s="47" t="str">
        <f t="shared" si="64"/>
        <v/>
      </c>
      <c r="S406" s="55">
        <f t="shared" si="65"/>
        <v>8.2142857142857135</v>
      </c>
      <c r="T406" s="39">
        <f t="shared" si="66"/>
        <v>0.16191304347826088</v>
      </c>
    </row>
    <row r="407" spans="1:20" x14ac:dyDescent="0.15">
      <c r="A407" s="12"/>
      <c r="B407" s="13"/>
      <c r="C407" s="13"/>
      <c r="D407" s="13"/>
      <c r="E407" s="14"/>
      <c r="F407" s="6" t="str">
        <f t="shared" si="68"/>
        <v/>
      </c>
      <c r="G407" s="6" t="str">
        <f t="shared" si="69"/>
        <v/>
      </c>
      <c r="H407" s="6" t="str">
        <f t="shared" si="63"/>
        <v/>
      </c>
      <c r="I407" s="7" t="str">
        <f t="shared" si="70"/>
        <v/>
      </c>
      <c r="J407" s="7" t="str">
        <f t="shared" si="67"/>
        <v/>
      </c>
      <c r="K407" s="7" t="str">
        <f t="shared" si="71"/>
        <v/>
      </c>
      <c r="L407" s="47" t="str">
        <f t="shared" si="64"/>
        <v/>
      </c>
      <c r="S407" s="55">
        <f t="shared" si="65"/>
        <v>8.2142857142857135</v>
      </c>
      <c r="T407" s="39">
        <f t="shared" si="66"/>
        <v>0.16191304347826088</v>
      </c>
    </row>
    <row r="408" spans="1:20" x14ac:dyDescent="0.15">
      <c r="A408" s="12"/>
      <c r="B408" s="13"/>
      <c r="C408" s="13"/>
      <c r="D408" s="13"/>
      <c r="E408" s="14"/>
      <c r="F408" s="6" t="str">
        <f t="shared" si="68"/>
        <v/>
      </c>
      <c r="G408" s="6" t="str">
        <f t="shared" si="69"/>
        <v/>
      </c>
      <c r="H408" s="6" t="str">
        <f t="shared" si="63"/>
        <v/>
      </c>
      <c r="I408" s="7" t="str">
        <f t="shared" si="70"/>
        <v/>
      </c>
      <c r="J408" s="7" t="str">
        <f t="shared" si="67"/>
        <v/>
      </c>
      <c r="K408" s="7" t="str">
        <f t="shared" si="71"/>
        <v/>
      </c>
      <c r="L408" s="47" t="str">
        <f t="shared" si="64"/>
        <v/>
      </c>
      <c r="S408" s="55">
        <f t="shared" si="65"/>
        <v>8.2142857142857135</v>
      </c>
      <c r="T408" s="39">
        <f t="shared" si="66"/>
        <v>0.16191304347826088</v>
      </c>
    </row>
    <row r="409" spans="1:20" x14ac:dyDescent="0.15">
      <c r="A409" s="12"/>
      <c r="B409" s="13"/>
      <c r="C409" s="13"/>
      <c r="D409" s="13"/>
      <c r="E409" s="14"/>
      <c r="F409" s="6" t="str">
        <f t="shared" si="68"/>
        <v/>
      </c>
      <c r="G409" s="6" t="str">
        <f t="shared" si="69"/>
        <v/>
      </c>
      <c r="H409" s="6" t="str">
        <f t="shared" si="63"/>
        <v/>
      </c>
      <c r="I409" s="7" t="str">
        <f t="shared" si="70"/>
        <v/>
      </c>
      <c r="J409" s="7" t="str">
        <f t="shared" si="67"/>
        <v/>
      </c>
      <c r="K409" s="7" t="str">
        <f t="shared" si="71"/>
        <v/>
      </c>
      <c r="L409" s="47" t="str">
        <f t="shared" si="64"/>
        <v/>
      </c>
      <c r="S409" s="55">
        <f t="shared" si="65"/>
        <v>8.2142857142857135</v>
      </c>
      <c r="T409" s="39">
        <f t="shared" si="66"/>
        <v>0.16191304347826088</v>
      </c>
    </row>
    <row r="410" spans="1:20" x14ac:dyDescent="0.15">
      <c r="A410" s="12"/>
      <c r="B410" s="13"/>
      <c r="C410" s="13"/>
      <c r="D410" s="13"/>
      <c r="E410" s="14"/>
      <c r="F410" s="6" t="str">
        <f t="shared" si="68"/>
        <v/>
      </c>
      <c r="G410" s="6" t="str">
        <f t="shared" si="69"/>
        <v/>
      </c>
      <c r="H410" s="6" t="str">
        <f t="shared" si="63"/>
        <v/>
      </c>
      <c r="I410" s="7" t="str">
        <f t="shared" si="70"/>
        <v/>
      </c>
      <c r="J410" s="7" t="str">
        <f t="shared" si="67"/>
        <v/>
      </c>
      <c r="K410" s="7" t="str">
        <f t="shared" si="71"/>
        <v/>
      </c>
      <c r="L410" s="47" t="str">
        <f t="shared" si="64"/>
        <v/>
      </c>
      <c r="S410" s="55">
        <f t="shared" si="65"/>
        <v>8.2142857142857135</v>
      </c>
      <c r="T410" s="39">
        <f t="shared" si="66"/>
        <v>0.16191304347826088</v>
      </c>
    </row>
    <row r="411" spans="1:20" x14ac:dyDescent="0.15">
      <c r="A411" s="12"/>
      <c r="B411" s="13"/>
      <c r="C411" s="13"/>
      <c r="D411" s="13"/>
      <c r="E411" s="14"/>
      <c r="F411" s="6" t="str">
        <f t="shared" si="68"/>
        <v/>
      </c>
      <c r="G411" s="6" t="str">
        <f t="shared" si="69"/>
        <v/>
      </c>
      <c r="H411" s="6" t="str">
        <f t="shared" si="63"/>
        <v/>
      </c>
      <c r="I411" s="7" t="str">
        <f t="shared" si="70"/>
        <v/>
      </c>
      <c r="J411" s="7" t="str">
        <f t="shared" si="67"/>
        <v/>
      </c>
      <c r="K411" s="7" t="str">
        <f t="shared" si="71"/>
        <v/>
      </c>
      <c r="L411" s="47" t="str">
        <f t="shared" si="64"/>
        <v/>
      </c>
      <c r="S411" s="55">
        <f t="shared" si="65"/>
        <v>8.2142857142857135</v>
      </c>
      <c r="T411" s="39">
        <f t="shared" si="66"/>
        <v>0.16191304347826088</v>
      </c>
    </row>
    <row r="412" spans="1:20" x14ac:dyDescent="0.15">
      <c r="A412" s="12"/>
      <c r="B412" s="13"/>
      <c r="C412" s="13"/>
      <c r="D412" s="13"/>
      <c r="E412" s="14"/>
      <c r="F412" s="6" t="str">
        <f t="shared" si="68"/>
        <v/>
      </c>
      <c r="G412" s="6" t="str">
        <f t="shared" si="69"/>
        <v/>
      </c>
      <c r="H412" s="6" t="str">
        <f t="shared" si="63"/>
        <v/>
      </c>
      <c r="I412" s="7" t="str">
        <f t="shared" si="70"/>
        <v/>
      </c>
      <c r="J412" s="7" t="str">
        <f t="shared" si="67"/>
        <v/>
      </c>
      <c r="K412" s="7" t="str">
        <f t="shared" si="71"/>
        <v/>
      </c>
      <c r="L412" s="47" t="str">
        <f t="shared" si="64"/>
        <v/>
      </c>
      <c r="S412" s="55">
        <f t="shared" si="65"/>
        <v>8.2142857142857135</v>
      </c>
      <c r="T412" s="39">
        <f t="shared" si="66"/>
        <v>0.16191304347826088</v>
      </c>
    </row>
    <row r="413" spans="1:20" x14ac:dyDescent="0.15">
      <c r="A413" s="12"/>
      <c r="B413" s="13"/>
      <c r="C413" s="13"/>
      <c r="D413" s="13"/>
      <c r="E413" s="14"/>
      <c r="F413" s="6" t="str">
        <f t="shared" si="68"/>
        <v/>
      </c>
      <c r="G413" s="6" t="str">
        <f t="shared" si="69"/>
        <v/>
      </c>
      <c r="H413" s="6" t="str">
        <f t="shared" si="63"/>
        <v/>
      </c>
      <c r="I413" s="7" t="str">
        <f t="shared" si="70"/>
        <v/>
      </c>
      <c r="J413" s="7" t="str">
        <f t="shared" si="67"/>
        <v/>
      </c>
      <c r="K413" s="7" t="str">
        <f t="shared" si="71"/>
        <v/>
      </c>
      <c r="L413" s="47" t="str">
        <f t="shared" si="64"/>
        <v/>
      </c>
      <c r="S413" s="55">
        <f t="shared" si="65"/>
        <v>8.2142857142857135</v>
      </c>
      <c r="T413" s="39">
        <f t="shared" si="66"/>
        <v>0.16191304347826088</v>
      </c>
    </row>
    <row r="414" spans="1:20" x14ac:dyDescent="0.15">
      <c r="A414" s="12"/>
      <c r="B414" s="13"/>
      <c r="C414" s="13"/>
      <c r="D414" s="13"/>
      <c r="E414" s="14"/>
      <c r="F414" s="6" t="str">
        <f t="shared" si="68"/>
        <v/>
      </c>
      <c r="G414" s="6" t="str">
        <f t="shared" si="69"/>
        <v/>
      </c>
      <c r="H414" s="6" t="str">
        <f t="shared" si="63"/>
        <v/>
      </c>
      <c r="I414" s="7" t="str">
        <f t="shared" si="70"/>
        <v/>
      </c>
      <c r="J414" s="7" t="str">
        <f t="shared" si="67"/>
        <v/>
      </c>
      <c r="K414" s="7" t="str">
        <f t="shared" si="71"/>
        <v/>
      </c>
      <c r="L414" s="47" t="str">
        <f t="shared" si="64"/>
        <v/>
      </c>
      <c r="S414" s="55">
        <f t="shared" si="65"/>
        <v>8.2142857142857135</v>
      </c>
      <c r="T414" s="39">
        <f t="shared" si="66"/>
        <v>0.16191304347826088</v>
      </c>
    </row>
    <row r="415" spans="1:20" x14ac:dyDescent="0.15">
      <c r="A415" s="12"/>
      <c r="B415" s="13"/>
      <c r="C415" s="13"/>
      <c r="D415" s="13"/>
      <c r="E415" s="14"/>
      <c r="F415" s="6" t="str">
        <f t="shared" si="68"/>
        <v/>
      </c>
      <c r="G415" s="6" t="str">
        <f t="shared" si="69"/>
        <v/>
      </c>
      <c r="H415" s="6" t="str">
        <f t="shared" si="63"/>
        <v/>
      </c>
      <c r="I415" s="7" t="str">
        <f t="shared" si="70"/>
        <v/>
      </c>
      <c r="J415" s="7" t="str">
        <f t="shared" si="67"/>
        <v/>
      </c>
      <c r="K415" s="7" t="str">
        <f t="shared" si="71"/>
        <v/>
      </c>
      <c r="L415" s="47" t="str">
        <f t="shared" si="64"/>
        <v/>
      </c>
      <c r="S415" s="55">
        <f t="shared" si="65"/>
        <v>8.2142857142857135</v>
      </c>
      <c r="T415" s="39">
        <f t="shared" si="66"/>
        <v>0.16191304347826088</v>
      </c>
    </row>
    <row r="416" spans="1:20" x14ac:dyDescent="0.15">
      <c r="A416" s="12"/>
      <c r="B416" s="13"/>
      <c r="C416" s="13"/>
      <c r="D416" s="13"/>
      <c r="E416" s="14"/>
      <c r="F416" s="6" t="str">
        <f t="shared" si="68"/>
        <v/>
      </c>
      <c r="G416" s="6" t="str">
        <f t="shared" si="69"/>
        <v/>
      </c>
      <c r="H416" s="6" t="str">
        <f t="shared" si="63"/>
        <v/>
      </c>
      <c r="I416" s="7" t="str">
        <f t="shared" si="70"/>
        <v/>
      </c>
      <c r="J416" s="7" t="str">
        <f t="shared" si="67"/>
        <v/>
      </c>
      <c r="K416" s="7" t="str">
        <f t="shared" si="71"/>
        <v/>
      </c>
      <c r="L416" s="47" t="str">
        <f t="shared" si="64"/>
        <v/>
      </c>
      <c r="S416" s="55">
        <f t="shared" si="65"/>
        <v>8.2142857142857135</v>
      </c>
      <c r="T416" s="39">
        <f t="shared" si="66"/>
        <v>0.16191304347826088</v>
      </c>
    </row>
    <row r="417" spans="1:20" x14ac:dyDescent="0.15">
      <c r="A417" s="12"/>
      <c r="B417" s="13"/>
      <c r="C417" s="13"/>
      <c r="D417" s="13"/>
      <c r="E417" s="14"/>
      <c r="F417" s="6" t="str">
        <f t="shared" si="68"/>
        <v/>
      </c>
      <c r="G417" s="6" t="str">
        <f t="shared" si="69"/>
        <v/>
      </c>
      <c r="H417" s="6" t="str">
        <f t="shared" si="63"/>
        <v/>
      </c>
      <c r="I417" s="7" t="str">
        <f t="shared" si="70"/>
        <v/>
      </c>
      <c r="J417" s="7" t="str">
        <f t="shared" si="67"/>
        <v/>
      </c>
      <c r="K417" s="7" t="str">
        <f t="shared" si="71"/>
        <v/>
      </c>
      <c r="L417" s="47" t="str">
        <f t="shared" si="64"/>
        <v/>
      </c>
      <c r="S417" s="55">
        <f t="shared" si="65"/>
        <v>8.2142857142857135</v>
      </c>
      <c r="T417" s="39">
        <f t="shared" si="66"/>
        <v>0.16191304347826088</v>
      </c>
    </row>
    <row r="418" spans="1:20" x14ac:dyDescent="0.15">
      <c r="A418" s="12"/>
      <c r="B418" s="13"/>
      <c r="C418" s="13"/>
      <c r="D418" s="13"/>
      <c r="E418" s="14"/>
      <c r="F418" s="6" t="str">
        <f t="shared" si="68"/>
        <v/>
      </c>
      <c r="G418" s="6" t="str">
        <f t="shared" si="69"/>
        <v/>
      </c>
      <c r="H418" s="6" t="str">
        <f t="shared" si="63"/>
        <v/>
      </c>
      <c r="I418" s="7" t="str">
        <f t="shared" si="70"/>
        <v/>
      </c>
      <c r="J418" s="7" t="str">
        <f t="shared" si="67"/>
        <v/>
      </c>
      <c r="K418" s="7" t="str">
        <f t="shared" si="71"/>
        <v/>
      </c>
      <c r="L418" s="47" t="str">
        <f t="shared" si="64"/>
        <v/>
      </c>
      <c r="S418" s="55">
        <f t="shared" si="65"/>
        <v>8.2142857142857135</v>
      </c>
      <c r="T418" s="39">
        <f t="shared" si="66"/>
        <v>0.16191304347826088</v>
      </c>
    </row>
    <row r="419" spans="1:20" x14ac:dyDescent="0.15">
      <c r="A419" s="12"/>
      <c r="B419" s="13"/>
      <c r="C419" s="13"/>
      <c r="D419" s="13"/>
      <c r="E419" s="14"/>
      <c r="F419" s="6" t="str">
        <f t="shared" si="68"/>
        <v/>
      </c>
      <c r="G419" s="6" t="str">
        <f t="shared" si="69"/>
        <v/>
      </c>
      <c r="H419" s="6" t="str">
        <f t="shared" si="63"/>
        <v/>
      </c>
      <c r="I419" s="7" t="str">
        <f t="shared" si="70"/>
        <v/>
      </c>
      <c r="J419" s="7" t="str">
        <f t="shared" si="67"/>
        <v/>
      </c>
      <c r="K419" s="7" t="str">
        <f t="shared" si="71"/>
        <v/>
      </c>
      <c r="L419" s="47" t="str">
        <f t="shared" si="64"/>
        <v/>
      </c>
      <c r="S419" s="55">
        <f t="shared" si="65"/>
        <v>8.2142857142857135</v>
      </c>
      <c r="T419" s="39">
        <f t="shared" si="66"/>
        <v>0.16191304347826088</v>
      </c>
    </row>
    <row r="420" spans="1:20" x14ac:dyDescent="0.15">
      <c r="A420" s="12"/>
      <c r="B420" s="13"/>
      <c r="C420" s="13"/>
      <c r="D420" s="13"/>
      <c r="E420" s="14"/>
      <c r="F420" s="6" t="str">
        <f t="shared" si="68"/>
        <v/>
      </c>
      <c r="G420" s="6" t="str">
        <f t="shared" si="69"/>
        <v/>
      </c>
      <c r="H420" s="6" t="str">
        <f t="shared" si="63"/>
        <v/>
      </c>
      <c r="I420" s="7" t="str">
        <f t="shared" si="70"/>
        <v/>
      </c>
      <c r="J420" s="7" t="str">
        <f t="shared" si="67"/>
        <v/>
      </c>
      <c r="K420" s="7" t="str">
        <f t="shared" si="71"/>
        <v/>
      </c>
      <c r="L420" s="47" t="str">
        <f t="shared" si="64"/>
        <v/>
      </c>
      <c r="S420" s="55">
        <f t="shared" si="65"/>
        <v>8.2142857142857135</v>
      </c>
      <c r="T420" s="39">
        <f t="shared" si="66"/>
        <v>0.16191304347826088</v>
      </c>
    </row>
    <row r="421" spans="1:20" x14ac:dyDescent="0.15">
      <c r="A421" s="12"/>
      <c r="B421" s="13"/>
      <c r="C421" s="13"/>
      <c r="D421" s="13"/>
      <c r="E421" s="14"/>
      <c r="F421" s="6" t="str">
        <f t="shared" si="68"/>
        <v/>
      </c>
      <c r="G421" s="6" t="str">
        <f t="shared" si="69"/>
        <v/>
      </c>
      <c r="H421" s="6" t="str">
        <f t="shared" si="63"/>
        <v/>
      </c>
      <c r="I421" s="7" t="str">
        <f t="shared" si="70"/>
        <v/>
      </c>
      <c r="J421" s="7" t="str">
        <f t="shared" si="67"/>
        <v/>
      </c>
      <c r="K421" s="7" t="str">
        <f t="shared" si="71"/>
        <v/>
      </c>
      <c r="L421" s="47" t="str">
        <f t="shared" si="64"/>
        <v/>
      </c>
      <c r="S421" s="55">
        <f t="shared" si="65"/>
        <v>8.2142857142857135</v>
      </c>
      <c r="T421" s="39">
        <f t="shared" si="66"/>
        <v>0.16191304347826088</v>
      </c>
    </row>
    <row r="422" spans="1:20" x14ac:dyDescent="0.15">
      <c r="A422" s="12"/>
      <c r="B422" s="13"/>
      <c r="C422" s="13"/>
      <c r="D422" s="13"/>
      <c r="E422" s="14"/>
      <c r="F422" s="6" t="str">
        <f t="shared" si="68"/>
        <v/>
      </c>
      <c r="G422" s="6" t="str">
        <f t="shared" si="69"/>
        <v/>
      </c>
      <c r="H422" s="6" t="str">
        <f t="shared" si="63"/>
        <v/>
      </c>
      <c r="I422" s="7" t="str">
        <f t="shared" si="70"/>
        <v/>
      </c>
      <c r="J422" s="7" t="str">
        <f t="shared" si="67"/>
        <v/>
      </c>
      <c r="K422" s="7" t="str">
        <f t="shared" si="71"/>
        <v/>
      </c>
      <c r="L422" s="47" t="str">
        <f t="shared" si="64"/>
        <v/>
      </c>
      <c r="S422" s="55">
        <f t="shared" si="65"/>
        <v>8.2142857142857135</v>
      </c>
      <c r="T422" s="39">
        <f t="shared" si="66"/>
        <v>0.16191304347826088</v>
      </c>
    </row>
    <row r="423" spans="1:20" x14ac:dyDescent="0.15">
      <c r="A423" s="12"/>
      <c r="B423" s="13"/>
      <c r="C423" s="13"/>
      <c r="D423" s="13"/>
      <c r="E423" s="14"/>
      <c r="F423" s="6" t="str">
        <f t="shared" si="68"/>
        <v/>
      </c>
      <c r="G423" s="6" t="str">
        <f t="shared" si="69"/>
        <v/>
      </c>
      <c r="H423" s="6" t="str">
        <f t="shared" si="63"/>
        <v/>
      </c>
      <c r="I423" s="7" t="str">
        <f t="shared" si="70"/>
        <v/>
      </c>
      <c r="J423" s="7" t="str">
        <f t="shared" si="67"/>
        <v/>
      </c>
      <c r="K423" s="7" t="str">
        <f t="shared" si="71"/>
        <v/>
      </c>
      <c r="L423" s="47" t="str">
        <f t="shared" si="64"/>
        <v/>
      </c>
      <c r="S423" s="55">
        <f t="shared" si="65"/>
        <v>8.2142857142857135</v>
      </c>
      <c r="T423" s="39">
        <f t="shared" si="66"/>
        <v>0.16191304347826088</v>
      </c>
    </row>
    <row r="424" spans="1:20" x14ac:dyDescent="0.15">
      <c r="A424" s="12"/>
      <c r="B424" s="13"/>
      <c r="C424" s="13"/>
      <c r="D424" s="13"/>
      <c r="E424" s="14"/>
      <c r="F424" s="6" t="str">
        <f t="shared" si="68"/>
        <v/>
      </c>
      <c r="G424" s="6" t="str">
        <f t="shared" si="69"/>
        <v/>
      </c>
      <c r="H424" s="6" t="str">
        <f t="shared" si="63"/>
        <v/>
      </c>
      <c r="I424" s="7" t="str">
        <f t="shared" si="70"/>
        <v/>
      </c>
      <c r="J424" s="7" t="str">
        <f t="shared" si="67"/>
        <v/>
      </c>
      <c r="K424" s="7" t="str">
        <f t="shared" si="71"/>
        <v/>
      </c>
      <c r="L424" s="47" t="str">
        <f t="shared" si="64"/>
        <v/>
      </c>
      <c r="S424" s="55">
        <f t="shared" si="65"/>
        <v>8.2142857142857135</v>
      </c>
      <c r="T424" s="39">
        <f t="shared" si="66"/>
        <v>0.16191304347826088</v>
      </c>
    </row>
    <row r="425" spans="1:20" x14ac:dyDescent="0.15">
      <c r="A425" s="12"/>
      <c r="B425" s="13"/>
      <c r="C425" s="13"/>
      <c r="D425" s="13"/>
      <c r="E425" s="14"/>
      <c r="F425" s="6" t="str">
        <f t="shared" si="68"/>
        <v/>
      </c>
      <c r="G425" s="6" t="str">
        <f t="shared" si="69"/>
        <v/>
      </c>
      <c r="H425" s="6" t="str">
        <f t="shared" si="63"/>
        <v/>
      </c>
      <c r="I425" s="7" t="str">
        <f t="shared" si="70"/>
        <v/>
      </c>
      <c r="J425" s="7" t="str">
        <f t="shared" si="67"/>
        <v/>
      </c>
      <c r="K425" s="7" t="str">
        <f t="shared" si="71"/>
        <v/>
      </c>
      <c r="L425" s="47" t="str">
        <f t="shared" si="64"/>
        <v/>
      </c>
      <c r="S425" s="55">
        <f t="shared" si="65"/>
        <v>8.2142857142857135</v>
      </c>
      <c r="T425" s="39">
        <f t="shared" si="66"/>
        <v>0.16191304347826088</v>
      </c>
    </row>
    <row r="426" spans="1:20" x14ac:dyDescent="0.15">
      <c r="A426" s="12"/>
      <c r="B426" s="13"/>
      <c r="C426" s="13"/>
      <c r="D426" s="13"/>
      <c r="E426" s="14"/>
      <c r="F426" s="6" t="str">
        <f t="shared" si="68"/>
        <v/>
      </c>
      <c r="G426" s="6" t="str">
        <f t="shared" si="69"/>
        <v/>
      </c>
      <c r="H426" s="6" t="str">
        <f t="shared" si="63"/>
        <v/>
      </c>
      <c r="I426" s="7" t="str">
        <f t="shared" si="70"/>
        <v/>
      </c>
      <c r="J426" s="7" t="str">
        <f t="shared" si="67"/>
        <v/>
      </c>
      <c r="K426" s="7" t="str">
        <f t="shared" si="71"/>
        <v/>
      </c>
      <c r="L426" s="47" t="str">
        <f t="shared" si="64"/>
        <v/>
      </c>
      <c r="S426" s="55">
        <f t="shared" si="65"/>
        <v>8.2142857142857135</v>
      </c>
      <c r="T426" s="39">
        <f t="shared" si="66"/>
        <v>0.16191304347826088</v>
      </c>
    </row>
    <row r="427" spans="1:20" x14ac:dyDescent="0.15">
      <c r="A427" s="12"/>
      <c r="B427" s="13"/>
      <c r="C427" s="13"/>
      <c r="D427" s="13"/>
      <c r="E427" s="14"/>
      <c r="F427" s="6" t="str">
        <f t="shared" si="68"/>
        <v/>
      </c>
      <c r="G427" s="6" t="str">
        <f t="shared" si="69"/>
        <v/>
      </c>
      <c r="H427" s="6" t="str">
        <f t="shared" si="63"/>
        <v/>
      </c>
      <c r="I427" s="7" t="str">
        <f t="shared" si="70"/>
        <v/>
      </c>
      <c r="J427" s="7" t="str">
        <f t="shared" si="67"/>
        <v/>
      </c>
      <c r="K427" s="7" t="str">
        <f t="shared" si="71"/>
        <v/>
      </c>
      <c r="L427" s="47" t="str">
        <f t="shared" si="64"/>
        <v/>
      </c>
      <c r="S427" s="55">
        <f t="shared" si="65"/>
        <v>8.2142857142857135</v>
      </c>
      <c r="T427" s="39">
        <f t="shared" si="66"/>
        <v>0.16191304347826088</v>
      </c>
    </row>
    <row r="428" spans="1:20" x14ac:dyDescent="0.15">
      <c r="A428" s="12"/>
      <c r="B428" s="13"/>
      <c r="C428" s="13"/>
      <c r="D428" s="13"/>
      <c r="E428" s="14"/>
      <c r="F428" s="6" t="str">
        <f t="shared" si="68"/>
        <v/>
      </c>
      <c r="G428" s="6" t="str">
        <f t="shared" si="69"/>
        <v/>
      </c>
      <c r="H428" s="6" t="str">
        <f t="shared" si="63"/>
        <v/>
      </c>
      <c r="I428" s="7" t="str">
        <f t="shared" si="70"/>
        <v/>
      </c>
      <c r="J428" s="7" t="str">
        <f t="shared" si="67"/>
        <v/>
      </c>
      <c r="K428" s="7" t="str">
        <f t="shared" si="71"/>
        <v/>
      </c>
      <c r="L428" s="47" t="str">
        <f t="shared" si="64"/>
        <v/>
      </c>
      <c r="S428" s="55">
        <f t="shared" si="65"/>
        <v>8.2142857142857135</v>
      </c>
      <c r="T428" s="39">
        <f t="shared" si="66"/>
        <v>0.16191304347826088</v>
      </c>
    </row>
    <row r="429" spans="1:20" x14ac:dyDescent="0.15">
      <c r="A429" s="12"/>
      <c r="B429" s="13"/>
      <c r="C429" s="13"/>
      <c r="D429" s="13"/>
      <c r="E429" s="14"/>
      <c r="F429" s="6" t="str">
        <f t="shared" si="68"/>
        <v/>
      </c>
      <c r="G429" s="6" t="str">
        <f t="shared" si="69"/>
        <v/>
      </c>
      <c r="H429" s="6" t="str">
        <f t="shared" si="63"/>
        <v/>
      </c>
      <c r="I429" s="7" t="str">
        <f t="shared" si="70"/>
        <v/>
      </c>
      <c r="J429" s="7" t="str">
        <f t="shared" si="67"/>
        <v/>
      </c>
      <c r="K429" s="7" t="str">
        <f t="shared" si="71"/>
        <v/>
      </c>
      <c r="L429" s="47" t="str">
        <f t="shared" si="64"/>
        <v/>
      </c>
      <c r="S429" s="55">
        <f t="shared" si="65"/>
        <v>8.2142857142857135</v>
      </c>
      <c r="T429" s="39">
        <f t="shared" si="66"/>
        <v>0.16191304347826088</v>
      </c>
    </row>
    <row r="430" spans="1:20" x14ac:dyDescent="0.15">
      <c r="A430" s="12"/>
      <c r="B430" s="13"/>
      <c r="C430" s="13"/>
      <c r="D430" s="13"/>
      <c r="E430" s="14"/>
      <c r="F430" s="6" t="str">
        <f t="shared" si="68"/>
        <v/>
      </c>
      <c r="G430" s="6" t="str">
        <f t="shared" si="69"/>
        <v/>
      </c>
      <c r="H430" s="6" t="str">
        <f t="shared" si="63"/>
        <v/>
      </c>
      <c r="I430" s="7" t="str">
        <f t="shared" si="70"/>
        <v/>
      </c>
      <c r="J430" s="7" t="str">
        <f t="shared" si="67"/>
        <v/>
      </c>
      <c r="K430" s="7" t="str">
        <f t="shared" si="71"/>
        <v/>
      </c>
      <c r="L430" s="47" t="str">
        <f t="shared" si="64"/>
        <v/>
      </c>
      <c r="S430" s="55">
        <f t="shared" si="65"/>
        <v>8.2142857142857135</v>
      </c>
      <c r="T430" s="39">
        <f t="shared" si="66"/>
        <v>0.16191304347826088</v>
      </c>
    </row>
    <row r="431" spans="1:20" x14ac:dyDescent="0.15">
      <c r="A431" s="12"/>
      <c r="B431" s="13"/>
      <c r="C431" s="13"/>
      <c r="D431" s="13"/>
      <c r="E431" s="14"/>
      <c r="F431" s="6" t="str">
        <f t="shared" si="68"/>
        <v/>
      </c>
      <c r="G431" s="6" t="str">
        <f t="shared" si="69"/>
        <v/>
      </c>
      <c r="H431" s="6" t="str">
        <f t="shared" si="63"/>
        <v/>
      </c>
      <c r="I431" s="7" t="str">
        <f t="shared" si="70"/>
        <v/>
      </c>
      <c r="J431" s="7" t="str">
        <f t="shared" si="67"/>
        <v/>
      </c>
      <c r="K431" s="7" t="str">
        <f t="shared" si="71"/>
        <v/>
      </c>
      <c r="L431" s="47" t="str">
        <f t="shared" si="64"/>
        <v/>
      </c>
      <c r="S431" s="55">
        <f t="shared" si="65"/>
        <v>8.2142857142857135</v>
      </c>
      <c r="T431" s="39">
        <f t="shared" si="66"/>
        <v>0.16191304347826088</v>
      </c>
    </row>
    <row r="432" spans="1:20" x14ac:dyDescent="0.15">
      <c r="A432" s="12"/>
      <c r="B432" s="13"/>
      <c r="C432" s="13"/>
      <c r="D432" s="13"/>
      <c r="E432" s="14"/>
      <c r="F432" s="6" t="str">
        <f t="shared" si="68"/>
        <v/>
      </c>
      <c r="G432" s="6" t="str">
        <f t="shared" si="69"/>
        <v/>
      </c>
      <c r="H432" s="6" t="str">
        <f t="shared" si="63"/>
        <v/>
      </c>
      <c r="I432" s="7" t="str">
        <f t="shared" si="70"/>
        <v/>
      </c>
      <c r="J432" s="7" t="str">
        <f t="shared" si="67"/>
        <v/>
      </c>
      <c r="K432" s="7" t="str">
        <f t="shared" si="71"/>
        <v/>
      </c>
      <c r="L432" s="47" t="str">
        <f t="shared" si="64"/>
        <v/>
      </c>
      <c r="S432" s="55">
        <f t="shared" si="65"/>
        <v>8.2142857142857135</v>
      </c>
      <c r="T432" s="39">
        <f t="shared" si="66"/>
        <v>0.16191304347826088</v>
      </c>
    </row>
    <row r="433" spans="1:20" x14ac:dyDescent="0.15">
      <c r="A433" s="12"/>
      <c r="B433" s="13"/>
      <c r="C433" s="13"/>
      <c r="D433" s="13"/>
      <c r="E433" s="14"/>
      <c r="F433" s="6" t="str">
        <f t="shared" si="68"/>
        <v/>
      </c>
      <c r="G433" s="6" t="str">
        <f t="shared" si="69"/>
        <v/>
      </c>
      <c r="H433" s="6" t="str">
        <f t="shared" si="63"/>
        <v/>
      </c>
      <c r="I433" s="7" t="str">
        <f t="shared" si="70"/>
        <v/>
      </c>
      <c r="J433" s="7" t="str">
        <f t="shared" si="67"/>
        <v/>
      </c>
      <c r="K433" s="7" t="str">
        <f t="shared" si="71"/>
        <v/>
      </c>
      <c r="L433" s="47" t="str">
        <f t="shared" si="64"/>
        <v/>
      </c>
      <c r="S433" s="55">
        <f t="shared" si="65"/>
        <v>8.2142857142857135</v>
      </c>
      <c r="T433" s="39">
        <f t="shared" si="66"/>
        <v>0.16191304347826088</v>
      </c>
    </row>
    <row r="434" spans="1:20" x14ac:dyDescent="0.15">
      <c r="A434" s="12"/>
      <c r="B434" s="13"/>
      <c r="C434" s="13"/>
      <c r="D434" s="13"/>
      <c r="E434" s="14"/>
      <c r="F434" s="6" t="str">
        <f t="shared" si="68"/>
        <v/>
      </c>
      <c r="G434" s="6" t="str">
        <f t="shared" si="69"/>
        <v/>
      </c>
      <c r="H434" s="6" t="str">
        <f t="shared" si="63"/>
        <v/>
      </c>
      <c r="I434" s="7" t="str">
        <f t="shared" si="70"/>
        <v/>
      </c>
      <c r="J434" s="7" t="str">
        <f t="shared" si="67"/>
        <v/>
      </c>
      <c r="K434" s="7" t="str">
        <f t="shared" si="71"/>
        <v/>
      </c>
      <c r="L434" s="47" t="str">
        <f t="shared" si="64"/>
        <v/>
      </c>
      <c r="S434" s="55">
        <f t="shared" si="65"/>
        <v>8.2142857142857135</v>
      </c>
      <c r="T434" s="39">
        <f t="shared" si="66"/>
        <v>0.16191304347826088</v>
      </c>
    </row>
    <row r="435" spans="1:20" x14ac:dyDescent="0.15">
      <c r="A435" s="12"/>
      <c r="B435" s="13"/>
      <c r="C435" s="13"/>
      <c r="D435" s="13"/>
      <c r="E435" s="14"/>
      <c r="F435" s="6" t="str">
        <f t="shared" si="68"/>
        <v/>
      </c>
      <c r="G435" s="6" t="str">
        <f t="shared" si="69"/>
        <v/>
      </c>
      <c r="H435" s="6" t="str">
        <f t="shared" si="63"/>
        <v/>
      </c>
      <c r="I435" s="7" t="str">
        <f t="shared" si="70"/>
        <v/>
      </c>
      <c r="J435" s="7" t="str">
        <f t="shared" si="67"/>
        <v/>
      </c>
      <c r="K435" s="7" t="str">
        <f t="shared" si="71"/>
        <v/>
      </c>
      <c r="L435" s="47" t="str">
        <f t="shared" si="64"/>
        <v/>
      </c>
      <c r="S435" s="55">
        <f t="shared" si="65"/>
        <v>8.2142857142857135</v>
      </c>
      <c r="T435" s="39">
        <f t="shared" si="66"/>
        <v>0.16191304347826088</v>
      </c>
    </row>
    <row r="436" spans="1:20" x14ac:dyDescent="0.15">
      <c r="A436" s="12"/>
      <c r="B436" s="13"/>
      <c r="C436" s="13"/>
      <c r="D436" s="13"/>
      <c r="E436" s="14"/>
      <c r="F436" s="6" t="str">
        <f t="shared" si="68"/>
        <v/>
      </c>
      <c r="G436" s="6" t="str">
        <f t="shared" si="69"/>
        <v/>
      </c>
      <c r="H436" s="6" t="str">
        <f t="shared" si="63"/>
        <v/>
      </c>
      <c r="I436" s="7" t="str">
        <f t="shared" si="70"/>
        <v/>
      </c>
      <c r="J436" s="7" t="str">
        <f t="shared" si="67"/>
        <v/>
      </c>
      <c r="K436" s="7" t="str">
        <f t="shared" si="71"/>
        <v/>
      </c>
      <c r="L436" s="47" t="str">
        <f t="shared" si="64"/>
        <v/>
      </c>
      <c r="S436" s="55">
        <f t="shared" si="65"/>
        <v>8.2142857142857135</v>
      </c>
      <c r="T436" s="39">
        <f t="shared" si="66"/>
        <v>0.16191304347826088</v>
      </c>
    </row>
    <row r="437" spans="1:20" x14ac:dyDescent="0.15">
      <c r="A437" s="12"/>
      <c r="B437" s="13"/>
      <c r="C437" s="13"/>
      <c r="D437" s="13"/>
      <c r="E437" s="14"/>
      <c r="F437" s="6" t="str">
        <f t="shared" si="68"/>
        <v/>
      </c>
      <c r="G437" s="6" t="str">
        <f t="shared" si="69"/>
        <v/>
      </c>
      <c r="H437" s="6" t="str">
        <f t="shared" si="63"/>
        <v/>
      </c>
      <c r="I437" s="7" t="str">
        <f t="shared" si="70"/>
        <v/>
      </c>
      <c r="J437" s="7" t="str">
        <f t="shared" si="67"/>
        <v/>
      </c>
      <c r="K437" s="7" t="str">
        <f t="shared" si="71"/>
        <v/>
      </c>
      <c r="L437" s="47" t="str">
        <f t="shared" si="64"/>
        <v/>
      </c>
      <c r="S437" s="55">
        <f t="shared" si="65"/>
        <v>8.2142857142857135</v>
      </c>
      <c r="T437" s="39">
        <f t="shared" si="66"/>
        <v>0.16191304347826088</v>
      </c>
    </row>
    <row r="438" spans="1:20" x14ac:dyDescent="0.15">
      <c r="A438" s="12"/>
      <c r="B438" s="13"/>
      <c r="C438" s="13"/>
      <c r="D438" s="13"/>
      <c r="E438" s="14"/>
      <c r="F438" s="6" t="str">
        <f t="shared" si="68"/>
        <v/>
      </c>
      <c r="G438" s="6" t="str">
        <f t="shared" si="69"/>
        <v/>
      </c>
      <c r="H438" s="6" t="str">
        <f t="shared" si="63"/>
        <v/>
      </c>
      <c r="I438" s="7" t="str">
        <f t="shared" si="70"/>
        <v/>
      </c>
      <c r="J438" s="7" t="str">
        <f t="shared" si="67"/>
        <v/>
      </c>
      <c r="K438" s="7" t="str">
        <f t="shared" si="71"/>
        <v/>
      </c>
      <c r="L438" s="47" t="str">
        <f t="shared" si="64"/>
        <v/>
      </c>
      <c r="S438" s="55">
        <f t="shared" si="65"/>
        <v>8.2142857142857135</v>
      </c>
      <c r="T438" s="39">
        <f t="shared" si="66"/>
        <v>0.16191304347826088</v>
      </c>
    </row>
    <row r="439" spans="1:20" x14ac:dyDescent="0.15">
      <c r="A439" s="12"/>
      <c r="B439" s="13"/>
      <c r="C439" s="13"/>
      <c r="D439" s="13"/>
      <c r="E439" s="14"/>
      <c r="F439" s="6" t="str">
        <f t="shared" si="68"/>
        <v/>
      </c>
      <c r="G439" s="6" t="str">
        <f t="shared" si="69"/>
        <v/>
      </c>
      <c r="H439" s="6" t="str">
        <f t="shared" si="63"/>
        <v/>
      </c>
      <c r="I439" s="7" t="str">
        <f t="shared" si="70"/>
        <v/>
      </c>
      <c r="J439" s="7" t="str">
        <f t="shared" si="67"/>
        <v/>
      </c>
      <c r="K439" s="7" t="str">
        <f t="shared" si="71"/>
        <v/>
      </c>
      <c r="L439" s="47" t="str">
        <f t="shared" si="64"/>
        <v/>
      </c>
      <c r="S439" s="55">
        <f t="shared" si="65"/>
        <v>8.2142857142857135</v>
      </c>
      <c r="T439" s="39">
        <f t="shared" si="66"/>
        <v>0.16191304347826088</v>
      </c>
    </row>
    <row r="440" spans="1:20" x14ac:dyDescent="0.15">
      <c r="A440" s="12"/>
      <c r="B440" s="13"/>
      <c r="C440" s="13"/>
      <c r="D440" s="13"/>
      <c r="E440" s="14"/>
      <c r="F440" s="6" t="str">
        <f t="shared" si="68"/>
        <v/>
      </c>
      <c r="G440" s="6" t="str">
        <f t="shared" si="69"/>
        <v/>
      </c>
      <c r="H440" s="6" t="str">
        <f t="shared" si="63"/>
        <v/>
      </c>
      <c r="I440" s="7" t="str">
        <f t="shared" si="70"/>
        <v/>
      </c>
      <c r="J440" s="7" t="str">
        <f t="shared" si="67"/>
        <v/>
      </c>
      <c r="K440" s="7" t="str">
        <f t="shared" si="71"/>
        <v/>
      </c>
      <c r="L440" s="47" t="str">
        <f t="shared" si="64"/>
        <v/>
      </c>
      <c r="S440" s="55">
        <f t="shared" si="65"/>
        <v>8.2142857142857135</v>
      </c>
      <c r="T440" s="39">
        <f t="shared" si="66"/>
        <v>0.16191304347826088</v>
      </c>
    </row>
    <row r="441" spans="1:20" x14ac:dyDescent="0.15">
      <c r="A441" s="12"/>
      <c r="B441" s="13"/>
      <c r="C441" s="13"/>
      <c r="D441" s="13"/>
      <c r="E441" s="14"/>
      <c r="F441" s="6" t="str">
        <f t="shared" si="68"/>
        <v/>
      </c>
      <c r="G441" s="6" t="str">
        <f t="shared" si="69"/>
        <v/>
      </c>
      <c r="H441" s="6" t="str">
        <f t="shared" si="63"/>
        <v/>
      </c>
      <c r="I441" s="7" t="str">
        <f t="shared" si="70"/>
        <v/>
      </c>
      <c r="J441" s="7" t="str">
        <f t="shared" si="67"/>
        <v/>
      </c>
      <c r="K441" s="7" t="str">
        <f t="shared" si="71"/>
        <v/>
      </c>
      <c r="L441" s="47" t="str">
        <f t="shared" si="64"/>
        <v/>
      </c>
      <c r="S441" s="55">
        <f t="shared" si="65"/>
        <v>8.2142857142857135</v>
      </c>
      <c r="T441" s="39">
        <f t="shared" si="66"/>
        <v>0.16191304347826088</v>
      </c>
    </row>
    <row r="442" spans="1:20" x14ac:dyDescent="0.15">
      <c r="A442" s="12"/>
      <c r="B442" s="13"/>
      <c r="C442" s="13"/>
      <c r="D442" s="13"/>
      <c r="E442" s="14"/>
      <c r="F442" s="6" t="str">
        <f t="shared" si="68"/>
        <v/>
      </c>
      <c r="G442" s="6" t="str">
        <f t="shared" si="69"/>
        <v/>
      </c>
      <c r="H442" s="6" t="str">
        <f t="shared" si="63"/>
        <v/>
      </c>
      <c r="I442" s="7" t="str">
        <f t="shared" si="70"/>
        <v/>
      </c>
      <c r="J442" s="7" t="str">
        <f t="shared" si="67"/>
        <v/>
      </c>
      <c r="K442" s="7" t="str">
        <f t="shared" si="71"/>
        <v/>
      </c>
      <c r="L442" s="47" t="str">
        <f t="shared" si="64"/>
        <v/>
      </c>
      <c r="S442" s="55">
        <f t="shared" si="65"/>
        <v>8.2142857142857135</v>
      </c>
      <c r="T442" s="39">
        <f t="shared" si="66"/>
        <v>0.16191304347826088</v>
      </c>
    </row>
    <row r="443" spans="1:20" x14ac:dyDescent="0.15">
      <c r="A443" s="12"/>
      <c r="B443" s="13"/>
      <c r="C443" s="13"/>
      <c r="D443" s="13"/>
      <c r="E443" s="14"/>
      <c r="F443" s="6" t="str">
        <f t="shared" si="68"/>
        <v/>
      </c>
      <c r="G443" s="6" t="str">
        <f t="shared" si="69"/>
        <v/>
      </c>
      <c r="H443" s="6" t="str">
        <f t="shared" si="63"/>
        <v/>
      </c>
      <c r="I443" s="7" t="str">
        <f t="shared" si="70"/>
        <v/>
      </c>
      <c r="J443" s="7" t="str">
        <f t="shared" si="67"/>
        <v/>
      </c>
      <c r="K443" s="7" t="str">
        <f t="shared" si="71"/>
        <v/>
      </c>
      <c r="L443" s="47" t="str">
        <f t="shared" si="64"/>
        <v/>
      </c>
      <c r="S443" s="55">
        <f t="shared" si="65"/>
        <v>8.2142857142857135</v>
      </c>
      <c r="T443" s="39">
        <f t="shared" si="66"/>
        <v>0.16191304347826088</v>
      </c>
    </row>
    <row r="444" spans="1:20" x14ac:dyDescent="0.15">
      <c r="A444" s="12"/>
      <c r="B444" s="13"/>
      <c r="C444" s="13"/>
      <c r="D444" s="13"/>
      <c r="E444" s="14"/>
      <c r="F444" s="6" t="str">
        <f t="shared" si="68"/>
        <v/>
      </c>
      <c r="G444" s="6" t="str">
        <f t="shared" si="69"/>
        <v/>
      </c>
      <c r="H444" s="6" t="str">
        <f t="shared" si="63"/>
        <v/>
      </c>
      <c r="I444" s="7" t="str">
        <f t="shared" si="70"/>
        <v/>
      </c>
      <c r="J444" s="7" t="str">
        <f t="shared" si="67"/>
        <v/>
      </c>
      <c r="K444" s="7" t="str">
        <f t="shared" si="71"/>
        <v/>
      </c>
      <c r="L444" s="47" t="str">
        <f t="shared" si="64"/>
        <v/>
      </c>
      <c r="S444" s="55">
        <f t="shared" si="65"/>
        <v>8.2142857142857135</v>
      </c>
      <c r="T444" s="39">
        <f t="shared" si="66"/>
        <v>0.16191304347826088</v>
      </c>
    </row>
    <row r="445" spans="1:20" x14ac:dyDescent="0.15">
      <c r="A445" s="12"/>
      <c r="B445" s="13"/>
      <c r="C445" s="13"/>
      <c r="D445" s="13"/>
      <c r="E445" s="14"/>
      <c r="F445" s="6" t="str">
        <f t="shared" si="68"/>
        <v/>
      </c>
      <c r="G445" s="6" t="str">
        <f t="shared" si="69"/>
        <v/>
      </c>
      <c r="H445" s="6" t="str">
        <f t="shared" si="63"/>
        <v/>
      </c>
      <c r="I445" s="7" t="str">
        <f t="shared" si="70"/>
        <v/>
      </c>
      <c r="J445" s="7" t="str">
        <f t="shared" si="67"/>
        <v/>
      </c>
      <c r="K445" s="7" t="str">
        <f t="shared" si="71"/>
        <v/>
      </c>
      <c r="L445" s="47" t="str">
        <f t="shared" si="64"/>
        <v/>
      </c>
      <c r="S445" s="55">
        <f t="shared" si="65"/>
        <v>8.2142857142857135</v>
      </c>
      <c r="T445" s="39">
        <f t="shared" si="66"/>
        <v>0.16191304347826088</v>
      </c>
    </row>
    <row r="446" spans="1:20" x14ac:dyDescent="0.15">
      <c r="A446" s="12"/>
      <c r="B446" s="13"/>
      <c r="C446" s="13"/>
      <c r="D446" s="13"/>
      <c r="E446" s="14"/>
      <c r="F446" s="6" t="str">
        <f t="shared" si="68"/>
        <v/>
      </c>
      <c r="G446" s="6" t="str">
        <f t="shared" si="69"/>
        <v/>
      </c>
      <c r="H446" s="6" t="str">
        <f t="shared" si="63"/>
        <v/>
      </c>
      <c r="I446" s="7" t="str">
        <f t="shared" si="70"/>
        <v/>
      </c>
      <c r="J446" s="7" t="str">
        <f t="shared" si="67"/>
        <v/>
      </c>
      <c r="K446" s="7" t="str">
        <f t="shared" si="71"/>
        <v/>
      </c>
      <c r="L446" s="47" t="str">
        <f t="shared" si="64"/>
        <v/>
      </c>
      <c r="S446" s="55">
        <f t="shared" si="65"/>
        <v>8.2142857142857135</v>
      </c>
      <c r="T446" s="39">
        <f t="shared" si="66"/>
        <v>0.16191304347826088</v>
      </c>
    </row>
    <row r="447" spans="1:20" x14ac:dyDescent="0.15">
      <c r="A447" s="12"/>
      <c r="B447" s="13"/>
      <c r="C447" s="13"/>
      <c r="D447" s="13"/>
      <c r="E447" s="14"/>
      <c r="F447" s="6" t="str">
        <f t="shared" si="68"/>
        <v/>
      </c>
      <c r="G447" s="6" t="str">
        <f t="shared" si="69"/>
        <v/>
      </c>
      <c r="H447" s="6" t="str">
        <f t="shared" si="63"/>
        <v/>
      </c>
      <c r="I447" s="7" t="str">
        <f t="shared" si="70"/>
        <v/>
      </c>
      <c r="J447" s="7" t="str">
        <f t="shared" si="67"/>
        <v/>
      </c>
      <c r="K447" s="7" t="str">
        <f t="shared" si="71"/>
        <v/>
      </c>
      <c r="L447" s="47" t="str">
        <f t="shared" si="64"/>
        <v/>
      </c>
      <c r="S447" s="55">
        <f t="shared" si="65"/>
        <v>8.2142857142857135</v>
      </c>
      <c r="T447" s="39">
        <f t="shared" si="66"/>
        <v>0.16191304347826088</v>
      </c>
    </row>
    <row r="448" spans="1:20" x14ac:dyDescent="0.15">
      <c r="A448" s="12"/>
      <c r="B448" s="13"/>
      <c r="C448" s="13"/>
      <c r="D448" s="13"/>
      <c r="E448" s="14"/>
      <c r="F448" s="6" t="str">
        <f t="shared" si="68"/>
        <v/>
      </c>
      <c r="G448" s="6" t="str">
        <f t="shared" si="69"/>
        <v/>
      </c>
      <c r="H448" s="6" t="str">
        <f t="shared" si="63"/>
        <v/>
      </c>
      <c r="I448" s="7" t="str">
        <f t="shared" si="70"/>
        <v/>
      </c>
      <c r="J448" s="7" t="str">
        <f t="shared" si="67"/>
        <v/>
      </c>
      <c r="K448" s="7" t="str">
        <f t="shared" si="71"/>
        <v/>
      </c>
      <c r="L448" s="47" t="str">
        <f t="shared" si="64"/>
        <v/>
      </c>
      <c r="S448" s="55">
        <f t="shared" si="65"/>
        <v>8.2142857142857135</v>
      </c>
      <c r="T448" s="39">
        <f t="shared" si="66"/>
        <v>0.16191304347826088</v>
      </c>
    </row>
    <row r="449" spans="1:20" x14ac:dyDescent="0.15">
      <c r="A449" s="12"/>
      <c r="B449" s="13"/>
      <c r="C449" s="13"/>
      <c r="D449" s="13"/>
      <c r="E449" s="14"/>
      <c r="F449" s="6" t="str">
        <f t="shared" si="68"/>
        <v/>
      </c>
      <c r="G449" s="6" t="str">
        <f t="shared" si="69"/>
        <v/>
      </c>
      <c r="H449" s="6" t="str">
        <f t="shared" si="63"/>
        <v/>
      </c>
      <c r="I449" s="7" t="str">
        <f t="shared" si="70"/>
        <v/>
      </c>
      <c r="J449" s="7" t="str">
        <f t="shared" si="67"/>
        <v/>
      </c>
      <c r="K449" s="7" t="str">
        <f t="shared" si="71"/>
        <v/>
      </c>
      <c r="L449" s="47" t="str">
        <f t="shared" si="64"/>
        <v/>
      </c>
      <c r="S449" s="55">
        <f t="shared" si="65"/>
        <v>8.2142857142857135</v>
      </c>
      <c r="T449" s="39">
        <f t="shared" si="66"/>
        <v>0.16191304347826088</v>
      </c>
    </row>
    <row r="450" spans="1:20" x14ac:dyDescent="0.15">
      <c r="A450" s="12"/>
      <c r="B450" s="13"/>
      <c r="C450" s="13"/>
      <c r="D450" s="13"/>
      <c r="E450" s="14"/>
      <c r="F450" s="6" t="str">
        <f t="shared" si="68"/>
        <v/>
      </c>
      <c r="G450" s="6" t="str">
        <f t="shared" si="69"/>
        <v/>
      </c>
      <c r="H450" s="6" t="str">
        <f t="shared" si="63"/>
        <v/>
      </c>
      <c r="I450" s="7" t="str">
        <f t="shared" si="70"/>
        <v/>
      </c>
      <c r="J450" s="7" t="str">
        <f t="shared" si="67"/>
        <v/>
      </c>
      <c r="K450" s="7" t="str">
        <f t="shared" si="71"/>
        <v/>
      </c>
      <c r="L450" s="47" t="str">
        <f t="shared" si="64"/>
        <v/>
      </c>
      <c r="S450" s="55">
        <f t="shared" si="65"/>
        <v>8.2142857142857135</v>
      </c>
      <c r="T450" s="39">
        <f t="shared" si="66"/>
        <v>0.16191304347826088</v>
      </c>
    </row>
    <row r="451" spans="1:20" x14ac:dyDescent="0.15">
      <c r="A451" s="12"/>
      <c r="B451" s="13"/>
      <c r="C451" s="13"/>
      <c r="D451" s="13"/>
      <c r="E451" s="14"/>
      <c r="F451" s="6" t="str">
        <f t="shared" si="68"/>
        <v/>
      </c>
      <c r="G451" s="6" t="str">
        <f t="shared" si="69"/>
        <v/>
      </c>
      <c r="H451" s="6" t="str">
        <f t="shared" si="63"/>
        <v/>
      </c>
      <c r="I451" s="7" t="str">
        <f t="shared" si="70"/>
        <v/>
      </c>
      <c r="J451" s="7" t="str">
        <f t="shared" si="67"/>
        <v/>
      </c>
      <c r="K451" s="7" t="str">
        <f t="shared" si="71"/>
        <v/>
      </c>
      <c r="L451" s="47" t="str">
        <f t="shared" si="64"/>
        <v/>
      </c>
      <c r="S451" s="55">
        <f t="shared" si="65"/>
        <v>8.2142857142857135</v>
      </c>
      <c r="T451" s="39">
        <f t="shared" si="66"/>
        <v>0.16191304347826088</v>
      </c>
    </row>
    <row r="452" spans="1:20" x14ac:dyDescent="0.15">
      <c r="A452" s="12"/>
      <c r="B452" s="13"/>
      <c r="C452" s="13"/>
      <c r="D452" s="13"/>
      <c r="E452" s="14"/>
      <c r="F452" s="6" t="str">
        <f t="shared" si="68"/>
        <v/>
      </c>
      <c r="G452" s="6" t="str">
        <f t="shared" si="69"/>
        <v/>
      </c>
      <c r="H452" s="6" t="str">
        <f t="shared" si="63"/>
        <v/>
      </c>
      <c r="I452" s="7" t="str">
        <f t="shared" si="70"/>
        <v/>
      </c>
      <c r="J452" s="7" t="str">
        <f t="shared" si="67"/>
        <v/>
      </c>
      <c r="K452" s="7" t="str">
        <f t="shared" si="71"/>
        <v/>
      </c>
      <c r="L452" s="47" t="str">
        <f t="shared" si="64"/>
        <v/>
      </c>
      <c r="S452" s="55">
        <f t="shared" si="65"/>
        <v>8.2142857142857135</v>
      </c>
      <c r="T452" s="39">
        <f t="shared" si="66"/>
        <v>0.16191304347826088</v>
      </c>
    </row>
    <row r="453" spans="1:20" x14ac:dyDescent="0.15">
      <c r="A453" s="12"/>
      <c r="B453" s="13"/>
      <c r="C453" s="13"/>
      <c r="D453" s="13"/>
      <c r="E453" s="14"/>
      <c r="F453" s="6" t="str">
        <f t="shared" si="68"/>
        <v/>
      </c>
      <c r="G453" s="6" t="str">
        <f t="shared" si="69"/>
        <v/>
      </c>
      <c r="H453" s="6" t="str">
        <f t="shared" si="63"/>
        <v/>
      </c>
      <c r="I453" s="7" t="str">
        <f t="shared" si="70"/>
        <v/>
      </c>
      <c r="J453" s="7" t="str">
        <f t="shared" si="67"/>
        <v/>
      </c>
      <c r="K453" s="7" t="str">
        <f t="shared" si="71"/>
        <v/>
      </c>
      <c r="L453" s="47" t="str">
        <f t="shared" si="64"/>
        <v/>
      </c>
      <c r="S453" s="55">
        <f t="shared" si="65"/>
        <v>8.2142857142857135</v>
      </c>
      <c r="T453" s="39">
        <f t="shared" si="66"/>
        <v>0.16191304347826088</v>
      </c>
    </row>
    <row r="454" spans="1:20" x14ac:dyDescent="0.15">
      <c r="A454" s="12"/>
      <c r="B454" s="13"/>
      <c r="C454" s="13"/>
      <c r="D454" s="13"/>
      <c r="E454" s="14"/>
      <c r="F454" s="6" t="str">
        <f t="shared" si="68"/>
        <v/>
      </c>
      <c r="G454" s="6" t="str">
        <f t="shared" si="69"/>
        <v/>
      </c>
      <c r="H454" s="6" t="str">
        <f t="shared" si="63"/>
        <v/>
      </c>
      <c r="I454" s="7" t="str">
        <f t="shared" si="70"/>
        <v/>
      </c>
      <c r="J454" s="7" t="str">
        <f t="shared" si="67"/>
        <v/>
      </c>
      <c r="K454" s="7" t="str">
        <f t="shared" si="71"/>
        <v/>
      </c>
      <c r="L454" s="47" t="str">
        <f t="shared" si="64"/>
        <v/>
      </c>
      <c r="S454" s="55">
        <f t="shared" si="65"/>
        <v>8.2142857142857135</v>
      </c>
      <c r="T454" s="39">
        <f t="shared" si="66"/>
        <v>0.16191304347826088</v>
      </c>
    </row>
    <row r="455" spans="1:20" x14ac:dyDescent="0.15">
      <c r="A455" s="12"/>
      <c r="B455" s="13"/>
      <c r="C455" s="13"/>
      <c r="D455" s="13"/>
      <c r="E455" s="14"/>
      <c r="F455" s="6" t="str">
        <f t="shared" si="68"/>
        <v/>
      </c>
      <c r="G455" s="6" t="str">
        <f t="shared" si="69"/>
        <v/>
      </c>
      <c r="H455" s="6" t="str">
        <f t="shared" si="63"/>
        <v/>
      </c>
      <c r="I455" s="7" t="str">
        <f t="shared" si="70"/>
        <v/>
      </c>
      <c r="J455" s="7" t="str">
        <f t="shared" si="67"/>
        <v/>
      </c>
      <c r="K455" s="7" t="str">
        <f t="shared" si="71"/>
        <v/>
      </c>
      <c r="L455" s="47" t="str">
        <f t="shared" si="64"/>
        <v/>
      </c>
      <c r="S455" s="55">
        <f t="shared" si="65"/>
        <v>8.2142857142857135</v>
      </c>
      <c r="T455" s="39">
        <f t="shared" si="66"/>
        <v>0.16191304347826088</v>
      </c>
    </row>
    <row r="456" spans="1:20" x14ac:dyDescent="0.15">
      <c r="A456" s="12"/>
      <c r="B456" s="13"/>
      <c r="C456" s="13"/>
      <c r="D456" s="13"/>
      <c r="E456" s="14"/>
      <c r="F456" s="6" t="str">
        <f t="shared" si="68"/>
        <v/>
      </c>
      <c r="G456" s="6" t="str">
        <f t="shared" si="69"/>
        <v/>
      </c>
      <c r="H456" s="6" t="str">
        <f t="shared" ref="H456:H506" si="72">IF(C456&lt;&gt;"",C456*D456,"")</f>
        <v/>
      </c>
      <c r="I456" s="7" t="str">
        <f t="shared" si="70"/>
        <v/>
      </c>
      <c r="J456" s="7" t="str">
        <f t="shared" si="67"/>
        <v/>
      </c>
      <c r="K456" s="7" t="str">
        <f t="shared" si="71"/>
        <v/>
      </c>
      <c r="L456" s="47" t="str">
        <f t="shared" ref="L456:L506" si="73">IF(I456&lt;&gt;"",1/I456*D455,"")</f>
        <v/>
      </c>
      <c r="S456" s="55">
        <f t="shared" ref="S456:S506" si="74">IF(I456="",S455,I456)</f>
        <v>8.2142857142857135</v>
      </c>
      <c r="T456" s="39">
        <f t="shared" ref="T456:T506" si="75">IF(L456="",T455,L456)</f>
        <v>0.16191304347826088</v>
      </c>
    </row>
    <row r="457" spans="1:20" x14ac:dyDescent="0.15">
      <c r="A457" s="12"/>
      <c r="B457" s="13"/>
      <c r="C457" s="13"/>
      <c r="D457" s="13"/>
      <c r="E457" s="14"/>
      <c r="F457" s="6" t="str">
        <f t="shared" si="68"/>
        <v/>
      </c>
      <c r="G457" s="6" t="str">
        <f t="shared" si="69"/>
        <v/>
      </c>
      <c r="H457" s="6" t="str">
        <f t="shared" si="72"/>
        <v/>
      </c>
      <c r="I457" s="7" t="str">
        <f t="shared" si="70"/>
        <v/>
      </c>
      <c r="J457" s="7" t="str">
        <f t="shared" si="67"/>
        <v/>
      </c>
      <c r="K457" s="7" t="str">
        <f t="shared" si="71"/>
        <v/>
      </c>
      <c r="L457" s="47" t="str">
        <f t="shared" si="73"/>
        <v/>
      </c>
      <c r="S457" s="55">
        <f t="shared" si="74"/>
        <v>8.2142857142857135</v>
      </c>
      <c r="T457" s="39">
        <f t="shared" si="75"/>
        <v>0.16191304347826088</v>
      </c>
    </row>
    <row r="458" spans="1:20" x14ac:dyDescent="0.15">
      <c r="A458" s="12"/>
      <c r="B458" s="13"/>
      <c r="C458" s="13"/>
      <c r="D458" s="13"/>
      <c r="E458" s="14"/>
      <c r="F458" s="6" t="str">
        <f t="shared" si="68"/>
        <v/>
      </c>
      <c r="G458" s="6" t="str">
        <f t="shared" si="69"/>
        <v/>
      </c>
      <c r="H458" s="6" t="str">
        <f t="shared" si="72"/>
        <v/>
      </c>
      <c r="I458" s="7" t="str">
        <f t="shared" si="70"/>
        <v/>
      </c>
      <c r="J458" s="7" t="str">
        <f t="shared" ref="J458:J506" si="76">IF(I458&lt;&gt;"",1/I458*100,"")</f>
        <v/>
      </c>
      <c r="K458" s="7" t="str">
        <f t="shared" si="71"/>
        <v/>
      </c>
      <c r="L458" s="47" t="str">
        <f t="shared" si="73"/>
        <v/>
      </c>
      <c r="S458" s="55">
        <f t="shared" si="74"/>
        <v>8.2142857142857135</v>
      </c>
      <c r="T458" s="39">
        <f t="shared" si="75"/>
        <v>0.16191304347826088</v>
      </c>
    </row>
    <row r="459" spans="1:20" x14ac:dyDescent="0.15">
      <c r="A459" s="12"/>
      <c r="B459" s="13"/>
      <c r="C459" s="13"/>
      <c r="D459" s="13"/>
      <c r="E459" s="14"/>
      <c r="F459" s="6" t="str">
        <f t="shared" si="68"/>
        <v/>
      </c>
      <c r="G459" s="6" t="str">
        <f t="shared" si="69"/>
        <v/>
      </c>
      <c r="H459" s="6" t="str">
        <f t="shared" si="72"/>
        <v/>
      </c>
      <c r="I459" s="7" t="str">
        <f t="shared" si="70"/>
        <v/>
      </c>
      <c r="J459" s="7" t="str">
        <f t="shared" si="76"/>
        <v/>
      </c>
      <c r="K459" s="7" t="str">
        <f t="shared" si="71"/>
        <v/>
      </c>
      <c r="L459" s="47" t="str">
        <f t="shared" si="73"/>
        <v/>
      </c>
      <c r="S459" s="55">
        <f t="shared" si="74"/>
        <v>8.2142857142857135</v>
      </c>
      <c r="T459" s="39">
        <f t="shared" si="75"/>
        <v>0.16191304347826088</v>
      </c>
    </row>
    <row r="460" spans="1:20" x14ac:dyDescent="0.15">
      <c r="A460" s="12"/>
      <c r="B460" s="13"/>
      <c r="C460" s="13"/>
      <c r="D460" s="13"/>
      <c r="E460" s="14"/>
      <c r="F460" s="6" t="str">
        <f t="shared" si="68"/>
        <v/>
      </c>
      <c r="G460" s="6" t="str">
        <f t="shared" si="69"/>
        <v/>
      </c>
      <c r="H460" s="6" t="str">
        <f t="shared" si="72"/>
        <v/>
      </c>
      <c r="I460" s="7" t="str">
        <f t="shared" si="70"/>
        <v/>
      </c>
      <c r="J460" s="7" t="str">
        <f t="shared" si="76"/>
        <v/>
      </c>
      <c r="K460" s="7" t="str">
        <f t="shared" si="71"/>
        <v/>
      </c>
      <c r="L460" s="47" t="str">
        <f t="shared" si="73"/>
        <v/>
      </c>
      <c r="S460" s="55">
        <f t="shared" si="74"/>
        <v>8.2142857142857135</v>
      </c>
      <c r="T460" s="39">
        <f t="shared" si="75"/>
        <v>0.16191304347826088</v>
      </c>
    </row>
    <row r="461" spans="1:20" x14ac:dyDescent="0.15">
      <c r="A461" s="12"/>
      <c r="B461" s="13"/>
      <c r="C461" s="13"/>
      <c r="D461" s="13"/>
      <c r="E461" s="14"/>
      <c r="F461" s="6" t="str">
        <f t="shared" si="68"/>
        <v/>
      </c>
      <c r="G461" s="6" t="str">
        <f t="shared" si="69"/>
        <v/>
      </c>
      <c r="H461" s="6" t="str">
        <f t="shared" si="72"/>
        <v/>
      </c>
      <c r="I461" s="7" t="str">
        <f t="shared" si="70"/>
        <v/>
      </c>
      <c r="J461" s="7" t="str">
        <f t="shared" si="76"/>
        <v/>
      </c>
      <c r="K461" s="7" t="str">
        <f t="shared" si="71"/>
        <v/>
      </c>
      <c r="L461" s="47" t="str">
        <f t="shared" si="73"/>
        <v/>
      </c>
      <c r="S461" s="55">
        <f t="shared" si="74"/>
        <v>8.2142857142857135</v>
      </c>
      <c r="T461" s="39">
        <f t="shared" si="75"/>
        <v>0.16191304347826088</v>
      </c>
    </row>
    <row r="462" spans="1:20" x14ac:dyDescent="0.15">
      <c r="A462" s="12"/>
      <c r="B462" s="13"/>
      <c r="C462" s="13"/>
      <c r="D462" s="13"/>
      <c r="E462" s="14"/>
      <c r="F462" s="6" t="str">
        <f t="shared" si="68"/>
        <v/>
      </c>
      <c r="G462" s="6" t="str">
        <f t="shared" si="69"/>
        <v/>
      </c>
      <c r="H462" s="6" t="str">
        <f t="shared" si="72"/>
        <v/>
      </c>
      <c r="I462" s="7" t="str">
        <f t="shared" si="70"/>
        <v/>
      </c>
      <c r="J462" s="7" t="str">
        <f t="shared" si="76"/>
        <v/>
      </c>
      <c r="K462" s="7" t="str">
        <f t="shared" si="71"/>
        <v/>
      </c>
      <c r="L462" s="47" t="str">
        <f t="shared" si="73"/>
        <v/>
      </c>
      <c r="S462" s="55">
        <f t="shared" si="74"/>
        <v>8.2142857142857135</v>
      </c>
      <c r="T462" s="39">
        <f t="shared" si="75"/>
        <v>0.16191304347826088</v>
      </c>
    </row>
    <row r="463" spans="1:20" x14ac:dyDescent="0.15">
      <c r="A463" s="12"/>
      <c r="B463" s="13"/>
      <c r="C463" s="13"/>
      <c r="D463" s="13"/>
      <c r="E463" s="14"/>
      <c r="F463" s="6" t="str">
        <f t="shared" ref="F463:F506" si="77">IF(B463&gt;0,IF(E462="Sim",B463-B462,F462+B463-B462),"")</f>
        <v/>
      </c>
      <c r="G463" s="6" t="str">
        <f t="shared" ref="G463:G506" si="78">IF(B463&gt;0,IF(E462="Sim",C463,G462+C463),"")</f>
        <v/>
      </c>
      <c r="H463" s="6" t="str">
        <f t="shared" si="72"/>
        <v/>
      </c>
      <c r="I463" s="7" t="str">
        <f t="shared" ref="I463:I506" si="79">IF(E463="Sim",F463/G463,"")</f>
        <v/>
      </c>
      <c r="J463" s="7" t="str">
        <f t="shared" si="76"/>
        <v/>
      </c>
      <c r="K463" s="7" t="str">
        <f t="shared" ref="K463:K506" si="80">IF(I463&lt;&gt;"",I463*0.62137/0.2641,"")</f>
        <v/>
      </c>
      <c r="L463" s="47" t="str">
        <f t="shared" si="73"/>
        <v/>
      </c>
      <c r="S463" s="55">
        <f t="shared" si="74"/>
        <v>8.2142857142857135</v>
      </c>
      <c r="T463" s="39">
        <f t="shared" si="75"/>
        <v>0.16191304347826088</v>
      </c>
    </row>
    <row r="464" spans="1:20" x14ac:dyDescent="0.15">
      <c r="A464" s="12"/>
      <c r="B464" s="13"/>
      <c r="C464" s="13"/>
      <c r="D464" s="13"/>
      <c r="E464" s="14"/>
      <c r="F464" s="6" t="str">
        <f t="shared" si="77"/>
        <v/>
      </c>
      <c r="G464" s="6" t="str">
        <f t="shared" si="78"/>
        <v/>
      </c>
      <c r="H464" s="6" t="str">
        <f t="shared" si="72"/>
        <v/>
      </c>
      <c r="I464" s="7" t="str">
        <f t="shared" si="79"/>
        <v/>
      </c>
      <c r="J464" s="7" t="str">
        <f t="shared" si="76"/>
        <v/>
      </c>
      <c r="K464" s="7" t="str">
        <f t="shared" si="80"/>
        <v/>
      </c>
      <c r="L464" s="47" t="str">
        <f t="shared" si="73"/>
        <v/>
      </c>
      <c r="S464" s="55">
        <f t="shared" si="74"/>
        <v>8.2142857142857135</v>
      </c>
      <c r="T464" s="39">
        <f t="shared" si="75"/>
        <v>0.16191304347826088</v>
      </c>
    </row>
    <row r="465" spans="1:20" x14ac:dyDescent="0.15">
      <c r="A465" s="12"/>
      <c r="B465" s="13"/>
      <c r="C465" s="13"/>
      <c r="D465" s="13"/>
      <c r="E465" s="14"/>
      <c r="F465" s="6" t="str">
        <f t="shared" si="77"/>
        <v/>
      </c>
      <c r="G465" s="6" t="str">
        <f t="shared" si="78"/>
        <v/>
      </c>
      <c r="H465" s="6" t="str">
        <f t="shared" si="72"/>
        <v/>
      </c>
      <c r="I465" s="7" t="str">
        <f t="shared" si="79"/>
        <v/>
      </c>
      <c r="J465" s="7" t="str">
        <f t="shared" si="76"/>
        <v/>
      </c>
      <c r="K465" s="7" t="str">
        <f t="shared" si="80"/>
        <v/>
      </c>
      <c r="L465" s="47" t="str">
        <f t="shared" si="73"/>
        <v/>
      </c>
      <c r="S465" s="55">
        <f t="shared" si="74"/>
        <v>8.2142857142857135</v>
      </c>
      <c r="T465" s="39">
        <f t="shared" si="75"/>
        <v>0.16191304347826088</v>
      </c>
    </row>
    <row r="466" spans="1:20" x14ac:dyDescent="0.15">
      <c r="A466" s="12"/>
      <c r="B466" s="13"/>
      <c r="C466" s="13"/>
      <c r="D466" s="13"/>
      <c r="E466" s="14"/>
      <c r="F466" s="6" t="str">
        <f t="shared" si="77"/>
        <v/>
      </c>
      <c r="G466" s="6" t="str">
        <f t="shared" si="78"/>
        <v/>
      </c>
      <c r="H466" s="6" t="str">
        <f t="shared" si="72"/>
        <v/>
      </c>
      <c r="I466" s="7" t="str">
        <f t="shared" si="79"/>
        <v/>
      </c>
      <c r="J466" s="7" t="str">
        <f t="shared" si="76"/>
        <v/>
      </c>
      <c r="K466" s="7" t="str">
        <f t="shared" si="80"/>
        <v/>
      </c>
      <c r="L466" s="47" t="str">
        <f t="shared" si="73"/>
        <v/>
      </c>
      <c r="S466" s="55">
        <f t="shared" si="74"/>
        <v>8.2142857142857135</v>
      </c>
      <c r="T466" s="39">
        <f t="shared" si="75"/>
        <v>0.16191304347826088</v>
      </c>
    </row>
    <row r="467" spans="1:20" x14ac:dyDescent="0.15">
      <c r="A467" s="12"/>
      <c r="B467" s="13"/>
      <c r="C467" s="13"/>
      <c r="D467" s="13"/>
      <c r="E467" s="14"/>
      <c r="F467" s="6" t="str">
        <f t="shared" si="77"/>
        <v/>
      </c>
      <c r="G467" s="6" t="str">
        <f t="shared" si="78"/>
        <v/>
      </c>
      <c r="H467" s="6" t="str">
        <f t="shared" si="72"/>
        <v/>
      </c>
      <c r="I467" s="7" t="str">
        <f t="shared" si="79"/>
        <v/>
      </c>
      <c r="J467" s="7" t="str">
        <f t="shared" si="76"/>
        <v/>
      </c>
      <c r="K467" s="7" t="str">
        <f t="shared" si="80"/>
        <v/>
      </c>
      <c r="L467" s="47" t="str">
        <f t="shared" si="73"/>
        <v/>
      </c>
      <c r="S467" s="55">
        <f t="shared" si="74"/>
        <v>8.2142857142857135</v>
      </c>
      <c r="T467" s="39">
        <f t="shared" si="75"/>
        <v>0.16191304347826088</v>
      </c>
    </row>
    <row r="468" spans="1:20" x14ac:dyDescent="0.15">
      <c r="A468" s="12"/>
      <c r="B468" s="13"/>
      <c r="C468" s="13"/>
      <c r="D468" s="13"/>
      <c r="E468" s="14"/>
      <c r="F468" s="6" t="str">
        <f t="shared" si="77"/>
        <v/>
      </c>
      <c r="G468" s="6" t="str">
        <f t="shared" si="78"/>
        <v/>
      </c>
      <c r="H468" s="6" t="str">
        <f t="shared" si="72"/>
        <v/>
      </c>
      <c r="I468" s="7" t="str">
        <f t="shared" si="79"/>
        <v/>
      </c>
      <c r="J468" s="7" t="str">
        <f t="shared" si="76"/>
        <v/>
      </c>
      <c r="K468" s="7" t="str">
        <f t="shared" si="80"/>
        <v/>
      </c>
      <c r="L468" s="47" t="str">
        <f t="shared" si="73"/>
        <v/>
      </c>
      <c r="S468" s="55">
        <f t="shared" si="74"/>
        <v>8.2142857142857135</v>
      </c>
      <c r="T468" s="39">
        <f t="shared" si="75"/>
        <v>0.16191304347826088</v>
      </c>
    </row>
    <row r="469" spans="1:20" x14ac:dyDescent="0.15">
      <c r="A469" s="12"/>
      <c r="B469" s="13"/>
      <c r="C469" s="13"/>
      <c r="D469" s="13"/>
      <c r="E469" s="14"/>
      <c r="F469" s="6" t="str">
        <f t="shared" si="77"/>
        <v/>
      </c>
      <c r="G469" s="6" t="str">
        <f t="shared" si="78"/>
        <v/>
      </c>
      <c r="H469" s="6" t="str">
        <f t="shared" si="72"/>
        <v/>
      </c>
      <c r="I469" s="7" t="str">
        <f t="shared" si="79"/>
        <v/>
      </c>
      <c r="J469" s="7" t="str">
        <f t="shared" si="76"/>
        <v/>
      </c>
      <c r="K469" s="7" t="str">
        <f t="shared" si="80"/>
        <v/>
      </c>
      <c r="L469" s="47" t="str">
        <f t="shared" si="73"/>
        <v/>
      </c>
      <c r="S469" s="55">
        <f t="shared" si="74"/>
        <v>8.2142857142857135</v>
      </c>
      <c r="T469" s="39">
        <f t="shared" si="75"/>
        <v>0.16191304347826088</v>
      </c>
    </row>
    <row r="470" spans="1:20" x14ac:dyDescent="0.15">
      <c r="A470" s="12"/>
      <c r="B470" s="13"/>
      <c r="C470" s="13"/>
      <c r="D470" s="13"/>
      <c r="E470" s="14"/>
      <c r="F470" s="6" t="str">
        <f t="shared" si="77"/>
        <v/>
      </c>
      <c r="G470" s="6" t="str">
        <f t="shared" si="78"/>
        <v/>
      </c>
      <c r="H470" s="6" t="str">
        <f t="shared" si="72"/>
        <v/>
      </c>
      <c r="I470" s="7" t="str">
        <f t="shared" si="79"/>
        <v/>
      </c>
      <c r="J470" s="7" t="str">
        <f t="shared" si="76"/>
        <v/>
      </c>
      <c r="K470" s="7" t="str">
        <f t="shared" si="80"/>
        <v/>
      </c>
      <c r="L470" s="47" t="str">
        <f t="shared" si="73"/>
        <v/>
      </c>
      <c r="S470" s="55">
        <f t="shared" si="74"/>
        <v>8.2142857142857135</v>
      </c>
      <c r="T470" s="39">
        <f t="shared" si="75"/>
        <v>0.16191304347826088</v>
      </c>
    </row>
    <row r="471" spans="1:20" x14ac:dyDescent="0.15">
      <c r="A471" s="12"/>
      <c r="B471" s="13"/>
      <c r="C471" s="13"/>
      <c r="D471" s="13"/>
      <c r="E471" s="14"/>
      <c r="F471" s="6" t="str">
        <f t="shared" si="77"/>
        <v/>
      </c>
      <c r="G471" s="6" t="str">
        <f t="shared" si="78"/>
        <v/>
      </c>
      <c r="H471" s="6" t="str">
        <f t="shared" si="72"/>
        <v/>
      </c>
      <c r="I471" s="7" t="str">
        <f t="shared" si="79"/>
        <v/>
      </c>
      <c r="J471" s="7" t="str">
        <f t="shared" si="76"/>
        <v/>
      </c>
      <c r="K471" s="7" t="str">
        <f t="shared" si="80"/>
        <v/>
      </c>
      <c r="L471" s="47" t="str">
        <f t="shared" si="73"/>
        <v/>
      </c>
      <c r="S471" s="55">
        <f t="shared" si="74"/>
        <v>8.2142857142857135</v>
      </c>
      <c r="T471" s="39">
        <f t="shared" si="75"/>
        <v>0.16191304347826088</v>
      </c>
    </row>
    <row r="472" spans="1:20" x14ac:dyDescent="0.15">
      <c r="A472" s="12"/>
      <c r="B472" s="13"/>
      <c r="C472" s="13"/>
      <c r="D472" s="13"/>
      <c r="E472" s="14"/>
      <c r="F472" s="6" t="str">
        <f t="shared" si="77"/>
        <v/>
      </c>
      <c r="G472" s="6" t="str">
        <f t="shared" si="78"/>
        <v/>
      </c>
      <c r="H472" s="6" t="str">
        <f t="shared" si="72"/>
        <v/>
      </c>
      <c r="I472" s="7" t="str">
        <f t="shared" si="79"/>
        <v/>
      </c>
      <c r="J472" s="7" t="str">
        <f t="shared" si="76"/>
        <v/>
      </c>
      <c r="K472" s="7" t="str">
        <f t="shared" si="80"/>
        <v/>
      </c>
      <c r="L472" s="47" t="str">
        <f t="shared" si="73"/>
        <v/>
      </c>
      <c r="S472" s="55">
        <f t="shared" si="74"/>
        <v>8.2142857142857135</v>
      </c>
      <c r="T472" s="39">
        <f t="shared" si="75"/>
        <v>0.16191304347826088</v>
      </c>
    </row>
    <row r="473" spans="1:20" x14ac:dyDescent="0.15">
      <c r="A473" s="12"/>
      <c r="B473" s="13"/>
      <c r="C473" s="13"/>
      <c r="D473" s="13"/>
      <c r="E473" s="14"/>
      <c r="F473" s="6" t="str">
        <f t="shared" si="77"/>
        <v/>
      </c>
      <c r="G473" s="6" t="str">
        <f t="shared" si="78"/>
        <v/>
      </c>
      <c r="H473" s="6" t="str">
        <f t="shared" si="72"/>
        <v/>
      </c>
      <c r="I473" s="7" t="str">
        <f t="shared" si="79"/>
        <v/>
      </c>
      <c r="J473" s="7" t="str">
        <f t="shared" si="76"/>
        <v/>
      </c>
      <c r="K473" s="7" t="str">
        <f t="shared" si="80"/>
        <v/>
      </c>
      <c r="L473" s="47" t="str">
        <f t="shared" si="73"/>
        <v/>
      </c>
      <c r="S473" s="55">
        <f t="shared" si="74"/>
        <v>8.2142857142857135</v>
      </c>
      <c r="T473" s="39">
        <f t="shared" si="75"/>
        <v>0.16191304347826088</v>
      </c>
    </row>
    <row r="474" spans="1:20" x14ac:dyDescent="0.15">
      <c r="A474" s="12"/>
      <c r="B474" s="13"/>
      <c r="C474" s="13"/>
      <c r="D474" s="13"/>
      <c r="E474" s="14"/>
      <c r="F474" s="6" t="str">
        <f t="shared" si="77"/>
        <v/>
      </c>
      <c r="G474" s="6" t="str">
        <f t="shared" si="78"/>
        <v/>
      </c>
      <c r="H474" s="6" t="str">
        <f t="shared" si="72"/>
        <v/>
      </c>
      <c r="I474" s="7" t="str">
        <f t="shared" si="79"/>
        <v/>
      </c>
      <c r="J474" s="7" t="str">
        <f t="shared" si="76"/>
        <v/>
      </c>
      <c r="K474" s="7" t="str">
        <f t="shared" si="80"/>
        <v/>
      </c>
      <c r="L474" s="47" t="str">
        <f t="shared" si="73"/>
        <v/>
      </c>
      <c r="S474" s="55">
        <f t="shared" si="74"/>
        <v>8.2142857142857135</v>
      </c>
      <c r="T474" s="39">
        <f t="shared" si="75"/>
        <v>0.16191304347826088</v>
      </c>
    </row>
    <row r="475" spans="1:20" x14ac:dyDescent="0.15">
      <c r="A475" s="12"/>
      <c r="B475" s="13"/>
      <c r="C475" s="13"/>
      <c r="D475" s="13"/>
      <c r="E475" s="14"/>
      <c r="F475" s="6" t="str">
        <f t="shared" si="77"/>
        <v/>
      </c>
      <c r="G475" s="6" t="str">
        <f t="shared" si="78"/>
        <v/>
      </c>
      <c r="H475" s="6" t="str">
        <f t="shared" si="72"/>
        <v/>
      </c>
      <c r="I475" s="7" t="str">
        <f t="shared" si="79"/>
        <v/>
      </c>
      <c r="J475" s="7" t="str">
        <f t="shared" si="76"/>
        <v/>
      </c>
      <c r="K475" s="7" t="str">
        <f t="shared" si="80"/>
        <v/>
      </c>
      <c r="L475" s="47" t="str">
        <f t="shared" si="73"/>
        <v/>
      </c>
      <c r="S475" s="55">
        <f t="shared" si="74"/>
        <v>8.2142857142857135</v>
      </c>
      <c r="T475" s="39">
        <f t="shared" si="75"/>
        <v>0.16191304347826088</v>
      </c>
    </row>
    <row r="476" spans="1:20" x14ac:dyDescent="0.15">
      <c r="A476" s="12"/>
      <c r="B476" s="13"/>
      <c r="C476" s="13"/>
      <c r="D476" s="13"/>
      <c r="E476" s="14"/>
      <c r="F476" s="6" t="str">
        <f t="shared" si="77"/>
        <v/>
      </c>
      <c r="G476" s="6" t="str">
        <f t="shared" si="78"/>
        <v/>
      </c>
      <c r="H476" s="6" t="str">
        <f t="shared" si="72"/>
        <v/>
      </c>
      <c r="I476" s="7" t="str">
        <f t="shared" si="79"/>
        <v/>
      </c>
      <c r="J476" s="7" t="str">
        <f t="shared" si="76"/>
        <v/>
      </c>
      <c r="K476" s="7" t="str">
        <f t="shared" si="80"/>
        <v/>
      </c>
      <c r="L476" s="47" t="str">
        <f t="shared" si="73"/>
        <v/>
      </c>
      <c r="S476" s="55">
        <f t="shared" si="74"/>
        <v>8.2142857142857135</v>
      </c>
      <c r="T476" s="39">
        <f t="shared" si="75"/>
        <v>0.16191304347826088</v>
      </c>
    </row>
    <row r="477" spans="1:20" x14ac:dyDescent="0.15">
      <c r="A477" s="12"/>
      <c r="B477" s="13"/>
      <c r="C477" s="13"/>
      <c r="D477" s="13"/>
      <c r="E477" s="14"/>
      <c r="F477" s="6" t="str">
        <f t="shared" si="77"/>
        <v/>
      </c>
      <c r="G477" s="6" t="str">
        <f t="shared" si="78"/>
        <v/>
      </c>
      <c r="H477" s="6" t="str">
        <f t="shared" si="72"/>
        <v/>
      </c>
      <c r="I477" s="7" t="str">
        <f t="shared" si="79"/>
        <v/>
      </c>
      <c r="J477" s="7" t="str">
        <f t="shared" si="76"/>
        <v/>
      </c>
      <c r="K477" s="7" t="str">
        <f t="shared" si="80"/>
        <v/>
      </c>
      <c r="L477" s="47" t="str">
        <f t="shared" si="73"/>
        <v/>
      </c>
      <c r="S477" s="55">
        <f t="shared" si="74"/>
        <v>8.2142857142857135</v>
      </c>
      <c r="T477" s="39">
        <f t="shared" si="75"/>
        <v>0.16191304347826088</v>
      </c>
    </row>
    <row r="478" spans="1:20" x14ac:dyDescent="0.15">
      <c r="A478" s="12"/>
      <c r="B478" s="13"/>
      <c r="C478" s="13"/>
      <c r="D478" s="13"/>
      <c r="E478" s="14"/>
      <c r="F478" s="6" t="str">
        <f t="shared" si="77"/>
        <v/>
      </c>
      <c r="G478" s="6" t="str">
        <f t="shared" si="78"/>
        <v/>
      </c>
      <c r="H478" s="6" t="str">
        <f t="shared" si="72"/>
        <v/>
      </c>
      <c r="I478" s="7" t="str">
        <f t="shared" si="79"/>
        <v/>
      </c>
      <c r="J478" s="7" t="str">
        <f t="shared" si="76"/>
        <v/>
      </c>
      <c r="K478" s="7" t="str">
        <f t="shared" si="80"/>
        <v/>
      </c>
      <c r="L478" s="47" t="str">
        <f t="shared" si="73"/>
        <v/>
      </c>
      <c r="S478" s="55">
        <f t="shared" si="74"/>
        <v>8.2142857142857135</v>
      </c>
      <c r="T478" s="39">
        <f t="shared" si="75"/>
        <v>0.16191304347826088</v>
      </c>
    </row>
    <row r="479" spans="1:20" x14ac:dyDescent="0.15">
      <c r="A479" s="12"/>
      <c r="B479" s="13"/>
      <c r="C479" s="13"/>
      <c r="D479" s="13"/>
      <c r="E479" s="14"/>
      <c r="F479" s="6" t="str">
        <f t="shared" si="77"/>
        <v/>
      </c>
      <c r="G479" s="6" t="str">
        <f t="shared" si="78"/>
        <v/>
      </c>
      <c r="H479" s="6" t="str">
        <f t="shared" si="72"/>
        <v/>
      </c>
      <c r="I479" s="7" t="str">
        <f t="shared" si="79"/>
        <v/>
      </c>
      <c r="J479" s="7" t="str">
        <f t="shared" si="76"/>
        <v/>
      </c>
      <c r="K479" s="7" t="str">
        <f t="shared" si="80"/>
        <v/>
      </c>
      <c r="L479" s="47" t="str">
        <f t="shared" si="73"/>
        <v/>
      </c>
      <c r="S479" s="55">
        <f t="shared" si="74"/>
        <v>8.2142857142857135</v>
      </c>
      <c r="T479" s="39">
        <f t="shared" si="75"/>
        <v>0.16191304347826088</v>
      </c>
    </row>
    <row r="480" spans="1:20" x14ac:dyDescent="0.15">
      <c r="A480" s="12"/>
      <c r="B480" s="13"/>
      <c r="C480" s="13"/>
      <c r="D480" s="13"/>
      <c r="E480" s="14"/>
      <c r="F480" s="6" t="str">
        <f t="shared" si="77"/>
        <v/>
      </c>
      <c r="G480" s="6" t="str">
        <f t="shared" si="78"/>
        <v/>
      </c>
      <c r="H480" s="6" t="str">
        <f t="shared" si="72"/>
        <v/>
      </c>
      <c r="I480" s="7" t="str">
        <f t="shared" si="79"/>
        <v/>
      </c>
      <c r="J480" s="7" t="str">
        <f t="shared" si="76"/>
        <v/>
      </c>
      <c r="K480" s="7" t="str">
        <f t="shared" si="80"/>
        <v/>
      </c>
      <c r="L480" s="47" t="str">
        <f t="shared" si="73"/>
        <v/>
      </c>
      <c r="S480" s="55">
        <f t="shared" si="74"/>
        <v>8.2142857142857135</v>
      </c>
      <c r="T480" s="39">
        <f t="shared" si="75"/>
        <v>0.16191304347826088</v>
      </c>
    </row>
    <row r="481" spans="1:20" x14ac:dyDescent="0.15">
      <c r="A481" s="12"/>
      <c r="B481" s="13"/>
      <c r="C481" s="13"/>
      <c r="D481" s="13"/>
      <c r="E481" s="14"/>
      <c r="F481" s="6" t="str">
        <f t="shared" si="77"/>
        <v/>
      </c>
      <c r="G481" s="6" t="str">
        <f t="shared" si="78"/>
        <v/>
      </c>
      <c r="H481" s="6" t="str">
        <f t="shared" si="72"/>
        <v/>
      </c>
      <c r="I481" s="7" t="str">
        <f t="shared" si="79"/>
        <v/>
      </c>
      <c r="J481" s="7" t="str">
        <f t="shared" si="76"/>
        <v/>
      </c>
      <c r="K481" s="7" t="str">
        <f t="shared" si="80"/>
        <v/>
      </c>
      <c r="L481" s="47" t="str">
        <f t="shared" si="73"/>
        <v/>
      </c>
      <c r="S481" s="55">
        <f t="shared" si="74"/>
        <v>8.2142857142857135</v>
      </c>
      <c r="T481" s="39">
        <f t="shared" si="75"/>
        <v>0.16191304347826088</v>
      </c>
    </row>
    <row r="482" spans="1:20" x14ac:dyDescent="0.15">
      <c r="A482" s="12"/>
      <c r="B482" s="13"/>
      <c r="C482" s="13"/>
      <c r="D482" s="13"/>
      <c r="E482" s="14"/>
      <c r="F482" s="6" t="str">
        <f t="shared" si="77"/>
        <v/>
      </c>
      <c r="G482" s="6" t="str">
        <f t="shared" si="78"/>
        <v/>
      </c>
      <c r="H482" s="6" t="str">
        <f t="shared" si="72"/>
        <v/>
      </c>
      <c r="I482" s="7" t="str">
        <f t="shared" si="79"/>
        <v/>
      </c>
      <c r="J482" s="7" t="str">
        <f t="shared" si="76"/>
        <v/>
      </c>
      <c r="K482" s="7" t="str">
        <f t="shared" si="80"/>
        <v/>
      </c>
      <c r="L482" s="47" t="str">
        <f t="shared" si="73"/>
        <v/>
      </c>
      <c r="S482" s="55">
        <f t="shared" si="74"/>
        <v>8.2142857142857135</v>
      </c>
      <c r="T482" s="39">
        <f t="shared" si="75"/>
        <v>0.16191304347826088</v>
      </c>
    </row>
    <row r="483" spans="1:20" x14ac:dyDescent="0.15">
      <c r="A483" s="12"/>
      <c r="B483" s="13"/>
      <c r="C483" s="13"/>
      <c r="D483" s="13"/>
      <c r="E483" s="14"/>
      <c r="F483" s="6" t="str">
        <f t="shared" si="77"/>
        <v/>
      </c>
      <c r="G483" s="6" t="str">
        <f t="shared" si="78"/>
        <v/>
      </c>
      <c r="H483" s="6" t="str">
        <f t="shared" si="72"/>
        <v/>
      </c>
      <c r="I483" s="7" t="str">
        <f t="shared" si="79"/>
        <v/>
      </c>
      <c r="J483" s="7" t="str">
        <f t="shared" si="76"/>
        <v/>
      </c>
      <c r="K483" s="7" t="str">
        <f t="shared" si="80"/>
        <v/>
      </c>
      <c r="L483" s="47" t="str">
        <f t="shared" si="73"/>
        <v/>
      </c>
      <c r="S483" s="55">
        <f t="shared" si="74"/>
        <v>8.2142857142857135</v>
      </c>
      <c r="T483" s="39">
        <f t="shared" si="75"/>
        <v>0.16191304347826088</v>
      </c>
    </row>
    <row r="484" spans="1:20" x14ac:dyDescent="0.15">
      <c r="A484" s="12"/>
      <c r="B484" s="13"/>
      <c r="C484" s="13"/>
      <c r="D484" s="13"/>
      <c r="E484" s="14"/>
      <c r="F484" s="6" t="str">
        <f t="shared" si="77"/>
        <v/>
      </c>
      <c r="G484" s="6" t="str">
        <f t="shared" si="78"/>
        <v/>
      </c>
      <c r="H484" s="6" t="str">
        <f t="shared" si="72"/>
        <v/>
      </c>
      <c r="I484" s="7" t="str">
        <f t="shared" si="79"/>
        <v/>
      </c>
      <c r="J484" s="7" t="str">
        <f t="shared" si="76"/>
        <v/>
      </c>
      <c r="K484" s="7" t="str">
        <f t="shared" si="80"/>
        <v/>
      </c>
      <c r="L484" s="47" t="str">
        <f t="shared" si="73"/>
        <v/>
      </c>
      <c r="S484" s="55">
        <f t="shared" si="74"/>
        <v>8.2142857142857135</v>
      </c>
      <c r="T484" s="39">
        <f t="shared" si="75"/>
        <v>0.16191304347826088</v>
      </c>
    </row>
    <row r="485" spans="1:20" x14ac:dyDescent="0.15">
      <c r="A485" s="12"/>
      <c r="B485" s="13"/>
      <c r="C485" s="13"/>
      <c r="D485" s="13"/>
      <c r="E485" s="14"/>
      <c r="F485" s="6" t="str">
        <f t="shared" si="77"/>
        <v/>
      </c>
      <c r="G485" s="6" t="str">
        <f t="shared" si="78"/>
        <v/>
      </c>
      <c r="H485" s="6" t="str">
        <f t="shared" si="72"/>
        <v/>
      </c>
      <c r="I485" s="7" t="str">
        <f t="shared" si="79"/>
        <v/>
      </c>
      <c r="J485" s="7" t="str">
        <f t="shared" si="76"/>
        <v/>
      </c>
      <c r="K485" s="7" t="str">
        <f t="shared" si="80"/>
        <v/>
      </c>
      <c r="L485" s="47" t="str">
        <f t="shared" si="73"/>
        <v/>
      </c>
      <c r="S485" s="55">
        <f t="shared" si="74"/>
        <v>8.2142857142857135</v>
      </c>
      <c r="T485" s="39">
        <f t="shared" si="75"/>
        <v>0.16191304347826088</v>
      </c>
    </row>
    <row r="486" spans="1:20" x14ac:dyDescent="0.15">
      <c r="A486" s="12"/>
      <c r="B486" s="13"/>
      <c r="C486" s="13"/>
      <c r="D486" s="13"/>
      <c r="E486" s="14"/>
      <c r="F486" s="6" t="str">
        <f t="shared" si="77"/>
        <v/>
      </c>
      <c r="G486" s="6" t="str">
        <f t="shared" si="78"/>
        <v/>
      </c>
      <c r="H486" s="6" t="str">
        <f t="shared" si="72"/>
        <v/>
      </c>
      <c r="I486" s="7" t="str">
        <f t="shared" si="79"/>
        <v/>
      </c>
      <c r="J486" s="7" t="str">
        <f t="shared" si="76"/>
        <v/>
      </c>
      <c r="K486" s="7" t="str">
        <f t="shared" si="80"/>
        <v/>
      </c>
      <c r="L486" s="47" t="str">
        <f t="shared" si="73"/>
        <v/>
      </c>
      <c r="S486" s="55">
        <f t="shared" si="74"/>
        <v>8.2142857142857135</v>
      </c>
      <c r="T486" s="39">
        <f t="shared" si="75"/>
        <v>0.16191304347826088</v>
      </c>
    </row>
    <row r="487" spans="1:20" x14ac:dyDescent="0.15">
      <c r="A487" s="12"/>
      <c r="B487" s="13"/>
      <c r="C487" s="13"/>
      <c r="D487" s="13"/>
      <c r="E487" s="14"/>
      <c r="F487" s="6" t="str">
        <f t="shared" si="77"/>
        <v/>
      </c>
      <c r="G487" s="6" t="str">
        <f t="shared" si="78"/>
        <v/>
      </c>
      <c r="H487" s="6" t="str">
        <f t="shared" si="72"/>
        <v/>
      </c>
      <c r="I487" s="7" t="str">
        <f t="shared" si="79"/>
        <v/>
      </c>
      <c r="J487" s="7" t="str">
        <f t="shared" si="76"/>
        <v/>
      </c>
      <c r="K487" s="7" t="str">
        <f t="shared" si="80"/>
        <v/>
      </c>
      <c r="L487" s="47" t="str">
        <f t="shared" si="73"/>
        <v/>
      </c>
      <c r="S487" s="55">
        <f t="shared" si="74"/>
        <v>8.2142857142857135</v>
      </c>
      <c r="T487" s="39">
        <f t="shared" si="75"/>
        <v>0.16191304347826088</v>
      </c>
    </row>
    <row r="488" spans="1:20" x14ac:dyDescent="0.15">
      <c r="A488" s="12"/>
      <c r="B488" s="13"/>
      <c r="C488" s="13"/>
      <c r="D488" s="13"/>
      <c r="E488" s="14"/>
      <c r="F488" s="6" t="str">
        <f t="shared" si="77"/>
        <v/>
      </c>
      <c r="G488" s="6" t="str">
        <f t="shared" si="78"/>
        <v/>
      </c>
      <c r="H488" s="6" t="str">
        <f t="shared" si="72"/>
        <v/>
      </c>
      <c r="I488" s="7" t="str">
        <f t="shared" si="79"/>
        <v/>
      </c>
      <c r="J488" s="7" t="str">
        <f t="shared" si="76"/>
        <v/>
      </c>
      <c r="K488" s="7" t="str">
        <f t="shared" si="80"/>
        <v/>
      </c>
      <c r="L488" s="47" t="str">
        <f t="shared" si="73"/>
        <v/>
      </c>
      <c r="S488" s="55">
        <f t="shared" si="74"/>
        <v>8.2142857142857135</v>
      </c>
      <c r="T488" s="39">
        <f t="shared" si="75"/>
        <v>0.16191304347826088</v>
      </c>
    </row>
    <row r="489" spans="1:20" x14ac:dyDescent="0.15">
      <c r="A489" s="12"/>
      <c r="B489" s="13"/>
      <c r="C489" s="13"/>
      <c r="D489" s="13"/>
      <c r="E489" s="14"/>
      <c r="F489" s="6" t="str">
        <f t="shared" si="77"/>
        <v/>
      </c>
      <c r="G489" s="6" t="str">
        <f t="shared" si="78"/>
        <v/>
      </c>
      <c r="H489" s="6" t="str">
        <f t="shared" si="72"/>
        <v/>
      </c>
      <c r="I489" s="7" t="str">
        <f t="shared" si="79"/>
        <v/>
      </c>
      <c r="J489" s="7" t="str">
        <f t="shared" si="76"/>
        <v/>
      </c>
      <c r="K489" s="7" t="str">
        <f t="shared" si="80"/>
        <v/>
      </c>
      <c r="L489" s="47" t="str">
        <f t="shared" si="73"/>
        <v/>
      </c>
      <c r="S489" s="55">
        <f t="shared" si="74"/>
        <v>8.2142857142857135</v>
      </c>
      <c r="T489" s="39">
        <f t="shared" si="75"/>
        <v>0.16191304347826088</v>
      </c>
    </row>
    <row r="490" spans="1:20" x14ac:dyDescent="0.15">
      <c r="A490" s="12"/>
      <c r="B490" s="13"/>
      <c r="C490" s="13"/>
      <c r="D490" s="13"/>
      <c r="E490" s="14"/>
      <c r="F490" s="6" t="str">
        <f t="shared" si="77"/>
        <v/>
      </c>
      <c r="G490" s="6" t="str">
        <f t="shared" si="78"/>
        <v/>
      </c>
      <c r="H490" s="6" t="str">
        <f t="shared" si="72"/>
        <v/>
      </c>
      <c r="I490" s="7" t="str">
        <f t="shared" si="79"/>
        <v/>
      </c>
      <c r="J490" s="7" t="str">
        <f t="shared" si="76"/>
        <v/>
      </c>
      <c r="K490" s="7" t="str">
        <f t="shared" si="80"/>
        <v/>
      </c>
      <c r="L490" s="47" t="str">
        <f t="shared" si="73"/>
        <v/>
      </c>
      <c r="S490" s="55">
        <f t="shared" si="74"/>
        <v>8.2142857142857135</v>
      </c>
      <c r="T490" s="39">
        <f t="shared" si="75"/>
        <v>0.16191304347826088</v>
      </c>
    </row>
    <row r="491" spans="1:20" x14ac:dyDescent="0.15">
      <c r="A491" s="12"/>
      <c r="B491" s="13"/>
      <c r="C491" s="13"/>
      <c r="D491" s="13"/>
      <c r="E491" s="14"/>
      <c r="F491" s="6" t="str">
        <f t="shared" si="77"/>
        <v/>
      </c>
      <c r="G491" s="6" t="str">
        <f t="shared" si="78"/>
        <v/>
      </c>
      <c r="H491" s="6" t="str">
        <f t="shared" si="72"/>
        <v/>
      </c>
      <c r="I491" s="7" t="str">
        <f t="shared" si="79"/>
        <v/>
      </c>
      <c r="J491" s="7" t="str">
        <f t="shared" si="76"/>
        <v/>
      </c>
      <c r="K491" s="7" t="str">
        <f t="shared" si="80"/>
        <v/>
      </c>
      <c r="L491" s="47" t="str">
        <f t="shared" si="73"/>
        <v/>
      </c>
      <c r="S491" s="55">
        <f t="shared" si="74"/>
        <v>8.2142857142857135</v>
      </c>
      <c r="T491" s="39">
        <f t="shared" si="75"/>
        <v>0.16191304347826088</v>
      </c>
    </row>
    <row r="492" spans="1:20" x14ac:dyDescent="0.15">
      <c r="A492" s="12"/>
      <c r="B492" s="13"/>
      <c r="C492" s="13"/>
      <c r="D492" s="13"/>
      <c r="E492" s="14"/>
      <c r="F492" s="6" t="str">
        <f t="shared" si="77"/>
        <v/>
      </c>
      <c r="G492" s="6" t="str">
        <f t="shared" si="78"/>
        <v/>
      </c>
      <c r="H492" s="6" t="str">
        <f t="shared" si="72"/>
        <v/>
      </c>
      <c r="I492" s="7" t="str">
        <f t="shared" si="79"/>
        <v/>
      </c>
      <c r="J492" s="7" t="str">
        <f t="shared" si="76"/>
        <v/>
      </c>
      <c r="K492" s="7" t="str">
        <f t="shared" si="80"/>
        <v/>
      </c>
      <c r="L492" s="47" t="str">
        <f t="shared" si="73"/>
        <v/>
      </c>
      <c r="S492" s="55">
        <f t="shared" si="74"/>
        <v>8.2142857142857135</v>
      </c>
      <c r="T492" s="39">
        <f t="shared" si="75"/>
        <v>0.16191304347826088</v>
      </c>
    </row>
    <row r="493" spans="1:20" x14ac:dyDescent="0.15">
      <c r="A493" s="12"/>
      <c r="B493" s="13"/>
      <c r="C493" s="13"/>
      <c r="D493" s="13"/>
      <c r="E493" s="14"/>
      <c r="F493" s="6" t="str">
        <f t="shared" si="77"/>
        <v/>
      </c>
      <c r="G493" s="6" t="str">
        <f t="shared" si="78"/>
        <v/>
      </c>
      <c r="H493" s="6" t="str">
        <f t="shared" si="72"/>
        <v/>
      </c>
      <c r="I493" s="7" t="str">
        <f t="shared" si="79"/>
        <v/>
      </c>
      <c r="J493" s="7" t="str">
        <f t="shared" si="76"/>
        <v/>
      </c>
      <c r="K493" s="7" t="str">
        <f t="shared" si="80"/>
        <v/>
      </c>
      <c r="L493" s="47" t="str">
        <f t="shared" si="73"/>
        <v/>
      </c>
      <c r="S493" s="55">
        <f t="shared" si="74"/>
        <v>8.2142857142857135</v>
      </c>
      <c r="T493" s="39">
        <f t="shared" si="75"/>
        <v>0.16191304347826088</v>
      </c>
    </row>
    <row r="494" spans="1:20" x14ac:dyDescent="0.15">
      <c r="A494" s="12"/>
      <c r="B494" s="13"/>
      <c r="C494" s="13"/>
      <c r="D494" s="13"/>
      <c r="E494" s="14"/>
      <c r="F494" s="6" t="str">
        <f t="shared" si="77"/>
        <v/>
      </c>
      <c r="G494" s="6" t="str">
        <f t="shared" si="78"/>
        <v/>
      </c>
      <c r="H494" s="6" t="str">
        <f t="shared" si="72"/>
        <v/>
      </c>
      <c r="I494" s="7" t="str">
        <f t="shared" si="79"/>
        <v/>
      </c>
      <c r="J494" s="7" t="str">
        <f t="shared" si="76"/>
        <v/>
      </c>
      <c r="K494" s="7" t="str">
        <f t="shared" si="80"/>
        <v/>
      </c>
      <c r="L494" s="47" t="str">
        <f t="shared" si="73"/>
        <v/>
      </c>
      <c r="S494" s="55">
        <f t="shared" si="74"/>
        <v>8.2142857142857135</v>
      </c>
      <c r="T494" s="39">
        <f t="shared" si="75"/>
        <v>0.16191304347826088</v>
      </c>
    </row>
    <row r="495" spans="1:20" x14ac:dyDescent="0.15">
      <c r="A495" s="12"/>
      <c r="B495" s="13"/>
      <c r="C495" s="13"/>
      <c r="D495" s="13"/>
      <c r="E495" s="14"/>
      <c r="F495" s="6" t="str">
        <f t="shared" si="77"/>
        <v/>
      </c>
      <c r="G495" s="6" t="str">
        <f t="shared" si="78"/>
        <v/>
      </c>
      <c r="H495" s="6" t="str">
        <f t="shared" si="72"/>
        <v/>
      </c>
      <c r="I495" s="7" t="str">
        <f t="shared" si="79"/>
        <v/>
      </c>
      <c r="J495" s="7" t="str">
        <f t="shared" si="76"/>
        <v/>
      </c>
      <c r="K495" s="7" t="str">
        <f t="shared" si="80"/>
        <v/>
      </c>
      <c r="L495" s="47" t="str">
        <f t="shared" si="73"/>
        <v/>
      </c>
      <c r="S495" s="55">
        <f t="shared" si="74"/>
        <v>8.2142857142857135</v>
      </c>
      <c r="T495" s="39">
        <f t="shared" si="75"/>
        <v>0.16191304347826088</v>
      </c>
    </row>
    <row r="496" spans="1:20" x14ac:dyDescent="0.15">
      <c r="A496" s="12"/>
      <c r="B496" s="13"/>
      <c r="C496" s="13"/>
      <c r="D496" s="13"/>
      <c r="E496" s="14"/>
      <c r="F496" s="6" t="str">
        <f t="shared" si="77"/>
        <v/>
      </c>
      <c r="G496" s="6" t="str">
        <f t="shared" si="78"/>
        <v/>
      </c>
      <c r="H496" s="6" t="str">
        <f t="shared" si="72"/>
        <v/>
      </c>
      <c r="I496" s="7" t="str">
        <f t="shared" si="79"/>
        <v/>
      </c>
      <c r="J496" s="7" t="str">
        <f t="shared" si="76"/>
        <v/>
      </c>
      <c r="K496" s="7" t="str">
        <f t="shared" si="80"/>
        <v/>
      </c>
      <c r="L496" s="47" t="str">
        <f t="shared" si="73"/>
        <v/>
      </c>
      <c r="S496" s="55">
        <f t="shared" si="74"/>
        <v>8.2142857142857135</v>
      </c>
      <c r="T496" s="39">
        <f t="shared" si="75"/>
        <v>0.16191304347826088</v>
      </c>
    </row>
    <row r="497" spans="1:20" x14ac:dyDescent="0.15">
      <c r="A497" s="12"/>
      <c r="B497" s="13"/>
      <c r="C497" s="13"/>
      <c r="D497" s="13"/>
      <c r="E497" s="14"/>
      <c r="F497" s="6" t="str">
        <f t="shared" si="77"/>
        <v/>
      </c>
      <c r="G497" s="6" t="str">
        <f t="shared" si="78"/>
        <v/>
      </c>
      <c r="H497" s="6" t="str">
        <f t="shared" si="72"/>
        <v/>
      </c>
      <c r="I497" s="7" t="str">
        <f t="shared" si="79"/>
        <v/>
      </c>
      <c r="J497" s="7" t="str">
        <f t="shared" si="76"/>
        <v/>
      </c>
      <c r="K497" s="7" t="str">
        <f t="shared" si="80"/>
        <v/>
      </c>
      <c r="L497" s="47" t="str">
        <f t="shared" si="73"/>
        <v/>
      </c>
      <c r="S497" s="55">
        <f t="shared" si="74"/>
        <v>8.2142857142857135</v>
      </c>
      <c r="T497" s="39">
        <f t="shared" si="75"/>
        <v>0.16191304347826088</v>
      </c>
    </row>
    <row r="498" spans="1:20" x14ac:dyDescent="0.15">
      <c r="A498" s="12"/>
      <c r="B498" s="13"/>
      <c r="C498" s="13"/>
      <c r="D498" s="13"/>
      <c r="E498" s="14"/>
      <c r="F498" s="6" t="str">
        <f t="shared" si="77"/>
        <v/>
      </c>
      <c r="G498" s="6" t="str">
        <f t="shared" si="78"/>
        <v/>
      </c>
      <c r="H498" s="6" t="str">
        <f t="shared" si="72"/>
        <v/>
      </c>
      <c r="I498" s="7" t="str">
        <f t="shared" si="79"/>
        <v/>
      </c>
      <c r="J498" s="7" t="str">
        <f t="shared" si="76"/>
        <v/>
      </c>
      <c r="K498" s="7" t="str">
        <f t="shared" si="80"/>
        <v/>
      </c>
      <c r="L498" s="47" t="str">
        <f t="shared" si="73"/>
        <v/>
      </c>
      <c r="S498" s="55">
        <f t="shared" si="74"/>
        <v>8.2142857142857135</v>
      </c>
      <c r="T498" s="39">
        <f t="shared" si="75"/>
        <v>0.16191304347826088</v>
      </c>
    </row>
    <row r="499" spans="1:20" x14ac:dyDescent="0.15">
      <c r="A499" s="12"/>
      <c r="B499" s="13"/>
      <c r="C499" s="13"/>
      <c r="D499" s="13"/>
      <c r="E499" s="14"/>
      <c r="F499" s="6" t="str">
        <f t="shared" si="77"/>
        <v/>
      </c>
      <c r="G499" s="6" t="str">
        <f t="shared" si="78"/>
        <v/>
      </c>
      <c r="H499" s="6" t="str">
        <f t="shared" si="72"/>
        <v/>
      </c>
      <c r="I499" s="7" t="str">
        <f t="shared" si="79"/>
        <v/>
      </c>
      <c r="J499" s="7" t="str">
        <f t="shared" si="76"/>
        <v/>
      </c>
      <c r="K499" s="7" t="str">
        <f t="shared" si="80"/>
        <v/>
      </c>
      <c r="L499" s="47" t="str">
        <f t="shared" si="73"/>
        <v/>
      </c>
      <c r="S499" s="55">
        <f t="shared" si="74"/>
        <v>8.2142857142857135</v>
      </c>
      <c r="T499" s="39">
        <f t="shared" si="75"/>
        <v>0.16191304347826088</v>
      </c>
    </row>
    <row r="500" spans="1:20" x14ac:dyDescent="0.15">
      <c r="A500" s="12"/>
      <c r="B500" s="13"/>
      <c r="C500" s="13"/>
      <c r="D500" s="13"/>
      <c r="E500" s="14"/>
      <c r="F500" s="6" t="str">
        <f t="shared" si="77"/>
        <v/>
      </c>
      <c r="G500" s="6" t="str">
        <f t="shared" si="78"/>
        <v/>
      </c>
      <c r="H500" s="6" t="str">
        <f t="shared" si="72"/>
        <v/>
      </c>
      <c r="I500" s="7" t="str">
        <f t="shared" si="79"/>
        <v/>
      </c>
      <c r="J500" s="7" t="str">
        <f t="shared" si="76"/>
        <v/>
      </c>
      <c r="K500" s="7" t="str">
        <f t="shared" si="80"/>
        <v/>
      </c>
      <c r="L500" s="47" t="str">
        <f t="shared" si="73"/>
        <v/>
      </c>
      <c r="S500" s="55">
        <f t="shared" si="74"/>
        <v>8.2142857142857135</v>
      </c>
      <c r="T500" s="39">
        <f t="shared" si="75"/>
        <v>0.16191304347826088</v>
      </c>
    </row>
    <row r="501" spans="1:20" x14ac:dyDescent="0.15">
      <c r="A501" s="12"/>
      <c r="B501" s="13"/>
      <c r="C501" s="13"/>
      <c r="D501" s="13"/>
      <c r="E501" s="14"/>
      <c r="F501" s="6" t="str">
        <f t="shared" si="77"/>
        <v/>
      </c>
      <c r="G501" s="6" t="str">
        <f t="shared" si="78"/>
        <v/>
      </c>
      <c r="H501" s="6" t="str">
        <f t="shared" si="72"/>
        <v/>
      </c>
      <c r="I501" s="7" t="str">
        <f t="shared" si="79"/>
        <v/>
      </c>
      <c r="J501" s="7" t="str">
        <f t="shared" si="76"/>
        <v/>
      </c>
      <c r="K501" s="7" t="str">
        <f t="shared" si="80"/>
        <v/>
      </c>
      <c r="L501" s="47" t="str">
        <f t="shared" si="73"/>
        <v/>
      </c>
      <c r="S501" s="55">
        <f t="shared" si="74"/>
        <v>8.2142857142857135</v>
      </c>
      <c r="T501" s="39">
        <f t="shared" si="75"/>
        <v>0.16191304347826088</v>
      </c>
    </row>
    <row r="502" spans="1:20" x14ac:dyDescent="0.15">
      <c r="A502" s="12"/>
      <c r="B502" s="13"/>
      <c r="C502" s="13"/>
      <c r="D502" s="13"/>
      <c r="E502" s="14"/>
      <c r="F502" s="6" t="str">
        <f t="shared" si="77"/>
        <v/>
      </c>
      <c r="G502" s="6" t="str">
        <f t="shared" si="78"/>
        <v/>
      </c>
      <c r="H502" s="6" t="str">
        <f t="shared" si="72"/>
        <v/>
      </c>
      <c r="I502" s="7" t="str">
        <f t="shared" si="79"/>
        <v/>
      </c>
      <c r="J502" s="7" t="str">
        <f t="shared" si="76"/>
        <v/>
      </c>
      <c r="K502" s="7" t="str">
        <f t="shared" si="80"/>
        <v/>
      </c>
      <c r="L502" s="47" t="str">
        <f t="shared" si="73"/>
        <v/>
      </c>
      <c r="S502" s="55">
        <f t="shared" si="74"/>
        <v>8.2142857142857135</v>
      </c>
      <c r="T502" s="39">
        <f t="shared" si="75"/>
        <v>0.16191304347826088</v>
      </c>
    </row>
    <row r="503" spans="1:20" x14ac:dyDescent="0.15">
      <c r="A503" s="12"/>
      <c r="B503" s="13"/>
      <c r="C503" s="13"/>
      <c r="D503" s="13"/>
      <c r="E503" s="14"/>
      <c r="F503" s="6" t="str">
        <f t="shared" si="77"/>
        <v/>
      </c>
      <c r="G503" s="6" t="str">
        <f t="shared" si="78"/>
        <v/>
      </c>
      <c r="H503" s="6" t="str">
        <f t="shared" si="72"/>
        <v/>
      </c>
      <c r="I503" s="7" t="str">
        <f t="shared" si="79"/>
        <v/>
      </c>
      <c r="J503" s="7" t="str">
        <f t="shared" si="76"/>
        <v/>
      </c>
      <c r="K503" s="7" t="str">
        <f t="shared" si="80"/>
        <v/>
      </c>
      <c r="L503" s="47" t="str">
        <f t="shared" si="73"/>
        <v/>
      </c>
      <c r="S503" s="55">
        <f t="shared" si="74"/>
        <v>8.2142857142857135</v>
      </c>
      <c r="T503" s="39">
        <f t="shared" si="75"/>
        <v>0.16191304347826088</v>
      </c>
    </row>
    <row r="504" spans="1:20" x14ac:dyDescent="0.15">
      <c r="A504" s="12"/>
      <c r="B504" s="13"/>
      <c r="C504" s="13"/>
      <c r="D504" s="13"/>
      <c r="E504" s="14"/>
      <c r="F504" s="6" t="str">
        <f t="shared" si="77"/>
        <v/>
      </c>
      <c r="G504" s="6" t="str">
        <f t="shared" si="78"/>
        <v/>
      </c>
      <c r="H504" s="6" t="str">
        <f t="shared" si="72"/>
        <v/>
      </c>
      <c r="I504" s="7" t="str">
        <f t="shared" si="79"/>
        <v/>
      </c>
      <c r="J504" s="7" t="str">
        <f t="shared" si="76"/>
        <v/>
      </c>
      <c r="K504" s="7" t="str">
        <f t="shared" si="80"/>
        <v/>
      </c>
      <c r="L504" s="47" t="str">
        <f t="shared" si="73"/>
        <v/>
      </c>
      <c r="S504" s="55">
        <f t="shared" si="74"/>
        <v>8.2142857142857135</v>
      </c>
      <c r="T504" s="39">
        <f t="shared" si="75"/>
        <v>0.16191304347826088</v>
      </c>
    </row>
    <row r="505" spans="1:20" x14ac:dyDescent="0.15">
      <c r="A505" s="12"/>
      <c r="B505" s="13"/>
      <c r="C505" s="13"/>
      <c r="D505" s="13"/>
      <c r="E505" s="14"/>
      <c r="F505" s="6" t="str">
        <f t="shared" si="77"/>
        <v/>
      </c>
      <c r="G505" s="6" t="str">
        <f t="shared" si="78"/>
        <v/>
      </c>
      <c r="H505" s="6" t="str">
        <f t="shared" si="72"/>
        <v/>
      </c>
      <c r="I505" s="7" t="str">
        <f t="shared" si="79"/>
        <v/>
      </c>
      <c r="J505" s="7" t="str">
        <f t="shared" si="76"/>
        <v/>
      </c>
      <c r="K505" s="7" t="str">
        <f t="shared" si="80"/>
        <v/>
      </c>
      <c r="L505" s="47" t="str">
        <f t="shared" si="73"/>
        <v/>
      </c>
      <c r="S505" s="55">
        <f t="shared" si="74"/>
        <v>8.2142857142857135</v>
      </c>
      <c r="T505" s="39">
        <f t="shared" si="75"/>
        <v>0.16191304347826088</v>
      </c>
    </row>
    <row r="506" spans="1:20" ht="13.5" thickBot="1" x14ac:dyDescent="0.2">
      <c r="A506" s="15"/>
      <c r="B506" s="16"/>
      <c r="C506" s="16"/>
      <c r="D506" s="16"/>
      <c r="E506" s="17"/>
      <c r="F506" s="8" t="str">
        <f t="shared" si="77"/>
        <v/>
      </c>
      <c r="G506" s="8" t="str">
        <f t="shared" si="78"/>
        <v/>
      </c>
      <c r="H506" s="8" t="str">
        <f t="shared" si="72"/>
        <v/>
      </c>
      <c r="I506" s="9" t="str">
        <f t="shared" si="79"/>
        <v/>
      </c>
      <c r="J506" s="9" t="str">
        <f t="shared" si="76"/>
        <v/>
      </c>
      <c r="K506" s="9" t="str">
        <f t="shared" si="80"/>
        <v/>
      </c>
      <c r="L506" s="47" t="str">
        <f t="shared" si="73"/>
        <v/>
      </c>
      <c r="S506" s="56">
        <f t="shared" si="74"/>
        <v>8.2142857142857135</v>
      </c>
      <c r="T506" s="48">
        <f t="shared" si="75"/>
        <v>0.16191304347826088</v>
      </c>
    </row>
    <row r="578" spans="14:14" x14ac:dyDescent="0.15">
      <c r="N578" s="37" t="s">
        <v>41</v>
      </c>
    </row>
  </sheetData>
  <sheetProtection sheet="1" objects="1" scenarios="1"/>
  <mergeCells count="2">
    <mergeCell ref="I4:K4"/>
    <mergeCell ref="F4:G4"/>
  </mergeCells>
  <dataValidations disablePrompts="1" count="1">
    <dataValidation type="list" allowBlank="1" showInputMessage="1" showErrorMessage="1" sqref="E6:E506" xr:uid="{00000000-0002-0000-0100-000000000000}">
      <formula1>"Sim,Não"</formula1>
    </dataValidation>
  </dataValidations>
  <hyperlinks>
    <hyperlink ref="N80" r:id="rId1" xr:uid="{00000000-0004-0000-0100-000000000000}"/>
  </hyperlinks>
  <pageMargins left="0.25" right="0.25" top="0.75" bottom="0.75" header="0.3" footer="0.3"/>
  <pageSetup paperSize="9" orientation="landscape" horizontalDpi="300" verticalDpi="30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INSTRUÇÕES</vt:lpstr>
      <vt:lpstr>CALCULO</vt:lpstr>
      <vt:lpstr>CALCULO!Area_de_impressao</vt:lpstr>
    </vt:vector>
  </TitlesOfParts>
  <LinksUpToDate>false</LinksUpToDate>
  <SharedDoc>false</SharedDoc>
  <HyperlinkBase>http://www.danbp.org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Cálculo do consumo de combustível de veículos</dc:title>
  <dc:creator>Daniel Brooke Peig</dc:creator>
  <cp:keywords>gasolina, alcool, flex, etanol, diesel, planilha, autonomia, consumo, distância</cp:keywords>
  <dc:description>O objetivo desta planilha é o cálculo do consumo de combustível do veículo de uma forma prática e rápida. É aplicável a qualquer veículo automotor (carros, caminhões, motos e barcos). Para maiores informações visite: www.danbp.org</dc:description>
  <cp:lastModifiedBy>X</cp:lastModifiedBy>
  <cp:lastPrinted>2010-12-19T14:53:17Z</cp:lastPrinted>
  <dcterms:created xsi:type="dcterms:W3CDTF">2010-12-19T12:33:24Z</dcterms:created>
  <dcterms:modified xsi:type="dcterms:W3CDTF">2018-09-14T15:43:58Z</dcterms:modified>
  <cp:category>Utilitários</cp:category>
  <cp:contentStatus>Final</cp:contentStatus>
</cp:coreProperties>
</file>