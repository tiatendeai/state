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xr:revisionPtr revIDLastSave="0" documentId="13_ncr:1000001_{F5B07591-8541-034C-B9D7-6D4012028E9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1" l="1"/>
  <c r="D5" i="1"/>
  <c r="C7" i="1"/>
  <c r="C8" i="1"/>
  <c r="D8" i="1"/>
  <c r="D6" i="1"/>
  <c r="D7" i="1"/>
  <c r="D9" i="1"/>
  <c r="C14" i="1"/>
  <c r="C9" i="1"/>
  <c r="C23" i="1"/>
  <c r="C24" i="1"/>
  <c r="D24" i="1"/>
  <c r="C26" i="1"/>
  <c r="C27" i="1"/>
  <c r="D27" i="1"/>
  <c r="C17" i="1"/>
  <c r="C20" i="1"/>
  <c r="C21" i="1"/>
  <c r="D21" i="1"/>
  <c r="E21" i="1"/>
  <c r="E24" i="1"/>
  <c r="E27" i="1"/>
  <c r="F21" i="1"/>
  <c r="G20" i="1"/>
  <c r="F24" i="1"/>
  <c r="G23" i="1"/>
  <c r="F27" i="1"/>
  <c r="G26" i="1"/>
  <c r="G27" i="1"/>
  <c r="H27" i="1"/>
  <c r="I27" i="1"/>
  <c r="J27" i="1"/>
  <c r="C18" i="1"/>
  <c r="D18" i="1"/>
  <c r="E18" i="1"/>
  <c r="F18" i="1"/>
  <c r="G17" i="1"/>
  <c r="G24" i="1"/>
  <c r="H24" i="1"/>
  <c r="I24" i="1"/>
  <c r="J24" i="1"/>
  <c r="G21" i="1"/>
  <c r="H21" i="1"/>
  <c r="I21" i="1"/>
  <c r="J21" i="1"/>
  <c r="G18" i="1"/>
  <c r="H18" i="1"/>
  <c r="I18" i="1"/>
  <c r="J18" i="1"/>
  <c r="J28" i="1"/>
</calcChain>
</file>

<file path=xl/sharedStrings.xml><?xml version="1.0" encoding="utf-8"?>
<sst xmlns="http://schemas.openxmlformats.org/spreadsheetml/2006/main" count="24" uniqueCount="22">
  <si>
    <t>Calculo</t>
  </si>
  <si>
    <t>Valor descontado</t>
  </si>
  <si>
    <t>Base INSS</t>
  </si>
  <si>
    <t>Tipo</t>
  </si>
  <si>
    <t>Total</t>
  </si>
  <si>
    <t>*** Neste campo informar o base de INSS da folha.</t>
  </si>
  <si>
    <t>Faixas</t>
  </si>
  <si>
    <t>Base de Cálculo</t>
  </si>
  <si>
    <t>Dependentes</t>
  </si>
  <si>
    <t>Alíquota DARF</t>
  </si>
  <si>
    <t>Valor de IR</t>
  </si>
  <si>
    <t>Base de Cálculo de IR</t>
  </si>
  <si>
    <t>Valor de INSS Base de Cálculo</t>
  </si>
  <si>
    <t>Contato</t>
  </si>
  <si>
    <t xml:space="preserve">11 94779 6708 </t>
  </si>
  <si>
    <t>fsrfernando1985@gmail.com</t>
  </si>
  <si>
    <t>Elaborado por Fernando Lima</t>
  </si>
  <si>
    <t>*** Neste campo informar a quantidade de Dependentes</t>
  </si>
  <si>
    <t>Faixa 1 - 1.045,00</t>
  </si>
  <si>
    <t>Faixa 2 - 2.089,60</t>
  </si>
  <si>
    <t>Faixa 3 - 3.134,40</t>
  </si>
  <si>
    <t>Faixa 4 - 6.101,06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</si>
</sst>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 &quot;* #,##0.00_-;\-&quot; &quot;* #,##0.00_-;_-&quot; &quot;* &quot;-&quot;??_-;_-@_-"/>
    <numFmt numFmtId="165" formatCode="_-[$R$-416]* #,##0.00_-;\-[$R$-416]* #,##0.00_-;_-[$R$-416]* &quot;-&quot;??_-;_-@_-"/>
    <numFmt numFmtId="166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0"/>
      <name val="Arial"/>
      <family val="2"/>
    </font>
    <font>
      <i/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color theme="0"/>
      <name val="Arial"/>
      <family val="2"/>
    </font>
    <font>
      <i/>
      <sz val="11"/>
      <color theme="0"/>
      <name val="Calibri"/>
      <family val="2"/>
      <scheme val="minor"/>
    </font>
    <font>
      <b/>
      <i/>
      <sz val="10"/>
      <name val="Arial"/>
      <family val="2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5">
    <xf numFmtId="0" fontId="0" fillId="0" borderId="0" xfId="0"/>
    <xf numFmtId="0" fontId="5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4" fillId="0" borderId="1" xfId="0" applyFont="1" applyBorder="1" applyProtection="1">
      <protection hidden="1"/>
    </xf>
    <xf numFmtId="0" fontId="6" fillId="0" borderId="1" xfId="0" applyFont="1" applyBorder="1" applyProtection="1">
      <protection hidden="1"/>
    </xf>
    <xf numFmtId="164" fontId="6" fillId="0" borderId="1" xfId="1" applyFont="1" applyBorder="1" applyAlignment="1" applyProtection="1">
      <alignment horizontal="left"/>
      <protection hidden="1"/>
    </xf>
    <xf numFmtId="164" fontId="6" fillId="0" borderId="1" xfId="1" applyFont="1" applyBorder="1" applyProtection="1">
      <protection hidden="1"/>
    </xf>
    <xf numFmtId="0" fontId="6" fillId="0" borderId="0" xfId="0" applyFont="1" applyProtection="1">
      <protection hidden="1"/>
    </xf>
    <xf numFmtId="165" fontId="4" fillId="0" borderId="1" xfId="0" applyNumberFormat="1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4" fillId="0" borderId="6" xfId="0" applyFont="1" applyBorder="1" applyProtection="1">
      <protection hidden="1"/>
    </xf>
    <xf numFmtId="43" fontId="4" fillId="0" borderId="7" xfId="0" applyNumberFormat="1" applyFont="1" applyBorder="1" applyProtection="1">
      <protection hidden="1"/>
    </xf>
    <xf numFmtId="0" fontId="2" fillId="0" borderId="2" xfId="0" applyNumberFormat="1" applyFont="1" applyFill="1" applyBorder="1" applyAlignment="1" applyProtection="1">
      <alignment vertical="top"/>
      <protection hidden="1"/>
    </xf>
    <xf numFmtId="0" fontId="6" fillId="0" borderId="8" xfId="0" applyFont="1" applyBorder="1" applyProtection="1">
      <protection hidden="1"/>
    </xf>
    <xf numFmtId="0" fontId="2" fillId="0" borderId="8" xfId="0" applyNumberFormat="1" applyFont="1" applyFill="1" applyBorder="1" applyAlignment="1" applyProtection="1">
      <alignment vertical="top"/>
      <protection hidden="1"/>
    </xf>
    <xf numFmtId="0" fontId="2" fillId="0" borderId="3" xfId="0" applyNumberFormat="1" applyFont="1" applyFill="1" applyBorder="1" applyAlignment="1" applyProtection="1">
      <alignment vertical="top"/>
      <protection hidden="1"/>
    </xf>
    <xf numFmtId="0" fontId="3" fillId="0" borderId="4" xfId="0" applyNumberFormat="1" applyFont="1" applyFill="1" applyBorder="1" applyAlignment="1" applyProtection="1">
      <alignment vertical="top"/>
      <protection hidden="1"/>
    </xf>
    <xf numFmtId="0" fontId="9" fillId="2" borderId="1" xfId="0" applyFont="1" applyFill="1" applyBorder="1" applyProtection="1">
      <protection hidden="1"/>
    </xf>
    <xf numFmtId="166" fontId="3" fillId="0" borderId="1" xfId="0" applyNumberFormat="1" applyFont="1" applyFill="1" applyBorder="1" applyAlignment="1" applyProtection="1">
      <alignment vertical="top"/>
      <protection hidden="1"/>
    </xf>
    <xf numFmtId="0" fontId="3" fillId="0" borderId="1" xfId="0" applyNumberFormat="1" applyFont="1" applyFill="1" applyBorder="1" applyAlignment="1" applyProtection="1">
      <alignment vertical="top"/>
      <protection hidden="1"/>
    </xf>
    <xf numFmtId="0" fontId="3" fillId="0" borderId="5" xfId="0" applyNumberFormat="1" applyFont="1" applyFill="1" applyBorder="1" applyAlignment="1" applyProtection="1">
      <alignment vertical="top"/>
      <protection hidden="1"/>
    </xf>
    <xf numFmtId="0" fontId="10" fillId="0" borderId="4" xfId="0" applyNumberFormat="1" applyFont="1" applyFill="1" applyBorder="1" applyAlignment="1" applyProtection="1">
      <alignment vertical="top"/>
      <protection hidden="1"/>
    </xf>
    <xf numFmtId="166" fontId="4" fillId="0" borderId="1" xfId="0" applyNumberFormat="1" applyFont="1" applyBorder="1" applyProtection="1">
      <protection hidden="1"/>
    </xf>
    <xf numFmtId="166" fontId="10" fillId="0" borderId="1" xfId="0" applyNumberFormat="1" applyFont="1" applyFill="1" applyBorder="1" applyAlignment="1" applyProtection="1">
      <alignment vertical="top"/>
      <protection hidden="1"/>
    </xf>
    <xf numFmtId="166" fontId="10" fillId="0" borderId="5" xfId="0" applyNumberFormat="1" applyFont="1" applyFill="1" applyBorder="1" applyAlignment="1" applyProtection="1">
      <alignment vertical="top"/>
      <protection hidden="1"/>
    </xf>
    <xf numFmtId="166" fontId="3" fillId="0" borderId="5" xfId="0" applyNumberFormat="1" applyFont="1" applyFill="1" applyBorder="1" applyAlignment="1" applyProtection="1">
      <alignment vertical="top"/>
      <protection hidden="1"/>
    </xf>
    <xf numFmtId="0" fontId="8" fillId="2" borderId="4" xfId="0" applyNumberFormat="1" applyFont="1" applyFill="1" applyBorder="1" applyAlignment="1" applyProtection="1">
      <alignment vertical="top"/>
      <protection hidden="1"/>
    </xf>
    <xf numFmtId="0" fontId="10" fillId="0" borderId="6" xfId="0" applyNumberFormat="1" applyFont="1" applyFill="1" applyBorder="1" applyAlignment="1" applyProtection="1">
      <alignment vertical="top"/>
      <protection hidden="1"/>
    </xf>
    <xf numFmtId="166" fontId="4" fillId="0" borderId="9" xfId="0" applyNumberFormat="1" applyFont="1" applyBorder="1" applyProtection="1">
      <protection hidden="1"/>
    </xf>
    <xf numFmtId="166" fontId="10" fillId="0" borderId="9" xfId="0" applyNumberFormat="1" applyFont="1" applyFill="1" applyBorder="1" applyAlignment="1" applyProtection="1">
      <alignment vertical="top"/>
      <protection hidden="1"/>
    </xf>
    <xf numFmtId="166" fontId="10" fillId="0" borderId="7" xfId="0" applyNumberFormat="1" applyFont="1" applyFill="1" applyBorder="1" applyAlignment="1" applyProtection="1">
      <alignment vertical="top"/>
      <protection hidden="1"/>
    </xf>
    <xf numFmtId="0" fontId="7" fillId="0" borderId="0" xfId="0" applyFont="1" applyProtection="1">
      <protection hidden="1"/>
    </xf>
    <xf numFmtId="0" fontId="4" fillId="0" borderId="12" xfId="0" applyFont="1" applyBorder="1" applyProtection="1">
      <protection hidden="1"/>
    </xf>
    <xf numFmtId="166" fontId="4" fillId="0" borderId="13" xfId="0" applyNumberFormat="1" applyFont="1" applyBorder="1" applyProtection="1">
      <protection hidden="1"/>
    </xf>
    <xf numFmtId="0" fontId="9" fillId="2" borderId="0" xfId="0" applyFont="1" applyFill="1" applyProtection="1">
      <protection hidden="1"/>
    </xf>
    <xf numFmtId="164" fontId="5" fillId="0" borderId="1" xfId="1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9" fillId="0" borderId="8" xfId="0" applyFont="1" applyBorder="1" applyProtection="1">
      <protection hidden="1"/>
    </xf>
    <xf numFmtId="166" fontId="13" fillId="0" borderId="1" xfId="0" applyNumberFormat="1" applyFont="1" applyBorder="1" applyProtection="1">
      <protection hidden="1"/>
    </xf>
    <xf numFmtId="0" fontId="9" fillId="0" borderId="1" xfId="0" applyFont="1" applyBorder="1" applyProtection="1">
      <protection hidden="1"/>
    </xf>
    <xf numFmtId="166" fontId="13" fillId="0" borderId="9" xfId="0" applyNumberFormat="1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12" fillId="0" borderId="0" xfId="2" applyFont="1" applyAlignment="1" applyProtection="1">
      <alignment horizontal="left" vertical="top"/>
      <protection hidden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fsrfernando198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0"/>
  <sheetViews>
    <sheetView showGridLines="0" tabSelected="1" topLeftCell="A9" workbookViewId="0">
      <selection activeCell="B26" sqref="B26"/>
    </sheetView>
  </sheetViews>
  <sheetFormatPr defaultColWidth="9.14453125" defaultRowHeight="15" x14ac:dyDescent="0.2"/>
  <cols>
    <col min="1" max="1" width="9.14453125" style="7"/>
    <col min="2" max="2" width="28.11328125" style="7" bestFit="1" customWidth="1"/>
    <col min="3" max="3" width="17.484375" style="7" bestFit="1" customWidth="1"/>
    <col min="4" max="4" width="17.21875" style="7" bestFit="1" customWidth="1"/>
    <col min="5" max="5" width="46.8125" style="7" bestFit="1" customWidth="1"/>
    <col min="6" max="7" width="13.85546875" style="7" bestFit="1" customWidth="1"/>
    <col min="8" max="8" width="11.1640625" style="7" bestFit="1" customWidth="1"/>
    <col min="9" max="9" width="14.9296875" style="7" bestFit="1" customWidth="1"/>
    <col min="10" max="10" width="13.85546875" style="7" bestFit="1" customWidth="1"/>
    <col min="11" max="16384" width="9.14453125" style="7"/>
  </cols>
  <sheetData>
    <row r="1" spans="2:10" x14ac:dyDescent="0.2">
      <c r="B1" s="7" t="s">
        <v>16</v>
      </c>
    </row>
    <row r="2" spans="2:10" x14ac:dyDescent="0.2">
      <c r="B2" s="7" t="s">
        <v>13</v>
      </c>
      <c r="C2" s="7" t="s">
        <v>14</v>
      </c>
      <c r="D2" s="44" t="s">
        <v>15</v>
      </c>
      <c r="E2" s="44"/>
    </row>
    <row r="3" spans="2:10" s="2" customFormat="1" x14ac:dyDescent="0.2">
      <c r="B3" s="41" t="s">
        <v>2</v>
      </c>
      <c r="C3" s="41"/>
      <c r="D3" s="35">
        <v>4500</v>
      </c>
      <c r="E3" s="1" t="s">
        <v>5</v>
      </c>
    </row>
    <row r="4" spans="2:10" s="2" customFormat="1" x14ac:dyDescent="0.2">
      <c r="B4" s="3" t="s">
        <v>3</v>
      </c>
      <c r="C4" s="3" t="s">
        <v>0</v>
      </c>
      <c r="D4" s="3" t="s">
        <v>1</v>
      </c>
    </row>
    <row r="5" spans="2:10" x14ac:dyDescent="0.2">
      <c r="B5" s="4" t="s">
        <v>18</v>
      </c>
      <c r="C5" s="5">
        <v>1045</v>
      </c>
      <c r="D5" s="6">
        <f>SUM(C5*7.5%)</f>
        <v>78.375</v>
      </c>
    </row>
    <row r="6" spans="2:10" x14ac:dyDescent="0.2">
      <c r="B6" s="4" t="s">
        <v>19</v>
      </c>
      <c r="C6" s="5">
        <f>IF(D3&lt;=1045,"0",IF(D3&lt;=2089.6,D3-1045,IF(D3&gt;2089.6,2089.6-C5)))</f>
        <v>1044.5999999999999</v>
      </c>
      <c r="D6" s="6">
        <f>SUM(C6*9%)</f>
        <v>94.013999999999982</v>
      </c>
    </row>
    <row r="7" spans="2:10" x14ac:dyDescent="0.2">
      <c r="B7" s="4" t="s">
        <v>20</v>
      </c>
      <c r="C7" s="5">
        <f>IF(D3&lt;=2089.6,"0",IF(D3&lt;=3134.4,D3-C5-C6,IF(D3&gt;3134.4,3134.4-C6-C5)))</f>
        <v>1044.8000000000002</v>
      </c>
      <c r="D7" s="6">
        <f>SUM(C7*12%)</f>
        <v>125.37600000000002</v>
      </c>
    </row>
    <row r="8" spans="2:10" x14ac:dyDescent="0.2">
      <c r="B8" s="4" t="s">
        <v>21</v>
      </c>
      <c r="C8" s="5">
        <f>IF(D3&lt;=3140.41,"0",IF(D3&lt;6101.06,D3-C7-C6-C5,IF(D3&gt;6101.06,6101.06-C7-C6-C5)))</f>
        <v>1365.6</v>
      </c>
      <c r="D8" s="6">
        <f>SUM(C8*14%)</f>
        <v>191.184</v>
      </c>
    </row>
    <row r="9" spans="2:10" x14ac:dyDescent="0.2">
      <c r="B9" s="8" t="s">
        <v>4</v>
      </c>
      <c r="C9" s="8">
        <f>SUM(C5:C8)</f>
        <v>4500</v>
      </c>
      <c r="D9" s="8">
        <f>SUM(D5:D8)</f>
        <v>488.94899999999996</v>
      </c>
    </row>
    <row r="11" spans="2:10" ht="15.75" thickBot="1" x14ac:dyDescent="0.25"/>
    <row r="12" spans="2:10" x14ac:dyDescent="0.2">
      <c r="B12" s="42" t="s">
        <v>11</v>
      </c>
      <c r="C12" s="43"/>
    </row>
    <row r="13" spans="2:10" x14ac:dyDescent="0.2">
      <c r="B13" s="9" t="s">
        <v>8</v>
      </c>
      <c r="C13" s="36">
        <v>0</v>
      </c>
      <c r="D13" s="1" t="s">
        <v>17</v>
      </c>
    </row>
    <row r="14" spans="2:10" ht="15.75" thickBot="1" x14ac:dyDescent="0.25">
      <c r="B14" s="10" t="s">
        <v>12</v>
      </c>
      <c r="C14" s="11">
        <f>$D$3-$D$9</f>
        <v>4011.0509999999999</v>
      </c>
    </row>
    <row r="15" spans="2:10" ht="15.75" thickBot="1" x14ac:dyDescent="0.25"/>
    <row r="16" spans="2:10" x14ac:dyDescent="0.2">
      <c r="B16" s="12" t="s">
        <v>6</v>
      </c>
      <c r="C16" s="37"/>
      <c r="D16" s="13"/>
      <c r="E16" s="14" t="s">
        <v>7</v>
      </c>
      <c r="F16" s="14"/>
      <c r="G16" s="14" t="s">
        <v>8</v>
      </c>
      <c r="H16" s="14"/>
      <c r="I16" s="14" t="s">
        <v>9</v>
      </c>
      <c r="J16" s="15" t="s">
        <v>10</v>
      </c>
    </row>
    <row r="17" spans="2:10" x14ac:dyDescent="0.2">
      <c r="B17" s="16"/>
      <c r="C17" s="17">
        <f>IF($C$14&lt;B18,0,IF(,$C$14&gt;=B18,$C$14))</f>
        <v>4011.0509999999999</v>
      </c>
      <c r="D17" s="4"/>
      <c r="E17" s="18"/>
      <c r="F17" s="19"/>
      <c r="G17" s="19">
        <f>IF(F18=0,0,IF(,F18&lt;0,C13*189.59))</f>
        <v>0</v>
      </c>
      <c r="H17" s="19">
        <v>100</v>
      </c>
      <c r="I17" s="19">
        <v>7.5</v>
      </c>
      <c r="J17" s="20">
        <v>142.80000000000001</v>
      </c>
    </row>
    <row r="18" spans="2:10" x14ac:dyDescent="0.2">
      <c r="B18" s="21">
        <v>1903.99</v>
      </c>
      <c r="C18" s="38">
        <f>IF(,$C$17&lt;=B20,$C$17)</f>
        <v>4011.0509999999999</v>
      </c>
      <c r="D18" s="22">
        <f>IF($C$18&gt;B21,0,IF(,$C$18&lt;=B20,$C$18))</f>
        <v>0</v>
      </c>
      <c r="E18" s="23">
        <f>D18</f>
        <v>0</v>
      </c>
      <c r="F18" s="23">
        <f>E18</f>
        <v>0</v>
      </c>
      <c r="G18" s="23">
        <f>F18-G17</f>
        <v>0</v>
      </c>
      <c r="H18" s="23">
        <f>G18/H17</f>
        <v>0</v>
      </c>
      <c r="I18" s="23">
        <f>H18*I17</f>
        <v>0</v>
      </c>
      <c r="J18" s="24">
        <f>IF(I18=0,0,IF(,I18&gt;0,I18-J17))</f>
        <v>0</v>
      </c>
    </row>
    <row r="19" spans="2:10" x14ac:dyDescent="0.2">
      <c r="B19" s="16"/>
      <c r="C19" s="39"/>
      <c r="D19" s="4"/>
      <c r="E19" s="18"/>
      <c r="F19" s="18"/>
      <c r="G19" s="18"/>
      <c r="H19" s="18"/>
      <c r="I19" s="18"/>
      <c r="J19" s="25"/>
    </row>
    <row r="20" spans="2:10" x14ac:dyDescent="0.2">
      <c r="B20" s="26">
        <v>2826.65</v>
      </c>
      <c r="C20" s="17">
        <f>IF($C$14&lt;B21,0,IF(,$C$14&gt;=B21,$C$14))</f>
        <v>4011.0509999999999</v>
      </c>
      <c r="D20" s="4"/>
      <c r="E20" s="18"/>
      <c r="F20" s="19"/>
      <c r="G20" s="19">
        <f>IF(F21=0,0,IF(,F21&lt;0,C13*189.59))</f>
        <v>0</v>
      </c>
      <c r="H20" s="19">
        <v>100</v>
      </c>
      <c r="I20" s="19">
        <v>15</v>
      </c>
      <c r="J20" s="20">
        <v>354.8</v>
      </c>
    </row>
    <row r="21" spans="2:10" x14ac:dyDescent="0.2">
      <c r="B21" s="21">
        <v>2826.66</v>
      </c>
      <c r="C21" s="38">
        <f>IF(,$C$20&gt;=B21,$C$20)</f>
        <v>4011.0509999999999</v>
      </c>
      <c r="D21" s="22">
        <f>IF($C$21&gt;B24,0,IF(,$C$21&lt;=B23,$C$21))</f>
        <v>0</v>
      </c>
      <c r="E21" s="23">
        <f>D21</f>
        <v>0</v>
      </c>
      <c r="F21" s="23">
        <f>E21</f>
        <v>0</v>
      </c>
      <c r="G21" s="23">
        <f>F21-G20</f>
        <v>0</v>
      </c>
      <c r="H21" s="23">
        <f>G21/H20</f>
        <v>0</v>
      </c>
      <c r="I21" s="23">
        <f>H21*I20</f>
        <v>0</v>
      </c>
      <c r="J21" s="24">
        <f>IF(I21=0,0,IF(,I21&gt;0,I21-J20))</f>
        <v>0</v>
      </c>
    </row>
    <row r="22" spans="2:10" x14ac:dyDescent="0.2">
      <c r="B22" s="16"/>
      <c r="C22" s="39"/>
      <c r="D22" s="4"/>
      <c r="E22" s="18"/>
      <c r="F22" s="18"/>
      <c r="G22" s="18"/>
      <c r="H22" s="18"/>
      <c r="I22" s="18"/>
      <c r="J22" s="25"/>
    </row>
    <row r="23" spans="2:10" x14ac:dyDescent="0.2">
      <c r="B23" s="26">
        <v>3751.05</v>
      </c>
      <c r="C23" s="17">
        <f>IF($C$14&lt;B24,0,IF(,$C$14&gt;=B24,$C$14))</f>
        <v>4011.0509999999999</v>
      </c>
      <c r="D23" s="4"/>
      <c r="E23" s="18"/>
      <c r="F23" s="19"/>
      <c r="G23" s="19">
        <f>IF(F24=0,0,IF(,F24&lt;0,C13*189.59))</f>
        <v>0</v>
      </c>
      <c r="H23" s="19">
        <v>100</v>
      </c>
      <c r="I23" s="19">
        <v>22.5</v>
      </c>
      <c r="J23" s="20">
        <v>636.13</v>
      </c>
    </row>
    <row r="24" spans="2:10" x14ac:dyDescent="0.2">
      <c r="B24" s="21">
        <v>3751.06</v>
      </c>
      <c r="C24" s="38">
        <f>IF(,$C$23&gt;=B24,$C$23)</f>
        <v>4011.0509999999999</v>
      </c>
      <c r="D24" s="22">
        <f>IF($C$24&gt;B27,0,IF(,$C$24&lt;=B26,$C$24))</f>
        <v>4011.0509999999999</v>
      </c>
      <c r="E24" s="23">
        <f>D24</f>
        <v>4011.0509999999999</v>
      </c>
      <c r="F24" s="23">
        <f>E24</f>
        <v>4011.0509999999999</v>
      </c>
      <c r="G24" s="23">
        <f>F24-G23</f>
        <v>4011.0509999999999</v>
      </c>
      <c r="H24" s="23">
        <f>G24/H23</f>
        <v>40.110509999999998</v>
      </c>
      <c r="I24" s="23">
        <f>H24*I23</f>
        <v>902.48647499999993</v>
      </c>
      <c r="J24" s="24">
        <f>IF(I24=0,0,IF(,I24&gt;0,I24-J23))</f>
        <v>266.35647499999993</v>
      </c>
    </row>
    <row r="25" spans="2:10" x14ac:dyDescent="0.2">
      <c r="B25" s="16"/>
      <c r="C25" s="39"/>
      <c r="D25" s="4"/>
      <c r="E25" s="19"/>
      <c r="F25" s="19"/>
      <c r="G25" s="19"/>
      <c r="H25" s="19"/>
      <c r="I25" s="19"/>
      <c r="J25" s="20"/>
    </row>
    <row r="26" spans="2:10" x14ac:dyDescent="0.2">
      <c r="B26" s="26">
        <v>4664.68</v>
      </c>
      <c r="C26" s="17">
        <f>IF($C$14&lt;B27,0,IF(,$C$14&gt;=B27,$C$14))</f>
        <v>0</v>
      </c>
      <c r="D26" s="4"/>
      <c r="E26" s="18"/>
      <c r="F26" s="19"/>
      <c r="G26" s="19">
        <f>IF(F27=0,0,IF(,F27&lt;0,C13*189.59))</f>
        <v>0</v>
      </c>
      <c r="H26" s="19">
        <v>100</v>
      </c>
      <c r="I26" s="19">
        <v>27.5</v>
      </c>
      <c r="J26" s="20">
        <v>869.36</v>
      </c>
    </row>
    <row r="27" spans="2:10" ht="15.75" thickBot="1" x14ac:dyDescent="0.25">
      <c r="B27" s="27">
        <v>4664.6899999999996</v>
      </c>
      <c r="C27" s="40">
        <f>IF(,$C$26&gt;=B27,$C$26)</f>
        <v>0</v>
      </c>
      <c r="D27" s="28">
        <f>IF($C$27&lt;B29,$C$27,IF(,$C$27&gt;=B30,0))</f>
        <v>0</v>
      </c>
      <c r="E27" s="29">
        <f>D27</f>
        <v>0</v>
      </c>
      <c r="F27" s="29">
        <f>E27</f>
        <v>0</v>
      </c>
      <c r="G27" s="29">
        <f>F27-G26</f>
        <v>0</v>
      </c>
      <c r="H27" s="29">
        <f>G27/H26</f>
        <v>0</v>
      </c>
      <c r="I27" s="29">
        <f>H27*I26</f>
        <v>0</v>
      </c>
      <c r="J27" s="30">
        <f>IF(I27=0,0,IF(,I27&gt;0,I27-J26))</f>
        <v>0</v>
      </c>
    </row>
    <row r="28" spans="2:10" ht="15.75" thickBot="1" x14ac:dyDescent="0.25">
      <c r="B28" s="31"/>
      <c r="I28" s="32" t="s">
        <v>10</v>
      </c>
      <c r="J28" s="33">
        <f>SUM(J18+J21+J24+J27)</f>
        <v>266.35647499999993</v>
      </c>
    </row>
    <row r="29" spans="2:10" x14ac:dyDescent="0.2">
      <c r="B29" s="34">
        <v>9999999999</v>
      </c>
    </row>
    <row r="30" spans="2:10" x14ac:dyDescent="0.2">
      <c r="B30" s="34">
        <v>9999999999</v>
      </c>
    </row>
  </sheetData>
  <sheetProtection algorithmName="SHA-512" hashValue="6qQpzw3TOMDp1PLSZPYnZzkaSuv+d7KWfmr9Oahb5dwKST/W2Ed9i/8k3kwhnDbQU8AnZY3BhtUz96fURnwlHg==" saltValue="eCc4SdYEQ+DBcrS+n+L/zA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B3:C3"/>
    <mergeCell ref="B12:C12"/>
    <mergeCell ref="D2:E2"/>
  </mergeCells>
  <hyperlinks>
    <hyperlink ref="D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Toson Raphael</dc:creator>
  <cp:lastModifiedBy>Usuário do Windows</cp:lastModifiedBy>
  <dcterms:created xsi:type="dcterms:W3CDTF">2020-01-14T11:14:16Z</dcterms:created>
  <dcterms:modified xsi:type="dcterms:W3CDTF">2020-02-26T00:34:33Z</dcterms:modified>
</cp:coreProperties>
</file>