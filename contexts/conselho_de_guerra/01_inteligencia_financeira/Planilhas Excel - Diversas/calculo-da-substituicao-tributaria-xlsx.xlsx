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7766"/>
  <workbookPr defaultThemeVersion="124226"/>
  <bookViews>
    <workbookView xWindow="120" yWindow="45" windowWidth="23895" windowHeight="9975" xr2:uid="{00000000-000D-0000-FFFF-FFFF00000000}"/>
  </bookViews>
  <sheets>
    <sheet name="Plan1" sheetId="1" r:id="rId1"/>
    <sheet name="Plan2" sheetId="2" r:id="rId2"/>
    <sheet name="Plan3" sheetId="3" r:id="rId3"/>
  </sheets>
  <calcPr calcId="171026"/>
</workbook>
</file>

<file path=xl/calcChain.xml><?xml version="1.0" encoding="utf-8"?>
<calcChain xmlns="http://schemas.openxmlformats.org/spreadsheetml/2006/main">
  <c r="E12" i="1" l="1"/>
  <c r="E27" i="1"/>
  <c r="E34" i="1"/>
  <c r="E40" i="1"/>
  <c r="E41" i="1"/>
  <c r="E18" i="1"/>
  <c r="E20" i="1"/>
  <c r="E43" i="1"/>
  <c r="E44" i="1"/>
  <c r="H40" i="1"/>
  <c r="E46" i="1"/>
</calcChain>
</file>

<file path=xl/sharedStrings.xml><?xml version="1.0" encoding="utf-8"?>
<sst xmlns="http://schemas.openxmlformats.org/spreadsheetml/2006/main" count="35" uniqueCount="33">
  <si>
    <t xml:space="preserve">01. BASE DE CALCULO INTERNA </t>
  </si>
  <si>
    <t>(Valor do produto + Frete + Seguro + Outras Despesas Acessórias – Descontos)</t>
  </si>
  <si>
    <t>FRETE</t>
  </si>
  <si>
    <t>SEGURO</t>
  </si>
  <si>
    <t>OUTRAS DESPESAS</t>
  </si>
  <si>
    <t xml:space="preserve">DESCONTOS </t>
  </si>
  <si>
    <t>BASE DE CALCULO</t>
  </si>
  <si>
    <t>PRODUTO</t>
  </si>
  <si>
    <t>2. Calcular o Valor do ICMS Inter ou Valor do ICMS Próprio:</t>
  </si>
  <si>
    <t xml:space="preserve">ICMS </t>
  </si>
  <si>
    <t>3. Calcular a Base do ICMS ST:</t>
  </si>
  <si>
    <t xml:space="preserve"> Base ICMS Inter * (Alíquota ICMS Inter / 100)</t>
  </si>
  <si>
    <t>(Valor do produto + Valor do IPI + Frete + Seguro + Outras Despesas Acessórias – Descontos)   * (1+(%MVA / 100))</t>
  </si>
  <si>
    <t>VALOR DOS PRODUDOS</t>
  </si>
  <si>
    <t>VALOR DO IPI</t>
  </si>
  <si>
    <t xml:space="preserve">FRETE </t>
  </si>
  <si>
    <t xml:space="preserve">OUTRAS DESPESAS </t>
  </si>
  <si>
    <t xml:space="preserve">DECONTOS </t>
  </si>
  <si>
    <t>MVA</t>
  </si>
  <si>
    <t>BASE DE CALCULO ICMS ST</t>
  </si>
  <si>
    <t>4. E por fim… calcular o Valor do ICMS ST:</t>
  </si>
  <si>
    <t>BASE DO ICMS ST</t>
  </si>
  <si>
    <t>ALIQUOTA DO ICMS INTERESTADUAL</t>
  </si>
  <si>
    <t xml:space="preserve">ICMS DA NOTA </t>
  </si>
  <si>
    <t>VALOR DA SUBSTITUIÇÃO</t>
  </si>
  <si>
    <t>ALIQUOTA ICMS INTERESTADUAL</t>
  </si>
  <si>
    <t>ICMS SUBSTITUIÇÃO</t>
  </si>
  <si>
    <t>Valor do ICMS ST = (Base do ICMS ST * Alíquota do ICMS Intra ) – Valor do ICMS Inter</t>
  </si>
  <si>
    <t>TOTAL DO PRODUTO</t>
  </si>
  <si>
    <t xml:space="preserve">SIMPLES </t>
  </si>
  <si>
    <t>ESTADO</t>
  </si>
  <si>
    <t xml:space="preserve">PRODUTOS </t>
  </si>
  <si>
    <t xml:space="preserve">CALCULO DA SUBSTITUIÇÃO TRIBUTARIA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</si>
</sst>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9" fontId="0" fillId="0" borderId="0" xfId="0" applyNumberFormat="1"/>
    <xf numFmtId="0" fontId="2" fillId="0" borderId="0" xfId="0" applyFont="1"/>
    <xf numFmtId="164" fontId="2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0" xfId="1" applyNumberFormat="1" applyFon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19" workbookViewId="0" xr3:uid="{AEA406A1-0E4B-5B11-9CD5-51D6E497D94C}">
      <selection activeCell="H44" sqref="H44"/>
    </sheetView>
  </sheetViews>
  <sheetFormatPr defaultColWidth="0" defaultRowHeight="15" zeroHeight="1" x14ac:dyDescent="0.2"/>
  <cols>
    <col min="1" max="4" width="9.140625" customWidth="1"/>
    <col min="5" max="5" width="16" customWidth="1"/>
    <col min="6" max="6" width="9.140625" customWidth="1"/>
    <col min="7" max="7" width="11.140625" bestFit="1" customWidth="1"/>
    <col min="8" max="8" width="9.5703125" bestFit="1" customWidth="1"/>
    <col min="9" max="9" width="9.140625" customWidth="1"/>
    <col min="10" max="10" width="9.140625" hidden="1" customWidth="1"/>
    <col min="11" max="11" width="17.7109375" style="1" hidden="1" customWidth="1"/>
    <col min="12" max="12" width="0" hidden="1" customWidth="1"/>
    <col min="13" max="16384" width="9.140625" hidden="1"/>
  </cols>
  <sheetData>
    <row r="1" spans="1:12" ht="18.75" x14ac:dyDescent="0.25">
      <c r="A1" s="14" t="s">
        <v>32</v>
      </c>
      <c r="B1" s="14"/>
      <c r="C1" s="14"/>
      <c r="D1" s="14"/>
      <c r="E1" s="14"/>
      <c r="F1" s="14"/>
      <c r="G1" s="14"/>
      <c r="H1" s="14"/>
      <c r="I1" s="14"/>
    </row>
    <row r="2" spans="1:12" ht="18.75" x14ac:dyDescent="0.25">
      <c r="A2" s="7"/>
      <c r="B2" s="7"/>
      <c r="C2" s="7"/>
      <c r="D2" s="7"/>
      <c r="E2" s="7"/>
      <c r="F2" s="7"/>
      <c r="G2" s="7"/>
      <c r="H2" s="7"/>
      <c r="I2" s="7"/>
    </row>
    <row r="3" spans="1:12" x14ac:dyDescent="0.2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1"/>
    </row>
    <row r="4" spans="1:12" x14ac:dyDescent="0.2"/>
    <row r="5" spans="1:12" x14ac:dyDescent="0.2">
      <c r="A5" s="13" t="s">
        <v>1</v>
      </c>
      <c r="B5" s="13"/>
      <c r="C5" s="13"/>
      <c r="D5" s="13"/>
      <c r="E5" s="13"/>
      <c r="F5" s="13"/>
      <c r="G5" s="13"/>
      <c r="H5" s="13"/>
      <c r="I5" s="13"/>
      <c r="J5" s="11"/>
      <c r="K5" s="4"/>
      <c r="L5" s="3"/>
    </row>
    <row r="6" spans="1:12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4"/>
      <c r="L6" s="3"/>
    </row>
    <row r="7" spans="1:12" x14ac:dyDescent="0.2">
      <c r="A7" t="s">
        <v>7</v>
      </c>
      <c r="E7" s="1">
        <v>964.92</v>
      </c>
      <c r="J7" s="3"/>
      <c r="K7" s="4"/>
      <c r="L7" s="3"/>
    </row>
    <row r="8" spans="1:12" x14ac:dyDescent="0.2">
      <c r="A8" s="3" t="s">
        <v>2</v>
      </c>
      <c r="B8" s="3"/>
      <c r="C8" s="3"/>
      <c r="D8" s="3"/>
      <c r="E8" s="4">
        <v>0</v>
      </c>
      <c r="F8" s="3"/>
      <c r="G8" s="3"/>
      <c r="H8" s="3"/>
      <c r="I8" s="3"/>
      <c r="K8" s="4"/>
      <c r="L8" s="3"/>
    </row>
    <row r="9" spans="1:12" x14ac:dyDescent="0.2">
      <c r="A9" s="3" t="s">
        <v>3</v>
      </c>
      <c r="E9" s="1">
        <v>0</v>
      </c>
      <c r="J9" s="3"/>
      <c r="K9" s="4"/>
      <c r="L9" s="3"/>
    </row>
    <row r="10" spans="1:12" x14ac:dyDescent="0.2">
      <c r="A10" s="3" t="s">
        <v>4</v>
      </c>
      <c r="B10" s="3"/>
      <c r="C10" s="3"/>
      <c r="D10" s="3"/>
      <c r="E10" s="4">
        <v>0</v>
      </c>
      <c r="F10" s="3"/>
      <c r="G10" s="3"/>
      <c r="H10" s="3"/>
      <c r="I10" s="3"/>
      <c r="J10" s="3"/>
      <c r="K10" s="4"/>
      <c r="L10" s="3"/>
    </row>
    <row r="11" spans="1:12" x14ac:dyDescent="0.2">
      <c r="A11" s="3" t="s">
        <v>5</v>
      </c>
      <c r="B11" s="5"/>
      <c r="C11" s="3"/>
      <c r="D11" s="3"/>
      <c r="E11" s="4">
        <v>0</v>
      </c>
      <c r="F11" s="3"/>
      <c r="G11" s="3"/>
      <c r="H11" s="3"/>
      <c r="I11" s="3"/>
      <c r="J11" s="3"/>
      <c r="K11" s="4"/>
      <c r="L11" s="3"/>
    </row>
    <row r="12" spans="1:12" x14ac:dyDescent="0.2">
      <c r="A12" s="3" t="s">
        <v>6</v>
      </c>
      <c r="B12" s="3"/>
      <c r="C12" s="3"/>
      <c r="D12" s="3"/>
      <c r="E12" s="4">
        <f>(E7+E8+E9+E10)-E11</f>
        <v>964.92</v>
      </c>
      <c r="F12" s="3"/>
      <c r="G12" s="3"/>
      <c r="H12" s="3"/>
      <c r="I12" s="3"/>
      <c r="J12" s="3"/>
      <c r="K12" s="4"/>
      <c r="L12" s="3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3"/>
    </row>
    <row r="14" spans="1:12" ht="18.75" x14ac:dyDescent="0.25">
      <c r="A14" s="14" t="s">
        <v>8</v>
      </c>
      <c r="B14" s="14"/>
      <c r="C14" s="14"/>
      <c r="D14" s="14"/>
      <c r="E14" s="14"/>
      <c r="F14" s="14"/>
      <c r="G14" s="14"/>
      <c r="H14" s="14"/>
      <c r="I14" s="14"/>
      <c r="J14" s="3"/>
      <c r="K14" s="4"/>
      <c r="L14" s="3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3"/>
    </row>
    <row r="16" spans="1:12" x14ac:dyDescent="0.2">
      <c r="A16" s="13" t="s">
        <v>11</v>
      </c>
      <c r="B16" s="13"/>
      <c r="C16" s="13"/>
      <c r="D16" s="13"/>
      <c r="E16" s="13"/>
      <c r="F16" s="13"/>
      <c r="G16" s="13"/>
      <c r="H16" s="13"/>
      <c r="I16" s="13"/>
      <c r="J16" s="3"/>
      <c r="K16" s="4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3"/>
    </row>
    <row r="18" spans="1:12" x14ac:dyDescent="0.2">
      <c r="A18" s="16" t="s">
        <v>6</v>
      </c>
      <c r="B18" s="16"/>
      <c r="C18" s="16"/>
      <c r="D18" s="16"/>
      <c r="E18" s="4">
        <f>E12</f>
        <v>964.92</v>
      </c>
      <c r="F18" s="3"/>
      <c r="G18" s="3"/>
      <c r="H18" s="3"/>
      <c r="I18" s="3"/>
      <c r="J18" s="3"/>
      <c r="K18" s="4"/>
      <c r="L18" s="3"/>
    </row>
    <row r="19" spans="1:12" x14ac:dyDescent="0.2">
      <c r="A19" s="16" t="s">
        <v>25</v>
      </c>
      <c r="B19" s="16"/>
      <c r="C19" s="16"/>
      <c r="D19" s="16"/>
      <c r="E19" s="8">
        <v>12</v>
      </c>
      <c r="F19" s="3"/>
      <c r="G19" s="3"/>
      <c r="H19" s="3"/>
      <c r="I19" s="3"/>
      <c r="J19" s="3"/>
      <c r="K19" s="4"/>
      <c r="L19" s="3"/>
    </row>
    <row r="20" spans="1:12" x14ac:dyDescent="0.2">
      <c r="A20" s="16" t="s">
        <v>9</v>
      </c>
      <c r="B20" s="16"/>
      <c r="C20" s="16"/>
      <c r="D20" s="16"/>
      <c r="E20" s="4">
        <f>E18*E19/100</f>
        <v>115.79039999999999</v>
      </c>
      <c r="F20" s="3"/>
      <c r="G20" s="3"/>
      <c r="H20" s="3"/>
      <c r="I20" s="3"/>
      <c r="J20" s="3"/>
      <c r="K20" s="4"/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3"/>
    </row>
    <row r="22" spans="1:12" ht="18.75" x14ac:dyDescent="0.25">
      <c r="A22" s="14" t="s">
        <v>10</v>
      </c>
      <c r="B22" s="14"/>
      <c r="C22" s="14"/>
      <c r="D22" s="14"/>
      <c r="E22" s="14"/>
      <c r="F22" s="14"/>
      <c r="G22" s="14"/>
      <c r="H22" s="14"/>
      <c r="I22" s="14"/>
      <c r="J22" s="3"/>
      <c r="K22" s="4"/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x14ac:dyDescent="0.2">
      <c r="A24" s="15" t="s">
        <v>12</v>
      </c>
      <c r="B24" s="15"/>
      <c r="C24" s="15"/>
      <c r="D24" s="15"/>
      <c r="E24" s="15"/>
      <c r="F24" s="15"/>
      <c r="G24" s="15"/>
      <c r="H24" s="15"/>
      <c r="I24" s="15"/>
      <c r="J24" s="3"/>
      <c r="K24" s="4"/>
      <c r="L24" s="3"/>
    </row>
    <row r="25" spans="1:12" x14ac:dyDescent="0.2">
      <c r="A25" s="15"/>
      <c r="B25" s="15"/>
      <c r="C25" s="15"/>
      <c r="D25" s="15"/>
      <c r="E25" s="15"/>
      <c r="F25" s="15"/>
      <c r="G25" s="15"/>
      <c r="H25" s="15"/>
      <c r="I25" s="15"/>
      <c r="J25" s="3"/>
      <c r="K25" s="4"/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x14ac:dyDescent="0.2">
      <c r="A27" s="3" t="s">
        <v>13</v>
      </c>
      <c r="B27" s="3"/>
      <c r="C27" s="3"/>
      <c r="D27" s="3"/>
      <c r="E27" s="9">
        <f>E7</f>
        <v>964.92</v>
      </c>
      <c r="F27" s="3"/>
      <c r="G27" s="3"/>
      <c r="H27" s="3"/>
      <c r="I27" s="3"/>
      <c r="J27" s="3"/>
      <c r="K27" s="4"/>
      <c r="L27" s="3"/>
    </row>
    <row r="28" spans="1:12" x14ac:dyDescent="0.2">
      <c r="A28" s="3" t="s">
        <v>14</v>
      </c>
      <c r="B28" s="3"/>
      <c r="C28" s="3"/>
      <c r="D28" s="3"/>
      <c r="E28" s="9">
        <v>0</v>
      </c>
      <c r="F28" s="3"/>
      <c r="G28" s="3"/>
      <c r="H28" s="3"/>
      <c r="I28" s="3"/>
      <c r="J28" s="3"/>
      <c r="K28" s="4"/>
      <c r="L28" s="3"/>
    </row>
    <row r="29" spans="1:12" x14ac:dyDescent="0.2">
      <c r="A29" s="3" t="s">
        <v>15</v>
      </c>
      <c r="B29" s="3"/>
      <c r="C29" s="3"/>
      <c r="D29" s="3"/>
      <c r="E29" s="9">
        <v>0</v>
      </c>
      <c r="F29" s="3"/>
      <c r="G29" s="3"/>
      <c r="H29" s="3"/>
      <c r="I29" s="3"/>
      <c r="J29" s="3"/>
      <c r="K29" s="4"/>
      <c r="L29" s="3"/>
    </row>
    <row r="30" spans="1:12" x14ac:dyDescent="0.2">
      <c r="A30" s="3" t="s">
        <v>3</v>
      </c>
      <c r="B30" s="3"/>
      <c r="C30" s="3"/>
      <c r="D30" s="3"/>
      <c r="E30" s="9">
        <v>0</v>
      </c>
      <c r="F30" s="3"/>
      <c r="G30" s="3"/>
      <c r="H30" s="3"/>
      <c r="I30" s="3"/>
      <c r="J30" s="3"/>
      <c r="K30" s="4"/>
      <c r="L30" s="3"/>
    </row>
    <row r="31" spans="1:12" x14ac:dyDescent="0.2">
      <c r="A31" s="3" t="s">
        <v>16</v>
      </c>
      <c r="B31" s="3"/>
      <c r="C31" s="3"/>
      <c r="D31" s="3"/>
      <c r="E31" s="9">
        <v>0</v>
      </c>
      <c r="F31" s="3"/>
      <c r="G31" s="3"/>
      <c r="H31" s="3"/>
      <c r="I31" s="3"/>
      <c r="J31" s="3"/>
      <c r="K31" s="4"/>
      <c r="L31" s="3"/>
    </row>
    <row r="32" spans="1:12" x14ac:dyDescent="0.2">
      <c r="A32" s="3" t="s">
        <v>17</v>
      </c>
      <c r="E32" s="10">
        <v>0</v>
      </c>
      <c r="J32" s="3"/>
      <c r="K32" s="4"/>
      <c r="L32" s="3"/>
    </row>
    <row r="33" spans="1:12" x14ac:dyDescent="0.2">
      <c r="A33" s="3" t="s">
        <v>18</v>
      </c>
      <c r="E33" s="2">
        <v>0.84350000000000003</v>
      </c>
      <c r="J33" s="3"/>
      <c r="K33" s="4"/>
      <c r="L33" s="3"/>
    </row>
    <row r="34" spans="1:12" x14ac:dyDescent="0.2">
      <c r="A34" s="3" t="s">
        <v>19</v>
      </c>
      <c r="E34" s="10">
        <f>((E27+E28+E29+E30+E31)-E32)*(1+E33)</f>
        <v>1778.8300200000001</v>
      </c>
      <c r="J34" s="3"/>
      <c r="K34" s="4"/>
      <c r="L34" s="3"/>
    </row>
    <row r="35" spans="1:12" x14ac:dyDescent="0.2">
      <c r="E35" s="10"/>
      <c r="J35" s="3"/>
      <c r="K35" s="4"/>
      <c r="L35" s="3"/>
    </row>
    <row r="36" spans="1:12" ht="18.75" x14ac:dyDescent="0.25">
      <c r="A36" s="14" t="s">
        <v>20</v>
      </c>
      <c r="B36" s="14"/>
      <c r="C36" s="14"/>
      <c r="D36" s="14"/>
      <c r="E36" s="14"/>
      <c r="F36" s="14"/>
      <c r="G36" s="14"/>
      <c r="H36" s="14"/>
      <c r="I36" s="14"/>
      <c r="J36" s="3"/>
      <c r="K36" s="4"/>
      <c r="L36" s="3"/>
    </row>
    <row r="37" spans="1:12" x14ac:dyDescent="0.2">
      <c r="J37" s="3"/>
      <c r="K37" s="4"/>
      <c r="L37" s="3"/>
    </row>
    <row r="38" spans="1:12" x14ac:dyDescent="0.2">
      <c r="A38" s="13" t="s">
        <v>27</v>
      </c>
      <c r="B38" s="13"/>
      <c r="C38" s="13"/>
      <c r="D38" s="13"/>
      <c r="E38" s="13"/>
      <c r="F38" s="13"/>
      <c r="G38" s="13"/>
      <c r="H38" s="13"/>
      <c r="I38" s="13"/>
      <c r="J38" s="3"/>
      <c r="K38" s="4"/>
      <c r="L38" s="3"/>
    </row>
    <row r="39" spans="1:12" x14ac:dyDescent="0.2">
      <c r="J39" s="3"/>
      <c r="K39" s="4"/>
      <c r="L39" s="3"/>
    </row>
    <row r="40" spans="1:12" x14ac:dyDescent="0.2">
      <c r="A40" t="s">
        <v>21</v>
      </c>
      <c r="E40" s="10">
        <f>E34</f>
        <v>1778.8300200000001</v>
      </c>
      <c r="G40" t="s">
        <v>29</v>
      </c>
      <c r="H40" s="10">
        <f>(E12+E44)*4.51%</f>
        <v>52.736287062360006</v>
      </c>
      <c r="J40" s="3"/>
      <c r="K40" s="4"/>
      <c r="L40" s="3"/>
    </row>
    <row r="41" spans="1:12" x14ac:dyDescent="0.2">
      <c r="A41" t="s">
        <v>26</v>
      </c>
      <c r="E41" s="10">
        <f>E40*E42</f>
        <v>320.18940359999999</v>
      </c>
      <c r="G41" t="s">
        <v>30</v>
      </c>
      <c r="H41">
        <v>17.03</v>
      </c>
      <c r="J41" s="3"/>
      <c r="K41" s="4"/>
      <c r="L41" s="3"/>
    </row>
    <row r="42" spans="1:12" x14ac:dyDescent="0.2">
      <c r="A42" t="s">
        <v>22</v>
      </c>
      <c r="E42" s="2">
        <v>0.18</v>
      </c>
      <c r="G42" t="s">
        <v>31</v>
      </c>
      <c r="H42">
        <v>964.92</v>
      </c>
      <c r="J42" s="3"/>
      <c r="K42" s="4"/>
      <c r="L42" s="3"/>
    </row>
    <row r="43" spans="1:12" x14ac:dyDescent="0.2">
      <c r="A43" t="s">
        <v>23</v>
      </c>
      <c r="E43" s="10">
        <f>E20</f>
        <v>115.79039999999999</v>
      </c>
      <c r="J43" s="3"/>
      <c r="K43" s="4"/>
      <c r="L43" s="3"/>
    </row>
    <row r="44" spans="1:12" x14ac:dyDescent="0.2">
      <c r="A44" t="s">
        <v>24</v>
      </c>
      <c r="E44" s="10">
        <f>E41-E43</f>
        <v>204.39900360000001</v>
      </c>
    </row>
    <row r="45" spans="1:12" x14ac:dyDescent="0.2"/>
    <row r="46" spans="1:12" x14ac:dyDescent="0.2">
      <c r="A46" s="3" t="s">
        <v>28</v>
      </c>
      <c r="B46" s="3"/>
      <c r="C46" s="3"/>
      <c r="D46" s="3"/>
      <c r="E46" s="9">
        <f>H40+H41+H42</f>
        <v>1034.68628706236</v>
      </c>
      <c r="F46" s="3"/>
      <c r="G46" s="3"/>
      <c r="H46" s="3"/>
      <c r="I46" s="3"/>
    </row>
    <row r="47" spans="1:12" x14ac:dyDescent="0.2">
      <c r="F47" s="3"/>
      <c r="G47" s="3"/>
      <c r="H47" s="3"/>
      <c r="I47" s="3"/>
    </row>
    <row r="48" spans="1:12" x14ac:dyDescent="0.2">
      <c r="A48" s="3"/>
      <c r="B48" s="3"/>
      <c r="C48" s="3"/>
      <c r="D48" s="3"/>
      <c r="E48" s="3"/>
      <c r="F48" s="3"/>
      <c r="G48" s="3"/>
      <c r="H48" s="3"/>
      <c r="I48" s="3"/>
    </row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</sheetData>
  <mergeCells count="12">
    <mergeCell ref="A36:I36"/>
    <mergeCell ref="A38:I38"/>
    <mergeCell ref="A14:I14"/>
    <mergeCell ref="A16:I16"/>
    <mergeCell ref="A20:D20"/>
    <mergeCell ref="A19:D19"/>
    <mergeCell ref="A18:D18"/>
    <mergeCell ref="A3:I3"/>
    <mergeCell ref="A5:I5"/>
    <mergeCell ref="A1:I1"/>
    <mergeCell ref="A22:I22"/>
    <mergeCell ref="A24:I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CENTEC TARCIO</dc:creator>
  <cp:lastModifiedBy>CENTEC TARCIO</cp:lastModifiedBy>
  <cp:lastPrinted>2016-12-16T14:50:07Z</cp:lastPrinted>
  <dcterms:created xsi:type="dcterms:W3CDTF">2016-12-16T12:51:11Z</dcterms:created>
  <dcterms:modified xsi:type="dcterms:W3CDTF">2016-12-16T15:00:59Z</dcterms:modified>
</cp:coreProperties>
</file>