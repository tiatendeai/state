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alvar\Documents\Bitrix24\Legalização\GED\Base\"/>
    </mc:Choice>
  </mc:AlternateContent>
  <xr:revisionPtr revIDLastSave="0" documentId="13_ncr:1_{35E1BBD0-E3FE-4A12-BA9B-12543A0BF9AF}" xr6:coauthVersionLast="45" xr6:coauthVersionMax="45" xr10:uidLastSave="{00000000-0000-0000-0000-000000000000}"/>
  <bookViews>
    <workbookView xWindow="13290" yWindow="2600" windowWidth="23290" windowHeight="17450" xr2:uid="{00000000-000D-0000-FFFF-FFFF00000000}"/>
  </bookViews>
  <sheets>
    <sheet name="folha de pagamento" sheetId="1" r:id="rId1"/>
    <sheet name="pro-labore" sheetId="7" r:id="rId2"/>
    <sheet name="Tabela IRRF e INSS Pro-Labore" sheetId="9" r:id="rId3"/>
    <sheet name="Tabela INSS salarios" sheetId="6" r:id="rId4"/>
  </sheets>
  <definedNames>
    <definedName name="_xlnm.Print_Area" localSheetId="0">'folha de pagamento'!$A$2:$H$27</definedName>
    <definedName name="_xlnm.Print_Area" localSheetId="1">'pro-labore'!$A$2:$H$3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1" l="1"/>
  <c r="C13" i="1"/>
  <c r="B13" i="1"/>
  <c r="G5" i="7"/>
  <c r="H5" i="7"/>
  <c r="B8" i="6"/>
  <c r="D3" i="6"/>
  <c r="C4" i="6"/>
  <c r="D4" i="6"/>
  <c r="C5" i="6"/>
  <c r="D5" i="6"/>
  <c r="C6" i="6"/>
  <c r="D6" i="6"/>
  <c r="D8" i="6"/>
  <c r="B14" i="1"/>
  <c r="C15" i="1"/>
  <c r="C16" i="1"/>
  <c r="B16" i="1"/>
  <c r="H9" i="7"/>
  <c r="H8" i="7"/>
  <c r="H7" i="7"/>
  <c r="H6" i="7"/>
  <c r="G9" i="7"/>
  <c r="G8" i="7"/>
  <c r="G7" i="7"/>
  <c r="G6" i="7"/>
  <c r="I5" i="7"/>
  <c r="I6" i="7"/>
  <c r="I7" i="7"/>
  <c r="I8" i="7"/>
  <c r="I9" i="7"/>
  <c r="I10" i="7"/>
  <c r="H10" i="7"/>
  <c r="G10" i="7"/>
  <c r="F10" i="7"/>
  <c r="D10" i="7"/>
  <c r="B9" i="6"/>
  <c r="B10" i="6"/>
  <c r="B11" i="6"/>
  <c r="B12" i="6"/>
  <c r="I3" i="6"/>
  <c r="H4" i="6"/>
  <c r="I4" i="6"/>
  <c r="H5" i="6"/>
  <c r="I5" i="6"/>
  <c r="H6" i="6"/>
  <c r="I6" i="6"/>
  <c r="I8" i="6"/>
  <c r="D14" i="1"/>
  <c r="K8" i="1"/>
  <c r="D3" i="1"/>
  <c r="G3" i="1"/>
  <c r="D26" i="1"/>
  <c r="F26" i="1"/>
  <c r="C26" i="1"/>
  <c r="B10" i="1"/>
  <c r="C10" i="1"/>
  <c r="C22" i="1"/>
  <c r="D11" i="1"/>
  <c r="D12" i="1"/>
  <c r="I26" i="1"/>
  <c r="F23" i="1"/>
  <c r="G23" i="1"/>
  <c r="D10" i="1"/>
  <c r="D22" i="1"/>
  <c r="G22" i="1"/>
  <c r="H22" i="1"/>
  <c r="H25" i="1"/>
  <c r="C17" i="1"/>
  <c r="K7" i="1"/>
  <c r="H23" i="1"/>
  <c r="G10" i="1"/>
  <c r="H10" i="1"/>
  <c r="G11" i="1"/>
  <c r="H11" i="1"/>
  <c r="G12" i="1"/>
  <c r="H12" i="1"/>
  <c r="F3" i="1"/>
  <c r="G26" i="1"/>
  <c r="H26" i="1"/>
  <c r="B26" i="1"/>
  <c r="G13" i="1"/>
  <c r="H13" i="1"/>
  <c r="G14" i="1"/>
  <c r="H14" i="1"/>
  <c r="D15" i="1"/>
  <c r="F15" i="1"/>
  <c r="G15" i="1"/>
  <c r="H15" i="1"/>
  <c r="D17" i="1"/>
  <c r="F17" i="1"/>
  <c r="G17" i="1"/>
  <c r="H17" i="1"/>
  <c r="B18" i="1"/>
  <c r="C18" i="1"/>
  <c r="D18" i="1"/>
  <c r="F18" i="1"/>
  <c r="G18" i="1"/>
  <c r="H18" i="1"/>
  <c r="C19" i="1"/>
  <c r="D19" i="1"/>
  <c r="F19" i="1"/>
  <c r="G19" i="1"/>
  <c r="H19" i="1"/>
  <c r="B20" i="1"/>
  <c r="C20" i="1"/>
  <c r="D20" i="1"/>
  <c r="F20" i="1"/>
  <c r="G20" i="1"/>
  <c r="H20" i="1"/>
  <c r="C21" i="1"/>
  <c r="H21" i="1"/>
  <c r="D24" i="1"/>
  <c r="H24" i="1"/>
  <c r="G21" i="1"/>
  <c r="F22" i="1"/>
  <c r="F21" i="1"/>
  <c r="F14" i="1"/>
  <c r="D25" i="1"/>
  <c r="D21" i="1"/>
  <c r="B21" i="1"/>
  <c r="I23" i="1"/>
  <c r="C14" i="1"/>
  <c r="F10" i="1"/>
  <c r="D16" i="1"/>
  <c r="F16" i="1"/>
  <c r="G16" i="1"/>
  <c r="H16" i="1"/>
  <c r="H8" i="1"/>
  <c r="H9" i="1"/>
  <c r="G8" i="1"/>
  <c r="G9" i="1"/>
  <c r="D8" i="1"/>
  <c r="D9" i="1"/>
  <c r="F13" i="1"/>
  <c r="F8" i="1"/>
  <c r="F9" i="1"/>
  <c r="B8" i="1"/>
  <c r="B9" i="1"/>
  <c r="C8" i="1"/>
  <c r="C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castrojr</author>
    <author>Alvaro Castro Jr.</author>
  </authors>
  <commentList>
    <comment ref="D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castrojr:</t>
        </r>
        <r>
          <rPr>
            <sz val="9"/>
            <color indexed="81"/>
            <rFont val="Tahoma"/>
            <family val="2"/>
          </rPr>
          <t xml:space="preserve">
por favor preencher</t>
        </r>
      </text>
    </comment>
    <comment ref="C7" authorId="1" shapeId="0" xr:uid="{00000000-0006-0000-0000-000002000000}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valor que o empregado recebe incluindo os benefícios não financeiros, levando-se em conta que não precisa gastar isto do proprio bolso
</t>
        </r>
      </text>
    </comment>
    <comment ref="D7" authorId="1" shapeId="0" xr:uid="{00000000-0006-0000-0000-000003000000}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salário percebido incluindo tambem ferias, 13o e rescisao. Ou seja o total final que a empresa paga em salario + beneficios + direitos</t>
        </r>
      </text>
    </comment>
  </commentList>
</comments>
</file>

<file path=xl/sharedStrings.xml><?xml version="1.0" encoding="utf-8"?>
<sst xmlns="http://schemas.openxmlformats.org/spreadsheetml/2006/main" count="86" uniqueCount="70">
  <si>
    <t>INSS empregador</t>
  </si>
  <si>
    <t>Aliquota</t>
  </si>
  <si>
    <t>Parcela a Deduzir</t>
  </si>
  <si>
    <t>Tabela INSS</t>
  </si>
  <si>
    <t>Limite</t>
  </si>
  <si>
    <t>férias</t>
  </si>
  <si>
    <t>FGTS</t>
  </si>
  <si>
    <t>aviso prévio indenizado</t>
  </si>
  <si>
    <t>incremento sobre o salário base</t>
  </si>
  <si>
    <t>13o salario</t>
  </si>
  <si>
    <t>ponto de vista do empregado</t>
  </si>
  <si>
    <t>bases</t>
  </si>
  <si>
    <t>observação: preencher somente os campos em verde</t>
  </si>
  <si>
    <t>outros</t>
  </si>
  <si>
    <t>indenização rescisória em base mensal</t>
  </si>
  <si>
    <t>Simples?</t>
  </si>
  <si>
    <t>totais</t>
  </si>
  <si>
    <t>salario + beneficios</t>
  </si>
  <si>
    <t>Salário base do empregado</t>
  </si>
  <si>
    <t>salário líquido</t>
  </si>
  <si>
    <t>IRRF</t>
  </si>
  <si>
    <t>desconto IRRF</t>
  </si>
  <si>
    <t>salário bruto</t>
  </si>
  <si>
    <t>desconto INSS</t>
  </si>
  <si>
    <t>desconto vale-refeição</t>
  </si>
  <si>
    <t>desconto vale-transporte</t>
  </si>
  <si>
    <t>((salario base) - (INSS retido)) * tabela do IR</t>
  </si>
  <si>
    <t>indicar valor do vale refeição diário ao lado e em seguida a % de desconto</t>
  </si>
  <si>
    <t>indicar ao lado o valor diário do vale-transporte  desconto de 6% do salário</t>
  </si>
  <si>
    <t>plano de saúde</t>
  </si>
  <si>
    <t>desconto plano de saúde</t>
  </si>
  <si>
    <t>indicar ao lado o valor total pago do plano de saúde e a porcentagem de  desconto em folha</t>
  </si>
  <si>
    <t>salario + beneficios + férias/13o + resc.</t>
  </si>
  <si>
    <t>ponto de vista da empresa</t>
  </si>
  <si>
    <t>vale refeição recebido/pago</t>
  </si>
  <si>
    <t>vale transporte recebido/pago</t>
  </si>
  <si>
    <t>40% sobre o valor depositado no FGTS</t>
  </si>
  <si>
    <t>custo mensal  total com rescisão</t>
  </si>
  <si>
    <t>custo mensal sem férias/13o</t>
  </si>
  <si>
    <t>custo mensal com férias/13o</t>
  </si>
  <si>
    <t>8% sobre salários / férias / 13o salário</t>
  </si>
  <si>
    <t>indicar ao lado o valor total e desconto</t>
  </si>
  <si>
    <t>1 salário extra / 12 meses</t>
  </si>
  <si>
    <t>1 salário + 1/3 do salário / 12 meses</t>
  </si>
  <si>
    <t>salario</t>
  </si>
  <si>
    <t>13o salário</t>
  </si>
  <si>
    <t>adicional 1/3</t>
  </si>
  <si>
    <t>inss</t>
  </si>
  <si>
    <t>resultado</t>
  </si>
  <si>
    <t>parcela</t>
  </si>
  <si>
    <t>teto</t>
  </si>
  <si>
    <t>salario + férias + 13o</t>
  </si>
  <si>
    <t>&lt;== escrever SIM se for optante pelo Simples, exceto Anexo IV</t>
  </si>
  <si>
    <t>Nome do Sócio</t>
  </si>
  <si>
    <t>Valor</t>
  </si>
  <si>
    <t>Já recolhe o teto?</t>
  </si>
  <si>
    <t>Qtd Dependentes</t>
  </si>
  <si>
    <t>INSS Retido</t>
  </si>
  <si>
    <t>Valor Líquido</t>
  </si>
  <si>
    <t>não</t>
  </si>
  <si>
    <t>Totais</t>
  </si>
  <si>
    <t>Socio 1</t>
  </si>
  <si>
    <t>de 8% a 11% limitado ao teto máximo de 713,10</t>
  </si>
  <si>
    <t>INSS sobre Pro Labore</t>
  </si>
  <si>
    <t>valor por dependente:</t>
  </si>
  <si>
    <t>Até</t>
  </si>
  <si>
    <t>De</t>
  </si>
  <si>
    <t>TABELA IRRF atualizada até 10/01/2018</t>
  </si>
  <si>
    <t>Calculo de impostos sobre Pro-Labores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</si>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</sst>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&quot;R$&quot;* #,##0.00_);_(&quot;R$&quot;* \(#,##0.00\);_(&quot;R$&quot;* &quot;-&quot;??_);_(@_)"/>
    <numFmt numFmtId="166" formatCode="_(&quot;R$ &quot;* #,##0.00_);_(&quot;R$ &quot;* \(#,##0.00\);_(&quot;R$ &quot;* &quot;-&quot;??_);_(@_)"/>
    <numFmt numFmtId="167" formatCode="0.0%"/>
    <numFmt numFmtId="168" formatCode="#,##0.00_ ;\-#,##0.00\ "/>
  </numFmts>
  <fonts count="38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 (Body)"/>
    </font>
    <font>
      <sz val="11"/>
      <color theme="1"/>
      <name val="Calibri (Body)"/>
    </font>
    <font>
      <sz val="11"/>
      <color theme="0"/>
      <name val="Calibri (Body)"/>
    </font>
    <font>
      <sz val="14"/>
      <color rgb="FF006100"/>
      <name val="Calibri (Body)"/>
    </font>
    <font>
      <sz val="14"/>
      <color theme="1"/>
      <name val="Calibri (Body)"/>
    </font>
    <font>
      <b/>
      <sz val="11"/>
      <color theme="1"/>
      <name val="Calibri (Body)"/>
    </font>
    <font>
      <i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 (Body)"/>
    </font>
    <font>
      <sz val="10"/>
      <color theme="1"/>
      <name val="Calibri"/>
      <family val="2"/>
      <scheme val="minor"/>
    </font>
    <font>
      <sz val="10"/>
      <color theme="1"/>
      <name val="Calibri (Body)"/>
    </font>
    <font>
      <i/>
      <sz val="10"/>
      <color rgb="FF002E5B"/>
      <name val="Calibri (Body)"/>
    </font>
    <font>
      <i/>
      <sz val="10"/>
      <color rgb="FF002E5B"/>
      <name val="Calibri"/>
      <family val="2"/>
      <scheme val="minor"/>
    </font>
    <font>
      <b/>
      <i/>
      <sz val="10"/>
      <color theme="1"/>
      <name val="Calibri (Body)"/>
    </font>
    <font>
      <i/>
      <sz val="10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006100"/>
      <name val="Calibri (Body)"/>
    </font>
    <font>
      <sz val="10"/>
      <color theme="0"/>
      <name val="Calibri (Body)"/>
    </font>
    <font>
      <b/>
      <sz val="12"/>
      <color theme="3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002E5B"/>
        <bgColor indexed="64"/>
      </patternFill>
    </fill>
    <fill>
      <patternFill patternType="solid">
        <fgColor rgb="FFEEC0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DC3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n">
        <color indexed="64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n">
        <color theme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1"/>
      </bottom>
      <diagonal/>
    </border>
    <border>
      <left/>
      <right style="thick">
        <color theme="0"/>
      </right>
      <top style="thin">
        <color theme="1"/>
      </top>
      <bottom style="thin">
        <color theme="1"/>
      </bottom>
      <diagonal/>
    </border>
    <border>
      <left style="thick">
        <color theme="0"/>
      </left>
      <right style="thick">
        <color theme="0"/>
      </right>
      <top style="thin">
        <color theme="1"/>
      </top>
      <bottom style="thin">
        <color theme="1"/>
      </bottom>
      <diagonal/>
    </border>
    <border>
      <left/>
      <right style="thick">
        <color theme="0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002E5B"/>
      </top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 diagonalUp="1">
      <left style="thick">
        <color theme="0"/>
      </left>
      <right/>
      <top style="thick">
        <color theme="0"/>
      </top>
      <bottom/>
      <diagonal style="thick">
        <color theme="0"/>
      </diagonal>
    </border>
    <border>
      <left/>
      <right/>
      <top/>
      <bottom style="thick">
        <color theme="0"/>
      </bottom>
      <diagonal/>
    </border>
    <border diagonalUp="1">
      <left style="thick">
        <color theme="0"/>
      </left>
      <right/>
      <top style="thick">
        <color theme="0"/>
      </top>
      <bottom style="thick">
        <color theme="0"/>
      </bottom>
      <diagonal style="thick">
        <color theme="0"/>
      </diagonal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/>
      <top/>
      <bottom style="thin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n">
        <color theme="1"/>
      </bottom>
      <diagonal/>
    </border>
    <border>
      <left style="thick">
        <color theme="0"/>
      </left>
      <right style="thick">
        <color theme="0"/>
      </right>
      <top/>
      <bottom style="thin">
        <color theme="1"/>
      </bottom>
      <diagonal/>
    </border>
    <border>
      <left style="thick">
        <color theme="0"/>
      </left>
      <right style="thick">
        <color theme="0"/>
      </right>
      <top style="thin">
        <color theme="1"/>
      </top>
      <bottom/>
      <diagonal/>
    </border>
    <border>
      <left style="thick">
        <color theme="0"/>
      </left>
      <right/>
      <top style="thin">
        <color theme="1"/>
      </top>
      <bottom/>
      <diagonal/>
    </border>
    <border>
      <left style="thick">
        <color theme="0"/>
      </left>
      <right/>
      <top/>
      <bottom style="thin">
        <color theme="1"/>
      </bottom>
      <diagonal/>
    </border>
    <border>
      <left/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/>
      <top style="thin">
        <color indexed="64"/>
      </top>
      <bottom/>
      <diagonal/>
    </border>
    <border>
      <left/>
      <right style="thick">
        <color theme="0"/>
      </right>
      <top style="thin">
        <color theme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ck">
        <color theme="0"/>
      </top>
      <bottom/>
      <diagonal/>
    </border>
    <border>
      <left style="thin">
        <color theme="0" tint="-0.24994659260841701"/>
      </left>
      <right/>
      <top style="thick">
        <color theme="0"/>
      </top>
      <bottom style="thin">
        <color theme="1"/>
      </bottom>
      <diagonal/>
    </border>
    <border>
      <left/>
      <right/>
      <top style="thick">
        <color theme="0"/>
      </top>
      <bottom style="thin">
        <color theme="1"/>
      </bottom>
      <diagonal/>
    </border>
    <border>
      <left/>
      <right style="thin">
        <color theme="0" tint="-0.24994659260841701"/>
      </right>
      <top style="thick">
        <color theme="0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0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</borders>
  <cellStyleXfs count="1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164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6" borderId="0" applyNumberFormat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</cellStyleXfs>
  <cellXfs count="131">
    <xf numFmtId="0" fontId="0" fillId="0" borderId="0" xfId="0"/>
    <xf numFmtId="0" fontId="10" fillId="5" borderId="0" xfId="0" applyFont="1" applyFill="1" applyAlignment="1" applyProtection="1">
      <alignment horizontal="left" vertical="center"/>
    </xf>
    <xf numFmtId="0" fontId="10" fillId="4" borderId="0" xfId="3" applyFont="1" applyAlignment="1" applyProtection="1">
      <alignment horizontal="left" vertical="center"/>
    </xf>
    <xf numFmtId="0" fontId="11" fillId="0" borderId="0" xfId="0" applyFont="1" applyProtection="1"/>
    <xf numFmtId="0" fontId="11" fillId="0" borderId="1" xfId="0" applyFont="1" applyBorder="1" applyProtection="1"/>
    <xf numFmtId="165" fontId="12" fillId="0" borderId="1" xfId="0" applyNumberFormat="1" applyFont="1" applyBorder="1" applyProtection="1"/>
    <xf numFmtId="0" fontId="12" fillId="0" borderId="1" xfId="0" applyFont="1" applyBorder="1" applyProtection="1"/>
    <xf numFmtId="0" fontId="14" fillId="0" borderId="0" xfId="0" applyFont="1" applyProtection="1"/>
    <xf numFmtId="0" fontId="15" fillId="0" borderId="0" xfId="0" applyFont="1" applyBorder="1" applyAlignment="1" applyProtection="1">
      <alignment horizontal="center"/>
    </xf>
    <xf numFmtId="43" fontId="13" fillId="8" borderId="2" xfId="7" applyFont="1" applyFill="1" applyBorder="1" applyAlignment="1" applyProtection="1">
      <protection locked="0"/>
    </xf>
    <xf numFmtId="0" fontId="15" fillId="9" borderId="0" xfId="0" applyFont="1" applyFill="1" applyBorder="1" applyAlignment="1" applyProtection="1">
      <alignment horizontal="center"/>
    </xf>
    <xf numFmtId="0" fontId="20" fillId="7" borderId="2" xfId="0" applyFont="1" applyFill="1" applyBorder="1" applyAlignment="1" applyProtection="1">
      <alignment horizontal="center" vertical="center"/>
    </xf>
    <xf numFmtId="0" fontId="19" fillId="8" borderId="0" xfId="1" applyFont="1" applyFill="1" applyBorder="1" applyAlignment="1" applyProtection="1">
      <alignment vertical="center"/>
    </xf>
    <xf numFmtId="0" fontId="9" fillId="8" borderId="0" xfId="1" applyFont="1" applyFill="1" applyBorder="1" applyAlignment="1" applyProtection="1">
      <alignment horizontal="center" vertical="center" wrapText="1"/>
    </xf>
    <xf numFmtId="166" fontId="9" fillId="8" borderId="0" xfId="1" applyNumberFormat="1" applyFont="1" applyFill="1" applyBorder="1" applyProtection="1"/>
    <xf numFmtId="166" fontId="21" fillId="8" borderId="0" xfId="1" applyNumberFormat="1" applyFont="1" applyFill="1" applyBorder="1" applyAlignment="1" applyProtection="1">
      <alignment horizontal="center"/>
    </xf>
    <xf numFmtId="168" fontId="21" fillId="9" borderId="9" xfId="7" applyNumberFormat="1" applyFont="1" applyFill="1" applyBorder="1" applyAlignment="1" applyProtection="1">
      <alignment horizontal="right" vertical="center"/>
    </xf>
    <xf numFmtId="0" fontId="17" fillId="7" borderId="10" xfId="1" applyFont="1" applyFill="1" applyBorder="1" applyAlignment="1" applyProtection="1">
      <alignment horizontal="center" vertical="center" wrapText="1"/>
    </xf>
    <xf numFmtId="0" fontId="17" fillId="7" borderId="11" xfId="1" applyFont="1" applyFill="1" applyBorder="1" applyAlignment="1" applyProtection="1">
      <alignment horizontal="center" vertical="center" wrapText="1"/>
    </xf>
    <xf numFmtId="0" fontId="17" fillId="7" borderId="12" xfId="1" applyFont="1" applyFill="1" applyBorder="1" applyAlignment="1" applyProtection="1">
      <alignment horizontal="center" vertical="center" wrapText="1"/>
    </xf>
    <xf numFmtId="168" fontId="21" fillId="9" borderId="13" xfId="7" applyNumberFormat="1" applyFont="1" applyFill="1" applyBorder="1" applyAlignment="1" applyProtection="1">
      <alignment horizontal="right" vertical="center"/>
    </xf>
    <xf numFmtId="0" fontId="17" fillId="7" borderId="14" xfId="1" applyFont="1" applyFill="1" applyBorder="1" applyAlignment="1" applyProtection="1">
      <alignment horizontal="center" vertical="center" wrapText="1"/>
    </xf>
    <xf numFmtId="4" fontId="21" fillId="9" borderId="15" xfId="2" applyNumberFormat="1" applyFont="1" applyFill="1" applyBorder="1" applyAlignment="1" applyProtection="1">
      <alignment horizontal="right"/>
    </xf>
    <xf numFmtId="4" fontId="21" fillId="9" borderId="16" xfId="2" applyNumberFormat="1" applyFont="1" applyFill="1" applyBorder="1" applyAlignment="1" applyProtection="1">
      <alignment horizontal="right"/>
    </xf>
    <xf numFmtId="4" fontId="21" fillId="9" borderId="17" xfId="2" applyNumberFormat="1" applyFont="1" applyFill="1" applyBorder="1" applyAlignment="1" applyProtection="1">
      <alignment horizontal="right"/>
    </xf>
    <xf numFmtId="4" fontId="21" fillId="9" borderId="18" xfId="2" applyNumberFormat="1" applyFont="1" applyFill="1" applyBorder="1" applyAlignment="1" applyProtection="1">
      <alignment horizontal="right"/>
    </xf>
    <xf numFmtId="168" fontId="21" fillId="9" borderId="20" xfId="7" applyNumberFormat="1" applyFont="1" applyFill="1" applyBorder="1" applyAlignment="1" applyProtection="1">
      <alignment horizontal="right" vertical="center"/>
    </xf>
    <xf numFmtId="43" fontId="13" fillId="4" borderId="2" xfId="7" applyFont="1" applyFill="1" applyBorder="1" applyAlignment="1" applyProtection="1">
      <alignment horizontal="center" vertical="center"/>
      <protection locked="0"/>
    </xf>
    <xf numFmtId="0" fontId="17" fillId="7" borderId="22" xfId="1" applyFont="1" applyFill="1" applyBorder="1" applyAlignment="1" applyProtection="1">
      <alignment horizontal="center" vertical="center" wrapText="1"/>
    </xf>
    <xf numFmtId="0" fontId="11" fillId="0" borderId="25" xfId="0" applyFont="1" applyBorder="1" applyProtection="1"/>
    <xf numFmtId="0" fontId="14" fillId="0" borderId="25" xfId="0" applyFont="1" applyBorder="1" applyProtection="1"/>
    <xf numFmtId="0" fontId="16" fillId="0" borderId="25" xfId="0" applyFont="1" applyBorder="1" applyAlignment="1">
      <alignment horizontal="center" vertical="center"/>
    </xf>
    <xf numFmtId="0" fontId="24" fillId="0" borderId="25" xfId="5" applyFont="1" applyBorder="1" applyAlignment="1">
      <alignment horizontal="center" wrapText="1"/>
    </xf>
    <xf numFmtId="0" fontId="11" fillId="0" borderId="23" xfId="0" applyFont="1" applyBorder="1" applyProtection="1"/>
    <xf numFmtId="168" fontId="21" fillId="9" borderId="29" xfId="7" applyNumberFormat="1" applyFont="1" applyFill="1" applyBorder="1" applyAlignment="1" applyProtection="1">
      <alignment horizontal="right" vertical="center"/>
    </xf>
    <xf numFmtId="166" fontId="9" fillId="10" borderId="14" xfId="1" applyNumberFormat="1" applyFont="1" applyFill="1" applyBorder="1" applyProtection="1"/>
    <xf numFmtId="166" fontId="9" fillId="10" borderId="30" xfId="1" applyNumberFormat="1" applyFont="1" applyFill="1" applyBorder="1" applyProtection="1"/>
    <xf numFmtId="166" fontId="9" fillId="10" borderId="22" xfId="1" applyNumberFormat="1" applyFont="1" applyFill="1" applyBorder="1" applyProtection="1"/>
    <xf numFmtId="10" fontId="26" fillId="10" borderId="4" xfId="1" applyNumberFormat="1" applyFont="1" applyFill="1" applyBorder="1" applyProtection="1"/>
    <xf numFmtId="10" fontId="26" fillId="10" borderId="6" xfId="1" applyNumberFormat="1" applyFont="1" applyFill="1" applyBorder="1" applyProtection="1"/>
    <xf numFmtId="10" fontId="26" fillId="8" borderId="0" xfId="1" applyNumberFormat="1" applyFont="1" applyFill="1" applyBorder="1" applyProtection="1"/>
    <xf numFmtId="10" fontId="26" fillId="10" borderId="7" xfId="1" applyNumberFormat="1" applyFont="1" applyFill="1" applyBorder="1" applyProtection="1"/>
    <xf numFmtId="0" fontId="27" fillId="4" borderId="2" xfId="3" applyFont="1" applyBorder="1" applyAlignment="1" applyProtection="1">
      <alignment horizontal="center" vertical="center"/>
      <protection locked="0"/>
    </xf>
    <xf numFmtId="4" fontId="21" fillId="9" borderId="31" xfId="2" applyNumberFormat="1" applyFont="1" applyFill="1" applyBorder="1" applyAlignment="1" applyProtection="1">
      <alignment horizontal="right"/>
    </xf>
    <xf numFmtId="4" fontId="21" fillId="9" borderId="32" xfId="2" applyNumberFormat="1" applyFont="1" applyFill="1" applyBorder="1" applyAlignment="1" applyProtection="1">
      <alignment horizontal="right"/>
    </xf>
    <xf numFmtId="166" fontId="25" fillId="10" borderId="4" xfId="0" applyNumberFormat="1" applyFont="1" applyFill="1" applyBorder="1" applyAlignment="1" applyProtection="1">
      <alignment horizontal="right" vertical="center"/>
    </xf>
    <xf numFmtId="0" fontId="22" fillId="0" borderId="28" xfId="0" applyFont="1" applyBorder="1" applyAlignment="1" applyProtection="1">
      <alignment horizontal="right" vertical="center"/>
    </xf>
    <xf numFmtId="0" fontId="22" fillId="0" borderId="19" xfId="0" applyFont="1" applyBorder="1" applyAlignment="1" applyProtection="1">
      <alignment horizontal="right" vertical="center"/>
    </xf>
    <xf numFmtId="0" fontId="29" fillId="4" borderId="0" xfId="3" applyFont="1" applyAlignment="1" applyProtection="1">
      <alignment horizontal="left" vertical="center"/>
    </xf>
    <xf numFmtId="0" fontId="22" fillId="0" borderId="0" xfId="0" applyFont="1" applyProtection="1"/>
    <xf numFmtId="168" fontId="26" fillId="0" borderId="0" xfId="7" applyNumberFormat="1" applyFont="1" applyAlignment="1" applyProtection="1">
      <alignment horizontal="left"/>
    </xf>
    <xf numFmtId="0" fontId="22" fillId="0" borderId="14" xfId="0" applyFont="1" applyBorder="1" applyProtection="1"/>
    <xf numFmtId="164" fontId="29" fillId="4" borderId="27" xfId="3" applyNumberFormat="1" applyFont="1" applyBorder="1" applyAlignment="1" applyProtection="1">
      <alignment vertical="center"/>
      <protection locked="0"/>
    </xf>
    <xf numFmtId="164" fontId="29" fillId="0" borderId="0" xfId="3" applyNumberFormat="1" applyFont="1" applyFill="1" applyBorder="1" applyAlignment="1" applyProtection="1">
      <alignment vertical="center"/>
      <protection locked="0"/>
    </xf>
    <xf numFmtId="9" fontId="29" fillId="0" borderId="0" xfId="3" applyNumberFormat="1" applyFont="1" applyFill="1" applyBorder="1" applyAlignment="1" applyProtection="1">
      <alignment vertical="center"/>
      <protection locked="0"/>
    </xf>
    <xf numFmtId="9" fontId="29" fillId="4" borderId="11" xfId="3" applyNumberFormat="1" applyFont="1" applyBorder="1" applyAlignment="1" applyProtection="1">
      <alignment horizontal="center" vertical="center"/>
      <protection locked="0"/>
    </xf>
    <xf numFmtId="0" fontId="22" fillId="0" borderId="36" xfId="0" applyFont="1" applyBorder="1" applyAlignment="1" applyProtection="1">
      <alignment horizontal="right" vertical="center"/>
    </xf>
    <xf numFmtId="168" fontId="21" fillId="9" borderId="8" xfId="7" applyNumberFormat="1" applyFont="1" applyFill="1" applyBorder="1" applyAlignment="1" applyProtection="1">
      <alignment horizontal="right" vertical="center"/>
    </xf>
    <xf numFmtId="168" fontId="21" fillId="9" borderId="37" xfId="7" applyNumberFormat="1" applyFont="1" applyFill="1" applyBorder="1" applyAlignment="1" applyProtection="1">
      <alignment horizontal="right" vertical="center"/>
    </xf>
    <xf numFmtId="4" fontId="21" fillId="9" borderId="38" xfId="2" applyNumberFormat="1" applyFont="1" applyFill="1" applyBorder="1" applyAlignment="1" applyProtection="1">
      <alignment horizontal="right"/>
    </xf>
    <xf numFmtId="4" fontId="21" fillId="9" borderId="33" xfId="2" applyNumberFormat="1" applyFont="1" applyFill="1" applyBorder="1" applyAlignment="1" applyProtection="1">
      <alignment horizontal="right"/>
    </xf>
    <xf numFmtId="0" fontId="12" fillId="0" borderId="0" xfId="0" applyFont="1" applyFill="1" applyProtection="1"/>
    <xf numFmtId="0" fontId="30" fillId="0" borderId="0" xfId="0" applyFont="1" applyFill="1" applyProtection="1"/>
    <xf numFmtId="0" fontId="12" fillId="0" borderId="21" xfId="0" applyFont="1" applyFill="1" applyBorder="1" applyProtection="1"/>
    <xf numFmtId="166" fontId="18" fillId="0" borderId="21" xfId="1" applyNumberFormat="1" applyFont="1" applyFill="1" applyBorder="1" applyAlignment="1" applyProtection="1">
      <alignment horizontal="center"/>
    </xf>
    <xf numFmtId="166" fontId="12" fillId="0" borderId="21" xfId="0" applyNumberFormat="1" applyFont="1" applyFill="1" applyBorder="1" applyProtection="1"/>
    <xf numFmtId="43" fontId="12" fillId="0" borderId="21" xfId="0" applyNumberFormat="1" applyFont="1" applyFill="1" applyBorder="1" applyProtection="1"/>
    <xf numFmtId="166" fontId="18" fillId="0" borderId="21" xfId="2" applyNumberFormat="1" applyFont="1" applyFill="1" applyBorder="1" applyAlignment="1" applyProtection="1">
      <alignment horizontal="center"/>
    </xf>
    <xf numFmtId="0" fontId="12" fillId="0" borderId="0" xfId="0" applyFont="1" applyFill="1" applyBorder="1" applyAlignment="1" applyProtection="1">
      <alignment horizontal="left" vertical="center"/>
    </xf>
    <xf numFmtId="0" fontId="12" fillId="0" borderId="0" xfId="0" applyFont="1" applyFill="1" applyBorder="1" applyProtection="1"/>
    <xf numFmtId="4" fontId="26" fillId="9" borderId="32" xfId="2" applyNumberFormat="1" applyFont="1" applyFill="1" applyBorder="1" applyAlignment="1" applyProtection="1">
      <alignment horizontal="right" vertical="center"/>
    </xf>
    <xf numFmtId="4" fontId="26" fillId="9" borderId="18" xfId="2" applyNumberFormat="1" applyFont="1" applyFill="1" applyBorder="1" applyAlignment="1" applyProtection="1">
      <alignment horizontal="right" vertical="center"/>
    </xf>
    <xf numFmtId="4" fontId="26" fillId="9" borderId="33" xfId="2" applyNumberFormat="1" applyFont="1" applyFill="1" applyBorder="1" applyAlignment="1" applyProtection="1">
      <alignment horizontal="right" vertical="center"/>
    </xf>
    <xf numFmtId="166" fontId="18" fillId="0" borderId="0" xfId="1" applyNumberFormat="1" applyFont="1" applyFill="1" applyBorder="1" applyAlignment="1" applyProtection="1">
      <alignment horizontal="center"/>
    </xf>
    <xf numFmtId="167" fontId="6" fillId="0" borderId="0" xfId="6" applyNumberFormat="1" applyFont="1"/>
    <xf numFmtId="43" fontId="0" fillId="0" borderId="0" xfId="0" applyNumberFormat="1"/>
    <xf numFmtId="43" fontId="0" fillId="0" borderId="0" xfId="7" applyFont="1"/>
    <xf numFmtId="43" fontId="0" fillId="0" borderId="0" xfId="7" applyFont="1" applyAlignment="1">
      <alignment horizontal="right"/>
    </xf>
    <xf numFmtId="0" fontId="32" fillId="0" borderId="0" xfId="10"/>
    <xf numFmtId="0" fontId="32" fillId="0" borderId="0" xfId="10" applyAlignment="1">
      <alignment horizontal="center"/>
    </xf>
    <xf numFmtId="9" fontId="0" fillId="0" borderId="0" xfId="11" applyFont="1" applyAlignment="1">
      <alignment horizontal="center"/>
    </xf>
    <xf numFmtId="43" fontId="0" fillId="0" borderId="0" xfId="12" applyFont="1" applyAlignment="1">
      <alignment horizontal="center"/>
    </xf>
    <xf numFmtId="0" fontId="33" fillId="12" borderId="0" xfId="10" applyFont="1" applyFill="1" applyAlignment="1">
      <alignment horizontal="center"/>
    </xf>
    <xf numFmtId="167" fontId="0" fillId="0" borderId="0" xfId="11" applyNumberFormat="1" applyFont="1" applyAlignment="1">
      <alignment horizontal="center"/>
    </xf>
    <xf numFmtId="166" fontId="28" fillId="10" borderId="4" xfId="0" applyNumberFormat="1" applyFont="1" applyFill="1" applyBorder="1" applyAlignment="1" applyProtection="1">
      <alignment horizontal="center" vertical="center"/>
    </xf>
    <xf numFmtId="10" fontId="28" fillId="10" borderId="4" xfId="1" applyNumberFormat="1" applyFont="1" applyFill="1" applyBorder="1" applyAlignment="1" applyProtection="1">
      <alignment horizontal="center" vertical="center"/>
    </xf>
    <xf numFmtId="0" fontId="22" fillId="0" borderId="0" xfId="0" applyFont="1" applyAlignment="1" applyProtection="1">
      <alignment vertical="center"/>
    </xf>
    <xf numFmtId="0" fontId="11" fillId="0" borderId="0" xfId="0" applyFont="1" applyAlignment="1" applyProtection="1">
      <alignment vertical="center"/>
    </xf>
    <xf numFmtId="44" fontId="35" fillId="7" borderId="39" xfId="8" applyFont="1" applyFill="1" applyBorder="1" applyAlignment="1">
      <alignment horizontal="center" vertical="center"/>
    </xf>
    <xf numFmtId="2" fontId="35" fillId="7" borderId="39" xfId="7" applyNumberFormat="1" applyFont="1" applyFill="1" applyBorder="1" applyAlignment="1">
      <alignment horizontal="center" vertical="center"/>
    </xf>
    <xf numFmtId="1" fontId="35" fillId="7" borderId="39" xfId="7" applyNumberFormat="1" applyFont="1" applyFill="1" applyBorder="1" applyAlignment="1">
      <alignment horizontal="center" vertical="center"/>
    </xf>
    <xf numFmtId="2" fontId="35" fillId="7" borderId="40" xfId="7" applyNumberFormat="1" applyFont="1" applyFill="1" applyBorder="1" applyAlignment="1">
      <alignment horizontal="center" vertical="center"/>
    </xf>
    <xf numFmtId="44" fontId="7" fillId="4" borderId="45" xfId="3" applyNumberFormat="1" applyBorder="1" applyAlignment="1" applyProtection="1">
      <alignment horizontal="center" vertical="center"/>
      <protection locked="0"/>
    </xf>
    <xf numFmtId="0" fontId="7" fillId="4" borderId="45" xfId="3" applyBorder="1" applyAlignment="1" applyProtection="1">
      <alignment horizontal="center" vertical="center"/>
      <protection locked="0"/>
    </xf>
    <xf numFmtId="168" fontId="33" fillId="0" borderId="45" xfId="7" applyNumberFormat="1" applyFont="1" applyFill="1" applyBorder="1" applyAlignment="1" applyProtection="1">
      <alignment horizontal="center" vertical="center"/>
      <protection locked="0"/>
    </xf>
    <xf numFmtId="168" fontId="31" fillId="0" borderId="45" xfId="7" applyNumberFormat="1" applyFont="1" applyFill="1" applyBorder="1" applyAlignment="1" applyProtection="1">
      <alignment horizontal="center" vertical="center"/>
      <protection locked="0"/>
    </xf>
    <xf numFmtId="44" fontId="7" fillId="4" borderId="46" xfId="3" applyNumberFormat="1" applyBorder="1" applyAlignment="1" applyProtection="1">
      <alignment horizontal="center" vertical="center"/>
      <protection locked="0"/>
    </xf>
    <xf numFmtId="0" fontId="7" fillId="4" borderId="46" xfId="3" applyBorder="1" applyAlignment="1" applyProtection="1">
      <alignment horizontal="center" vertical="center"/>
      <protection locked="0"/>
    </xf>
    <xf numFmtId="168" fontId="33" fillId="0" borderId="46" xfId="7" applyNumberFormat="1" applyFont="1" applyFill="1" applyBorder="1" applyAlignment="1" applyProtection="1">
      <alignment horizontal="center" vertical="center"/>
      <protection locked="0"/>
    </xf>
    <xf numFmtId="168" fontId="31" fillId="0" borderId="46" xfId="7" applyNumberFormat="1" applyFont="1" applyFill="1" applyBorder="1" applyAlignment="1" applyProtection="1">
      <alignment horizontal="center" vertical="center"/>
      <protection locked="0"/>
    </xf>
    <xf numFmtId="44" fontId="7" fillId="4" borderId="47" xfId="3" applyNumberFormat="1" applyBorder="1" applyAlignment="1" applyProtection="1">
      <alignment horizontal="center" vertical="center"/>
      <protection locked="0"/>
    </xf>
    <xf numFmtId="0" fontId="7" fillId="4" borderId="47" xfId="3" applyBorder="1" applyAlignment="1" applyProtection="1">
      <alignment horizontal="center" vertical="center"/>
      <protection locked="0"/>
    </xf>
    <xf numFmtId="168" fontId="33" fillId="0" borderId="47" xfId="7" applyNumberFormat="1" applyFont="1" applyFill="1" applyBorder="1" applyAlignment="1" applyProtection="1">
      <alignment horizontal="center" vertical="center"/>
      <protection locked="0"/>
    </xf>
    <xf numFmtId="168" fontId="31" fillId="0" borderId="47" xfId="7" applyNumberFormat="1" applyFont="1" applyFill="1" applyBorder="1" applyAlignment="1" applyProtection="1">
      <alignment horizontal="center" vertical="center"/>
      <protection locked="0"/>
    </xf>
    <xf numFmtId="0" fontId="20" fillId="7" borderId="2" xfId="0" applyFont="1" applyFill="1" applyBorder="1" applyAlignment="1" applyProtection="1">
      <alignment horizontal="center" vertical="center" wrapText="1"/>
    </xf>
    <xf numFmtId="0" fontId="19" fillId="7" borderId="3" xfId="1" applyFont="1" applyFill="1" applyBorder="1" applyAlignment="1" applyProtection="1">
      <alignment horizontal="center" vertical="center"/>
    </xf>
    <xf numFmtId="0" fontId="19" fillId="7" borderId="4" xfId="1" applyFont="1" applyFill="1" applyBorder="1" applyAlignment="1" applyProtection="1">
      <alignment horizontal="center" vertical="center"/>
    </xf>
    <xf numFmtId="0" fontId="19" fillId="7" borderId="6" xfId="1" applyFont="1" applyFill="1" applyBorder="1" applyAlignment="1" applyProtection="1">
      <alignment horizontal="center" vertical="center"/>
    </xf>
    <xf numFmtId="0" fontId="19" fillId="7" borderId="7" xfId="1" applyFont="1" applyFill="1" applyBorder="1" applyAlignment="1" applyProtection="1">
      <alignment horizontal="center" vertical="center"/>
    </xf>
    <xf numFmtId="0" fontId="19" fillId="7" borderId="5" xfId="1" applyFont="1" applyFill="1" applyBorder="1" applyAlignment="1" applyProtection="1">
      <alignment horizontal="center" vertical="center"/>
    </xf>
    <xf numFmtId="0" fontId="23" fillId="10" borderId="1" xfId="0" applyFont="1" applyFill="1" applyBorder="1" applyAlignment="1" applyProtection="1">
      <alignment horizontal="center" vertical="center" wrapText="1"/>
    </xf>
    <xf numFmtId="9" fontId="29" fillId="4" borderId="14" xfId="3" applyNumberFormat="1" applyFont="1" applyBorder="1" applyAlignment="1" applyProtection="1">
      <alignment horizontal="center" vertical="center"/>
      <protection locked="0"/>
    </xf>
    <xf numFmtId="4" fontId="26" fillId="9" borderId="34" xfId="2" applyNumberFormat="1" applyFont="1" applyFill="1" applyBorder="1" applyAlignment="1" applyProtection="1">
      <alignment horizontal="right" vertical="center" wrapText="1"/>
    </xf>
    <xf numFmtId="4" fontId="26" fillId="9" borderId="35" xfId="2" applyNumberFormat="1" applyFont="1" applyFill="1" applyBorder="1" applyAlignment="1" applyProtection="1">
      <alignment horizontal="right" vertical="center" wrapText="1"/>
    </xf>
    <xf numFmtId="164" fontId="29" fillId="4" borderId="22" xfId="3" applyNumberFormat="1" applyFont="1" applyBorder="1" applyAlignment="1" applyProtection="1">
      <alignment horizontal="center" vertical="center"/>
      <protection locked="0"/>
    </xf>
    <xf numFmtId="2" fontId="35" fillId="7" borderId="39" xfId="9" applyNumberFormat="1" applyFont="1" applyFill="1" applyBorder="1" applyAlignment="1">
      <alignment horizontal="center" vertical="center"/>
    </xf>
    <xf numFmtId="0" fontId="7" fillId="4" borderId="47" xfId="3" applyBorder="1" applyAlignment="1" applyProtection="1">
      <alignment horizontal="center" vertical="center"/>
      <protection locked="0"/>
    </xf>
    <xf numFmtId="0" fontId="36" fillId="7" borderId="41" xfId="1" applyFont="1" applyFill="1" applyBorder="1" applyAlignment="1" applyProtection="1">
      <alignment horizontal="left" vertical="center" wrapText="1"/>
    </xf>
    <xf numFmtId="0" fontId="36" fillId="7" borderId="26" xfId="1" applyFont="1" applyFill="1" applyBorder="1" applyAlignment="1" applyProtection="1">
      <alignment horizontal="left" vertical="center" wrapText="1"/>
    </xf>
    <xf numFmtId="0" fontId="36" fillId="7" borderId="27" xfId="1" applyFont="1" applyFill="1" applyBorder="1" applyAlignment="1" applyProtection="1">
      <alignment horizontal="left" vertical="center" wrapText="1"/>
    </xf>
    <xf numFmtId="166" fontId="28" fillId="10" borderId="6" xfId="0" applyNumberFormat="1" applyFont="1" applyFill="1" applyBorder="1" applyAlignment="1" applyProtection="1">
      <alignment horizontal="center" vertical="center"/>
    </xf>
    <xf numFmtId="166" fontId="28" fillId="10" borderId="24" xfId="0" applyNumberFormat="1" applyFont="1" applyFill="1" applyBorder="1" applyAlignment="1" applyProtection="1">
      <alignment horizontal="center" vertical="center"/>
    </xf>
    <xf numFmtId="166" fontId="28" fillId="10" borderId="7" xfId="0" applyNumberFormat="1" applyFont="1" applyFill="1" applyBorder="1" applyAlignment="1" applyProtection="1">
      <alignment horizontal="center" vertical="center"/>
    </xf>
    <xf numFmtId="0" fontId="7" fillId="4" borderId="42" xfId="3" applyBorder="1" applyAlignment="1" applyProtection="1">
      <alignment horizontal="center" vertical="center"/>
      <protection locked="0"/>
    </xf>
    <xf numFmtId="0" fontId="7" fillId="4" borderId="43" xfId="3" applyBorder="1" applyAlignment="1" applyProtection="1">
      <alignment horizontal="center" vertical="center"/>
      <protection locked="0"/>
    </xf>
    <xf numFmtId="0" fontId="7" fillId="4" borderId="44" xfId="3" applyBorder="1" applyAlignment="1" applyProtection="1">
      <alignment horizontal="center" vertical="center"/>
      <protection locked="0"/>
    </xf>
    <xf numFmtId="0" fontId="7" fillId="4" borderId="46" xfId="3" applyBorder="1" applyAlignment="1" applyProtection="1">
      <alignment horizontal="center" vertical="center"/>
      <protection locked="0"/>
    </xf>
    <xf numFmtId="0" fontId="34" fillId="11" borderId="0" xfId="10" applyFont="1" applyFill="1" applyAlignment="1">
      <alignment horizontal="left"/>
    </xf>
    <xf numFmtId="0" fontId="32" fillId="0" borderId="0" xfId="10" applyAlignment="1">
      <alignment horizontal="right"/>
    </xf>
    <xf numFmtId="166" fontId="37" fillId="0" borderId="0" xfId="1" applyNumberFormat="1" applyFont="1" applyFill="1" applyBorder="1" applyAlignment="1" applyProtection="1">
      <alignment horizontal="center"/>
    </xf>
    <xf numFmtId="43" fontId="11" fillId="0" borderId="0" xfId="0" applyNumberFormat="1" applyFont="1" applyProtection="1"/>
  </cellXfs>
  <cellStyles count="13">
    <cellStyle name="20% - Ênfase5" xfId="1" builtinId="46"/>
    <cellStyle name="20% - Ênfase6" xfId="2" builtinId="50"/>
    <cellStyle name="60% - Ênfase4" xfId="9" builtinId="44"/>
    <cellStyle name="Bom" xfId="3" builtinId="26"/>
    <cellStyle name="Currency 2" xfId="4" xr:uid="{00000000-0005-0000-0000-000003000000}"/>
    <cellStyle name="Hiperlink" xfId="5" builtinId="8"/>
    <cellStyle name="Moeda" xfId="8" builtinId="4"/>
    <cellStyle name="Normal" xfId="0" builtinId="0"/>
    <cellStyle name="Normal 2" xfId="10" xr:uid="{EB03302B-06AE-4B4A-8CDD-8E0164A0D6DD}"/>
    <cellStyle name="Porcentagem" xfId="6" builtinId="5"/>
    <cellStyle name="Porcentagem 2" xfId="11" xr:uid="{7D8C978D-36BB-49B3-99A9-4360915ADF5A}"/>
    <cellStyle name="Vírgula" xfId="7" builtinId="3"/>
    <cellStyle name="Vírgula 2" xfId="12" xr:uid="{9070E798-DDC1-47A4-81A3-52B2C2207A8B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2E5B"/>
      <color rgb="FFF5DC34"/>
      <color rgb="FFEEC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1</xdr:row>
      <xdr:rowOff>165990</xdr:rowOff>
    </xdr:from>
    <xdr:to>
      <xdr:col>0</xdr:col>
      <xdr:colOff>1936750</xdr:colOff>
      <xdr:row>6</xdr:row>
      <xdr:rowOff>223712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24BBC54-1808-40ED-991A-8DC26DC2F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350140"/>
          <a:ext cx="1638300" cy="1810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</xdr:row>
      <xdr:rowOff>140590</xdr:rowOff>
    </xdr:from>
    <xdr:to>
      <xdr:col>0</xdr:col>
      <xdr:colOff>1943100</xdr:colOff>
      <xdr:row>1</xdr:row>
      <xdr:rowOff>1950912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B85FC5-C187-4BB8-9D7A-69991CC1A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24740"/>
          <a:ext cx="1638300" cy="1810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0"/>
  <sheetViews>
    <sheetView tabSelected="1" zoomScaleNormal="100" zoomScaleSheetLayoutView="100" workbookViewId="0">
      <selection activeCell="J15" sqref="J15:J16"/>
    </sheetView>
  </sheetViews>
  <sheetFormatPr defaultColWidth="8.81640625" defaultRowHeight="14"/>
  <cols>
    <col min="1" max="1" width="33.7265625" style="3" customWidth="1"/>
    <col min="2" max="4" width="17.453125" style="3" customWidth="1"/>
    <col min="5" max="5" width="1.54296875" style="3" customWidth="1"/>
    <col min="6" max="6" width="17.453125" style="3" customWidth="1"/>
    <col min="7" max="7" width="19.1796875" style="3" customWidth="1"/>
    <col min="8" max="8" width="17.81640625" style="3" customWidth="1"/>
    <col min="9" max="9" width="38" style="3" customWidth="1"/>
    <col min="10" max="10" width="14" style="49" customWidth="1"/>
    <col min="11" max="11" width="10.6328125" style="49" bestFit="1" customWidth="1"/>
    <col min="12" max="13" width="10.6328125" style="3" bestFit="1" customWidth="1"/>
    <col min="14" max="16384" width="8.81640625" style="3"/>
  </cols>
  <sheetData>
    <row r="1" spans="1:257" ht="14.5" thickBot="1">
      <c r="A1" s="1" t="s">
        <v>12</v>
      </c>
      <c r="B1" s="2"/>
      <c r="C1" s="1" t="s">
        <v>12</v>
      </c>
      <c r="D1" s="2"/>
      <c r="E1" s="2"/>
      <c r="F1" s="2"/>
      <c r="G1" s="1" t="s">
        <v>12</v>
      </c>
      <c r="H1" s="2"/>
      <c r="I1" s="1"/>
      <c r="J1" s="48"/>
      <c r="K1" s="4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spans="1:257" ht="23" customHeight="1" thickTop="1" thickBot="1">
      <c r="A2" s="29"/>
    </row>
    <row r="3" spans="1:257" ht="15" thickTop="1" thickBot="1">
      <c r="A3" s="29"/>
      <c r="B3" s="4"/>
      <c r="C3" s="4"/>
      <c r="D3" s="5">
        <f>D4+(D4/3)</f>
        <v>4902.666666666667</v>
      </c>
      <c r="E3" s="5"/>
      <c r="F3" s="6" t="e">
        <f>IF((D3-K8)&gt;#REF!,((D3-K8)*#REF!)-#REF!,(IF((D3-K8)&gt;=#REF!,((D3-K8)*#REF!)-#REF!,IF((D3-K8)&gt;=#REF!,((D3-K8)*#REF!)-#REF!,IF(AND((D3-K8)&gt;#REF!,(D3-K8)&lt;=#REF!),((D3-K8)*#REF!)-#REF!,0)))))</f>
        <v>#REF!</v>
      </c>
      <c r="G3" s="6">
        <f>IF(D3&gt;'Tabela INSS salarios'!B5,'Tabela INSS salarios'!C5,(IF(D3&gt;'Tabela INSS salarios'!B4,D3*'Tabela INSS salarios'!A5,(IF(D3&gt;'Tabela INSS salarios'!B3,D3*'Tabela INSS salarios'!A4,D3*'Tabela INSS salarios'!A3)))))</f>
        <v>1044.8000000000002</v>
      </c>
      <c r="H3" s="4"/>
    </row>
    <row r="4" spans="1:257" s="7" customFormat="1" ht="31.5" customHeight="1" thickTop="1" thickBot="1">
      <c r="A4" s="30"/>
      <c r="B4" s="104" t="s">
        <v>18</v>
      </c>
      <c r="C4" s="104"/>
      <c r="D4" s="27">
        <v>3677</v>
      </c>
      <c r="E4" s="9"/>
      <c r="F4" s="11" t="s">
        <v>15</v>
      </c>
      <c r="G4" s="42"/>
      <c r="H4" s="110" t="s">
        <v>52</v>
      </c>
      <c r="I4" s="110"/>
      <c r="J4" s="49"/>
      <c r="K4" s="49"/>
    </row>
    <row r="5" spans="1:257" ht="15" thickTop="1" thickBot="1">
      <c r="A5" s="31"/>
      <c r="B5" s="8"/>
      <c r="C5" s="8"/>
      <c r="D5" s="8"/>
      <c r="E5" s="10"/>
      <c r="F5" s="8"/>
      <c r="G5" s="8"/>
    </row>
    <row r="6" spans="1:257" ht="53.5" customHeight="1" thickTop="1" thickBot="1">
      <c r="A6" s="32"/>
      <c r="B6" s="105" t="s">
        <v>10</v>
      </c>
      <c r="C6" s="106"/>
      <c r="D6" s="107"/>
      <c r="E6" s="12"/>
      <c r="F6" s="108" t="s">
        <v>33</v>
      </c>
      <c r="G6" s="106"/>
      <c r="H6" s="109"/>
    </row>
    <row r="7" spans="1:257" ht="34.5" customHeight="1" thickTop="1" thickBot="1">
      <c r="A7" s="33"/>
      <c r="B7" s="17" t="s">
        <v>19</v>
      </c>
      <c r="C7" s="18" t="s">
        <v>17</v>
      </c>
      <c r="D7" s="19" t="s">
        <v>32</v>
      </c>
      <c r="E7" s="13"/>
      <c r="F7" s="28" t="s">
        <v>38</v>
      </c>
      <c r="G7" s="21" t="s">
        <v>39</v>
      </c>
      <c r="H7" s="21" t="s">
        <v>37</v>
      </c>
      <c r="I7" s="21" t="s">
        <v>11</v>
      </c>
      <c r="K7" s="73" t="e">
        <f>IF((D4-K8)&gt;#REF!,((D4-K8)*#REF!)-#REF!,(IF((D4-K8)&gt;=#REF!,((D4-K8)*#REF!)-#REF!,IF((D4-K8)&gt;=#REF!,((D4-K8)*#REF!)-#REF!,IF(AND((D4-K8)&gt;#REF!,(D4-K8)&lt;=#REF!),((D4-K8)*#REF!)-#REF!,0)))))</f>
        <v>#REF!</v>
      </c>
    </row>
    <row r="8" spans="1:257" ht="15.5" thickTop="1" thickBot="1">
      <c r="A8" s="45" t="s">
        <v>16</v>
      </c>
      <c r="B8" s="35">
        <f>SUM(B10:B25)</f>
        <v>2749.9603500000003</v>
      </c>
      <c r="C8" s="35">
        <f>SUM(C10:C25)</f>
        <v>4510.1203500000001</v>
      </c>
      <c r="D8" s="36">
        <f>SUM(D10:D25)</f>
        <v>5524.391566666668</v>
      </c>
      <c r="E8" s="14"/>
      <c r="F8" s="37">
        <f>SUM(F10:F25)</f>
        <v>5495.5563499999998</v>
      </c>
      <c r="G8" s="35">
        <f>SUM(G10:G25)</f>
        <v>6254.480344444446</v>
      </c>
      <c r="H8" s="35">
        <f>SUM(H10:H25)</f>
        <v>6701.4401222222241</v>
      </c>
      <c r="I8" s="35"/>
      <c r="K8" s="129">
        <f>IF(D4&gt;'Tabela INSS salarios'!B5,'Tabela INSS salarios'!C5,(IF(D4&gt;'Tabela INSS salarios'!B4,D4*'Tabela INSS salarios'!A5,(IF(D4&gt;'Tabela INSS salarios'!B3,D4*'Tabela INSS salarios'!A4,D4*'Tabela INSS salarios'!A3)))))</f>
        <v>1044.8000000000002</v>
      </c>
    </row>
    <row r="9" spans="1:257" ht="15" thickTop="1" thickBot="1">
      <c r="A9" s="45" t="s">
        <v>8</v>
      </c>
      <c r="B9" s="38">
        <f>B8/$D$4-1</f>
        <v>-0.25211847973891754</v>
      </c>
      <c r="C9" s="38">
        <f>C8/$D$4-1</f>
        <v>0.22657610824041341</v>
      </c>
      <c r="D9" s="39">
        <f>D8/$D$4-1</f>
        <v>0.50241815791859334</v>
      </c>
      <c r="E9" s="40"/>
      <c r="F9" s="41">
        <f>F8/$D$4-1</f>
        <v>0.49457610824041343</v>
      </c>
      <c r="G9" s="38">
        <f>G8/$D$4-1</f>
        <v>0.70097371347414894</v>
      </c>
      <c r="H9" s="38">
        <f>H8/$D$4-1</f>
        <v>0.82252926902970458</v>
      </c>
      <c r="I9" s="38"/>
    </row>
    <row r="10" spans="1:257" ht="14.5" thickTop="1">
      <c r="A10" s="46" t="s">
        <v>22</v>
      </c>
      <c r="B10" s="20">
        <f>D4</f>
        <v>3677</v>
      </c>
      <c r="C10" s="20">
        <f>B10</f>
        <v>3677</v>
      </c>
      <c r="D10" s="34">
        <f>B10</f>
        <v>3677</v>
      </c>
      <c r="E10" s="15"/>
      <c r="F10" s="22">
        <f>C10</f>
        <v>3677</v>
      </c>
      <c r="G10" s="23">
        <f>D10</f>
        <v>3677</v>
      </c>
      <c r="H10" s="23">
        <f t="shared" ref="H10:H23" si="0">G10</f>
        <v>3677</v>
      </c>
      <c r="I10" s="23"/>
    </row>
    <row r="11" spans="1:257">
      <c r="A11" s="47" t="s">
        <v>5</v>
      </c>
      <c r="B11" s="16"/>
      <c r="C11" s="16"/>
      <c r="D11" s="26">
        <f>(D4/12)+((D4/12)/3)</f>
        <v>408.5555555555556</v>
      </c>
      <c r="E11" s="15"/>
      <c r="F11" s="24"/>
      <c r="G11" s="25">
        <f>D11</f>
        <v>408.5555555555556</v>
      </c>
      <c r="H11" s="25">
        <f t="shared" ref="H11:H20" si="1">G11</f>
        <v>408.5555555555556</v>
      </c>
      <c r="I11" s="70" t="s">
        <v>43</v>
      </c>
      <c r="J11" s="53"/>
      <c r="K11" s="54"/>
    </row>
    <row r="12" spans="1:257">
      <c r="A12" s="46" t="s">
        <v>9</v>
      </c>
      <c r="B12" s="20"/>
      <c r="C12" s="20"/>
      <c r="D12" s="34">
        <f>D4/12</f>
        <v>306.41666666666669</v>
      </c>
      <c r="E12" s="15"/>
      <c r="F12" s="43"/>
      <c r="G12" s="44">
        <f>D12</f>
        <v>306.41666666666669</v>
      </c>
      <c r="H12" s="44">
        <f t="shared" si="1"/>
        <v>306.41666666666669</v>
      </c>
      <c r="I12" s="70" t="s">
        <v>42</v>
      </c>
      <c r="J12" s="53"/>
      <c r="K12" s="54"/>
    </row>
    <row r="13" spans="1:257">
      <c r="A13" s="46" t="s">
        <v>21</v>
      </c>
      <c r="B13" s="20">
        <f>-MAX(0,(((D4+B14)*(LOOKUP(D4,'Tabela IRRF e INSS Pro-Labore'!$A$4:$A$8,'Tabela IRRF e INSS Pro-Labore'!$C$4:$C$8))-(LOOKUP(D4,'Tabela IRRF e INSS Pro-Labore'!A$4:$A$8,'Tabela IRRF e INSS Pro-Labore'!$D$4:$D$8)))))</f>
        <v>-140.69065000000001</v>
      </c>
      <c r="C13" s="20">
        <f>B13</f>
        <v>-140.69065000000001</v>
      </c>
      <c r="D13" s="34">
        <f>-MAX(0,(((SUM(D10:D12)+D14)*(LOOKUP(SUM(D10:D12),'Tabela IRRF e INSS Pro-Labore'!$A$4:$A$8,'Tabela IRRF e INSS Pro-Labore'!$C$4:$C$8))-(LOOKUP(SUM(D10:D12),'Tabela IRRF e INSS Pro-Labore'!A$4:$A$8,'Tabela IRRF e INSS Pro-Labore'!$D$4:$D$8)))))</f>
        <v>-245.45310000000006</v>
      </c>
      <c r="E13" s="15"/>
      <c r="F13" s="43">
        <f>B13</f>
        <v>-140.69065000000001</v>
      </c>
      <c r="G13" s="44">
        <f>D13</f>
        <v>-245.45310000000006</v>
      </c>
      <c r="H13" s="44">
        <f t="shared" si="1"/>
        <v>-245.45310000000006</v>
      </c>
      <c r="I13" s="70" t="s">
        <v>26</v>
      </c>
    </row>
    <row r="14" spans="1:257" ht="14.5" thickBot="1">
      <c r="A14" s="46" t="s">
        <v>23</v>
      </c>
      <c r="B14" s="20">
        <f>-'Tabela INSS salarios'!D8</f>
        <v>-373.72899999999998</v>
      </c>
      <c r="C14" s="20">
        <f>B14</f>
        <v>-373.72899999999998</v>
      </c>
      <c r="D14" s="34">
        <f>-'Tabela INSS salarios'!I8</f>
        <v>-473.82511111111103</v>
      </c>
      <c r="E14" s="15"/>
      <c r="F14" s="43">
        <f>B14</f>
        <v>-373.72899999999998</v>
      </c>
      <c r="G14" s="44">
        <f>D14</f>
        <v>-473.82511111111103</v>
      </c>
      <c r="H14" s="44">
        <f t="shared" si="1"/>
        <v>-473.82511111111103</v>
      </c>
      <c r="I14" s="70" t="s">
        <v>62</v>
      </c>
      <c r="J14" s="50"/>
    </row>
    <row r="15" spans="1:257" ht="14.5" customHeight="1" thickTop="1" thickBot="1">
      <c r="A15" s="47" t="s">
        <v>34</v>
      </c>
      <c r="B15" s="16"/>
      <c r="C15" s="16">
        <f>J15*22</f>
        <v>660</v>
      </c>
      <c r="D15" s="26">
        <f>C15</f>
        <v>660</v>
      </c>
      <c r="E15" s="15"/>
      <c r="F15" s="24">
        <f t="shared" ref="F15:F20" si="2">D15</f>
        <v>660</v>
      </c>
      <c r="G15" s="25">
        <f t="shared" ref="G15:G20" si="3">F15</f>
        <v>660</v>
      </c>
      <c r="H15" s="25">
        <f t="shared" si="1"/>
        <v>660</v>
      </c>
      <c r="I15" s="112" t="s">
        <v>27</v>
      </c>
      <c r="J15" s="114">
        <v>30</v>
      </c>
      <c r="K15" s="111">
        <v>0.2</v>
      </c>
    </row>
    <row r="16" spans="1:257" ht="14.5" customHeight="1" thickTop="1" thickBot="1">
      <c r="A16" s="47" t="s">
        <v>24</v>
      </c>
      <c r="B16" s="16">
        <f>C16</f>
        <v>-132</v>
      </c>
      <c r="C16" s="16">
        <f>-C15*K15</f>
        <v>-132</v>
      </c>
      <c r="D16" s="26">
        <f>B16</f>
        <v>-132</v>
      </c>
      <c r="E16" s="15"/>
      <c r="F16" s="24">
        <f t="shared" si="2"/>
        <v>-132</v>
      </c>
      <c r="G16" s="25">
        <f t="shared" si="3"/>
        <v>-132</v>
      </c>
      <c r="H16" s="25">
        <f t="shared" si="1"/>
        <v>-132</v>
      </c>
      <c r="I16" s="113"/>
      <c r="J16" s="114"/>
      <c r="K16" s="111"/>
    </row>
    <row r="17" spans="1:11" ht="14.5" customHeight="1" thickTop="1" thickBot="1">
      <c r="A17" s="47" t="s">
        <v>35</v>
      </c>
      <c r="B17" s="16"/>
      <c r="C17" s="16">
        <f>J17*22</f>
        <v>506</v>
      </c>
      <c r="D17" s="26">
        <f>C17</f>
        <v>506</v>
      </c>
      <c r="E17" s="15"/>
      <c r="F17" s="24">
        <f t="shared" si="2"/>
        <v>506</v>
      </c>
      <c r="G17" s="25">
        <f t="shared" si="3"/>
        <v>506</v>
      </c>
      <c r="H17" s="25">
        <f t="shared" si="1"/>
        <v>506</v>
      </c>
      <c r="I17" s="112" t="s">
        <v>28</v>
      </c>
      <c r="J17" s="114">
        <v>23</v>
      </c>
      <c r="K17" s="51"/>
    </row>
    <row r="18" spans="1:11" ht="14" customHeight="1" thickTop="1" thickBot="1">
      <c r="A18" s="47" t="s">
        <v>25</v>
      </c>
      <c r="B18" s="16">
        <f>-IF(D4*0.06&gt;J17*22,J17*22,D4*0.06)</f>
        <v>-220.62</v>
      </c>
      <c r="C18" s="16">
        <f>B18</f>
        <v>-220.62</v>
      </c>
      <c r="D18" s="26">
        <f>C18</f>
        <v>-220.62</v>
      </c>
      <c r="E18" s="15"/>
      <c r="F18" s="24">
        <f t="shared" si="2"/>
        <v>-220.62</v>
      </c>
      <c r="G18" s="25">
        <f t="shared" si="3"/>
        <v>-220.62</v>
      </c>
      <c r="H18" s="25">
        <f t="shared" si="1"/>
        <v>-220.62</v>
      </c>
      <c r="I18" s="113"/>
      <c r="J18" s="114"/>
      <c r="K18" s="51"/>
    </row>
    <row r="19" spans="1:11" ht="15" thickTop="1" thickBot="1">
      <c r="A19" s="47" t="s">
        <v>29</v>
      </c>
      <c r="B19" s="16"/>
      <c r="C19" s="16">
        <f>J19</f>
        <v>300</v>
      </c>
      <c r="D19" s="26">
        <f>C19</f>
        <v>300</v>
      </c>
      <c r="E19" s="15"/>
      <c r="F19" s="24">
        <f t="shared" si="2"/>
        <v>300</v>
      </c>
      <c r="G19" s="25">
        <f t="shared" si="3"/>
        <v>300</v>
      </c>
      <c r="H19" s="25">
        <f t="shared" si="1"/>
        <v>300</v>
      </c>
      <c r="I19" s="112" t="s">
        <v>31</v>
      </c>
      <c r="J19" s="114">
        <v>300</v>
      </c>
      <c r="K19" s="111">
        <v>0.2</v>
      </c>
    </row>
    <row r="20" spans="1:11" ht="15" thickTop="1" thickBot="1">
      <c r="A20" s="47" t="s">
        <v>30</v>
      </c>
      <c r="B20" s="16">
        <f>-(J19*K19)</f>
        <v>-60</v>
      </c>
      <c r="C20" s="16">
        <f>B20</f>
        <v>-60</v>
      </c>
      <c r="D20" s="26">
        <f>C20</f>
        <v>-60</v>
      </c>
      <c r="E20" s="15"/>
      <c r="F20" s="24">
        <f t="shared" si="2"/>
        <v>-60</v>
      </c>
      <c r="G20" s="25">
        <f t="shared" si="3"/>
        <v>-60</v>
      </c>
      <c r="H20" s="25">
        <f t="shared" si="1"/>
        <v>-60</v>
      </c>
      <c r="I20" s="113"/>
      <c r="J20" s="114"/>
      <c r="K20" s="111"/>
    </row>
    <row r="21" spans="1:11" ht="14.5" thickTop="1">
      <c r="A21" s="47" t="s">
        <v>13</v>
      </c>
      <c r="B21" s="16">
        <f>-J21*K21</f>
        <v>0</v>
      </c>
      <c r="C21" s="16">
        <f>J21-(J21*K21)</f>
        <v>0</v>
      </c>
      <c r="D21" s="26">
        <f>C21</f>
        <v>0</v>
      </c>
      <c r="E21" s="15"/>
      <c r="F21" s="24">
        <f>C21</f>
        <v>0</v>
      </c>
      <c r="G21" s="25">
        <f>C21</f>
        <v>0</v>
      </c>
      <c r="H21" s="25">
        <f>C21</f>
        <v>0</v>
      </c>
      <c r="I21" s="71" t="s">
        <v>41</v>
      </c>
      <c r="J21" s="52">
        <v>0</v>
      </c>
      <c r="K21" s="55">
        <v>0.1</v>
      </c>
    </row>
    <row r="22" spans="1:11">
      <c r="A22" s="47" t="s">
        <v>6</v>
      </c>
      <c r="B22" s="16"/>
      <c r="C22" s="16">
        <f>C10*0.08</f>
        <v>294.16000000000003</v>
      </c>
      <c r="D22" s="26">
        <f>(D10+D11+D12)*0.08</f>
        <v>351.35777777777781</v>
      </c>
      <c r="E22" s="15"/>
      <c r="F22" s="24">
        <f>C22</f>
        <v>294.16000000000003</v>
      </c>
      <c r="G22" s="25">
        <f>D22</f>
        <v>351.35777777777781</v>
      </c>
      <c r="H22" s="25">
        <f t="shared" si="0"/>
        <v>351.35777777777781</v>
      </c>
      <c r="I22" s="71" t="s">
        <v>40</v>
      </c>
    </row>
    <row r="23" spans="1:11">
      <c r="A23" s="47" t="s">
        <v>0</v>
      </c>
      <c r="B23" s="16"/>
      <c r="C23" s="16"/>
      <c r="D23" s="26"/>
      <c r="E23" s="15"/>
      <c r="F23" s="24">
        <f>IF(G4="SIM",0,(D4*0.268))</f>
        <v>985.43600000000004</v>
      </c>
      <c r="G23" s="25">
        <f>F23+I26</f>
        <v>1177.0485555555556</v>
      </c>
      <c r="H23" s="25">
        <f t="shared" si="0"/>
        <v>1177.0485555555556</v>
      </c>
      <c r="I23" s="71" t="str">
        <f>IF(G14="SIM","isento se Simples Nacional, exceto Anexo IV","20% de INSS mais 6,8% sistema SAT = 26,8%")</f>
        <v>20% de INSS mais 6,8% sistema SAT = 26,8%</v>
      </c>
    </row>
    <row r="24" spans="1:11">
      <c r="A24" s="56" t="s">
        <v>7</v>
      </c>
      <c r="B24" s="57"/>
      <c r="C24" s="57"/>
      <c r="D24" s="58">
        <f>D4/12</f>
        <v>306.41666666666669</v>
      </c>
      <c r="E24" s="15"/>
      <c r="F24" s="59"/>
      <c r="G24" s="60"/>
      <c r="H24" s="60">
        <f>D24</f>
        <v>306.41666666666669</v>
      </c>
      <c r="I24" s="72"/>
    </row>
    <row r="25" spans="1:11" ht="14.5" thickBot="1">
      <c r="A25" s="56" t="s">
        <v>14</v>
      </c>
      <c r="B25" s="57"/>
      <c r="C25" s="57"/>
      <c r="D25" s="58">
        <f>D22*0.4</f>
        <v>140.54311111111113</v>
      </c>
      <c r="E25" s="15"/>
      <c r="F25" s="59"/>
      <c r="G25" s="60"/>
      <c r="H25" s="60">
        <f>H22*0.4</f>
        <v>140.54311111111113</v>
      </c>
      <c r="I25" s="72" t="s">
        <v>36</v>
      </c>
    </row>
    <row r="26" spans="1:11" s="61" customFormat="1" ht="15" thickTop="1">
      <c r="A26" s="63"/>
      <c r="B26" s="64" t="e">
        <f>G26+H26</f>
        <v>#REF!</v>
      </c>
      <c r="C26" s="64">
        <f>IF(K8=J14,0,D26+F26)</f>
        <v>174.13333333333335</v>
      </c>
      <c r="D26" s="65">
        <f>G3/12</f>
        <v>87.066666666666677</v>
      </c>
      <c r="E26" s="65"/>
      <c r="F26" s="66">
        <f>K8/12</f>
        <v>87.066666666666677</v>
      </c>
      <c r="G26" s="63" t="e">
        <f>F3/12</f>
        <v>#REF!</v>
      </c>
      <c r="H26" s="63" t="e">
        <f>K7/12</f>
        <v>#REF!</v>
      </c>
      <c r="I26" s="67">
        <f>IF(G4="SIM",0,(D11+D12)*0.268)</f>
        <v>191.61255555555559</v>
      </c>
      <c r="J26" s="62"/>
      <c r="K26" s="62"/>
    </row>
    <row r="27" spans="1:11" s="61" customFormat="1" ht="15" customHeight="1">
      <c r="A27" s="68"/>
      <c r="B27" s="68"/>
      <c r="C27" s="68"/>
      <c r="D27" s="68"/>
      <c r="E27" s="68"/>
      <c r="F27" s="68"/>
      <c r="G27" s="68"/>
      <c r="H27" s="68"/>
      <c r="I27" s="69"/>
      <c r="J27" s="62"/>
      <c r="K27" s="62"/>
    </row>
    <row r="30" spans="1:11">
      <c r="B30" s="130"/>
    </row>
  </sheetData>
  <mergeCells count="12">
    <mergeCell ref="I17:I18"/>
    <mergeCell ref="J17:J18"/>
    <mergeCell ref="I19:I20"/>
    <mergeCell ref="J19:J20"/>
    <mergeCell ref="K19:K20"/>
    <mergeCell ref="B4:C4"/>
    <mergeCell ref="B6:D6"/>
    <mergeCell ref="F6:H6"/>
    <mergeCell ref="H4:I4"/>
    <mergeCell ref="K15:K16"/>
    <mergeCell ref="I15:I16"/>
    <mergeCell ref="J15:J16"/>
  </mergeCells>
  <phoneticPr fontId="3" type="noConversion"/>
  <printOptions horizontalCentered="1" verticalCentered="1"/>
  <pageMargins left="0.39370078740157483" right="0.39370078740157483" top="0.39370078740157483" bottom="0.39370078740157483" header="0" footer="0"/>
  <pageSetup paperSize="9" scale="82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1ECF-35C7-4C6B-AA4C-B1F1EE3BB28D}">
  <dimension ref="A1:IW10"/>
  <sheetViews>
    <sheetView zoomScaleNormal="100" zoomScaleSheetLayoutView="100" workbookViewId="0">
      <selection activeCell="G6" sqref="G6"/>
    </sheetView>
  </sheetViews>
  <sheetFormatPr defaultColWidth="8.81640625" defaultRowHeight="14"/>
  <cols>
    <col min="1" max="1" width="46.453125" style="3" customWidth="1"/>
    <col min="2" max="2" width="4.81640625" style="3" hidden="1" customWidth="1"/>
    <col min="3" max="3" width="6.26953125" style="3" hidden="1" customWidth="1"/>
    <col min="4" max="4" width="17.453125" style="3" customWidth="1"/>
    <col min="5" max="5" width="21" style="3" customWidth="1"/>
    <col min="6" max="6" width="17.453125" style="3" customWidth="1"/>
    <col min="7" max="7" width="19.1796875" style="3" customWidth="1"/>
    <col min="8" max="8" width="17.81640625" style="3" customWidth="1"/>
    <col min="9" max="9" width="38" style="3" customWidth="1"/>
    <col min="10" max="10" width="14" style="49" customWidth="1"/>
    <col min="11" max="11" width="10.6328125" style="49" bestFit="1" customWidth="1"/>
    <col min="12" max="13" width="10.6328125" style="3" bestFit="1" customWidth="1"/>
    <col min="14" max="16384" width="8.81640625" style="3"/>
  </cols>
  <sheetData>
    <row r="1" spans="1:257" ht="14.5" thickBot="1">
      <c r="A1" s="1" t="s">
        <v>12</v>
      </c>
      <c r="B1" s="2"/>
      <c r="C1" s="1" t="s">
        <v>12</v>
      </c>
      <c r="D1" s="2"/>
      <c r="E1" s="2"/>
      <c r="F1" s="2"/>
      <c r="G1" s="1" t="s">
        <v>12</v>
      </c>
      <c r="H1" s="2"/>
      <c r="I1" s="1"/>
      <c r="J1" s="48"/>
      <c r="K1" s="4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spans="1:257" ht="169.5" customHeight="1" thickTop="1" thickBot="1">
      <c r="A2" s="29"/>
    </row>
    <row r="3" spans="1:257" s="61" customFormat="1" ht="34.5" customHeight="1" thickTop="1">
      <c r="A3" s="117" t="s">
        <v>68</v>
      </c>
      <c r="B3" s="118"/>
      <c r="C3" s="118"/>
      <c r="D3" s="118"/>
      <c r="E3" s="118"/>
      <c r="F3" s="118"/>
      <c r="G3" s="118"/>
      <c r="H3" s="118"/>
      <c r="I3" s="119"/>
      <c r="J3" s="62"/>
      <c r="K3" s="62"/>
    </row>
    <row r="4" spans="1:257" s="87" customFormat="1" ht="17" customHeight="1" thickBot="1">
      <c r="A4" s="120" t="s">
        <v>53</v>
      </c>
      <c r="B4" s="121"/>
      <c r="C4" s="122"/>
      <c r="D4" s="84" t="s">
        <v>54</v>
      </c>
      <c r="E4" s="85" t="s">
        <v>55</v>
      </c>
      <c r="F4" s="85" t="s">
        <v>56</v>
      </c>
      <c r="G4" s="84" t="s">
        <v>20</v>
      </c>
      <c r="H4" s="85" t="s">
        <v>57</v>
      </c>
      <c r="I4" s="85" t="s">
        <v>58</v>
      </c>
      <c r="J4" s="86"/>
      <c r="K4" s="86"/>
    </row>
    <row r="5" spans="1:257" ht="16" thickTop="1">
      <c r="A5" s="123" t="s">
        <v>61</v>
      </c>
      <c r="B5" s="124"/>
      <c r="C5" s="125"/>
      <c r="D5" s="92">
        <v>2000</v>
      </c>
      <c r="E5" s="93" t="s">
        <v>69</v>
      </c>
      <c r="F5" s="93">
        <v>0</v>
      </c>
      <c r="G5" s="94">
        <f>MAX(0,(((D5-F5*'Tabela IRRF e INSS Pro-Labore'!$D$9)-H5)*(LOOKUP(D5,'Tabela IRRF e INSS Pro-Labore'!$A$4:$A$8,'Tabela IRRF e INSS Pro-Labore'!$C$4:$C$8))-(LOOKUP(D5,'Tabela IRRF e INSS Pro-Labore'!A$4:$A$8,'Tabela IRRF e INSS Pro-Labore'!$D$4:$D$8))))</f>
        <v>7.1999999999999886</v>
      </c>
      <c r="H5" s="94">
        <f>IF(E5="sim",0,IF(D5&gt;'Tabela IRRF e INSS Pro-Labore'!B13,'Tabela IRRF e INSS Pro-Labore'!B13*'Tabela IRRF e INSS Pro-Labore'!C13,D5*0.11))</f>
        <v>0</v>
      </c>
      <c r="I5" s="95">
        <f>D5-G5-H5</f>
        <v>1992.8</v>
      </c>
    </row>
    <row r="6" spans="1:257" ht="15.5">
      <c r="A6" s="126"/>
      <c r="B6" s="126"/>
      <c r="C6" s="126"/>
      <c r="D6" s="96"/>
      <c r="E6" s="97" t="s">
        <v>59</v>
      </c>
      <c r="F6" s="97">
        <v>0</v>
      </c>
      <c r="G6" s="98">
        <f>MAX(0,(((D6-F6*'Tabela IRRF e INSS Pro-Labore'!$D$9)-H6)*(LOOKUP(D6,'Tabela IRRF e INSS Pro-Labore'!$A$4:$A$8,'Tabela IRRF e INSS Pro-Labore'!$C$4:$C$8))-(LOOKUP(D6,'Tabela IRRF e INSS Pro-Labore'!A$4:$A$8,'Tabela IRRF e INSS Pro-Labore'!$D$4:$D$8))))</f>
        <v>0</v>
      </c>
      <c r="H6" s="98">
        <f>IF(E6="sim",0,IF(D6&gt;'Tabela IRRF e INSS Pro-Labore'!B14,'Tabela IRRF e INSS Pro-Labore'!B14*'Tabela IRRF e INSS Pro-Labore'!C14,D6*0.11))</f>
        <v>0</v>
      </c>
      <c r="I6" s="99">
        <f t="shared" ref="I6:I9" si="0">D6-G6-H6</f>
        <v>0</v>
      </c>
    </row>
    <row r="7" spans="1:257" ht="15.5">
      <c r="A7" s="126"/>
      <c r="B7" s="126"/>
      <c r="C7" s="126"/>
      <c r="D7" s="96"/>
      <c r="E7" s="97" t="s">
        <v>59</v>
      </c>
      <c r="F7" s="97">
        <v>0</v>
      </c>
      <c r="G7" s="98">
        <f>MAX(0,(((D7-F7*'Tabela IRRF e INSS Pro-Labore'!$D$9)-H7)*(LOOKUP(D7,'Tabela IRRF e INSS Pro-Labore'!$A$4:$A$8,'Tabela IRRF e INSS Pro-Labore'!$C$4:$C$8))-(LOOKUP(D7,'Tabela IRRF e INSS Pro-Labore'!A$4:$A$8,'Tabela IRRF e INSS Pro-Labore'!$D$4:$D$8))))</f>
        <v>0</v>
      </c>
      <c r="H7" s="98">
        <f>IF(E7="sim",0,IF(D7&gt;'Tabela IRRF e INSS Pro-Labore'!B15,'Tabela IRRF e INSS Pro-Labore'!B15*'Tabela IRRF e INSS Pro-Labore'!C15,D7*0.11))</f>
        <v>0</v>
      </c>
      <c r="I7" s="99">
        <f t="shared" si="0"/>
        <v>0</v>
      </c>
    </row>
    <row r="8" spans="1:257" ht="15.5">
      <c r="A8" s="126"/>
      <c r="B8" s="126"/>
      <c r="C8" s="126"/>
      <c r="D8" s="96"/>
      <c r="E8" s="97" t="s">
        <v>59</v>
      </c>
      <c r="F8" s="97">
        <v>0</v>
      </c>
      <c r="G8" s="98">
        <f>MAX(0,(((D8-F8*'Tabela IRRF e INSS Pro-Labore'!$D$9)-H8)*(LOOKUP(D8,'Tabela IRRF e INSS Pro-Labore'!$A$4:$A$8,'Tabela IRRF e INSS Pro-Labore'!$C$4:$C$8))-(LOOKUP(D8,'Tabela IRRF e INSS Pro-Labore'!A$4:$A$8,'Tabela IRRF e INSS Pro-Labore'!$D$4:$D$8))))</f>
        <v>0</v>
      </c>
      <c r="H8" s="98">
        <f>IF(E8="sim",0,IF(D8&gt;'Tabela IRRF e INSS Pro-Labore'!B16,'Tabela IRRF e INSS Pro-Labore'!B16*'Tabela IRRF e INSS Pro-Labore'!C16,D8*0.11))</f>
        <v>0</v>
      </c>
      <c r="I8" s="99">
        <f t="shared" si="0"/>
        <v>0</v>
      </c>
    </row>
    <row r="9" spans="1:257" ht="15.5">
      <c r="A9" s="116"/>
      <c r="B9" s="116"/>
      <c r="C9" s="116"/>
      <c r="D9" s="100"/>
      <c r="E9" s="101" t="s">
        <v>59</v>
      </c>
      <c r="F9" s="101">
        <v>0</v>
      </c>
      <c r="G9" s="102">
        <f>MAX(0,(((D9-F9*'Tabela IRRF e INSS Pro-Labore'!$D$9)-H9)*(LOOKUP(D9,'Tabela IRRF e INSS Pro-Labore'!$A$4:$A$8,'Tabela IRRF e INSS Pro-Labore'!$C$4:$C$8))-(LOOKUP(D9,'Tabela IRRF e INSS Pro-Labore'!A$4:$A$8,'Tabela IRRF e INSS Pro-Labore'!$D$4:$D$8))))</f>
        <v>0</v>
      </c>
      <c r="H9" s="102">
        <f>IF(E9="sim",0,IF(D9&gt;'Tabela IRRF e INSS Pro-Labore'!B17,'Tabela IRRF e INSS Pro-Labore'!B17*'Tabela IRRF e INSS Pro-Labore'!C17,D9*0.11))</f>
        <v>0</v>
      </c>
      <c r="I9" s="103">
        <f t="shared" si="0"/>
        <v>0</v>
      </c>
    </row>
    <row r="10" spans="1:257" ht="15.5">
      <c r="A10" s="115" t="s">
        <v>60</v>
      </c>
      <c r="B10" s="115"/>
      <c r="C10" s="115"/>
      <c r="D10" s="88">
        <f>SUM(D5:D9)</f>
        <v>2000</v>
      </c>
      <c r="E10" s="89"/>
      <c r="F10" s="90">
        <f>SUM(F5:F9)</f>
        <v>0</v>
      </c>
      <c r="G10" s="89">
        <f>SUM(G5:G9)</f>
        <v>7.1999999999999886</v>
      </c>
      <c r="H10" s="89">
        <f>SUM(H5:H9)</f>
        <v>0</v>
      </c>
      <c r="I10" s="91">
        <f>SUM(I5:I9)</f>
        <v>1992.8</v>
      </c>
    </row>
  </sheetData>
  <mergeCells count="8">
    <mergeCell ref="A10:C10"/>
    <mergeCell ref="A9:C9"/>
    <mergeCell ref="A3:I3"/>
    <mergeCell ref="A4:C4"/>
    <mergeCell ref="A5:C5"/>
    <mergeCell ref="A6:C6"/>
    <mergeCell ref="A7:C7"/>
    <mergeCell ref="A8:C8"/>
  </mergeCells>
  <dataValidations count="1">
    <dataValidation type="list" allowBlank="1" showInputMessage="1" showErrorMessage="1" sqref="E5:E9" xr:uid="{C2D94D9F-0A00-42E2-A949-E1143F7E84F4}">
      <formula1>"sim,não"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2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8FCB-ABFB-4716-95FD-DA863233329E}">
  <dimension ref="A2:D13"/>
  <sheetViews>
    <sheetView workbookViewId="0">
      <selection activeCell="C4" sqref="C4:C8"/>
    </sheetView>
  </sheetViews>
  <sheetFormatPr defaultColWidth="9.6328125" defaultRowHeight="15.5"/>
  <cols>
    <col min="1" max="1" width="18.36328125" style="78" customWidth="1"/>
    <col min="2" max="2" width="24.08984375" style="78" customWidth="1"/>
    <col min="3" max="3" width="8.1796875" style="78" bestFit="1" customWidth="1"/>
    <col min="4" max="4" width="16.1796875" style="78" bestFit="1" customWidth="1"/>
    <col min="5" max="16384" width="9.6328125" style="78"/>
  </cols>
  <sheetData>
    <row r="2" spans="1:4" ht="21">
      <c r="A2" s="127" t="s">
        <v>67</v>
      </c>
      <c r="B2" s="127"/>
      <c r="C2" s="127"/>
      <c r="D2" s="127"/>
    </row>
    <row r="3" spans="1:4">
      <c r="A3" s="82" t="s">
        <v>66</v>
      </c>
      <c r="B3" s="82" t="s">
        <v>65</v>
      </c>
      <c r="C3" s="82" t="s">
        <v>1</v>
      </c>
      <c r="D3" s="82" t="s">
        <v>2</v>
      </c>
    </row>
    <row r="4" spans="1:4">
      <c r="A4" s="81">
        <v>0</v>
      </c>
      <c r="B4" s="81">
        <v>1903.98</v>
      </c>
      <c r="C4" s="80">
        <v>0</v>
      </c>
      <c r="D4" s="79">
        <v>0</v>
      </c>
    </row>
    <row r="5" spans="1:4">
      <c r="A5" s="81">
        <v>1903.99</v>
      </c>
      <c r="B5" s="81">
        <v>2826.65</v>
      </c>
      <c r="C5" s="83">
        <v>7.4999999999999997E-2</v>
      </c>
      <c r="D5" s="79">
        <v>142.80000000000001</v>
      </c>
    </row>
    <row r="6" spans="1:4">
      <c r="A6" s="81">
        <v>2826.66</v>
      </c>
      <c r="B6" s="81">
        <v>3751.05</v>
      </c>
      <c r="C6" s="83">
        <v>0.15</v>
      </c>
      <c r="D6" s="79">
        <v>354.8</v>
      </c>
    </row>
    <row r="7" spans="1:4">
      <c r="A7" s="81">
        <v>3751.06</v>
      </c>
      <c r="B7" s="81">
        <v>4664.68</v>
      </c>
      <c r="C7" s="83">
        <v>0.22500000000000001</v>
      </c>
      <c r="D7" s="79">
        <v>636.13</v>
      </c>
    </row>
    <row r="8" spans="1:4">
      <c r="A8" s="81">
        <v>4664.68</v>
      </c>
      <c r="B8" s="81">
        <v>99999999</v>
      </c>
      <c r="C8" s="83">
        <v>0.27500000000000002</v>
      </c>
      <c r="D8" s="79">
        <v>869.36</v>
      </c>
    </row>
    <row r="9" spans="1:4">
      <c r="A9" s="128" t="s">
        <v>64</v>
      </c>
      <c r="B9" s="128"/>
      <c r="C9" s="128"/>
      <c r="D9" s="79">
        <v>189.59</v>
      </c>
    </row>
    <row r="11" spans="1:4" ht="21">
      <c r="A11" s="127" t="s">
        <v>63</v>
      </c>
      <c r="B11" s="127"/>
      <c r="C11" s="127"/>
      <c r="D11" s="127"/>
    </row>
    <row r="12" spans="1:4">
      <c r="A12" s="82"/>
      <c r="B12" s="82" t="s">
        <v>4</v>
      </c>
      <c r="C12" s="82" t="s">
        <v>1</v>
      </c>
      <c r="D12" s="82"/>
    </row>
    <row r="13" spans="1:4">
      <c r="A13" s="81"/>
      <c r="B13" s="81">
        <v>5839.45</v>
      </c>
      <c r="C13" s="80">
        <v>0.11</v>
      </c>
      <c r="D13" s="79"/>
    </row>
  </sheetData>
  <mergeCells count="3">
    <mergeCell ref="A2:D2"/>
    <mergeCell ref="A11:D11"/>
    <mergeCell ref="A9:C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opLeftCell="A4" zoomScale="220" zoomScaleNormal="220" workbookViewId="0">
      <selection activeCell="A18" sqref="A18"/>
    </sheetView>
  </sheetViews>
  <sheetFormatPr defaultColWidth="11.453125" defaultRowHeight="14.5"/>
  <cols>
    <col min="1" max="1" width="20.26953125" customWidth="1"/>
    <col min="2" max="2" width="10.54296875" bestFit="1" customWidth="1"/>
    <col min="3" max="4" width="11.453125" style="76"/>
  </cols>
  <sheetData>
    <row r="1" spans="1:9">
      <c r="A1" t="s">
        <v>3</v>
      </c>
    </row>
    <row r="2" spans="1:9">
      <c r="A2" t="s">
        <v>1</v>
      </c>
      <c r="B2" t="s">
        <v>50</v>
      </c>
      <c r="C2" s="76" t="s">
        <v>49</v>
      </c>
      <c r="D2" s="76" t="s">
        <v>48</v>
      </c>
      <c r="F2" t="s">
        <v>1</v>
      </c>
      <c r="G2" t="s">
        <v>50</v>
      </c>
      <c r="H2" s="76" t="s">
        <v>49</v>
      </c>
      <c r="I2" s="76" t="s">
        <v>48</v>
      </c>
    </row>
    <row r="3" spans="1:9">
      <c r="A3" s="74">
        <v>7.4999999999999997E-2</v>
      </c>
      <c r="B3">
        <v>1045</v>
      </c>
      <c r="D3" s="76">
        <f>IF($B$8&lt;=B3,$B$8*A3,B3*A3)</f>
        <v>78.375</v>
      </c>
      <c r="F3" s="74">
        <v>7.4999999999999997E-2</v>
      </c>
      <c r="G3">
        <v>1045</v>
      </c>
      <c r="H3" s="76"/>
      <c r="I3" s="76">
        <f>IF($B$12&lt;=G3,$B$12*F3,G3*F3)</f>
        <v>78.375</v>
      </c>
    </row>
    <row r="4" spans="1:9">
      <c r="A4" s="74">
        <v>0.09</v>
      </c>
      <c r="B4">
        <v>2089.6</v>
      </c>
      <c r="C4" s="76">
        <f>IF($B$8&lt;B3,0,IF(($B$8-B3)&gt;(B4-B3),B4-B3,$B$8-B3))</f>
        <v>1044.5999999999999</v>
      </c>
      <c r="D4" s="76">
        <f>C4*A4</f>
        <v>94.013999999999982</v>
      </c>
      <c r="F4" s="74">
        <v>0.09</v>
      </c>
      <c r="G4">
        <v>2089.6</v>
      </c>
      <c r="H4" s="76">
        <f>IF($B$12&lt;G3,0,IF(($B$12-G3)&gt;(G4-G3),G4-G3,$B$12-G3))</f>
        <v>1044.5999999999999</v>
      </c>
      <c r="I4" s="76">
        <f>H4*F4</f>
        <v>94.013999999999982</v>
      </c>
    </row>
    <row r="5" spans="1:9">
      <c r="A5" s="74">
        <v>0.12</v>
      </c>
      <c r="B5">
        <v>3134.4</v>
      </c>
      <c r="C5" s="76">
        <f>IF($B$8&lt;B4,0,IF(($B$8-B4)&gt;(B5-B4),B5-B4,$B$8-B4))</f>
        <v>1044.8000000000002</v>
      </c>
      <c r="D5" s="76">
        <f>C5*A5</f>
        <v>125.37600000000002</v>
      </c>
      <c r="F5" s="74">
        <v>0.12</v>
      </c>
      <c r="G5">
        <v>3134.4</v>
      </c>
      <c r="H5" s="76">
        <f>IF($B$12&lt;G4,0,IF(($B$12-G4)&gt;(G5-G4),G5-G4,$B$12-G4))</f>
        <v>1044.8000000000002</v>
      </c>
      <c r="I5" s="76">
        <f>H5*F5</f>
        <v>125.37600000000002</v>
      </c>
    </row>
    <row r="6" spans="1:9">
      <c r="A6" s="74">
        <v>0.14000000000000001</v>
      </c>
      <c r="B6">
        <v>6101.06</v>
      </c>
      <c r="C6" s="76">
        <f>IF($B$8&lt;B5,0,IF(($B$8-B5)&gt;(B6-B5),B6-B5,$B$8-B5))</f>
        <v>542.59999999999991</v>
      </c>
      <c r="D6" s="76">
        <f>C6*A6</f>
        <v>75.963999999999999</v>
      </c>
      <c r="E6" s="75"/>
      <c r="F6" s="74">
        <v>0.14000000000000001</v>
      </c>
      <c r="G6">
        <v>6101.06</v>
      </c>
      <c r="H6" s="76">
        <f>IF($B$12&lt;G5,0,IF(($B$12-G5)&gt;(G6-G5),G6-G5,$B$12-G5))</f>
        <v>1257.5722222222216</v>
      </c>
      <c r="I6" s="76">
        <f>H6*F6</f>
        <v>176.06011111111104</v>
      </c>
    </row>
    <row r="8" spans="1:9">
      <c r="A8" t="s">
        <v>44</v>
      </c>
      <c r="B8" s="75">
        <f>'folha de pagamento'!D4</f>
        <v>3677</v>
      </c>
      <c r="C8" s="77" t="s">
        <v>47</v>
      </c>
      <c r="D8" s="76">
        <f>SUM(D3:D6)</f>
        <v>373.72899999999998</v>
      </c>
      <c r="H8" t="s">
        <v>47</v>
      </c>
      <c r="I8" s="75">
        <f>SUM(I3:I6)</f>
        <v>473.82511111111103</v>
      </c>
    </row>
    <row r="9" spans="1:9">
      <c r="A9" t="s">
        <v>5</v>
      </c>
      <c r="B9" s="75">
        <f>B8/12</f>
        <v>306.41666666666669</v>
      </c>
    </row>
    <row r="10" spans="1:9">
      <c r="A10" t="s">
        <v>46</v>
      </c>
      <c r="B10" s="75">
        <f>B9/3</f>
        <v>102.1388888888889</v>
      </c>
    </row>
    <row r="11" spans="1:9">
      <c r="A11" t="s">
        <v>45</v>
      </c>
      <c r="B11" s="75">
        <f>B8/12</f>
        <v>306.41666666666669</v>
      </c>
    </row>
    <row r="12" spans="1:9">
      <c r="A12" t="s">
        <v>51</v>
      </c>
      <c r="B12" s="75">
        <f>SUM(B8:B11)</f>
        <v>4391.9722222222217</v>
      </c>
      <c r="C12" s="77"/>
    </row>
    <row r="16" spans="1:9">
      <c r="A16" s="74"/>
      <c r="B16" s="76"/>
    </row>
  </sheetData>
  <pageMargins left="0.78740157499999996" right="0.78740157499999996" top="0.984251969" bottom="0.984251969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folha de pagamento</vt:lpstr>
      <vt:lpstr>pro-labore</vt:lpstr>
      <vt:lpstr>Tabela IRRF e INSS Pro-Labore</vt:lpstr>
      <vt:lpstr>Tabela INSS salarios</vt:lpstr>
      <vt:lpstr>'folha de pagamento'!Area_de_impressao</vt:lpstr>
      <vt:lpstr>'pro-labore'!Area_de_impressao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castrojr</dc:creator>
  <cp:lastModifiedBy>Alvaro Castro</cp:lastModifiedBy>
  <cp:lastPrinted>2009-06-19T23:59:03Z</cp:lastPrinted>
  <dcterms:created xsi:type="dcterms:W3CDTF">2009-06-19T22:44:27Z</dcterms:created>
  <dcterms:modified xsi:type="dcterms:W3CDTF">2020-04-09T17:57:00Z</dcterms:modified>
</cp:coreProperties>
</file>