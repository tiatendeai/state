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af2\AC\Temp\"/>
    </mc:Choice>
  </mc:AlternateContent>
  <bookViews>
    <workbookView xWindow="0" yWindow="1485" windowWidth="8880" windowHeight="3855" activeTab="1" xr2:uid="{00000000-000D-0000-FFFF-FFFF00000000}"/>
  </bookViews>
  <sheets>
    <sheet name="LEIA-ME" sheetId="2" r:id="rId1"/>
    <sheet name="analise_balanco" sheetId="1" r:id="rId2"/>
  </sheets>
  <calcPr calcId="171026"/>
</workbook>
</file>

<file path=xl/calcChain.xml><?xml version="1.0" encoding="utf-8"?>
<calcChain xmlns="http://schemas.openxmlformats.org/spreadsheetml/2006/main">
  <c r="G6" i="1" l="1"/>
  <c r="J6" i="1"/>
  <c r="M6" i="1"/>
  <c r="D8" i="1"/>
  <c r="G8" i="1"/>
  <c r="I8" i="1"/>
  <c r="J8" i="1"/>
  <c r="L8" i="1"/>
  <c r="M8" i="1"/>
  <c r="O8" i="1"/>
  <c r="I9" i="1"/>
  <c r="L9" i="1"/>
  <c r="O9" i="1"/>
  <c r="I10" i="1"/>
  <c r="L10" i="1"/>
  <c r="O10" i="1"/>
  <c r="I11" i="1"/>
  <c r="L11" i="1"/>
  <c r="O11" i="1"/>
  <c r="D12" i="1"/>
  <c r="D7" i="1"/>
  <c r="G12" i="1"/>
  <c r="I12" i="1"/>
  <c r="J12" i="1"/>
  <c r="M12" i="1"/>
  <c r="M7" i="1"/>
  <c r="O12" i="1"/>
  <c r="I13" i="1"/>
  <c r="L13" i="1"/>
  <c r="O13" i="1"/>
  <c r="I14" i="1"/>
  <c r="L14" i="1"/>
  <c r="O14" i="1"/>
  <c r="D16" i="1"/>
  <c r="D19" i="1"/>
  <c r="D15" i="1"/>
  <c r="G16" i="1"/>
  <c r="I16" i="1"/>
  <c r="J16" i="1"/>
  <c r="J19" i="1"/>
  <c r="J15" i="1"/>
  <c r="M16" i="1"/>
  <c r="O16" i="1"/>
  <c r="I17" i="1"/>
  <c r="L17" i="1"/>
  <c r="O17" i="1"/>
  <c r="I18" i="1"/>
  <c r="L18" i="1"/>
  <c r="O18" i="1"/>
  <c r="G19" i="1"/>
  <c r="L19" i="1"/>
  <c r="M19" i="1"/>
  <c r="I20" i="1"/>
  <c r="L20" i="1"/>
  <c r="O20" i="1"/>
  <c r="I21" i="1"/>
  <c r="L21" i="1"/>
  <c r="O21" i="1"/>
  <c r="I22" i="1"/>
  <c r="L22" i="1"/>
  <c r="O22" i="1"/>
  <c r="I23" i="1"/>
  <c r="L23" i="1"/>
  <c r="O23" i="1"/>
  <c r="D25" i="1"/>
  <c r="G25" i="1"/>
  <c r="G30" i="1"/>
  <c r="G32" i="1"/>
  <c r="G37" i="1"/>
  <c r="J25" i="1"/>
  <c r="L25" i="1"/>
  <c r="M25" i="1"/>
  <c r="O25" i="1"/>
  <c r="I26" i="1"/>
  <c r="L26" i="1"/>
  <c r="O26" i="1"/>
  <c r="I27" i="1"/>
  <c r="L27" i="1"/>
  <c r="O27" i="1"/>
  <c r="I28" i="1"/>
  <c r="L28" i="1"/>
  <c r="O28" i="1"/>
  <c r="I29" i="1"/>
  <c r="L29" i="1"/>
  <c r="O29" i="1"/>
  <c r="D30" i="1"/>
  <c r="I30" i="1"/>
  <c r="J30" i="1"/>
  <c r="L30" i="1"/>
  <c r="M30" i="1"/>
  <c r="O30" i="1"/>
  <c r="I31" i="1"/>
  <c r="L31" i="1"/>
  <c r="O31" i="1"/>
  <c r="D32" i="1"/>
  <c r="J32" i="1"/>
  <c r="L32" i="1"/>
  <c r="M32" i="1"/>
  <c r="O32" i="1"/>
  <c r="I33" i="1"/>
  <c r="L33" i="1"/>
  <c r="O33" i="1"/>
  <c r="I34" i="1"/>
  <c r="L34" i="1"/>
  <c r="O34" i="1"/>
  <c r="I35" i="1"/>
  <c r="L35" i="1"/>
  <c r="O35" i="1"/>
  <c r="I36" i="1"/>
  <c r="L36" i="1"/>
  <c r="O36" i="1"/>
  <c r="D40" i="1"/>
  <c r="E42" i="1"/>
  <c r="G40" i="1"/>
  <c r="H41" i="1"/>
  <c r="J40" i="1"/>
  <c r="K41" i="1"/>
  <c r="M40" i="1"/>
  <c r="N42" i="1"/>
  <c r="E41" i="1"/>
  <c r="I41" i="1"/>
  <c r="L41" i="1"/>
  <c r="O41" i="1"/>
  <c r="H42" i="1"/>
  <c r="I42" i="1"/>
  <c r="L42" i="1"/>
  <c r="O42" i="1"/>
  <c r="I43" i="1"/>
  <c r="L43" i="1"/>
  <c r="O43" i="1"/>
  <c r="D44" i="1"/>
  <c r="E44" i="1"/>
  <c r="G44" i="1"/>
  <c r="H44" i="1"/>
  <c r="I44" i="1"/>
  <c r="J44" i="1"/>
  <c r="L44" i="1"/>
  <c r="K44" i="1"/>
  <c r="M44" i="1"/>
  <c r="O44" i="1"/>
  <c r="E45" i="1"/>
  <c r="I45" i="1"/>
  <c r="L45" i="1"/>
  <c r="N45" i="1"/>
  <c r="O45" i="1"/>
  <c r="H46" i="1"/>
  <c r="I46" i="1"/>
  <c r="L46" i="1"/>
  <c r="O46" i="1"/>
  <c r="D48" i="1"/>
  <c r="G48" i="1"/>
  <c r="I48" i="1"/>
  <c r="H48" i="1"/>
  <c r="J48" i="1"/>
  <c r="K48" i="1"/>
  <c r="L48" i="1"/>
  <c r="M48" i="1"/>
  <c r="O48" i="1"/>
  <c r="E49" i="1"/>
  <c r="I49" i="1"/>
  <c r="L49" i="1"/>
  <c r="N49" i="1"/>
  <c r="O49" i="1"/>
  <c r="H50" i="1"/>
  <c r="I50" i="1"/>
  <c r="L50" i="1"/>
  <c r="O50" i="1"/>
  <c r="I51" i="1"/>
  <c r="L51" i="1"/>
  <c r="N51" i="1"/>
  <c r="O51" i="1"/>
  <c r="E52" i="1"/>
  <c r="I52" i="1"/>
  <c r="L52" i="1"/>
  <c r="O52" i="1"/>
  <c r="H53" i="1"/>
  <c r="I53" i="1"/>
  <c r="L53" i="1"/>
  <c r="O53" i="1"/>
  <c r="G55" i="1"/>
  <c r="I55" i="1"/>
  <c r="H55" i="1"/>
  <c r="J55" i="1"/>
  <c r="K55" i="1"/>
  <c r="M55" i="1"/>
  <c r="O55" i="1"/>
  <c r="H56" i="1"/>
  <c r="I56" i="1"/>
  <c r="L56" i="1"/>
  <c r="O56" i="1"/>
  <c r="I57" i="1"/>
  <c r="L57" i="1"/>
  <c r="N57" i="1"/>
  <c r="O57" i="1"/>
  <c r="H58" i="1"/>
  <c r="I58" i="1"/>
  <c r="L58" i="1"/>
  <c r="O58" i="1"/>
  <c r="I19" i="1"/>
  <c r="M15" i="1"/>
  <c r="O15" i="1"/>
  <c r="K58" i="1"/>
  <c r="J7" i="1"/>
  <c r="E58" i="1"/>
  <c r="K50" i="1"/>
  <c r="E48" i="1"/>
  <c r="D47" i="1"/>
  <c r="D54" i="1"/>
  <c r="K46" i="1"/>
  <c r="E43" i="1"/>
  <c r="K42" i="1"/>
  <c r="D37" i="1"/>
  <c r="E30" i="1"/>
  <c r="I25" i="1"/>
  <c r="O19" i="1"/>
  <c r="L16" i="1"/>
  <c r="G15" i="1"/>
  <c r="L12" i="1"/>
  <c r="G7" i="1"/>
  <c r="K43" i="1"/>
  <c r="L40" i="1"/>
  <c r="J37" i="1"/>
  <c r="K32" i="1"/>
  <c r="K57" i="1"/>
  <c r="N55" i="1"/>
  <c r="E55" i="1"/>
  <c r="K56" i="1"/>
  <c r="K53" i="1"/>
  <c r="E50" i="1"/>
  <c r="J47" i="1"/>
  <c r="K47" i="1"/>
  <c r="E46" i="1"/>
  <c r="K45" i="1"/>
  <c r="H43" i="1"/>
  <c r="M37" i="1"/>
  <c r="N27" i="1"/>
  <c r="L47" i="1"/>
  <c r="J54" i="1"/>
  <c r="L54" i="1"/>
  <c r="N25" i="1"/>
  <c r="N29" i="1"/>
  <c r="N33" i="1"/>
  <c r="N35" i="1"/>
  <c r="N32" i="1"/>
  <c r="N36" i="1"/>
  <c r="N34" i="1"/>
  <c r="N31" i="1"/>
  <c r="N28" i="1"/>
  <c r="K27" i="1"/>
  <c r="K30" i="1"/>
  <c r="K31" i="1"/>
  <c r="K35" i="1"/>
  <c r="K29" i="1"/>
  <c r="K33" i="1"/>
  <c r="K25" i="1"/>
  <c r="K26" i="1"/>
  <c r="K34" i="1"/>
  <c r="K28" i="1"/>
  <c r="K36" i="1"/>
  <c r="G24" i="1"/>
  <c r="H17" i="1"/>
  <c r="H15" i="1"/>
  <c r="E47" i="1"/>
  <c r="N30" i="1"/>
  <c r="E25" i="1"/>
  <c r="E27" i="1"/>
  <c r="E33" i="1"/>
  <c r="H9" i="1"/>
  <c r="H13" i="1"/>
  <c r="H19" i="1"/>
  <c r="H21" i="1"/>
  <c r="H11" i="1"/>
  <c r="H20" i="1"/>
  <c r="H10" i="1"/>
  <c r="H18" i="1"/>
  <c r="H22" i="1"/>
  <c r="H12" i="1"/>
  <c r="H8" i="1"/>
  <c r="J59" i="1"/>
  <c r="K54" i="1"/>
  <c r="H7" i="1"/>
  <c r="K59" i="1"/>
  <c r="M24" i="1"/>
  <c r="O7" i="1"/>
  <c r="E54" i="1"/>
  <c r="D59" i="1"/>
  <c r="E59" i="1"/>
  <c r="J24" i="1"/>
  <c r="L15" i="1"/>
  <c r="L59" i="1"/>
  <c r="H33" i="1"/>
  <c r="I37" i="1"/>
  <c r="H35" i="1"/>
  <c r="H31" i="1"/>
  <c r="H36" i="1"/>
  <c r="H28" i="1"/>
  <c r="H34" i="1"/>
  <c r="H29" i="1"/>
  <c r="H30" i="1"/>
  <c r="H27" i="1"/>
  <c r="H25" i="1"/>
  <c r="H32" i="1"/>
  <c r="H26" i="1"/>
  <c r="I15" i="1"/>
  <c r="D24" i="1"/>
  <c r="E7" i="1"/>
  <c r="I7" i="1"/>
  <c r="L7" i="1"/>
  <c r="E32" i="1"/>
  <c r="E35" i="1"/>
  <c r="E36" i="1"/>
  <c r="L55" i="1"/>
  <c r="I32" i="1"/>
  <c r="N41" i="1"/>
  <c r="K16" i="1"/>
  <c r="H16" i="1"/>
  <c r="H14" i="1"/>
  <c r="H23" i="1"/>
  <c r="E26" i="1"/>
  <c r="E31" i="1"/>
  <c r="E28" i="1"/>
  <c r="L37" i="1"/>
  <c r="O37" i="1"/>
  <c r="N26" i="1"/>
  <c r="N43" i="1"/>
  <c r="K49" i="1"/>
  <c r="E57" i="1"/>
  <c r="N44" i="1"/>
  <c r="M47" i="1"/>
  <c r="E51" i="1"/>
  <c r="K51" i="1"/>
  <c r="N56" i="1"/>
  <c r="E56" i="1"/>
  <c r="N52" i="1"/>
  <c r="H52" i="1"/>
  <c r="N50" i="1"/>
  <c r="H49" i="1"/>
  <c r="G47" i="1"/>
  <c r="O40" i="1"/>
  <c r="I40" i="1"/>
  <c r="E29" i="1"/>
  <c r="E34" i="1"/>
  <c r="N48" i="1"/>
  <c r="N58" i="1"/>
  <c r="H57" i="1"/>
  <c r="N53" i="1"/>
  <c r="E53" i="1"/>
  <c r="K52" i="1"/>
  <c r="H51" i="1"/>
  <c r="N46" i="1"/>
  <c r="H45" i="1"/>
  <c r="K7" i="1"/>
  <c r="K11" i="1"/>
  <c r="K21" i="1"/>
  <c r="K20" i="1"/>
  <c r="K12" i="1"/>
  <c r="K8" i="1"/>
  <c r="K23" i="1"/>
  <c r="K9" i="1"/>
  <c r="L24" i="1"/>
  <c r="K18" i="1"/>
  <c r="K17" i="1"/>
  <c r="K13" i="1"/>
  <c r="K22" i="1"/>
  <c r="K10" i="1"/>
  <c r="K14" i="1"/>
  <c r="K19" i="1"/>
  <c r="N15" i="1"/>
  <c r="N9" i="1"/>
  <c r="O24" i="1"/>
  <c r="N14" i="1"/>
  <c r="N23" i="1"/>
  <c r="N8" i="1"/>
  <c r="N17" i="1"/>
  <c r="N20" i="1"/>
  <c r="N22" i="1"/>
  <c r="N12" i="1"/>
  <c r="N21" i="1"/>
  <c r="N10" i="1"/>
  <c r="N11" i="1"/>
  <c r="N19" i="1"/>
  <c r="N13" i="1"/>
  <c r="N16" i="1"/>
  <c r="N18" i="1"/>
  <c r="H47" i="1"/>
  <c r="I47" i="1"/>
  <c r="G54" i="1"/>
  <c r="N7" i="1"/>
  <c r="N47" i="1"/>
  <c r="O47" i="1"/>
  <c r="M54" i="1"/>
  <c r="E20" i="1"/>
  <c r="E9" i="1"/>
  <c r="E10" i="1"/>
  <c r="E12" i="1"/>
  <c r="E14" i="1"/>
  <c r="E18" i="1"/>
  <c r="E22" i="1"/>
  <c r="E17" i="1"/>
  <c r="E8" i="1"/>
  <c r="I24" i="1"/>
  <c r="E16" i="1"/>
  <c r="E21" i="1"/>
  <c r="E11" i="1"/>
  <c r="E19" i="1"/>
  <c r="E13" i="1"/>
  <c r="E23" i="1"/>
  <c r="K15" i="1"/>
  <c r="E15" i="1"/>
  <c r="H54" i="1"/>
  <c r="I54" i="1"/>
  <c r="G59" i="1"/>
  <c r="M59" i="1"/>
  <c r="O54" i="1"/>
  <c r="N54" i="1"/>
  <c r="I59" i="1"/>
  <c r="H59" i="1"/>
  <c r="N59" i="1"/>
  <c r="O59" i="1"/>
</calcChain>
</file>

<file path=xl/sharedStrings.xml><?xml version="1.0" encoding="utf-8"?>
<sst xmlns="http://schemas.openxmlformats.org/spreadsheetml/2006/main" count="69" uniqueCount="54">
  <si>
    <t>HV</t>
  </si>
  <si>
    <t>HH</t>
  </si>
  <si>
    <t>ATIVO CIRCULANTE</t>
  </si>
  <si>
    <t>Disponível</t>
  </si>
  <si>
    <t xml:space="preserve">     Caixa</t>
  </si>
  <si>
    <t xml:space="preserve">     Bancos Conta Corrente</t>
  </si>
  <si>
    <t xml:space="preserve">     Bancos Conta Aplicações</t>
  </si>
  <si>
    <t>Realizável</t>
  </si>
  <si>
    <t xml:space="preserve">     Clientes</t>
  </si>
  <si>
    <t xml:space="preserve">     Estoques</t>
  </si>
  <si>
    <t>Investimentos</t>
  </si>
  <si>
    <t xml:space="preserve">     Consórcios</t>
  </si>
  <si>
    <t xml:space="preserve">     Títulos de capitalização</t>
  </si>
  <si>
    <t>Imobilizado</t>
  </si>
  <si>
    <t xml:space="preserve">      Móveis, utensílios e máquinas</t>
  </si>
  <si>
    <t xml:space="preserve">      Máquinas e equipamentos de produção</t>
  </si>
  <si>
    <t xml:space="preserve">      Equipamentos de Informática</t>
  </si>
  <si>
    <t xml:space="preserve">      (-) Depreciações</t>
  </si>
  <si>
    <t>TOTAL DO ATIVO</t>
  </si>
  <si>
    <t>PASSIVO CIRCULANTE</t>
  </si>
  <si>
    <t xml:space="preserve">     Fornecedores</t>
  </si>
  <si>
    <t xml:space="preserve">     Obrigações Trabalhistas</t>
  </si>
  <si>
    <t xml:space="preserve">     Obrigações Tributárias</t>
  </si>
  <si>
    <t xml:space="preserve">     Financiamentos</t>
  </si>
  <si>
    <t>PATRIMÔNIO LÍQUIDO</t>
  </si>
  <si>
    <t xml:space="preserve">     Capital Social</t>
  </si>
  <si>
    <t xml:space="preserve">     Reservas Legais</t>
  </si>
  <si>
    <t xml:space="preserve">          Reservas de Lucros</t>
  </si>
  <si>
    <t xml:space="preserve">          Lucros Acumulados</t>
  </si>
  <si>
    <t>TOTAL DO PASSIVO</t>
  </si>
  <si>
    <t>DEMONSTRAÇÃO DE RESULTADOS</t>
  </si>
  <si>
    <t>Receita com Vendas</t>
  </si>
  <si>
    <t>Receita de serviços</t>
  </si>
  <si>
    <t>Industrializações</t>
  </si>
  <si>
    <t>Custo dos produtos vendidos</t>
  </si>
  <si>
    <t>Impostos incidentes</t>
  </si>
  <si>
    <t>LUCRO OPERACIONAL BRUTO</t>
  </si>
  <si>
    <t>DESPESAS OPERACIONAIS</t>
  </si>
  <si>
    <t>Despesas Administrativas</t>
  </si>
  <si>
    <t>Despesas com vendas</t>
  </si>
  <si>
    <t>Despesas financeiras</t>
  </si>
  <si>
    <t>Despesas tributárias</t>
  </si>
  <si>
    <t>Despesas indedutíveis</t>
  </si>
  <si>
    <t>LUCRO OPERACIONAL LÍQUIDO</t>
  </si>
  <si>
    <t>RECEITAS NÃO OPERACIONAIS</t>
  </si>
  <si>
    <t>Indenizações de seguros</t>
  </si>
  <si>
    <t>Receitas financeiras</t>
  </si>
  <si>
    <t>Receitas c/Desimobilizações</t>
  </si>
  <si>
    <t>LUCRO LÍQUIDO DO EXERCÍCIO</t>
  </si>
  <si>
    <t>RECEITA OPERACIONAL LIQUIDA</t>
  </si>
  <si>
    <t>DEDUÇÕES DA RECEITA LIQUIDA</t>
  </si>
  <si>
    <t xml:space="preserve">BALANÇO PATRIMONIAL / ANO </t>
  </si>
  <si>
    <t>PASSIVO NÃO-CIRCULANTE</t>
  </si>
  <si>
    <t>ATIVO NÃO-CIRCULANTE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</si>
</sst>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7F79B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4">
    <xf numFmtId="0" fontId="0" fillId="0" borderId="0" xfId="0"/>
    <xf numFmtId="0" fontId="0" fillId="2" borderId="0" xfId="0" applyFill="1" applyProtection="1">
      <protection hidden="1"/>
    </xf>
    <xf numFmtId="0" fontId="4" fillId="5" borderId="1" xfId="0" applyFont="1" applyFill="1" applyBorder="1" applyAlignment="1" applyProtection="1">
      <alignment horizontal="center"/>
      <protection hidden="1"/>
    </xf>
    <xf numFmtId="9" fontId="4" fillId="5" borderId="1" xfId="1" applyFont="1" applyFill="1" applyBorder="1" applyAlignment="1" applyProtection="1">
      <alignment horizontal="center"/>
      <protection hidden="1"/>
    </xf>
    <xf numFmtId="17" fontId="4" fillId="5" borderId="1" xfId="0" applyNumberFormat="1" applyFont="1" applyFill="1" applyBorder="1" applyAlignment="1" applyProtection="1">
      <alignment horizontal="center"/>
      <protection hidden="1"/>
    </xf>
    <xf numFmtId="4" fontId="4" fillId="5" borderId="1" xfId="0" applyNumberFormat="1" applyFont="1" applyFill="1" applyBorder="1" applyAlignment="1" applyProtection="1">
      <alignment horizontal="center"/>
      <protection hidden="1"/>
    </xf>
    <xf numFmtId="4" fontId="2" fillId="3" borderId="1" xfId="0" applyNumberFormat="1" applyFont="1" applyFill="1" applyBorder="1" applyProtection="1">
      <protection hidden="1"/>
    </xf>
    <xf numFmtId="9" fontId="2" fillId="3" borderId="1" xfId="1" applyFont="1" applyFill="1" applyBorder="1" applyProtection="1">
      <protection hidden="1"/>
    </xf>
    <xf numFmtId="4" fontId="2" fillId="3" borderId="1" xfId="2" applyNumberFormat="1" applyFont="1" applyFill="1" applyBorder="1" applyProtection="1">
      <protection hidden="1"/>
    </xf>
    <xf numFmtId="4" fontId="0" fillId="4" borderId="5" xfId="0" applyNumberFormat="1" applyFill="1" applyBorder="1" applyProtection="1">
      <protection hidden="1"/>
    </xf>
    <xf numFmtId="9" fontId="0" fillId="3" borderId="5" xfId="1" applyFont="1" applyFill="1" applyBorder="1" applyProtection="1">
      <protection hidden="1"/>
    </xf>
    <xf numFmtId="9" fontId="2" fillId="3" borderId="5" xfId="1" applyFont="1" applyFill="1" applyBorder="1" applyProtection="1">
      <protection hidden="1"/>
    </xf>
    <xf numFmtId="9" fontId="3" fillId="3" borderId="5" xfId="1" applyFont="1" applyFill="1" applyBorder="1" applyProtection="1">
      <protection hidden="1"/>
    </xf>
    <xf numFmtId="4" fontId="2" fillId="3" borderId="5" xfId="0" applyNumberFormat="1" applyFont="1" applyFill="1" applyBorder="1" applyProtection="1">
      <protection hidden="1"/>
    </xf>
    <xf numFmtId="4" fontId="0" fillId="3" borderId="5" xfId="2" applyNumberFormat="1" applyFont="1" applyFill="1" applyBorder="1" applyProtection="1">
      <protection hidden="1"/>
    </xf>
    <xf numFmtId="4" fontId="0" fillId="4" borderId="8" xfId="0" applyNumberFormat="1" applyFill="1" applyBorder="1" applyProtection="1">
      <protection hidden="1"/>
    </xf>
    <xf numFmtId="9" fontId="0" fillId="3" borderId="8" xfId="1" applyFont="1" applyFill="1" applyBorder="1" applyProtection="1">
      <protection hidden="1"/>
    </xf>
    <xf numFmtId="9" fontId="2" fillId="3" borderId="8" xfId="1" applyFont="1" applyFill="1" applyBorder="1" applyProtection="1">
      <protection hidden="1"/>
    </xf>
    <xf numFmtId="9" fontId="3" fillId="3" borderId="8" xfId="1" applyFont="1" applyFill="1" applyBorder="1" applyProtection="1">
      <protection hidden="1"/>
    </xf>
    <xf numFmtId="4" fontId="2" fillId="3" borderId="8" xfId="0" applyNumberFormat="1" applyFont="1" applyFill="1" applyBorder="1" applyProtection="1">
      <protection hidden="1"/>
    </xf>
    <xf numFmtId="4" fontId="0" fillId="3" borderId="8" xfId="2" applyNumberFormat="1" applyFont="1" applyFill="1" applyBorder="1" applyProtection="1">
      <protection hidden="1"/>
    </xf>
    <xf numFmtId="4" fontId="0" fillId="4" borderId="11" xfId="0" applyNumberFormat="1" applyFill="1" applyBorder="1" applyProtection="1">
      <protection hidden="1"/>
    </xf>
    <xf numFmtId="9" fontId="0" fillId="3" borderId="11" xfId="1" applyFont="1" applyFill="1" applyBorder="1" applyProtection="1">
      <protection hidden="1"/>
    </xf>
    <xf numFmtId="9" fontId="2" fillId="3" borderId="11" xfId="1" applyFont="1" applyFill="1" applyBorder="1" applyProtection="1">
      <protection hidden="1"/>
    </xf>
    <xf numFmtId="2" fontId="0" fillId="4" borderId="11" xfId="0" applyNumberFormat="1" applyFill="1" applyBorder="1" applyProtection="1">
      <protection hidden="1"/>
    </xf>
    <xf numFmtId="9" fontId="3" fillId="3" borderId="11" xfId="1" applyFont="1" applyFill="1" applyBorder="1" applyProtection="1">
      <protection hidden="1"/>
    </xf>
    <xf numFmtId="4" fontId="2" fillId="3" borderId="11" xfId="0" applyNumberFormat="1" applyFont="1" applyFill="1" applyBorder="1" applyProtection="1">
      <protection hidden="1"/>
    </xf>
    <xf numFmtId="4" fontId="0" fillId="3" borderId="11" xfId="2" applyNumberFormat="1" applyFont="1" applyFill="1" applyBorder="1" applyProtection="1">
      <protection hidden="1"/>
    </xf>
    <xf numFmtId="2" fontId="0" fillId="4" borderId="5" xfId="0" applyNumberFormat="1" applyFill="1" applyBorder="1" applyProtection="1">
      <protection hidden="1"/>
    </xf>
    <xf numFmtId="4" fontId="4" fillId="6" borderId="1" xfId="0" applyNumberFormat="1" applyFont="1" applyFill="1" applyBorder="1" applyProtection="1">
      <protection hidden="1"/>
    </xf>
    <xf numFmtId="9" fontId="4" fillId="6" borderId="1" xfId="1" applyFont="1" applyFill="1" applyBorder="1" applyProtection="1">
      <protection hidden="1"/>
    </xf>
    <xf numFmtId="4" fontId="4" fillId="6" borderId="1" xfId="2" applyNumberFormat="1" applyFont="1" applyFill="1" applyBorder="1" applyProtection="1">
      <protection hidden="1"/>
    </xf>
    <xf numFmtId="4" fontId="3" fillId="4" borderId="5" xfId="0" applyNumberFormat="1" applyFont="1" applyFill="1" applyBorder="1" applyProtection="1">
      <protection hidden="1"/>
    </xf>
    <xf numFmtId="4" fontId="3" fillId="4" borderId="8" xfId="0" applyNumberFormat="1" applyFont="1" applyFill="1" applyBorder="1" applyProtection="1">
      <protection hidden="1"/>
    </xf>
    <xf numFmtId="4" fontId="3" fillId="4" borderId="11" xfId="0" applyNumberFormat="1" applyFont="1" applyFill="1" applyBorder="1" applyProtection="1">
      <protection hidden="1"/>
    </xf>
    <xf numFmtId="4" fontId="0" fillId="4" borderId="13" xfId="0" applyNumberFormat="1" applyFill="1" applyBorder="1" applyProtection="1">
      <protection hidden="1"/>
    </xf>
    <xf numFmtId="9" fontId="0" fillId="3" borderId="13" xfId="1" applyFont="1" applyFill="1" applyBorder="1" applyProtection="1">
      <protection hidden="1"/>
    </xf>
    <xf numFmtId="9" fontId="2" fillId="3" borderId="13" xfId="1" applyFont="1" applyFill="1" applyBorder="1" applyProtection="1">
      <protection hidden="1"/>
    </xf>
    <xf numFmtId="9" fontId="3" fillId="3" borderId="13" xfId="1" applyFont="1" applyFill="1" applyBorder="1" applyProtection="1">
      <protection hidden="1"/>
    </xf>
    <xf numFmtId="4" fontId="2" fillId="3" borderId="13" xfId="0" applyNumberFormat="1" applyFont="1" applyFill="1" applyBorder="1" applyProtection="1">
      <protection hidden="1"/>
    </xf>
    <xf numFmtId="4" fontId="0" fillId="3" borderId="13" xfId="2" applyNumberFormat="1" applyFont="1" applyFill="1" applyBorder="1" applyProtection="1">
      <protection hidden="1"/>
    </xf>
    <xf numFmtId="4" fontId="4" fillId="6" borderId="14" xfId="0" applyNumberFormat="1" applyFont="1" applyFill="1" applyBorder="1" applyProtection="1">
      <protection hidden="1"/>
    </xf>
    <xf numFmtId="9" fontId="4" fillId="6" borderId="14" xfId="1" applyFont="1" applyFill="1" applyBorder="1" applyProtection="1">
      <protection hidden="1"/>
    </xf>
    <xf numFmtId="4" fontId="4" fillId="6" borderId="14" xfId="2" applyNumberFormat="1" applyFont="1" applyFill="1" applyBorder="1" applyProtection="1">
      <protection hidden="1"/>
    </xf>
    <xf numFmtId="0" fontId="0" fillId="2" borderId="12" xfId="0" applyFill="1" applyBorder="1" applyProtection="1">
      <protection hidden="1"/>
    </xf>
    <xf numFmtId="9" fontId="0" fillId="2" borderId="12" xfId="1" applyFont="1" applyFill="1" applyBorder="1" applyProtection="1">
      <protection hidden="1"/>
    </xf>
    <xf numFmtId="4" fontId="2" fillId="2" borderId="12" xfId="0" applyNumberFormat="1" applyFont="1" applyFill="1" applyBorder="1" applyProtection="1">
      <protection hidden="1"/>
    </xf>
    <xf numFmtId="4" fontId="0" fillId="2" borderId="16" xfId="2" applyNumberFormat="1" applyFont="1" applyFill="1" applyBorder="1" applyProtection="1">
      <protection hidden="1"/>
    </xf>
    <xf numFmtId="3" fontId="4" fillId="5" borderId="17" xfId="0" applyNumberFormat="1" applyFont="1" applyFill="1" applyBorder="1" applyAlignment="1" applyProtection="1">
      <alignment horizontal="center"/>
      <protection hidden="1"/>
    </xf>
    <xf numFmtId="9" fontId="4" fillId="5" borderId="17" xfId="1" applyFont="1" applyFill="1" applyBorder="1" applyAlignment="1" applyProtection="1">
      <alignment horizontal="center"/>
      <protection hidden="1"/>
    </xf>
    <xf numFmtId="17" fontId="4" fillId="5" borderId="17" xfId="0" applyNumberFormat="1" applyFont="1" applyFill="1" applyBorder="1" applyAlignment="1" applyProtection="1">
      <alignment horizontal="center"/>
      <protection hidden="1"/>
    </xf>
    <xf numFmtId="164" fontId="0" fillId="4" borderId="5" xfId="2" applyFont="1" applyFill="1" applyBorder="1" applyProtection="1">
      <protection hidden="1"/>
    </xf>
    <xf numFmtId="0" fontId="0" fillId="3" borderId="5" xfId="1" applyNumberFormat="1" applyFont="1" applyFill="1" applyBorder="1" applyProtection="1">
      <protection hidden="1"/>
    </xf>
    <xf numFmtId="164" fontId="0" fillId="4" borderId="8" xfId="2" applyFont="1" applyFill="1" applyBorder="1" applyProtection="1">
      <protection hidden="1"/>
    </xf>
    <xf numFmtId="0" fontId="0" fillId="3" borderId="8" xfId="1" applyNumberFormat="1" applyFont="1" applyFill="1" applyBorder="1" applyProtection="1">
      <protection hidden="1"/>
    </xf>
    <xf numFmtId="164" fontId="0" fillId="4" borderId="11" xfId="2" applyFont="1" applyFill="1" applyBorder="1" applyProtection="1">
      <protection hidden="1"/>
    </xf>
    <xf numFmtId="0" fontId="0" fillId="3" borderId="11" xfId="1" applyNumberFormat="1" applyFont="1" applyFill="1" applyBorder="1" applyProtection="1">
      <protection hidden="1"/>
    </xf>
    <xf numFmtId="0" fontId="2" fillId="3" borderId="11" xfId="0" applyNumberFormat="1" applyFont="1" applyFill="1" applyBorder="1" applyProtection="1">
      <protection hidden="1"/>
    </xf>
    <xf numFmtId="0" fontId="0" fillId="3" borderId="11" xfId="2" applyNumberFormat="1" applyFont="1" applyFill="1" applyBorder="1" applyProtection="1">
      <protection hidden="1"/>
    </xf>
    <xf numFmtId="164" fontId="2" fillId="3" borderId="1" xfId="2" applyFont="1" applyFill="1" applyBorder="1" applyProtection="1">
      <protection hidden="1"/>
    </xf>
    <xf numFmtId="0" fontId="2" fillId="3" borderId="8" xfId="0" applyNumberFormat="1" applyFont="1" applyFill="1" applyBorder="1" applyProtection="1">
      <protection hidden="1"/>
    </xf>
    <xf numFmtId="0" fontId="0" fillId="3" borderId="8" xfId="2" applyNumberFormat="1" applyFont="1" applyFill="1" applyBorder="1" applyProtection="1">
      <protection hidden="1"/>
    </xf>
    <xf numFmtId="0" fontId="2" fillId="3" borderId="1" xfId="1" applyNumberFormat="1" applyFont="1" applyFill="1" applyBorder="1" applyProtection="1">
      <protection hidden="1"/>
    </xf>
    <xf numFmtId="164" fontId="3" fillId="4" borderId="5" xfId="2" applyFont="1" applyFill="1" applyBorder="1" applyProtection="1">
      <protection hidden="1"/>
    </xf>
    <xf numFmtId="0" fontId="2" fillId="3" borderId="5" xfId="0" applyNumberFormat="1" applyFont="1" applyFill="1" applyBorder="1" applyProtection="1">
      <protection hidden="1"/>
    </xf>
    <xf numFmtId="0" fontId="0" fillId="3" borderId="5" xfId="2" applyNumberFormat="1" applyFont="1" applyFill="1" applyBorder="1" applyProtection="1">
      <protection hidden="1"/>
    </xf>
    <xf numFmtId="0" fontId="0" fillId="3" borderId="9" xfId="0" applyFill="1" applyBorder="1" applyAlignment="1" applyProtection="1">
      <alignment horizontal="left"/>
      <protection hidden="1"/>
    </xf>
    <xf numFmtId="0" fontId="0" fillId="3" borderId="10" xfId="0" applyFill="1" applyBorder="1" applyAlignment="1" applyProtection="1">
      <alignment horizontal="left"/>
      <protection hidden="1"/>
    </xf>
    <xf numFmtId="0" fontId="4" fillId="5" borderId="1" xfId="0" applyFont="1" applyFill="1" applyBorder="1" applyAlignment="1" applyProtection="1">
      <alignment horizontal="left"/>
      <protection hidden="1"/>
    </xf>
    <xf numFmtId="0" fontId="4" fillId="5" borderId="2" xfId="0" applyFont="1" applyFill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left"/>
      <protection hidden="1"/>
    </xf>
    <xf numFmtId="0" fontId="3" fillId="3" borderId="4" xfId="0" applyFont="1" applyFill="1" applyBorder="1" applyAlignment="1" applyProtection="1">
      <alignment horizontal="left"/>
      <protection hidden="1"/>
    </xf>
    <xf numFmtId="0" fontId="0" fillId="3" borderId="6" xfId="0" applyFill="1" applyBorder="1" applyAlignment="1" applyProtection="1">
      <alignment horizontal="left"/>
      <protection hidden="1"/>
    </xf>
    <xf numFmtId="0" fontId="0" fillId="3" borderId="7" xfId="0" applyFill="1" applyBorder="1" applyAlignment="1" applyProtection="1">
      <alignment horizontal="left"/>
      <protection hidden="1"/>
    </xf>
    <xf numFmtId="0" fontId="0" fillId="3" borderId="3" xfId="0" applyFill="1" applyBorder="1" applyAlignment="1" applyProtection="1">
      <alignment horizontal="left"/>
      <protection hidden="1"/>
    </xf>
    <xf numFmtId="0" fontId="0" fillId="3" borderId="4" xfId="0" applyFill="1" applyBorder="1" applyAlignment="1" applyProtection="1">
      <alignment horizontal="left"/>
      <protection hidden="1"/>
    </xf>
    <xf numFmtId="0" fontId="0" fillId="7" borderId="9" xfId="0" applyFill="1" applyBorder="1" applyAlignment="1" applyProtection="1">
      <alignment horizontal="left"/>
      <protection hidden="1"/>
    </xf>
    <xf numFmtId="0" fontId="0" fillId="7" borderId="10" xfId="0" applyFill="1" applyBorder="1" applyAlignment="1" applyProtection="1">
      <alignment horizontal="left"/>
      <protection hidden="1"/>
    </xf>
    <xf numFmtId="0" fontId="4" fillId="6" borderId="14" xfId="0" applyFont="1" applyFill="1" applyBorder="1" applyAlignment="1" applyProtection="1">
      <alignment horizontal="left"/>
      <protection hidden="1"/>
    </xf>
    <xf numFmtId="0" fontId="4" fillId="6" borderId="15" xfId="0" applyFont="1" applyFill="1" applyBorder="1" applyAlignment="1" applyProtection="1">
      <alignment horizontal="left"/>
      <protection hidden="1"/>
    </xf>
    <xf numFmtId="0" fontId="0" fillId="2" borderId="2" xfId="0" applyFill="1" applyBorder="1" applyAlignment="1" applyProtection="1">
      <alignment horizontal="left"/>
      <protection hidden="1"/>
    </xf>
    <xf numFmtId="0" fontId="0" fillId="2" borderId="12" xfId="0" applyFill="1" applyBorder="1" applyAlignment="1" applyProtection="1">
      <alignment horizontal="left"/>
      <protection hidden="1"/>
    </xf>
    <xf numFmtId="0" fontId="4" fillId="5" borderId="12" xfId="0" applyFont="1" applyFill="1" applyBorder="1" applyAlignment="1" applyProtection="1">
      <alignment horizontal="left"/>
      <protection hidden="1"/>
    </xf>
    <xf numFmtId="0" fontId="4" fillId="5" borderId="16" xfId="0" applyFont="1" applyFill="1" applyBorder="1" applyAlignment="1" applyProtection="1">
      <alignment horizontal="left"/>
      <protection hidden="1"/>
    </xf>
    <xf numFmtId="0" fontId="0" fillId="3" borderId="2" xfId="0" applyFill="1" applyBorder="1" applyAlignment="1" applyProtection="1">
      <alignment horizontal="left"/>
      <protection hidden="1"/>
    </xf>
    <xf numFmtId="0" fontId="0" fillId="3" borderId="12" xfId="0" applyFill="1" applyBorder="1" applyAlignment="1" applyProtection="1">
      <alignment horizontal="left"/>
      <protection hidden="1"/>
    </xf>
    <xf numFmtId="0" fontId="0" fillId="7" borderId="3" xfId="0" applyFill="1" applyBorder="1" applyAlignment="1" applyProtection="1">
      <alignment horizontal="left"/>
      <protection hidden="1"/>
    </xf>
    <xf numFmtId="0" fontId="0" fillId="7" borderId="4" xfId="0" applyFill="1" applyBorder="1" applyAlignment="1" applyProtection="1">
      <alignment horizontal="left"/>
      <protection hidden="1"/>
    </xf>
    <xf numFmtId="0" fontId="0" fillId="7" borderId="6" xfId="0" applyFill="1" applyBorder="1" applyAlignment="1" applyProtection="1">
      <alignment horizontal="left"/>
      <protection hidden="1"/>
    </xf>
    <xf numFmtId="0" fontId="0" fillId="7" borderId="7" xfId="0" applyFill="1" applyBorder="1" applyAlignment="1" applyProtection="1">
      <alignment horizontal="left"/>
      <protection hidden="1"/>
    </xf>
    <xf numFmtId="0" fontId="4" fillId="6" borderId="1" xfId="0" applyFont="1" applyFill="1" applyBorder="1" applyAlignment="1" applyProtection="1">
      <alignment horizontal="left"/>
      <protection hidden="1"/>
    </xf>
    <xf numFmtId="0" fontId="4" fillId="6" borderId="2" xfId="0" applyFont="1" applyFill="1" applyBorder="1" applyAlignment="1" applyProtection="1">
      <alignment horizontal="left"/>
      <protection hidden="1"/>
    </xf>
    <xf numFmtId="0" fontId="2" fillId="3" borderId="1" xfId="0" applyFont="1" applyFill="1" applyBorder="1" applyAlignment="1" applyProtection="1">
      <alignment horizontal="left"/>
      <protection hidden="1"/>
    </xf>
    <xf numFmtId="0" fontId="2" fillId="3" borderId="2" xfId="0" applyFont="1" applyFill="1" applyBorder="1" applyAlignment="1" applyProtection="1">
      <alignment horizontal="left"/>
      <protection hidden="1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</xdr:row>
      <xdr:rowOff>47625</xdr:rowOff>
    </xdr:from>
    <xdr:to>
      <xdr:col>4</xdr:col>
      <xdr:colOff>161925</xdr:colOff>
      <xdr:row>5</xdr:row>
      <xdr:rowOff>47625</xdr:rowOff>
    </xdr:to>
    <xdr:pic>
      <xdr:nvPicPr>
        <xdr:cNvPr id="2084" name="Imagem 1" descr="LOGO CON PROJ.png">
          <a:extLst>
            <a:ext uri="{FF2B5EF4-FFF2-40B4-BE49-F238E27FC236}">
              <a16:creationId xmlns:a16="http://schemas.microsoft.com/office/drawing/2014/main" id="{C3A078E4-A987-44A3-B016-78AC49FDF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09550"/>
          <a:ext cx="24384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266700</xdr:colOff>
      <xdr:row>4</xdr:row>
      <xdr:rowOff>161924</xdr:rowOff>
    </xdr:from>
    <xdr:to>
      <xdr:col>11</xdr:col>
      <xdr:colOff>476250</xdr:colOff>
      <xdr:row>30</xdr:row>
      <xdr:rowOff>66675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4BFBE5B3-9422-4E34-A875-D682AA1CCB33}"/>
            </a:ext>
          </a:extLst>
        </xdr:cNvPr>
        <xdr:cNvSpPr txBox="1">
          <a:spLocks noChangeArrowheads="1"/>
        </xdr:cNvSpPr>
      </xdr:nvSpPr>
      <xdr:spPr bwMode="auto">
        <a:xfrm>
          <a:off x="876300" y="809624"/>
          <a:ext cx="6305550" cy="41148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pt-BR" sz="1600" b="1" i="0" strike="noStrike">
              <a:solidFill>
                <a:schemeClr val="accent6">
                  <a:lumMod val="75000"/>
                </a:schemeClr>
              </a:solidFill>
              <a:latin typeface="Arial"/>
              <a:cs typeface="Arial"/>
            </a:rPr>
            <a:t>Esta é uma cortesia </a:t>
          </a:r>
          <a:r>
            <a:rPr lang="pt-BR" sz="1600" b="1" i="0" strike="noStrike" baseline="0">
              <a:solidFill>
                <a:schemeClr val="accent6">
                  <a:lumMod val="75000"/>
                </a:schemeClr>
              </a:solidFill>
              <a:latin typeface="Arial"/>
              <a:cs typeface="Arial"/>
            </a:rPr>
            <a:t>AGUIAIS - Consultoria Financeira e Projetos</a:t>
          </a:r>
          <a:endParaRPr lang="pt-BR" sz="1600" b="0" i="0" strike="noStrike">
            <a:solidFill>
              <a:schemeClr val="accent5">
                <a:lumMod val="75000"/>
              </a:schemeClr>
            </a:solidFill>
            <a:latin typeface="Arial"/>
            <a:cs typeface="Arial"/>
          </a:endParaRPr>
        </a:p>
        <a:p>
          <a:pPr algn="ctr" rtl="1">
            <a:defRPr sz="1000"/>
          </a:pPr>
          <a:endParaRPr lang="pt-BR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Os campos devem ser preeenchidos para que se a análise vertical e horizontal do balanço.</a:t>
          </a:r>
        </a:p>
        <a:p>
          <a:pPr algn="ctr" rtl="1">
            <a:defRPr sz="1000"/>
          </a:pPr>
          <a:endParaRPr lang="pt-BR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A planilha calcula automaticamente a Análise Vertical e Horizontal.</a:t>
          </a:r>
        </a:p>
        <a:p>
          <a:pPr algn="ctr" rtl="1">
            <a:defRPr sz="1000"/>
          </a:pPr>
          <a:endParaRPr lang="pt-BR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ctr" rtl="1">
            <a:defRPr sz="1000"/>
          </a:pPr>
          <a:endParaRPr lang="pt-BR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A</a:t>
          </a:r>
          <a:r>
            <a:rPr lang="pt-BR" sz="1200" b="0" i="0" strike="noStrike" baseline="0">
              <a:solidFill>
                <a:srgbClr val="000000"/>
              </a:solidFill>
              <a:latin typeface="Arial"/>
              <a:cs typeface="Arial"/>
            </a:rPr>
            <a:t> planilha está bloqueada para evitar a perda de fórmulas importantes. Caso tenha conhecimento em excel, pode-se desbloquear a planilha com a senha </a:t>
          </a:r>
          <a:r>
            <a:rPr lang="pt-BR" sz="1200" b="1" i="0" strike="noStrike" baseline="0">
              <a:solidFill>
                <a:srgbClr val="000000"/>
              </a:solidFill>
              <a:latin typeface="Arial"/>
              <a:cs typeface="Arial"/>
            </a:rPr>
            <a:t>AGUIAIS</a:t>
          </a:r>
        </a:p>
        <a:p>
          <a:pPr algn="ctr" rtl="1">
            <a:defRPr sz="1000"/>
          </a:pPr>
          <a:endParaRPr lang="pt-BR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Para apagar esta janela, selecione colocando o mouse na borda e aperte a tecla deletar do seu teclado.</a:t>
          </a:r>
        </a:p>
        <a:p>
          <a:pPr algn="ctr" rtl="1">
            <a:defRPr sz="1000"/>
          </a:pPr>
          <a:endParaRPr lang="pt-BR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pt-BR" sz="1200" b="0" i="0" strike="noStrike">
              <a:solidFill>
                <a:srgbClr val="000000"/>
              </a:solidFill>
              <a:latin typeface="Arial"/>
              <a:cs typeface="Arial"/>
            </a:rPr>
            <a:t>Podemos prover um controle completo de todas as áreas da sua empresa, </a:t>
          </a:r>
        </a:p>
        <a:p>
          <a:pPr algn="ctr" rtl="1">
            <a:defRPr sz="1000"/>
          </a:pPr>
          <a:r>
            <a:rPr lang="pt-BR" sz="1400" b="0" i="0" strike="noStrike">
              <a:solidFill>
                <a:srgbClr val="000000"/>
              </a:solidFill>
              <a:latin typeface="Arial"/>
              <a:cs typeface="Arial"/>
            </a:rPr>
            <a:t>consulte-nos e solicite nossos serviços de consultoria.</a:t>
          </a:r>
        </a:p>
      </xdr:txBody>
    </xdr:sp>
    <xdr:clientData/>
  </xdr:twoCellAnchor>
  <xdr:oneCellAnchor>
    <xdr:from>
      <xdr:col>2</xdr:col>
      <xdr:colOff>600075</xdr:colOff>
      <xdr:row>24</xdr:row>
      <xdr:rowOff>47625</xdr:rowOff>
    </xdr:from>
    <xdr:ext cx="4029076" cy="271418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BD97A7B-CB75-4199-8BC3-76D963DD002E}"/>
            </a:ext>
          </a:extLst>
        </xdr:cNvPr>
        <xdr:cNvSpPr/>
      </xdr:nvSpPr>
      <xdr:spPr>
        <a:xfrm>
          <a:off x="1819275" y="3933825"/>
          <a:ext cx="4029076" cy="271418"/>
        </a:xfrm>
        <a:prstGeom prst="rect">
          <a:avLst/>
        </a:prstGeom>
        <a:noFill/>
        <a:ln>
          <a:solidFill>
            <a:srgbClr val="FFFF00"/>
          </a:solidFill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200" b="1" i="0" strike="noStrike" cap="none" spc="50">
              <a:ln w="12700" cmpd="sng">
                <a:solidFill>
                  <a:schemeClr val="accent6">
                    <a:satMod val="120000"/>
                    <a:shade val="80000"/>
                  </a:schemeClr>
                </a:solidFill>
                <a:prstDash val="solid"/>
              </a:ln>
              <a:solidFill>
                <a:schemeClr val="accent6">
                  <a:tint val="1000"/>
                </a:schemeClr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  <a:latin typeface="Arial"/>
              <a:cs typeface="Arial"/>
            </a:rPr>
            <a:t>WWW.CONSULTORIA.AGUIAIS.COM.BR</a:t>
          </a:r>
          <a:endParaRPr lang="pt-BR" sz="12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  <xdr:oneCellAnchor>
    <xdr:from>
      <xdr:col>3</xdr:col>
      <xdr:colOff>47625</xdr:colOff>
      <xdr:row>26</xdr:row>
      <xdr:rowOff>95250</xdr:rowOff>
    </xdr:from>
    <xdr:ext cx="4029076" cy="271418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CF8A760-9A84-4479-AACA-B2C0C8510DA9}"/>
            </a:ext>
          </a:extLst>
        </xdr:cNvPr>
        <xdr:cNvSpPr/>
      </xdr:nvSpPr>
      <xdr:spPr>
        <a:xfrm>
          <a:off x="1876425" y="4305300"/>
          <a:ext cx="4029076" cy="271418"/>
        </a:xfrm>
        <a:prstGeom prst="rect">
          <a:avLst/>
        </a:prstGeom>
        <a:noFill/>
        <a:ln>
          <a:solidFill>
            <a:srgbClr val="FFFF00"/>
          </a:solidFill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1200" b="1" i="0" strike="noStrike" cap="none" spc="50">
              <a:ln w="12700" cmpd="sng">
                <a:solidFill>
                  <a:schemeClr val="accent6">
                    <a:satMod val="120000"/>
                    <a:shade val="80000"/>
                  </a:schemeClr>
                </a:solidFill>
                <a:prstDash val="solid"/>
              </a:ln>
              <a:solidFill>
                <a:schemeClr val="accent6">
                  <a:tint val="1000"/>
                </a:schemeClr>
              </a:solidFill>
              <a:effectLst>
                <a:glow rad="53100">
                  <a:schemeClr val="accent6">
                    <a:satMod val="180000"/>
                    <a:alpha val="30000"/>
                  </a:schemeClr>
                </a:glow>
              </a:effectLst>
              <a:latin typeface="Arial"/>
              <a:cs typeface="Arial"/>
            </a:rPr>
            <a:t>WWW.AGUIAIS.COM.BR</a:t>
          </a:r>
          <a:endParaRPr lang="pt-BR" sz="1200" b="1" cap="none" spc="50">
            <a:ln w="12700" cmpd="sng">
              <a:solidFill>
                <a:schemeClr val="accent6">
                  <a:satMod val="120000"/>
                  <a:shade val="80000"/>
                </a:schemeClr>
              </a:solidFill>
              <a:prstDash val="solid"/>
            </a:ln>
            <a:solidFill>
              <a:schemeClr val="accent6">
                <a:tint val="1000"/>
              </a:schemeClr>
            </a:solidFill>
            <a:effectLst>
              <a:glow rad="53100">
                <a:schemeClr val="accent6">
                  <a:satMod val="180000"/>
                  <a:alpha val="30000"/>
                </a:schemeClr>
              </a:glo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76200</xdr:rowOff>
    </xdr:from>
    <xdr:to>
      <xdr:col>4</xdr:col>
      <xdr:colOff>114300</xdr:colOff>
      <xdr:row>2</xdr:row>
      <xdr:rowOff>57150</xdr:rowOff>
    </xdr:to>
    <xdr:pic>
      <xdr:nvPicPr>
        <xdr:cNvPr id="1048" name="Imagem 2" descr="LOGO CON PROJ.png">
          <a:extLst>
            <a:ext uri="{FF2B5EF4-FFF2-40B4-BE49-F238E27FC236}">
              <a16:creationId xmlns:a16="http://schemas.microsoft.com/office/drawing/2014/main" id="{B04D071F-C766-4770-BA2E-C0F4283BD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6200"/>
          <a:ext cx="326707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37764</xdr:colOff>
      <xdr:row>0</xdr:row>
      <xdr:rowOff>400589</xdr:rowOff>
    </xdr:from>
    <xdr:ext cx="5868080" cy="937629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0F0709B-97D6-41B7-B77E-5283ABF91E7B}"/>
            </a:ext>
          </a:extLst>
        </xdr:cNvPr>
        <xdr:cNvSpPr/>
      </xdr:nvSpPr>
      <xdr:spPr>
        <a:xfrm>
          <a:off x="3333414" y="400589"/>
          <a:ext cx="586808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400" b="1" cap="none" spc="0">
              <a:ln w="900" cmpd="sng">
                <a:solidFill>
                  <a:schemeClr val="accent1">
                    <a:satMod val="190000"/>
                    <a:alpha val="55000"/>
                  </a:schemeClr>
                </a:solidFill>
                <a:prstDash val="solid"/>
              </a:ln>
              <a:solidFill>
                <a:schemeClr val="accent1">
                  <a:satMod val="200000"/>
                  <a:tint val="3000"/>
                </a:schemeClr>
              </a:solidFill>
              <a:effectLst>
                <a:innerShdw blurRad="101600" dist="76200" dir="5400000">
                  <a:schemeClr val="accent1">
                    <a:satMod val="190000"/>
                    <a:tint val="100000"/>
                    <a:alpha val="74000"/>
                  </a:schemeClr>
                </a:innerShdw>
              </a:effectLst>
            </a:rPr>
            <a:t>Análise de Balanços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 xr3:uid="{AEA406A1-0E4B-5B11-9CD5-51D6E497D94C}">
      <selection activeCell="A15" sqref="A15"/>
    </sheetView>
  </sheetViews>
  <sheetFormatPr defaultRowHeight="12.75" x14ac:dyDescent="0.15"/>
  <sheetData/>
  <sheetProtection password="E5CA" sheet="1"/>
  <phoneticPr fontId="0" type="noConversion"/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"/>
  <sheetViews>
    <sheetView showGridLines="0" tabSelected="1" topLeftCell="A46" workbookViewId="0" xr3:uid="{958C4451-9541-5A59-BF78-D2F731DF1C81}">
      <selection activeCell="G64" sqref="G64"/>
    </sheetView>
  </sheetViews>
  <sheetFormatPr defaultColWidth="9.16796875" defaultRowHeight="12.75" x14ac:dyDescent="0.15"/>
  <cols>
    <col min="1" max="2" width="9.16796875" style="1"/>
    <col min="3" max="3" width="19.1484375" style="1" customWidth="1"/>
    <col min="4" max="4" width="12" style="1" customWidth="1"/>
    <col min="5" max="6" width="9.16796875" style="1"/>
    <col min="7" max="7" width="12.40625" style="1" customWidth="1"/>
    <col min="8" max="9" width="9.16796875" style="1"/>
    <col min="10" max="10" width="12.26953125" style="1" customWidth="1"/>
    <col min="11" max="12" width="9.16796875" style="1"/>
    <col min="13" max="13" width="11.73046875" style="1" customWidth="1"/>
    <col min="14" max="16384" width="9.16796875" style="1"/>
  </cols>
  <sheetData>
    <row r="1" spans="1:15" ht="57" customHeight="1" x14ac:dyDescent="0.15"/>
    <row r="5" spans="1:15" ht="13.5" thickBot="1" x14ac:dyDescent="0.2"/>
    <row r="6" spans="1:15" ht="13.5" thickBot="1" x14ac:dyDescent="0.2">
      <c r="A6" s="68" t="s">
        <v>51</v>
      </c>
      <c r="B6" s="68"/>
      <c r="C6" s="69"/>
      <c r="D6" s="2">
        <v>2001</v>
      </c>
      <c r="E6" s="3" t="s">
        <v>0</v>
      </c>
      <c r="F6" s="3" t="s">
        <v>1</v>
      </c>
      <c r="G6" s="2">
        <f>D6+1</f>
        <v>2002</v>
      </c>
      <c r="H6" s="2" t="s">
        <v>0</v>
      </c>
      <c r="I6" s="2" t="s">
        <v>1</v>
      </c>
      <c r="J6" s="2">
        <f>G6+1</f>
        <v>2003</v>
      </c>
      <c r="K6" s="2" t="s">
        <v>0</v>
      </c>
      <c r="L6" s="2" t="s">
        <v>1</v>
      </c>
      <c r="M6" s="2">
        <f>J6+1</f>
        <v>2004</v>
      </c>
      <c r="N6" s="4" t="s">
        <v>0</v>
      </c>
      <c r="O6" s="5" t="s">
        <v>1</v>
      </c>
    </row>
    <row r="7" spans="1:15" ht="13.5" thickBot="1" x14ac:dyDescent="0.2">
      <c r="A7" s="68" t="s">
        <v>2</v>
      </c>
      <c r="B7" s="68"/>
      <c r="C7" s="69"/>
      <c r="D7" s="6">
        <f>SUM(D8+D12)</f>
        <v>0</v>
      </c>
      <c r="E7" s="7" t="e">
        <f t="shared" ref="E7:E23" si="0">D7/$D$24</f>
        <v>#DIV/0!</v>
      </c>
      <c r="F7" s="7">
        <v>1</v>
      </c>
      <c r="G7" s="6">
        <f>SUM(G8+G12)</f>
        <v>0</v>
      </c>
      <c r="H7" s="7" t="e">
        <f t="shared" ref="H7:H23" si="1">G7/$G$24</f>
        <v>#DIV/0!</v>
      </c>
      <c r="I7" s="6" t="e">
        <f>G7/D7</f>
        <v>#DIV/0!</v>
      </c>
      <c r="J7" s="6">
        <f>SUM(J8+J12)</f>
        <v>0</v>
      </c>
      <c r="K7" s="7" t="e">
        <f t="shared" ref="K7:K23" si="2">J7/$J$24</f>
        <v>#DIV/0!</v>
      </c>
      <c r="L7" s="6" t="e">
        <f>J7/D7</f>
        <v>#DIV/0!</v>
      </c>
      <c r="M7" s="6">
        <f>SUM(M8+M12)</f>
        <v>0</v>
      </c>
      <c r="N7" s="7" t="e">
        <f t="shared" ref="N7:N23" si="3">M7/$M$24</f>
        <v>#DIV/0!</v>
      </c>
      <c r="O7" s="8" t="e">
        <f>M7/D7</f>
        <v>#DIV/0!</v>
      </c>
    </row>
    <row r="8" spans="1:15" ht="13.5" thickBot="1" x14ac:dyDescent="0.2">
      <c r="A8" s="92" t="s">
        <v>3</v>
      </c>
      <c r="B8" s="92"/>
      <c r="C8" s="93"/>
      <c r="D8" s="6">
        <f>SUM(D9:D11)</f>
        <v>0</v>
      </c>
      <c r="E8" s="7" t="e">
        <f t="shared" si="0"/>
        <v>#DIV/0!</v>
      </c>
      <c r="F8" s="7">
        <v>1</v>
      </c>
      <c r="G8" s="6">
        <f>SUM(G9:G11)</f>
        <v>0</v>
      </c>
      <c r="H8" s="7" t="e">
        <f t="shared" si="1"/>
        <v>#DIV/0!</v>
      </c>
      <c r="I8" s="6" t="e">
        <f t="shared" ref="I8:I37" si="4">G8/D8</f>
        <v>#DIV/0!</v>
      </c>
      <c r="J8" s="6">
        <f>SUM(J9:J11)</f>
        <v>0</v>
      </c>
      <c r="K8" s="7" t="e">
        <f t="shared" si="2"/>
        <v>#DIV/0!</v>
      </c>
      <c r="L8" s="6" t="e">
        <f t="shared" ref="L8:L59" si="5">J8/D8</f>
        <v>#DIV/0!</v>
      </c>
      <c r="M8" s="6">
        <f>SUM(M9:M11)</f>
        <v>0</v>
      </c>
      <c r="N8" s="7" t="e">
        <f t="shared" si="3"/>
        <v>#DIV/0!</v>
      </c>
      <c r="O8" s="8" t="e">
        <f t="shared" ref="O8:O59" si="6">M8/D8</f>
        <v>#DIV/0!</v>
      </c>
    </row>
    <row r="9" spans="1:15" x14ac:dyDescent="0.15">
      <c r="A9" s="74" t="s">
        <v>4</v>
      </c>
      <c r="B9" s="75"/>
      <c r="C9" s="75"/>
      <c r="D9" s="9"/>
      <c r="E9" s="10" t="e">
        <f t="shared" si="0"/>
        <v>#DIV/0!</v>
      </c>
      <c r="F9" s="11">
        <v>1</v>
      </c>
      <c r="G9" s="9"/>
      <c r="H9" s="12" t="e">
        <f t="shared" si="1"/>
        <v>#DIV/0!</v>
      </c>
      <c r="I9" s="13" t="e">
        <f t="shared" si="4"/>
        <v>#DIV/0!</v>
      </c>
      <c r="J9" s="9"/>
      <c r="K9" s="12" t="e">
        <f t="shared" si="2"/>
        <v>#DIV/0!</v>
      </c>
      <c r="L9" s="13" t="e">
        <f t="shared" si="5"/>
        <v>#DIV/0!</v>
      </c>
      <c r="M9" s="9"/>
      <c r="N9" s="12" t="e">
        <f t="shared" si="3"/>
        <v>#DIV/0!</v>
      </c>
      <c r="O9" s="14" t="e">
        <f t="shared" si="6"/>
        <v>#DIV/0!</v>
      </c>
    </row>
    <row r="10" spans="1:15" x14ac:dyDescent="0.15">
      <c r="A10" s="72" t="s">
        <v>5</v>
      </c>
      <c r="B10" s="73"/>
      <c r="C10" s="73"/>
      <c r="D10" s="15"/>
      <c r="E10" s="16" t="e">
        <f t="shared" si="0"/>
        <v>#DIV/0!</v>
      </c>
      <c r="F10" s="17">
        <v>1</v>
      </c>
      <c r="G10" s="15"/>
      <c r="H10" s="18" t="e">
        <f t="shared" si="1"/>
        <v>#DIV/0!</v>
      </c>
      <c r="I10" s="19" t="e">
        <f t="shared" si="4"/>
        <v>#DIV/0!</v>
      </c>
      <c r="J10" s="15"/>
      <c r="K10" s="18" t="e">
        <f t="shared" si="2"/>
        <v>#DIV/0!</v>
      </c>
      <c r="L10" s="19" t="e">
        <f t="shared" si="5"/>
        <v>#DIV/0!</v>
      </c>
      <c r="M10" s="15"/>
      <c r="N10" s="18" t="e">
        <f t="shared" si="3"/>
        <v>#DIV/0!</v>
      </c>
      <c r="O10" s="20" t="e">
        <f t="shared" si="6"/>
        <v>#DIV/0!</v>
      </c>
    </row>
    <row r="11" spans="1:15" ht="13.5" thickBot="1" x14ac:dyDescent="0.2">
      <c r="A11" s="66" t="s">
        <v>6</v>
      </c>
      <c r="B11" s="67"/>
      <c r="C11" s="67"/>
      <c r="D11" s="21"/>
      <c r="E11" s="22" t="e">
        <f t="shared" si="0"/>
        <v>#DIV/0!</v>
      </c>
      <c r="F11" s="23">
        <v>1</v>
      </c>
      <c r="G11" s="24"/>
      <c r="H11" s="25" t="e">
        <f t="shared" si="1"/>
        <v>#DIV/0!</v>
      </c>
      <c r="I11" s="26" t="e">
        <f t="shared" si="4"/>
        <v>#DIV/0!</v>
      </c>
      <c r="J11" s="21"/>
      <c r="K11" s="25" t="e">
        <f t="shared" si="2"/>
        <v>#DIV/0!</v>
      </c>
      <c r="L11" s="26" t="e">
        <f t="shared" si="5"/>
        <v>#DIV/0!</v>
      </c>
      <c r="M11" s="21"/>
      <c r="N11" s="25" t="e">
        <f t="shared" si="3"/>
        <v>#DIV/0!</v>
      </c>
      <c r="O11" s="27" t="e">
        <f t="shared" si="6"/>
        <v>#DIV/0!</v>
      </c>
    </row>
    <row r="12" spans="1:15" ht="13.5" thickBot="1" x14ac:dyDescent="0.2">
      <c r="A12" s="92" t="s">
        <v>7</v>
      </c>
      <c r="B12" s="92"/>
      <c r="C12" s="93"/>
      <c r="D12" s="6">
        <f>SUM(D13:D14)</f>
        <v>0</v>
      </c>
      <c r="E12" s="7" t="e">
        <f t="shared" si="0"/>
        <v>#DIV/0!</v>
      </c>
      <c r="F12" s="7">
        <v>1</v>
      </c>
      <c r="G12" s="6">
        <f>SUM(G13:G14)</f>
        <v>0</v>
      </c>
      <c r="H12" s="7" t="e">
        <f t="shared" si="1"/>
        <v>#DIV/0!</v>
      </c>
      <c r="I12" s="6" t="e">
        <f t="shared" si="4"/>
        <v>#DIV/0!</v>
      </c>
      <c r="J12" s="6">
        <f>SUM(J13:J14)</f>
        <v>0</v>
      </c>
      <c r="K12" s="7" t="e">
        <f t="shared" si="2"/>
        <v>#DIV/0!</v>
      </c>
      <c r="L12" s="6" t="e">
        <f t="shared" si="5"/>
        <v>#DIV/0!</v>
      </c>
      <c r="M12" s="6">
        <f>SUM(M13:M14)</f>
        <v>0</v>
      </c>
      <c r="N12" s="7" t="e">
        <f t="shared" si="3"/>
        <v>#DIV/0!</v>
      </c>
      <c r="O12" s="8" t="e">
        <f t="shared" si="6"/>
        <v>#DIV/0!</v>
      </c>
    </row>
    <row r="13" spans="1:15" x14ac:dyDescent="0.15">
      <c r="A13" s="74" t="s">
        <v>8</v>
      </c>
      <c r="B13" s="75"/>
      <c r="C13" s="75"/>
      <c r="D13" s="9"/>
      <c r="E13" s="10" t="e">
        <f t="shared" si="0"/>
        <v>#DIV/0!</v>
      </c>
      <c r="F13" s="11">
        <v>1</v>
      </c>
      <c r="G13" s="9"/>
      <c r="H13" s="12" t="e">
        <f t="shared" si="1"/>
        <v>#DIV/0!</v>
      </c>
      <c r="I13" s="13" t="e">
        <f t="shared" si="4"/>
        <v>#DIV/0!</v>
      </c>
      <c r="J13" s="9"/>
      <c r="K13" s="12" t="e">
        <f t="shared" si="2"/>
        <v>#DIV/0!</v>
      </c>
      <c r="L13" s="13" t="e">
        <f t="shared" si="5"/>
        <v>#DIV/0!</v>
      </c>
      <c r="M13" s="9"/>
      <c r="N13" s="12" t="e">
        <f t="shared" si="3"/>
        <v>#DIV/0!</v>
      </c>
      <c r="O13" s="14" t="e">
        <f t="shared" si="6"/>
        <v>#DIV/0!</v>
      </c>
    </row>
    <row r="14" spans="1:15" ht="13.5" thickBot="1" x14ac:dyDescent="0.2">
      <c r="A14" s="66" t="s">
        <v>9</v>
      </c>
      <c r="B14" s="67"/>
      <c r="C14" s="67"/>
      <c r="D14" s="21"/>
      <c r="E14" s="22" t="e">
        <f t="shared" si="0"/>
        <v>#DIV/0!</v>
      </c>
      <c r="F14" s="23">
        <v>1</v>
      </c>
      <c r="G14" s="21"/>
      <c r="H14" s="25" t="e">
        <f t="shared" si="1"/>
        <v>#DIV/0!</v>
      </c>
      <c r="I14" s="26" t="e">
        <f t="shared" si="4"/>
        <v>#DIV/0!</v>
      </c>
      <c r="J14" s="21"/>
      <c r="K14" s="25" t="e">
        <f t="shared" si="2"/>
        <v>#DIV/0!</v>
      </c>
      <c r="L14" s="26" t="e">
        <f t="shared" si="5"/>
        <v>#DIV/0!</v>
      </c>
      <c r="M14" s="21"/>
      <c r="N14" s="25" t="e">
        <f t="shared" si="3"/>
        <v>#DIV/0!</v>
      </c>
      <c r="O14" s="27" t="e">
        <f t="shared" si="6"/>
        <v>#DIV/0!</v>
      </c>
    </row>
    <row r="15" spans="1:15" ht="13.5" thickBot="1" x14ac:dyDescent="0.2">
      <c r="A15" s="68" t="s">
        <v>53</v>
      </c>
      <c r="B15" s="68"/>
      <c r="C15" s="69"/>
      <c r="D15" s="6">
        <f>SUM(D16+D19)</f>
        <v>0</v>
      </c>
      <c r="E15" s="7" t="e">
        <f t="shared" si="0"/>
        <v>#DIV/0!</v>
      </c>
      <c r="F15" s="7">
        <v>1</v>
      </c>
      <c r="G15" s="6">
        <f>SUM(G16+G19)</f>
        <v>0</v>
      </c>
      <c r="H15" s="7" t="e">
        <f t="shared" si="1"/>
        <v>#DIV/0!</v>
      </c>
      <c r="I15" s="6" t="e">
        <f t="shared" si="4"/>
        <v>#DIV/0!</v>
      </c>
      <c r="J15" s="6">
        <f>SUM(J16+J19)</f>
        <v>0</v>
      </c>
      <c r="K15" s="7" t="e">
        <f t="shared" si="2"/>
        <v>#DIV/0!</v>
      </c>
      <c r="L15" s="6" t="e">
        <f t="shared" si="5"/>
        <v>#DIV/0!</v>
      </c>
      <c r="M15" s="6">
        <f>SUM(M16+M19)</f>
        <v>0</v>
      </c>
      <c r="N15" s="7" t="e">
        <f t="shared" si="3"/>
        <v>#DIV/0!</v>
      </c>
      <c r="O15" s="8" t="e">
        <f t="shared" si="6"/>
        <v>#DIV/0!</v>
      </c>
    </row>
    <row r="16" spans="1:15" ht="13.5" thickBot="1" x14ac:dyDescent="0.2">
      <c r="A16" s="92" t="s">
        <v>10</v>
      </c>
      <c r="B16" s="92"/>
      <c r="C16" s="93"/>
      <c r="D16" s="6">
        <f>SUM(D17+D18)</f>
        <v>0</v>
      </c>
      <c r="E16" s="7" t="e">
        <f t="shared" si="0"/>
        <v>#DIV/0!</v>
      </c>
      <c r="F16" s="7">
        <v>1</v>
      </c>
      <c r="G16" s="6">
        <f>SUM(G17+G18)</f>
        <v>0</v>
      </c>
      <c r="H16" s="7" t="e">
        <f t="shared" si="1"/>
        <v>#DIV/0!</v>
      </c>
      <c r="I16" s="6" t="e">
        <f t="shared" si="4"/>
        <v>#DIV/0!</v>
      </c>
      <c r="J16" s="6">
        <f>SUM(J17+J18)</f>
        <v>0</v>
      </c>
      <c r="K16" s="7" t="e">
        <f t="shared" si="2"/>
        <v>#DIV/0!</v>
      </c>
      <c r="L16" s="6" t="e">
        <f t="shared" si="5"/>
        <v>#DIV/0!</v>
      </c>
      <c r="M16" s="6">
        <f>SUM(M17+M18)</f>
        <v>0</v>
      </c>
      <c r="N16" s="7" t="e">
        <f t="shared" si="3"/>
        <v>#DIV/0!</v>
      </c>
      <c r="O16" s="8" t="e">
        <f t="shared" si="6"/>
        <v>#DIV/0!</v>
      </c>
    </row>
    <row r="17" spans="1:15" x14ac:dyDescent="0.15">
      <c r="A17" s="74" t="s">
        <v>11</v>
      </c>
      <c r="B17" s="75"/>
      <c r="C17" s="75"/>
      <c r="D17" s="9"/>
      <c r="E17" s="10" t="e">
        <f t="shared" si="0"/>
        <v>#DIV/0!</v>
      </c>
      <c r="F17" s="11">
        <v>1</v>
      </c>
      <c r="G17" s="9"/>
      <c r="H17" s="12" t="e">
        <f t="shared" si="1"/>
        <v>#DIV/0!</v>
      </c>
      <c r="I17" s="13" t="e">
        <f t="shared" si="4"/>
        <v>#DIV/0!</v>
      </c>
      <c r="J17" s="28"/>
      <c r="K17" s="12" t="e">
        <f t="shared" si="2"/>
        <v>#DIV/0!</v>
      </c>
      <c r="L17" s="13" t="e">
        <f t="shared" si="5"/>
        <v>#DIV/0!</v>
      </c>
      <c r="M17" s="28"/>
      <c r="N17" s="12" t="e">
        <f t="shared" si="3"/>
        <v>#DIV/0!</v>
      </c>
      <c r="O17" s="14" t="e">
        <f t="shared" si="6"/>
        <v>#DIV/0!</v>
      </c>
    </row>
    <row r="18" spans="1:15" ht="13.5" thickBot="1" x14ac:dyDescent="0.2">
      <c r="A18" s="66" t="s">
        <v>12</v>
      </c>
      <c r="B18" s="67"/>
      <c r="C18" s="67"/>
      <c r="D18" s="21"/>
      <c r="E18" s="22" t="e">
        <f t="shared" si="0"/>
        <v>#DIV/0!</v>
      </c>
      <c r="F18" s="23">
        <v>1</v>
      </c>
      <c r="G18" s="21"/>
      <c r="H18" s="25" t="e">
        <f t="shared" si="1"/>
        <v>#DIV/0!</v>
      </c>
      <c r="I18" s="26" t="e">
        <f>G18/D18</f>
        <v>#DIV/0!</v>
      </c>
      <c r="J18" s="21"/>
      <c r="K18" s="25" t="e">
        <f t="shared" si="2"/>
        <v>#DIV/0!</v>
      </c>
      <c r="L18" s="26" t="e">
        <f>J18/D18</f>
        <v>#DIV/0!</v>
      </c>
      <c r="M18" s="21"/>
      <c r="N18" s="25" t="e">
        <f t="shared" si="3"/>
        <v>#DIV/0!</v>
      </c>
      <c r="O18" s="27" t="e">
        <f>M18/D18</f>
        <v>#DIV/0!</v>
      </c>
    </row>
    <row r="19" spans="1:15" ht="13.5" thickBot="1" x14ac:dyDescent="0.2">
      <c r="A19" s="92" t="s">
        <v>13</v>
      </c>
      <c r="B19" s="92"/>
      <c r="C19" s="93"/>
      <c r="D19" s="6">
        <f>SUM(D20:D22)-D23</f>
        <v>0</v>
      </c>
      <c r="E19" s="7" t="e">
        <f t="shared" si="0"/>
        <v>#DIV/0!</v>
      </c>
      <c r="F19" s="7">
        <v>1</v>
      </c>
      <c r="G19" s="6">
        <f>SUM(G20:G22)-G23</f>
        <v>0</v>
      </c>
      <c r="H19" s="7" t="e">
        <f t="shared" si="1"/>
        <v>#DIV/0!</v>
      </c>
      <c r="I19" s="6" t="e">
        <f t="shared" si="4"/>
        <v>#DIV/0!</v>
      </c>
      <c r="J19" s="6">
        <f>SUM(J20:J22)-J23</f>
        <v>0</v>
      </c>
      <c r="K19" s="7" t="e">
        <f t="shared" si="2"/>
        <v>#DIV/0!</v>
      </c>
      <c r="L19" s="6" t="e">
        <f t="shared" si="5"/>
        <v>#DIV/0!</v>
      </c>
      <c r="M19" s="6">
        <f>SUM(M20:M22)-M23</f>
        <v>0</v>
      </c>
      <c r="N19" s="7" t="e">
        <f t="shared" si="3"/>
        <v>#DIV/0!</v>
      </c>
      <c r="O19" s="8" t="e">
        <f t="shared" si="6"/>
        <v>#DIV/0!</v>
      </c>
    </row>
    <row r="20" spans="1:15" x14ac:dyDescent="0.15">
      <c r="A20" s="74" t="s">
        <v>14</v>
      </c>
      <c r="B20" s="75"/>
      <c r="C20" s="75"/>
      <c r="D20" s="9"/>
      <c r="E20" s="10" t="e">
        <f t="shared" si="0"/>
        <v>#DIV/0!</v>
      </c>
      <c r="F20" s="11">
        <v>1</v>
      </c>
      <c r="G20" s="9"/>
      <c r="H20" s="12" t="e">
        <f t="shared" si="1"/>
        <v>#DIV/0!</v>
      </c>
      <c r="I20" s="13" t="e">
        <f t="shared" si="4"/>
        <v>#DIV/0!</v>
      </c>
      <c r="J20" s="9"/>
      <c r="K20" s="12" t="e">
        <f t="shared" si="2"/>
        <v>#DIV/0!</v>
      </c>
      <c r="L20" s="13" t="e">
        <f t="shared" si="5"/>
        <v>#DIV/0!</v>
      </c>
      <c r="M20" s="9"/>
      <c r="N20" s="12" t="e">
        <f t="shared" si="3"/>
        <v>#DIV/0!</v>
      </c>
      <c r="O20" s="14" t="e">
        <f t="shared" si="6"/>
        <v>#DIV/0!</v>
      </c>
    </row>
    <row r="21" spans="1:15" x14ac:dyDescent="0.15">
      <c r="A21" s="72" t="s">
        <v>15</v>
      </c>
      <c r="B21" s="73"/>
      <c r="C21" s="73"/>
      <c r="D21" s="15"/>
      <c r="E21" s="16" t="e">
        <f t="shared" si="0"/>
        <v>#DIV/0!</v>
      </c>
      <c r="F21" s="17">
        <v>1</v>
      </c>
      <c r="G21" s="15"/>
      <c r="H21" s="18" t="e">
        <f t="shared" si="1"/>
        <v>#DIV/0!</v>
      </c>
      <c r="I21" s="19" t="e">
        <f t="shared" si="4"/>
        <v>#DIV/0!</v>
      </c>
      <c r="J21" s="15"/>
      <c r="K21" s="18" t="e">
        <f t="shared" si="2"/>
        <v>#DIV/0!</v>
      </c>
      <c r="L21" s="19" t="e">
        <f t="shared" si="5"/>
        <v>#DIV/0!</v>
      </c>
      <c r="M21" s="15"/>
      <c r="N21" s="18" t="e">
        <f t="shared" si="3"/>
        <v>#DIV/0!</v>
      </c>
      <c r="O21" s="20" t="e">
        <f t="shared" si="6"/>
        <v>#DIV/0!</v>
      </c>
    </row>
    <row r="22" spans="1:15" x14ac:dyDescent="0.15">
      <c r="A22" s="72" t="s">
        <v>16</v>
      </c>
      <c r="B22" s="73"/>
      <c r="C22" s="73"/>
      <c r="D22" s="15"/>
      <c r="E22" s="16" t="e">
        <f t="shared" si="0"/>
        <v>#DIV/0!</v>
      </c>
      <c r="F22" s="17">
        <v>1</v>
      </c>
      <c r="G22" s="15"/>
      <c r="H22" s="18" t="e">
        <f t="shared" si="1"/>
        <v>#DIV/0!</v>
      </c>
      <c r="I22" s="19" t="e">
        <f t="shared" si="4"/>
        <v>#DIV/0!</v>
      </c>
      <c r="J22" s="15"/>
      <c r="K22" s="18" t="e">
        <f t="shared" si="2"/>
        <v>#DIV/0!</v>
      </c>
      <c r="L22" s="19" t="e">
        <f t="shared" si="5"/>
        <v>#DIV/0!</v>
      </c>
      <c r="M22" s="15"/>
      <c r="N22" s="18" t="e">
        <f t="shared" si="3"/>
        <v>#DIV/0!</v>
      </c>
      <c r="O22" s="20" t="e">
        <f t="shared" si="6"/>
        <v>#DIV/0!</v>
      </c>
    </row>
    <row r="23" spans="1:15" ht="13.5" thickBot="1" x14ac:dyDescent="0.2">
      <c r="A23" s="66" t="s">
        <v>17</v>
      </c>
      <c r="B23" s="67"/>
      <c r="C23" s="67"/>
      <c r="D23" s="21"/>
      <c r="E23" s="22" t="e">
        <f t="shared" si="0"/>
        <v>#DIV/0!</v>
      </c>
      <c r="F23" s="23">
        <v>1</v>
      </c>
      <c r="G23" s="21"/>
      <c r="H23" s="25" t="e">
        <f t="shared" si="1"/>
        <v>#DIV/0!</v>
      </c>
      <c r="I23" s="26" t="e">
        <f t="shared" si="4"/>
        <v>#DIV/0!</v>
      </c>
      <c r="J23" s="21"/>
      <c r="K23" s="25" t="e">
        <f t="shared" si="2"/>
        <v>#DIV/0!</v>
      </c>
      <c r="L23" s="26" t="e">
        <f t="shared" si="5"/>
        <v>#DIV/0!</v>
      </c>
      <c r="M23" s="21"/>
      <c r="N23" s="25" t="e">
        <f t="shared" si="3"/>
        <v>#DIV/0!</v>
      </c>
      <c r="O23" s="27" t="e">
        <f t="shared" si="6"/>
        <v>#DIV/0!</v>
      </c>
    </row>
    <row r="24" spans="1:15" ht="13.5" thickBot="1" x14ac:dyDescent="0.2">
      <c r="A24" s="90" t="s">
        <v>18</v>
      </c>
      <c r="B24" s="90"/>
      <c r="C24" s="91"/>
      <c r="D24" s="29">
        <f>SUM(D7+D15)</f>
        <v>0</v>
      </c>
      <c r="E24" s="30">
        <v>1</v>
      </c>
      <c r="F24" s="30">
        <v>1</v>
      </c>
      <c r="G24" s="29">
        <f>SUM(G7+G15)</f>
        <v>0</v>
      </c>
      <c r="H24" s="30">
        <v>1</v>
      </c>
      <c r="I24" s="29" t="e">
        <f t="shared" si="4"/>
        <v>#DIV/0!</v>
      </c>
      <c r="J24" s="29">
        <f>SUM(J7+J15)</f>
        <v>0</v>
      </c>
      <c r="K24" s="30">
        <v>1</v>
      </c>
      <c r="L24" s="29" t="e">
        <f t="shared" si="5"/>
        <v>#DIV/0!</v>
      </c>
      <c r="M24" s="29">
        <f>SUM(M7+M15)</f>
        <v>0</v>
      </c>
      <c r="N24" s="30">
        <v>1</v>
      </c>
      <c r="O24" s="31" t="e">
        <f t="shared" si="6"/>
        <v>#DIV/0!</v>
      </c>
    </row>
    <row r="25" spans="1:15" ht="13.5" thickBot="1" x14ac:dyDescent="0.2">
      <c r="A25" s="68" t="s">
        <v>19</v>
      </c>
      <c r="B25" s="68"/>
      <c r="C25" s="69"/>
      <c r="D25" s="6">
        <f>SUM(D26:D29)</f>
        <v>0</v>
      </c>
      <c r="E25" s="7" t="e">
        <f t="shared" ref="E25:E36" si="7">D25/$D$37</f>
        <v>#DIV/0!</v>
      </c>
      <c r="F25" s="7">
        <v>1</v>
      </c>
      <c r="G25" s="6">
        <f>SUM(G26:G29)</f>
        <v>0</v>
      </c>
      <c r="H25" s="7" t="e">
        <f t="shared" ref="H25:H36" si="8">G25/$G$37</f>
        <v>#DIV/0!</v>
      </c>
      <c r="I25" s="6" t="e">
        <f t="shared" si="4"/>
        <v>#DIV/0!</v>
      </c>
      <c r="J25" s="6">
        <f>SUM(J26:J29)</f>
        <v>0</v>
      </c>
      <c r="K25" s="7" t="e">
        <f t="shared" ref="K25:K36" si="9">J25/$J$37</f>
        <v>#DIV/0!</v>
      </c>
      <c r="L25" s="6" t="e">
        <f t="shared" si="5"/>
        <v>#DIV/0!</v>
      </c>
      <c r="M25" s="6">
        <f>SUM(M26:M29)</f>
        <v>0</v>
      </c>
      <c r="N25" s="7" t="e">
        <f t="shared" ref="N25:N36" si="10">M25/$M$37</f>
        <v>#DIV/0!</v>
      </c>
      <c r="O25" s="8" t="e">
        <f t="shared" si="6"/>
        <v>#DIV/0!</v>
      </c>
    </row>
    <row r="26" spans="1:15" x14ac:dyDescent="0.15">
      <c r="A26" s="74" t="s">
        <v>20</v>
      </c>
      <c r="B26" s="75"/>
      <c r="C26" s="75"/>
      <c r="D26" s="9"/>
      <c r="E26" s="10" t="e">
        <f t="shared" si="7"/>
        <v>#DIV/0!</v>
      </c>
      <c r="F26" s="11">
        <v>1</v>
      </c>
      <c r="G26" s="32"/>
      <c r="H26" s="12" t="e">
        <f t="shared" si="8"/>
        <v>#DIV/0!</v>
      </c>
      <c r="I26" s="13" t="e">
        <f t="shared" si="4"/>
        <v>#DIV/0!</v>
      </c>
      <c r="J26" s="9"/>
      <c r="K26" s="12" t="e">
        <f t="shared" si="9"/>
        <v>#DIV/0!</v>
      </c>
      <c r="L26" s="13" t="e">
        <f t="shared" si="5"/>
        <v>#DIV/0!</v>
      </c>
      <c r="M26" s="9"/>
      <c r="N26" s="12" t="e">
        <f t="shared" si="10"/>
        <v>#DIV/0!</v>
      </c>
      <c r="O26" s="14" t="e">
        <f t="shared" si="6"/>
        <v>#DIV/0!</v>
      </c>
    </row>
    <row r="27" spans="1:15" x14ac:dyDescent="0.15">
      <c r="A27" s="72" t="s">
        <v>21</v>
      </c>
      <c r="B27" s="73"/>
      <c r="C27" s="73"/>
      <c r="D27" s="15"/>
      <c r="E27" s="16" t="e">
        <f t="shared" si="7"/>
        <v>#DIV/0!</v>
      </c>
      <c r="F27" s="17">
        <v>1</v>
      </c>
      <c r="G27" s="33"/>
      <c r="H27" s="18" t="e">
        <f t="shared" si="8"/>
        <v>#DIV/0!</v>
      </c>
      <c r="I27" s="19" t="e">
        <f t="shared" si="4"/>
        <v>#DIV/0!</v>
      </c>
      <c r="J27" s="15"/>
      <c r="K27" s="18" t="e">
        <f t="shared" si="9"/>
        <v>#DIV/0!</v>
      </c>
      <c r="L27" s="19" t="e">
        <f t="shared" si="5"/>
        <v>#DIV/0!</v>
      </c>
      <c r="M27" s="15"/>
      <c r="N27" s="18" t="e">
        <f t="shared" si="10"/>
        <v>#DIV/0!</v>
      </c>
      <c r="O27" s="20" t="e">
        <f t="shared" si="6"/>
        <v>#DIV/0!</v>
      </c>
    </row>
    <row r="28" spans="1:15" x14ac:dyDescent="0.15">
      <c r="A28" s="72" t="s">
        <v>22</v>
      </c>
      <c r="B28" s="73"/>
      <c r="C28" s="73"/>
      <c r="D28" s="15"/>
      <c r="E28" s="16" t="e">
        <f t="shared" si="7"/>
        <v>#DIV/0!</v>
      </c>
      <c r="F28" s="17">
        <v>1</v>
      </c>
      <c r="G28" s="33"/>
      <c r="H28" s="18" t="e">
        <f t="shared" si="8"/>
        <v>#DIV/0!</v>
      </c>
      <c r="I28" s="19" t="e">
        <f t="shared" si="4"/>
        <v>#DIV/0!</v>
      </c>
      <c r="J28" s="15"/>
      <c r="K28" s="18" t="e">
        <f t="shared" si="9"/>
        <v>#DIV/0!</v>
      </c>
      <c r="L28" s="19" t="e">
        <f t="shared" si="5"/>
        <v>#DIV/0!</v>
      </c>
      <c r="M28" s="15"/>
      <c r="N28" s="18" t="e">
        <f t="shared" si="10"/>
        <v>#DIV/0!</v>
      </c>
      <c r="O28" s="20" t="e">
        <f t="shared" si="6"/>
        <v>#DIV/0!</v>
      </c>
    </row>
    <row r="29" spans="1:15" ht="13.5" thickBot="1" x14ac:dyDescent="0.2">
      <c r="A29" s="66" t="s">
        <v>23</v>
      </c>
      <c r="B29" s="67"/>
      <c r="C29" s="67"/>
      <c r="D29" s="21"/>
      <c r="E29" s="22" t="e">
        <f t="shared" si="7"/>
        <v>#DIV/0!</v>
      </c>
      <c r="F29" s="23">
        <v>1</v>
      </c>
      <c r="G29" s="34"/>
      <c r="H29" s="25" t="e">
        <f t="shared" si="8"/>
        <v>#DIV/0!</v>
      </c>
      <c r="I29" s="26" t="e">
        <f t="shared" si="4"/>
        <v>#DIV/0!</v>
      </c>
      <c r="J29" s="21"/>
      <c r="K29" s="25" t="e">
        <f t="shared" si="9"/>
        <v>#DIV/0!</v>
      </c>
      <c r="L29" s="26" t="e">
        <f t="shared" si="5"/>
        <v>#DIV/0!</v>
      </c>
      <c r="M29" s="21"/>
      <c r="N29" s="25" t="e">
        <f t="shared" si="10"/>
        <v>#DIV/0!</v>
      </c>
      <c r="O29" s="27" t="e">
        <f t="shared" si="6"/>
        <v>#DIV/0!</v>
      </c>
    </row>
    <row r="30" spans="1:15" ht="13.5" thickBot="1" x14ac:dyDescent="0.2">
      <c r="A30" s="68" t="s">
        <v>52</v>
      </c>
      <c r="B30" s="68"/>
      <c r="C30" s="69"/>
      <c r="D30" s="6">
        <f>D31</f>
        <v>0</v>
      </c>
      <c r="E30" s="7" t="e">
        <f t="shared" si="7"/>
        <v>#DIV/0!</v>
      </c>
      <c r="F30" s="7">
        <v>1</v>
      </c>
      <c r="G30" s="6">
        <f>G31</f>
        <v>0</v>
      </c>
      <c r="H30" s="7" t="e">
        <f t="shared" si="8"/>
        <v>#DIV/0!</v>
      </c>
      <c r="I30" s="6" t="e">
        <f>G30/D30</f>
        <v>#DIV/0!</v>
      </c>
      <c r="J30" s="6">
        <f>J31</f>
        <v>0</v>
      </c>
      <c r="K30" s="7" t="e">
        <f t="shared" si="9"/>
        <v>#DIV/0!</v>
      </c>
      <c r="L30" s="6" t="e">
        <f>J30/D30</f>
        <v>#DIV/0!</v>
      </c>
      <c r="M30" s="6">
        <f>M31</f>
        <v>0</v>
      </c>
      <c r="N30" s="7" t="e">
        <f t="shared" si="10"/>
        <v>#DIV/0!</v>
      </c>
      <c r="O30" s="8" t="e">
        <f>M30/D30</f>
        <v>#DIV/0!</v>
      </c>
    </row>
    <row r="31" spans="1:15" ht="13.5" thickBot="1" x14ac:dyDescent="0.2">
      <c r="A31" s="84" t="s">
        <v>23</v>
      </c>
      <c r="B31" s="85"/>
      <c r="C31" s="85"/>
      <c r="D31" s="35"/>
      <c r="E31" s="36" t="e">
        <f t="shared" si="7"/>
        <v>#DIV/0!</v>
      </c>
      <c r="F31" s="37">
        <v>1</v>
      </c>
      <c r="G31" s="35"/>
      <c r="H31" s="38" t="e">
        <f t="shared" si="8"/>
        <v>#DIV/0!</v>
      </c>
      <c r="I31" s="39" t="e">
        <f>G31/D31</f>
        <v>#DIV/0!</v>
      </c>
      <c r="J31" s="35"/>
      <c r="K31" s="38" t="e">
        <f t="shared" si="9"/>
        <v>#DIV/0!</v>
      </c>
      <c r="L31" s="39" t="e">
        <f>J31/D31</f>
        <v>#DIV/0!</v>
      </c>
      <c r="M31" s="35"/>
      <c r="N31" s="38" t="e">
        <f t="shared" si="10"/>
        <v>#DIV/0!</v>
      </c>
      <c r="O31" s="40" t="e">
        <f>M31/D31</f>
        <v>#DIV/0!</v>
      </c>
    </row>
    <row r="32" spans="1:15" ht="13.5" thickBot="1" x14ac:dyDescent="0.2">
      <c r="A32" s="68" t="s">
        <v>24</v>
      </c>
      <c r="B32" s="68"/>
      <c r="C32" s="69"/>
      <c r="D32" s="6">
        <f>SUM(D33:D36)</f>
        <v>0</v>
      </c>
      <c r="E32" s="7" t="e">
        <f t="shared" si="7"/>
        <v>#DIV/0!</v>
      </c>
      <c r="F32" s="7">
        <v>1</v>
      </c>
      <c r="G32" s="6">
        <f>SUM(G33:G36)</f>
        <v>0</v>
      </c>
      <c r="H32" s="7" t="e">
        <f t="shared" si="8"/>
        <v>#DIV/0!</v>
      </c>
      <c r="I32" s="6" t="e">
        <f t="shared" si="4"/>
        <v>#DIV/0!</v>
      </c>
      <c r="J32" s="6">
        <f>SUM(J33:J36)</f>
        <v>0</v>
      </c>
      <c r="K32" s="7" t="e">
        <f t="shared" si="9"/>
        <v>#DIV/0!</v>
      </c>
      <c r="L32" s="6" t="e">
        <f t="shared" si="5"/>
        <v>#DIV/0!</v>
      </c>
      <c r="M32" s="6">
        <f>SUM(M33:M36)</f>
        <v>0</v>
      </c>
      <c r="N32" s="7" t="e">
        <f t="shared" si="10"/>
        <v>#DIV/0!</v>
      </c>
      <c r="O32" s="8" t="e">
        <f t="shared" si="6"/>
        <v>#DIV/0!</v>
      </c>
    </row>
    <row r="33" spans="1:15" x14ac:dyDescent="0.15">
      <c r="A33" s="86" t="s">
        <v>25</v>
      </c>
      <c r="B33" s="87"/>
      <c r="C33" s="87"/>
      <c r="D33" s="9"/>
      <c r="E33" s="10" t="e">
        <f t="shared" si="7"/>
        <v>#DIV/0!</v>
      </c>
      <c r="F33" s="11">
        <v>1</v>
      </c>
      <c r="G33" s="9"/>
      <c r="H33" s="12" t="e">
        <f t="shared" si="8"/>
        <v>#DIV/0!</v>
      </c>
      <c r="I33" s="13" t="e">
        <f t="shared" si="4"/>
        <v>#DIV/0!</v>
      </c>
      <c r="J33" s="9"/>
      <c r="K33" s="12" t="e">
        <f t="shared" si="9"/>
        <v>#DIV/0!</v>
      </c>
      <c r="L33" s="13" t="e">
        <f t="shared" si="5"/>
        <v>#DIV/0!</v>
      </c>
      <c r="M33" s="9"/>
      <c r="N33" s="12" t="e">
        <f t="shared" si="10"/>
        <v>#DIV/0!</v>
      </c>
      <c r="O33" s="14" t="e">
        <f t="shared" si="6"/>
        <v>#DIV/0!</v>
      </c>
    </row>
    <row r="34" spans="1:15" x14ac:dyDescent="0.15">
      <c r="A34" s="88" t="s">
        <v>26</v>
      </c>
      <c r="B34" s="89"/>
      <c r="C34" s="89"/>
      <c r="D34" s="15"/>
      <c r="E34" s="16" t="e">
        <f t="shared" si="7"/>
        <v>#DIV/0!</v>
      </c>
      <c r="F34" s="17">
        <v>1</v>
      </c>
      <c r="G34" s="15"/>
      <c r="H34" s="18" t="e">
        <f t="shared" si="8"/>
        <v>#DIV/0!</v>
      </c>
      <c r="I34" s="19" t="e">
        <f t="shared" si="4"/>
        <v>#DIV/0!</v>
      </c>
      <c r="J34" s="15"/>
      <c r="K34" s="18" t="e">
        <f t="shared" si="9"/>
        <v>#DIV/0!</v>
      </c>
      <c r="L34" s="19" t="e">
        <f t="shared" si="5"/>
        <v>#DIV/0!</v>
      </c>
      <c r="M34" s="15"/>
      <c r="N34" s="18" t="e">
        <f t="shared" si="10"/>
        <v>#DIV/0!</v>
      </c>
      <c r="O34" s="20" t="e">
        <f t="shared" si="6"/>
        <v>#DIV/0!</v>
      </c>
    </row>
    <row r="35" spans="1:15" x14ac:dyDescent="0.15">
      <c r="A35" s="88" t="s">
        <v>27</v>
      </c>
      <c r="B35" s="89"/>
      <c r="C35" s="89"/>
      <c r="D35" s="15"/>
      <c r="E35" s="16" t="e">
        <f t="shared" si="7"/>
        <v>#DIV/0!</v>
      </c>
      <c r="F35" s="17">
        <v>1</v>
      </c>
      <c r="G35" s="15"/>
      <c r="H35" s="18" t="e">
        <f t="shared" si="8"/>
        <v>#DIV/0!</v>
      </c>
      <c r="I35" s="19" t="e">
        <f t="shared" si="4"/>
        <v>#DIV/0!</v>
      </c>
      <c r="J35" s="15"/>
      <c r="K35" s="18" t="e">
        <f t="shared" si="9"/>
        <v>#DIV/0!</v>
      </c>
      <c r="L35" s="19" t="e">
        <f t="shared" si="5"/>
        <v>#DIV/0!</v>
      </c>
      <c r="M35" s="15"/>
      <c r="N35" s="18" t="e">
        <f t="shared" si="10"/>
        <v>#DIV/0!</v>
      </c>
      <c r="O35" s="20" t="e">
        <f t="shared" si="6"/>
        <v>#DIV/0!</v>
      </c>
    </row>
    <row r="36" spans="1:15" ht="13.5" thickBot="1" x14ac:dyDescent="0.2">
      <c r="A36" s="76" t="s">
        <v>28</v>
      </c>
      <c r="B36" s="77"/>
      <c r="C36" s="77"/>
      <c r="D36" s="21"/>
      <c r="E36" s="22" t="e">
        <f t="shared" si="7"/>
        <v>#DIV/0!</v>
      </c>
      <c r="F36" s="23">
        <v>1</v>
      </c>
      <c r="G36" s="21"/>
      <c r="H36" s="25" t="e">
        <f t="shared" si="8"/>
        <v>#DIV/0!</v>
      </c>
      <c r="I36" s="26" t="e">
        <f t="shared" si="4"/>
        <v>#DIV/0!</v>
      </c>
      <c r="J36" s="21"/>
      <c r="K36" s="25" t="e">
        <f t="shared" si="9"/>
        <v>#DIV/0!</v>
      </c>
      <c r="L36" s="26" t="e">
        <f t="shared" si="5"/>
        <v>#DIV/0!</v>
      </c>
      <c r="M36" s="21"/>
      <c r="N36" s="25" t="e">
        <f t="shared" si="10"/>
        <v>#DIV/0!</v>
      </c>
      <c r="O36" s="27" t="e">
        <f t="shared" si="6"/>
        <v>#DIV/0!</v>
      </c>
    </row>
    <row r="37" spans="1:15" ht="13.5" thickBot="1" x14ac:dyDescent="0.2">
      <c r="A37" s="78" t="s">
        <v>29</v>
      </c>
      <c r="B37" s="78"/>
      <c r="C37" s="79"/>
      <c r="D37" s="41">
        <f>SUM(D25+D30+D32)</f>
        <v>0</v>
      </c>
      <c r="E37" s="42">
        <v>1</v>
      </c>
      <c r="F37" s="42">
        <v>1</v>
      </c>
      <c r="G37" s="41">
        <f>SUM(G25+G30+G32)</f>
        <v>0</v>
      </c>
      <c r="H37" s="42">
        <v>1</v>
      </c>
      <c r="I37" s="41" t="e">
        <f t="shared" si="4"/>
        <v>#DIV/0!</v>
      </c>
      <c r="J37" s="41">
        <f>SUM(J25+J30+J32)</f>
        <v>0</v>
      </c>
      <c r="K37" s="42">
        <v>1</v>
      </c>
      <c r="L37" s="41" t="e">
        <f t="shared" si="5"/>
        <v>#DIV/0!</v>
      </c>
      <c r="M37" s="41">
        <f>SUM(M25+M30+M32)</f>
        <v>0</v>
      </c>
      <c r="N37" s="42">
        <v>1</v>
      </c>
      <c r="O37" s="43" t="e">
        <f t="shared" si="6"/>
        <v>#DIV/0!</v>
      </c>
    </row>
    <row r="38" spans="1:15" ht="13.5" thickBot="1" x14ac:dyDescent="0.2">
      <c r="A38" s="80"/>
      <c r="B38" s="81"/>
      <c r="C38" s="81"/>
      <c r="D38" s="44"/>
      <c r="E38" s="45"/>
      <c r="F38" s="45"/>
      <c r="G38" s="44"/>
      <c r="H38" s="44"/>
      <c r="I38" s="44"/>
      <c r="J38" s="44"/>
      <c r="K38" s="44"/>
      <c r="L38" s="46"/>
      <c r="M38" s="44"/>
      <c r="N38" s="44"/>
      <c r="O38" s="47"/>
    </row>
    <row r="39" spans="1:15" ht="13.5" thickBot="1" x14ac:dyDescent="0.2">
      <c r="A39" s="69" t="s">
        <v>30</v>
      </c>
      <c r="B39" s="82"/>
      <c r="C39" s="83"/>
      <c r="D39" s="48">
        <v>2001</v>
      </c>
      <c r="E39" s="49" t="s">
        <v>0</v>
      </c>
      <c r="F39" s="49" t="s">
        <v>1</v>
      </c>
      <c r="G39" s="48">
        <v>2002</v>
      </c>
      <c r="H39" s="49" t="s">
        <v>0</v>
      </c>
      <c r="I39" s="49" t="s">
        <v>1</v>
      </c>
      <c r="J39" s="48">
        <v>2003</v>
      </c>
      <c r="K39" s="49" t="s">
        <v>0</v>
      </c>
      <c r="L39" s="49" t="s">
        <v>1</v>
      </c>
      <c r="M39" s="50"/>
      <c r="N39" s="49" t="s">
        <v>0</v>
      </c>
      <c r="O39" s="49" t="s">
        <v>1</v>
      </c>
    </row>
    <row r="40" spans="1:15" ht="13.5" thickBot="1" x14ac:dyDescent="0.2">
      <c r="A40" s="68" t="s">
        <v>49</v>
      </c>
      <c r="B40" s="68"/>
      <c r="C40" s="69"/>
      <c r="D40" s="6">
        <f>SUM(D41:D43)</f>
        <v>0</v>
      </c>
      <c r="E40" s="7">
        <v>1</v>
      </c>
      <c r="F40" s="7">
        <v>1</v>
      </c>
      <c r="G40" s="6">
        <f>SUM(G41:G43)</f>
        <v>0</v>
      </c>
      <c r="H40" s="7">
        <v>1</v>
      </c>
      <c r="I40" s="6" t="e">
        <f>G40/D40</f>
        <v>#DIV/0!</v>
      </c>
      <c r="J40" s="6">
        <f>SUM(J41:J43)</f>
        <v>0</v>
      </c>
      <c r="K40" s="7">
        <v>1</v>
      </c>
      <c r="L40" s="6" t="e">
        <f t="shared" si="5"/>
        <v>#DIV/0!</v>
      </c>
      <c r="M40" s="6">
        <f>SUM(M41:M43)</f>
        <v>0</v>
      </c>
      <c r="N40" s="7">
        <v>1</v>
      </c>
      <c r="O40" s="8" t="e">
        <f t="shared" si="6"/>
        <v>#DIV/0!</v>
      </c>
    </row>
    <row r="41" spans="1:15" x14ac:dyDescent="0.15">
      <c r="A41" s="74" t="s">
        <v>31</v>
      </c>
      <c r="B41" s="75"/>
      <c r="C41" s="75"/>
      <c r="D41" s="51"/>
      <c r="E41" s="52" t="e">
        <f t="shared" ref="E41:E59" si="11">(D41/$D$40)*100</f>
        <v>#DIV/0!</v>
      </c>
      <c r="F41" s="11">
        <v>1</v>
      </c>
      <c r="G41" s="9"/>
      <c r="H41" s="10" t="e">
        <f t="shared" ref="H41:H59" si="12">G41/$G$40</f>
        <v>#DIV/0!</v>
      </c>
      <c r="I41" s="13" t="e">
        <f t="shared" ref="I41:I59" si="13">G41/D41</f>
        <v>#DIV/0!</v>
      </c>
      <c r="J41" s="9"/>
      <c r="K41" s="10" t="e">
        <f t="shared" ref="K41:K59" si="14">J41/$J$40</f>
        <v>#DIV/0!</v>
      </c>
      <c r="L41" s="13" t="e">
        <f t="shared" si="5"/>
        <v>#DIV/0!</v>
      </c>
      <c r="M41" s="9"/>
      <c r="N41" s="10" t="e">
        <f t="shared" ref="N41:N59" si="15">M41/$M$40</f>
        <v>#DIV/0!</v>
      </c>
      <c r="O41" s="14" t="e">
        <f t="shared" si="6"/>
        <v>#DIV/0!</v>
      </c>
    </row>
    <row r="42" spans="1:15" x14ac:dyDescent="0.15">
      <c r="A42" s="72" t="s">
        <v>32</v>
      </c>
      <c r="B42" s="73"/>
      <c r="C42" s="73"/>
      <c r="D42" s="53"/>
      <c r="E42" s="54" t="e">
        <f t="shared" si="11"/>
        <v>#DIV/0!</v>
      </c>
      <c r="F42" s="17">
        <v>1</v>
      </c>
      <c r="G42" s="15"/>
      <c r="H42" s="16" t="e">
        <f t="shared" si="12"/>
        <v>#DIV/0!</v>
      </c>
      <c r="I42" s="19" t="e">
        <f t="shared" si="13"/>
        <v>#DIV/0!</v>
      </c>
      <c r="J42" s="15"/>
      <c r="K42" s="16" t="e">
        <f t="shared" si="14"/>
        <v>#DIV/0!</v>
      </c>
      <c r="L42" s="19" t="e">
        <f t="shared" si="5"/>
        <v>#DIV/0!</v>
      </c>
      <c r="M42" s="15"/>
      <c r="N42" s="16" t="e">
        <f t="shared" si="15"/>
        <v>#DIV/0!</v>
      </c>
      <c r="O42" s="20" t="e">
        <f t="shared" si="6"/>
        <v>#DIV/0!</v>
      </c>
    </row>
    <row r="43" spans="1:15" ht="13.5" thickBot="1" x14ac:dyDescent="0.2">
      <c r="A43" s="66" t="s">
        <v>33</v>
      </c>
      <c r="B43" s="67"/>
      <c r="C43" s="67"/>
      <c r="D43" s="55"/>
      <c r="E43" s="56" t="e">
        <f t="shared" si="11"/>
        <v>#DIV/0!</v>
      </c>
      <c r="F43" s="23">
        <v>1</v>
      </c>
      <c r="G43" s="21"/>
      <c r="H43" s="22" t="e">
        <f t="shared" si="12"/>
        <v>#DIV/0!</v>
      </c>
      <c r="I43" s="57" t="e">
        <f>G43/D43</f>
        <v>#DIV/0!</v>
      </c>
      <c r="J43" s="21"/>
      <c r="K43" s="22" t="e">
        <f t="shared" si="14"/>
        <v>#DIV/0!</v>
      </c>
      <c r="L43" s="57" t="e">
        <f>J43/D43</f>
        <v>#DIV/0!</v>
      </c>
      <c r="M43" s="21"/>
      <c r="N43" s="22" t="e">
        <f t="shared" si="15"/>
        <v>#DIV/0!</v>
      </c>
      <c r="O43" s="58" t="e">
        <f>M43/D43</f>
        <v>#DIV/0!</v>
      </c>
    </row>
    <row r="44" spans="1:15" ht="13.5" thickBot="1" x14ac:dyDescent="0.2">
      <c r="A44" s="68" t="s">
        <v>50</v>
      </c>
      <c r="B44" s="68"/>
      <c r="C44" s="69"/>
      <c r="D44" s="59">
        <f>SUM(D45+D46)</f>
        <v>0</v>
      </c>
      <c r="E44" s="7" t="e">
        <f t="shared" si="11"/>
        <v>#DIV/0!</v>
      </c>
      <c r="F44" s="7">
        <v>1</v>
      </c>
      <c r="G44" s="6">
        <f>SUM(G45+G46)</f>
        <v>0</v>
      </c>
      <c r="H44" s="7" t="e">
        <f t="shared" si="12"/>
        <v>#DIV/0!</v>
      </c>
      <c r="I44" s="6" t="e">
        <f t="shared" si="13"/>
        <v>#DIV/0!</v>
      </c>
      <c r="J44" s="6">
        <f>SUM(J45+J46)</f>
        <v>0</v>
      </c>
      <c r="K44" s="7" t="e">
        <f t="shared" si="14"/>
        <v>#DIV/0!</v>
      </c>
      <c r="L44" s="6" t="e">
        <f t="shared" si="5"/>
        <v>#DIV/0!</v>
      </c>
      <c r="M44" s="6">
        <f>SUM(M45+M46)</f>
        <v>0</v>
      </c>
      <c r="N44" s="7" t="e">
        <f t="shared" si="15"/>
        <v>#DIV/0!</v>
      </c>
      <c r="O44" s="8" t="e">
        <f t="shared" si="6"/>
        <v>#DIV/0!</v>
      </c>
    </row>
    <row r="45" spans="1:15" x14ac:dyDescent="0.15">
      <c r="A45" s="74" t="s">
        <v>34</v>
      </c>
      <c r="B45" s="75"/>
      <c r="C45" s="75"/>
      <c r="D45" s="51"/>
      <c r="E45" s="10" t="e">
        <f t="shared" si="11"/>
        <v>#DIV/0!</v>
      </c>
      <c r="F45" s="11">
        <v>1</v>
      </c>
      <c r="G45" s="9"/>
      <c r="H45" s="10" t="e">
        <f t="shared" si="12"/>
        <v>#DIV/0!</v>
      </c>
      <c r="I45" s="13" t="e">
        <f t="shared" si="13"/>
        <v>#DIV/0!</v>
      </c>
      <c r="J45" s="9"/>
      <c r="K45" s="10" t="e">
        <f t="shared" si="14"/>
        <v>#DIV/0!</v>
      </c>
      <c r="L45" s="13" t="e">
        <f t="shared" si="5"/>
        <v>#DIV/0!</v>
      </c>
      <c r="M45" s="9"/>
      <c r="N45" s="10" t="e">
        <f t="shared" si="15"/>
        <v>#DIV/0!</v>
      </c>
      <c r="O45" s="14" t="e">
        <f t="shared" si="6"/>
        <v>#DIV/0!</v>
      </c>
    </row>
    <row r="46" spans="1:15" ht="13.5" thickBot="1" x14ac:dyDescent="0.2">
      <c r="A46" s="66" t="s">
        <v>35</v>
      </c>
      <c r="B46" s="67"/>
      <c r="C46" s="67"/>
      <c r="D46" s="55"/>
      <c r="E46" s="22" t="e">
        <f t="shared" si="11"/>
        <v>#DIV/0!</v>
      </c>
      <c r="F46" s="23">
        <v>1</v>
      </c>
      <c r="G46" s="21"/>
      <c r="H46" s="22" t="e">
        <f t="shared" si="12"/>
        <v>#DIV/0!</v>
      </c>
      <c r="I46" s="26" t="e">
        <f t="shared" si="13"/>
        <v>#DIV/0!</v>
      </c>
      <c r="J46" s="21"/>
      <c r="K46" s="22" t="e">
        <f t="shared" si="14"/>
        <v>#DIV/0!</v>
      </c>
      <c r="L46" s="26" t="e">
        <f t="shared" si="5"/>
        <v>#DIV/0!</v>
      </c>
      <c r="M46" s="21"/>
      <c r="N46" s="22" t="e">
        <f t="shared" si="15"/>
        <v>#DIV/0!</v>
      </c>
      <c r="O46" s="27" t="e">
        <f t="shared" si="6"/>
        <v>#DIV/0!</v>
      </c>
    </row>
    <row r="47" spans="1:15" ht="13.5" thickBot="1" x14ac:dyDescent="0.2">
      <c r="A47" s="68" t="s">
        <v>36</v>
      </c>
      <c r="B47" s="68"/>
      <c r="C47" s="69"/>
      <c r="D47" s="59">
        <f>SUM(D40-D44)</f>
        <v>0</v>
      </c>
      <c r="E47" s="7" t="e">
        <f t="shared" si="11"/>
        <v>#DIV/0!</v>
      </c>
      <c r="F47" s="7">
        <v>1</v>
      </c>
      <c r="G47" s="6">
        <f>SUM(G40-G44)</f>
        <v>0</v>
      </c>
      <c r="H47" s="7" t="e">
        <f t="shared" si="12"/>
        <v>#DIV/0!</v>
      </c>
      <c r="I47" s="6" t="e">
        <f t="shared" si="13"/>
        <v>#DIV/0!</v>
      </c>
      <c r="J47" s="6">
        <f>SUM(J40-J44)</f>
        <v>0</v>
      </c>
      <c r="K47" s="7" t="e">
        <f t="shared" si="14"/>
        <v>#DIV/0!</v>
      </c>
      <c r="L47" s="6" t="e">
        <f t="shared" si="5"/>
        <v>#DIV/0!</v>
      </c>
      <c r="M47" s="6">
        <f>SUM(M40-M44)</f>
        <v>0</v>
      </c>
      <c r="N47" s="7" t="e">
        <f t="shared" si="15"/>
        <v>#DIV/0!</v>
      </c>
      <c r="O47" s="8" t="e">
        <f t="shared" si="6"/>
        <v>#DIV/0!</v>
      </c>
    </row>
    <row r="48" spans="1:15" ht="13.5" thickBot="1" x14ac:dyDescent="0.2">
      <c r="A48" s="68" t="s">
        <v>37</v>
      </c>
      <c r="B48" s="68"/>
      <c r="C48" s="69"/>
      <c r="D48" s="59">
        <f>SUM(D49:D53)</f>
        <v>0</v>
      </c>
      <c r="E48" s="7" t="e">
        <f t="shared" si="11"/>
        <v>#DIV/0!</v>
      </c>
      <c r="F48" s="7">
        <v>1</v>
      </c>
      <c r="G48" s="6">
        <f>SUM(G49:G53)</f>
        <v>0</v>
      </c>
      <c r="H48" s="7" t="e">
        <f t="shared" si="12"/>
        <v>#DIV/0!</v>
      </c>
      <c r="I48" s="6" t="e">
        <f t="shared" si="13"/>
        <v>#DIV/0!</v>
      </c>
      <c r="J48" s="6">
        <f>SUM(J49:J53)</f>
        <v>0</v>
      </c>
      <c r="K48" s="7" t="e">
        <f t="shared" si="14"/>
        <v>#DIV/0!</v>
      </c>
      <c r="L48" s="6" t="e">
        <f t="shared" si="5"/>
        <v>#DIV/0!</v>
      </c>
      <c r="M48" s="6">
        <f>SUM(M49:M53)</f>
        <v>0</v>
      </c>
      <c r="N48" s="7" t="e">
        <f t="shared" si="15"/>
        <v>#DIV/0!</v>
      </c>
      <c r="O48" s="8" t="e">
        <f t="shared" si="6"/>
        <v>#DIV/0!</v>
      </c>
    </row>
    <row r="49" spans="1:15" x14ac:dyDescent="0.15">
      <c r="A49" s="74" t="s">
        <v>38</v>
      </c>
      <c r="B49" s="75"/>
      <c r="C49" s="75"/>
      <c r="D49" s="51"/>
      <c r="E49" s="10" t="e">
        <f t="shared" si="11"/>
        <v>#DIV/0!</v>
      </c>
      <c r="F49" s="11">
        <v>1</v>
      </c>
      <c r="G49" s="9"/>
      <c r="H49" s="10" t="e">
        <f t="shared" si="12"/>
        <v>#DIV/0!</v>
      </c>
      <c r="I49" s="13" t="e">
        <f t="shared" si="13"/>
        <v>#DIV/0!</v>
      </c>
      <c r="J49" s="9"/>
      <c r="K49" s="10" t="e">
        <f t="shared" si="14"/>
        <v>#DIV/0!</v>
      </c>
      <c r="L49" s="13" t="e">
        <f t="shared" si="5"/>
        <v>#DIV/0!</v>
      </c>
      <c r="M49" s="9"/>
      <c r="N49" s="10" t="e">
        <f t="shared" si="15"/>
        <v>#DIV/0!</v>
      </c>
      <c r="O49" s="14" t="e">
        <f t="shared" si="6"/>
        <v>#DIV/0!</v>
      </c>
    </row>
    <row r="50" spans="1:15" x14ac:dyDescent="0.15">
      <c r="A50" s="72" t="s">
        <v>39</v>
      </c>
      <c r="B50" s="73"/>
      <c r="C50" s="73"/>
      <c r="D50" s="53"/>
      <c r="E50" s="54" t="e">
        <f t="shared" si="11"/>
        <v>#DIV/0!</v>
      </c>
      <c r="F50" s="17">
        <v>1</v>
      </c>
      <c r="G50" s="15"/>
      <c r="H50" s="16" t="e">
        <f t="shared" si="12"/>
        <v>#DIV/0!</v>
      </c>
      <c r="I50" s="19" t="e">
        <f t="shared" si="13"/>
        <v>#DIV/0!</v>
      </c>
      <c r="J50" s="15"/>
      <c r="K50" s="16" t="e">
        <f t="shared" si="14"/>
        <v>#DIV/0!</v>
      </c>
      <c r="L50" s="19" t="e">
        <f t="shared" si="5"/>
        <v>#DIV/0!</v>
      </c>
      <c r="M50" s="15"/>
      <c r="N50" s="16" t="e">
        <f t="shared" si="15"/>
        <v>#DIV/0!</v>
      </c>
      <c r="O50" s="20" t="e">
        <f t="shared" si="6"/>
        <v>#DIV/0!</v>
      </c>
    </row>
    <row r="51" spans="1:15" x14ac:dyDescent="0.15">
      <c r="A51" s="72" t="s">
        <v>40</v>
      </c>
      <c r="B51" s="73"/>
      <c r="C51" s="73"/>
      <c r="D51" s="53"/>
      <c r="E51" s="54" t="e">
        <f t="shared" si="11"/>
        <v>#DIV/0!</v>
      </c>
      <c r="F51" s="17">
        <v>1</v>
      </c>
      <c r="G51" s="15"/>
      <c r="H51" s="16" t="e">
        <f t="shared" si="12"/>
        <v>#DIV/0!</v>
      </c>
      <c r="I51" s="19" t="e">
        <f t="shared" si="13"/>
        <v>#DIV/0!</v>
      </c>
      <c r="J51" s="15"/>
      <c r="K51" s="16" t="e">
        <f t="shared" si="14"/>
        <v>#DIV/0!</v>
      </c>
      <c r="L51" s="19" t="e">
        <f t="shared" si="5"/>
        <v>#DIV/0!</v>
      </c>
      <c r="M51" s="15"/>
      <c r="N51" s="16" t="e">
        <f t="shared" si="15"/>
        <v>#DIV/0!</v>
      </c>
      <c r="O51" s="20" t="e">
        <f t="shared" si="6"/>
        <v>#DIV/0!</v>
      </c>
    </row>
    <row r="52" spans="1:15" x14ac:dyDescent="0.15">
      <c r="A52" s="72" t="s">
        <v>41</v>
      </c>
      <c r="B52" s="73"/>
      <c r="C52" s="73"/>
      <c r="D52" s="53"/>
      <c r="E52" s="54" t="e">
        <f t="shared" si="11"/>
        <v>#DIV/0!</v>
      </c>
      <c r="F52" s="17">
        <v>1</v>
      </c>
      <c r="G52" s="15"/>
      <c r="H52" s="16" t="e">
        <f t="shared" si="12"/>
        <v>#DIV/0!</v>
      </c>
      <c r="I52" s="60" t="e">
        <f>G52/D52</f>
        <v>#DIV/0!</v>
      </c>
      <c r="J52" s="15"/>
      <c r="K52" s="16" t="e">
        <f t="shared" si="14"/>
        <v>#DIV/0!</v>
      </c>
      <c r="L52" s="60" t="e">
        <f>J52/D52</f>
        <v>#DIV/0!</v>
      </c>
      <c r="M52" s="15"/>
      <c r="N52" s="16" t="e">
        <f t="shared" si="15"/>
        <v>#DIV/0!</v>
      </c>
      <c r="O52" s="61" t="e">
        <f>M52/D52</f>
        <v>#DIV/0!</v>
      </c>
    </row>
    <row r="53" spans="1:15" ht="13.5" thickBot="1" x14ac:dyDescent="0.2">
      <c r="A53" s="66" t="s">
        <v>42</v>
      </c>
      <c r="B53" s="67"/>
      <c r="C53" s="67"/>
      <c r="D53" s="55"/>
      <c r="E53" s="56" t="e">
        <f t="shared" si="11"/>
        <v>#DIV/0!</v>
      </c>
      <c r="F53" s="23">
        <v>1</v>
      </c>
      <c r="G53" s="21"/>
      <c r="H53" s="22" t="e">
        <f t="shared" si="12"/>
        <v>#DIV/0!</v>
      </c>
      <c r="I53" s="57" t="e">
        <f>G53/D53</f>
        <v>#DIV/0!</v>
      </c>
      <c r="J53" s="21"/>
      <c r="K53" s="22" t="e">
        <f t="shared" si="14"/>
        <v>#DIV/0!</v>
      </c>
      <c r="L53" s="57" t="e">
        <f>J53/D53</f>
        <v>#DIV/0!</v>
      </c>
      <c r="M53" s="21"/>
      <c r="N53" s="22" t="e">
        <f t="shared" si="15"/>
        <v>#DIV/0!</v>
      </c>
      <c r="O53" s="58" t="e">
        <f>M53/D53</f>
        <v>#DIV/0!</v>
      </c>
    </row>
    <row r="54" spans="1:15" ht="13.5" thickBot="1" x14ac:dyDescent="0.2">
      <c r="A54" s="68" t="s">
        <v>43</v>
      </c>
      <c r="B54" s="68"/>
      <c r="C54" s="69"/>
      <c r="D54" s="59">
        <f>SUM(D47-D48)</f>
        <v>0</v>
      </c>
      <c r="E54" s="62" t="e">
        <f t="shared" si="11"/>
        <v>#DIV/0!</v>
      </c>
      <c r="F54" s="7">
        <v>1</v>
      </c>
      <c r="G54" s="6">
        <f>SUM(G47-G48)</f>
        <v>0</v>
      </c>
      <c r="H54" s="7" t="e">
        <f t="shared" si="12"/>
        <v>#DIV/0!</v>
      </c>
      <c r="I54" s="6" t="e">
        <f t="shared" si="13"/>
        <v>#DIV/0!</v>
      </c>
      <c r="J54" s="6">
        <f>SUM(J47-J48)</f>
        <v>0</v>
      </c>
      <c r="K54" s="7" t="e">
        <f t="shared" si="14"/>
        <v>#DIV/0!</v>
      </c>
      <c r="L54" s="6" t="e">
        <f t="shared" si="5"/>
        <v>#DIV/0!</v>
      </c>
      <c r="M54" s="6">
        <f>SUM(M47-M48)</f>
        <v>0</v>
      </c>
      <c r="N54" s="7" t="e">
        <f t="shared" si="15"/>
        <v>#DIV/0!</v>
      </c>
      <c r="O54" s="8" t="e">
        <f t="shared" si="6"/>
        <v>#DIV/0!</v>
      </c>
    </row>
    <row r="55" spans="1:15" ht="13.5" thickBot="1" x14ac:dyDescent="0.2">
      <c r="A55" s="68" t="s">
        <v>44</v>
      </c>
      <c r="B55" s="68"/>
      <c r="C55" s="69"/>
      <c r="D55" s="59">
        <v>1</v>
      </c>
      <c r="E55" s="62" t="e">
        <f t="shared" si="11"/>
        <v>#DIV/0!</v>
      </c>
      <c r="F55" s="7">
        <v>1</v>
      </c>
      <c r="G55" s="6">
        <f>SUM(G56:G58)</f>
        <v>0</v>
      </c>
      <c r="H55" s="7" t="e">
        <f t="shared" si="12"/>
        <v>#DIV/0!</v>
      </c>
      <c r="I55" s="6">
        <f t="shared" si="13"/>
        <v>0</v>
      </c>
      <c r="J55" s="6">
        <f>SUM(J56:J58)</f>
        <v>0</v>
      </c>
      <c r="K55" s="7" t="e">
        <f t="shared" si="14"/>
        <v>#DIV/0!</v>
      </c>
      <c r="L55" s="6">
        <f t="shared" si="5"/>
        <v>0</v>
      </c>
      <c r="M55" s="6">
        <f>SUM(M56:M58)</f>
        <v>0</v>
      </c>
      <c r="N55" s="7" t="e">
        <f t="shared" si="15"/>
        <v>#DIV/0!</v>
      </c>
      <c r="O55" s="8">
        <f t="shared" si="6"/>
        <v>0</v>
      </c>
    </row>
    <row r="56" spans="1:15" x14ac:dyDescent="0.15">
      <c r="A56" s="70" t="s">
        <v>45</v>
      </c>
      <c r="B56" s="71"/>
      <c r="C56" s="71"/>
      <c r="D56" s="63"/>
      <c r="E56" s="52" t="e">
        <f t="shared" si="11"/>
        <v>#DIV/0!</v>
      </c>
      <c r="F56" s="11">
        <v>1</v>
      </c>
      <c r="G56" s="9"/>
      <c r="H56" s="10" t="e">
        <f t="shared" si="12"/>
        <v>#DIV/0!</v>
      </c>
      <c r="I56" s="64" t="e">
        <f>G56/D56</f>
        <v>#DIV/0!</v>
      </c>
      <c r="J56" s="28"/>
      <c r="K56" s="10" t="e">
        <f t="shared" si="14"/>
        <v>#DIV/0!</v>
      </c>
      <c r="L56" s="64" t="e">
        <f>J56/D56</f>
        <v>#DIV/0!</v>
      </c>
      <c r="M56" s="9"/>
      <c r="N56" s="10" t="e">
        <f t="shared" si="15"/>
        <v>#DIV/0!</v>
      </c>
      <c r="O56" s="65" t="e">
        <f>M56/D56</f>
        <v>#DIV/0!</v>
      </c>
    </row>
    <row r="57" spans="1:15" x14ac:dyDescent="0.15">
      <c r="A57" s="72" t="s">
        <v>46</v>
      </c>
      <c r="B57" s="73"/>
      <c r="C57" s="73"/>
      <c r="D57" s="53"/>
      <c r="E57" s="54" t="e">
        <f t="shared" si="11"/>
        <v>#DIV/0!</v>
      </c>
      <c r="F57" s="17">
        <v>1</v>
      </c>
      <c r="G57" s="15"/>
      <c r="H57" s="16" t="e">
        <f t="shared" si="12"/>
        <v>#DIV/0!</v>
      </c>
      <c r="I57" s="19" t="e">
        <f t="shared" si="13"/>
        <v>#DIV/0!</v>
      </c>
      <c r="J57" s="15"/>
      <c r="K57" s="16" t="e">
        <f t="shared" si="14"/>
        <v>#DIV/0!</v>
      </c>
      <c r="L57" s="19" t="e">
        <f t="shared" si="5"/>
        <v>#DIV/0!</v>
      </c>
      <c r="M57" s="15"/>
      <c r="N57" s="16" t="e">
        <f t="shared" si="15"/>
        <v>#DIV/0!</v>
      </c>
      <c r="O57" s="20" t="e">
        <f t="shared" si="6"/>
        <v>#DIV/0!</v>
      </c>
    </row>
    <row r="58" spans="1:15" ht="13.5" thickBot="1" x14ac:dyDescent="0.2">
      <c r="A58" s="66" t="s">
        <v>47</v>
      </c>
      <c r="B58" s="67"/>
      <c r="C58" s="67"/>
      <c r="D58" s="55"/>
      <c r="E58" s="56" t="e">
        <f t="shared" si="11"/>
        <v>#DIV/0!</v>
      </c>
      <c r="F58" s="23">
        <v>1</v>
      </c>
      <c r="G58" s="21"/>
      <c r="H58" s="22" t="e">
        <f t="shared" si="12"/>
        <v>#DIV/0!</v>
      </c>
      <c r="I58" s="26" t="e">
        <f t="shared" si="13"/>
        <v>#DIV/0!</v>
      </c>
      <c r="J58" s="21"/>
      <c r="K58" s="22" t="e">
        <f t="shared" si="14"/>
        <v>#DIV/0!</v>
      </c>
      <c r="L58" s="26" t="e">
        <f t="shared" si="5"/>
        <v>#DIV/0!</v>
      </c>
      <c r="M58" s="21"/>
      <c r="N58" s="22" t="e">
        <f t="shared" si="15"/>
        <v>#DIV/0!</v>
      </c>
      <c r="O58" s="27" t="e">
        <f t="shared" si="6"/>
        <v>#DIV/0!</v>
      </c>
    </row>
    <row r="59" spans="1:15" ht="13.5" thickBot="1" x14ac:dyDescent="0.2">
      <c r="A59" s="68" t="s">
        <v>48</v>
      </c>
      <c r="B59" s="68"/>
      <c r="C59" s="69"/>
      <c r="D59" s="59">
        <f>SUM(D54-D55)</f>
        <v>-1</v>
      </c>
      <c r="E59" s="62" t="e">
        <f t="shared" si="11"/>
        <v>#DIV/0!</v>
      </c>
      <c r="F59" s="7">
        <v>1</v>
      </c>
      <c r="G59" s="6">
        <f>SUM(G54-G55)</f>
        <v>0</v>
      </c>
      <c r="H59" s="7" t="e">
        <f t="shared" si="12"/>
        <v>#DIV/0!</v>
      </c>
      <c r="I59" s="6">
        <f t="shared" si="13"/>
        <v>0</v>
      </c>
      <c r="J59" s="6">
        <f>SUM(J54-J55)</f>
        <v>0</v>
      </c>
      <c r="K59" s="7" t="e">
        <f t="shared" si="14"/>
        <v>#DIV/0!</v>
      </c>
      <c r="L59" s="6">
        <f t="shared" si="5"/>
        <v>0</v>
      </c>
      <c r="M59" s="6">
        <f>SUM(M54-M55)</f>
        <v>0</v>
      </c>
      <c r="N59" s="7" t="e">
        <f t="shared" si="15"/>
        <v>#DIV/0!</v>
      </c>
      <c r="O59" s="8">
        <f t="shared" si="6"/>
        <v>0</v>
      </c>
    </row>
  </sheetData>
  <sheetProtection password="E5CA" sheet="1"/>
  <mergeCells count="54">
    <mergeCell ref="A17:C17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9:C29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41:C41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53:C53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8:C58"/>
    <mergeCell ref="A59:C59"/>
    <mergeCell ref="A54:C54"/>
    <mergeCell ref="A55:C55"/>
    <mergeCell ref="A56:C56"/>
    <mergeCell ref="A57:C57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LEIA-ME</vt:lpstr>
      <vt:lpstr>analise_balanco</vt:lpstr>
    </vt:vector>
  </TitlesOfParts>
  <Company>Aguiais Consultoria e Projetos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Análise do Balanço</dc:title>
  <dc:creator>Edilson Aguiais</dc:creator>
  <cp:keywords>Contabilidade;Análise de Balanço;Consultoria;Lucratividade</cp:keywords>
  <cp:lastModifiedBy>X</cp:lastModifiedBy>
  <dcterms:created xsi:type="dcterms:W3CDTF">2004-04-07T20:43:43Z</dcterms:created>
  <dcterms:modified xsi:type="dcterms:W3CDTF">2018-02-09T07:56:32Z</dcterms:modified>
</cp:coreProperties>
</file>