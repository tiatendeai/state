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5c2fe12b53040d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_de_trabalho"/>
  <workbookProtection workbookPassword="F258" lockStructure="1"/>
  <bookViews>
    <workbookView showHorizontalScroll="0" showSheetTabs="0" xWindow="0" yWindow="0" windowWidth="20490" windowHeight="8310" tabRatio="0" firstSheet="1"/>
  </bookViews>
  <sheets>
    <sheet name="controle ponto" sheetId="20" r:id="rId1"/>
    <sheet name="Feriados" sheetId="21" r:id="rId2"/>
  </sheets>
  <functionGroups builtInGroupCount="17"/>
  <definedNames>
    <definedName name="ano_p">'controle ponto'!$E$2</definedName>
    <definedName name="_xlnm.Print_Area" localSheetId="0">'controle ponto'!$A$1:$T$41</definedName>
    <definedName name="calendário">'controle ponto'!$B$7:$C$38</definedName>
    <definedName name="dia_f">'controle ponto'!$J$3</definedName>
    <definedName name="fer" localSheetId="1">Feriados!$D$5:$F$19</definedName>
    <definedName name="fer">Feriados!$D$5:$F$19</definedName>
    <definedName name="fim">'controle ponto'!$D$130</definedName>
    <definedName name="FIMNOT">'controle ponto'!$Q$4</definedName>
    <definedName name="ini">'controle ponto'!$D$2:$R$4</definedName>
    <definedName name="inicio">'controle ponto'!$D$129</definedName>
    <definedName name="ININOT">'controle ponto'!$P$4</definedName>
    <definedName name="mês_p">'controle ponto'!$E$3</definedName>
    <definedName name="páscoa" localSheetId="1">Feriados!$C$2</definedName>
    <definedName name="quadro_horarios">'controle ponto'!$D$8:$K$38</definedName>
    <definedName name="tabela_feriados">Feriados!$A$1:$L$19</definedName>
    <definedName name="tabela_he">'controle ponto'!$B$7:$T$41</definedName>
  </definedNames>
  <calcPr calcId="145621"/>
</workbook>
</file>

<file path=xl/calcChain.xml><?xml version="1.0" encoding="utf-8"?>
<calcChain xmlns="http://schemas.openxmlformats.org/spreadsheetml/2006/main">
  <c r="AC9" i="20" l="1"/>
  <c r="AD9" i="20"/>
  <c r="AE9" i="20"/>
  <c r="AC10" i="20"/>
  <c r="AD10" i="20"/>
  <c r="AE10" i="20"/>
  <c r="AC11" i="20"/>
  <c r="AD11" i="20"/>
  <c r="AE11" i="20"/>
  <c r="AC12" i="20"/>
  <c r="AD12" i="20"/>
  <c r="AE12" i="20"/>
  <c r="AC13" i="20"/>
  <c r="AD13" i="20"/>
  <c r="AE13" i="20"/>
  <c r="AC14" i="20"/>
  <c r="AD14" i="20"/>
  <c r="AE14" i="20"/>
  <c r="AC15" i="20"/>
  <c r="AD15" i="20"/>
  <c r="AE15" i="20"/>
  <c r="AC16" i="20"/>
  <c r="AD16" i="20"/>
  <c r="AE16" i="20"/>
  <c r="AC17" i="20"/>
  <c r="AD17" i="20"/>
  <c r="AE17" i="20"/>
  <c r="AC18" i="20"/>
  <c r="AD18" i="20"/>
  <c r="AE18" i="20"/>
  <c r="AC19" i="20"/>
  <c r="AD19" i="20"/>
  <c r="AE19" i="20"/>
  <c r="AC20" i="20"/>
  <c r="AD20" i="20"/>
  <c r="AE20" i="20"/>
  <c r="AC21" i="20"/>
  <c r="AD21" i="20"/>
  <c r="AE21" i="20"/>
  <c r="AC22" i="20"/>
  <c r="AD22" i="20"/>
  <c r="AE22" i="20"/>
  <c r="AC23" i="20"/>
  <c r="AD23" i="20"/>
  <c r="AE23" i="20"/>
  <c r="AC24" i="20"/>
  <c r="AD24" i="20"/>
  <c r="AE24" i="20"/>
  <c r="AC25" i="20"/>
  <c r="AD25" i="20"/>
  <c r="AE25" i="20"/>
  <c r="AC26" i="20"/>
  <c r="AD26" i="20"/>
  <c r="AE26" i="20"/>
  <c r="AC27" i="20"/>
  <c r="AD27" i="20"/>
  <c r="AE27" i="20"/>
  <c r="AC28" i="20"/>
  <c r="AD28" i="20"/>
  <c r="AE28" i="20"/>
  <c r="AC29" i="20"/>
  <c r="AD29" i="20"/>
  <c r="AE29" i="20"/>
  <c r="AC30" i="20"/>
  <c r="AD30" i="20"/>
  <c r="AE30" i="20"/>
  <c r="AC31" i="20"/>
  <c r="AD31" i="20"/>
  <c r="AE31" i="20"/>
  <c r="AC32" i="20"/>
  <c r="AD32" i="20"/>
  <c r="AE32" i="20"/>
  <c r="AC33" i="20"/>
  <c r="AD33" i="20"/>
  <c r="AE33" i="20"/>
  <c r="AC34" i="20"/>
  <c r="AD34" i="20"/>
  <c r="AE34" i="20"/>
  <c r="AC35" i="20"/>
  <c r="AD35" i="20"/>
  <c r="AE35" i="20"/>
  <c r="AC36" i="20"/>
  <c r="AD36" i="20"/>
  <c r="AE36" i="20"/>
  <c r="AC37" i="20"/>
  <c r="AD37" i="20"/>
  <c r="AE37" i="20"/>
  <c r="AC38" i="20"/>
  <c r="AD38" i="20"/>
  <c r="AE38" i="20"/>
  <c r="AE8" i="20"/>
  <c r="AD8" i="20"/>
  <c r="AC8" i="20"/>
  <c r="D18" i="21" l="1"/>
  <c r="C41" i="20" l="1"/>
  <c r="B41" i="20"/>
  <c r="C53" i="20" s="1"/>
  <c r="F41" i="20" l="1"/>
  <c r="O42" i="20"/>
  <c r="R42" i="20"/>
  <c r="F19" i="21" l="1"/>
  <c r="E19" i="21"/>
  <c r="D19" i="21"/>
  <c r="F18" i="21"/>
  <c r="E18" i="21"/>
  <c r="X5" i="21"/>
  <c r="E3" i="21"/>
  <c r="E2" i="21"/>
  <c r="B2" i="21"/>
  <c r="D17" i="21" s="1"/>
  <c r="D130" i="20"/>
  <c r="D129" i="20"/>
  <c r="B8" i="20" s="1"/>
  <c r="X8" i="20" l="1"/>
  <c r="Y8" i="20"/>
  <c r="AA8" i="20"/>
  <c r="Z8" i="20"/>
  <c r="D5" i="21"/>
  <c r="G6" i="21"/>
  <c r="F10" i="21"/>
  <c r="C2" i="21"/>
  <c r="E5" i="21"/>
  <c r="D6" i="21"/>
  <c r="D7" i="21"/>
  <c r="E8" i="21"/>
  <c r="F9" i="21"/>
  <c r="D11" i="21"/>
  <c r="E12" i="21"/>
  <c r="E16" i="21"/>
  <c r="F17" i="21"/>
  <c r="D8" i="21"/>
  <c r="D12" i="21"/>
  <c r="D16" i="21"/>
  <c r="E17" i="21"/>
  <c r="F5" i="21"/>
  <c r="E6" i="21"/>
  <c r="E7" i="21"/>
  <c r="F8" i="21"/>
  <c r="D10" i="21"/>
  <c r="E11" i="21"/>
  <c r="F12" i="21"/>
  <c r="F16" i="21"/>
  <c r="E9" i="21"/>
  <c r="G5" i="21"/>
  <c r="F6" i="21"/>
  <c r="F7" i="21"/>
  <c r="D9" i="21"/>
  <c r="E10" i="21"/>
  <c r="F11" i="21"/>
  <c r="E14" i="21" l="1"/>
  <c r="E13" i="21"/>
  <c r="E15" i="21"/>
  <c r="D13" i="21"/>
  <c r="D14" i="21"/>
  <c r="D15" i="21"/>
  <c r="F15" i="21"/>
  <c r="F13" i="21"/>
  <c r="F14" i="21"/>
  <c r="B40" i="20"/>
  <c r="B9" i="20"/>
  <c r="AA9" i="20" l="1"/>
  <c r="X9" i="20"/>
  <c r="Y9" i="20"/>
  <c r="Z9" i="20"/>
  <c r="B10" i="20"/>
  <c r="L9" i="20" l="1"/>
  <c r="AA10" i="20"/>
  <c r="X10" i="20"/>
  <c r="Y10" i="20"/>
  <c r="Z10" i="20"/>
  <c r="B11" i="20"/>
  <c r="N9" i="20"/>
  <c r="M9" i="20"/>
  <c r="AA11" i="20" l="1"/>
  <c r="X11" i="20"/>
  <c r="Y11" i="20"/>
  <c r="Z11" i="20"/>
  <c r="B12" i="20"/>
  <c r="AA12" i="20" l="1"/>
  <c r="X12" i="20"/>
  <c r="Y12" i="20"/>
  <c r="Z12" i="20"/>
  <c r="B13" i="20"/>
  <c r="AA13" i="20" l="1"/>
  <c r="X13" i="20"/>
  <c r="Y13" i="20"/>
  <c r="Z13" i="20"/>
  <c r="B14" i="20"/>
  <c r="AA14" i="20" l="1"/>
  <c r="X14" i="20"/>
  <c r="Y14" i="20"/>
  <c r="Z14" i="20"/>
  <c r="B15" i="20"/>
  <c r="AA15" i="20" l="1"/>
  <c r="X15" i="20"/>
  <c r="Y15" i="20"/>
  <c r="Z15" i="20"/>
  <c r="B16" i="20"/>
  <c r="AA16" i="20" l="1"/>
  <c r="X16" i="20"/>
  <c r="Y16" i="20"/>
  <c r="Z16" i="20"/>
  <c r="B17" i="20"/>
  <c r="AA17" i="20" l="1"/>
  <c r="X17" i="20"/>
  <c r="Y17" i="20"/>
  <c r="Z17" i="20"/>
  <c r="B18" i="20"/>
  <c r="AA18" i="20" l="1"/>
  <c r="X18" i="20"/>
  <c r="Y18" i="20"/>
  <c r="Z18" i="20"/>
  <c r="B19" i="20"/>
  <c r="AA19" i="20" l="1"/>
  <c r="X19" i="20"/>
  <c r="Y19" i="20"/>
  <c r="Z19" i="20"/>
  <c r="B20" i="20"/>
  <c r="L19" i="20" l="1"/>
  <c r="R17" i="20"/>
  <c r="AA20" i="20"/>
  <c r="X20" i="20"/>
  <c r="Y20" i="20"/>
  <c r="Z20" i="20"/>
  <c r="B21" i="20"/>
  <c r="N19" i="20"/>
  <c r="M19" i="20"/>
  <c r="L20" i="20" l="1"/>
  <c r="R18" i="20"/>
  <c r="AA21" i="20"/>
  <c r="X21" i="20"/>
  <c r="Y21" i="20"/>
  <c r="Z21" i="20"/>
  <c r="L21" i="20" s="1"/>
  <c r="O19" i="20"/>
  <c r="B22" i="20"/>
  <c r="M21" i="20"/>
  <c r="N21" i="20"/>
  <c r="N20" i="20"/>
  <c r="M20" i="20"/>
  <c r="Q19" i="20"/>
  <c r="O21" i="20" l="1"/>
  <c r="O20" i="20"/>
  <c r="R19" i="20"/>
  <c r="U19" i="20" s="1"/>
  <c r="AA22" i="20"/>
  <c r="X22" i="20"/>
  <c r="Y22" i="20"/>
  <c r="Z22" i="20"/>
  <c r="P20" i="20"/>
  <c r="P19" i="20"/>
  <c r="B23" i="20"/>
  <c r="Q21" i="20"/>
  <c r="Q20" i="20"/>
  <c r="R21" i="20" l="1"/>
  <c r="S21" i="20" s="1"/>
  <c r="P21" i="20"/>
  <c r="R20" i="20"/>
  <c r="U20" i="20" s="1"/>
  <c r="AA23" i="20"/>
  <c r="X23" i="20"/>
  <c r="Y23" i="20"/>
  <c r="Z23" i="20"/>
  <c r="T20" i="20"/>
  <c r="B24" i="20"/>
  <c r="L23" i="20" l="1"/>
  <c r="U21" i="20"/>
  <c r="AA24" i="20"/>
  <c r="X24" i="20"/>
  <c r="Y24" i="20"/>
  <c r="Z24" i="20"/>
  <c r="B25" i="20"/>
  <c r="N23" i="20"/>
  <c r="M23" i="20"/>
  <c r="L24" i="20" l="1"/>
  <c r="O23" i="20"/>
  <c r="R24" i="20"/>
  <c r="M25" i="20"/>
  <c r="U25" i="20" s="1"/>
  <c r="AA25" i="20"/>
  <c r="N25" i="20"/>
  <c r="X25" i="20"/>
  <c r="Y25" i="20"/>
  <c r="L25" i="20"/>
  <c r="Z25" i="20"/>
  <c r="P23" i="20"/>
  <c r="B26" i="20"/>
  <c r="N24" i="20"/>
  <c r="M24" i="20"/>
  <c r="Q23" i="20"/>
  <c r="O24" i="20" l="1"/>
  <c r="P24" i="20"/>
  <c r="R23" i="20"/>
  <c r="U23" i="20" s="1"/>
  <c r="AA26" i="20"/>
  <c r="X26" i="20"/>
  <c r="Y26" i="20"/>
  <c r="Z26" i="20"/>
  <c r="O25" i="20"/>
  <c r="B27" i="20"/>
  <c r="Q24" i="20"/>
  <c r="Q25" i="20"/>
  <c r="L26" i="20" l="1"/>
  <c r="U24" i="20"/>
  <c r="R25" i="20"/>
  <c r="AA27" i="20"/>
  <c r="X27" i="20"/>
  <c r="Y27" i="20"/>
  <c r="Z27" i="20"/>
  <c r="P25" i="20"/>
  <c r="B28" i="20"/>
  <c r="M26" i="20"/>
  <c r="N26" i="20"/>
  <c r="O26" i="20" l="1"/>
  <c r="P26" i="20"/>
  <c r="L27" i="20"/>
  <c r="AA28" i="20"/>
  <c r="X28" i="20"/>
  <c r="Y28" i="20"/>
  <c r="Z28" i="20"/>
  <c r="B29" i="20"/>
  <c r="Q26" i="20"/>
  <c r="N27" i="20"/>
  <c r="M27" i="20"/>
  <c r="R26" i="20" l="1"/>
  <c r="U26" i="20" s="1"/>
  <c r="L28" i="20"/>
  <c r="AA29" i="20"/>
  <c r="X29" i="20"/>
  <c r="Y29" i="20"/>
  <c r="Z29" i="20"/>
  <c r="L29" i="20" s="1"/>
  <c r="B30" i="20"/>
  <c r="M29" i="20"/>
  <c r="N29" i="20"/>
  <c r="N28" i="20"/>
  <c r="M28" i="20"/>
  <c r="AA30" i="20" l="1"/>
  <c r="X30" i="20"/>
  <c r="Y30" i="20"/>
  <c r="Z30" i="20"/>
  <c r="B31" i="20"/>
  <c r="L30" i="20" l="1"/>
  <c r="AA31" i="20"/>
  <c r="X31" i="20"/>
  <c r="Y31" i="20"/>
  <c r="Z31" i="20"/>
  <c r="B32" i="20"/>
  <c r="M30" i="20"/>
  <c r="N30" i="20"/>
  <c r="O30" i="20" l="1"/>
  <c r="L31" i="20"/>
  <c r="L32" i="20"/>
  <c r="AA32" i="20"/>
  <c r="M32" i="20"/>
  <c r="U32" i="20" s="1"/>
  <c r="X32" i="20"/>
  <c r="N32" i="20"/>
  <c r="O32" i="20" s="1"/>
  <c r="Y32" i="20"/>
  <c r="Z32" i="20"/>
  <c r="P30" i="20"/>
  <c r="B33" i="20"/>
  <c r="Q30" i="20"/>
  <c r="N31" i="20"/>
  <c r="M31" i="20"/>
  <c r="Q32" i="20"/>
  <c r="R30" i="20" l="1"/>
  <c r="U30" i="20" s="1"/>
  <c r="O31" i="20"/>
  <c r="R31" i="20"/>
  <c r="R32" i="20"/>
  <c r="AA33" i="20"/>
  <c r="X33" i="20"/>
  <c r="Y33" i="20"/>
  <c r="Z33" i="20"/>
  <c r="L33" i="20" s="1"/>
  <c r="P31" i="20"/>
  <c r="P32" i="20"/>
  <c r="B34" i="20"/>
  <c r="M33" i="20"/>
  <c r="N33" i="20"/>
  <c r="Q31" i="20"/>
  <c r="O33" i="20" l="1"/>
  <c r="U31" i="20"/>
  <c r="AA34" i="20"/>
  <c r="Y34" i="20"/>
  <c r="X34" i="20"/>
  <c r="Z34" i="20"/>
  <c r="P33" i="20"/>
  <c r="B35" i="20"/>
  <c r="Q33" i="20"/>
  <c r="L34" i="20" l="1"/>
  <c r="R33" i="20"/>
  <c r="U33" i="20" s="1"/>
  <c r="Y35" i="20"/>
  <c r="AA35" i="20"/>
  <c r="X35" i="20"/>
  <c r="Z35" i="20"/>
  <c r="B36" i="20"/>
  <c r="M34" i="20"/>
  <c r="N34" i="20"/>
  <c r="O34" i="20" l="1"/>
  <c r="L35" i="20"/>
  <c r="Y36" i="20"/>
  <c r="X36" i="20"/>
  <c r="Z36" i="20"/>
  <c r="AA36" i="20"/>
  <c r="P34" i="20"/>
  <c r="B37" i="20"/>
  <c r="C8" i="20"/>
  <c r="AB8" i="20" s="1"/>
  <c r="C30" i="20"/>
  <c r="C27" i="20"/>
  <c r="AB27" i="20" s="1"/>
  <c r="C26" i="20"/>
  <c r="C25" i="20"/>
  <c r="C21" i="20"/>
  <c r="C20" i="20"/>
  <c r="C17" i="20"/>
  <c r="C13" i="20"/>
  <c r="AB13" i="20" s="1"/>
  <c r="L13" i="20" s="1"/>
  <c r="C11" i="20"/>
  <c r="AB11" i="20" s="1"/>
  <c r="L11" i="20" s="1"/>
  <c r="C9" i="20"/>
  <c r="AB9" i="20" s="1"/>
  <c r="C37" i="20"/>
  <c r="AB37" i="20" s="1"/>
  <c r="C36" i="20"/>
  <c r="AB36" i="20" s="1"/>
  <c r="C35" i="20"/>
  <c r="AB35" i="20" s="1"/>
  <c r="C34" i="20"/>
  <c r="AB34" i="20" s="1"/>
  <c r="C33" i="20"/>
  <c r="C32" i="20"/>
  <c r="C31" i="20"/>
  <c r="C29" i="20"/>
  <c r="AB29" i="20" s="1"/>
  <c r="C28" i="20"/>
  <c r="AB28" i="20" s="1"/>
  <c r="C24" i="20"/>
  <c r="C23" i="20"/>
  <c r="C22" i="20"/>
  <c r="C19" i="20"/>
  <c r="C18" i="20"/>
  <c r="C16" i="20"/>
  <c r="C15" i="20"/>
  <c r="C14" i="20"/>
  <c r="AB14" i="20" s="1"/>
  <c r="L14" i="20" s="1"/>
  <c r="C12" i="20"/>
  <c r="AB12" i="20" s="1"/>
  <c r="L12" i="20" s="1"/>
  <c r="C10" i="20"/>
  <c r="AB10" i="20" s="1"/>
  <c r="L10" i="20" s="1"/>
  <c r="M11" i="20"/>
  <c r="N11" i="20"/>
  <c r="Q34" i="20"/>
  <c r="N35" i="20"/>
  <c r="M35" i="20"/>
  <c r="M14" i="20"/>
  <c r="N14" i="20"/>
  <c r="M13" i="20"/>
  <c r="N13" i="20"/>
  <c r="M12" i="20"/>
  <c r="N12" i="20"/>
  <c r="M10" i="20"/>
  <c r="N10" i="20"/>
  <c r="O35" i="20" l="1"/>
  <c r="P35" i="20"/>
  <c r="R34" i="20"/>
  <c r="U34" i="20" s="1"/>
  <c r="L36" i="20"/>
  <c r="AB31" i="20"/>
  <c r="AB15" i="20"/>
  <c r="L15" i="20" s="1"/>
  <c r="AB22" i="20"/>
  <c r="L22" i="20" s="1"/>
  <c r="S20" i="20"/>
  <c r="AB20" i="20"/>
  <c r="AB23" i="20"/>
  <c r="T21" i="20"/>
  <c r="AB21" i="20"/>
  <c r="T30" i="20"/>
  <c r="AB30" i="20"/>
  <c r="AB16" i="20"/>
  <c r="L16" i="20" s="1"/>
  <c r="AB18" i="20"/>
  <c r="L18" i="20" s="1"/>
  <c r="S24" i="20"/>
  <c r="AB24" i="20"/>
  <c r="S32" i="20"/>
  <c r="AB32" i="20"/>
  <c r="S25" i="20"/>
  <c r="AB25" i="20"/>
  <c r="L8" i="20"/>
  <c r="S19" i="20"/>
  <c r="AB19" i="20"/>
  <c r="S33" i="20"/>
  <c r="AB33" i="20"/>
  <c r="T17" i="20"/>
  <c r="AB17" i="20"/>
  <c r="L17" i="20" s="1"/>
  <c r="T26" i="20"/>
  <c r="AB26" i="20"/>
  <c r="Y37" i="20"/>
  <c r="X37" i="20"/>
  <c r="Z37" i="20"/>
  <c r="AA37" i="20"/>
  <c r="B38" i="20"/>
  <c r="O29" i="20"/>
  <c r="O9" i="20"/>
  <c r="T19" i="20"/>
  <c r="O28" i="20"/>
  <c r="T23" i="20"/>
  <c r="S23" i="20"/>
  <c r="S31" i="20"/>
  <c r="T31" i="20"/>
  <c r="O12" i="20"/>
  <c r="S34" i="20"/>
  <c r="T34" i="20"/>
  <c r="Q35" i="20"/>
  <c r="N36" i="20"/>
  <c r="M36" i="20"/>
  <c r="N22" i="20"/>
  <c r="M22" i="20"/>
  <c r="M18" i="20"/>
  <c r="N18" i="20"/>
  <c r="N17" i="20"/>
  <c r="M17" i="20"/>
  <c r="N16" i="20"/>
  <c r="M16" i="20"/>
  <c r="M15" i="20"/>
  <c r="N15" i="20"/>
  <c r="M8" i="20"/>
  <c r="N8" i="20"/>
  <c r="Q9" i="20"/>
  <c r="Q28" i="20"/>
  <c r="Q29" i="20"/>
  <c r="Q12" i="20"/>
  <c r="R35" i="20" l="1"/>
  <c r="O36" i="20"/>
  <c r="L37" i="20"/>
  <c r="P36" i="20"/>
  <c r="O18" i="20"/>
  <c r="P18" i="20"/>
  <c r="U18" i="20"/>
  <c r="O17" i="20"/>
  <c r="P17" i="20"/>
  <c r="O16" i="20"/>
  <c r="P16" i="20"/>
  <c r="O15" i="20"/>
  <c r="P15" i="20"/>
  <c r="O22" i="20"/>
  <c r="R29" i="20"/>
  <c r="U29" i="20" s="1"/>
  <c r="R9" i="20"/>
  <c r="T9" i="20" s="1"/>
  <c r="R12" i="20"/>
  <c r="U12" i="20" s="1"/>
  <c r="R28" i="20"/>
  <c r="S28" i="20" s="1"/>
  <c r="S30" i="20"/>
  <c r="S18" i="20"/>
  <c r="T32" i="20"/>
  <c r="T24" i="20"/>
  <c r="T25" i="20"/>
  <c r="S26" i="20"/>
  <c r="T33" i="20"/>
  <c r="Y38" i="20"/>
  <c r="Z38" i="20"/>
  <c r="AA38" i="20"/>
  <c r="X38" i="20"/>
  <c r="L38" i="20" s="1"/>
  <c r="O10" i="20"/>
  <c r="P10" i="20" s="1"/>
  <c r="O8" i="20"/>
  <c r="P8" i="20" s="1"/>
  <c r="P29" i="20"/>
  <c r="P12" i="20"/>
  <c r="P28" i="20"/>
  <c r="P9" i="20"/>
  <c r="O13" i="20"/>
  <c r="P13" i="20" s="1"/>
  <c r="O11" i="20"/>
  <c r="O27" i="20"/>
  <c r="O14" i="20"/>
  <c r="C40" i="20"/>
  <c r="C38" i="20"/>
  <c r="AB38" i="20" s="1"/>
  <c r="Q36" i="20"/>
  <c r="N37" i="20"/>
  <c r="M37" i="20"/>
  <c r="N38" i="20"/>
  <c r="M38" i="20"/>
  <c r="Q18" i="20"/>
  <c r="Q17" i="20"/>
  <c r="Q16" i="20"/>
  <c r="Q15" i="20"/>
  <c r="Q11" i="20"/>
  <c r="Q22" i="20"/>
  <c r="Q10" i="20"/>
  <c r="Q8" i="20"/>
  <c r="E40" i="20"/>
  <c r="Q13" i="20"/>
  <c r="Q14" i="20"/>
  <c r="Q27" i="20"/>
  <c r="U35" i="20" l="1"/>
  <c r="S35" i="20"/>
  <c r="T35" i="20"/>
  <c r="O37" i="20"/>
  <c r="P37" i="20"/>
  <c r="R36" i="20"/>
  <c r="N40" i="20"/>
  <c r="D49" i="20" s="1"/>
  <c r="U28" i="20"/>
  <c r="T18" i="20"/>
  <c r="U17" i="20"/>
  <c r="S17" i="20"/>
  <c r="R16" i="20"/>
  <c r="R15" i="20"/>
  <c r="R22" i="20"/>
  <c r="T22" i="20" s="1"/>
  <c r="U9" i="20"/>
  <c r="P22" i="20"/>
  <c r="U22" i="20"/>
  <c r="R8" i="20"/>
  <c r="S8" i="20" s="1"/>
  <c r="R13" i="20"/>
  <c r="T13" i="20" s="1"/>
  <c r="U8" i="20"/>
  <c r="U13" i="20"/>
  <c r="S12" i="20"/>
  <c r="R11" i="20"/>
  <c r="U11" i="20" s="1"/>
  <c r="R14" i="20"/>
  <c r="S14" i="20" s="1"/>
  <c r="R27" i="20"/>
  <c r="T27" i="20" s="1"/>
  <c r="R10" i="20"/>
  <c r="U10" i="20" s="1"/>
  <c r="T28" i="20"/>
  <c r="O38" i="20"/>
  <c r="P38" i="20" s="1"/>
  <c r="T12" i="20"/>
  <c r="S9" i="20"/>
  <c r="P14" i="20"/>
  <c r="P11" i="20"/>
  <c r="P27" i="20"/>
  <c r="D40" i="20"/>
  <c r="S29" i="20"/>
  <c r="T29" i="20"/>
  <c r="F40" i="20"/>
  <c r="Q37" i="20"/>
  <c r="Q38" i="20"/>
  <c r="R37" i="20" l="1"/>
  <c r="U36" i="20"/>
  <c r="T36" i="20"/>
  <c r="S36" i="20"/>
  <c r="U37" i="20"/>
  <c r="U27" i="20"/>
  <c r="U16" i="20"/>
  <c r="S16" i="20"/>
  <c r="T16" i="20"/>
  <c r="U15" i="20"/>
  <c r="S15" i="20"/>
  <c r="T15" i="20"/>
  <c r="U14" i="20"/>
  <c r="S22" i="20"/>
  <c r="T8" i="20"/>
  <c r="D50" i="20"/>
  <c r="D51" i="20" s="1"/>
  <c r="G40" i="20"/>
  <c r="T10" i="20"/>
  <c r="R38" i="20"/>
  <c r="T38" i="20" s="1"/>
  <c r="P39" i="20"/>
  <c r="P40" i="20" s="1"/>
  <c r="S10" i="20"/>
  <c r="T14" i="20"/>
  <c r="S13" i="20"/>
  <c r="S27" i="20"/>
  <c r="S11" i="20"/>
  <c r="T11" i="20"/>
  <c r="S37" i="20" l="1"/>
  <c r="T37" i="20"/>
  <c r="U38" i="20"/>
  <c r="U39" i="20" s="1"/>
  <c r="U40" i="20" s="1"/>
  <c r="D45" i="20" s="1"/>
  <c r="P41" i="20"/>
  <c r="S38" i="20"/>
  <c r="Q39" i="20"/>
  <c r="Q40" i="20" s="1"/>
  <c r="T39" i="20" l="1"/>
  <c r="T40" i="20" s="1"/>
  <c r="D48" i="20" s="1"/>
  <c r="S39" i="20"/>
  <c r="S40" i="20" l="1"/>
  <c r="D44" i="20" s="1"/>
  <c r="D46" i="20" s="1"/>
  <c r="T41" i="20"/>
  <c r="G41" i="20"/>
  <c r="E41" i="20"/>
  <c r="D41" i="20"/>
  <c r="C56" i="20" l="1"/>
  <c r="C55" i="20"/>
  <c r="C54" i="20"/>
  <c r="S41" i="20"/>
  <c r="S42" i="20"/>
  <c r="P42" i="20" l="1"/>
  <c r="T42" i="20"/>
  <c r="N41" i="20"/>
</calcChain>
</file>

<file path=xl/comments1.xml><?xml version="1.0" encoding="utf-8"?>
<comments xmlns="http://schemas.openxmlformats.org/spreadsheetml/2006/main">
  <authors>
    <author>Gilberto</author>
  </authors>
  <commentList>
    <comment ref="E2" authorId="0">
      <text>
        <r>
          <rPr>
            <sz val="9"/>
            <color indexed="81"/>
            <rFont val="Segoe UI"/>
            <family val="2"/>
          </rPr>
          <t>Altere o ano aqui.</t>
        </r>
      </text>
    </comment>
    <comment ref="E3" authorId="0">
      <text>
        <r>
          <rPr>
            <sz val="9"/>
            <color indexed="81"/>
            <rFont val="Segoe UI"/>
            <family val="2"/>
          </rPr>
          <t>Aqui pode ser alterado o mês.</t>
        </r>
      </text>
    </comment>
    <comment ref="N3" authorId="0">
      <text>
        <r>
          <rPr>
            <sz val="9"/>
            <color indexed="81"/>
            <rFont val="Segoe UI"/>
            <family val="2"/>
          </rPr>
          <t>Aqui pode ser inserida outra jornada, por exemplo 7:20</t>
        </r>
      </text>
    </comment>
    <comment ref="N4" authorId="0">
      <text>
        <r>
          <rPr>
            <sz val="9"/>
            <color indexed="81"/>
            <rFont val="Segoe UI"/>
            <family val="2"/>
          </rPr>
          <t>Aqui pode ser inserida outra jornada para os sábados, como, por exemplo, 7:20</t>
        </r>
      </text>
    </comment>
    <comment ref="P4" authorId="0">
      <text>
        <r>
          <rPr>
            <sz val="9"/>
            <color indexed="81"/>
            <rFont val="Segoe UI"/>
            <family val="2"/>
          </rPr>
          <t>Início do período noturno. Pode ser modificado no caso de trabalhador rural.</t>
        </r>
      </text>
    </comment>
    <comment ref="Q4" authorId="0">
      <text>
        <r>
          <rPr>
            <sz val="9"/>
            <color indexed="81"/>
            <rFont val="Segoe UI"/>
            <family val="2"/>
          </rPr>
          <t>Término do período noturno. Pode ser ampliado caso necessário (Súmula 60, TST)</t>
        </r>
      </text>
    </comment>
  </commentList>
</comments>
</file>

<file path=xl/sharedStrings.xml><?xml version="1.0" encoding="utf-8"?>
<sst xmlns="http://schemas.openxmlformats.org/spreadsheetml/2006/main" count="102" uniqueCount="79">
  <si>
    <t xml:space="preserve">Data </t>
  </si>
  <si>
    <t>Dia Semana</t>
  </si>
  <si>
    <t>Entrada</t>
  </si>
  <si>
    <t>Saída</t>
  </si>
  <si>
    <t>H. Normais</t>
  </si>
  <si>
    <t>Ano</t>
  </si>
  <si>
    <t>Sábados:</t>
  </si>
  <si>
    <t>Ano Novo</t>
  </si>
  <si>
    <t>Tiradentes</t>
  </si>
  <si>
    <t>Dia do Trabalho</t>
  </si>
  <si>
    <t>Independência</t>
  </si>
  <si>
    <t>Padroeira do Brasil</t>
  </si>
  <si>
    <t>Finados</t>
  </si>
  <si>
    <t>Proclamação da República</t>
  </si>
  <si>
    <t>Natal</t>
  </si>
  <si>
    <t>Terça-Feira de Carnaval</t>
  </si>
  <si>
    <t>Páscoa</t>
  </si>
  <si>
    <t>Corpus Christi</t>
  </si>
  <si>
    <t>Feriados Nacionais</t>
  </si>
  <si>
    <t>x</t>
  </si>
  <si>
    <t>Sexta-Feira Santa</t>
  </si>
  <si>
    <t>Feriado 1</t>
  </si>
  <si>
    <t>Feriado 2</t>
  </si>
  <si>
    <t>Feriado 3</t>
  </si>
  <si>
    <t>Feriado 4</t>
  </si>
  <si>
    <t>Móveis</t>
  </si>
  <si>
    <t>Fixos</t>
  </si>
  <si>
    <t>DIA</t>
  </si>
  <si>
    <t>MÊS</t>
  </si>
  <si>
    <t>Feriados Nacionais, Municipais e Estadual</t>
  </si>
  <si>
    <t>Horas Diurnas</t>
  </si>
  <si>
    <t>Hora Ficta</t>
  </si>
  <si>
    <t>Horas Noturnas</t>
  </si>
  <si>
    <t>Horário Noturno</t>
  </si>
  <si>
    <t>Ano:</t>
  </si>
  <si>
    <t>Mês:</t>
  </si>
  <si>
    <t>fer</t>
  </si>
  <si>
    <t>dom</t>
  </si>
  <si>
    <t>mês</t>
  </si>
  <si>
    <t>dias úteis</t>
  </si>
  <si>
    <t>Término</t>
  </si>
  <si>
    <t>Início</t>
  </si>
  <si>
    <t>Total:</t>
  </si>
  <si>
    <t>Decimal:</t>
  </si>
  <si>
    <t>Início:</t>
  </si>
  <si>
    <t>Fim:</t>
  </si>
  <si>
    <t>H. Not. s/ red.</t>
  </si>
  <si>
    <t>dsr</t>
  </si>
  <si>
    <t>Fim</t>
  </si>
  <si>
    <t>Seg a Sex:</t>
  </si>
  <si>
    <t>Jornada Diária</t>
  </si>
  <si>
    <t>Informar a data do fechamento</t>
  </si>
  <si>
    <t>do ponto &gt;&gt;&gt;&gt;&gt;&gt;&gt;&gt;&gt;</t>
  </si>
  <si>
    <t>CARTÃO PONTO ESPELHO</t>
  </si>
  <si>
    <t>H. Extras 60%</t>
  </si>
  <si>
    <t>HE Dom e Fer 110%</t>
  </si>
  <si>
    <t>Entrada-1</t>
  </si>
  <si>
    <t>Saída-1</t>
  </si>
  <si>
    <t>Entrada-2</t>
  </si>
  <si>
    <t>Saída-2</t>
  </si>
  <si>
    <t>Entrada-3</t>
  </si>
  <si>
    <t>Saída-3</t>
  </si>
  <si>
    <t>Horas Extras 60%</t>
  </si>
  <si>
    <t>Total Horas 60%</t>
  </si>
  <si>
    <t>HE 110%</t>
  </si>
  <si>
    <t>Adicional Noturno</t>
  </si>
  <si>
    <t>H. Trab. + Ficta</t>
  </si>
  <si>
    <t>Entrada-4</t>
  </si>
  <si>
    <t>Saída-4</t>
  </si>
  <si>
    <t>Tempo</t>
  </si>
  <si>
    <t>Dsr Not:</t>
  </si>
  <si>
    <t>Dsr Diurna:</t>
  </si>
  <si>
    <t>H Faltas Periodo</t>
  </si>
  <si>
    <t>Feriados:</t>
  </si>
  <si>
    <t>Domingos:</t>
  </si>
  <si>
    <t>Dias Úteis:</t>
  </si>
  <si>
    <t>Mês Trab.:</t>
  </si>
  <si>
    <t>Horas Faltas a Comp.</t>
  </si>
  <si>
    <t>Total Adicional Noturno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</si>
</sst>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d"/>
    <numFmt numFmtId="165" formatCode="[hh]:mm"/>
    <numFmt numFmtId="166" formatCode="00&quot;:&quot;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Calibri"/>
      <family val="2"/>
    </font>
    <font>
      <sz val="10"/>
      <name val="Arial"/>
      <family val="2"/>
    </font>
    <font>
      <b/>
      <sz val="10"/>
      <color indexed="62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Segoe UI"/>
      <family val="2"/>
    </font>
    <font>
      <b/>
      <sz val="10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/>
      <diagonal/>
    </border>
  </borders>
  <cellStyleXfs count="7">
    <xf numFmtId="0" fontId="0" fillId="0" borderId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6" fillId="0" borderId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9" fillId="12" borderId="0" applyNumberFormat="0" applyBorder="0" applyAlignment="0" applyProtection="0"/>
  </cellStyleXfs>
  <cellXfs count="185">
    <xf numFmtId="0" fontId="0" fillId="0" borderId="0" xfId="0"/>
    <xf numFmtId="0" fontId="11" fillId="7" borderId="1" xfId="2" applyFont="1" applyBorder="1" applyAlignment="1">
      <alignment horizontal="left" indent="1"/>
    </xf>
    <xf numFmtId="0" fontId="11" fillId="7" borderId="2" xfId="2" applyFont="1" applyBorder="1" applyAlignment="1">
      <alignment horizontal="left" indent="1"/>
    </xf>
    <xf numFmtId="14" fontId="11" fillId="7" borderId="2" xfId="2" applyNumberFormat="1" applyFont="1" applyBorder="1"/>
    <xf numFmtId="0" fontId="11" fillId="7" borderId="1" xfId="2" applyFont="1" applyBorder="1" applyAlignment="1">
      <alignment horizontal="center"/>
    </xf>
    <xf numFmtId="0" fontId="11" fillId="7" borderId="2" xfId="2" applyFont="1" applyBorder="1" applyAlignment="1">
      <alignment horizontal="center"/>
    </xf>
    <xf numFmtId="0" fontId="11" fillId="7" borderId="4" xfId="2" applyFont="1" applyBorder="1" applyAlignment="1">
      <alignment horizontal="center"/>
    </xf>
    <xf numFmtId="0" fontId="11" fillId="7" borderId="4" xfId="2" applyFont="1" applyBorder="1" applyAlignment="1">
      <alignment horizontal="left" indent="1"/>
    </xf>
    <xf numFmtId="14" fontId="11" fillId="7" borderId="4" xfId="2" applyNumberFormat="1" applyFont="1" applyBorder="1"/>
    <xf numFmtId="0" fontId="11" fillId="7" borderId="3" xfId="2" applyFont="1" applyBorder="1" applyAlignment="1">
      <alignment horizontal="center" vertical="center"/>
    </xf>
    <xf numFmtId="0" fontId="15" fillId="10" borderId="1" xfId="2" applyFont="1" applyFill="1" applyBorder="1" applyAlignment="1">
      <alignment horizontal="right" vertical="center" indent="1"/>
    </xf>
    <xf numFmtId="0" fontId="6" fillId="0" borderId="0" xfId="3"/>
    <xf numFmtId="0" fontId="8" fillId="5" borderId="14" xfId="4" applyFont="1" applyBorder="1" applyAlignment="1">
      <alignment horizontal="centerContinuous"/>
    </xf>
    <xf numFmtId="0" fontId="6" fillId="11" borderId="17" xfId="3" applyFill="1" applyBorder="1"/>
    <xf numFmtId="0" fontId="6" fillId="0" borderId="0" xfId="3" applyBorder="1" applyAlignment="1">
      <alignment vertical="center"/>
    </xf>
    <xf numFmtId="14" fontId="11" fillId="7" borderId="1" xfId="2" quotePrefix="1" applyNumberFormat="1" applyFont="1" applyBorder="1"/>
    <xf numFmtId="14" fontId="12" fillId="0" borderId="0" xfId="3" applyNumberFormat="1" applyFont="1" applyBorder="1" applyAlignment="1">
      <alignment horizontal="left" indent="1"/>
    </xf>
    <xf numFmtId="0" fontId="12" fillId="0" borderId="0" xfId="3" applyFont="1"/>
    <xf numFmtId="14" fontId="12" fillId="0" borderId="0" xfId="3" applyNumberFormat="1" applyFont="1"/>
    <xf numFmtId="14" fontId="11" fillId="7" borderId="2" xfId="2" quotePrefix="1" applyNumberFormat="1" applyFont="1" applyBorder="1"/>
    <xf numFmtId="0" fontId="6" fillId="0" borderId="0" xfId="3" applyBorder="1" applyAlignment="1">
      <alignment horizontal="left" indent="1"/>
    </xf>
    <xf numFmtId="14" fontId="11" fillId="7" borderId="4" xfId="2" quotePrefix="1" applyNumberFormat="1" applyFont="1" applyBorder="1"/>
    <xf numFmtId="0" fontId="3" fillId="6" borderId="1" xfId="5" applyBorder="1" applyAlignment="1">
      <alignment horizontal="center"/>
    </xf>
    <xf numFmtId="0" fontId="3" fillId="6" borderId="1" xfId="5" applyBorder="1" applyAlignment="1">
      <alignment horizontal="left" indent="1"/>
    </xf>
    <xf numFmtId="14" fontId="3" fillId="6" borderId="1" xfId="5" quotePrefix="1" applyNumberFormat="1" applyFont="1" applyBorder="1"/>
    <xf numFmtId="0" fontId="6" fillId="0" borderId="0" xfId="3" applyFill="1" applyBorder="1" applyAlignment="1">
      <alignment horizontal="left" indent="1"/>
    </xf>
    <xf numFmtId="0" fontId="3" fillId="6" borderId="2" xfId="5" applyBorder="1" applyAlignment="1">
      <alignment horizontal="center" vertical="center"/>
    </xf>
    <xf numFmtId="0" fontId="3" fillId="6" borderId="2" xfId="5" applyBorder="1" applyAlignment="1">
      <alignment horizontal="left" indent="1"/>
    </xf>
    <xf numFmtId="14" fontId="3" fillId="6" borderId="2" xfId="5" quotePrefix="1" applyNumberFormat="1" applyFont="1" applyBorder="1"/>
    <xf numFmtId="0" fontId="3" fillId="6" borderId="4" xfId="5" applyBorder="1" applyAlignment="1">
      <alignment horizontal="left" indent="1"/>
    </xf>
    <xf numFmtId="14" fontId="3" fillId="6" borderId="4" xfId="5" quotePrefix="1" applyNumberFormat="1" applyFont="1" applyBorder="1"/>
    <xf numFmtId="0" fontId="11" fillId="7" borderId="7" xfId="2" applyFont="1" applyBorder="1" applyAlignment="1">
      <alignment horizontal="center" vertical="center"/>
    </xf>
    <xf numFmtId="0" fontId="6" fillId="0" borderId="15" xfId="3" applyFill="1" applyBorder="1" applyAlignment="1">
      <alignment horizontal="center"/>
    </xf>
    <xf numFmtId="0" fontId="6" fillId="0" borderId="0" xfId="3" applyFill="1" applyBorder="1" applyAlignment="1">
      <alignment horizontal="center"/>
    </xf>
    <xf numFmtId="20" fontId="21" fillId="12" borderId="20" xfId="6" applyNumberFormat="1" applyFont="1" applyBorder="1" applyAlignment="1" applyProtection="1">
      <alignment horizontal="center"/>
      <protection locked="0"/>
    </xf>
    <xf numFmtId="20" fontId="21" fillId="12" borderId="24" xfId="6" applyNumberFormat="1" applyFont="1" applyBorder="1" applyAlignment="1" applyProtection="1">
      <alignment horizontal="center"/>
      <protection locked="0"/>
    </xf>
    <xf numFmtId="20" fontId="21" fillId="12" borderId="23" xfId="6" applyNumberFormat="1" applyFont="1" applyBorder="1" applyAlignment="1" applyProtection="1">
      <alignment horizontal="center"/>
      <protection locked="0"/>
    </xf>
    <xf numFmtId="0" fontId="2" fillId="6" borderId="4" xfId="5" applyFont="1" applyBorder="1" applyAlignment="1">
      <alignment horizontal="center"/>
    </xf>
    <xf numFmtId="0" fontId="16" fillId="3" borderId="3" xfId="0" applyFont="1" applyFill="1" applyBorder="1" applyAlignment="1" applyProtection="1">
      <alignment horizontal="center" vertical="center" wrapText="1"/>
      <protection hidden="1"/>
    </xf>
    <xf numFmtId="166" fontId="13" fillId="8" borderId="1" xfId="0" quotePrefix="1" applyNumberFormat="1" applyFont="1" applyFill="1" applyBorder="1" applyAlignment="1" applyProtection="1">
      <alignment horizontal="center" vertical="center"/>
      <protection locked="0"/>
    </xf>
    <xf numFmtId="166" fontId="13" fillId="8" borderId="1" xfId="0" applyNumberFormat="1" applyFont="1" applyFill="1" applyBorder="1" applyAlignment="1" applyProtection="1">
      <alignment horizontal="center" vertical="center"/>
      <protection locked="0"/>
    </xf>
    <xf numFmtId="20" fontId="14" fillId="0" borderId="37" xfId="0" quotePrefix="1" applyNumberFormat="1" applyFont="1" applyBorder="1" applyAlignment="1" applyProtection="1">
      <alignment horizontal="center" vertical="center"/>
      <protection hidden="1"/>
    </xf>
    <xf numFmtId="0" fontId="1" fillId="5" borderId="11" xfId="4" applyFont="1" applyBorder="1" applyAlignment="1" applyProtection="1">
      <alignment horizontal="center"/>
      <protection locked="0"/>
    </xf>
    <xf numFmtId="0" fontId="3" fillId="5" borderId="11" xfId="4" applyBorder="1" applyAlignment="1" applyProtection="1">
      <alignment horizontal="left" indent="1"/>
      <protection locked="0"/>
    </xf>
    <xf numFmtId="0" fontId="1" fillId="5" borderId="2" xfId="4" applyFont="1" applyBorder="1" applyAlignment="1" applyProtection="1">
      <alignment horizontal="center"/>
      <protection locked="0"/>
    </xf>
    <xf numFmtId="0" fontId="3" fillId="5" borderId="2" xfId="4" applyBorder="1" applyAlignment="1" applyProtection="1">
      <alignment horizontal="left" indent="1"/>
      <protection locked="0"/>
    </xf>
    <xf numFmtId="0" fontId="1" fillId="5" borderId="12" xfId="4" applyFont="1" applyBorder="1" applyAlignment="1" applyProtection="1">
      <alignment horizontal="center" vertical="center"/>
      <protection locked="0"/>
    </xf>
    <xf numFmtId="0" fontId="3" fillId="5" borderId="4" xfId="4" applyBorder="1" applyAlignment="1" applyProtection="1">
      <alignment horizontal="left" indent="1"/>
      <protection locked="0"/>
    </xf>
    <xf numFmtId="14" fontId="11" fillId="5" borderId="11" xfId="4" quotePrefix="1" applyNumberFormat="1" applyFont="1" applyBorder="1" applyProtection="1">
      <protection hidden="1"/>
    </xf>
    <xf numFmtId="14" fontId="11" fillId="5" borderId="2" xfId="4" quotePrefix="1" applyNumberFormat="1" applyFont="1" applyBorder="1" applyProtection="1">
      <protection hidden="1"/>
    </xf>
    <xf numFmtId="14" fontId="11" fillId="5" borderId="13" xfId="4" quotePrefix="1" applyNumberFormat="1" applyFont="1" applyBorder="1" applyProtection="1">
      <protection hidden="1"/>
    </xf>
    <xf numFmtId="14" fontId="11" fillId="5" borderId="10" xfId="4" quotePrefix="1" applyNumberFormat="1" applyFont="1" applyBorder="1" applyProtection="1">
      <protection hidden="1"/>
    </xf>
    <xf numFmtId="0" fontId="3" fillId="5" borderId="8" xfId="4" applyBorder="1" applyAlignment="1" applyProtection="1">
      <alignment horizontal="center"/>
      <protection locked="0"/>
    </xf>
    <xf numFmtId="0" fontId="3" fillId="5" borderId="9" xfId="4" applyBorder="1" applyAlignment="1" applyProtection="1">
      <alignment horizontal="center"/>
      <protection locked="0"/>
    </xf>
    <xf numFmtId="0" fontId="3" fillId="5" borderId="10" xfId="4" applyBorder="1" applyAlignment="1" applyProtection="1">
      <alignment horizontal="center"/>
      <protection locked="0"/>
    </xf>
    <xf numFmtId="0" fontId="8" fillId="5" borderId="13" xfId="4" applyFont="1" applyBorder="1" applyProtection="1">
      <protection hidden="1"/>
    </xf>
    <xf numFmtId="14" fontId="8" fillId="5" borderId="4" xfId="4" quotePrefix="1" applyNumberFormat="1" applyFont="1" applyBorder="1" applyAlignment="1" applyProtection="1">
      <alignment horizontal="right" indent="1"/>
      <protection hidden="1"/>
    </xf>
    <xf numFmtId="0" fontId="10" fillId="11" borderId="2" xfId="3" applyFont="1" applyFill="1" applyBorder="1" applyAlignment="1" applyProtection="1">
      <alignment horizontal="right" vertical="center" indent="1"/>
      <protection hidden="1"/>
    </xf>
    <xf numFmtId="20" fontId="10" fillId="11" borderId="2" xfId="3" applyNumberFormat="1" applyFont="1" applyFill="1" applyBorder="1" applyAlignment="1" applyProtection="1">
      <alignment horizontal="right" vertical="center" indent="1"/>
      <protection hidden="1"/>
    </xf>
    <xf numFmtId="0" fontId="6" fillId="11" borderId="18" xfId="3" applyFill="1" applyBorder="1" applyProtection="1">
      <protection hidden="1"/>
    </xf>
    <xf numFmtId="0" fontId="6" fillId="11" borderId="16" xfId="3" applyFill="1" applyBorder="1" applyProtection="1">
      <protection hidden="1"/>
    </xf>
    <xf numFmtId="0" fontId="10" fillId="11" borderId="4" xfId="3" applyFont="1" applyFill="1" applyBorder="1" applyAlignment="1" applyProtection="1">
      <alignment horizontal="right" vertical="center" indent="1"/>
      <protection hidden="1"/>
    </xf>
    <xf numFmtId="20" fontId="10" fillId="11" borderId="4" xfId="3" applyNumberFormat="1" applyFont="1" applyFill="1" applyBorder="1" applyAlignment="1" applyProtection="1">
      <alignment horizontal="right" vertical="center" inden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 wrapText="1"/>
      <protection hidden="1"/>
    </xf>
    <xf numFmtId="0" fontId="6" fillId="2" borderId="0" xfId="0" applyFont="1" applyFill="1" applyAlignment="1" applyProtection="1">
      <alignment horizontal="right" indent="1"/>
      <protection hidden="1"/>
    </xf>
    <xf numFmtId="0" fontId="16" fillId="2" borderId="0" xfId="0" applyFont="1" applyFill="1" applyAlignment="1" applyProtection="1">
      <alignment horizontal="right" vertical="center" indent="1"/>
      <protection hidden="1"/>
    </xf>
    <xf numFmtId="0" fontId="18" fillId="0" borderId="0" xfId="0" applyFont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20" fillId="6" borderId="19" xfId="5" applyFont="1" applyBorder="1" applyAlignment="1" applyProtection="1">
      <alignment horizontal="center" vertical="center"/>
      <protection hidden="1"/>
    </xf>
    <xf numFmtId="0" fontId="20" fillId="6" borderId="21" xfId="5" applyFont="1" applyBorder="1" applyAlignment="1" applyProtection="1">
      <alignment horizontal="center" vertical="center"/>
      <protection hidden="1"/>
    </xf>
    <xf numFmtId="0" fontId="20" fillId="6" borderId="22" xfId="5" applyFont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vertical="center"/>
      <protection hidden="1"/>
    </xf>
    <xf numFmtId="0" fontId="20" fillId="6" borderId="23" xfId="5" applyFont="1" applyBorder="1" applyAlignment="1" applyProtection="1">
      <alignment horizontal="center" vertical="center"/>
      <protection hidden="1"/>
    </xf>
    <xf numFmtId="0" fontId="1" fillId="0" borderId="0" xfId="5" quotePrefix="1" applyFont="1" applyFill="1" applyBorder="1" applyAlignment="1" applyProtection="1">
      <alignment vertical="center"/>
      <protection hidden="1"/>
    </xf>
    <xf numFmtId="0" fontId="3" fillId="0" borderId="0" xfId="5" applyFill="1" applyBorder="1" applyAlignment="1" applyProtection="1">
      <alignment vertical="center"/>
      <protection hidden="1"/>
    </xf>
    <xf numFmtId="0" fontId="1" fillId="0" borderId="0" xfId="5" applyFont="1" applyFill="1" applyBorder="1" applyAlignment="1" applyProtection="1">
      <alignment horizontal="left" vertical="center"/>
      <protection hidden="1"/>
    </xf>
    <xf numFmtId="0" fontId="1" fillId="0" borderId="0" xfId="5" applyFont="1" applyFill="1" applyBorder="1" applyAlignment="1" applyProtection="1">
      <alignment horizontal="center" vertical="center"/>
      <protection hidden="1"/>
    </xf>
    <xf numFmtId="0" fontId="3" fillId="0" borderId="0" xfId="5" applyFill="1" applyBorder="1" applyAlignment="1" applyProtection="1">
      <alignment horizontal="left" vertical="center"/>
      <protection hidden="1"/>
    </xf>
    <xf numFmtId="166" fontId="1" fillId="0" borderId="0" xfId="5" applyNumberFormat="1" applyFont="1" applyFill="1" applyBorder="1" applyAlignment="1" applyProtection="1">
      <alignment vertical="center"/>
      <protection hidden="1"/>
    </xf>
    <xf numFmtId="166" fontId="3" fillId="0" borderId="0" xfId="5" applyNumberFormat="1" applyFill="1" applyBorder="1" applyAlignment="1" applyProtection="1">
      <alignment vertical="center"/>
      <protection hidden="1"/>
    </xf>
    <xf numFmtId="0" fontId="3" fillId="0" borderId="0" xfId="5" applyFill="1" applyBorder="1" applyAlignment="1" applyProtection="1">
      <alignment horizontal="center" vertical="center"/>
      <protection hidden="1"/>
    </xf>
    <xf numFmtId="0" fontId="3" fillId="0" borderId="0" xfId="5" applyFill="1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wrapText="1"/>
      <protection hidden="1"/>
    </xf>
    <xf numFmtId="0" fontId="16" fillId="3" borderId="3" xfId="0" applyFont="1" applyFill="1" applyBorder="1" applyAlignment="1" applyProtection="1">
      <alignment horizontal="left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16" fillId="3" borderId="38" xfId="0" applyFont="1" applyFill="1" applyBorder="1" applyAlignment="1" applyProtection="1">
      <alignment horizontal="center" vertical="center" wrapText="1"/>
      <protection hidden="1"/>
    </xf>
    <xf numFmtId="0" fontId="16" fillId="3" borderId="39" xfId="0" applyFont="1" applyFill="1" applyBorder="1" applyAlignment="1" applyProtection="1">
      <alignment horizontal="center" vertical="center" wrapText="1"/>
      <protection hidden="1"/>
    </xf>
    <xf numFmtId="0" fontId="16" fillId="3" borderId="40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protection hidden="1"/>
    </xf>
    <xf numFmtId="14" fontId="13" fillId="0" borderId="1" xfId="0" applyNumberFormat="1" applyFont="1" applyBorder="1" applyAlignment="1" applyProtection="1">
      <alignment horizontal="center"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3" fillId="0" borderId="3" xfId="5" applyFill="1" applyBorder="1" applyAlignment="1" applyProtection="1">
      <alignment horizontal="left" vertical="center"/>
      <protection hidden="1"/>
    </xf>
    <xf numFmtId="20" fontId="13" fillId="0" borderId="1" xfId="0" applyNumberFormat="1" applyFont="1" applyFill="1" applyBorder="1" applyAlignment="1" applyProtection="1">
      <alignment horizontal="center" vertical="center"/>
      <protection hidden="1"/>
    </xf>
    <xf numFmtId="20" fontId="13" fillId="0" borderId="3" xfId="0" applyNumberFormat="1" applyFont="1" applyFill="1" applyBorder="1" applyAlignment="1" applyProtection="1">
      <alignment horizontal="center" vertical="center"/>
      <protection hidden="1"/>
    </xf>
    <xf numFmtId="20" fontId="13" fillId="0" borderId="1" xfId="0" quotePrefix="1" applyNumberFormat="1" applyFont="1" applyBorder="1" applyAlignment="1" applyProtection="1">
      <alignment horizontal="center" vertical="center"/>
      <protection hidden="1"/>
    </xf>
    <xf numFmtId="20" fontId="13" fillId="0" borderId="1" xfId="0" applyNumberFormat="1" applyFont="1" applyBorder="1" applyAlignment="1" applyProtection="1">
      <alignment horizontal="center" vertical="center"/>
      <protection hidden="1"/>
    </xf>
    <xf numFmtId="14" fontId="13" fillId="0" borderId="2" xfId="0" applyNumberFormat="1" applyFont="1" applyBorder="1" applyAlignment="1" applyProtection="1">
      <alignment horizontal="center"/>
      <protection hidden="1"/>
    </xf>
    <xf numFmtId="164" fontId="13" fillId="0" borderId="2" xfId="0" applyNumberFormat="1" applyFont="1" applyBorder="1" applyAlignment="1" applyProtection="1">
      <alignment horizontal="center"/>
      <protection hidden="1"/>
    </xf>
    <xf numFmtId="0" fontId="3" fillId="0" borderId="3" xfId="5" applyFill="1" applyBorder="1" applyAlignment="1" applyProtection="1">
      <alignment horizontal="left" vertical="center" wrapText="1"/>
      <protection hidden="1"/>
    </xf>
    <xf numFmtId="20" fontId="13" fillId="0" borderId="1" xfId="0" applyNumberFormat="1" applyFont="1" applyFill="1" applyBorder="1" applyAlignment="1" applyProtection="1">
      <alignment horizontal="center"/>
      <protection hidden="1"/>
    </xf>
    <xf numFmtId="20" fontId="13" fillId="0" borderId="1" xfId="0" quotePrefix="1" applyNumberFormat="1" applyFont="1" applyBorder="1" applyAlignment="1" applyProtection="1">
      <alignment horizontal="center"/>
      <protection hidden="1"/>
    </xf>
    <xf numFmtId="20" fontId="13" fillId="0" borderId="1" xfId="0" applyNumberFormat="1" applyFont="1" applyBorder="1" applyAlignment="1" applyProtection="1">
      <alignment horizontal="center"/>
      <protection hidden="1"/>
    </xf>
    <xf numFmtId="0" fontId="7" fillId="0" borderId="0" xfId="0" applyFont="1" applyAlignment="1" applyProtection="1">
      <alignment horizontal="right" vertical="center"/>
      <protection hidden="1"/>
    </xf>
    <xf numFmtId="14" fontId="13" fillId="0" borderId="2" xfId="0" applyNumberFormat="1" applyFont="1" applyFill="1" applyBorder="1" applyAlignment="1" applyProtection="1">
      <alignment horizontal="center"/>
      <protection hidden="1"/>
    </xf>
    <xf numFmtId="14" fontId="13" fillId="0" borderId="12" xfId="0" applyNumberFormat="1" applyFont="1" applyFill="1" applyBorder="1" applyAlignment="1" applyProtection="1">
      <alignment horizontal="center"/>
      <protection hidden="1"/>
    </xf>
    <xf numFmtId="164" fontId="13" fillId="0" borderId="12" xfId="0" applyNumberFormat="1" applyFont="1" applyBorder="1" applyAlignment="1" applyProtection="1">
      <alignment horizontal="center"/>
      <protection hidden="1"/>
    </xf>
    <xf numFmtId="14" fontId="13" fillId="0" borderId="3" xfId="0" applyNumberFormat="1" applyFont="1" applyFill="1" applyBorder="1" applyAlignment="1" applyProtection="1">
      <alignment horizontal="center"/>
      <protection hidden="1"/>
    </xf>
    <xf numFmtId="164" fontId="13" fillId="0" borderId="3" xfId="0" applyNumberFormat="1" applyFont="1" applyBorder="1" applyAlignment="1" applyProtection="1">
      <alignment horizontal="center"/>
      <protection hidden="1"/>
    </xf>
    <xf numFmtId="20" fontId="13" fillId="0" borderId="3" xfId="0" applyNumberFormat="1" applyFont="1" applyFill="1" applyBorder="1" applyAlignment="1" applyProtection="1">
      <alignment horizontal="center"/>
      <protection hidden="1"/>
    </xf>
    <xf numFmtId="20" fontId="13" fillId="0" borderId="3" xfId="0" quotePrefix="1" applyNumberFormat="1" applyFont="1" applyBorder="1" applyAlignment="1" applyProtection="1">
      <alignment horizontal="center" vertical="center"/>
      <protection hidden="1"/>
    </xf>
    <xf numFmtId="20" fontId="13" fillId="0" borderId="3" xfId="0" quotePrefix="1" applyNumberFormat="1" applyFont="1" applyBorder="1" applyAlignment="1" applyProtection="1">
      <alignment horizontal="center"/>
      <protection hidden="1"/>
    </xf>
    <xf numFmtId="20" fontId="13" fillId="0" borderId="3" xfId="0" applyNumberFormat="1" applyFont="1" applyBorder="1" applyAlignment="1" applyProtection="1">
      <alignment horizontal="center"/>
      <protection hidden="1"/>
    </xf>
    <xf numFmtId="20" fontId="13" fillId="0" borderId="3" xfId="0" applyNumberFormat="1" applyFont="1" applyBorder="1" applyAlignment="1" applyProtection="1">
      <alignment horizontal="center" vertical="center"/>
      <protection hidden="1"/>
    </xf>
    <xf numFmtId="0" fontId="14" fillId="9" borderId="3" xfId="0" applyFont="1" applyFill="1" applyBorder="1" applyAlignment="1" applyProtection="1">
      <alignment horizontal="center"/>
      <protection hidden="1"/>
    </xf>
    <xf numFmtId="0" fontId="14" fillId="9" borderId="8" xfId="0" applyFont="1" applyFill="1" applyBorder="1" applyAlignment="1" applyProtection="1">
      <alignment horizontal="left" wrapText="1"/>
      <protection hidden="1"/>
    </xf>
    <xf numFmtId="0" fontId="14" fillId="9" borderId="6" xfId="0" applyFont="1" applyFill="1" applyBorder="1" applyAlignment="1" applyProtection="1">
      <alignment horizontal="right"/>
      <protection hidden="1"/>
    </xf>
    <xf numFmtId="165" fontId="16" fillId="0" borderId="3" xfId="0" applyNumberFormat="1" applyFont="1" applyBorder="1" applyProtection="1">
      <protection hidden="1"/>
    </xf>
    <xf numFmtId="0" fontId="14" fillId="9" borderId="3" xfId="0" applyFont="1" applyFill="1" applyBorder="1" applyAlignment="1" applyProtection="1">
      <alignment horizontal="right"/>
      <protection hidden="1"/>
    </xf>
    <xf numFmtId="165" fontId="16" fillId="0" borderId="3" xfId="0" applyNumberFormat="1" applyFont="1" applyBorder="1" applyAlignment="1" applyProtection="1">
      <alignment horizontal="center"/>
      <protection hidden="1"/>
    </xf>
    <xf numFmtId="14" fontId="14" fillId="8" borderId="3" xfId="0" applyNumberFormat="1" applyFont="1" applyFill="1" applyBorder="1" applyProtection="1">
      <protection hidden="1"/>
    </xf>
    <xf numFmtId="0" fontId="14" fillId="0" borderId="3" xfId="0" quotePrefix="1" applyFont="1" applyBorder="1" applyProtection="1">
      <protection hidden="1"/>
    </xf>
    <xf numFmtId="0" fontId="14" fillId="0" borderId="3" xfId="0" applyFont="1" applyBorder="1" applyProtection="1">
      <protection hidden="1"/>
    </xf>
    <xf numFmtId="0" fontId="14" fillId="0" borderId="8" xfId="0" applyFont="1" applyBorder="1" applyAlignment="1" applyProtection="1">
      <alignment horizontal="left" wrapText="1"/>
      <protection hidden="1"/>
    </xf>
    <xf numFmtId="2" fontId="16" fillId="0" borderId="3" xfId="0" applyNumberFormat="1" applyFont="1" applyBorder="1" applyProtection="1">
      <protection hidden="1"/>
    </xf>
    <xf numFmtId="2" fontId="16" fillId="0" borderId="3" xfId="0" applyNumberFormat="1" applyFont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14" fontId="14" fillId="0" borderId="15" xfId="0" applyNumberFormat="1" applyFont="1" applyFill="1" applyBorder="1" applyAlignment="1" applyProtection="1">
      <alignment horizontal="right"/>
      <protection hidden="1"/>
    </xf>
    <xf numFmtId="0" fontId="14" fillId="0" borderId="15" xfId="0" quotePrefix="1" applyFont="1" applyFill="1" applyBorder="1" applyAlignment="1" applyProtection="1">
      <alignment horizontal="right"/>
      <protection hidden="1"/>
    </xf>
    <xf numFmtId="0" fontId="14" fillId="0" borderId="15" xfId="0" applyFont="1" applyBorder="1" applyProtection="1">
      <protection hidden="1"/>
    </xf>
    <xf numFmtId="0" fontId="14" fillId="0" borderId="15" xfId="0" applyFont="1" applyFill="1" applyBorder="1" applyAlignment="1" applyProtection="1">
      <alignment horizontal="right"/>
      <protection hidden="1"/>
    </xf>
    <xf numFmtId="0" fontId="14" fillId="0" borderId="15" xfId="0" applyFont="1" applyFill="1" applyBorder="1" applyAlignment="1" applyProtection="1">
      <alignment horizontal="left" wrapText="1"/>
      <protection hidden="1"/>
    </xf>
    <xf numFmtId="0" fontId="14" fillId="0" borderId="3" xfId="0" applyFont="1" applyFill="1" applyBorder="1" applyAlignment="1" applyProtection="1">
      <alignment horizontal="center"/>
      <protection hidden="1"/>
    </xf>
    <xf numFmtId="2" fontId="16" fillId="0" borderId="3" xfId="0" applyNumberFormat="1" applyFont="1" applyBorder="1" applyAlignment="1" applyProtection="1">
      <alignment horizontal="right"/>
      <protection hidden="1"/>
    </xf>
    <xf numFmtId="2" fontId="16" fillId="0" borderId="0" xfId="0" applyNumberFormat="1" applyFont="1" applyBorder="1" applyProtection="1">
      <protection hidden="1"/>
    </xf>
    <xf numFmtId="0" fontId="14" fillId="0" borderId="0" xfId="0" applyFont="1" applyAlignment="1" applyProtection="1">
      <alignment horizontal="right"/>
      <protection hidden="1"/>
    </xf>
    <xf numFmtId="2" fontId="16" fillId="0" borderId="15" xfId="0" applyNumberFormat="1" applyFont="1" applyBorder="1" applyProtection="1">
      <protection hidden="1"/>
    </xf>
    <xf numFmtId="2" fontId="16" fillId="13" borderId="3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quotePrefix="1" applyFont="1" applyAlignment="1" applyProtection="1">
      <alignment horizontal="left" vertical="center" wrapText="1"/>
      <protection hidden="1"/>
    </xf>
    <xf numFmtId="2" fontId="16" fillId="14" borderId="3" xfId="0" applyNumberFormat="1" applyFont="1" applyFill="1" applyBorder="1" applyAlignment="1" applyProtection="1">
      <alignment horizontal="center" vertical="center"/>
      <protection hidden="1"/>
    </xf>
    <xf numFmtId="20" fontId="0" fillId="0" borderId="0" xfId="0" applyNumberFormat="1" applyProtection="1"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14" fillId="0" borderId="0" xfId="0" applyFont="1" applyProtection="1">
      <protection hidden="1"/>
    </xf>
    <xf numFmtId="14" fontId="14" fillId="0" borderId="0" xfId="0" applyNumberFormat="1" applyFont="1" applyProtection="1">
      <protection hidden="1"/>
    </xf>
    <xf numFmtId="0" fontId="18" fillId="0" borderId="0" xfId="0" applyFont="1" applyAlignment="1" applyProtection="1">
      <alignment vertical="center"/>
      <protection hidden="1"/>
    </xf>
    <xf numFmtId="0" fontId="19" fillId="0" borderId="41" xfId="0" applyFont="1" applyBorder="1" applyAlignment="1" applyProtection="1">
      <alignment horizontal="center" vertical="center"/>
      <protection locked="0"/>
    </xf>
    <xf numFmtId="0" fontId="20" fillId="0" borderId="42" xfId="4" applyFont="1" applyFill="1" applyBorder="1" applyAlignment="1" applyProtection="1">
      <alignment horizontal="center"/>
      <protection hidden="1"/>
    </xf>
    <xf numFmtId="166" fontId="13" fillId="8" borderId="3" xfId="0" quotePrefix="1" applyNumberFormat="1" applyFont="1" applyFill="1" applyBorder="1" applyAlignment="1" applyProtection="1">
      <alignment horizontal="center" vertical="center"/>
      <protection locked="0"/>
    </xf>
    <xf numFmtId="166" fontId="13" fillId="8" borderId="3" xfId="0" applyNumberFormat="1" applyFont="1" applyFill="1" applyBorder="1" applyAlignment="1" applyProtection="1">
      <alignment horizontal="center" vertical="center"/>
      <protection locked="0"/>
    </xf>
    <xf numFmtId="0" fontId="21" fillId="12" borderId="27" xfId="6" applyFont="1" applyBorder="1" applyAlignment="1" applyProtection="1">
      <alignment horizontal="center" vertical="center"/>
      <protection locked="0"/>
    </xf>
    <xf numFmtId="0" fontId="21" fillId="12" borderId="28" xfId="6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right" vertical="center"/>
      <protection hidden="1"/>
    </xf>
    <xf numFmtId="0" fontId="18" fillId="0" borderId="0" xfId="0" applyFont="1" applyBorder="1" applyAlignment="1" applyProtection="1">
      <alignment horizontal="right" vertical="center"/>
      <protection hidden="1"/>
    </xf>
    <xf numFmtId="0" fontId="20" fillId="5" borderId="25" xfId="4" applyFont="1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 vertical="center"/>
      <protection hidden="1"/>
    </xf>
    <xf numFmtId="0" fontId="20" fillId="5" borderId="29" xfId="4" applyFont="1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8" fillId="6" borderId="34" xfId="5" applyFont="1" applyBorder="1" applyAlignment="1" applyProtection="1">
      <alignment horizontal="center" vertical="center"/>
      <protection hidden="1"/>
    </xf>
    <xf numFmtId="0" fontId="8" fillId="6" borderId="35" xfId="5" applyFont="1" applyBorder="1" applyAlignment="1" applyProtection="1">
      <alignment horizontal="center" vertical="center"/>
      <protection hidden="1"/>
    </xf>
    <xf numFmtId="0" fontId="8" fillId="6" borderId="36" xfId="5" applyFont="1" applyBorder="1" applyAlignment="1" applyProtection="1">
      <alignment horizontal="center" vertical="center"/>
      <protection hidden="1"/>
    </xf>
    <xf numFmtId="0" fontId="8" fillId="6" borderId="31" xfId="5" applyFont="1" applyBorder="1" applyAlignment="1" applyProtection="1">
      <alignment horizontal="center" vertical="center"/>
      <protection hidden="1"/>
    </xf>
    <xf numFmtId="0" fontId="8" fillId="6" borderId="32" xfId="5" applyFont="1" applyBorder="1" applyAlignment="1" applyProtection="1">
      <alignment horizontal="center" vertical="center"/>
      <protection hidden="1"/>
    </xf>
    <xf numFmtId="0" fontId="8" fillId="6" borderId="33" xfId="5" applyFont="1" applyBorder="1" applyAlignment="1" applyProtection="1">
      <alignment horizontal="center" vertical="center"/>
      <protection hidden="1"/>
    </xf>
    <xf numFmtId="0" fontId="4" fillId="13" borderId="6" xfId="0" applyFont="1" applyFill="1" applyBorder="1" applyAlignment="1" applyProtection="1">
      <alignment horizontal="center" vertical="center"/>
      <protection hidden="1"/>
    </xf>
    <xf numFmtId="0" fontId="4" fillId="13" borderId="7" xfId="0" applyFont="1" applyFill="1" applyBorder="1" applyAlignment="1" applyProtection="1">
      <alignment horizontal="center" vertical="center"/>
      <protection hidden="1"/>
    </xf>
    <xf numFmtId="0" fontId="4" fillId="14" borderId="6" xfId="0" applyFont="1" applyFill="1" applyBorder="1" applyAlignment="1" applyProtection="1">
      <alignment horizontal="center" vertical="center"/>
      <protection hidden="1"/>
    </xf>
    <xf numFmtId="0" fontId="4" fillId="14" borderId="7" xfId="0" applyFont="1" applyFill="1" applyBorder="1" applyAlignment="1" applyProtection="1">
      <alignment horizontal="center" vertical="center"/>
      <protection hidden="1"/>
    </xf>
    <xf numFmtId="0" fontId="4" fillId="13" borderId="6" xfId="0" applyFont="1" applyFill="1" applyBorder="1" applyAlignment="1" applyProtection="1">
      <alignment horizontal="center"/>
      <protection hidden="1"/>
    </xf>
    <xf numFmtId="0" fontId="4" fillId="13" borderId="7" xfId="0" applyFont="1" applyFill="1" applyBorder="1" applyAlignment="1" applyProtection="1">
      <alignment horizontal="center"/>
      <protection hidden="1"/>
    </xf>
    <xf numFmtId="0" fontId="4" fillId="14" borderId="6" xfId="0" applyFont="1" applyFill="1" applyBorder="1" applyAlignment="1" applyProtection="1">
      <alignment horizontal="center"/>
      <protection hidden="1"/>
    </xf>
    <xf numFmtId="0" fontId="4" fillId="14" borderId="7" xfId="0" applyFont="1" applyFill="1" applyBorder="1" applyAlignment="1" applyProtection="1">
      <alignment horizontal="center"/>
      <protection hidden="1"/>
    </xf>
    <xf numFmtId="0" fontId="8" fillId="5" borderId="10" xfId="4" applyFont="1" applyBorder="1" applyAlignment="1">
      <alignment horizontal="center" vertical="center" textRotation="90"/>
    </xf>
    <xf numFmtId="0" fontId="8" fillId="5" borderId="3" xfId="4" applyFont="1" applyBorder="1" applyAlignment="1">
      <alignment horizontal="center" vertical="center" textRotation="90"/>
    </xf>
    <xf numFmtId="0" fontId="15" fillId="4" borderId="1" xfId="1" applyFont="1" applyBorder="1" applyAlignment="1">
      <alignment horizontal="center" vertical="center"/>
    </xf>
    <xf numFmtId="0" fontId="9" fillId="4" borderId="5" xfId="1" applyBorder="1" applyAlignment="1">
      <alignment horizontal="center" vertical="center"/>
    </xf>
    <xf numFmtId="0" fontId="9" fillId="4" borderId="0" xfId="1" applyBorder="1" applyAlignment="1">
      <alignment horizontal="center" vertical="center"/>
    </xf>
    <xf numFmtId="0" fontId="10" fillId="7" borderId="1" xfId="2" applyFont="1" applyBorder="1" applyAlignment="1">
      <alignment horizontal="center" vertical="center" textRotation="90"/>
    </xf>
    <xf numFmtId="0" fontId="10" fillId="7" borderId="2" xfId="2" applyFont="1" applyBorder="1" applyAlignment="1">
      <alignment horizontal="center" vertical="center" textRotation="90"/>
    </xf>
    <xf numFmtId="0" fontId="10" fillId="7" borderId="4" xfId="2" applyFont="1" applyBorder="1" applyAlignment="1">
      <alignment horizontal="center" vertical="center" textRotation="90"/>
    </xf>
    <xf numFmtId="0" fontId="10" fillId="6" borderId="1" xfId="5" applyFont="1" applyBorder="1" applyAlignment="1">
      <alignment horizontal="center" vertical="center" textRotation="90"/>
    </xf>
    <xf numFmtId="0" fontId="10" fillId="6" borderId="2" xfId="5" applyFont="1" applyBorder="1" applyAlignment="1">
      <alignment horizontal="center" vertical="center" textRotation="90"/>
    </xf>
    <xf numFmtId="0" fontId="10" fillId="6" borderId="4" xfId="5" applyFont="1" applyBorder="1" applyAlignment="1">
      <alignment horizontal="center" vertical="center" textRotation="90"/>
    </xf>
  </cellXfs>
  <cellStyles count="7">
    <cellStyle name="20% - Ênfase5 2" xfId="4"/>
    <cellStyle name="40% - Ênfase5 2" xfId="5"/>
    <cellStyle name="60% - Ênfase5" xfId="2" builtinId="48"/>
    <cellStyle name="Ênfase1" xfId="6" builtinId="29"/>
    <cellStyle name="Ênfase5" xfId="1" builtinId="45"/>
    <cellStyle name="Normal" xfId="0" builtinId="0"/>
    <cellStyle name="Normal 2" xfId="3"/>
  </cellStyles>
  <dxfs count="31"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/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5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Feriad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controle ponto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104775</xdr:rowOff>
        </xdr:from>
        <xdr:to>
          <xdr:col>2</xdr:col>
          <xdr:colOff>781050</xdr:colOff>
          <xdr:row>2</xdr:row>
          <xdr:rowOff>123825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QUADRO DE HORÁRIOS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511343</xdr:colOff>
      <xdr:row>0</xdr:row>
      <xdr:rowOff>70184</xdr:rowOff>
    </xdr:from>
    <xdr:to>
      <xdr:col>19</xdr:col>
      <xdr:colOff>330870</xdr:colOff>
      <xdr:row>2</xdr:row>
      <xdr:rowOff>168140</xdr:rowOff>
    </xdr:to>
    <xdr:sp macro="" textlink="">
      <xdr:nvSpPr>
        <xdr:cNvPr id="4" name="btnFicha">
          <a:hlinkClick xmlns:r="http://schemas.openxmlformats.org/officeDocument/2006/relationships" r:id="rId1" tooltip="IR PARA FERIADOS"/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11139238" y="70184"/>
          <a:ext cx="1323474" cy="428824"/>
        </a:xfrm>
        <a:prstGeom prst="parallelogram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400" b="1" i="1">
              <a:solidFill>
                <a:schemeClr val="bg1"/>
              </a:solidFill>
            </a:rPr>
            <a:t>FERIADOS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3</xdr:row>
      <xdr:rowOff>0</xdr:rowOff>
    </xdr:from>
    <xdr:to>
      <xdr:col>11</xdr:col>
      <xdr:colOff>133350</xdr:colOff>
      <xdr:row>10</xdr:row>
      <xdr:rowOff>123825</xdr:rowOff>
    </xdr:to>
    <xdr:sp macro="" textlink="">
      <xdr:nvSpPr>
        <xdr:cNvPr id="2" name="Texto explicativo retangular 1"/>
        <xdr:cNvSpPr/>
      </xdr:nvSpPr>
      <xdr:spPr>
        <a:xfrm>
          <a:off x="4829175" y="742950"/>
          <a:ext cx="3390900" cy="1685925"/>
        </a:xfrm>
        <a:prstGeom prst="wedgeRectCallout">
          <a:avLst>
            <a:gd name="adj1" fmla="val -24326"/>
            <a:gd name="adj2" fmla="val 8735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Para que</a:t>
          </a:r>
          <a:r>
            <a:rPr lang="pt-BR" sz="1100" baseline="0"/>
            <a:t> a planilha não considere o feriado, basta deletar o "X"  na célula correspondente da coluna B.</a:t>
          </a:r>
        </a:p>
        <a:p>
          <a:pPr algn="l"/>
          <a:endParaRPr lang="pt-BR" sz="1100" baseline="0"/>
        </a:p>
        <a:p>
          <a:pPr algn="l"/>
          <a:r>
            <a:rPr lang="pt-BR" sz="1100" baseline="0"/>
            <a:t>Quanto aos feriados fixos municipais e estadual, digite x na coluna B , informe o dia na coluna E e o mês na coluna F. Caso o "x" não esteja marcado, os valores selecionados em E16, E17, E18, E19, F16, F17, F18 e F19 não irão interferir no cálculo dos feriados.</a:t>
          </a:r>
          <a:endParaRPr lang="pt-BR" sz="1100"/>
        </a:p>
      </xdr:txBody>
    </xdr:sp>
    <xdr:clientData/>
  </xdr:twoCellAnchor>
  <xdr:twoCellAnchor>
    <xdr:from>
      <xdr:col>15</xdr:col>
      <xdr:colOff>466726</xdr:colOff>
      <xdr:row>0</xdr:row>
      <xdr:rowOff>66674</xdr:rowOff>
    </xdr:from>
    <xdr:to>
      <xdr:col>17</xdr:col>
      <xdr:colOff>476250</xdr:colOff>
      <xdr:row>1</xdr:row>
      <xdr:rowOff>219273</xdr:rowOff>
    </xdr:to>
    <xdr:sp macro="" textlink="">
      <xdr:nvSpPr>
        <xdr:cNvPr id="3" name="btnFicha">
          <a:hlinkClick xmlns:r="http://schemas.openxmlformats.org/officeDocument/2006/relationships" r:id="rId1" tooltip="VOLTAR PARA CONTROLE DE PONTO"/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10582276" y="66674"/>
          <a:ext cx="1228724" cy="400249"/>
        </a:xfrm>
        <a:prstGeom prst="parallelogram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400" b="1" i="1" baseline="0">
              <a:solidFill>
                <a:schemeClr val="bg1"/>
              </a:solidFill>
            </a:rPr>
            <a:t>PONTO</a:t>
          </a:r>
          <a:endParaRPr lang="pt-BR" sz="1400" b="1" i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onto">
    <tabColor theme="8" tint="0.39997558519241921"/>
  </sheetPr>
  <dimension ref="A1:AE130"/>
  <sheetViews>
    <sheetView showGridLines="0" showRowColHeaders="0" tabSelected="1" topLeftCell="A8" zoomScale="82" zoomScaleNormal="82" workbookViewId="0">
      <selection activeCell="G8" sqref="G8"/>
    </sheetView>
  </sheetViews>
  <sheetFormatPr defaultColWidth="9.140625" defaultRowHeight="12.75" x14ac:dyDescent="0.2"/>
  <cols>
    <col min="1" max="1" width="1.140625" style="63" customWidth="1"/>
    <col min="2" max="2" width="11" style="63" bestFit="1" customWidth="1"/>
    <col min="3" max="3" width="12.28515625" style="63" bestFit="1" customWidth="1"/>
    <col min="4" max="4" width="10.42578125" style="63" customWidth="1"/>
    <col min="5" max="7" width="9.42578125" style="63" bestFit="1" customWidth="1"/>
    <col min="8" max="8" width="9.42578125" style="63" customWidth="1"/>
    <col min="9" max="9" width="12.42578125" style="63" bestFit="1" customWidth="1"/>
    <col min="10" max="11" width="12.42578125" style="63" customWidth="1"/>
    <col min="12" max="12" width="12.7109375" style="64" hidden="1" customWidth="1"/>
    <col min="13" max="16" width="9.42578125" style="63" customWidth="1"/>
    <col min="17" max="19" width="11.28515625" style="63" customWidth="1"/>
    <col min="20" max="21" width="9.140625" style="63" customWidth="1"/>
    <col min="22" max="23" width="2.7109375" style="63" customWidth="1"/>
    <col min="24" max="27" width="10.28515625" style="63" hidden="1" customWidth="1"/>
    <col min="28" max="28" width="8.5703125" style="63" hidden="1" customWidth="1"/>
    <col min="29" max="31" width="10.28515625" style="63" hidden="1" customWidth="1"/>
    <col min="32" max="16384" width="9.140625" style="63"/>
  </cols>
  <sheetData>
    <row r="1" spans="1:31" ht="13.5" thickBot="1" x14ac:dyDescent="0.25"/>
    <row r="2" spans="1:31" ht="12.75" customHeight="1" thickBot="1" x14ac:dyDescent="0.25">
      <c r="B2" s="65"/>
      <c r="D2" s="66" t="s">
        <v>34</v>
      </c>
      <c r="E2" s="152">
        <v>2018</v>
      </c>
      <c r="F2" s="67"/>
      <c r="G2" s="154" t="s">
        <v>51</v>
      </c>
      <c r="H2" s="154"/>
      <c r="I2" s="154"/>
      <c r="J2" s="147"/>
      <c r="K2" s="147"/>
      <c r="L2" s="147"/>
      <c r="M2" s="156" t="s">
        <v>50</v>
      </c>
      <c r="N2" s="157"/>
      <c r="P2" s="158" t="s">
        <v>33</v>
      </c>
      <c r="Q2" s="159"/>
      <c r="R2" s="149"/>
      <c r="U2" s="68"/>
    </row>
    <row r="3" spans="1:31" ht="13.5" customHeight="1" thickBot="1" x14ac:dyDescent="0.25">
      <c r="B3" s="65"/>
      <c r="D3" s="66" t="s">
        <v>35</v>
      </c>
      <c r="E3" s="153">
        <v>8</v>
      </c>
      <c r="G3" s="154" t="s">
        <v>52</v>
      </c>
      <c r="H3" s="154"/>
      <c r="I3" s="155"/>
      <c r="J3" s="148">
        <v>25</v>
      </c>
      <c r="K3" s="147"/>
      <c r="L3" s="147"/>
      <c r="M3" s="69" t="s">
        <v>49</v>
      </c>
      <c r="N3" s="34">
        <v>0.33333333333333331</v>
      </c>
      <c r="P3" s="70" t="s">
        <v>41</v>
      </c>
      <c r="Q3" s="71" t="s">
        <v>40</v>
      </c>
      <c r="U3" s="68"/>
    </row>
    <row r="4" spans="1:31" ht="12.75" customHeight="1" thickBot="1" x14ac:dyDescent="0.25">
      <c r="M4" s="73" t="s">
        <v>6</v>
      </c>
      <c r="N4" s="35">
        <v>0.16666666666666666</v>
      </c>
      <c r="P4" s="36">
        <v>0.91666666666666663</v>
      </c>
      <c r="Q4" s="35">
        <v>0.20833333333333334</v>
      </c>
      <c r="U4" s="68"/>
    </row>
    <row r="5" spans="1:31" ht="15.75" x14ac:dyDescent="0.2">
      <c r="D5" s="74"/>
      <c r="F5" s="75"/>
      <c r="G5" s="75"/>
      <c r="H5" s="76"/>
      <c r="I5" s="77"/>
      <c r="J5" s="78"/>
      <c r="K5" s="77"/>
      <c r="L5" s="78"/>
      <c r="N5" s="72"/>
      <c r="X5" s="160" t="s">
        <v>53</v>
      </c>
      <c r="Y5" s="161"/>
      <c r="Z5" s="161"/>
      <c r="AA5" s="161"/>
      <c r="AB5" s="161"/>
      <c r="AC5" s="161"/>
      <c r="AD5" s="161"/>
      <c r="AE5" s="162"/>
    </row>
    <row r="6" spans="1:31" ht="15.75" thickBot="1" x14ac:dyDescent="0.25">
      <c r="D6" s="79"/>
      <c r="E6" s="80"/>
      <c r="F6" s="80"/>
      <c r="G6" s="75"/>
      <c r="H6" s="81"/>
      <c r="I6" s="81"/>
      <c r="J6" s="81"/>
      <c r="K6" s="81"/>
      <c r="L6" s="82"/>
      <c r="X6" s="163"/>
      <c r="Y6" s="164"/>
      <c r="Z6" s="164"/>
      <c r="AA6" s="164"/>
      <c r="AB6" s="164"/>
      <c r="AC6" s="164"/>
      <c r="AD6" s="164"/>
      <c r="AE6" s="165"/>
    </row>
    <row r="7" spans="1:31" s="83" customFormat="1" ht="26.25" thickBot="1" x14ac:dyDescent="0.25">
      <c r="B7" s="38" t="s">
        <v>0</v>
      </c>
      <c r="C7" s="38" t="s">
        <v>1</v>
      </c>
      <c r="D7" s="38" t="s">
        <v>56</v>
      </c>
      <c r="E7" s="38" t="s">
        <v>57</v>
      </c>
      <c r="F7" s="38" t="s">
        <v>58</v>
      </c>
      <c r="G7" s="38" t="s">
        <v>59</v>
      </c>
      <c r="H7" s="38" t="s">
        <v>60</v>
      </c>
      <c r="I7" s="38" t="s">
        <v>61</v>
      </c>
      <c r="J7" s="38" t="s">
        <v>67</v>
      </c>
      <c r="K7" s="38" t="s">
        <v>68</v>
      </c>
      <c r="L7" s="84" t="s">
        <v>69</v>
      </c>
      <c r="M7" s="38" t="s">
        <v>30</v>
      </c>
      <c r="N7" s="38" t="s">
        <v>46</v>
      </c>
      <c r="O7" s="38" t="s">
        <v>31</v>
      </c>
      <c r="P7" s="38" t="s">
        <v>32</v>
      </c>
      <c r="Q7" s="38" t="s">
        <v>66</v>
      </c>
      <c r="R7" s="38" t="s">
        <v>4</v>
      </c>
      <c r="S7" s="38" t="s">
        <v>54</v>
      </c>
      <c r="T7" s="38" t="s">
        <v>55</v>
      </c>
      <c r="U7" s="38" t="s">
        <v>72</v>
      </c>
      <c r="V7" s="85"/>
      <c r="W7" s="86"/>
      <c r="X7" s="87" t="s">
        <v>2</v>
      </c>
      <c r="Y7" s="88" t="s">
        <v>3</v>
      </c>
      <c r="Z7" s="88" t="s">
        <v>2</v>
      </c>
      <c r="AA7" s="89" t="s">
        <v>3</v>
      </c>
      <c r="AB7" s="88" t="s">
        <v>2</v>
      </c>
      <c r="AC7" s="89" t="s">
        <v>3</v>
      </c>
      <c r="AD7" s="88" t="s">
        <v>2</v>
      </c>
      <c r="AE7" s="89" t="s">
        <v>3</v>
      </c>
    </row>
    <row r="8" spans="1:31" s="90" customFormat="1" ht="15" x14ac:dyDescent="0.2">
      <c r="B8" s="91">
        <f>inicio</f>
        <v>43307</v>
      </c>
      <c r="C8" s="92">
        <f>IF(B8="","",IF(COUNTIF(fer,B8)&gt;0,"feriado",B8))</f>
        <v>43307</v>
      </c>
      <c r="D8" s="39">
        <v>850</v>
      </c>
      <c r="E8" s="40">
        <v>1200</v>
      </c>
      <c r="F8" s="40">
        <v>1300</v>
      </c>
      <c r="G8" s="40">
        <v>1805</v>
      </c>
      <c r="H8" s="39"/>
      <c r="I8" s="40"/>
      <c r="J8" s="40"/>
      <c r="K8" s="40"/>
      <c r="L8" s="93" t="str">
        <f t="shared" ref="L8:L38" si="0">IF(B8="","",IF(COUNTA(D8:K8)=0,0,CONCATENATE(
TEXT(X8,"hh:mm"),"-",TEXT(Y8,"hh:mm"),
" ",
TEXT(Z8,"hh:mm"),"-",TEXT(AA8,"hh:mm"),
" ",
TEXT(AB8,"hh:mm"),"-",TEXT(AC8,"hh:mm"),
" ",
TEXT(AD8,"hh:mm"),"-",TEXT(AE8,"hh:mm")
)))</f>
        <v>08:50-12:00 13:00-18:05 - -</v>
      </c>
      <c r="M8" s="94">
        <f ca="1">IFERROR(IF(B8="","",IF(COUNTA(D8:K8)=0,0,HorasD(L8))),0)</f>
        <v>0.34374997019767761</v>
      </c>
      <c r="N8" s="95">
        <f ca="1">IFERROR(IF(B8="","",IF(COUNTA(D8:K8)=0,0,HorasN(L8))),0)</f>
        <v>0</v>
      </c>
      <c r="O8" s="94">
        <f ca="1">IF(B8="","",(N8/7*8)-N8)</f>
        <v>0</v>
      </c>
      <c r="P8" s="94">
        <f ca="1">IF(B8="","",N8+O8)</f>
        <v>0</v>
      </c>
      <c r="Q8" s="96">
        <f ca="1">IFERROR(IF(B8="","",HorasTrab(L8)+O8),0)</f>
        <v>0.34375</v>
      </c>
      <c r="R8" s="96">
        <f t="shared" ref="R8:R38" ca="1" si="1">IF(B8="","",IF(OR(COUNTIF(fer,B8)&gt;0,WEEKDAY(B8)=1),0,IF(WEEKDAY(B8)=7,$N$4,IF(Q8&lt;$N$3,MAX($N$3,Q8),MIN($N$3,Q8)))))</f>
        <v>0.33333333333333331</v>
      </c>
      <c r="S8" s="96">
        <f t="shared" ref="S8:S38" ca="1" si="2">IF(B8="","",IF(R8=0,0,IF(WEEKDAY(B8)=7,MAX(0,Q8-$N$4),MAX(0,Q8-$N$3))))</f>
        <v>1.0416666666666685E-2</v>
      </c>
      <c r="T8" s="97">
        <f ca="1">IF(B8="","",IF(R8=0,Q8,0))</f>
        <v>0</v>
      </c>
      <c r="U8" s="97">
        <f ca="1">IF(M8=0,0,IF(Q8&lt;R8,MAX(R8,Q8)-MIN(Q8,R8),0))</f>
        <v>0</v>
      </c>
      <c r="X8" s="41">
        <f>IF(B8="","",IF($D8="","",TIME(INT(D8/100),MOD(D8,100),0)))</f>
        <v>0.36805555555555558</v>
      </c>
      <c r="Y8" s="41">
        <f>IF(B8="","",IF($E8="","",TIME(INT(E8/100),MOD(E8,100),0)))</f>
        <v>0.5</v>
      </c>
      <c r="Z8" s="41">
        <f>IF(B8="","",IF($F8="","",TIME(INT(F8/100),MOD(F8,100),0)))</f>
        <v>0.54166666666666663</v>
      </c>
      <c r="AA8" s="41">
        <f>IF(B8="","",IF($G8="","",TIME(INT(G8/100),MOD(G8,100),0)))</f>
        <v>0.75347222222222221</v>
      </c>
      <c r="AB8" s="41" t="str">
        <f>IF(C8="","",IF($H8="","",TIME(INT(H8/100),MOD(H8,100),0)))</f>
        <v/>
      </c>
      <c r="AC8" s="41" t="str">
        <f>IF(I8="","",IF($D8="","",TIME(INT(I8/100),MOD(I8,100),0)))</f>
        <v/>
      </c>
      <c r="AD8" s="41" t="str">
        <f>IF(E8="","",IF($J8="","",TIME(INT(J8/100),MOD(J8,100),0)))</f>
        <v/>
      </c>
      <c r="AE8" s="41" t="str">
        <f>IF(F8="","",IF($K8="","",TIME(INT(K8/100),MOD(K8,100),0)))</f>
        <v/>
      </c>
    </row>
    <row r="9" spans="1:31" ht="15" customHeight="1" x14ac:dyDescent="0.2">
      <c r="B9" s="98">
        <f>B8+1</f>
        <v>43308</v>
      </c>
      <c r="C9" s="99">
        <f t="shared" ref="C9:C38" si="3">IF(B9="","",IF(COUNTIF(fer,B9)&gt;0,"feriado",B9))</f>
        <v>43308</v>
      </c>
      <c r="D9" s="39">
        <v>849</v>
      </c>
      <c r="E9" s="40">
        <v>1200</v>
      </c>
      <c r="F9" s="40">
        <v>1300</v>
      </c>
      <c r="G9" s="40">
        <v>1840</v>
      </c>
      <c r="H9" s="39"/>
      <c r="I9" s="40"/>
      <c r="J9" s="40"/>
      <c r="K9" s="40"/>
      <c r="L9" s="100" t="str">
        <f t="shared" si="0"/>
        <v>08:49-12:00 13:00-18:40 - -</v>
      </c>
      <c r="M9" s="94">
        <f ca="1">IFERROR(IF(B9="","",IF(COUNTA(D9:K9)=0,0,HorasD(L9))),0)</f>
        <v>0.36875000596046448</v>
      </c>
      <c r="N9" s="95">
        <f ca="1">IFERROR(IF(B9="","",IF(COUNTA(D9:K9)=0,0,HorasN(L9))),0)</f>
        <v>0</v>
      </c>
      <c r="O9" s="101">
        <f ca="1">IF(B9="","",(N9/7*8)-N9)</f>
        <v>0</v>
      </c>
      <c r="P9" s="101">
        <f ca="1">IF(B9="","",N9+O9)</f>
        <v>0</v>
      </c>
      <c r="Q9" s="96">
        <f ca="1">IFERROR(IF(B9="","",HorasTrab(L9)+O9),0)</f>
        <v>0.36875000000000002</v>
      </c>
      <c r="R9" s="96">
        <f t="shared" ca="1" si="1"/>
        <v>0.33333333333333331</v>
      </c>
      <c r="S9" s="102">
        <f t="shared" ca="1" si="2"/>
        <v>3.5416666666666707E-2</v>
      </c>
      <c r="T9" s="103">
        <f ca="1">IF(B9="","",IF(R9=0,Q9,0))</f>
        <v>0</v>
      </c>
      <c r="U9" s="97">
        <f t="shared" ref="U9:U11" ca="1" si="4">IF(M9=0,0,IF(Q9&lt;R9,MAX(R9,Q9)-MIN(Q9,R9),0))</f>
        <v>0</v>
      </c>
      <c r="X9" s="41">
        <f t="shared" ref="X9:X38" si="5">IF(B9="","",IF($D9="","",TIME(INT(D9/100),MOD(D9,100),0)))</f>
        <v>0.36736111111111108</v>
      </c>
      <c r="Y9" s="41">
        <f t="shared" ref="Y9:Y38" si="6">IF(B9="","",IF($E9="","",TIME(INT(E9/100),MOD(E9,100),0)))</f>
        <v>0.5</v>
      </c>
      <c r="Z9" s="41">
        <f t="shared" ref="Z9:Z38" si="7">IF(B9="","",IF($F9="","",TIME(INT(F9/100),MOD(F9,100),0)))</f>
        <v>0.54166666666666663</v>
      </c>
      <c r="AA9" s="41">
        <f t="shared" ref="AA9:AA38" si="8">IF(B9="","",IF($G9="","",TIME(INT(G9/100),MOD(G9,100),0)))</f>
        <v>0.77777777777777779</v>
      </c>
      <c r="AB9" s="41" t="str">
        <f t="shared" ref="AB9:AB38" si="9">IF(C9="","",IF($H9="","",TIME(INT(H9/100),MOD(H9,100),0)))</f>
        <v/>
      </c>
      <c r="AC9" s="41" t="str">
        <f t="shared" ref="AC9:AC38" si="10">IF(I9="","",IF($D9="","",TIME(INT(I9/100),MOD(I9,100),0)))</f>
        <v/>
      </c>
      <c r="AD9" s="41" t="str">
        <f t="shared" ref="AD9:AD38" si="11">IF(E9="","",IF($J9="","",TIME(INT(J9/100),MOD(J9,100),0)))</f>
        <v/>
      </c>
      <c r="AE9" s="41" t="str">
        <f t="shared" ref="AE9:AE38" si="12">IF(F9="","",IF($K9="","",TIME(INT(K9/100),MOD(K9,100),0)))</f>
        <v/>
      </c>
    </row>
    <row r="10" spans="1:31" ht="15" x14ac:dyDescent="0.2">
      <c r="B10" s="98">
        <f>B9+1</f>
        <v>43309</v>
      </c>
      <c r="C10" s="99">
        <f t="shared" si="3"/>
        <v>43309</v>
      </c>
      <c r="D10" s="39">
        <v>850</v>
      </c>
      <c r="E10" s="40"/>
      <c r="F10" s="40"/>
      <c r="G10" s="40">
        <v>1500</v>
      </c>
      <c r="H10" s="39"/>
      <c r="I10" s="40"/>
      <c r="J10" s="40"/>
      <c r="K10" s="40"/>
      <c r="L10" s="93" t="str">
        <f t="shared" si="0"/>
        <v>08:50- -15:00 - -</v>
      </c>
      <c r="M10" s="94">
        <f ca="1">IFERROR(IF(B10="","",IF(COUNTA(D10:K10)=0,0,HorasD(L10))),0)</f>
        <v>0</v>
      </c>
      <c r="N10" s="95">
        <f ca="1">IFERROR(IF(B10="","",IF(COUNTA(D10:K10)=0,0,HorasN(L10))),0)</f>
        <v>0</v>
      </c>
      <c r="O10" s="94">
        <f t="shared" ref="O10:O38" ca="1" si="13">IF(B10="","",(N10/7*8)-N10)</f>
        <v>0</v>
      </c>
      <c r="P10" s="94">
        <f t="shared" ref="P10:P38" ca="1" si="14">IF(B10="","",N10+O10)</f>
        <v>0</v>
      </c>
      <c r="Q10" s="96">
        <f ca="1">IFERROR(IF(B10="","",HorasTrab(L10)+O10),0)</f>
        <v>0</v>
      </c>
      <c r="R10" s="96">
        <f t="shared" si="1"/>
        <v>0.16666666666666666</v>
      </c>
      <c r="S10" s="96">
        <f t="shared" ca="1" si="2"/>
        <v>0</v>
      </c>
      <c r="T10" s="97">
        <f t="shared" ref="T10:T38" si="15">IF(B10="","",IF(R10=0,Q10,0))</f>
        <v>0</v>
      </c>
      <c r="U10" s="97">
        <f t="shared" ca="1" si="4"/>
        <v>0</v>
      </c>
      <c r="X10" s="41">
        <f t="shared" si="5"/>
        <v>0.36805555555555558</v>
      </c>
      <c r="Y10" s="41" t="str">
        <f t="shared" si="6"/>
        <v/>
      </c>
      <c r="Z10" s="41" t="str">
        <f t="shared" si="7"/>
        <v/>
      </c>
      <c r="AA10" s="41">
        <f t="shared" si="8"/>
        <v>0.625</v>
      </c>
      <c r="AB10" s="41" t="str">
        <f t="shared" si="9"/>
        <v/>
      </c>
      <c r="AC10" s="41" t="str">
        <f t="shared" si="10"/>
        <v/>
      </c>
      <c r="AD10" s="41" t="str">
        <f t="shared" si="11"/>
        <v/>
      </c>
      <c r="AE10" s="41" t="str">
        <f t="shared" si="12"/>
        <v/>
      </c>
    </row>
    <row r="11" spans="1:31" ht="15" customHeight="1" x14ac:dyDescent="0.2">
      <c r="B11" s="98">
        <f>B10+1</f>
        <v>43310</v>
      </c>
      <c r="C11" s="99">
        <f t="shared" si="3"/>
        <v>43310</v>
      </c>
      <c r="D11" s="39"/>
      <c r="E11" s="40"/>
      <c r="F11" s="40"/>
      <c r="G11" s="40"/>
      <c r="H11" s="39"/>
      <c r="I11" s="40"/>
      <c r="J11" s="40"/>
      <c r="K11" s="40"/>
      <c r="L11" s="100">
        <f t="shared" si="0"/>
        <v>0</v>
      </c>
      <c r="M11" s="94">
        <f>IFERROR(IF(B11="","",IF(COUNTA(D11:K11)=0,0,HorasD(L11))),0)</f>
        <v>0</v>
      </c>
      <c r="N11" s="95">
        <f>IFERROR(IF(B11="","",IF(COUNTA(D11:K11)=0,0,HorasN(L11))),0)</f>
        <v>0</v>
      </c>
      <c r="O11" s="101">
        <f t="shared" si="13"/>
        <v>0</v>
      </c>
      <c r="P11" s="101">
        <f t="shared" si="14"/>
        <v>0</v>
      </c>
      <c r="Q11" s="96">
        <f ca="1">IFERROR(IF(B11="","",HorasTrab(L11)+O11),0)</f>
        <v>0</v>
      </c>
      <c r="R11" s="96">
        <f t="shared" si="1"/>
        <v>0</v>
      </c>
      <c r="S11" s="102">
        <f t="shared" si="2"/>
        <v>0</v>
      </c>
      <c r="T11" s="103">
        <f t="shared" ca="1" si="15"/>
        <v>0</v>
      </c>
      <c r="U11" s="97">
        <f t="shared" si="4"/>
        <v>0</v>
      </c>
      <c r="X11" s="41" t="str">
        <f t="shared" si="5"/>
        <v/>
      </c>
      <c r="Y11" s="41" t="str">
        <f t="shared" si="6"/>
        <v/>
      </c>
      <c r="Z11" s="41" t="str">
        <f t="shared" si="7"/>
        <v/>
      </c>
      <c r="AA11" s="41" t="str">
        <f t="shared" si="8"/>
        <v/>
      </c>
      <c r="AB11" s="41" t="str">
        <f t="shared" si="9"/>
        <v/>
      </c>
      <c r="AC11" s="41" t="str">
        <f t="shared" si="10"/>
        <v/>
      </c>
      <c r="AD11" s="41" t="str">
        <f t="shared" si="11"/>
        <v/>
      </c>
      <c r="AE11" s="41" t="str">
        <f t="shared" si="12"/>
        <v/>
      </c>
    </row>
    <row r="12" spans="1:31" ht="15" customHeight="1" x14ac:dyDescent="0.2">
      <c r="B12" s="98">
        <f>B11+1</f>
        <v>43311</v>
      </c>
      <c r="C12" s="99">
        <f t="shared" si="3"/>
        <v>43311</v>
      </c>
      <c r="D12" s="39">
        <v>851</v>
      </c>
      <c r="E12" s="40">
        <v>1200</v>
      </c>
      <c r="F12" s="40">
        <v>1300</v>
      </c>
      <c r="G12" s="40">
        <v>1800</v>
      </c>
      <c r="H12" s="39"/>
      <c r="I12" s="40"/>
      <c r="J12" s="40"/>
      <c r="K12" s="40"/>
      <c r="L12" s="100" t="str">
        <f t="shared" si="0"/>
        <v>08:51-12:00 13:00-18:00 - -</v>
      </c>
      <c r="M12" s="94">
        <f ca="1">IFERROR(IF(B12="","",IF(COUNTA(D12:K12)=0,0,HorasD(L12))),0)</f>
        <v>0.33958330750465393</v>
      </c>
      <c r="N12" s="95">
        <f ca="1">IFERROR(IF(B12="","",IF(COUNTA(D12:K12)=0,0,HorasN(L12))),0)</f>
        <v>0</v>
      </c>
      <c r="O12" s="101">
        <f t="shared" ca="1" si="13"/>
        <v>0</v>
      </c>
      <c r="P12" s="101">
        <f t="shared" ca="1" si="14"/>
        <v>0</v>
      </c>
      <c r="Q12" s="96">
        <f ca="1">IFERROR(IF(B12="","",HorasTrab(L12)+O12),0)</f>
        <v>0.33958333333333335</v>
      </c>
      <c r="R12" s="96">
        <f t="shared" ca="1" si="1"/>
        <v>0.33333333333333331</v>
      </c>
      <c r="S12" s="102">
        <f t="shared" ca="1" si="2"/>
        <v>6.2500000000000333E-3</v>
      </c>
      <c r="T12" s="103">
        <f t="shared" ca="1" si="15"/>
        <v>0</v>
      </c>
      <c r="U12" s="97">
        <f t="shared" ref="U12:U38" ca="1" si="16">IF(M12=0,0,IF(Q12&lt;R12,MAX(R12,Q12)-MIN(Q12,R12),0))</f>
        <v>0</v>
      </c>
      <c r="X12" s="41">
        <f t="shared" si="5"/>
        <v>0.36874999999999997</v>
      </c>
      <c r="Y12" s="41">
        <f t="shared" si="6"/>
        <v>0.5</v>
      </c>
      <c r="Z12" s="41">
        <f t="shared" si="7"/>
        <v>0.54166666666666663</v>
      </c>
      <c r="AA12" s="41">
        <f t="shared" si="8"/>
        <v>0.75</v>
      </c>
      <c r="AB12" s="41" t="str">
        <f t="shared" si="9"/>
        <v/>
      </c>
      <c r="AC12" s="41" t="str">
        <f t="shared" si="10"/>
        <v/>
      </c>
      <c r="AD12" s="41" t="str">
        <f t="shared" si="11"/>
        <v/>
      </c>
      <c r="AE12" s="41" t="str">
        <f t="shared" si="12"/>
        <v/>
      </c>
    </row>
    <row r="13" spans="1:31" ht="15" customHeight="1" x14ac:dyDescent="0.2">
      <c r="B13" s="98">
        <f t="shared" ref="B13:B35" si="17">B12+1</f>
        <v>43312</v>
      </c>
      <c r="C13" s="99">
        <f t="shared" si="3"/>
        <v>43312</v>
      </c>
      <c r="D13" s="39">
        <v>840</v>
      </c>
      <c r="E13" s="40">
        <v>1200</v>
      </c>
      <c r="F13" s="40">
        <v>1300</v>
      </c>
      <c r="G13" s="40">
        <v>1805</v>
      </c>
      <c r="H13" s="39"/>
      <c r="I13" s="40"/>
      <c r="J13" s="40"/>
      <c r="K13" s="40"/>
      <c r="L13" s="100" t="str">
        <f t="shared" si="0"/>
        <v>08:40-12:00 13:00-18:05 - -</v>
      </c>
      <c r="M13" s="94">
        <f ca="1">IFERROR(IF(B13="","",IF(COUNTA(D13:K13)=0,0,HorasD(L13))),0)</f>
        <v>0.35069441795349121</v>
      </c>
      <c r="N13" s="95">
        <f ca="1">IFERROR(IF(B13="","",IF(COUNTA(D13:K13)=0,0,HorasN(L13))),0)</f>
        <v>0</v>
      </c>
      <c r="O13" s="101">
        <f t="shared" ca="1" si="13"/>
        <v>0</v>
      </c>
      <c r="P13" s="101">
        <f t="shared" ca="1" si="14"/>
        <v>0</v>
      </c>
      <c r="Q13" s="96">
        <f ca="1">IFERROR(IF(B13="","",HorasTrab(L13)+O13),0)</f>
        <v>0.35069444444444453</v>
      </c>
      <c r="R13" s="96">
        <f t="shared" ca="1" si="1"/>
        <v>0.33333333333333331</v>
      </c>
      <c r="S13" s="102">
        <f t="shared" ca="1" si="2"/>
        <v>1.7361111111111216E-2</v>
      </c>
      <c r="T13" s="103">
        <f t="shared" ca="1" si="15"/>
        <v>0</v>
      </c>
      <c r="U13" s="97">
        <f t="shared" ca="1" si="16"/>
        <v>0</v>
      </c>
      <c r="X13" s="41">
        <f t="shared" si="5"/>
        <v>0.3611111111111111</v>
      </c>
      <c r="Y13" s="41">
        <f t="shared" si="6"/>
        <v>0.5</v>
      </c>
      <c r="Z13" s="41">
        <f t="shared" si="7"/>
        <v>0.54166666666666663</v>
      </c>
      <c r="AA13" s="41">
        <f t="shared" si="8"/>
        <v>0.75347222222222221</v>
      </c>
      <c r="AB13" s="41" t="str">
        <f t="shared" si="9"/>
        <v/>
      </c>
      <c r="AC13" s="41" t="str">
        <f t="shared" si="10"/>
        <v/>
      </c>
      <c r="AD13" s="41" t="str">
        <f t="shared" si="11"/>
        <v/>
      </c>
      <c r="AE13" s="41" t="str">
        <f t="shared" si="12"/>
        <v/>
      </c>
    </row>
    <row r="14" spans="1:31" ht="15" customHeight="1" x14ac:dyDescent="0.2">
      <c r="B14" s="98">
        <f t="shared" si="17"/>
        <v>43313</v>
      </c>
      <c r="C14" s="99">
        <f t="shared" si="3"/>
        <v>43313</v>
      </c>
      <c r="D14" s="39">
        <v>851</v>
      </c>
      <c r="E14" s="40">
        <v>1200</v>
      </c>
      <c r="F14" s="40">
        <v>1300</v>
      </c>
      <c r="G14" s="40">
        <v>1810</v>
      </c>
      <c r="H14" s="39"/>
      <c r="I14" s="40"/>
      <c r="J14" s="40"/>
      <c r="K14" s="40"/>
      <c r="L14" s="100" t="str">
        <f t="shared" si="0"/>
        <v>08:51-12:00 13:00-18:10 - -</v>
      </c>
      <c r="M14" s="94">
        <f ca="1">IFERROR(IF(B14="","",IF(COUNTA(D14:K14)=0,0,HorasD(L14))),0)</f>
        <v>0.34652772545814514</v>
      </c>
      <c r="N14" s="95">
        <f ca="1">IFERROR(IF(B14="","",IF(COUNTA(D14:K14)=0,0,HorasN(L14))),0)</f>
        <v>0</v>
      </c>
      <c r="O14" s="101">
        <f t="shared" ca="1" si="13"/>
        <v>0</v>
      </c>
      <c r="P14" s="101">
        <f t="shared" ca="1" si="14"/>
        <v>0</v>
      </c>
      <c r="Q14" s="96">
        <f ca="1">IFERROR(IF(B14="","",HorasTrab(L14)+O14),0)</f>
        <v>0.34652777777777777</v>
      </c>
      <c r="R14" s="96">
        <f t="shared" ca="1" si="1"/>
        <v>0.33333333333333331</v>
      </c>
      <c r="S14" s="102">
        <f t="shared" ca="1" si="2"/>
        <v>1.3194444444444453E-2</v>
      </c>
      <c r="T14" s="103">
        <f t="shared" ca="1" si="15"/>
        <v>0</v>
      </c>
      <c r="U14" s="97">
        <f t="shared" ca="1" si="16"/>
        <v>0</v>
      </c>
      <c r="X14" s="41">
        <f t="shared" si="5"/>
        <v>0.36874999999999997</v>
      </c>
      <c r="Y14" s="41">
        <f t="shared" si="6"/>
        <v>0.5</v>
      </c>
      <c r="Z14" s="41">
        <f t="shared" si="7"/>
        <v>0.54166666666666663</v>
      </c>
      <c r="AA14" s="41">
        <f t="shared" si="8"/>
        <v>0.75694444444444453</v>
      </c>
      <c r="AB14" s="41" t="str">
        <f t="shared" si="9"/>
        <v/>
      </c>
      <c r="AC14" s="41" t="str">
        <f t="shared" si="10"/>
        <v/>
      </c>
      <c r="AD14" s="41" t="str">
        <f t="shared" si="11"/>
        <v/>
      </c>
      <c r="AE14" s="41" t="str">
        <f t="shared" si="12"/>
        <v/>
      </c>
    </row>
    <row r="15" spans="1:31" ht="15" customHeight="1" x14ac:dyDescent="0.2">
      <c r="B15" s="98">
        <f t="shared" si="17"/>
        <v>43314</v>
      </c>
      <c r="C15" s="99">
        <f t="shared" si="3"/>
        <v>43314</v>
      </c>
      <c r="D15" s="39">
        <v>851</v>
      </c>
      <c r="E15" s="40">
        <v>1200</v>
      </c>
      <c r="F15" s="40">
        <v>1300</v>
      </c>
      <c r="G15" s="40">
        <v>1810</v>
      </c>
      <c r="H15" s="39"/>
      <c r="I15" s="40"/>
      <c r="J15" s="40"/>
      <c r="K15" s="40"/>
      <c r="L15" s="100" t="str">
        <f t="shared" si="0"/>
        <v>08:51-12:00 13:00-18:10 - -</v>
      </c>
      <c r="M15" s="94">
        <f ca="1">IFERROR(IF(B15="","",IF(COUNTA(D15:K15)=0,0,HorasD(L15))),0)</f>
        <v>0.34652772545814514</v>
      </c>
      <c r="N15" s="95">
        <f ca="1">IFERROR(IF(B15="","",IF(COUNTA(D15:K15)=0,0,HorasN(L15))),0)</f>
        <v>0</v>
      </c>
      <c r="O15" s="101">
        <f t="shared" ca="1" si="13"/>
        <v>0</v>
      </c>
      <c r="P15" s="101">
        <f t="shared" ca="1" si="14"/>
        <v>0</v>
      </c>
      <c r="Q15" s="96">
        <f ca="1">IFERROR(IF(B15="","",HorasTrab(L15)+O15),0)</f>
        <v>0.34652777777777777</v>
      </c>
      <c r="R15" s="96">
        <f t="shared" ca="1" si="1"/>
        <v>0.33333333333333331</v>
      </c>
      <c r="S15" s="102">
        <f t="shared" ca="1" si="2"/>
        <v>1.3194444444444453E-2</v>
      </c>
      <c r="T15" s="103">
        <f t="shared" ca="1" si="15"/>
        <v>0</v>
      </c>
      <c r="U15" s="97">
        <f t="shared" ca="1" si="16"/>
        <v>0</v>
      </c>
      <c r="X15" s="41">
        <f t="shared" si="5"/>
        <v>0.36874999999999997</v>
      </c>
      <c r="Y15" s="41">
        <f t="shared" si="6"/>
        <v>0.5</v>
      </c>
      <c r="Z15" s="41">
        <f t="shared" si="7"/>
        <v>0.54166666666666663</v>
      </c>
      <c r="AA15" s="41">
        <f t="shared" si="8"/>
        <v>0.75694444444444453</v>
      </c>
      <c r="AB15" s="41" t="str">
        <f t="shared" si="9"/>
        <v/>
      </c>
      <c r="AC15" s="41" t="str">
        <f t="shared" si="10"/>
        <v/>
      </c>
      <c r="AD15" s="41" t="str">
        <f t="shared" si="11"/>
        <v/>
      </c>
      <c r="AE15" s="41" t="str">
        <f t="shared" si="12"/>
        <v/>
      </c>
    </row>
    <row r="16" spans="1:31" ht="15" customHeight="1" x14ac:dyDescent="0.2">
      <c r="A16" s="104"/>
      <c r="B16" s="98">
        <f t="shared" si="17"/>
        <v>43315</v>
      </c>
      <c r="C16" s="99">
        <f t="shared" si="3"/>
        <v>43315</v>
      </c>
      <c r="D16" s="39">
        <v>850</v>
      </c>
      <c r="E16" s="40">
        <v>1200</v>
      </c>
      <c r="F16" s="40">
        <v>1300</v>
      </c>
      <c r="G16" s="40">
        <v>1840</v>
      </c>
      <c r="H16" s="39"/>
      <c r="I16" s="40"/>
      <c r="J16" s="40"/>
      <c r="K16" s="40"/>
      <c r="L16" s="100" t="str">
        <f t="shared" si="0"/>
        <v>08:50-12:00 13:00-18:40 - -</v>
      </c>
      <c r="M16" s="94">
        <f ca="1">IFERROR(IF(B16="","",IF(COUNTA(D16:K16)=0,0,HorasD(L16))),0)</f>
        <v>0.3680555522441864</v>
      </c>
      <c r="N16" s="95">
        <f ca="1">IFERROR(IF(B16="","",IF(COUNTA(D16:K16)=0,0,HorasN(L16))),0)</f>
        <v>0</v>
      </c>
      <c r="O16" s="101">
        <f t="shared" ca="1" si="13"/>
        <v>0</v>
      </c>
      <c r="P16" s="101">
        <f t="shared" ca="1" si="14"/>
        <v>0</v>
      </c>
      <c r="Q16" s="96">
        <f ca="1">IFERROR(IF(B16="","",HorasTrab(L16)+O16),0)</f>
        <v>0.36805555555555558</v>
      </c>
      <c r="R16" s="96">
        <f t="shared" ca="1" si="1"/>
        <v>0.33333333333333331</v>
      </c>
      <c r="S16" s="102">
        <f t="shared" ca="1" si="2"/>
        <v>3.4722222222222265E-2</v>
      </c>
      <c r="T16" s="103">
        <f t="shared" ca="1" si="15"/>
        <v>0</v>
      </c>
      <c r="U16" s="97">
        <f t="shared" ca="1" si="16"/>
        <v>0</v>
      </c>
      <c r="X16" s="41">
        <f t="shared" si="5"/>
        <v>0.36805555555555558</v>
      </c>
      <c r="Y16" s="41">
        <f t="shared" si="6"/>
        <v>0.5</v>
      </c>
      <c r="Z16" s="41">
        <f t="shared" si="7"/>
        <v>0.54166666666666663</v>
      </c>
      <c r="AA16" s="41">
        <f t="shared" si="8"/>
        <v>0.77777777777777779</v>
      </c>
      <c r="AB16" s="41" t="str">
        <f t="shared" si="9"/>
        <v/>
      </c>
      <c r="AC16" s="41" t="str">
        <f t="shared" si="10"/>
        <v/>
      </c>
      <c r="AD16" s="41" t="str">
        <f t="shared" si="11"/>
        <v/>
      </c>
      <c r="AE16" s="41" t="str">
        <f t="shared" si="12"/>
        <v/>
      </c>
    </row>
    <row r="17" spans="1:31" ht="15" customHeight="1" x14ac:dyDescent="0.2">
      <c r="B17" s="98">
        <f t="shared" si="17"/>
        <v>43316</v>
      </c>
      <c r="C17" s="99">
        <f t="shared" si="3"/>
        <v>43316</v>
      </c>
      <c r="D17" s="39">
        <v>850</v>
      </c>
      <c r="E17" s="40"/>
      <c r="F17" s="40"/>
      <c r="G17" s="40">
        <v>1442</v>
      </c>
      <c r="H17" s="39"/>
      <c r="I17" s="40"/>
      <c r="J17" s="40"/>
      <c r="K17" s="40"/>
      <c r="L17" s="100" t="str">
        <f t="shared" si="0"/>
        <v>08:50- -14:42 - -</v>
      </c>
      <c r="M17" s="94">
        <f ca="1">IFERROR(IF(B17="","",IF(COUNTA(D17:K17)=0,0,HorasD(L17))),0)</f>
        <v>0</v>
      </c>
      <c r="N17" s="95">
        <f ca="1">IFERROR(IF(B17="","",IF(COUNTA(D17:K17)=0,0,HorasN(L17))),0)</f>
        <v>0</v>
      </c>
      <c r="O17" s="101">
        <f t="shared" ca="1" si="13"/>
        <v>0</v>
      </c>
      <c r="P17" s="101">
        <f t="shared" ca="1" si="14"/>
        <v>0</v>
      </c>
      <c r="Q17" s="96">
        <f ca="1">IFERROR(IF(B17="","",HorasTrab(L17)+O17),0)</f>
        <v>0</v>
      </c>
      <c r="R17" s="96">
        <f t="shared" si="1"/>
        <v>0.16666666666666666</v>
      </c>
      <c r="S17" s="102">
        <f t="shared" ca="1" si="2"/>
        <v>0</v>
      </c>
      <c r="T17" s="103">
        <f t="shared" si="15"/>
        <v>0</v>
      </c>
      <c r="U17" s="97">
        <f t="shared" ca="1" si="16"/>
        <v>0</v>
      </c>
      <c r="X17" s="41">
        <f t="shared" si="5"/>
        <v>0.36805555555555558</v>
      </c>
      <c r="Y17" s="41" t="str">
        <f t="shared" si="6"/>
        <v/>
      </c>
      <c r="Z17" s="41" t="str">
        <f t="shared" si="7"/>
        <v/>
      </c>
      <c r="AA17" s="41">
        <f t="shared" si="8"/>
        <v>0.61249999999999993</v>
      </c>
      <c r="AB17" s="41" t="str">
        <f t="shared" si="9"/>
        <v/>
      </c>
      <c r="AC17" s="41" t="str">
        <f t="shared" si="10"/>
        <v/>
      </c>
      <c r="AD17" s="41" t="str">
        <f t="shared" si="11"/>
        <v/>
      </c>
      <c r="AE17" s="41" t="str">
        <f t="shared" si="12"/>
        <v/>
      </c>
    </row>
    <row r="18" spans="1:31" ht="15" customHeight="1" x14ac:dyDescent="0.2">
      <c r="A18" s="104"/>
      <c r="B18" s="98">
        <f t="shared" si="17"/>
        <v>43317</v>
      </c>
      <c r="C18" s="99">
        <f t="shared" si="3"/>
        <v>43317</v>
      </c>
      <c r="D18" s="39"/>
      <c r="E18" s="40"/>
      <c r="F18" s="40"/>
      <c r="G18" s="40"/>
      <c r="H18" s="39"/>
      <c r="I18" s="40"/>
      <c r="J18" s="40"/>
      <c r="K18" s="40"/>
      <c r="L18" s="100">
        <f t="shared" si="0"/>
        <v>0</v>
      </c>
      <c r="M18" s="94">
        <f>IFERROR(IF(B18="","",IF(COUNTA(D18:K18)=0,0,HorasD(L18))),0)</f>
        <v>0</v>
      </c>
      <c r="N18" s="95">
        <f>IFERROR(IF(B18="","",IF(COUNTA(D18:K18)=0,0,HorasN(L18))),0)</f>
        <v>0</v>
      </c>
      <c r="O18" s="101">
        <f t="shared" si="13"/>
        <v>0</v>
      </c>
      <c r="P18" s="101">
        <f t="shared" si="14"/>
        <v>0</v>
      </c>
      <c r="Q18" s="96">
        <f ca="1">IFERROR(IF(B18="","",HorasTrab(L18)+O18),0)</f>
        <v>0</v>
      </c>
      <c r="R18" s="96">
        <f t="shared" si="1"/>
        <v>0</v>
      </c>
      <c r="S18" s="102">
        <f t="shared" si="2"/>
        <v>0</v>
      </c>
      <c r="T18" s="103">
        <f t="shared" ca="1" si="15"/>
        <v>0</v>
      </c>
      <c r="U18" s="97">
        <f t="shared" si="16"/>
        <v>0</v>
      </c>
      <c r="X18" s="41" t="str">
        <f t="shared" si="5"/>
        <v/>
      </c>
      <c r="Y18" s="41" t="str">
        <f t="shared" si="6"/>
        <v/>
      </c>
      <c r="Z18" s="41" t="str">
        <f t="shared" si="7"/>
        <v/>
      </c>
      <c r="AA18" s="41" t="str">
        <f t="shared" si="8"/>
        <v/>
      </c>
      <c r="AB18" s="41" t="str">
        <f t="shared" si="9"/>
        <v/>
      </c>
      <c r="AC18" s="41" t="str">
        <f t="shared" si="10"/>
        <v/>
      </c>
      <c r="AD18" s="41" t="str">
        <f t="shared" si="11"/>
        <v/>
      </c>
      <c r="AE18" s="41" t="str">
        <f t="shared" si="12"/>
        <v/>
      </c>
    </row>
    <row r="19" spans="1:31" ht="15" customHeight="1" x14ac:dyDescent="0.2">
      <c r="B19" s="98">
        <f t="shared" si="17"/>
        <v>43318</v>
      </c>
      <c r="C19" s="99">
        <f t="shared" si="3"/>
        <v>43318</v>
      </c>
      <c r="D19" s="39">
        <v>845</v>
      </c>
      <c r="E19" s="40">
        <v>1200</v>
      </c>
      <c r="F19" s="40">
        <v>1300</v>
      </c>
      <c r="G19" s="40">
        <v>1805</v>
      </c>
      <c r="H19" s="39"/>
      <c r="I19" s="40"/>
      <c r="J19" s="40"/>
      <c r="K19" s="40"/>
      <c r="L19" s="100" t="str">
        <f t="shared" si="0"/>
        <v>08:45-12:00 13:00-18:05 - -</v>
      </c>
      <c r="M19" s="94">
        <f ca="1">IFERROR(IF(B19="","",IF(COUNTA(D19:K19)=0,0,HorasD(L19))),0)</f>
        <v>0.34722217917442322</v>
      </c>
      <c r="N19" s="95">
        <f ca="1">IFERROR(IF(B19="","",IF(COUNTA(D19:K19)=0,0,HorasN(L19))),0)</f>
        <v>0</v>
      </c>
      <c r="O19" s="101">
        <f t="shared" ca="1" si="13"/>
        <v>0</v>
      </c>
      <c r="P19" s="101">
        <f t="shared" ca="1" si="14"/>
        <v>0</v>
      </c>
      <c r="Q19" s="96">
        <f ca="1">IFERROR(IF(B19="","",HorasTrab(L19)+O19),0)</f>
        <v>0.34722222222222221</v>
      </c>
      <c r="R19" s="96">
        <f t="shared" ca="1" si="1"/>
        <v>0.33333333333333331</v>
      </c>
      <c r="S19" s="102">
        <f t="shared" ca="1" si="2"/>
        <v>1.3888888888888895E-2</v>
      </c>
      <c r="T19" s="103">
        <f t="shared" ca="1" si="15"/>
        <v>0</v>
      </c>
      <c r="U19" s="97">
        <f t="shared" ca="1" si="16"/>
        <v>0</v>
      </c>
      <c r="X19" s="41">
        <f t="shared" si="5"/>
        <v>0.36458333333333331</v>
      </c>
      <c r="Y19" s="41">
        <f t="shared" si="6"/>
        <v>0.5</v>
      </c>
      <c r="Z19" s="41">
        <f t="shared" si="7"/>
        <v>0.54166666666666663</v>
      </c>
      <c r="AA19" s="41">
        <f t="shared" si="8"/>
        <v>0.75347222222222221</v>
      </c>
      <c r="AB19" s="41" t="str">
        <f t="shared" si="9"/>
        <v/>
      </c>
      <c r="AC19" s="41" t="str">
        <f t="shared" si="10"/>
        <v/>
      </c>
      <c r="AD19" s="41" t="str">
        <f t="shared" si="11"/>
        <v/>
      </c>
      <c r="AE19" s="41" t="str">
        <f t="shared" si="12"/>
        <v/>
      </c>
    </row>
    <row r="20" spans="1:31" ht="15" customHeight="1" x14ac:dyDescent="0.2">
      <c r="B20" s="98">
        <f t="shared" si="17"/>
        <v>43319</v>
      </c>
      <c r="C20" s="99">
        <f t="shared" si="3"/>
        <v>43319</v>
      </c>
      <c r="D20" s="39">
        <v>850</v>
      </c>
      <c r="E20" s="40">
        <v>1200</v>
      </c>
      <c r="F20" s="40">
        <v>1300</v>
      </c>
      <c r="G20" s="40">
        <v>1810</v>
      </c>
      <c r="H20" s="39"/>
      <c r="I20" s="40"/>
      <c r="J20" s="40"/>
      <c r="K20" s="40"/>
      <c r="L20" s="100" t="str">
        <f t="shared" si="0"/>
        <v>08:50-12:00 13:00-18:10 - -</v>
      </c>
      <c r="M20" s="94">
        <f ca="1">IFERROR(IF(B20="","",IF(COUNTA(D20:K20)=0,0,HorasD(L20))),0)</f>
        <v>0.34722217917442322</v>
      </c>
      <c r="N20" s="95">
        <f ca="1">IFERROR(IF(B20="","",IF(COUNTA(D20:K20)=0,0,HorasN(L20))),0)</f>
        <v>0</v>
      </c>
      <c r="O20" s="101">
        <f t="shared" ca="1" si="13"/>
        <v>0</v>
      </c>
      <c r="P20" s="101">
        <f t="shared" ca="1" si="14"/>
        <v>0</v>
      </c>
      <c r="Q20" s="96">
        <f ca="1">IFERROR(IF(B20="","",HorasTrab(L20)+O20),0)</f>
        <v>0.34722222222222221</v>
      </c>
      <c r="R20" s="96">
        <f t="shared" ca="1" si="1"/>
        <v>0.33333333333333331</v>
      </c>
      <c r="S20" s="102">
        <f t="shared" ca="1" si="2"/>
        <v>1.3888888888888895E-2</v>
      </c>
      <c r="T20" s="103">
        <f t="shared" ca="1" si="15"/>
        <v>0</v>
      </c>
      <c r="U20" s="97">
        <f t="shared" ca="1" si="16"/>
        <v>0</v>
      </c>
      <c r="X20" s="41">
        <f t="shared" si="5"/>
        <v>0.36805555555555558</v>
      </c>
      <c r="Y20" s="41">
        <f t="shared" si="6"/>
        <v>0.5</v>
      </c>
      <c r="Z20" s="41">
        <f t="shared" si="7"/>
        <v>0.54166666666666663</v>
      </c>
      <c r="AA20" s="41">
        <f t="shared" si="8"/>
        <v>0.75694444444444453</v>
      </c>
      <c r="AB20" s="41" t="str">
        <f t="shared" si="9"/>
        <v/>
      </c>
      <c r="AC20" s="41" t="str">
        <f t="shared" si="10"/>
        <v/>
      </c>
      <c r="AD20" s="41" t="str">
        <f t="shared" si="11"/>
        <v/>
      </c>
      <c r="AE20" s="41" t="str">
        <f t="shared" si="12"/>
        <v/>
      </c>
    </row>
    <row r="21" spans="1:31" ht="15" customHeight="1" x14ac:dyDescent="0.2">
      <c r="B21" s="98">
        <f t="shared" si="17"/>
        <v>43320</v>
      </c>
      <c r="C21" s="99">
        <f t="shared" si="3"/>
        <v>43320</v>
      </c>
      <c r="D21" s="39">
        <v>855</v>
      </c>
      <c r="E21" s="40">
        <v>1200</v>
      </c>
      <c r="F21" s="40">
        <v>1300</v>
      </c>
      <c r="G21" s="40">
        <v>1809</v>
      </c>
      <c r="H21" s="39"/>
      <c r="I21" s="40"/>
      <c r="J21" s="40"/>
      <c r="K21" s="40"/>
      <c r="L21" s="100" t="str">
        <f t="shared" si="0"/>
        <v>08:55-12:00 13:00-18:09 - -</v>
      </c>
      <c r="M21" s="94">
        <f ca="1">IFERROR(IF(B21="","",IF(COUNTA(D21:K21)=0,0,HorasD(L21))),0)</f>
        <v>0.34305554628372192</v>
      </c>
      <c r="N21" s="95">
        <f ca="1">IFERROR(IF(B21="","",IF(COUNTA(D21:K21)=0,0,HorasN(L21))),0)</f>
        <v>0</v>
      </c>
      <c r="O21" s="101">
        <f t="shared" ca="1" si="13"/>
        <v>0</v>
      </c>
      <c r="P21" s="101">
        <f t="shared" ca="1" si="14"/>
        <v>0</v>
      </c>
      <c r="Q21" s="96">
        <f ca="1">IFERROR(IF(B21="","",HorasTrab(L21)+O21),0)</f>
        <v>0.34305555555555556</v>
      </c>
      <c r="R21" s="96">
        <f t="shared" ca="1" si="1"/>
        <v>0.33333333333333331</v>
      </c>
      <c r="S21" s="102">
        <f t="shared" ca="1" si="2"/>
        <v>9.7222222222222432E-3</v>
      </c>
      <c r="T21" s="103">
        <f t="shared" ca="1" si="15"/>
        <v>0</v>
      </c>
      <c r="U21" s="97">
        <f t="shared" ca="1" si="16"/>
        <v>0</v>
      </c>
      <c r="X21" s="41">
        <f t="shared" si="5"/>
        <v>0.37152777777777773</v>
      </c>
      <c r="Y21" s="41">
        <f t="shared" si="6"/>
        <v>0.5</v>
      </c>
      <c r="Z21" s="41">
        <f t="shared" si="7"/>
        <v>0.54166666666666663</v>
      </c>
      <c r="AA21" s="41">
        <f t="shared" si="8"/>
        <v>0.75624999999999998</v>
      </c>
      <c r="AB21" s="41" t="str">
        <f t="shared" si="9"/>
        <v/>
      </c>
      <c r="AC21" s="41" t="str">
        <f t="shared" si="10"/>
        <v/>
      </c>
      <c r="AD21" s="41" t="str">
        <f t="shared" si="11"/>
        <v/>
      </c>
      <c r="AE21" s="41" t="str">
        <f t="shared" si="12"/>
        <v/>
      </c>
    </row>
    <row r="22" spans="1:31" ht="15" customHeight="1" x14ac:dyDescent="0.2">
      <c r="B22" s="98">
        <f t="shared" si="17"/>
        <v>43321</v>
      </c>
      <c r="C22" s="99">
        <f t="shared" si="3"/>
        <v>43321</v>
      </c>
      <c r="D22" s="39">
        <v>850</v>
      </c>
      <c r="E22" s="40">
        <v>1200</v>
      </c>
      <c r="F22" s="40">
        <v>1300</v>
      </c>
      <c r="G22" s="40">
        <v>1815</v>
      </c>
      <c r="H22" s="39"/>
      <c r="I22" s="40"/>
      <c r="J22" s="40"/>
      <c r="K22" s="40"/>
      <c r="L22" s="100" t="str">
        <f t="shared" si="0"/>
        <v>08:50-12:00 13:00-18:15 - -</v>
      </c>
      <c r="M22" s="94">
        <f ca="1">IFERROR(IF(B22="","",IF(COUNTA(D22:K22)=0,0,HorasD(L22))),0)</f>
        <v>0.3506944477558136</v>
      </c>
      <c r="N22" s="95">
        <f ca="1">IFERROR(IF(B22="","",IF(COUNTA(D22:K22)=0,0,HorasN(L22))),0)</f>
        <v>0</v>
      </c>
      <c r="O22" s="101">
        <f t="shared" ca="1" si="13"/>
        <v>0</v>
      </c>
      <c r="P22" s="101">
        <f t="shared" ca="1" si="14"/>
        <v>0</v>
      </c>
      <c r="Q22" s="96">
        <f ca="1">IFERROR(IF(B22="","",HorasTrab(L22)+O22),0)</f>
        <v>0.35069444444444442</v>
      </c>
      <c r="R22" s="96">
        <f t="shared" ca="1" si="1"/>
        <v>0.33333333333333331</v>
      </c>
      <c r="S22" s="102">
        <f t="shared" ca="1" si="2"/>
        <v>1.7361111111111105E-2</v>
      </c>
      <c r="T22" s="103">
        <f t="shared" ca="1" si="15"/>
        <v>0</v>
      </c>
      <c r="U22" s="97">
        <f t="shared" ca="1" si="16"/>
        <v>0</v>
      </c>
      <c r="X22" s="41">
        <f t="shared" si="5"/>
        <v>0.36805555555555558</v>
      </c>
      <c r="Y22" s="41">
        <f t="shared" si="6"/>
        <v>0.5</v>
      </c>
      <c r="Z22" s="41">
        <f t="shared" si="7"/>
        <v>0.54166666666666663</v>
      </c>
      <c r="AA22" s="41">
        <f t="shared" si="8"/>
        <v>0.76041666666666663</v>
      </c>
      <c r="AB22" s="41" t="str">
        <f t="shared" si="9"/>
        <v/>
      </c>
      <c r="AC22" s="41" t="str">
        <f t="shared" si="10"/>
        <v/>
      </c>
      <c r="AD22" s="41" t="str">
        <f t="shared" si="11"/>
        <v/>
      </c>
      <c r="AE22" s="41" t="str">
        <f t="shared" si="12"/>
        <v/>
      </c>
    </row>
    <row r="23" spans="1:31" ht="15" customHeight="1" x14ac:dyDescent="0.2">
      <c r="B23" s="98">
        <f t="shared" si="17"/>
        <v>43322</v>
      </c>
      <c r="C23" s="99">
        <f t="shared" si="3"/>
        <v>43322</v>
      </c>
      <c r="D23" s="39">
        <v>855</v>
      </c>
      <c r="E23" s="40">
        <v>1200</v>
      </c>
      <c r="F23" s="40">
        <v>1300</v>
      </c>
      <c r="G23" s="40">
        <v>1810</v>
      </c>
      <c r="H23" s="39"/>
      <c r="I23" s="40"/>
      <c r="J23" s="40"/>
      <c r="K23" s="40"/>
      <c r="L23" s="100" t="str">
        <f t="shared" si="0"/>
        <v>08:55-12:00 13:00-18:10 - -</v>
      </c>
      <c r="M23" s="94">
        <f ca="1">IFERROR(IF(B23="","",IF(COUNTA(D23:K23)=0,0,HorasD(L23))),0)</f>
        <v>0.34374994039535522</v>
      </c>
      <c r="N23" s="95">
        <f ca="1">IFERROR(IF(B23="","",IF(COUNTA(D23:K23)=0,0,HorasN(L23))),0)</f>
        <v>0</v>
      </c>
      <c r="O23" s="101">
        <f t="shared" ca="1" si="13"/>
        <v>0</v>
      </c>
      <c r="P23" s="101">
        <f t="shared" ca="1" si="14"/>
        <v>0</v>
      </c>
      <c r="Q23" s="96">
        <f ca="1">IFERROR(IF(B23="","",HorasTrab(L23)+O23),0)</f>
        <v>0.34375</v>
      </c>
      <c r="R23" s="96">
        <f t="shared" ca="1" si="1"/>
        <v>0.33333333333333331</v>
      </c>
      <c r="S23" s="102">
        <f t="shared" ca="1" si="2"/>
        <v>1.0416666666666685E-2</v>
      </c>
      <c r="T23" s="103">
        <f t="shared" ca="1" si="15"/>
        <v>0</v>
      </c>
      <c r="U23" s="97">
        <f t="shared" ca="1" si="16"/>
        <v>0</v>
      </c>
      <c r="X23" s="41">
        <f t="shared" si="5"/>
        <v>0.37152777777777773</v>
      </c>
      <c r="Y23" s="41">
        <f t="shared" si="6"/>
        <v>0.5</v>
      </c>
      <c r="Z23" s="41">
        <f t="shared" si="7"/>
        <v>0.54166666666666663</v>
      </c>
      <c r="AA23" s="41">
        <f t="shared" si="8"/>
        <v>0.75694444444444453</v>
      </c>
      <c r="AB23" s="41" t="str">
        <f t="shared" si="9"/>
        <v/>
      </c>
      <c r="AC23" s="41" t="str">
        <f t="shared" si="10"/>
        <v/>
      </c>
      <c r="AD23" s="41" t="str">
        <f t="shared" si="11"/>
        <v/>
      </c>
      <c r="AE23" s="41" t="str">
        <f t="shared" si="12"/>
        <v/>
      </c>
    </row>
    <row r="24" spans="1:31" ht="15" customHeight="1" x14ac:dyDescent="0.2">
      <c r="B24" s="98">
        <f t="shared" si="17"/>
        <v>43323</v>
      </c>
      <c r="C24" s="99">
        <f t="shared" si="3"/>
        <v>43323</v>
      </c>
      <c r="D24" s="39">
        <v>850</v>
      </c>
      <c r="E24" s="40"/>
      <c r="F24" s="40"/>
      <c r="G24" s="40">
        <v>1419</v>
      </c>
      <c r="H24" s="39"/>
      <c r="I24" s="40"/>
      <c r="J24" s="40"/>
      <c r="K24" s="40"/>
      <c r="L24" s="100" t="str">
        <f t="shared" si="0"/>
        <v>08:50- -14:19 - -</v>
      </c>
      <c r="M24" s="94">
        <f ca="1">IFERROR(IF(B24="","",IF(COUNTA(D24:K24)=0,0,HorasD(L24))),0)</f>
        <v>0</v>
      </c>
      <c r="N24" s="95">
        <f ca="1">IFERROR(IF(B24="","",IF(COUNTA(D24:K24)=0,0,HorasN(L24))),0)</f>
        <v>0</v>
      </c>
      <c r="O24" s="101">
        <f t="shared" ca="1" si="13"/>
        <v>0</v>
      </c>
      <c r="P24" s="101">
        <f t="shared" ca="1" si="14"/>
        <v>0</v>
      </c>
      <c r="Q24" s="96">
        <f ca="1">IFERROR(IF(B24="","",HorasTrab(L24)+O24),0)</f>
        <v>0</v>
      </c>
      <c r="R24" s="96">
        <f t="shared" si="1"/>
        <v>0.16666666666666666</v>
      </c>
      <c r="S24" s="102">
        <f t="shared" ca="1" si="2"/>
        <v>0</v>
      </c>
      <c r="T24" s="103">
        <f t="shared" si="15"/>
        <v>0</v>
      </c>
      <c r="U24" s="97">
        <f t="shared" ca="1" si="16"/>
        <v>0</v>
      </c>
      <c r="X24" s="41">
        <f t="shared" si="5"/>
        <v>0.36805555555555558</v>
      </c>
      <c r="Y24" s="41" t="str">
        <f t="shared" si="6"/>
        <v/>
      </c>
      <c r="Z24" s="41" t="str">
        <f t="shared" si="7"/>
        <v/>
      </c>
      <c r="AA24" s="41">
        <f t="shared" si="8"/>
        <v>0.59652777777777777</v>
      </c>
      <c r="AB24" s="41" t="str">
        <f t="shared" si="9"/>
        <v/>
      </c>
      <c r="AC24" s="41" t="str">
        <f t="shared" si="10"/>
        <v/>
      </c>
      <c r="AD24" s="41" t="str">
        <f t="shared" si="11"/>
        <v/>
      </c>
      <c r="AE24" s="41" t="str">
        <f t="shared" si="12"/>
        <v/>
      </c>
    </row>
    <row r="25" spans="1:31" ht="15" customHeight="1" x14ac:dyDescent="0.2">
      <c r="B25" s="98">
        <f t="shared" si="17"/>
        <v>43324</v>
      </c>
      <c r="C25" s="99">
        <f t="shared" si="3"/>
        <v>43324</v>
      </c>
      <c r="D25" s="39"/>
      <c r="E25" s="40"/>
      <c r="F25" s="40"/>
      <c r="G25" s="40"/>
      <c r="H25" s="39"/>
      <c r="I25" s="40"/>
      <c r="J25" s="40"/>
      <c r="K25" s="40"/>
      <c r="L25" s="100">
        <f t="shared" si="0"/>
        <v>0</v>
      </c>
      <c r="M25" s="94">
        <f>IFERROR(IF(B25="","",IF(COUNTA(D25:K25)=0,0,HorasD(L25))),0)</f>
        <v>0</v>
      </c>
      <c r="N25" s="95">
        <f>IFERROR(IF(B25="","",IF(COUNTA(D25:K25)=0,0,HorasN(L25))),0)</f>
        <v>0</v>
      </c>
      <c r="O25" s="101">
        <f t="shared" si="13"/>
        <v>0</v>
      </c>
      <c r="P25" s="101">
        <f t="shared" si="14"/>
        <v>0</v>
      </c>
      <c r="Q25" s="96">
        <f ca="1">IFERROR(IF(B25="","",HorasTrab(L25)+O25),0)</f>
        <v>0</v>
      </c>
      <c r="R25" s="96">
        <f t="shared" si="1"/>
        <v>0</v>
      </c>
      <c r="S25" s="102">
        <f t="shared" si="2"/>
        <v>0</v>
      </c>
      <c r="T25" s="103">
        <f t="shared" ca="1" si="15"/>
        <v>0</v>
      </c>
      <c r="U25" s="97">
        <f t="shared" si="16"/>
        <v>0</v>
      </c>
      <c r="X25" s="41" t="str">
        <f t="shared" si="5"/>
        <v/>
      </c>
      <c r="Y25" s="41" t="str">
        <f t="shared" si="6"/>
        <v/>
      </c>
      <c r="Z25" s="41" t="str">
        <f t="shared" si="7"/>
        <v/>
      </c>
      <c r="AA25" s="41" t="str">
        <f t="shared" si="8"/>
        <v/>
      </c>
      <c r="AB25" s="41" t="str">
        <f t="shared" si="9"/>
        <v/>
      </c>
      <c r="AC25" s="41" t="str">
        <f t="shared" si="10"/>
        <v/>
      </c>
      <c r="AD25" s="41" t="str">
        <f t="shared" si="11"/>
        <v/>
      </c>
      <c r="AE25" s="41" t="str">
        <f t="shared" si="12"/>
        <v/>
      </c>
    </row>
    <row r="26" spans="1:31" ht="15" customHeight="1" x14ac:dyDescent="0.2">
      <c r="B26" s="98">
        <f t="shared" si="17"/>
        <v>43325</v>
      </c>
      <c r="C26" s="99">
        <f t="shared" si="3"/>
        <v>43325</v>
      </c>
      <c r="D26" s="39">
        <v>855</v>
      </c>
      <c r="E26" s="40">
        <v>1200</v>
      </c>
      <c r="F26" s="40">
        <v>1300</v>
      </c>
      <c r="G26" s="40">
        <v>1805</v>
      </c>
      <c r="H26" s="39"/>
      <c r="I26" s="40"/>
      <c r="J26" s="40"/>
      <c r="K26" s="40"/>
      <c r="L26" s="100" t="str">
        <f t="shared" si="0"/>
        <v>08:55-12:00 13:00-18:05 - -</v>
      </c>
      <c r="M26" s="94">
        <f ca="1">IFERROR(IF(B26="","",IF(COUNTA(D26:K26)=0,0,HorasD(L26))),0)</f>
        <v>0.34027773141860962</v>
      </c>
      <c r="N26" s="95">
        <f ca="1">IFERROR(IF(B26="","",IF(COUNTA(D26:K26)=0,0,HorasN(L26))),0)</f>
        <v>0</v>
      </c>
      <c r="O26" s="101">
        <f t="shared" ca="1" si="13"/>
        <v>0</v>
      </c>
      <c r="P26" s="101">
        <f t="shared" ca="1" si="14"/>
        <v>0</v>
      </c>
      <c r="Q26" s="96">
        <f ca="1">IFERROR(IF(B26="","",HorasTrab(L26)+O26),0)</f>
        <v>0.34027777777777779</v>
      </c>
      <c r="R26" s="96">
        <f t="shared" ca="1" si="1"/>
        <v>0.33333333333333331</v>
      </c>
      <c r="S26" s="102">
        <f t="shared" ca="1" si="2"/>
        <v>6.9444444444444753E-3</v>
      </c>
      <c r="T26" s="103">
        <f t="shared" ca="1" si="15"/>
        <v>0</v>
      </c>
      <c r="U26" s="97">
        <f t="shared" ca="1" si="16"/>
        <v>0</v>
      </c>
      <c r="X26" s="41">
        <f t="shared" si="5"/>
        <v>0.37152777777777773</v>
      </c>
      <c r="Y26" s="41">
        <f t="shared" si="6"/>
        <v>0.5</v>
      </c>
      <c r="Z26" s="41">
        <f t="shared" si="7"/>
        <v>0.54166666666666663</v>
      </c>
      <c r="AA26" s="41">
        <f t="shared" si="8"/>
        <v>0.75347222222222221</v>
      </c>
      <c r="AB26" s="41" t="str">
        <f t="shared" si="9"/>
        <v/>
      </c>
      <c r="AC26" s="41" t="str">
        <f t="shared" si="10"/>
        <v/>
      </c>
      <c r="AD26" s="41" t="str">
        <f t="shared" si="11"/>
        <v/>
      </c>
      <c r="AE26" s="41" t="str">
        <f t="shared" si="12"/>
        <v/>
      </c>
    </row>
    <row r="27" spans="1:31" ht="15" customHeight="1" x14ac:dyDescent="0.2">
      <c r="B27" s="98">
        <f t="shared" si="17"/>
        <v>43326</v>
      </c>
      <c r="C27" s="99">
        <f t="shared" si="3"/>
        <v>43326</v>
      </c>
      <c r="D27" s="39">
        <v>850</v>
      </c>
      <c r="E27" s="40">
        <v>1200</v>
      </c>
      <c r="F27" s="40">
        <v>1300</v>
      </c>
      <c r="G27" s="40">
        <v>1805</v>
      </c>
      <c r="H27" s="39"/>
      <c r="I27" s="40"/>
      <c r="J27" s="40"/>
      <c r="K27" s="40"/>
      <c r="L27" s="100" t="str">
        <f t="shared" si="0"/>
        <v>08:50-12:00 13:00-18:05 - -</v>
      </c>
      <c r="M27" s="94">
        <f ca="1">IFERROR(IF(B27="","",IF(COUNTA(D27:K27)=0,0,HorasD(L27))),0)</f>
        <v>0.34374997019767761</v>
      </c>
      <c r="N27" s="95">
        <f ca="1">IFERROR(IF(B27="","",IF(COUNTA(D27:K27)=0,0,HorasN(L27))),0)</f>
        <v>0</v>
      </c>
      <c r="O27" s="101">
        <f t="shared" ca="1" si="13"/>
        <v>0</v>
      </c>
      <c r="P27" s="101">
        <f t="shared" ca="1" si="14"/>
        <v>0</v>
      </c>
      <c r="Q27" s="96">
        <f ca="1">IFERROR(IF(B27="","",HorasTrab(L27)+O27),0)</f>
        <v>0.34375</v>
      </c>
      <c r="R27" s="96">
        <f t="shared" ca="1" si="1"/>
        <v>0.33333333333333331</v>
      </c>
      <c r="S27" s="102">
        <f t="shared" ca="1" si="2"/>
        <v>1.0416666666666685E-2</v>
      </c>
      <c r="T27" s="103">
        <f t="shared" ca="1" si="15"/>
        <v>0</v>
      </c>
      <c r="U27" s="97">
        <f t="shared" ca="1" si="16"/>
        <v>0</v>
      </c>
      <c r="X27" s="41">
        <f t="shared" si="5"/>
        <v>0.36805555555555558</v>
      </c>
      <c r="Y27" s="41">
        <f t="shared" si="6"/>
        <v>0.5</v>
      </c>
      <c r="Z27" s="41">
        <f t="shared" si="7"/>
        <v>0.54166666666666663</v>
      </c>
      <c r="AA27" s="41">
        <f t="shared" si="8"/>
        <v>0.75347222222222221</v>
      </c>
      <c r="AB27" s="41" t="str">
        <f t="shared" si="9"/>
        <v/>
      </c>
      <c r="AC27" s="41" t="str">
        <f t="shared" si="10"/>
        <v/>
      </c>
      <c r="AD27" s="41" t="str">
        <f t="shared" si="11"/>
        <v/>
      </c>
      <c r="AE27" s="41" t="str">
        <f t="shared" si="12"/>
        <v/>
      </c>
    </row>
    <row r="28" spans="1:31" ht="15" customHeight="1" x14ac:dyDescent="0.2">
      <c r="B28" s="98">
        <f t="shared" si="17"/>
        <v>43327</v>
      </c>
      <c r="C28" s="99">
        <f t="shared" si="3"/>
        <v>43327</v>
      </c>
      <c r="D28" s="39">
        <v>851</v>
      </c>
      <c r="E28" s="40">
        <v>1200</v>
      </c>
      <c r="F28" s="40">
        <v>1300</v>
      </c>
      <c r="G28" s="40">
        <v>1800</v>
      </c>
      <c r="H28" s="39"/>
      <c r="I28" s="40"/>
      <c r="J28" s="40"/>
      <c r="K28" s="40"/>
      <c r="L28" s="100" t="str">
        <f t="shared" si="0"/>
        <v>08:51-12:00 13:00-18:00 - -</v>
      </c>
      <c r="M28" s="94">
        <f ca="1">IFERROR(IF(B28="","",IF(COUNTA(D28:K28)=0,0,HorasD(L28))),0)</f>
        <v>0.33958330750465393</v>
      </c>
      <c r="N28" s="95">
        <f ca="1">IFERROR(IF(B28="","",IF(COUNTA(D28:K28)=0,0,HorasN(L28))),0)</f>
        <v>0</v>
      </c>
      <c r="O28" s="101">
        <f t="shared" ca="1" si="13"/>
        <v>0</v>
      </c>
      <c r="P28" s="101">
        <f t="shared" ca="1" si="14"/>
        <v>0</v>
      </c>
      <c r="Q28" s="96">
        <f ca="1">IFERROR(IF(B28="","",HorasTrab(L28)+O28),0)</f>
        <v>0.33958333333333335</v>
      </c>
      <c r="R28" s="96">
        <f t="shared" ca="1" si="1"/>
        <v>0.33333333333333331</v>
      </c>
      <c r="S28" s="102">
        <f t="shared" ca="1" si="2"/>
        <v>6.2500000000000333E-3</v>
      </c>
      <c r="T28" s="103">
        <f t="shared" ca="1" si="15"/>
        <v>0</v>
      </c>
      <c r="U28" s="97">
        <f t="shared" ca="1" si="16"/>
        <v>0</v>
      </c>
      <c r="X28" s="41">
        <f t="shared" si="5"/>
        <v>0.36874999999999997</v>
      </c>
      <c r="Y28" s="41">
        <f t="shared" si="6"/>
        <v>0.5</v>
      </c>
      <c r="Z28" s="41">
        <f t="shared" si="7"/>
        <v>0.54166666666666663</v>
      </c>
      <c r="AA28" s="41">
        <f t="shared" si="8"/>
        <v>0.75</v>
      </c>
      <c r="AB28" s="41" t="str">
        <f t="shared" si="9"/>
        <v/>
      </c>
      <c r="AC28" s="41" t="str">
        <f t="shared" si="10"/>
        <v/>
      </c>
      <c r="AD28" s="41" t="str">
        <f t="shared" si="11"/>
        <v/>
      </c>
      <c r="AE28" s="41" t="str">
        <f t="shared" si="12"/>
        <v/>
      </c>
    </row>
    <row r="29" spans="1:31" ht="15" customHeight="1" x14ac:dyDescent="0.2">
      <c r="B29" s="98">
        <f t="shared" si="17"/>
        <v>43328</v>
      </c>
      <c r="C29" s="99">
        <f t="shared" si="3"/>
        <v>43328</v>
      </c>
      <c r="D29" s="39">
        <v>850</v>
      </c>
      <c r="E29" s="40">
        <v>1200</v>
      </c>
      <c r="F29" s="40">
        <v>1300</v>
      </c>
      <c r="G29" s="40">
        <v>1830</v>
      </c>
      <c r="H29" s="39"/>
      <c r="I29" s="40"/>
      <c r="J29" s="40"/>
      <c r="K29" s="40"/>
      <c r="L29" s="100" t="str">
        <f t="shared" si="0"/>
        <v>08:50-12:00 13:00-18:30 - -</v>
      </c>
      <c r="M29" s="94">
        <f ca="1">IFERROR(IF(B29="","",IF(COUNTA(D29:K29)=0,0,HorasD(L29))),0)</f>
        <v>0.36111107468605042</v>
      </c>
      <c r="N29" s="95">
        <f ca="1">IFERROR(IF(B29="","",IF(COUNTA(D29:K29)=0,0,HorasN(L29))),0)</f>
        <v>0</v>
      </c>
      <c r="O29" s="101">
        <f t="shared" ca="1" si="13"/>
        <v>0</v>
      </c>
      <c r="P29" s="101">
        <f t="shared" ca="1" si="14"/>
        <v>0</v>
      </c>
      <c r="Q29" s="96">
        <f ca="1">IFERROR(IF(B29="","",HorasTrab(L29)+O29),0)</f>
        <v>0.36111111111111116</v>
      </c>
      <c r="R29" s="96">
        <f t="shared" ca="1" si="1"/>
        <v>0.33333333333333331</v>
      </c>
      <c r="S29" s="102">
        <f t="shared" ca="1" si="2"/>
        <v>2.7777777777777846E-2</v>
      </c>
      <c r="T29" s="103">
        <f t="shared" ca="1" si="15"/>
        <v>0</v>
      </c>
      <c r="U29" s="97">
        <f t="shared" ca="1" si="16"/>
        <v>0</v>
      </c>
      <c r="X29" s="41">
        <f t="shared" si="5"/>
        <v>0.36805555555555558</v>
      </c>
      <c r="Y29" s="41">
        <f t="shared" si="6"/>
        <v>0.5</v>
      </c>
      <c r="Z29" s="41">
        <f t="shared" si="7"/>
        <v>0.54166666666666663</v>
      </c>
      <c r="AA29" s="41">
        <f t="shared" si="8"/>
        <v>0.77083333333333337</v>
      </c>
      <c r="AB29" s="41" t="str">
        <f t="shared" si="9"/>
        <v/>
      </c>
      <c r="AC29" s="41" t="str">
        <f t="shared" si="10"/>
        <v/>
      </c>
      <c r="AD29" s="41" t="str">
        <f t="shared" si="11"/>
        <v/>
      </c>
      <c r="AE29" s="41" t="str">
        <f t="shared" si="12"/>
        <v/>
      </c>
    </row>
    <row r="30" spans="1:31" ht="15" customHeight="1" x14ac:dyDescent="0.2">
      <c r="B30" s="98">
        <f t="shared" si="17"/>
        <v>43329</v>
      </c>
      <c r="C30" s="99">
        <f t="shared" si="3"/>
        <v>43329</v>
      </c>
      <c r="D30" s="39">
        <v>855</v>
      </c>
      <c r="E30" s="40">
        <v>1200</v>
      </c>
      <c r="F30" s="40">
        <v>1300</v>
      </c>
      <c r="G30" s="40">
        <v>1825</v>
      </c>
      <c r="H30" s="39"/>
      <c r="I30" s="40"/>
      <c r="J30" s="40"/>
      <c r="K30" s="40"/>
      <c r="L30" s="100" t="str">
        <f t="shared" si="0"/>
        <v>08:55-12:00 13:00-18:25 - -</v>
      </c>
      <c r="M30" s="94">
        <f ca="1">IFERROR(IF(B30="","",IF(COUNTA(D30:K30)=0,0,HorasD(L30))),0)</f>
        <v>0.35416662693023682</v>
      </c>
      <c r="N30" s="95">
        <f ca="1">IFERROR(IF(B30="","",IF(COUNTA(D30:K30)=0,0,HorasN(L30))),0)</f>
        <v>0</v>
      </c>
      <c r="O30" s="101">
        <f t="shared" ca="1" si="13"/>
        <v>0</v>
      </c>
      <c r="P30" s="101">
        <f t="shared" ca="1" si="14"/>
        <v>0</v>
      </c>
      <c r="Q30" s="96">
        <f ca="1">IFERROR(IF(B30="","",HorasTrab(L30)+O30),0)</f>
        <v>0.35416666666666674</v>
      </c>
      <c r="R30" s="96">
        <f t="shared" ca="1" si="1"/>
        <v>0.33333333333333331</v>
      </c>
      <c r="S30" s="102">
        <f t="shared" ca="1" si="2"/>
        <v>2.0833333333333426E-2</v>
      </c>
      <c r="T30" s="103">
        <f t="shared" ca="1" si="15"/>
        <v>0</v>
      </c>
      <c r="U30" s="97">
        <f t="shared" ca="1" si="16"/>
        <v>0</v>
      </c>
      <c r="X30" s="41">
        <f t="shared" si="5"/>
        <v>0.37152777777777773</v>
      </c>
      <c r="Y30" s="41">
        <f t="shared" si="6"/>
        <v>0.5</v>
      </c>
      <c r="Z30" s="41">
        <f t="shared" si="7"/>
        <v>0.54166666666666663</v>
      </c>
      <c r="AA30" s="41">
        <f t="shared" si="8"/>
        <v>0.76736111111111116</v>
      </c>
      <c r="AB30" s="41" t="str">
        <f t="shared" si="9"/>
        <v/>
      </c>
      <c r="AC30" s="41" t="str">
        <f t="shared" si="10"/>
        <v/>
      </c>
      <c r="AD30" s="41" t="str">
        <f t="shared" si="11"/>
        <v/>
      </c>
      <c r="AE30" s="41" t="str">
        <f t="shared" si="12"/>
        <v/>
      </c>
    </row>
    <row r="31" spans="1:31" ht="15" customHeight="1" x14ac:dyDescent="0.2">
      <c r="B31" s="98">
        <f t="shared" si="17"/>
        <v>43330</v>
      </c>
      <c r="C31" s="99">
        <f>IF(B31="","",IF(COUNTIF(fer,B31)&gt;0,"feriado",B31))</f>
        <v>43330</v>
      </c>
      <c r="D31" s="39">
        <v>850</v>
      </c>
      <c r="E31" s="40"/>
      <c r="F31" s="40"/>
      <c r="G31" s="40">
        <v>1440</v>
      </c>
      <c r="H31" s="39"/>
      <c r="I31" s="40"/>
      <c r="J31" s="40"/>
      <c r="K31" s="40"/>
      <c r="L31" s="100" t="str">
        <f t="shared" si="0"/>
        <v>08:50- -14:40 - -</v>
      </c>
      <c r="M31" s="94">
        <f ca="1">IFERROR(IF(B31="","",IF(COUNTA(D31:K31)=0,0,HorasD(L31))),0)</f>
        <v>0</v>
      </c>
      <c r="N31" s="95">
        <f ca="1">IFERROR(IF(B31="","",IF(COUNTA(D31:K31)=0,0,HorasN(L31))),0)</f>
        <v>0</v>
      </c>
      <c r="O31" s="101">
        <f t="shared" ca="1" si="13"/>
        <v>0</v>
      </c>
      <c r="P31" s="101">
        <f t="shared" ca="1" si="14"/>
        <v>0</v>
      </c>
      <c r="Q31" s="96">
        <f ca="1">IFERROR(IF(B31="","",HorasTrab(L31)+O31),0)</f>
        <v>0</v>
      </c>
      <c r="R31" s="96">
        <f t="shared" si="1"/>
        <v>0.16666666666666666</v>
      </c>
      <c r="S31" s="102">
        <f t="shared" ca="1" si="2"/>
        <v>0</v>
      </c>
      <c r="T31" s="103">
        <f t="shared" si="15"/>
        <v>0</v>
      </c>
      <c r="U31" s="97">
        <f t="shared" ca="1" si="16"/>
        <v>0</v>
      </c>
      <c r="X31" s="41">
        <f t="shared" si="5"/>
        <v>0.36805555555555558</v>
      </c>
      <c r="Y31" s="41" t="str">
        <f t="shared" si="6"/>
        <v/>
      </c>
      <c r="Z31" s="41" t="str">
        <f t="shared" si="7"/>
        <v/>
      </c>
      <c r="AA31" s="41">
        <f t="shared" si="8"/>
        <v>0.61111111111111105</v>
      </c>
      <c r="AB31" s="41" t="str">
        <f t="shared" si="9"/>
        <v/>
      </c>
      <c r="AC31" s="41" t="str">
        <f t="shared" si="10"/>
        <v/>
      </c>
      <c r="AD31" s="41" t="str">
        <f t="shared" si="11"/>
        <v/>
      </c>
      <c r="AE31" s="41" t="str">
        <f t="shared" si="12"/>
        <v/>
      </c>
    </row>
    <row r="32" spans="1:31" ht="15" customHeight="1" x14ac:dyDescent="0.2">
      <c r="B32" s="98">
        <f t="shared" si="17"/>
        <v>43331</v>
      </c>
      <c r="C32" s="99">
        <f t="shared" si="3"/>
        <v>43331</v>
      </c>
      <c r="D32" s="39"/>
      <c r="E32" s="40"/>
      <c r="F32" s="40"/>
      <c r="G32" s="40"/>
      <c r="H32" s="39"/>
      <c r="I32" s="40"/>
      <c r="J32" s="40"/>
      <c r="K32" s="40"/>
      <c r="L32" s="100">
        <f t="shared" si="0"/>
        <v>0</v>
      </c>
      <c r="M32" s="94">
        <f>IFERROR(IF(B32="","",IF(COUNTA(D32:K32)=0,0,HorasD(L32))),0)</f>
        <v>0</v>
      </c>
      <c r="N32" s="95">
        <f>IFERROR(IF(B32="","",IF(COUNTA(D32:K32)=0,0,HorasN(L32))),0)</f>
        <v>0</v>
      </c>
      <c r="O32" s="101">
        <f t="shared" si="13"/>
        <v>0</v>
      </c>
      <c r="P32" s="101">
        <f t="shared" si="14"/>
        <v>0</v>
      </c>
      <c r="Q32" s="96">
        <f ca="1">IFERROR(IF(B32="","",HorasTrab(L32)+O32),0)</f>
        <v>0</v>
      </c>
      <c r="R32" s="96">
        <f t="shared" si="1"/>
        <v>0</v>
      </c>
      <c r="S32" s="102">
        <f t="shared" si="2"/>
        <v>0</v>
      </c>
      <c r="T32" s="103">
        <f t="shared" ca="1" si="15"/>
        <v>0</v>
      </c>
      <c r="U32" s="97">
        <f t="shared" si="16"/>
        <v>0</v>
      </c>
      <c r="X32" s="41" t="str">
        <f t="shared" si="5"/>
        <v/>
      </c>
      <c r="Y32" s="41" t="str">
        <f t="shared" si="6"/>
        <v/>
      </c>
      <c r="Z32" s="41" t="str">
        <f t="shared" si="7"/>
        <v/>
      </c>
      <c r="AA32" s="41" t="str">
        <f t="shared" si="8"/>
        <v/>
      </c>
      <c r="AB32" s="41" t="str">
        <f t="shared" si="9"/>
        <v/>
      </c>
      <c r="AC32" s="41" t="str">
        <f t="shared" si="10"/>
        <v/>
      </c>
      <c r="AD32" s="41" t="str">
        <f t="shared" si="11"/>
        <v/>
      </c>
      <c r="AE32" s="41" t="str">
        <f t="shared" si="12"/>
        <v/>
      </c>
    </row>
    <row r="33" spans="2:31" ht="15" customHeight="1" x14ac:dyDescent="0.2">
      <c r="B33" s="98">
        <f t="shared" si="17"/>
        <v>43332</v>
      </c>
      <c r="C33" s="99">
        <f t="shared" si="3"/>
        <v>43332</v>
      </c>
      <c r="D33" s="39">
        <v>855</v>
      </c>
      <c r="E33" s="40">
        <v>1200</v>
      </c>
      <c r="F33" s="40">
        <v>1300</v>
      </c>
      <c r="G33" s="40">
        <v>1801</v>
      </c>
      <c r="H33" s="39"/>
      <c r="I33" s="40"/>
      <c r="J33" s="40"/>
      <c r="K33" s="40"/>
      <c r="L33" s="100" t="str">
        <f t="shared" si="0"/>
        <v>08:55-12:00 13:00-18:01 - -</v>
      </c>
      <c r="M33" s="94">
        <f ca="1">IFERROR(IF(B33="","",IF(COUNTA(D33:K33)=0,0,HorasD(L33))),0)</f>
        <v>0.33749997615814209</v>
      </c>
      <c r="N33" s="95">
        <f ca="1">IFERROR(IF(B33="","",IF(COUNTA(D33:K33)=0,0,HorasN(L33))),0)</f>
        <v>0</v>
      </c>
      <c r="O33" s="101">
        <f t="shared" ca="1" si="13"/>
        <v>0</v>
      </c>
      <c r="P33" s="101">
        <f t="shared" ca="1" si="14"/>
        <v>0</v>
      </c>
      <c r="Q33" s="96">
        <f ca="1">IFERROR(IF(B33="","",HorasTrab(L33)+O33),0)</f>
        <v>0.33750000000000002</v>
      </c>
      <c r="R33" s="96">
        <f t="shared" ca="1" si="1"/>
        <v>0.33333333333333331</v>
      </c>
      <c r="S33" s="102">
        <f t="shared" ca="1" si="2"/>
        <v>4.1666666666667074E-3</v>
      </c>
      <c r="T33" s="103">
        <f t="shared" ca="1" si="15"/>
        <v>0</v>
      </c>
      <c r="U33" s="97">
        <f t="shared" ca="1" si="16"/>
        <v>0</v>
      </c>
      <c r="X33" s="41">
        <f t="shared" si="5"/>
        <v>0.37152777777777773</v>
      </c>
      <c r="Y33" s="41">
        <f t="shared" si="6"/>
        <v>0.5</v>
      </c>
      <c r="Z33" s="41">
        <f t="shared" si="7"/>
        <v>0.54166666666666663</v>
      </c>
      <c r="AA33" s="41">
        <f t="shared" si="8"/>
        <v>0.75069444444444444</v>
      </c>
      <c r="AB33" s="41" t="str">
        <f t="shared" si="9"/>
        <v/>
      </c>
      <c r="AC33" s="41" t="str">
        <f t="shared" si="10"/>
        <v/>
      </c>
      <c r="AD33" s="41" t="str">
        <f t="shared" si="11"/>
        <v/>
      </c>
      <c r="AE33" s="41" t="str">
        <f t="shared" si="12"/>
        <v/>
      </c>
    </row>
    <row r="34" spans="2:31" ht="15" customHeight="1" x14ac:dyDescent="0.2">
      <c r="B34" s="98">
        <f t="shared" si="17"/>
        <v>43333</v>
      </c>
      <c r="C34" s="99">
        <f t="shared" si="3"/>
        <v>43333</v>
      </c>
      <c r="D34" s="39">
        <v>850</v>
      </c>
      <c r="E34" s="40">
        <v>1200</v>
      </c>
      <c r="F34" s="40">
        <v>1300</v>
      </c>
      <c r="G34" s="40">
        <v>1810</v>
      </c>
      <c r="H34" s="39"/>
      <c r="I34" s="40"/>
      <c r="J34" s="40"/>
      <c r="K34" s="40"/>
      <c r="L34" s="100" t="str">
        <f t="shared" si="0"/>
        <v>08:50-12:00 13:00-18:10 - -</v>
      </c>
      <c r="M34" s="94">
        <f ca="1">IFERROR(IF(B34="","",IF(COUNTA(D34:K34)=0,0,HorasD(L34))),0)</f>
        <v>0.34722217917442322</v>
      </c>
      <c r="N34" s="95">
        <f ca="1">IFERROR(IF(B34="","",IF(COUNTA(D34:K34)=0,0,HorasN(L34))),0)</f>
        <v>0</v>
      </c>
      <c r="O34" s="101">
        <f t="shared" ca="1" si="13"/>
        <v>0</v>
      </c>
      <c r="P34" s="101">
        <f t="shared" ca="1" si="14"/>
        <v>0</v>
      </c>
      <c r="Q34" s="96">
        <f ca="1">IFERROR(IF(B34="","",HorasTrab(L34)+O34),0)</f>
        <v>0.34722222222222221</v>
      </c>
      <c r="R34" s="96">
        <f t="shared" ca="1" si="1"/>
        <v>0.33333333333333331</v>
      </c>
      <c r="S34" s="102">
        <f t="shared" ca="1" si="2"/>
        <v>1.3888888888888895E-2</v>
      </c>
      <c r="T34" s="103">
        <f t="shared" ca="1" si="15"/>
        <v>0</v>
      </c>
      <c r="U34" s="97">
        <f t="shared" ca="1" si="16"/>
        <v>0</v>
      </c>
      <c r="X34" s="41">
        <f t="shared" si="5"/>
        <v>0.36805555555555558</v>
      </c>
      <c r="Y34" s="41">
        <f t="shared" si="6"/>
        <v>0.5</v>
      </c>
      <c r="Z34" s="41">
        <f t="shared" si="7"/>
        <v>0.54166666666666663</v>
      </c>
      <c r="AA34" s="41">
        <f t="shared" si="8"/>
        <v>0.75694444444444453</v>
      </c>
      <c r="AB34" s="41" t="str">
        <f t="shared" si="9"/>
        <v/>
      </c>
      <c r="AC34" s="41" t="str">
        <f t="shared" si="10"/>
        <v/>
      </c>
      <c r="AD34" s="41" t="str">
        <f t="shared" si="11"/>
        <v/>
      </c>
      <c r="AE34" s="41" t="str">
        <f t="shared" si="12"/>
        <v/>
      </c>
    </row>
    <row r="35" spans="2:31" ht="15" customHeight="1" x14ac:dyDescent="0.2">
      <c r="B35" s="98">
        <f t="shared" si="17"/>
        <v>43334</v>
      </c>
      <c r="C35" s="99">
        <f t="shared" si="3"/>
        <v>43334</v>
      </c>
      <c r="D35" s="39">
        <v>851</v>
      </c>
      <c r="E35" s="40">
        <v>1200</v>
      </c>
      <c r="F35" s="40">
        <v>1300</v>
      </c>
      <c r="G35" s="40">
        <v>1815</v>
      </c>
      <c r="H35" s="39"/>
      <c r="I35" s="40"/>
      <c r="J35" s="40"/>
      <c r="K35" s="40"/>
      <c r="L35" s="100" t="str">
        <f t="shared" si="0"/>
        <v>08:51-12:00 13:00-18:15 - -</v>
      </c>
      <c r="M35" s="94">
        <f ca="1">IFERROR(IF(B35="","",IF(COUNTA(D35:K35)=0,0,HorasD(L35))),0)</f>
        <v>0.34999999403953552</v>
      </c>
      <c r="N35" s="95">
        <f ca="1">IFERROR(IF(B35="","",IF(COUNTA(D35:K35)=0,0,HorasN(L35))),0)</f>
        <v>0</v>
      </c>
      <c r="O35" s="101">
        <f t="shared" ca="1" si="13"/>
        <v>0</v>
      </c>
      <c r="P35" s="101">
        <f t="shared" ca="1" si="14"/>
        <v>0</v>
      </c>
      <c r="Q35" s="96">
        <f ca="1">IFERROR(IF(B35="","",HorasTrab(L35)+O35),0)</f>
        <v>0.35</v>
      </c>
      <c r="R35" s="96">
        <f t="shared" ca="1" si="1"/>
        <v>0.33333333333333331</v>
      </c>
      <c r="S35" s="102">
        <f t="shared" ca="1" si="2"/>
        <v>1.6666666666666663E-2</v>
      </c>
      <c r="T35" s="103">
        <f t="shared" ca="1" si="15"/>
        <v>0</v>
      </c>
      <c r="U35" s="97">
        <f t="shared" ca="1" si="16"/>
        <v>0</v>
      </c>
      <c r="X35" s="41">
        <f t="shared" si="5"/>
        <v>0.36874999999999997</v>
      </c>
      <c r="Y35" s="41">
        <f t="shared" si="6"/>
        <v>0.5</v>
      </c>
      <c r="Z35" s="41">
        <f t="shared" si="7"/>
        <v>0.54166666666666663</v>
      </c>
      <c r="AA35" s="41">
        <f t="shared" si="8"/>
        <v>0.76041666666666663</v>
      </c>
      <c r="AB35" s="41" t="str">
        <f t="shared" si="9"/>
        <v/>
      </c>
      <c r="AC35" s="41" t="str">
        <f t="shared" si="10"/>
        <v/>
      </c>
      <c r="AD35" s="41" t="str">
        <f t="shared" si="11"/>
        <v/>
      </c>
      <c r="AE35" s="41" t="str">
        <f t="shared" si="12"/>
        <v/>
      </c>
    </row>
    <row r="36" spans="2:31" ht="15" customHeight="1" x14ac:dyDescent="0.2">
      <c r="B36" s="105">
        <f>IF(B35="","",IF(B35&gt;=fim,"",B35+1))</f>
        <v>43335</v>
      </c>
      <c r="C36" s="99">
        <f t="shared" si="3"/>
        <v>43335</v>
      </c>
      <c r="D36" s="39">
        <v>850</v>
      </c>
      <c r="E36" s="40">
        <v>1200</v>
      </c>
      <c r="F36" s="40">
        <v>1300</v>
      </c>
      <c r="G36" s="40">
        <v>1800</v>
      </c>
      <c r="H36" s="39"/>
      <c r="I36" s="40"/>
      <c r="J36" s="40"/>
      <c r="K36" s="40"/>
      <c r="L36" s="100" t="str">
        <f t="shared" si="0"/>
        <v>08:50-12:00 13:00-18:00 - -</v>
      </c>
      <c r="M36" s="94">
        <f ca="1">IFERROR(IF(B36="","",IF(COUNTA(D36:K36)=0,0,HorasD(L36))),0)</f>
        <v>0.34027776122093201</v>
      </c>
      <c r="N36" s="95">
        <f ca="1">IFERROR(IF(B36="","",IF(COUNTA(D36:K36)=0,0,HorasN(L36))),0)</f>
        <v>0</v>
      </c>
      <c r="O36" s="101">
        <f t="shared" ca="1" si="13"/>
        <v>0</v>
      </c>
      <c r="P36" s="101">
        <f t="shared" ca="1" si="14"/>
        <v>0</v>
      </c>
      <c r="Q36" s="96">
        <f ca="1">IFERROR(IF(B36="","",HorasTrab(L36)+O36),0)</f>
        <v>0.34027777777777779</v>
      </c>
      <c r="R36" s="96">
        <f t="shared" ca="1" si="1"/>
        <v>0.33333333333333331</v>
      </c>
      <c r="S36" s="102">
        <f t="shared" ca="1" si="2"/>
        <v>6.9444444444444753E-3</v>
      </c>
      <c r="T36" s="103">
        <f t="shared" ca="1" si="15"/>
        <v>0</v>
      </c>
      <c r="U36" s="97">
        <f t="shared" ca="1" si="16"/>
        <v>0</v>
      </c>
      <c r="X36" s="41">
        <f t="shared" si="5"/>
        <v>0.36805555555555558</v>
      </c>
      <c r="Y36" s="41">
        <f t="shared" si="6"/>
        <v>0.5</v>
      </c>
      <c r="Z36" s="41">
        <f t="shared" si="7"/>
        <v>0.54166666666666663</v>
      </c>
      <c r="AA36" s="41">
        <f t="shared" si="8"/>
        <v>0.75</v>
      </c>
      <c r="AB36" s="41" t="str">
        <f t="shared" si="9"/>
        <v/>
      </c>
      <c r="AC36" s="41" t="str">
        <f t="shared" si="10"/>
        <v/>
      </c>
      <c r="AD36" s="41" t="str">
        <f t="shared" si="11"/>
        <v/>
      </c>
      <c r="AE36" s="41" t="str">
        <f t="shared" si="12"/>
        <v/>
      </c>
    </row>
    <row r="37" spans="2:31" ht="15" customHeight="1" x14ac:dyDescent="0.2">
      <c r="B37" s="106">
        <f>IF(B36="","",IF(B36&gt;=fim,"",B36+1))</f>
        <v>43336</v>
      </c>
      <c r="C37" s="107">
        <f t="shared" si="3"/>
        <v>43336</v>
      </c>
      <c r="D37" s="39">
        <v>851</v>
      </c>
      <c r="E37" s="40">
        <v>1200</v>
      </c>
      <c r="F37" s="40">
        <v>1300</v>
      </c>
      <c r="G37" s="40">
        <v>1840</v>
      </c>
      <c r="H37" s="39"/>
      <c r="I37" s="40"/>
      <c r="J37" s="40"/>
      <c r="K37" s="40"/>
      <c r="L37" s="100" t="str">
        <f t="shared" si="0"/>
        <v>08:51-12:00 13:00-18:40 - -</v>
      </c>
      <c r="M37" s="94">
        <f ca="1">IFERROR(IF(B37="","",IF(COUNTA(D37:K37)=0,0,HorasD(L37))),0)</f>
        <v>0.36736109852790833</v>
      </c>
      <c r="N37" s="95">
        <f ca="1">IFERROR(IF(B37="","",IF(COUNTA(D37:K37)=0,0,HorasN(L37))),0)</f>
        <v>0</v>
      </c>
      <c r="O37" s="101">
        <f t="shared" ca="1" si="13"/>
        <v>0</v>
      </c>
      <c r="P37" s="101">
        <f t="shared" ca="1" si="14"/>
        <v>0</v>
      </c>
      <c r="Q37" s="96">
        <f ca="1">IFERROR(IF(B37="","",HorasTrab(L37)+O37),0)</f>
        <v>0.36736111111111114</v>
      </c>
      <c r="R37" s="96">
        <f t="shared" ca="1" si="1"/>
        <v>0.33333333333333331</v>
      </c>
      <c r="S37" s="102">
        <f t="shared" ca="1" si="2"/>
        <v>3.4027777777777823E-2</v>
      </c>
      <c r="T37" s="103">
        <f t="shared" ca="1" si="15"/>
        <v>0</v>
      </c>
      <c r="U37" s="97">
        <f t="shared" ca="1" si="16"/>
        <v>0</v>
      </c>
      <c r="X37" s="41">
        <f t="shared" si="5"/>
        <v>0.36874999999999997</v>
      </c>
      <c r="Y37" s="41">
        <f t="shared" si="6"/>
        <v>0.5</v>
      </c>
      <c r="Z37" s="41">
        <f t="shared" si="7"/>
        <v>0.54166666666666663</v>
      </c>
      <c r="AA37" s="41">
        <f t="shared" si="8"/>
        <v>0.77777777777777779</v>
      </c>
      <c r="AB37" s="41" t="str">
        <f t="shared" si="9"/>
        <v/>
      </c>
      <c r="AC37" s="41" t="str">
        <f t="shared" si="10"/>
        <v/>
      </c>
      <c r="AD37" s="41" t="str">
        <f t="shared" si="11"/>
        <v/>
      </c>
      <c r="AE37" s="41" t="str">
        <f t="shared" si="12"/>
        <v/>
      </c>
    </row>
    <row r="38" spans="2:31" ht="15" customHeight="1" x14ac:dyDescent="0.2">
      <c r="B38" s="108">
        <f>IF(B37="","",IF(B37&gt;=fim,"",B37+1))</f>
        <v>43337</v>
      </c>
      <c r="C38" s="109">
        <f t="shared" si="3"/>
        <v>43337</v>
      </c>
      <c r="D38" s="150">
        <v>855</v>
      </c>
      <c r="E38" s="151"/>
      <c r="F38" s="151"/>
      <c r="G38" s="151">
        <v>1340</v>
      </c>
      <c r="H38" s="150"/>
      <c r="I38" s="151"/>
      <c r="J38" s="151"/>
      <c r="K38" s="151"/>
      <c r="L38" s="100" t="str">
        <f t="shared" si="0"/>
        <v>08:55- -13:40 - -</v>
      </c>
      <c r="M38" s="95">
        <f ca="1">IFERROR(IF(B38="","",IF(COUNTA(D38:K38)=0,0,HorasD(L38))),0)</f>
        <v>0</v>
      </c>
      <c r="N38" s="95">
        <f ca="1">IFERROR(IF(B38="","",IF(COUNTA(D38:K38)=0,0,HorasN(L38))),0)</f>
        <v>0</v>
      </c>
      <c r="O38" s="110">
        <f t="shared" ca="1" si="13"/>
        <v>0</v>
      </c>
      <c r="P38" s="110">
        <f t="shared" ca="1" si="14"/>
        <v>0</v>
      </c>
      <c r="Q38" s="111">
        <f ca="1">IFERROR(IF(B38="","",HorasTrab(L38)+O38),0)</f>
        <v>0</v>
      </c>
      <c r="R38" s="111">
        <f t="shared" si="1"/>
        <v>0.16666666666666666</v>
      </c>
      <c r="S38" s="112">
        <f t="shared" ca="1" si="2"/>
        <v>0</v>
      </c>
      <c r="T38" s="113">
        <f t="shared" si="15"/>
        <v>0</v>
      </c>
      <c r="U38" s="114">
        <f t="shared" ca="1" si="16"/>
        <v>0</v>
      </c>
      <c r="X38" s="41">
        <f t="shared" si="5"/>
        <v>0.37152777777777773</v>
      </c>
      <c r="Y38" s="41" t="str">
        <f t="shared" si="6"/>
        <v/>
      </c>
      <c r="Z38" s="41" t="str">
        <f t="shared" si="7"/>
        <v/>
      </c>
      <c r="AA38" s="41">
        <f t="shared" si="8"/>
        <v>0.56944444444444442</v>
      </c>
      <c r="AB38" s="41" t="str">
        <f t="shared" si="9"/>
        <v/>
      </c>
      <c r="AC38" s="41" t="str">
        <f t="shared" si="10"/>
        <v/>
      </c>
      <c r="AD38" s="41" t="str">
        <f t="shared" si="11"/>
        <v/>
      </c>
      <c r="AE38" s="41" t="str">
        <f t="shared" si="12"/>
        <v/>
      </c>
    </row>
    <row r="39" spans="2:31" ht="15" hidden="1" customHeight="1" x14ac:dyDescent="0.2">
      <c r="B39" s="115" t="s">
        <v>41</v>
      </c>
      <c r="C39" s="115" t="s">
        <v>40</v>
      </c>
      <c r="D39" s="115" t="s">
        <v>36</v>
      </c>
      <c r="E39" s="115" t="s">
        <v>37</v>
      </c>
      <c r="F39" s="115" t="s">
        <v>38</v>
      </c>
      <c r="G39" s="115" t="s">
        <v>39</v>
      </c>
      <c r="H39" s="115"/>
      <c r="I39" s="115"/>
      <c r="J39" s="115"/>
      <c r="K39" s="115"/>
      <c r="L39" s="116"/>
      <c r="M39" s="110">
        <v>0</v>
      </c>
      <c r="N39" s="115" t="s">
        <v>47</v>
      </c>
      <c r="O39" s="117" t="s">
        <v>42</v>
      </c>
      <c r="P39" s="118">
        <f ca="1">SUM(P8:P38)</f>
        <v>0</v>
      </c>
      <c r="Q39" s="118">
        <f ca="1">SUM(Q8:Q38)</f>
        <v>7.6770833333333339</v>
      </c>
      <c r="R39" s="119" t="s">
        <v>42</v>
      </c>
      <c r="S39" s="120">
        <f ca="1">SUM(S8:S38)</f>
        <v>0.34375000000000067</v>
      </c>
      <c r="T39" s="120">
        <f ca="1">SUM(T8:T38)</f>
        <v>0</v>
      </c>
      <c r="U39" s="120">
        <f ca="1">SUM(U8:U38)</f>
        <v>0</v>
      </c>
    </row>
    <row r="40" spans="2:31" ht="15" hidden="1" customHeight="1" x14ac:dyDescent="0.2">
      <c r="B40" s="121">
        <f>B8</f>
        <v>43307</v>
      </c>
      <c r="C40" s="121">
        <f>MAX(B8:B38)</f>
        <v>43337</v>
      </c>
      <c r="D40" s="122">
        <f>COUNTIF(C8:C38,"feriado")</f>
        <v>0</v>
      </c>
      <c r="E40" s="123">
        <f ca="1">SUMPRODUCT((WEEKDAY(ROW(INDIRECT(B40&amp;":"&amp;C40)))=1)*(COUNTIF(fer,ROW(INDIRECT(B40&amp;":"&amp;C40)))=0))</f>
        <v>4</v>
      </c>
      <c r="F40" s="123">
        <f>C40-B40+1</f>
        <v>31</v>
      </c>
      <c r="G40" s="123">
        <f ca="1">F40-E40-D40</f>
        <v>27</v>
      </c>
      <c r="H40" s="123"/>
      <c r="I40" s="123"/>
      <c r="J40" s="123"/>
      <c r="K40" s="123"/>
      <c r="L40" s="124"/>
      <c r="M40" s="110">
        <v>0</v>
      </c>
      <c r="N40" s="126">
        <f ca="1">SUM(N8:N38)*24</f>
        <v>0</v>
      </c>
      <c r="O40" s="117" t="s">
        <v>43</v>
      </c>
      <c r="P40" s="125">
        <f ca="1">P39*24</f>
        <v>0</v>
      </c>
      <c r="Q40" s="125">
        <f ca="1">Q39*24</f>
        <v>184.25</v>
      </c>
      <c r="R40" s="119" t="s">
        <v>43</v>
      </c>
      <c r="S40" s="126">
        <f ca="1">S39*24</f>
        <v>8.250000000000016</v>
      </c>
      <c r="T40" s="126">
        <f ca="1">T39*24</f>
        <v>0</v>
      </c>
      <c r="U40" s="126">
        <f ca="1">U39*24</f>
        <v>0</v>
      </c>
      <c r="X40" s="127"/>
    </row>
    <row r="41" spans="2:31" ht="15" hidden="1" customHeight="1" x14ac:dyDescent="0.2">
      <c r="B41" s="128">
        <f>IF(dia_f="","",DATE(ano_p,mês_p,1))</f>
        <v>43313</v>
      </c>
      <c r="C41" s="128">
        <f>IF(dia_f="","",DATE(ano_p,mês_p+1,0))</f>
        <v>43343</v>
      </c>
      <c r="D41" s="129">
        <f ca="1">IF(B41="","",SUMPRODUCT((WEEKDAY(ROW(INDIRECT(B41&amp;":"&amp;C41)),2)&gt;5)*(COUNTIF(fer,ROW(INDIRECT(B41&amp;":"&amp;C41)))&gt;0)))</f>
        <v>0</v>
      </c>
      <c r="E41" s="130">
        <f ca="1">IF(B41="","",SUMPRODUCT((WEEKDAY(ROW(INDIRECT(B41&amp;":"&amp;C41)))=1)*(COUNTIF(fer,ROW(INDIRECT(B41&amp;":"&amp;C41)))=0)))</f>
        <v>4</v>
      </c>
      <c r="F41" s="131">
        <f>IF(B41="","",DAY(C41))</f>
        <v>31</v>
      </c>
      <c r="G41" s="131">
        <f ca="1">IF(B41="","",SUMPRODUCT((WEEKDAY(ROW(INDIRECT(B41&amp;":"&amp;C41)))&gt;1)*(COUNTIF(fer,ROW(INDIRECT(B41&amp;":"&amp;C41)))=0)))</f>
        <v>27</v>
      </c>
      <c r="H41" s="131"/>
      <c r="I41" s="131"/>
      <c r="J41" s="131"/>
      <c r="K41" s="131"/>
      <c r="L41" s="132"/>
      <c r="M41" s="110">
        <v>0</v>
      </c>
      <c r="N41" s="133" t="str">
        <f ca="1">IF(B41="","",G41&amp;"/"&amp;M41)</f>
        <v>27/0</v>
      </c>
      <c r="O41" s="119" t="s">
        <v>70</v>
      </c>
      <c r="P41" s="134">
        <f ca="1">$P$40/$G40*$P39</f>
        <v>0</v>
      </c>
      <c r="Q41" s="117"/>
      <c r="R41" s="119" t="s">
        <v>71</v>
      </c>
      <c r="S41" s="125">
        <f ca="1">$S$40/$G40*$M39</f>
        <v>0</v>
      </c>
      <c r="T41" s="125">
        <f ca="1">$T$40/$G40*$M40</f>
        <v>0</v>
      </c>
      <c r="U41" s="135"/>
    </row>
    <row r="42" spans="2:31" hidden="1" x14ac:dyDescent="0.2">
      <c r="O42" s="136" t="str">
        <f>IF(B41="","","Dsr mês:")</f>
        <v>Dsr mês:</v>
      </c>
      <c r="P42" s="137">
        <f ca="1">IF(B41="","",$P$40/$G41*$M41)</f>
        <v>0</v>
      </c>
      <c r="R42" s="136" t="str">
        <f>IF(B41="","","Dsr mês:")</f>
        <v>Dsr mês:</v>
      </c>
      <c r="S42" s="137">
        <f ca="1">IF(B41="","",$S$40/$G41*$M41)</f>
        <v>0</v>
      </c>
      <c r="T42" s="137">
        <f ca="1">IF(B41="","",$T$40/$G41*$M41)</f>
        <v>0</v>
      </c>
    </row>
    <row r="43" spans="2:31" x14ac:dyDescent="0.2">
      <c r="P43" s="135"/>
    </row>
    <row r="44" spans="2:31" ht="18.75" x14ac:dyDescent="0.2">
      <c r="B44" s="166" t="s">
        <v>62</v>
      </c>
      <c r="C44" s="167"/>
      <c r="D44" s="138">
        <f ca="1">S40</f>
        <v>8.250000000000016</v>
      </c>
      <c r="G44" s="139"/>
      <c r="H44" s="139"/>
      <c r="I44" s="139"/>
      <c r="J44" s="139"/>
      <c r="K44" s="139"/>
      <c r="L44" s="140"/>
      <c r="M44" s="139"/>
      <c r="N44" s="139"/>
      <c r="O44" s="139"/>
      <c r="P44" s="139"/>
    </row>
    <row r="45" spans="2:31" x14ac:dyDescent="0.2">
      <c r="B45" s="168" t="s">
        <v>77</v>
      </c>
      <c r="C45" s="169"/>
      <c r="D45" s="141">
        <f ca="1">U40</f>
        <v>0</v>
      </c>
    </row>
    <row r="46" spans="2:31" x14ac:dyDescent="0.2">
      <c r="B46" s="166" t="s">
        <v>63</v>
      </c>
      <c r="C46" s="167"/>
      <c r="D46" s="138">
        <f ca="1">IF(D44="","",D44-D45)</f>
        <v>8.250000000000016</v>
      </c>
    </row>
    <row r="47" spans="2:31" x14ac:dyDescent="0.2">
      <c r="S47" s="142"/>
    </row>
    <row r="48" spans="2:31" x14ac:dyDescent="0.2">
      <c r="B48" s="170" t="s">
        <v>64</v>
      </c>
      <c r="C48" s="171"/>
      <c r="D48" s="138">
        <f ca="1">T40</f>
        <v>0</v>
      </c>
    </row>
    <row r="49" spans="2:4" x14ac:dyDescent="0.2">
      <c r="B49" s="172" t="s">
        <v>65</v>
      </c>
      <c r="C49" s="173"/>
      <c r="D49" s="138">
        <f ca="1">$N$40</f>
        <v>0</v>
      </c>
    </row>
    <row r="50" spans="2:4" x14ac:dyDescent="0.2">
      <c r="B50" s="170" t="s">
        <v>31</v>
      </c>
      <c r="C50" s="171"/>
      <c r="D50" s="138">
        <f ca="1">SUM($O$8:$O$38)*24</f>
        <v>0</v>
      </c>
    </row>
    <row r="51" spans="2:4" x14ac:dyDescent="0.2">
      <c r="B51" s="172" t="s">
        <v>78</v>
      </c>
      <c r="C51" s="173"/>
      <c r="D51" s="141">
        <f ca="1">SUM(D49:D50)</f>
        <v>0</v>
      </c>
    </row>
    <row r="53" spans="2:4" x14ac:dyDescent="0.2">
      <c r="B53" s="143" t="s">
        <v>76</v>
      </c>
      <c r="C53" s="144" t="str">
        <f>PROPER(TEXT($B$41,"MMMM"))</f>
        <v>Agosto</v>
      </c>
    </row>
    <row r="54" spans="2:4" x14ac:dyDescent="0.2">
      <c r="B54" s="143" t="s">
        <v>73</v>
      </c>
      <c r="C54" s="144">
        <f ca="1">D41</f>
        <v>0</v>
      </c>
    </row>
    <row r="55" spans="2:4" x14ac:dyDescent="0.2">
      <c r="B55" s="143" t="s">
        <v>74</v>
      </c>
      <c r="C55" s="144">
        <f ca="1">E41</f>
        <v>4</v>
      </c>
    </row>
    <row r="56" spans="2:4" x14ac:dyDescent="0.2">
      <c r="B56" s="143" t="s">
        <v>75</v>
      </c>
      <c r="C56" s="144">
        <f ca="1">G41</f>
        <v>27</v>
      </c>
    </row>
    <row r="129" spans="3:4" x14ac:dyDescent="0.2">
      <c r="C129" s="145" t="s">
        <v>44</v>
      </c>
      <c r="D129" s="146">
        <f>IF(dia_f="",DATE(ano_p,mês_p,1),DATE(ano_p,mês_p-1,dia_f+1))</f>
        <v>43307</v>
      </c>
    </row>
    <row r="130" spans="3:4" x14ac:dyDescent="0.2">
      <c r="C130" s="127" t="s">
        <v>48</v>
      </c>
      <c r="D130" s="146">
        <f>IF(dia_f="",DATE(ano_p,mês_p+1,0),(DATE(ano_p,mês_p,dia_f)))</f>
        <v>43337</v>
      </c>
    </row>
  </sheetData>
  <sheetProtection password="F692" sheet="1" objects="1" scenarios="1" selectLockedCells="1"/>
  <mergeCells count="12">
    <mergeCell ref="B44:C44"/>
    <mergeCell ref="B45:C45"/>
    <mergeCell ref="B46:C46"/>
    <mergeCell ref="B48:C48"/>
    <mergeCell ref="B51:C51"/>
    <mergeCell ref="B49:C49"/>
    <mergeCell ref="B50:C50"/>
    <mergeCell ref="G3:I3"/>
    <mergeCell ref="G2:I2"/>
    <mergeCell ref="M2:N2"/>
    <mergeCell ref="P2:Q2"/>
    <mergeCell ref="X5:AE6"/>
  </mergeCells>
  <conditionalFormatting sqref="M39:M41 M8:U38">
    <cfRule type="expression" dxfId="30" priority="14">
      <formula>WEEKDAY($B8,2)=7</formula>
    </cfRule>
    <cfRule type="expression" dxfId="29" priority="15">
      <formula>COUNTIF(fer,$B8)&gt;0</formula>
    </cfRule>
  </conditionalFormatting>
  <conditionalFormatting sqref="B8:C38">
    <cfRule type="expression" dxfId="28" priority="12">
      <formula>WEEKDAY($B8,2)=7</formula>
    </cfRule>
    <cfRule type="expression" dxfId="27" priority="13">
      <formula>COUNTIF(fer,$B8)&gt;0</formula>
    </cfRule>
  </conditionalFormatting>
  <conditionalFormatting sqref="D8:K38">
    <cfRule type="expression" dxfId="26" priority="10">
      <formula>WEEKDAY($B8,2)=7</formula>
    </cfRule>
    <cfRule type="expression" dxfId="25" priority="11">
      <formula>COUNTIF(fer,$B8)&gt;0</formula>
    </cfRule>
  </conditionalFormatting>
  <conditionalFormatting sqref="B41:C41">
    <cfRule type="expression" dxfId="24" priority="7">
      <formula>dia_f&lt;&gt;""</formula>
    </cfRule>
  </conditionalFormatting>
  <conditionalFormatting sqref="D41:L41 N41">
    <cfRule type="expression" dxfId="23" priority="6">
      <formula>dia_f&lt;&gt;""</formula>
    </cfRule>
  </conditionalFormatting>
  <conditionalFormatting sqref="O42">
    <cfRule type="expression" dxfId="22" priority="5">
      <formula>dia_f&lt;&gt;""</formula>
    </cfRule>
  </conditionalFormatting>
  <conditionalFormatting sqref="Q42">
    <cfRule type="expression" dxfId="21" priority="4">
      <formula>dia_f&lt;&gt;""</formula>
    </cfRule>
  </conditionalFormatting>
  <conditionalFormatting sqref="R42">
    <cfRule type="expression" dxfId="20" priority="3">
      <formula>dia_f&lt;&gt;""</formula>
    </cfRule>
  </conditionalFormatting>
  <conditionalFormatting sqref="S42:T42">
    <cfRule type="expression" dxfId="19" priority="2">
      <formula>dia_f&lt;&gt;""</formula>
    </cfRule>
  </conditionalFormatting>
  <conditionalFormatting sqref="P42">
    <cfRule type="expression" dxfId="18" priority="1">
      <formula>dia_f&lt;&gt;""</formula>
    </cfRule>
  </conditionalFormatting>
  <dataValidations count="1">
    <dataValidation type="custom" allowBlank="1" showInputMessage="1" showErrorMessage="1" sqref="D8:K38">
      <formula1>OR(D8=2400,TEXT(D8,"00\:00")=TEXT(X8,"hh:mm"))</formula1>
    </dataValidation>
  </dataValidations>
  <pageMargins left="0.75" right="0.75" top="1" bottom="1" header="0.49212598499999999" footer="0.49212598499999999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Limpar_Click">
                <anchor moveWithCells="1" sizeWithCells="1">
                  <from>
                    <xdr:col>0</xdr:col>
                    <xdr:colOff>76200</xdr:colOff>
                    <xdr:row>0</xdr:row>
                    <xdr:rowOff>104775</xdr:rowOff>
                  </from>
                  <to>
                    <xdr:col>2</xdr:col>
                    <xdr:colOff>781050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eriados">
    <tabColor theme="4" tint="-0.249977111117893"/>
  </sheetPr>
  <dimension ref="A1:X35"/>
  <sheetViews>
    <sheetView showGridLines="0" showRowColHeaders="0" workbookViewId="0">
      <selection sqref="A1:B1"/>
    </sheetView>
  </sheetViews>
  <sheetFormatPr defaultRowHeight="12.75" x14ac:dyDescent="0.2"/>
  <cols>
    <col min="1" max="1" width="4.7109375" style="11" customWidth="1"/>
    <col min="2" max="2" width="6.7109375" style="11" customWidth="1"/>
    <col min="3" max="3" width="25" style="11" customWidth="1"/>
    <col min="4" max="4" width="14.42578125" style="11" customWidth="1"/>
    <col min="5" max="6" width="10.7109375" style="11" bestFit="1" customWidth="1"/>
    <col min="7" max="7" width="12.42578125" style="11" customWidth="1"/>
    <col min="8" max="11" width="9.140625" style="11"/>
    <col min="12" max="12" width="3" style="11" customWidth="1"/>
    <col min="13" max="21" width="9.140625" style="11"/>
    <col min="22" max="23" width="0" style="11" hidden="1" customWidth="1"/>
    <col min="24" max="24" width="10.140625" style="11" hidden="1" customWidth="1"/>
    <col min="25" max="25" width="0" style="11" hidden="1" customWidth="1"/>
    <col min="26" max="16384" width="9.140625" style="11"/>
  </cols>
  <sheetData>
    <row r="1" spans="1:24" ht="20.100000000000001" customHeight="1" x14ac:dyDescent="0.2">
      <c r="A1" s="176" t="s">
        <v>5</v>
      </c>
      <c r="B1" s="176"/>
      <c r="C1" s="10" t="s">
        <v>16</v>
      </c>
      <c r="D1" s="176" t="s">
        <v>33</v>
      </c>
      <c r="E1" s="176"/>
    </row>
    <row r="2" spans="1:24" ht="20.100000000000001" customHeight="1" x14ac:dyDescent="0.25">
      <c r="A2" s="12"/>
      <c r="B2" s="55">
        <f>ano_p</f>
        <v>2018</v>
      </c>
      <c r="C2" s="56">
        <f>ROUND(DATE($B$2,4,MOD(234-11*MOD($B$2,19),30))/7,)*7-6</f>
        <v>43191</v>
      </c>
      <c r="D2" s="57" t="s">
        <v>44</v>
      </c>
      <c r="E2" s="58">
        <f>ININOT</f>
        <v>0.91666666666666663</v>
      </c>
    </row>
    <row r="3" spans="1:24" ht="20.100000000000001" customHeight="1" x14ac:dyDescent="0.2">
      <c r="A3" s="13"/>
      <c r="B3" s="59"/>
      <c r="C3" s="60"/>
      <c r="D3" s="61" t="s">
        <v>45</v>
      </c>
      <c r="E3" s="62">
        <f>FIMNOT</f>
        <v>0.20833333333333334</v>
      </c>
    </row>
    <row r="4" spans="1:24" ht="15" x14ac:dyDescent="0.2">
      <c r="A4" s="177" t="s">
        <v>29</v>
      </c>
      <c r="B4" s="178"/>
      <c r="C4" s="178"/>
      <c r="D4" s="178"/>
      <c r="E4" s="178"/>
      <c r="F4" s="178"/>
      <c r="G4" s="14"/>
    </row>
    <row r="5" spans="1:24" ht="18" customHeight="1" x14ac:dyDescent="0.25">
      <c r="A5" s="179" t="s">
        <v>18</v>
      </c>
      <c r="B5" s="4" t="s">
        <v>19</v>
      </c>
      <c r="C5" s="1" t="s">
        <v>7</v>
      </c>
      <c r="D5" s="15">
        <f>IF($B$5="X",DATE($B$2-1,1,1),DATE(1905,1,1))</f>
        <v>42736</v>
      </c>
      <c r="E5" s="15">
        <f>IF($B$5="X",DATE($B$2,1,1),DATE(1905,1,1))</f>
        <v>43101</v>
      </c>
      <c r="F5" s="15">
        <f>IF($B$5="X",DATE($B$2+1,1,1),DATE(1905,1,1))</f>
        <v>43466</v>
      </c>
      <c r="G5" s="16">
        <f>ROUND(DATE($B$2-1,4,MOD(234-11*MOD($B$2-1,19),30))/7,)*7-6</f>
        <v>42841</v>
      </c>
      <c r="V5" s="17">
        <v>1</v>
      </c>
      <c r="W5" s="17">
        <v>1</v>
      </c>
      <c r="X5" s="18">
        <f>DATE(1905,1,1)</f>
        <v>1828</v>
      </c>
    </row>
    <row r="6" spans="1:24" ht="18" customHeight="1" x14ac:dyDescent="0.25">
      <c r="A6" s="180"/>
      <c r="B6" s="5" t="s">
        <v>19</v>
      </c>
      <c r="C6" s="2" t="s">
        <v>8</v>
      </c>
      <c r="D6" s="3">
        <f>IF($B$6="X",DATE($B$2-1,4,21),DATE(1905,1,1))</f>
        <v>42846</v>
      </c>
      <c r="E6" s="19">
        <f>IF($B$5="X",DATE($B$2,4,21),DATE(1905,1,1))</f>
        <v>43211</v>
      </c>
      <c r="F6" s="19">
        <f>IF($B$5="X",DATE($B$2+1,4,21),DATE(1905,1,1))</f>
        <v>43576</v>
      </c>
      <c r="G6" s="16">
        <f>ROUND(DATE($B$2+1,4,MOD(234-11*MOD($B$2+1,19),30))/7,)*7-6</f>
        <v>43576</v>
      </c>
      <c r="V6" s="17">
        <v>2</v>
      </c>
      <c r="W6" s="17">
        <v>2</v>
      </c>
      <c r="X6" s="17"/>
    </row>
    <row r="7" spans="1:24" ht="18" customHeight="1" x14ac:dyDescent="0.25">
      <c r="A7" s="180"/>
      <c r="B7" s="5" t="s">
        <v>19</v>
      </c>
      <c r="C7" s="2" t="s">
        <v>9</v>
      </c>
      <c r="D7" s="3">
        <f>IF($B$7="X",DATE($B$2-1,5,1),DATE(1905,1,1))</f>
        <v>42856</v>
      </c>
      <c r="E7" s="19">
        <f>IF($B$5="X",DATE($B$2,5,1),DATE(1905,1,1))</f>
        <v>43221</v>
      </c>
      <c r="F7" s="19">
        <f>IF($B$5="X",DATE($B$2+1,5,1),DATE(1905,1,1))</f>
        <v>43586</v>
      </c>
      <c r="G7" s="20"/>
      <c r="V7" s="17">
        <v>3</v>
      </c>
      <c r="W7" s="17">
        <v>3</v>
      </c>
      <c r="X7" s="17"/>
    </row>
    <row r="8" spans="1:24" ht="18" customHeight="1" x14ac:dyDescent="0.25">
      <c r="A8" s="180"/>
      <c r="B8" s="5" t="s">
        <v>19</v>
      </c>
      <c r="C8" s="2" t="s">
        <v>10</v>
      </c>
      <c r="D8" s="3">
        <f>IF($B$8="X",DATE($B$2-1,9,7),DATE(1905,1,1))</f>
        <v>42985</v>
      </c>
      <c r="E8" s="19">
        <f>IF($B$5="X",DATE($B$2,9,7),DATE(1905,1,1))</f>
        <v>43350</v>
      </c>
      <c r="F8" s="19">
        <f>IF($B$5="X",DATE($B$2+1,9,7),DATE(1905,1,1))</f>
        <v>43715</v>
      </c>
      <c r="G8" s="20"/>
      <c r="V8" s="17">
        <v>4</v>
      </c>
      <c r="W8" s="17">
        <v>4</v>
      </c>
      <c r="X8" s="17"/>
    </row>
    <row r="9" spans="1:24" ht="18" customHeight="1" x14ac:dyDescent="0.25">
      <c r="A9" s="180"/>
      <c r="B9" s="5" t="s">
        <v>19</v>
      </c>
      <c r="C9" s="2" t="s">
        <v>11</v>
      </c>
      <c r="D9" s="3">
        <f>IF($B$9="X",DATE($B$2-1,10,12),DATE(1905,1,1))</f>
        <v>43020</v>
      </c>
      <c r="E9" s="19">
        <f>IF($B$5="X",DATE($B$2,10,12),DATE(1905,1,1))</f>
        <v>43385</v>
      </c>
      <c r="F9" s="19">
        <f>IF($B$5="X",DATE($B$2+1,10,12),DATE(1905,1,1))</f>
        <v>43750</v>
      </c>
      <c r="G9" s="20"/>
      <c r="V9" s="17">
        <v>5</v>
      </c>
      <c r="W9" s="17">
        <v>5</v>
      </c>
      <c r="X9" s="17"/>
    </row>
    <row r="10" spans="1:24" ht="18" customHeight="1" x14ac:dyDescent="0.25">
      <c r="A10" s="180"/>
      <c r="B10" s="5" t="s">
        <v>19</v>
      </c>
      <c r="C10" s="2" t="s">
        <v>12</v>
      </c>
      <c r="D10" s="3">
        <f>IF($B$10="X",DATE($B$2-1,11,2),DATE(1905,1,1))</f>
        <v>43041</v>
      </c>
      <c r="E10" s="19">
        <f>IF($B$5="X",DATE($B$2,11,2),DATE(1905,1,1))</f>
        <v>43406</v>
      </c>
      <c r="F10" s="19">
        <f>IF($B$5="X",DATE($B$2+1,11,2),DATE(1905,1,1))</f>
        <v>43771</v>
      </c>
      <c r="G10" s="20"/>
      <c r="V10" s="17">
        <v>6</v>
      </c>
      <c r="W10" s="17">
        <v>6</v>
      </c>
      <c r="X10" s="17"/>
    </row>
    <row r="11" spans="1:24" ht="18" customHeight="1" x14ac:dyDescent="0.25">
      <c r="A11" s="180"/>
      <c r="B11" s="5" t="s">
        <v>19</v>
      </c>
      <c r="C11" s="2" t="s">
        <v>13</v>
      </c>
      <c r="D11" s="3">
        <f>IF($B$11="X",DATE($B$2-1,11,15),DATE(1905,1,1))</f>
        <v>43054</v>
      </c>
      <c r="E11" s="19">
        <f>IF($B$5="X",DATE($B$2,11,15),DATE(1905,1,1))</f>
        <v>43419</v>
      </c>
      <c r="F11" s="19">
        <f>IF($B$5="X",DATE($B$2+1,11,15),DATE(1905,1,1))</f>
        <v>43784</v>
      </c>
      <c r="G11" s="20"/>
      <c r="V11" s="17">
        <v>7</v>
      </c>
      <c r="W11" s="17">
        <v>7</v>
      </c>
      <c r="X11" s="17"/>
    </row>
    <row r="12" spans="1:24" ht="18" customHeight="1" x14ac:dyDescent="0.25">
      <c r="A12" s="181"/>
      <c r="B12" s="6" t="s">
        <v>19</v>
      </c>
      <c r="C12" s="7" t="s">
        <v>14</v>
      </c>
      <c r="D12" s="8">
        <f>IF($B$12="X",DATE($B$2-1,12,25),DATE(1905,1,1))</f>
        <v>43094</v>
      </c>
      <c r="E12" s="21">
        <f>IF($B$5="X",DATE($B$2,12,25),DATE(1905,1,1))</f>
        <v>43459</v>
      </c>
      <c r="F12" s="21">
        <f>IF($B$5="X",DATE($B$2+1,12,25),DATE(1905,1,1))</f>
        <v>43824</v>
      </c>
      <c r="G12" s="20"/>
      <c r="V12" s="17">
        <v>8</v>
      </c>
      <c r="W12" s="17">
        <v>8</v>
      </c>
      <c r="X12" s="17"/>
    </row>
    <row r="13" spans="1:24" ht="18" customHeight="1" x14ac:dyDescent="0.25">
      <c r="A13" s="182" t="s">
        <v>25</v>
      </c>
      <c r="B13" s="22" t="s">
        <v>19</v>
      </c>
      <c r="C13" s="23" t="s">
        <v>20</v>
      </c>
      <c r="D13" s="24">
        <f>IF($B$13="X",$G$5-2,DATE(1905,1,1))</f>
        <v>42839</v>
      </c>
      <c r="E13" s="24">
        <f>IF($B$13="X",páscoa-2,DATE(1905,1,1))</f>
        <v>43189</v>
      </c>
      <c r="F13" s="24">
        <f>IF($B$13="X",$G$6-2,DATE(1905,1,1))</f>
        <v>43574</v>
      </c>
      <c r="G13" s="25"/>
      <c r="V13" s="17">
        <v>9</v>
      </c>
      <c r="W13" s="17">
        <v>9</v>
      </c>
      <c r="X13" s="17"/>
    </row>
    <row r="14" spans="1:24" ht="18" customHeight="1" x14ac:dyDescent="0.25">
      <c r="A14" s="183"/>
      <c r="B14" s="26" t="s">
        <v>19</v>
      </c>
      <c r="C14" s="27" t="s">
        <v>17</v>
      </c>
      <c r="D14" s="28">
        <f>IF($B$14="X",$G$5+60,DATE(1905,1,1))</f>
        <v>42901</v>
      </c>
      <c r="E14" s="28">
        <f>IF($B$14="X",páscoa+60,DATE(1905,1,1))</f>
        <v>43251</v>
      </c>
      <c r="F14" s="28">
        <f>IF($B$14="X",$G$6+60,DATE(1905,1,1))</f>
        <v>43636</v>
      </c>
      <c r="G14" s="25"/>
      <c r="V14" s="17">
        <v>10</v>
      </c>
      <c r="W14" s="17">
        <v>10</v>
      </c>
      <c r="X14" s="17"/>
    </row>
    <row r="15" spans="1:24" ht="18" customHeight="1" x14ac:dyDescent="0.25">
      <c r="A15" s="184"/>
      <c r="B15" s="37" t="s">
        <v>19</v>
      </c>
      <c r="C15" s="29" t="s">
        <v>15</v>
      </c>
      <c r="D15" s="30">
        <f>IF($B$15="X",$G$5-47,DATE(1905,1,1))</f>
        <v>42794</v>
      </c>
      <c r="E15" s="30">
        <f>IF($B$15="X",páscoa-47,DATE(1905,1,1))</f>
        <v>43144</v>
      </c>
      <c r="F15" s="30">
        <f>IF($B$15="X",$G$6-47,DATE(1905,1,1))</f>
        <v>43529</v>
      </c>
      <c r="G15" s="31" t="s">
        <v>27</v>
      </c>
      <c r="H15" s="9" t="s">
        <v>28</v>
      </c>
      <c r="V15" s="17">
        <v>11</v>
      </c>
      <c r="W15" s="17">
        <v>11</v>
      </c>
      <c r="X15" s="17"/>
    </row>
    <row r="16" spans="1:24" ht="18" customHeight="1" x14ac:dyDescent="0.25">
      <c r="A16" s="174" t="s">
        <v>26</v>
      </c>
      <c r="B16" s="42"/>
      <c r="C16" s="43" t="s">
        <v>21</v>
      </c>
      <c r="D16" s="48">
        <f>IF($B$16="X",DATE($B$2-1,$H$16,$G$16),DATE(1905,1,1))</f>
        <v>1828</v>
      </c>
      <c r="E16" s="48">
        <f>IF($B$16="X",DATE($B$2,$H$16,$G$16),DATE(1905,1,1))</f>
        <v>1828</v>
      </c>
      <c r="F16" s="48">
        <f>IF($B$16="X",DATE($B$2+1,$H$16,$G$16),DATE(1905,1,1))</f>
        <v>1828</v>
      </c>
      <c r="G16" s="52">
        <v>2</v>
      </c>
      <c r="H16" s="52">
        <v>3</v>
      </c>
      <c r="V16" s="17">
        <v>12</v>
      </c>
      <c r="W16" s="17">
        <v>12</v>
      </c>
      <c r="X16" s="17"/>
    </row>
    <row r="17" spans="1:24" ht="18" customHeight="1" x14ac:dyDescent="0.25">
      <c r="A17" s="175"/>
      <c r="B17" s="44"/>
      <c r="C17" s="45" t="s">
        <v>22</v>
      </c>
      <c r="D17" s="49">
        <f>IF($B$17="X",DATE($B$2-1,H17,G17),DATE(1905,1,1))</f>
        <v>1828</v>
      </c>
      <c r="E17" s="48">
        <f>IF($B$17="X",DATE($B$2,H17,G17),DATE(1905,1,1))</f>
        <v>1828</v>
      </c>
      <c r="F17" s="48">
        <f>IF($B$17="X",DATE($B$2+1,H17,G17),DATE(1905,1,1))</f>
        <v>1828</v>
      </c>
      <c r="G17" s="53">
        <v>25</v>
      </c>
      <c r="H17" s="53">
        <v>6</v>
      </c>
      <c r="V17" s="17"/>
      <c r="W17" s="17">
        <v>13</v>
      </c>
      <c r="X17" s="17"/>
    </row>
    <row r="18" spans="1:24" ht="18" customHeight="1" x14ac:dyDescent="0.25">
      <c r="A18" s="175"/>
      <c r="B18" s="44"/>
      <c r="C18" s="45" t="s">
        <v>23</v>
      </c>
      <c r="D18" s="49">
        <f>IF($B$18="X",DATE($B$2-1,H18,G18),DATE(1905,1,1))</f>
        <v>1828</v>
      </c>
      <c r="E18" s="48">
        <f>IF($B$18="X",DATE($B$2,H18,G18),DATE(1905,1,1))</f>
        <v>1828</v>
      </c>
      <c r="F18" s="48">
        <f>IF($B$18="X",DATE($B$2,H18,G18),DATE(1905,1,1))</f>
        <v>1828</v>
      </c>
      <c r="G18" s="53">
        <v>5</v>
      </c>
      <c r="H18" s="53">
        <v>8</v>
      </c>
      <c r="V18" s="17"/>
      <c r="W18" s="17">
        <v>14</v>
      </c>
      <c r="X18" s="17"/>
    </row>
    <row r="19" spans="1:24" ht="18" customHeight="1" x14ac:dyDescent="0.25">
      <c r="A19" s="175"/>
      <c r="B19" s="46"/>
      <c r="C19" s="47" t="s">
        <v>24</v>
      </c>
      <c r="D19" s="50">
        <f>IF($B$19="X",DATE($B$2-1,H19,G19),DATE(1905,1,1))</f>
        <v>1828</v>
      </c>
      <c r="E19" s="51">
        <f>IF($B$19="X",DATE($B$2,H19,G19),DATE(1905,1,1))</f>
        <v>1828</v>
      </c>
      <c r="F19" s="51">
        <f>IF($B$19="X",DATE($B$2+1,H19,G19),DATE(1905,1,1))</f>
        <v>1828</v>
      </c>
      <c r="G19" s="54">
        <v>10</v>
      </c>
      <c r="H19" s="54">
        <v>5</v>
      </c>
      <c r="V19" s="17"/>
      <c r="W19" s="17">
        <v>15</v>
      </c>
      <c r="X19" s="17"/>
    </row>
    <row r="20" spans="1:24" x14ac:dyDescent="0.2">
      <c r="A20" s="32"/>
      <c r="B20" s="32"/>
      <c r="V20" s="17"/>
      <c r="W20" s="17">
        <v>16</v>
      </c>
      <c r="X20" s="17"/>
    </row>
    <row r="21" spans="1:24" x14ac:dyDescent="0.2">
      <c r="A21" s="33"/>
      <c r="B21" s="33"/>
      <c r="V21" s="17"/>
      <c r="W21" s="17">
        <v>17</v>
      </c>
      <c r="X21" s="17"/>
    </row>
    <row r="22" spans="1:24" x14ac:dyDescent="0.2">
      <c r="A22" s="33"/>
      <c r="B22" s="33"/>
      <c r="V22" s="17"/>
      <c r="W22" s="17">
        <v>18</v>
      </c>
      <c r="X22" s="17"/>
    </row>
    <row r="23" spans="1:24" x14ac:dyDescent="0.2">
      <c r="A23" s="33"/>
      <c r="B23" s="33"/>
      <c r="V23" s="17"/>
      <c r="W23" s="17">
        <v>19</v>
      </c>
      <c r="X23" s="17"/>
    </row>
    <row r="24" spans="1:24" x14ac:dyDescent="0.2">
      <c r="V24" s="17"/>
      <c r="W24" s="17">
        <v>20</v>
      </c>
      <c r="X24" s="17"/>
    </row>
    <row r="25" spans="1:24" x14ac:dyDescent="0.2">
      <c r="V25" s="17"/>
      <c r="W25" s="17">
        <v>21</v>
      </c>
      <c r="X25" s="17"/>
    </row>
    <row r="26" spans="1:24" x14ac:dyDescent="0.2">
      <c r="V26" s="17"/>
      <c r="W26" s="17">
        <v>22</v>
      </c>
      <c r="X26" s="17"/>
    </row>
    <row r="27" spans="1:24" x14ac:dyDescent="0.2">
      <c r="V27" s="17"/>
      <c r="W27" s="17">
        <v>23</v>
      </c>
      <c r="X27" s="17"/>
    </row>
    <row r="28" spans="1:24" x14ac:dyDescent="0.2">
      <c r="V28" s="17"/>
      <c r="W28" s="17">
        <v>24</v>
      </c>
      <c r="X28" s="17"/>
    </row>
    <row r="29" spans="1:24" x14ac:dyDescent="0.2">
      <c r="V29" s="17"/>
      <c r="W29" s="17">
        <v>25</v>
      </c>
      <c r="X29" s="17"/>
    </row>
    <row r="30" spans="1:24" x14ac:dyDescent="0.2">
      <c r="V30" s="17"/>
      <c r="W30" s="17">
        <v>26</v>
      </c>
      <c r="X30" s="17"/>
    </row>
    <row r="31" spans="1:24" x14ac:dyDescent="0.2">
      <c r="V31" s="17"/>
      <c r="W31" s="17">
        <v>27</v>
      </c>
      <c r="X31" s="17"/>
    </row>
    <row r="32" spans="1:24" x14ac:dyDescent="0.2">
      <c r="V32" s="17"/>
      <c r="W32" s="17">
        <v>28</v>
      </c>
      <c r="X32" s="17"/>
    </row>
    <row r="33" spans="22:24" x14ac:dyDescent="0.2">
      <c r="V33" s="17"/>
      <c r="W33" s="17">
        <v>29</v>
      </c>
      <c r="X33" s="17"/>
    </row>
    <row r="34" spans="22:24" x14ac:dyDescent="0.2">
      <c r="V34" s="17"/>
      <c r="W34" s="17">
        <v>30</v>
      </c>
      <c r="X34" s="17"/>
    </row>
    <row r="35" spans="22:24" x14ac:dyDescent="0.2">
      <c r="V35" s="17"/>
      <c r="W35" s="17">
        <v>31</v>
      </c>
      <c r="X35" s="17"/>
    </row>
  </sheetData>
  <sheetProtection password="F692" sheet="1" objects="1" scenarios="1"/>
  <mergeCells count="6">
    <mergeCell ref="A16:A19"/>
    <mergeCell ref="A1:B1"/>
    <mergeCell ref="D1:E1"/>
    <mergeCell ref="A4:F4"/>
    <mergeCell ref="A5:A12"/>
    <mergeCell ref="A13:A15"/>
  </mergeCells>
  <conditionalFormatting sqref="D5:D19">
    <cfRule type="cellIs" dxfId="17" priority="4" operator="equal">
      <formula>$X$5</formula>
    </cfRule>
  </conditionalFormatting>
  <conditionalFormatting sqref="E5:F12">
    <cfRule type="cellIs" dxfId="16" priority="3" operator="equal">
      <formula>$X$5</formula>
    </cfRule>
  </conditionalFormatting>
  <conditionalFormatting sqref="E13:F15">
    <cfRule type="cellIs" dxfId="15" priority="2" operator="equal">
      <formula>$X$5</formula>
    </cfRule>
  </conditionalFormatting>
  <conditionalFormatting sqref="E16:F19">
    <cfRule type="cellIs" dxfId="14" priority="1" operator="equal">
      <formula>$X$5</formula>
    </cfRule>
  </conditionalFormatting>
  <dataValidations count="2">
    <dataValidation type="list" allowBlank="1" showInputMessage="1" showErrorMessage="1" sqref="H16:H19">
      <formula1>$V$5:$V$16</formula1>
    </dataValidation>
    <dataValidation type="list" allowBlank="1" showInputMessage="1" showErrorMessage="1" sqref="G16:G19">
      <formula1>$W$5:$W$35</formula1>
    </dataValidation>
  </dataValidations>
  <pageMargins left="0.75" right="0.75" top="1" bottom="1" header="0.49212598499999999" footer="0.49212598499999999"/>
  <pageSetup paperSize="9" orientation="portrait" r:id="rId1"/>
  <headerFooter alignWithMargins="0"/>
  <drawing r:id="rId2"/>
</worksheet>
</file>

<file path=customUI/_rels/customUI14.xml.rels><?xml version="1.0" encoding="UTF-8" standalone="yes"?>
<Relationships xmlns="http://schemas.openxmlformats.org/package/2006/relationships"><Relationship Id="HP" Type="http://schemas.openxmlformats.org/officeDocument/2006/relationships/image" Target="images/HP.png"/></Relationships>
</file>

<file path=customUI/customUI14.xml><?xml version="1.0" encoding="utf-8"?>
<customUI xmlns="http://schemas.microsoft.com/office/2009/07/customui">
  <ribbon startFromScratch="true">
    <tabs>
      <tab id="customTab" label="Planilha Adicional Noturno" insertBeforeMso="TabHome">
        <group id="PlanilhaHoras" label="Desenvolvedor">
          <button id="bthoras" label="Sobre" size="large" onAction="BtOnActionCall_01" image="H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controle ponto</vt:lpstr>
      <vt:lpstr>Feriados</vt:lpstr>
      <vt:lpstr>ano_p</vt:lpstr>
      <vt:lpstr>'controle ponto'!Area_de_impressao</vt:lpstr>
      <vt:lpstr>calendário</vt:lpstr>
      <vt:lpstr>dia_f</vt:lpstr>
      <vt:lpstr>Feriados!fer</vt:lpstr>
      <vt:lpstr>fer</vt:lpstr>
      <vt:lpstr>fim</vt:lpstr>
      <vt:lpstr>FIMNOT</vt:lpstr>
      <vt:lpstr>ini</vt:lpstr>
      <vt:lpstr>inicio</vt:lpstr>
      <vt:lpstr>ININOT</vt:lpstr>
      <vt:lpstr>mês_p</vt:lpstr>
      <vt:lpstr>Feriados!páscoa</vt:lpstr>
      <vt:lpstr>quadro_horarios</vt:lpstr>
      <vt:lpstr>tabela_feriados</vt:lpstr>
      <vt:lpstr>tabela_he</vt:lpstr>
    </vt:vector>
  </TitlesOfParts>
  <Company>MTE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 Martins</dc:creator>
  <cp:lastModifiedBy>Jese</cp:lastModifiedBy>
  <cp:lastPrinted>2018-07-16T14:07:04Z</cp:lastPrinted>
  <dcterms:created xsi:type="dcterms:W3CDTF">2015-05-11T16:16:43Z</dcterms:created>
  <dcterms:modified xsi:type="dcterms:W3CDTF">2018-08-28T17:37:29Z</dcterms:modified>
</cp:coreProperties>
</file>