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charts/chart2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70" windowWidth="19155" windowHeight="7845" tabRatio="263"/>
  </bookViews>
  <sheets>
    <sheet name="Painel" sheetId="1" r:id="rId1"/>
    <sheet name="Cadastro" sheetId="3" r:id="rId2"/>
    <sheet name="Dados" sheetId="2" r:id="rId3"/>
    <sheet name="Relatório" sheetId="5" r:id="rId4"/>
  </sheets>
  <calcPr calcId="145621" concurrentCalc="0"/>
</workbook>
</file>

<file path=xl/calcChain.xml><?xml version="1.0" encoding="utf-8"?>
<calcChain xmlns="http://schemas.openxmlformats.org/spreadsheetml/2006/main">
  <c r="I43" i="2"/>
  <c r="I42"/>
  <c r="I41"/>
  <c r="I40"/>
  <c r="I39"/>
  <c r="I38"/>
  <c r="I37"/>
  <c r="I36"/>
  <c r="AB4" i="5"/>
  <c r="AO37" i="2"/>
  <c r="AP37"/>
  <c r="AO38"/>
  <c r="AP38"/>
  <c r="AO39"/>
  <c r="AP39"/>
  <c r="AO40"/>
  <c r="AP40"/>
  <c r="AO41"/>
  <c r="AP41"/>
  <c r="AO42"/>
  <c r="AP42"/>
  <c r="AO43"/>
  <c r="AP43"/>
  <c r="AO36"/>
  <c r="AP36"/>
  <c r="AM36"/>
  <c r="AN36"/>
  <c r="AM37"/>
  <c r="AN37"/>
  <c r="AM38"/>
  <c r="AN38"/>
  <c r="AM39"/>
  <c r="AN39"/>
  <c r="AM40"/>
  <c r="AN40"/>
  <c r="AM41"/>
  <c r="AN41"/>
  <c r="AM42"/>
  <c r="AN42"/>
  <c r="AM43"/>
  <c r="AN43"/>
  <c r="AK37"/>
  <c r="AL37"/>
  <c r="AK38"/>
  <c r="AL38"/>
  <c r="AK39"/>
  <c r="AL39"/>
  <c r="AK40"/>
  <c r="AL40"/>
  <c r="AK41"/>
  <c r="AL41"/>
  <c r="AK42"/>
  <c r="AL42"/>
  <c r="AK43"/>
  <c r="AL43"/>
  <c r="AK36"/>
  <c r="AL36"/>
  <c r="AI37"/>
  <c r="AJ37"/>
  <c r="AI38"/>
  <c r="AJ38"/>
  <c r="AI39"/>
  <c r="AJ39"/>
  <c r="AI40"/>
  <c r="AJ40"/>
  <c r="AI41"/>
  <c r="AJ41"/>
  <c r="AI42"/>
  <c r="AJ42"/>
  <c r="AI43"/>
  <c r="AJ43"/>
  <c r="AI36"/>
  <c r="AJ36"/>
  <c r="AG37"/>
  <c r="AH37"/>
  <c r="AG38"/>
  <c r="AH38"/>
  <c r="AG39"/>
  <c r="AH39"/>
  <c r="AG40"/>
  <c r="AH40"/>
  <c r="AG41"/>
  <c r="AH41"/>
  <c r="AG42"/>
  <c r="AH42"/>
  <c r="AG43"/>
  <c r="AH43"/>
  <c r="AG36"/>
  <c r="AH36"/>
  <c r="AE37"/>
  <c r="AF37"/>
  <c r="AE38"/>
  <c r="AF38"/>
  <c r="AE39"/>
  <c r="AF39"/>
  <c r="AE40"/>
  <c r="AF40"/>
  <c r="AE41"/>
  <c r="AF41"/>
  <c r="AE42"/>
  <c r="AF42"/>
  <c r="AE43"/>
  <c r="AF43"/>
  <c r="AE36"/>
  <c r="AF36"/>
  <c r="AC37"/>
  <c r="AD37"/>
  <c r="AC38"/>
  <c r="AD38"/>
  <c r="AC39"/>
  <c r="AD39"/>
  <c r="AC40"/>
  <c r="AD40"/>
  <c r="AC41"/>
  <c r="AD41"/>
  <c r="AC42"/>
  <c r="AD42"/>
  <c r="AC43"/>
  <c r="AD43"/>
  <c r="AC36"/>
  <c r="AD36"/>
  <c r="AA37"/>
  <c r="AB37"/>
  <c r="AA38"/>
  <c r="AB38"/>
  <c r="AA39"/>
  <c r="AB39"/>
  <c r="AA40"/>
  <c r="AB40"/>
  <c r="AA41"/>
  <c r="AB41"/>
  <c r="AA42"/>
  <c r="AB42"/>
  <c r="AA43"/>
  <c r="AB43"/>
  <c r="AA36"/>
  <c r="AB36"/>
  <c r="Y37"/>
  <c r="Z37"/>
  <c r="Y38"/>
  <c r="Z38"/>
  <c r="Y39"/>
  <c r="Z39"/>
  <c r="Y40"/>
  <c r="Z40"/>
  <c r="Y41"/>
  <c r="Z41"/>
  <c r="Y42"/>
  <c r="Z42"/>
  <c r="Y43"/>
  <c r="Z43"/>
  <c r="Y36"/>
  <c r="Z36"/>
  <c r="W37"/>
  <c r="X37"/>
  <c r="W38"/>
  <c r="X38"/>
  <c r="W39"/>
  <c r="X39"/>
  <c r="W40"/>
  <c r="X40"/>
  <c r="W41"/>
  <c r="X41"/>
  <c r="W42"/>
  <c r="X42"/>
  <c r="W43"/>
  <c r="X43"/>
  <c r="W36"/>
  <c r="X36"/>
  <c r="U37"/>
  <c r="V37"/>
  <c r="U38"/>
  <c r="V38"/>
  <c r="U39"/>
  <c r="V39"/>
  <c r="U40"/>
  <c r="V40"/>
  <c r="U41"/>
  <c r="V41"/>
  <c r="U42"/>
  <c r="V42"/>
  <c r="U43"/>
  <c r="V43"/>
  <c r="U36"/>
  <c r="V36"/>
  <c r="S37"/>
  <c r="T37"/>
  <c r="S38"/>
  <c r="T38"/>
  <c r="S39"/>
  <c r="T39"/>
  <c r="S40"/>
  <c r="T40"/>
  <c r="S41"/>
  <c r="T41"/>
  <c r="S42"/>
  <c r="T42"/>
  <c r="S43"/>
  <c r="T43"/>
  <c r="S36"/>
  <c r="T36"/>
  <c r="O37"/>
  <c r="P37"/>
  <c r="O38"/>
  <c r="P38"/>
  <c r="O39"/>
  <c r="P39"/>
  <c r="O40"/>
  <c r="P40"/>
  <c r="O41"/>
  <c r="P41"/>
  <c r="O42"/>
  <c r="P42"/>
  <c r="O43"/>
  <c r="P43"/>
  <c r="O36"/>
  <c r="P36"/>
  <c r="J37"/>
  <c r="J38"/>
  <c r="J39"/>
  <c r="J40"/>
  <c r="J41"/>
  <c r="J42"/>
  <c r="J43"/>
  <c r="J36"/>
  <c r="M43"/>
  <c r="N43"/>
  <c r="M42"/>
  <c r="N42"/>
  <c r="M41"/>
  <c r="N41"/>
  <c r="M40"/>
  <c r="N40"/>
  <c r="M39"/>
  <c r="N39"/>
  <c r="M38"/>
  <c r="N38"/>
  <c r="M37"/>
  <c r="N37"/>
  <c r="M36"/>
  <c r="N36"/>
  <c r="K43"/>
  <c r="L43"/>
  <c r="K42"/>
  <c r="L42"/>
  <c r="K41"/>
  <c r="L41"/>
  <c r="K40"/>
  <c r="L40"/>
  <c r="K39"/>
  <c r="L39"/>
  <c r="K38"/>
  <c r="L38"/>
  <c r="K37"/>
  <c r="L37"/>
  <c r="K36"/>
  <c r="L36"/>
  <c r="G43"/>
  <c r="H43"/>
  <c r="G42"/>
  <c r="H42"/>
  <c r="G41"/>
  <c r="H41"/>
  <c r="G40"/>
  <c r="H40"/>
  <c r="G39"/>
  <c r="H39"/>
  <c r="G38"/>
  <c r="H38"/>
  <c r="G37"/>
  <c r="H37"/>
  <c r="G36"/>
  <c r="H36"/>
  <c r="E43"/>
  <c r="F43"/>
  <c r="E42"/>
  <c r="F42"/>
  <c r="E41"/>
  <c r="F41"/>
  <c r="E40"/>
  <c r="F40"/>
  <c r="E39"/>
  <c r="F39"/>
  <c r="E38"/>
  <c r="F38"/>
  <c r="E37"/>
  <c r="F37"/>
  <c r="E36"/>
  <c r="F36"/>
  <c r="C37"/>
  <c r="D37"/>
  <c r="C38"/>
  <c r="D38"/>
  <c r="C39"/>
  <c r="D39"/>
  <c r="C40"/>
  <c r="D40"/>
  <c r="C41"/>
  <c r="D41"/>
  <c r="C42"/>
  <c r="D42"/>
  <c r="C43"/>
  <c r="D43"/>
  <c r="C36"/>
  <c r="D36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</calcChain>
</file>

<file path=xl/sharedStrings.xml><?xml version="1.0" encoding="utf-8"?>
<sst xmlns="http://schemas.openxmlformats.org/spreadsheetml/2006/main" count="32" uniqueCount="32">
  <si>
    <t>SIM</t>
  </si>
  <si>
    <t>NÃO</t>
  </si>
  <si>
    <t>PERGUNTAS</t>
  </si>
  <si>
    <t>RESPOSTA 1</t>
  </si>
  <si>
    <t>RESPOSTA 2</t>
  </si>
  <si>
    <t>RESPOSTA 3</t>
  </si>
  <si>
    <t>RESPOSTA 4</t>
  </si>
  <si>
    <t>RESPOSTA 5</t>
  </si>
  <si>
    <t>RESPOSTA 6</t>
  </si>
  <si>
    <t>RESPOSTA 7</t>
  </si>
  <si>
    <t>RESPOSTA 8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</si>
  <si>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</si>
  <si>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</si>
  <si>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</si>
  <si>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</si>
  <si>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</si>
  <si>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</si>
  <si>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</si>
  <si>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</si>
  <si>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</si>
  <si>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</si>
  <si>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</si>
  <si>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</si>
  <si>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</si>
  <si>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</si>
  <si>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</si>
  <si>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</si>
  <si>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</si>
  <si>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</si>
  <si>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</si>
  <si>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CLIENTE</t>
  </si>
  <si>
    <t>Nº DE CLIENTES</t>
  </si>
</sst>
</file>

<file path=xl/styles.xml><?xml version="1.0" encoding="utf-8"?>
<styleSheet xmlns="http://schemas.openxmlformats.org/spreadsheetml/2006/main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/>
      </right>
      <top style="medium">
        <color theme="1" tint="0.14999847407452621"/>
      </top>
      <bottom style="medium">
        <color theme="1" tint="0.1499984740745262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0" fillId="2" borderId="0" xfId="0" applyFill="1"/>
    <xf numFmtId="0" fontId="0" fillId="0" borderId="0" xfId="0" applyBorder="1"/>
    <xf numFmtId="0" fontId="0" fillId="3" borderId="2" xfId="0" applyFill="1" applyBorder="1"/>
    <xf numFmtId="0" fontId="0" fillId="3" borderId="4" xfId="0" applyFill="1" applyBorder="1"/>
    <xf numFmtId="0" fontId="2" fillId="3" borderId="3" xfId="0" applyFont="1" applyFill="1" applyBorder="1" applyAlignment="1">
      <alignment horizontal="center"/>
    </xf>
    <xf numFmtId="43" fontId="0" fillId="3" borderId="5" xfId="1" quotePrefix="1" applyFont="1" applyFill="1" applyBorder="1" applyAlignment="1">
      <alignment horizontal="center"/>
    </xf>
    <xf numFmtId="0" fontId="3" fillId="0" borderId="0" xfId="0" applyFont="1"/>
    <xf numFmtId="43" fontId="0" fillId="0" borderId="6" xfId="1" applyFont="1" applyBorder="1" applyAlignment="1">
      <alignment horizontal="center"/>
    </xf>
    <xf numFmtId="43" fontId="0" fillId="3" borderId="5" xfId="1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Border="1"/>
    <xf numFmtId="9" fontId="4" fillId="0" borderId="0" xfId="2" applyFont="1" applyBorder="1"/>
    <xf numFmtId="0" fontId="0" fillId="0" borderId="0" xfId="0" applyFill="1" applyBorder="1"/>
    <xf numFmtId="0" fontId="3" fillId="0" borderId="0" xfId="0" applyFont="1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2" xfId="0" applyFill="1" applyBorder="1"/>
    <xf numFmtId="0" fontId="0" fillId="0" borderId="4" xfId="0" applyFill="1" applyBorder="1"/>
    <xf numFmtId="0" fontId="0" fillId="0" borderId="0" xfId="0" applyFill="1"/>
    <xf numFmtId="44" fontId="0" fillId="0" borderId="4" xfId="3" applyFont="1" applyFill="1" applyBorder="1"/>
    <xf numFmtId="44" fontId="0" fillId="3" borderId="4" xfId="3" applyFont="1" applyFill="1" applyBorder="1"/>
    <xf numFmtId="0" fontId="4" fillId="0" borderId="0" xfId="0" applyFont="1" applyFill="1" applyBorder="1"/>
    <xf numFmtId="0" fontId="5" fillId="0" borderId="0" xfId="0" applyFont="1"/>
    <xf numFmtId="43" fontId="0" fillId="0" borderId="9" xfId="1" applyFont="1" applyBorder="1" applyAlignment="1">
      <alignment horizontal="left"/>
    </xf>
    <xf numFmtId="43" fontId="0" fillId="3" borderId="10" xfId="1" applyFont="1" applyFill="1" applyBorder="1" applyAlignment="1">
      <alignment horizontal="left"/>
    </xf>
    <xf numFmtId="43" fontId="0" fillId="0" borderId="10" xfId="1" applyFont="1" applyBorder="1" applyAlignment="1">
      <alignment horizontal="left"/>
    </xf>
    <xf numFmtId="43" fontId="0" fillId="0" borderId="9" xfId="1" quotePrefix="1" applyFont="1" applyBorder="1" applyAlignment="1">
      <alignment horizontal="left"/>
    </xf>
    <xf numFmtId="43" fontId="0" fillId="3" borderId="10" xfId="1" quotePrefix="1" applyFont="1" applyFill="1" applyBorder="1" applyAlignment="1">
      <alignment horizontal="left"/>
    </xf>
    <xf numFmtId="43" fontId="0" fillId="0" borderId="10" xfId="1" quotePrefix="1" applyFont="1" applyBorder="1" applyAlignment="1">
      <alignment horizontal="left"/>
    </xf>
    <xf numFmtId="0" fontId="0" fillId="0" borderId="0" xfId="0" applyAlignment="1">
      <alignment wrapText="1"/>
    </xf>
    <xf numFmtId="43" fontId="4" fillId="0" borderId="0" xfId="0" applyNumberFormat="1" applyFont="1" applyFill="1" applyBorder="1"/>
    <xf numFmtId="0" fontId="0" fillId="4" borderId="0" xfId="0" applyFill="1"/>
    <xf numFmtId="0" fontId="0" fillId="4" borderId="1" xfId="0" applyFill="1" applyBorder="1"/>
    <xf numFmtId="0" fontId="3" fillId="4" borderId="0" xfId="0" applyFont="1" applyFill="1" applyBorder="1"/>
    <xf numFmtId="0" fontId="0" fillId="4" borderId="0" xfId="0" applyFill="1" applyBorder="1"/>
    <xf numFmtId="0" fontId="3" fillId="4" borderId="1" xfId="0" applyFont="1" applyFill="1" applyBorder="1"/>
    <xf numFmtId="0" fontId="7" fillId="4" borderId="7" xfId="0" applyFont="1" applyFill="1" applyBorder="1" applyAlignment="1">
      <alignment horizontal="center" vertical="center"/>
    </xf>
    <xf numFmtId="43" fontId="7" fillId="5" borderId="19" xfId="0" applyNumberFormat="1" applyFont="1" applyFill="1" applyBorder="1" applyAlignment="1">
      <alignment horizontal="center" vertical="center" wrapText="1"/>
    </xf>
    <xf numFmtId="43" fontId="7" fillId="5" borderId="20" xfId="0" applyNumberFormat="1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3" fillId="0" borderId="0" xfId="0" applyFont="1" applyFill="1" applyBorder="1"/>
    <xf numFmtId="43" fontId="3" fillId="0" borderId="0" xfId="0" applyNumberFormat="1" applyFont="1" applyFill="1" applyBorder="1"/>
    <xf numFmtId="43" fontId="4" fillId="0" borderId="0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</cellXfs>
  <cellStyles count="4">
    <cellStyle name="Moeda" xfId="3" builtinId="4"/>
    <cellStyle name="Normal" xfId="0" builtinId="0"/>
    <cellStyle name="Porcentagem" xfId="2" builtinId="5"/>
    <cellStyle name="Separador de milhares" xfId="1" builtinId="3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33993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548"/>
          <c:y val="0.2561212382808028"/>
          <c:w val="0.4488789390124614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Dados!$C$4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Dados!$C$36:$C$43</c:f>
              <c:numCache>
                <c:formatCode>_-* #,##0.00_-;\-* #,##0.00_-;_-*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Dados!$D$36:$D$43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8028551726349993"/>
          <c:y val="0.4206020777162755"/>
          <c:w val="0.18178744968487925"/>
          <c:h val="0.55527978529181632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186" footer="0.3149606200000018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554"/>
          <c:y val="0.2561212382808028"/>
          <c:w val="0.44887893901246162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Dados!$D$4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Dados!$E$36:$E$43</c:f>
              <c:numCache>
                <c:formatCode>General</c:formatCode>
                <c:ptCount val="8"/>
                <c:pt idx="0" formatCode="_-* #,##0.00_-;\-* #,##0.00_-;_-* &quot;-&quot;??_-;_-@_-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Dados!$F$36:$F$43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8028551726350015"/>
          <c:y val="0.42060207771627561"/>
          <c:w val="0.18178744968487931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197" footer="0.3149606200000019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567"/>
          <c:y val="0.2561212382808028"/>
          <c:w val="0.44887893901246212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Dados!$E$4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Dados!$G$36:$G$43</c:f>
              <c:numCache>
                <c:formatCode>General</c:formatCode>
                <c:ptCount val="8"/>
                <c:pt idx="0" formatCode="_-* #,##0.00_-;\-* #,##0.00_-;_-* &quot;-&quot;??_-;_-@_-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Dados!$H$36:$H$43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6756"/>
          <c:y val="0.42060207771627584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224" footer="0.3149606200000022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576"/>
          <c:y val="0.2561212382808028"/>
          <c:w val="0.4488789390124624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Dados!$F$4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Dados!$I$36:$I$43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Dados!$J$36:$J$43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6789"/>
          <c:y val="0.42060207771627595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241" footer="0.3149606200000024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576"/>
          <c:y val="0.2561212382808028"/>
          <c:w val="0.4488789390124624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Dados!$G$4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Dados!$K$36:$K$43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Dados!$L$36:$L$43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6789"/>
          <c:y val="0.42060207771627595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241" footer="0.3149606200000024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581"/>
          <c:y val="0.2561212382808028"/>
          <c:w val="0.44887893901246262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Dados!$H$4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Dados!$M$36:$M$43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Dados!$N$36:$N$43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6812"/>
          <c:y val="0.42060207771627606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252" footer="0.3149606200000025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587"/>
          <c:y val="0.2561212382808028"/>
          <c:w val="0.4488789390124629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Dados!$I$4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Dados!$O$36:$O$43</c:f>
              <c:numCache>
                <c:formatCode>_-* #,##0.00_-;\-* #,##0.00_-;_-*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Dados!$P$36:$P$43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6834"/>
          <c:y val="0.42060207771627617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263" footer="0.3149606200000026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595"/>
          <c:y val="0.2561212382808028"/>
          <c:w val="0.44887893901246312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Dados!$J$4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Dados!$Q$36:$Q$43</c:f>
              <c:numCache>
                <c:formatCode>_-* #,##0.00_-;\-* #,##0.00_-;_-* "-"??_-;_-@_-</c:formatCode>
                <c:ptCount val="8"/>
              </c:numCache>
            </c:numRef>
          </c:cat>
          <c:val>
            <c:numRef>
              <c:f>Dados!$R$36:$R$43</c:f>
              <c:numCache>
                <c:formatCode>General</c:formatCode>
                <c:ptCount val="8"/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6856"/>
          <c:y val="0.42060207771627628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286" footer="0.3149606200000028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601"/>
          <c:y val="0.2561212382808028"/>
          <c:w val="0.4488789390124634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Dados!$K$4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Dados!$S$36:$S$43</c:f>
              <c:numCache>
                <c:formatCode>_-* #,##0.00_-;\-* #,##0.00_-;_-*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Dados!$T$36:$T$43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6889"/>
          <c:y val="0.42060207771627639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297" footer="0.31496062000000297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606"/>
          <c:y val="0.2561212382808028"/>
          <c:w val="0.44887893901246362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Dados!$L$4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Dados!$U$36:$U$43</c:f>
              <c:numCache>
                <c:formatCode>_-* #,##0.00_-;\-* #,##0.00_-;_-*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Dados!$V$36:$V$43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6912"/>
          <c:y val="0.4206020777162765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308" footer="0.31496062000000308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612"/>
          <c:y val="0.2561212382808028"/>
          <c:w val="0.4488789390124639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Dados!$M$4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Dados!$W$36:$W$43</c:f>
              <c:numCache>
                <c:formatCode>_-* #,##0.00_-;\-* #,##0.00_-;_-*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Dados!$X$36:$X$43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6934"/>
          <c:y val="0.42060207771627661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324" footer="0.3149606200000032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623"/>
          <c:y val="0.2561212382808028"/>
          <c:w val="0.44887893901246412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Dados!$N$4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Dados!$Y$36:$Y$43</c:f>
              <c:numCache>
                <c:formatCode>_-* #,##0.00_-;\-* #,##0.00_-;_-*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Dados!$Z$36:$Z$43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6956"/>
          <c:y val="0.42060207771627672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341" footer="0.3149606200000034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628"/>
          <c:y val="0.2561212382808028"/>
          <c:w val="0.4488789390124644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Dados!$O$4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Dados!$AA$36:$AA$43</c:f>
              <c:numCache>
                <c:formatCode>_-* #,##0.00_-;\-* #,##0.00_-;_-*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Dados!$AB$36:$AB$43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6989"/>
          <c:y val="0.42060207771627683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352" footer="0.3149606200000035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634"/>
          <c:y val="0.2561212382808028"/>
          <c:w val="0.44887893901246462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Dados!$P$4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Dados!$AC$36:$AC$43</c:f>
              <c:numCache>
                <c:formatCode>_-* #,##0.00_-;\-* #,##0.00_-;_-*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Dados!$AD$36:$AD$43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7023"/>
          <c:y val="0.42060207771627695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363" footer="0.3149606200000036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642"/>
          <c:y val="0.2561212382808028"/>
          <c:w val="0.44887893901246489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Dados!$Q$4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Dados!$AE$36:$AE$43</c:f>
              <c:numCache>
                <c:formatCode>_-* #,##0.00_-;\-* #,##0.00_-;_-*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Dados!$AF$36:$AF$43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7067"/>
          <c:y val="0.42060207771627706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385" footer="0.3149606200000038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648"/>
          <c:y val="0.2561212382808028"/>
          <c:w val="0.44887893901246512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Dados!$R$4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Dados!$AG$36:$AG$43</c:f>
              <c:numCache>
                <c:formatCode>_-* #,##0.00_-;\-* #,##0.00_-;_-*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Dados!$AH$36:$AH$43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7111"/>
          <c:y val="0.42060207771627717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397" footer="0.31496062000000397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653"/>
          <c:y val="0.2561212382808028"/>
          <c:w val="0.44887893901246539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Dados!$S$4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Dados!$AI$36:$AI$43</c:f>
              <c:numCache>
                <c:formatCode>_-* #,##0.00_-;\-* #,##0.00_-;_-*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Dados!$AJ$36:$AJ$43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7156"/>
          <c:y val="0.42060207771627728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408" footer="0.31496062000000408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659"/>
          <c:y val="0.2561212382808028"/>
          <c:w val="0.44887893901246562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Dados!$T$4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Dados!$AK$36:$AK$43</c:f>
              <c:numCache>
                <c:formatCode>_-* #,##0.00_-;\-* #,##0.00_-;_-*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Dados!$AL$36:$AL$43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7211"/>
          <c:y val="0.42060207771627739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424" footer="0.3149606200000042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667"/>
          <c:y val="0.2561212382808028"/>
          <c:w val="0.44887893901246589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Dados!$U$4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Dados!$AM$36:$AM$43</c:f>
              <c:numCache>
                <c:formatCode>_-* #,##0.00_-;\-* #,##0.00_-;_-*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Dados!$AN$36:$AN$43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7256"/>
          <c:y val="0.4206020777162775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441" footer="0.3149606200000044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26"/>
  <c:chart>
    <c:title/>
    <c:plotArea>
      <c:layout>
        <c:manualLayout>
          <c:layoutTarget val="inner"/>
          <c:xMode val="edge"/>
          <c:yMode val="edge"/>
          <c:x val="0.12871048960020667"/>
          <c:y val="0.2561212382808028"/>
          <c:w val="0.44887893901246589"/>
          <c:h val="0.70902204673189795"/>
        </c:manualLayout>
      </c:layout>
      <c:pieChart>
        <c:varyColors val="1"/>
        <c:ser>
          <c:idx val="0"/>
          <c:order val="0"/>
          <c:tx>
            <c:strRef>
              <c:f>Dados!$V$4</c:f>
              <c:strCache>
                <c:ptCount val="1"/>
                <c:pt idx="0">
                  <c:v> -   </c:v>
                </c:pt>
              </c:strCache>
            </c:strRef>
          </c:tx>
          <c:dLbls>
            <c:txPr>
              <a:bodyPr/>
              <a:lstStyle/>
              <a:p>
                <a:pPr>
                  <a:defRPr sz="1400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Percent val="1"/>
            <c:showLeaderLines val="1"/>
          </c:dLbls>
          <c:cat>
            <c:numRef>
              <c:f>Dados!$AO$36:$AO$43</c:f>
              <c:numCache>
                <c:formatCode>_-* #,##0.00_-;\-* #,##0.00_-;_-*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Dados!$AP$36:$AP$43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>
        <c:manualLayout>
          <c:xMode val="edge"/>
          <c:yMode val="edge"/>
          <c:x val="0.71837105697837256"/>
          <c:y val="0.4206020777162775"/>
          <c:w val="0.24370190997001143"/>
          <c:h val="0.55366793174268158"/>
        </c:manualLayout>
      </c:layout>
      <c:txPr>
        <a:bodyPr/>
        <a:lstStyle/>
        <a:p>
          <a:pPr>
            <a:defRPr sz="1600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zero"/>
  </c:chart>
  <c:spPr>
    <a:solidFill>
      <a:schemeClr val="tx1">
        <a:lumMod val="50000"/>
        <a:lumOff val="50000"/>
      </a:schemeClr>
    </a:solidFill>
  </c:spPr>
  <c:printSettings>
    <c:headerFooter/>
    <c:pageMargins b="0.78740157499999996" l="0.511811024" r="0.511811024" t="0.78740157499999996" header="0.31496062000000441" footer="0.3149606200000044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Relat&#243;rio!A1"/><Relationship Id="rId2" Type="http://schemas.openxmlformats.org/officeDocument/2006/relationships/hyperlink" Target="#Dados!A1"/><Relationship Id="rId1" Type="http://schemas.openxmlformats.org/officeDocument/2006/relationships/hyperlink" Target="#Cadastro!A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Painel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Painel!A1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image" Target="../media/image1.png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hyperlink" Target="#Paine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0</xdr:row>
      <xdr:rowOff>95250</xdr:rowOff>
    </xdr:from>
    <xdr:to>
      <xdr:col>17</xdr:col>
      <xdr:colOff>47625</xdr:colOff>
      <xdr:row>2</xdr:row>
      <xdr:rowOff>180975</xdr:rowOff>
    </xdr:to>
    <xdr:sp macro="" textlink="">
      <xdr:nvSpPr>
        <xdr:cNvPr id="4" name="Retângulo 3"/>
        <xdr:cNvSpPr/>
      </xdr:nvSpPr>
      <xdr:spPr>
        <a:xfrm>
          <a:off x="2114550" y="95250"/>
          <a:ext cx="82962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800" b="1">
              <a:solidFill>
                <a:schemeClr val="tx1"/>
              </a:solidFill>
            </a:rPr>
            <a:t>CADASTRO DE CLIENTES </a:t>
          </a:r>
          <a:r>
            <a:rPr lang="pt-BR" sz="1200" b="1">
              <a:solidFill>
                <a:schemeClr val="tx1"/>
              </a:solidFill>
            </a:rPr>
            <a:t>- PAINEL</a:t>
          </a:r>
          <a:r>
            <a:rPr lang="pt-BR" sz="1200" b="1" baseline="0">
              <a:solidFill>
                <a:schemeClr val="tx1"/>
              </a:solidFill>
            </a:rPr>
            <a:t> </a:t>
          </a:r>
          <a:endParaRPr lang="pt-BR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428625</xdr:colOff>
      <xdr:row>10</xdr:row>
      <xdr:rowOff>180976</xdr:rowOff>
    </xdr:from>
    <xdr:to>
      <xdr:col>5</xdr:col>
      <xdr:colOff>104775</xdr:colOff>
      <xdr:row>16</xdr:row>
      <xdr:rowOff>9526</xdr:rowOff>
    </xdr:to>
    <xdr:sp macro="" textlink="">
      <xdr:nvSpPr>
        <xdr:cNvPr id="6" name="Retângulo de cantos arredondados 5">
          <a:hlinkClick xmlns:r="http://schemas.openxmlformats.org/officeDocument/2006/relationships" r:id="rId1"/>
        </xdr:cNvPr>
        <xdr:cNvSpPr/>
      </xdr:nvSpPr>
      <xdr:spPr>
        <a:xfrm>
          <a:off x="1647825" y="2095501"/>
          <a:ext cx="1504950" cy="97155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Cadastro</a:t>
          </a:r>
        </a:p>
      </xdr:txBody>
    </xdr:sp>
    <xdr:clientData/>
  </xdr:twoCellAnchor>
  <xdr:twoCellAnchor>
    <xdr:from>
      <xdr:col>7</xdr:col>
      <xdr:colOff>514350</xdr:colOff>
      <xdr:row>10</xdr:row>
      <xdr:rowOff>133351</xdr:rowOff>
    </xdr:from>
    <xdr:to>
      <xdr:col>10</xdr:col>
      <xdr:colOff>190500</xdr:colOff>
      <xdr:row>15</xdr:row>
      <xdr:rowOff>152401</xdr:rowOff>
    </xdr:to>
    <xdr:sp macro="" textlink="">
      <xdr:nvSpPr>
        <xdr:cNvPr id="7" name="Retângulo de cantos arredondados 6">
          <a:hlinkClick xmlns:r="http://schemas.openxmlformats.org/officeDocument/2006/relationships" r:id="rId2"/>
        </xdr:cNvPr>
        <xdr:cNvSpPr/>
      </xdr:nvSpPr>
      <xdr:spPr>
        <a:xfrm>
          <a:off x="4781550" y="2047876"/>
          <a:ext cx="1504950" cy="97155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Dados</a:t>
          </a:r>
        </a:p>
      </xdr:txBody>
    </xdr:sp>
    <xdr:clientData/>
  </xdr:twoCellAnchor>
  <xdr:twoCellAnchor>
    <xdr:from>
      <xdr:col>13</xdr:col>
      <xdr:colOff>209550</xdr:colOff>
      <xdr:row>10</xdr:row>
      <xdr:rowOff>123826</xdr:rowOff>
    </xdr:from>
    <xdr:to>
      <xdr:col>15</xdr:col>
      <xdr:colOff>495300</xdr:colOff>
      <xdr:row>15</xdr:row>
      <xdr:rowOff>142876</xdr:rowOff>
    </xdr:to>
    <xdr:sp macro="" textlink="">
      <xdr:nvSpPr>
        <xdr:cNvPr id="8" name="Retângulo de cantos arredondados 7">
          <a:hlinkClick xmlns:r="http://schemas.openxmlformats.org/officeDocument/2006/relationships" r:id="rId3"/>
        </xdr:cNvPr>
        <xdr:cNvSpPr/>
      </xdr:nvSpPr>
      <xdr:spPr>
        <a:xfrm>
          <a:off x="8134350" y="2038351"/>
          <a:ext cx="1504950" cy="97155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</a:rPr>
            <a:t>Panorama</a:t>
          </a:r>
        </a:p>
      </xdr:txBody>
    </xdr:sp>
    <xdr:clientData/>
  </xdr:twoCellAnchor>
  <xdr:twoCellAnchor editAs="oneCell">
    <xdr:from>
      <xdr:col>18</xdr:col>
      <xdr:colOff>152400</xdr:colOff>
      <xdr:row>22</xdr:row>
      <xdr:rowOff>76200</xdr:rowOff>
    </xdr:from>
    <xdr:to>
      <xdr:col>20</xdr:col>
      <xdr:colOff>145569</xdr:colOff>
      <xdr:row>25</xdr:row>
      <xdr:rowOff>3055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125200" y="4276725"/>
          <a:ext cx="1212369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266699</xdr:colOff>
      <xdr:row>0</xdr:row>
      <xdr:rowOff>0</xdr:rowOff>
    </xdr:from>
    <xdr:to>
      <xdr:col>7</xdr:col>
      <xdr:colOff>85725</xdr:colOff>
      <xdr:row>1</xdr:row>
      <xdr:rowOff>180975</xdr:rowOff>
    </xdr:to>
    <xdr:sp macro="" textlink="">
      <xdr:nvSpPr>
        <xdr:cNvPr id="2" name="Retângulo 1"/>
        <xdr:cNvSpPr/>
      </xdr:nvSpPr>
      <xdr:spPr>
        <a:xfrm>
          <a:off x="3324224" y="0"/>
          <a:ext cx="771525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</a:rPr>
            <a:t>CADASTRO DE CLIENTES </a:t>
          </a:r>
          <a:r>
            <a:rPr lang="pt-BR" sz="1400" b="1">
              <a:solidFill>
                <a:schemeClr val="tx1"/>
              </a:solidFill>
            </a:rPr>
            <a:t>- CADASTRO</a:t>
          </a:r>
          <a:endParaRPr lang="pt-BR" sz="12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552450</xdr:colOff>
      <xdr:row>24</xdr:row>
      <xdr:rowOff>76200</xdr:rowOff>
    </xdr:from>
    <xdr:to>
      <xdr:col>10</xdr:col>
      <xdr:colOff>59844</xdr:colOff>
      <xdr:row>27</xdr:row>
      <xdr:rowOff>3055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916150" y="4752975"/>
          <a:ext cx="1212369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  <xdr:twoCellAnchor>
    <xdr:from>
      <xdr:col>0</xdr:col>
      <xdr:colOff>123825</xdr:colOff>
      <xdr:row>0</xdr:row>
      <xdr:rowOff>0</xdr:rowOff>
    </xdr:from>
    <xdr:to>
      <xdr:col>0</xdr:col>
      <xdr:colOff>578908</xdr:colOff>
      <xdr:row>1</xdr:row>
      <xdr:rowOff>103717</xdr:rowOff>
    </xdr:to>
    <xdr:sp macro="" textlink="">
      <xdr:nvSpPr>
        <xdr:cNvPr id="5" name="Seta para a esquerda 4">
          <a:hlinkClick xmlns:r="http://schemas.openxmlformats.org/officeDocument/2006/relationships" r:id="rId2"/>
        </xdr:cNvPr>
        <xdr:cNvSpPr/>
      </xdr:nvSpPr>
      <xdr:spPr>
        <a:xfrm>
          <a:off x="123825" y="0"/>
          <a:ext cx="455083" cy="370417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1119186</xdr:colOff>
      <xdr:row>0</xdr:row>
      <xdr:rowOff>0</xdr:rowOff>
    </xdr:from>
    <xdr:to>
      <xdr:col>11</xdr:col>
      <xdr:colOff>783431</xdr:colOff>
      <xdr:row>1</xdr:row>
      <xdr:rowOff>180975</xdr:rowOff>
    </xdr:to>
    <xdr:sp macro="" textlink="">
      <xdr:nvSpPr>
        <xdr:cNvPr id="3" name="Retângulo 2"/>
        <xdr:cNvSpPr/>
      </xdr:nvSpPr>
      <xdr:spPr>
        <a:xfrm>
          <a:off x="1309686" y="0"/>
          <a:ext cx="17106901" cy="4429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+mn-lt"/>
              <a:ea typeface="+mn-ea"/>
              <a:cs typeface="+mn-cs"/>
            </a:rPr>
            <a:t>CADASTRO DE CLIENTES</a:t>
          </a:r>
          <a:r>
            <a:rPr lang="pt-BR" sz="1400" b="1">
              <a:solidFill>
                <a:schemeClr val="tx1"/>
              </a:solidFill>
            </a:rPr>
            <a:t>- DADOS</a:t>
          </a:r>
          <a:endParaRPr lang="pt-BR" sz="12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238125</xdr:colOff>
      <xdr:row>34</xdr:row>
      <xdr:rowOff>95250</xdr:rowOff>
    </xdr:from>
    <xdr:to>
      <xdr:col>22</xdr:col>
      <xdr:colOff>21744</xdr:colOff>
      <xdr:row>37</xdr:row>
      <xdr:rowOff>22105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2943344" y="6893719"/>
          <a:ext cx="1212369" cy="49835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  <xdr:twoCellAnchor>
    <xdr:from>
      <xdr:col>0</xdr:col>
      <xdr:colOff>107156</xdr:colOff>
      <xdr:row>0</xdr:row>
      <xdr:rowOff>0</xdr:rowOff>
    </xdr:from>
    <xdr:to>
      <xdr:col>1</xdr:col>
      <xdr:colOff>371739</xdr:colOff>
      <xdr:row>1</xdr:row>
      <xdr:rowOff>108479</xdr:rowOff>
    </xdr:to>
    <xdr:sp macro="" textlink="">
      <xdr:nvSpPr>
        <xdr:cNvPr id="5" name="Seta para a esquerda 4">
          <a:hlinkClick xmlns:r="http://schemas.openxmlformats.org/officeDocument/2006/relationships" r:id="rId2"/>
        </xdr:cNvPr>
        <xdr:cNvSpPr/>
      </xdr:nvSpPr>
      <xdr:spPr>
        <a:xfrm>
          <a:off x="107156" y="0"/>
          <a:ext cx="455083" cy="370417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8</xdr:row>
      <xdr:rowOff>0</xdr:rowOff>
    </xdr:from>
    <xdr:to>
      <xdr:col>13</xdr:col>
      <xdr:colOff>190500</xdr:colOff>
      <xdr:row>32</xdr:row>
      <xdr:rowOff>63501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571500</xdr:colOff>
      <xdr:row>0</xdr:row>
      <xdr:rowOff>0</xdr:rowOff>
    </xdr:from>
    <xdr:to>
      <xdr:col>25</xdr:col>
      <xdr:colOff>220662</xdr:colOff>
      <xdr:row>1</xdr:row>
      <xdr:rowOff>301625</xdr:rowOff>
    </xdr:to>
    <xdr:sp macro="" textlink="">
      <xdr:nvSpPr>
        <xdr:cNvPr id="8" name="Retângulo 7"/>
        <xdr:cNvSpPr/>
      </xdr:nvSpPr>
      <xdr:spPr>
        <a:xfrm>
          <a:off x="9017000" y="0"/>
          <a:ext cx="6284912" cy="635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2400" b="1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rPr>
            <a:t>CADASTRO DE CLIENTES - </a:t>
          </a:r>
          <a:r>
            <a:rPr lang="pt-BR" sz="2400" b="1">
              <a:solidFill>
                <a:schemeClr val="tx2">
                  <a:lumMod val="75000"/>
                </a:schemeClr>
              </a:solidFill>
            </a:rPr>
            <a:t>PANORAMA</a:t>
          </a:r>
          <a:r>
            <a:rPr lang="pt-BR" sz="2400" b="1" baseline="0">
              <a:solidFill>
                <a:schemeClr val="tx2">
                  <a:lumMod val="75000"/>
                </a:schemeClr>
              </a:solidFill>
            </a:rPr>
            <a:t> </a:t>
          </a:r>
          <a:endParaRPr lang="pt-BR" sz="24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285750</xdr:colOff>
      <xdr:row>8</xdr:row>
      <xdr:rowOff>0</xdr:rowOff>
    </xdr:from>
    <xdr:to>
      <xdr:col>26</xdr:col>
      <xdr:colOff>238125</xdr:colOff>
      <xdr:row>32</xdr:row>
      <xdr:rowOff>45246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365125</xdr:colOff>
      <xdr:row>8</xdr:row>
      <xdr:rowOff>0</xdr:rowOff>
    </xdr:from>
    <xdr:to>
      <xdr:col>39</xdr:col>
      <xdr:colOff>317500</xdr:colOff>
      <xdr:row>32</xdr:row>
      <xdr:rowOff>29371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444500</xdr:colOff>
      <xdr:row>8</xdr:row>
      <xdr:rowOff>0</xdr:rowOff>
    </xdr:from>
    <xdr:to>
      <xdr:col>52</xdr:col>
      <xdr:colOff>396875</xdr:colOff>
      <xdr:row>32</xdr:row>
      <xdr:rowOff>29371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222250</xdr:colOff>
      <xdr:row>33</xdr:row>
      <xdr:rowOff>0</xdr:rowOff>
    </xdr:from>
    <xdr:to>
      <xdr:col>13</xdr:col>
      <xdr:colOff>174625</xdr:colOff>
      <xdr:row>57</xdr:row>
      <xdr:rowOff>76996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301625</xdr:colOff>
      <xdr:row>33</xdr:row>
      <xdr:rowOff>15875</xdr:rowOff>
    </xdr:from>
    <xdr:to>
      <xdr:col>26</xdr:col>
      <xdr:colOff>254000</xdr:colOff>
      <xdr:row>57</xdr:row>
      <xdr:rowOff>92871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396875</xdr:colOff>
      <xdr:row>32</xdr:row>
      <xdr:rowOff>174625</xdr:rowOff>
    </xdr:from>
    <xdr:to>
      <xdr:col>39</xdr:col>
      <xdr:colOff>349250</xdr:colOff>
      <xdr:row>57</xdr:row>
      <xdr:rowOff>61121</xdr:rowOff>
    </xdr:to>
    <xdr:graphicFrame macro="">
      <xdr:nvGraphicFramePr>
        <xdr:cNvPr id="15" name="Grá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460375</xdr:colOff>
      <xdr:row>32</xdr:row>
      <xdr:rowOff>158750</xdr:rowOff>
    </xdr:from>
    <xdr:to>
      <xdr:col>52</xdr:col>
      <xdr:colOff>412750</xdr:colOff>
      <xdr:row>57</xdr:row>
      <xdr:rowOff>45246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222250</xdr:colOff>
      <xdr:row>58</xdr:row>
      <xdr:rowOff>47625</xdr:rowOff>
    </xdr:from>
    <xdr:to>
      <xdr:col>13</xdr:col>
      <xdr:colOff>174625</xdr:colOff>
      <xdr:row>82</xdr:row>
      <xdr:rowOff>124621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317500</xdr:colOff>
      <xdr:row>58</xdr:row>
      <xdr:rowOff>31750</xdr:rowOff>
    </xdr:from>
    <xdr:to>
      <xdr:col>26</xdr:col>
      <xdr:colOff>269875</xdr:colOff>
      <xdr:row>82</xdr:row>
      <xdr:rowOff>108746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412750</xdr:colOff>
      <xdr:row>58</xdr:row>
      <xdr:rowOff>31750</xdr:rowOff>
    </xdr:from>
    <xdr:to>
      <xdr:col>39</xdr:col>
      <xdr:colOff>365125</xdr:colOff>
      <xdr:row>82</xdr:row>
      <xdr:rowOff>108746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39</xdr:col>
      <xdr:colOff>444500</xdr:colOff>
      <xdr:row>58</xdr:row>
      <xdr:rowOff>31750</xdr:rowOff>
    </xdr:from>
    <xdr:to>
      <xdr:col>52</xdr:col>
      <xdr:colOff>396875</xdr:colOff>
      <xdr:row>82</xdr:row>
      <xdr:rowOff>108746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222250</xdr:colOff>
      <xdr:row>83</xdr:row>
      <xdr:rowOff>63500</xdr:rowOff>
    </xdr:from>
    <xdr:to>
      <xdr:col>13</xdr:col>
      <xdr:colOff>174625</xdr:colOff>
      <xdr:row>107</xdr:row>
      <xdr:rowOff>140496</xdr:rowOff>
    </xdr:to>
    <xdr:graphicFrame macro="">
      <xdr:nvGraphicFramePr>
        <xdr:cNvPr id="21" name="Gráfico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301625</xdr:colOff>
      <xdr:row>83</xdr:row>
      <xdr:rowOff>63500</xdr:rowOff>
    </xdr:from>
    <xdr:to>
      <xdr:col>26</xdr:col>
      <xdr:colOff>254000</xdr:colOff>
      <xdr:row>107</xdr:row>
      <xdr:rowOff>140496</xdr:rowOff>
    </xdr:to>
    <xdr:graphicFrame macro="">
      <xdr:nvGraphicFramePr>
        <xdr:cNvPr id="22" name="Gráfico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26</xdr:col>
      <xdr:colOff>412750</xdr:colOff>
      <xdr:row>83</xdr:row>
      <xdr:rowOff>63500</xdr:rowOff>
    </xdr:from>
    <xdr:to>
      <xdr:col>39</xdr:col>
      <xdr:colOff>365125</xdr:colOff>
      <xdr:row>107</xdr:row>
      <xdr:rowOff>140496</xdr:rowOff>
    </xdr:to>
    <xdr:graphicFrame macro="">
      <xdr:nvGraphicFramePr>
        <xdr:cNvPr id="23" name="Gráfico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39</xdr:col>
      <xdr:colOff>476250</xdr:colOff>
      <xdr:row>83</xdr:row>
      <xdr:rowOff>63500</xdr:rowOff>
    </xdr:from>
    <xdr:to>
      <xdr:col>52</xdr:col>
      <xdr:colOff>428625</xdr:colOff>
      <xdr:row>107</xdr:row>
      <xdr:rowOff>140496</xdr:rowOff>
    </xdr:to>
    <xdr:graphicFrame macro="">
      <xdr:nvGraphicFramePr>
        <xdr:cNvPr id="24" name="Gráfico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222250</xdr:colOff>
      <xdr:row>108</xdr:row>
      <xdr:rowOff>63500</xdr:rowOff>
    </xdr:from>
    <xdr:to>
      <xdr:col>13</xdr:col>
      <xdr:colOff>174625</xdr:colOff>
      <xdr:row>132</xdr:row>
      <xdr:rowOff>140496</xdr:rowOff>
    </xdr:to>
    <xdr:graphicFrame macro="">
      <xdr:nvGraphicFramePr>
        <xdr:cNvPr id="25" name="Gráfico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301625</xdr:colOff>
      <xdr:row>108</xdr:row>
      <xdr:rowOff>47625</xdr:rowOff>
    </xdr:from>
    <xdr:to>
      <xdr:col>26</xdr:col>
      <xdr:colOff>254000</xdr:colOff>
      <xdr:row>132</xdr:row>
      <xdr:rowOff>124621</xdr:rowOff>
    </xdr:to>
    <xdr:graphicFrame macro="">
      <xdr:nvGraphicFramePr>
        <xdr:cNvPr id="26" name="Gráfico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26</xdr:col>
      <xdr:colOff>412750</xdr:colOff>
      <xdr:row>108</xdr:row>
      <xdr:rowOff>47625</xdr:rowOff>
    </xdr:from>
    <xdr:to>
      <xdr:col>39</xdr:col>
      <xdr:colOff>365125</xdr:colOff>
      <xdr:row>132</xdr:row>
      <xdr:rowOff>124621</xdr:rowOff>
    </xdr:to>
    <xdr:graphicFrame macro="">
      <xdr:nvGraphicFramePr>
        <xdr:cNvPr id="27" name="Gráfico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39</xdr:col>
      <xdr:colOff>492125</xdr:colOff>
      <xdr:row>108</xdr:row>
      <xdr:rowOff>79375</xdr:rowOff>
    </xdr:from>
    <xdr:to>
      <xdr:col>52</xdr:col>
      <xdr:colOff>444500</xdr:colOff>
      <xdr:row>132</xdr:row>
      <xdr:rowOff>156371</xdr:rowOff>
    </xdr:to>
    <xdr:graphicFrame macro="">
      <xdr:nvGraphicFramePr>
        <xdr:cNvPr id="28" name="Gráfico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50</xdr:col>
      <xdr:colOff>206375</xdr:colOff>
      <xdr:row>133</xdr:row>
      <xdr:rowOff>95250</xdr:rowOff>
    </xdr:from>
    <xdr:to>
      <xdr:col>52</xdr:col>
      <xdr:colOff>544666</xdr:colOff>
      <xdr:row>136</xdr:row>
      <xdr:rowOff>158750</xdr:rowOff>
    </xdr:to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0368875" y="25749250"/>
          <a:ext cx="1544791" cy="635000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  <xdr:twoCellAnchor>
    <xdr:from>
      <xdr:col>0</xdr:col>
      <xdr:colOff>79375</xdr:colOff>
      <xdr:row>0</xdr:row>
      <xdr:rowOff>63500</xdr:rowOff>
    </xdr:from>
    <xdr:to>
      <xdr:col>1</xdr:col>
      <xdr:colOff>15875</xdr:colOff>
      <xdr:row>1</xdr:row>
      <xdr:rowOff>190500</xdr:rowOff>
    </xdr:to>
    <xdr:sp macro="" textlink="">
      <xdr:nvSpPr>
        <xdr:cNvPr id="30" name="Seta para a esquerda 29">
          <a:hlinkClick xmlns:r="http://schemas.openxmlformats.org/officeDocument/2006/relationships" r:id="rId22"/>
        </xdr:cNvPr>
        <xdr:cNvSpPr/>
      </xdr:nvSpPr>
      <xdr:spPr>
        <a:xfrm>
          <a:off x="79375" y="63500"/>
          <a:ext cx="539750" cy="460375"/>
        </a:xfrm>
        <a:prstGeom prst="leftArrow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6384" width="9.140625" style="1"/>
  </cols>
  <sheetData>
    <row r="1" s="39" customFormat="1"/>
    <row r="2" s="39" customFormat="1"/>
    <row r="3" s="39" customFormat="1"/>
    <row r="4" s="40" customFormat="1" ht="15.75" thickBot="1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2"/>
  <sheetViews>
    <sheetView showGridLines="0" zoomScaleNormal="100" workbookViewId="0">
      <selection activeCell="B7" sqref="B7"/>
    </sheetView>
  </sheetViews>
  <sheetFormatPr defaultRowHeight="15"/>
  <cols>
    <col min="1" max="1" width="9.140625" style="7"/>
    <col min="2" max="2" width="36.7109375" customWidth="1"/>
    <col min="3" max="3" width="22.42578125" customWidth="1"/>
    <col min="4" max="4" width="23.28515625" customWidth="1"/>
    <col min="5" max="5" width="21.5703125" bestFit="1" customWidth="1"/>
    <col min="6" max="10" width="25.5703125" customWidth="1"/>
    <col min="11" max="11" width="3.7109375" customWidth="1"/>
  </cols>
  <sheetData>
    <row r="1" spans="1:11" s="42" customFormat="1" ht="21" customHeight="1">
      <c r="A1" s="41"/>
    </row>
    <row r="2" spans="1:11" s="40" customFormat="1" ht="15.75" thickBot="1">
      <c r="A2" s="43"/>
    </row>
    <row r="3" spans="1:11" s="10" customFormat="1" ht="15.75" thickBot="1">
      <c r="B3" s="10" t="s">
        <v>0</v>
      </c>
      <c r="C3" s="10" t="s">
        <v>1</v>
      </c>
    </row>
    <row r="4" spans="1:11" ht="15.75" thickBot="1">
      <c r="A4" s="14"/>
      <c r="B4" s="44" t="s">
        <v>2</v>
      </c>
      <c r="C4" s="44" t="s">
        <v>3</v>
      </c>
      <c r="D4" s="44" t="s">
        <v>4</v>
      </c>
      <c r="E4" s="44" t="s">
        <v>5</v>
      </c>
      <c r="F4" s="44" t="s">
        <v>6</v>
      </c>
      <c r="G4" s="44" t="s">
        <v>7</v>
      </c>
      <c r="H4" s="44" t="s">
        <v>8</v>
      </c>
      <c r="I4" s="44" t="s">
        <v>9</v>
      </c>
      <c r="J4" s="44" t="s">
        <v>10</v>
      </c>
      <c r="K4" s="2"/>
    </row>
    <row r="5" spans="1:11">
      <c r="A5" s="14"/>
      <c r="B5" s="31"/>
      <c r="C5" s="8"/>
      <c r="D5" s="15"/>
      <c r="E5" s="16"/>
      <c r="F5" s="15"/>
      <c r="G5" s="16"/>
      <c r="H5" s="16"/>
      <c r="I5" s="16"/>
      <c r="J5" s="16"/>
      <c r="K5" s="2"/>
    </row>
    <row r="6" spans="1:11">
      <c r="A6" s="14"/>
      <c r="B6" s="32"/>
      <c r="C6" s="9"/>
      <c r="D6" s="17"/>
      <c r="E6" s="18"/>
      <c r="F6" s="19"/>
      <c r="G6" s="20"/>
      <c r="H6" s="20"/>
      <c r="I6" s="20"/>
      <c r="J6" s="20"/>
      <c r="K6" s="2"/>
    </row>
    <row r="7" spans="1:11">
      <c r="A7" s="14"/>
      <c r="B7" s="33"/>
      <c r="C7" s="8"/>
      <c r="D7" s="15"/>
      <c r="E7" s="16"/>
      <c r="F7" s="21"/>
      <c r="G7" s="22"/>
      <c r="H7" s="22"/>
      <c r="I7" s="22"/>
      <c r="J7" s="22"/>
      <c r="K7" s="2"/>
    </row>
    <row r="8" spans="1:11">
      <c r="A8" s="14"/>
      <c r="B8" s="32"/>
      <c r="C8" s="9"/>
      <c r="D8" s="17"/>
      <c r="E8" s="18"/>
      <c r="F8" s="19"/>
      <c r="G8" s="20"/>
      <c r="H8" s="20"/>
      <c r="I8" s="20"/>
      <c r="J8" s="20"/>
      <c r="K8" s="2"/>
    </row>
    <row r="9" spans="1:11">
      <c r="A9" s="14"/>
      <c r="B9" s="31"/>
      <c r="C9" s="8"/>
      <c r="D9" s="15"/>
      <c r="E9" s="16"/>
      <c r="F9" s="15"/>
      <c r="G9" s="16"/>
      <c r="H9" s="16"/>
      <c r="I9" s="16"/>
      <c r="J9" s="16"/>
      <c r="K9" s="2"/>
    </row>
    <row r="10" spans="1:11">
      <c r="A10" s="14"/>
      <c r="B10" s="32"/>
      <c r="C10" s="9"/>
      <c r="D10" s="17"/>
      <c r="E10" s="18"/>
      <c r="F10" s="19"/>
      <c r="G10" s="20"/>
      <c r="H10" s="20"/>
      <c r="I10" s="20"/>
      <c r="J10" s="20"/>
      <c r="K10" s="2"/>
    </row>
    <row r="11" spans="1:11">
      <c r="A11" s="14"/>
      <c r="B11" s="36"/>
      <c r="C11" s="8"/>
      <c r="D11" s="15"/>
      <c r="E11" s="16"/>
      <c r="F11" s="21"/>
      <c r="G11" s="22"/>
      <c r="H11" s="22"/>
      <c r="I11" s="22"/>
      <c r="J11" s="22"/>
      <c r="K11" s="2"/>
    </row>
    <row r="12" spans="1:11">
      <c r="A12" s="14"/>
      <c r="B12" s="35"/>
      <c r="C12" s="9"/>
      <c r="D12" s="17"/>
      <c r="E12" s="18"/>
      <c r="F12" s="19"/>
      <c r="G12" s="20"/>
      <c r="H12" s="20"/>
      <c r="I12" s="20"/>
      <c r="J12" s="20"/>
      <c r="K12" s="2"/>
    </row>
    <row r="13" spans="1:11">
      <c r="A13" s="14"/>
      <c r="B13" s="34"/>
      <c r="C13" s="8"/>
      <c r="D13" s="15"/>
      <c r="E13" s="16"/>
      <c r="F13" s="15"/>
      <c r="G13" s="16"/>
      <c r="H13" s="16"/>
      <c r="I13" s="16"/>
      <c r="J13" s="16"/>
      <c r="K13" s="2"/>
    </row>
    <row r="14" spans="1:11">
      <c r="A14" s="14"/>
      <c r="B14" s="35"/>
      <c r="C14" s="9"/>
      <c r="D14" s="17"/>
      <c r="E14" s="18"/>
      <c r="F14" s="19"/>
      <c r="G14" s="20"/>
      <c r="H14" s="20"/>
      <c r="I14" s="20"/>
      <c r="J14" s="20"/>
      <c r="K14" s="2"/>
    </row>
    <row r="15" spans="1:11">
      <c r="A15" s="14"/>
      <c r="B15" s="36"/>
      <c r="C15" s="8"/>
      <c r="D15" s="15"/>
      <c r="E15" s="16"/>
      <c r="F15" s="21"/>
      <c r="G15" s="22"/>
      <c r="H15" s="22"/>
      <c r="I15" s="22"/>
      <c r="J15" s="22"/>
      <c r="K15" s="2"/>
    </row>
    <row r="16" spans="1:11">
      <c r="A16" s="14"/>
      <c r="B16" s="35"/>
      <c r="C16" s="9"/>
      <c r="D16" s="17"/>
      <c r="E16" s="18"/>
      <c r="F16" s="19"/>
      <c r="G16" s="20"/>
      <c r="H16" s="20"/>
      <c r="I16" s="20"/>
      <c r="J16" s="20"/>
      <c r="K16" s="2"/>
    </row>
    <row r="17" spans="1:11">
      <c r="A17" s="14"/>
      <c r="B17" s="31"/>
      <c r="C17" s="8"/>
      <c r="D17" s="15"/>
      <c r="E17" s="16"/>
      <c r="F17" s="15"/>
      <c r="G17" s="16"/>
      <c r="H17" s="16"/>
      <c r="I17" s="16"/>
      <c r="J17" s="16"/>
      <c r="K17" s="2"/>
    </row>
    <row r="18" spans="1:11">
      <c r="A18" s="14"/>
      <c r="B18" s="35"/>
      <c r="C18" s="9"/>
      <c r="D18" s="17"/>
      <c r="E18" s="18"/>
      <c r="F18" s="19"/>
      <c r="G18" s="20"/>
      <c r="H18" s="20"/>
      <c r="I18" s="20"/>
      <c r="J18" s="20"/>
      <c r="K18" s="2"/>
    </row>
    <row r="19" spans="1:11">
      <c r="A19" s="14"/>
      <c r="B19" s="36"/>
      <c r="C19" s="8"/>
      <c r="D19" s="15"/>
      <c r="E19" s="16"/>
      <c r="F19" s="21"/>
      <c r="G19" s="22"/>
      <c r="H19" s="22"/>
      <c r="I19" s="22"/>
      <c r="J19" s="22"/>
      <c r="K19" s="2"/>
    </row>
    <row r="20" spans="1:11">
      <c r="A20" s="14"/>
      <c r="B20" s="35"/>
      <c r="C20" s="6"/>
      <c r="D20" s="17"/>
      <c r="E20" s="18"/>
      <c r="F20" s="19"/>
      <c r="G20" s="20"/>
      <c r="H20" s="20"/>
      <c r="I20" s="20"/>
      <c r="J20" s="20"/>
      <c r="K20" s="2"/>
    </row>
    <row r="21" spans="1:11">
      <c r="A21" s="14"/>
      <c r="B21" s="34"/>
      <c r="C21" s="8"/>
      <c r="D21" s="15"/>
      <c r="E21" s="16"/>
      <c r="F21" s="15"/>
      <c r="G21" s="16"/>
      <c r="H21" s="16"/>
      <c r="I21" s="16"/>
      <c r="J21" s="16"/>
      <c r="K21" s="2"/>
    </row>
    <row r="22" spans="1:11">
      <c r="A22" s="14"/>
      <c r="B22" s="35"/>
      <c r="C22" s="9"/>
      <c r="D22" s="17"/>
      <c r="E22" s="18"/>
      <c r="F22" s="19"/>
      <c r="G22" s="20"/>
      <c r="H22" s="20"/>
      <c r="I22" s="20"/>
      <c r="J22" s="20"/>
      <c r="K22" s="2"/>
    </row>
    <row r="23" spans="1:11">
      <c r="A23" s="14"/>
      <c r="B23" s="36"/>
      <c r="C23" s="8"/>
      <c r="D23" s="15"/>
      <c r="E23" s="16"/>
      <c r="F23" s="21"/>
      <c r="G23" s="22"/>
      <c r="H23" s="22"/>
      <c r="I23" s="22"/>
      <c r="J23" s="22"/>
      <c r="K23" s="2"/>
    </row>
    <row r="24" spans="1:11">
      <c r="A24" s="14"/>
      <c r="B24" s="35"/>
      <c r="C24" s="9"/>
      <c r="D24" s="17"/>
      <c r="E24" s="18"/>
      <c r="F24" s="19"/>
      <c r="G24" s="20"/>
      <c r="H24" s="20"/>
      <c r="I24" s="20"/>
      <c r="J24" s="20"/>
      <c r="K24" s="2"/>
    </row>
    <row r="25" spans="1:11" s="10" customFormat="1">
      <c r="K25" s="11"/>
    </row>
    <row r="26" spans="1:11" s="11" customFormat="1"/>
    <row r="27" spans="1:11" s="11" customFormat="1"/>
    <row r="28" spans="1:11" s="11" customFormat="1"/>
    <row r="29" spans="1:11" s="11" customFormat="1"/>
    <row r="30" spans="1:11" s="11" customFormat="1">
      <c r="J30" s="12"/>
    </row>
    <row r="31" spans="1:11" s="11" customFormat="1">
      <c r="J31" s="12"/>
    </row>
    <row r="32" spans="1:11" s="11" customFormat="1"/>
    <row r="33" spans="4:11" s="11" customFormat="1">
      <c r="J33" s="12"/>
    </row>
    <row r="34" spans="4:11" s="11" customFormat="1">
      <c r="J34" s="12"/>
    </row>
    <row r="35" spans="4:11" s="11" customFormat="1"/>
    <row r="36" spans="4:11" s="11" customFormat="1"/>
    <row r="37" spans="4:11" s="11" customFormat="1"/>
    <row r="38" spans="4:11" s="11" customFormat="1"/>
    <row r="39" spans="4:11" s="11" customFormat="1"/>
    <row r="40" spans="4:11" s="11" customFormat="1"/>
    <row r="41" spans="4:11" s="11" customFormat="1"/>
    <row r="42" spans="4:11" s="11" customFormat="1"/>
    <row r="43" spans="4:11" s="11" customFormat="1"/>
    <row r="44" spans="4:11" s="11" customFormat="1"/>
    <row r="45" spans="4:11" s="11" customFormat="1"/>
    <row r="46" spans="4:11" s="11" customFormat="1"/>
    <row r="47" spans="4:11" s="10" customFormat="1">
      <c r="D47" s="11"/>
      <c r="E47" s="11"/>
      <c r="K47" s="11"/>
    </row>
    <row r="48" spans="4:11" s="10" customFormat="1">
      <c r="D48" s="11"/>
      <c r="E48" s="11"/>
      <c r="K48" s="11"/>
    </row>
    <row r="49" spans="4:11" s="10" customFormat="1">
      <c r="D49" s="11"/>
      <c r="E49" s="11"/>
      <c r="K49" s="11"/>
    </row>
    <row r="50" spans="4:11" s="10" customFormat="1">
      <c r="D50" s="11"/>
      <c r="E50" s="11"/>
      <c r="K50" s="11"/>
    </row>
    <row r="51" spans="4:11" s="10" customFormat="1">
      <c r="D51" s="11"/>
      <c r="E51" s="11"/>
      <c r="K51" s="11"/>
    </row>
    <row r="52" spans="4:11" s="10" customFormat="1">
      <c r="K52" s="11"/>
    </row>
    <row r="53" spans="4:11" s="10" customFormat="1">
      <c r="K53" s="11"/>
    </row>
    <row r="54" spans="4:11" s="10" customFormat="1">
      <c r="K54" s="11"/>
    </row>
    <row r="55" spans="4:11" s="10" customFormat="1">
      <c r="K55" s="11"/>
    </row>
    <row r="56" spans="4:11" s="10" customFormat="1">
      <c r="K56" s="11"/>
    </row>
    <row r="57" spans="4:11" s="10" customFormat="1">
      <c r="K57" s="11"/>
    </row>
    <row r="58" spans="4:11" s="10" customFormat="1">
      <c r="K58" s="11"/>
    </row>
    <row r="59" spans="4:11" s="10" customFormat="1">
      <c r="K59" s="11"/>
    </row>
    <row r="60" spans="4:11" s="10" customFormat="1">
      <c r="K60" s="11"/>
    </row>
    <row r="61" spans="4:11" s="10" customFormat="1">
      <c r="K61" s="11"/>
    </row>
    <row r="62" spans="4:11" s="10" customFormat="1">
      <c r="K62" s="11"/>
    </row>
    <row r="63" spans="4:11" s="10" customFormat="1">
      <c r="K63" s="11"/>
    </row>
    <row r="64" spans="4:11" s="10" customFormat="1">
      <c r="K64" s="11"/>
    </row>
    <row r="65" spans="11:11" s="10" customFormat="1">
      <c r="K65" s="11"/>
    </row>
    <row r="66" spans="11:11" s="10" customFormat="1">
      <c r="K66" s="11"/>
    </row>
    <row r="67" spans="11:11" s="10" customFormat="1">
      <c r="K67" s="11"/>
    </row>
    <row r="68" spans="11:11" s="10" customFormat="1">
      <c r="K68" s="11"/>
    </row>
    <row r="69" spans="11:11" s="10" customFormat="1">
      <c r="K69" s="11"/>
    </row>
    <row r="70" spans="11:11" s="10" customFormat="1">
      <c r="K70" s="11"/>
    </row>
    <row r="71" spans="11:11" s="10" customFormat="1">
      <c r="K71" s="11"/>
    </row>
    <row r="72" spans="11:11" s="10" customFormat="1">
      <c r="K72" s="11"/>
    </row>
    <row r="73" spans="11:11" s="10" customFormat="1">
      <c r="K73" s="11"/>
    </row>
    <row r="74" spans="11:11" s="10" customFormat="1"/>
    <row r="75" spans="11:11" s="10" customFormat="1"/>
    <row r="76" spans="11:11" s="10" customFormat="1"/>
    <row r="77" spans="11:11" s="10" customFormat="1"/>
    <row r="78" spans="11:11" s="10" customFormat="1"/>
    <row r="79" spans="11:11" s="10" customFormat="1"/>
    <row r="80" spans="11:11" s="10" customFormat="1"/>
    <row r="81" s="10" customFormat="1"/>
    <row r="82" s="10" customFormat="1"/>
    <row r="83" s="10" customFormat="1"/>
    <row r="84" s="10" customFormat="1"/>
    <row r="85" s="10" customFormat="1"/>
    <row r="86" s="10" customFormat="1"/>
    <row r="87" s="10" customFormat="1"/>
    <row r="88" s="10" customFormat="1"/>
    <row r="89" s="10" customFormat="1"/>
    <row r="90" s="10" customFormat="1"/>
    <row r="91" s="10" customFormat="1"/>
    <row r="92" s="10" customFormat="1"/>
    <row r="93" s="10" customFormat="1"/>
    <row r="94" s="10" customFormat="1"/>
    <row r="95" s="10" customFormat="1"/>
    <row r="96" s="10" customFormat="1"/>
    <row r="97" s="10" customFormat="1"/>
    <row r="98" s="10" customFormat="1"/>
    <row r="99" s="10" customFormat="1"/>
    <row r="100" s="10" customFormat="1"/>
    <row r="101" s="10" customFormat="1"/>
    <row r="102" s="10" customFormat="1"/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0" customFormat="1"/>
    <row r="111" s="10" customFormat="1"/>
    <row r="112" s="10" customFormat="1"/>
    <row r="113" s="10" customFormat="1"/>
    <row r="114" s="7" customFormat="1"/>
    <row r="115" s="7" customFormat="1"/>
    <row r="116" s="7" customFormat="1"/>
    <row r="117" s="7" customFormat="1"/>
    <row r="118" s="7" customFormat="1"/>
    <row r="119" s="7" customFormat="1"/>
    <row r="120" s="7" customFormat="1"/>
    <row r="121" s="7" customFormat="1"/>
    <row r="122" s="7" customFormat="1"/>
  </sheetData>
  <dataConsolidate/>
  <conditionalFormatting sqref="D5:E24">
    <cfRule type="cellIs" dxfId="0" priority="1" operator="equal">
      <formula>#N/A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114"/>
  <sheetViews>
    <sheetView showGridLines="0" zoomScale="80" zoomScaleNormal="80" workbookViewId="0">
      <selection activeCell="C7" sqref="C7"/>
    </sheetView>
  </sheetViews>
  <sheetFormatPr defaultRowHeight="15"/>
  <cols>
    <col min="1" max="1" width="2.85546875" customWidth="1"/>
    <col min="2" max="2" width="36.5703125" customWidth="1"/>
    <col min="3" max="8" width="28.7109375" customWidth="1"/>
    <col min="9" max="9" width="16.5703125" bestFit="1" customWidth="1"/>
    <col min="10" max="22" width="10.7109375" customWidth="1"/>
    <col min="23" max="42" width="10.28515625" customWidth="1"/>
  </cols>
  <sheetData>
    <row r="1" spans="1:24" s="42" customFormat="1" ht="21" customHeight="1"/>
    <row r="2" spans="1:24" s="40" customFormat="1" ht="15.75" thickBot="1"/>
    <row r="3" spans="1:24" s="2" customFormat="1"/>
    <row r="4" spans="1:24" s="37" customFormat="1" ht="33.75" customHeight="1">
      <c r="A4" s="48"/>
      <c r="B4" s="47" t="s">
        <v>30</v>
      </c>
      <c r="C4" s="45">
        <f>Cadastro!B5</f>
        <v>0</v>
      </c>
      <c r="D4" s="45">
        <f>Cadastro!B6</f>
        <v>0</v>
      </c>
      <c r="E4" s="45">
        <f>Cadastro!B7</f>
        <v>0</v>
      </c>
      <c r="F4" s="45">
        <f>Cadastro!B8</f>
        <v>0</v>
      </c>
      <c r="G4" s="45">
        <f>Cadastro!B9</f>
        <v>0</v>
      </c>
      <c r="H4" s="46">
        <f>Cadastro!B10</f>
        <v>0</v>
      </c>
      <c r="I4" s="46">
        <f>Cadastro!B11</f>
        <v>0</v>
      </c>
      <c r="J4" s="46">
        <f>Cadastro!B12</f>
        <v>0</v>
      </c>
      <c r="K4" s="46">
        <f>Cadastro!B13</f>
        <v>0</v>
      </c>
      <c r="L4" s="46">
        <f>Cadastro!B14</f>
        <v>0</v>
      </c>
      <c r="M4" s="46">
        <f>Cadastro!B15</f>
        <v>0</v>
      </c>
      <c r="N4" s="46">
        <f>Cadastro!B16</f>
        <v>0</v>
      </c>
      <c r="O4" s="46">
        <f>Cadastro!B17</f>
        <v>0</v>
      </c>
      <c r="P4" s="46">
        <f>Cadastro!B18</f>
        <v>0</v>
      </c>
      <c r="Q4" s="46">
        <f>Cadastro!B19</f>
        <v>0</v>
      </c>
      <c r="R4" s="46">
        <f>Cadastro!B20</f>
        <v>0</v>
      </c>
      <c r="S4" s="46">
        <f>Cadastro!B21</f>
        <v>0</v>
      </c>
      <c r="T4" s="46">
        <f>Cadastro!B22</f>
        <v>0</v>
      </c>
      <c r="U4" s="46">
        <f>Cadastro!B23</f>
        <v>0</v>
      </c>
      <c r="V4" s="46">
        <f>Cadastro!B24</f>
        <v>0</v>
      </c>
    </row>
    <row r="5" spans="1:24" s="26" customFormat="1">
      <c r="A5" s="13"/>
      <c r="B5" s="23"/>
      <c r="C5" s="24"/>
      <c r="D5" s="24"/>
      <c r="E5" s="24"/>
      <c r="F5" s="24"/>
      <c r="G5" s="25"/>
      <c r="H5" s="25"/>
      <c r="I5" s="25"/>
      <c r="J5" s="25"/>
      <c r="K5" s="25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9"/>
      <c r="X5" s="13"/>
    </row>
    <row r="6" spans="1:24" s="26" customFormat="1">
      <c r="A6" s="13"/>
      <c r="B6" s="5"/>
      <c r="C6" s="3"/>
      <c r="D6" s="3"/>
      <c r="E6" s="3"/>
      <c r="F6" s="3"/>
      <c r="G6" s="4"/>
      <c r="H6" s="4"/>
      <c r="I6" s="4"/>
      <c r="J6" s="4"/>
      <c r="K6" s="4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9"/>
      <c r="X6" s="13"/>
    </row>
    <row r="7" spans="1:24" s="26" customFormat="1">
      <c r="A7" s="13"/>
      <c r="B7" s="23"/>
      <c r="C7" s="24"/>
      <c r="D7" s="24"/>
      <c r="E7" s="24"/>
      <c r="F7" s="24"/>
      <c r="G7" s="25"/>
      <c r="H7" s="25"/>
      <c r="I7" s="25"/>
      <c r="J7" s="25"/>
      <c r="K7" s="25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9"/>
      <c r="X7" s="13"/>
    </row>
    <row r="8" spans="1:24" s="26" customFormat="1">
      <c r="A8" s="13"/>
      <c r="B8" s="5"/>
      <c r="C8" s="3"/>
      <c r="D8" s="3"/>
      <c r="E8" s="3"/>
      <c r="F8" s="3"/>
      <c r="G8" s="4"/>
      <c r="H8" s="4"/>
      <c r="I8" s="4"/>
      <c r="J8" s="4"/>
      <c r="K8" s="4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9"/>
      <c r="X8" s="13"/>
    </row>
    <row r="9" spans="1:24" s="26" customFormat="1">
      <c r="A9" s="13"/>
      <c r="B9" s="23"/>
      <c r="C9" s="24"/>
      <c r="D9" s="24"/>
      <c r="E9" s="24"/>
      <c r="F9" s="24"/>
      <c r="G9" s="25"/>
      <c r="H9" s="25"/>
      <c r="I9" s="25"/>
      <c r="J9" s="25"/>
      <c r="K9" s="25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9"/>
      <c r="X9" s="13"/>
    </row>
    <row r="10" spans="1:24" s="26" customFormat="1">
      <c r="A10" s="13"/>
      <c r="B10" s="5"/>
      <c r="C10" s="3"/>
      <c r="D10" s="3"/>
      <c r="E10" s="3"/>
      <c r="F10" s="3"/>
      <c r="G10" s="4"/>
      <c r="H10" s="4"/>
      <c r="I10" s="4"/>
      <c r="J10" s="4"/>
      <c r="K10" s="4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9"/>
      <c r="X10" s="13"/>
    </row>
    <row r="11" spans="1:24" s="26" customFormat="1">
      <c r="A11" s="13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9"/>
      <c r="X11" s="13"/>
    </row>
    <row r="12" spans="1:24" s="26" customFormat="1">
      <c r="A12" s="13"/>
      <c r="B12" s="5"/>
      <c r="C12" s="3"/>
      <c r="D12" s="3"/>
      <c r="E12" s="3"/>
      <c r="F12" s="3"/>
      <c r="G12" s="4"/>
      <c r="H12" s="4"/>
      <c r="I12" s="4"/>
      <c r="J12" s="4"/>
      <c r="K12" s="4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9"/>
      <c r="X12" s="13"/>
    </row>
    <row r="13" spans="1:24" s="26" customFormat="1">
      <c r="A13" s="13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9"/>
      <c r="X13" s="13"/>
    </row>
    <row r="14" spans="1:24" s="26" customFormat="1">
      <c r="A14" s="13"/>
      <c r="B14" s="5"/>
      <c r="C14" s="3"/>
      <c r="D14" s="3"/>
      <c r="E14" s="3"/>
      <c r="F14" s="3"/>
      <c r="G14" s="4"/>
      <c r="H14" s="4"/>
      <c r="I14" s="4"/>
      <c r="J14" s="4"/>
      <c r="K14" s="4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3"/>
    </row>
    <row r="15" spans="1:24" s="26" customFormat="1">
      <c r="A15" s="13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9"/>
      <c r="X15" s="13"/>
    </row>
    <row r="16" spans="1:24" s="26" customFormat="1">
      <c r="A16" s="13"/>
      <c r="B16" s="5"/>
      <c r="C16" s="3"/>
      <c r="D16" s="3"/>
      <c r="E16" s="3"/>
      <c r="F16" s="3"/>
      <c r="G16" s="4"/>
      <c r="H16" s="4"/>
      <c r="I16" s="4"/>
      <c r="J16" s="4"/>
      <c r="K16" s="4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9"/>
      <c r="X16" s="13"/>
    </row>
    <row r="17" spans="1:24" s="26" customFormat="1">
      <c r="A17" s="13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9"/>
      <c r="X17" s="13"/>
    </row>
    <row r="18" spans="1:24" s="26" customFormat="1">
      <c r="A18" s="13"/>
      <c r="B18" s="5"/>
      <c r="C18" s="3"/>
      <c r="D18" s="3"/>
      <c r="E18" s="3"/>
      <c r="F18" s="3"/>
      <c r="G18" s="4"/>
      <c r="H18" s="4"/>
      <c r="I18" s="4"/>
      <c r="J18" s="4"/>
      <c r="K18" s="4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9"/>
      <c r="X18" s="13"/>
    </row>
    <row r="19" spans="1:24" s="26" customFormat="1">
      <c r="A19" s="13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9"/>
      <c r="X19" s="13"/>
    </row>
    <row r="20" spans="1:24" s="26" customFormat="1">
      <c r="A20" s="13"/>
      <c r="B20" s="5"/>
      <c r="C20" s="3"/>
      <c r="D20" s="3"/>
      <c r="E20" s="3"/>
      <c r="F20" s="3"/>
      <c r="G20" s="4"/>
      <c r="H20" s="4"/>
      <c r="I20" s="4"/>
      <c r="J20" s="4"/>
      <c r="K20" s="4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9"/>
      <c r="X20" s="13"/>
    </row>
    <row r="21" spans="1:24" s="26" customFormat="1">
      <c r="A21" s="13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9"/>
      <c r="X21" s="13"/>
    </row>
    <row r="22" spans="1:24" s="26" customFormat="1">
      <c r="A22" s="13"/>
      <c r="B22" s="5"/>
      <c r="C22" s="3"/>
      <c r="D22" s="3"/>
      <c r="E22" s="3"/>
      <c r="F22" s="3"/>
      <c r="G22" s="4"/>
      <c r="H22" s="4"/>
      <c r="I22" s="4"/>
      <c r="J22" s="4"/>
      <c r="K22" s="4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9"/>
      <c r="X22" s="13"/>
    </row>
    <row r="23" spans="1:24" s="26" customFormat="1">
      <c r="A23" s="13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9"/>
      <c r="X23" s="13"/>
    </row>
    <row r="24" spans="1:24" s="26" customFormat="1">
      <c r="A24" s="13"/>
      <c r="B24" s="5"/>
      <c r="C24" s="3"/>
      <c r="D24" s="3"/>
      <c r="E24" s="3"/>
      <c r="F24" s="3"/>
      <c r="G24" s="4"/>
      <c r="H24" s="4"/>
      <c r="I24" s="4"/>
      <c r="J24" s="4"/>
      <c r="K24" s="4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9"/>
      <c r="X24" s="13"/>
    </row>
    <row r="25" spans="1:24" s="26" customFormat="1">
      <c r="A25" s="13"/>
      <c r="B25" s="23"/>
      <c r="C25" s="24"/>
      <c r="D25" s="24"/>
      <c r="E25" s="24"/>
      <c r="F25" s="24"/>
      <c r="G25" s="25"/>
      <c r="H25" s="25"/>
      <c r="I25" s="25"/>
      <c r="J25" s="25"/>
      <c r="K25" s="25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9"/>
      <c r="X25" s="13"/>
    </row>
    <row r="26" spans="1:24" s="26" customFormat="1">
      <c r="A26" s="13"/>
      <c r="B26" s="5"/>
      <c r="C26" s="3"/>
      <c r="D26" s="3"/>
      <c r="E26" s="3"/>
      <c r="F26" s="3"/>
      <c r="G26" s="4"/>
      <c r="H26" s="4"/>
      <c r="I26" s="4"/>
      <c r="J26" s="4"/>
      <c r="K26" s="4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9"/>
      <c r="X26" s="13"/>
    </row>
    <row r="27" spans="1:24" s="26" customFormat="1">
      <c r="A27" s="13"/>
      <c r="B27" s="23"/>
      <c r="C27" s="24"/>
      <c r="D27" s="24"/>
      <c r="E27" s="24"/>
      <c r="F27" s="24"/>
      <c r="G27" s="25"/>
      <c r="H27" s="25"/>
      <c r="I27" s="25"/>
      <c r="J27" s="25"/>
      <c r="K27" s="25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9"/>
      <c r="X27" s="13"/>
    </row>
    <row r="28" spans="1:24" s="26" customFormat="1">
      <c r="A28" s="13"/>
      <c r="B28" s="5"/>
      <c r="C28" s="3"/>
      <c r="D28" s="3"/>
      <c r="E28" s="3"/>
      <c r="F28" s="3"/>
      <c r="G28" s="4"/>
      <c r="H28" s="4"/>
      <c r="I28" s="4"/>
      <c r="J28" s="4"/>
      <c r="K28" s="4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9"/>
      <c r="X28" s="13"/>
    </row>
    <row r="29" spans="1:24" s="26" customFormat="1">
      <c r="A29" s="13"/>
      <c r="B29" s="23"/>
      <c r="C29" s="24"/>
      <c r="D29" s="24"/>
      <c r="E29" s="24"/>
      <c r="F29" s="24"/>
      <c r="G29" s="25"/>
      <c r="H29" s="25"/>
      <c r="I29" s="25"/>
      <c r="J29" s="25"/>
      <c r="K29" s="25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9"/>
      <c r="X29" s="13"/>
    </row>
    <row r="30" spans="1:24" s="26" customFormat="1">
      <c r="A30" s="13"/>
      <c r="B30" s="5"/>
      <c r="C30" s="3"/>
      <c r="D30" s="3"/>
      <c r="E30" s="3"/>
      <c r="F30" s="3"/>
      <c r="G30" s="4"/>
      <c r="H30" s="4"/>
      <c r="I30" s="4"/>
      <c r="J30" s="4"/>
      <c r="K30" s="4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9"/>
      <c r="X30" s="13"/>
    </row>
    <row r="31" spans="1:24" s="26" customFormat="1">
      <c r="A31" s="13"/>
      <c r="B31" s="23"/>
      <c r="C31" s="24"/>
      <c r="D31" s="24"/>
      <c r="E31" s="24"/>
      <c r="F31" s="24"/>
      <c r="G31" s="25"/>
      <c r="H31" s="25"/>
      <c r="I31" s="25"/>
      <c r="J31" s="25"/>
      <c r="K31" s="25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9"/>
      <c r="X31" s="13"/>
    </row>
    <row r="32" spans="1:24" s="26" customFormat="1">
      <c r="A32" s="13"/>
      <c r="B32" s="5"/>
      <c r="C32" s="3"/>
      <c r="D32" s="3"/>
      <c r="E32" s="3"/>
      <c r="F32" s="3"/>
      <c r="G32" s="4"/>
      <c r="H32" s="4"/>
      <c r="I32" s="4"/>
      <c r="J32" s="4"/>
      <c r="K32" s="4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9"/>
      <c r="X32" s="13"/>
    </row>
    <row r="33" spans="1:42" s="26" customFormat="1">
      <c r="A33" s="13"/>
      <c r="B33" s="23"/>
      <c r="C33" s="24"/>
      <c r="D33" s="24"/>
      <c r="E33" s="24"/>
      <c r="F33" s="24"/>
      <c r="G33" s="25"/>
      <c r="H33" s="25"/>
      <c r="I33" s="25"/>
      <c r="J33" s="25"/>
      <c r="K33" s="25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9"/>
      <c r="X33" s="13"/>
    </row>
    <row r="34" spans="1:42" s="26" customFormat="1">
      <c r="A34" s="13"/>
      <c r="B34" s="5"/>
      <c r="C34" s="3"/>
      <c r="D34" s="3"/>
      <c r="E34" s="3"/>
      <c r="F34" s="3"/>
      <c r="G34" s="4"/>
      <c r="H34" s="4"/>
      <c r="I34" s="4"/>
      <c r="J34" s="4"/>
      <c r="K34" s="4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9"/>
      <c r="X34" s="13"/>
    </row>
    <row r="35" spans="1:42" s="29" customFormat="1">
      <c r="C35" s="51" t="s">
        <v>11</v>
      </c>
      <c r="D35" s="51"/>
      <c r="E35" s="51" t="s">
        <v>12</v>
      </c>
      <c r="F35" s="51"/>
      <c r="G35" s="51" t="s">
        <v>13</v>
      </c>
      <c r="H35" s="51"/>
      <c r="I35" s="51" t="s">
        <v>14</v>
      </c>
      <c r="J35" s="51"/>
      <c r="K35" s="51" t="s">
        <v>15</v>
      </c>
      <c r="L35" s="51"/>
      <c r="M35" s="51" t="s">
        <v>16</v>
      </c>
      <c r="N35" s="51"/>
      <c r="O35" s="51" t="s">
        <v>17</v>
      </c>
      <c r="P35" s="51"/>
      <c r="Q35" s="51"/>
      <c r="R35" s="51"/>
      <c r="S35" s="51" t="s">
        <v>18</v>
      </c>
      <c r="T35" s="51"/>
      <c r="U35" s="51" t="s">
        <v>19</v>
      </c>
      <c r="V35" s="51"/>
      <c r="W35" s="51" t="s">
        <v>20</v>
      </c>
      <c r="X35" s="51"/>
      <c r="Y35" s="51" t="s">
        <v>21</v>
      </c>
      <c r="Z35" s="51"/>
      <c r="AA35" s="51" t="s">
        <v>22</v>
      </c>
      <c r="AB35" s="51"/>
      <c r="AC35" s="51" t="s">
        <v>23</v>
      </c>
      <c r="AD35" s="51"/>
      <c r="AE35" s="51" t="s">
        <v>24</v>
      </c>
      <c r="AF35" s="51"/>
      <c r="AG35" s="51" t="s">
        <v>25</v>
      </c>
      <c r="AH35" s="51"/>
      <c r="AI35" s="51" t="s">
        <v>26</v>
      </c>
      <c r="AJ35" s="51"/>
      <c r="AK35" s="51" t="s">
        <v>27</v>
      </c>
      <c r="AL35" s="51"/>
      <c r="AM35" s="51" t="s">
        <v>28</v>
      </c>
      <c r="AN35" s="51"/>
      <c r="AO35" s="51" t="s">
        <v>29</v>
      </c>
      <c r="AP35" s="51"/>
    </row>
    <row r="36" spans="1:42" s="29" customFormat="1">
      <c r="C36" s="38">
        <f>Cadastro!C$5</f>
        <v>0</v>
      </c>
      <c r="D36" s="29">
        <f>COUNTIF($C$5:$C$34,C36)</f>
        <v>0</v>
      </c>
      <c r="E36" s="38">
        <f>Cadastro!C$6</f>
        <v>0</v>
      </c>
      <c r="F36" s="29">
        <f>COUNTIF($D$5:$D$34,E36)</f>
        <v>0</v>
      </c>
      <c r="G36" s="38">
        <f>Cadastro!C$7</f>
        <v>0</v>
      </c>
      <c r="H36" s="29">
        <f>COUNTIF($E$5:$E$34,G36)</f>
        <v>0</v>
      </c>
      <c r="I36" s="29">
        <f>Cadastro!C$8</f>
        <v>0</v>
      </c>
      <c r="J36" s="29">
        <f>COUNTIF($F$5:$F$34,I36)</f>
        <v>0</v>
      </c>
      <c r="K36" s="29">
        <f>Cadastro!C$9</f>
        <v>0</v>
      </c>
      <c r="L36" s="29">
        <f>COUNTIF($G$5:$G$34,K36)</f>
        <v>0</v>
      </c>
      <c r="M36" s="29">
        <f>Cadastro!C$10</f>
        <v>0</v>
      </c>
      <c r="N36" s="29">
        <f>COUNTIF($H$5:$H$34,M36)</f>
        <v>0</v>
      </c>
      <c r="O36" s="38">
        <f>Cadastro!$C11</f>
        <v>0</v>
      </c>
      <c r="P36" s="29">
        <f>COUNTIF($I$5:$I$34,O36)</f>
        <v>0</v>
      </c>
      <c r="Q36" s="38"/>
      <c r="S36" s="38">
        <f>Cadastro!$C13</f>
        <v>0</v>
      </c>
      <c r="T36" s="29">
        <f>COUNTIF($K$5:$K$34,S36)</f>
        <v>0</v>
      </c>
      <c r="U36" s="38">
        <f>Cadastro!$C14</f>
        <v>0</v>
      </c>
      <c r="V36" s="29">
        <f>COUNTIF($L$5:$L$34,U36)</f>
        <v>0</v>
      </c>
      <c r="W36" s="38">
        <f>Cadastro!$C15</f>
        <v>0</v>
      </c>
      <c r="X36" s="29">
        <f>COUNTIF($M$5:$M$34,W36)</f>
        <v>0</v>
      </c>
      <c r="Y36" s="38">
        <f>Cadastro!$C16</f>
        <v>0</v>
      </c>
      <c r="Z36" s="29">
        <f>COUNTIF($N$5:$N$34,Y36)</f>
        <v>0</v>
      </c>
      <c r="AA36" s="38">
        <f>Cadastro!$C17</f>
        <v>0</v>
      </c>
      <c r="AB36" s="29">
        <f>COUNTIF($O$5:$O$34,AA36)</f>
        <v>0</v>
      </c>
      <c r="AC36" s="38">
        <f>Cadastro!$C18</f>
        <v>0</v>
      </c>
      <c r="AD36" s="29">
        <f>COUNTIF($P$5:$P$34,AC36)</f>
        <v>0</v>
      </c>
      <c r="AE36" s="38">
        <f>Cadastro!$C19</f>
        <v>0</v>
      </c>
      <c r="AF36" s="29">
        <f>COUNTIF($Q$5:$Q$34,AE36)</f>
        <v>0</v>
      </c>
      <c r="AG36" s="38">
        <f>Cadastro!$C20</f>
        <v>0</v>
      </c>
      <c r="AH36" s="29">
        <f>COUNTIF($R$5:$R$34,AG36)</f>
        <v>0</v>
      </c>
      <c r="AI36" s="38">
        <f>Cadastro!$C21</f>
        <v>0</v>
      </c>
      <c r="AJ36" s="29">
        <f>COUNTIF($S$5:$S$34,AI36)</f>
        <v>0</v>
      </c>
      <c r="AK36" s="38">
        <f>Cadastro!$C22</f>
        <v>0</v>
      </c>
      <c r="AL36" s="29">
        <f>COUNTIF($T$5:$T$34,AK36)</f>
        <v>0</v>
      </c>
      <c r="AM36" s="38">
        <f>Cadastro!$C23</f>
        <v>0</v>
      </c>
      <c r="AN36" s="29">
        <f>COUNTIF($U$5:$U$34,AM36)</f>
        <v>0</v>
      </c>
      <c r="AO36" s="38">
        <f>Cadastro!$C24</f>
        <v>0</v>
      </c>
      <c r="AP36" s="29">
        <f>COUNTIF($V$5:$V$34,AO36)</f>
        <v>0</v>
      </c>
    </row>
    <row r="37" spans="1:42" s="29" customFormat="1">
      <c r="C37" s="38">
        <f>Cadastro!D$5</f>
        <v>0</v>
      </c>
      <c r="D37" s="29">
        <f t="shared" ref="D37:D43" si="0">COUNTIF($C$5:$C$34,C37)</f>
        <v>0</v>
      </c>
      <c r="E37" s="29">
        <f>Cadastro!D$6</f>
        <v>0</v>
      </c>
      <c r="F37" s="29">
        <f t="shared" ref="F37:F43" si="1">COUNTIF($D$5:$D$34,E37)</f>
        <v>0</v>
      </c>
      <c r="G37" s="29">
        <f>Cadastro!D$7</f>
        <v>0</v>
      </c>
      <c r="H37" s="29">
        <f t="shared" ref="H37:H42" si="2">COUNTIF($E$5:$E$34,G37)</f>
        <v>0</v>
      </c>
      <c r="I37" s="29">
        <f>Cadastro!D$8</f>
        <v>0</v>
      </c>
      <c r="J37" s="29">
        <f t="shared" ref="J37:J43" si="3">COUNTIF($F$5:$F$34,I37)</f>
        <v>0</v>
      </c>
      <c r="K37" s="29">
        <f>Cadastro!D$9</f>
        <v>0</v>
      </c>
      <c r="L37" s="29">
        <f t="shared" ref="L37:L43" si="4">COUNTIF($G$5:$G$34,K37)</f>
        <v>0</v>
      </c>
      <c r="M37" s="29">
        <f>Cadastro!D$10</f>
        <v>0</v>
      </c>
      <c r="N37" s="29">
        <f t="shared" ref="N37:N43" si="5">COUNTIF($H$5:$H$34,M37)</f>
        <v>0</v>
      </c>
      <c r="O37" s="38">
        <f>Cadastro!$D11</f>
        <v>0</v>
      </c>
      <c r="P37" s="29">
        <f t="shared" ref="P37:P43" si="6">COUNTIF($I$5:$I$34,O37)</f>
        <v>0</v>
      </c>
      <c r="Q37" s="38"/>
      <c r="S37" s="38">
        <f>Cadastro!$D13</f>
        <v>0</v>
      </c>
      <c r="T37" s="29">
        <f t="shared" ref="T37:T43" si="7">COUNTIF($K$5:$K$34,S37)</f>
        <v>0</v>
      </c>
      <c r="U37" s="38">
        <f>Cadastro!$D14</f>
        <v>0</v>
      </c>
      <c r="V37" s="29">
        <f t="shared" ref="V37:V43" si="8">COUNTIF($L$5:$L$34,U37)</f>
        <v>0</v>
      </c>
      <c r="W37" s="38">
        <f>Cadastro!$D15</f>
        <v>0</v>
      </c>
      <c r="X37" s="29">
        <f t="shared" ref="X37:X43" si="9">COUNTIF($M$5:$M$34,W37)</f>
        <v>0</v>
      </c>
      <c r="Y37" s="38">
        <f>Cadastro!$D16</f>
        <v>0</v>
      </c>
      <c r="Z37" s="29">
        <f t="shared" ref="Z37:Z43" si="10">COUNTIF($N$5:$N$34,Y37)</f>
        <v>0</v>
      </c>
      <c r="AA37" s="38">
        <f>Cadastro!$D17</f>
        <v>0</v>
      </c>
      <c r="AB37" s="29">
        <f t="shared" ref="AB37:AB43" si="11">COUNTIF($O$5:$O$34,AA37)</f>
        <v>0</v>
      </c>
      <c r="AC37" s="38">
        <f>Cadastro!$D18</f>
        <v>0</v>
      </c>
      <c r="AD37" s="29">
        <f t="shared" ref="AD37:AD43" si="12">COUNTIF($P$5:$P$34,AC37)</f>
        <v>0</v>
      </c>
      <c r="AE37" s="38">
        <f>Cadastro!$D19</f>
        <v>0</v>
      </c>
      <c r="AF37" s="29">
        <f t="shared" ref="AF37:AF43" si="13">COUNTIF($Q$5:$Q$34,AE37)</f>
        <v>0</v>
      </c>
      <c r="AG37" s="38">
        <f>Cadastro!$D20</f>
        <v>0</v>
      </c>
      <c r="AH37" s="29">
        <f t="shared" ref="AH37:AH43" si="14">COUNTIF($R$5:$R$34,AG37)</f>
        <v>0</v>
      </c>
      <c r="AI37" s="38">
        <f>Cadastro!$D21</f>
        <v>0</v>
      </c>
      <c r="AJ37" s="29">
        <f t="shared" ref="AJ37:AJ43" si="15">COUNTIF($S$5:$S$34,AI37)</f>
        <v>0</v>
      </c>
      <c r="AK37" s="38">
        <f>Cadastro!$D22</f>
        <v>0</v>
      </c>
      <c r="AL37" s="29">
        <f t="shared" ref="AL37:AL43" si="16">COUNTIF($T$5:$T$34,AK37)</f>
        <v>0</v>
      </c>
      <c r="AM37" s="38">
        <f>Cadastro!$D23</f>
        <v>0</v>
      </c>
      <c r="AN37" s="29">
        <f t="shared" ref="AN37:AN43" si="17">COUNTIF($U$5:$U$34,AM37)</f>
        <v>0</v>
      </c>
      <c r="AO37" s="38">
        <f>Cadastro!$D24</f>
        <v>0</v>
      </c>
      <c r="AP37" s="29">
        <f t="shared" ref="AP37:AP43" si="18">COUNTIF($V$5:$V$34,AO37)</f>
        <v>0</v>
      </c>
    </row>
    <row r="38" spans="1:42" s="29" customFormat="1">
      <c r="C38" s="38">
        <f>Cadastro!E$5</f>
        <v>0</v>
      </c>
      <c r="D38" s="29">
        <f t="shared" si="0"/>
        <v>0</v>
      </c>
      <c r="E38" s="29">
        <f>Cadastro!E$6</f>
        <v>0</v>
      </c>
      <c r="F38" s="29">
        <f t="shared" si="1"/>
        <v>0</v>
      </c>
      <c r="G38" s="29">
        <f>Cadastro!E$7</f>
        <v>0</v>
      </c>
      <c r="H38" s="29">
        <f t="shared" si="2"/>
        <v>0</v>
      </c>
      <c r="I38" s="29">
        <f>Cadastro!E$8</f>
        <v>0</v>
      </c>
      <c r="J38" s="29">
        <f t="shared" si="3"/>
        <v>0</v>
      </c>
      <c r="K38" s="29">
        <f>Cadastro!E$9</f>
        <v>0</v>
      </c>
      <c r="L38" s="29">
        <f t="shared" si="4"/>
        <v>0</v>
      </c>
      <c r="M38" s="29">
        <f>Cadastro!E$10</f>
        <v>0</v>
      </c>
      <c r="N38" s="29">
        <f t="shared" si="5"/>
        <v>0</v>
      </c>
      <c r="O38" s="38">
        <f>Cadastro!$E11</f>
        <v>0</v>
      </c>
      <c r="P38" s="29">
        <f t="shared" si="6"/>
        <v>0</v>
      </c>
      <c r="Q38" s="38"/>
      <c r="S38" s="38">
        <f>Cadastro!$E13</f>
        <v>0</v>
      </c>
      <c r="T38" s="29">
        <f t="shared" si="7"/>
        <v>0</v>
      </c>
      <c r="U38" s="38">
        <f>Cadastro!$E14</f>
        <v>0</v>
      </c>
      <c r="V38" s="29">
        <f t="shared" si="8"/>
        <v>0</v>
      </c>
      <c r="W38" s="38">
        <f>Cadastro!$E15</f>
        <v>0</v>
      </c>
      <c r="X38" s="29">
        <f t="shared" si="9"/>
        <v>0</v>
      </c>
      <c r="Y38" s="38">
        <f>Cadastro!$E16</f>
        <v>0</v>
      </c>
      <c r="Z38" s="29">
        <f t="shared" si="10"/>
        <v>0</v>
      </c>
      <c r="AA38" s="38">
        <f>Cadastro!$E17</f>
        <v>0</v>
      </c>
      <c r="AB38" s="29">
        <f t="shared" si="11"/>
        <v>0</v>
      </c>
      <c r="AC38" s="38">
        <f>Cadastro!$E18</f>
        <v>0</v>
      </c>
      <c r="AD38" s="29">
        <f t="shared" si="12"/>
        <v>0</v>
      </c>
      <c r="AE38" s="38">
        <f>Cadastro!$E19</f>
        <v>0</v>
      </c>
      <c r="AF38" s="29">
        <f t="shared" si="13"/>
        <v>0</v>
      </c>
      <c r="AG38" s="38">
        <f>Cadastro!$E20</f>
        <v>0</v>
      </c>
      <c r="AH38" s="29">
        <f t="shared" si="14"/>
        <v>0</v>
      </c>
      <c r="AI38" s="38">
        <f>Cadastro!$E21</f>
        <v>0</v>
      </c>
      <c r="AJ38" s="29">
        <f t="shared" si="15"/>
        <v>0</v>
      </c>
      <c r="AK38" s="38">
        <f>Cadastro!$E22</f>
        <v>0</v>
      </c>
      <c r="AL38" s="29">
        <f t="shared" si="16"/>
        <v>0</v>
      </c>
      <c r="AM38" s="38">
        <f>Cadastro!$E23</f>
        <v>0</v>
      </c>
      <c r="AN38" s="29">
        <f t="shared" si="17"/>
        <v>0</v>
      </c>
      <c r="AO38" s="38">
        <f>Cadastro!$E24</f>
        <v>0</v>
      </c>
      <c r="AP38" s="29">
        <f t="shared" si="18"/>
        <v>0</v>
      </c>
    </row>
    <row r="39" spans="1:42" s="29" customFormat="1">
      <c r="C39" s="38">
        <f>Cadastro!F$5</f>
        <v>0</v>
      </c>
      <c r="D39" s="29">
        <f t="shared" si="0"/>
        <v>0</v>
      </c>
      <c r="E39" s="29">
        <f>Cadastro!F$6</f>
        <v>0</v>
      </c>
      <c r="F39" s="29">
        <f t="shared" si="1"/>
        <v>0</v>
      </c>
      <c r="G39" s="29">
        <f>Cadastro!F$7</f>
        <v>0</v>
      </c>
      <c r="H39" s="29">
        <f t="shared" si="2"/>
        <v>0</v>
      </c>
      <c r="I39" s="29">
        <f>Cadastro!F$8</f>
        <v>0</v>
      </c>
      <c r="J39" s="29">
        <f t="shared" si="3"/>
        <v>0</v>
      </c>
      <c r="K39" s="29">
        <f>Cadastro!F$9</f>
        <v>0</v>
      </c>
      <c r="L39" s="29">
        <f t="shared" si="4"/>
        <v>0</v>
      </c>
      <c r="M39" s="29">
        <f>Cadastro!F$10</f>
        <v>0</v>
      </c>
      <c r="N39" s="29">
        <f t="shared" si="5"/>
        <v>0</v>
      </c>
      <c r="O39" s="38">
        <f>Cadastro!$F11</f>
        <v>0</v>
      </c>
      <c r="P39" s="29">
        <f t="shared" si="6"/>
        <v>0</v>
      </c>
      <c r="Q39" s="38"/>
      <c r="S39" s="38">
        <f>Cadastro!$F13</f>
        <v>0</v>
      </c>
      <c r="T39" s="29">
        <f t="shared" si="7"/>
        <v>0</v>
      </c>
      <c r="U39" s="38">
        <f>Cadastro!$F14</f>
        <v>0</v>
      </c>
      <c r="V39" s="29">
        <f t="shared" si="8"/>
        <v>0</v>
      </c>
      <c r="W39" s="38">
        <f>Cadastro!$F15</f>
        <v>0</v>
      </c>
      <c r="X39" s="29">
        <f t="shared" si="9"/>
        <v>0</v>
      </c>
      <c r="Y39" s="38">
        <f>Cadastro!$F16</f>
        <v>0</v>
      </c>
      <c r="Z39" s="29">
        <f t="shared" si="10"/>
        <v>0</v>
      </c>
      <c r="AA39" s="38">
        <f>Cadastro!$F17</f>
        <v>0</v>
      </c>
      <c r="AB39" s="29">
        <f t="shared" si="11"/>
        <v>0</v>
      </c>
      <c r="AC39" s="38">
        <f>Cadastro!$F18</f>
        <v>0</v>
      </c>
      <c r="AD39" s="29">
        <f t="shared" si="12"/>
        <v>0</v>
      </c>
      <c r="AE39" s="38">
        <f>Cadastro!$F19</f>
        <v>0</v>
      </c>
      <c r="AF39" s="29">
        <f t="shared" si="13"/>
        <v>0</v>
      </c>
      <c r="AG39" s="38">
        <f>Cadastro!$F20</f>
        <v>0</v>
      </c>
      <c r="AH39" s="29">
        <f t="shared" si="14"/>
        <v>0</v>
      </c>
      <c r="AI39" s="38">
        <f>Cadastro!$F21</f>
        <v>0</v>
      </c>
      <c r="AJ39" s="29">
        <f t="shared" si="15"/>
        <v>0</v>
      </c>
      <c r="AK39" s="38">
        <f>Cadastro!$F22</f>
        <v>0</v>
      </c>
      <c r="AL39" s="29">
        <f t="shared" si="16"/>
        <v>0</v>
      </c>
      <c r="AM39" s="38">
        <f>Cadastro!$F23</f>
        <v>0</v>
      </c>
      <c r="AN39" s="29">
        <f t="shared" si="17"/>
        <v>0</v>
      </c>
      <c r="AO39" s="38">
        <f>Cadastro!$F24</f>
        <v>0</v>
      </c>
      <c r="AP39" s="29">
        <f t="shared" si="18"/>
        <v>0</v>
      </c>
    </row>
    <row r="40" spans="1:42" s="29" customFormat="1">
      <c r="C40" s="38">
        <f>Cadastro!G$5</f>
        <v>0</v>
      </c>
      <c r="D40" s="29">
        <f t="shared" si="0"/>
        <v>0</v>
      </c>
      <c r="E40" s="29">
        <f>Cadastro!G$6</f>
        <v>0</v>
      </c>
      <c r="F40" s="29">
        <f t="shared" si="1"/>
        <v>0</v>
      </c>
      <c r="G40" s="29">
        <f>Cadastro!G$7</f>
        <v>0</v>
      </c>
      <c r="H40" s="29">
        <f t="shared" si="2"/>
        <v>0</v>
      </c>
      <c r="I40" s="29">
        <f>Cadastro!G$8</f>
        <v>0</v>
      </c>
      <c r="J40" s="29">
        <f t="shared" si="3"/>
        <v>0</v>
      </c>
      <c r="K40" s="29">
        <f>Cadastro!G$9</f>
        <v>0</v>
      </c>
      <c r="L40" s="29">
        <f t="shared" si="4"/>
        <v>0</v>
      </c>
      <c r="M40" s="29">
        <f>Cadastro!G$10</f>
        <v>0</v>
      </c>
      <c r="N40" s="29">
        <f t="shared" si="5"/>
        <v>0</v>
      </c>
      <c r="O40" s="38">
        <f>Cadastro!$G11</f>
        <v>0</v>
      </c>
      <c r="P40" s="29">
        <f t="shared" si="6"/>
        <v>0</v>
      </c>
      <c r="Q40" s="38"/>
      <c r="S40" s="38">
        <f>Cadastro!$G13</f>
        <v>0</v>
      </c>
      <c r="T40" s="29">
        <f t="shared" si="7"/>
        <v>0</v>
      </c>
      <c r="U40" s="38">
        <f>Cadastro!$G14</f>
        <v>0</v>
      </c>
      <c r="V40" s="29">
        <f t="shared" si="8"/>
        <v>0</v>
      </c>
      <c r="W40" s="38">
        <f>Cadastro!$G15</f>
        <v>0</v>
      </c>
      <c r="X40" s="29">
        <f t="shared" si="9"/>
        <v>0</v>
      </c>
      <c r="Y40" s="38">
        <f>Cadastro!$G16</f>
        <v>0</v>
      </c>
      <c r="Z40" s="29">
        <f t="shared" si="10"/>
        <v>0</v>
      </c>
      <c r="AA40" s="38">
        <f>Cadastro!$G17</f>
        <v>0</v>
      </c>
      <c r="AB40" s="29">
        <f t="shared" si="11"/>
        <v>0</v>
      </c>
      <c r="AC40" s="38">
        <f>Cadastro!$G18</f>
        <v>0</v>
      </c>
      <c r="AD40" s="29">
        <f t="shared" si="12"/>
        <v>0</v>
      </c>
      <c r="AE40" s="38">
        <f>Cadastro!$G19</f>
        <v>0</v>
      </c>
      <c r="AF40" s="29">
        <f t="shared" si="13"/>
        <v>0</v>
      </c>
      <c r="AG40" s="38">
        <f>Cadastro!$G20</f>
        <v>0</v>
      </c>
      <c r="AH40" s="29">
        <f t="shared" si="14"/>
        <v>0</v>
      </c>
      <c r="AI40" s="38">
        <f>Cadastro!$G21</f>
        <v>0</v>
      </c>
      <c r="AJ40" s="29">
        <f t="shared" si="15"/>
        <v>0</v>
      </c>
      <c r="AK40" s="38">
        <f>Cadastro!$G22</f>
        <v>0</v>
      </c>
      <c r="AL40" s="29">
        <f t="shared" si="16"/>
        <v>0</v>
      </c>
      <c r="AM40" s="38">
        <f>Cadastro!$G23</f>
        <v>0</v>
      </c>
      <c r="AN40" s="29">
        <f t="shared" si="17"/>
        <v>0</v>
      </c>
      <c r="AO40" s="38">
        <f>Cadastro!$G24</f>
        <v>0</v>
      </c>
      <c r="AP40" s="29">
        <f t="shared" si="18"/>
        <v>0</v>
      </c>
    </row>
    <row r="41" spans="1:42" s="29" customFormat="1">
      <c r="C41" s="38">
        <f>Cadastro!H$5</f>
        <v>0</v>
      </c>
      <c r="D41" s="29">
        <f t="shared" si="0"/>
        <v>0</v>
      </c>
      <c r="E41" s="29">
        <f>Cadastro!H$6</f>
        <v>0</v>
      </c>
      <c r="F41" s="29">
        <f t="shared" si="1"/>
        <v>0</v>
      </c>
      <c r="G41" s="29">
        <f>Cadastro!H$7</f>
        <v>0</v>
      </c>
      <c r="H41" s="29">
        <f t="shared" si="2"/>
        <v>0</v>
      </c>
      <c r="I41" s="29">
        <f>Cadastro!H$8</f>
        <v>0</v>
      </c>
      <c r="J41" s="29">
        <f t="shared" si="3"/>
        <v>0</v>
      </c>
      <c r="K41" s="29">
        <f>Cadastro!H$9</f>
        <v>0</v>
      </c>
      <c r="L41" s="29">
        <f t="shared" si="4"/>
        <v>0</v>
      </c>
      <c r="M41" s="29">
        <f>Cadastro!H$10</f>
        <v>0</v>
      </c>
      <c r="N41" s="29">
        <f t="shared" si="5"/>
        <v>0</v>
      </c>
      <c r="O41" s="38">
        <f>Cadastro!$H11</f>
        <v>0</v>
      </c>
      <c r="P41" s="29">
        <f t="shared" si="6"/>
        <v>0</v>
      </c>
      <c r="Q41" s="38"/>
      <c r="S41" s="38">
        <f>Cadastro!$H13</f>
        <v>0</v>
      </c>
      <c r="T41" s="29">
        <f t="shared" si="7"/>
        <v>0</v>
      </c>
      <c r="U41" s="38">
        <f>Cadastro!$H14</f>
        <v>0</v>
      </c>
      <c r="V41" s="29">
        <f t="shared" si="8"/>
        <v>0</v>
      </c>
      <c r="W41" s="38">
        <f>Cadastro!$H15</f>
        <v>0</v>
      </c>
      <c r="X41" s="29">
        <f t="shared" si="9"/>
        <v>0</v>
      </c>
      <c r="Y41" s="38">
        <f>Cadastro!$H16</f>
        <v>0</v>
      </c>
      <c r="Z41" s="29">
        <f t="shared" si="10"/>
        <v>0</v>
      </c>
      <c r="AA41" s="38">
        <f>Cadastro!$H17</f>
        <v>0</v>
      </c>
      <c r="AB41" s="29">
        <f t="shared" si="11"/>
        <v>0</v>
      </c>
      <c r="AC41" s="38">
        <f>Cadastro!$H18</f>
        <v>0</v>
      </c>
      <c r="AD41" s="29">
        <f t="shared" si="12"/>
        <v>0</v>
      </c>
      <c r="AE41" s="38">
        <f>Cadastro!$H19</f>
        <v>0</v>
      </c>
      <c r="AF41" s="29">
        <f t="shared" si="13"/>
        <v>0</v>
      </c>
      <c r="AG41" s="38">
        <f>Cadastro!$H20</f>
        <v>0</v>
      </c>
      <c r="AH41" s="29">
        <f t="shared" si="14"/>
        <v>0</v>
      </c>
      <c r="AI41" s="38">
        <f>Cadastro!$H21</f>
        <v>0</v>
      </c>
      <c r="AJ41" s="29">
        <f t="shared" si="15"/>
        <v>0</v>
      </c>
      <c r="AK41" s="38">
        <f>Cadastro!$H22</f>
        <v>0</v>
      </c>
      <c r="AL41" s="29">
        <f t="shared" si="16"/>
        <v>0</v>
      </c>
      <c r="AM41" s="38">
        <f>Cadastro!$H23</f>
        <v>0</v>
      </c>
      <c r="AN41" s="29">
        <f t="shared" si="17"/>
        <v>0</v>
      </c>
      <c r="AO41" s="38">
        <f>Cadastro!$H24</f>
        <v>0</v>
      </c>
      <c r="AP41" s="29">
        <f t="shared" si="18"/>
        <v>0</v>
      </c>
    </row>
    <row r="42" spans="1:42" s="29" customFormat="1">
      <c r="C42" s="38">
        <f>Cadastro!I$5</f>
        <v>0</v>
      </c>
      <c r="D42" s="29">
        <f t="shared" si="0"/>
        <v>0</v>
      </c>
      <c r="E42" s="29">
        <f>Cadastro!I$6</f>
        <v>0</v>
      </c>
      <c r="F42" s="29">
        <f t="shared" si="1"/>
        <v>0</v>
      </c>
      <c r="G42" s="29">
        <f>Cadastro!I$7</f>
        <v>0</v>
      </c>
      <c r="H42" s="29">
        <f t="shared" si="2"/>
        <v>0</v>
      </c>
      <c r="I42" s="29">
        <f>Cadastro!I$8</f>
        <v>0</v>
      </c>
      <c r="J42" s="29">
        <f t="shared" si="3"/>
        <v>0</v>
      </c>
      <c r="K42" s="29">
        <f>Cadastro!I$9</f>
        <v>0</v>
      </c>
      <c r="L42" s="29">
        <f t="shared" si="4"/>
        <v>0</v>
      </c>
      <c r="M42" s="29">
        <f>Cadastro!I$10</f>
        <v>0</v>
      </c>
      <c r="N42" s="29">
        <f t="shared" si="5"/>
        <v>0</v>
      </c>
      <c r="O42" s="38">
        <f>Cadastro!$I11</f>
        <v>0</v>
      </c>
      <c r="P42" s="29">
        <f t="shared" si="6"/>
        <v>0</v>
      </c>
      <c r="Q42" s="38"/>
      <c r="S42" s="38">
        <f>Cadastro!$I13</f>
        <v>0</v>
      </c>
      <c r="T42" s="29">
        <f t="shared" si="7"/>
        <v>0</v>
      </c>
      <c r="U42" s="38">
        <f>Cadastro!$I14</f>
        <v>0</v>
      </c>
      <c r="V42" s="29">
        <f t="shared" si="8"/>
        <v>0</v>
      </c>
      <c r="W42" s="38">
        <f>Cadastro!$I15</f>
        <v>0</v>
      </c>
      <c r="X42" s="29">
        <f t="shared" si="9"/>
        <v>0</v>
      </c>
      <c r="Y42" s="38">
        <f>Cadastro!$I16</f>
        <v>0</v>
      </c>
      <c r="Z42" s="29">
        <f t="shared" si="10"/>
        <v>0</v>
      </c>
      <c r="AA42" s="38">
        <f>Cadastro!$I17</f>
        <v>0</v>
      </c>
      <c r="AB42" s="29">
        <f t="shared" si="11"/>
        <v>0</v>
      </c>
      <c r="AC42" s="38">
        <f>Cadastro!$I18</f>
        <v>0</v>
      </c>
      <c r="AD42" s="29">
        <f t="shared" si="12"/>
        <v>0</v>
      </c>
      <c r="AE42" s="38">
        <f>Cadastro!$I19</f>
        <v>0</v>
      </c>
      <c r="AF42" s="29">
        <f t="shared" si="13"/>
        <v>0</v>
      </c>
      <c r="AG42" s="38">
        <f>Cadastro!$I20</f>
        <v>0</v>
      </c>
      <c r="AH42" s="29">
        <f t="shared" si="14"/>
        <v>0</v>
      </c>
      <c r="AI42" s="38">
        <f>Cadastro!$I21</f>
        <v>0</v>
      </c>
      <c r="AJ42" s="29">
        <f t="shared" si="15"/>
        <v>0</v>
      </c>
      <c r="AK42" s="38">
        <f>Cadastro!$I22</f>
        <v>0</v>
      </c>
      <c r="AL42" s="29">
        <f t="shared" si="16"/>
        <v>0</v>
      </c>
      <c r="AM42" s="38">
        <f>Cadastro!$I23</f>
        <v>0</v>
      </c>
      <c r="AN42" s="29">
        <f t="shared" si="17"/>
        <v>0</v>
      </c>
      <c r="AO42" s="38">
        <f>Cadastro!$I24</f>
        <v>0</v>
      </c>
      <c r="AP42" s="29">
        <f t="shared" si="18"/>
        <v>0</v>
      </c>
    </row>
    <row r="43" spans="1:42" s="29" customFormat="1">
      <c r="C43" s="38">
        <f>Cadastro!J$5</f>
        <v>0</v>
      </c>
      <c r="D43" s="29">
        <f t="shared" si="0"/>
        <v>0</v>
      </c>
      <c r="E43" s="29">
        <f>Cadastro!J$6</f>
        <v>0</v>
      </c>
      <c r="F43" s="29">
        <f t="shared" si="1"/>
        <v>0</v>
      </c>
      <c r="G43" s="29">
        <f>Cadastro!J$7</f>
        <v>0</v>
      </c>
      <c r="H43" s="29">
        <f>COUNTIF($E$5:$E$34,G43)</f>
        <v>0</v>
      </c>
      <c r="I43" s="29">
        <f>Cadastro!J$8</f>
        <v>0</v>
      </c>
      <c r="J43" s="29">
        <f t="shared" si="3"/>
        <v>0</v>
      </c>
      <c r="K43" s="29">
        <f>Cadastro!J$9</f>
        <v>0</v>
      </c>
      <c r="L43" s="29">
        <f t="shared" si="4"/>
        <v>0</v>
      </c>
      <c r="M43" s="29">
        <f>Cadastro!J$10</f>
        <v>0</v>
      </c>
      <c r="N43" s="29">
        <f t="shared" si="5"/>
        <v>0</v>
      </c>
      <c r="O43" s="38">
        <f>Cadastro!$J11</f>
        <v>0</v>
      </c>
      <c r="P43" s="29">
        <f t="shared" si="6"/>
        <v>0</v>
      </c>
      <c r="Q43" s="38"/>
      <c r="S43" s="38">
        <f>Cadastro!$J13</f>
        <v>0</v>
      </c>
      <c r="T43" s="29">
        <f t="shared" si="7"/>
        <v>0</v>
      </c>
      <c r="U43" s="38">
        <f>Cadastro!$J14</f>
        <v>0</v>
      </c>
      <c r="V43" s="29">
        <f t="shared" si="8"/>
        <v>0</v>
      </c>
      <c r="W43" s="38">
        <f>Cadastro!$J15</f>
        <v>0</v>
      </c>
      <c r="X43" s="29">
        <f t="shared" si="9"/>
        <v>0</v>
      </c>
      <c r="Y43" s="38">
        <f>Cadastro!$J16</f>
        <v>0</v>
      </c>
      <c r="Z43" s="29">
        <f t="shared" si="10"/>
        <v>0</v>
      </c>
      <c r="AA43" s="38">
        <f>Cadastro!$J17</f>
        <v>0</v>
      </c>
      <c r="AB43" s="29">
        <f t="shared" si="11"/>
        <v>0</v>
      </c>
      <c r="AC43" s="38">
        <f>Cadastro!$J18</f>
        <v>0</v>
      </c>
      <c r="AD43" s="29">
        <f t="shared" si="12"/>
        <v>0</v>
      </c>
      <c r="AE43" s="38">
        <f>Cadastro!$J19</f>
        <v>0</v>
      </c>
      <c r="AF43" s="29">
        <f t="shared" si="13"/>
        <v>0</v>
      </c>
      <c r="AG43" s="38">
        <f>Cadastro!$J20</f>
        <v>0</v>
      </c>
      <c r="AH43" s="29">
        <f t="shared" si="14"/>
        <v>0</v>
      </c>
      <c r="AI43" s="38">
        <f>Cadastro!$J21</f>
        <v>0</v>
      </c>
      <c r="AJ43" s="29">
        <f t="shared" si="15"/>
        <v>0</v>
      </c>
      <c r="AK43" s="38">
        <f>Cadastro!$J22</f>
        <v>0</v>
      </c>
      <c r="AL43" s="29">
        <f t="shared" si="16"/>
        <v>0</v>
      </c>
      <c r="AM43" s="38">
        <f>Cadastro!$J23</f>
        <v>0</v>
      </c>
      <c r="AN43" s="29">
        <f t="shared" si="17"/>
        <v>0</v>
      </c>
      <c r="AO43" s="38">
        <f>Cadastro!$J24</f>
        <v>0</v>
      </c>
      <c r="AP43" s="29">
        <f t="shared" si="18"/>
        <v>0</v>
      </c>
    </row>
    <row r="44" spans="1:42" s="29" customFormat="1"/>
    <row r="45" spans="1:42" s="29" customFormat="1"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</row>
    <row r="46" spans="1:42" s="49" customFormat="1">
      <c r="E46" s="50"/>
      <c r="F46" s="50"/>
      <c r="G46" s="50"/>
      <c r="H46" s="50"/>
      <c r="I46" s="50"/>
      <c r="J46" s="50"/>
      <c r="K46" s="50"/>
      <c r="L46" s="50"/>
    </row>
    <row r="47" spans="1:42" s="29" customFormat="1">
      <c r="E47" s="38"/>
      <c r="F47" s="38"/>
      <c r="G47" s="38"/>
      <c r="H47" s="38"/>
      <c r="I47" s="38"/>
      <c r="J47" s="38"/>
      <c r="K47" s="38"/>
      <c r="L47" s="38"/>
    </row>
    <row r="48" spans="1:42" s="29" customFormat="1">
      <c r="E48" s="38"/>
      <c r="F48" s="38"/>
      <c r="G48" s="38"/>
      <c r="H48" s="38"/>
      <c r="I48" s="38"/>
      <c r="J48" s="38"/>
      <c r="K48" s="38"/>
      <c r="L48" s="38"/>
    </row>
    <row r="49" spans="5:12" s="29" customFormat="1">
      <c r="E49" s="38"/>
      <c r="F49" s="38"/>
      <c r="G49" s="38"/>
      <c r="H49" s="38"/>
      <c r="I49" s="38"/>
      <c r="J49" s="38"/>
      <c r="K49" s="38"/>
      <c r="L49" s="38"/>
    </row>
    <row r="50" spans="5:12" s="29" customFormat="1">
      <c r="E50" s="38"/>
      <c r="F50" s="38"/>
      <c r="G50" s="38"/>
      <c r="H50" s="38"/>
      <c r="I50" s="38"/>
      <c r="J50" s="38"/>
      <c r="K50" s="38"/>
      <c r="L50" s="38"/>
    </row>
    <row r="51" spans="5:12" s="29" customFormat="1">
      <c r="E51" s="38"/>
      <c r="F51" s="38"/>
      <c r="G51" s="38"/>
      <c r="H51" s="38"/>
      <c r="I51" s="38"/>
      <c r="J51" s="38"/>
      <c r="K51" s="38"/>
      <c r="L51" s="38"/>
    </row>
    <row r="52" spans="5:12" s="29" customFormat="1">
      <c r="E52" s="38"/>
      <c r="F52" s="38"/>
      <c r="G52" s="38"/>
      <c r="H52" s="38"/>
      <c r="I52" s="38"/>
      <c r="J52" s="38"/>
      <c r="K52" s="38"/>
      <c r="L52" s="38"/>
    </row>
    <row r="53" spans="5:12" s="29" customFormat="1">
      <c r="E53" s="38"/>
      <c r="F53" s="38"/>
      <c r="G53" s="38"/>
      <c r="H53" s="38"/>
      <c r="I53" s="38"/>
      <c r="J53" s="38"/>
      <c r="K53" s="38"/>
      <c r="L53" s="38"/>
    </row>
    <row r="54" spans="5:12" s="29" customFormat="1">
      <c r="E54" s="38"/>
      <c r="F54" s="38"/>
      <c r="G54" s="38"/>
      <c r="H54" s="38"/>
      <c r="I54" s="38"/>
      <c r="J54" s="38"/>
      <c r="K54" s="38"/>
      <c r="L54" s="38"/>
    </row>
    <row r="55" spans="5:12" s="29" customFormat="1">
      <c r="E55" s="38"/>
      <c r="F55" s="38"/>
      <c r="G55" s="38"/>
      <c r="H55" s="38"/>
      <c r="I55" s="38"/>
      <c r="J55" s="38"/>
      <c r="K55" s="38"/>
      <c r="L55" s="38"/>
    </row>
    <row r="56" spans="5:12" s="29" customFormat="1">
      <c r="E56" s="38"/>
      <c r="F56" s="38"/>
      <c r="G56" s="38"/>
      <c r="H56" s="38"/>
      <c r="I56" s="38"/>
      <c r="J56" s="38"/>
      <c r="K56" s="38"/>
      <c r="L56" s="38"/>
    </row>
    <row r="57" spans="5:12" s="29" customFormat="1">
      <c r="E57" s="38"/>
      <c r="F57" s="38"/>
      <c r="G57" s="38"/>
      <c r="H57" s="38"/>
      <c r="I57" s="38"/>
      <c r="J57" s="38"/>
      <c r="K57" s="38"/>
      <c r="L57" s="38"/>
    </row>
    <row r="58" spans="5:12" s="29" customFormat="1">
      <c r="E58" s="38"/>
      <c r="F58" s="38"/>
      <c r="G58" s="38"/>
      <c r="H58" s="38"/>
      <c r="I58" s="38"/>
      <c r="J58" s="38"/>
      <c r="K58" s="38"/>
      <c r="L58" s="38"/>
    </row>
    <row r="59" spans="5:12" s="29" customFormat="1">
      <c r="E59" s="38"/>
      <c r="F59" s="38"/>
      <c r="G59" s="38"/>
      <c r="H59" s="38"/>
      <c r="I59" s="38"/>
      <c r="J59" s="38"/>
      <c r="K59" s="38"/>
      <c r="L59" s="38"/>
    </row>
    <row r="60" spans="5:12" s="29" customFormat="1">
      <c r="E60" s="38"/>
      <c r="F60" s="38"/>
      <c r="G60" s="38"/>
      <c r="H60" s="38"/>
      <c r="I60" s="38"/>
      <c r="J60" s="38"/>
      <c r="K60" s="38"/>
      <c r="L60" s="38"/>
    </row>
    <row r="61" spans="5:12" s="29" customFormat="1">
      <c r="E61" s="38"/>
      <c r="F61" s="38"/>
      <c r="G61" s="38"/>
      <c r="H61" s="38"/>
      <c r="I61" s="38"/>
      <c r="J61" s="38"/>
      <c r="K61" s="38"/>
      <c r="L61" s="38"/>
    </row>
    <row r="62" spans="5:12" s="29" customFormat="1">
      <c r="E62" s="38"/>
      <c r="F62" s="38"/>
      <c r="G62" s="38"/>
      <c r="H62" s="38"/>
      <c r="I62" s="38"/>
      <c r="J62" s="38"/>
      <c r="K62" s="38"/>
      <c r="L62" s="38"/>
    </row>
    <row r="63" spans="5:12" s="29" customFormat="1">
      <c r="E63" s="38"/>
      <c r="F63" s="38"/>
      <c r="G63" s="38"/>
      <c r="H63" s="38"/>
      <c r="I63" s="38"/>
      <c r="J63" s="38"/>
      <c r="K63" s="38"/>
      <c r="L63" s="38"/>
    </row>
    <row r="64" spans="5:12" s="29" customFormat="1"/>
    <row r="65" s="29" customFormat="1"/>
    <row r="66" s="29" customFormat="1"/>
    <row r="67" s="29" customFormat="1"/>
    <row r="68" s="29" customFormat="1"/>
    <row r="69" s="30" customFormat="1"/>
    <row r="70" s="30" customFormat="1"/>
    <row r="71" s="30" customFormat="1"/>
    <row r="72" s="30" customFormat="1"/>
    <row r="73" s="30" customFormat="1"/>
    <row r="74" s="30" customFormat="1"/>
    <row r="75" s="30" customFormat="1"/>
    <row r="76" s="30" customFormat="1"/>
    <row r="77" s="30" customFormat="1"/>
    <row r="78" s="30" customFormat="1"/>
    <row r="79" s="30" customFormat="1"/>
    <row r="80" s="30" customFormat="1"/>
    <row r="81" s="30" customFormat="1"/>
    <row r="82" s="30" customFormat="1"/>
    <row r="83" s="30" customFormat="1"/>
    <row r="84" s="30" customFormat="1"/>
    <row r="85" s="30" customFormat="1"/>
    <row r="86" s="30" customFormat="1"/>
    <row r="87" s="30" customFormat="1"/>
    <row r="88" s="30" customFormat="1"/>
    <row r="89" s="30" customFormat="1"/>
    <row r="90" s="30" customFormat="1"/>
    <row r="91" s="30" customFormat="1"/>
    <row r="92" s="30" customFormat="1"/>
    <row r="93" s="30" customFormat="1"/>
    <row r="94" s="30" customFormat="1"/>
    <row r="95" s="30" customFormat="1"/>
    <row r="96" s="30" customFormat="1"/>
    <row r="97" s="30" customFormat="1"/>
    <row r="98" s="30" customFormat="1"/>
    <row r="99" s="30" customFormat="1"/>
    <row r="100" s="30" customFormat="1"/>
    <row r="101" s="30" customFormat="1"/>
    <row r="102" s="30" customFormat="1"/>
    <row r="103" s="30" customFormat="1"/>
    <row r="104" s="30" customFormat="1"/>
    <row r="105" s="30" customFormat="1"/>
    <row r="106" s="30" customFormat="1"/>
    <row r="107" s="30" customFormat="1"/>
    <row r="108" s="30" customFormat="1"/>
    <row r="109" s="30" customFormat="1"/>
    <row r="110" s="30" customFormat="1"/>
    <row r="111" s="30" customFormat="1"/>
    <row r="112" s="30" customFormat="1"/>
    <row r="113" s="30" customFormat="1"/>
    <row r="114" s="30" customFormat="1"/>
  </sheetData>
  <mergeCells count="20">
    <mergeCell ref="Y35:Z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AM35:AN35"/>
    <mergeCell ref="AO35:AP35"/>
    <mergeCell ref="AA35:AB35"/>
    <mergeCell ref="AC35:AD35"/>
    <mergeCell ref="AE35:AF35"/>
    <mergeCell ref="AG35:AH35"/>
    <mergeCell ref="AI35:AJ35"/>
    <mergeCell ref="AK35:AL3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>
          <x14:formula1>
            <xm:f>Cadastro!$C$5:$J$5</xm:f>
          </x14:formula1>
          <xm:sqref>C5:C34</xm:sqref>
        </x14:dataValidation>
        <x14:dataValidation type="list" allowBlank="1" showInputMessage="1" showErrorMessage="1">
          <x14:formula1>
            <xm:f>Cadastro!$C$6:$J$6</xm:f>
          </x14:formula1>
          <xm:sqref>D5:D34</xm:sqref>
        </x14:dataValidation>
        <x14:dataValidation type="list" allowBlank="1" showInputMessage="1" showErrorMessage="1">
          <x14:formula1>
            <xm:f>Cadastro!$C$7:$J$7</xm:f>
          </x14:formula1>
          <xm:sqref>E5:E34</xm:sqref>
        </x14:dataValidation>
        <x14:dataValidation type="list" allowBlank="1" showInputMessage="1" showErrorMessage="1">
          <x14:formula1>
            <xm:f>Cadastro!$C$8:$J$8</xm:f>
          </x14:formula1>
          <xm:sqref>F5:F34</xm:sqref>
        </x14:dataValidation>
        <x14:dataValidation type="list" allowBlank="1" showInputMessage="1" showErrorMessage="1">
          <x14:formula1>
            <xm:f>Cadastro!$C$9:$J$9</xm:f>
          </x14:formula1>
          <xm:sqref>G5:G34</xm:sqref>
        </x14:dataValidation>
        <x14:dataValidation type="list" allowBlank="1" showInputMessage="1" showErrorMessage="1">
          <x14:formula1>
            <xm:f>Cadastro!$C$10:$J$10</xm:f>
          </x14:formula1>
          <xm:sqref>H5:H34</xm:sqref>
        </x14:dataValidation>
        <x14:dataValidation type="list" allowBlank="1" showInputMessage="1" showErrorMessage="1">
          <x14:formula1>
            <xm:f>Cadastro!$C$11:$J$11</xm:f>
          </x14:formula1>
          <xm:sqref>I5:I34</xm:sqref>
        </x14:dataValidation>
        <x14:dataValidation type="list" allowBlank="1" showInputMessage="1" showErrorMessage="1">
          <x14:formula1>
            <xm:f>Cadastro!$C$12:$J$12</xm:f>
          </x14:formula1>
          <xm:sqref>J5:J34</xm:sqref>
        </x14:dataValidation>
        <x14:dataValidation type="list" allowBlank="1" showInputMessage="1" showErrorMessage="1">
          <x14:formula1>
            <xm:f>Cadastro!$C$13:$J$13</xm:f>
          </x14:formula1>
          <xm:sqref>K5:K34</xm:sqref>
        </x14:dataValidation>
        <x14:dataValidation type="list" allowBlank="1" showInputMessage="1" showErrorMessage="1">
          <x14:formula1>
            <xm:f>Cadastro!$C$14:$J$14</xm:f>
          </x14:formula1>
          <xm:sqref>L5:L34</xm:sqref>
        </x14:dataValidation>
        <x14:dataValidation type="list" allowBlank="1" showInputMessage="1" showErrorMessage="1">
          <x14:formula1>
            <xm:f>Cadastro!$C$15:$J$15</xm:f>
          </x14:formula1>
          <xm:sqref>M5:M34</xm:sqref>
        </x14:dataValidation>
        <x14:dataValidation type="list" allowBlank="1" showInputMessage="1" showErrorMessage="1">
          <x14:formula1>
            <xm:f>Cadastro!$C$16:$J$16</xm:f>
          </x14:formula1>
          <xm:sqref>N5:N34</xm:sqref>
        </x14:dataValidation>
        <x14:dataValidation type="list" allowBlank="1" showInputMessage="1" showErrorMessage="1">
          <x14:formula1>
            <xm:f>Cadastro!$C$17:$J$17</xm:f>
          </x14:formula1>
          <xm:sqref>O5:O34</xm:sqref>
        </x14:dataValidation>
        <x14:dataValidation type="list" allowBlank="1" showInputMessage="1" showErrorMessage="1">
          <x14:formula1>
            <xm:f>Cadastro!$C$18:$J$18</xm:f>
          </x14:formula1>
          <xm:sqref>P5:P34</xm:sqref>
        </x14:dataValidation>
        <x14:dataValidation type="list" allowBlank="1" showInputMessage="1" showErrorMessage="1">
          <x14:formula1>
            <xm:f>Cadastro!$C$19:$J$19</xm:f>
          </x14:formula1>
          <xm:sqref>Q5:Q34</xm:sqref>
        </x14:dataValidation>
        <x14:dataValidation type="list" allowBlank="1" showInputMessage="1" showErrorMessage="1">
          <x14:formula1>
            <xm:f>Cadastro!$C$20:$J$20</xm:f>
          </x14:formula1>
          <xm:sqref>R5:R34</xm:sqref>
        </x14:dataValidation>
        <x14:dataValidation type="list" allowBlank="1" showInputMessage="1" showErrorMessage="1">
          <x14:formula1>
            <xm:f>Cadastro!$C$21:$J$21</xm:f>
          </x14:formula1>
          <xm:sqref>S5:S34</xm:sqref>
        </x14:dataValidation>
        <x14:dataValidation type="list" allowBlank="1" showInputMessage="1" showErrorMessage="1">
          <x14:formula1>
            <xm:f>Cadastro!$C$22:$J$22</xm:f>
          </x14:formula1>
          <xm:sqref>T5:T34</xm:sqref>
        </x14:dataValidation>
        <x14:dataValidation type="list" allowBlank="1" showInputMessage="1" showErrorMessage="1">
          <x14:formula1>
            <xm:f>Cadastro!$C$23:$J$23</xm:f>
          </x14:formula1>
          <xm:sqref>U5:U34</xm:sqref>
        </x14:dataValidation>
        <x14:dataValidation type="list" allowBlank="1" showInputMessage="1" showErrorMessage="1">
          <x14:formula1>
            <xm:f>Cadastro!$C$24:$J$24</xm:f>
          </x14:formula1>
          <xm:sqref>V5:V34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V1:AC7"/>
  <sheetViews>
    <sheetView showGridLines="0" zoomScale="60" zoomScaleNormal="60" workbookViewId="0">
      <selection activeCell="M5" sqref="M5"/>
    </sheetView>
  </sheetViews>
  <sheetFormatPr defaultRowHeight="15"/>
  <sheetData>
    <row r="1" spans="22:29" s="52" customFormat="1" ht="26.25" customHeight="1"/>
    <row r="2" spans="22:29" s="52" customFormat="1" ht="26.25" customHeight="1"/>
    <row r="3" spans="22:29" ht="15.75" thickBot="1"/>
    <row r="4" spans="22:29">
      <c r="V4" s="53" t="s">
        <v>31</v>
      </c>
      <c r="W4" s="54"/>
      <c r="X4" s="54"/>
      <c r="Y4" s="54"/>
      <c r="Z4" s="54"/>
      <c r="AA4" s="55"/>
      <c r="AB4" s="53">
        <f>COUNTA(Dados!B5:B34)</f>
        <v>0</v>
      </c>
      <c r="AC4" s="55"/>
    </row>
    <row r="5" spans="22:29">
      <c r="V5" s="56"/>
      <c r="W5" s="57"/>
      <c r="X5" s="57"/>
      <c r="Y5" s="57"/>
      <c r="Z5" s="57"/>
      <c r="AA5" s="58"/>
      <c r="AB5" s="56"/>
      <c r="AC5" s="58"/>
    </row>
    <row r="6" spans="22:29">
      <c r="V6" s="56"/>
      <c r="W6" s="57"/>
      <c r="X6" s="57"/>
      <c r="Y6" s="57"/>
      <c r="Z6" s="57"/>
      <c r="AA6" s="58"/>
      <c r="AB6" s="56"/>
      <c r="AC6" s="58"/>
    </row>
    <row r="7" spans="22:29" ht="15.75" thickBot="1">
      <c r="V7" s="59"/>
      <c r="W7" s="60"/>
      <c r="X7" s="60"/>
      <c r="Y7" s="60"/>
      <c r="Z7" s="60"/>
      <c r="AA7" s="61"/>
      <c r="AB7" s="59"/>
      <c r="AC7" s="61"/>
    </row>
  </sheetData>
  <mergeCells count="3">
    <mergeCell ref="A1:XFD2"/>
    <mergeCell ref="V4:AA7"/>
    <mergeCell ref="AB4:AC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Painel</vt:lpstr>
      <vt:lpstr>Cadastro</vt:lpstr>
      <vt:lpstr>Dados</vt:lpstr>
      <vt:lpstr>Relatório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Germana</dc:creator>
  <cp:lastModifiedBy>usuario</cp:lastModifiedBy>
  <dcterms:created xsi:type="dcterms:W3CDTF">2013-11-09T12:17:33Z</dcterms:created>
  <dcterms:modified xsi:type="dcterms:W3CDTF">2014-04-08T22:51:35Z</dcterms:modified>
</cp:coreProperties>
</file>