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 activeTab="3"/>
  </bookViews>
  <sheets>
    <sheet name="BP" sheetId="1" r:id="rId1"/>
    <sheet name="DRE" sheetId="2" r:id="rId2"/>
    <sheet name="Índices" sheetId="5" r:id="rId3"/>
    <sheet name="Análises" sheetId="3" r:id="rId4"/>
  </sheets>
  <calcPr calcId="144525"/>
</workbook>
</file>

<file path=xl/calcChain.xml><?xml version="1.0" encoding="utf-8"?>
<calcChain xmlns="http://schemas.openxmlformats.org/spreadsheetml/2006/main">
  <c r="G2" i="5" l="1"/>
  <c r="H6" i="5"/>
  <c r="H8" i="5" s="1"/>
  <c r="G6" i="5"/>
  <c r="G8" i="5" s="1"/>
  <c r="H4" i="5"/>
  <c r="G4" i="5"/>
  <c r="C9" i="5"/>
  <c r="B9" i="5"/>
  <c r="H1" i="5"/>
  <c r="G1" i="5"/>
  <c r="H2" i="5"/>
  <c r="C40" i="3" l="1"/>
  <c r="D40" i="3"/>
  <c r="B40" i="3"/>
  <c r="B43" i="3"/>
  <c r="C43" i="3"/>
  <c r="D43" i="3"/>
  <c r="B44" i="3"/>
  <c r="C44" i="3"/>
  <c r="D44" i="3"/>
  <c r="C42" i="3"/>
  <c r="D42" i="3"/>
  <c r="B42" i="3"/>
  <c r="B41" i="3"/>
  <c r="B36" i="3"/>
  <c r="C36" i="3"/>
  <c r="D36" i="3"/>
  <c r="C35" i="3"/>
  <c r="C34" i="3" s="1"/>
  <c r="D35" i="3"/>
  <c r="B35" i="3"/>
  <c r="B34" i="3"/>
  <c r="D29" i="3"/>
  <c r="C29" i="3"/>
  <c r="D32" i="3"/>
  <c r="C32" i="3"/>
  <c r="C31" i="3"/>
  <c r="D31" i="3"/>
  <c r="B32" i="3"/>
  <c r="B31" i="3"/>
  <c r="B30" i="3"/>
  <c r="C24" i="3"/>
  <c r="D24" i="3"/>
  <c r="C23" i="3"/>
  <c r="D23" i="3"/>
  <c r="B24" i="3"/>
  <c r="B23" i="3"/>
  <c r="C20" i="3"/>
  <c r="D20" i="3"/>
  <c r="C19" i="3"/>
  <c r="D19" i="3"/>
  <c r="B20" i="3"/>
  <c r="B19" i="3"/>
  <c r="D17" i="3"/>
  <c r="C17" i="3"/>
  <c r="B10" i="3"/>
  <c r="C10" i="3"/>
  <c r="D10" i="3"/>
  <c r="B11" i="3"/>
  <c r="C11" i="3"/>
  <c r="D11" i="3"/>
  <c r="C9" i="3"/>
  <c r="D9" i="3"/>
  <c r="B9" i="3"/>
  <c r="C5" i="3"/>
  <c r="D5" i="3"/>
  <c r="C6" i="3"/>
  <c r="D6" i="3"/>
  <c r="B5" i="3"/>
  <c r="B6" i="3"/>
  <c r="C1" i="2"/>
  <c r="B1" i="2"/>
  <c r="G1" i="1"/>
  <c r="F1" i="1"/>
  <c r="C3" i="3"/>
  <c r="C8" i="2"/>
  <c r="C5" i="2"/>
  <c r="C7" i="2" s="1"/>
  <c r="B22" i="2"/>
  <c r="B20" i="2"/>
  <c r="B18" i="2"/>
  <c r="B16" i="2"/>
  <c r="B8" i="2"/>
  <c r="B7" i="2"/>
  <c r="B5" i="2"/>
  <c r="G6" i="1"/>
  <c r="G16" i="1"/>
  <c r="G9" i="1"/>
  <c r="F6" i="1"/>
  <c r="F17" i="1" s="1"/>
  <c r="F16" i="1"/>
  <c r="F9" i="1"/>
  <c r="C13" i="1"/>
  <c r="C9" i="1"/>
  <c r="C6" i="1"/>
  <c r="B17" i="1"/>
  <c r="B13" i="1"/>
  <c r="B9" i="1"/>
  <c r="B6" i="1"/>
  <c r="D34" i="3" l="1"/>
  <c r="C30" i="3"/>
  <c r="D30" i="3"/>
  <c r="D38" i="3" s="1"/>
  <c r="C41" i="3"/>
  <c r="C45" i="3" s="1"/>
  <c r="D41" i="3"/>
  <c r="C38" i="3"/>
  <c r="D45" i="3"/>
  <c r="D8" i="3"/>
  <c r="C4" i="3"/>
  <c r="C8" i="3"/>
  <c r="C22" i="3"/>
  <c r="D22" i="3"/>
  <c r="D4" i="3"/>
  <c r="C18" i="3"/>
  <c r="D18" i="3"/>
  <c r="C16" i="2"/>
  <c r="C18" i="2" s="1"/>
  <c r="C20" i="2" s="1"/>
  <c r="G17" i="1"/>
  <c r="C17" i="1"/>
  <c r="C22" i="2" l="1"/>
  <c r="C26" i="3"/>
  <c r="D13" i="3"/>
  <c r="C13" i="3"/>
  <c r="D26" i="3"/>
</calcChain>
</file>

<file path=xl/sharedStrings.xml><?xml version="1.0" encoding="utf-8"?>
<sst xmlns="http://schemas.openxmlformats.org/spreadsheetml/2006/main" count="84" uniqueCount="71">
  <si>
    <t>Caixa</t>
  </si>
  <si>
    <t>Bancos</t>
  </si>
  <si>
    <t>Duplicatas a receber</t>
  </si>
  <si>
    <t>Estoques</t>
  </si>
  <si>
    <t>Ativo Circulante</t>
  </si>
  <si>
    <t>Contas a receber</t>
  </si>
  <si>
    <t>Despesas Antecipadas (LP)</t>
  </si>
  <si>
    <t>Investimentos</t>
  </si>
  <si>
    <t>Imobilizado</t>
  </si>
  <si>
    <t>Diferido Líquido</t>
  </si>
  <si>
    <t>Ativo Permanente</t>
  </si>
  <si>
    <t>A T I V O</t>
  </si>
  <si>
    <t>Fornecedores</t>
  </si>
  <si>
    <t>Impostos a pagar</t>
  </si>
  <si>
    <t>Salários a pagar</t>
  </si>
  <si>
    <t>Empréstimos a pagar</t>
  </si>
  <si>
    <t>Passivo Circulante</t>
  </si>
  <si>
    <t>Empréstimos do exterior</t>
  </si>
  <si>
    <t>Exigível a Longo Prazo</t>
  </si>
  <si>
    <t>Capital Social</t>
  </si>
  <si>
    <t>Reservas de capital</t>
  </si>
  <si>
    <t>Reserva legal</t>
  </si>
  <si>
    <t>Reserva estatutária</t>
  </si>
  <si>
    <t>Reserva de contingência</t>
  </si>
  <si>
    <t>Lucros Acumulados</t>
  </si>
  <si>
    <t>Patrimônio Líquido</t>
  </si>
  <si>
    <t>P A S S I V O</t>
  </si>
  <si>
    <t>Total Passivo</t>
  </si>
  <si>
    <t xml:space="preserve">Total Ativo </t>
  </si>
  <si>
    <t>Receita Bruta</t>
  </si>
  <si>
    <t>Impostos sobre Receita Bruta</t>
  </si>
  <si>
    <t>Receita Líquida</t>
  </si>
  <si>
    <t>CMV</t>
  </si>
  <si>
    <t>Lucro Bruto</t>
  </si>
  <si>
    <t>Despesas operacionais</t>
  </si>
  <si>
    <t>Despesas com vendas</t>
  </si>
  <si>
    <t>Despesas Administrativas</t>
  </si>
  <si>
    <t>Despesas Financeiras</t>
  </si>
  <si>
    <t>Despesas de Depreciação</t>
  </si>
  <si>
    <t>Despesas de Amortização</t>
  </si>
  <si>
    <t>Variação cambial</t>
  </si>
  <si>
    <t>Resultado MEP</t>
  </si>
  <si>
    <t>Lucro Operacional</t>
  </si>
  <si>
    <t>Resultado não operacional</t>
  </si>
  <si>
    <t>LAIR</t>
  </si>
  <si>
    <t>Provisão para IR</t>
  </si>
  <si>
    <t>Lucro líquido</t>
  </si>
  <si>
    <t>Nº de ações</t>
  </si>
  <si>
    <t>Lucro por ação</t>
  </si>
  <si>
    <t>DRE</t>
  </si>
  <si>
    <t>Contas</t>
  </si>
  <si>
    <t>Ativo Cíclico</t>
  </si>
  <si>
    <t>Passivo Ciclico</t>
  </si>
  <si>
    <t>Necessidade Líquidad de Capital de Giro</t>
  </si>
  <si>
    <t>Ativo errático</t>
  </si>
  <si>
    <t>Passivo Errático</t>
  </si>
  <si>
    <t>Tesouraria (T)</t>
  </si>
  <si>
    <t>Necessidade de Capital de Giro</t>
  </si>
  <si>
    <t>Efeito Tesoura</t>
  </si>
  <si>
    <t>Realizável a Longo Prazo</t>
  </si>
  <si>
    <t>(=) Longo Prazo</t>
  </si>
  <si>
    <t>(=) Capital de Giro</t>
  </si>
  <si>
    <t>RSA</t>
  </si>
  <si>
    <t>CD</t>
  </si>
  <si>
    <t>Exigível total</t>
  </si>
  <si>
    <t>RSPL</t>
  </si>
  <si>
    <t>GAF</t>
  </si>
  <si>
    <t>(LL + DF)*100/AT</t>
  </si>
  <si>
    <t>(DF*100)/PL</t>
  </si>
  <si>
    <t>(LL*100)/PL</t>
  </si>
  <si>
    <t>RSA/RSPL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</si>
</sst>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5" formatCode="#,##0.00;[Red]\(#,##0.00\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3">
    <xf numFmtId="0" fontId="0" fillId="0" borderId="0" xfId="0"/>
    <xf numFmtId="43" fontId="0" fillId="0" borderId="0" xfId="1" applyFont="1"/>
    <xf numFmtId="0" fontId="0" fillId="0" borderId="0" xfId="0" applyAlignment="1">
      <alignment horizontal="center"/>
    </xf>
    <xf numFmtId="43" fontId="3" fillId="0" borderId="0" xfId="1" applyFont="1"/>
    <xf numFmtId="43" fontId="4" fillId="0" borderId="0" xfId="1" applyFont="1"/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horizontal="center"/>
    </xf>
    <xf numFmtId="0" fontId="0" fillId="0" borderId="0" xfId="0" applyFont="1"/>
    <xf numFmtId="43" fontId="1" fillId="0" borderId="0" xfId="1" applyFont="1"/>
    <xf numFmtId="40" fontId="0" fillId="0" borderId="0" xfId="0" applyNumberFormat="1"/>
    <xf numFmtId="165" fontId="4" fillId="0" borderId="0" xfId="1" applyNumberFormat="1" applyFont="1"/>
    <xf numFmtId="165" fontId="0" fillId="0" borderId="0" xfId="1" applyNumberFormat="1" applyFont="1"/>
    <xf numFmtId="3" fontId="0" fillId="0" borderId="0" xfId="0" applyNumberFormat="1"/>
    <xf numFmtId="0" fontId="0" fillId="0" borderId="1" xfId="0" applyBorder="1"/>
    <xf numFmtId="43" fontId="0" fillId="0" borderId="3" xfId="1" applyFont="1" applyBorder="1"/>
    <xf numFmtId="0" fontId="2" fillId="0" borderId="4" xfId="0" applyFont="1" applyBorder="1"/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/>
    <xf numFmtId="0" fontId="0" fillId="0" borderId="7" xfId="0" applyBorder="1"/>
    <xf numFmtId="43" fontId="0" fillId="0" borderId="8" xfId="1" applyFont="1" applyBorder="1"/>
    <xf numFmtId="0" fontId="2" fillId="0" borderId="7" xfId="0" applyFont="1" applyBorder="1" applyAlignment="1">
      <alignment horizontal="justify" vertical="center"/>
    </xf>
    <xf numFmtId="0" fontId="2" fillId="0" borderId="9" xfId="0" applyFont="1" applyBorder="1" applyAlignment="1">
      <alignment horizontal="justify" vertical="center"/>
    </xf>
    <xf numFmtId="165" fontId="2" fillId="0" borderId="3" xfId="0" applyNumberFormat="1" applyFont="1" applyBorder="1"/>
    <xf numFmtId="165" fontId="2" fillId="0" borderId="8" xfId="0" applyNumberFormat="1" applyFont="1" applyBorder="1"/>
    <xf numFmtId="165" fontId="0" fillId="0" borderId="3" xfId="1" applyNumberFormat="1" applyFont="1" applyBorder="1"/>
    <xf numFmtId="165" fontId="0" fillId="0" borderId="8" xfId="1" applyNumberFormat="1" applyFont="1" applyBorder="1"/>
    <xf numFmtId="165" fontId="0" fillId="0" borderId="0" xfId="1" applyNumberFormat="1" applyFont="1" applyBorder="1"/>
    <xf numFmtId="165" fontId="0" fillId="0" borderId="2" xfId="1" applyNumberFormat="1" applyFont="1" applyBorder="1"/>
    <xf numFmtId="165" fontId="2" fillId="0" borderId="3" xfId="1" applyNumberFormat="1" applyFont="1" applyBorder="1"/>
    <xf numFmtId="165" fontId="2" fillId="0" borderId="8" xfId="1" applyNumberFormat="1" applyFont="1" applyBorder="1"/>
    <xf numFmtId="165" fontId="0" fillId="0" borderId="0" xfId="0" applyNumberFormat="1"/>
    <xf numFmtId="165" fontId="4" fillId="0" borderId="3" xfId="0" applyNumberFormat="1" applyFont="1" applyBorder="1" applyAlignment="1">
      <alignment horizontal="center" vertical="center"/>
    </xf>
    <xf numFmtId="165" fontId="4" fillId="0" borderId="8" xfId="0" applyNumberFormat="1" applyFont="1" applyBorder="1" applyAlignment="1">
      <alignment horizontal="center" vertical="center"/>
    </xf>
    <xf numFmtId="165" fontId="4" fillId="0" borderId="10" xfId="0" applyNumberFormat="1" applyFont="1" applyBorder="1" applyAlignment="1">
      <alignment horizontal="center" vertical="center"/>
    </xf>
    <xf numFmtId="165" fontId="4" fillId="0" borderId="11" xfId="0" applyNumberFormat="1" applyFont="1" applyBorder="1" applyAlignment="1">
      <alignment horizontal="center" vertical="center"/>
    </xf>
    <xf numFmtId="165" fontId="4" fillId="0" borderId="12" xfId="0" applyNumberFormat="1" applyFont="1" applyBorder="1" applyAlignment="1">
      <alignment vertical="center"/>
    </xf>
    <xf numFmtId="165" fontId="4" fillId="0" borderId="8" xfId="0" applyNumberFormat="1" applyFont="1" applyBorder="1" applyAlignment="1">
      <alignment vertical="center"/>
    </xf>
    <xf numFmtId="165" fontId="4" fillId="0" borderId="13" xfId="0" applyNumberFormat="1" applyFont="1" applyBorder="1" applyAlignment="1">
      <alignment vertical="center"/>
    </xf>
    <xf numFmtId="165" fontId="4" fillId="0" borderId="11" xfId="0" applyNumberFormat="1" applyFont="1" applyBorder="1" applyAlignment="1">
      <alignment vertical="center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165" fontId="0" fillId="0" borderId="3" xfId="0" applyNumberFormat="1" applyBorder="1"/>
    <xf numFmtId="43" fontId="0" fillId="0" borderId="3" xfId="0" applyNumberFormat="1" applyBorder="1"/>
    <xf numFmtId="165" fontId="0" fillId="0" borderId="8" xfId="0" applyNumberFormat="1" applyBorder="1"/>
    <xf numFmtId="43" fontId="0" fillId="0" borderId="7" xfId="0" applyNumberFormat="1" applyBorder="1"/>
    <xf numFmtId="43" fontId="0" fillId="0" borderId="8" xfId="0" applyNumberFormat="1" applyBorder="1"/>
    <xf numFmtId="0" fontId="2" fillId="0" borderId="9" xfId="0" applyFont="1" applyBorder="1"/>
    <xf numFmtId="165" fontId="2" fillId="0" borderId="10" xfId="0" applyNumberFormat="1" applyFont="1" applyBorder="1"/>
    <xf numFmtId="165" fontId="2" fillId="0" borderId="11" xfId="0" applyNumberFormat="1" applyFont="1" applyBorder="1"/>
    <xf numFmtId="0" fontId="2" fillId="0" borderId="17" xfId="0" applyFont="1" applyBorder="1"/>
    <xf numFmtId="0" fontId="2" fillId="0" borderId="18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4" fillId="0" borderId="17" xfId="0" applyFont="1" applyBorder="1"/>
    <xf numFmtId="165" fontId="4" fillId="0" borderId="18" xfId="0" applyNumberFormat="1" applyFont="1" applyBorder="1"/>
    <xf numFmtId="165" fontId="4" fillId="0" borderId="19" xfId="0" applyNumberFormat="1" applyFont="1" applyBorder="1"/>
    <xf numFmtId="0" fontId="2" fillId="0" borderId="20" xfId="0" applyFont="1" applyBorder="1"/>
    <xf numFmtId="0" fontId="2" fillId="0" borderId="21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43" fontId="2" fillId="0" borderId="5" xfId="1" applyFont="1" applyBorder="1"/>
    <xf numFmtId="43" fontId="2" fillId="0" borderId="6" xfId="1" applyFont="1" applyBorder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workbookViewId="0">
      <selection activeCell="E20" sqref="E20"/>
    </sheetView>
  </sheetViews>
  <sheetFormatPr defaultRowHeight="15" x14ac:dyDescent="0.25"/>
  <cols>
    <col min="1" max="1" width="24.85546875" bestFit="1" customWidth="1"/>
    <col min="2" max="3" width="18.28515625" style="1" bestFit="1" customWidth="1"/>
    <col min="4" max="4" width="4.28515625" customWidth="1"/>
    <col min="5" max="5" width="23.28515625" bestFit="1" customWidth="1"/>
    <col min="6" max="7" width="18.28515625" bestFit="1" customWidth="1"/>
  </cols>
  <sheetData>
    <row r="1" spans="1:7" x14ac:dyDescent="0.25">
      <c r="A1" s="2" t="s">
        <v>11</v>
      </c>
      <c r="B1" s="7">
        <v>2005</v>
      </c>
      <c r="C1" s="7">
        <v>2006</v>
      </c>
      <c r="E1" s="2" t="s">
        <v>26</v>
      </c>
      <c r="F1" s="7">
        <f>B1</f>
        <v>2005</v>
      </c>
      <c r="G1" s="7">
        <f>C1</f>
        <v>2006</v>
      </c>
    </row>
    <row r="2" spans="1:7" x14ac:dyDescent="0.25">
      <c r="A2" t="s">
        <v>0</v>
      </c>
      <c r="B2" s="1">
        <v>35000</v>
      </c>
      <c r="C2" s="1">
        <v>43800</v>
      </c>
      <c r="E2" t="s">
        <v>12</v>
      </c>
      <c r="F2" s="1">
        <v>155000</v>
      </c>
      <c r="G2" s="1">
        <v>195000</v>
      </c>
    </row>
    <row r="3" spans="1:7" x14ac:dyDescent="0.25">
      <c r="A3" t="s">
        <v>1</v>
      </c>
      <c r="B3" s="1">
        <v>155000</v>
      </c>
      <c r="C3" s="1">
        <v>192500</v>
      </c>
      <c r="E3" t="s">
        <v>13</v>
      </c>
      <c r="F3" s="1">
        <v>80325</v>
      </c>
      <c r="G3" s="1">
        <v>138690</v>
      </c>
    </row>
    <row r="4" spans="1:7" x14ac:dyDescent="0.25">
      <c r="A4" s="8" t="s">
        <v>2</v>
      </c>
      <c r="B4" s="1">
        <v>200000</v>
      </c>
      <c r="C4" s="9">
        <v>360000</v>
      </c>
      <c r="E4" t="s">
        <v>14</v>
      </c>
      <c r="F4" s="1">
        <v>118000</v>
      </c>
      <c r="G4" s="1">
        <v>150000</v>
      </c>
    </row>
    <row r="5" spans="1:7" x14ac:dyDescent="0.25">
      <c r="A5" t="s">
        <v>3</v>
      </c>
      <c r="B5" s="1">
        <v>230000</v>
      </c>
      <c r="C5" s="1">
        <v>285500</v>
      </c>
      <c r="E5" t="s">
        <v>15</v>
      </c>
      <c r="F5" s="1">
        <v>67500</v>
      </c>
      <c r="G5" s="1">
        <v>85310</v>
      </c>
    </row>
    <row r="6" spans="1:7" ht="15.75" x14ac:dyDescent="0.25">
      <c r="A6" s="6" t="s">
        <v>4</v>
      </c>
      <c r="B6" s="4">
        <f>SUM(B2:B5)</f>
        <v>620000</v>
      </c>
      <c r="C6" s="4">
        <f>SUM(C2:C5)</f>
        <v>881800</v>
      </c>
      <c r="E6" s="6" t="s">
        <v>16</v>
      </c>
      <c r="F6" s="4">
        <f>SUM(F2:F5)</f>
        <v>420825</v>
      </c>
      <c r="G6" s="4">
        <f>SUM(G2:G5)</f>
        <v>569000</v>
      </c>
    </row>
    <row r="7" spans="1:7" x14ac:dyDescent="0.25">
      <c r="A7" t="s">
        <v>5</v>
      </c>
      <c r="B7" s="1">
        <v>85535</v>
      </c>
      <c r="C7" s="1">
        <v>93120</v>
      </c>
      <c r="E7" t="s">
        <v>15</v>
      </c>
      <c r="F7" s="1">
        <v>35000</v>
      </c>
      <c r="G7" s="1">
        <v>67000</v>
      </c>
    </row>
    <row r="8" spans="1:7" x14ac:dyDescent="0.25">
      <c r="A8" t="s">
        <v>6</v>
      </c>
      <c r="B8" s="1">
        <v>20290</v>
      </c>
      <c r="C8" s="1">
        <v>61000</v>
      </c>
      <c r="E8" t="s">
        <v>17</v>
      </c>
      <c r="F8" s="1">
        <v>155000</v>
      </c>
      <c r="G8" s="1">
        <v>250000</v>
      </c>
    </row>
    <row r="9" spans="1:7" ht="15.75" x14ac:dyDescent="0.25">
      <c r="A9" s="6" t="s">
        <v>59</v>
      </c>
      <c r="B9" s="4">
        <f>SUM(B7:B8)</f>
        <v>105825</v>
      </c>
      <c r="C9" s="4">
        <f t="shared" ref="C9:D9" si="0">SUM(C7:C8)</f>
        <v>154120</v>
      </c>
      <c r="D9" s="4"/>
      <c r="E9" s="6" t="s">
        <v>18</v>
      </c>
      <c r="F9" s="4">
        <f>SUM(F7:F8)</f>
        <v>190000</v>
      </c>
      <c r="G9" s="4">
        <f>SUM(G7:G8)</f>
        <v>317000</v>
      </c>
    </row>
    <row r="10" spans="1:7" x14ac:dyDescent="0.25">
      <c r="A10" t="s">
        <v>7</v>
      </c>
      <c r="B10" s="1">
        <v>700000</v>
      </c>
      <c r="C10" s="1">
        <v>1300000</v>
      </c>
      <c r="E10" t="s">
        <v>19</v>
      </c>
      <c r="F10" s="1">
        <v>2000000</v>
      </c>
      <c r="G10" s="1">
        <v>3500000</v>
      </c>
    </row>
    <row r="11" spans="1:7" x14ac:dyDescent="0.25">
      <c r="A11" t="s">
        <v>8</v>
      </c>
      <c r="B11" s="1">
        <v>2500000</v>
      </c>
      <c r="C11" s="1">
        <v>3400000</v>
      </c>
      <c r="E11" t="s">
        <v>20</v>
      </c>
      <c r="F11" s="1">
        <v>850000</v>
      </c>
      <c r="G11" s="1">
        <v>762500</v>
      </c>
    </row>
    <row r="12" spans="1:7" x14ac:dyDescent="0.25">
      <c r="A12" t="s">
        <v>9</v>
      </c>
      <c r="B12" s="1">
        <v>350000</v>
      </c>
      <c r="C12" s="1">
        <v>450000</v>
      </c>
      <c r="E12" t="s">
        <v>21</v>
      </c>
      <c r="F12" s="1">
        <v>200000</v>
      </c>
      <c r="G12" s="1">
        <v>262878</v>
      </c>
    </row>
    <row r="13" spans="1:7" ht="15.75" x14ac:dyDescent="0.25">
      <c r="A13" s="6" t="s">
        <v>10</v>
      </c>
      <c r="B13" s="4">
        <f>SUM(B10:B12)</f>
        <v>3550000</v>
      </c>
      <c r="C13" s="4">
        <f>SUM(C10:C12)</f>
        <v>5150000</v>
      </c>
      <c r="E13" t="s">
        <v>22</v>
      </c>
      <c r="F13" s="1">
        <v>250000</v>
      </c>
      <c r="G13" s="1">
        <v>338256</v>
      </c>
    </row>
    <row r="14" spans="1:7" x14ac:dyDescent="0.25">
      <c r="E14" t="s">
        <v>23</v>
      </c>
      <c r="F14" s="1">
        <v>150000</v>
      </c>
      <c r="G14" s="1">
        <v>126134</v>
      </c>
    </row>
    <row r="15" spans="1:7" x14ac:dyDescent="0.25">
      <c r="E15" t="s">
        <v>24</v>
      </c>
      <c r="F15" s="1">
        <v>215000</v>
      </c>
      <c r="G15" s="1">
        <v>310152</v>
      </c>
    </row>
    <row r="16" spans="1:7" ht="15.75" x14ac:dyDescent="0.25">
      <c r="E16" s="6" t="s">
        <v>25</v>
      </c>
      <c r="F16" s="4">
        <f>SUM(F10:F15)</f>
        <v>3665000</v>
      </c>
      <c r="G16" s="4">
        <f>SUM(G10:G15)</f>
        <v>5299920</v>
      </c>
    </row>
    <row r="17" spans="1:7" ht="18.75" x14ac:dyDescent="0.3">
      <c r="A17" s="3" t="s">
        <v>28</v>
      </c>
      <c r="B17" s="3">
        <f>B6+B9+B13</f>
        <v>4275825</v>
      </c>
      <c r="C17" s="3">
        <f>C6+C9+C13</f>
        <v>6185920</v>
      </c>
      <c r="E17" s="5" t="s">
        <v>27</v>
      </c>
      <c r="F17" s="3">
        <f>F6+F9+F16</f>
        <v>4275825</v>
      </c>
      <c r="G17" s="3">
        <f>G6+G9+G16</f>
        <v>6185920</v>
      </c>
    </row>
    <row r="18" spans="1:7" x14ac:dyDescent="0.25">
      <c r="F18" s="1"/>
      <c r="G18" s="1"/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workbookViewId="0">
      <selection activeCell="C10" sqref="C10"/>
    </sheetView>
  </sheetViews>
  <sheetFormatPr defaultRowHeight="15" x14ac:dyDescent="0.25"/>
  <cols>
    <col min="1" max="1" width="27.28515625" bestFit="1" customWidth="1"/>
    <col min="2" max="2" width="14.5703125" bestFit="1" customWidth="1"/>
    <col min="3" max="3" width="15.7109375" bestFit="1" customWidth="1"/>
  </cols>
  <sheetData>
    <row r="1" spans="1:3" x14ac:dyDescent="0.25">
      <c r="A1" s="2" t="s">
        <v>49</v>
      </c>
      <c r="B1">
        <f>BP!B1</f>
        <v>2005</v>
      </c>
      <c r="C1">
        <f>BP!C1</f>
        <v>2006</v>
      </c>
    </row>
    <row r="3" spans="1:3" ht="15.75" x14ac:dyDescent="0.25">
      <c r="A3" s="6" t="s">
        <v>29</v>
      </c>
      <c r="B3" s="11">
        <v>18000000</v>
      </c>
      <c r="C3" s="11">
        <v>29000000</v>
      </c>
    </row>
    <row r="4" spans="1:3" x14ac:dyDescent="0.25">
      <c r="A4" t="s">
        <v>30</v>
      </c>
      <c r="B4" s="12">
        <v>-1750000</v>
      </c>
      <c r="C4" s="12">
        <v>-2850000</v>
      </c>
    </row>
    <row r="5" spans="1:3" ht="15.75" x14ac:dyDescent="0.25">
      <c r="A5" s="6" t="s">
        <v>31</v>
      </c>
      <c r="B5" s="11">
        <f>SUM(B3:B4)</f>
        <v>16250000</v>
      </c>
      <c r="C5" s="11">
        <f>SUM(C3:C4)</f>
        <v>26150000</v>
      </c>
    </row>
    <row r="6" spans="1:3" x14ac:dyDescent="0.25">
      <c r="A6" t="s">
        <v>32</v>
      </c>
      <c r="B6" s="12">
        <v>-8750000</v>
      </c>
      <c r="C6" s="12">
        <v>-14100000</v>
      </c>
    </row>
    <row r="7" spans="1:3" ht="15.75" x14ac:dyDescent="0.25">
      <c r="A7" s="6" t="s">
        <v>33</v>
      </c>
      <c r="B7" s="11">
        <f>SUM(B5:B6)</f>
        <v>7500000</v>
      </c>
      <c r="C7" s="11">
        <f>SUM(C5:C6)</f>
        <v>12050000</v>
      </c>
    </row>
    <row r="8" spans="1:3" ht="15.75" x14ac:dyDescent="0.25">
      <c r="A8" s="6" t="s">
        <v>34</v>
      </c>
      <c r="B8" s="11">
        <f>SUM(B9:B15)</f>
        <v>-7215000</v>
      </c>
      <c r="C8" s="11">
        <f>SUM(C9:C15)</f>
        <v>-11625000</v>
      </c>
    </row>
    <row r="9" spans="1:3" x14ac:dyDescent="0.25">
      <c r="A9" t="s">
        <v>35</v>
      </c>
      <c r="B9" s="12">
        <v>-1850000</v>
      </c>
      <c r="C9" s="12">
        <v>-3000000</v>
      </c>
    </row>
    <row r="10" spans="1:3" x14ac:dyDescent="0.25">
      <c r="A10" t="s">
        <v>36</v>
      </c>
      <c r="B10" s="12">
        <v>-4450000</v>
      </c>
      <c r="C10" s="12">
        <v>-7150000</v>
      </c>
    </row>
    <row r="11" spans="1:3" x14ac:dyDescent="0.25">
      <c r="A11" t="s">
        <v>37</v>
      </c>
      <c r="B11" s="12">
        <v>-570000</v>
      </c>
      <c r="C11" s="12">
        <v>-920000</v>
      </c>
    </row>
    <row r="12" spans="1:3" x14ac:dyDescent="0.25">
      <c r="A12" t="s">
        <v>38</v>
      </c>
      <c r="B12" s="12">
        <v>-250000</v>
      </c>
      <c r="C12" s="12">
        <v>-400000</v>
      </c>
    </row>
    <row r="13" spans="1:3" x14ac:dyDescent="0.25">
      <c r="A13" t="s">
        <v>39</v>
      </c>
      <c r="B13" s="12">
        <v>-80000</v>
      </c>
      <c r="C13" s="12">
        <v>-130000</v>
      </c>
    </row>
    <row r="14" spans="1:3" x14ac:dyDescent="0.25">
      <c r="A14" t="s">
        <v>40</v>
      </c>
      <c r="B14" s="12">
        <v>-40000</v>
      </c>
      <c r="C14" s="12">
        <v>-65000</v>
      </c>
    </row>
    <row r="15" spans="1:3" x14ac:dyDescent="0.25">
      <c r="A15" t="s">
        <v>41</v>
      </c>
      <c r="B15" s="12">
        <v>25000</v>
      </c>
      <c r="C15" s="12">
        <v>40000</v>
      </c>
    </row>
    <row r="16" spans="1:3" ht="15.75" x14ac:dyDescent="0.25">
      <c r="A16" s="6" t="s">
        <v>42</v>
      </c>
      <c r="B16" s="11">
        <f>B7+B8</f>
        <v>285000</v>
      </c>
      <c r="C16" s="11">
        <f>C7+C8</f>
        <v>425000</v>
      </c>
    </row>
    <row r="17" spans="1:3" x14ac:dyDescent="0.25">
      <c r="A17" t="s">
        <v>43</v>
      </c>
      <c r="B17" s="12">
        <v>-55500</v>
      </c>
      <c r="C17" s="12">
        <v>-28750</v>
      </c>
    </row>
    <row r="18" spans="1:3" ht="15.75" x14ac:dyDescent="0.25">
      <c r="A18" s="6" t="s">
        <v>44</v>
      </c>
      <c r="B18" s="11">
        <f>SUM(B16:B17)</f>
        <v>229500</v>
      </c>
      <c r="C18" s="11">
        <f>SUM(C16:C17)</f>
        <v>396250</v>
      </c>
    </row>
    <row r="19" spans="1:3" x14ac:dyDescent="0.25">
      <c r="A19" t="s">
        <v>45</v>
      </c>
      <c r="B19" s="12">
        <v>-80325</v>
      </c>
      <c r="C19" s="12">
        <v>-138690</v>
      </c>
    </row>
    <row r="20" spans="1:3" ht="15.75" x14ac:dyDescent="0.25">
      <c r="A20" s="6" t="s">
        <v>46</v>
      </c>
      <c r="B20" s="11">
        <f>SUM(B18:B19)</f>
        <v>149175</v>
      </c>
      <c r="C20" s="11">
        <f>SUM(C18:C19)</f>
        <v>257560</v>
      </c>
    </row>
    <row r="21" spans="1:3" x14ac:dyDescent="0.25">
      <c r="A21" t="s">
        <v>47</v>
      </c>
      <c r="B21" s="13">
        <v>100000</v>
      </c>
      <c r="C21" s="13">
        <v>128780</v>
      </c>
    </row>
    <row r="22" spans="1:3" x14ac:dyDescent="0.25">
      <c r="A22" t="s">
        <v>48</v>
      </c>
      <c r="B22" s="10">
        <f>B20/B21</f>
        <v>1.4917499999999999</v>
      </c>
      <c r="C22" s="10">
        <f>C20/C21</f>
        <v>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workbookViewId="0">
      <selection activeCell="F8" sqref="F8"/>
    </sheetView>
  </sheetViews>
  <sheetFormatPr defaultRowHeight="15" x14ac:dyDescent="0.25"/>
  <cols>
    <col min="1" max="1" width="24.85546875" bestFit="1" customWidth="1"/>
    <col min="2" max="3" width="18.28515625" style="1" bestFit="1" customWidth="1"/>
    <col min="4" max="4" width="4.28515625" customWidth="1"/>
    <col min="5" max="5" width="5.140625" bestFit="1" customWidth="1"/>
    <col min="6" max="6" width="15.5703125" bestFit="1" customWidth="1"/>
    <col min="7" max="7" width="11.5703125" bestFit="1" customWidth="1"/>
    <col min="8" max="8" width="8" bestFit="1" customWidth="1"/>
  </cols>
  <sheetData>
    <row r="1" spans="1:8" x14ac:dyDescent="0.25">
      <c r="A1" s="2" t="s">
        <v>11</v>
      </c>
      <c r="B1" s="7">
        <v>2005</v>
      </c>
      <c r="C1" s="7">
        <v>2006</v>
      </c>
      <c r="G1" s="2">
        <f>B1</f>
        <v>2005</v>
      </c>
      <c r="H1" s="2">
        <f>C1</f>
        <v>2006</v>
      </c>
    </row>
    <row r="2" spans="1:8" ht="15.75" x14ac:dyDescent="0.25">
      <c r="A2" s="6" t="s">
        <v>4</v>
      </c>
      <c r="B2" s="4">
        <v>620000</v>
      </c>
      <c r="C2" s="4">
        <v>881800</v>
      </c>
      <c r="E2" t="s">
        <v>62</v>
      </c>
      <c r="F2" t="s">
        <v>67</v>
      </c>
      <c r="G2" s="1">
        <f>(DRE!B20+-1*DRE!B11)*100/B4</f>
        <v>20.258450704225353</v>
      </c>
      <c r="H2" s="1">
        <f>(DRE!C20+-1*DRE!C11)*100/C4</f>
        <v>22.865242718446602</v>
      </c>
    </row>
    <row r="3" spans="1:8" ht="15.75" x14ac:dyDescent="0.25">
      <c r="A3" s="6" t="s">
        <v>59</v>
      </c>
      <c r="B3" s="4">
        <v>105825</v>
      </c>
      <c r="C3" s="4">
        <v>154120</v>
      </c>
      <c r="D3" s="4"/>
    </row>
    <row r="4" spans="1:8" ht="15.75" x14ac:dyDescent="0.25">
      <c r="A4" s="6" t="s">
        <v>10</v>
      </c>
      <c r="B4" s="4">
        <v>3550000</v>
      </c>
      <c r="C4" s="4">
        <v>5150000</v>
      </c>
      <c r="E4" t="s">
        <v>63</v>
      </c>
      <c r="F4" t="s">
        <v>68</v>
      </c>
      <c r="G4" s="12">
        <f>DRE!B11*100/B9</f>
        <v>-93.316416322187209</v>
      </c>
      <c r="H4" s="12">
        <f>DRE!C11*100/C9</f>
        <v>-103.83747178329571</v>
      </c>
    </row>
    <row r="6" spans="1:8" x14ac:dyDescent="0.25">
      <c r="A6" s="2" t="s">
        <v>26</v>
      </c>
      <c r="B6" s="7">
        <v>2005</v>
      </c>
      <c r="C6" s="7">
        <v>2006</v>
      </c>
      <c r="E6" t="s">
        <v>65</v>
      </c>
      <c r="F6" t="s">
        <v>69</v>
      </c>
      <c r="G6" s="1">
        <f>DRE!B20*100/B10</f>
        <v>4.0702592087312413</v>
      </c>
      <c r="H6" s="1">
        <f>DRE!C20*100/C10</f>
        <v>4.8596959954112515</v>
      </c>
    </row>
    <row r="7" spans="1:8" ht="15.75" x14ac:dyDescent="0.25">
      <c r="A7" s="6" t="s">
        <v>16</v>
      </c>
      <c r="B7" s="4">
        <v>420825</v>
      </c>
      <c r="C7" s="4">
        <v>569000</v>
      </c>
      <c r="G7" s="1"/>
      <c r="H7" s="1"/>
    </row>
    <row r="8" spans="1:8" ht="15.75" x14ac:dyDescent="0.25">
      <c r="A8" s="6" t="s">
        <v>18</v>
      </c>
      <c r="B8" s="4">
        <v>190000</v>
      </c>
      <c r="C8" s="4">
        <v>317000</v>
      </c>
      <c r="E8" t="s">
        <v>66</v>
      </c>
      <c r="F8" t="s">
        <v>70</v>
      </c>
      <c r="G8" s="1">
        <f>G6/G2</f>
        <v>0.20091660848883658</v>
      </c>
      <c r="H8" s="1">
        <f>H6/H2</f>
        <v>0.21253638350799914</v>
      </c>
    </row>
    <row r="9" spans="1:8" ht="15.75" x14ac:dyDescent="0.25">
      <c r="A9" s="6" t="s">
        <v>64</v>
      </c>
      <c r="B9" s="4">
        <f>SUM(B7:B8)</f>
        <v>610825</v>
      </c>
      <c r="C9" s="4">
        <f>SUM(C7:C8)</f>
        <v>886000</v>
      </c>
      <c r="G9" s="1"/>
      <c r="H9" s="1"/>
    </row>
    <row r="10" spans="1:8" ht="15.75" x14ac:dyDescent="0.25">
      <c r="A10" s="6" t="s">
        <v>25</v>
      </c>
      <c r="B10" s="4">
        <v>3665000</v>
      </c>
      <c r="C10" s="4">
        <v>5299920</v>
      </c>
      <c r="G10" s="1"/>
      <c r="H10" s="1"/>
    </row>
    <row r="11" spans="1:8" ht="18.75" x14ac:dyDescent="0.3">
      <c r="A11" s="5" t="s">
        <v>27</v>
      </c>
      <c r="B11" s="3">
        <v>4275825</v>
      </c>
      <c r="C11" s="3">
        <v>6185920</v>
      </c>
      <c r="G11" s="1"/>
      <c r="H11" s="1"/>
    </row>
    <row r="12" spans="1:8" x14ac:dyDescent="0.25">
      <c r="G12" s="1"/>
      <c r="H12" s="1"/>
    </row>
    <row r="13" spans="1:8" x14ac:dyDescent="0.25">
      <c r="G13" s="1"/>
      <c r="H13" s="1"/>
    </row>
    <row r="14" spans="1:8" x14ac:dyDescent="0.25">
      <c r="G14" s="1"/>
      <c r="H14" s="1"/>
    </row>
    <row r="15" spans="1:8" x14ac:dyDescent="0.25">
      <c r="G15" s="1"/>
      <c r="H15" s="1"/>
    </row>
    <row r="17" spans="1:3" ht="18.75" x14ac:dyDescent="0.3">
      <c r="A17" s="3" t="s">
        <v>28</v>
      </c>
      <c r="B17" s="3">
        <v>4275825</v>
      </c>
      <c r="C17" s="3">
        <v>6185920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11"/>
  <sheetViews>
    <sheetView tabSelected="1" workbookViewId="0">
      <selection activeCell="H39" sqref="H39"/>
    </sheetView>
  </sheetViews>
  <sheetFormatPr defaultRowHeight="15" x14ac:dyDescent="0.25"/>
  <cols>
    <col min="1" max="1" width="3.42578125" customWidth="1"/>
    <col min="2" max="2" width="25.42578125" customWidth="1"/>
    <col min="3" max="3" width="14.42578125" bestFit="1" customWidth="1"/>
    <col min="4" max="4" width="14" bestFit="1" customWidth="1"/>
  </cols>
  <sheetData>
    <row r="1" spans="2:4" ht="15.75" thickBot="1" x14ac:dyDescent="0.3"/>
    <row r="2" spans="2:4" ht="15.75" thickBot="1" x14ac:dyDescent="0.3">
      <c r="B2" s="41" t="s">
        <v>57</v>
      </c>
      <c r="C2" s="42"/>
      <c r="D2" s="43"/>
    </row>
    <row r="3" spans="2:4" x14ac:dyDescent="0.25">
      <c r="B3" s="16" t="s">
        <v>50</v>
      </c>
      <c r="C3" s="17">
        <f>BP!B1</f>
        <v>2005</v>
      </c>
      <c r="D3" s="18">
        <v>2006</v>
      </c>
    </row>
    <row r="4" spans="2:4" x14ac:dyDescent="0.25">
      <c r="B4" s="19" t="s">
        <v>51</v>
      </c>
      <c r="C4" s="24">
        <f>SUM(C5:C6)</f>
        <v>430000</v>
      </c>
      <c r="D4" s="25">
        <f>SUM(D5:D6)</f>
        <v>645500</v>
      </c>
    </row>
    <row r="5" spans="2:4" x14ac:dyDescent="0.25">
      <c r="B5" s="20" t="str">
        <f>BP!A4</f>
        <v>Duplicatas a receber</v>
      </c>
      <c r="C5" s="26">
        <f>BP!B4</f>
        <v>200000</v>
      </c>
      <c r="D5" s="27">
        <f>BP!C4</f>
        <v>360000</v>
      </c>
    </row>
    <row r="6" spans="2:4" x14ac:dyDescent="0.25">
      <c r="B6" s="20" t="str">
        <f>BP!A5</f>
        <v>Estoques</v>
      </c>
      <c r="C6" s="26">
        <f>BP!B5</f>
        <v>230000</v>
      </c>
      <c r="D6" s="27">
        <f>BP!C5</f>
        <v>285500</v>
      </c>
    </row>
    <row r="7" spans="2:4" x14ac:dyDescent="0.25">
      <c r="B7" s="14"/>
      <c r="C7" s="28"/>
      <c r="D7" s="29"/>
    </row>
    <row r="8" spans="2:4" x14ac:dyDescent="0.25">
      <c r="B8" s="19" t="s">
        <v>52</v>
      </c>
      <c r="C8" s="30">
        <f>SUM(C9:C11)</f>
        <v>353325</v>
      </c>
      <c r="D8" s="31">
        <f>SUM(D9:D11)</f>
        <v>483690</v>
      </c>
    </row>
    <row r="9" spans="2:4" x14ac:dyDescent="0.25">
      <c r="B9" s="20" t="str">
        <f>BP!E2</f>
        <v>Fornecedores</v>
      </c>
      <c r="C9" s="26">
        <f>BP!F2</f>
        <v>155000</v>
      </c>
      <c r="D9" s="27">
        <f>BP!G2</f>
        <v>195000</v>
      </c>
    </row>
    <row r="10" spans="2:4" x14ac:dyDescent="0.25">
      <c r="B10" s="20" t="str">
        <f>BP!E3</f>
        <v>Impostos a pagar</v>
      </c>
      <c r="C10" s="26">
        <f>BP!F3</f>
        <v>80325</v>
      </c>
      <c r="D10" s="27">
        <f>BP!G3</f>
        <v>138690</v>
      </c>
    </row>
    <row r="11" spans="2:4" x14ac:dyDescent="0.25">
      <c r="B11" s="20" t="str">
        <f>BP!E4</f>
        <v>Salários a pagar</v>
      </c>
      <c r="C11" s="26">
        <f>BP!F4</f>
        <v>118000</v>
      </c>
      <c r="D11" s="27">
        <f>BP!G4</f>
        <v>150000</v>
      </c>
    </row>
    <row r="12" spans="2:4" ht="9" customHeight="1" x14ac:dyDescent="0.25">
      <c r="B12" s="14"/>
      <c r="C12" s="28"/>
      <c r="D12" s="29"/>
    </row>
    <row r="13" spans="2:4" x14ac:dyDescent="0.25">
      <c r="B13" s="22" t="s">
        <v>53</v>
      </c>
      <c r="C13" s="37">
        <f>C4-C8</f>
        <v>76675</v>
      </c>
      <c r="D13" s="38">
        <f>D4-D8</f>
        <v>161810</v>
      </c>
    </row>
    <row r="14" spans="2:4" ht="15.75" thickBot="1" x14ac:dyDescent="0.3">
      <c r="B14" s="23"/>
      <c r="C14" s="39"/>
      <c r="D14" s="40"/>
    </row>
    <row r="15" spans="2:4" ht="15.75" thickBot="1" x14ac:dyDescent="0.3">
      <c r="C15" s="32"/>
      <c r="D15" s="32"/>
    </row>
    <row r="16" spans="2:4" ht="15.75" thickBot="1" x14ac:dyDescent="0.3">
      <c r="B16" s="41" t="s">
        <v>58</v>
      </c>
      <c r="C16" s="42"/>
      <c r="D16" s="43"/>
    </row>
    <row r="17" spans="2:4" x14ac:dyDescent="0.25">
      <c r="B17" s="52" t="s">
        <v>50</v>
      </c>
      <c r="C17" s="53">
        <f>BP!B1</f>
        <v>2005</v>
      </c>
      <c r="D17" s="54">
        <f>BP!C1</f>
        <v>2006</v>
      </c>
    </row>
    <row r="18" spans="2:4" x14ac:dyDescent="0.25">
      <c r="B18" s="19" t="s">
        <v>54</v>
      </c>
      <c r="C18" s="24">
        <f>SUM(C19:C20)</f>
        <v>190000</v>
      </c>
      <c r="D18" s="25">
        <f>SUM(D19:D20)</f>
        <v>236300</v>
      </c>
    </row>
    <row r="19" spans="2:4" x14ac:dyDescent="0.25">
      <c r="B19" s="20" t="str">
        <f>BP!A2</f>
        <v>Caixa</v>
      </c>
      <c r="C19" s="26">
        <f>BP!B2</f>
        <v>35000</v>
      </c>
      <c r="D19" s="27">
        <f>BP!C2</f>
        <v>43800</v>
      </c>
    </row>
    <row r="20" spans="2:4" x14ac:dyDescent="0.25">
      <c r="B20" s="20" t="str">
        <f>BP!A3</f>
        <v>Bancos</v>
      </c>
      <c r="C20" s="26">
        <f>BP!B3</f>
        <v>155000</v>
      </c>
      <c r="D20" s="27">
        <f>BP!C3</f>
        <v>192500</v>
      </c>
    </row>
    <row r="21" spans="2:4" x14ac:dyDescent="0.25">
      <c r="B21" s="20"/>
      <c r="C21" s="26"/>
      <c r="D21" s="27"/>
    </row>
    <row r="22" spans="2:4" x14ac:dyDescent="0.25">
      <c r="B22" s="19" t="s">
        <v>55</v>
      </c>
      <c r="C22" s="30">
        <f>SUM(C23:C24)</f>
        <v>488325</v>
      </c>
      <c r="D22" s="31">
        <f>SUM(D23:D24)</f>
        <v>654310</v>
      </c>
    </row>
    <row r="23" spans="2:4" x14ac:dyDescent="0.25">
      <c r="B23" s="20" t="str">
        <f>BP!E5</f>
        <v>Empréstimos a pagar</v>
      </c>
      <c r="C23" s="26">
        <f>BP!F5</f>
        <v>67500</v>
      </c>
      <c r="D23" s="27">
        <f>BP!G5</f>
        <v>85310</v>
      </c>
    </row>
    <row r="24" spans="2:4" x14ac:dyDescent="0.25">
      <c r="B24" s="20" t="str">
        <f>BP!E6</f>
        <v>Passivo Circulante</v>
      </c>
      <c r="C24" s="26">
        <f>BP!F6</f>
        <v>420825</v>
      </c>
      <c r="D24" s="27">
        <f>BP!G6</f>
        <v>569000</v>
      </c>
    </row>
    <row r="25" spans="2:4" ht="7.5" customHeight="1" x14ac:dyDescent="0.25">
      <c r="B25" s="20"/>
      <c r="C25" s="26"/>
      <c r="D25" s="27"/>
    </row>
    <row r="26" spans="2:4" x14ac:dyDescent="0.25">
      <c r="B26" s="22" t="s">
        <v>56</v>
      </c>
      <c r="C26" s="33">
        <f>C18-C22</f>
        <v>-298325</v>
      </c>
      <c r="D26" s="34">
        <f>D18-D22</f>
        <v>-418010</v>
      </c>
    </row>
    <row r="27" spans="2:4" ht="8.25" customHeight="1" thickBot="1" x14ac:dyDescent="0.3">
      <c r="B27" s="23"/>
      <c r="C27" s="35"/>
      <c r="D27" s="36"/>
    </row>
    <row r="28" spans="2:4" ht="15.75" thickBot="1" x14ac:dyDescent="0.3">
      <c r="C28" s="32"/>
      <c r="D28" s="32"/>
    </row>
    <row r="29" spans="2:4" ht="15.75" thickBot="1" x14ac:dyDescent="0.3">
      <c r="B29" s="58" t="s">
        <v>50</v>
      </c>
      <c r="C29" s="59">
        <f>BP!B1</f>
        <v>2005</v>
      </c>
      <c r="D29" s="60">
        <f>BP!C1</f>
        <v>2006</v>
      </c>
    </row>
    <row r="30" spans="2:4" ht="15.75" x14ac:dyDescent="0.25">
      <c r="B30" s="55" t="str">
        <f>BP!A9</f>
        <v>Realizável a Longo Prazo</v>
      </c>
      <c r="C30" s="56">
        <f>SUM(C31:C32)</f>
        <v>105825</v>
      </c>
      <c r="D30" s="57">
        <f>SUM(D31:D32)</f>
        <v>154120</v>
      </c>
    </row>
    <row r="31" spans="2:4" x14ac:dyDescent="0.25">
      <c r="B31" s="20" t="str">
        <f>BP!A7</f>
        <v>Contas a receber</v>
      </c>
      <c r="C31" s="15">
        <f>BP!B7</f>
        <v>85535</v>
      </c>
      <c r="D31" s="21">
        <f>BP!C7</f>
        <v>93120</v>
      </c>
    </row>
    <row r="32" spans="2:4" x14ac:dyDescent="0.25">
      <c r="B32" s="20" t="str">
        <f>BP!A8</f>
        <v>Despesas Antecipadas (LP)</v>
      </c>
      <c r="C32" s="15">
        <f>BP!B8</f>
        <v>20290</v>
      </c>
      <c r="D32" s="21">
        <f>BP!C8</f>
        <v>61000</v>
      </c>
    </row>
    <row r="33" spans="2:4" ht="11.25" customHeight="1" x14ac:dyDescent="0.25">
      <c r="B33" s="20"/>
      <c r="C33" s="44"/>
      <c r="D33" s="46"/>
    </row>
    <row r="34" spans="2:4" x14ac:dyDescent="0.25">
      <c r="B34" s="19" t="str">
        <f>BP!E9</f>
        <v>Exigível a Longo Prazo</v>
      </c>
      <c r="C34" s="24">
        <f>SUM(C35:C36)</f>
        <v>190000</v>
      </c>
      <c r="D34" s="25">
        <f>SUM(D35:D36)</f>
        <v>317000</v>
      </c>
    </row>
    <row r="35" spans="2:4" x14ac:dyDescent="0.25">
      <c r="B35" s="47" t="str">
        <f>BP!E7</f>
        <v>Empréstimos a pagar</v>
      </c>
      <c r="C35" s="45">
        <f>BP!F7</f>
        <v>35000</v>
      </c>
      <c r="D35" s="48">
        <f>BP!G7</f>
        <v>67000</v>
      </c>
    </row>
    <row r="36" spans="2:4" x14ac:dyDescent="0.25">
      <c r="B36" s="47" t="str">
        <f>BP!E8</f>
        <v>Empréstimos do exterior</v>
      </c>
      <c r="C36" s="45">
        <f>BP!F8</f>
        <v>155000</v>
      </c>
      <c r="D36" s="48">
        <f>BP!G8</f>
        <v>250000</v>
      </c>
    </row>
    <row r="37" spans="2:4" ht="6.75" customHeight="1" x14ac:dyDescent="0.25">
      <c r="B37" s="47"/>
      <c r="C37" s="45"/>
      <c r="D37" s="48"/>
    </row>
    <row r="38" spans="2:4" ht="15.75" thickBot="1" x14ac:dyDescent="0.3">
      <c r="B38" s="49" t="s">
        <v>60</v>
      </c>
      <c r="C38" s="50">
        <f>C30-C34</f>
        <v>-84175</v>
      </c>
      <c r="D38" s="51">
        <f>D30-D34</f>
        <v>-162880</v>
      </c>
    </row>
    <row r="39" spans="2:4" ht="15.75" thickBot="1" x14ac:dyDescent="0.3">
      <c r="C39" s="32"/>
      <c r="D39" s="32"/>
    </row>
    <row r="40" spans="2:4" x14ac:dyDescent="0.25">
      <c r="B40" s="16" t="str">
        <f>BP!E16</f>
        <v>Patrimônio Líquido</v>
      </c>
      <c r="C40" s="61">
        <f>BP!F16</f>
        <v>3665000</v>
      </c>
      <c r="D40" s="62">
        <f>BP!G16</f>
        <v>5299920</v>
      </c>
    </row>
    <row r="41" spans="2:4" x14ac:dyDescent="0.25">
      <c r="B41" s="19" t="str">
        <f>BP!A13</f>
        <v>Ativo Permanente</v>
      </c>
      <c r="C41" s="24">
        <f>SUM(C42:C44)</f>
        <v>3550000</v>
      </c>
      <c r="D41" s="25">
        <f>SUM(D42:D44)</f>
        <v>5150000</v>
      </c>
    </row>
    <row r="42" spans="2:4" x14ac:dyDescent="0.25">
      <c r="B42" s="20" t="str">
        <f>BP!A10</f>
        <v>Investimentos</v>
      </c>
      <c r="C42" s="15">
        <f>BP!B10</f>
        <v>700000</v>
      </c>
      <c r="D42" s="21">
        <f>BP!C10</f>
        <v>1300000</v>
      </c>
    </row>
    <row r="43" spans="2:4" x14ac:dyDescent="0.25">
      <c r="B43" s="20" t="str">
        <f>BP!A11</f>
        <v>Imobilizado</v>
      </c>
      <c r="C43" s="15">
        <f>BP!B11</f>
        <v>2500000</v>
      </c>
      <c r="D43" s="21">
        <f>BP!C11</f>
        <v>3400000</v>
      </c>
    </row>
    <row r="44" spans="2:4" x14ac:dyDescent="0.25">
      <c r="B44" s="20" t="str">
        <f>BP!A12</f>
        <v>Diferido Líquido</v>
      </c>
      <c r="C44" s="15">
        <f>BP!B12</f>
        <v>350000</v>
      </c>
      <c r="D44" s="21">
        <f>BP!C12</f>
        <v>450000</v>
      </c>
    </row>
    <row r="45" spans="2:4" ht="15.75" thickBot="1" x14ac:dyDescent="0.3">
      <c r="B45" s="49" t="s">
        <v>61</v>
      </c>
      <c r="C45" s="50">
        <f>C40-C41</f>
        <v>115000</v>
      </c>
      <c r="D45" s="51">
        <f>D40-D41</f>
        <v>149920</v>
      </c>
    </row>
    <row r="46" spans="2:4" x14ac:dyDescent="0.25">
      <c r="C46" s="32"/>
      <c r="D46" s="32"/>
    </row>
    <row r="47" spans="2:4" x14ac:dyDescent="0.25">
      <c r="C47" s="32"/>
      <c r="D47" s="32"/>
    </row>
    <row r="48" spans="2:4" x14ac:dyDescent="0.25">
      <c r="C48" s="32"/>
      <c r="D48" s="32"/>
    </row>
    <row r="49" spans="3:4" x14ac:dyDescent="0.25">
      <c r="C49" s="32"/>
      <c r="D49" s="32"/>
    </row>
    <row r="50" spans="3:4" x14ac:dyDescent="0.25">
      <c r="C50" s="32"/>
      <c r="D50" s="32"/>
    </row>
    <row r="51" spans="3:4" x14ac:dyDescent="0.25">
      <c r="C51" s="32"/>
      <c r="D51" s="32"/>
    </row>
    <row r="52" spans="3:4" x14ac:dyDescent="0.25">
      <c r="C52" s="32"/>
      <c r="D52" s="32"/>
    </row>
    <row r="53" spans="3:4" x14ac:dyDescent="0.25">
      <c r="C53" s="32"/>
      <c r="D53" s="32"/>
    </row>
    <row r="54" spans="3:4" x14ac:dyDescent="0.25">
      <c r="C54" s="32"/>
      <c r="D54" s="32"/>
    </row>
    <row r="55" spans="3:4" x14ac:dyDescent="0.25">
      <c r="C55" s="32"/>
      <c r="D55" s="32"/>
    </row>
    <row r="56" spans="3:4" x14ac:dyDescent="0.25">
      <c r="C56" s="32"/>
      <c r="D56" s="32"/>
    </row>
    <row r="57" spans="3:4" x14ac:dyDescent="0.25">
      <c r="C57" s="32"/>
      <c r="D57" s="32"/>
    </row>
    <row r="58" spans="3:4" x14ac:dyDescent="0.25">
      <c r="C58" s="32"/>
      <c r="D58" s="32"/>
    </row>
    <row r="59" spans="3:4" x14ac:dyDescent="0.25">
      <c r="C59" s="32"/>
      <c r="D59" s="32"/>
    </row>
    <row r="60" spans="3:4" x14ac:dyDescent="0.25">
      <c r="C60" s="32"/>
      <c r="D60" s="32"/>
    </row>
    <row r="61" spans="3:4" x14ac:dyDescent="0.25">
      <c r="C61" s="32"/>
      <c r="D61" s="32"/>
    </row>
    <row r="62" spans="3:4" x14ac:dyDescent="0.25">
      <c r="C62" s="32"/>
      <c r="D62" s="32"/>
    </row>
    <row r="63" spans="3:4" x14ac:dyDescent="0.25">
      <c r="C63" s="32"/>
      <c r="D63" s="32"/>
    </row>
    <row r="64" spans="3:4" x14ac:dyDescent="0.25">
      <c r="C64" s="32"/>
      <c r="D64" s="32"/>
    </row>
    <row r="65" spans="3:4" x14ac:dyDescent="0.25">
      <c r="C65" s="32"/>
      <c r="D65" s="32"/>
    </row>
    <row r="66" spans="3:4" x14ac:dyDescent="0.25">
      <c r="C66" s="32"/>
      <c r="D66" s="32"/>
    </row>
    <row r="67" spans="3:4" x14ac:dyDescent="0.25">
      <c r="C67" s="32"/>
      <c r="D67" s="32"/>
    </row>
    <row r="68" spans="3:4" x14ac:dyDescent="0.25">
      <c r="C68" s="32"/>
      <c r="D68" s="32"/>
    </row>
    <row r="69" spans="3:4" x14ac:dyDescent="0.25">
      <c r="C69" s="32"/>
      <c r="D69" s="32"/>
    </row>
    <row r="70" spans="3:4" x14ac:dyDescent="0.25">
      <c r="C70" s="32"/>
      <c r="D70" s="32"/>
    </row>
    <row r="71" spans="3:4" x14ac:dyDescent="0.25">
      <c r="C71" s="32"/>
      <c r="D71" s="32"/>
    </row>
    <row r="72" spans="3:4" x14ac:dyDescent="0.25">
      <c r="C72" s="32"/>
      <c r="D72" s="32"/>
    </row>
    <row r="73" spans="3:4" x14ac:dyDescent="0.25">
      <c r="C73" s="32"/>
      <c r="D73" s="32"/>
    </row>
    <row r="74" spans="3:4" x14ac:dyDescent="0.25">
      <c r="C74" s="32"/>
      <c r="D74" s="32"/>
    </row>
    <row r="75" spans="3:4" x14ac:dyDescent="0.25">
      <c r="C75" s="32"/>
      <c r="D75" s="32"/>
    </row>
    <row r="76" spans="3:4" x14ac:dyDescent="0.25">
      <c r="C76" s="32"/>
      <c r="D76" s="32"/>
    </row>
    <row r="77" spans="3:4" x14ac:dyDescent="0.25">
      <c r="C77" s="32"/>
      <c r="D77" s="32"/>
    </row>
    <row r="78" spans="3:4" x14ac:dyDescent="0.25">
      <c r="C78" s="32"/>
      <c r="D78" s="32"/>
    </row>
    <row r="79" spans="3:4" x14ac:dyDescent="0.25">
      <c r="C79" s="32"/>
      <c r="D79" s="32"/>
    </row>
    <row r="80" spans="3:4" x14ac:dyDescent="0.25">
      <c r="C80" s="32"/>
      <c r="D80" s="32"/>
    </row>
    <row r="81" spans="3:4" x14ac:dyDescent="0.25">
      <c r="C81" s="32"/>
      <c r="D81" s="32"/>
    </row>
    <row r="82" spans="3:4" x14ac:dyDescent="0.25">
      <c r="C82" s="32"/>
      <c r="D82" s="32"/>
    </row>
    <row r="83" spans="3:4" x14ac:dyDescent="0.25">
      <c r="C83" s="32"/>
      <c r="D83" s="32"/>
    </row>
    <row r="84" spans="3:4" x14ac:dyDescent="0.25">
      <c r="C84" s="32"/>
      <c r="D84" s="32"/>
    </row>
    <row r="85" spans="3:4" x14ac:dyDescent="0.25">
      <c r="C85" s="32"/>
      <c r="D85" s="32"/>
    </row>
    <row r="86" spans="3:4" x14ac:dyDescent="0.25">
      <c r="C86" s="32"/>
      <c r="D86" s="32"/>
    </row>
    <row r="87" spans="3:4" x14ac:dyDescent="0.25">
      <c r="C87" s="32"/>
      <c r="D87" s="32"/>
    </row>
    <row r="88" spans="3:4" x14ac:dyDescent="0.25">
      <c r="C88" s="32"/>
      <c r="D88" s="32"/>
    </row>
    <row r="89" spans="3:4" x14ac:dyDescent="0.25">
      <c r="C89" s="32"/>
      <c r="D89" s="32"/>
    </row>
    <row r="90" spans="3:4" x14ac:dyDescent="0.25">
      <c r="C90" s="32"/>
      <c r="D90" s="32"/>
    </row>
    <row r="91" spans="3:4" x14ac:dyDescent="0.25">
      <c r="C91" s="32"/>
      <c r="D91" s="32"/>
    </row>
    <row r="92" spans="3:4" x14ac:dyDescent="0.25">
      <c r="C92" s="32"/>
      <c r="D92" s="32"/>
    </row>
    <row r="93" spans="3:4" x14ac:dyDescent="0.25">
      <c r="C93" s="32"/>
      <c r="D93" s="32"/>
    </row>
    <row r="94" spans="3:4" x14ac:dyDescent="0.25">
      <c r="C94" s="32"/>
      <c r="D94" s="32"/>
    </row>
    <row r="95" spans="3:4" x14ac:dyDescent="0.25">
      <c r="C95" s="32"/>
      <c r="D95" s="32"/>
    </row>
    <row r="96" spans="3:4" x14ac:dyDescent="0.25">
      <c r="C96" s="32"/>
      <c r="D96" s="32"/>
    </row>
    <row r="97" spans="3:4" x14ac:dyDescent="0.25">
      <c r="C97" s="32"/>
      <c r="D97" s="32"/>
    </row>
    <row r="98" spans="3:4" x14ac:dyDescent="0.25">
      <c r="C98" s="32"/>
      <c r="D98" s="32"/>
    </row>
    <row r="99" spans="3:4" x14ac:dyDescent="0.25">
      <c r="C99" s="32"/>
      <c r="D99" s="32"/>
    </row>
    <row r="100" spans="3:4" x14ac:dyDescent="0.25">
      <c r="C100" s="32"/>
      <c r="D100" s="32"/>
    </row>
    <row r="101" spans="3:4" x14ac:dyDescent="0.25">
      <c r="C101" s="32"/>
      <c r="D101" s="32"/>
    </row>
    <row r="102" spans="3:4" x14ac:dyDescent="0.25">
      <c r="C102" s="32"/>
      <c r="D102" s="32"/>
    </row>
    <row r="103" spans="3:4" x14ac:dyDescent="0.25">
      <c r="C103" s="32"/>
      <c r="D103" s="32"/>
    </row>
    <row r="104" spans="3:4" x14ac:dyDescent="0.25">
      <c r="C104" s="32"/>
      <c r="D104" s="32"/>
    </row>
    <row r="105" spans="3:4" x14ac:dyDescent="0.25">
      <c r="C105" s="32"/>
      <c r="D105" s="32"/>
    </row>
    <row r="106" spans="3:4" x14ac:dyDescent="0.25">
      <c r="C106" s="32"/>
      <c r="D106" s="32"/>
    </row>
    <row r="107" spans="3:4" x14ac:dyDescent="0.25">
      <c r="C107" s="32"/>
      <c r="D107" s="32"/>
    </row>
    <row r="108" spans="3:4" x14ac:dyDescent="0.25">
      <c r="C108" s="32"/>
      <c r="D108" s="32"/>
    </row>
    <row r="109" spans="3:4" x14ac:dyDescent="0.25">
      <c r="C109" s="32"/>
      <c r="D109" s="32"/>
    </row>
    <row r="110" spans="3:4" x14ac:dyDescent="0.25">
      <c r="C110" s="32"/>
      <c r="D110" s="32"/>
    </row>
    <row r="111" spans="3:4" x14ac:dyDescent="0.25">
      <c r="C111" s="32"/>
      <c r="D111" s="32"/>
    </row>
  </sheetData>
  <mergeCells count="8">
    <mergeCell ref="B2:D2"/>
    <mergeCell ref="B16:D16"/>
    <mergeCell ref="B13:B14"/>
    <mergeCell ref="C13:C14"/>
    <mergeCell ref="D13:D14"/>
    <mergeCell ref="B26:B27"/>
    <mergeCell ref="C26:C27"/>
    <mergeCell ref="D26:D27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BP</vt:lpstr>
      <vt:lpstr>DRE</vt:lpstr>
      <vt:lpstr>Índices</vt:lpstr>
      <vt:lpstr>Análises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Computador</dc:creator>
  <cp:lastModifiedBy>Computador</cp:lastModifiedBy>
  <dcterms:created xsi:type="dcterms:W3CDTF">2018-03-22T14:36:18Z</dcterms:created>
  <dcterms:modified xsi:type="dcterms:W3CDTF">2018-03-22T18:12:03Z</dcterms:modified>
</cp:coreProperties>
</file>