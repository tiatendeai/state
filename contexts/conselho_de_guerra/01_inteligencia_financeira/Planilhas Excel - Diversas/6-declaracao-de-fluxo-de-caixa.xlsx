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os\NINJA DO EXCEL\Templates Excel\Financeiro\"/>
    </mc:Choice>
  </mc:AlternateContent>
  <bookViews>
    <workbookView xWindow="0" yWindow="0" windowWidth="28800" windowHeight="12210"/>
  </bookViews>
  <sheets>
    <sheet name="Declaração de Fluxo de caixa" sheetId="1" r:id="rId1"/>
  </sheets>
  <definedNames>
    <definedName name="DataInícioAnoFiscal">'Declaração de Fluxo de caixa'!$B$4</definedName>
  </definedNames>
  <calcPr calcId="162913"/>
</workbook>
</file>

<file path=xl/calcChain.xml><?xml version="1.0" encoding="utf-8"?>
<calcChain xmlns="http://schemas.openxmlformats.org/spreadsheetml/2006/main">
  <c r="R9" i="1" l="1"/>
  <c r="R10" i="1"/>
  <c r="R11" i="1"/>
  <c r="G12" i="1"/>
  <c r="D13" i="1"/>
  <c r="D48" i="1" s="1"/>
  <c r="E6" i="1" s="1"/>
  <c r="E13" i="1" s="1"/>
  <c r="E48" i="1" s="1"/>
  <c r="F6" i="1" s="1"/>
  <c r="F13" i="1" s="1"/>
  <c r="F48" i="1" s="1"/>
  <c r="G6" i="1" s="1"/>
  <c r="G13" i="1" s="1"/>
  <c r="G48" i="1" s="1"/>
  <c r="H6" i="1" s="1"/>
  <c r="H13" i="1" s="1"/>
  <c r="H48" i="1" s="1"/>
  <c r="I6" i="1" s="1"/>
  <c r="I13" i="1" s="1"/>
  <c r="I48" i="1" s="1"/>
  <c r="J6" i="1" s="1"/>
  <c r="J13" i="1" s="1"/>
  <c r="J48" i="1" s="1"/>
  <c r="K6" i="1" s="1"/>
  <c r="K13" i="1" s="1"/>
  <c r="K48" i="1" s="1"/>
  <c r="L6" i="1" s="1"/>
  <c r="L13" i="1" s="1"/>
  <c r="L48" i="1" s="1"/>
  <c r="M6" i="1" s="1"/>
  <c r="M13" i="1" s="1"/>
  <c r="M48" i="1" s="1"/>
  <c r="N6" i="1" s="1"/>
  <c r="N13" i="1" s="1"/>
  <c r="N48" i="1" s="1"/>
  <c r="O6" i="1" s="1"/>
  <c r="O13" i="1" s="1"/>
  <c r="O48" i="1" s="1"/>
  <c r="P6" i="1" s="1"/>
  <c r="D46" i="1"/>
  <c r="E46" i="1"/>
  <c r="F46" i="1"/>
  <c r="G46" i="1"/>
  <c r="G45" i="1"/>
  <c r="R35" i="1"/>
  <c r="F37" i="1"/>
  <c r="E12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P3" i="1"/>
  <c r="O3" i="1"/>
  <c r="N3" i="1"/>
  <c r="L3" i="1"/>
  <c r="M3" i="1"/>
  <c r="K3" i="1"/>
  <c r="J3" i="1"/>
  <c r="I3" i="1"/>
  <c r="H3" i="1"/>
  <c r="G3" i="1"/>
  <c r="F3" i="1"/>
  <c r="E3" i="1"/>
  <c r="D12" i="1"/>
  <c r="F12" i="1"/>
  <c r="H12" i="1"/>
  <c r="I12" i="1"/>
  <c r="J12" i="1"/>
  <c r="K12" i="1"/>
  <c r="L12" i="1"/>
  <c r="M12" i="1"/>
  <c r="N12" i="1"/>
  <c r="O12" i="1"/>
  <c r="P12" i="1"/>
  <c r="H46" i="1"/>
  <c r="I46" i="1"/>
  <c r="J46" i="1"/>
  <c r="K46" i="1"/>
  <c r="L46" i="1"/>
  <c r="M46" i="1"/>
  <c r="N46" i="1"/>
  <c r="O46" i="1"/>
  <c r="P46" i="1"/>
  <c r="P45" i="1"/>
  <c r="O45" i="1"/>
  <c r="N45" i="1"/>
  <c r="M45" i="1"/>
  <c r="L45" i="1"/>
  <c r="K45" i="1"/>
  <c r="J45" i="1"/>
  <c r="I45" i="1"/>
  <c r="H45" i="1"/>
  <c r="F45" i="1"/>
  <c r="E45" i="1"/>
  <c r="D45" i="1"/>
  <c r="R44" i="1"/>
  <c r="R43" i="1"/>
  <c r="R42" i="1"/>
  <c r="R41" i="1"/>
  <c r="R40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6" i="1"/>
  <c r="P37" i="1"/>
  <c r="O37" i="1"/>
  <c r="N37" i="1"/>
  <c r="M37" i="1"/>
  <c r="L37" i="1"/>
  <c r="K37" i="1"/>
  <c r="J37" i="1"/>
  <c r="I37" i="1"/>
  <c r="H37" i="1"/>
  <c r="G37" i="1"/>
  <c r="E37" i="1"/>
  <c r="D37" i="1"/>
  <c r="R17" i="1"/>
  <c r="R16" i="1"/>
  <c r="R45" i="1" l="1"/>
  <c r="R37" i="1"/>
  <c r="R46" i="1"/>
  <c r="R12" i="1"/>
  <c r="P13" i="1"/>
  <c r="P48" i="1" s="1"/>
  <c r="R6" i="1"/>
  <c r="R13" i="1" s="1"/>
  <c r="R48" i="1" l="1"/>
</calcChain>
</file>

<file path=xl/sharedStrings.xml><?xml version="1.0" encoding="utf-8"?>
<sst xmlns="http://schemas.openxmlformats.org/spreadsheetml/2006/main" count="45" uniqueCount="40">
  <si>
    <t>Início do ano fiscal:</t>
  </si>
  <si>
    <t>(Pré) Arranque</t>
  </si>
  <si>
    <t>Total</t>
  </si>
  <si>
    <t>EST</t>
  </si>
  <si>
    <t>Item EST</t>
  </si>
  <si>
    <t>À Vista (início do mês)</t>
  </si>
  <si>
    <t>Recibo</t>
  </si>
  <si>
    <t>Vendas em Dinheiro</t>
  </si>
  <si>
    <t>Coleções de Contas CR</t>
  </si>
  <si>
    <t>Empréstimo / outras injeções de dinheiro</t>
  </si>
  <si>
    <t>Total de Dinheiro Disponível (antes de sacar)</t>
  </si>
  <si>
    <t>Pagamentos</t>
  </si>
  <si>
    <t>Compras (mercadorias)</t>
  </si>
  <si>
    <t>Compras (especificar)</t>
  </si>
  <si>
    <t>Salário bruto (retirada exata)</t>
  </si>
  <si>
    <t>Descontos na folha de pagamento (impostos, etc.)</t>
  </si>
  <si>
    <t>Serviços externos</t>
  </si>
  <si>
    <t>Suprimentos (escritório e operações)</t>
  </si>
  <si>
    <t>Reparos e manutenção</t>
  </si>
  <si>
    <t>Publicidade</t>
  </si>
  <si>
    <t>Carro, viagens e entregas</t>
  </si>
  <si>
    <t>Contabilidade e jurídico</t>
  </si>
  <si>
    <t>Aluguel</t>
  </si>
  <si>
    <t>Telefone</t>
  </si>
  <si>
    <t>Utilitários</t>
  </si>
  <si>
    <t>Seguro</t>
  </si>
  <si>
    <t>Impostos (imóveis, etc.)</t>
  </si>
  <si>
    <t>Juros</t>
  </si>
  <si>
    <t>Outras despesas (especificar)</t>
  </si>
  <si>
    <t>Outros (especificar)</t>
  </si>
  <si>
    <t>Diversos</t>
  </si>
  <si>
    <t>Pagamentos (sem Lucros e Perdas)</t>
  </si>
  <si>
    <t>Pagamento Principal do Empréstimo</t>
  </si>
  <si>
    <t>Compra de capital (especificar)</t>
  </si>
  <si>
    <t>Outros custos de arranque</t>
  </si>
  <si>
    <t>Reserva e/ou garantia</t>
  </si>
  <si>
    <t>Retirada do Proprietário</t>
  </si>
  <si>
    <t>Total Pago em Dinheiro</t>
  </si>
  <si>
    <t>Posição de Caixa (final do mês)</t>
  </si>
  <si>
    <t>Declaração de Fluxo de Caixa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</si>
</sst>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mmm"/>
    <numFmt numFmtId="166" formatCode="dd"/>
    <numFmt numFmtId="167" formatCode="0_);\-0_)"/>
    <numFmt numFmtId="168" formatCode="#,##0_ ;[Red]\-#,##0\ "/>
  </numFmts>
  <fonts count="16" x14ac:knownFonts="1">
    <font>
      <sz val="10"/>
      <color theme="1" tint="0.1499679555650502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28"/>
      <color theme="4"/>
      <name val="Calibri"/>
      <family val="2"/>
      <scheme val="major"/>
    </font>
    <font>
      <b/>
      <sz val="12"/>
      <color theme="1" tint="0.14999847407452621"/>
      <name val="Calibri"/>
      <family val="2"/>
      <scheme val="major"/>
    </font>
    <font>
      <sz val="18"/>
      <color theme="1" tint="0.14996795556505021"/>
      <name val="Calibri"/>
      <family val="2"/>
      <scheme val="major"/>
    </font>
    <font>
      <sz val="11"/>
      <color theme="1" tint="0.14975432599871821"/>
      <name val="Calibri"/>
      <family val="2"/>
      <scheme val="major"/>
    </font>
    <font>
      <sz val="12"/>
      <color theme="3"/>
      <name val="Calibri"/>
      <family val="2"/>
      <scheme val="major"/>
    </font>
    <font>
      <sz val="11"/>
      <color theme="1" tint="0.14993743705557422"/>
      <name val="Calibri"/>
      <family val="2"/>
      <scheme val="major"/>
    </font>
    <font>
      <sz val="14"/>
      <color theme="1" tint="0.14975432599871821"/>
      <name val="Calibri"/>
      <family val="2"/>
      <scheme val="major"/>
    </font>
    <font>
      <sz val="10"/>
      <color theme="1" tint="0.499984740745262"/>
      <name val="Calibri"/>
      <family val="2"/>
      <scheme val="minor"/>
    </font>
    <font>
      <sz val="10"/>
      <color theme="1" tint="0.1499679555650502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theme="1" tint="0.14996795556505021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ck">
        <color theme="4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theme="0"/>
      </top>
      <bottom style="thin">
        <color theme="0"/>
      </bottom>
      <diagonal/>
    </border>
    <border>
      <left style="dotted">
        <color theme="0" tint="-0.34998626667073579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medium">
        <color theme="4" tint="0.39994506668294322"/>
      </bottom>
      <diagonal/>
    </border>
    <border>
      <left/>
      <right style="dotted">
        <color theme="0" tint="-0.34998626667073579"/>
      </right>
      <top/>
      <bottom style="medium">
        <color theme="4" tint="0.39994506668294322"/>
      </bottom>
      <diagonal/>
    </border>
  </borders>
  <cellStyleXfs count="9">
    <xf numFmtId="0" fontId="0" fillId="0" borderId="0">
      <alignment vertical="center"/>
    </xf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7" fontId="2" fillId="3" borderId="10" applyFont="0" applyAlignment="0">
      <alignment vertical="center"/>
    </xf>
    <xf numFmtId="165" fontId="8" fillId="0" borderId="2">
      <alignment horizontal="right" vertical="center" wrapText="1" indent="1"/>
    </xf>
    <xf numFmtId="164" fontId="1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3" fontId="0" fillId="0" borderId="0" xfId="0" applyNumberFormat="1" applyFont="1" applyFill="1" applyBorder="1">
      <alignment vertical="center"/>
    </xf>
    <xf numFmtId="0" fontId="0" fillId="0" borderId="0" xfId="0" applyFill="1" applyBorder="1">
      <alignment vertical="center"/>
    </xf>
    <xf numFmtId="14" fontId="2" fillId="0" borderId="0" xfId="0" applyNumberFormat="1" applyFont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horizontal="right" wrapText="1" indent="1"/>
    </xf>
    <xf numFmtId="166" fontId="3" fillId="0" borderId="0" xfId="0" applyNumberFormat="1" applyFont="1" applyFill="1" applyBorder="1" applyAlignment="1">
      <alignment horizontal="right" wrapText="1" indent="1"/>
    </xf>
    <xf numFmtId="3" fontId="3" fillId="0" borderId="0" xfId="0" applyNumberFormat="1" applyFont="1" applyFill="1" applyBorder="1" applyAlignment="1">
      <alignment horizontal="right" wrapText="1" indent="1"/>
    </xf>
    <xf numFmtId="0" fontId="9" fillId="0" borderId="0" xfId="2" applyAlignment="1">
      <alignment horizontal="left"/>
    </xf>
    <xf numFmtId="0" fontId="0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 applyAlignment="1"/>
    <xf numFmtId="0" fontId="0" fillId="0" borderId="0" xfId="0" applyAlignment="1"/>
    <xf numFmtId="0" fontId="0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3" fontId="3" fillId="0" borderId="2" xfId="0" applyNumberFormat="1" applyFont="1" applyFill="1" applyBorder="1" applyAlignment="1">
      <alignment horizontal="right" wrapText="1" indent="1"/>
    </xf>
    <xf numFmtId="3" fontId="5" fillId="0" borderId="2" xfId="0" applyNumberFormat="1" applyFont="1" applyFill="1" applyBorder="1" applyAlignment="1">
      <alignment horizontal="right" vertical="center" wrapText="1" indent="1"/>
    </xf>
    <xf numFmtId="3" fontId="2" fillId="0" borderId="3" xfId="0" applyNumberFormat="1" applyFont="1" applyFill="1" applyBorder="1" applyAlignment="1">
      <alignment horizontal="right" wrapText="1" indent="1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9" fillId="0" borderId="0" xfId="2" applyAlignment="1">
      <alignment vertical="center"/>
    </xf>
    <xf numFmtId="0" fontId="1" fillId="0" borderId="11" xfId="0" applyFont="1" applyFill="1" applyBorder="1" applyAlignment="1"/>
    <xf numFmtId="0" fontId="0" fillId="0" borderId="10" xfId="0" applyBorder="1">
      <alignment vertical="center"/>
    </xf>
    <xf numFmtId="0" fontId="1" fillId="0" borderId="10" xfId="0" applyFont="1" applyFill="1" applyBorder="1">
      <alignment vertical="center"/>
    </xf>
    <xf numFmtId="166" fontId="2" fillId="0" borderId="3" xfId="0" applyNumberFormat="1" applyFont="1" applyFill="1" applyBorder="1" applyAlignment="1">
      <alignment horizontal="right" wrapText="1" indent="1"/>
    </xf>
    <xf numFmtId="167" fontId="4" fillId="0" borderId="0" xfId="0" applyNumberFormat="1" applyFont="1" applyAlignment="1">
      <alignment horizontal="left" vertical="center" indent="1"/>
    </xf>
    <xf numFmtId="167" fontId="9" fillId="0" borderId="11" xfId="2" applyNumberFormat="1" applyFill="1" applyBorder="1" applyAlignment="1">
      <alignment horizontal="left" vertical="center"/>
    </xf>
    <xf numFmtId="165" fontId="8" fillId="0" borderId="2" xfId="6">
      <alignment horizontal="right" vertical="center" wrapText="1" indent="1"/>
    </xf>
    <xf numFmtId="167" fontId="9" fillId="3" borderId="11" xfId="2" applyNumberFormat="1" applyFill="1" applyBorder="1" applyAlignment="1">
      <alignment horizontal="left" vertical="center"/>
    </xf>
    <xf numFmtId="0" fontId="12" fillId="0" borderId="0" xfId="2" applyFont="1"/>
    <xf numFmtId="167" fontId="13" fillId="0" borderId="0" xfId="0" applyNumberFormat="1" applyFont="1" applyAlignment="1">
      <alignment horizontal="left" vertical="center" indent="1"/>
    </xf>
    <xf numFmtId="0" fontId="13" fillId="0" borderId="0" xfId="0" applyFont="1" applyFill="1" applyBorder="1" applyAlignment="1">
      <alignment horizontal="left" vertical="center" indent="1"/>
    </xf>
    <xf numFmtId="0" fontId="0" fillId="2" borderId="9" xfId="0" applyNumberFormat="1" applyFill="1" applyBorder="1">
      <alignment vertical="center"/>
    </xf>
    <xf numFmtId="0" fontId="7" fillId="2" borderId="7" xfId="0" applyNumberFormat="1" applyFont="1" applyFill="1" applyBorder="1" applyAlignment="1">
      <alignment horizontal="right" vertical="center" wrapText="1" indent="1"/>
    </xf>
    <xf numFmtId="0" fontId="3" fillId="2" borderId="7" xfId="0" applyNumberFormat="1" applyFont="1" applyFill="1" applyBorder="1" applyAlignment="1">
      <alignment horizontal="right" wrapText="1" indent="1"/>
    </xf>
    <xf numFmtId="0" fontId="3" fillId="2" borderId="6" xfId="0" applyNumberFormat="1" applyFont="1" applyFill="1" applyBorder="1" applyAlignment="1">
      <alignment horizontal="right" wrapText="1" indent="1"/>
    </xf>
    <xf numFmtId="0" fontId="0" fillId="2" borderId="6" xfId="0" applyNumberFormat="1" applyFill="1" applyBorder="1">
      <alignment vertical="center"/>
    </xf>
    <xf numFmtId="0" fontId="2" fillId="2" borderId="8" xfId="0" applyNumberFormat="1" applyFont="1" applyFill="1" applyBorder="1" applyAlignment="1">
      <alignment vertical="center"/>
    </xf>
    <xf numFmtId="0" fontId="0" fillId="2" borderId="6" xfId="0" applyNumberFormat="1" applyFill="1" applyBorder="1" applyAlignment="1">
      <alignment vertical="center"/>
    </xf>
    <xf numFmtId="0" fontId="0" fillId="2" borderId="6" xfId="0" applyNumberFormat="1" applyFont="1" applyFill="1" applyBorder="1" applyAlignment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13" fillId="2" borderId="6" xfId="0" applyNumberFormat="1" applyFont="1" applyFill="1" applyBorder="1">
      <alignment vertical="center"/>
    </xf>
    <xf numFmtId="0" fontId="13" fillId="2" borderId="7" xfId="7" applyNumberFormat="1" applyFont="1" applyFill="1" applyBorder="1" applyAlignment="1">
      <alignment horizontal="right"/>
    </xf>
    <xf numFmtId="0" fontId="6" fillId="0" borderId="1" xfId="1" applyFont="1" applyBorder="1"/>
    <xf numFmtId="168" fontId="13" fillId="0" borderId="10" xfId="7" applyNumberFormat="1" applyFont="1" applyFill="1" applyBorder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68" fontId="0" fillId="0" borderId="0" xfId="0" applyNumberFormat="1">
      <alignment vertical="center"/>
    </xf>
    <xf numFmtId="168" fontId="2" fillId="3" borderId="10" xfId="5" applyNumberFormat="1" applyFont="1" applyAlignment="1">
      <alignment vertical="center"/>
    </xf>
    <xf numFmtId="168" fontId="13" fillId="0" borderId="0" xfId="0" applyNumberFormat="1" applyFont="1">
      <alignment vertical="center"/>
    </xf>
    <xf numFmtId="168" fontId="13" fillId="0" borderId="0" xfId="0" applyNumberFormat="1" applyFont="1" applyFill="1" applyBorder="1" applyAlignment="1">
      <alignment horizontal="right" vertical="center"/>
    </xf>
    <xf numFmtId="168" fontId="0" fillId="0" borderId="0" xfId="0" applyNumberFormat="1" applyFont="1" applyFill="1" applyBorder="1" applyAlignment="1">
      <alignment vertical="center"/>
    </xf>
    <xf numFmtId="168" fontId="13" fillId="0" borderId="0" xfId="0" applyNumberFormat="1" applyFont="1" applyFill="1" applyBorder="1">
      <alignment vertical="center"/>
    </xf>
    <xf numFmtId="168" fontId="2" fillId="3" borderId="10" xfId="5" applyNumberFormat="1" applyFont="1" applyBorder="1" applyAlignment="1">
      <alignment vertical="center"/>
    </xf>
    <xf numFmtId="0" fontId="15" fillId="0" borderId="1" xfId="8" applyBorder="1">
      <alignment vertical="center"/>
    </xf>
    <xf numFmtId="0" fontId="15" fillId="0" borderId="1" xfId="8" applyBorder="1" applyAlignment="1">
      <alignment horizontal="right"/>
    </xf>
    <xf numFmtId="0" fontId="15" fillId="0" borderId="1" xfId="8" applyNumberFormat="1" applyBorder="1">
      <alignment vertical="center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 vertical="center"/>
    </xf>
  </cellXfs>
  <cellStyles count="9">
    <cellStyle name="Hiperlink" xfId="8" builtinId="8"/>
    <cellStyle name="Mês" xfId="6"/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is" xfId="5"/>
    <cellStyle name="Vírgula" xfId="7" builtinId="3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</dxf>
    <dxf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numFmt numFmtId="168" formatCode="#,##0_ ;[Red]\-#,##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679555650502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0" formatCode="General"/>
      <fill>
        <patternFill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numFmt numFmtId="168" formatCode="#,##0_ ;[Red]\-#,##0\ 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8" formatCode="#,##0_ ;[Red]\-#,##0\ "/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 style="thick">
          <color theme="0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0_);\-0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67" formatCode="0_);\-0_)"/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  <border>
        <vertical/>
        <horizontal/>
      </border>
    </dxf>
    <dxf>
      <font>
        <color theme="1" tint="0.14996795556505021"/>
      </font>
    </dxf>
    <dxf>
      <border diagonalUp="0" diagonalDown="0">
        <left style="dotted">
          <color theme="0" tint="-0.34998626667073579"/>
        </left>
        <right style="dotted">
          <color theme="0" tint="-0.34998626667073579"/>
        </right>
        <top style="thin">
          <color theme="0" tint="-0.34998626667073579"/>
        </top>
        <bottom style="dotted">
          <color theme="0" tint="-0.34998626667073579"/>
        </bottom>
        <vertical/>
        <horizontal/>
      </border>
    </dxf>
    <dxf>
      <font>
        <b val="0"/>
        <i val="0"/>
        <color theme="1" tint="0.34998626667073579"/>
      </font>
    </dxf>
    <dxf>
      <font>
        <b val="0"/>
        <i val="0"/>
        <color theme="1" tint="0.14996795556505021"/>
      </font>
      <fill>
        <patternFill patternType="solid">
          <bgColor theme="4" tint="0.79998168889431442"/>
        </patternFill>
      </fill>
      <border>
        <top/>
        <bottom style="medium">
          <color theme="4" tint="0.39994506668294322"/>
        </bottom>
      </border>
    </dxf>
    <dxf>
      <font>
        <b val="0"/>
        <i val="0"/>
        <color theme="1" tint="0.14996795556505021"/>
      </font>
    </dxf>
    <dxf>
      <font>
        <color theme="1" tint="0.499984740745262"/>
      </font>
      <border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dotted">
          <color theme="0" tint="-0.34998626667073579"/>
        </vertical>
        <horizontal style="thin">
          <color theme="0" tint="-0.34998626667073579"/>
        </horizontal>
      </border>
    </dxf>
  </dxfs>
  <tableStyles count="1" defaultTableStyle="Recibo" defaultPivotStyle="PivotStyleLight16">
    <tableStyle name="Recibo" pivot="0" count="7">
      <tableStyleElement type="wholeTable" dxfId="119"/>
      <tableStyleElement type="headerRow" dxfId="118"/>
      <tableStyleElement type="totalRow" dxfId="117"/>
      <tableStyleElement type="firstColumn" dxfId="116"/>
      <tableStyleElement type="lastColumn" dxfId="115"/>
      <tableStyleElement type="firstTotalCell" dxfId="114"/>
      <tableStyleElement type="lastTotalCell" dxfId="1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ninjadoexcel.com.br/curso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163286</xdr:colOff>
      <xdr:row>4</xdr:row>
      <xdr:rowOff>136072</xdr:rowOff>
    </xdr:from>
    <xdr:to>
      <xdr:col>31</xdr:col>
      <xdr:colOff>282096</xdr:colOff>
      <xdr:row>17</xdr:row>
      <xdr:rowOff>115310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DF5E92-E42D-4284-9344-9762C69D5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0822" y="1483179"/>
          <a:ext cx="7466667" cy="28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Recibo" displayName="Recibo" ref="B9:S12" headerRowCount="0" totalsRowCount="1">
  <tableColumns count="18">
    <tableColumn id="1" name="Items" totalsRowLabel="Total" headerRowDxfId="109" dataDxfId="108" totalsRowDxfId="107"/>
    <tableColumn id="17" name="Column2" headerRowDxfId="106" dataDxfId="105" totalsRowDxfId="104"/>
    <tableColumn id="2" name="Period 0" totalsRowFunction="sum" dataDxfId="103" totalsRowDxfId="102"/>
    <tableColumn id="3" name="Period 1" totalsRowFunction="sum" dataDxfId="101" totalsRowDxfId="100"/>
    <tableColumn id="4" name="Period 2" totalsRowFunction="sum" dataDxfId="99" totalsRowDxfId="98"/>
    <tableColumn id="5" name="Period 3" totalsRowFunction="sum" dataDxfId="97" totalsRowDxfId="96"/>
    <tableColumn id="6" name="Period 4" totalsRowFunction="sum" dataDxfId="95" totalsRowDxfId="94"/>
    <tableColumn id="7" name="Period 5" totalsRowFunction="sum" dataDxfId="93" totalsRowDxfId="92"/>
    <tableColumn id="8" name="Period 6" totalsRowFunction="sum" dataDxfId="91" totalsRowDxfId="90"/>
    <tableColumn id="9" name="Period 7" totalsRowFunction="sum" dataDxfId="89" totalsRowDxfId="88"/>
    <tableColumn id="10" name="Period 8" totalsRowFunction="sum" dataDxfId="87" totalsRowDxfId="86"/>
    <tableColumn id="11" name="Period 9" totalsRowFunction="sum" dataDxfId="85" totalsRowDxfId="84"/>
    <tableColumn id="12" name="Period 10" totalsRowFunction="sum" dataDxfId="83" totalsRowDxfId="82"/>
    <tableColumn id="13" name="Period 11" totalsRowFunction="sum" dataDxfId="81" totalsRowDxfId="80"/>
    <tableColumn id="14" name="Period 12" totalsRowFunction="sum" dataDxfId="79" totalsRowDxfId="78"/>
    <tableColumn id="18" name="Column3" dataDxfId="77" totalsRowDxfId="76"/>
    <tableColumn id="15" name="Total" totalsRowFunction="sum" dataDxfId="75" totalsRowDxfId="74">
      <calculatedColumnFormula>SUM(Recibo[[#This Row],[Period 0]:[Period 12]])</calculatedColumnFormula>
    </tableColumn>
    <tableColumn id="16" name="Column1"/>
  </tableColumns>
  <tableStyleInfo name="Recibo" showFirstColumn="1" showLastColumn="1" showRowStripes="0" showColumnStripes="0"/>
  <extLst>
    <ext xmlns:x14="http://schemas.microsoft.com/office/spreadsheetml/2009/9/main" uri="{504A1905-F514-4f6f-8877-14C23A59335A}">
      <x14:table altText="Recibo" altTextSummary="Recibo de 12 meses, começando com o primeiro mês do ano fiscal com total geral calculado."/>
    </ext>
  </extLst>
</table>
</file>

<file path=xl/tables/table2.xml><?xml version="1.0" encoding="utf-8"?>
<table xmlns="http://schemas.openxmlformats.org/spreadsheetml/2006/main" id="2" name="Pagamentos" displayName="Pagamentos" ref="B16:S37" headerRowCount="0" totalsRowCount="1">
  <tableColumns count="18">
    <tableColumn id="1" name="Items" totalsRowLabel="Total" headerRowDxfId="73" dataDxfId="72" totalsRowDxfId="71"/>
    <tableColumn id="17" name="Column2" headerRowDxfId="70" dataDxfId="69" totalsRowDxfId="68"/>
    <tableColumn id="2" name="Period 0" totalsRowFunction="sum" dataDxfId="67" totalsRowDxfId="66"/>
    <tableColumn id="3" name="Period 1" totalsRowFunction="sum" dataDxfId="65" totalsRowDxfId="64"/>
    <tableColumn id="4" name="Period 2" totalsRowFunction="sum" dataDxfId="63" totalsRowDxfId="62"/>
    <tableColumn id="5" name="Period 3" totalsRowFunction="sum" dataDxfId="61" totalsRowDxfId="60"/>
    <tableColumn id="6" name="Period 4" totalsRowFunction="sum" dataDxfId="59" totalsRowDxfId="58"/>
    <tableColumn id="7" name="Period 5" totalsRowFunction="sum" dataDxfId="57" totalsRowDxfId="56"/>
    <tableColumn id="8" name="Period 6" totalsRowFunction="sum" dataDxfId="55" totalsRowDxfId="54"/>
    <tableColumn id="9" name="Period 7" totalsRowFunction="sum" dataDxfId="53" totalsRowDxfId="52"/>
    <tableColumn id="10" name="Period 8" totalsRowFunction="sum" dataDxfId="51" totalsRowDxfId="50"/>
    <tableColumn id="11" name="Period 9" totalsRowFunction="sum" dataDxfId="49" totalsRowDxfId="48"/>
    <tableColumn id="12" name="Period 10" totalsRowFunction="sum" dataDxfId="47" totalsRowDxfId="46"/>
    <tableColumn id="13" name="Period 11" totalsRowFunction="sum" dataDxfId="45" totalsRowDxfId="44"/>
    <tableColumn id="14" name="Period 12" totalsRowFunction="sum" dataDxfId="43" totalsRowDxfId="42"/>
    <tableColumn id="18" name="Column3" dataDxfId="41" totalsRowDxfId="40"/>
    <tableColumn id="15" name="Total" totalsRowFunction="sum" dataDxfId="39" totalsRowDxfId="38">
      <calculatedColumnFormula>SUM(Pagamentos[[#This Row],[Period 0]:[Period 12]])</calculatedColumnFormula>
    </tableColumn>
    <tableColumn id="16" name="Column1" totalsRowDxfId="37"/>
  </tableColumns>
  <tableStyleInfo name="Recibo" showFirstColumn="1" showLastColumn="1" showRowStripes="0" showColumnStripes="0"/>
  <extLst>
    <ext xmlns:x14="http://schemas.microsoft.com/office/spreadsheetml/2009/9/main" uri="{504A1905-F514-4f6f-8877-14C23A59335A}">
      <x14:table altText="Pagamentos" altTextSummary="Pagamentos à vista para 12 meses, começando com o primeiro mês do ano fiscal junto com o total geral calculado."/>
    </ext>
  </extLst>
</table>
</file>

<file path=xl/tables/table3.xml><?xml version="1.0" encoding="utf-8"?>
<table xmlns="http://schemas.openxmlformats.org/spreadsheetml/2006/main" id="3" name="PagamentoDinheiro2" displayName="PagamentoDinheiro2" ref="B40:S45" headerRowCount="0" totalsRowCount="1">
  <tableColumns count="18">
    <tableColumn id="1" name="Items" totalsRowLabel="Total" headerRowDxfId="36" dataDxfId="35" totalsRowDxfId="34"/>
    <tableColumn id="17" name="Column2" headerRowDxfId="33" dataDxfId="32" totalsRowDxfId="31"/>
    <tableColumn id="2" name="Period 0" totalsRowFunction="sum" dataDxfId="30" totalsRowDxfId="29"/>
    <tableColumn id="3" name="Period 1" totalsRowFunction="sum" dataDxfId="28" totalsRowDxfId="27"/>
    <tableColumn id="4" name="Period 2" totalsRowFunction="sum" dataDxfId="26" totalsRowDxfId="25"/>
    <tableColumn id="5" name="Period 3" totalsRowFunction="sum" dataDxfId="24" totalsRowDxfId="23"/>
    <tableColumn id="6" name="Period 4" totalsRowFunction="sum" dataDxfId="22" totalsRowDxfId="21"/>
    <tableColumn id="7" name="Period 5" totalsRowFunction="sum" dataDxfId="20" totalsRowDxfId="19"/>
    <tableColumn id="8" name="Period 6" totalsRowFunction="sum" dataDxfId="18" totalsRowDxfId="17"/>
    <tableColumn id="9" name="Period 7" totalsRowFunction="sum" dataDxfId="16" totalsRowDxfId="15"/>
    <tableColumn id="10" name="Period 8" totalsRowFunction="sum" dataDxfId="14" totalsRowDxfId="13"/>
    <tableColumn id="11" name="Period 9" totalsRowFunction="sum" dataDxfId="12" totalsRowDxfId="11"/>
    <tableColumn id="12" name="Period 10" totalsRowFunction="sum" dataDxfId="10" totalsRowDxfId="9"/>
    <tableColumn id="13" name="Period 11" totalsRowFunction="sum" dataDxfId="8" totalsRowDxfId="7"/>
    <tableColumn id="14" name="Period 12" totalsRowFunction="sum" dataDxfId="6" totalsRowDxfId="5"/>
    <tableColumn id="18" name="Column3" dataDxfId="4" totalsRowDxfId="3"/>
    <tableColumn id="15" name="Total" totalsRowFunction="sum" dataDxfId="2" totalsRowDxfId="1">
      <calculatedColumnFormula>SUM(PagamentoDinheiro2[[#This Row],[Period 0]:[Period 12]])</calculatedColumnFormula>
    </tableColumn>
    <tableColumn id="16" name="Column1" totalsRowDxfId="0"/>
  </tableColumns>
  <tableStyleInfo name="Recibo" showFirstColumn="1" showLastColumn="1" showRowStripes="0" showColumnStripes="0"/>
  <extLst>
    <ext xmlns:x14="http://schemas.microsoft.com/office/spreadsheetml/2009/9/main" uri="{504A1905-F514-4f6f-8877-14C23A59335A}">
      <x14:table altText="Pagamentos (sem Lucros e Perdas)" altTextSummary="Recibos (sem Lucros e Perdas) de 12 meses, começando com o primeiro mês do ano fiscal com total geral calculado."/>
    </ext>
  </extLst>
</table>
</file>

<file path=xl/theme/theme1.xml><?xml version="1.0" encoding="utf-8"?>
<a:theme xmlns:a="http://schemas.openxmlformats.org/drawingml/2006/main" name="Office Theme">
  <a:themeElements>
    <a:clrScheme name="Cash Flow Statement">
      <a:dk1>
        <a:sysClr val="windowText" lastClr="000000"/>
      </a:dk1>
      <a:lt1>
        <a:sysClr val="window" lastClr="FFFFFF"/>
      </a:lt1>
      <a:dk2>
        <a:srgbClr val="313F55"/>
      </a:dk2>
      <a:lt2>
        <a:srgbClr val="F2F2F2"/>
      </a:lt2>
      <a:accent1>
        <a:srgbClr val="308DA2"/>
      </a:accent1>
      <a:accent2>
        <a:srgbClr val="EB7A20"/>
      </a:accent2>
      <a:accent3>
        <a:srgbClr val="009D00"/>
      </a:accent3>
      <a:accent4>
        <a:srgbClr val="9D4CA4"/>
      </a:accent4>
      <a:accent5>
        <a:srgbClr val="FFC000"/>
      </a:accent5>
      <a:accent6>
        <a:srgbClr val="DC3220"/>
      </a:accent6>
      <a:hlink>
        <a:srgbClr val="1AA2B5"/>
      </a:hlink>
      <a:folHlink>
        <a:srgbClr val="9D4CA4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injadoexcel.com.br/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fitToPage="1"/>
  </sheetPr>
  <dimension ref="B1:S48"/>
  <sheetViews>
    <sheetView showGridLines="0" tabSelected="1" zoomScale="70" zoomScaleNormal="70" workbookViewId="0">
      <pane ySplit="4" topLeftCell="A5" activePane="bottomLeft" state="frozen"/>
      <selection pane="bottomLeft" activeCell="U6" sqref="U6"/>
    </sheetView>
  </sheetViews>
  <sheetFormatPr defaultRowHeight="17.25" customHeight="1" x14ac:dyDescent="0.2"/>
  <cols>
    <col min="1" max="1" width="2.5703125" customWidth="1"/>
    <col min="2" max="2" width="41.5703125" customWidth="1"/>
    <col min="3" max="3" width="3" customWidth="1"/>
    <col min="4" max="4" width="9.42578125" customWidth="1"/>
    <col min="5" max="16" width="12.28515625" customWidth="1"/>
    <col min="17" max="17" width="3" style="41" customWidth="1"/>
    <col min="18" max="18" width="10.7109375" bestFit="1" customWidth="1"/>
  </cols>
  <sheetData>
    <row r="1" spans="2:19" ht="42" customHeight="1" thickBot="1" x14ac:dyDescent="0.6">
      <c r="B1" s="44" t="s">
        <v>39</v>
      </c>
      <c r="C1" s="54"/>
      <c r="D1" s="54"/>
      <c r="E1" s="55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6"/>
      <c r="R1" s="54"/>
      <c r="S1" s="54"/>
    </row>
    <row r="2" spans="2:19" ht="22.5" customHeight="1" thickTop="1" x14ac:dyDescent="0.2">
      <c r="Q2" s="32"/>
    </row>
    <row r="3" spans="2:19" ht="25.5" customHeight="1" x14ac:dyDescent="0.3">
      <c r="B3" s="29" t="s">
        <v>0</v>
      </c>
      <c r="D3" s="13" t="s">
        <v>1</v>
      </c>
      <c r="E3" s="27" t="str">
        <f>UPPER(TEXT(DataInícioAnoFiscal,"mmm"))</f>
        <v>JUL</v>
      </c>
      <c r="F3" s="27" t="str">
        <f>UPPER(TEXT(EOMONTH(DataInícioAnoFiscal,1),"mmm"))</f>
        <v>AGO</v>
      </c>
      <c r="G3" s="27" t="str">
        <f>UPPER(TEXT(EOMONTH(DataInícioAnoFiscal,2),"mmm"))</f>
        <v>SET</v>
      </c>
      <c r="H3" s="27" t="str">
        <f>UPPER(TEXT(EOMONTH(DataInícioAnoFiscal,3),"mmm"))</f>
        <v>OUT</v>
      </c>
      <c r="I3" s="27" t="str">
        <f>UPPER(TEXT(EOMONTH(DataInícioAnoFiscal,4),"mmm"))</f>
        <v>NOV</v>
      </c>
      <c r="J3" s="27" t="str">
        <f>UPPER(TEXT(EOMONTH(DataInícioAnoFiscal,5),"mmm"))</f>
        <v>DEZ</v>
      </c>
      <c r="K3" s="27" t="str">
        <f>UPPER(TEXT(EOMONTH(DataInícioAnoFiscal,6),"mmm"))</f>
        <v>JAN</v>
      </c>
      <c r="L3" s="27" t="str">
        <f>UPPER(TEXT(EOMONTH(DataInícioAnoFiscal,7),"mmm"))</f>
        <v>FEV</v>
      </c>
      <c r="M3" s="27" t="str">
        <f>UPPER(TEXT(EOMONTH(DataInícioAnoFiscal,8),"mmm"))</f>
        <v>MAR</v>
      </c>
      <c r="N3" s="27" t="str">
        <f>UPPER(TEXT(EOMONTH(DataInícioAnoFiscal,9),"mmm"))</f>
        <v>ABR</v>
      </c>
      <c r="O3" s="27" t="str">
        <f>UPPER(TEXT(EOMONTH(DataInícioAnoFiscal,10),"mmm"))</f>
        <v>MAI</v>
      </c>
      <c r="P3" s="27" t="str">
        <f>UPPER(TEXT(EOMONTH(DataInícioAnoFiscal,11),"mmm"))</f>
        <v>JUN</v>
      </c>
      <c r="Q3" s="33"/>
      <c r="R3" s="14" t="s">
        <v>2</v>
      </c>
      <c r="S3" s="2"/>
    </row>
    <row r="4" spans="2:19" ht="16.5" customHeight="1" thickBot="1" x14ac:dyDescent="0.25">
      <c r="B4" s="3">
        <v>41821</v>
      </c>
      <c r="D4" s="15" t="s">
        <v>3</v>
      </c>
      <c r="E4" s="24">
        <f>DataInícioAnoFiscal</f>
        <v>41821</v>
      </c>
      <c r="F4" s="24">
        <f t="shared" ref="F4:P4" si="0">EOMONTH(E4,0)+DAY(DataInícioAnoFiscal)</f>
        <v>41852</v>
      </c>
      <c r="G4" s="24">
        <f t="shared" si="0"/>
        <v>41883</v>
      </c>
      <c r="H4" s="24">
        <f t="shared" si="0"/>
        <v>41913</v>
      </c>
      <c r="I4" s="24">
        <f t="shared" si="0"/>
        <v>41944</v>
      </c>
      <c r="J4" s="24">
        <f t="shared" si="0"/>
        <v>41974</v>
      </c>
      <c r="K4" s="24">
        <f t="shared" si="0"/>
        <v>42005</v>
      </c>
      <c r="L4" s="24">
        <f t="shared" si="0"/>
        <v>42036</v>
      </c>
      <c r="M4" s="24">
        <f t="shared" si="0"/>
        <v>42064</v>
      </c>
      <c r="N4" s="24">
        <f t="shared" si="0"/>
        <v>42095</v>
      </c>
      <c r="O4" s="24">
        <f t="shared" si="0"/>
        <v>42125</v>
      </c>
      <c r="P4" s="24">
        <f t="shared" si="0"/>
        <v>42156</v>
      </c>
      <c r="Q4" s="34"/>
      <c r="R4" s="13" t="s">
        <v>4</v>
      </c>
      <c r="S4" s="2"/>
    </row>
    <row r="5" spans="2:19" ht="17.25" customHeight="1" thickTop="1" x14ac:dyDescent="0.2">
      <c r="B5" s="3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35"/>
      <c r="R5" s="6"/>
      <c r="S5" s="2"/>
    </row>
    <row r="6" spans="2:19" ht="17.25" customHeight="1" thickBot="1" x14ac:dyDescent="0.25">
      <c r="B6" s="26" t="s">
        <v>5</v>
      </c>
      <c r="D6" s="45">
        <v>100</v>
      </c>
      <c r="E6" s="45">
        <f>D48</f>
        <v>100</v>
      </c>
      <c r="F6" s="45">
        <f t="shared" ref="F6:P6" si="1">E48</f>
        <v>-175</v>
      </c>
      <c r="G6" s="45">
        <f t="shared" si="1"/>
        <v>-5</v>
      </c>
      <c r="H6" s="45">
        <f t="shared" si="1"/>
        <v>-51</v>
      </c>
      <c r="I6" s="45">
        <f t="shared" si="1"/>
        <v>174</v>
      </c>
      <c r="J6" s="45">
        <f t="shared" si="1"/>
        <v>219</v>
      </c>
      <c r="K6" s="45">
        <f t="shared" si="1"/>
        <v>219</v>
      </c>
      <c r="L6" s="45">
        <f t="shared" si="1"/>
        <v>219</v>
      </c>
      <c r="M6" s="45">
        <f t="shared" si="1"/>
        <v>219</v>
      </c>
      <c r="N6" s="45">
        <f t="shared" si="1"/>
        <v>219</v>
      </c>
      <c r="O6" s="45">
        <f t="shared" si="1"/>
        <v>219</v>
      </c>
      <c r="P6" s="45">
        <f t="shared" si="1"/>
        <v>219</v>
      </c>
      <c r="Q6" s="43"/>
      <c r="R6" s="45">
        <f>P6</f>
        <v>219</v>
      </c>
      <c r="S6" s="23"/>
    </row>
    <row r="7" spans="2:19" ht="17.25" customHeight="1" x14ac:dyDescent="0.2">
      <c r="Q7" s="36"/>
    </row>
    <row r="8" spans="2:19" ht="17.25" customHeight="1" x14ac:dyDescent="0.2">
      <c r="B8" s="20" t="s">
        <v>6</v>
      </c>
      <c r="Q8" s="36"/>
    </row>
    <row r="9" spans="2:19" ht="17.25" customHeight="1" x14ac:dyDescent="0.2">
      <c r="B9" s="30" t="s">
        <v>7</v>
      </c>
      <c r="C9" s="18"/>
      <c r="D9" s="46"/>
      <c r="E9" s="46">
        <v>125</v>
      </c>
      <c r="F9" s="46">
        <v>120</v>
      </c>
      <c r="G9" s="46">
        <v>130</v>
      </c>
      <c r="H9" s="46">
        <v>100</v>
      </c>
      <c r="I9" s="46"/>
      <c r="J9" s="46"/>
      <c r="K9" s="46"/>
      <c r="L9" s="46"/>
      <c r="M9" s="46"/>
      <c r="N9" s="46"/>
      <c r="O9" s="46"/>
      <c r="P9" s="46"/>
      <c r="Q9" s="42"/>
      <c r="R9" s="49">
        <f>SUM(Recibo[[#This Row],[Period 0]:[Period 12]])</f>
        <v>475</v>
      </c>
    </row>
    <row r="10" spans="2:19" ht="17.25" customHeight="1" x14ac:dyDescent="0.2">
      <c r="B10" s="30" t="s">
        <v>8</v>
      </c>
      <c r="C10" s="18"/>
      <c r="D10" s="46"/>
      <c r="E10" s="46"/>
      <c r="F10" s="46"/>
      <c r="G10" s="46"/>
      <c r="H10" s="46">
        <v>75</v>
      </c>
      <c r="I10" s="46">
        <v>45</v>
      </c>
      <c r="J10" s="46"/>
      <c r="K10" s="46"/>
      <c r="L10" s="46"/>
      <c r="M10" s="46"/>
      <c r="N10" s="46"/>
      <c r="O10" s="46"/>
      <c r="P10" s="46"/>
      <c r="Q10" s="42"/>
      <c r="R10" s="49">
        <f>SUM(Recibo[[#This Row],[Period 0]:[Period 12]])</f>
        <v>120</v>
      </c>
    </row>
    <row r="11" spans="2:19" ht="17.25" customHeight="1" x14ac:dyDescent="0.2">
      <c r="B11" s="30" t="s">
        <v>9</v>
      </c>
      <c r="C11" s="19"/>
      <c r="D11" s="46"/>
      <c r="E11" s="46"/>
      <c r="F11" s="46">
        <v>50</v>
      </c>
      <c r="G11" s="46">
        <v>50</v>
      </c>
      <c r="H11" s="46">
        <v>50</v>
      </c>
      <c r="I11" s="46"/>
      <c r="J11" s="46"/>
      <c r="K11" s="46"/>
      <c r="L11" s="46"/>
      <c r="M11" s="46"/>
      <c r="N11" s="46"/>
      <c r="O11" s="46"/>
      <c r="P11" s="46"/>
      <c r="Q11" s="42"/>
      <c r="R11" s="49">
        <f>SUM(Recibo[[#This Row],[Period 0]:[Period 12]])</f>
        <v>150</v>
      </c>
    </row>
    <row r="12" spans="2:19" ht="17.25" customHeight="1" thickBot="1" x14ac:dyDescent="0.25">
      <c r="B12" s="25" t="s">
        <v>2</v>
      </c>
      <c r="C12" s="17"/>
      <c r="D12" s="47">
        <f>SUBTOTAL(109,Recibo[Period 0])</f>
        <v>0</v>
      </c>
      <c r="E12" s="47">
        <f>SUBTOTAL(109,Recibo[Period 1])</f>
        <v>125</v>
      </c>
      <c r="F12" s="47">
        <f>SUBTOTAL(109,Recibo[Period 2])</f>
        <v>170</v>
      </c>
      <c r="G12" s="47">
        <f>SUBTOTAL(109,Recibo[Period 3])</f>
        <v>180</v>
      </c>
      <c r="H12" s="47">
        <f>SUBTOTAL(109,Recibo[Period 4])</f>
        <v>225</v>
      </c>
      <c r="I12" s="47">
        <f>SUBTOTAL(109,Recibo[Period 5])</f>
        <v>45</v>
      </c>
      <c r="J12" s="47">
        <f>SUBTOTAL(109,Recibo[Period 6])</f>
        <v>0</v>
      </c>
      <c r="K12" s="47">
        <f>SUBTOTAL(109,Recibo[Period 7])</f>
        <v>0</v>
      </c>
      <c r="L12" s="47">
        <f>SUBTOTAL(109,Recibo[Period 8])</f>
        <v>0</v>
      </c>
      <c r="M12" s="47">
        <f>SUBTOTAL(109,Recibo[Period 9])</f>
        <v>0</v>
      </c>
      <c r="N12" s="47">
        <f>SUBTOTAL(109,Recibo[Period 10])</f>
        <v>0</v>
      </c>
      <c r="O12" s="47">
        <f>SUBTOTAL(109,Recibo[Period 11])</f>
        <v>0</v>
      </c>
      <c r="P12" s="47">
        <f>SUBTOTAL(109,Recibo[Period 12])</f>
        <v>0</v>
      </c>
      <c r="Q12" s="36"/>
      <c r="R12" s="47">
        <f>SUBTOTAL(109,Recibo[Total])</f>
        <v>745</v>
      </c>
    </row>
    <row r="13" spans="2:19" ht="17.25" customHeight="1" thickTop="1" thickBot="1" x14ac:dyDescent="0.25">
      <c r="B13" s="28" t="s">
        <v>10</v>
      </c>
      <c r="C13" s="16"/>
      <c r="D13" s="48">
        <f>D6+SUM(Recibo[Period 0])</f>
        <v>100</v>
      </c>
      <c r="E13" s="48">
        <f>E6+SUM(Recibo[Period 1])</f>
        <v>225</v>
      </c>
      <c r="F13" s="48">
        <f>F6+SUM(Recibo[Period 2])</f>
        <v>-5</v>
      </c>
      <c r="G13" s="48">
        <f>G6+SUM(Recibo[Period 3])</f>
        <v>175</v>
      </c>
      <c r="H13" s="48">
        <f>H6+SUM(Recibo[Period 4])</f>
        <v>174</v>
      </c>
      <c r="I13" s="48">
        <f>I6+SUM(Recibo[Period 5])</f>
        <v>219</v>
      </c>
      <c r="J13" s="48">
        <f>J6+SUM(Recibo[Period 6])</f>
        <v>219</v>
      </c>
      <c r="K13" s="48">
        <f>K6+SUM(Recibo[Period 7])</f>
        <v>219</v>
      </c>
      <c r="L13" s="48">
        <f>L6+SUM(Recibo[Period 8])</f>
        <v>219</v>
      </c>
      <c r="M13" s="48">
        <f>M6+SUM(Recibo[Period 9])</f>
        <v>219</v>
      </c>
      <c r="N13" s="48">
        <f>N6+SUM(Recibo[Period 10])</f>
        <v>219</v>
      </c>
      <c r="O13" s="48">
        <f>O6+SUM(Recibo[Period 11])</f>
        <v>219</v>
      </c>
      <c r="P13" s="48">
        <f>P6+SUM(Recibo[Period 12])</f>
        <v>219</v>
      </c>
      <c r="Q13" s="37"/>
      <c r="R13" s="48">
        <f>R6+SUM(Recibo[Total])</f>
        <v>964</v>
      </c>
      <c r="S13" s="22"/>
    </row>
    <row r="14" spans="2:19" ht="17.25" customHeight="1" x14ac:dyDescent="0.2"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</row>
    <row r="15" spans="2:19" ht="17.25" customHeight="1" x14ac:dyDescent="0.25">
      <c r="B15" s="7" t="s">
        <v>11</v>
      </c>
      <c r="C15" s="18"/>
      <c r="Q15" s="36"/>
    </row>
    <row r="16" spans="2:19" ht="17.25" customHeight="1" x14ac:dyDescent="0.2">
      <c r="B16" s="31" t="s">
        <v>12</v>
      </c>
      <c r="C16" s="18"/>
      <c r="D16" s="50"/>
      <c r="E16" s="50">
        <v>400</v>
      </c>
      <c r="F16" s="50"/>
      <c r="G16" s="50">
        <v>226</v>
      </c>
      <c r="H16" s="50"/>
      <c r="I16" s="50"/>
      <c r="J16" s="50"/>
      <c r="K16" s="50"/>
      <c r="L16" s="50"/>
      <c r="M16" s="50"/>
      <c r="N16" s="50"/>
      <c r="O16" s="50"/>
      <c r="P16" s="50"/>
      <c r="Q16" s="42"/>
      <c r="R16" s="52">
        <f>SUM(Pagamentos[[#This Row],[Period 0]:[Period 12]])</f>
        <v>626</v>
      </c>
      <c r="S16" s="1"/>
    </row>
    <row r="17" spans="2:19" ht="17.25" customHeight="1" x14ac:dyDescent="0.2">
      <c r="B17" s="31" t="s">
        <v>13</v>
      </c>
      <c r="C17" s="18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42"/>
      <c r="R17" s="52">
        <f>SUM(Pagamentos[[#This Row],[Period 0]:[Period 12]])</f>
        <v>0</v>
      </c>
      <c r="S17" s="1"/>
    </row>
    <row r="18" spans="2:19" ht="17.25" customHeight="1" x14ac:dyDescent="0.2">
      <c r="B18" s="31" t="s">
        <v>13</v>
      </c>
      <c r="C18" s="18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42"/>
      <c r="R18" s="52">
        <f>SUM(Pagamentos[[#This Row],[Period 0]:[Period 12]])</f>
        <v>0</v>
      </c>
      <c r="S18" s="1"/>
    </row>
    <row r="19" spans="2:19" ht="17.25" customHeight="1" x14ac:dyDescent="0.2">
      <c r="B19" s="31" t="s">
        <v>14</v>
      </c>
      <c r="C19" s="18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42"/>
      <c r="R19" s="52">
        <f>SUM(Pagamentos[[#This Row],[Period 0]:[Period 12]])</f>
        <v>0</v>
      </c>
      <c r="S19" s="1"/>
    </row>
    <row r="20" spans="2:19" ht="17.25" customHeight="1" x14ac:dyDescent="0.2">
      <c r="B20" s="31" t="s">
        <v>15</v>
      </c>
      <c r="C20" s="18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42"/>
      <c r="R20" s="52">
        <f>SUM(Pagamentos[[#This Row],[Period 0]:[Period 12]])</f>
        <v>0</v>
      </c>
      <c r="S20" s="1"/>
    </row>
    <row r="21" spans="2:19" ht="17.25" customHeight="1" x14ac:dyDescent="0.2">
      <c r="B21" s="31" t="s">
        <v>16</v>
      </c>
      <c r="C21" s="18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42"/>
      <c r="R21" s="52">
        <f>SUM(Pagamentos[[#This Row],[Period 0]:[Period 12]])</f>
        <v>0</v>
      </c>
      <c r="S21" s="1"/>
    </row>
    <row r="22" spans="2:19" ht="17.25" customHeight="1" x14ac:dyDescent="0.2">
      <c r="B22" s="31" t="s">
        <v>17</v>
      </c>
      <c r="C22" s="18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42"/>
      <c r="R22" s="52">
        <f>SUM(Pagamentos[[#This Row],[Period 0]:[Period 12]])</f>
        <v>0</v>
      </c>
      <c r="S22" s="1"/>
    </row>
    <row r="23" spans="2:19" ht="17.25" customHeight="1" x14ac:dyDescent="0.2">
      <c r="B23" s="31" t="s">
        <v>18</v>
      </c>
      <c r="C23" s="18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42"/>
      <c r="R23" s="52">
        <f>SUM(Pagamentos[[#This Row],[Period 0]:[Period 12]])</f>
        <v>0</v>
      </c>
      <c r="S23" s="1"/>
    </row>
    <row r="24" spans="2:19" ht="17.25" customHeight="1" x14ac:dyDescent="0.2">
      <c r="B24" s="31" t="s">
        <v>19</v>
      </c>
      <c r="C24" s="18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42"/>
      <c r="R24" s="52">
        <f>SUM(Pagamentos[[#This Row],[Period 0]:[Period 12]])</f>
        <v>0</v>
      </c>
      <c r="S24" s="1"/>
    </row>
    <row r="25" spans="2:19" ht="17.25" customHeight="1" x14ac:dyDescent="0.2">
      <c r="B25" s="31" t="s">
        <v>20</v>
      </c>
      <c r="C25" s="18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42"/>
      <c r="R25" s="52">
        <f>SUM(Pagamentos[[#This Row],[Period 0]:[Period 12]])</f>
        <v>0</v>
      </c>
      <c r="S25" s="1"/>
    </row>
    <row r="26" spans="2:19" ht="17.25" customHeight="1" x14ac:dyDescent="0.2">
      <c r="B26" s="31" t="s">
        <v>21</v>
      </c>
      <c r="C26" s="18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42"/>
      <c r="R26" s="52">
        <f>SUM(Pagamentos[[#This Row],[Period 0]:[Period 12]])</f>
        <v>0</v>
      </c>
      <c r="S26" s="1"/>
    </row>
    <row r="27" spans="2:19" ht="17.25" customHeight="1" x14ac:dyDescent="0.2">
      <c r="B27" s="31" t="s">
        <v>22</v>
      </c>
      <c r="C27" s="18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42"/>
      <c r="R27" s="52">
        <f>SUM(Pagamentos[[#This Row],[Period 0]:[Period 12]])</f>
        <v>0</v>
      </c>
      <c r="S27" s="1"/>
    </row>
    <row r="28" spans="2:19" ht="17.25" customHeight="1" x14ac:dyDescent="0.2">
      <c r="B28" s="31" t="s">
        <v>23</v>
      </c>
      <c r="C28" s="18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42"/>
      <c r="R28" s="52">
        <f>SUM(Pagamentos[[#This Row],[Period 0]:[Period 12]])</f>
        <v>0</v>
      </c>
      <c r="S28" s="1"/>
    </row>
    <row r="29" spans="2:19" ht="17.25" customHeight="1" x14ac:dyDescent="0.2">
      <c r="B29" s="31" t="s">
        <v>24</v>
      </c>
      <c r="C29" s="18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42"/>
      <c r="R29" s="52">
        <f>SUM(Pagamentos[[#This Row],[Period 0]:[Period 12]])</f>
        <v>0</v>
      </c>
      <c r="S29" s="1"/>
    </row>
    <row r="30" spans="2:19" ht="17.25" customHeight="1" x14ac:dyDescent="0.2">
      <c r="B30" s="31" t="s">
        <v>25</v>
      </c>
      <c r="C30" s="18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42"/>
      <c r="R30" s="52">
        <f>SUM(Pagamentos[[#This Row],[Period 0]:[Period 12]])</f>
        <v>0</v>
      </c>
      <c r="S30" s="1"/>
    </row>
    <row r="31" spans="2:19" ht="17.25" customHeight="1" x14ac:dyDescent="0.2">
      <c r="B31" s="31" t="s">
        <v>26</v>
      </c>
      <c r="C31" s="18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42"/>
      <c r="R31" s="52">
        <f>SUM(Pagamentos[[#This Row],[Period 0]:[Period 12]])</f>
        <v>0</v>
      </c>
      <c r="S31" s="1"/>
    </row>
    <row r="32" spans="2:19" ht="17.25" customHeight="1" x14ac:dyDescent="0.2">
      <c r="B32" s="31" t="s">
        <v>27</v>
      </c>
      <c r="C32" s="18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42"/>
      <c r="R32" s="52">
        <f>SUM(Pagamentos[[#This Row],[Period 0]:[Period 12]])</f>
        <v>0</v>
      </c>
      <c r="S32" s="1"/>
    </row>
    <row r="33" spans="2:19" ht="17.25" customHeight="1" x14ac:dyDescent="0.2">
      <c r="B33" s="31" t="s">
        <v>28</v>
      </c>
      <c r="C33" s="18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42"/>
      <c r="R33" s="52">
        <f>SUM(Pagamentos[[#This Row],[Period 0]:[Period 12]])</f>
        <v>0</v>
      </c>
      <c r="S33" s="1"/>
    </row>
    <row r="34" spans="2:19" ht="17.25" customHeight="1" x14ac:dyDescent="0.2">
      <c r="B34" s="31" t="s">
        <v>29</v>
      </c>
      <c r="C34" s="18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42"/>
      <c r="R34" s="52">
        <f>SUM(Pagamentos[[#This Row],[Period 0]:[Period 12]])</f>
        <v>0</v>
      </c>
      <c r="S34" s="1"/>
    </row>
    <row r="35" spans="2:19" ht="17.25" customHeight="1" x14ac:dyDescent="0.2">
      <c r="B35" s="31" t="s">
        <v>29</v>
      </c>
      <c r="C35" s="18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42"/>
      <c r="R35" s="52">
        <f>SUM(Pagamentos[[#This Row],[Period 0]:[Period 12]])</f>
        <v>0</v>
      </c>
      <c r="S35" s="1"/>
    </row>
    <row r="36" spans="2:19" ht="17.25" customHeight="1" x14ac:dyDescent="0.2">
      <c r="B36" s="31" t="s">
        <v>30</v>
      </c>
      <c r="C36" s="18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42"/>
      <c r="R36" s="52">
        <f>SUM(Pagamentos[[#This Row],[Period 0]:[Period 12]])</f>
        <v>0</v>
      </c>
      <c r="S36" s="1"/>
    </row>
    <row r="37" spans="2:19" ht="17.25" customHeight="1" x14ac:dyDescent="0.2">
      <c r="B37" s="8" t="s">
        <v>2</v>
      </c>
      <c r="C37" s="18"/>
      <c r="D37" s="51">
        <f>SUBTOTAL(109,Pagamentos[Period 0])</f>
        <v>0</v>
      </c>
      <c r="E37" s="51">
        <f>SUBTOTAL(109,Pagamentos[Period 1])</f>
        <v>400</v>
      </c>
      <c r="F37" s="51">
        <f>SUBTOTAL(109,Pagamentos[Period 2])</f>
        <v>0</v>
      </c>
      <c r="G37" s="51">
        <f>SUBTOTAL(109,Pagamentos[Period 3])</f>
        <v>226</v>
      </c>
      <c r="H37" s="51">
        <f>SUBTOTAL(109,Pagamentos[Period 4])</f>
        <v>0</v>
      </c>
      <c r="I37" s="51">
        <f>SUBTOTAL(109,Pagamentos[Period 5])</f>
        <v>0</v>
      </c>
      <c r="J37" s="51">
        <f>SUBTOTAL(109,Pagamentos[Period 6])</f>
        <v>0</v>
      </c>
      <c r="K37" s="51">
        <f>SUBTOTAL(109,Pagamentos[Period 7])</f>
        <v>0</v>
      </c>
      <c r="L37" s="51">
        <f>SUBTOTAL(109,Pagamentos[Period 8])</f>
        <v>0</v>
      </c>
      <c r="M37" s="51">
        <f>SUBTOTAL(109,Pagamentos[Period 9])</f>
        <v>0</v>
      </c>
      <c r="N37" s="51">
        <f>SUBTOTAL(109,Pagamentos[Period 10])</f>
        <v>0</v>
      </c>
      <c r="O37" s="51">
        <f>SUBTOTAL(109,Pagamentos[Period 11])</f>
        <v>0</v>
      </c>
      <c r="P37" s="51">
        <f>SUBTOTAL(109,Pagamentos[Period 12])</f>
        <v>0</v>
      </c>
      <c r="Q37" s="38"/>
      <c r="R37" s="51">
        <f>SUBTOTAL(109,Pagamentos[Total])</f>
        <v>626</v>
      </c>
      <c r="S37" s="11"/>
    </row>
    <row r="38" spans="2:19" ht="17.25" customHeight="1" x14ac:dyDescent="0.2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 spans="2:19" s="12" customFormat="1" ht="17.25" customHeight="1" x14ac:dyDescent="0.25">
      <c r="B39" s="7" t="s">
        <v>31</v>
      </c>
      <c r="C39" s="16"/>
      <c r="D39"/>
      <c r="E39"/>
      <c r="F39"/>
      <c r="G39"/>
      <c r="H39"/>
      <c r="I39"/>
      <c r="J39"/>
      <c r="K39"/>
      <c r="L39"/>
      <c r="M39"/>
      <c r="N39"/>
      <c r="O39"/>
      <c r="P39"/>
      <c r="Q39" s="36"/>
      <c r="R39"/>
      <c r="S39"/>
    </row>
    <row r="40" spans="2:19" ht="17.25" customHeight="1" x14ac:dyDescent="0.2">
      <c r="B40" s="31" t="s">
        <v>32</v>
      </c>
      <c r="C40" s="18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42"/>
      <c r="R40" s="52">
        <f>SUM(PagamentoDinheiro2[[#This Row],[Period 0]:[Period 12]])</f>
        <v>0</v>
      </c>
      <c r="S40" s="1"/>
    </row>
    <row r="41" spans="2:19" ht="17.25" customHeight="1" x14ac:dyDescent="0.2">
      <c r="B41" s="31" t="s">
        <v>33</v>
      </c>
      <c r="C41" s="18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42"/>
      <c r="R41" s="52">
        <f>SUM(PagamentoDinheiro2[[#This Row],[Period 0]:[Period 12]])</f>
        <v>0</v>
      </c>
      <c r="S41" s="1"/>
    </row>
    <row r="42" spans="2:19" ht="17.25" customHeight="1" x14ac:dyDescent="0.2">
      <c r="B42" s="31" t="s">
        <v>34</v>
      </c>
      <c r="C42" s="18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42"/>
      <c r="R42" s="52">
        <f>SUM(PagamentoDinheiro2[[#This Row],[Period 0]:[Period 12]])</f>
        <v>0</v>
      </c>
      <c r="S42" s="1"/>
    </row>
    <row r="43" spans="2:19" ht="17.25" customHeight="1" x14ac:dyDescent="0.2">
      <c r="B43" s="31" t="s">
        <v>35</v>
      </c>
      <c r="C43" s="18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42"/>
      <c r="R43" s="52">
        <f>SUM(PagamentoDinheiro2[[#This Row],[Period 0]:[Period 12]])</f>
        <v>0</v>
      </c>
      <c r="S43" s="1"/>
    </row>
    <row r="44" spans="2:19" ht="17.25" customHeight="1" x14ac:dyDescent="0.2">
      <c r="B44" s="31" t="s">
        <v>36</v>
      </c>
      <c r="C44" s="18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42"/>
      <c r="R44" s="52">
        <f>SUM(PagamentoDinheiro2[[#This Row],[Period 0]:[Period 12]])</f>
        <v>0</v>
      </c>
      <c r="S44" s="1"/>
    </row>
    <row r="45" spans="2:19" ht="17.25" customHeight="1" x14ac:dyDescent="0.2">
      <c r="B45" s="8" t="s">
        <v>2</v>
      </c>
      <c r="C45" s="18"/>
      <c r="D45" s="51">
        <f>SUBTOTAL(109,PagamentoDinheiro2[Period 0])</f>
        <v>0</v>
      </c>
      <c r="E45" s="51">
        <f>SUBTOTAL(109,PagamentoDinheiro2[Period 1])</f>
        <v>0</v>
      </c>
      <c r="F45" s="51">
        <f>SUBTOTAL(109,PagamentoDinheiro2[Period 2])</f>
        <v>0</v>
      </c>
      <c r="G45" s="51">
        <f>SUBTOTAL(109,PagamentoDinheiro2[Period 3])</f>
        <v>0</v>
      </c>
      <c r="H45" s="51">
        <f>SUBTOTAL(109,PagamentoDinheiro2[Period 4])</f>
        <v>0</v>
      </c>
      <c r="I45" s="51">
        <f>SUBTOTAL(109,PagamentoDinheiro2[Period 5])</f>
        <v>0</v>
      </c>
      <c r="J45" s="51">
        <f>SUBTOTAL(109,PagamentoDinheiro2[Period 6])</f>
        <v>0</v>
      </c>
      <c r="K45" s="51">
        <f>SUBTOTAL(109,PagamentoDinheiro2[Period 7])</f>
        <v>0</v>
      </c>
      <c r="L45" s="51">
        <f>SUBTOTAL(109,PagamentoDinheiro2[Period 8])</f>
        <v>0</v>
      </c>
      <c r="M45" s="51">
        <f>SUBTOTAL(109,PagamentoDinheiro2[Period 9])</f>
        <v>0</v>
      </c>
      <c r="N45" s="51">
        <f>SUBTOTAL(109,PagamentoDinheiro2[Period 10])</f>
        <v>0</v>
      </c>
      <c r="O45" s="51">
        <f>SUBTOTAL(109,PagamentoDinheiro2[Period 11])</f>
        <v>0</v>
      </c>
      <c r="P45" s="51">
        <f>SUBTOTAL(109,PagamentoDinheiro2[Period 12])</f>
        <v>0</v>
      </c>
      <c r="Q45" s="39"/>
      <c r="R45" s="51">
        <f>SUBTOTAL(109,PagamentoDinheiro2[Total])</f>
        <v>0</v>
      </c>
      <c r="S45" s="9"/>
    </row>
    <row r="46" spans="2:19" ht="17.25" customHeight="1" thickBot="1" x14ac:dyDescent="0.3">
      <c r="B46" s="28" t="s">
        <v>37</v>
      </c>
      <c r="C46" s="16"/>
      <c r="D46" s="48">
        <f>SUM(Pagamentos[Period 0],PagamentoDinheiro2[Period 0])</f>
        <v>0</v>
      </c>
      <c r="E46" s="48">
        <f>SUM(Pagamentos[Period 1],PagamentoDinheiro2[Period 1])</f>
        <v>400</v>
      </c>
      <c r="F46" s="48">
        <f>SUM(Pagamentos[Period 2],PagamentoDinheiro2[Period 2])</f>
        <v>0</v>
      </c>
      <c r="G46" s="48">
        <f>SUM(Pagamentos[Period 3],PagamentoDinheiro2[Period 3])</f>
        <v>226</v>
      </c>
      <c r="H46" s="48">
        <f>SUM(Pagamentos[Period 4],PagamentoDinheiro2[Period 4])</f>
        <v>0</v>
      </c>
      <c r="I46" s="48">
        <f>SUM(Pagamentos[Period 5],PagamentoDinheiro2[Period 5])</f>
        <v>0</v>
      </c>
      <c r="J46" s="48">
        <f>SUM(Pagamentos[Period 6],PagamentoDinheiro2[Period 6])</f>
        <v>0</v>
      </c>
      <c r="K46" s="48">
        <f>SUM(Pagamentos[Period 7],PagamentoDinheiro2[Period 7])</f>
        <v>0</v>
      </c>
      <c r="L46" s="48">
        <f>SUM(Pagamentos[Period 8],PagamentoDinheiro2[Period 8])</f>
        <v>0</v>
      </c>
      <c r="M46" s="48">
        <f>SUM(Pagamentos[Period 9],PagamentoDinheiro2[Period 9])</f>
        <v>0</v>
      </c>
      <c r="N46" s="48">
        <f>SUM(Pagamentos[Period 10],PagamentoDinheiro2[Period 10])</f>
        <v>0</v>
      </c>
      <c r="O46" s="48">
        <f>SUM(Pagamentos[Period 11],PagamentoDinheiro2[Period 11])</f>
        <v>0</v>
      </c>
      <c r="P46" s="53">
        <f>SUM(Pagamentos[Period 12],PagamentoDinheiro2[Period 12])</f>
        <v>0</v>
      </c>
      <c r="Q46" s="40"/>
      <c r="R46" s="48">
        <f>SUM(Pagamentos[Total],PagamentoDinheiro2[Total])</f>
        <v>626</v>
      </c>
      <c r="S46" s="21"/>
    </row>
    <row r="47" spans="2:19" s="10" customFormat="1" ht="17.25" customHeight="1" x14ac:dyDescent="0.2"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</row>
    <row r="48" spans="2:19" ht="17.25" customHeight="1" thickBot="1" x14ac:dyDescent="0.3">
      <c r="B48" s="28" t="s">
        <v>38</v>
      </c>
      <c r="C48" s="16"/>
      <c r="D48" s="48">
        <f t="shared" ref="D48:P48" si="2">D13-D46</f>
        <v>100</v>
      </c>
      <c r="E48" s="48">
        <f t="shared" si="2"/>
        <v>-175</v>
      </c>
      <c r="F48" s="48">
        <f t="shared" si="2"/>
        <v>-5</v>
      </c>
      <c r="G48" s="48">
        <f t="shared" si="2"/>
        <v>-51</v>
      </c>
      <c r="H48" s="48">
        <f t="shared" si="2"/>
        <v>174</v>
      </c>
      <c r="I48" s="48">
        <f t="shared" si="2"/>
        <v>219</v>
      </c>
      <c r="J48" s="48">
        <f t="shared" si="2"/>
        <v>219</v>
      </c>
      <c r="K48" s="48">
        <f t="shared" si="2"/>
        <v>219</v>
      </c>
      <c r="L48" s="48">
        <f t="shared" si="2"/>
        <v>219</v>
      </c>
      <c r="M48" s="48">
        <f t="shared" si="2"/>
        <v>219</v>
      </c>
      <c r="N48" s="48">
        <f t="shared" si="2"/>
        <v>219</v>
      </c>
      <c r="O48" s="48">
        <f t="shared" si="2"/>
        <v>219</v>
      </c>
      <c r="P48" s="53">
        <f t="shared" si="2"/>
        <v>219</v>
      </c>
      <c r="Q48" s="40"/>
      <c r="R48" s="48">
        <f>R13-R46</f>
        <v>338</v>
      </c>
      <c r="S48" s="21"/>
    </row>
  </sheetData>
  <mergeCells count="3">
    <mergeCell ref="B14:S14"/>
    <mergeCell ref="B38:S38"/>
    <mergeCell ref="B47:S47"/>
  </mergeCells>
  <conditionalFormatting sqref="E6:P6">
    <cfRule type="expression" dxfId="112" priority="3">
      <formula>E6&lt;0</formula>
    </cfRule>
  </conditionalFormatting>
  <conditionalFormatting sqref="E48:P48">
    <cfRule type="expression" dxfId="111" priority="2">
      <formula>E48&lt;0</formula>
    </cfRule>
  </conditionalFormatting>
  <conditionalFormatting sqref="E13:P13">
    <cfRule type="expression" dxfId="110" priority="1">
      <formula>E13&lt;0</formula>
    </cfRule>
  </conditionalFormatting>
  <hyperlinks>
    <hyperlink ref="B1:S1" r:id="rId1" display="Declaração de Fluxo de Caixa"/>
  </hyperlinks>
  <printOptions horizontalCentered="1" verticalCentered="1"/>
  <pageMargins left="0.5" right="0.5" top="0.5" bottom="0.5" header="0.3" footer="0.3"/>
  <pageSetup paperSize="9" scale="58" orientation="landscape" r:id="rId2"/>
  <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2A825BFE-E693-4238-8389-5BCCFE76FDD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E6:R6</xm:sqref>
        </x14:conditionalFormatting>
        <x14:conditionalFormatting xmlns:xm="http://schemas.microsoft.com/office/excel/2006/main">
          <x14:cfRule type="iconSet" priority="10" id="{3C1E0335-68B6-4E32-9520-0CC0127E0E6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D13:R13</xm:sqref>
        </x14:conditionalFormatting>
        <x14:conditionalFormatting xmlns:xm="http://schemas.microsoft.com/office/excel/2006/main">
          <x14:cfRule type="iconSet" priority="11" id="{46DB4F99-6858-4D3F-B689-77C99193522A}">
            <x14:iconSet iconSet="3Flags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Flags" iconId="0"/>
              <x14:cfIcon iconSet="NoIcons" iconId="0"/>
              <x14:cfIcon iconSet="NoIcons" iconId="0"/>
            </x14:iconSet>
          </x14:cfRule>
          <xm:sqref>D48:P48 R48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0" tint="-0.34998626667073579"/>
          <x14:colorNegative theme="9"/>
          <x14:colorAxis rgb="FF000000"/>
          <x14:colorMarkers theme="9"/>
          <x14:colorFirst theme="4"/>
          <x14:colorLast theme="5"/>
          <x14:colorHigh theme="6"/>
          <x14:colorLow theme="7"/>
          <x14:sparklines>
            <x14:sparkline>
              <xm:f>'Declaração de Fluxo de caixa'!D48:P48</xm:f>
              <xm:sqref>S48</xm:sqref>
            </x14:sparkline>
            <x14:sparkline>
              <xm:f>'Declaração de Fluxo de caixa'!D13:P13</xm:f>
              <xm:sqref>S13</xm:sqref>
            </x14:sparkline>
            <x14:sparkline>
              <xm:f>'Declaração de Fluxo de caixa'!D45:P45</xm:f>
              <xm:sqref>S45</xm:sqref>
            </x14:sparkline>
            <x14:sparkline>
              <xm:f>'Declaração de Fluxo de caixa'!D46:P46</xm:f>
              <xm:sqref>S46</xm:sqref>
            </x14:sparkline>
            <x14:sparkline>
              <xm:f>'Declaração de Fluxo de caixa'!D37:P37</xm:f>
              <xm:sqref>S37</xm:sqref>
            </x14:sparkline>
            <x14:sparkline>
              <xm:f>'Declaração de Fluxo de caixa'!D6:P6</xm:f>
              <xm:sqref>S6</xm:sqref>
            </x14:sparkline>
            <x14:sparkline>
              <xm:f>'Declaração de Fluxo de caixa'!D12:P12</xm:f>
              <xm:sqref>S12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Declaração de Fluxo de caixa</vt:lpstr>
      <vt:lpstr>DataInícioAnoFiscal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Edson</cp:lastModifiedBy>
  <cp:revision/>
  <dcterms:created xsi:type="dcterms:W3CDTF">2013-12-05T14:44:24Z</dcterms:created>
  <dcterms:modified xsi:type="dcterms:W3CDTF">2017-02-17T03:43:21Z</dcterms:modified>
</cp:coreProperties>
</file>