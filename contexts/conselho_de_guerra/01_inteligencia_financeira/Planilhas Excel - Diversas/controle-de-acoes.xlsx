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270" windowWidth="19155" windowHeight="7845" tabRatio="588"/>
  </bookViews>
  <sheets>
    <sheet name="Início" sheetId="1" r:id="rId1"/>
    <sheet name="Cadastro" sheetId="6" r:id="rId2"/>
    <sheet name="Operação Comum" sheetId="8" r:id="rId3"/>
    <sheet name="Operação Day Trade" sheetId="9" r:id="rId4"/>
    <sheet name="Panorama" sheetId="5" r:id="rId5"/>
  </sheets>
  <calcPr calcId="145621"/>
</workbook>
</file>

<file path=xl/calcChain.xml><?xml version="1.0" encoding="utf-8"?>
<calcChain xmlns="http://schemas.openxmlformats.org/spreadsheetml/2006/main">
  <c r="E7" i="9" l="1"/>
  <c r="H7" i="9"/>
  <c r="I7" i="9"/>
  <c r="E8" i="9"/>
  <c r="H8" i="9"/>
  <c r="I8" i="9"/>
  <c r="J9" i="9"/>
  <c r="Q9" i="9" s="1"/>
  <c r="U9" i="9" s="1"/>
  <c r="V9" i="9" s="1"/>
  <c r="J10" i="9"/>
  <c r="Q10" i="9" s="1"/>
  <c r="U10" i="9" s="1"/>
  <c r="V10" i="9" s="1"/>
  <c r="J11" i="9"/>
  <c r="Q11" i="9" s="1"/>
  <c r="U11" i="9" s="1"/>
  <c r="V11" i="9" s="1"/>
  <c r="J12" i="9"/>
  <c r="Q12" i="9" s="1"/>
  <c r="U12" i="9" s="1"/>
  <c r="V12" i="9" s="1"/>
  <c r="J13" i="9"/>
  <c r="Q13" i="9" s="1"/>
  <c r="U13" i="9" s="1"/>
  <c r="V13" i="9" s="1"/>
  <c r="J14" i="9"/>
  <c r="Q14" i="9" s="1"/>
  <c r="U14" i="9" s="1"/>
  <c r="V14" i="9" s="1"/>
  <c r="J15" i="9"/>
  <c r="Q15" i="9" s="1"/>
  <c r="U15" i="9" s="1"/>
  <c r="V15" i="9" s="1"/>
  <c r="J16" i="9"/>
  <c r="Q16" i="9" s="1"/>
  <c r="U16" i="9" s="1"/>
  <c r="V16" i="9" s="1"/>
  <c r="J17" i="9"/>
  <c r="Q17" i="9" s="1"/>
  <c r="U17" i="9" s="1"/>
  <c r="V17" i="9" s="1"/>
  <c r="J18" i="9"/>
  <c r="Q18" i="9" s="1"/>
  <c r="U18" i="9" s="1"/>
  <c r="V18" i="9" s="1"/>
  <c r="J19" i="9"/>
  <c r="J20" i="9"/>
  <c r="Q20" i="9" s="1"/>
  <c r="U20" i="9" s="1"/>
  <c r="V20" i="9" s="1"/>
  <c r="J21" i="9"/>
  <c r="Q21" i="9" s="1"/>
  <c r="U21" i="9" s="1"/>
  <c r="V21" i="9" s="1"/>
  <c r="J22" i="9"/>
  <c r="Q22" i="9" s="1"/>
  <c r="U22" i="9" s="1"/>
  <c r="V22" i="9" s="1"/>
  <c r="J23" i="9"/>
  <c r="Q23" i="9" s="1"/>
  <c r="U23" i="9" s="1"/>
  <c r="V23" i="9" s="1"/>
  <c r="J24" i="9"/>
  <c r="Q24" i="9" s="1"/>
  <c r="U24" i="9" s="1"/>
  <c r="V24" i="9" s="1"/>
  <c r="J25" i="9"/>
  <c r="Q25" i="9" s="1"/>
  <c r="U25" i="9" s="1"/>
  <c r="V25" i="9" s="1"/>
  <c r="J26" i="9"/>
  <c r="Q26" i="9" s="1"/>
  <c r="U26" i="9" s="1"/>
  <c r="V26" i="9" s="1"/>
  <c r="J27" i="9"/>
  <c r="Q27" i="9" s="1"/>
  <c r="U27" i="9" s="1"/>
  <c r="V27" i="9" s="1"/>
  <c r="J28" i="9"/>
  <c r="Q28" i="9" s="1"/>
  <c r="U28" i="9" s="1"/>
  <c r="V28" i="9" s="1"/>
  <c r="J29" i="9"/>
  <c r="Q29" i="9" s="1"/>
  <c r="U29" i="9" s="1"/>
  <c r="V29" i="9" s="1"/>
  <c r="J30" i="9"/>
  <c r="Q30" i="9" s="1"/>
  <c r="U30" i="9" s="1"/>
  <c r="V30" i="9" s="1"/>
  <c r="J31" i="9"/>
  <c r="Q31" i="9" s="1"/>
  <c r="U31" i="9" s="1"/>
  <c r="V31" i="9" s="1"/>
  <c r="J32" i="9"/>
  <c r="Q32" i="9" s="1"/>
  <c r="U32" i="9" s="1"/>
  <c r="V32" i="9" s="1"/>
  <c r="J33" i="9"/>
  <c r="Q33" i="9" s="1"/>
  <c r="U33" i="9" s="1"/>
  <c r="V33" i="9" s="1"/>
  <c r="J34" i="9"/>
  <c r="Q34" i="9" s="1"/>
  <c r="U34" i="9" s="1"/>
  <c r="V34" i="9" s="1"/>
  <c r="J35" i="9"/>
  <c r="E6" i="9"/>
  <c r="H6" i="9"/>
  <c r="I6" i="9"/>
  <c r="Q35" i="9"/>
  <c r="U35" i="9" s="1"/>
  <c r="V35" i="9" s="1"/>
  <c r="O35" i="9"/>
  <c r="P35" i="9" s="1"/>
  <c r="I35" i="9"/>
  <c r="H35" i="9"/>
  <c r="E35" i="9"/>
  <c r="O34" i="9"/>
  <c r="P34" i="9"/>
  <c r="I34" i="9"/>
  <c r="H34" i="9"/>
  <c r="E34" i="9"/>
  <c r="O33" i="9"/>
  <c r="P33" i="9" s="1"/>
  <c r="I33" i="9"/>
  <c r="H33" i="9"/>
  <c r="E33" i="9"/>
  <c r="O32" i="9"/>
  <c r="P32" i="9"/>
  <c r="I32" i="9"/>
  <c r="H32" i="9"/>
  <c r="E32" i="9"/>
  <c r="O31" i="9"/>
  <c r="P31" i="9" s="1"/>
  <c r="I31" i="9"/>
  <c r="H31" i="9"/>
  <c r="E31" i="9"/>
  <c r="O30" i="9"/>
  <c r="P30" i="9"/>
  <c r="I30" i="9"/>
  <c r="H30" i="9"/>
  <c r="E30" i="9"/>
  <c r="O29" i="9"/>
  <c r="P29" i="9" s="1"/>
  <c r="I29" i="9"/>
  <c r="H29" i="9"/>
  <c r="E29" i="9"/>
  <c r="O28" i="9"/>
  <c r="P28" i="9"/>
  <c r="I28" i="9"/>
  <c r="H28" i="9"/>
  <c r="E28" i="9"/>
  <c r="O27" i="9"/>
  <c r="P27" i="9" s="1"/>
  <c r="I27" i="9"/>
  <c r="H27" i="9"/>
  <c r="E27" i="9"/>
  <c r="O26" i="9"/>
  <c r="P26" i="9"/>
  <c r="I26" i="9"/>
  <c r="H26" i="9"/>
  <c r="E26" i="9"/>
  <c r="O25" i="9"/>
  <c r="P25" i="9" s="1"/>
  <c r="I25" i="9"/>
  <c r="H25" i="9"/>
  <c r="E25" i="9"/>
  <c r="O24" i="9"/>
  <c r="P24" i="9"/>
  <c r="I24" i="9"/>
  <c r="H24" i="9"/>
  <c r="E24" i="9"/>
  <c r="O23" i="9"/>
  <c r="P23" i="9" s="1"/>
  <c r="I23" i="9"/>
  <c r="H23" i="9"/>
  <c r="E23" i="9"/>
  <c r="O22" i="9"/>
  <c r="P22" i="9"/>
  <c r="I22" i="9"/>
  <c r="H22" i="9"/>
  <c r="E22" i="9"/>
  <c r="O21" i="9"/>
  <c r="P21" i="9" s="1"/>
  <c r="I21" i="9"/>
  <c r="H21" i="9"/>
  <c r="E21" i="9"/>
  <c r="O20" i="9"/>
  <c r="P20" i="9"/>
  <c r="I20" i="9"/>
  <c r="H20" i="9"/>
  <c r="E20" i="9"/>
  <c r="Q19" i="9"/>
  <c r="U19" i="9" s="1"/>
  <c r="V19" i="9" s="1"/>
  <c r="O19" i="9"/>
  <c r="P19" i="9"/>
  <c r="I19" i="9"/>
  <c r="H19" i="9"/>
  <c r="E19" i="9"/>
  <c r="O18" i="9"/>
  <c r="P18" i="9" s="1"/>
  <c r="I18" i="9"/>
  <c r="H18" i="9"/>
  <c r="E18" i="9"/>
  <c r="O17" i="9"/>
  <c r="P17" i="9"/>
  <c r="I17" i="9"/>
  <c r="H17" i="9"/>
  <c r="E17" i="9"/>
  <c r="O16" i="9"/>
  <c r="P16" i="9" s="1"/>
  <c r="I16" i="9"/>
  <c r="H16" i="9"/>
  <c r="E16" i="9"/>
  <c r="O15" i="9"/>
  <c r="P15" i="9"/>
  <c r="I15" i="9"/>
  <c r="H15" i="9"/>
  <c r="E15" i="9"/>
  <c r="O14" i="9"/>
  <c r="P14" i="9" s="1"/>
  <c r="I14" i="9"/>
  <c r="H14" i="9"/>
  <c r="E14" i="9"/>
  <c r="O13" i="9"/>
  <c r="P13" i="9"/>
  <c r="I13" i="9"/>
  <c r="H13" i="9"/>
  <c r="E13" i="9"/>
  <c r="O12" i="9"/>
  <c r="P12" i="9" s="1"/>
  <c r="I12" i="9"/>
  <c r="H12" i="9"/>
  <c r="E12" i="9"/>
  <c r="O11" i="9"/>
  <c r="P11" i="9"/>
  <c r="I11" i="9"/>
  <c r="H11" i="9"/>
  <c r="E11" i="9"/>
  <c r="O10" i="9"/>
  <c r="P10" i="9" s="1"/>
  <c r="I10" i="9"/>
  <c r="H10" i="9"/>
  <c r="E10" i="9"/>
  <c r="O9" i="9"/>
  <c r="P9" i="9"/>
  <c r="I9" i="9"/>
  <c r="H9" i="9"/>
  <c r="E9" i="9"/>
  <c r="O8" i="9"/>
  <c r="P8" i="9" s="1"/>
  <c r="O7" i="9"/>
  <c r="P7" i="9" s="1"/>
  <c r="O6" i="9"/>
  <c r="P6" i="9" s="1"/>
  <c r="H7" i="8"/>
  <c r="I7" i="8"/>
  <c r="E7" i="8"/>
  <c r="O7" i="8"/>
  <c r="P7" i="8"/>
  <c r="H8" i="8"/>
  <c r="I8" i="8"/>
  <c r="E8" i="8"/>
  <c r="O8" i="8"/>
  <c r="P8" i="8" s="1"/>
  <c r="J9" i="8"/>
  <c r="Q9" i="8" s="1"/>
  <c r="U9" i="8" s="1"/>
  <c r="V9" i="8" s="1"/>
  <c r="J10" i="8"/>
  <c r="Q10" i="8" s="1"/>
  <c r="U10" i="8" s="1"/>
  <c r="V10" i="8" s="1"/>
  <c r="J11" i="8"/>
  <c r="Q11" i="8" s="1"/>
  <c r="U11" i="8" s="1"/>
  <c r="V11" i="8" s="1"/>
  <c r="J12" i="8"/>
  <c r="Q12" i="8" s="1"/>
  <c r="U12" i="8" s="1"/>
  <c r="V12" i="8" s="1"/>
  <c r="J13" i="8"/>
  <c r="Q13" i="8" s="1"/>
  <c r="U13" i="8" s="1"/>
  <c r="V13" i="8" s="1"/>
  <c r="J14" i="8"/>
  <c r="Q14" i="8" s="1"/>
  <c r="U14" i="8" s="1"/>
  <c r="V14" i="8" s="1"/>
  <c r="J15" i="8"/>
  <c r="Q15" i="8" s="1"/>
  <c r="U15" i="8" s="1"/>
  <c r="V15" i="8" s="1"/>
  <c r="J16" i="8"/>
  <c r="Q16" i="8" s="1"/>
  <c r="U16" i="8" s="1"/>
  <c r="V16" i="8" s="1"/>
  <c r="J17" i="8"/>
  <c r="Q17" i="8" s="1"/>
  <c r="U17" i="8" s="1"/>
  <c r="V17" i="8" s="1"/>
  <c r="J18" i="8"/>
  <c r="Q18" i="8" s="1"/>
  <c r="U18" i="8" s="1"/>
  <c r="V18" i="8" s="1"/>
  <c r="J19" i="8"/>
  <c r="Q19" i="8" s="1"/>
  <c r="U19" i="8" s="1"/>
  <c r="V19" i="8" s="1"/>
  <c r="J20" i="8"/>
  <c r="Q20" i="8" s="1"/>
  <c r="U20" i="8" s="1"/>
  <c r="V20" i="8" s="1"/>
  <c r="J21" i="8"/>
  <c r="Q21" i="8" s="1"/>
  <c r="U21" i="8" s="1"/>
  <c r="V21" i="8" s="1"/>
  <c r="J22" i="8"/>
  <c r="Q22" i="8" s="1"/>
  <c r="U22" i="8" s="1"/>
  <c r="V22" i="8" s="1"/>
  <c r="J23" i="8"/>
  <c r="Q23" i="8" s="1"/>
  <c r="U23" i="8" s="1"/>
  <c r="V23" i="8" s="1"/>
  <c r="J24" i="8"/>
  <c r="Q24" i="8" s="1"/>
  <c r="U24" i="8" s="1"/>
  <c r="V24" i="8" s="1"/>
  <c r="J25" i="8"/>
  <c r="Q25" i="8" s="1"/>
  <c r="U25" i="8" s="1"/>
  <c r="V25" i="8" s="1"/>
  <c r="J26" i="8"/>
  <c r="Q26" i="8" s="1"/>
  <c r="U26" i="8" s="1"/>
  <c r="V26" i="8" s="1"/>
  <c r="J27" i="8"/>
  <c r="Q27" i="8" s="1"/>
  <c r="U27" i="8" s="1"/>
  <c r="V27" i="8" s="1"/>
  <c r="J28" i="8"/>
  <c r="Q28" i="8" s="1"/>
  <c r="U28" i="8" s="1"/>
  <c r="V28" i="8" s="1"/>
  <c r="J29" i="8"/>
  <c r="Q29" i="8" s="1"/>
  <c r="U29" i="8" s="1"/>
  <c r="V29" i="8" s="1"/>
  <c r="J30" i="8"/>
  <c r="Q30" i="8" s="1"/>
  <c r="U30" i="8" s="1"/>
  <c r="V30" i="8" s="1"/>
  <c r="J31" i="8"/>
  <c r="Q31" i="8" s="1"/>
  <c r="U31" i="8" s="1"/>
  <c r="V31" i="8" s="1"/>
  <c r="J32" i="8"/>
  <c r="Q32" i="8" s="1"/>
  <c r="U32" i="8" s="1"/>
  <c r="V32" i="8" s="1"/>
  <c r="J33" i="8"/>
  <c r="Q33" i="8" s="1"/>
  <c r="U33" i="8" s="1"/>
  <c r="V33" i="8" s="1"/>
  <c r="J34" i="8"/>
  <c r="Q34" i="8" s="1"/>
  <c r="U34" i="8" s="1"/>
  <c r="V34" i="8" s="1"/>
  <c r="J35" i="8"/>
  <c r="Q35" i="8" s="1"/>
  <c r="U35" i="8" s="1"/>
  <c r="V35" i="8" s="1"/>
  <c r="H6" i="8"/>
  <c r="I6" i="8"/>
  <c r="E6" i="8"/>
  <c r="O6" i="8"/>
  <c r="P6" i="8" s="1"/>
  <c r="O9" i="8"/>
  <c r="P9" i="8"/>
  <c r="O10" i="8"/>
  <c r="P10" i="8"/>
  <c r="O11" i="8"/>
  <c r="P11" i="8"/>
  <c r="O12" i="8"/>
  <c r="P12" i="8"/>
  <c r="O13" i="8"/>
  <c r="P13" i="8"/>
  <c r="O14" i="8"/>
  <c r="P14" i="8"/>
  <c r="O15" i="8"/>
  <c r="P15" i="8"/>
  <c r="O16" i="8"/>
  <c r="P16" i="8"/>
  <c r="O17" i="8"/>
  <c r="P17" i="8"/>
  <c r="O18" i="8"/>
  <c r="P18" i="8"/>
  <c r="O19" i="8"/>
  <c r="P19" i="8"/>
  <c r="O20" i="8"/>
  <c r="P20" i="8"/>
  <c r="O21" i="8"/>
  <c r="P21" i="8"/>
  <c r="O22" i="8"/>
  <c r="P22" i="8"/>
  <c r="O23" i="8"/>
  <c r="P23" i="8"/>
  <c r="O24" i="8"/>
  <c r="P24" i="8"/>
  <c r="O25" i="8"/>
  <c r="P25" i="8"/>
  <c r="O26" i="8"/>
  <c r="P26" i="8"/>
  <c r="O27" i="8"/>
  <c r="P27" i="8"/>
  <c r="O28" i="8"/>
  <c r="P28" i="8"/>
  <c r="O29" i="8"/>
  <c r="P29" i="8"/>
  <c r="O30" i="8"/>
  <c r="P30" i="8"/>
  <c r="O31" i="8"/>
  <c r="P31" i="8"/>
  <c r="O32" i="8"/>
  <c r="P32" i="8"/>
  <c r="O33" i="8"/>
  <c r="P33" i="8"/>
  <c r="O34" i="8"/>
  <c r="P34" i="8"/>
  <c r="O35" i="8"/>
  <c r="P35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J7" i="8" l="1"/>
  <c r="J8" i="9"/>
  <c r="Q8" i="9" s="1"/>
  <c r="U8" i="9" s="1"/>
  <c r="V8" i="9" s="1"/>
  <c r="J7" i="9"/>
  <c r="Q7" i="9" s="1"/>
  <c r="U7" i="9" s="1"/>
  <c r="V7" i="9" s="1"/>
  <c r="J6" i="9"/>
  <c r="Q6" i="9" s="1"/>
  <c r="U6" i="9" s="1"/>
  <c r="V6" i="9" s="1"/>
  <c r="Q7" i="8"/>
  <c r="U7" i="8" s="1"/>
  <c r="V7" i="8" s="1"/>
  <c r="J6" i="8"/>
  <c r="Q6" i="8" s="1"/>
  <c r="U6" i="8" s="1"/>
  <c r="V6" i="8" s="1"/>
  <c r="J8" i="8"/>
  <c r="Q8" i="8" s="1"/>
  <c r="U8" i="8" s="1"/>
  <c r="V8" i="8" s="1"/>
</calcChain>
</file>

<file path=xl/sharedStrings.xml><?xml version="1.0" encoding="utf-8"?>
<sst xmlns="http://schemas.openxmlformats.org/spreadsheetml/2006/main" count="126" uniqueCount="71">
  <si>
    <t>RECEITA</t>
  </si>
  <si>
    <t>CORRETORA</t>
  </si>
  <si>
    <t>CORRETAGEM FIXA</t>
  </si>
  <si>
    <t>CORRETAGEM VARIÁVEL</t>
  </si>
  <si>
    <t>CORRETORA 1</t>
  </si>
  <si>
    <t>CORRETORA 2</t>
  </si>
  <si>
    <t>CORRETORA 3</t>
  </si>
  <si>
    <t>CORRETORA 4</t>
  </si>
  <si>
    <t>CORRETORA 5</t>
  </si>
  <si>
    <t>IMPOSTOS DE RENDA</t>
  </si>
  <si>
    <t>DAY TRADE</t>
  </si>
  <si>
    <t>OPERAÇÕES COMUNS</t>
  </si>
  <si>
    <t>DEMAIS TAXAS</t>
  </si>
  <si>
    <t>Liquidação (Day Trade)</t>
  </si>
  <si>
    <t>Liquidação (Operações Comuns)</t>
  </si>
  <si>
    <t xml:space="preserve">Emolumentos </t>
  </si>
  <si>
    <t>AÇÃO</t>
  </si>
  <si>
    <t>AÇÃO 1</t>
  </si>
  <si>
    <t>AÇÃO 2</t>
  </si>
  <si>
    <t>AÇÃO 3</t>
  </si>
  <si>
    <t>AÇÃO 4</t>
  </si>
  <si>
    <t>AÇÃO 5</t>
  </si>
  <si>
    <t>AÇÃO 6</t>
  </si>
  <si>
    <t>AÇÃO 7</t>
  </si>
  <si>
    <t>AÇÃO 8</t>
  </si>
  <si>
    <t>AÇÃO 9</t>
  </si>
  <si>
    <t>AÇÃO 10</t>
  </si>
  <si>
    <t>AÇÃO 11</t>
  </si>
  <si>
    <t>AÇÃO 12</t>
  </si>
  <si>
    <t>AÇÃO 13</t>
  </si>
  <si>
    <t>AÇÃO 14</t>
  </si>
  <si>
    <t>AÇÃO 15</t>
  </si>
  <si>
    <t>DATA</t>
  </si>
  <si>
    <t>QUANTIDADE</t>
  </si>
  <si>
    <t>VALOR UNITÁRIO</t>
  </si>
  <si>
    <t>VALOR DO PACOTE</t>
  </si>
  <si>
    <t>CUSTO TOTAIS DA COMPRA</t>
  </si>
  <si>
    <t>DATA DA VENDA</t>
  </si>
  <si>
    <t>QUANTIDADE VENDIDA</t>
  </si>
  <si>
    <t>VALOR DA VENDA</t>
  </si>
  <si>
    <t>LUCRO/PREJUÍZO</t>
  </si>
  <si>
    <t>IR</t>
  </si>
  <si>
    <t>DIVIDENDOS</t>
  </si>
  <si>
    <t>JUROS SOBRE O CAPITAL</t>
  </si>
  <si>
    <t>LUCRO/PREJUÍZO LÍQUIDO</t>
  </si>
  <si>
    <t>MARGEM DE LUCRO</t>
  </si>
  <si>
    <t>DADOS DE COMPRA</t>
  </si>
  <si>
    <t>DADOS DE VENDA</t>
  </si>
  <si>
    <t>AÇÃO 16</t>
  </si>
  <si>
    <t>AÇÃO 17</t>
  </si>
  <si>
    <t>AÇÃO 18</t>
  </si>
  <si>
    <t>AÇÃO 19</t>
  </si>
  <si>
    <t>AÇÃO 20</t>
  </si>
  <si>
    <t>AÇÃO 21</t>
  </si>
  <si>
    <t>AÇÃO 22</t>
  </si>
  <si>
    <t>AÇÃO 23</t>
  </si>
  <si>
    <t>AÇÃO 24</t>
  </si>
  <si>
    <t>AÇÃO 25</t>
  </si>
  <si>
    <t>AÇÃO 26</t>
  </si>
  <si>
    <t>AÇÃO 27</t>
  </si>
  <si>
    <t>AÇÃO 28</t>
  </si>
  <si>
    <t>AÇÃO 29</t>
  </si>
  <si>
    <t>AÇÃO 30</t>
  </si>
  <si>
    <t>DEMAIS CORRETAGENS (%)</t>
  </si>
  <si>
    <t>DEMAIS CORRETAGENS ($)</t>
  </si>
  <si>
    <t>CUSTOS TOTAIS DA COMPRA</t>
  </si>
  <si>
    <r>
      <rPr>
        <b/>
        <i/>
        <sz val="18"/>
        <color theme="0"/>
        <rFont val="Calibri"/>
        <family val="2"/>
        <scheme val="minor"/>
      </rPr>
      <t>CONTROLE DE AÇÕES</t>
    </r>
    <r>
      <rPr>
        <i/>
        <sz val="16"/>
        <color theme="0"/>
        <rFont val="Calibri"/>
        <family val="2"/>
        <scheme val="minor"/>
      </rPr>
      <t xml:space="preserve"> - INÍCIO</t>
    </r>
  </si>
  <si>
    <r>
      <rPr>
        <b/>
        <i/>
        <sz val="18"/>
        <color theme="0"/>
        <rFont val="Calibri"/>
        <family val="2"/>
        <scheme val="minor"/>
      </rPr>
      <t>CONTROLE DE AÇÕES</t>
    </r>
    <r>
      <rPr>
        <i/>
        <sz val="16"/>
        <color theme="0"/>
        <rFont val="Calibri"/>
        <family val="2"/>
        <scheme val="minor"/>
      </rPr>
      <t xml:space="preserve"> - CADASTRO</t>
    </r>
  </si>
  <si>
    <r>
      <rPr>
        <b/>
        <i/>
        <sz val="18"/>
        <color theme="0"/>
        <rFont val="Calibri"/>
        <family val="2"/>
        <scheme val="minor"/>
      </rPr>
      <t>CONTROLE DE AÇÕES</t>
    </r>
    <r>
      <rPr>
        <i/>
        <sz val="16"/>
        <color theme="0"/>
        <rFont val="Calibri"/>
        <family val="2"/>
        <scheme val="minor"/>
      </rPr>
      <t xml:space="preserve"> - OPERAÇÃO COMUM</t>
    </r>
  </si>
  <si>
    <r>
      <rPr>
        <b/>
        <i/>
        <sz val="18"/>
        <color theme="0"/>
        <rFont val="Calibri"/>
        <family val="2"/>
        <scheme val="minor"/>
      </rPr>
      <t>CONTROLE DE AÇÕES</t>
    </r>
    <r>
      <rPr>
        <i/>
        <sz val="16"/>
        <color theme="0"/>
        <rFont val="Calibri"/>
        <family val="2"/>
        <scheme val="minor"/>
      </rPr>
      <t xml:space="preserve"> - OPERAÇÃO DAY TRADE</t>
    </r>
  </si>
  <si>
    <r>
      <rPr>
        <b/>
        <i/>
        <sz val="18"/>
        <color theme="0"/>
        <rFont val="Calibri"/>
        <family val="2"/>
        <scheme val="minor"/>
      </rPr>
      <t>CONTROLE DE AÇÕES</t>
    </r>
    <r>
      <rPr>
        <i/>
        <sz val="16"/>
        <color theme="0"/>
        <rFont val="Calibri"/>
        <family val="2"/>
        <scheme val="minor"/>
      </rPr>
      <t xml:space="preserve"> - PANORAMA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</si>
</sst>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b/>
      <i/>
      <sz val="22"/>
      <color theme="0"/>
      <name val="Calibri"/>
      <family val="2"/>
      <scheme val="minor"/>
    </font>
    <font>
      <b/>
      <i/>
      <sz val="18"/>
      <color theme="0"/>
      <name val="Calibri"/>
      <family val="2"/>
      <scheme val="minor"/>
    </font>
    <font>
      <i/>
      <sz val="16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6666"/>
        <bgColor indexed="64"/>
      </patternFill>
    </fill>
  </fills>
  <borders count="17">
    <border>
      <left/>
      <right/>
      <top/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1" tint="0.14999847407452621"/>
      </top>
      <bottom/>
      <diagonal/>
    </border>
    <border>
      <left style="thin">
        <color theme="0"/>
      </left>
      <right style="thin">
        <color theme="0"/>
      </right>
      <top style="medium">
        <color theme="1" tint="0.14999847407452621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/>
      <right/>
      <top style="medium">
        <color theme="1" tint="0.14999847407452621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indexed="64"/>
      </left>
      <right/>
      <top style="medium">
        <color indexed="64"/>
      </top>
      <bottom style="dashed">
        <color theme="6" tint="-0.499984740745262"/>
      </bottom>
      <diagonal/>
    </border>
    <border>
      <left/>
      <right/>
      <top style="medium">
        <color indexed="64"/>
      </top>
      <bottom style="dashed">
        <color theme="6" tint="-0.499984740745262"/>
      </bottom>
      <diagonal/>
    </border>
    <border>
      <left/>
      <right/>
      <top/>
      <bottom style="dashed">
        <color theme="6" tint="-0.499984740745262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0" fillId="0" borderId="0" xfId="0" applyBorder="1"/>
    <xf numFmtId="0" fontId="2" fillId="0" borderId="0" xfId="0" applyFont="1"/>
    <xf numFmtId="0" fontId="3" fillId="0" borderId="0" xfId="0" applyFont="1"/>
    <xf numFmtId="0" fontId="2" fillId="0" borderId="0" xfId="0" applyFont="1" applyBorder="1"/>
    <xf numFmtId="44" fontId="0" fillId="0" borderId="3" xfId="3" applyFont="1" applyBorder="1" applyAlignment="1">
      <alignment horizontal="center"/>
    </xf>
    <xf numFmtId="43" fontId="5" fillId="4" borderId="4" xfId="1" applyFont="1" applyFill="1" applyBorder="1" applyAlignment="1">
      <alignment horizontal="left"/>
    </xf>
    <xf numFmtId="44" fontId="5" fillId="4" borderId="4" xfId="3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/>
    <xf numFmtId="44" fontId="0" fillId="3" borderId="9" xfId="0" applyNumberFormat="1" applyFill="1" applyBorder="1" applyAlignment="1">
      <alignment horizontal="center"/>
    </xf>
    <xf numFmtId="0" fontId="0" fillId="3" borderId="2" xfId="0" applyFill="1" applyBorder="1"/>
    <xf numFmtId="9" fontId="0" fillId="2" borderId="9" xfId="2" applyFont="1" applyFill="1" applyBorder="1" applyAlignment="1">
      <alignment horizontal="center"/>
    </xf>
    <xf numFmtId="9" fontId="5" fillId="4" borderId="4" xfId="2" applyFont="1" applyFill="1" applyBorder="1" applyAlignment="1">
      <alignment horizontal="center"/>
    </xf>
    <xf numFmtId="164" fontId="5" fillId="4" borderId="4" xfId="2" applyNumberFormat="1" applyFont="1" applyFill="1" applyBorder="1" applyAlignment="1">
      <alignment horizontal="center"/>
    </xf>
    <xf numFmtId="1" fontId="0" fillId="2" borderId="9" xfId="2" applyNumberFormat="1" applyFont="1" applyFill="1" applyBorder="1" applyAlignment="1">
      <alignment horizontal="center"/>
    </xf>
    <xf numFmtId="44" fontId="0" fillId="2" borderId="9" xfId="3" applyFont="1" applyFill="1" applyBorder="1" applyAlignment="1">
      <alignment horizontal="center"/>
    </xf>
    <xf numFmtId="14" fontId="0" fillId="2" borderId="9" xfId="2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1" fontId="0" fillId="3" borderId="9" xfId="1" applyNumberFormat="1" applyFont="1" applyFill="1" applyBorder="1" applyAlignment="1">
      <alignment horizontal="center" vertical="center"/>
    </xf>
    <xf numFmtId="44" fontId="0" fillId="0" borderId="9" xfId="3" applyFont="1" applyBorder="1" applyAlignment="1">
      <alignment horizontal="center"/>
    </xf>
    <xf numFmtId="44" fontId="0" fillId="0" borderId="7" xfId="3" applyFon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44" fontId="0" fillId="3" borderId="1" xfId="0" applyNumberForma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4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9" fontId="0" fillId="0" borderId="9" xfId="2" applyFont="1" applyBorder="1" applyAlignment="1">
      <alignment horizontal="center"/>
    </xf>
    <xf numFmtId="9" fontId="0" fillId="0" borderId="7" xfId="2" applyFont="1" applyBorder="1" applyAlignment="1">
      <alignment horizontal="center"/>
    </xf>
    <xf numFmtId="0" fontId="10" fillId="5" borderId="15" xfId="0" applyFont="1" applyFill="1" applyBorder="1" applyAlignment="1">
      <alignment vertical="center"/>
    </xf>
    <xf numFmtId="0" fontId="3" fillId="5" borderId="16" xfId="0" applyFont="1" applyFill="1" applyBorder="1"/>
    <xf numFmtId="0" fontId="7" fillId="5" borderId="15" xfId="0" applyFont="1" applyFill="1" applyBorder="1" applyAlignment="1">
      <alignment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/>
    </xf>
    <xf numFmtId="0" fontId="4" fillId="5" borderId="11" xfId="0" applyFont="1" applyFill="1" applyBorder="1" applyAlignment="1">
      <alignment horizontal="center"/>
    </xf>
    <xf numFmtId="0" fontId="4" fillId="5" borderId="12" xfId="0" applyFont="1" applyFill="1" applyBorder="1" applyAlignment="1">
      <alignment horizontal="center"/>
    </xf>
    <xf numFmtId="1" fontId="4" fillId="5" borderId="8" xfId="0" applyNumberFormat="1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7" fillId="5" borderId="1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/>
    </xf>
  </cellXfs>
  <cellStyles count="4">
    <cellStyle name="Moeda" xfId="3" builtinId="4"/>
    <cellStyle name="Normal" xfId="0" builtinId="0"/>
    <cellStyle name="Porcentagem" xfId="2" builtinId="5"/>
    <cellStyle name="Vírgula" xfId="1" builtinId="3"/>
  </cellStyles>
  <dxfs count="4"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008080"/>
      <color rgb="FF006666"/>
      <color rgb="FF339933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 sz="1800">
                <a:solidFill>
                  <a:schemeClr val="bg1">
                    <a:lumMod val="85000"/>
                  </a:schemeClr>
                </a:solidFill>
              </a:rPr>
              <a:t>OPERAÇÃO COMUM</a:t>
            </a:r>
          </a:p>
        </c:rich>
      </c:tx>
      <c:layout>
        <c:manualLayout>
          <c:xMode val="edge"/>
          <c:yMode val="edge"/>
          <c:x val="0.46277028719574737"/>
          <c:y val="4.1025631559370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33335739282947E-2"/>
          <c:y val="0.24133686998844245"/>
          <c:w val="0.96333332852143416"/>
          <c:h val="0.50523226783599673"/>
        </c:manualLayout>
      </c:layout>
      <c:barChart>
        <c:barDir val="col"/>
        <c:grouping val="clustered"/>
        <c:varyColors val="0"/>
        <c:ser>
          <c:idx val="1"/>
          <c:order val="0"/>
          <c:tx>
            <c:v>VALOR DE COMPRA</c:v>
          </c:tx>
          <c:spPr>
            <a:solidFill>
              <a:schemeClr val="accent6">
                <a:lumMod val="60000"/>
                <a:lumOff val="40000"/>
              </a:schemeClr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'Operação Comum'!$B$6:$B$35</c:f>
              <c:strCache>
                <c:ptCount val="30"/>
                <c:pt idx="0">
                  <c:v>AÇÃO 1</c:v>
                </c:pt>
                <c:pt idx="1">
                  <c:v>AÇÃO 2</c:v>
                </c:pt>
                <c:pt idx="2">
                  <c:v>AÇÃO 3</c:v>
                </c:pt>
                <c:pt idx="3">
                  <c:v>AÇÃO 4</c:v>
                </c:pt>
                <c:pt idx="4">
                  <c:v>AÇÃO 5</c:v>
                </c:pt>
                <c:pt idx="5">
                  <c:v>AÇÃO 6</c:v>
                </c:pt>
                <c:pt idx="6">
                  <c:v>AÇÃO 7</c:v>
                </c:pt>
                <c:pt idx="7">
                  <c:v>AÇÃO 8</c:v>
                </c:pt>
                <c:pt idx="8">
                  <c:v>AÇÃO 9</c:v>
                </c:pt>
                <c:pt idx="9">
                  <c:v>AÇÃO 10</c:v>
                </c:pt>
                <c:pt idx="10">
                  <c:v>AÇÃO 11</c:v>
                </c:pt>
                <c:pt idx="11">
                  <c:v>AÇÃO 12</c:v>
                </c:pt>
                <c:pt idx="12">
                  <c:v>AÇÃO 13</c:v>
                </c:pt>
                <c:pt idx="13">
                  <c:v>AÇÃO 14</c:v>
                </c:pt>
                <c:pt idx="14">
                  <c:v>AÇÃO 15</c:v>
                </c:pt>
                <c:pt idx="15">
                  <c:v>AÇÃO 16</c:v>
                </c:pt>
                <c:pt idx="16">
                  <c:v>AÇÃO 17</c:v>
                </c:pt>
                <c:pt idx="17">
                  <c:v>AÇÃO 18</c:v>
                </c:pt>
                <c:pt idx="18">
                  <c:v>AÇÃO 19</c:v>
                </c:pt>
                <c:pt idx="19">
                  <c:v>AÇÃO 20</c:v>
                </c:pt>
                <c:pt idx="20">
                  <c:v>AÇÃO 21</c:v>
                </c:pt>
                <c:pt idx="21">
                  <c:v>AÇÃO 22</c:v>
                </c:pt>
                <c:pt idx="22">
                  <c:v>AÇÃO 23</c:v>
                </c:pt>
                <c:pt idx="23">
                  <c:v>AÇÃO 24</c:v>
                </c:pt>
                <c:pt idx="24">
                  <c:v>AÇÃO 25</c:v>
                </c:pt>
                <c:pt idx="25">
                  <c:v>AÇÃO 26</c:v>
                </c:pt>
                <c:pt idx="26">
                  <c:v>AÇÃO 27</c:v>
                </c:pt>
                <c:pt idx="27">
                  <c:v>AÇÃO 28</c:v>
                </c:pt>
                <c:pt idx="28">
                  <c:v>AÇÃO 29</c:v>
                </c:pt>
                <c:pt idx="29">
                  <c:v>AÇÃO 30</c:v>
                </c:pt>
              </c:strCache>
            </c:strRef>
          </c:cat>
          <c:val>
            <c:numRef>
              <c:f>'Operação Comum'!$E$6:$E$35</c:f>
              <c:numCache>
                <c:formatCode>_("R$"* #,##0.00_);_("R$"* \(#,##0.00\);_("R$"*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0"/>
          <c:order val="1"/>
          <c:tx>
            <c:v>VALOR DE VENDA</c:v>
          </c:tx>
          <c:spPr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'Operação Comum'!$B$6:$B$35</c:f>
              <c:strCache>
                <c:ptCount val="30"/>
                <c:pt idx="0">
                  <c:v>AÇÃO 1</c:v>
                </c:pt>
                <c:pt idx="1">
                  <c:v>AÇÃO 2</c:v>
                </c:pt>
                <c:pt idx="2">
                  <c:v>AÇÃO 3</c:v>
                </c:pt>
                <c:pt idx="3">
                  <c:v>AÇÃO 4</c:v>
                </c:pt>
                <c:pt idx="4">
                  <c:v>AÇÃO 5</c:v>
                </c:pt>
                <c:pt idx="5">
                  <c:v>AÇÃO 6</c:v>
                </c:pt>
                <c:pt idx="6">
                  <c:v>AÇÃO 7</c:v>
                </c:pt>
                <c:pt idx="7">
                  <c:v>AÇÃO 8</c:v>
                </c:pt>
                <c:pt idx="8">
                  <c:v>AÇÃO 9</c:v>
                </c:pt>
                <c:pt idx="9">
                  <c:v>AÇÃO 10</c:v>
                </c:pt>
                <c:pt idx="10">
                  <c:v>AÇÃO 11</c:v>
                </c:pt>
                <c:pt idx="11">
                  <c:v>AÇÃO 12</c:v>
                </c:pt>
                <c:pt idx="12">
                  <c:v>AÇÃO 13</c:v>
                </c:pt>
                <c:pt idx="13">
                  <c:v>AÇÃO 14</c:v>
                </c:pt>
                <c:pt idx="14">
                  <c:v>AÇÃO 15</c:v>
                </c:pt>
                <c:pt idx="15">
                  <c:v>AÇÃO 16</c:v>
                </c:pt>
                <c:pt idx="16">
                  <c:v>AÇÃO 17</c:v>
                </c:pt>
                <c:pt idx="17">
                  <c:v>AÇÃO 18</c:v>
                </c:pt>
                <c:pt idx="18">
                  <c:v>AÇÃO 19</c:v>
                </c:pt>
                <c:pt idx="19">
                  <c:v>AÇÃO 20</c:v>
                </c:pt>
                <c:pt idx="20">
                  <c:v>AÇÃO 21</c:v>
                </c:pt>
                <c:pt idx="21">
                  <c:v>AÇÃO 22</c:v>
                </c:pt>
                <c:pt idx="22">
                  <c:v>AÇÃO 23</c:v>
                </c:pt>
                <c:pt idx="23">
                  <c:v>AÇÃO 24</c:v>
                </c:pt>
                <c:pt idx="24">
                  <c:v>AÇÃO 25</c:v>
                </c:pt>
                <c:pt idx="25">
                  <c:v>AÇÃO 26</c:v>
                </c:pt>
                <c:pt idx="26">
                  <c:v>AÇÃO 27</c:v>
                </c:pt>
                <c:pt idx="27">
                  <c:v>AÇÃO 28</c:v>
                </c:pt>
                <c:pt idx="28">
                  <c:v>AÇÃO 29</c:v>
                </c:pt>
                <c:pt idx="29">
                  <c:v>AÇÃO 30</c:v>
                </c:pt>
              </c:strCache>
            </c:strRef>
          </c:cat>
          <c:val>
            <c:numRef>
              <c:f>'Operação Comum'!$O$6:$O$35</c:f>
              <c:numCache>
                <c:formatCode>_("R$"* #,##0.00_);_("R$"* \(#,##0.00\);_("R$"*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38"/>
        <c:overlap val="-8"/>
        <c:axId val="151193088"/>
        <c:axId val="151194624"/>
      </c:barChart>
      <c:catAx>
        <c:axId val="1511930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>
                <a:solidFill>
                  <a:schemeClr val="bg1"/>
                </a:solidFill>
              </a:defRPr>
            </a:pPr>
            <a:endParaRPr lang="pt-BR"/>
          </a:p>
        </c:txPr>
        <c:crossAx val="151194624"/>
        <c:crosses val="autoZero"/>
        <c:auto val="1"/>
        <c:lblAlgn val="ctr"/>
        <c:lblOffset val="100"/>
        <c:noMultiLvlLbl val="0"/>
      </c:catAx>
      <c:valAx>
        <c:axId val="151194624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51193088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b"/>
      <c:layout>
        <c:manualLayout>
          <c:xMode val="edge"/>
          <c:yMode val="edge"/>
          <c:x val="0.38186390627388322"/>
          <c:y val="0.84785651458417433"/>
          <c:w val="0.23826997907774972"/>
          <c:h val="6.2153143007469797E-2"/>
        </c:manualLayout>
      </c:layout>
      <c:overlay val="0"/>
      <c:txPr>
        <a:bodyPr/>
        <a:lstStyle/>
        <a:p>
          <a:pPr>
            <a:defRPr lang="en-US" sz="14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</c:spPr>
  <c:printSettings>
    <c:headerFooter/>
    <c:pageMargins b="0.78740157499999996" l="0.511811024" r="0.511811024" t="0.78740157499999996" header="0.31496062000000091" footer="0.3149606200000009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>
                <a:solidFill>
                  <a:schemeClr val="bg1">
                    <a:lumMod val="85000"/>
                  </a:schemeClr>
                </a:solidFill>
              </a:defRPr>
            </a:pPr>
            <a:r>
              <a:rPr lang="en-US" sz="1800">
                <a:solidFill>
                  <a:schemeClr val="bg1">
                    <a:lumMod val="85000"/>
                  </a:schemeClr>
                </a:solidFill>
              </a:rPr>
              <a:t>OPERAÇÃO DAY</a:t>
            </a:r>
            <a:r>
              <a:rPr lang="en-US" sz="1800" baseline="0">
                <a:solidFill>
                  <a:schemeClr val="bg1">
                    <a:lumMod val="85000"/>
                  </a:schemeClr>
                </a:solidFill>
              </a:rPr>
              <a:t> TRADE</a:t>
            </a:r>
            <a:endParaRPr lang="en-US" sz="1800">
              <a:solidFill>
                <a:schemeClr val="bg1">
                  <a:lumMod val="85000"/>
                </a:schemeClr>
              </a:solidFill>
            </a:endParaRPr>
          </a:p>
        </c:rich>
      </c:tx>
      <c:layout>
        <c:manualLayout>
          <c:xMode val="edge"/>
          <c:yMode val="edge"/>
          <c:x val="0.46277028719574748"/>
          <c:y val="4.102563155937088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8333335739282954E-2"/>
          <c:y val="0.24133686998844245"/>
          <c:w val="0.96333332852143416"/>
          <c:h val="0.5052322678359964"/>
        </c:manualLayout>
      </c:layout>
      <c:barChart>
        <c:barDir val="col"/>
        <c:grouping val="clustered"/>
        <c:varyColors val="0"/>
        <c:ser>
          <c:idx val="1"/>
          <c:order val="0"/>
          <c:tx>
            <c:v>VALOR DE COMPRA</c:v>
          </c:tx>
          <c:spPr>
            <a:solidFill>
              <a:schemeClr val="accent2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'Operação Day Trade'!$B$6:$B$35</c:f>
              <c:strCache>
                <c:ptCount val="30"/>
                <c:pt idx="0">
                  <c:v>AÇÃO 1</c:v>
                </c:pt>
                <c:pt idx="1">
                  <c:v>AÇÃO 2</c:v>
                </c:pt>
                <c:pt idx="2">
                  <c:v>AÇÃO 3</c:v>
                </c:pt>
                <c:pt idx="3">
                  <c:v>AÇÃO 4</c:v>
                </c:pt>
                <c:pt idx="4">
                  <c:v>AÇÃO 5</c:v>
                </c:pt>
                <c:pt idx="5">
                  <c:v>AÇÃO 6</c:v>
                </c:pt>
                <c:pt idx="6">
                  <c:v>AÇÃO 7</c:v>
                </c:pt>
                <c:pt idx="7">
                  <c:v>AÇÃO 8</c:v>
                </c:pt>
                <c:pt idx="8">
                  <c:v>AÇÃO 9</c:v>
                </c:pt>
                <c:pt idx="9">
                  <c:v>AÇÃO 10</c:v>
                </c:pt>
                <c:pt idx="10">
                  <c:v>AÇÃO 11</c:v>
                </c:pt>
                <c:pt idx="11">
                  <c:v>AÇÃO 12</c:v>
                </c:pt>
                <c:pt idx="12">
                  <c:v>AÇÃO 13</c:v>
                </c:pt>
                <c:pt idx="13">
                  <c:v>AÇÃO 14</c:v>
                </c:pt>
                <c:pt idx="14">
                  <c:v>AÇÃO 15</c:v>
                </c:pt>
                <c:pt idx="15">
                  <c:v>AÇÃO 16</c:v>
                </c:pt>
                <c:pt idx="16">
                  <c:v>AÇÃO 17</c:v>
                </c:pt>
                <c:pt idx="17">
                  <c:v>AÇÃO 18</c:v>
                </c:pt>
                <c:pt idx="18">
                  <c:v>AÇÃO 19</c:v>
                </c:pt>
                <c:pt idx="19">
                  <c:v>AÇÃO 20</c:v>
                </c:pt>
                <c:pt idx="20">
                  <c:v>AÇÃO 21</c:v>
                </c:pt>
                <c:pt idx="21">
                  <c:v>AÇÃO 22</c:v>
                </c:pt>
                <c:pt idx="22">
                  <c:v>AÇÃO 23</c:v>
                </c:pt>
                <c:pt idx="23">
                  <c:v>AÇÃO 24</c:v>
                </c:pt>
                <c:pt idx="24">
                  <c:v>AÇÃO 25</c:v>
                </c:pt>
                <c:pt idx="25">
                  <c:v>AÇÃO 26</c:v>
                </c:pt>
                <c:pt idx="26">
                  <c:v>AÇÃO 27</c:v>
                </c:pt>
                <c:pt idx="27">
                  <c:v>AÇÃO 28</c:v>
                </c:pt>
                <c:pt idx="28">
                  <c:v>AÇÃO 29</c:v>
                </c:pt>
                <c:pt idx="29">
                  <c:v>AÇÃO 30</c:v>
                </c:pt>
              </c:strCache>
            </c:strRef>
          </c:cat>
          <c:val>
            <c:numRef>
              <c:f>'Operação Day Trade'!$E$6:$E$35</c:f>
              <c:numCache>
                <c:formatCode>_("R$"* #,##0.00_);_("R$"* \(#,##0.00\);_("R$"*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ser>
          <c:idx val="0"/>
          <c:order val="1"/>
          <c:tx>
            <c:v>VALOR DE VENDA</c:v>
          </c:tx>
          <c:spPr>
            <a:solidFill>
              <a:srgbClr val="92D050"/>
            </a:solidFill>
            <a:scene3d>
              <a:camera prst="orthographicFront"/>
              <a:lightRig rig="threePt" dir="t"/>
            </a:scene3d>
            <a:sp3d>
              <a:bevelT/>
            </a:sp3d>
          </c:spPr>
          <c:invertIfNegative val="0"/>
          <c:dLbls>
            <c:delete val="1"/>
          </c:dLbls>
          <c:cat>
            <c:strRef>
              <c:f>'Operação Day Trade'!$B$6:$B$35</c:f>
              <c:strCache>
                <c:ptCount val="30"/>
                <c:pt idx="0">
                  <c:v>AÇÃO 1</c:v>
                </c:pt>
                <c:pt idx="1">
                  <c:v>AÇÃO 2</c:v>
                </c:pt>
                <c:pt idx="2">
                  <c:v>AÇÃO 3</c:v>
                </c:pt>
                <c:pt idx="3">
                  <c:v>AÇÃO 4</c:v>
                </c:pt>
                <c:pt idx="4">
                  <c:v>AÇÃO 5</c:v>
                </c:pt>
                <c:pt idx="5">
                  <c:v>AÇÃO 6</c:v>
                </c:pt>
                <c:pt idx="6">
                  <c:v>AÇÃO 7</c:v>
                </c:pt>
                <c:pt idx="7">
                  <c:v>AÇÃO 8</c:v>
                </c:pt>
                <c:pt idx="8">
                  <c:v>AÇÃO 9</c:v>
                </c:pt>
                <c:pt idx="9">
                  <c:v>AÇÃO 10</c:v>
                </c:pt>
                <c:pt idx="10">
                  <c:v>AÇÃO 11</c:v>
                </c:pt>
                <c:pt idx="11">
                  <c:v>AÇÃO 12</c:v>
                </c:pt>
                <c:pt idx="12">
                  <c:v>AÇÃO 13</c:v>
                </c:pt>
                <c:pt idx="13">
                  <c:v>AÇÃO 14</c:v>
                </c:pt>
                <c:pt idx="14">
                  <c:v>AÇÃO 15</c:v>
                </c:pt>
                <c:pt idx="15">
                  <c:v>AÇÃO 16</c:v>
                </c:pt>
                <c:pt idx="16">
                  <c:v>AÇÃO 17</c:v>
                </c:pt>
                <c:pt idx="17">
                  <c:v>AÇÃO 18</c:v>
                </c:pt>
                <c:pt idx="18">
                  <c:v>AÇÃO 19</c:v>
                </c:pt>
                <c:pt idx="19">
                  <c:v>AÇÃO 20</c:v>
                </c:pt>
                <c:pt idx="20">
                  <c:v>AÇÃO 21</c:v>
                </c:pt>
                <c:pt idx="21">
                  <c:v>AÇÃO 22</c:v>
                </c:pt>
                <c:pt idx="22">
                  <c:v>AÇÃO 23</c:v>
                </c:pt>
                <c:pt idx="23">
                  <c:v>AÇÃO 24</c:v>
                </c:pt>
                <c:pt idx="24">
                  <c:v>AÇÃO 25</c:v>
                </c:pt>
                <c:pt idx="25">
                  <c:v>AÇÃO 26</c:v>
                </c:pt>
                <c:pt idx="26">
                  <c:v>AÇÃO 27</c:v>
                </c:pt>
                <c:pt idx="27">
                  <c:v>AÇÃO 28</c:v>
                </c:pt>
                <c:pt idx="28">
                  <c:v>AÇÃO 29</c:v>
                </c:pt>
                <c:pt idx="29">
                  <c:v>AÇÃO 30</c:v>
                </c:pt>
              </c:strCache>
            </c:strRef>
          </c:cat>
          <c:val>
            <c:numRef>
              <c:f>'Operação Comum'!$O$6:$O$35</c:f>
              <c:numCache>
                <c:formatCode>_("R$"* #,##0.00_);_("R$"* \(#,##0.00\);_("R$"* "-"??_);_(@_)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338"/>
        <c:overlap val="-8"/>
        <c:axId val="151228800"/>
        <c:axId val="151230336"/>
      </c:barChart>
      <c:catAx>
        <c:axId val="1512288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>
                <a:solidFill>
                  <a:schemeClr val="bg1"/>
                </a:solidFill>
              </a:defRPr>
            </a:pPr>
            <a:endParaRPr lang="pt-BR"/>
          </a:p>
        </c:txPr>
        <c:crossAx val="151230336"/>
        <c:crosses val="autoZero"/>
        <c:auto val="1"/>
        <c:lblAlgn val="ctr"/>
        <c:lblOffset val="100"/>
        <c:noMultiLvlLbl val="0"/>
      </c:catAx>
      <c:valAx>
        <c:axId val="151230336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one"/>
        <c:crossAx val="151228800"/>
        <c:crosses val="autoZero"/>
        <c:crossBetween val="between"/>
      </c:valAx>
      <c:spPr>
        <a:noFill/>
        <a:ln w="25400">
          <a:noFill/>
        </a:ln>
        <a:scene3d>
          <a:camera prst="orthographicFront"/>
          <a:lightRig rig="threePt" dir="t"/>
        </a:scene3d>
        <a:sp3d>
          <a:bevelT/>
        </a:sp3d>
      </c:spPr>
    </c:plotArea>
    <c:legend>
      <c:legendPos val="b"/>
      <c:layout>
        <c:manualLayout>
          <c:xMode val="edge"/>
          <c:yMode val="edge"/>
          <c:x val="0.38186390627388345"/>
          <c:y val="0.84785651458417477"/>
          <c:w val="0.23826997907774974"/>
          <c:h val="6.2153143007469797E-2"/>
        </c:manualLayout>
      </c:layout>
      <c:overlay val="0"/>
      <c:txPr>
        <a:bodyPr/>
        <a:lstStyle/>
        <a:p>
          <a:pPr>
            <a:defRPr lang="en-US" sz="1400" b="1">
              <a:solidFill>
                <a:schemeClr val="bg1"/>
              </a:solidFill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tx1">
        <a:lumMod val="75000"/>
        <a:lumOff val="25000"/>
      </a:schemeClr>
    </a:solidFill>
  </c:spPr>
  <c:printSettings>
    <c:headerFooter/>
    <c:pageMargins b="0.78740157499999996" l="0.511811024" r="0.511811024" t="0.78740157499999996" header="0.31496062000000102" footer="0.314960620000001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acelere.vc" TargetMode="External"/><Relationship Id="rId3" Type="http://schemas.openxmlformats.org/officeDocument/2006/relationships/hyperlink" Target="#'Opera&#231;&#227;o Comum'!A1"/><Relationship Id="rId7" Type="http://schemas.openxmlformats.org/officeDocument/2006/relationships/hyperlink" Target="#Cadastro!A1"/><Relationship Id="rId2" Type="http://schemas.openxmlformats.org/officeDocument/2006/relationships/image" Target="../media/image1.png"/><Relationship Id="rId1" Type="http://schemas.openxmlformats.org/officeDocument/2006/relationships/hyperlink" Target="#'Fatores Internos'!A1"/><Relationship Id="rId6" Type="http://schemas.openxmlformats.org/officeDocument/2006/relationships/hyperlink" Target="#Panorama!A1"/><Relationship Id="rId5" Type="http://schemas.openxmlformats.org/officeDocument/2006/relationships/hyperlink" Target="#'Opera&#231;&#227;o Day Trade'!A1"/><Relationship Id="rId4" Type="http://schemas.openxmlformats.org/officeDocument/2006/relationships/hyperlink" Target="#An&#225;lise!A1"/><Relationship Id="rId9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celere.vc" TargetMode="External"/><Relationship Id="rId2" Type="http://schemas.openxmlformats.org/officeDocument/2006/relationships/image" Target="../media/image3.png"/><Relationship Id="rId1" Type="http://schemas.openxmlformats.org/officeDocument/2006/relationships/hyperlink" Target="#In&#237;cio!A1"/><Relationship Id="rId4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In&#237;cio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hyperlink" Target="http://www.acelere.vc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449791</xdr:colOff>
      <xdr:row>9</xdr:row>
      <xdr:rowOff>159808</xdr:rowOff>
    </xdr:from>
    <xdr:to>
      <xdr:col>8</xdr:col>
      <xdr:colOff>503766</xdr:colOff>
      <xdr:row>12</xdr:row>
      <xdr:rowOff>127346</xdr:rowOff>
    </xdr:to>
    <xdr:grpSp>
      <xdr:nvGrpSpPr>
        <xdr:cNvPr id="15" name="Grupo 14">
          <a:hlinkClick xmlns:r="http://schemas.openxmlformats.org/officeDocument/2006/relationships" r:id="rId1"/>
        </xdr:cNvPr>
        <xdr:cNvGrpSpPr/>
      </xdr:nvGrpSpPr>
      <xdr:grpSpPr>
        <a:xfrm>
          <a:off x="3907366" y="2141008"/>
          <a:ext cx="1882775" cy="539038"/>
          <a:chOff x="285750" y="2400300"/>
          <a:chExt cx="1895475" cy="539038"/>
        </a:xfrm>
      </xdr:grpSpPr>
      <xdr:pic>
        <xdr:nvPicPr>
          <xdr:cNvPr id="16" name="Imagem 15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7" name="CaixaDeTexto 16">
            <a:hlinkClick xmlns:r="http://schemas.openxmlformats.org/officeDocument/2006/relationships" r:id="rId3"/>
          </xdr:cNvPr>
          <xdr:cNvSpPr txBox="1"/>
        </xdr:nvSpPr>
        <xdr:spPr>
          <a:xfrm>
            <a:off x="419100" y="2524125"/>
            <a:ext cx="163829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OPERAÇÃO</a:t>
            </a:r>
            <a:r>
              <a:rPr lang="pt-BR" sz="1300" i="1" u="sng" baseline="0">
                <a:solidFill>
                  <a:schemeClr val="bg1"/>
                </a:solidFill>
              </a:rPr>
              <a:t> COMUM</a:t>
            </a:r>
            <a:endParaRPr lang="pt-BR" sz="1300" i="1" u="sng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10</xdr:col>
      <xdr:colOff>452967</xdr:colOff>
      <xdr:row>9</xdr:row>
      <xdr:rowOff>159808</xdr:rowOff>
    </xdr:from>
    <xdr:to>
      <xdr:col>13</xdr:col>
      <xdr:colOff>506942</xdr:colOff>
      <xdr:row>12</xdr:row>
      <xdr:rowOff>127346</xdr:rowOff>
    </xdr:to>
    <xdr:grpSp>
      <xdr:nvGrpSpPr>
        <xdr:cNvPr id="18" name="Grupo 17">
          <a:hlinkClick xmlns:r="http://schemas.openxmlformats.org/officeDocument/2006/relationships" r:id="rId4"/>
        </xdr:cNvPr>
        <xdr:cNvGrpSpPr/>
      </xdr:nvGrpSpPr>
      <xdr:grpSpPr>
        <a:xfrm>
          <a:off x="6958542" y="2141008"/>
          <a:ext cx="1882775" cy="539038"/>
          <a:chOff x="285750" y="2400300"/>
          <a:chExt cx="1895475" cy="539038"/>
        </a:xfrm>
      </xdr:grpSpPr>
      <xdr:pic>
        <xdr:nvPicPr>
          <xdr:cNvPr id="19" name="Imagem 18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0" name="CaixaDeTexto 19">
            <a:hlinkClick xmlns:r="http://schemas.openxmlformats.org/officeDocument/2006/relationships" r:id="rId5"/>
          </xdr:cNvPr>
          <xdr:cNvSpPr txBox="1"/>
        </xdr:nvSpPr>
        <xdr:spPr>
          <a:xfrm>
            <a:off x="295276" y="2524125"/>
            <a:ext cx="1862666" cy="2465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OPERAÇÃO DAY TRADE</a:t>
            </a:r>
          </a:p>
        </xdr:txBody>
      </xdr:sp>
    </xdr:grpSp>
    <xdr:clientData/>
  </xdr:twoCellAnchor>
  <xdr:twoCellAnchor>
    <xdr:from>
      <xdr:col>15</xdr:col>
      <xdr:colOff>282575</xdr:colOff>
      <xdr:row>9</xdr:row>
      <xdr:rowOff>170392</xdr:rowOff>
    </xdr:from>
    <xdr:to>
      <xdr:col>18</xdr:col>
      <xdr:colOff>336550</xdr:colOff>
      <xdr:row>12</xdr:row>
      <xdr:rowOff>137930</xdr:rowOff>
    </xdr:to>
    <xdr:grpSp>
      <xdr:nvGrpSpPr>
        <xdr:cNvPr id="21" name="Grupo 20">
          <a:hlinkClick xmlns:r="http://schemas.openxmlformats.org/officeDocument/2006/relationships" r:id="rId4"/>
        </xdr:cNvPr>
        <xdr:cNvGrpSpPr/>
      </xdr:nvGrpSpPr>
      <xdr:grpSpPr>
        <a:xfrm>
          <a:off x="9836150" y="2151592"/>
          <a:ext cx="1882775" cy="539038"/>
          <a:chOff x="285750" y="2400300"/>
          <a:chExt cx="1895475" cy="539038"/>
        </a:xfrm>
      </xdr:grpSpPr>
      <xdr:pic>
        <xdr:nvPicPr>
          <xdr:cNvPr id="22" name="Imagem 21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3" name="CaixaDeTexto 22">
            <a:hlinkClick xmlns:r="http://schemas.openxmlformats.org/officeDocument/2006/relationships" r:id="rId6"/>
          </xdr:cNvPr>
          <xdr:cNvSpPr txBox="1"/>
        </xdr:nvSpPr>
        <xdr:spPr>
          <a:xfrm>
            <a:off x="400050" y="2524125"/>
            <a:ext cx="1685925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PANORAMA</a:t>
            </a:r>
          </a:p>
        </xdr:txBody>
      </xdr:sp>
    </xdr:grpSp>
    <xdr:clientData/>
  </xdr:twoCellAnchor>
  <xdr:twoCellAnchor>
    <xdr:from>
      <xdr:col>0</xdr:col>
      <xdr:colOff>967316</xdr:colOff>
      <xdr:row>9</xdr:row>
      <xdr:rowOff>138642</xdr:rowOff>
    </xdr:from>
    <xdr:to>
      <xdr:col>4</xdr:col>
      <xdr:colOff>2116</xdr:colOff>
      <xdr:row>12</xdr:row>
      <xdr:rowOff>106180</xdr:rowOff>
    </xdr:to>
    <xdr:grpSp>
      <xdr:nvGrpSpPr>
        <xdr:cNvPr id="25" name="Grupo 24">
          <a:hlinkClick xmlns:r="http://schemas.openxmlformats.org/officeDocument/2006/relationships" r:id="rId4"/>
        </xdr:cNvPr>
        <xdr:cNvGrpSpPr/>
      </xdr:nvGrpSpPr>
      <xdr:grpSpPr>
        <a:xfrm>
          <a:off x="967316" y="2119842"/>
          <a:ext cx="1882775" cy="539038"/>
          <a:chOff x="285750" y="2400300"/>
          <a:chExt cx="1895475" cy="539038"/>
        </a:xfrm>
      </xdr:grpSpPr>
      <xdr:pic>
        <xdr:nvPicPr>
          <xdr:cNvPr id="26" name="Imagem 25"/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85750" y="2400300"/>
            <a:ext cx="1895475" cy="5390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27" name="CaixaDeTexto 26">
            <a:hlinkClick xmlns:r="http://schemas.openxmlformats.org/officeDocument/2006/relationships" r:id="rId7"/>
          </xdr:cNvPr>
          <xdr:cNvSpPr txBox="1"/>
        </xdr:nvSpPr>
        <xdr:spPr>
          <a:xfrm>
            <a:off x="542925" y="2524125"/>
            <a:ext cx="1390649" cy="2571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pt-BR" sz="1300" i="1" u="sng">
                <a:solidFill>
                  <a:schemeClr val="bg1"/>
                </a:solidFill>
              </a:rPr>
              <a:t>CADASTRO</a:t>
            </a:r>
          </a:p>
        </xdr:txBody>
      </xdr:sp>
    </xdr:grpSp>
    <xdr:clientData/>
  </xdr:twoCellAnchor>
  <xdr:twoCellAnchor editAs="oneCell">
    <xdr:from>
      <xdr:col>17</xdr:col>
      <xdr:colOff>511174</xdr:colOff>
      <xdr:row>0</xdr:row>
      <xdr:rowOff>0</xdr:rowOff>
    </xdr:from>
    <xdr:to>
      <xdr:col>19</xdr:col>
      <xdr:colOff>492124</xdr:colOff>
      <xdr:row>1</xdr:row>
      <xdr:rowOff>19049</xdr:rowOff>
    </xdr:to>
    <xdr:pic>
      <xdr:nvPicPr>
        <xdr:cNvPr id="28" name="Imagem 27">
          <a:hlinkClick xmlns:r="http://schemas.openxmlformats.org/officeDocument/2006/relationships" r:id="rId8"/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83949" y="0"/>
          <a:ext cx="1200150" cy="4762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66675</xdr:rowOff>
    </xdr:from>
    <xdr:to>
      <xdr:col>1</xdr:col>
      <xdr:colOff>9525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5</xdr:col>
      <xdr:colOff>1962150</xdr:colOff>
      <xdr:row>0</xdr:row>
      <xdr:rowOff>0</xdr:rowOff>
    </xdr:from>
    <xdr:to>
      <xdr:col>8</xdr:col>
      <xdr:colOff>323850</xdr:colOff>
      <xdr:row>1</xdr:row>
      <xdr:rowOff>19049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49025" y="0"/>
          <a:ext cx="1200150" cy="4762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66675</xdr:rowOff>
    </xdr:from>
    <xdr:to>
      <xdr:col>1</xdr:col>
      <xdr:colOff>190500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9</xdr:col>
      <xdr:colOff>1104900</xdr:colOff>
      <xdr:row>0</xdr:row>
      <xdr:rowOff>0</xdr:rowOff>
    </xdr:from>
    <xdr:to>
      <xdr:col>11</xdr:col>
      <xdr:colOff>371475</xdr:colOff>
      <xdr:row>1</xdr:row>
      <xdr:rowOff>19049</xdr:rowOff>
    </xdr:to>
    <xdr:pic>
      <xdr:nvPicPr>
        <xdr:cNvPr id="8" name="Imagem 7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00150" cy="47624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66675</xdr:rowOff>
    </xdr:from>
    <xdr:to>
      <xdr:col>1</xdr:col>
      <xdr:colOff>200025</xdr:colOff>
      <xdr:row>0</xdr:row>
      <xdr:rowOff>396724</xdr:rowOff>
    </xdr:to>
    <xdr:pic>
      <xdr:nvPicPr>
        <xdr:cNvPr id="6" name="Imagem 5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9</xdr:col>
      <xdr:colOff>1114425</xdr:colOff>
      <xdr:row>0</xdr:row>
      <xdr:rowOff>0</xdr:rowOff>
    </xdr:from>
    <xdr:to>
      <xdr:col>11</xdr:col>
      <xdr:colOff>381000</xdr:colOff>
      <xdr:row>1</xdr:row>
      <xdr:rowOff>19049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0" y="0"/>
          <a:ext cx="1200150" cy="476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174626</xdr:colOff>
      <xdr:row>1</xdr:row>
      <xdr:rowOff>63499</xdr:rowOff>
    </xdr:from>
    <xdr:to>
      <xdr:col>30</xdr:col>
      <xdr:colOff>285750</xdr:colOff>
      <xdr:row>26</xdr:row>
      <xdr:rowOff>174625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158750</xdr:colOff>
      <xdr:row>27</xdr:row>
      <xdr:rowOff>111125</xdr:rowOff>
    </xdr:from>
    <xdr:to>
      <xdr:col>30</xdr:col>
      <xdr:colOff>269874</xdr:colOff>
      <xdr:row>52</xdr:row>
      <xdr:rowOff>31751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76200</xdr:colOff>
      <xdr:row>0</xdr:row>
      <xdr:rowOff>66675</xdr:rowOff>
    </xdr:from>
    <xdr:to>
      <xdr:col>1</xdr:col>
      <xdr:colOff>28575</xdr:colOff>
      <xdr:row>0</xdr:row>
      <xdr:rowOff>396724</xdr:rowOff>
    </xdr:to>
    <xdr:pic>
      <xdr:nvPicPr>
        <xdr:cNvPr id="7" name="Imagem 6">
          <a:hlinkClick xmlns:r="http://schemas.openxmlformats.org/officeDocument/2006/relationships" r:id="rId3"/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6675"/>
          <a:ext cx="561975" cy="330049"/>
        </a:xfrm>
        <a:prstGeom prst="rect">
          <a:avLst/>
        </a:prstGeom>
      </xdr:spPr>
    </xdr:pic>
    <xdr:clientData/>
  </xdr:twoCellAnchor>
  <xdr:twoCellAnchor editAs="oneCell">
    <xdr:from>
      <xdr:col>18</xdr:col>
      <xdr:colOff>295275</xdr:colOff>
      <xdr:row>0</xdr:row>
      <xdr:rowOff>0</xdr:rowOff>
    </xdr:from>
    <xdr:to>
      <xdr:col>20</xdr:col>
      <xdr:colOff>276225</xdr:colOff>
      <xdr:row>1</xdr:row>
      <xdr:rowOff>19049</xdr:rowOff>
    </xdr:to>
    <xdr:pic>
      <xdr:nvPicPr>
        <xdr:cNvPr id="11" name="Imagem 10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68075" y="0"/>
          <a:ext cx="1200150" cy="476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tabSelected="1" zoomScaleNormal="100" workbookViewId="0">
      <selection sqref="A1:T1"/>
    </sheetView>
  </sheetViews>
  <sheetFormatPr defaultRowHeight="15" x14ac:dyDescent="0.25"/>
  <cols>
    <col min="1" max="1" width="15.28515625" style="1" customWidth="1"/>
    <col min="2" max="16384" width="9.140625" style="1"/>
  </cols>
  <sheetData>
    <row r="1" spans="1:25" s="33" customFormat="1" ht="36" customHeight="1" x14ac:dyDescent="0.25">
      <c r="A1" s="41" t="s">
        <v>66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32"/>
      <c r="V1" s="32"/>
      <c r="W1" s="32"/>
      <c r="X1" s="32"/>
      <c r="Y1" s="32"/>
    </row>
  </sheetData>
  <mergeCells count="1">
    <mergeCell ref="A1:T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showGridLines="0" workbookViewId="0">
      <selection sqref="A1:I1"/>
    </sheetView>
  </sheetViews>
  <sheetFormatPr defaultRowHeight="15" x14ac:dyDescent="0.25"/>
  <cols>
    <col min="1" max="1" width="9.140625" style="3"/>
    <col min="2" max="2" width="46" customWidth="1"/>
    <col min="3" max="3" width="29.7109375" customWidth="1"/>
    <col min="4" max="4" width="23" bestFit="1" customWidth="1"/>
    <col min="5" max="5" width="31.42578125" bestFit="1" customWidth="1"/>
    <col min="6" max="6" width="29.7109375" customWidth="1"/>
    <col min="7" max="7" width="3.7109375" customWidth="1"/>
  </cols>
  <sheetData>
    <row r="1" spans="1:25" s="33" customFormat="1" ht="36" customHeight="1" x14ac:dyDescent="0.25">
      <c r="A1" s="41" t="s">
        <v>67</v>
      </c>
      <c r="B1" s="42"/>
      <c r="C1" s="42"/>
      <c r="D1" s="42"/>
      <c r="E1" s="42"/>
      <c r="F1" s="42"/>
      <c r="G1" s="42"/>
      <c r="H1" s="42"/>
      <c r="I1" s="42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2"/>
      <c r="V1" s="32"/>
      <c r="W1" s="32"/>
      <c r="X1" s="32"/>
      <c r="Y1" s="32"/>
    </row>
    <row r="2" spans="1:25" s="4" customFormat="1" x14ac:dyDescent="0.25"/>
    <row r="3" spans="1:25" s="4" customFormat="1" ht="15.75" thickBot="1" x14ac:dyDescent="0.3"/>
    <row r="4" spans="1:25" x14ac:dyDescent="0.25">
      <c r="A4" s="5"/>
      <c r="B4" s="35" t="s">
        <v>1</v>
      </c>
      <c r="C4" s="36" t="s">
        <v>2</v>
      </c>
      <c r="D4" s="36" t="s">
        <v>3</v>
      </c>
      <c r="E4" s="36" t="s">
        <v>63</v>
      </c>
      <c r="F4" s="36" t="s">
        <v>64</v>
      </c>
    </row>
    <row r="5" spans="1:25" x14ac:dyDescent="0.25">
      <c r="A5" s="5"/>
      <c r="B5" s="7" t="s">
        <v>4</v>
      </c>
      <c r="C5" s="8"/>
      <c r="D5" s="14"/>
      <c r="E5" s="14"/>
      <c r="F5" s="8"/>
    </row>
    <row r="6" spans="1:25" x14ac:dyDescent="0.25">
      <c r="A6" s="5"/>
      <c r="B6" s="7" t="s">
        <v>5</v>
      </c>
      <c r="C6" s="8"/>
      <c r="D6" s="14"/>
      <c r="E6" s="14"/>
      <c r="F6" s="8"/>
    </row>
    <row r="7" spans="1:25" x14ac:dyDescent="0.25">
      <c r="A7" s="5"/>
      <c r="B7" s="7" t="s">
        <v>6</v>
      </c>
      <c r="C7" s="8"/>
      <c r="D7" s="14"/>
      <c r="E7" s="14"/>
      <c r="F7" s="8"/>
    </row>
    <row r="8" spans="1:25" x14ac:dyDescent="0.25">
      <c r="A8" s="5"/>
      <c r="B8" s="7" t="s">
        <v>7</v>
      </c>
      <c r="C8" s="8"/>
      <c r="D8" s="14"/>
      <c r="E8" s="14"/>
      <c r="F8" s="8"/>
    </row>
    <row r="9" spans="1:25" x14ac:dyDescent="0.25">
      <c r="A9" s="5"/>
      <c r="B9" s="7" t="s">
        <v>8</v>
      </c>
      <c r="C9" s="8"/>
      <c r="D9" s="14"/>
      <c r="E9" s="14"/>
      <c r="F9" s="8"/>
    </row>
    <row r="10" spans="1:25" ht="15.75" thickBot="1" x14ac:dyDescent="0.3"/>
    <row r="11" spans="1:25" x14ac:dyDescent="0.25">
      <c r="B11" s="43" t="s">
        <v>9</v>
      </c>
      <c r="C11" s="44"/>
      <c r="E11" s="43" t="s">
        <v>12</v>
      </c>
      <c r="F11" s="44"/>
    </row>
    <row r="12" spans="1:25" x14ac:dyDescent="0.25">
      <c r="B12" s="7" t="s">
        <v>10</v>
      </c>
      <c r="C12" s="14"/>
      <c r="E12" s="7" t="s">
        <v>13</v>
      </c>
      <c r="F12" s="15"/>
    </row>
    <row r="13" spans="1:25" x14ac:dyDescent="0.25">
      <c r="B13" s="7" t="s">
        <v>11</v>
      </c>
      <c r="C13" s="14"/>
      <c r="E13" s="7" t="s">
        <v>14</v>
      </c>
      <c r="F13" s="15"/>
    </row>
    <row r="14" spans="1:25" x14ac:dyDescent="0.25">
      <c r="E14" s="7" t="s">
        <v>15</v>
      </c>
      <c r="F14" s="15"/>
    </row>
    <row r="15" spans="1:25" x14ac:dyDescent="0.25">
      <c r="E15" s="7"/>
      <c r="F15" s="15"/>
    </row>
    <row r="16" spans="1:25" x14ac:dyDescent="0.25">
      <c r="E16" s="7"/>
      <c r="F16" s="15"/>
    </row>
    <row r="17" spans="5:6" x14ac:dyDescent="0.25">
      <c r="E17" s="7"/>
      <c r="F17" s="15"/>
    </row>
  </sheetData>
  <dataConsolidate/>
  <mergeCells count="3">
    <mergeCell ref="B11:C11"/>
    <mergeCell ref="E11:F11"/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showGridLines="0" zoomScaleNormal="100" workbookViewId="0">
      <selection sqref="A1:L1"/>
    </sheetView>
  </sheetViews>
  <sheetFormatPr defaultRowHeight="15" x14ac:dyDescent="0.25"/>
  <cols>
    <col min="1" max="1" width="6.7109375" customWidth="1"/>
    <col min="2" max="2" width="22.85546875" bestFit="1" customWidth="1"/>
    <col min="3" max="3" width="14.85546875" style="9" customWidth="1"/>
    <col min="4" max="4" width="16.42578125" style="9" bestFit="1" customWidth="1"/>
    <col min="5" max="5" width="17.85546875" style="9" bestFit="1" customWidth="1"/>
    <col min="6" max="6" width="14.85546875" style="9" customWidth="1"/>
    <col min="7" max="7" width="16.42578125" style="9" bestFit="1" customWidth="1"/>
    <col min="8" max="8" width="19.42578125" style="9" bestFit="1" customWidth="1"/>
    <col min="9" max="9" width="23" style="9" bestFit="1" customWidth="1"/>
    <col min="10" max="10" width="25.7109375" style="9" bestFit="1" customWidth="1"/>
    <col min="11" max="11" width="3.28515625" style="9" customWidth="1"/>
    <col min="12" max="12" width="15.7109375" style="9" bestFit="1" customWidth="1"/>
    <col min="13" max="13" width="22" style="19" bestFit="1" customWidth="1"/>
    <col min="14" max="14" width="17" style="9" bestFit="1" customWidth="1"/>
    <col min="15" max="15" width="17.85546875" style="9" bestFit="1" customWidth="1"/>
    <col min="16" max="16" width="13.85546875" style="9" bestFit="1" customWidth="1"/>
    <col min="17" max="17" width="16.42578125" style="9" bestFit="1" customWidth="1"/>
    <col min="18" max="18" width="11.7109375" style="9" customWidth="1"/>
    <col min="19" max="19" width="12.140625" style="9" bestFit="1" customWidth="1"/>
    <col min="20" max="20" width="22.85546875" style="9" bestFit="1" customWidth="1"/>
    <col min="21" max="21" width="24.7109375" style="9" bestFit="1" customWidth="1"/>
    <col min="22" max="22" width="19" style="9" bestFit="1" customWidth="1"/>
  </cols>
  <sheetData>
    <row r="1" spans="1:25" s="33" customFormat="1" ht="36" customHeight="1" x14ac:dyDescent="0.25">
      <c r="A1" s="41" t="s">
        <v>68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34"/>
      <c r="N1" s="34"/>
      <c r="O1" s="34"/>
      <c r="P1" s="34"/>
      <c r="Q1" s="34"/>
      <c r="R1" s="34"/>
      <c r="S1" s="34"/>
      <c r="T1" s="34"/>
      <c r="U1" s="32"/>
      <c r="V1" s="32"/>
      <c r="W1" s="32"/>
      <c r="X1" s="32"/>
      <c r="Y1" s="32"/>
    </row>
    <row r="2" spans="1:25" ht="10.5" customHeight="1" x14ac:dyDescent="0.25"/>
    <row r="3" spans="1:25" ht="10.5" customHeight="1" x14ac:dyDescent="0.25"/>
    <row r="4" spans="1:25" ht="19.5" customHeight="1" thickBot="1" x14ac:dyDescent="0.3">
      <c r="B4" s="45" t="s">
        <v>46</v>
      </c>
      <c r="C4" s="45"/>
      <c r="D4" s="45"/>
      <c r="E4" s="45"/>
      <c r="F4" s="45"/>
      <c r="G4" s="45"/>
      <c r="H4" s="45"/>
      <c r="I4" s="45"/>
      <c r="J4" s="45"/>
      <c r="L4" s="45" t="s">
        <v>47</v>
      </c>
      <c r="M4" s="45"/>
      <c r="N4" s="45"/>
      <c r="O4" s="45"/>
      <c r="P4" s="45"/>
      <c r="Q4" s="45"/>
      <c r="R4" s="45"/>
      <c r="S4" s="45"/>
      <c r="T4" s="45"/>
      <c r="U4" s="45"/>
      <c r="V4" s="45"/>
    </row>
    <row r="5" spans="1:25" ht="15.75" thickBot="1" x14ac:dyDescent="0.3">
      <c r="B5" s="37" t="s">
        <v>16</v>
      </c>
      <c r="C5" s="37" t="s">
        <v>33</v>
      </c>
      <c r="D5" s="37" t="s">
        <v>34</v>
      </c>
      <c r="E5" s="37" t="s">
        <v>35</v>
      </c>
      <c r="F5" s="37" t="s">
        <v>32</v>
      </c>
      <c r="G5" s="37" t="s">
        <v>1</v>
      </c>
      <c r="H5" s="37" t="s">
        <v>2</v>
      </c>
      <c r="I5" s="37" t="s">
        <v>3</v>
      </c>
      <c r="J5" s="38" t="s">
        <v>65</v>
      </c>
      <c r="K5" s="25"/>
      <c r="L5" s="39" t="s">
        <v>37</v>
      </c>
      <c r="M5" s="40" t="s">
        <v>38</v>
      </c>
      <c r="N5" s="37" t="s">
        <v>39</v>
      </c>
      <c r="O5" s="37" t="s">
        <v>35</v>
      </c>
      <c r="P5" s="37" t="s">
        <v>0</v>
      </c>
      <c r="Q5" s="37" t="s">
        <v>40</v>
      </c>
      <c r="R5" s="37" t="s">
        <v>41</v>
      </c>
      <c r="S5" s="37" t="s">
        <v>42</v>
      </c>
      <c r="T5" s="37" t="s">
        <v>43</v>
      </c>
      <c r="U5" s="37" t="s">
        <v>44</v>
      </c>
      <c r="V5" s="37" t="s">
        <v>45</v>
      </c>
    </row>
    <row r="6" spans="1:25" x14ac:dyDescent="0.25">
      <c r="A6" s="2"/>
      <c r="B6" s="10" t="s">
        <v>17</v>
      </c>
      <c r="C6" s="16"/>
      <c r="D6" s="17"/>
      <c r="E6" s="17">
        <f>D6*C6</f>
        <v>0</v>
      </c>
      <c r="F6" s="18"/>
      <c r="G6" s="11"/>
      <c r="H6" s="17" t="str">
        <f>IF($G6="","",VLOOKUP($G6,Cadastro!$B$5:$F$9,2,FALSE))</f>
        <v/>
      </c>
      <c r="I6" s="13" t="str">
        <f>IF($G6="","",VLOOKUP($G6,Cadastro!$B$5:$F$9,3,FALSE))</f>
        <v/>
      </c>
      <c r="J6" s="23" t="str">
        <f>IF(C6="","",(Cadastro!$F$13+Cadastro!$F$14)*'Operação Comum'!E6+'Operação Comum'!H6+I6*'Operação Comum'!E6+E6)</f>
        <v/>
      </c>
      <c r="K6" s="26"/>
      <c r="L6" s="29"/>
      <c r="M6" s="20"/>
      <c r="N6" s="21"/>
      <c r="O6" s="6">
        <f>M6*N6</f>
        <v>0</v>
      </c>
      <c r="P6" s="6">
        <f>O6-(Cadastro!$F$12+Cadastro!$F$14)*O6</f>
        <v>0</v>
      </c>
      <c r="Q6" s="6" t="str">
        <f>IF(J6="","",P6-J6)</f>
        <v/>
      </c>
      <c r="R6" s="30"/>
      <c r="S6" s="30"/>
      <c r="T6" s="30"/>
      <c r="U6" s="6" t="str">
        <f>IF(Q6="","",(Q6-R6+S6+T6))</f>
        <v/>
      </c>
      <c r="V6" s="30" t="str">
        <f>IF(U6="","",U6/E6)</f>
        <v/>
      </c>
    </row>
    <row r="7" spans="1:25" x14ac:dyDescent="0.25">
      <c r="A7" s="2"/>
      <c r="B7" s="12" t="s">
        <v>18</v>
      </c>
      <c r="C7" s="16"/>
      <c r="D7" s="17"/>
      <c r="E7" s="17">
        <f t="shared" ref="E7:E35" si="0">D7*C7</f>
        <v>0</v>
      </c>
      <c r="F7" s="18"/>
      <c r="G7" s="11"/>
      <c r="H7" s="17" t="str">
        <f>IF($G7="","",VLOOKUP($G7,Cadastro!$B$5:$F$9,2,FALSE))</f>
        <v/>
      </c>
      <c r="I7" s="13" t="str">
        <f>IF($G7="","",VLOOKUP($G7,Cadastro!$B$5:$F$9,3,FALSE))</f>
        <v/>
      </c>
      <c r="J7" s="23" t="str">
        <f>IF(C7="","",(Cadastro!$F$13+Cadastro!$F$14)*'Operação Comum'!E7+'Operação Comum'!H7+I7*'Operação Comum'!E7+E7)</f>
        <v/>
      </c>
      <c r="K7" s="26"/>
      <c r="L7" s="29"/>
      <c r="M7" s="20"/>
      <c r="N7" s="22"/>
      <c r="O7" s="6">
        <f t="shared" ref="O7:O35" si="1">M7*N7</f>
        <v>0</v>
      </c>
      <c r="P7" s="6">
        <f>O7-(Cadastro!$F$12+Cadastro!$F$14)*O7</f>
        <v>0</v>
      </c>
      <c r="Q7" s="6" t="str">
        <f t="shared" ref="Q7:Q35" si="2">IF(J7="","",P7-J7)</f>
        <v/>
      </c>
      <c r="R7" s="31"/>
      <c r="S7" s="31"/>
      <c r="T7" s="31"/>
      <c r="U7" s="6" t="str">
        <f t="shared" ref="U7:U35" si="3">IF(Q7="","",(Q7-R7+S7+T7))</f>
        <v/>
      </c>
      <c r="V7" s="30" t="str">
        <f t="shared" ref="V7:V35" si="4">IF(U7="","",U7/E7)</f>
        <v/>
      </c>
    </row>
    <row r="8" spans="1:25" x14ac:dyDescent="0.25">
      <c r="A8" s="2"/>
      <c r="B8" s="12" t="s">
        <v>19</v>
      </c>
      <c r="C8" s="16"/>
      <c r="D8" s="17"/>
      <c r="E8" s="17">
        <f t="shared" si="0"/>
        <v>0</v>
      </c>
      <c r="F8" s="18"/>
      <c r="G8" s="11"/>
      <c r="H8" s="17" t="str">
        <f>IF($G8="","",VLOOKUP($G8,Cadastro!$B$5:$F$9,2,FALSE))</f>
        <v/>
      </c>
      <c r="I8" s="13" t="str">
        <f>IF($G8="","",VLOOKUP($G8,Cadastro!$B$5:$F$9,3,FALSE))</f>
        <v/>
      </c>
      <c r="J8" s="23" t="str">
        <f>IF(C8="","",(Cadastro!$F$13+Cadastro!$F$14)*'Operação Comum'!E8+'Operação Comum'!H8+I8*'Operação Comum'!E8+E8)</f>
        <v/>
      </c>
      <c r="K8" s="26"/>
      <c r="L8" s="29"/>
      <c r="M8" s="20"/>
      <c r="N8" s="22"/>
      <c r="O8" s="6">
        <f t="shared" si="1"/>
        <v>0</v>
      </c>
      <c r="P8" s="6">
        <f>O8-(Cadastro!$F$12+Cadastro!$F$14)*O8</f>
        <v>0</v>
      </c>
      <c r="Q8" s="6" t="str">
        <f t="shared" si="2"/>
        <v/>
      </c>
      <c r="R8" s="31"/>
      <c r="S8" s="31"/>
      <c r="T8" s="31"/>
      <c r="U8" s="6" t="str">
        <f t="shared" si="3"/>
        <v/>
      </c>
      <c r="V8" s="30" t="str">
        <f t="shared" si="4"/>
        <v/>
      </c>
    </row>
    <row r="9" spans="1:25" x14ac:dyDescent="0.25">
      <c r="A9" s="2"/>
      <c r="B9" s="12" t="s">
        <v>20</v>
      </c>
      <c r="C9" s="16"/>
      <c r="D9" s="17"/>
      <c r="E9" s="17">
        <f t="shared" si="0"/>
        <v>0</v>
      </c>
      <c r="F9" s="18"/>
      <c r="G9" s="11"/>
      <c r="H9" s="17" t="str">
        <f>IF($G9="","",VLOOKUP($G9,Cadastro!$B$5:$F$9,2,FALSE))</f>
        <v/>
      </c>
      <c r="I9" s="13" t="str">
        <f>IF($G9="","",VLOOKUP($G9,Cadastro!$B$5:$F$9,3,FALSE))</f>
        <v/>
      </c>
      <c r="J9" s="23" t="str">
        <f>IF(C9="","",(Cadastro!$F$13+Cadastro!$F$14)*'Operação Comum'!E9+'Operação Comum'!H9+I9*'Operação Comum'!E9+E9)</f>
        <v/>
      </c>
      <c r="K9" s="26"/>
      <c r="L9" s="24"/>
      <c r="M9" s="20"/>
      <c r="N9" s="22"/>
      <c r="O9" s="6">
        <f t="shared" si="1"/>
        <v>0</v>
      </c>
      <c r="P9" s="6">
        <f>O9-(Cadastro!$F$12+Cadastro!$F$14)*O9</f>
        <v>0</v>
      </c>
      <c r="Q9" s="6" t="str">
        <f t="shared" si="2"/>
        <v/>
      </c>
      <c r="R9" s="31"/>
      <c r="S9" s="31"/>
      <c r="T9" s="31"/>
      <c r="U9" s="6" t="str">
        <f t="shared" si="3"/>
        <v/>
      </c>
      <c r="V9" s="30" t="str">
        <f t="shared" si="4"/>
        <v/>
      </c>
    </row>
    <row r="10" spans="1:25" x14ac:dyDescent="0.25">
      <c r="A10" s="2"/>
      <c r="B10" s="12" t="s">
        <v>21</v>
      </c>
      <c r="C10" s="16"/>
      <c r="D10" s="17"/>
      <c r="E10" s="17">
        <f t="shared" si="0"/>
        <v>0</v>
      </c>
      <c r="F10" s="18"/>
      <c r="G10" s="11"/>
      <c r="H10" s="17" t="str">
        <f>IF($G10="","",VLOOKUP($G10,Cadastro!$B$5:$F$9,2,FALSE))</f>
        <v/>
      </c>
      <c r="I10" s="13" t="str">
        <f>IF($G10="","",VLOOKUP($G10,Cadastro!$B$5:$F$9,3,FALSE))</f>
        <v/>
      </c>
      <c r="J10" s="23" t="str">
        <f>IF(C10="","",(Cadastro!$F$13+Cadastro!$F$14)*'Operação Comum'!E10+'Operação Comum'!H10+I10*'Operação Comum'!E10+E10)</f>
        <v/>
      </c>
      <c r="K10" s="26"/>
      <c r="L10" s="24"/>
      <c r="M10" s="20"/>
      <c r="N10" s="22"/>
      <c r="O10" s="6">
        <f t="shared" si="1"/>
        <v>0</v>
      </c>
      <c r="P10" s="6">
        <f>O10-(Cadastro!$F$12+Cadastro!$F$14)*O10</f>
        <v>0</v>
      </c>
      <c r="Q10" s="6" t="str">
        <f t="shared" si="2"/>
        <v/>
      </c>
      <c r="R10" s="31"/>
      <c r="S10" s="31"/>
      <c r="T10" s="31"/>
      <c r="U10" s="6" t="str">
        <f t="shared" si="3"/>
        <v/>
      </c>
      <c r="V10" s="30" t="str">
        <f t="shared" si="4"/>
        <v/>
      </c>
    </row>
    <row r="11" spans="1:25" x14ac:dyDescent="0.25">
      <c r="A11" s="2"/>
      <c r="B11" s="12" t="s">
        <v>22</v>
      </c>
      <c r="C11" s="16"/>
      <c r="D11" s="17"/>
      <c r="E11" s="17">
        <f t="shared" si="0"/>
        <v>0</v>
      </c>
      <c r="F11" s="18"/>
      <c r="G11" s="11"/>
      <c r="H11" s="17" t="str">
        <f>IF($G11="","",VLOOKUP($G11,Cadastro!$B$5:$F$9,2,FALSE))</f>
        <v/>
      </c>
      <c r="I11" s="13" t="str">
        <f>IF($G11="","",VLOOKUP($G11,Cadastro!$B$5:$F$9,3,FALSE))</f>
        <v/>
      </c>
      <c r="J11" s="23" t="str">
        <f>IF(C11="","",(Cadastro!$F$13+Cadastro!$F$14)*'Operação Comum'!E11+'Operação Comum'!H11+I11*'Operação Comum'!E11+E11)</f>
        <v/>
      </c>
      <c r="K11" s="26"/>
      <c r="L11" s="24"/>
      <c r="M11" s="20"/>
      <c r="N11" s="22"/>
      <c r="O11" s="6">
        <f t="shared" si="1"/>
        <v>0</v>
      </c>
      <c r="P11" s="6">
        <f>O11-(Cadastro!$F$12+Cadastro!$F$14)*O11</f>
        <v>0</v>
      </c>
      <c r="Q11" s="6" t="str">
        <f t="shared" si="2"/>
        <v/>
      </c>
      <c r="R11" s="31"/>
      <c r="S11" s="31"/>
      <c r="T11" s="31"/>
      <c r="U11" s="6" t="str">
        <f t="shared" si="3"/>
        <v/>
      </c>
      <c r="V11" s="30" t="str">
        <f t="shared" si="4"/>
        <v/>
      </c>
    </row>
    <row r="12" spans="1:25" x14ac:dyDescent="0.25">
      <c r="A12" s="2"/>
      <c r="B12" s="12" t="s">
        <v>23</v>
      </c>
      <c r="C12" s="16"/>
      <c r="D12" s="17"/>
      <c r="E12" s="17">
        <f t="shared" si="0"/>
        <v>0</v>
      </c>
      <c r="F12" s="18"/>
      <c r="G12" s="11"/>
      <c r="H12" s="17" t="str">
        <f>IF($G12="","",VLOOKUP($G12,Cadastro!$B$5:$F$9,2,FALSE))</f>
        <v/>
      </c>
      <c r="I12" s="13" t="str">
        <f>IF($G12="","",VLOOKUP($G12,Cadastro!$B$5:$F$9,3,FALSE))</f>
        <v/>
      </c>
      <c r="J12" s="23" t="str">
        <f>IF(C12="","",(Cadastro!$F$13+Cadastro!$F$14)*'Operação Comum'!E12+'Operação Comum'!H12+I12*'Operação Comum'!E12+E12)</f>
        <v/>
      </c>
      <c r="K12" s="26"/>
      <c r="L12" s="24"/>
      <c r="M12" s="20"/>
      <c r="N12" s="22"/>
      <c r="O12" s="6">
        <f t="shared" si="1"/>
        <v>0</v>
      </c>
      <c r="P12" s="6">
        <f>O12-(Cadastro!$F$12+Cadastro!$F$14)*O12</f>
        <v>0</v>
      </c>
      <c r="Q12" s="6" t="str">
        <f t="shared" si="2"/>
        <v/>
      </c>
      <c r="R12" s="31"/>
      <c r="S12" s="31"/>
      <c r="T12" s="31"/>
      <c r="U12" s="6" t="str">
        <f t="shared" si="3"/>
        <v/>
      </c>
      <c r="V12" s="30" t="str">
        <f t="shared" si="4"/>
        <v/>
      </c>
    </row>
    <row r="13" spans="1:25" x14ac:dyDescent="0.25">
      <c r="A13" s="2"/>
      <c r="B13" s="12" t="s">
        <v>24</v>
      </c>
      <c r="C13" s="16"/>
      <c r="D13" s="17"/>
      <c r="E13" s="17">
        <f t="shared" si="0"/>
        <v>0</v>
      </c>
      <c r="F13" s="18"/>
      <c r="G13" s="11"/>
      <c r="H13" s="17" t="str">
        <f>IF($G13="","",VLOOKUP($G13,Cadastro!$B$5:$F$9,2,FALSE))</f>
        <v/>
      </c>
      <c r="I13" s="13" t="str">
        <f>IF($G13="","",VLOOKUP($G13,Cadastro!$B$5:$F$9,3,FALSE))</f>
        <v/>
      </c>
      <c r="J13" s="23" t="str">
        <f>IF(C13="","",(Cadastro!$F$13+Cadastro!$F$14)*'Operação Comum'!E13+'Operação Comum'!H13+I13*'Operação Comum'!E13+E13)</f>
        <v/>
      </c>
      <c r="K13" s="26"/>
      <c r="L13" s="24"/>
      <c r="M13" s="20"/>
      <c r="N13" s="22"/>
      <c r="O13" s="6">
        <f t="shared" si="1"/>
        <v>0</v>
      </c>
      <c r="P13" s="6">
        <f>O13-(Cadastro!$F$12+Cadastro!$F$14)*O13</f>
        <v>0</v>
      </c>
      <c r="Q13" s="6" t="str">
        <f t="shared" si="2"/>
        <v/>
      </c>
      <c r="R13" s="31"/>
      <c r="S13" s="31"/>
      <c r="T13" s="31"/>
      <c r="U13" s="6" t="str">
        <f t="shared" si="3"/>
        <v/>
      </c>
      <c r="V13" s="30" t="str">
        <f t="shared" si="4"/>
        <v/>
      </c>
    </row>
    <row r="14" spans="1:25" x14ac:dyDescent="0.25">
      <c r="A14" s="2"/>
      <c r="B14" s="12" t="s">
        <v>25</v>
      </c>
      <c r="C14" s="16"/>
      <c r="D14" s="17"/>
      <c r="E14" s="17">
        <f t="shared" si="0"/>
        <v>0</v>
      </c>
      <c r="F14" s="18"/>
      <c r="G14" s="11"/>
      <c r="H14" s="17" t="str">
        <f>IF($G14="","",VLOOKUP($G14,Cadastro!$B$5:$F$9,2,FALSE))</f>
        <v/>
      </c>
      <c r="I14" s="13" t="str">
        <f>IF($G14="","",VLOOKUP($G14,Cadastro!$B$5:$F$9,3,FALSE))</f>
        <v/>
      </c>
      <c r="J14" s="23" t="str">
        <f>IF(C14="","",(Cadastro!$F$13+Cadastro!$F$14)*'Operação Comum'!E14+'Operação Comum'!H14+I14*'Operação Comum'!E14+E14)</f>
        <v/>
      </c>
      <c r="K14" s="26"/>
      <c r="L14" s="24"/>
      <c r="M14" s="20"/>
      <c r="N14" s="22"/>
      <c r="O14" s="6">
        <f t="shared" si="1"/>
        <v>0</v>
      </c>
      <c r="P14" s="6">
        <f>O14-(Cadastro!$F$12+Cadastro!$F$14)*O14</f>
        <v>0</v>
      </c>
      <c r="Q14" s="6" t="str">
        <f t="shared" si="2"/>
        <v/>
      </c>
      <c r="R14" s="31"/>
      <c r="S14" s="31"/>
      <c r="T14" s="31"/>
      <c r="U14" s="6" t="str">
        <f t="shared" si="3"/>
        <v/>
      </c>
      <c r="V14" s="30" t="str">
        <f t="shared" si="4"/>
        <v/>
      </c>
    </row>
    <row r="15" spans="1:25" x14ac:dyDescent="0.25">
      <c r="A15" s="2"/>
      <c r="B15" s="12" t="s">
        <v>26</v>
      </c>
      <c r="C15" s="16"/>
      <c r="D15" s="17"/>
      <c r="E15" s="17">
        <f t="shared" si="0"/>
        <v>0</v>
      </c>
      <c r="F15" s="18"/>
      <c r="G15" s="11"/>
      <c r="H15" s="17" t="str">
        <f>IF($G15="","",VLOOKUP($G15,Cadastro!$B$5:$F$9,2,FALSE))</f>
        <v/>
      </c>
      <c r="I15" s="13" t="str">
        <f>IF($G15="","",VLOOKUP($G15,Cadastro!$B$5:$F$9,3,FALSE))</f>
        <v/>
      </c>
      <c r="J15" s="23" t="str">
        <f>IF(C15="","",(Cadastro!$F$13+Cadastro!$F$14)*'Operação Comum'!E15+'Operação Comum'!H15+I15*'Operação Comum'!E15+E15)</f>
        <v/>
      </c>
      <c r="K15" s="26"/>
      <c r="L15" s="24"/>
      <c r="M15" s="20"/>
      <c r="N15" s="22"/>
      <c r="O15" s="6">
        <f t="shared" si="1"/>
        <v>0</v>
      </c>
      <c r="P15" s="6">
        <f>O15-(Cadastro!$F$12+Cadastro!$F$14)*O15</f>
        <v>0</v>
      </c>
      <c r="Q15" s="6" t="str">
        <f t="shared" si="2"/>
        <v/>
      </c>
      <c r="R15" s="31"/>
      <c r="S15" s="31"/>
      <c r="T15" s="31"/>
      <c r="U15" s="6" t="str">
        <f t="shared" si="3"/>
        <v/>
      </c>
      <c r="V15" s="30" t="str">
        <f t="shared" si="4"/>
        <v/>
      </c>
    </row>
    <row r="16" spans="1:25" x14ac:dyDescent="0.25">
      <c r="A16" s="2"/>
      <c r="B16" s="12" t="s">
        <v>27</v>
      </c>
      <c r="C16" s="16"/>
      <c r="D16" s="17"/>
      <c r="E16" s="17">
        <f t="shared" si="0"/>
        <v>0</v>
      </c>
      <c r="F16" s="18"/>
      <c r="G16" s="11"/>
      <c r="H16" s="17" t="str">
        <f>IF($G16="","",VLOOKUP($G16,Cadastro!$B$5:$F$9,2,FALSE))</f>
        <v/>
      </c>
      <c r="I16" s="13" t="str">
        <f>IF($G16="","",VLOOKUP($G16,Cadastro!$B$5:$F$9,3,FALSE))</f>
        <v/>
      </c>
      <c r="J16" s="23" t="str">
        <f>IF(C16="","",(Cadastro!$F$13+Cadastro!$F$14)*'Operação Comum'!E16+'Operação Comum'!H16+I16*'Operação Comum'!E16+E16)</f>
        <v/>
      </c>
      <c r="K16" s="26"/>
      <c r="L16" s="24"/>
      <c r="M16" s="20"/>
      <c r="N16" s="22"/>
      <c r="O16" s="6">
        <f t="shared" si="1"/>
        <v>0</v>
      </c>
      <c r="P16" s="6">
        <f>O16-(Cadastro!$F$12+Cadastro!$F$14)*O16</f>
        <v>0</v>
      </c>
      <c r="Q16" s="6" t="str">
        <f t="shared" si="2"/>
        <v/>
      </c>
      <c r="R16" s="31"/>
      <c r="S16" s="31"/>
      <c r="T16" s="31"/>
      <c r="U16" s="6" t="str">
        <f t="shared" si="3"/>
        <v/>
      </c>
      <c r="V16" s="30" t="str">
        <f t="shared" si="4"/>
        <v/>
      </c>
    </row>
    <row r="17" spans="1:22" x14ac:dyDescent="0.25">
      <c r="A17" s="2"/>
      <c r="B17" s="12" t="s">
        <v>28</v>
      </c>
      <c r="C17" s="16"/>
      <c r="D17" s="17"/>
      <c r="E17" s="17">
        <f t="shared" si="0"/>
        <v>0</v>
      </c>
      <c r="F17" s="18"/>
      <c r="G17" s="11"/>
      <c r="H17" s="17" t="str">
        <f>IF($G17="","",VLOOKUP($G17,Cadastro!$B$5:$F$9,2,FALSE))</f>
        <v/>
      </c>
      <c r="I17" s="13" t="str">
        <f>IF($G17="","",VLOOKUP($G17,Cadastro!$B$5:$F$9,3,FALSE))</f>
        <v/>
      </c>
      <c r="J17" s="23" t="str">
        <f>IF(C17="","",(Cadastro!$F$13+Cadastro!$F$14)*'Operação Comum'!E17+'Operação Comum'!H17+I17*'Operação Comum'!E17+E17)</f>
        <v/>
      </c>
      <c r="K17" s="26"/>
      <c r="L17" s="24"/>
      <c r="M17" s="20"/>
      <c r="N17" s="22"/>
      <c r="O17" s="6">
        <f t="shared" si="1"/>
        <v>0</v>
      </c>
      <c r="P17" s="6">
        <f>O17-(Cadastro!$F$12+Cadastro!$F$14)*O17</f>
        <v>0</v>
      </c>
      <c r="Q17" s="6" t="str">
        <f t="shared" si="2"/>
        <v/>
      </c>
      <c r="R17" s="31"/>
      <c r="S17" s="31"/>
      <c r="T17" s="31"/>
      <c r="U17" s="6" t="str">
        <f t="shared" si="3"/>
        <v/>
      </c>
      <c r="V17" s="30" t="str">
        <f t="shared" si="4"/>
        <v/>
      </c>
    </row>
    <row r="18" spans="1:22" x14ac:dyDescent="0.25">
      <c r="A18" s="2"/>
      <c r="B18" s="12" t="s">
        <v>29</v>
      </c>
      <c r="C18" s="16"/>
      <c r="D18" s="17"/>
      <c r="E18" s="17">
        <f t="shared" si="0"/>
        <v>0</v>
      </c>
      <c r="F18" s="18"/>
      <c r="G18" s="11"/>
      <c r="H18" s="17" t="str">
        <f>IF($G18="","",VLOOKUP($G18,Cadastro!$B$5:$F$9,2,FALSE))</f>
        <v/>
      </c>
      <c r="I18" s="13" t="str">
        <f>IF($G18="","",VLOOKUP($G18,Cadastro!$B$5:$F$9,3,FALSE))</f>
        <v/>
      </c>
      <c r="J18" s="23" t="str">
        <f>IF(C18="","",(Cadastro!$F$13+Cadastro!$F$14)*'Operação Comum'!E18+'Operação Comum'!H18+I18*'Operação Comum'!E18+E18)</f>
        <v/>
      </c>
      <c r="K18" s="26"/>
      <c r="L18" s="24"/>
      <c r="M18" s="20"/>
      <c r="N18" s="22"/>
      <c r="O18" s="6">
        <f t="shared" si="1"/>
        <v>0</v>
      </c>
      <c r="P18" s="6">
        <f>O18-(Cadastro!$F$12+Cadastro!$F$14)*O18</f>
        <v>0</v>
      </c>
      <c r="Q18" s="6" t="str">
        <f t="shared" si="2"/>
        <v/>
      </c>
      <c r="R18" s="31"/>
      <c r="S18" s="31"/>
      <c r="T18" s="31"/>
      <c r="U18" s="6" t="str">
        <f t="shared" si="3"/>
        <v/>
      </c>
      <c r="V18" s="30" t="str">
        <f t="shared" si="4"/>
        <v/>
      </c>
    </row>
    <row r="19" spans="1:22" x14ac:dyDescent="0.25">
      <c r="A19" s="2"/>
      <c r="B19" s="12" t="s">
        <v>30</v>
      </c>
      <c r="C19" s="16"/>
      <c r="D19" s="17"/>
      <c r="E19" s="17">
        <f t="shared" si="0"/>
        <v>0</v>
      </c>
      <c r="F19" s="18"/>
      <c r="G19" s="11"/>
      <c r="H19" s="17" t="str">
        <f>IF($G19="","",VLOOKUP($G19,Cadastro!$B$5:$F$9,2,FALSE))</f>
        <v/>
      </c>
      <c r="I19" s="13" t="str">
        <f>IF($G19="","",VLOOKUP($G19,Cadastro!$B$5:$F$9,3,FALSE))</f>
        <v/>
      </c>
      <c r="J19" s="23" t="str">
        <f>IF(C19="","",(Cadastro!$F$13+Cadastro!$F$14)*'Operação Comum'!E19+'Operação Comum'!H19+I19*'Operação Comum'!E19+E19)</f>
        <v/>
      </c>
      <c r="K19" s="26"/>
      <c r="L19" s="24"/>
      <c r="M19" s="20"/>
      <c r="N19" s="22"/>
      <c r="O19" s="6">
        <f t="shared" si="1"/>
        <v>0</v>
      </c>
      <c r="P19" s="6">
        <f>O19-(Cadastro!$F$12+Cadastro!$F$14)*O19</f>
        <v>0</v>
      </c>
      <c r="Q19" s="6" t="str">
        <f t="shared" si="2"/>
        <v/>
      </c>
      <c r="R19" s="31"/>
      <c r="S19" s="31"/>
      <c r="T19" s="31"/>
      <c r="U19" s="6" t="str">
        <f t="shared" si="3"/>
        <v/>
      </c>
      <c r="V19" s="30" t="str">
        <f t="shared" si="4"/>
        <v/>
      </c>
    </row>
    <row r="20" spans="1:22" x14ac:dyDescent="0.25">
      <c r="A20" s="2"/>
      <c r="B20" s="12" t="s">
        <v>31</v>
      </c>
      <c r="C20" s="16"/>
      <c r="D20" s="17"/>
      <c r="E20" s="17">
        <f t="shared" si="0"/>
        <v>0</v>
      </c>
      <c r="F20" s="18"/>
      <c r="G20" s="11"/>
      <c r="H20" s="17" t="str">
        <f>IF($G20="","",VLOOKUP($G20,Cadastro!$B$5:$F$9,2,FALSE))</f>
        <v/>
      </c>
      <c r="I20" s="13" t="str">
        <f>IF($G20="","",VLOOKUP($G20,Cadastro!$B$5:$F$9,3,FALSE))</f>
        <v/>
      </c>
      <c r="J20" s="23" t="str">
        <f>IF(C20="","",(Cadastro!$F$13+Cadastro!$F$14)*'Operação Comum'!E20+'Operação Comum'!H20+I20*'Operação Comum'!E20+E20)</f>
        <v/>
      </c>
      <c r="K20" s="26"/>
      <c r="L20" s="24"/>
      <c r="M20" s="20"/>
      <c r="N20" s="22"/>
      <c r="O20" s="6">
        <f t="shared" si="1"/>
        <v>0</v>
      </c>
      <c r="P20" s="6">
        <f>O20-(Cadastro!$F$12+Cadastro!$F$14)*O20</f>
        <v>0</v>
      </c>
      <c r="Q20" s="6" t="str">
        <f t="shared" si="2"/>
        <v/>
      </c>
      <c r="R20" s="31"/>
      <c r="S20" s="31"/>
      <c r="T20" s="31"/>
      <c r="U20" s="6" t="str">
        <f t="shared" si="3"/>
        <v/>
      </c>
      <c r="V20" s="30" t="str">
        <f t="shared" si="4"/>
        <v/>
      </c>
    </row>
    <row r="21" spans="1:22" x14ac:dyDescent="0.25">
      <c r="A21" s="2"/>
      <c r="B21" s="10" t="s">
        <v>48</v>
      </c>
      <c r="C21" s="16"/>
      <c r="D21" s="16"/>
      <c r="E21" s="17">
        <f t="shared" si="0"/>
        <v>0</v>
      </c>
      <c r="F21" s="18"/>
      <c r="G21" s="11"/>
      <c r="H21" s="17" t="str">
        <f>IF($G21="","",VLOOKUP($G21,Cadastro!$B$5:$F$9,2,FALSE))</f>
        <v/>
      </c>
      <c r="I21" s="13" t="str">
        <f>IF($G21="","",VLOOKUP($G21,Cadastro!$B$5:$F$9,3,FALSE))</f>
        <v/>
      </c>
      <c r="J21" s="23" t="str">
        <f>IF(C21="","",(Cadastro!$F$13+Cadastro!$F$14)*'Operação Comum'!E21+'Operação Comum'!H21+I21*'Operação Comum'!E21+E21)</f>
        <v/>
      </c>
      <c r="K21" s="26"/>
      <c r="L21" s="24"/>
      <c r="M21" s="20"/>
      <c r="N21" s="22"/>
      <c r="O21" s="6">
        <f t="shared" si="1"/>
        <v>0</v>
      </c>
      <c r="P21" s="6">
        <f>O21-(Cadastro!$F$12+Cadastro!$F$14)*O21</f>
        <v>0</v>
      </c>
      <c r="Q21" s="6" t="str">
        <f t="shared" si="2"/>
        <v/>
      </c>
      <c r="R21" s="31"/>
      <c r="S21" s="31"/>
      <c r="T21" s="31"/>
      <c r="U21" s="6" t="str">
        <f t="shared" si="3"/>
        <v/>
      </c>
      <c r="V21" s="30" t="str">
        <f t="shared" si="4"/>
        <v/>
      </c>
    </row>
    <row r="22" spans="1:22" x14ac:dyDescent="0.25">
      <c r="A22" s="2"/>
      <c r="B22" s="12" t="s">
        <v>49</v>
      </c>
      <c r="C22" s="16"/>
      <c r="D22" s="16"/>
      <c r="E22" s="17">
        <f t="shared" si="0"/>
        <v>0</v>
      </c>
      <c r="F22" s="18"/>
      <c r="G22" s="11"/>
      <c r="H22" s="17" t="str">
        <f>IF($G22="","",VLOOKUP($G22,Cadastro!$B$5:$F$9,2,FALSE))</f>
        <v/>
      </c>
      <c r="I22" s="13" t="str">
        <f>IF($G22="","",VLOOKUP($G22,Cadastro!$B$5:$F$9,3,FALSE))</f>
        <v/>
      </c>
      <c r="J22" s="23" t="str">
        <f>IF(C22="","",(Cadastro!$F$13+Cadastro!$F$14)*'Operação Comum'!E22+'Operação Comum'!H22+I22*'Operação Comum'!E22+E22)</f>
        <v/>
      </c>
      <c r="K22" s="26"/>
      <c r="L22" s="24"/>
      <c r="M22" s="20"/>
      <c r="N22" s="22"/>
      <c r="O22" s="6">
        <f t="shared" si="1"/>
        <v>0</v>
      </c>
      <c r="P22" s="6">
        <f>O22-(Cadastro!$F$12+Cadastro!$F$14)*O22</f>
        <v>0</v>
      </c>
      <c r="Q22" s="6" t="str">
        <f t="shared" si="2"/>
        <v/>
      </c>
      <c r="R22" s="31"/>
      <c r="S22" s="31"/>
      <c r="T22" s="31"/>
      <c r="U22" s="6" t="str">
        <f t="shared" si="3"/>
        <v/>
      </c>
      <c r="V22" s="30" t="str">
        <f t="shared" si="4"/>
        <v/>
      </c>
    </row>
    <row r="23" spans="1:22" x14ac:dyDescent="0.25">
      <c r="A23" s="2"/>
      <c r="B23" s="12" t="s">
        <v>50</v>
      </c>
      <c r="C23" s="16"/>
      <c r="D23" s="16"/>
      <c r="E23" s="17">
        <f t="shared" si="0"/>
        <v>0</v>
      </c>
      <c r="F23" s="18"/>
      <c r="G23" s="11"/>
      <c r="H23" s="17" t="str">
        <f>IF($G23="","",VLOOKUP($G23,Cadastro!$B$5:$F$9,2,FALSE))</f>
        <v/>
      </c>
      <c r="I23" s="13" t="str">
        <f>IF($G23="","",VLOOKUP($G23,Cadastro!$B$5:$F$9,3,FALSE))</f>
        <v/>
      </c>
      <c r="J23" s="23" t="str">
        <f>IF(C23="","",(Cadastro!$F$13+Cadastro!$F$14)*'Operação Comum'!E23+'Operação Comum'!H23+I23*'Operação Comum'!E23+E23)</f>
        <v/>
      </c>
      <c r="K23" s="26"/>
      <c r="L23" s="24"/>
      <c r="M23" s="20"/>
      <c r="N23" s="22"/>
      <c r="O23" s="6">
        <f t="shared" si="1"/>
        <v>0</v>
      </c>
      <c r="P23" s="6">
        <f>O23-(Cadastro!$F$12+Cadastro!$F$14)*O23</f>
        <v>0</v>
      </c>
      <c r="Q23" s="6" t="str">
        <f t="shared" si="2"/>
        <v/>
      </c>
      <c r="R23" s="31"/>
      <c r="S23" s="31"/>
      <c r="T23" s="31"/>
      <c r="U23" s="6" t="str">
        <f t="shared" si="3"/>
        <v/>
      </c>
      <c r="V23" s="30" t="str">
        <f t="shared" si="4"/>
        <v/>
      </c>
    </row>
    <row r="24" spans="1:22" x14ac:dyDescent="0.25">
      <c r="A24" s="2"/>
      <c r="B24" s="12" t="s">
        <v>51</v>
      </c>
      <c r="C24" s="16"/>
      <c r="D24" s="16"/>
      <c r="E24" s="17">
        <f t="shared" si="0"/>
        <v>0</v>
      </c>
      <c r="F24" s="18"/>
      <c r="G24" s="11"/>
      <c r="H24" s="17" t="str">
        <f>IF($G24="","",VLOOKUP($G24,Cadastro!$B$5:$F$9,2,FALSE))</f>
        <v/>
      </c>
      <c r="I24" s="13" t="str">
        <f>IF($G24="","",VLOOKUP($G24,Cadastro!$B$5:$F$9,3,FALSE))</f>
        <v/>
      </c>
      <c r="J24" s="23" t="str">
        <f>IF(C24="","",(Cadastro!$F$13+Cadastro!$F$14)*'Operação Comum'!E24+'Operação Comum'!H24+I24*'Operação Comum'!E24+E24)</f>
        <v/>
      </c>
      <c r="K24" s="26"/>
      <c r="L24" s="24"/>
      <c r="M24" s="20"/>
      <c r="N24" s="22"/>
      <c r="O24" s="6">
        <f t="shared" si="1"/>
        <v>0</v>
      </c>
      <c r="P24" s="6">
        <f>O24-(Cadastro!$F$12+Cadastro!$F$14)*O24</f>
        <v>0</v>
      </c>
      <c r="Q24" s="6" t="str">
        <f t="shared" si="2"/>
        <v/>
      </c>
      <c r="R24" s="31"/>
      <c r="S24" s="31"/>
      <c r="T24" s="31"/>
      <c r="U24" s="6" t="str">
        <f t="shared" si="3"/>
        <v/>
      </c>
      <c r="V24" s="30" t="str">
        <f t="shared" si="4"/>
        <v/>
      </c>
    </row>
    <row r="25" spans="1:22" x14ac:dyDescent="0.25">
      <c r="A25" s="2"/>
      <c r="B25" s="12" t="s">
        <v>52</v>
      </c>
      <c r="C25" s="16"/>
      <c r="D25" s="16"/>
      <c r="E25" s="17">
        <f t="shared" si="0"/>
        <v>0</v>
      </c>
      <c r="F25" s="18"/>
      <c r="G25" s="11"/>
      <c r="H25" s="17" t="str">
        <f>IF($G25="","",VLOOKUP($G25,Cadastro!$B$5:$F$9,2,FALSE))</f>
        <v/>
      </c>
      <c r="I25" s="13" t="str">
        <f>IF($G25="","",VLOOKUP($G25,Cadastro!$B$5:$F$9,3,FALSE))</f>
        <v/>
      </c>
      <c r="J25" s="23" t="str">
        <f>IF(C25="","",(Cadastro!$F$13+Cadastro!$F$14)*'Operação Comum'!E25+'Operação Comum'!H25+I25*'Operação Comum'!E25+E25)</f>
        <v/>
      </c>
      <c r="K25" s="26"/>
      <c r="L25" s="24"/>
      <c r="M25" s="20"/>
      <c r="N25" s="22"/>
      <c r="O25" s="6">
        <f t="shared" si="1"/>
        <v>0</v>
      </c>
      <c r="P25" s="6">
        <f>O25-(Cadastro!$F$12+Cadastro!$F$14)*O25</f>
        <v>0</v>
      </c>
      <c r="Q25" s="6" t="str">
        <f t="shared" si="2"/>
        <v/>
      </c>
      <c r="R25" s="31"/>
      <c r="S25" s="31"/>
      <c r="T25" s="31"/>
      <c r="U25" s="6" t="str">
        <f t="shared" si="3"/>
        <v/>
      </c>
      <c r="V25" s="30" t="str">
        <f t="shared" si="4"/>
        <v/>
      </c>
    </row>
    <row r="26" spans="1:22" x14ac:dyDescent="0.25">
      <c r="A26" s="2"/>
      <c r="B26" s="12" t="s">
        <v>53</v>
      </c>
      <c r="C26" s="16"/>
      <c r="D26" s="16"/>
      <c r="E26" s="17">
        <f t="shared" si="0"/>
        <v>0</v>
      </c>
      <c r="F26" s="18"/>
      <c r="G26" s="11"/>
      <c r="H26" s="17" t="str">
        <f>IF($G26="","",VLOOKUP($G26,Cadastro!$B$5:$F$9,2,FALSE))</f>
        <v/>
      </c>
      <c r="I26" s="13" t="str">
        <f>IF($G26="","",VLOOKUP($G26,Cadastro!$B$5:$F$9,3,FALSE))</f>
        <v/>
      </c>
      <c r="J26" s="23" t="str">
        <f>IF(C26="","",(Cadastro!$F$13+Cadastro!$F$14)*'Operação Comum'!E26+'Operação Comum'!H26+I26*'Operação Comum'!E26+E26)</f>
        <v/>
      </c>
      <c r="K26" s="26"/>
      <c r="L26" s="24"/>
      <c r="M26" s="20"/>
      <c r="N26" s="22"/>
      <c r="O26" s="6">
        <f t="shared" si="1"/>
        <v>0</v>
      </c>
      <c r="P26" s="6">
        <f>O26-(Cadastro!$F$12+Cadastro!$F$14)*O26</f>
        <v>0</v>
      </c>
      <c r="Q26" s="6" t="str">
        <f t="shared" si="2"/>
        <v/>
      </c>
      <c r="R26" s="31"/>
      <c r="S26" s="31"/>
      <c r="T26" s="31"/>
      <c r="U26" s="6" t="str">
        <f t="shared" si="3"/>
        <v/>
      </c>
      <c r="V26" s="30" t="str">
        <f t="shared" si="4"/>
        <v/>
      </c>
    </row>
    <row r="27" spans="1:22" x14ac:dyDescent="0.25">
      <c r="A27" s="2"/>
      <c r="B27" s="12" t="s">
        <v>54</v>
      </c>
      <c r="C27" s="16"/>
      <c r="D27" s="16"/>
      <c r="E27" s="17">
        <f t="shared" si="0"/>
        <v>0</v>
      </c>
      <c r="F27" s="18"/>
      <c r="G27" s="11"/>
      <c r="H27" s="17" t="str">
        <f>IF($G27="","",VLOOKUP($G27,Cadastro!$B$5:$F$9,2,FALSE))</f>
        <v/>
      </c>
      <c r="I27" s="13" t="str">
        <f>IF($G27="","",VLOOKUP($G27,Cadastro!$B$5:$F$9,3,FALSE))</f>
        <v/>
      </c>
      <c r="J27" s="23" t="str">
        <f>IF(C27="","",(Cadastro!$F$13+Cadastro!$F$14)*'Operação Comum'!E27+'Operação Comum'!H27+I27*'Operação Comum'!E27+E27)</f>
        <v/>
      </c>
      <c r="K27" s="26"/>
      <c r="L27" s="24"/>
      <c r="M27" s="20"/>
      <c r="N27" s="22"/>
      <c r="O27" s="6">
        <f t="shared" si="1"/>
        <v>0</v>
      </c>
      <c r="P27" s="6">
        <f>O27-(Cadastro!$F$12+Cadastro!$F$14)*O27</f>
        <v>0</v>
      </c>
      <c r="Q27" s="6" t="str">
        <f t="shared" si="2"/>
        <v/>
      </c>
      <c r="R27" s="31"/>
      <c r="S27" s="31"/>
      <c r="T27" s="31"/>
      <c r="U27" s="6" t="str">
        <f t="shared" si="3"/>
        <v/>
      </c>
      <c r="V27" s="30" t="str">
        <f t="shared" si="4"/>
        <v/>
      </c>
    </row>
    <row r="28" spans="1:22" x14ac:dyDescent="0.25">
      <c r="A28" s="2"/>
      <c r="B28" s="12" t="s">
        <v>55</v>
      </c>
      <c r="C28" s="16"/>
      <c r="D28" s="16"/>
      <c r="E28" s="17">
        <f t="shared" si="0"/>
        <v>0</v>
      </c>
      <c r="F28" s="18"/>
      <c r="G28" s="11"/>
      <c r="H28" s="17" t="str">
        <f>IF($G28="","",VLOOKUP($G28,Cadastro!$B$5:$F$9,2,FALSE))</f>
        <v/>
      </c>
      <c r="I28" s="13" t="str">
        <f>IF($G28="","",VLOOKUP($G28,Cadastro!$B$5:$F$9,3,FALSE))</f>
        <v/>
      </c>
      <c r="J28" s="23" t="str">
        <f>IF(C28="","",(Cadastro!$F$13+Cadastro!$F$14)*'Operação Comum'!E28+'Operação Comum'!H28+I28*'Operação Comum'!E28+E28)</f>
        <v/>
      </c>
      <c r="K28" s="26"/>
      <c r="L28" s="24"/>
      <c r="M28" s="20"/>
      <c r="N28" s="22"/>
      <c r="O28" s="6">
        <f t="shared" si="1"/>
        <v>0</v>
      </c>
      <c r="P28" s="6">
        <f>O28-(Cadastro!$F$12+Cadastro!$F$14)*O28</f>
        <v>0</v>
      </c>
      <c r="Q28" s="6" t="str">
        <f t="shared" si="2"/>
        <v/>
      </c>
      <c r="R28" s="31"/>
      <c r="S28" s="31"/>
      <c r="T28" s="31"/>
      <c r="U28" s="6" t="str">
        <f t="shared" si="3"/>
        <v/>
      </c>
      <c r="V28" s="30" t="str">
        <f t="shared" si="4"/>
        <v/>
      </c>
    </row>
    <row r="29" spans="1:22" x14ac:dyDescent="0.25">
      <c r="A29" s="2"/>
      <c r="B29" s="12" t="s">
        <v>56</v>
      </c>
      <c r="C29" s="16"/>
      <c r="D29" s="16"/>
      <c r="E29" s="17">
        <f t="shared" si="0"/>
        <v>0</v>
      </c>
      <c r="F29" s="18"/>
      <c r="G29" s="11"/>
      <c r="H29" s="17" t="str">
        <f>IF($G29="","",VLOOKUP($G29,Cadastro!$B$5:$F$9,2,FALSE))</f>
        <v/>
      </c>
      <c r="I29" s="13" t="str">
        <f>IF($G29="","",VLOOKUP($G29,Cadastro!$B$5:$F$9,3,FALSE))</f>
        <v/>
      </c>
      <c r="J29" s="23" t="str">
        <f>IF(C29="","",(Cadastro!$F$13+Cadastro!$F$14)*'Operação Comum'!E29+'Operação Comum'!H29+I29*'Operação Comum'!E29+E29)</f>
        <v/>
      </c>
      <c r="K29" s="26"/>
      <c r="L29" s="24"/>
      <c r="M29" s="20"/>
      <c r="N29" s="22"/>
      <c r="O29" s="6">
        <f t="shared" si="1"/>
        <v>0</v>
      </c>
      <c r="P29" s="6">
        <f>O29-(Cadastro!$F$12+Cadastro!$F$14)*O29</f>
        <v>0</v>
      </c>
      <c r="Q29" s="6" t="str">
        <f t="shared" si="2"/>
        <v/>
      </c>
      <c r="R29" s="31"/>
      <c r="S29" s="31"/>
      <c r="T29" s="31"/>
      <c r="U29" s="6" t="str">
        <f t="shared" si="3"/>
        <v/>
      </c>
      <c r="V29" s="30" t="str">
        <f t="shared" si="4"/>
        <v/>
      </c>
    </row>
    <row r="30" spans="1:22" x14ac:dyDescent="0.25">
      <c r="A30" s="2"/>
      <c r="B30" s="12" t="s">
        <v>57</v>
      </c>
      <c r="C30" s="16"/>
      <c r="D30" s="16"/>
      <c r="E30" s="17">
        <f t="shared" si="0"/>
        <v>0</v>
      </c>
      <c r="F30" s="18"/>
      <c r="G30" s="11"/>
      <c r="H30" s="17" t="str">
        <f>IF($G30="","",VLOOKUP($G30,Cadastro!$B$5:$F$9,2,FALSE))</f>
        <v/>
      </c>
      <c r="I30" s="13" t="str">
        <f>IF($G30="","",VLOOKUP($G30,Cadastro!$B$5:$F$9,3,FALSE))</f>
        <v/>
      </c>
      <c r="J30" s="23" t="str">
        <f>IF(C30="","",(Cadastro!$F$13+Cadastro!$F$14)*'Operação Comum'!E30+'Operação Comum'!H30+I30*'Operação Comum'!E30+E30)</f>
        <v/>
      </c>
      <c r="K30" s="26"/>
      <c r="L30" s="24"/>
      <c r="M30" s="20"/>
      <c r="N30" s="22"/>
      <c r="O30" s="6">
        <f t="shared" si="1"/>
        <v>0</v>
      </c>
      <c r="P30" s="6">
        <f>O30-(Cadastro!$F$12+Cadastro!$F$14)*O30</f>
        <v>0</v>
      </c>
      <c r="Q30" s="6" t="str">
        <f t="shared" si="2"/>
        <v/>
      </c>
      <c r="R30" s="31"/>
      <c r="S30" s="31"/>
      <c r="T30" s="31"/>
      <c r="U30" s="6" t="str">
        <f t="shared" si="3"/>
        <v/>
      </c>
      <c r="V30" s="30" t="str">
        <f t="shared" si="4"/>
        <v/>
      </c>
    </row>
    <row r="31" spans="1:22" x14ac:dyDescent="0.25">
      <c r="A31" s="2"/>
      <c r="B31" s="12" t="s">
        <v>58</v>
      </c>
      <c r="C31" s="16"/>
      <c r="D31" s="16"/>
      <c r="E31" s="17">
        <f t="shared" si="0"/>
        <v>0</v>
      </c>
      <c r="F31" s="18"/>
      <c r="G31" s="11"/>
      <c r="H31" s="17" t="str">
        <f>IF($G31="","",VLOOKUP($G31,Cadastro!$B$5:$F$9,2,FALSE))</f>
        <v/>
      </c>
      <c r="I31" s="13" t="str">
        <f>IF($G31="","",VLOOKUP($G31,Cadastro!$B$5:$F$9,3,FALSE))</f>
        <v/>
      </c>
      <c r="J31" s="23" t="str">
        <f>IF(C31="","",(Cadastro!$F$13+Cadastro!$F$14)*'Operação Comum'!E31+'Operação Comum'!H31+I31*'Operação Comum'!E31+E31)</f>
        <v/>
      </c>
      <c r="K31" s="26"/>
      <c r="L31" s="24"/>
      <c r="M31" s="20"/>
      <c r="N31" s="22"/>
      <c r="O31" s="6">
        <f t="shared" si="1"/>
        <v>0</v>
      </c>
      <c r="P31" s="6">
        <f>O31-(Cadastro!$F$12+Cadastro!$F$14)*O31</f>
        <v>0</v>
      </c>
      <c r="Q31" s="6" t="str">
        <f t="shared" si="2"/>
        <v/>
      </c>
      <c r="R31" s="31"/>
      <c r="S31" s="31"/>
      <c r="T31" s="31"/>
      <c r="U31" s="6" t="str">
        <f t="shared" si="3"/>
        <v/>
      </c>
      <c r="V31" s="30" t="str">
        <f t="shared" si="4"/>
        <v/>
      </c>
    </row>
    <row r="32" spans="1:22" x14ac:dyDescent="0.25">
      <c r="A32" s="2"/>
      <c r="B32" s="12" t="s">
        <v>59</v>
      </c>
      <c r="C32" s="16"/>
      <c r="D32" s="16"/>
      <c r="E32" s="17">
        <f t="shared" si="0"/>
        <v>0</v>
      </c>
      <c r="F32" s="18"/>
      <c r="G32" s="11"/>
      <c r="H32" s="17" t="str">
        <f>IF($G32="","",VLOOKUP($G32,Cadastro!$B$5:$F$9,2,FALSE))</f>
        <v/>
      </c>
      <c r="I32" s="13" t="str">
        <f>IF($G32="","",VLOOKUP($G32,Cadastro!$B$5:$F$9,3,FALSE))</f>
        <v/>
      </c>
      <c r="J32" s="23" t="str">
        <f>IF(C32="","",(Cadastro!$F$13+Cadastro!$F$14)*'Operação Comum'!E32+'Operação Comum'!H32+I32*'Operação Comum'!E32+E32)</f>
        <v/>
      </c>
      <c r="K32" s="26"/>
      <c r="L32" s="24"/>
      <c r="M32" s="20"/>
      <c r="N32" s="22"/>
      <c r="O32" s="6">
        <f t="shared" si="1"/>
        <v>0</v>
      </c>
      <c r="P32" s="6">
        <f>O32-(Cadastro!$F$12+Cadastro!$F$14)*O32</f>
        <v>0</v>
      </c>
      <c r="Q32" s="6" t="str">
        <f t="shared" si="2"/>
        <v/>
      </c>
      <c r="R32" s="31"/>
      <c r="S32" s="31"/>
      <c r="T32" s="31"/>
      <c r="U32" s="6" t="str">
        <f t="shared" si="3"/>
        <v/>
      </c>
      <c r="V32" s="30" t="str">
        <f t="shared" si="4"/>
        <v/>
      </c>
    </row>
    <row r="33" spans="1:22" x14ac:dyDescent="0.25">
      <c r="A33" s="2"/>
      <c r="B33" s="12" t="s">
        <v>60</v>
      </c>
      <c r="C33" s="16"/>
      <c r="D33" s="16"/>
      <c r="E33" s="17">
        <f t="shared" si="0"/>
        <v>0</v>
      </c>
      <c r="F33" s="18"/>
      <c r="G33" s="11"/>
      <c r="H33" s="17" t="str">
        <f>IF($G33="","",VLOOKUP($G33,Cadastro!$B$5:$F$9,2,FALSE))</f>
        <v/>
      </c>
      <c r="I33" s="13" t="str">
        <f>IF($G33="","",VLOOKUP($G33,Cadastro!$B$5:$F$9,3,FALSE))</f>
        <v/>
      </c>
      <c r="J33" s="23" t="str">
        <f>IF(C33="","",(Cadastro!$F$13+Cadastro!$F$14)*'Operação Comum'!E33+'Operação Comum'!H33+I33*'Operação Comum'!E33+E33)</f>
        <v/>
      </c>
      <c r="K33" s="26"/>
      <c r="L33" s="24"/>
      <c r="M33" s="20"/>
      <c r="N33" s="22"/>
      <c r="O33" s="6">
        <f t="shared" si="1"/>
        <v>0</v>
      </c>
      <c r="P33" s="6">
        <f>O33-(Cadastro!$F$12+Cadastro!$F$14)*O33</f>
        <v>0</v>
      </c>
      <c r="Q33" s="6" t="str">
        <f t="shared" si="2"/>
        <v/>
      </c>
      <c r="R33" s="31"/>
      <c r="S33" s="31"/>
      <c r="T33" s="31"/>
      <c r="U33" s="6" t="str">
        <f t="shared" si="3"/>
        <v/>
      </c>
      <c r="V33" s="30" t="str">
        <f t="shared" si="4"/>
        <v/>
      </c>
    </row>
    <row r="34" spans="1:22" x14ac:dyDescent="0.25">
      <c r="A34" s="2"/>
      <c r="B34" s="12" t="s">
        <v>61</v>
      </c>
      <c r="C34" s="16"/>
      <c r="D34" s="16"/>
      <c r="E34" s="17">
        <f t="shared" si="0"/>
        <v>0</v>
      </c>
      <c r="F34" s="18"/>
      <c r="G34" s="11"/>
      <c r="H34" s="17" t="str">
        <f>IF($G34="","",VLOOKUP($G34,Cadastro!$B$5:$F$9,2,FALSE))</f>
        <v/>
      </c>
      <c r="I34" s="13" t="str">
        <f>IF($G34="","",VLOOKUP($G34,Cadastro!$B$5:$F$9,3,FALSE))</f>
        <v/>
      </c>
      <c r="J34" s="23" t="str">
        <f>IF(C34="","",(Cadastro!$F$13+Cadastro!$F$14)*'Operação Comum'!E34+'Operação Comum'!H34+I34*'Operação Comum'!E34+E34)</f>
        <v/>
      </c>
      <c r="K34" s="26"/>
      <c r="L34" s="24"/>
      <c r="M34" s="20"/>
      <c r="N34" s="22"/>
      <c r="O34" s="6">
        <f t="shared" si="1"/>
        <v>0</v>
      </c>
      <c r="P34" s="6">
        <f>O34-(Cadastro!$F$12+Cadastro!$F$14)*O34</f>
        <v>0</v>
      </c>
      <c r="Q34" s="6" t="str">
        <f t="shared" si="2"/>
        <v/>
      </c>
      <c r="R34" s="31"/>
      <c r="S34" s="31"/>
      <c r="T34" s="31"/>
      <c r="U34" s="6" t="str">
        <f t="shared" si="3"/>
        <v/>
      </c>
      <c r="V34" s="30" t="str">
        <f t="shared" si="4"/>
        <v/>
      </c>
    </row>
    <row r="35" spans="1:22" x14ac:dyDescent="0.25">
      <c r="A35" s="2"/>
      <c r="B35" s="12" t="s">
        <v>62</v>
      </c>
      <c r="C35" s="16"/>
      <c r="D35" s="16"/>
      <c r="E35" s="17">
        <f t="shared" si="0"/>
        <v>0</v>
      </c>
      <c r="F35" s="18"/>
      <c r="G35" s="11"/>
      <c r="H35" s="17" t="str">
        <f>IF($G35="","",VLOOKUP($G35,Cadastro!$B$5:$F$9,2,FALSE))</f>
        <v/>
      </c>
      <c r="I35" s="13" t="str">
        <f>IF($G35="","",VLOOKUP($G35,Cadastro!$B$5:$F$9,3,FALSE))</f>
        <v/>
      </c>
      <c r="J35" s="23" t="str">
        <f>IF(C35="","",(Cadastro!$F$13+Cadastro!$F$14)*'Operação Comum'!E35+'Operação Comum'!H35+I35*'Operação Comum'!E35+E35)</f>
        <v/>
      </c>
      <c r="K35" s="26"/>
      <c r="L35" s="24"/>
      <c r="M35" s="20"/>
      <c r="N35" s="22"/>
      <c r="O35" s="6">
        <f t="shared" si="1"/>
        <v>0</v>
      </c>
      <c r="P35" s="6">
        <f>O35-(Cadastro!$F$12+Cadastro!$F$14)*O35</f>
        <v>0</v>
      </c>
      <c r="Q35" s="6" t="str">
        <f t="shared" si="2"/>
        <v/>
      </c>
      <c r="R35" s="31"/>
      <c r="S35" s="31"/>
      <c r="T35" s="31"/>
      <c r="U35" s="6" t="str">
        <f t="shared" si="3"/>
        <v/>
      </c>
      <c r="V35" s="30" t="str">
        <f t="shared" si="4"/>
        <v/>
      </c>
    </row>
    <row r="36" spans="1:22" x14ac:dyDescent="0.25">
      <c r="K36" s="27"/>
    </row>
    <row r="37" spans="1:22" x14ac:dyDescent="0.25">
      <c r="K37" s="27"/>
    </row>
    <row r="38" spans="1:22" x14ac:dyDescent="0.25">
      <c r="K38" s="28"/>
    </row>
    <row r="39" spans="1:22" x14ac:dyDescent="0.25">
      <c r="K39" s="28"/>
    </row>
    <row r="40" spans="1:22" x14ac:dyDescent="0.25">
      <c r="K40" s="28"/>
    </row>
    <row r="41" spans="1:22" x14ac:dyDescent="0.25">
      <c r="K41" s="28"/>
    </row>
    <row r="42" spans="1:22" x14ac:dyDescent="0.25">
      <c r="K42" s="28"/>
    </row>
    <row r="43" spans="1:22" x14ac:dyDescent="0.25">
      <c r="K43" s="28"/>
    </row>
    <row r="44" spans="1:22" x14ac:dyDescent="0.25">
      <c r="K44" s="28"/>
    </row>
    <row r="45" spans="1:22" x14ac:dyDescent="0.25">
      <c r="K45" s="28"/>
    </row>
    <row r="46" spans="1:22" x14ac:dyDescent="0.25">
      <c r="K46" s="28"/>
    </row>
    <row r="47" spans="1:22" x14ac:dyDescent="0.25">
      <c r="K47" s="28"/>
    </row>
    <row r="48" spans="1:22" x14ac:dyDescent="0.25">
      <c r="K48" s="28"/>
    </row>
  </sheetData>
  <mergeCells count="3">
    <mergeCell ref="B4:J4"/>
    <mergeCell ref="L4:V4"/>
    <mergeCell ref="A1:L1"/>
  </mergeCells>
  <conditionalFormatting sqref="Q6:Q35 U6:U35">
    <cfRule type="cellIs" dxfId="3" priority="3" operator="lessThan">
      <formula>0</formula>
    </cfRule>
    <cfRule type="cellIs" dxfId="2" priority="4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Cadastro!$B$5:$B$9</xm:f>
          </x14:formula1>
          <xm:sqref>G6:G35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4"/>
  <sheetViews>
    <sheetView showGridLines="0" workbookViewId="0">
      <selection sqref="A1:L1"/>
    </sheetView>
  </sheetViews>
  <sheetFormatPr defaultRowHeight="15" x14ac:dyDescent="0.25"/>
  <cols>
    <col min="1" max="1" width="6.7109375" customWidth="1"/>
    <col min="2" max="2" width="22.85546875" bestFit="1" customWidth="1"/>
    <col min="3" max="3" width="14.85546875" style="9" customWidth="1"/>
    <col min="4" max="4" width="16.42578125" style="9" bestFit="1" customWidth="1"/>
    <col min="5" max="5" width="17.85546875" style="9" bestFit="1" customWidth="1"/>
    <col min="6" max="6" width="14.85546875" style="9" customWidth="1"/>
    <col min="7" max="7" width="16.42578125" style="9" bestFit="1" customWidth="1"/>
    <col min="8" max="8" width="19.42578125" style="9" bestFit="1" customWidth="1"/>
    <col min="9" max="9" width="23" style="9" bestFit="1" customWidth="1"/>
    <col min="10" max="10" width="25.7109375" style="9" bestFit="1" customWidth="1"/>
    <col min="11" max="11" width="3.28515625" style="9" customWidth="1"/>
    <col min="12" max="12" width="18.140625" style="9" bestFit="1" customWidth="1"/>
    <col min="13" max="13" width="22" style="19" bestFit="1" customWidth="1"/>
    <col min="14" max="14" width="17.7109375" style="9" bestFit="1" customWidth="1"/>
    <col min="15" max="16" width="17.7109375" style="9" customWidth="1"/>
    <col min="17" max="17" width="17.85546875" style="9" bestFit="1" customWidth="1"/>
    <col min="18" max="19" width="17.7109375" style="9" bestFit="1" customWidth="1"/>
    <col min="20" max="20" width="22.85546875" style="9" bestFit="1" customWidth="1"/>
    <col min="21" max="21" width="24.7109375" style="9" bestFit="1" customWidth="1"/>
    <col min="22" max="22" width="17.7109375" style="9" bestFit="1" customWidth="1"/>
  </cols>
  <sheetData>
    <row r="1" spans="1:25" s="33" customFormat="1" ht="36" customHeight="1" x14ac:dyDescent="0.25">
      <c r="A1" s="41" t="s">
        <v>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34"/>
      <c r="N1" s="34"/>
      <c r="O1" s="34"/>
      <c r="P1" s="34"/>
      <c r="Q1" s="34"/>
      <c r="R1" s="34"/>
      <c r="S1" s="34"/>
      <c r="T1" s="34"/>
      <c r="U1" s="32"/>
      <c r="V1" s="32"/>
      <c r="W1" s="32"/>
      <c r="X1" s="32"/>
      <c r="Y1" s="32"/>
    </row>
    <row r="2" spans="1:25" ht="10.5" customHeight="1" x14ac:dyDescent="0.25"/>
    <row r="3" spans="1:25" ht="10.5" customHeight="1" x14ac:dyDescent="0.25"/>
    <row r="4" spans="1:25" ht="19.5" customHeight="1" thickBot="1" x14ac:dyDescent="0.3">
      <c r="B4" s="45" t="s">
        <v>46</v>
      </c>
      <c r="C4" s="45"/>
      <c r="D4" s="45"/>
      <c r="E4" s="45"/>
      <c r="F4" s="45"/>
      <c r="G4" s="45"/>
      <c r="H4" s="45"/>
      <c r="I4" s="45"/>
      <c r="J4" s="45"/>
      <c r="L4" s="46" t="s">
        <v>47</v>
      </c>
      <c r="M4" s="46"/>
      <c r="N4" s="46"/>
      <c r="O4" s="46"/>
      <c r="P4" s="46"/>
      <c r="Q4" s="46"/>
      <c r="R4" s="46"/>
      <c r="S4" s="46"/>
      <c r="T4" s="46"/>
      <c r="U4" s="46"/>
      <c r="V4" s="46"/>
    </row>
    <row r="5" spans="1:25" ht="15.75" thickBot="1" x14ac:dyDescent="0.3">
      <c r="B5" s="37" t="s">
        <v>16</v>
      </c>
      <c r="C5" s="37" t="s">
        <v>33</v>
      </c>
      <c r="D5" s="37" t="s">
        <v>34</v>
      </c>
      <c r="E5" s="37" t="s">
        <v>35</v>
      </c>
      <c r="F5" s="37" t="s">
        <v>32</v>
      </c>
      <c r="G5" s="37" t="s">
        <v>1</v>
      </c>
      <c r="H5" s="37" t="s">
        <v>2</v>
      </c>
      <c r="I5" s="37" t="s">
        <v>3</v>
      </c>
      <c r="J5" s="38" t="s">
        <v>36</v>
      </c>
      <c r="K5" s="25"/>
      <c r="L5" s="39" t="s">
        <v>37</v>
      </c>
      <c r="M5" s="40" t="s">
        <v>38</v>
      </c>
      <c r="N5" s="37" t="s">
        <v>39</v>
      </c>
      <c r="O5" s="37" t="s">
        <v>35</v>
      </c>
      <c r="P5" s="37" t="s">
        <v>0</v>
      </c>
      <c r="Q5" s="37" t="s">
        <v>40</v>
      </c>
      <c r="R5" s="37" t="s">
        <v>41</v>
      </c>
      <c r="S5" s="37" t="s">
        <v>42</v>
      </c>
      <c r="T5" s="37" t="s">
        <v>43</v>
      </c>
      <c r="U5" s="37" t="s">
        <v>44</v>
      </c>
      <c r="V5" s="37" t="s">
        <v>45</v>
      </c>
    </row>
    <row r="6" spans="1:25" x14ac:dyDescent="0.25">
      <c r="A6" s="2"/>
      <c r="B6" s="10" t="s">
        <v>17</v>
      </c>
      <c r="C6" s="16"/>
      <c r="D6" s="17"/>
      <c r="E6" s="17">
        <f>D6*C6</f>
        <v>0</v>
      </c>
      <c r="F6" s="18"/>
      <c r="G6" s="11"/>
      <c r="H6" s="17" t="str">
        <f>IF($G6="","",VLOOKUP($G6,Cadastro!$B$5:$F$9,2,FALSE))</f>
        <v/>
      </c>
      <c r="I6" s="13" t="str">
        <f>IF($G6="","",VLOOKUP($G6,Cadastro!$B$5:$F$9,3,FALSE))</f>
        <v/>
      </c>
      <c r="J6" s="23" t="str">
        <f>IF(C6="","",(Cadastro!$F$12+Cadastro!$F$14)*'Operação Day Trade'!E6+'Operação Day Trade'!H6+I6*'Operação Day Trade'!E6+E6)</f>
        <v/>
      </c>
      <c r="K6" s="26"/>
      <c r="L6" s="29"/>
      <c r="M6" s="20"/>
      <c r="N6" s="21"/>
      <c r="O6" s="6">
        <f>M6*N6</f>
        <v>0</v>
      </c>
      <c r="P6" s="6">
        <f>O6-(Cadastro!$F$12+Cadastro!$F$14)*O6</f>
        <v>0</v>
      </c>
      <c r="Q6" s="6" t="str">
        <f>IF(J6="","",P6-J6)</f>
        <v/>
      </c>
      <c r="R6" s="21"/>
      <c r="S6" s="21"/>
      <c r="T6" s="21"/>
      <c r="U6" s="6" t="str">
        <f>IF(Q6="","",(Q6-R6+S6+T6))</f>
        <v/>
      </c>
      <c r="V6" s="30" t="str">
        <f>IF(U6="","",U6/E6)</f>
        <v/>
      </c>
    </row>
    <row r="7" spans="1:25" x14ac:dyDescent="0.25">
      <c r="A7" s="2"/>
      <c r="B7" s="12" t="s">
        <v>18</v>
      </c>
      <c r="C7" s="16"/>
      <c r="D7" s="17"/>
      <c r="E7" s="17">
        <f t="shared" ref="E7:E35" si="0">D7*C7</f>
        <v>0</v>
      </c>
      <c r="F7" s="18"/>
      <c r="G7" s="11"/>
      <c r="H7" s="17" t="str">
        <f>IF($G7="","",VLOOKUP($G7,Cadastro!$B$5:$F$9,2,FALSE))</f>
        <v/>
      </c>
      <c r="I7" s="13" t="str">
        <f>IF($G7="","",VLOOKUP($G7,Cadastro!$B$5:$F$9,3,FALSE))</f>
        <v/>
      </c>
      <c r="J7" s="23" t="str">
        <f>IF(C7="","",(Cadastro!$F$12+Cadastro!$F$14)*'Operação Day Trade'!E7+'Operação Day Trade'!H7+I7*'Operação Day Trade'!E7+E7)</f>
        <v/>
      </c>
      <c r="K7" s="26"/>
      <c r="L7" s="29"/>
      <c r="M7" s="20"/>
      <c r="N7" s="22"/>
      <c r="O7" s="6">
        <f t="shared" ref="O7:O35" si="1">M7*N7</f>
        <v>0</v>
      </c>
      <c r="P7" s="6">
        <f>O7-(Cadastro!$F$12+Cadastro!$F$14)*O7</f>
        <v>0</v>
      </c>
      <c r="Q7" s="6" t="str">
        <f t="shared" ref="Q7:Q35" si="2">IF(J7="","",P7-J7)</f>
        <v/>
      </c>
      <c r="R7" s="22"/>
      <c r="S7" s="22"/>
      <c r="T7" s="22"/>
      <c r="U7" s="6" t="str">
        <f t="shared" ref="U7:U35" si="3">IF(Q7="","",(Q7-R7+S7+T7))</f>
        <v/>
      </c>
      <c r="V7" s="30" t="str">
        <f t="shared" ref="V7:V35" si="4">IF(U7="","",U7/E7)</f>
        <v/>
      </c>
    </row>
    <row r="8" spans="1:25" x14ac:dyDescent="0.25">
      <c r="A8" s="2"/>
      <c r="B8" s="10" t="s">
        <v>19</v>
      </c>
      <c r="C8" s="16"/>
      <c r="D8" s="17"/>
      <c r="E8" s="17">
        <f t="shared" si="0"/>
        <v>0</v>
      </c>
      <c r="F8" s="18"/>
      <c r="G8" s="11"/>
      <c r="H8" s="17" t="str">
        <f>IF($G8="","",VLOOKUP($G8,Cadastro!$B$5:$F$9,2,FALSE))</f>
        <v/>
      </c>
      <c r="I8" s="13" t="str">
        <f>IF($G8="","",VLOOKUP($G8,Cadastro!$B$5:$F$9,3,FALSE))</f>
        <v/>
      </c>
      <c r="J8" s="23" t="str">
        <f>IF(C8="","",(Cadastro!$F$12+Cadastro!$F$14)*'Operação Day Trade'!E8+'Operação Day Trade'!H8+I8*'Operação Day Trade'!E8+E8)</f>
        <v/>
      </c>
      <c r="K8" s="26"/>
      <c r="L8" s="29"/>
      <c r="M8" s="20"/>
      <c r="N8" s="22"/>
      <c r="O8" s="6">
        <f t="shared" si="1"/>
        <v>0</v>
      </c>
      <c r="P8" s="6">
        <f>O8-(Cadastro!$F$12+Cadastro!$F$14)*O8</f>
        <v>0</v>
      </c>
      <c r="Q8" s="6" t="str">
        <f t="shared" si="2"/>
        <v/>
      </c>
      <c r="R8" s="22"/>
      <c r="S8" s="22"/>
      <c r="T8" s="22"/>
      <c r="U8" s="6" t="str">
        <f t="shared" si="3"/>
        <v/>
      </c>
      <c r="V8" s="30" t="str">
        <f t="shared" si="4"/>
        <v/>
      </c>
    </row>
    <row r="9" spans="1:25" x14ac:dyDescent="0.25">
      <c r="A9" s="2"/>
      <c r="B9" s="12" t="s">
        <v>20</v>
      </c>
      <c r="C9" s="16"/>
      <c r="D9" s="17"/>
      <c r="E9" s="17">
        <f t="shared" si="0"/>
        <v>0</v>
      </c>
      <c r="F9" s="18"/>
      <c r="G9" s="11"/>
      <c r="H9" s="17" t="str">
        <f>IF($G9="","",VLOOKUP($G9,Cadastro!$B$5:$F$9,2,FALSE))</f>
        <v/>
      </c>
      <c r="I9" s="13" t="str">
        <f>IF($G9="","",VLOOKUP($G9,Cadastro!$B$5:$F$9,3,FALSE))</f>
        <v/>
      </c>
      <c r="J9" s="23" t="str">
        <f>IF(C9="","",(Cadastro!$F$12+Cadastro!$F$14)*'Operação Day Trade'!E9+'Operação Day Trade'!H9+I9*'Operação Day Trade'!E9+E9)</f>
        <v/>
      </c>
      <c r="K9" s="26"/>
      <c r="L9" s="24"/>
      <c r="M9" s="20"/>
      <c r="N9" s="22"/>
      <c r="O9" s="6">
        <f t="shared" si="1"/>
        <v>0</v>
      </c>
      <c r="P9" s="6">
        <f>O9-(Cadastro!$F$12+Cadastro!$F$14)*O9</f>
        <v>0</v>
      </c>
      <c r="Q9" s="6" t="str">
        <f t="shared" si="2"/>
        <v/>
      </c>
      <c r="R9" s="22"/>
      <c r="S9" s="22"/>
      <c r="T9" s="22"/>
      <c r="U9" s="6" t="str">
        <f t="shared" si="3"/>
        <v/>
      </c>
      <c r="V9" s="30" t="str">
        <f t="shared" si="4"/>
        <v/>
      </c>
    </row>
    <row r="10" spans="1:25" x14ac:dyDescent="0.25">
      <c r="A10" s="2"/>
      <c r="B10" s="10" t="s">
        <v>21</v>
      </c>
      <c r="C10" s="16"/>
      <c r="D10" s="17"/>
      <c r="E10" s="17">
        <f t="shared" si="0"/>
        <v>0</v>
      </c>
      <c r="F10" s="18"/>
      <c r="G10" s="11"/>
      <c r="H10" s="17" t="str">
        <f>IF($G10="","",VLOOKUP($G10,Cadastro!$B$5:$F$9,2,FALSE))</f>
        <v/>
      </c>
      <c r="I10" s="13" t="str">
        <f>IF($G10="","",VLOOKUP($G10,Cadastro!$B$5:$F$9,3,FALSE))</f>
        <v/>
      </c>
      <c r="J10" s="23" t="str">
        <f>IF(C10="","",(Cadastro!$F$12+Cadastro!$F$14)*'Operação Day Trade'!E10+'Operação Day Trade'!H10+I10*'Operação Day Trade'!E10+E10)</f>
        <v/>
      </c>
      <c r="K10" s="26"/>
      <c r="L10" s="24"/>
      <c r="M10" s="20"/>
      <c r="N10" s="22"/>
      <c r="O10" s="6">
        <f t="shared" si="1"/>
        <v>0</v>
      </c>
      <c r="P10" s="6">
        <f>O10-(Cadastro!$F$12+Cadastro!$F$14)*O10</f>
        <v>0</v>
      </c>
      <c r="Q10" s="6" t="str">
        <f t="shared" si="2"/>
        <v/>
      </c>
      <c r="R10" s="22"/>
      <c r="S10" s="22"/>
      <c r="T10" s="22"/>
      <c r="U10" s="6" t="str">
        <f t="shared" si="3"/>
        <v/>
      </c>
      <c r="V10" s="30" t="str">
        <f t="shared" si="4"/>
        <v/>
      </c>
    </row>
    <row r="11" spans="1:25" x14ac:dyDescent="0.25">
      <c r="A11" s="2"/>
      <c r="B11" s="12" t="s">
        <v>22</v>
      </c>
      <c r="C11" s="16"/>
      <c r="D11" s="17"/>
      <c r="E11" s="17">
        <f t="shared" si="0"/>
        <v>0</v>
      </c>
      <c r="F11" s="18"/>
      <c r="G11" s="11"/>
      <c r="H11" s="17" t="str">
        <f>IF($G11="","",VLOOKUP($G11,Cadastro!$B$5:$F$9,2,FALSE))</f>
        <v/>
      </c>
      <c r="I11" s="13" t="str">
        <f>IF($G11="","",VLOOKUP($G11,Cadastro!$B$5:$F$9,3,FALSE))</f>
        <v/>
      </c>
      <c r="J11" s="23" t="str">
        <f>IF(C11="","",(Cadastro!$F$12+Cadastro!$F$14)*'Operação Day Trade'!E11+'Operação Day Trade'!H11+I11*'Operação Day Trade'!E11+E11)</f>
        <v/>
      </c>
      <c r="K11" s="26"/>
      <c r="L11" s="24"/>
      <c r="M11" s="20"/>
      <c r="N11" s="22"/>
      <c r="O11" s="6">
        <f t="shared" si="1"/>
        <v>0</v>
      </c>
      <c r="P11" s="6">
        <f>O11-(Cadastro!$F$12+Cadastro!$F$14)*O11</f>
        <v>0</v>
      </c>
      <c r="Q11" s="6" t="str">
        <f t="shared" si="2"/>
        <v/>
      </c>
      <c r="R11" s="22"/>
      <c r="S11" s="22"/>
      <c r="T11" s="22"/>
      <c r="U11" s="6" t="str">
        <f t="shared" si="3"/>
        <v/>
      </c>
      <c r="V11" s="30" t="str">
        <f t="shared" si="4"/>
        <v/>
      </c>
    </row>
    <row r="12" spans="1:25" x14ac:dyDescent="0.25">
      <c r="A12" s="2"/>
      <c r="B12" s="10" t="s">
        <v>23</v>
      </c>
      <c r="C12" s="16"/>
      <c r="D12" s="17"/>
      <c r="E12" s="17">
        <f t="shared" si="0"/>
        <v>0</v>
      </c>
      <c r="F12" s="18"/>
      <c r="G12" s="11"/>
      <c r="H12" s="17" t="str">
        <f>IF($G12="","",VLOOKUP($G12,Cadastro!$B$5:$F$9,2,FALSE))</f>
        <v/>
      </c>
      <c r="I12" s="13" t="str">
        <f>IF($G12="","",VLOOKUP($G12,Cadastro!$B$5:$F$9,3,FALSE))</f>
        <v/>
      </c>
      <c r="J12" s="23" t="str">
        <f>IF(C12="","",(Cadastro!$F$12+Cadastro!$F$14)*'Operação Day Trade'!E12+'Operação Day Trade'!H12+I12*'Operação Day Trade'!E12+E12)</f>
        <v/>
      </c>
      <c r="K12" s="26"/>
      <c r="L12" s="24"/>
      <c r="M12" s="20"/>
      <c r="N12" s="22"/>
      <c r="O12" s="6">
        <f t="shared" si="1"/>
        <v>0</v>
      </c>
      <c r="P12" s="6">
        <f>O12-(Cadastro!$F$12+Cadastro!$F$14)*O12</f>
        <v>0</v>
      </c>
      <c r="Q12" s="6" t="str">
        <f t="shared" si="2"/>
        <v/>
      </c>
      <c r="R12" s="22"/>
      <c r="S12" s="22"/>
      <c r="T12" s="22"/>
      <c r="U12" s="6" t="str">
        <f t="shared" si="3"/>
        <v/>
      </c>
      <c r="V12" s="30" t="str">
        <f t="shared" si="4"/>
        <v/>
      </c>
    </row>
    <row r="13" spans="1:25" x14ac:dyDescent="0.25">
      <c r="A13" s="2"/>
      <c r="B13" s="12" t="s">
        <v>24</v>
      </c>
      <c r="C13" s="16"/>
      <c r="D13" s="17"/>
      <c r="E13" s="17">
        <f t="shared" si="0"/>
        <v>0</v>
      </c>
      <c r="F13" s="18"/>
      <c r="G13" s="11"/>
      <c r="H13" s="17" t="str">
        <f>IF($G13="","",VLOOKUP($G13,Cadastro!$B$5:$F$9,2,FALSE))</f>
        <v/>
      </c>
      <c r="I13" s="13" t="str">
        <f>IF($G13="","",VLOOKUP($G13,Cadastro!$B$5:$F$9,3,FALSE))</f>
        <v/>
      </c>
      <c r="J13" s="23" t="str">
        <f>IF(C13="","",(Cadastro!$F$12+Cadastro!$F$14)*'Operação Day Trade'!E13+'Operação Day Trade'!H13+I13*'Operação Day Trade'!E13+E13)</f>
        <v/>
      </c>
      <c r="K13" s="26"/>
      <c r="L13" s="24"/>
      <c r="M13" s="20"/>
      <c r="N13" s="22"/>
      <c r="O13" s="6">
        <f t="shared" si="1"/>
        <v>0</v>
      </c>
      <c r="P13" s="6">
        <f>O13-(Cadastro!$F$12+Cadastro!$F$14)*O13</f>
        <v>0</v>
      </c>
      <c r="Q13" s="6" t="str">
        <f t="shared" si="2"/>
        <v/>
      </c>
      <c r="R13" s="22"/>
      <c r="S13" s="22"/>
      <c r="T13" s="22"/>
      <c r="U13" s="6" t="str">
        <f t="shared" si="3"/>
        <v/>
      </c>
      <c r="V13" s="30" t="str">
        <f t="shared" si="4"/>
        <v/>
      </c>
    </row>
    <row r="14" spans="1:25" x14ac:dyDescent="0.25">
      <c r="A14" s="2"/>
      <c r="B14" s="10" t="s">
        <v>25</v>
      </c>
      <c r="C14" s="16"/>
      <c r="D14" s="17"/>
      <c r="E14" s="17">
        <f t="shared" si="0"/>
        <v>0</v>
      </c>
      <c r="F14" s="18"/>
      <c r="G14" s="11"/>
      <c r="H14" s="17" t="str">
        <f>IF($G14="","",VLOOKUP($G14,Cadastro!$B$5:$F$9,2,FALSE))</f>
        <v/>
      </c>
      <c r="I14" s="13" t="str">
        <f>IF($G14="","",VLOOKUP($G14,Cadastro!$B$5:$F$9,3,FALSE))</f>
        <v/>
      </c>
      <c r="J14" s="23" t="str">
        <f>IF(C14="","",(Cadastro!$F$12+Cadastro!$F$14)*'Operação Day Trade'!E14+'Operação Day Trade'!H14+I14*'Operação Day Trade'!E14+E14)</f>
        <v/>
      </c>
      <c r="K14" s="26"/>
      <c r="L14" s="24"/>
      <c r="M14" s="20"/>
      <c r="N14" s="22"/>
      <c r="O14" s="6">
        <f t="shared" si="1"/>
        <v>0</v>
      </c>
      <c r="P14" s="6">
        <f>O14-(Cadastro!$F$12+Cadastro!$F$14)*O14</f>
        <v>0</v>
      </c>
      <c r="Q14" s="6" t="str">
        <f t="shared" si="2"/>
        <v/>
      </c>
      <c r="R14" s="22"/>
      <c r="S14" s="22"/>
      <c r="T14" s="22"/>
      <c r="U14" s="6" t="str">
        <f t="shared" si="3"/>
        <v/>
      </c>
      <c r="V14" s="30" t="str">
        <f t="shared" si="4"/>
        <v/>
      </c>
    </row>
    <row r="15" spans="1:25" x14ac:dyDescent="0.25">
      <c r="A15" s="2"/>
      <c r="B15" s="12" t="s">
        <v>26</v>
      </c>
      <c r="C15" s="16"/>
      <c r="D15" s="17"/>
      <c r="E15" s="17">
        <f t="shared" si="0"/>
        <v>0</v>
      </c>
      <c r="F15" s="18"/>
      <c r="G15" s="11"/>
      <c r="H15" s="17" t="str">
        <f>IF($G15="","",VLOOKUP($G15,Cadastro!$B$5:$F$9,2,FALSE))</f>
        <v/>
      </c>
      <c r="I15" s="13" t="str">
        <f>IF($G15="","",VLOOKUP($G15,Cadastro!$B$5:$F$9,3,FALSE))</f>
        <v/>
      </c>
      <c r="J15" s="23" t="str">
        <f>IF(C15="","",(Cadastro!$F$12+Cadastro!$F$14)*'Operação Day Trade'!E15+'Operação Day Trade'!H15+I15*'Operação Day Trade'!E15+E15)</f>
        <v/>
      </c>
      <c r="K15" s="26"/>
      <c r="L15" s="24"/>
      <c r="M15" s="20"/>
      <c r="N15" s="22"/>
      <c r="O15" s="6">
        <f t="shared" si="1"/>
        <v>0</v>
      </c>
      <c r="P15" s="6">
        <f>O15-(Cadastro!$F$12+Cadastro!$F$14)*O15</f>
        <v>0</v>
      </c>
      <c r="Q15" s="6" t="str">
        <f t="shared" si="2"/>
        <v/>
      </c>
      <c r="R15" s="22"/>
      <c r="S15" s="22"/>
      <c r="T15" s="22"/>
      <c r="U15" s="6" t="str">
        <f t="shared" si="3"/>
        <v/>
      </c>
      <c r="V15" s="30" t="str">
        <f t="shared" si="4"/>
        <v/>
      </c>
    </row>
    <row r="16" spans="1:25" x14ac:dyDescent="0.25">
      <c r="A16" s="2"/>
      <c r="B16" s="10" t="s">
        <v>27</v>
      </c>
      <c r="C16" s="16"/>
      <c r="D16" s="17"/>
      <c r="E16" s="17">
        <f t="shared" si="0"/>
        <v>0</v>
      </c>
      <c r="F16" s="18"/>
      <c r="G16" s="11"/>
      <c r="H16" s="17" t="str">
        <f>IF($G16="","",VLOOKUP($G16,Cadastro!$B$5:$F$9,2,FALSE))</f>
        <v/>
      </c>
      <c r="I16" s="13" t="str">
        <f>IF($G16="","",VLOOKUP($G16,Cadastro!$B$5:$F$9,3,FALSE))</f>
        <v/>
      </c>
      <c r="J16" s="23" t="str">
        <f>IF(C16="","",(Cadastro!$F$12+Cadastro!$F$14)*'Operação Day Trade'!E16+'Operação Day Trade'!H16+I16*'Operação Day Trade'!E16+E16)</f>
        <v/>
      </c>
      <c r="K16" s="26"/>
      <c r="L16" s="24"/>
      <c r="M16" s="20"/>
      <c r="N16" s="22"/>
      <c r="O16" s="6">
        <f t="shared" si="1"/>
        <v>0</v>
      </c>
      <c r="P16" s="6">
        <f>O16-(Cadastro!$F$12+Cadastro!$F$14)*O16</f>
        <v>0</v>
      </c>
      <c r="Q16" s="6" t="str">
        <f t="shared" si="2"/>
        <v/>
      </c>
      <c r="R16" s="22"/>
      <c r="S16" s="22"/>
      <c r="T16" s="22"/>
      <c r="U16" s="6" t="str">
        <f t="shared" si="3"/>
        <v/>
      </c>
      <c r="V16" s="30" t="str">
        <f t="shared" si="4"/>
        <v/>
      </c>
    </row>
    <row r="17" spans="1:22" x14ac:dyDescent="0.25">
      <c r="A17" s="2"/>
      <c r="B17" s="12" t="s">
        <v>28</v>
      </c>
      <c r="C17" s="16"/>
      <c r="D17" s="17"/>
      <c r="E17" s="17">
        <f t="shared" si="0"/>
        <v>0</v>
      </c>
      <c r="F17" s="18"/>
      <c r="G17" s="11"/>
      <c r="H17" s="17" t="str">
        <f>IF($G17="","",VLOOKUP($G17,Cadastro!$B$5:$F$9,2,FALSE))</f>
        <v/>
      </c>
      <c r="I17" s="13" t="str">
        <f>IF($G17="","",VLOOKUP($G17,Cadastro!$B$5:$F$9,3,FALSE))</f>
        <v/>
      </c>
      <c r="J17" s="23" t="str">
        <f>IF(C17="","",(Cadastro!$F$12+Cadastro!$F$14)*'Operação Day Trade'!E17+'Operação Day Trade'!H17+I17*'Operação Day Trade'!E17+E17)</f>
        <v/>
      </c>
      <c r="K17" s="26"/>
      <c r="L17" s="24"/>
      <c r="M17" s="20"/>
      <c r="N17" s="22"/>
      <c r="O17" s="6">
        <f t="shared" si="1"/>
        <v>0</v>
      </c>
      <c r="P17" s="6">
        <f>O17-(Cadastro!$F$12+Cadastro!$F$14)*O17</f>
        <v>0</v>
      </c>
      <c r="Q17" s="6" t="str">
        <f t="shared" si="2"/>
        <v/>
      </c>
      <c r="R17" s="22"/>
      <c r="S17" s="22"/>
      <c r="T17" s="22"/>
      <c r="U17" s="6" t="str">
        <f t="shared" si="3"/>
        <v/>
      </c>
      <c r="V17" s="30" t="str">
        <f t="shared" si="4"/>
        <v/>
      </c>
    </row>
    <row r="18" spans="1:22" x14ac:dyDescent="0.25">
      <c r="A18" s="2"/>
      <c r="B18" s="10" t="s">
        <v>29</v>
      </c>
      <c r="C18" s="16"/>
      <c r="D18" s="17"/>
      <c r="E18" s="17">
        <f t="shared" si="0"/>
        <v>0</v>
      </c>
      <c r="F18" s="18"/>
      <c r="G18" s="11"/>
      <c r="H18" s="17" t="str">
        <f>IF($G18="","",VLOOKUP($G18,Cadastro!$B$5:$F$9,2,FALSE))</f>
        <v/>
      </c>
      <c r="I18" s="13" t="str">
        <f>IF($G18="","",VLOOKUP($G18,Cadastro!$B$5:$F$9,3,FALSE))</f>
        <v/>
      </c>
      <c r="J18" s="23" t="str">
        <f>IF(C18="","",(Cadastro!$F$12+Cadastro!$F$14)*'Operação Day Trade'!E18+'Operação Day Trade'!H18+I18*'Operação Day Trade'!E18+E18)</f>
        <v/>
      </c>
      <c r="K18" s="26"/>
      <c r="L18" s="24"/>
      <c r="M18" s="20"/>
      <c r="N18" s="22"/>
      <c r="O18" s="6">
        <f t="shared" si="1"/>
        <v>0</v>
      </c>
      <c r="P18" s="6">
        <f>O18-(Cadastro!$F$12+Cadastro!$F$14)*O18</f>
        <v>0</v>
      </c>
      <c r="Q18" s="6" t="str">
        <f t="shared" si="2"/>
        <v/>
      </c>
      <c r="R18" s="22"/>
      <c r="S18" s="22"/>
      <c r="T18" s="22"/>
      <c r="U18" s="6" t="str">
        <f t="shared" si="3"/>
        <v/>
      </c>
      <c r="V18" s="30" t="str">
        <f t="shared" si="4"/>
        <v/>
      </c>
    </row>
    <row r="19" spans="1:22" x14ac:dyDescent="0.25">
      <c r="A19" s="2"/>
      <c r="B19" s="12" t="s">
        <v>30</v>
      </c>
      <c r="C19" s="16"/>
      <c r="D19" s="17"/>
      <c r="E19" s="17">
        <f t="shared" si="0"/>
        <v>0</v>
      </c>
      <c r="F19" s="18"/>
      <c r="G19" s="11"/>
      <c r="H19" s="17" t="str">
        <f>IF($G19="","",VLOOKUP($G19,Cadastro!$B$5:$F$9,2,FALSE))</f>
        <v/>
      </c>
      <c r="I19" s="13" t="str">
        <f>IF($G19="","",VLOOKUP($G19,Cadastro!$B$5:$F$9,3,FALSE))</f>
        <v/>
      </c>
      <c r="J19" s="23" t="str">
        <f>IF(C19="","",(Cadastro!$F$12+Cadastro!$F$14)*'Operação Day Trade'!E19+'Operação Day Trade'!H19+I19*'Operação Day Trade'!E19+E19)</f>
        <v/>
      </c>
      <c r="K19" s="26"/>
      <c r="L19" s="24"/>
      <c r="M19" s="20"/>
      <c r="N19" s="22"/>
      <c r="O19" s="6">
        <f t="shared" si="1"/>
        <v>0</v>
      </c>
      <c r="P19" s="6">
        <f>O19-(Cadastro!$F$12+Cadastro!$F$14)*O19</f>
        <v>0</v>
      </c>
      <c r="Q19" s="6" t="str">
        <f t="shared" si="2"/>
        <v/>
      </c>
      <c r="R19" s="22"/>
      <c r="S19" s="22"/>
      <c r="T19" s="22"/>
      <c r="U19" s="6" t="str">
        <f t="shared" si="3"/>
        <v/>
      </c>
      <c r="V19" s="30" t="str">
        <f t="shared" si="4"/>
        <v/>
      </c>
    </row>
    <row r="20" spans="1:22" x14ac:dyDescent="0.25">
      <c r="A20" s="2"/>
      <c r="B20" s="10" t="s">
        <v>31</v>
      </c>
      <c r="C20" s="16"/>
      <c r="D20" s="17"/>
      <c r="E20" s="17">
        <f t="shared" si="0"/>
        <v>0</v>
      </c>
      <c r="F20" s="18"/>
      <c r="G20" s="11"/>
      <c r="H20" s="17" t="str">
        <f>IF($G20="","",VLOOKUP($G20,Cadastro!$B$5:$F$9,2,FALSE))</f>
        <v/>
      </c>
      <c r="I20" s="13" t="str">
        <f>IF($G20="","",VLOOKUP($G20,Cadastro!$B$5:$F$9,3,FALSE))</f>
        <v/>
      </c>
      <c r="J20" s="23" t="str">
        <f>IF(C20="","",(Cadastro!$F$12+Cadastro!$F$14)*'Operação Day Trade'!E20+'Operação Day Trade'!H20+I20*'Operação Day Trade'!E20+E20)</f>
        <v/>
      </c>
      <c r="K20" s="26"/>
      <c r="L20" s="24"/>
      <c r="M20" s="20"/>
      <c r="N20" s="22"/>
      <c r="O20" s="6">
        <f t="shared" si="1"/>
        <v>0</v>
      </c>
      <c r="P20" s="6">
        <f>O20-(Cadastro!$F$12+Cadastro!$F$14)*O20</f>
        <v>0</v>
      </c>
      <c r="Q20" s="6" t="str">
        <f t="shared" si="2"/>
        <v/>
      </c>
      <c r="R20" s="22"/>
      <c r="S20" s="22"/>
      <c r="T20" s="22"/>
      <c r="U20" s="6" t="str">
        <f t="shared" si="3"/>
        <v/>
      </c>
      <c r="V20" s="30" t="str">
        <f t="shared" si="4"/>
        <v/>
      </c>
    </row>
    <row r="21" spans="1:22" x14ac:dyDescent="0.25">
      <c r="A21" s="2"/>
      <c r="B21" s="12" t="s">
        <v>48</v>
      </c>
      <c r="C21" s="16"/>
      <c r="D21" s="16"/>
      <c r="E21" s="17">
        <f t="shared" si="0"/>
        <v>0</v>
      </c>
      <c r="F21" s="18"/>
      <c r="G21" s="11"/>
      <c r="H21" s="17" t="str">
        <f>IF($G21="","",VLOOKUP($G21,Cadastro!$B$5:$F$9,2,FALSE))</f>
        <v/>
      </c>
      <c r="I21" s="13" t="str">
        <f>IF($G21="","",VLOOKUP($G21,Cadastro!$B$5:$F$9,3,FALSE))</f>
        <v/>
      </c>
      <c r="J21" s="23" t="str">
        <f>IF(C21="","",(Cadastro!$F$12+Cadastro!$F$14)*'Operação Day Trade'!E21+'Operação Day Trade'!H21+I21*'Operação Day Trade'!E21+E21)</f>
        <v/>
      </c>
      <c r="K21" s="26"/>
      <c r="L21" s="24"/>
      <c r="M21" s="20"/>
      <c r="N21" s="22"/>
      <c r="O21" s="6">
        <f t="shared" si="1"/>
        <v>0</v>
      </c>
      <c r="P21" s="6">
        <f>O21-(Cadastro!$F$12+Cadastro!$F$14)*O21</f>
        <v>0</v>
      </c>
      <c r="Q21" s="6" t="str">
        <f t="shared" si="2"/>
        <v/>
      </c>
      <c r="R21" s="22"/>
      <c r="S21" s="22"/>
      <c r="T21" s="22"/>
      <c r="U21" s="6" t="str">
        <f t="shared" si="3"/>
        <v/>
      </c>
      <c r="V21" s="30" t="str">
        <f t="shared" si="4"/>
        <v/>
      </c>
    </row>
    <row r="22" spans="1:22" x14ac:dyDescent="0.25">
      <c r="A22" s="2"/>
      <c r="B22" s="10" t="s">
        <v>49</v>
      </c>
      <c r="C22" s="16"/>
      <c r="D22" s="16"/>
      <c r="E22" s="17">
        <f t="shared" si="0"/>
        <v>0</v>
      </c>
      <c r="F22" s="18"/>
      <c r="G22" s="11"/>
      <c r="H22" s="17" t="str">
        <f>IF($G22="","",VLOOKUP($G22,Cadastro!$B$5:$F$9,2,FALSE))</f>
        <v/>
      </c>
      <c r="I22" s="13" t="str">
        <f>IF($G22="","",VLOOKUP($G22,Cadastro!$B$5:$F$9,3,FALSE))</f>
        <v/>
      </c>
      <c r="J22" s="23" t="str">
        <f>IF(C22="","",(Cadastro!$F$12+Cadastro!$F$14)*'Operação Day Trade'!E22+'Operação Day Trade'!H22+I22*'Operação Day Trade'!E22+E22)</f>
        <v/>
      </c>
      <c r="K22" s="26"/>
      <c r="L22" s="24"/>
      <c r="M22" s="20"/>
      <c r="N22" s="22"/>
      <c r="O22" s="6">
        <f t="shared" si="1"/>
        <v>0</v>
      </c>
      <c r="P22" s="6">
        <f>O22-(Cadastro!$F$12+Cadastro!$F$14)*O22</f>
        <v>0</v>
      </c>
      <c r="Q22" s="6" t="str">
        <f t="shared" si="2"/>
        <v/>
      </c>
      <c r="R22" s="22"/>
      <c r="S22" s="22"/>
      <c r="T22" s="22"/>
      <c r="U22" s="6" t="str">
        <f t="shared" si="3"/>
        <v/>
      </c>
      <c r="V22" s="30" t="str">
        <f t="shared" si="4"/>
        <v/>
      </c>
    </row>
    <row r="23" spans="1:22" x14ac:dyDescent="0.25">
      <c r="A23" s="2"/>
      <c r="B23" s="12" t="s">
        <v>50</v>
      </c>
      <c r="C23" s="16"/>
      <c r="D23" s="16"/>
      <c r="E23" s="17">
        <f t="shared" si="0"/>
        <v>0</v>
      </c>
      <c r="F23" s="18"/>
      <c r="G23" s="11"/>
      <c r="H23" s="17" t="str">
        <f>IF($G23="","",VLOOKUP($G23,Cadastro!$B$5:$F$9,2,FALSE))</f>
        <v/>
      </c>
      <c r="I23" s="13" t="str">
        <f>IF($G23="","",VLOOKUP($G23,Cadastro!$B$5:$F$9,3,FALSE))</f>
        <v/>
      </c>
      <c r="J23" s="23" t="str">
        <f>IF(C23="","",(Cadastro!$F$12+Cadastro!$F$14)*'Operação Day Trade'!E23+'Operação Day Trade'!H23+I23*'Operação Day Trade'!E23+E23)</f>
        <v/>
      </c>
      <c r="K23" s="26"/>
      <c r="L23" s="24"/>
      <c r="M23" s="20"/>
      <c r="N23" s="22"/>
      <c r="O23" s="6">
        <f t="shared" si="1"/>
        <v>0</v>
      </c>
      <c r="P23" s="6">
        <f>O23-(Cadastro!$F$12+Cadastro!$F$14)*O23</f>
        <v>0</v>
      </c>
      <c r="Q23" s="6" t="str">
        <f t="shared" si="2"/>
        <v/>
      </c>
      <c r="R23" s="22"/>
      <c r="S23" s="22"/>
      <c r="T23" s="22"/>
      <c r="U23" s="6" t="str">
        <f t="shared" si="3"/>
        <v/>
      </c>
      <c r="V23" s="30" t="str">
        <f t="shared" si="4"/>
        <v/>
      </c>
    </row>
    <row r="24" spans="1:22" x14ac:dyDescent="0.25">
      <c r="A24" s="2"/>
      <c r="B24" s="10" t="s">
        <v>51</v>
      </c>
      <c r="C24" s="16"/>
      <c r="D24" s="16"/>
      <c r="E24" s="17">
        <f t="shared" si="0"/>
        <v>0</v>
      </c>
      <c r="F24" s="18"/>
      <c r="G24" s="11"/>
      <c r="H24" s="17" t="str">
        <f>IF($G24="","",VLOOKUP($G24,Cadastro!$B$5:$F$9,2,FALSE))</f>
        <v/>
      </c>
      <c r="I24" s="13" t="str">
        <f>IF($G24="","",VLOOKUP($G24,Cadastro!$B$5:$F$9,3,FALSE))</f>
        <v/>
      </c>
      <c r="J24" s="23" t="str">
        <f>IF(C24="","",(Cadastro!$F$12+Cadastro!$F$14)*'Operação Day Trade'!E24+'Operação Day Trade'!H24+I24*'Operação Day Trade'!E24+E24)</f>
        <v/>
      </c>
      <c r="K24" s="26"/>
      <c r="L24" s="24"/>
      <c r="M24" s="20"/>
      <c r="N24" s="22"/>
      <c r="O24" s="6">
        <f t="shared" si="1"/>
        <v>0</v>
      </c>
      <c r="P24" s="6">
        <f>O24-(Cadastro!$F$12+Cadastro!$F$14)*O24</f>
        <v>0</v>
      </c>
      <c r="Q24" s="6" t="str">
        <f t="shared" si="2"/>
        <v/>
      </c>
      <c r="R24" s="22"/>
      <c r="S24" s="22"/>
      <c r="T24" s="22"/>
      <c r="U24" s="6" t="str">
        <f t="shared" si="3"/>
        <v/>
      </c>
      <c r="V24" s="30" t="str">
        <f t="shared" si="4"/>
        <v/>
      </c>
    </row>
    <row r="25" spans="1:22" x14ac:dyDescent="0.25">
      <c r="A25" s="2"/>
      <c r="B25" s="12" t="s">
        <v>52</v>
      </c>
      <c r="C25" s="16"/>
      <c r="D25" s="16"/>
      <c r="E25" s="17">
        <f t="shared" si="0"/>
        <v>0</v>
      </c>
      <c r="F25" s="18"/>
      <c r="G25" s="11"/>
      <c r="H25" s="17" t="str">
        <f>IF($G25="","",VLOOKUP($G25,Cadastro!$B$5:$F$9,2,FALSE))</f>
        <v/>
      </c>
      <c r="I25" s="13" t="str">
        <f>IF($G25="","",VLOOKUP($G25,Cadastro!$B$5:$F$9,3,FALSE))</f>
        <v/>
      </c>
      <c r="J25" s="23" t="str">
        <f>IF(C25="","",(Cadastro!$F$12+Cadastro!$F$14)*'Operação Day Trade'!E25+'Operação Day Trade'!H25+I25*'Operação Day Trade'!E25+E25)</f>
        <v/>
      </c>
      <c r="K25" s="26"/>
      <c r="L25" s="24"/>
      <c r="M25" s="20"/>
      <c r="N25" s="22"/>
      <c r="O25" s="6">
        <f t="shared" si="1"/>
        <v>0</v>
      </c>
      <c r="P25" s="6">
        <f>O25-(Cadastro!$F$12+Cadastro!$F$14)*O25</f>
        <v>0</v>
      </c>
      <c r="Q25" s="6" t="str">
        <f t="shared" si="2"/>
        <v/>
      </c>
      <c r="R25" s="22"/>
      <c r="S25" s="22"/>
      <c r="T25" s="22"/>
      <c r="U25" s="6" t="str">
        <f t="shared" si="3"/>
        <v/>
      </c>
      <c r="V25" s="30" t="str">
        <f t="shared" si="4"/>
        <v/>
      </c>
    </row>
    <row r="26" spans="1:22" x14ac:dyDescent="0.25">
      <c r="A26" s="2"/>
      <c r="B26" s="10" t="s">
        <v>53</v>
      </c>
      <c r="C26" s="16"/>
      <c r="D26" s="16"/>
      <c r="E26" s="17">
        <f t="shared" si="0"/>
        <v>0</v>
      </c>
      <c r="F26" s="18"/>
      <c r="G26" s="11"/>
      <c r="H26" s="17" t="str">
        <f>IF($G26="","",VLOOKUP($G26,Cadastro!$B$5:$F$9,2,FALSE))</f>
        <v/>
      </c>
      <c r="I26" s="13" t="str">
        <f>IF($G26="","",VLOOKUP($G26,Cadastro!$B$5:$F$9,3,FALSE))</f>
        <v/>
      </c>
      <c r="J26" s="23" t="str">
        <f>IF(C26="","",(Cadastro!$F$12+Cadastro!$F$14)*'Operação Day Trade'!E26+'Operação Day Trade'!H26+I26*'Operação Day Trade'!E26+E26)</f>
        <v/>
      </c>
      <c r="K26" s="26"/>
      <c r="L26" s="24"/>
      <c r="M26" s="20"/>
      <c r="N26" s="22"/>
      <c r="O26" s="6">
        <f t="shared" si="1"/>
        <v>0</v>
      </c>
      <c r="P26" s="6">
        <f>O26-(Cadastro!$F$12+Cadastro!$F$14)*O26</f>
        <v>0</v>
      </c>
      <c r="Q26" s="6" t="str">
        <f t="shared" si="2"/>
        <v/>
      </c>
      <c r="R26" s="22"/>
      <c r="S26" s="22"/>
      <c r="T26" s="22"/>
      <c r="U26" s="6" t="str">
        <f t="shared" si="3"/>
        <v/>
      </c>
      <c r="V26" s="30" t="str">
        <f t="shared" si="4"/>
        <v/>
      </c>
    </row>
    <row r="27" spans="1:22" x14ac:dyDescent="0.25">
      <c r="A27" s="2"/>
      <c r="B27" s="12" t="s">
        <v>54</v>
      </c>
      <c r="C27" s="16"/>
      <c r="D27" s="16"/>
      <c r="E27" s="17">
        <f t="shared" si="0"/>
        <v>0</v>
      </c>
      <c r="F27" s="18"/>
      <c r="G27" s="11"/>
      <c r="H27" s="17" t="str">
        <f>IF($G27="","",VLOOKUP($G27,Cadastro!$B$5:$F$9,2,FALSE))</f>
        <v/>
      </c>
      <c r="I27" s="13" t="str">
        <f>IF($G27="","",VLOOKUP($G27,Cadastro!$B$5:$F$9,3,FALSE))</f>
        <v/>
      </c>
      <c r="J27" s="23" t="str">
        <f>IF(C27="","",(Cadastro!$F$12+Cadastro!$F$14)*'Operação Day Trade'!E27+'Operação Day Trade'!H27+I27*'Operação Day Trade'!E27+E27)</f>
        <v/>
      </c>
      <c r="K27" s="26"/>
      <c r="L27" s="24"/>
      <c r="M27" s="20"/>
      <c r="N27" s="22"/>
      <c r="O27" s="6">
        <f t="shared" si="1"/>
        <v>0</v>
      </c>
      <c r="P27" s="6">
        <f>O27-(Cadastro!$F$12+Cadastro!$F$14)*O27</f>
        <v>0</v>
      </c>
      <c r="Q27" s="6" t="str">
        <f t="shared" si="2"/>
        <v/>
      </c>
      <c r="R27" s="22"/>
      <c r="S27" s="22"/>
      <c r="T27" s="22"/>
      <c r="U27" s="6" t="str">
        <f t="shared" si="3"/>
        <v/>
      </c>
      <c r="V27" s="30" t="str">
        <f t="shared" si="4"/>
        <v/>
      </c>
    </row>
    <row r="28" spans="1:22" x14ac:dyDescent="0.25">
      <c r="A28" s="2"/>
      <c r="B28" s="10" t="s">
        <v>55</v>
      </c>
      <c r="C28" s="16"/>
      <c r="D28" s="16"/>
      <c r="E28" s="17">
        <f t="shared" si="0"/>
        <v>0</v>
      </c>
      <c r="F28" s="18"/>
      <c r="G28" s="11"/>
      <c r="H28" s="17" t="str">
        <f>IF($G28="","",VLOOKUP($G28,Cadastro!$B$5:$F$9,2,FALSE))</f>
        <v/>
      </c>
      <c r="I28" s="13" t="str">
        <f>IF($G28="","",VLOOKUP($G28,Cadastro!$B$5:$F$9,3,FALSE))</f>
        <v/>
      </c>
      <c r="J28" s="23" t="str">
        <f>IF(C28="","",(Cadastro!$F$12+Cadastro!$F$14)*'Operação Day Trade'!E28+'Operação Day Trade'!H28+I28*'Operação Day Trade'!E28+E28)</f>
        <v/>
      </c>
      <c r="K28" s="26"/>
      <c r="L28" s="24"/>
      <c r="M28" s="20"/>
      <c r="N28" s="22"/>
      <c r="O28" s="6">
        <f t="shared" si="1"/>
        <v>0</v>
      </c>
      <c r="P28" s="6">
        <f>O28-(Cadastro!$F$12+Cadastro!$F$14)*O28</f>
        <v>0</v>
      </c>
      <c r="Q28" s="6" t="str">
        <f t="shared" si="2"/>
        <v/>
      </c>
      <c r="R28" s="22"/>
      <c r="S28" s="22"/>
      <c r="T28" s="22"/>
      <c r="U28" s="6" t="str">
        <f t="shared" si="3"/>
        <v/>
      </c>
      <c r="V28" s="30" t="str">
        <f t="shared" si="4"/>
        <v/>
      </c>
    </row>
    <row r="29" spans="1:22" x14ac:dyDescent="0.25">
      <c r="A29" s="2"/>
      <c r="B29" s="12" t="s">
        <v>56</v>
      </c>
      <c r="C29" s="16"/>
      <c r="D29" s="16"/>
      <c r="E29" s="17">
        <f t="shared" si="0"/>
        <v>0</v>
      </c>
      <c r="F29" s="18"/>
      <c r="G29" s="11"/>
      <c r="H29" s="17" t="str">
        <f>IF($G29="","",VLOOKUP($G29,Cadastro!$B$5:$F$9,2,FALSE))</f>
        <v/>
      </c>
      <c r="I29" s="13" t="str">
        <f>IF($G29="","",VLOOKUP($G29,Cadastro!$B$5:$F$9,3,FALSE))</f>
        <v/>
      </c>
      <c r="J29" s="23" t="str">
        <f>IF(C29="","",(Cadastro!$F$12+Cadastro!$F$14)*'Operação Day Trade'!E29+'Operação Day Trade'!H29+I29*'Operação Day Trade'!E29+E29)</f>
        <v/>
      </c>
      <c r="K29" s="26"/>
      <c r="L29" s="24"/>
      <c r="M29" s="20"/>
      <c r="N29" s="22"/>
      <c r="O29" s="6">
        <f t="shared" si="1"/>
        <v>0</v>
      </c>
      <c r="P29" s="6">
        <f>O29-(Cadastro!$F$12+Cadastro!$F$14)*O29</f>
        <v>0</v>
      </c>
      <c r="Q29" s="6" t="str">
        <f t="shared" si="2"/>
        <v/>
      </c>
      <c r="R29" s="22"/>
      <c r="S29" s="22"/>
      <c r="T29" s="22"/>
      <c r="U29" s="6" t="str">
        <f t="shared" si="3"/>
        <v/>
      </c>
      <c r="V29" s="30" t="str">
        <f t="shared" si="4"/>
        <v/>
      </c>
    </row>
    <row r="30" spans="1:22" x14ac:dyDescent="0.25">
      <c r="A30" s="2"/>
      <c r="B30" s="10" t="s">
        <v>57</v>
      </c>
      <c r="C30" s="16"/>
      <c r="D30" s="16"/>
      <c r="E30" s="17">
        <f t="shared" si="0"/>
        <v>0</v>
      </c>
      <c r="F30" s="18"/>
      <c r="G30" s="11"/>
      <c r="H30" s="17" t="str">
        <f>IF($G30="","",VLOOKUP($G30,Cadastro!$B$5:$F$9,2,FALSE))</f>
        <v/>
      </c>
      <c r="I30" s="13" t="str">
        <f>IF($G30="","",VLOOKUP($G30,Cadastro!$B$5:$F$9,3,FALSE))</f>
        <v/>
      </c>
      <c r="J30" s="23" t="str">
        <f>IF(C30="","",(Cadastro!$F$12+Cadastro!$F$14)*'Operação Day Trade'!E30+'Operação Day Trade'!H30+I30*'Operação Day Trade'!E30+E30)</f>
        <v/>
      </c>
      <c r="K30" s="26"/>
      <c r="L30" s="24"/>
      <c r="M30" s="20"/>
      <c r="N30" s="22"/>
      <c r="O30" s="6">
        <f t="shared" si="1"/>
        <v>0</v>
      </c>
      <c r="P30" s="6">
        <f>O30-(Cadastro!$F$12+Cadastro!$F$14)*O30</f>
        <v>0</v>
      </c>
      <c r="Q30" s="6" t="str">
        <f t="shared" si="2"/>
        <v/>
      </c>
      <c r="R30" s="22"/>
      <c r="S30" s="22"/>
      <c r="T30" s="22"/>
      <c r="U30" s="6" t="str">
        <f t="shared" si="3"/>
        <v/>
      </c>
      <c r="V30" s="30" t="str">
        <f t="shared" si="4"/>
        <v/>
      </c>
    </row>
    <row r="31" spans="1:22" x14ac:dyDescent="0.25">
      <c r="A31" s="2"/>
      <c r="B31" s="12" t="s">
        <v>58</v>
      </c>
      <c r="C31" s="16"/>
      <c r="D31" s="16"/>
      <c r="E31" s="17">
        <f t="shared" si="0"/>
        <v>0</v>
      </c>
      <c r="F31" s="18"/>
      <c r="G31" s="11"/>
      <c r="H31" s="17" t="str">
        <f>IF($G31="","",VLOOKUP($G31,Cadastro!$B$5:$F$9,2,FALSE))</f>
        <v/>
      </c>
      <c r="I31" s="13" t="str">
        <f>IF($G31="","",VLOOKUP($G31,Cadastro!$B$5:$F$9,3,FALSE))</f>
        <v/>
      </c>
      <c r="J31" s="23" t="str">
        <f>IF(C31="","",(Cadastro!$F$12+Cadastro!$F$14)*'Operação Day Trade'!E31+'Operação Day Trade'!H31+I31*'Operação Day Trade'!E31+E31)</f>
        <v/>
      </c>
      <c r="K31" s="26"/>
      <c r="L31" s="24"/>
      <c r="M31" s="20"/>
      <c r="N31" s="22"/>
      <c r="O31" s="6">
        <f t="shared" si="1"/>
        <v>0</v>
      </c>
      <c r="P31" s="6">
        <f>O31-(Cadastro!$F$12+Cadastro!$F$14)*O31</f>
        <v>0</v>
      </c>
      <c r="Q31" s="6" t="str">
        <f t="shared" si="2"/>
        <v/>
      </c>
      <c r="R31" s="22"/>
      <c r="S31" s="22"/>
      <c r="T31" s="22"/>
      <c r="U31" s="6" t="str">
        <f t="shared" si="3"/>
        <v/>
      </c>
      <c r="V31" s="30" t="str">
        <f t="shared" si="4"/>
        <v/>
      </c>
    </row>
    <row r="32" spans="1:22" x14ac:dyDescent="0.25">
      <c r="A32" s="2"/>
      <c r="B32" s="10" t="s">
        <v>59</v>
      </c>
      <c r="C32" s="16"/>
      <c r="D32" s="16"/>
      <c r="E32" s="17">
        <f t="shared" si="0"/>
        <v>0</v>
      </c>
      <c r="F32" s="18"/>
      <c r="G32" s="11"/>
      <c r="H32" s="17" t="str">
        <f>IF($G32="","",VLOOKUP($G32,Cadastro!$B$5:$F$9,2,FALSE))</f>
        <v/>
      </c>
      <c r="I32" s="13" t="str">
        <f>IF($G32="","",VLOOKUP($G32,Cadastro!$B$5:$F$9,3,FALSE))</f>
        <v/>
      </c>
      <c r="J32" s="23" t="str">
        <f>IF(C32="","",(Cadastro!$F$12+Cadastro!$F$14)*'Operação Day Trade'!E32+'Operação Day Trade'!H32+I32*'Operação Day Trade'!E32+E32)</f>
        <v/>
      </c>
      <c r="K32" s="26"/>
      <c r="L32" s="24"/>
      <c r="M32" s="20"/>
      <c r="N32" s="22"/>
      <c r="O32" s="6">
        <f t="shared" si="1"/>
        <v>0</v>
      </c>
      <c r="P32" s="6">
        <f>O32-(Cadastro!$F$12+Cadastro!$F$14)*O32</f>
        <v>0</v>
      </c>
      <c r="Q32" s="6" t="str">
        <f t="shared" si="2"/>
        <v/>
      </c>
      <c r="R32" s="22"/>
      <c r="S32" s="22"/>
      <c r="T32" s="22"/>
      <c r="U32" s="6" t="str">
        <f t="shared" si="3"/>
        <v/>
      </c>
      <c r="V32" s="30" t="str">
        <f t="shared" si="4"/>
        <v/>
      </c>
    </row>
    <row r="33" spans="1:22" x14ac:dyDescent="0.25">
      <c r="A33" s="2"/>
      <c r="B33" s="12" t="s">
        <v>60</v>
      </c>
      <c r="C33" s="16"/>
      <c r="D33" s="16"/>
      <c r="E33" s="17">
        <f t="shared" si="0"/>
        <v>0</v>
      </c>
      <c r="F33" s="18"/>
      <c r="G33" s="11"/>
      <c r="H33" s="17" t="str">
        <f>IF($G33="","",VLOOKUP($G33,Cadastro!$B$5:$F$9,2,FALSE))</f>
        <v/>
      </c>
      <c r="I33" s="13" t="str">
        <f>IF($G33="","",VLOOKUP($G33,Cadastro!$B$5:$F$9,3,FALSE))</f>
        <v/>
      </c>
      <c r="J33" s="23" t="str">
        <f>IF(C33="","",(Cadastro!$F$12+Cadastro!$F$14)*'Operação Day Trade'!E33+'Operação Day Trade'!H33+I33*'Operação Day Trade'!E33+E33)</f>
        <v/>
      </c>
      <c r="K33" s="26"/>
      <c r="L33" s="24"/>
      <c r="M33" s="20"/>
      <c r="N33" s="22"/>
      <c r="O33" s="6">
        <f t="shared" si="1"/>
        <v>0</v>
      </c>
      <c r="P33" s="6">
        <f>O33-(Cadastro!$F$12+Cadastro!$F$14)*O33</f>
        <v>0</v>
      </c>
      <c r="Q33" s="6" t="str">
        <f t="shared" si="2"/>
        <v/>
      </c>
      <c r="R33" s="22"/>
      <c r="S33" s="22"/>
      <c r="T33" s="22"/>
      <c r="U33" s="6" t="str">
        <f t="shared" si="3"/>
        <v/>
      </c>
      <c r="V33" s="30" t="str">
        <f t="shared" si="4"/>
        <v/>
      </c>
    </row>
    <row r="34" spans="1:22" x14ac:dyDescent="0.25">
      <c r="A34" s="2"/>
      <c r="B34" s="10" t="s">
        <v>61</v>
      </c>
      <c r="C34" s="16"/>
      <c r="D34" s="16"/>
      <c r="E34" s="17">
        <f t="shared" si="0"/>
        <v>0</v>
      </c>
      <c r="F34" s="18"/>
      <c r="G34" s="11"/>
      <c r="H34" s="17" t="str">
        <f>IF($G34="","",VLOOKUP($G34,Cadastro!$B$5:$F$9,2,FALSE))</f>
        <v/>
      </c>
      <c r="I34" s="13" t="str">
        <f>IF($G34="","",VLOOKUP($G34,Cadastro!$B$5:$F$9,3,FALSE))</f>
        <v/>
      </c>
      <c r="J34" s="23" t="str">
        <f>IF(C34="","",(Cadastro!$F$12+Cadastro!$F$14)*'Operação Day Trade'!E34+'Operação Day Trade'!H34+I34*'Operação Day Trade'!E34+E34)</f>
        <v/>
      </c>
      <c r="K34" s="26"/>
      <c r="L34" s="24"/>
      <c r="M34" s="20"/>
      <c r="N34" s="22"/>
      <c r="O34" s="6">
        <f t="shared" si="1"/>
        <v>0</v>
      </c>
      <c r="P34" s="6">
        <f>O34-(Cadastro!$F$12+Cadastro!$F$14)*O34</f>
        <v>0</v>
      </c>
      <c r="Q34" s="6" t="str">
        <f t="shared" si="2"/>
        <v/>
      </c>
      <c r="R34" s="22"/>
      <c r="S34" s="22"/>
      <c r="T34" s="22"/>
      <c r="U34" s="6" t="str">
        <f t="shared" si="3"/>
        <v/>
      </c>
      <c r="V34" s="30" t="str">
        <f t="shared" si="4"/>
        <v/>
      </c>
    </row>
    <row r="35" spans="1:22" x14ac:dyDescent="0.25">
      <c r="A35" s="2"/>
      <c r="B35" s="12" t="s">
        <v>62</v>
      </c>
      <c r="C35" s="16"/>
      <c r="D35" s="16"/>
      <c r="E35" s="17">
        <f t="shared" si="0"/>
        <v>0</v>
      </c>
      <c r="F35" s="18"/>
      <c r="G35" s="11"/>
      <c r="H35" s="17" t="str">
        <f>IF($G35="","",VLOOKUP($G35,Cadastro!$B$5:$F$9,2,FALSE))</f>
        <v/>
      </c>
      <c r="I35" s="13" t="str">
        <f>IF($G35="","",VLOOKUP($G35,Cadastro!$B$5:$F$9,3,FALSE))</f>
        <v/>
      </c>
      <c r="J35" s="23" t="str">
        <f>IF(C35="","",(Cadastro!$F$12+Cadastro!$F$14)*'Operação Day Trade'!E35+'Operação Day Trade'!H35+I35*'Operação Day Trade'!E35+E35)</f>
        <v/>
      </c>
      <c r="K35" s="26"/>
      <c r="L35" s="24"/>
      <c r="M35" s="20"/>
      <c r="N35" s="22"/>
      <c r="O35" s="6">
        <f t="shared" si="1"/>
        <v>0</v>
      </c>
      <c r="P35" s="6">
        <f>O35-(Cadastro!$F$12+Cadastro!$F$14)*O35</f>
        <v>0</v>
      </c>
      <c r="Q35" s="6" t="str">
        <f t="shared" si="2"/>
        <v/>
      </c>
      <c r="R35" s="22"/>
      <c r="S35" s="22"/>
      <c r="T35" s="22"/>
      <c r="U35" s="6" t="str">
        <f t="shared" si="3"/>
        <v/>
      </c>
      <c r="V35" s="30" t="str">
        <f t="shared" si="4"/>
        <v/>
      </c>
    </row>
    <row r="36" spans="1:22" x14ac:dyDescent="0.25">
      <c r="K36" s="28"/>
    </row>
    <row r="37" spans="1:22" x14ac:dyDescent="0.25">
      <c r="K37" s="28"/>
    </row>
    <row r="38" spans="1:22" x14ac:dyDescent="0.25">
      <c r="K38" s="28"/>
    </row>
    <row r="39" spans="1:22" x14ac:dyDescent="0.25">
      <c r="K39" s="28"/>
    </row>
    <row r="40" spans="1:22" x14ac:dyDescent="0.25">
      <c r="K40" s="28"/>
    </row>
    <row r="41" spans="1:22" x14ac:dyDescent="0.25">
      <c r="K41" s="28"/>
    </row>
    <row r="42" spans="1:22" x14ac:dyDescent="0.25">
      <c r="K42" s="28"/>
    </row>
    <row r="43" spans="1:22" x14ac:dyDescent="0.25">
      <c r="K43" s="28"/>
    </row>
    <row r="44" spans="1:22" x14ac:dyDescent="0.25">
      <c r="K44" s="28"/>
    </row>
  </sheetData>
  <mergeCells count="3">
    <mergeCell ref="B4:J4"/>
    <mergeCell ref="L4:V4"/>
    <mergeCell ref="A1:L1"/>
  </mergeCells>
  <conditionalFormatting sqref="Q6:Q35 U6:U35">
    <cfRule type="cellIs" dxfId="1" priority="3" operator="lessThan">
      <formula>0</formula>
    </cfRule>
    <cfRule type="cellIs" dxfId="0" priority="4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Cadastro!$B$5:$B$9</xm:f>
          </x14:formula1>
          <xm:sqref>G6:G35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"/>
  <sheetViews>
    <sheetView showGridLines="0" zoomScaleNormal="100" workbookViewId="0">
      <selection sqref="A1:U1"/>
    </sheetView>
  </sheetViews>
  <sheetFormatPr defaultRowHeight="15" x14ac:dyDescent="0.25"/>
  <sheetData>
    <row r="1" spans="1:25" s="33" customFormat="1" ht="36" customHeight="1" x14ac:dyDescent="0.25">
      <c r="A1" s="41" t="s">
        <v>70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32"/>
      <c r="W1" s="32"/>
      <c r="X1" s="32"/>
      <c r="Y1" s="32"/>
    </row>
  </sheetData>
  <mergeCells count="1">
    <mergeCell ref="A1:U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Início</vt:lpstr>
      <vt:lpstr>Cadastro</vt:lpstr>
      <vt:lpstr>Operação Comum</vt:lpstr>
      <vt:lpstr>Operação Day Trade</vt:lpstr>
      <vt:lpstr>Panorama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Acelere.vc</dc:creator>
  <cp:lastModifiedBy>Pedro</cp:lastModifiedBy>
  <dcterms:created xsi:type="dcterms:W3CDTF">2013-11-09T12:17:33Z</dcterms:created>
  <dcterms:modified xsi:type="dcterms:W3CDTF">2014-07-09T12:08:56Z</dcterms:modified>
</cp:coreProperties>
</file>