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40" windowHeight="7770" tabRatio="323"/>
  </bookViews>
  <sheets>
    <sheet name="FACP" sheetId="14" r:id="rId1"/>
  </sheets>
  <definedNames>
    <definedName name="Beg_Bal" localSheetId="0">#REF!</definedName>
    <definedName name="Beg_Bal">#REF!</definedName>
    <definedName name="Data" localSheetId="0">#REF!</definedName>
    <definedName name="Data">#REF!</definedName>
    <definedName name="End_Bal" localSheetId="0">#REF!</definedName>
    <definedName name="End_Bal">#REF!</definedName>
    <definedName name="Extra_Pay" localSheetId="0">#REF!</definedName>
    <definedName name="Extra_Pay">#REF!</definedName>
    <definedName name="Full_Print" localSheetId="0">#REF!</definedName>
    <definedName name="Full_Print">#REF!</definedName>
    <definedName name="Header_Row" localSheetId="0">ROW(#REF!)</definedName>
    <definedName name="Header_Row">ROW(#REF!)</definedName>
    <definedName name="Int" localSheetId="0">#REF!</definedName>
    <definedName name="Int">#REF!</definedName>
    <definedName name="Interest_Rate" localSheetId="0">#REF!</definedName>
    <definedName name="Interest_Rate">#REF!</definedName>
    <definedName name="Last_Row" localSheetId="0">IF(FACP!Values_Entered,FACP!Header_Row+FACP!Number_of_Payments,FACP!Header_Row)</definedName>
    <definedName name="Last_Row">#N/A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um_Pmt_Per_Year" localSheetId="0">#REF!</definedName>
    <definedName name="Num_Pmt_Per_Year">#REF!</definedName>
    <definedName name="Number_of_Payments" localSheetId="0">MATCH(0.01,FACP!End_Bal,-1)+1</definedName>
    <definedName name="Number_of_Payments">MATCH(0.01,End_Bal,-1)+1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 localSheetId="0">DATE(YEAR(FACP!Loan_Start),MONTH(FACP!Loan_Start)+Payment_Number,DAY(FACP!Loan_Start))</definedName>
    <definedName name="Payment_Date">DATE(YEAR(Loan_Start),MONTH(Loan_Start)+Payment_Number,DAY(Loan_Start))</definedName>
    <definedName name="Princ" localSheetId="0">#REF!</definedName>
    <definedName name="Princ">#REF!</definedName>
    <definedName name="Print_Area_Reset" localSheetId="0">OFFSET(FACP!Full_Print,0,0,FACP!Last_Row)</definedName>
    <definedName name="Print_Area_Reset">OFFSET(Full_Print,0,0,Last_Row)</definedName>
    <definedName name="Renata" localSheetId="0">IF(Values_Entered,FACP!Header_Row+Number_of_Payments,FACP!Header_Row)</definedName>
    <definedName name="Renata">#N/A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Total_Interest" localSheetId="0">#REF!</definedName>
    <definedName name="Total_Interest">#REF!</definedName>
    <definedName name="Total_Pay" localSheetId="0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Values_Entered" localSheetId="0">IF(FACP!Loan_Amount*FACP!Interest_Rate*FACP!Loan_Years*FACP!Loan_Start&gt;0,1,0)</definedName>
    <definedName name="Values_Entered">IF(Loan_Amount*Interest_Rate*Loan_Years*Loan_Start&gt;0,1,0)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4"/>
  <c r="M37"/>
  <c r="M36"/>
  <c r="M35"/>
  <c r="M34"/>
  <c r="M33"/>
  <c r="M32"/>
  <c r="F32"/>
  <c r="M31"/>
  <c r="F31"/>
  <c r="M30"/>
  <c r="F30"/>
  <c r="M29"/>
  <c r="F29"/>
  <c r="M28"/>
  <c r="F28"/>
  <c r="M27"/>
  <c r="F27"/>
  <c r="M26"/>
  <c r="F26"/>
  <c r="M25"/>
  <c r="F25"/>
  <c r="M24"/>
  <c r="F24"/>
  <c r="M23"/>
  <c r="F23"/>
  <c r="M22"/>
  <c r="F22"/>
  <c r="M21"/>
  <c r="F21"/>
  <c r="M20"/>
  <c r="F20"/>
  <c r="F19"/>
  <c r="F18"/>
  <c r="F17"/>
  <c r="F16"/>
  <c r="F15"/>
  <c r="B15"/>
  <c r="F14"/>
  <c r="F13"/>
  <c r="B13"/>
  <c r="F12"/>
  <c r="F11"/>
  <c r="F10"/>
  <c r="F9"/>
  <c r="F8"/>
  <c r="F7"/>
  <c r="B7"/>
  <c r="G6"/>
  <c r="F6"/>
  <c r="G5"/>
  <c r="F5"/>
  <c r="I4"/>
  <c r="I5" s="1"/>
  <c r="I6" s="1"/>
  <c r="I7" s="1"/>
  <c r="I8" s="1"/>
  <c r="G9" l="1"/>
  <c r="I9" s="1"/>
  <c r="G10" l="1"/>
  <c r="I10" s="1"/>
  <c r="G11" l="1"/>
  <c r="I11" s="1"/>
  <c r="G12" l="1"/>
  <c r="I12" s="1"/>
  <c r="G13" l="1"/>
  <c r="I13" s="1"/>
  <c r="I14" l="1"/>
  <c r="G14"/>
  <c r="I15" l="1"/>
  <c r="G16" s="1"/>
  <c r="L14"/>
  <c r="L15"/>
  <c r="I16" l="1"/>
  <c r="G17" s="1"/>
  <c r="I17" l="1"/>
  <c r="G18" s="1"/>
  <c r="I18" l="1"/>
  <c r="G19" s="1"/>
  <c r="I19" l="1"/>
  <c r="G20" s="1"/>
  <c r="I20" l="1"/>
  <c r="G21" s="1"/>
  <c r="I21" l="1"/>
  <c r="G22" s="1"/>
  <c r="I22" l="1"/>
  <c r="G23" s="1"/>
  <c r="I23" l="1"/>
  <c r="G24" s="1"/>
  <c r="I24" l="1"/>
  <c r="G25" s="1"/>
  <c r="I25" l="1"/>
  <c r="G26" s="1"/>
  <c r="I26" l="1"/>
  <c r="G27" s="1"/>
  <c r="I27" l="1"/>
  <c r="G28" s="1"/>
  <c r="I28" l="1"/>
  <c r="G29" s="1"/>
  <c r="I29" l="1"/>
  <c r="G30" s="1"/>
  <c r="I30" l="1"/>
  <c r="G31" s="1"/>
  <c r="I31" l="1"/>
  <c r="G32" s="1"/>
  <c r="I32" l="1"/>
</calcChain>
</file>

<file path=xl/sharedStrings.xml><?xml version="1.0" encoding="utf-8"?>
<sst xmlns="http://schemas.openxmlformats.org/spreadsheetml/2006/main" count="54" uniqueCount="31">
  <si>
    <t>Valor financiado</t>
  </si>
  <si>
    <t>Valor da Prestação</t>
  </si>
  <si>
    <t>Data</t>
  </si>
  <si>
    <t>Amortização</t>
  </si>
  <si>
    <t>Juros</t>
  </si>
  <si>
    <t>Juros de Carência</t>
  </si>
  <si>
    <t>IOF</t>
  </si>
  <si>
    <t>Nº de Prestações (meses)</t>
  </si>
  <si>
    <t>Vencimento da 1ª Parcela</t>
  </si>
  <si>
    <t>Vencimento da Última Parcela</t>
  </si>
  <si>
    <t>Taxa mensal nominal de juros</t>
  </si>
  <si>
    <t>Taxa anual efetiva de juros</t>
  </si>
  <si>
    <t>Taxa anual nominal de juros</t>
  </si>
  <si>
    <t>Taxa mensal efetiva de juros</t>
  </si>
  <si>
    <t>Valor Total Financiado</t>
  </si>
  <si>
    <t>Taxa Interna de Retorno (TIR)</t>
  </si>
  <si>
    <t>Dados da Operação</t>
  </si>
  <si>
    <t>Comissão de Concessão de FGO (*)</t>
  </si>
  <si>
    <t>(*) FGO - Fundo de Garantia de Operações</t>
  </si>
  <si>
    <t>Histórico</t>
  </si>
  <si>
    <t>Capital - Utilização</t>
  </si>
  <si>
    <t>Despesa - IOF</t>
  </si>
  <si>
    <t>Comissão de Concessão de FGO</t>
  </si>
  <si>
    <t>Débito</t>
  </si>
  <si>
    <t>Crédito</t>
  </si>
  <si>
    <t>Saldo</t>
  </si>
  <si>
    <t>Dias Entre Datas</t>
  </si>
  <si>
    <t>Comissão de Permanência</t>
  </si>
  <si>
    <t>FACP - BB</t>
  </si>
  <si>
    <t>Cálculo pela taxa de 1,98%</t>
  </si>
  <si>
    <t>Cálculo pelo FACP</t>
  </si>
</sst>
</file>

<file path=xl/styles.xml><?xml version="1.0" encoding="utf-8"?>
<styleSheet xmlns="http://schemas.openxmlformats.org/spreadsheetml/2006/main">
  <numFmts count="18">
    <numFmt numFmtId="43" formatCode="_-* #,##0.00_-;\-* #,##0.00_-;_-* &quot;-&quot;??_-;_-@_-"/>
    <numFmt numFmtId="164" formatCode="_-* #,##0_-;\-* #,##0_-;_-* &quot;-&quot;??_-;_-@_-"/>
    <numFmt numFmtId="166" formatCode="0.00%\ "/>
    <numFmt numFmtId="167" formatCode="_(* #,##0.00_);_(* \(#,##0.00\);_(* &quot;-&quot;??_);_(@_)"/>
    <numFmt numFmtId="168" formatCode="_(* #,##0_);_(* \(#,##0\);_(* &quot;-&quot;??_);_(@_)"/>
    <numFmt numFmtId="169" formatCode="\$#,##0\ ;\(\$#,##0\)"/>
    <numFmt numFmtId="170" formatCode="_(* #,##0.00000_);_(* \(#,##0.00000\);_(* &quot;-&quot;??_);_(@_)"/>
    <numFmt numFmtId="171" formatCode="#,##0.00\ "/>
    <numFmt numFmtId="172" formatCode="_-* #,##0.00000000_-;\-* #,##0.00000000_-;_-* &quot;-&quot;??_-;_-@_-"/>
    <numFmt numFmtId="173" formatCode="dd/mm/yyyy\ "/>
    <numFmt numFmtId="174" formatCode="0.00000%\ "/>
    <numFmt numFmtId="175" formatCode="_(* #,##0.000000_);_(* \(#,##0.000000\);_(* &quot;-&quot;??_);_(@_)"/>
    <numFmt numFmtId="176" formatCode="_(* #,##0.0000000_);_(* \(#,##0.0000000\);_(* &quot;-&quot;??_);_(@_)"/>
    <numFmt numFmtId="177" formatCode="_(* #,##0.00000000_);_(* \(#,##0.00000000\);_(* &quot;-&quot;??_);_(@_)"/>
    <numFmt numFmtId="178" formatCode="_-* #,##0.0000_-;\-* #,##0.0000_-;_-* &quot;-&quot;??_-;_-@_-"/>
    <numFmt numFmtId="179" formatCode="_-* #,##0.000000_-;\-* #,##0.000000_-;_-* &quot;-&quot;??_-;_-@_-"/>
    <numFmt numFmtId="180" formatCode="0.00000%"/>
    <numFmt numFmtId="181" formatCode="0.000000%\ 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8"/>
      <name val="Arial"/>
      <family val="2"/>
    </font>
    <font>
      <sz val="10"/>
      <color theme="1"/>
      <name val="Eras Medium ITC"/>
      <family val="2"/>
    </font>
    <font>
      <sz val="10"/>
      <name val="Eras Medium ITC"/>
      <family val="2"/>
    </font>
    <font>
      <b/>
      <sz val="10"/>
      <color theme="1"/>
      <name val="Eras Medium ITC"/>
      <family val="2"/>
    </font>
    <font>
      <sz val="10"/>
      <name val="Arial"/>
      <family val="2"/>
    </font>
    <font>
      <sz val="12"/>
      <color indexed="24"/>
      <name val="Arial"/>
      <family val="2"/>
    </font>
    <font>
      <sz val="18"/>
      <color indexed="24"/>
      <name val="Arial"/>
      <family val="2"/>
    </font>
    <font>
      <sz val="8"/>
      <color indexed="24"/>
      <name val="Arial"/>
      <family val="2"/>
    </font>
    <font>
      <b/>
      <sz val="10"/>
      <name val="Eras Medium ITC"/>
      <family val="2"/>
    </font>
    <font>
      <sz val="8"/>
      <color theme="1"/>
      <name val="Eras Medium IT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7" fillId="0" borderId="0"/>
    <xf numFmtId="167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" fontId="8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167" fontId="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43" fontId="4" fillId="0" borderId="0" xfId="1" applyFont="1"/>
    <xf numFmtId="14" fontId="5" fillId="0" borderId="0" xfId="3" applyNumberFormat="1" applyFont="1" applyFill="1" applyBorder="1" applyAlignment="1" applyProtection="1">
      <alignment horizontal="center" vertical="center"/>
      <protection hidden="1"/>
    </xf>
    <xf numFmtId="0" fontId="4" fillId="0" borderId="0" xfId="0" applyFont="1" applyFill="1"/>
    <xf numFmtId="164" fontId="4" fillId="0" borderId="0" xfId="1" applyNumberFormat="1" applyFont="1" applyFill="1"/>
    <xf numFmtId="166" fontId="5" fillId="0" borderId="0" xfId="2" applyNumberFormat="1" applyFont="1" applyFill="1" applyAlignment="1" applyProtection="1">
      <alignment horizontal="right" vertical="center"/>
      <protection hidden="1"/>
    </xf>
    <xf numFmtId="0" fontId="5" fillId="0" borderId="0" xfId="4" applyFont="1" applyFill="1" applyAlignment="1">
      <alignment vertical="center"/>
    </xf>
    <xf numFmtId="167" fontId="5" fillId="0" borderId="0" xfId="5" applyFont="1" applyFill="1" applyAlignment="1">
      <alignment vertical="center"/>
    </xf>
    <xf numFmtId="170" fontId="5" fillId="0" borderId="0" xfId="5" applyNumberFormat="1" applyFont="1" applyFill="1" applyAlignment="1">
      <alignment vertical="center"/>
    </xf>
    <xf numFmtId="167" fontId="5" fillId="0" borderId="0" xfId="5" applyFont="1" applyFill="1" applyAlignment="1">
      <alignment horizontal="center" vertical="center"/>
    </xf>
    <xf numFmtId="43" fontId="5" fillId="0" borderId="0" xfId="1" applyFont="1" applyFill="1" applyAlignment="1">
      <alignment vertical="center"/>
    </xf>
    <xf numFmtId="0" fontId="11" fillId="0" borderId="0" xfId="4" applyFont="1" applyFill="1" applyAlignment="1">
      <alignment horizontal="center" vertical="center"/>
    </xf>
    <xf numFmtId="0" fontId="5" fillId="0" borderId="0" xfId="4" applyFont="1" applyFill="1" applyAlignment="1">
      <alignment horizontal="center" vertical="center"/>
    </xf>
    <xf numFmtId="171" fontId="5" fillId="0" borderId="0" xfId="5" applyNumberFormat="1" applyFont="1" applyFill="1" applyAlignment="1">
      <alignment vertical="center"/>
    </xf>
    <xf numFmtId="164" fontId="5" fillId="0" borderId="0" xfId="1" applyNumberFormat="1" applyFont="1" applyFill="1" applyAlignment="1">
      <alignment vertical="center"/>
    </xf>
    <xf numFmtId="172" fontId="5" fillId="0" borderId="0" xfId="1" applyNumberFormat="1" applyFont="1" applyFill="1" applyAlignment="1">
      <alignment vertical="center"/>
    </xf>
    <xf numFmtId="43" fontId="6" fillId="0" borderId="0" xfId="1" applyFont="1" applyFill="1"/>
    <xf numFmtId="43" fontId="4" fillId="0" borderId="0" xfId="1" applyFont="1" applyFill="1"/>
    <xf numFmtId="173" fontId="5" fillId="0" borderId="0" xfId="3" applyNumberFormat="1" applyFont="1" applyFill="1" applyBorder="1" applyAlignment="1" applyProtection="1">
      <alignment horizontal="right" vertical="center"/>
      <protection hidden="1"/>
    </xf>
    <xf numFmtId="0" fontId="6" fillId="0" borderId="0" xfId="0" applyFont="1" applyFill="1"/>
    <xf numFmtId="0" fontId="12" fillId="0" borderId="0" xfId="0" applyFont="1"/>
    <xf numFmtId="171" fontId="11" fillId="0" borderId="0" xfId="5" applyNumberFormat="1" applyFont="1" applyFill="1" applyAlignment="1">
      <alignment vertical="center"/>
    </xf>
    <xf numFmtId="168" fontId="5" fillId="0" borderId="0" xfId="5" applyNumberFormat="1" applyFont="1" applyFill="1" applyAlignment="1">
      <alignment vertical="center"/>
    </xf>
    <xf numFmtId="175" fontId="5" fillId="0" borderId="0" xfId="5" applyNumberFormat="1" applyFont="1" applyFill="1" applyAlignment="1">
      <alignment vertical="center"/>
    </xf>
    <xf numFmtId="43" fontId="5" fillId="0" borderId="0" xfId="1" applyFont="1" applyFill="1" applyAlignment="1" applyProtection="1">
      <alignment horizontal="right" vertical="center"/>
      <protection hidden="1"/>
    </xf>
    <xf numFmtId="174" fontId="5" fillId="0" borderId="0" xfId="2" applyNumberFormat="1" applyFont="1" applyFill="1" applyAlignment="1" applyProtection="1">
      <alignment horizontal="right" vertical="center"/>
      <protection hidden="1"/>
    </xf>
    <xf numFmtId="176" fontId="5" fillId="0" borderId="0" xfId="5" applyNumberFormat="1" applyFont="1" applyFill="1" applyAlignment="1">
      <alignment vertical="center"/>
    </xf>
    <xf numFmtId="177" fontId="5" fillId="0" borderId="0" xfId="5" applyNumberFormat="1" applyFont="1" applyFill="1" applyAlignment="1">
      <alignment vertical="center"/>
    </xf>
    <xf numFmtId="179" fontId="5" fillId="0" borderId="0" xfId="1" applyNumberFormat="1" applyFont="1" applyFill="1" applyAlignment="1">
      <alignment vertical="center"/>
    </xf>
    <xf numFmtId="178" fontId="5" fillId="0" borderId="0" xfId="4" applyNumberFormat="1" applyFont="1" applyFill="1" applyAlignment="1">
      <alignment vertical="center"/>
    </xf>
    <xf numFmtId="0" fontId="5" fillId="2" borderId="0" xfId="4" applyFont="1" applyFill="1" applyAlignment="1">
      <alignment vertical="center"/>
    </xf>
    <xf numFmtId="177" fontId="5" fillId="2" borderId="0" xfId="5" applyNumberFormat="1" applyFont="1" applyFill="1" applyAlignment="1">
      <alignment vertical="center"/>
    </xf>
    <xf numFmtId="173" fontId="5" fillId="2" borderId="0" xfId="3" applyNumberFormat="1" applyFont="1" applyFill="1" applyBorder="1" applyAlignment="1" applyProtection="1">
      <alignment horizontal="right" vertical="center"/>
      <protection hidden="1"/>
    </xf>
    <xf numFmtId="178" fontId="5" fillId="2" borderId="0" xfId="1" applyNumberFormat="1" applyFont="1" applyFill="1" applyAlignment="1" applyProtection="1">
      <alignment horizontal="right" vertical="center"/>
      <protection hidden="1"/>
    </xf>
    <xf numFmtId="178" fontId="5" fillId="2" borderId="0" xfId="1" applyNumberFormat="1" applyFont="1" applyFill="1" applyAlignment="1">
      <alignment vertical="center"/>
    </xf>
    <xf numFmtId="43" fontId="5" fillId="3" borderId="0" xfId="1" applyFont="1" applyFill="1" applyAlignment="1">
      <alignment vertical="center"/>
    </xf>
    <xf numFmtId="167" fontId="5" fillId="3" borderId="0" xfId="5" applyFont="1" applyFill="1" applyAlignment="1">
      <alignment vertical="center"/>
    </xf>
    <xf numFmtId="166" fontId="5" fillId="3" borderId="0" xfId="2" applyNumberFormat="1" applyFont="1" applyFill="1" applyAlignment="1" applyProtection="1">
      <alignment horizontal="right" vertical="center"/>
      <protection hidden="1"/>
    </xf>
    <xf numFmtId="43" fontId="5" fillId="3" borderId="0" xfId="4" applyNumberFormat="1" applyFont="1" applyFill="1" applyAlignment="1">
      <alignment vertical="center"/>
    </xf>
    <xf numFmtId="0" fontId="5" fillId="3" borderId="0" xfId="4" applyFont="1" applyFill="1" applyAlignment="1">
      <alignment vertical="center"/>
    </xf>
    <xf numFmtId="10" fontId="5" fillId="0" borderId="0" xfId="4" applyNumberFormat="1" applyFont="1" applyFill="1" applyAlignment="1">
      <alignment vertical="center"/>
    </xf>
    <xf numFmtId="43" fontId="5" fillId="2" borderId="0" xfId="1" applyFont="1" applyFill="1" applyAlignment="1" applyProtection="1">
      <alignment horizontal="center" vertical="center"/>
      <protection hidden="1"/>
    </xf>
    <xf numFmtId="180" fontId="5" fillId="0" borderId="0" xfId="4" applyNumberFormat="1" applyFont="1" applyFill="1" applyAlignment="1">
      <alignment vertical="center"/>
    </xf>
    <xf numFmtId="180" fontId="5" fillId="0" borderId="0" xfId="15" applyNumberFormat="1" applyFont="1" applyFill="1" applyAlignment="1">
      <alignment vertical="center"/>
    </xf>
    <xf numFmtId="178" fontId="5" fillId="0" borderId="0" xfId="4" applyNumberFormat="1" applyFont="1" applyFill="1" applyAlignment="1">
      <alignment horizontal="center" vertical="center"/>
    </xf>
    <xf numFmtId="181" fontId="5" fillId="0" borderId="0" xfId="15" applyNumberFormat="1" applyFont="1" applyFill="1" applyAlignment="1">
      <alignment vertical="center"/>
    </xf>
    <xf numFmtId="181" fontId="5" fillId="0" borderId="0" xfId="4" applyNumberFormat="1" applyFont="1" applyFill="1" applyAlignment="1">
      <alignment vertical="center"/>
    </xf>
    <xf numFmtId="167" fontId="5" fillId="2" borderId="0" xfId="5" applyFont="1" applyFill="1" applyAlignment="1">
      <alignment vertical="center"/>
    </xf>
    <xf numFmtId="168" fontId="5" fillId="2" borderId="0" xfId="5" applyNumberFormat="1" applyFont="1" applyFill="1" applyAlignment="1">
      <alignment vertical="center"/>
    </xf>
    <xf numFmtId="9" fontId="5" fillId="2" borderId="0" xfId="15" applyFont="1" applyFill="1" applyAlignment="1">
      <alignment vertical="center"/>
    </xf>
    <xf numFmtId="175" fontId="5" fillId="2" borderId="0" xfId="5" applyNumberFormat="1" applyFont="1" applyFill="1" applyAlignment="1">
      <alignment vertical="center"/>
    </xf>
  </cellXfs>
  <cellStyles count="16">
    <cellStyle name="Comma0" xfId="7"/>
    <cellStyle name="Currency0" xfId="8"/>
    <cellStyle name="Date" xfId="9"/>
    <cellStyle name="Fixed" xfId="10"/>
    <cellStyle name="Heading 1" xfId="11"/>
    <cellStyle name="Heading 2" xfId="12"/>
    <cellStyle name="Normal" xfId="0" builtinId="0"/>
    <cellStyle name="Normal 11 13" xfId="13"/>
    <cellStyle name="Normal 2" xfId="3"/>
    <cellStyle name="Normal 3" xfId="4"/>
    <cellStyle name="Normal_1492_2001" xfId="2"/>
    <cellStyle name="Porcentagem" xfId="15" builtinId="5"/>
    <cellStyle name="Porcentagem 2" xfId="6"/>
    <cellStyle name="Separador de milhares" xfId="1" builtinId="3"/>
    <cellStyle name="Separador de milhares 2" xfId="5"/>
    <cellStyle name="Vírgula 2" xfId="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Q119"/>
  <sheetViews>
    <sheetView tabSelected="1" zoomScaleNormal="100" workbookViewId="0">
      <selection activeCell="G14" sqref="G14"/>
    </sheetView>
  </sheetViews>
  <sheetFormatPr defaultRowHeight="12.95" customHeight="1"/>
  <cols>
    <col min="1" max="1" width="31.42578125" style="7" customWidth="1"/>
    <col min="2" max="2" width="12.42578125" style="7" bestFit="1" customWidth="1"/>
    <col min="3" max="3" width="12" style="7" bestFit="1" customWidth="1"/>
    <col min="4" max="4" width="13.28515625" style="7" bestFit="1" customWidth="1"/>
    <col min="5" max="5" width="28.140625" style="7" bestFit="1" customWidth="1"/>
    <col min="6" max="6" width="17" style="7" bestFit="1" customWidth="1"/>
    <col min="7" max="7" width="10.7109375" style="7" bestFit="1" customWidth="1"/>
    <col min="8" max="8" width="13.28515625" style="7" bestFit="1" customWidth="1"/>
    <col min="9" max="9" width="15.28515625" style="7" bestFit="1" customWidth="1"/>
    <col min="10" max="10" width="15.28515625" style="7" customWidth="1"/>
    <col min="11" max="11" width="15" style="7" customWidth="1"/>
    <col min="12" max="12" width="14.28515625" style="7" bestFit="1" customWidth="1"/>
    <col min="13" max="13" width="19.42578125" style="7" customWidth="1"/>
    <col min="14" max="14" width="10.85546875" style="7" bestFit="1" customWidth="1"/>
    <col min="15" max="15" width="13.7109375" style="7" bestFit="1" customWidth="1"/>
    <col min="16" max="17" width="11.85546875" style="7" bestFit="1" customWidth="1"/>
    <col min="18" max="237" width="9.140625" style="7"/>
    <col min="238" max="238" width="30.85546875" style="7" bestFit="1" customWidth="1"/>
    <col min="239" max="239" width="17.28515625" style="7" customWidth="1"/>
    <col min="240" max="240" width="18.140625" style="7" bestFit="1" customWidth="1"/>
    <col min="241" max="241" width="17.7109375" style="7" bestFit="1" customWidth="1"/>
    <col min="242" max="242" width="18" style="7" bestFit="1" customWidth="1"/>
    <col min="243" max="243" width="19" style="7" bestFit="1" customWidth="1"/>
    <col min="244" max="244" width="33.42578125" style="7" bestFit="1" customWidth="1"/>
    <col min="245" max="493" width="9.140625" style="7"/>
    <col min="494" max="494" width="30.85546875" style="7" bestFit="1" customWidth="1"/>
    <col min="495" max="495" width="17.28515625" style="7" customWidth="1"/>
    <col min="496" max="496" width="18.140625" style="7" bestFit="1" customWidth="1"/>
    <col min="497" max="497" width="17.7109375" style="7" bestFit="1" customWidth="1"/>
    <col min="498" max="498" width="18" style="7" bestFit="1" customWidth="1"/>
    <col min="499" max="499" width="19" style="7" bestFit="1" customWidth="1"/>
    <col min="500" max="500" width="33.42578125" style="7" bestFit="1" customWidth="1"/>
    <col min="501" max="749" width="9.140625" style="7"/>
    <col min="750" max="750" width="30.85546875" style="7" bestFit="1" customWidth="1"/>
    <col min="751" max="751" width="17.28515625" style="7" customWidth="1"/>
    <col min="752" max="752" width="18.140625" style="7" bestFit="1" customWidth="1"/>
    <col min="753" max="753" width="17.7109375" style="7" bestFit="1" customWidth="1"/>
    <col min="754" max="754" width="18" style="7" bestFit="1" customWidth="1"/>
    <col min="755" max="755" width="19" style="7" bestFit="1" customWidth="1"/>
    <col min="756" max="756" width="33.42578125" style="7" bestFit="1" customWidth="1"/>
    <col min="757" max="1005" width="9.140625" style="7"/>
    <col min="1006" max="1006" width="30.85546875" style="7" bestFit="1" customWidth="1"/>
    <col min="1007" max="1007" width="17.28515625" style="7" customWidth="1"/>
    <col min="1008" max="1008" width="18.140625" style="7" bestFit="1" customWidth="1"/>
    <col min="1009" max="1009" width="17.7109375" style="7" bestFit="1" customWidth="1"/>
    <col min="1010" max="1010" width="18" style="7" bestFit="1" customWidth="1"/>
    <col min="1011" max="1011" width="19" style="7" bestFit="1" customWidth="1"/>
    <col min="1012" max="1012" width="33.42578125" style="7" bestFit="1" customWidth="1"/>
    <col min="1013" max="1261" width="9.140625" style="7"/>
    <col min="1262" max="1262" width="30.85546875" style="7" bestFit="1" customWidth="1"/>
    <col min="1263" max="1263" width="17.28515625" style="7" customWidth="1"/>
    <col min="1264" max="1264" width="18.140625" style="7" bestFit="1" customWidth="1"/>
    <col min="1265" max="1265" width="17.7109375" style="7" bestFit="1" customWidth="1"/>
    <col min="1266" max="1266" width="18" style="7" bestFit="1" customWidth="1"/>
    <col min="1267" max="1267" width="19" style="7" bestFit="1" customWidth="1"/>
    <col min="1268" max="1268" width="33.42578125" style="7" bestFit="1" customWidth="1"/>
    <col min="1269" max="1517" width="9.140625" style="7"/>
    <col min="1518" max="1518" width="30.85546875" style="7" bestFit="1" customWidth="1"/>
    <col min="1519" max="1519" width="17.28515625" style="7" customWidth="1"/>
    <col min="1520" max="1520" width="18.140625" style="7" bestFit="1" customWidth="1"/>
    <col min="1521" max="1521" width="17.7109375" style="7" bestFit="1" customWidth="1"/>
    <col min="1522" max="1522" width="18" style="7" bestFit="1" customWidth="1"/>
    <col min="1523" max="1523" width="19" style="7" bestFit="1" customWidth="1"/>
    <col min="1524" max="1524" width="33.42578125" style="7" bestFit="1" customWidth="1"/>
    <col min="1525" max="1773" width="9.140625" style="7"/>
    <col min="1774" max="1774" width="30.85546875" style="7" bestFit="1" customWidth="1"/>
    <col min="1775" max="1775" width="17.28515625" style="7" customWidth="1"/>
    <col min="1776" max="1776" width="18.140625" style="7" bestFit="1" customWidth="1"/>
    <col min="1777" max="1777" width="17.7109375" style="7" bestFit="1" customWidth="1"/>
    <col min="1778" max="1778" width="18" style="7" bestFit="1" customWidth="1"/>
    <col min="1779" max="1779" width="19" style="7" bestFit="1" customWidth="1"/>
    <col min="1780" max="1780" width="33.42578125" style="7" bestFit="1" customWidth="1"/>
    <col min="1781" max="2029" width="9.140625" style="7"/>
    <col min="2030" max="2030" width="30.85546875" style="7" bestFit="1" customWidth="1"/>
    <col min="2031" max="2031" width="17.28515625" style="7" customWidth="1"/>
    <col min="2032" max="2032" width="18.140625" style="7" bestFit="1" customWidth="1"/>
    <col min="2033" max="2033" width="17.7109375" style="7" bestFit="1" customWidth="1"/>
    <col min="2034" max="2034" width="18" style="7" bestFit="1" customWidth="1"/>
    <col min="2035" max="2035" width="19" style="7" bestFit="1" customWidth="1"/>
    <col min="2036" max="2036" width="33.42578125" style="7" bestFit="1" customWidth="1"/>
    <col min="2037" max="2285" width="9.140625" style="7"/>
    <col min="2286" max="2286" width="30.85546875" style="7" bestFit="1" customWidth="1"/>
    <col min="2287" max="2287" width="17.28515625" style="7" customWidth="1"/>
    <col min="2288" max="2288" width="18.140625" style="7" bestFit="1" customWidth="1"/>
    <col min="2289" max="2289" width="17.7109375" style="7" bestFit="1" customWidth="1"/>
    <col min="2290" max="2290" width="18" style="7" bestFit="1" customWidth="1"/>
    <col min="2291" max="2291" width="19" style="7" bestFit="1" customWidth="1"/>
    <col min="2292" max="2292" width="33.42578125" style="7" bestFit="1" customWidth="1"/>
    <col min="2293" max="2541" width="9.140625" style="7"/>
    <col min="2542" max="2542" width="30.85546875" style="7" bestFit="1" customWidth="1"/>
    <col min="2543" max="2543" width="17.28515625" style="7" customWidth="1"/>
    <col min="2544" max="2544" width="18.140625" style="7" bestFit="1" customWidth="1"/>
    <col min="2545" max="2545" width="17.7109375" style="7" bestFit="1" customWidth="1"/>
    <col min="2546" max="2546" width="18" style="7" bestFit="1" customWidth="1"/>
    <col min="2547" max="2547" width="19" style="7" bestFit="1" customWidth="1"/>
    <col min="2548" max="2548" width="33.42578125" style="7" bestFit="1" customWidth="1"/>
    <col min="2549" max="2797" width="9.140625" style="7"/>
    <col min="2798" max="2798" width="30.85546875" style="7" bestFit="1" customWidth="1"/>
    <col min="2799" max="2799" width="17.28515625" style="7" customWidth="1"/>
    <col min="2800" max="2800" width="18.140625" style="7" bestFit="1" customWidth="1"/>
    <col min="2801" max="2801" width="17.7109375" style="7" bestFit="1" customWidth="1"/>
    <col min="2802" max="2802" width="18" style="7" bestFit="1" customWidth="1"/>
    <col min="2803" max="2803" width="19" style="7" bestFit="1" customWidth="1"/>
    <col min="2804" max="2804" width="33.42578125" style="7" bestFit="1" customWidth="1"/>
    <col min="2805" max="3053" width="9.140625" style="7"/>
    <col min="3054" max="3054" width="30.85546875" style="7" bestFit="1" customWidth="1"/>
    <col min="3055" max="3055" width="17.28515625" style="7" customWidth="1"/>
    <col min="3056" max="3056" width="18.140625" style="7" bestFit="1" customWidth="1"/>
    <col min="3057" max="3057" width="17.7109375" style="7" bestFit="1" customWidth="1"/>
    <col min="3058" max="3058" width="18" style="7" bestFit="1" customWidth="1"/>
    <col min="3059" max="3059" width="19" style="7" bestFit="1" customWidth="1"/>
    <col min="3060" max="3060" width="33.42578125" style="7" bestFit="1" customWidth="1"/>
    <col min="3061" max="3309" width="9.140625" style="7"/>
    <col min="3310" max="3310" width="30.85546875" style="7" bestFit="1" customWidth="1"/>
    <col min="3311" max="3311" width="17.28515625" style="7" customWidth="1"/>
    <col min="3312" max="3312" width="18.140625" style="7" bestFit="1" customWidth="1"/>
    <col min="3313" max="3313" width="17.7109375" style="7" bestFit="1" customWidth="1"/>
    <col min="3314" max="3314" width="18" style="7" bestFit="1" customWidth="1"/>
    <col min="3315" max="3315" width="19" style="7" bestFit="1" customWidth="1"/>
    <col min="3316" max="3316" width="33.42578125" style="7" bestFit="1" customWidth="1"/>
    <col min="3317" max="3565" width="9.140625" style="7"/>
    <col min="3566" max="3566" width="30.85546875" style="7" bestFit="1" customWidth="1"/>
    <col min="3567" max="3567" width="17.28515625" style="7" customWidth="1"/>
    <col min="3568" max="3568" width="18.140625" style="7" bestFit="1" customWidth="1"/>
    <col min="3569" max="3569" width="17.7109375" style="7" bestFit="1" customWidth="1"/>
    <col min="3570" max="3570" width="18" style="7" bestFit="1" customWidth="1"/>
    <col min="3571" max="3571" width="19" style="7" bestFit="1" customWidth="1"/>
    <col min="3572" max="3572" width="33.42578125" style="7" bestFit="1" customWidth="1"/>
    <col min="3573" max="3821" width="9.140625" style="7"/>
    <col min="3822" max="3822" width="30.85546875" style="7" bestFit="1" customWidth="1"/>
    <col min="3823" max="3823" width="17.28515625" style="7" customWidth="1"/>
    <col min="3824" max="3824" width="18.140625" style="7" bestFit="1" customWidth="1"/>
    <col min="3825" max="3825" width="17.7109375" style="7" bestFit="1" customWidth="1"/>
    <col min="3826" max="3826" width="18" style="7" bestFit="1" customWidth="1"/>
    <col min="3827" max="3827" width="19" style="7" bestFit="1" customWidth="1"/>
    <col min="3828" max="3828" width="33.42578125" style="7" bestFit="1" customWidth="1"/>
    <col min="3829" max="4077" width="9.140625" style="7"/>
    <col min="4078" max="4078" width="30.85546875" style="7" bestFit="1" customWidth="1"/>
    <col min="4079" max="4079" width="17.28515625" style="7" customWidth="1"/>
    <col min="4080" max="4080" width="18.140625" style="7" bestFit="1" customWidth="1"/>
    <col min="4081" max="4081" width="17.7109375" style="7" bestFit="1" customWidth="1"/>
    <col min="4082" max="4082" width="18" style="7" bestFit="1" customWidth="1"/>
    <col min="4083" max="4083" width="19" style="7" bestFit="1" customWidth="1"/>
    <col min="4084" max="4084" width="33.42578125" style="7" bestFit="1" customWidth="1"/>
    <col min="4085" max="4333" width="9.140625" style="7"/>
    <col min="4334" max="4334" width="30.85546875" style="7" bestFit="1" customWidth="1"/>
    <col min="4335" max="4335" width="17.28515625" style="7" customWidth="1"/>
    <col min="4336" max="4336" width="18.140625" style="7" bestFit="1" customWidth="1"/>
    <col min="4337" max="4337" width="17.7109375" style="7" bestFit="1" customWidth="1"/>
    <col min="4338" max="4338" width="18" style="7" bestFit="1" customWidth="1"/>
    <col min="4339" max="4339" width="19" style="7" bestFit="1" customWidth="1"/>
    <col min="4340" max="4340" width="33.42578125" style="7" bestFit="1" customWidth="1"/>
    <col min="4341" max="4589" width="9.140625" style="7"/>
    <col min="4590" max="4590" width="30.85546875" style="7" bestFit="1" customWidth="1"/>
    <col min="4591" max="4591" width="17.28515625" style="7" customWidth="1"/>
    <col min="4592" max="4592" width="18.140625" style="7" bestFit="1" customWidth="1"/>
    <col min="4593" max="4593" width="17.7109375" style="7" bestFit="1" customWidth="1"/>
    <col min="4594" max="4594" width="18" style="7" bestFit="1" customWidth="1"/>
    <col min="4595" max="4595" width="19" style="7" bestFit="1" customWidth="1"/>
    <col min="4596" max="4596" width="33.42578125" style="7" bestFit="1" customWidth="1"/>
    <col min="4597" max="4845" width="9.140625" style="7"/>
    <col min="4846" max="4846" width="30.85546875" style="7" bestFit="1" customWidth="1"/>
    <col min="4847" max="4847" width="17.28515625" style="7" customWidth="1"/>
    <col min="4848" max="4848" width="18.140625" style="7" bestFit="1" customWidth="1"/>
    <col min="4849" max="4849" width="17.7109375" style="7" bestFit="1" customWidth="1"/>
    <col min="4850" max="4850" width="18" style="7" bestFit="1" customWidth="1"/>
    <col min="4851" max="4851" width="19" style="7" bestFit="1" customWidth="1"/>
    <col min="4852" max="4852" width="33.42578125" style="7" bestFit="1" customWidth="1"/>
    <col min="4853" max="5101" width="9.140625" style="7"/>
    <col min="5102" max="5102" width="30.85546875" style="7" bestFit="1" customWidth="1"/>
    <col min="5103" max="5103" width="17.28515625" style="7" customWidth="1"/>
    <col min="5104" max="5104" width="18.140625" style="7" bestFit="1" customWidth="1"/>
    <col min="5105" max="5105" width="17.7109375" style="7" bestFit="1" customWidth="1"/>
    <col min="5106" max="5106" width="18" style="7" bestFit="1" customWidth="1"/>
    <col min="5107" max="5107" width="19" style="7" bestFit="1" customWidth="1"/>
    <col min="5108" max="5108" width="33.42578125" style="7" bestFit="1" customWidth="1"/>
    <col min="5109" max="5357" width="9.140625" style="7"/>
    <col min="5358" max="5358" width="30.85546875" style="7" bestFit="1" customWidth="1"/>
    <col min="5359" max="5359" width="17.28515625" style="7" customWidth="1"/>
    <col min="5360" max="5360" width="18.140625" style="7" bestFit="1" customWidth="1"/>
    <col min="5361" max="5361" width="17.7109375" style="7" bestFit="1" customWidth="1"/>
    <col min="5362" max="5362" width="18" style="7" bestFit="1" customWidth="1"/>
    <col min="5363" max="5363" width="19" style="7" bestFit="1" customWidth="1"/>
    <col min="5364" max="5364" width="33.42578125" style="7" bestFit="1" customWidth="1"/>
    <col min="5365" max="5613" width="9.140625" style="7"/>
    <col min="5614" max="5614" width="30.85546875" style="7" bestFit="1" customWidth="1"/>
    <col min="5615" max="5615" width="17.28515625" style="7" customWidth="1"/>
    <col min="5616" max="5616" width="18.140625" style="7" bestFit="1" customWidth="1"/>
    <col min="5617" max="5617" width="17.7109375" style="7" bestFit="1" customWidth="1"/>
    <col min="5618" max="5618" width="18" style="7" bestFit="1" customWidth="1"/>
    <col min="5619" max="5619" width="19" style="7" bestFit="1" customWidth="1"/>
    <col min="5620" max="5620" width="33.42578125" style="7" bestFit="1" customWidth="1"/>
    <col min="5621" max="5869" width="9.140625" style="7"/>
    <col min="5870" max="5870" width="30.85546875" style="7" bestFit="1" customWidth="1"/>
    <col min="5871" max="5871" width="17.28515625" style="7" customWidth="1"/>
    <col min="5872" max="5872" width="18.140625" style="7" bestFit="1" customWidth="1"/>
    <col min="5873" max="5873" width="17.7109375" style="7" bestFit="1" customWidth="1"/>
    <col min="5874" max="5874" width="18" style="7" bestFit="1" customWidth="1"/>
    <col min="5875" max="5875" width="19" style="7" bestFit="1" customWidth="1"/>
    <col min="5876" max="5876" width="33.42578125" style="7" bestFit="1" customWidth="1"/>
    <col min="5877" max="6125" width="9.140625" style="7"/>
    <col min="6126" max="6126" width="30.85546875" style="7" bestFit="1" customWidth="1"/>
    <col min="6127" max="6127" width="17.28515625" style="7" customWidth="1"/>
    <col min="6128" max="6128" width="18.140625" style="7" bestFit="1" customWidth="1"/>
    <col min="6129" max="6129" width="17.7109375" style="7" bestFit="1" customWidth="1"/>
    <col min="6130" max="6130" width="18" style="7" bestFit="1" customWidth="1"/>
    <col min="6131" max="6131" width="19" style="7" bestFit="1" customWidth="1"/>
    <col min="6132" max="6132" width="33.42578125" style="7" bestFit="1" customWidth="1"/>
    <col min="6133" max="6381" width="9.140625" style="7"/>
    <col min="6382" max="6382" width="30.85546875" style="7" bestFit="1" customWidth="1"/>
    <col min="6383" max="6383" width="17.28515625" style="7" customWidth="1"/>
    <col min="6384" max="6384" width="18.140625" style="7" bestFit="1" customWidth="1"/>
    <col min="6385" max="6385" width="17.7109375" style="7" bestFit="1" customWidth="1"/>
    <col min="6386" max="6386" width="18" style="7" bestFit="1" customWidth="1"/>
    <col min="6387" max="6387" width="19" style="7" bestFit="1" customWidth="1"/>
    <col min="6388" max="6388" width="33.42578125" style="7" bestFit="1" customWidth="1"/>
    <col min="6389" max="6637" width="9.140625" style="7"/>
    <col min="6638" max="6638" width="30.85546875" style="7" bestFit="1" customWidth="1"/>
    <col min="6639" max="6639" width="17.28515625" style="7" customWidth="1"/>
    <col min="6640" max="6640" width="18.140625" style="7" bestFit="1" customWidth="1"/>
    <col min="6641" max="6641" width="17.7109375" style="7" bestFit="1" customWidth="1"/>
    <col min="6642" max="6642" width="18" style="7" bestFit="1" customWidth="1"/>
    <col min="6643" max="6643" width="19" style="7" bestFit="1" customWidth="1"/>
    <col min="6644" max="6644" width="33.42578125" style="7" bestFit="1" customWidth="1"/>
    <col min="6645" max="6893" width="9.140625" style="7"/>
    <col min="6894" max="6894" width="30.85546875" style="7" bestFit="1" customWidth="1"/>
    <col min="6895" max="6895" width="17.28515625" style="7" customWidth="1"/>
    <col min="6896" max="6896" width="18.140625" style="7" bestFit="1" customWidth="1"/>
    <col min="6897" max="6897" width="17.7109375" style="7" bestFit="1" customWidth="1"/>
    <col min="6898" max="6898" width="18" style="7" bestFit="1" customWidth="1"/>
    <col min="6899" max="6899" width="19" style="7" bestFit="1" customWidth="1"/>
    <col min="6900" max="6900" width="33.42578125" style="7" bestFit="1" customWidth="1"/>
    <col min="6901" max="7149" width="9.140625" style="7"/>
    <col min="7150" max="7150" width="30.85546875" style="7" bestFit="1" customWidth="1"/>
    <col min="7151" max="7151" width="17.28515625" style="7" customWidth="1"/>
    <col min="7152" max="7152" width="18.140625" style="7" bestFit="1" customWidth="1"/>
    <col min="7153" max="7153" width="17.7109375" style="7" bestFit="1" customWidth="1"/>
    <col min="7154" max="7154" width="18" style="7" bestFit="1" customWidth="1"/>
    <col min="7155" max="7155" width="19" style="7" bestFit="1" customWidth="1"/>
    <col min="7156" max="7156" width="33.42578125" style="7" bestFit="1" customWidth="1"/>
    <col min="7157" max="7405" width="9.140625" style="7"/>
    <col min="7406" max="7406" width="30.85546875" style="7" bestFit="1" customWidth="1"/>
    <col min="7407" max="7407" width="17.28515625" style="7" customWidth="1"/>
    <col min="7408" max="7408" width="18.140625" style="7" bestFit="1" customWidth="1"/>
    <col min="7409" max="7409" width="17.7109375" style="7" bestFit="1" customWidth="1"/>
    <col min="7410" max="7410" width="18" style="7" bestFit="1" customWidth="1"/>
    <col min="7411" max="7411" width="19" style="7" bestFit="1" customWidth="1"/>
    <col min="7412" max="7412" width="33.42578125" style="7" bestFit="1" customWidth="1"/>
    <col min="7413" max="7661" width="9.140625" style="7"/>
    <col min="7662" max="7662" width="30.85546875" style="7" bestFit="1" customWidth="1"/>
    <col min="7663" max="7663" width="17.28515625" style="7" customWidth="1"/>
    <col min="7664" max="7664" width="18.140625" style="7" bestFit="1" customWidth="1"/>
    <col min="7665" max="7665" width="17.7109375" style="7" bestFit="1" customWidth="1"/>
    <col min="7666" max="7666" width="18" style="7" bestFit="1" customWidth="1"/>
    <col min="7667" max="7667" width="19" style="7" bestFit="1" customWidth="1"/>
    <col min="7668" max="7668" width="33.42578125" style="7" bestFit="1" customWidth="1"/>
    <col min="7669" max="7917" width="9.140625" style="7"/>
    <col min="7918" max="7918" width="30.85546875" style="7" bestFit="1" customWidth="1"/>
    <col min="7919" max="7919" width="17.28515625" style="7" customWidth="1"/>
    <col min="7920" max="7920" width="18.140625" style="7" bestFit="1" customWidth="1"/>
    <col min="7921" max="7921" width="17.7109375" style="7" bestFit="1" customWidth="1"/>
    <col min="7922" max="7922" width="18" style="7" bestFit="1" customWidth="1"/>
    <col min="7923" max="7923" width="19" style="7" bestFit="1" customWidth="1"/>
    <col min="7924" max="7924" width="33.42578125" style="7" bestFit="1" customWidth="1"/>
    <col min="7925" max="8173" width="9.140625" style="7"/>
    <col min="8174" max="8174" width="30.85546875" style="7" bestFit="1" customWidth="1"/>
    <col min="8175" max="8175" width="17.28515625" style="7" customWidth="1"/>
    <col min="8176" max="8176" width="18.140625" style="7" bestFit="1" customWidth="1"/>
    <col min="8177" max="8177" width="17.7109375" style="7" bestFit="1" customWidth="1"/>
    <col min="8178" max="8178" width="18" style="7" bestFit="1" customWidth="1"/>
    <col min="8179" max="8179" width="19" style="7" bestFit="1" customWidth="1"/>
    <col min="8180" max="8180" width="33.42578125" style="7" bestFit="1" customWidth="1"/>
    <col min="8181" max="8429" width="9.140625" style="7"/>
    <col min="8430" max="8430" width="30.85546875" style="7" bestFit="1" customWidth="1"/>
    <col min="8431" max="8431" width="17.28515625" style="7" customWidth="1"/>
    <col min="8432" max="8432" width="18.140625" style="7" bestFit="1" customWidth="1"/>
    <col min="8433" max="8433" width="17.7109375" style="7" bestFit="1" customWidth="1"/>
    <col min="8434" max="8434" width="18" style="7" bestFit="1" customWidth="1"/>
    <col min="8435" max="8435" width="19" style="7" bestFit="1" customWidth="1"/>
    <col min="8436" max="8436" width="33.42578125" style="7" bestFit="1" customWidth="1"/>
    <col min="8437" max="8685" width="9.140625" style="7"/>
    <col min="8686" max="8686" width="30.85546875" style="7" bestFit="1" customWidth="1"/>
    <col min="8687" max="8687" width="17.28515625" style="7" customWidth="1"/>
    <col min="8688" max="8688" width="18.140625" style="7" bestFit="1" customWidth="1"/>
    <col min="8689" max="8689" width="17.7109375" style="7" bestFit="1" customWidth="1"/>
    <col min="8690" max="8690" width="18" style="7" bestFit="1" customWidth="1"/>
    <col min="8691" max="8691" width="19" style="7" bestFit="1" customWidth="1"/>
    <col min="8692" max="8692" width="33.42578125" style="7" bestFit="1" customWidth="1"/>
    <col min="8693" max="8941" width="9.140625" style="7"/>
    <col min="8942" max="8942" width="30.85546875" style="7" bestFit="1" customWidth="1"/>
    <col min="8943" max="8943" width="17.28515625" style="7" customWidth="1"/>
    <col min="8944" max="8944" width="18.140625" style="7" bestFit="1" customWidth="1"/>
    <col min="8945" max="8945" width="17.7109375" style="7" bestFit="1" customWidth="1"/>
    <col min="8946" max="8946" width="18" style="7" bestFit="1" customWidth="1"/>
    <col min="8947" max="8947" width="19" style="7" bestFit="1" customWidth="1"/>
    <col min="8948" max="8948" width="33.42578125" style="7" bestFit="1" customWidth="1"/>
    <col min="8949" max="9197" width="9.140625" style="7"/>
    <col min="9198" max="9198" width="30.85546875" style="7" bestFit="1" customWidth="1"/>
    <col min="9199" max="9199" width="17.28515625" style="7" customWidth="1"/>
    <col min="9200" max="9200" width="18.140625" style="7" bestFit="1" customWidth="1"/>
    <col min="9201" max="9201" width="17.7109375" style="7" bestFit="1" customWidth="1"/>
    <col min="9202" max="9202" width="18" style="7" bestFit="1" customWidth="1"/>
    <col min="9203" max="9203" width="19" style="7" bestFit="1" customWidth="1"/>
    <col min="9204" max="9204" width="33.42578125" style="7" bestFit="1" customWidth="1"/>
    <col min="9205" max="9453" width="9.140625" style="7"/>
    <col min="9454" max="9454" width="30.85546875" style="7" bestFit="1" customWidth="1"/>
    <col min="9455" max="9455" width="17.28515625" style="7" customWidth="1"/>
    <col min="9456" max="9456" width="18.140625" style="7" bestFit="1" customWidth="1"/>
    <col min="9457" max="9457" width="17.7109375" style="7" bestFit="1" customWidth="1"/>
    <col min="9458" max="9458" width="18" style="7" bestFit="1" customWidth="1"/>
    <col min="9459" max="9459" width="19" style="7" bestFit="1" customWidth="1"/>
    <col min="9460" max="9460" width="33.42578125" style="7" bestFit="1" customWidth="1"/>
    <col min="9461" max="9709" width="9.140625" style="7"/>
    <col min="9710" max="9710" width="30.85546875" style="7" bestFit="1" customWidth="1"/>
    <col min="9711" max="9711" width="17.28515625" style="7" customWidth="1"/>
    <col min="9712" max="9712" width="18.140625" style="7" bestFit="1" customWidth="1"/>
    <col min="9713" max="9713" width="17.7109375" style="7" bestFit="1" customWidth="1"/>
    <col min="9714" max="9714" width="18" style="7" bestFit="1" customWidth="1"/>
    <col min="9715" max="9715" width="19" style="7" bestFit="1" customWidth="1"/>
    <col min="9716" max="9716" width="33.42578125" style="7" bestFit="1" customWidth="1"/>
    <col min="9717" max="9965" width="9.140625" style="7"/>
    <col min="9966" max="9966" width="30.85546875" style="7" bestFit="1" customWidth="1"/>
    <col min="9967" max="9967" width="17.28515625" style="7" customWidth="1"/>
    <col min="9968" max="9968" width="18.140625" style="7" bestFit="1" customWidth="1"/>
    <col min="9969" max="9969" width="17.7109375" style="7" bestFit="1" customWidth="1"/>
    <col min="9970" max="9970" width="18" style="7" bestFit="1" customWidth="1"/>
    <col min="9971" max="9971" width="19" style="7" bestFit="1" customWidth="1"/>
    <col min="9972" max="9972" width="33.42578125" style="7" bestFit="1" customWidth="1"/>
    <col min="9973" max="10221" width="9.140625" style="7"/>
    <col min="10222" max="10222" width="30.85546875" style="7" bestFit="1" customWidth="1"/>
    <col min="10223" max="10223" width="17.28515625" style="7" customWidth="1"/>
    <col min="10224" max="10224" width="18.140625" style="7" bestFit="1" customWidth="1"/>
    <col min="10225" max="10225" width="17.7109375" style="7" bestFit="1" customWidth="1"/>
    <col min="10226" max="10226" width="18" style="7" bestFit="1" customWidth="1"/>
    <col min="10227" max="10227" width="19" style="7" bestFit="1" customWidth="1"/>
    <col min="10228" max="10228" width="33.42578125" style="7" bestFit="1" customWidth="1"/>
    <col min="10229" max="10477" width="9.140625" style="7"/>
    <col min="10478" max="10478" width="30.85546875" style="7" bestFit="1" customWidth="1"/>
    <col min="10479" max="10479" width="17.28515625" style="7" customWidth="1"/>
    <col min="10480" max="10480" width="18.140625" style="7" bestFit="1" customWidth="1"/>
    <col min="10481" max="10481" width="17.7109375" style="7" bestFit="1" customWidth="1"/>
    <col min="10482" max="10482" width="18" style="7" bestFit="1" customWidth="1"/>
    <col min="10483" max="10483" width="19" style="7" bestFit="1" customWidth="1"/>
    <col min="10484" max="10484" width="33.42578125" style="7" bestFit="1" customWidth="1"/>
    <col min="10485" max="10733" width="9.140625" style="7"/>
    <col min="10734" max="10734" width="30.85546875" style="7" bestFit="1" customWidth="1"/>
    <col min="10735" max="10735" width="17.28515625" style="7" customWidth="1"/>
    <col min="10736" max="10736" width="18.140625" style="7" bestFit="1" customWidth="1"/>
    <col min="10737" max="10737" width="17.7109375" style="7" bestFit="1" customWidth="1"/>
    <col min="10738" max="10738" width="18" style="7" bestFit="1" customWidth="1"/>
    <col min="10739" max="10739" width="19" style="7" bestFit="1" customWidth="1"/>
    <col min="10740" max="10740" width="33.42578125" style="7" bestFit="1" customWidth="1"/>
    <col min="10741" max="10989" width="9.140625" style="7"/>
    <col min="10990" max="10990" width="30.85546875" style="7" bestFit="1" customWidth="1"/>
    <col min="10991" max="10991" width="17.28515625" style="7" customWidth="1"/>
    <col min="10992" max="10992" width="18.140625" style="7" bestFit="1" customWidth="1"/>
    <col min="10993" max="10993" width="17.7109375" style="7" bestFit="1" customWidth="1"/>
    <col min="10994" max="10994" width="18" style="7" bestFit="1" customWidth="1"/>
    <col min="10995" max="10995" width="19" style="7" bestFit="1" customWidth="1"/>
    <col min="10996" max="10996" width="33.42578125" style="7" bestFit="1" customWidth="1"/>
    <col min="10997" max="11245" width="9.140625" style="7"/>
    <col min="11246" max="11246" width="30.85546875" style="7" bestFit="1" customWidth="1"/>
    <col min="11247" max="11247" width="17.28515625" style="7" customWidth="1"/>
    <col min="11248" max="11248" width="18.140625" style="7" bestFit="1" customWidth="1"/>
    <col min="11249" max="11249" width="17.7109375" style="7" bestFit="1" customWidth="1"/>
    <col min="11250" max="11250" width="18" style="7" bestFit="1" customWidth="1"/>
    <col min="11251" max="11251" width="19" style="7" bestFit="1" customWidth="1"/>
    <col min="11252" max="11252" width="33.42578125" style="7" bestFit="1" customWidth="1"/>
    <col min="11253" max="11501" width="9.140625" style="7"/>
    <col min="11502" max="11502" width="30.85546875" style="7" bestFit="1" customWidth="1"/>
    <col min="11503" max="11503" width="17.28515625" style="7" customWidth="1"/>
    <col min="11504" max="11504" width="18.140625" style="7" bestFit="1" customWidth="1"/>
    <col min="11505" max="11505" width="17.7109375" style="7" bestFit="1" customWidth="1"/>
    <col min="11506" max="11506" width="18" style="7" bestFit="1" customWidth="1"/>
    <col min="11507" max="11507" width="19" style="7" bestFit="1" customWidth="1"/>
    <col min="11508" max="11508" width="33.42578125" style="7" bestFit="1" customWidth="1"/>
    <col min="11509" max="11757" width="9.140625" style="7"/>
    <col min="11758" max="11758" width="30.85546875" style="7" bestFit="1" customWidth="1"/>
    <col min="11759" max="11759" width="17.28515625" style="7" customWidth="1"/>
    <col min="11760" max="11760" width="18.140625" style="7" bestFit="1" customWidth="1"/>
    <col min="11761" max="11761" width="17.7109375" style="7" bestFit="1" customWidth="1"/>
    <col min="11762" max="11762" width="18" style="7" bestFit="1" customWidth="1"/>
    <col min="11763" max="11763" width="19" style="7" bestFit="1" customWidth="1"/>
    <col min="11764" max="11764" width="33.42578125" style="7" bestFit="1" customWidth="1"/>
    <col min="11765" max="12013" width="9.140625" style="7"/>
    <col min="12014" max="12014" width="30.85546875" style="7" bestFit="1" customWidth="1"/>
    <col min="12015" max="12015" width="17.28515625" style="7" customWidth="1"/>
    <col min="12016" max="12016" width="18.140625" style="7" bestFit="1" customWidth="1"/>
    <col min="12017" max="12017" width="17.7109375" style="7" bestFit="1" customWidth="1"/>
    <col min="12018" max="12018" width="18" style="7" bestFit="1" customWidth="1"/>
    <col min="12019" max="12019" width="19" style="7" bestFit="1" customWidth="1"/>
    <col min="12020" max="12020" width="33.42578125" style="7" bestFit="1" customWidth="1"/>
    <col min="12021" max="12269" width="9.140625" style="7"/>
    <col min="12270" max="12270" width="30.85546875" style="7" bestFit="1" customWidth="1"/>
    <col min="12271" max="12271" width="17.28515625" style="7" customWidth="1"/>
    <col min="12272" max="12272" width="18.140625" style="7" bestFit="1" customWidth="1"/>
    <col min="12273" max="12273" width="17.7109375" style="7" bestFit="1" customWidth="1"/>
    <col min="12274" max="12274" width="18" style="7" bestFit="1" customWidth="1"/>
    <col min="12275" max="12275" width="19" style="7" bestFit="1" customWidth="1"/>
    <col min="12276" max="12276" width="33.42578125" style="7" bestFit="1" customWidth="1"/>
    <col min="12277" max="12525" width="9.140625" style="7"/>
    <col min="12526" max="12526" width="30.85546875" style="7" bestFit="1" customWidth="1"/>
    <col min="12527" max="12527" width="17.28515625" style="7" customWidth="1"/>
    <col min="12528" max="12528" width="18.140625" style="7" bestFit="1" customWidth="1"/>
    <col min="12529" max="12529" width="17.7109375" style="7" bestFit="1" customWidth="1"/>
    <col min="12530" max="12530" width="18" style="7" bestFit="1" customWidth="1"/>
    <col min="12531" max="12531" width="19" style="7" bestFit="1" customWidth="1"/>
    <col min="12532" max="12532" width="33.42578125" style="7" bestFit="1" customWidth="1"/>
    <col min="12533" max="12781" width="9.140625" style="7"/>
    <col min="12782" max="12782" width="30.85546875" style="7" bestFit="1" customWidth="1"/>
    <col min="12783" max="12783" width="17.28515625" style="7" customWidth="1"/>
    <col min="12784" max="12784" width="18.140625" style="7" bestFit="1" customWidth="1"/>
    <col min="12785" max="12785" width="17.7109375" style="7" bestFit="1" customWidth="1"/>
    <col min="12786" max="12786" width="18" style="7" bestFit="1" customWidth="1"/>
    <col min="12787" max="12787" width="19" style="7" bestFit="1" customWidth="1"/>
    <col min="12788" max="12788" width="33.42578125" style="7" bestFit="1" customWidth="1"/>
    <col min="12789" max="13037" width="9.140625" style="7"/>
    <col min="13038" max="13038" width="30.85546875" style="7" bestFit="1" customWidth="1"/>
    <col min="13039" max="13039" width="17.28515625" style="7" customWidth="1"/>
    <col min="13040" max="13040" width="18.140625" style="7" bestFit="1" customWidth="1"/>
    <col min="13041" max="13041" width="17.7109375" style="7" bestFit="1" customWidth="1"/>
    <col min="13042" max="13042" width="18" style="7" bestFit="1" customWidth="1"/>
    <col min="13043" max="13043" width="19" style="7" bestFit="1" customWidth="1"/>
    <col min="13044" max="13044" width="33.42578125" style="7" bestFit="1" customWidth="1"/>
    <col min="13045" max="13293" width="9.140625" style="7"/>
    <col min="13294" max="13294" width="30.85546875" style="7" bestFit="1" customWidth="1"/>
    <col min="13295" max="13295" width="17.28515625" style="7" customWidth="1"/>
    <col min="13296" max="13296" width="18.140625" style="7" bestFit="1" customWidth="1"/>
    <col min="13297" max="13297" width="17.7109375" style="7" bestFit="1" customWidth="1"/>
    <col min="13298" max="13298" width="18" style="7" bestFit="1" customWidth="1"/>
    <col min="13299" max="13299" width="19" style="7" bestFit="1" customWidth="1"/>
    <col min="13300" max="13300" width="33.42578125" style="7" bestFit="1" customWidth="1"/>
    <col min="13301" max="13549" width="9.140625" style="7"/>
    <col min="13550" max="13550" width="30.85546875" style="7" bestFit="1" customWidth="1"/>
    <col min="13551" max="13551" width="17.28515625" style="7" customWidth="1"/>
    <col min="13552" max="13552" width="18.140625" style="7" bestFit="1" customWidth="1"/>
    <col min="13553" max="13553" width="17.7109375" style="7" bestFit="1" customWidth="1"/>
    <col min="13554" max="13554" width="18" style="7" bestFit="1" customWidth="1"/>
    <col min="13555" max="13555" width="19" style="7" bestFit="1" customWidth="1"/>
    <col min="13556" max="13556" width="33.42578125" style="7" bestFit="1" customWidth="1"/>
    <col min="13557" max="13805" width="9.140625" style="7"/>
    <col min="13806" max="13806" width="30.85546875" style="7" bestFit="1" customWidth="1"/>
    <col min="13807" max="13807" width="17.28515625" style="7" customWidth="1"/>
    <col min="13808" max="13808" width="18.140625" style="7" bestFit="1" customWidth="1"/>
    <col min="13809" max="13809" width="17.7109375" style="7" bestFit="1" customWidth="1"/>
    <col min="13810" max="13810" width="18" style="7" bestFit="1" customWidth="1"/>
    <col min="13811" max="13811" width="19" style="7" bestFit="1" customWidth="1"/>
    <col min="13812" max="13812" width="33.42578125" style="7" bestFit="1" customWidth="1"/>
    <col min="13813" max="14061" width="9.140625" style="7"/>
    <col min="14062" max="14062" width="30.85546875" style="7" bestFit="1" customWidth="1"/>
    <col min="14063" max="14063" width="17.28515625" style="7" customWidth="1"/>
    <col min="14064" max="14064" width="18.140625" style="7" bestFit="1" customWidth="1"/>
    <col min="14065" max="14065" width="17.7109375" style="7" bestFit="1" customWidth="1"/>
    <col min="14066" max="14066" width="18" style="7" bestFit="1" customWidth="1"/>
    <col min="14067" max="14067" width="19" style="7" bestFit="1" customWidth="1"/>
    <col min="14068" max="14068" width="33.42578125" style="7" bestFit="1" customWidth="1"/>
    <col min="14069" max="14317" width="9.140625" style="7"/>
    <col min="14318" max="14318" width="30.85546875" style="7" bestFit="1" customWidth="1"/>
    <col min="14319" max="14319" width="17.28515625" style="7" customWidth="1"/>
    <col min="14320" max="14320" width="18.140625" style="7" bestFit="1" customWidth="1"/>
    <col min="14321" max="14321" width="17.7109375" style="7" bestFit="1" customWidth="1"/>
    <col min="14322" max="14322" width="18" style="7" bestFit="1" customWidth="1"/>
    <col min="14323" max="14323" width="19" style="7" bestFit="1" customWidth="1"/>
    <col min="14324" max="14324" width="33.42578125" style="7" bestFit="1" customWidth="1"/>
    <col min="14325" max="14573" width="9.140625" style="7"/>
    <col min="14574" max="14574" width="30.85546875" style="7" bestFit="1" customWidth="1"/>
    <col min="14575" max="14575" width="17.28515625" style="7" customWidth="1"/>
    <col min="14576" max="14576" width="18.140625" style="7" bestFit="1" customWidth="1"/>
    <col min="14577" max="14577" width="17.7109375" style="7" bestFit="1" customWidth="1"/>
    <col min="14578" max="14578" width="18" style="7" bestFit="1" customWidth="1"/>
    <col min="14579" max="14579" width="19" style="7" bestFit="1" customWidth="1"/>
    <col min="14580" max="14580" width="33.42578125" style="7" bestFit="1" customWidth="1"/>
    <col min="14581" max="14829" width="9.140625" style="7"/>
    <col min="14830" max="14830" width="30.85546875" style="7" bestFit="1" customWidth="1"/>
    <col min="14831" max="14831" width="17.28515625" style="7" customWidth="1"/>
    <col min="14832" max="14832" width="18.140625" style="7" bestFit="1" customWidth="1"/>
    <col min="14833" max="14833" width="17.7109375" style="7" bestFit="1" customWidth="1"/>
    <col min="14834" max="14834" width="18" style="7" bestFit="1" customWidth="1"/>
    <col min="14835" max="14835" width="19" style="7" bestFit="1" customWidth="1"/>
    <col min="14836" max="14836" width="33.42578125" style="7" bestFit="1" customWidth="1"/>
    <col min="14837" max="15085" width="9.140625" style="7"/>
    <col min="15086" max="15086" width="30.85546875" style="7" bestFit="1" customWidth="1"/>
    <col min="15087" max="15087" width="17.28515625" style="7" customWidth="1"/>
    <col min="15088" max="15088" width="18.140625" style="7" bestFit="1" customWidth="1"/>
    <col min="15089" max="15089" width="17.7109375" style="7" bestFit="1" customWidth="1"/>
    <col min="15090" max="15090" width="18" style="7" bestFit="1" customWidth="1"/>
    <col min="15091" max="15091" width="19" style="7" bestFit="1" customWidth="1"/>
    <col min="15092" max="15092" width="33.42578125" style="7" bestFit="1" customWidth="1"/>
    <col min="15093" max="15341" width="9.140625" style="7"/>
    <col min="15342" max="15342" width="30.85546875" style="7" bestFit="1" customWidth="1"/>
    <col min="15343" max="15343" width="17.28515625" style="7" customWidth="1"/>
    <col min="15344" max="15344" width="18.140625" style="7" bestFit="1" customWidth="1"/>
    <col min="15345" max="15345" width="17.7109375" style="7" bestFit="1" customWidth="1"/>
    <col min="15346" max="15346" width="18" style="7" bestFit="1" customWidth="1"/>
    <col min="15347" max="15347" width="19" style="7" bestFit="1" customWidth="1"/>
    <col min="15348" max="15348" width="33.42578125" style="7" bestFit="1" customWidth="1"/>
    <col min="15349" max="15597" width="9.140625" style="7"/>
    <col min="15598" max="15598" width="30.85546875" style="7" bestFit="1" customWidth="1"/>
    <col min="15599" max="15599" width="17.28515625" style="7" customWidth="1"/>
    <col min="15600" max="15600" width="18.140625" style="7" bestFit="1" customWidth="1"/>
    <col min="15601" max="15601" width="17.7109375" style="7" bestFit="1" customWidth="1"/>
    <col min="15602" max="15602" width="18" style="7" bestFit="1" customWidth="1"/>
    <col min="15603" max="15603" width="19" style="7" bestFit="1" customWidth="1"/>
    <col min="15604" max="15604" width="33.42578125" style="7" bestFit="1" customWidth="1"/>
    <col min="15605" max="15853" width="9.140625" style="7"/>
    <col min="15854" max="15854" width="30.85546875" style="7" bestFit="1" customWidth="1"/>
    <col min="15855" max="15855" width="17.28515625" style="7" customWidth="1"/>
    <col min="15856" max="15856" width="18.140625" style="7" bestFit="1" customWidth="1"/>
    <col min="15857" max="15857" width="17.7109375" style="7" bestFit="1" customWidth="1"/>
    <col min="15858" max="15858" width="18" style="7" bestFit="1" customWidth="1"/>
    <col min="15859" max="15859" width="19" style="7" bestFit="1" customWidth="1"/>
    <col min="15860" max="15860" width="33.42578125" style="7" bestFit="1" customWidth="1"/>
    <col min="15861" max="16109" width="9.140625" style="7"/>
    <col min="16110" max="16110" width="30.85546875" style="7" bestFit="1" customWidth="1"/>
    <col min="16111" max="16111" width="17.28515625" style="7" customWidth="1"/>
    <col min="16112" max="16112" width="18.140625" style="7" bestFit="1" customWidth="1"/>
    <col min="16113" max="16113" width="17.7109375" style="7" bestFit="1" customWidth="1"/>
    <col min="16114" max="16114" width="18" style="7" bestFit="1" customWidth="1"/>
    <col min="16115" max="16115" width="19" style="7" bestFit="1" customWidth="1"/>
    <col min="16116" max="16116" width="33.42578125" style="7" bestFit="1" customWidth="1"/>
    <col min="16117" max="16384" width="9.140625" style="7"/>
  </cols>
  <sheetData>
    <row r="2" spans="1:15" ht="12.95" customHeight="1">
      <c r="A2" s="1" t="s">
        <v>16</v>
      </c>
      <c r="B2" s="1"/>
      <c r="C2" s="8"/>
      <c r="D2" s="8"/>
      <c r="E2" s="8"/>
      <c r="F2" s="8"/>
    </row>
    <row r="3" spans="1:15" ht="12.95" customHeight="1">
      <c r="A3" s="4" t="s">
        <v>0</v>
      </c>
      <c r="B3" s="18">
        <v>97783.72</v>
      </c>
      <c r="C3" s="16"/>
      <c r="D3" s="12" t="s">
        <v>2</v>
      </c>
      <c r="E3" s="12" t="s">
        <v>19</v>
      </c>
      <c r="F3" s="12" t="s">
        <v>26</v>
      </c>
      <c r="G3" s="12" t="s">
        <v>23</v>
      </c>
      <c r="H3" s="12" t="s">
        <v>24</v>
      </c>
      <c r="I3" s="12" t="s">
        <v>25</v>
      </c>
      <c r="J3" s="12"/>
    </row>
    <row r="4" spans="1:15" ht="12.95" customHeight="1">
      <c r="A4" s="4" t="s">
        <v>5</v>
      </c>
      <c r="B4" s="18">
        <v>10213.379999999999</v>
      </c>
      <c r="D4" s="19">
        <v>41359</v>
      </c>
      <c r="E4" s="8" t="s">
        <v>20</v>
      </c>
      <c r="F4" s="8"/>
      <c r="G4" s="8">
        <v>92644.32</v>
      </c>
      <c r="H4" s="8"/>
      <c r="I4" s="8">
        <f>+G4-H4</f>
        <v>92644.32</v>
      </c>
      <c r="J4" s="8"/>
    </row>
    <row r="5" spans="1:15" ht="12.95" customHeight="1">
      <c r="A5" s="4" t="s">
        <v>6</v>
      </c>
      <c r="B5" s="18">
        <v>1477.83</v>
      </c>
      <c r="D5" s="19">
        <v>41359</v>
      </c>
      <c r="E5" s="8" t="s">
        <v>21</v>
      </c>
      <c r="F5" s="23">
        <f>+D5-D4</f>
        <v>0</v>
      </c>
      <c r="G5" s="8">
        <f>+B5</f>
        <v>1477.83</v>
      </c>
      <c r="H5" s="8"/>
      <c r="I5" s="8">
        <f>+I4+G5-H5</f>
        <v>94122.150000000009</v>
      </c>
      <c r="J5" s="8"/>
    </row>
    <row r="6" spans="1:15" ht="12.95" customHeight="1">
      <c r="A6" s="4" t="s">
        <v>17</v>
      </c>
      <c r="B6" s="18">
        <v>4010.78</v>
      </c>
      <c r="C6" s="11"/>
      <c r="D6" s="19">
        <v>41359</v>
      </c>
      <c r="E6" s="4" t="s">
        <v>22</v>
      </c>
      <c r="F6" s="23">
        <f t="shared" ref="F6:F32" si="0">+D6-D5</f>
        <v>0</v>
      </c>
      <c r="G6" s="8">
        <f>+B6</f>
        <v>4010.78</v>
      </c>
      <c r="H6" s="8"/>
      <c r="I6" s="8">
        <f t="shared" ref="I6:I32" si="1">+I5+G6-H6</f>
        <v>98132.930000000008</v>
      </c>
      <c r="J6" s="8"/>
    </row>
    <row r="7" spans="1:15" ht="12.95" customHeight="1">
      <c r="A7" s="20" t="s">
        <v>14</v>
      </c>
      <c r="B7" s="17">
        <f>+B3+B5+B6</f>
        <v>103272.33</v>
      </c>
      <c r="D7" s="19">
        <v>41359</v>
      </c>
      <c r="E7" s="8" t="s">
        <v>20</v>
      </c>
      <c r="F7" s="23">
        <f t="shared" si="0"/>
        <v>0</v>
      </c>
      <c r="G7" s="8">
        <v>5139.3999999999996</v>
      </c>
      <c r="H7" s="8"/>
      <c r="I7" s="8">
        <f t="shared" si="1"/>
        <v>103272.33</v>
      </c>
      <c r="J7" s="8"/>
    </row>
    <row r="8" spans="1:15" ht="12.95" customHeight="1">
      <c r="A8" s="4" t="s">
        <v>1</v>
      </c>
      <c r="B8" s="18">
        <v>3206.65</v>
      </c>
      <c r="D8" s="19">
        <v>41359</v>
      </c>
      <c r="E8" s="8" t="s">
        <v>3</v>
      </c>
      <c r="F8" s="23">
        <f t="shared" si="0"/>
        <v>0</v>
      </c>
      <c r="G8" s="8"/>
      <c r="H8" s="8">
        <v>1477.83</v>
      </c>
      <c r="I8" s="8">
        <f t="shared" si="1"/>
        <v>101794.5</v>
      </c>
      <c r="J8" s="8"/>
    </row>
    <row r="9" spans="1:15" ht="12.95" customHeight="1">
      <c r="A9" s="4" t="s">
        <v>7</v>
      </c>
      <c r="B9" s="5">
        <v>60</v>
      </c>
      <c r="D9" s="19">
        <v>41389</v>
      </c>
      <c r="E9" s="8" t="s">
        <v>4</v>
      </c>
      <c r="F9" s="23">
        <f t="shared" si="0"/>
        <v>30</v>
      </c>
      <c r="G9" s="8">
        <f>I8*($B$12/30*F9)</f>
        <v>2015.5311000000002</v>
      </c>
      <c r="H9" s="8"/>
      <c r="I9" s="8">
        <f t="shared" si="1"/>
        <v>103810.03109999999</v>
      </c>
      <c r="J9" s="8"/>
      <c r="M9" s="44"/>
    </row>
    <row r="10" spans="1:15" ht="12.95" customHeight="1">
      <c r="A10" s="4" t="s">
        <v>8</v>
      </c>
      <c r="B10" s="19">
        <v>41542</v>
      </c>
      <c r="D10" s="19">
        <v>41419</v>
      </c>
      <c r="E10" s="8" t="s">
        <v>4</v>
      </c>
      <c r="F10" s="23">
        <f t="shared" si="0"/>
        <v>30</v>
      </c>
      <c r="G10" s="8">
        <f t="shared" ref="G10:G14" si="2">I9*($B$12/30*F10)</f>
        <v>2055.43861578</v>
      </c>
      <c r="H10" s="8"/>
      <c r="I10" s="8">
        <f t="shared" si="1"/>
        <v>105865.46971578</v>
      </c>
      <c r="J10" s="8"/>
      <c r="M10" s="44"/>
    </row>
    <row r="11" spans="1:15" ht="12.95" customHeight="1">
      <c r="A11" s="4" t="s">
        <v>9</v>
      </c>
      <c r="B11" s="19">
        <v>43337</v>
      </c>
      <c r="D11" s="19">
        <v>41450</v>
      </c>
      <c r="E11" s="8" t="s">
        <v>4</v>
      </c>
      <c r="F11" s="23">
        <f t="shared" si="0"/>
        <v>31</v>
      </c>
      <c r="G11" s="8">
        <f t="shared" si="2"/>
        <v>2166.007510384859</v>
      </c>
      <c r="H11" s="9"/>
      <c r="I11" s="8">
        <f t="shared" si="1"/>
        <v>108031.47722616486</v>
      </c>
      <c r="J11" s="8"/>
      <c r="L11" s="44"/>
      <c r="M11" s="44"/>
    </row>
    <row r="12" spans="1:15" ht="12.95" customHeight="1">
      <c r="A12" s="4" t="s">
        <v>10</v>
      </c>
      <c r="B12" s="6">
        <v>1.9800000000000002E-2</v>
      </c>
      <c r="D12" s="19">
        <v>41480</v>
      </c>
      <c r="E12" s="8" t="s">
        <v>4</v>
      </c>
      <c r="F12" s="23">
        <f t="shared" si="0"/>
        <v>30</v>
      </c>
      <c r="G12" s="8">
        <f t="shared" si="2"/>
        <v>2139.0232490780645</v>
      </c>
      <c r="H12" s="8"/>
      <c r="I12" s="8">
        <f t="shared" si="1"/>
        <v>110170.50047524292</v>
      </c>
      <c r="J12" s="8"/>
      <c r="L12" s="30"/>
      <c r="M12" s="11"/>
      <c r="N12" s="6"/>
    </row>
    <row r="13" spans="1:15" ht="12.95" customHeight="1">
      <c r="A13" s="4" t="s">
        <v>12</v>
      </c>
      <c r="B13" s="6">
        <f>+B12*12</f>
        <v>0.23760000000000003</v>
      </c>
      <c r="D13" s="19">
        <v>41511</v>
      </c>
      <c r="E13" s="8" t="s">
        <v>4</v>
      </c>
      <c r="F13" s="23">
        <f t="shared" si="0"/>
        <v>31</v>
      </c>
      <c r="G13" s="8">
        <f t="shared" si="2"/>
        <v>2254.0884397234704</v>
      </c>
      <c r="H13" s="8"/>
      <c r="I13" s="8">
        <f t="shared" si="1"/>
        <v>112424.5889149664</v>
      </c>
      <c r="J13" s="8"/>
      <c r="M13" s="8"/>
      <c r="N13" s="6"/>
    </row>
    <row r="14" spans="1:15" ht="12.95" customHeight="1">
      <c r="A14" s="4" t="s">
        <v>11</v>
      </c>
      <c r="B14" s="6">
        <v>0.26526</v>
      </c>
      <c r="D14" s="19">
        <v>41542</v>
      </c>
      <c r="E14" s="8" t="s">
        <v>4</v>
      </c>
      <c r="F14" s="23">
        <f t="shared" si="0"/>
        <v>31</v>
      </c>
      <c r="G14" s="8">
        <f t="shared" si="2"/>
        <v>2300.207089200213</v>
      </c>
      <c r="H14" s="8"/>
      <c r="I14" s="8">
        <f t="shared" si="1"/>
        <v>114724.79600416661</v>
      </c>
      <c r="J14" s="8"/>
      <c r="L14" s="36">
        <f>I14*(B12/30*F15)</f>
        <v>378.59182681374983</v>
      </c>
      <c r="M14" s="37" t="s">
        <v>29</v>
      </c>
      <c r="N14" s="38"/>
    </row>
    <row r="15" spans="1:15" ht="12.95" customHeight="1">
      <c r="A15" s="4" t="s">
        <v>13</v>
      </c>
      <c r="B15" s="6">
        <f>+B14/12</f>
        <v>2.2105E-2</v>
      </c>
      <c r="D15" s="33">
        <v>41547</v>
      </c>
      <c r="E15" s="48" t="s">
        <v>27</v>
      </c>
      <c r="F15" s="49">
        <f t="shared" si="0"/>
        <v>5</v>
      </c>
      <c r="G15" s="48">
        <f>+I14*($B$20/30*F15)</f>
        <v>0</v>
      </c>
      <c r="H15" s="48"/>
      <c r="I15" s="48">
        <f t="shared" si="1"/>
        <v>114724.79600416661</v>
      </c>
      <c r="J15" s="8"/>
      <c r="L15" s="39">
        <f>I14*M20-I14</f>
        <v>196.2812580546306</v>
      </c>
      <c r="M15" s="37" t="s">
        <v>30</v>
      </c>
      <c r="N15" s="40"/>
      <c r="O15" s="29"/>
    </row>
    <row r="16" spans="1:15" ht="12.95" customHeight="1">
      <c r="A16" s="4" t="s">
        <v>15</v>
      </c>
      <c r="B16" s="6">
        <v>2.3215300466465968E-2</v>
      </c>
      <c r="D16" s="33">
        <v>41578</v>
      </c>
      <c r="E16" s="48" t="s">
        <v>27</v>
      </c>
      <c r="F16" s="49">
        <f t="shared" si="0"/>
        <v>31</v>
      </c>
      <c r="G16" s="48">
        <f t="shared" ref="G16:G32" si="3">+I15*($B$20/30*F16)</f>
        <v>0</v>
      </c>
      <c r="H16" s="48"/>
      <c r="I16" s="48">
        <f t="shared" si="1"/>
        <v>114724.79600416661</v>
      </c>
      <c r="J16" s="8"/>
      <c r="L16" s="26"/>
      <c r="M16" s="28"/>
      <c r="O16" s="29"/>
    </row>
    <row r="17" spans="1:17" ht="12.95" customHeight="1">
      <c r="A17" s="21" t="s">
        <v>18</v>
      </c>
      <c r="B17" s="2"/>
      <c r="D17" s="33">
        <v>41608</v>
      </c>
      <c r="E17" s="48" t="s">
        <v>27</v>
      </c>
      <c r="F17" s="49">
        <f t="shared" si="0"/>
        <v>30</v>
      </c>
      <c r="G17" s="48">
        <f t="shared" si="3"/>
        <v>0</v>
      </c>
      <c r="H17" s="48"/>
      <c r="I17" s="48">
        <f t="shared" si="1"/>
        <v>114724.79600416661</v>
      </c>
      <c r="J17" s="8"/>
      <c r="L17" s="25"/>
      <c r="M17" s="28"/>
      <c r="O17" s="29"/>
    </row>
    <row r="18" spans="1:17" ht="12.95" customHeight="1">
      <c r="B18" s="8"/>
      <c r="D18" s="33">
        <v>41639</v>
      </c>
      <c r="E18" s="48" t="s">
        <v>27</v>
      </c>
      <c r="F18" s="49">
        <f t="shared" si="0"/>
        <v>31</v>
      </c>
      <c r="G18" s="48">
        <f t="shared" si="3"/>
        <v>0</v>
      </c>
      <c r="H18" s="48"/>
      <c r="I18" s="48">
        <f t="shared" si="1"/>
        <v>114724.79600416661</v>
      </c>
      <c r="J18" s="8"/>
      <c r="K18" s="31"/>
      <c r="L18" s="42" t="s">
        <v>28</v>
      </c>
      <c r="M18" s="32"/>
    </row>
    <row r="19" spans="1:17" ht="12.95" customHeight="1">
      <c r="B19" s="8"/>
      <c r="D19" s="33">
        <v>41670</v>
      </c>
      <c r="E19" s="48" t="s">
        <v>27</v>
      </c>
      <c r="F19" s="49">
        <f t="shared" si="0"/>
        <v>31</v>
      </c>
      <c r="G19" s="48">
        <f t="shared" si="3"/>
        <v>0</v>
      </c>
      <c r="H19" s="48"/>
      <c r="I19" s="48">
        <f t="shared" si="1"/>
        <v>114724.79600416661</v>
      </c>
      <c r="J19" s="8"/>
      <c r="K19" s="33">
        <v>41542</v>
      </c>
      <c r="L19" s="34">
        <v>118.3596</v>
      </c>
      <c r="M19" s="32"/>
      <c r="O19" s="45"/>
      <c r="P19" s="45"/>
      <c r="Q19" s="45"/>
    </row>
    <row r="20" spans="1:17" ht="12.95" customHeight="1">
      <c r="B20" s="6"/>
      <c r="D20" s="33">
        <v>41698</v>
      </c>
      <c r="E20" s="48" t="s">
        <v>27</v>
      </c>
      <c r="F20" s="49">
        <f t="shared" si="0"/>
        <v>28</v>
      </c>
      <c r="G20" s="48">
        <f t="shared" si="3"/>
        <v>0</v>
      </c>
      <c r="H20" s="48"/>
      <c r="I20" s="48">
        <f t="shared" si="1"/>
        <v>114724.79600416661</v>
      </c>
      <c r="J20" s="8"/>
      <c r="K20" s="33">
        <v>41547</v>
      </c>
      <c r="L20" s="35">
        <v>118.5621</v>
      </c>
      <c r="M20" s="32">
        <f t="shared" ref="M20:M37" si="4">+L20/L19</f>
        <v>1.001710887836728</v>
      </c>
      <c r="N20" s="15"/>
      <c r="O20" s="46"/>
      <c r="P20" s="46"/>
      <c r="Q20" s="46"/>
    </row>
    <row r="21" spans="1:17" ht="12.95" customHeight="1">
      <c r="B21" s="8"/>
      <c r="D21" s="33">
        <v>41729</v>
      </c>
      <c r="E21" s="48" t="s">
        <v>27</v>
      </c>
      <c r="F21" s="49">
        <f t="shared" si="0"/>
        <v>31</v>
      </c>
      <c r="G21" s="48">
        <f t="shared" si="3"/>
        <v>0</v>
      </c>
      <c r="H21" s="48"/>
      <c r="I21" s="48">
        <f t="shared" si="1"/>
        <v>114724.79600416661</v>
      </c>
      <c r="J21" s="8"/>
      <c r="K21" s="33">
        <v>41578</v>
      </c>
      <c r="L21" s="35">
        <v>120.0975</v>
      </c>
      <c r="M21" s="32">
        <f t="shared" si="4"/>
        <v>1.0129501754776611</v>
      </c>
      <c r="N21" s="15"/>
      <c r="O21" s="46"/>
      <c r="P21" s="46"/>
      <c r="Q21" s="46"/>
    </row>
    <row r="22" spans="1:17" ht="12.95" customHeight="1">
      <c r="B22" s="8"/>
      <c r="D22" s="33">
        <v>41759</v>
      </c>
      <c r="E22" s="48" t="s">
        <v>27</v>
      </c>
      <c r="F22" s="49">
        <f t="shared" si="0"/>
        <v>30</v>
      </c>
      <c r="G22" s="48">
        <f t="shared" si="3"/>
        <v>0</v>
      </c>
      <c r="H22" s="48"/>
      <c r="I22" s="48">
        <f t="shared" si="1"/>
        <v>114724.79600416661</v>
      </c>
      <c r="J22" s="8"/>
      <c r="K22" s="33">
        <v>41608</v>
      </c>
      <c r="L22" s="35">
        <v>121.64700000000001</v>
      </c>
      <c r="M22" s="32">
        <f t="shared" si="4"/>
        <v>1.0129020171110974</v>
      </c>
      <c r="N22" s="15"/>
      <c r="O22" s="46"/>
      <c r="P22" s="46"/>
      <c r="Q22" s="46"/>
    </row>
    <row r="23" spans="1:17" ht="12.95" customHeight="1">
      <c r="B23" s="8"/>
      <c r="D23" s="33">
        <v>41790</v>
      </c>
      <c r="E23" s="48" t="s">
        <v>27</v>
      </c>
      <c r="F23" s="49">
        <f t="shared" si="0"/>
        <v>31</v>
      </c>
      <c r="G23" s="48">
        <f t="shared" si="3"/>
        <v>0</v>
      </c>
      <c r="H23" s="48"/>
      <c r="I23" s="48">
        <f t="shared" si="1"/>
        <v>114724.79600416661</v>
      </c>
      <c r="J23" s="8"/>
      <c r="K23" s="33">
        <v>41639</v>
      </c>
      <c r="L23" s="35">
        <v>123.134</v>
      </c>
      <c r="M23" s="32">
        <f t="shared" si="4"/>
        <v>1.012223893725287</v>
      </c>
      <c r="N23" s="15"/>
      <c r="O23" s="46"/>
      <c r="P23" s="46"/>
      <c r="Q23" s="46"/>
    </row>
    <row r="24" spans="1:17" ht="12.95" customHeight="1">
      <c r="D24" s="33">
        <v>41820</v>
      </c>
      <c r="E24" s="48" t="s">
        <v>27</v>
      </c>
      <c r="F24" s="49">
        <f t="shared" si="0"/>
        <v>30</v>
      </c>
      <c r="G24" s="48">
        <f t="shared" si="3"/>
        <v>0</v>
      </c>
      <c r="H24" s="48"/>
      <c r="I24" s="48">
        <f t="shared" si="1"/>
        <v>114724.79600416661</v>
      </c>
      <c r="J24" s="8"/>
      <c r="K24" s="33">
        <v>41670</v>
      </c>
      <c r="L24" s="35">
        <v>124.80110000000001</v>
      </c>
      <c r="M24" s="32">
        <f t="shared" si="4"/>
        <v>1.0135389088310296</v>
      </c>
      <c r="N24" s="15"/>
      <c r="O24" s="46"/>
      <c r="P24" s="46"/>
      <c r="Q24" s="46"/>
    </row>
    <row r="25" spans="1:17" ht="12.95" customHeight="1">
      <c r="D25" s="33">
        <v>41851</v>
      </c>
      <c r="E25" s="48" t="s">
        <v>27</v>
      </c>
      <c r="F25" s="49">
        <f t="shared" si="0"/>
        <v>31</v>
      </c>
      <c r="G25" s="48">
        <f t="shared" si="3"/>
        <v>0</v>
      </c>
      <c r="H25" s="48"/>
      <c r="I25" s="48">
        <f t="shared" si="1"/>
        <v>114724.79600416661</v>
      </c>
      <c r="J25" s="8"/>
      <c r="K25" s="33">
        <v>41698</v>
      </c>
      <c r="L25" s="35">
        <v>126.4239</v>
      </c>
      <c r="M25" s="32">
        <f t="shared" si="4"/>
        <v>1.0130030905176317</v>
      </c>
      <c r="N25" s="15"/>
      <c r="O25" s="46"/>
      <c r="P25" s="46"/>
      <c r="Q25" s="46"/>
    </row>
    <row r="26" spans="1:17" ht="12.95" customHeight="1">
      <c r="A26" s="12"/>
      <c r="B26" s="12"/>
      <c r="C26" s="12"/>
      <c r="D26" s="33">
        <v>41882</v>
      </c>
      <c r="E26" s="48" t="s">
        <v>27</v>
      </c>
      <c r="F26" s="49">
        <f t="shared" si="0"/>
        <v>31</v>
      </c>
      <c r="G26" s="48">
        <f t="shared" si="3"/>
        <v>0</v>
      </c>
      <c r="H26" s="48"/>
      <c r="I26" s="48">
        <f t="shared" si="1"/>
        <v>114724.79600416661</v>
      </c>
      <c r="J26" s="8"/>
      <c r="K26" s="33">
        <v>41729</v>
      </c>
      <c r="L26" s="35">
        <v>128.04400000000001</v>
      </c>
      <c r="M26" s="32">
        <f t="shared" si="4"/>
        <v>1.0128148237793646</v>
      </c>
      <c r="N26" s="15"/>
      <c r="O26" s="46"/>
      <c r="P26" s="46"/>
      <c r="Q26" s="46"/>
    </row>
    <row r="27" spans="1:17" ht="12.95" customHeight="1">
      <c r="A27" s="13"/>
      <c r="B27" s="3"/>
      <c r="C27" s="14"/>
      <c r="D27" s="33">
        <v>41912</v>
      </c>
      <c r="E27" s="48" t="s">
        <v>27</v>
      </c>
      <c r="F27" s="49">
        <f t="shared" si="0"/>
        <v>30</v>
      </c>
      <c r="G27" s="48">
        <f t="shared" si="3"/>
        <v>0</v>
      </c>
      <c r="H27" s="48"/>
      <c r="I27" s="48">
        <f t="shared" si="1"/>
        <v>114724.79600416661</v>
      </c>
      <c r="J27" s="8"/>
      <c r="K27" s="33">
        <v>41759</v>
      </c>
      <c r="L27" s="35">
        <v>129.74119999999999</v>
      </c>
      <c r="M27" s="32">
        <f t="shared" si="4"/>
        <v>1.0132548186560868</v>
      </c>
      <c r="N27" s="15"/>
      <c r="O27" s="46"/>
      <c r="P27" s="46"/>
      <c r="Q27" s="46"/>
    </row>
    <row r="28" spans="1:17" ht="12.95" customHeight="1">
      <c r="A28" s="13"/>
      <c r="B28" s="3"/>
      <c r="C28" s="14"/>
      <c r="D28" s="33">
        <v>41943</v>
      </c>
      <c r="E28" s="48" t="s">
        <v>27</v>
      </c>
      <c r="F28" s="49">
        <f t="shared" si="0"/>
        <v>31</v>
      </c>
      <c r="G28" s="48">
        <f t="shared" si="3"/>
        <v>0</v>
      </c>
      <c r="H28" s="48"/>
      <c r="I28" s="48">
        <f t="shared" si="1"/>
        <v>114724.79600416661</v>
      </c>
      <c r="J28" s="8"/>
      <c r="K28" s="33">
        <v>41790</v>
      </c>
      <c r="L28" s="35">
        <v>131.59780000000001</v>
      </c>
      <c r="M28" s="32">
        <f t="shared" si="4"/>
        <v>1.0143100264218305</v>
      </c>
      <c r="N28" s="15"/>
      <c r="O28" s="46"/>
      <c r="P28" s="46"/>
      <c r="Q28" s="46"/>
    </row>
    <row r="29" spans="1:17" ht="12.95" customHeight="1">
      <c r="A29" s="13"/>
      <c r="B29" s="3"/>
      <c r="C29" s="14"/>
      <c r="D29" s="33">
        <v>41973</v>
      </c>
      <c r="E29" s="48" t="s">
        <v>27</v>
      </c>
      <c r="F29" s="49">
        <f t="shared" si="0"/>
        <v>30</v>
      </c>
      <c r="G29" s="48">
        <f t="shared" si="3"/>
        <v>0</v>
      </c>
      <c r="H29" s="48"/>
      <c r="I29" s="48">
        <f t="shared" si="1"/>
        <v>114724.79600416661</v>
      </c>
      <c r="J29" s="8"/>
      <c r="K29" s="33">
        <v>41820</v>
      </c>
      <c r="L29" s="35">
        <v>133.2526</v>
      </c>
      <c r="M29" s="32">
        <f t="shared" si="4"/>
        <v>1.0125746783000931</v>
      </c>
      <c r="N29" s="15"/>
      <c r="O29" s="46"/>
      <c r="P29" s="46"/>
      <c r="Q29" s="46"/>
    </row>
    <row r="30" spans="1:17" ht="12.95" customHeight="1">
      <c r="A30" s="13"/>
      <c r="B30" s="3"/>
      <c r="C30" s="14"/>
      <c r="D30" s="33">
        <v>42004</v>
      </c>
      <c r="E30" s="48" t="s">
        <v>27</v>
      </c>
      <c r="F30" s="49">
        <f t="shared" si="0"/>
        <v>31</v>
      </c>
      <c r="G30" s="48">
        <f t="shared" si="3"/>
        <v>0</v>
      </c>
      <c r="H30" s="50"/>
      <c r="I30" s="48">
        <f t="shared" si="1"/>
        <v>114724.79600416661</v>
      </c>
      <c r="J30" s="8"/>
      <c r="K30" s="33">
        <v>41851</v>
      </c>
      <c r="L30" s="35">
        <v>135.1823</v>
      </c>
      <c r="M30" s="32">
        <f t="shared" si="4"/>
        <v>1.0144815185594878</v>
      </c>
      <c r="N30" s="15"/>
      <c r="O30" s="46"/>
      <c r="P30" s="46"/>
      <c r="Q30" s="46"/>
    </row>
    <row r="31" spans="1:17" ht="12.95" customHeight="1">
      <c r="A31" s="13"/>
      <c r="B31" s="3"/>
      <c r="C31" s="14"/>
      <c r="D31" s="33">
        <v>42035</v>
      </c>
      <c r="E31" s="48" t="s">
        <v>27</v>
      </c>
      <c r="F31" s="49">
        <f t="shared" si="0"/>
        <v>31</v>
      </c>
      <c r="G31" s="48">
        <f t="shared" si="3"/>
        <v>0</v>
      </c>
      <c r="H31" s="51"/>
      <c r="I31" s="48">
        <f t="shared" si="1"/>
        <v>114724.79600416661</v>
      </c>
      <c r="J31" s="8"/>
      <c r="K31" s="33">
        <v>41882</v>
      </c>
      <c r="L31" s="35">
        <v>137.0985</v>
      </c>
      <c r="M31" s="32">
        <f t="shared" si="4"/>
        <v>1.0141749326650014</v>
      </c>
      <c r="N31" s="15"/>
      <c r="O31" s="46"/>
      <c r="P31" s="46"/>
      <c r="Q31" s="46"/>
    </row>
    <row r="32" spans="1:17" ht="12.95" customHeight="1">
      <c r="A32" s="13"/>
      <c r="B32" s="3"/>
      <c r="C32" s="14"/>
      <c r="D32" s="33">
        <v>42063</v>
      </c>
      <c r="E32" s="48" t="s">
        <v>27</v>
      </c>
      <c r="F32" s="49">
        <f t="shared" si="0"/>
        <v>28</v>
      </c>
      <c r="G32" s="48">
        <f t="shared" si="3"/>
        <v>0</v>
      </c>
      <c r="H32" s="51"/>
      <c r="I32" s="48">
        <f t="shared" si="1"/>
        <v>114724.79600416661</v>
      </c>
      <c r="J32" s="8"/>
      <c r="K32" s="33">
        <v>41912</v>
      </c>
      <c r="L32" s="35">
        <v>138.93600000000001</v>
      </c>
      <c r="M32" s="32">
        <f t="shared" si="4"/>
        <v>1.0134027724592174</v>
      </c>
      <c r="N32" s="15"/>
      <c r="O32" s="47"/>
      <c r="P32" s="47"/>
      <c r="Q32" s="47"/>
    </row>
    <row r="33" spans="1:17" ht="12.95" customHeight="1">
      <c r="A33" s="13"/>
      <c r="B33" s="3"/>
      <c r="C33" s="14"/>
      <c r="D33" s="19"/>
      <c r="E33" s="8"/>
      <c r="F33" s="28"/>
      <c r="G33" s="27"/>
      <c r="H33" s="24"/>
      <c r="I33" s="8"/>
      <c r="J33" s="8"/>
      <c r="K33" s="33">
        <v>41943</v>
      </c>
      <c r="L33" s="35">
        <v>140.94460000000001</v>
      </c>
      <c r="M33" s="32">
        <f t="shared" si="4"/>
        <v>1.0144570161801116</v>
      </c>
      <c r="N33" s="15"/>
      <c r="O33" s="47"/>
      <c r="P33" s="47"/>
      <c r="Q33" s="47"/>
    </row>
    <row r="34" spans="1:17" ht="12.95" customHeight="1">
      <c r="A34" s="13"/>
      <c r="B34" s="3"/>
      <c r="C34" s="14"/>
      <c r="D34" s="19"/>
      <c r="E34" s="8"/>
      <c r="F34" s="28"/>
      <c r="G34" s="8"/>
      <c r="H34" s="24"/>
      <c r="I34" s="8"/>
      <c r="J34" s="8"/>
      <c r="K34" s="33">
        <v>41973</v>
      </c>
      <c r="L34" s="35">
        <v>142.91409999999999</v>
      </c>
      <c r="M34" s="32">
        <f t="shared" si="4"/>
        <v>1.0139735754331842</v>
      </c>
      <c r="N34" s="15"/>
      <c r="O34" s="47"/>
      <c r="P34" s="47"/>
      <c r="Q34" s="47"/>
    </row>
    <row r="35" spans="1:17" ht="12.95" customHeight="1">
      <c r="A35" s="13"/>
      <c r="B35" s="3"/>
      <c r="C35" s="14"/>
      <c r="D35" s="19"/>
      <c r="E35" s="8"/>
      <c r="F35" s="28"/>
      <c r="G35" s="8"/>
      <c r="H35" s="8"/>
      <c r="I35" s="8"/>
      <c r="J35" s="8"/>
      <c r="K35" s="33">
        <v>42004</v>
      </c>
      <c r="L35" s="35">
        <v>144.898</v>
      </c>
      <c r="M35" s="32">
        <f t="shared" si="4"/>
        <v>1.0138817653401588</v>
      </c>
      <c r="N35" s="15"/>
      <c r="O35" s="47"/>
      <c r="P35" s="47"/>
      <c r="Q35" s="47"/>
    </row>
    <row r="36" spans="1:17" ht="12.95" customHeight="1">
      <c r="A36" s="13"/>
      <c r="B36" s="3"/>
      <c r="C36" s="14"/>
      <c r="D36" s="19"/>
      <c r="E36" s="8"/>
      <c r="F36" s="8"/>
      <c r="G36" s="8"/>
      <c r="H36" s="8"/>
      <c r="I36" s="8"/>
      <c r="J36" s="8"/>
      <c r="K36" s="33">
        <v>42035</v>
      </c>
      <c r="L36" s="35">
        <v>147.07329999999999</v>
      </c>
      <c r="M36" s="32">
        <f t="shared" si="4"/>
        <v>1.015012629573907</v>
      </c>
      <c r="N36" s="15"/>
      <c r="O36" s="47"/>
      <c r="P36" s="47"/>
      <c r="Q36" s="47"/>
    </row>
    <row r="37" spans="1:17" ht="12.95" customHeight="1">
      <c r="A37" s="13"/>
      <c r="B37" s="3"/>
      <c r="C37" s="14"/>
      <c r="D37" s="19"/>
      <c r="E37" s="8"/>
      <c r="F37" s="8"/>
      <c r="G37" s="8"/>
      <c r="H37" s="8"/>
      <c r="I37" s="8"/>
      <c r="J37" s="8"/>
      <c r="K37" s="33">
        <v>42063</v>
      </c>
      <c r="L37" s="35">
        <v>149.05029999999999</v>
      </c>
      <c r="M37" s="32">
        <f t="shared" si="4"/>
        <v>1.0134422767422775</v>
      </c>
      <c r="N37" s="15"/>
      <c r="O37" s="47"/>
      <c r="P37" s="47"/>
      <c r="Q37" s="47"/>
    </row>
    <row r="38" spans="1:17" ht="12.95" customHeight="1">
      <c r="A38" s="13"/>
      <c r="B38" s="3"/>
      <c r="C38" s="14"/>
      <c r="D38" s="19"/>
      <c r="E38" s="8"/>
      <c r="F38" s="8"/>
      <c r="G38" s="8"/>
      <c r="H38" s="8"/>
      <c r="I38" s="8"/>
      <c r="J38" s="8"/>
      <c r="L38" s="41"/>
    </row>
    <row r="39" spans="1:17" ht="12.95" customHeight="1">
      <c r="A39" s="13"/>
      <c r="B39" s="3"/>
      <c r="C39" s="14"/>
      <c r="D39" s="19"/>
      <c r="E39" s="8"/>
      <c r="F39" s="8"/>
      <c r="G39" s="8"/>
      <c r="H39" s="8"/>
      <c r="I39" s="8"/>
      <c r="J39" s="8"/>
      <c r="L39" s="43"/>
    </row>
    <row r="40" spans="1:17" ht="12.95" customHeight="1">
      <c r="A40" s="13"/>
      <c r="B40" s="3"/>
      <c r="C40" s="14"/>
      <c r="D40" s="19"/>
      <c r="E40" s="8"/>
      <c r="F40" s="8"/>
      <c r="G40" s="8"/>
      <c r="H40" s="8"/>
      <c r="I40" s="8"/>
      <c r="J40" s="8"/>
    </row>
    <row r="41" spans="1:17" ht="12.95" customHeight="1">
      <c r="A41" s="13"/>
      <c r="B41" s="3"/>
      <c r="C41" s="14"/>
      <c r="D41" s="19"/>
      <c r="E41" s="8"/>
      <c r="F41" s="8"/>
      <c r="G41" s="8"/>
      <c r="H41" s="8"/>
      <c r="I41" s="8"/>
      <c r="J41" s="8"/>
    </row>
    <row r="42" spans="1:17" ht="12.95" customHeight="1">
      <c r="A42" s="13"/>
      <c r="B42" s="3"/>
      <c r="C42" s="14"/>
      <c r="D42" s="19"/>
      <c r="E42" s="8"/>
      <c r="F42" s="8"/>
      <c r="G42" s="8"/>
      <c r="H42" s="8"/>
      <c r="I42" s="8"/>
      <c r="J42" s="8"/>
    </row>
    <row r="43" spans="1:17" ht="12.95" customHeight="1">
      <c r="A43" s="13"/>
      <c r="B43" s="3"/>
      <c r="C43" s="14"/>
      <c r="D43" s="19"/>
      <c r="E43" s="8"/>
      <c r="F43" s="8"/>
      <c r="G43" s="8"/>
      <c r="H43" s="8"/>
      <c r="I43" s="8"/>
      <c r="J43" s="8"/>
    </row>
    <row r="44" spans="1:17" ht="12.95" customHeight="1">
      <c r="A44" s="13"/>
      <c r="B44" s="3"/>
      <c r="C44" s="14"/>
      <c r="D44" s="19"/>
      <c r="E44" s="8"/>
      <c r="F44" s="8"/>
      <c r="G44" s="8"/>
      <c r="H44" s="8"/>
      <c r="I44" s="8"/>
      <c r="J44" s="8"/>
    </row>
    <row r="45" spans="1:17" ht="12.95" customHeight="1">
      <c r="A45" s="13"/>
      <c r="B45" s="3"/>
      <c r="C45" s="14"/>
      <c r="D45" s="19"/>
      <c r="E45" s="8"/>
      <c r="F45" s="8"/>
      <c r="G45" s="8"/>
      <c r="H45" s="8"/>
      <c r="I45" s="8"/>
      <c r="J45" s="8"/>
      <c r="L45" s="11"/>
    </row>
    <row r="46" spans="1:17" ht="12.95" customHeight="1">
      <c r="A46" s="13"/>
      <c r="B46" s="3"/>
      <c r="C46" s="14"/>
      <c r="D46" s="19"/>
      <c r="E46" s="8"/>
      <c r="F46" s="8"/>
      <c r="G46" s="8"/>
      <c r="H46" s="8"/>
      <c r="I46" s="8"/>
      <c r="J46" s="8"/>
      <c r="L46" s="11"/>
    </row>
    <row r="47" spans="1:17" ht="12.95" customHeight="1">
      <c r="A47" s="13"/>
      <c r="B47" s="3"/>
      <c r="C47" s="14"/>
      <c r="D47" s="19"/>
      <c r="E47" s="8"/>
      <c r="F47" s="8"/>
      <c r="G47" s="8"/>
      <c r="H47" s="8"/>
      <c r="I47" s="8"/>
      <c r="J47" s="8"/>
      <c r="L47" s="11"/>
    </row>
    <row r="48" spans="1:17" ht="12.95" customHeight="1">
      <c r="A48" s="13"/>
      <c r="B48" s="3"/>
      <c r="C48" s="14"/>
      <c r="D48" s="19"/>
      <c r="E48" s="8"/>
      <c r="F48" s="8"/>
      <c r="G48" s="8"/>
      <c r="H48" s="8"/>
      <c r="I48" s="8"/>
      <c r="J48" s="8"/>
      <c r="L48" s="11"/>
    </row>
    <row r="49" spans="1:12" ht="12.95" customHeight="1">
      <c r="A49" s="13"/>
      <c r="B49" s="3"/>
      <c r="C49" s="14"/>
      <c r="D49" s="19"/>
      <c r="E49" s="8"/>
      <c r="F49" s="8"/>
      <c r="G49" s="8"/>
      <c r="H49" s="8"/>
      <c r="I49" s="8"/>
      <c r="J49" s="8"/>
      <c r="L49" s="11"/>
    </row>
    <row r="50" spans="1:12" ht="12.95" customHeight="1">
      <c r="A50" s="13"/>
      <c r="B50" s="3"/>
      <c r="C50" s="14"/>
      <c r="D50" s="19"/>
      <c r="E50" s="8"/>
      <c r="F50" s="8"/>
      <c r="G50" s="8"/>
      <c r="H50" s="8"/>
      <c r="I50" s="8"/>
      <c r="J50" s="8"/>
      <c r="L50" s="11"/>
    </row>
    <row r="51" spans="1:12" ht="12.95" customHeight="1">
      <c r="A51" s="13"/>
      <c r="B51" s="3"/>
      <c r="C51" s="14"/>
      <c r="D51" s="19"/>
      <c r="E51" s="8"/>
      <c r="F51" s="8"/>
      <c r="G51" s="8"/>
      <c r="H51" s="8"/>
      <c r="I51" s="8"/>
      <c r="J51" s="8"/>
      <c r="L51" s="11"/>
    </row>
    <row r="52" spans="1:12" ht="12.95" customHeight="1">
      <c r="A52" s="13"/>
      <c r="B52" s="3"/>
      <c r="C52" s="14"/>
      <c r="D52" s="19"/>
      <c r="E52" s="8"/>
      <c r="F52" s="8"/>
      <c r="G52" s="8"/>
      <c r="H52" s="8"/>
      <c r="I52" s="8"/>
      <c r="J52" s="8"/>
    </row>
    <row r="53" spans="1:12" ht="12.95" customHeight="1">
      <c r="A53" s="13"/>
      <c r="B53" s="3"/>
      <c r="C53" s="14"/>
      <c r="D53" s="19"/>
      <c r="E53" s="8"/>
      <c r="F53" s="8"/>
      <c r="G53" s="8"/>
      <c r="H53" s="8"/>
      <c r="I53" s="8"/>
      <c r="J53" s="8"/>
    </row>
    <row r="54" spans="1:12" ht="12.95" customHeight="1">
      <c r="A54" s="13"/>
      <c r="B54" s="3"/>
      <c r="C54" s="14"/>
      <c r="D54" s="19"/>
      <c r="E54" s="8"/>
      <c r="F54" s="8"/>
      <c r="G54" s="8"/>
      <c r="H54" s="8"/>
      <c r="I54" s="8"/>
      <c r="J54" s="8"/>
    </row>
    <row r="55" spans="1:12" ht="12.95" customHeight="1">
      <c r="A55" s="13"/>
      <c r="B55" s="3"/>
      <c r="C55" s="14"/>
      <c r="D55" s="14"/>
      <c r="E55" s="22"/>
      <c r="F55" s="22"/>
      <c r="G55" s="22"/>
      <c r="H55" s="22"/>
    </row>
    <row r="56" spans="1:12" ht="12.95" customHeight="1">
      <c r="A56" s="13"/>
      <c r="B56" s="3"/>
      <c r="C56" s="14"/>
      <c r="D56" s="14"/>
      <c r="E56" s="14"/>
      <c r="F56" s="14"/>
    </row>
    <row r="57" spans="1:12" ht="12.95" customHeight="1">
      <c r="A57" s="13"/>
      <c r="B57" s="3"/>
      <c r="C57" s="14"/>
      <c r="D57" s="14"/>
      <c r="E57" s="14"/>
      <c r="F57" s="14"/>
    </row>
    <row r="58" spans="1:12" ht="12.95" customHeight="1">
      <c r="A58" s="13"/>
      <c r="B58" s="3"/>
      <c r="C58" s="14"/>
      <c r="D58" s="14"/>
      <c r="E58" s="14"/>
      <c r="F58" s="14"/>
    </row>
    <row r="59" spans="1:12" ht="12.95" customHeight="1">
      <c r="A59" s="13"/>
      <c r="B59" s="3"/>
      <c r="C59" s="14"/>
      <c r="D59" s="14"/>
      <c r="E59" s="14"/>
      <c r="F59" s="14"/>
    </row>
    <row r="60" spans="1:12" ht="12.95" customHeight="1">
      <c r="A60" s="13"/>
      <c r="B60" s="3"/>
      <c r="C60" s="14"/>
      <c r="D60" s="14"/>
      <c r="E60" s="14"/>
      <c r="F60" s="14"/>
    </row>
    <row r="61" spans="1:12" ht="12.95" customHeight="1">
      <c r="A61" s="13"/>
      <c r="B61" s="3"/>
      <c r="C61" s="14"/>
      <c r="D61" s="14"/>
      <c r="E61" s="14"/>
      <c r="F61" s="14"/>
    </row>
    <row r="62" spans="1:12" ht="12.95" customHeight="1">
      <c r="A62" s="13"/>
      <c r="B62" s="3"/>
      <c r="C62" s="14"/>
      <c r="D62" s="14"/>
      <c r="E62" s="14"/>
      <c r="F62" s="14"/>
    </row>
    <row r="63" spans="1:12" ht="12.95" customHeight="1">
      <c r="A63" s="13"/>
      <c r="B63" s="3"/>
      <c r="C63" s="14"/>
      <c r="D63" s="14"/>
      <c r="E63" s="14"/>
      <c r="F63" s="14"/>
    </row>
    <row r="64" spans="1:12" ht="12.95" customHeight="1">
      <c r="A64" s="13"/>
      <c r="B64" s="3"/>
      <c r="C64" s="14"/>
      <c r="D64" s="14"/>
      <c r="E64" s="14"/>
      <c r="F64" s="14"/>
    </row>
    <row r="65" spans="1:6" ht="12.95" customHeight="1">
      <c r="A65" s="13"/>
      <c r="B65" s="3"/>
      <c r="C65" s="14"/>
      <c r="D65" s="14"/>
      <c r="E65" s="14"/>
      <c r="F65" s="14"/>
    </row>
    <row r="66" spans="1:6" ht="12.95" customHeight="1">
      <c r="A66" s="13"/>
      <c r="B66" s="3"/>
      <c r="C66" s="14"/>
      <c r="D66" s="8"/>
      <c r="E66" s="8"/>
      <c r="F66" s="8"/>
    </row>
    <row r="67" spans="1:6" ht="12.95" customHeight="1">
      <c r="A67" s="13"/>
      <c r="B67" s="13"/>
      <c r="C67" s="10"/>
      <c r="D67" s="8"/>
      <c r="E67" s="8"/>
      <c r="F67" s="8"/>
    </row>
    <row r="68" spans="1:6" ht="12.95" customHeight="1">
      <c r="A68" s="13"/>
      <c r="B68" s="13"/>
      <c r="C68" s="10"/>
      <c r="D68" s="8"/>
      <c r="E68" s="8"/>
      <c r="F68" s="8"/>
    </row>
    <row r="69" spans="1:6" ht="12.95" customHeight="1">
      <c r="A69" s="13"/>
      <c r="B69" s="13"/>
      <c r="C69" s="10"/>
      <c r="D69" s="8"/>
      <c r="E69" s="8"/>
      <c r="F69" s="8"/>
    </row>
    <row r="70" spans="1:6" ht="12.95" customHeight="1">
      <c r="A70" s="13"/>
      <c r="B70" s="13"/>
      <c r="C70" s="10"/>
      <c r="D70" s="8"/>
      <c r="E70" s="8"/>
      <c r="F70" s="8"/>
    </row>
    <row r="71" spans="1:6" ht="12.95" customHeight="1">
      <c r="A71" s="13"/>
      <c r="B71" s="13"/>
      <c r="C71" s="10"/>
      <c r="D71" s="8"/>
      <c r="E71" s="8"/>
      <c r="F71" s="8"/>
    </row>
    <row r="72" spans="1:6" ht="12.95" customHeight="1">
      <c r="A72" s="13"/>
      <c r="B72" s="13"/>
      <c r="C72" s="10"/>
      <c r="D72" s="8"/>
      <c r="E72" s="8"/>
      <c r="F72" s="8"/>
    </row>
    <row r="73" spans="1:6" ht="12.95" customHeight="1">
      <c r="A73" s="13"/>
      <c r="B73" s="13"/>
      <c r="C73" s="10"/>
      <c r="D73" s="8"/>
      <c r="E73" s="8"/>
      <c r="F73" s="8"/>
    </row>
    <row r="74" spans="1:6" ht="12.95" customHeight="1">
      <c r="A74" s="13"/>
      <c r="B74" s="13"/>
      <c r="C74" s="8"/>
      <c r="D74" s="8"/>
      <c r="E74" s="8"/>
      <c r="F74" s="8"/>
    </row>
    <row r="75" spans="1:6" ht="12.95" customHeight="1">
      <c r="A75" s="13"/>
      <c r="B75" s="13"/>
      <c r="C75" s="10"/>
      <c r="D75" s="8"/>
      <c r="E75" s="8"/>
      <c r="F75" s="8"/>
    </row>
    <row r="76" spans="1:6" ht="12.95" customHeight="1">
      <c r="A76" s="13"/>
      <c r="B76" s="13"/>
      <c r="C76" s="10"/>
      <c r="D76" s="8"/>
      <c r="E76" s="8"/>
      <c r="F76" s="8"/>
    </row>
    <row r="77" spans="1:6" ht="12.95" customHeight="1">
      <c r="A77" s="13"/>
      <c r="B77" s="13"/>
      <c r="C77" s="10"/>
      <c r="D77" s="8"/>
      <c r="E77" s="8"/>
      <c r="F77" s="8"/>
    </row>
    <row r="78" spans="1:6" ht="12.95" customHeight="1">
      <c r="A78" s="13"/>
      <c r="B78" s="13"/>
      <c r="C78" s="10"/>
      <c r="D78" s="8"/>
      <c r="E78" s="8"/>
      <c r="F78" s="8"/>
    </row>
    <row r="79" spans="1:6" ht="12.95" customHeight="1">
      <c r="A79" s="13"/>
      <c r="B79" s="13"/>
      <c r="C79" s="10"/>
      <c r="D79" s="8"/>
      <c r="E79" s="8"/>
      <c r="F79" s="8"/>
    </row>
    <row r="80" spans="1:6" ht="12.95" customHeight="1">
      <c r="A80" s="13"/>
      <c r="B80" s="13"/>
      <c r="C80" s="10"/>
      <c r="D80" s="8"/>
      <c r="E80" s="8"/>
      <c r="F80" s="8"/>
    </row>
    <row r="81" spans="1:6" ht="12.95" customHeight="1">
      <c r="A81" s="13"/>
      <c r="B81" s="13"/>
      <c r="C81" s="10"/>
      <c r="D81" s="8"/>
      <c r="E81" s="8"/>
      <c r="F81" s="8"/>
    </row>
    <row r="82" spans="1:6" ht="12.95" customHeight="1">
      <c r="A82" s="13"/>
      <c r="B82" s="13"/>
      <c r="C82" s="10"/>
      <c r="D82" s="8"/>
      <c r="E82" s="8"/>
      <c r="F82" s="8"/>
    </row>
    <row r="83" spans="1:6" ht="12.95" customHeight="1">
      <c r="A83" s="13"/>
      <c r="B83" s="13"/>
      <c r="C83" s="10"/>
      <c r="D83" s="8"/>
      <c r="E83" s="8"/>
      <c r="F83" s="8"/>
    </row>
    <row r="84" spans="1:6" ht="12.95" customHeight="1">
      <c r="A84" s="13"/>
      <c r="B84" s="13"/>
      <c r="C84" s="10"/>
      <c r="D84" s="8"/>
      <c r="E84" s="8"/>
      <c r="F84" s="8"/>
    </row>
    <row r="85" spans="1:6" ht="12.95" customHeight="1">
      <c r="A85" s="13"/>
      <c r="B85" s="13"/>
      <c r="C85" s="10"/>
      <c r="D85" s="8"/>
      <c r="E85" s="8"/>
      <c r="F85" s="8"/>
    </row>
    <row r="86" spans="1:6" ht="12.95" customHeight="1">
      <c r="A86" s="13"/>
      <c r="B86" s="13"/>
      <c r="C86" s="8"/>
      <c r="D86" s="8"/>
      <c r="E86" s="8"/>
      <c r="F86" s="8"/>
    </row>
    <row r="87" spans="1:6" ht="12.95" customHeight="1">
      <c r="A87" s="13"/>
      <c r="B87" s="13"/>
      <c r="C87" s="10"/>
      <c r="D87" s="8"/>
      <c r="E87" s="8"/>
      <c r="F87" s="8"/>
    </row>
    <row r="88" spans="1:6" ht="12.95" customHeight="1">
      <c r="A88" s="13"/>
      <c r="B88" s="13"/>
      <c r="C88" s="10"/>
      <c r="D88" s="8"/>
      <c r="E88" s="8"/>
      <c r="F88" s="8"/>
    </row>
    <row r="89" spans="1:6" ht="12.95" customHeight="1">
      <c r="A89" s="13"/>
      <c r="B89" s="13"/>
      <c r="C89" s="10"/>
      <c r="D89" s="8"/>
      <c r="E89" s="8"/>
      <c r="F89" s="8"/>
    </row>
    <row r="90" spans="1:6" ht="12.95" customHeight="1">
      <c r="A90" s="13"/>
      <c r="B90" s="13"/>
      <c r="C90" s="10"/>
      <c r="D90" s="8"/>
      <c r="E90" s="8"/>
      <c r="F90" s="8"/>
    </row>
    <row r="91" spans="1:6" ht="12.95" customHeight="1">
      <c r="A91" s="13"/>
      <c r="B91" s="13"/>
      <c r="C91" s="10"/>
      <c r="D91" s="8"/>
      <c r="E91" s="8"/>
      <c r="F91" s="8"/>
    </row>
    <row r="92" spans="1:6" ht="12.95" customHeight="1">
      <c r="A92" s="13"/>
      <c r="B92" s="13"/>
      <c r="C92" s="10"/>
      <c r="D92" s="8"/>
      <c r="E92" s="8"/>
      <c r="F92" s="8"/>
    </row>
    <row r="93" spans="1:6" ht="12.95" customHeight="1">
      <c r="A93" s="13"/>
      <c r="B93" s="13"/>
      <c r="C93" s="10"/>
      <c r="D93" s="8"/>
      <c r="E93" s="8"/>
      <c r="F93" s="8"/>
    </row>
    <row r="94" spans="1:6" ht="12.95" customHeight="1">
      <c r="A94" s="13"/>
      <c r="B94" s="13"/>
      <c r="C94" s="10"/>
      <c r="D94" s="8"/>
      <c r="E94" s="8"/>
      <c r="F94" s="8"/>
    </row>
    <row r="95" spans="1:6" ht="12.95" customHeight="1">
      <c r="A95" s="13"/>
      <c r="B95" s="13"/>
      <c r="C95" s="10"/>
      <c r="D95" s="8"/>
      <c r="E95" s="8"/>
      <c r="F95" s="8"/>
    </row>
    <row r="96" spans="1:6" ht="12.95" customHeight="1">
      <c r="A96" s="13"/>
      <c r="B96" s="13"/>
      <c r="C96" s="10"/>
      <c r="D96" s="8"/>
      <c r="E96" s="8"/>
      <c r="F96" s="8"/>
    </row>
    <row r="97" spans="1:6" ht="12.95" customHeight="1">
      <c r="A97" s="13"/>
      <c r="B97" s="13"/>
      <c r="C97" s="10"/>
      <c r="D97" s="8"/>
      <c r="E97" s="8"/>
      <c r="F97" s="8"/>
    </row>
    <row r="98" spans="1:6" ht="12.95" customHeight="1">
      <c r="A98" s="13"/>
      <c r="B98" s="13"/>
      <c r="C98" s="8"/>
      <c r="D98" s="8"/>
      <c r="E98" s="8"/>
      <c r="F98" s="8"/>
    </row>
    <row r="99" spans="1:6" ht="12.95" customHeight="1">
      <c r="A99" s="13"/>
      <c r="B99" s="13"/>
      <c r="C99" s="10"/>
      <c r="D99" s="8"/>
      <c r="E99" s="8"/>
      <c r="F99" s="8"/>
    </row>
    <row r="100" spans="1:6" ht="12.95" customHeight="1">
      <c r="A100" s="13"/>
      <c r="B100" s="13"/>
      <c r="C100" s="10"/>
      <c r="D100" s="8"/>
      <c r="E100" s="8"/>
      <c r="F100" s="8"/>
    </row>
    <row r="101" spans="1:6" ht="12.95" customHeight="1">
      <c r="A101" s="13"/>
      <c r="B101" s="13"/>
      <c r="C101" s="10"/>
      <c r="D101" s="8"/>
      <c r="E101" s="8"/>
      <c r="F101" s="8"/>
    </row>
    <row r="102" spans="1:6" ht="12.95" customHeight="1">
      <c r="A102" s="13"/>
      <c r="B102" s="13"/>
      <c r="C102" s="10"/>
      <c r="D102" s="8"/>
      <c r="E102" s="8"/>
      <c r="F102" s="8"/>
    </row>
    <row r="103" spans="1:6" ht="12.95" customHeight="1">
      <c r="A103" s="13"/>
      <c r="B103" s="13"/>
      <c r="C103" s="10"/>
      <c r="D103" s="8"/>
      <c r="E103" s="8"/>
      <c r="F103" s="8"/>
    </row>
    <row r="104" spans="1:6" ht="12.95" customHeight="1">
      <c r="A104" s="13"/>
      <c r="B104" s="13"/>
      <c r="C104" s="10"/>
      <c r="D104" s="8"/>
      <c r="E104" s="8"/>
      <c r="F104" s="8"/>
    </row>
    <row r="105" spans="1:6" ht="12.95" customHeight="1">
      <c r="A105" s="13"/>
      <c r="B105" s="13"/>
      <c r="C105" s="10"/>
      <c r="D105" s="8"/>
      <c r="E105" s="8"/>
      <c r="F105" s="8"/>
    </row>
    <row r="106" spans="1:6" ht="12.95" customHeight="1">
      <c r="A106" s="13"/>
      <c r="B106" s="13"/>
      <c r="C106" s="10"/>
      <c r="D106" s="8"/>
      <c r="E106" s="8"/>
      <c r="F106" s="8"/>
    </row>
    <row r="107" spans="1:6" ht="12.95" customHeight="1">
      <c r="A107" s="13"/>
      <c r="B107" s="13"/>
      <c r="C107" s="10"/>
      <c r="D107" s="8"/>
      <c r="E107" s="8"/>
      <c r="F107" s="8"/>
    </row>
    <row r="108" spans="1:6" ht="12.95" customHeight="1">
      <c r="A108" s="13"/>
      <c r="B108" s="13"/>
      <c r="C108" s="10"/>
      <c r="D108" s="8"/>
      <c r="E108" s="8"/>
      <c r="F108" s="8"/>
    </row>
    <row r="109" spans="1:6" ht="12.95" customHeight="1">
      <c r="A109" s="13"/>
      <c r="B109" s="13"/>
      <c r="C109" s="10"/>
    </row>
    <row r="110" spans="1:6" ht="12.95" customHeight="1">
      <c r="A110" s="13"/>
      <c r="B110" s="13"/>
    </row>
    <row r="111" spans="1:6" ht="12.95" customHeight="1">
      <c r="A111" s="13"/>
      <c r="B111" s="13"/>
    </row>
    <row r="112" spans="1:6" ht="12.95" customHeight="1">
      <c r="A112" s="13"/>
      <c r="B112" s="13"/>
    </row>
    <row r="113" spans="1:2" ht="12.95" customHeight="1">
      <c r="A113" s="13"/>
      <c r="B113" s="13"/>
    </row>
    <row r="114" spans="1:2" ht="12.95" customHeight="1">
      <c r="A114" s="13"/>
      <c r="B114" s="13"/>
    </row>
    <row r="115" spans="1:2" ht="12.95" customHeight="1">
      <c r="A115" s="13"/>
      <c r="B115" s="13"/>
    </row>
    <row r="116" spans="1:2" ht="12.95" customHeight="1">
      <c r="A116" s="13"/>
      <c r="B116" s="13"/>
    </row>
    <row r="117" spans="1:2" ht="12.95" customHeight="1">
      <c r="A117" s="13"/>
      <c r="B117" s="13"/>
    </row>
    <row r="118" spans="1:2" ht="12.95" customHeight="1">
      <c r="A118" s="13"/>
      <c r="B118" s="13"/>
    </row>
    <row r="119" spans="1:2" ht="12.95" customHeight="1">
      <c r="A119" s="13"/>
      <c r="B119" s="13"/>
    </row>
  </sheetData>
  <pageMargins left="0.78740157499999996" right="0.78740157499999996" top="0.984251969" bottom="0.984251969" header="0.49212598499999999" footer="0.49212598499999999"/>
  <pageSetup paperSize="9" scale="8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FACP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Credisol</dc:creator>
  <cp:lastModifiedBy>Luiz</cp:lastModifiedBy>
  <dcterms:created xsi:type="dcterms:W3CDTF">2017-08-24T20:55:55Z</dcterms:created>
  <dcterms:modified xsi:type="dcterms:W3CDTF">2019-10-16T12:23:03Z</dcterms:modified>
</cp:coreProperties>
</file>