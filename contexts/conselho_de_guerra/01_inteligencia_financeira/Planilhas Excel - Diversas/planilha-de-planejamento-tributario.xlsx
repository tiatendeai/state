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EstaPasta_de_trabalho" autoCompressPictures="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4000" windowHeight="9735"/>
  </bookViews>
  <sheets>
    <sheet name="Inicio" sheetId="8" r:id="rId1"/>
    <sheet name="Entrada de Dados" sheetId="4" r:id="rId2"/>
    <sheet name="Sheet1" sheetId="5" state="hidden" r:id="rId3"/>
    <sheet name="Aliquota de Impostos" sheetId="11" r:id="rId4"/>
    <sheet name="Resultados" sheetId="13" r:id="rId5"/>
    <sheet name="Tabela Simples Nacional" sheetId="14" r:id="rId6"/>
    <sheet name="Auxiliar" sheetId="15" state="hidden" r:id="rId7"/>
  </sheets>
  <definedNames>
    <definedName name="_xlnm.Print_Area" localSheetId="3">'Aliquota de Impostos'!$A$1:$P$19</definedName>
    <definedName name="_xlnm.Print_Area" localSheetId="1">'Entrada de Dados'!$A$1:$L$18</definedName>
    <definedName name="_xlnm.Print_Area" localSheetId="4">Resultados!$A$1:$N$23</definedName>
  </definedNames>
  <calcPr calcId="152511"/>
</workbook>
</file>

<file path=xl/calcChain.xml><?xml version="1.0" encoding="utf-8"?>
<calcChain xmlns="http://schemas.openxmlformats.org/spreadsheetml/2006/main">
  <c r="G10" i="13" l="1"/>
  <c r="G9" i="13"/>
  <c r="K12" i="4"/>
  <c r="M18" i="13" l="1"/>
  <c r="M16" i="13"/>
  <c r="N11" i="11"/>
  <c r="N10" i="11"/>
  <c r="N8" i="11"/>
  <c r="N7" i="11"/>
  <c r="N6" i="11"/>
  <c r="N5" i="11"/>
  <c r="J13" i="13"/>
  <c r="G13" i="13"/>
  <c r="E9" i="11"/>
  <c r="M19" i="13"/>
  <c r="E11" i="4"/>
  <c r="J11" i="13"/>
  <c r="G11" i="13"/>
  <c r="M14" i="13"/>
  <c r="M20" i="13"/>
  <c r="J20" i="13"/>
  <c r="J18" i="13"/>
  <c r="J17" i="13"/>
  <c r="J12" i="13"/>
  <c r="G12" i="13"/>
  <c r="G20" i="13"/>
  <c r="G17" i="13"/>
  <c r="G18" i="13"/>
  <c r="G8" i="13"/>
  <c r="F7" i="13"/>
  <c r="F6" i="13"/>
  <c r="K13" i="4"/>
  <c r="H12" i="4"/>
  <c r="L12" i="13" s="1"/>
  <c r="D13" i="5"/>
  <c r="E13" i="5"/>
  <c r="F13" i="5"/>
  <c r="G13" i="5"/>
  <c r="H13" i="5"/>
  <c r="I13" i="5"/>
  <c r="J13" i="5"/>
  <c r="K13" i="5"/>
  <c r="L13" i="5"/>
  <c r="M13" i="5"/>
  <c r="N13" i="5"/>
  <c r="O13" i="5"/>
  <c r="DJ13" i="5"/>
  <c r="DG13" i="5"/>
  <c r="CQ13" i="5"/>
  <c r="DS13" i="5"/>
  <c r="CM13" i="5"/>
  <c r="BD13" i="5"/>
  <c r="AH13" i="5"/>
  <c r="DN13" i="5"/>
  <c r="AL13" i="5"/>
  <c r="BK13" i="5"/>
  <c r="CB13" i="5"/>
  <c r="CV13" i="5"/>
  <c r="AO13" i="5"/>
  <c r="BM13" i="5"/>
  <c r="CP13" i="5"/>
  <c r="AS13" i="5"/>
  <c r="BE13" i="5"/>
  <c r="Y13" i="5"/>
  <c r="AW13" i="5"/>
  <c r="AG13" i="5"/>
  <c r="AK13" i="5"/>
  <c r="BA13" i="5"/>
  <c r="BC13" i="5"/>
  <c r="P13" i="5"/>
  <c r="U13" i="5"/>
  <c r="CZ13" i="5"/>
  <c r="BS13" i="5"/>
  <c r="AZ13" i="5"/>
  <c r="AV13" i="5"/>
  <c r="AR13" i="5"/>
  <c r="AN13" i="5"/>
  <c r="AJ13" i="5"/>
  <c r="AF13" i="5"/>
  <c r="AB13" i="5"/>
  <c r="X13" i="5"/>
  <c r="CS13" i="5"/>
  <c r="CG13" i="5"/>
  <c r="DD13" i="5"/>
  <c r="AM13" i="5"/>
  <c r="AE13" i="5"/>
  <c r="AA13" i="5"/>
  <c r="S13" i="5"/>
  <c r="AC13" i="5"/>
  <c r="BX13" i="5"/>
  <c r="CF13" i="5"/>
  <c r="DC13" i="5"/>
  <c r="CO13" i="5"/>
  <c r="CK13" i="5"/>
  <c r="BH13" i="5"/>
  <c r="AX13" i="5"/>
  <c r="T13" i="5"/>
  <c r="CR13" i="5"/>
  <c r="DO13" i="5"/>
  <c r="DK13" i="5"/>
  <c r="DP13" i="5"/>
  <c r="DL13" i="5"/>
  <c r="DH13" i="5"/>
  <c r="V13" i="5"/>
  <c r="R13" i="5"/>
  <c r="CJ13" i="5"/>
  <c r="CI13" i="5"/>
  <c r="CE13" i="5"/>
  <c r="CA13" i="5"/>
  <c r="BT13" i="5"/>
  <c r="BP13" i="5"/>
  <c r="BL13" i="5"/>
  <c r="CN13" i="5"/>
  <c r="BF13" i="5"/>
  <c r="Q13" i="5"/>
  <c r="DE13" i="5"/>
  <c r="CW13" i="5"/>
  <c r="AY13" i="5"/>
  <c r="AU13" i="5"/>
  <c r="AP13" i="5"/>
  <c r="CY13" i="5"/>
  <c r="Z13" i="5"/>
  <c r="AD13" i="5"/>
  <c r="W13" i="5"/>
  <c r="BW13" i="5"/>
  <c r="BO13" i="5"/>
  <c r="BG13" i="5"/>
  <c r="AQ13" i="5"/>
  <c r="AI13" i="5"/>
  <c r="DR13" i="5"/>
  <c r="BZ13" i="5"/>
  <c r="DF13" i="5"/>
  <c r="BN13" i="5"/>
  <c r="DB13" i="5"/>
  <c r="DM13" i="5"/>
  <c r="CU13" i="5"/>
  <c r="DI13" i="5"/>
  <c r="CT13" i="5"/>
  <c r="BJ13" i="5"/>
  <c r="CH13" i="5"/>
  <c r="CC13" i="5"/>
  <c r="BR13" i="5"/>
  <c r="CX13" i="5"/>
  <c r="BU13" i="5"/>
  <c r="CD13" i="5"/>
  <c r="BV13" i="5"/>
  <c r="CL13" i="5"/>
  <c r="DQ13" i="5"/>
  <c r="AT13" i="5"/>
  <c r="BI13" i="5"/>
  <c r="BQ13" i="5"/>
  <c r="C13" i="5"/>
  <c r="BB13" i="5"/>
  <c r="BY13" i="5"/>
  <c r="DA13" i="5"/>
  <c r="G5" i="5"/>
  <c r="J5" i="5"/>
  <c r="C5" i="5"/>
  <c r="E5" i="5"/>
  <c r="D5" i="5"/>
  <c r="F5" i="5"/>
  <c r="K5" i="5"/>
  <c r="B13" i="5"/>
  <c r="B5" i="5"/>
  <c r="I5" i="5"/>
  <c r="L5" i="5"/>
  <c r="N5" i="5"/>
  <c r="H5" i="5"/>
  <c r="I19" i="13"/>
  <c r="F19" i="13"/>
  <c r="G16" i="13"/>
  <c r="J19" i="13"/>
  <c r="J16" i="13"/>
  <c r="L6" i="13" l="1"/>
  <c r="I13" i="13"/>
  <c r="I18" i="13"/>
  <c r="F9" i="13"/>
  <c r="L10" i="13"/>
  <c r="G6" i="13"/>
  <c r="F13" i="13"/>
  <c r="F8" i="13"/>
  <c r="I16" i="13"/>
  <c r="I17" i="13"/>
  <c r="C13" i="15"/>
  <c r="C16" i="15" s="1"/>
  <c r="F12" i="13"/>
  <c r="L14" i="13"/>
  <c r="L19" i="13"/>
  <c r="L18" i="13"/>
  <c r="F16" i="13"/>
  <c r="L8" i="13"/>
  <c r="G7" i="13"/>
  <c r="L11" i="13"/>
  <c r="I14" i="13"/>
  <c r="F10" i="13"/>
  <c r="L7" i="13"/>
  <c r="G19" i="13"/>
  <c r="C14" i="15" s="1"/>
  <c r="L9" i="13"/>
  <c r="F17" i="13"/>
  <c r="F18" i="13"/>
  <c r="L20" i="13"/>
  <c r="L17" i="13"/>
  <c r="I11" i="13"/>
  <c r="J7" i="13"/>
  <c r="I7" i="13" s="1"/>
  <c r="L16" i="13"/>
  <c r="F20" i="13"/>
  <c r="J6" i="13"/>
  <c r="F11" i="13"/>
  <c r="I15" i="13"/>
  <c r="I12" i="13"/>
  <c r="L13" i="13"/>
  <c r="I20" i="13"/>
  <c r="G21" i="13" l="1"/>
  <c r="E16" i="4" s="1"/>
  <c r="F21" i="13"/>
  <c r="F16" i="4" s="1"/>
  <c r="C15" i="15"/>
  <c r="C17" i="15" s="1"/>
  <c r="N9" i="11" s="1" a="1"/>
  <c r="N9" i="11" s="1"/>
  <c r="M15" i="13" s="1"/>
  <c r="I6" i="13"/>
  <c r="J10" i="13"/>
  <c r="I10" i="13" s="1"/>
  <c r="J8" i="13"/>
  <c r="I8" i="13" s="1"/>
  <c r="J9" i="13"/>
  <c r="I9" i="13" s="1"/>
  <c r="M21" i="13" l="1"/>
  <c r="E15" i="4" s="1"/>
  <c r="L15" i="13"/>
  <c r="L21" i="13" s="1"/>
  <c r="F15" i="4" s="1"/>
  <c r="J21" i="13"/>
  <c r="E17" i="4" s="1"/>
  <c r="I21" i="13"/>
  <c r="F17" i="4" s="1"/>
</calcChain>
</file>

<file path=xl/comments1.xml><?xml version="1.0" encoding="utf-8"?>
<comments xmlns="http://schemas.openxmlformats.org/spreadsheetml/2006/main">
  <authors>
    <author>Leandro Oliveira</author>
  </authors>
  <commentList>
    <comment ref="G5" authorId="0" shapeId="0">
      <text>
        <r>
          <rPr>
            <sz val="9"/>
            <color indexed="81"/>
            <rFont val="Segoe UI"/>
            <family val="2"/>
          </rPr>
          <t xml:space="preserve">Informe a Receita Anual com Venda de Mercadorias
</t>
        </r>
      </text>
    </comment>
    <comment ref="J5" authorId="0" shapeId="0">
      <text>
        <r>
          <rPr>
            <sz val="9"/>
            <color indexed="81"/>
            <rFont val="Segoe UI"/>
            <family val="2"/>
          </rPr>
          <t>Informe a despesa anual com a folha de pagamento, sem os encargos trabalhistas.</t>
        </r>
      </text>
    </comment>
    <comment ref="J6" authorId="0" shapeId="0">
      <text>
        <r>
          <rPr>
            <sz val="9"/>
            <color indexed="81"/>
            <rFont val="Segoe UI"/>
            <family val="2"/>
          </rPr>
          <t>Informe a despesa anual das compras de insumos utilizados na produção e/ou mercadorias para revendas, adquiridas no Estado onde a empresa possui estabelecimento.</t>
        </r>
      </text>
    </comment>
    <comment ref="G7" authorId="0" shapeId="0">
      <text>
        <r>
          <rPr>
            <sz val="9"/>
            <color indexed="81"/>
            <rFont val="Segoe UI"/>
            <family val="2"/>
          </rPr>
          <t>Informe a Receita Anual com Venda de Produtos</t>
        </r>
      </text>
    </comment>
    <comment ref="J7" authorId="0" shapeId="0">
      <text>
        <r>
          <rPr>
            <sz val="9"/>
            <color indexed="81"/>
            <rFont val="Segoe UI"/>
            <family val="2"/>
          </rPr>
          <t xml:space="preserve">Informe a despesa anual das compras de insumos utilizados na produção e/ou mercadorias para revendas, adquiridasem outro Estado onde a empresa possui estabelecimento. </t>
        </r>
      </text>
    </comment>
    <comment ref="G8" authorId="0" shapeId="0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creche, pré-escola e estabelecimento de ensino fundamental, escolas técnicas, profissionais e de ensino médio, de línguas estrangeiras, de artes, cursos técnicos de pilotagem, preparatórios para concursos, gerenciais e escolas livres;
- agência terceirizada de correios;
- agência de viagem e turismo;
- centro de formação de condutores de veículos automotores de transporte terrestre de passageiros e de carga; 
- agência lotérica;
- serviços de instalação, de reparos e de manutenção em geral, bem como de usinagem, solda, tratamento e revestimento em metais;
- transporte municipal de passageiros;
- escritório de serviços contábeis;
- produção cinematográficas, audiovisuais, artísticas e culturais, sua exibição ou apresentação, inclusive no caso de música, literatura, artes cênicas, artes visuais, cinematográficas e audiovisuais;
- fisioterapia;
- corretagem de seguros
- demais serviços que NÃO se enquadrem na definição de atividade intelectual, técnica, científica, desportiva, artística ou cultural, e que NÃO se enquadrem nos Anexos IV, V e VI.
</t>
        </r>
      </text>
    </comment>
    <comment ref="J8" authorId="0" shapeId="0">
      <text>
        <r>
          <rPr>
            <sz val="9"/>
            <color indexed="81"/>
            <rFont val="Segoe UI"/>
            <family val="2"/>
          </rPr>
          <t>Informe a despesa anual das compras de insumos utilizados na produção e/ou mercadorias para revendas com conteúdo de importação que possui aliquota específica de ICMS</t>
        </r>
      </text>
    </comment>
    <comment ref="G9" authorId="0" shapeId="0">
      <text>
        <r>
          <rPr>
            <sz val="9"/>
            <color indexed="81"/>
            <rFont val="Segoe UI"/>
            <family val="2"/>
          </rPr>
          <t>Informe a receita anual com a venda de serviços, nos casos onde a atividade for de:
- construção de imóveis e obras de engenharia em geral, inclusive sob a forma de subempreitada, execução de projetos e serviços de paisagismo, bem como decoração de interiores;
- serviços de vigilância, limpeza ou conservação;
- serviços advocatícios.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9" authorId="0" shapeId="0">
      <text>
        <r>
          <rPr>
            <sz val="9"/>
            <color indexed="81"/>
            <rFont val="Segoe UI"/>
            <family val="2"/>
          </rPr>
          <t>Informe o valor anual de Serviços tomados classificados como insumos na prestação de Serviços</t>
        </r>
      </text>
    </comment>
    <comment ref="G10" authorId="0" shapeId="0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administração e locação de imóveis de terceiros;
- academias de dança, de capoeira, de ioga e de artes marciais;
- academias de atividades físicas, desportivas, de natação e escolas de esportes;
- elaboração de programas de computadores, inclusive jogos eletrônicos, desde que desenvolvidos em estabelecimento do optante;
- licenciamento ou cessão de direitos de uso de programas de computação;
- planejamento, confecção, manutenção e atualização de páginas eletrônicas, desde que realizados em estabelecimento do optante;
- empresas montadoras de estandes para feiras;
- laboratórios de análises clinicas ou de patologia clínica;
- serviços de tomografia, diagnósticos médicos por imagem, registros gráficos e métodos óticos, bem como ressonância magnética;
- serviços de prótese em geral. 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10" authorId="0" shapeId="0">
      <text>
        <r>
          <rPr>
            <sz val="9"/>
            <color indexed="81"/>
            <rFont val="Segoe UI"/>
            <family val="2"/>
          </rPr>
          <t xml:space="preserve">Informe a despesa anual com energia elétrica, alugueis, fretes e carretos pagos a outras pessoas jurídicas. </t>
        </r>
      </text>
    </comment>
    <comment ref="G11" authorId="0" shapeId="0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medicina, inclusive laboratorial e enfermagem;
- medicina veterinária;
- odontologia;
- psicologia, psicanálise, terapia ocupacional, acupuntura, podologia, fonoaudiologia, clinicas de nutrição e de vacinação e bancos de leite;
- serviços de comissária, de despachantes, de tradução e de interpretação;
- arquitetura, engenharia, medição, cartografia, topografia, geologia, geodésia, testes, suporte e análises técnicas e tecnológicas, pesquisa, design, desenho e agronomia;
- representação comercial e demais atividades de intermediação de negócios e serviços de terceiros;
- perícia, leilão e avaliação;
- auditoria, economia, consultoria, gestão, organização, controle e administração;
- jornalismo e publicidade;
- agenciamento, exceto de mão de obra;
- demais serviços que se enquadrem na definição de atividade intelectual, técnica, científica, desportiva, artística ou cultural. </t>
        </r>
      </text>
    </comment>
    <comment ref="J11" authorId="0" shapeId="0">
      <text>
        <r>
          <rPr>
            <sz val="9"/>
            <color indexed="81"/>
            <rFont val="Segoe UI"/>
            <family val="2"/>
          </rPr>
          <t xml:space="preserve">Informe a despesa anual com depreciação de bens do ativo imobilizado. Caso não saiba o valor exato, informe o valor de 20% do total de ativos imobilizados da empresa. </t>
        </r>
      </text>
    </comment>
    <comment ref="J12" authorId="0" shapeId="0">
      <text>
        <r>
          <rPr>
            <sz val="9"/>
            <color indexed="81"/>
            <rFont val="Segoe UI"/>
            <family val="2"/>
          </rPr>
          <t>Informe o valor anual de todas as demais despesas incorridas na operação da empresa, como por exemplo: água, telefone, seguros, vigilância, materiais para escritório, limpeza, serviços tomados, despesas com informática, etc. 
Não informe o valor dos tributos: PIS, COFINS, CSLL, IPI, ISS, ICMS, Simples Nacional, INSS e FGTS.</t>
        </r>
      </text>
    </comment>
  </commentList>
</comments>
</file>

<file path=xl/sharedStrings.xml><?xml version="1.0" encoding="utf-8"?>
<sst xmlns="http://schemas.openxmlformats.org/spreadsheetml/2006/main" count="551" uniqueCount="134">
  <si>
    <t xml:space="preserve"> </t>
    <phoneticPr fontId="2" type="noConversion"/>
  </si>
  <si>
    <t>anual</t>
  </si>
  <si>
    <t>mensal</t>
  </si>
  <si>
    <t>Menu</t>
  </si>
  <si>
    <t>Início</t>
  </si>
  <si>
    <t xml:space="preserve">  Sobre a Capital Social</t>
  </si>
  <si>
    <t xml:space="preserve">  1. Entrada de Dados</t>
  </si>
  <si>
    <t>Planilha - Planejamento Tributário</t>
  </si>
  <si>
    <t>Comércio</t>
  </si>
  <si>
    <t>Serviços Tabela III</t>
  </si>
  <si>
    <t>Serviços Tabela IV</t>
  </si>
  <si>
    <t>Serviços Tabela V</t>
  </si>
  <si>
    <t>Serviços Tabela VI</t>
  </si>
  <si>
    <t>Total das Vendas</t>
  </si>
  <si>
    <t>Salários</t>
  </si>
  <si>
    <t>Compras Internas</t>
  </si>
  <si>
    <t>Compras Interestaduais</t>
  </si>
  <si>
    <t>Energia/Aluguel/Fretes</t>
  </si>
  <si>
    <t>Demais Despesas</t>
  </si>
  <si>
    <t xml:space="preserve">Total de Despesas </t>
  </si>
  <si>
    <t>TRIBUTOS</t>
  </si>
  <si>
    <t>IPI</t>
  </si>
  <si>
    <t>ISS</t>
  </si>
  <si>
    <t>ICMS</t>
  </si>
  <si>
    <t>RAT</t>
  </si>
  <si>
    <t>CPP</t>
  </si>
  <si>
    <t>LUCRO PRESUMIDO</t>
  </si>
  <si>
    <t>LUCRO REAL</t>
  </si>
  <si>
    <t>SIMPLES NACIONAL</t>
  </si>
  <si>
    <t>PIS/PASEP</t>
  </si>
  <si>
    <t>COFINS</t>
  </si>
  <si>
    <t>IRPJ</t>
  </si>
  <si>
    <t>ADICIONAL IRPJ</t>
  </si>
  <si>
    <t>CSLL</t>
  </si>
  <si>
    <t>INSS</t>
  </si>
  <si>
    <t>INSS TERCEIROS</t>
  </si>
  <si>
    <t>TABELA I</t>
  </si>
  <si>
    <t>TABELA II</t>
  </si>
  <si>
    <t>TABELA III</t>
  </si>
  <si>
    <t>TABELA IV</t>
  </si>
  <si>
    <t>TABELA V</t>
  </si>
  <si>
    <t>TABELA VI</t>
  </si>
  <si>
    <t>ICMS INTERNO</t>
  </si>
  <si>
    <t>ICMS INTEREST.</t>
  </si>
  <si>
    <t>Alíquota</t>
  </si>
  <si>
    <t>Valor</t>
  </si>
  <si>
    <t>FGTS</t>
  </si>
  <si>
    <t>IPI ENTRADA</t>
  </si>
  <si>
    <t>Compras Importados</t>
  </si>
  <si>
    <t>ICMS IMPORT.</t>
  </si>
  <si>
    <t>Indústria</t>
  </si>
  <si>
    <t>Depreciação</t>
  </si>
  <si>
    <t>Receita Bruta em 12 meses (em R$)</t>
  </si>
  <si>
    <t>Cofins</t>
  </si>
  <si>
    <t>PIS/Pasep</t>
  </si>
  <si>
    <t>TABELA 1</t>
  </si>
  <si>
    <t>1. Entrada de dados</t>
  </si>
  <si>
    <t>2. Aliquota de Impostos</t>
  </si>
  <si>
    <t xml:space="preserve">  2. Aliquota de Imposto</t>
  </si>
  <si>
    <t xml:space="preserve">  3. Resultados</t>
  </si>
  <si>
    <t xml:space="preserve">  4. Tabelas SN</t>
  </si>
  <si>
    <t>Dif Aliquota - ICMS</t>
  </si>
  <si>
    <t>NOME DA EMPRESA:</t>
  </si>
  <si>
    <t>RECEITAS</t>
  </si>
  <si>
    <t>GASTOS</t>
  </si>
  <si>
    <t>ÁREA DE ATUAÇÃO:</t>
  </si>
  <si>
    <t>TRIBUTOS EM GERAL</t>
  </si>
  <si>
    <t>TRIBUTOS LUCRO PRESUMIDO</t>
  </si>
  <si>
    <t>TRIBUTOS LUCRO REAL</t>
  </si>
  <si>
    <t>TRIBUTOS SIMPLES NACIONAL</t>
  </si>
  <si>
    <t>TABELA 2</t>
  </si>
  <si>
    <t>TABELA 3</t>
  </si>
  <si>
    <t>TABELA 4</t>
  </si>
  <si>
    <t>tabela 5</t>
  </si>
  <si>
    <t>(r)&lt;0,10</t>
  </si>
  <si>
    <t>0,10=&lt; (r) e (r) &lt; 0,15</t>
  </si>
  <si>
    <t>0,15=&lt; (r) e (r) &lt; 0,20</t>
  </si>
  <si>
    <t>0,20=&lt; (r) e (r) &lt; 0,25</t>
  </si>
  <si>
    <t>0,25=&lt; (r) e (r) &lt; 0,30</t>
  </si>
  <si>
    <t>0,30=&lt; (r) e (r) &lt; 0,35</t>
  </si>
  <si>
    <t>0,35=&lt; (r) e (r) &lt; 0,40</t>
  </si>
  <si>
    <t>(r)&gt;= 0,40</t>
  </si>
  <si>
    <t>Tabela 6</t>
  </si>
  <si>
    <t>IRPJ, PIS/Pasep, CSLL, Cofins e CPP</t>
  </si>
  <si>
    <t>4. TABELAS DO SIMPLES NACIONAL</t>
  </si>
  <si>
    <t>ENQUADRAMENTO ATUAL:</t>
  </si>
  <si>
    <t xml:space="preserve">DESONERADO: </t>
  </si>
  <si>
    <t>Sim</t>
  </si>
  <si>
    <t>Não</t>
  </si>
  <si>
    <t>MEI</t>
  </si>
  <si>
    <t>Simples Nacional</t>
  </si>
  <si>
    <t>Lucro Presumido</t>
  </si>
  <si>
    <t>Lucro Real</t>
  </si>
  <si>
    <t>ALIQUOTA DESONERAÇÂO</t>
  </si>
  <si>
    <t>RESUMO DE CARGA TRIBUTÁRIA</t>
  </si>
  <si>
    <t>Insumo para P.Serviços</t>
  </si>
  <si>
    <t>enquadramento</t>
  </si>
  <si>
    <t>valor dos impostos</t>
  </si>
  <si>
    <t>Folha Total</t>
  </si>
  <si>
    <t>Relação r</t>
  </si>
  <si>
    <t>3. Resultado dos Impostos</t>
  </si>
  <si>
    <t xml:space="preserve">  3. Resultado dos Impostos</t>
  </si>
  <si>
    <t>REFERENCIA CUSTOS</t>
  </si>
  <si>
    <t>MARKUP MULTIPLICADOR</t>
  </si>
  <si>
    <t>Faturamento</t>
  </si>
  <si>
    <t>0</t>
  </si>
  <si>
    <t>180000,01</t>
  </si>
  <si>
    <t>360000,01</t>
  </si>
  <si>
    <t>540000,01</t>
  </si>
  <si>
    <t>720000,01</t>
  </si>
  <si>
    <t>900000,01</t>
  </si>
  <si>
    <t>1080000,01</t>
  </si>
  <si>
    <t>1260000,01</t>
  </si>
  <si>
    <t>1440000,01</t>
  </si>
  <si>
    <t>1620000,01</t>
  </si>
  <si>
    <t>1800000,01</t>
  </si>
  <si>
    <t>1980000,01</t>
  </si>
  <si>
    <t>2160000,01</t>
  </si>
  <si>
    <t>2340000,01</t>
  </si>
  <si>
    <t>2520000,01</t>
  </si>
  <si>
    <t>2700000,01</t>
  </si>
  <si>
    <t>2880000,01</t>
  </si>
  <si>
    <t>3060000,01</t>
  </si>
  <si>
    <t>3240000,01</t>
  </si>
  <si>
    <t>3420000,01</t>
  </si>
  <si>
    <t>Corresp FAT</t>
  </si>
  <si>
    <t>Corresp R</t>
  </si>
  <si>
    <t>CPRB</t>
  </si>
  <si>
    <t>% tributos s/ Fat.</t>
  </si>
  <si>
    <t>% s/ Fat.</t>
  </si>
  <si>
    <t>Exemplo</t>
  </si>
  <si>
    <t>SERVIÇOS</t>
  </si>
  <si>
    <t>Comércio - ST Substituido</t>
  </si>
  <si>
    <t>TABELA I s/ICMS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</si>
</sst>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#,##0.00_ ;\-#,##0.00\ "/>
    <numFmt numFmtId="167" formatCode="0.0%"/>
  </numFmts>
  <fonts count="2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libri (Corpo)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28"/>
      <color rgb="FF333333"/>
      <name val="Calibri"/>
      <family val="2"/>
      <scheme val="minor"/>
    </font>
    <font>
      <sz val="18"/>
      <color rgb="FF333333"/>
      <name val="Calibri"/>
      <family val="2"/>
      <scheme val="minor"/>
    </font>
    <font>
      <sz val="28"/>
      <color rgb="FF333333"/>
      <name val="Calibri"/>
      <family val="2"/>
      <scheme val="minor"/>
    </font>
    <font>
      <b/>
      <sz val="12"/>
      <color theme="0"/>
      <name val="Calibri (Corpo)"/>
    </font>
    <font>
      <b/>
      <sz val="48"/>
      <color rgb="FF333333"/>
      <name val="Calibri"/>
      <family val="2"/>
      <scheme val="minor"/>
    </font>
    <font>
      <b/>
      <sz val="11"/>
      <color theme="0"/>
      <name val="Calibri (Corpo)"/>
    </font>
    <font>
      <sz val="10"/>
      <color theme="0"/>
      <name val="Calibri (Corpo)"/>
    </font>
    <font>
      <sz val="2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 corpo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899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6">
    <xf numFmtId="0" fontId="0" fillId="0" borderId="0" xfId="0"/>
    <xf numFmtId="0" fontId="7" fillId="0" borderId="0" xfId="0" applyFont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4" fontId="0" fillId="0" borderId="0" xfId="0" applyNumberFormat="1"/>
    <xf numFmtId="0" fontId="8" fillId="4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6" fillId="7" borderId="0" xfId="1" applyFill="1" applyProtection="1"/>
    <xf numFmtId="0" fontId="6" fillId="4" borderId="0" xfId="1" applyFill="1" applyProtection="1"/>
    <xf numFmtId="0" fontId="12" fillId="0" borderId="0" xfId="1" applyFont="1" applyFill="1"/>
    <xf numFmtId="0" fontId="13" fillId="4" borderId="0" xfId="1" applyFont="1" applyFill="1" applyAlignment="1" applyProtection="1"/>
    <xf numFmtId="0" fontId="6" fillId="4" borderId="0" xfId="1" applyFill="1"/>
    <xf numFmtId="0" fontId="6" fillId="0" borderId="0" xfId="1"/>
    <xf numFmtId="0" fontId="14" fillId="0" borderId="0" xfId="1" applyFont="1" applyFill="1"/>
    <xf numFmtId="0" fontId="15" fillId="7" borderId="0" xfId="1" applyFont="1" applyFill="1" applyAlignment="1">
      <alignment horizontal="center"/>
    </xf>
    <xf numFmtId="0" fontId="16" fillId="0" borderId="0" xfId="1" applyFont="1" applyFill="1"/>
    <xf numFmtId="0" fontId="17" fillId="7" borderId="0" xfId="1" applyFont="1" applyFill="1" applyAlignment="1">
      <alignment horizontal="center"/>
    </xf>
    <xf numFmtId="0" fontId="18" fillId="7" borderId="0" xfId="1" applyFont="1" applyFill="1" applyAlignment="1">
      <alignment horizontal="left" vertical="center" wrapText="1"/>
    </xf>
    <xf numFmtId="0" fontId="6" fillId="7" borderId="0" xfId="1" applyFill="1" applyBorder="1" applyProtection="1"/>
    <xf numFmtId="0" fontId="10" fillId="0" borderId="0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9" fontId="7" fillId="4" borderId="0" xfId="2" applyFont="1" applyFill="1" applyBorder="1" applyAlignment="1">
      <alignment horizontal="left" vertical="center"/>
    </xf>
    <xf numFmtId="9" fontId="10" fillId="4" borderId="0" xfId="2" applyFont="1" applyFill="1" applyBorder="1" applyAlignment="1">
      <alignment horizontal="left" vertical="center"/>
    </xf>
    <xf numFmtId="10" fontId="7" fillId="4" borderId="0" xfId="2" applyNumberFormat="1" applyFont="1" applyFill="1" applyBorder="1" applyAlignment="1">
      <alignment horizontal="left" vertical="center"/>
    </xf>
    <xf numFmtId="10" fontId="7" fillId="4" borderId="0" xfId="2" applyNumberFormat="1" applyFont="1" applyFill="1" applyBorder="1" applyAlignment="1">
      <alignment horizontal="center" vertical="center"/>
    </xf>
    <xf numFmtId="165" fontId="7" fillId="4" borderId="0" xfId="3" applyFont="1" applyFill="1" applyBorder="1" applyAlignment="1">
      <alignment horizontal="left" vertical="center"/>
    </xf>
    <xf numFmtId="10" fontId="7" fillId="4" borderId="0" xfId="0" applyNumberFormat="1" applyFont="1" applyFill="1" applyBorder="1" applyAlignment="1">
      <alignment horizontal="center" vertical="center"/>
    </xf>
    <xf numFmtId="165" fontId="9" fillId="4" borderId="0" xfId="3" applyFont="1" applyFill="1" applyBorder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10" fontId="7" fillId="4" borderId="7" xfId="2" applyNumberFormat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10" fontId="10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left" vertical="center"/>
    </xf>
    <xf numFmtId="165" fontId="10" fillId="4" borderId="1" xfId="3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0" fontId="7" fillId="4" borderId="1" xfId="2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165" fontId="7" fillId="4" borderId="9" xfId="3" applyFont="1" applyFill="1" applyBorder="1" applyAlignment="1">
      <alignment horizontal="left" vertical="center"/>
    </xf>
    <xf numFmtId="165" fontId="7" fillId="4" borderId="7" xfId="3" applyFont="1" applyFill="1" applyBorder="1" applyAlignment="1">
      <alignment horizontal="left" vertical="center"/>
    </xf>
    <xf numFmtId="165" fontId="10" fillId="4" borderId="9" xfId="0" applyNumberFormat="1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10" fontId="7" fillId="6" borderId="0" xfId="2" applyNumberFormat="1" applyFont="1" applyFill="1" applyBorder="1" applyAlignment="1">
      <alignment horizontal="left" vertical="center"/>
    </xf>
    <xf numFmtId="9" fontId="7" fillId="6" borderId="0" xfId="2" applyFont="1" applyFill="1" applyBorder="1" applyAlignment="1">
      <alignment horizontal="left" vertical="center"/>
    </xf>
    <xf numFmtId="9" fontId="10" fillId="6" borderId="0" xfId="2" applyFont="1" applyFill="1" applyBorder="1" applyAlignment="1">
      <alignment horizontal="left" vertical="center"/>
    </xf>
    <xf numFmtId="10" fontId="7" fillId="6" borderId="1" xfId="2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66" fontId="7" fillId="0" borderId="0" xfId="0" applyNumberFormat="1" applyFont="1" applyBorder="1" applyAlignment="1">
      <alignment horizontal="left" vertical="center"/>
    </xf>
    <xf numFmtId="165" fontId="20" fillId="0" borderId="12" xfId="3" applyFont="1" applyBorder="1" applyAlignment="1">
      <alignment vertical="center" wrapText="1"/>
    </xf>
    <xf numFmtId="165" fontId="20" fillId="0" borderId="9" xfId="3" applyFont="1" applyBorder="1" applyAlignment="1">
      <alignment vertical="center" wrapText="1"/>
    </xf>
    <xf numFmtId="165" fontId="20" fillId="0" borderId="13" xfId="3" applyFont="1" applyBorder="1" applyAlignment="1">
      <alignment vertical="center" wrapText="1"/>
    </xf>
    <xf numFmtId="165" fontId="20" fillId="0" borderId="14" xfId="3" applyFont="1" applyBorder="1" applyAlignment="1">
      <alignment vertical="center" wrapText="1"/>
    </xf>
    <xf numFmtId="165" fontId="7" fillId="4" borderId="0" xfId="3" applyFont="1" applyFill="1" applyBorder="1" applyAlignment="1">
      <alignment horizontal="center" vertical="center"/>
    </xf>
    <xf numFmtId="165" fontId="7" fillId="4" borderId="15" xfId="3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/>
    </xf>
    <xf numFmtId="165" fontId="7" fillId="4" borderId="17" xfId="3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21" fillId="7" borderId="0" xfId="1" applyFont="1" applyFill="1" applyProtection="1"/>
    <xf numFmtId="10" fontId="7" fillId="4" borderId="21" xfId="0" applyNumberFormat="1" applyFont="1" applyFill="1" applyBorder="1" applyAlignment="1">
      <alignment horizontal="center" vertical="center"/>
    </xf>
    <xf numFmtId="10" fontId="7" fillId="4" borderId="22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10" fontId="7" fillId="8" borderId="9" xfId="0" applyNumberFormat="1" applyFont="1" applyFill="1" applyBorder="1" applyAlignment="1">
      <alignment horizontal="center" vertical="center" wrapText="1"/>
    </xf>
    <xf numFmtId="0" fontId="7" fillId="0" borderId="0" xfId="0" applyFont="1"/>
    <xf numFmtId="165" fontId="7" fillId="0" borderId="0" xfId="3" applyFont="1"/>
    <xf numFmtId="49" fontId="20" fillId="0" borderId="13" xfId="3" applyNumberFormat="1" applyFont="1" applyBorder="1" applyAlignment="1">
      <alignment vertical="center" wrapText="1"/>
    </xf>
    <xf numFmtId="49" fontId="20" fillId="0" borderId="12" xfId="3" applyNumberFormat="1" applyFont="1" applyBorder="1" applyAlignment="1">
      <alignment vertical="center" wrapText="1"/>
    </xf>
    <xf numFmtId="49" fontId="7" fillId="8" borderId="14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9" borderId="0" xfId="0" applyFont="1" applyFill="1" applyBorder="1" applyAlignment="1" applyProtection="1">
      <alignment horizontal="left" vertical="center"/>
      <protection locked="0"/>
    </xf>
    <xf numFmtId="167" fontId="7" fillId="9" borderId="0" xfId="2" applyNumberFormat="1" applyFont="1" applyFill="1" applyBorder="1" applyAlignment="1" applyProtection="1">
      <alignment horizontal="left" vertical="center"/>
      <protection locked="0"/>
    </xf>
    <xf numFmtId="165" fontId="7" fillId="9" borderId="21" xfId="3" applyFont="1" applyFill="1" applyBorder="1" applyAlignment="1" applyProtection="1">
      <alignment horizontal="left" vertical="center"/>
      <protection locked="0"/>
    </xf>
    <xf numFmtId="10" fontId="7" fillId="9" borderId="0" xfId="2" applyNumberFormat="1" applyFont="1" applyFill="1" applyBorder="1" applyAlignment="1" applyProtection="1">
      <alignment horizontal="left" vertical="center"/>
      <protection locked="0"/>
    </xf>
    <xf numFmtId="10" fontId="7" fillId="9" borderId="1" xfId="2" applyNumberFormat="1" applyFont="1" applyFill="1" applyBorder="1" applyAlignment="1" applyProtection="1">
      <alignment horizontal="left" vertical="center"/>
      <protection locked="0"/>
    </xf>
    <xf numFmtId="0" fontId="18" fillId="7" borderId="0" xfId="1" applyFont="1" applyFill="1" applyAlignment="1" applyProtection="1">
      <alignment horizontal="center" vertical="center" wrapText="1"/>
      <protection locked="0"/>
    </xf>
    <xf numFmtId="0" fontId="18" fillId="7" borderId="0" xfId="1" applyFont="1" applyFill="1" applyAlignment="1" applyProtection="1">
      <alignment horizontal="left" vertical="center" wrapText="1"/>
      <protection locked="0"/>
    </xf>
    <xf numFmtId="0" fontId="3" fillId="4" borderId="0" xfId="1" applyFont="1" applyFill="1" applyAlignment="1" applyProtection="1">
      <alignment horizontal="left" vertical="center" wrapText="1"/>
      <protection locked="0"/>
    </xf>
    <xf numFmtId="0" fontId="3" fillId="4" borderId="0" xfId="1" applyFont="1" applyFill="1" applyAlignment="1" applyProtection="1">
      <alignment horizontal="center" vertical="center" wrapText="1"/>
      <protection locked="0"/>
    </xf>
    <xf numFmtId="0" fontId="22" fillId="0" borderId="14" xfId="0" applyFont="1" applyBorder="1" applyAlignment="1" applyProtection="1">
      <alignment horizontal="center" vertical="center" wrapText="1"/>
      <protection locked="0"/>
    </xf>
    <xf numFmtId="0" fontId="7" fillId="4" borderId="0" xfId="0" applyFont="1" applyFill="1" applyBorder="1" applyAlignment="1" applyProtection="1">
      <alignment horizontal="left" vertical="center"/>
      <protection locked="0"/>
    </xf>
    <xf numFmtId="165" fontId="20" fillId="0" borderId="13" xfId="3" applyFont="1" applyBorder="1" applyAlignment="1" applyProtection="1">
      <alignment vertical="center" wrapText="1"/>
      <protection locked="0"/>
    </xf>
    <xf numFmtId="165" fontId="20" fillId="0" borderId="14" xfId="3" applyFont="1" applyBorder="1" applyAlignment="1" applyProtection="1">
      <alignment vertical="center" wrapText="1"/>
      <protection locked="0"/>
    </xf>
    <xf numFmtId="10" fontId="20" fillId="0" borderId="9" xfId="0" applyNumberFormat="1" applyFont="1" applyBorder="1" applyAlignment="1" applyProtection="1">
      <alignment horizontal="center" vertical="center" wrapText="1"/>
      <protection locked="0"/>
    </xf>
    <xf numFmtId="165" fontId="20" fillId="0" borderId="12" xfId="3" applyFont="1" applyBorder="1" applyAlignment="1" applyProtection="1">
      <alignment vertical="center" wrapText="1"/>
      <protection locked="0"/>
    </xf>
    <xf numFmtId="165" fontId="20" fillId="0" borderId="9" xfId="3" applyFont="1" applyBorder="1" applyAlignment="1" applyProtection="1">
      <alignment vertical="center" wrapText="1"/>
      <protection locked="0"/>
    </xf>
    <xf numFmtId="0" fontId="10" fillId="4" borderId="0" xfId="0" applyFont="1" applyFill="1" applyBorder="1" applyAlignment="1" applyProtection="1">
      <alignment horizontal="left" vertical="center"/>
      <protection locked="0"/>
    </xf>
    <xf numFmtId="0" fontId="10" fillId="8" borderId="27" xfId="0" applyFont="1" applyFill="1" applyBorder="1" applyAlignment="1" applyProtection="1">
      <alignment horizontal="center" vertical="center" wrapText="1"/>
      <protection locked="0"/>
    </xf>
    <xf numFmtId="0" fontId="10" fillId="8" borderId="28" xfId="0" applyFont="1" applyFill="1" applyBorder="1" applyAlignment="1" applyProtection="1">
      <alignment horizontal="center" vertical="center" wrapText="1"/>
      <protection locked="0"/>
    </xf>
    <xf numFmtId="10" fontId="7" fillId="8" borderId="29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0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1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2" xfId="0" applyNumberFormat="1" applyFont="1" applyFill="1" applyBorder="1" applyAlignment="1" applyProtection="1">
      <alignment horizontal="center" vertical="center" wrapText="1"/>
      <protection locked="0"/>
    </xf>
    <xf numFmtId="0" fontId="10" fillId="8" borderId="14" xfId="0" applyFont="1" applyFill="1" applyBorder="1" applyAlignment="1" applyProtection="1">
      <alignment horizontal="center" vertical="center" wrapText="1"/>
      <protection locked="0"/>
    </xf>
    <xf numFmtId="10" fontId="7" fillId="8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Border="1" applyAlignment="1" applyProtection="1">
      <alignment horizontal="left" vertical="center"/>
      <protection locked="0"/>
    </xf>
    <xf numFmtId="0" fontId="11" fillId="3" borderId="0" xfId="0" applyFont="1" applyFill="1" applyBorder="1" applyAlignment="1" applyProtection="1">
      <alignment horizontal="left" vertical="center"/>
      <protection locked="0"/>
    </xf>
    <xf numFmtId="0" fontId="8" fillId="4" borderId="0" xfId="0" applyFont="1" applyFill="1" applyBorder="1" applyAlignment="1" applyProtection="1">
      <alignment horizontal="left" vertical="center"/>
      <protection locked="0"/>
    </xf>
    <xf numFmtId="0" fontId="10" fillId="8" borderId="33" xfId="0" applyFont="1" applyFill="1" applyBorder="1" applyAlignment="1" applyProtection="1">
      <alignment horizontal="center" vertical="center" wrapText="1"/>
      <protection locked="0"/>
    </xf>
    <xf numFmtId="0" fontId="10" fillId="8" borderId="34" xfId="0" applyFont="1" applyFill="1" applyBorder="1" applyAlignment="1" applyProtection="1">
      <alignment horizontal="center" vertical="center" wrapText="1"/>
      <protection locked="0"/>
    </xf>
    <xf numFmtId="0" fontId="7" fillId="8" borderId="14" xfId="0" applyFont="1" applyFill="1" applyBorder="1" applyAlignment="1" applyProtection="1">
      <alignment horizontal="center" vertical="center" wrapText="1"/>
      <protection locked="0"/>
    </xf>
    <xf numFmtId="0" fontId="10" fillId="4" borderId="0" xfId="0" applyFont="1" applyFill="1" applyBorder="1" applyAlignment="1">
      <alignment vertical="center"/>
    </xf>
    <xf numFmtId="10" fontId="7" fillId="4" borderId="0" xfId="0" applyNumberFormat="1" applyFont="1" applyFill="1" applyBorder="1" applyAlignment="1" applyProtection="1">
      <alignment horizontal="left" vertical="center"/>
      <protection locked="0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7" fillId="9" borderId="0" xfId="0" applyFont="1" applyFill="1" applyBorder="1" applyAlignment="1" applyProtection="1">
      <alignment horizontal="left" vertical="center"/>
      <protection locked="0"/>
    </xf>
    <xf numFmtId="0" fontId="7" fillId="9" borderId="7" xfId="0" applyFont="1" applyFill="1" applyBorder="1" applyAlignment="1" applyProtection="1">
      <alignment horizontal="left" vertical="center"/>
      <protection locked="0"/>
    </xf>
    <xf numFmtId="0" fontId="10" fillId="4" borderId="5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  <protection locked="0"/>
    </xf>
    <xf numFmtId="0" fontId="22" fillId="0" borderId="14" xfId="0" applyFont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2" xfId="1"/>
    <cellStyle name="Porcentagem" xfId="2" builtinId="5"/>
    <cellStyle name="Vírgula" xfId="3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296332</xdr:colOff>
      <xdr:row>2</xdr:row>
      <xdr:rowOff>0</xdr:rowOff>
    </xdr:from>
    <xdr:ext cx="8858251" cy="6009722"/>
    <xdr:sp macro="" textlink="">
      <xdr:nvSpPr>
        <xdr:cNvPr id="3" name="CaixaDeTexto 2"/>
        <xdr:cNvSpPr txBox="1"/>
      </xdr:nvSpPr>
      <xdr:spPr>
        <a:xfrm>
          <a:off x="2063749" y="804333"/>
          <a:ext cx="8858251" cy="6009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Esta planilha tem o intuito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contribuir com o Planejamento Tributário das Empresas.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metodo utilizado é estimar os tributos através de informações simples, disponível a qualquer empreendedor ou gestor da área financeira. Como qualquer calculo simulado, ele é uma simplificação de um situação obtida através de informações e premissas, para a tomada de decisões é aconselhavél consultar um contador.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etapas para o cálculo são;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Estimar informações anuais de Receita e de Despesas na opção 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Entrada de Dados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Validar as aliquotas básicas dos impostos na opção 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Alíquota de Impostos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Validar os cálculos realizados, na opção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Resultados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Analisar os resultados da planilha.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OBS: Em todos os casos, os campos a serem preenchidos estão em azul.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planilha possui dados de um exemplo preenchido para facilitar o entendimento de seu funcionamento.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Importante: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opção de enquadramento, seja ele lucro real, lucro presumido ou simples nacional, depende de uma série de condições que não estão incluidas nos calculos.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informações desta planilha servem apenas para orientação geral, e não significam o aconselhamento para a tomada de decisão. Seus cálculos são simplificações da dinâmica tributária das empresas, como qualquer simplificação estão sujeitas a erros e a imprecisões diversas.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É necessário sempre consultar um profissional habilitado para que seja discutido os diversos fatores que influenciam a definição de enquadramento tributário para cada caso isolado. Não nos responsabilizamos pelo uso das informações desta ferramenta. </a:t>
          </a:r>
          <a:endParaRPr lang="pt-B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5</xdr:col>
      <xdr:colOff>1200150</xdr:colOff>
      <xdr:row>11</xdr:row>
      <xdr:rowOff>209550</xdr:rowOff>
    </xdr:from>
    <xdr:to>
      <xdr:col>7</xdr:col>
      <xdr:colOff>352425</xdr:colOff>
      <xdr:row>12</xdr:row>
      <xdr:rowOff>200025</xdr:rowOff>
    </xdr:to>
    <xdr:pic>
      <xdr:nvPicPr>
        <xdr:cNvPr id="1026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3419475"/>
          <a:ext cx="1895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075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2076" name="Imagem 4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307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3074" name="Imagem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4097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4098" name="Imagem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5121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495300</xdr:rowOff>
    </xdr:to>
    <xdr:pic>
      <xdr:nvPicPr>
        <xdr:cNvPr id="5122" name="Imagem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11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N44"/>
  <sheetViews>
    <sheetView showGridLines="0" tabSelected="1" zoomScale="90" zoomScaleNormal="90" workbookViewId="0">
      <selection activeCell="A5" sqref="A5"/>
    </sheetView>
  </sheetViews>
  <sheetFormatPr defaultRowHeight="15"/>
  <cols>
    <col min="1" max="1" width="26.5703125" style="33" customWidth="1"/>
    <col min="2" max="2" width="4.42578125" style="27" customWidth="1"/>
    <col min="3" max="10" width="20.5703125" style="27" customWidth="1"/>
    <col min="11" max="16384" width="9.140625" style="27"/>
  </cols>
  <sheetData>
    <row r="1" spans="1:14" ht="40.5" customHeight="1">
      <c r="A1"/>
      <c r="B1" s="23"/>
      <c r="C1" s="24" t="s">
        <v>7</v>
      </c>
      <c r="D1" s="25"/>
      <c r="E1" s="25"/>
      <c r="F1" s="25"/>
      <c r="G1" s="25"/>
      <c r="H1" s="25"/>
      <c r="I1" s="25"/>
      <c r="J1" s="25"/>
      <c r="K1" s="25"/>
      <c r="L1" s="25"/>
      <c r="M1" s="26"/>
      <c r="N1" s="26"/>
    </row>
    <row r="2" spans="1:14" ht="23.1" customHeight="1">
      <c r="A2" s="29" t="s">
        <v>3</v>
      </c>
      <c r="C2" s="28"/>
    </row>
    <row r="3" spans="1:14" ht="9.9499999999999993" customHeight="1">
      <c r="A3" s="88"/>
      <c r="C3" s="30"/>
    </row>
    <row r="4" spans="1:14" ht="23.1" customHeight="1">
      <c r="A4" s="110" t="s">
        <v>4</v>
      </c>
    </row>
    <row r="5" spans="1:14" ht="23.1" customHeight="1">
      <c r="A5" s="108" t="s">
        <v>6</v>
      </c>
    </row>
    <row r="6" spans="1:14" ht="23.1" customHeight="1">
      <c r="A6" s="108" t="s">
        <v>58</v>
      </c>
    </row>
    <row r="7" spans="1:14" ht="23.1" customHeight="1">
      <c r="A7" s="108" t="s">
        <v>59</v>
      </c>
    </row>
    <row r="8" spans="1:14" ht="23.1" customHeight="1">
      <c r="A8" s="108" t="s">
        <v>60</v>
      </c>
    </row>
    <row r="9" spans="1:14" ht="23.1" customHeight="1">
      <c r="A9" s="108"/>
    </row>
    <row r="10" spans="1:14" ht="23.1" customHeight="1">
      <c r="A10" s="108" t="s">
        <v>5</v>
      </c>
    </row>
    <row r="11" spans="1:14" ht="23.1" customHeight="1">
      <c r="A11" s="108"/>
    </row>
    <row r="12" spans="1:14" ht="23.1" customHeight="1">
      <c r="A12" s="32"/>
    </row>
    <row r="13" spans="1:14" ht="23.1" customHeight="1">
      <c r="A13" s="32"/>
    </row>
    <row r="14" spans="1:14" ht="21" customHeight="1">
      <c r="A14" s="32"/>
    </row>
    <row r="15" spans="1:14" ht="21" customHeight="1">
      <c r="A15" s="22"/>
    </row>
    <row r="16" spans="1:14" ht="21" customHeight="1">
      <c r="A16" s="22"/>
    </row>
    <row r="17" spans="1:1" ht="21" customHeight="1">
      <c r="A17" s="22"/>
    </row>
    <row r="18" spans="1:1" ht="21" customHeight="1">
      <c r="A18" s="22"/>
    </row>
    <row r="19" spans="1:1" ht="21" customHeight="1">
      <c r="A19" s="22"/>
    </row>
    <row r="20" spans="1:1" ht="21" customHeight="1">
      <c r="A20" s="22"/>
    </row>
    <row r="21" spans="1:1" ht="21" customHeight="1">
      <c r="A21" s="22"/>
    </row>
    <row r="22" spans="1:1" ht="21" customHeight="1">
      <c r="A22" s="22"/>
    </row>
    <row r="23" spans="1:1" ht="21" customHeight="1">
      <c r="A23" s="22"/>
    </row>
    <row r="24" spans="1:1" ht="21" customHeight="1">
      <c r="A24" s="22"/>
    </row>
    <row r="25" spans="1:1" ht="21" customHeight="1">
      <c r="A25" s="22"/>
    </row>
    <row r="26" spans="1:1" ht="21" customHeight="1">
      <c r="A26" s="22"/>
    </row>
    <row r="27" spans="1:1" ht="21" customHeight="1">
      <c r="A27" s="22"/>
    </row>
    <row r="28" spans="1:1" ht="21" customHeight="1">
      <c r="A28" s="22"/>
    </row>
    <row r="29" spans="1:1" ht="21" customHeight="1">
      <c r="A29" s="22"/>
    </row>
    <row r="30" spans="1:1" ht="21" customHeight="1"/>
    <row r="31" spans="1:1" ht="21" customHeight="1"/>
    <row r="32" spans="1:1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</sheetData>
  <sheetProtection algorithmName="SHA-512" hashValue="ySGCe+xQsDuu+dpwqKAztP3ZpBFncvdytDaiuIHVhTVU86OV6Lqz0efEfyNcFRSs4E4mH3RY+Oyym1EqUZKwvw==" saltValue="BVhAhLwOaSpm19HXqhX5RQ==" spinCount="100000" sheet="1" selectLockedCells="1"/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BY91"/>
  <sheetViews>
    <sheetView showGridLines="0" zoomScale="90" zoomScaleNormal="90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A4" sqref="A4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4" width="24.28515625" style="8" bestFit="1" customWidth="1"/>
    <col min="5" max="5" width="27.5703125" style="8" customWidth="1"/>
    <col min="6" max="6" width="17.5703125" style="8" customWidth="1"/>
    <col min="7" max="7" width="22.85546875" style="8" customWidth="1"/>
    <col min="8" max="8" width="21.7109375" style="8" customWidth="1"/>
    <col min="9" max="9" width="3.7109375" style="8" customWidth="1"/>
    <col min="10" max="11" width="21.7109375" style="8" customWidth="1"/>
    <col min="12" max="74" width="9.140625" style="8"/>
    <col min="75" max="16384" width="9.140625" style="1"/>
  </cols>
  <sheetData>
    <row r="1" spans="1:77" ht="40.5" customHeight="1">
      <c r="A1"/>
      <c r="B1" s="6" t="s">
        <v>0</v>
      </c>
      <c r="C1" s="44" t="s">
        <v>56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77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</row>
    <row r="3" spans="1:77" ht="9.9499999999999993" customHeight="1" thickBot="1">
      <c r="A3" s="31"/>
    </row>
    <row r="4" spans="1:77" s="14" customFormat="1" ht="23.1" customHeight="1">
      <c r="A4" s="107" t="s">
        <v>4</v>
      </c>
      <c r="B4" s="18"/>
      <c r="C4" s="34"/>
      <c r="D4" s="34" t="s">
        <v>62</v>
      </c>
      <c r="E4" s="140" t="s">
        <v>130</v>
      </c>
      <c r="F4" s="141"/>
      <c r="G4" s="135" t="s">
        <v>63</v>
      </c>
      <c r="H4" s="136"/>
      <c r="I4" s="12"/>
      <c r="J4" s="135" t="s">
        <v>64</v>
      </c>
      <c r="K4" s="136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</row>
    <row r="5" spans="1:77" ht="23.1" customHeight="1">
      <c r="A5" s="109" t="s">
        <v>6</v>
      </c>
      <c r="B5" s="19"/>
      <c r="C5" s="17"/>
      <c r="D5" s="34" t="s">
        <v>65</v>
      </c>
      <c r="E5" s="102" t="s">
        <v>131</v>
      </c>
      <c r="F5" s="101"/>
      <c r="G5" s="64" t="s">
        <v>8</v>
      </c>
      <c r="H5" s="104">
        <v>30000</v>
      </c>
      <c r="J5" s="64" t="s">
        <v>14</v>
      </c>
      <c r="K5" s="104">
        <v>0</v>
      </c>
      <c r="BW5" s="8"/>
      <c r="BX5" s="8"/>
      <c r="BY5" s="8"/>
    </row>
    <row r="6" spans="1:77" ht="21.95" customHeight="1">
      <c r="A6" s="108" t="s">
        <v>58</v>
      </c>
      <c r="B6" s="19"/>
      <c r="C6" s="17"/>
      <c r="D6" s="34" t="s">
        <v>85</v>
      </c>
      <c r="E6" s="102" t="s">
        <v>90</v>
      </c>
      <c r="F6" s="101"/>
      <c r="G6" s="64" t="s">
        <v>132</v>
      </c>
      <c r="H6" s="104">
        <v>30000</v>
      </c>
      <c r="J6" s="64" t="s">
        <v>15</v>
      </c>
      <c r="K6" s="104">
        <v>0</v>
      </c>
      <c r="BW6" s="8"/>
      <c r="BX6" s="8"/>
      <c r="BY6" s="8"/>
    </row>
    <row r="7" spans="1:77" ht="21.95" customHeight="1">
      <c r="A7" s="108" t="s">
        <v>59</v>
      </c>
      <c r="B7" s="19"/>
      <c r="C7" s="17"/>
      <c r="D7" s="75" t="s">
        <v>86</v>
      </c>
      <c r="E7" s="102" t="s">
        <v>88</v>
      </c>
      <c r="F7" s="101"/>
      <c r="G7" s="64" t="s">
        <v>50</v>
      </c>
      <c r="H7" s="104">
        <v>30000</v>
      </c>
      <c r="J7" s="64" t="s">
        <v>16</v>
      </c>
      <c r="K7" s="104">
        <v>0</v>
      </c>
      <c r="BW7" s="8"/>
      <c r="BX7" s="8"/>
      <c r="BY7" s="8"/>
    </row>
    <row r="8" spans="1:77" ht="21.95" customHeight="1">
      <c r="A8" s="108" t="s">
        <v>60</v>
      </c>
      <c r="B8" s="19"/>
      <c r="C8" s="17"/>
      <c r="D8" s="75" t="s">
        <v>93</v>
      </c>
      <c r="E8" s="103">
        <v>2.5000000000000001E-2</v>
      </c>
      <c r="F8" s="101"/>
      <c r="G8" s="64" t="s">
        <v>9</v>
      </c>
      <c r="H8" s="104">
        <v>30000</v>
      </c>
      <c r="J8" s="64" t="s">
        <v>48</v>
      </c>
      <c r="K8" s="104">
        <v>0</v>
      </c>
      <c r="BW8" s="8"/>
      <c r="BX8" s="8"/>
      <c r="BY8" s="8"/>
    </row>
    <row r="9" spans="1:77" ht="21.95" customHeight="1">
      <c r="A9" s="108"/>
      <c r="B9" s="19"/>
      <c r="C9" s="17"/>
      <c r="D9" s="17"/>
      <c r="E9" s="17"/>
      <c r="F9" s="17"/>
      <c r="G9" s="64" t="s">
        <v>10</v>
      </c>
      <c r="H9" s="104">
        <v>30000</v>
      </c>
      <c r="J9" s="64" t="s">
        <v>95</v>
      </c>
      <c r="K9" s="104">
        <v>0</v>
      </c>
      <c r="BW9" s="8"/>
      <c r="BX9" s="8"/>
      <c r="BY9" s="8"/>
    </row>
    <row r="10" spans="1:77" ht="21.95" customHeight="1">
      <c r="A10" s="108" t="s">
        <v>5</v>
      </c>
      <c r="B10" s="19"/>
      <c r="C10" s="17"/>
      <c r="D10" s="75" t="s">
        <v>103</v>
      </c>
      <c r="E10" s="102">
        <v>1</v>
      </c>
      <c r="F10" s="17"/>
      <c r="G10" s="64" t="s">
        <v>11</v>
      </c>
      <c r="H10" s="104">
        <v>30000</v>
      </c>
      <c r="J10" s="64" t="s">
        <v>17</v>
      </c>
      <c r="K10" s="104">
        <v>0</v>
      </c>
      <c r="BW10" s="8"/>
      <c r="BX10" s="8"/>
      <c r="BY10" s="8"/>
    </row>
    <row r="11" spans="1:77" s="3" customFormat="1" ht="21.95" customHeight="1" thickBot="1">
      <c r="A11" s="108"/>
      <c r="B11" s="19"/>
      <c r="C11" s="17"/>
      <c r="D11" s="75" t="s">
        <v>102</v>
      </c>
      <c r="E11" s="76">
        <f>H5/E10</f>
        <v>30000</v>
      </c>
      <c r="F11" s="17"/>
      <c r="G11" s="64" t="s">
        <v>12</v>
      </c>
      <c r="H11" s="104">
        <v>30000</v>
      </c>
      <c r="I11" s="8"/>
      <c r="J11" s="64" t="s">
        <v>51</v>
      </c>
      <c r="K11" s="104">
        <v>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spans="1:77" s="13" customFormat="1" ht="21.95" customHeight="1" thickBot="1">
      <c r="A12" s="32"/>
      <c r="B12" s="18"/>
      <c r="C12" s="34"/>
      <c r="D12" s="17"/>
      <c r="E12" s="17"/>
      <c r="F12" s="17"/>
      <c r="G12" s="51" t="s">
        <v>13</v>
      </c>
      <c r="H12" s="65">
        <f>SUM(H5:H11)</f>
        <v>210000</v>
      </c>
      <c r="I12" s="12"/>
      <c r="J12" s="64" t="s">
        <v>18</v>
      </c>
      <c r="K12" s="104">
        <f>600*12</f>
        <v>7200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</row>
    <row r="13" spans="1:77" ht="21.95" customHeight="1" thickBot="1">
      <c r="A13" s="32"/>
      <c r="B13" s="19"/>
      <c r="C13" s="17"/>
      <c r="D13" s="137" t="s">
        <v>94</v>
      </c>
      <c r="E13" s="138"/>
      <c r="F13" s="139"/>
      <c r="G13" s="12"/>
      <c r="H13" s="12"/>
      <c r="J13" s="51" t="s">
        <v>19</v>
      </c>
      <c r="K13" s="65">
        <f>SUM(K5:K12)</f>
        <v>7200</v>
      </c>
      <c r="BW13" s="8"/>
      <c r="BX13" s="8"/>
      <c r="BY13" s="8"/>
    </row>
    <row r="14" spans="1:77" ht="21.95" customHeight="1">
      <c r="A14" s="32"/>
      <c r="B14" s="19"/>
      <c r="C14" s="17"/>
      <c r="D14" s="85" t="s">
        <v>96</v>
      </c>
      <c r="E14" s="86" t="s">
        <v>97</v>
      </c>
      <c r="F14" s="87" t="s">
        <v>129</v>
      </c>
      <c r="J14" s="12"/>
      <c r="K14" s="12"/>
      <c r="BW14" s="8"/>
      <c r="BX14" s="8"/>
      <c r="BY14" s="8"/>
    </row>
    <row r="15" spans="1:77" ht="21.95" customHeight="1">
      <c r="A15" s="22"/>
      <c r="B15" s="19"/>
      <c r="C15" s="17"/>
      <c r="D15" s="64" t="s">
        <v>28</v>
      </c>
      <c r="E15" s="82">
        <f>Resultados!M21</f>
        <v>19512</v>
      </c>
      <c r="F15" s="89">
        <f>Resultados!L21</f>
        <v>9.2914285714285713E-2</v>
      </c>
      <c r="G15" s="133"/>
      <c r="H15" s="133"/>
      <c r="BW15" s="8"/>
      <c r="BX15" s="8"/>
      <c r="BY15" s="8"/>
    </row>
    <row r="16" spans="1:77" ht="21.95" customHeight="1">
      <c r="A16" s="22"/>
      <c r="B16" s="19"/>
      <c r="D16" s="64" t="s">
        <v>26</v>
      </c>
      <c r="E16" s="82">
        <f>Resultados!G21</f>
        <v>37233</v>
      </c>
      <c r="F16" s="89">
        <f>Resultados!F21</f>
        <v>0.17730000000000001</v>
      </c>
      <c r="H16" s="81"/>
      <c r="BW16" s="8"/>
      <c r="BX16" s="8"/>
    </row>
    <row r="17" spans="1:76" ht="21.95" customHeight="1" thickBot="1">
      <c r="A17" s="22"/>
      <c r="B17" s="19"/>
      <c r="D17" s="83" t="s">
        <v>27</v>
      </c>
      <c r="E17" s="84">
        <f>Resultados!J21</f>
        <v>77703</v>
      </c>
      <c r="F17" s="90">
        <f>Resultados!I21</f>
        <v>0.37001428571428568</v>
      </c>
      <c r="H17" s="81"/>
      <c r="BW17" s="8"/>
      <c r="BX17" s="8"/>
    </row>
    <row r="18" spans="1:76" ht="21.95" customHeight="1">
      <c r="A18" s="22"/>
      <c r="B18" s="19"/>
      <c r="F18" s="12"/>
      <c r="H18" s="81"/>
      <c r="BW18" s="8"/>
      <c r="BX18" s="8"/>
    </row>
    <row r="19" spans="1:76" ht="21.95" customHeight="1">
      <c r="A19" s="22"/>
      <c r="B19" s="19"/>
      <c r="F19" s="12"/>
      <c r="H19" s="81"/>
      <c r="BW19" s="8"/>
      <c r="BX19" s="8"/>
    </row>
    <row r="20" spans="1:76" s="3" customFormat="1" ht="21.95" customHeight="1" thickBot="1">
      <c r="A20" s="22"/>
      <c r="B20" s="19"/>
      <c r="C20" s="8"/>
      <c r="D20" s="12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6" s="15" customFormat="1" ht="21.95" customHeight="1">
      <c r="A21" s="22"/>
      <c r="B21" s="18"/>
      <c r="C21" s="12"/>
      <c r="D21" s="12"/>
      <c r="E21" s="12"/>
      <c r="F21" s="8"/>
      <c r="G21" s="8"/>
      <c r="H21" s="8"/>
      <c r="I21" s="12"/>
      <c r="J21" s="8"/>
      <c r="K21" s="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</row>
    <row r="22" spans="1:76" s="16" customFormat="1" ht="21.95" customHeight="1">
      <c r="A22" s="22"/>
      <c r="B22" s="18"/>
      <c r="C22" s="12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</row>
    <row r="23" spans="1:76" ht="21.95" customHeight="1">
      <c r="A23" s="22"/>
      <c r="B23" s="19"/>
      <c r="G23" s="12"/>
      <c r="H23" s="12"/>
      <c r="J23" s="12"/>
      <c r="K23" s="12"/>
    </row>
    <row r="24" spans="1:76" ht="21.95" customHeight="1">
      <c r="A24" s="22"/>
      <c r="B24" s="19"/>
      <c r="G24" s="12"/>
      <c r="H24" s="12"/>
    </row>
    <row r="25" spans="1:76" ht="21.95" customHeight="1">
      <c r="A25" s="22"/>
      <c r="B25" s="19"/>
    </row>
    <row r="26" spans="1:76" ht="21.95" customHeight="1">
      <c r="A26" s="22"/>
      <c r="B26" s="19"/>
    </row>
    <row r="27" spans="1:76" ht="21.95" customHeight="1">
      <c r="A27" s="22"/>
      <c r="B27" s="19"/>
    </row>
    <row r="28" spans="1:76" ht="21.95" customHeight="1">
      <c r="A28" s="22"/>
      <c r="B28" s="19"/>
    </row>
    <row r="29" spans="1:76" ht="21.95" customHeight="1">
      <c r="A29" s="22"/>
      <c r="B29" s="19"/>
    </row>
    <row r="30" spans="1:76" ht="21.95" customHeight="1">
      <c r="A30" s="22"/>
      <c r="B30" s="19"/>
    </row>
    <row r="31" spans="1:76" ht="21.95" customHeight="1">
      <c r="B31" s="19"/>
    </row>
    <row r="32" spans="1:76" ht="21.95" customHeight="1">
      <c r="B32" s="19"/>
    </row>
    <row r="33" spans="1:74" ht="21.95" customHeight="1">
      <c r="B33" s="19"/>
      <c r="F33" s="12"/>
    </row>
    <row r="34" spans="1:74" ht="21.95" customHeight="1">
      <c r="B34" s="19"/>
    </row>
    <row r="35" spans="1:74" s="3" customFormat="1" ht="21.95" customHeight="1" thickBot="1">
      <c r="A35" s="33"/>
      <c r="B35" s="19"/>
      <c r="C35" s="8"/>
      <c r="D35" s="12"/>
      <c r="E35" s="12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11" customFormat="1" ht="21.95" customHeight="1">
      <c r="A36" s="33"/>
      <c r="B36" s="18"/>
      <c r="C36" s="12"/>
      <c r="D36" s="8"/>
      <c r="E36" s="8"/>
      <c r="F36" s="8"/>
      <c r="G36" s="8"/>
      <c r="H36" s="8"/>
      <c r="I36" s="12"/>
      <c r="J36" s="8"/>
      <c r="K36" s="8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</row>
    <row r="37" spans="1:74" ht="21.95" customHeight="1">
      <c r="B37" s="19"/>
      <c r="J37" s="12"/>
      <c r="K37" s="12"/>
    </row>
    <row r="38" spans="1:74" ht="21.95" customHeight="1">
      <c r="B38" s="19"/>
      <c r="G38" s="12"/>
      <c r="H38" s="12"/>
    </row>
    <row r="39" spans="1:74" ht="21.95" customHeight="1">
      <c r="B39" s="19"/>
    </row>
    <row r="40" spans="1:74" ht="21.95" customHeight="1">
      <c r="B40" s="19"/>
    </row>
    <row r="41" spans="1:74" ht="21.95" customHeight="1">
      <c r="B41" s="19"/>
    </row>
    <row r="42" spans="1:74" ht="21.95" customHeight="1">
      <c r="B42" s="19"/>
    </row>
    <row r="43" spans="1:74" ht="21.95" customHeight="1">
      <c r="B43" s="19"/>
    </row>
    <row r="44" spans="1:74" ht="21.95" customHeight="1">
      <c r="B44" s="19"/>
    </row>
    <row r="45" spans="1:74" ht="21.95" customHeight="1">
      <c r="B45" s="19"/>
    </row>
    <row r="46" spans="1:74" ht="21.95" customHeight="1">
      <c r="B46" s="19"/>
    </row>
    <row r="47" spans="1:74" ht="21.95" customHeight="1">
      <c r="B47" s="19"/>
    </row>
    <row r="48" spans="1:74" ht="21.95" customHeight="1">
      <c r="B48" s="19"/>
    </row>
    <row r="49" spans="1:74" ht="21.95" customHeight="1">
      <c r="B49" s="19"/>
    </row>
    <row r="50" spans="1:74" ht="21.95" customHeight="1">
      <c r="B50" s="19"/>
    </row>
    <row r="51" spans="1:74" ht="21.95" customHeight="1">
      <c r="B51" s="19"/>
    </row>
    <row r="52" spans="1:74" ht="21.95" customHeight="1">
      <c r="B52" s="19"/>
    </row>
    <row r="53" spans="1:74" ht="21.95" customHeight="1">
      <c r="B53" s="19"/>
    </row>
    <row r="54" spans="1:74" s="3" customFormat="1" ht="21.95" customHeight="1" thickBot="1">
      <c r="A54" s="33"/>
      <c r="B54" s="19"/>
      <c r="C54" s="8"/>
      <c r="D54" s="8"/>
      <c r="E54" s="8"/>
      <c r="F54" s="12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8" customFormat="1" ht="21.95" customHeight="1">
      <c r="A55" s="33"/>
      <c r="B55" s="17"/>
    </row>
    <row r="56" spans="1:74" s="8" customFormat="1" ht="21.95" customHeight="1">
      <c r="A56" s="33"/>
      <c r="B56" s="17"/>
      <c r="D56" s="12"/>
      <c r="E56" s="12"/>
    </row>
    <row r="57" spans="1:74" s="35" customFormat="1" ht="21.95" customHeight="1">
      <c r="A57" s="33"/>
      <c r="B57" s="11"/>
      <c r="C57" s="12"/>
      <c r="D57" s="8"/>
      <c r="E57" s="8"/>
      <c r="F57" s="8"/>
      <c r="G57" s="8"/>
      <c r="H57" s="8"/>
      <c r="I57" s="12"/>
      <c r="J57" s="8"/>
      <c r="K57" s="8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</row>
    <row r="58" spans="1:74" s="36" customFormat="1" ht="21.95" customHeight="1">
      <c r="A58" s="33"/>
      <c r="B58" s="6"/>
      <c r="C58" s="8"/>
      <c r="D58" s="8"/>
      <c r="E58" s="8"/>
      <c r="F58" s="8"/>
      <c r="G58" s="8"/>
      <c r="H58" s="8"/>
      <c r="I58" s="8"/>
      <c r="J58" s="12"/>
      <c r="K58" s="12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36" customFormat="1" ht="21.95" customHeight="1">
      <c r="A59" s="33"/>
      <c r="B59" s="6"/>
      <c r="C59" s="8"/>
      <c r="D59" s="8"/>
      <c r="E59" s="8"/>
      <c r="F59" s="8"/>
      <c r="G59" s="12"/>
      <c r="H59" s="12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36" customFormat="1" ht="21.95" customHeight="1">
      <c r="A60" s="33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36" customFormat="1" ht="21.95" customHeight="1">
      <c r="A61" s="33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36" customFormat="1" ht="21.95" customHeight="1">
      <c r="A62" s="33"/>
      <c r="B62" s="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36" customFormat="1" ht="21.95" customHeight="1">
      <c r="A63" s="33"/>
      <c r="B63" s="1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36" customFormat="1" ht="21.95" customHeight="1">
      <c r="A64" s="33"/>
      <c r="B64" s="1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36" customFormat="1" ht="21.95" customHeight="1">
      <c r="A65" s="33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36" customFormat="1" ht="21.95" customHeight="1">
      <c r="A66" s="33"/>
      <c r="B66" s="1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ht="21.95" customHeight="1">
      <c r="F67" s="20"/>
    </row>
    <row r="68" spans="1:74" ht="21.95" customHeight="1">
      <c r="F68" s="10"/>
    </row>
    <row r="69" spans="1:74" ht="21.95" customHeight="1">
      <c r="D69" s="20"/>
      <c r="E69" s="20"/>
    </row>
    <row r="70" spans="1:74" s="21" customFormat="1" ht="21.95" customHeight="1">
      <c r="A70" s="33"/>
      <c r="C70" s="20"/>
      <c r="D70" s="10"/>
      <c r="E70" s="10"/>
      <c r="F70" s="8"/>
      <c r="G70" s="8"/>
      <c r="H70" s="8"/>
      <c r="I70" s="20"/>
      <c r="J70" s="8"/>
      <c r="K70" s="8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</row>
    <row r="71" spans="1:74" s="5" customFormat="1" ht="21.95" customHeight="1">
      <c r="A71" s="33"/>
      <c r="C71" s="10"/>
      <c r="D71" s="8"/>
      <c r="E71" s="8"/>
      <c r="F71" s="8"/>
      <c r="G71" s="8"/>
      <c r="H71" s="8"/>
      <c r="I71" s="10"/>
      <c r="J71" s="20"/>
      <c r="K71" s="2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</row>
    <row r="72" spans="1:74" ht="21.95" customHeight="1">
      <c r="G72" s="20"/>
      <c r="H72" s="20"/>
      <c r="J72" s="10"/>
      <c r="K72" s="10"/>
    </row>
    <row r="73" spans="1:74" ht="21.95" customHeight="1">
      <c r="G73" s="10"/>
      <c r="H73" s="10"/>
    </row>
    <row r="74" spans="1:74" ht="21.95" customHeight="1"/>
    <row r="75" spans="1:74" ht="21.95" customHeight="1"/>
    <row r="76" spans="1:74" ht="21.95" customHeight="1"/>
    <row r="77" spans="1:74" ht="21.95" customHeight="1"/>
    <row r="78" spans="1:74" ht="21.95" customHeight="1"/>
    <row r="79" spans="1:74" ht="21.95" customHeight="1"/>
    <row r="80" spans="1:74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algorithmName="SHA-512" hashValue="RdgACviMuKaUsYDFxOpMlJ+7byRNm72vKbuZFnx8l/jZv9zsNu58jIAIsDKQG5/5O5JSFUi25YjPMSkYGxF2Lg==" saltValue="3Eumg+jkicRmvONQB+R+ng==" spinCount="100000" sheet="1" objects="1" scenarios="1" selectLockedCells="1"/>
  <mergeCells count="4">
    <mergeCell ref="G4:H4"/>
    <mergeCell ref="J4:K4"/>
    <mergeCell ref="D13:F13"/>
    <mergeCell ref="E4:F4"/>
  </mergeCells>
  <phoneticPr fontId="2" type="noConversion"/>
  <conditionalFormatting sqref="F15:F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:E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  <hyperlink ref="A4" location="Inicio!A1" display="Início"/>
  </hyperlinks>
  <pageMargins left="0.74803149606299213" right="0.74803149606299213" top="0.98425196850393704" bottom="0.98425196850393704" header="0.51181102362204722" footer="0.51181102362204722"/>
  <pageSetup paperSize="9" scale="64" orientation="landscape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5:DS13"/>
  <sheetViews>
    <sheetView workbookViewId="0">
      <selection activeCell="C5" sqref="C5"/>
    </sheetView>
  </sheetViews>
  <sheetFormatPr defaultColWidth="11.42578125" defaultRowHeight="12.75"/>
  <cols>
    <col min="1" max="12" width="16.85546875" customWidth="1"/>
    <col min="13" max="13" width="7" customWidth="1"/>
    <col min="14" max="15" width="16.140625" customWidth="1"/>
  </cols>
  <sheetData>
    <row r="5" spans="1:123">
      <c r="A5" t="s">
        <v>1</v>
      </c>
      <c r="B5" s="4" t="e">
        <f>'Aliquota de Impostos'!#REF!</f>
        <v>#REF!</v>
      </c>
      <c r="C5" s="4" t="e">
        <f>'Aliquota de Impostos'!#REF!</f>
        <v>#REF!</v>
      </c>
      <c r="D5" s="4" t="e">
        <f>'Aliquota de Impostos'!#REF!</f>
        <v>#REF!</v>
      </c>
      <c r="E5" s="4" t="e">
        <f>'Aliquota de Impostos'!#REF!</f>
        <v>#REF!</v>
      </c>
      <c r="F5" s="4" t="e">
        <f>'Aliquota de Impostos'!#REF!</f>
        <v>#REF!</v>
      </c>
      <c r="G5" s="4" t="e">
        <f>'Aliquota de Impostos'!#REF!</f>
        <v>#REF!</v>
      </c>
      <c r="H5" s="4" t="e">
        <f>'Aliquota de Impostos'!#REF!</f>
        <v>#REF!</v>
      </c>
      <c r="I5" s="4" t="e">
        <f>'Aliquota de Impostos'!#REF!</f>
        <v>#REF!</v>
      </c>
      <c r="J5" s="4" t="e">
        <f>'Aliquota de Impostos'!#REF!</f>
        <v>#REF!</v>
      </c>
      <c r="K5" s="4" t="e">
        <f>'Aliquota de Impostos'!#REF!</f>
        <v>#REF!</v>
      </c>
      <c r="L5" s="4" t="e">
        <f>'Aliquota de Impostos'!#REF!</f>
        <v>#REF!</v>
      </c>
      <c r="N5" s="4" t="e">
        <f>L5/#REF!</f>
        <v>#REF!</v>
      </c>
    </row>
    <row r="8" spans="1:123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13" spans="1:123">
      <c r="A13" t="s">
        <v>2</v>
      </c>
      <c r="B13" s="4" t="e">
        <f>'Aliquota de Impostos'!#REF!</f>
        <v>#REF!</v>
      </c>
      <c r="C13" s="4" t="e">
        <f>'Entrada de Dados'!#REF!</f>
        <v>#REF!</v>
      </c>
      <c r="D13" s="4" t="e">
        <f>'Entrada de Dados'!#REF!</f>
        <v>#REF!</v>
      </c>
      <c r="E13" s="4" t="e">
        <f>'Entrada de Dados'!#REF!</f>
        <v>#REF!</v>
      </c>
      <c r="F13" s="4" t="e">
        <f>'Entrada de Dados'!#REF!</f>
        <v>#REF!</v>
      </c>
      <c r="G13" s="4" t="e">
        <f>'Entrada de Dados'!#REF!</f>
        <v>#REF!</v>
      </c>
      <c r="H13" s="4" t="e">
        <f>'Entrada de Dados'!#REF!</f>
        <v>#REF!</v>
      </c>
      <c r="I13" s="4" t="e">
        <f>'Entrada de Dados'!#REF!</f>
        <v>#REF!</v>
      </c>
      <c r="J13" s="4" t="e">
        <f>'Entrada de Dados'!#REF!</f>
        <v>#REF!</v>
      </c>
      <c r="K13" s="4" t="e">
        <f>'Entrada de Dados'!#REF!</f>
        <v>#REF!</v>
      </c>
      <c r="L13" s="4" t="e">
        <f>'Entrada de Dados'!#REF!</f>
        <v>#REF!</v>
      </c>
      <c r="M13" s="4" t="e">
        <f>'Entrada de Dados'!#REF!</f>
        <v>#REF!</v>
      </c>
      <c r="N13" s="4" t="e">
        <f>'Entrada de Dados'!#REF!</f>
        <v>#REF!</v>
      </c>
      <c r="O13" s="4" t="e">
        <f>'Entrada de Dados'!#REF!</f>
        <v>#REF!</v>
      </c>
      <c r="P13" s="4" t="e">
        <f>'Entrada de Dados'!#REF!</f>
        <v>#REF!</v>
      </c>
      <c r="Q13" s="4" t="e">
        <f>'Entrada de Dados'!#REF!</f>
        <v>#REF!</v>
      </c>
      <c r="R13" s="4" t="e">
        <f>'Entrada de Dados'!#REF!</f>
        <v>#REF!</v>
      </c>
      <c r="S13" s="4" t="e">
        <f>'Entrada de Dados'!#REF!</f>
        <v>#REF!</v>
      </c>
      <c r="T13" s="4" t="e">
        <f>'Entrada de Dados'!#REF!</f>
        <v>#REF!</v>
      </c>
      <c r="U13" s="4" t="e">
        <f>'Entrada de Dados'!#REF!</f>
        <v>#REF!</v>
      </c>
      <c r="V13" s="4" t="e">
        <f>'Entrada de Dados'!#REF!</f>
        <v>#REF!</v>
      </c>
      <c r="W13" s="4" t="e">
        <f>'Entrada de Dados'!#REF!</f>
        <v>#REF!</v>
      </c>
      <c r="X13" s="4" t="e">
        <f>'Entrada de Dados'!#REF!</f>
        <v>#REF!</v>
      </c>
      <c r="Y13" s="4" t="e">
        <f>'Entrada de Dados'!#REF!</f>
        <v>#REF!</v>
      </c>
      <c r="Z13" s="4" t="e">
        <f>'Entrada de Dados'!#REF!</f>
        <v>#REF!</v>
      </c>
      <c r="AA13" s="4" t="e">
        <f>'Entrada de Dados'!#REF!</f>
        <v>#REF!</v>
      </c>
      <c r="AB13" s="4" t="e">
        <f>'Entrada de Dados'!#REF!</f>
        <v>#REF!</v>
      </c>
      <c r="AC13" s="4" t="e">
        <f>'Entrada de Dados'!#REF!</f>
        <v>#REF!</v>
      </c>
      <c r="AD13" s="4" t="e">
        <f>'Entrada de Dados'!#REF!</f>
        <v>#REF!</v>
      </c>
      <c r="AE13" s="4" t="e">
        <f>'Entrada de Dados'!#REF!</f>
        <v>#REF!</v>
      </c>
      <c r="AF13" s="4" t="e">
        <f>'Entrada de Dados'!#REF!</f>
        <v>#REF!</v>
      </c>
      <c r="AG13" s="4" t="e">
        <f>'Entrada de Dados'!#REF!</f>
        <v>#REF!</v>
      </c>
      <c r="AH13" s="4" t="e">
        <f>'Entrada de Dados'!#REF!</f>
        <v>#REF!</v>
      </c>
      <c r="AI13" s="4" t="e">
        <f>'Entrada de Dados'!#REF!</f>
        <v>#REF!</v>
      </c>
      <c r="AJ13" s="4" t="e">
        <f>'Entrada de Dados'!#REF!</f>
        <v>#REF!</v>
      </c>
      <c r="AK13" s="4" t="e">
        <f>'Entrada de Dados'!#REF!</f>
        <v>#REF!</v>
      </c>
      <c r="AL13" s="4" t="e">
        <f>'Entrada de Dados'!#REF!</f>
        <v>#REF!</v>
      </c>
      <c r="AM13" s="4" t="e">
        <f>'Entrada de Dados'!#REF!</f>
        <v>#REF!</v>
      </c>
      <c r="AN13" s="4" t="e">
        <f>'Entrada de Dados'!#REF!</f>
        <v>#REF!</v>
      </c>
      <c r="AO13" s="4" t="e">
        <f>'Entrada de Dados'!#REF!</f>
        <v>#REF!</v>
      </c>
      <c r="AP13" s="4" t="e">
        <f>'Entrada de Dados'!#REF!</f>
        <v>#REF!</v>
      </c>
      <c r="AQ13" s="4" t="e">
        <f>'Entrada de Dados'!#REF!</f>
        <v>#REF!</v>
      </c>
      <c r="AR13" s="4" t="e">
        <f>'Entrada de Dados'!#REF!</f>
        <v>#REF!</v>
      </c>
      <c r="AS13" s="4" t="e">
        <f>'Entrada de Dados'!#REF!</f>
        <v>#REF!</v>
      </c>
      <c r="AT13" s="4" t="e">
        <f>'Entrada de Dados'!#REF!</f>
        <v>#REF!</v>
      </c>
      <c r="AU13" s="4" t="e">
        <f>'Entrada de Dados'!#REF!</f>
        <v>#REF!</v>
      </c>
      <c r="AV13" s="4" t="e">
        <f>'Entrada de Dados'!#REF!</f>
        <v>#REF!</v>
      </c>
      <c r="AW13" s="4" t="e">
        <f>'Entrada de Dados'!#REF!</f>
        <v>#REF!</v>
      </c>
      <c r="AX13" s="4" t="e">
        <f>'Entrada de Dados'!#REF!</f>
        <v>#REF!</v>
      </c>
      <c r="AY13" s="4" t="e">
        <f>'Entrada de Dados'!#REF!</f>
        <v>#REF!</v>
      </c>
      <c r="AZ13" s="4" t="e">
        <f>'Entrada de Dados'!#REF!</f>
        <v>#REF!</v>
      </c>
      <c r="BA13" s="4" t="e">
        <f>'Entrada de Dados'!#REF!</f>
        <v>#REF!</v>
      </c>
      <c r="BB13" s="4" t="e">
        <f>'Entrada de Dados'!#REF!</f>
        <v>#REF!</v>
      </c>
      <c r="BC13" s="4" t="e">
        <f>'Entrada de Dados'!#REF!</f>
        <v>#REF!</v>
      </c>
      <c r="BD13" s="4" t="e">
        <f>'Entrada de Dados'!#REF!</f>
        <v>#REF!</v>
      </c>
      <c r="BE13" s="4" t="e">
        <f>'Entrada de Dados'!#REF!</f>
        <v>#REF!</v>
      </c>
      <c r="BF13" s="4" t="e">
        <f>'Entrada de Dados'!#REF!</f>
        <v>#REF!</v>
      </c>
      <c r="BG13" s="4" t="e">
        <f>'Entrada de Dados'!#REF!</f>
        <v>#REF!</v>
      </c>
      <c r="BH13" s="4" t="e">
        <f>'Entrada de Dados'!#REF!</f>
        <v>#REF!</v>
      </c>
      <c r="BI13" s="4" t="e">
        <f>'Entrada de Dados'!#REF!</f>
        <v>#REF!</v>
      </c>
      <c r="BJ13" s="4" t="e">
        <f>'Entrada de Dados'!#REF!</f>
        <v>#REF!</v>
      </c>
      <c r="BK13" s="4" t="e">
        <f>'Entrada de Dados'!#REF!</f>
        <v>#REF!</v>
      </c>
      <c r="BL13" s="4" t="e">
        <f>'Entrada de Dados'!#REF!</f>
        <v>#REF!</v>
      </c>
      <c r="BM13" s="4" t="e">
        <f>'Entrada de Dados'!#REF!</f>
        <v>#REF!</v>
      </c>
      <c r="BN13" s="4" t="e">
        <f>'Entrada de Dados'!#REF!</f>
        <v>#REF!</v>
      </c>
      <c r="BO13" s="4" t="e">
        <f>'Entrada de Dados'!#REF!</f>
        <v>#REF!</v>
      </c>
      <c r="BP13" s="4" t="e">
        <f>'Entrada de Dados'!#REF!</f>
        <v>#REF!</v>
      </c>
      <c r="BQ13" s="4" t="e">
        <f>'Entrada de Dados'!#REF!</f>
        <v>#REF!</v>
      </c>
      <c r="BR13" s="4" t="e">
        <f>'Entrada de Dados'!#REF!</f>
        <v>#REF!</v>
      </c>
      <c r="BS13" s="4" t="e">
        <f>'Entrada de Dados'!#REF!</f>
        <v>#REF!</v>
      </c>
      <c r="BT13" s="4" t="e">
        <f>'Entrada de Dados'!#REF!</f>
        <v>#REF!</v>
      </c>
      <c r="BU13" s="4" t="e">
        <f>'Entrada de Dados'!#REF!</f>
        <v>#REF!</v>
      </c>
      <c r="BV13" s="4" t="e">
        <f>'Entrada de Dados'!#REF!</f>
        <v>#REF!</v>
      </c>
      <c r="BW13" s="4" t="e">
        <f>'Entrada de Dados'!#REF!</f>
        <v>#REF!</v>
      </c>
      <c r="BX13" s="4" t="e">
        <f>'Entrada de Dados'!#REF!</f>
        <v>#REF!</v>
      </c>
      <c r="BY13" s="4" t="e">
        <f>'Entrada de Dados'!#REF!</f>
        <v>#REF!</v>
      </c>
      <c r="BZ13" s="4" t="e">
        <f>'Entrada de Dados'!#REF!</f>
        <v>#REF!</v>
      </c>
      <c r="CA13" s="4" t="e">
        <f>'Entrada de Dados'!#REF!</f>
        <v>#REF!</v>
      </c>
      <c r="CB13" s="4" t="e">
        <f>'Entrada de Dados'!#REF!</f>
        <v>#REF!</v>
      </c>
      <c r="CC13" s="4" t="e">
        <f>'Entrada de Dados'!#REF!</f>
        <v>#REF!</v>
      </c>
      <c r="CD13" s="4" t="e">
        <f>'Entrada de Dados'!#REF!</f>
        <v>#REF!</v>
      </c>
      <c r="CE13" s="4" t="e">
        <f>'Entrada de Dados'!#REF!</f>
        <v>#REF!</v>
      </c>
      <c r="CF13" s="4" t="e">
        <f>'Entrada de Dados'!#REF!</f>
        <v>#REF!</v>
      </c>
      <c r="CG13" s="4" t="e">
        <f>'Entrada de Dados'!#REF!</f>
        <v>#REF!</v>
      </c>
      <c r="CH13" s="4" t="e">
        <f>'Entrada de Dados'!#REF!</f>
        <v>#REF!</v>
      </c>
      <c r="CI13" s="4" t="e">
        <f>'Entrada de Dados'!#REF!</f>
        <v>#REF!</v>
      </c>
      <c r="CJ13" s="4" t="e">
        <f>'Entrada de Dados'!#REF!</f>
        <v>#REF!</v>
      </c>
      <c r="CK13" s="4" t="e">
        <f>'Entrada de Dados'!#REF!</f>
        <v>#REF!</v>
      </c>
      <c r="CL13" s="4" t="e">
        <f>'Entrada de Dados'!#REF!</f>
        <v>#REF!</v>
      </c>
      <c r="CM13" s="4" t="e">
        <f>'Entrada de Dados'!#REF!</f>
        <v>#REF!</v>
      </c>
      <c r="CN13" s="4" t="e">
        <f>'Entrada de Dados'!#REF!</f>
        <v>#REF!</v>
      </c>
      <c r="CO13" s="4" t="e">
        <f>'Entrada de Dados'!#REF!</f>
        <v>#REF!</v>
      </c>
      <c r="CP13" s="4" t="e">
        <f>'Entrada de Dados'!#REF!</f>
        <v>#REF!</v>
      </c>
      <c r="CQ13" s="4" t="e">
        <f>'Entrada de Dados'!#REF!</f>
        <v>#REF!</v>
      </c>
      <c r="CR13" s="4" t="e">
        <f>'Entrada de Dados'!#REF!</f>
        <v>#REF!</v>
      </c>
      <c r="CS13" s="4" t="e">
        <f>'Entrada de Dados'!#REF!</f>
        <v>#REF!</v>
      </c>
      <c r="CT13" s="4" t="e">
        <f>'Entrada de Dados'!#REF!</f>
        <v>#REF!</v>
      </c>
      <c r="CU13" s="4" t="e">
        <f>'Entrada de Dados'!#REF!</f>
        <v>#REF!</v>
      </c>
      <c r="CV13" s="4" t="e">
        <f>'Entrada de Dados'!#REF!</f>
        <v>#REF!</v>
      </c>
      <c r="CW13" s="4" t="e">
        <f>'Entrada de Dados'!#REF!</f>
        <v>#REF!</v>
      </c>
      <c r="CX13" s="4" t="e">
        <f>'Entrada de Dados'!#REF!</f>
        <v>#REF!</v>
      </c>
      <c r="CY13" s="4" t="e">
        <f>'Entrada de Dados'!#REF!</f>
        <v>#REF!</v>
      </c>
      <c r="CZ13" s="4" t="e">
        <f>'Entrada de Dados'!#REF!</f>
        <v>#REF!</v>
      </c>
      <c r="DA13" s="4" t="e">
        <f>'Entrada de Dados'!#REF!</f>
        <v>#REF!</v>
      </c>
      <c r="DB13" s="4" t="e">
        <f>'Entrada de Dados'!#REF!</f>
        <v>#REF!</v>
      </c>
      <c r="DC13" s="4" t="e">
        <f>'Entrada de Dados'!#REF!</f>
        <v>#REF!</v>
      </c>
      <c r="DD13" s="4" t="e">
        <f>'Entrada de Dados'!#REF!</f>
        <v>#REF!</v>
      </c>
      <c r="DE13" s="4" t="e">
        <f>'Entrada de Dados'!#REF!</f>
        <v>#REF!</v>
      </c>
      <c r="DF13" s="4" t="e">
        <f>'Entrada de Dados'!#REF!</f>
        <v>#REF!</v>
      </c>
      <c r="DG13" s="4" t="e">
        <f>'Entrada de Dados'!#REF!</f>
        <v>#REF!</v>
      </c>
      <c r="DH13" s="4" t="e">
        <f>'Entrada de Dados'!#REF!</f>
        <v>#REF!</v>
      </c>
      <c r="DI13" s="4" t="e">
        <f>'Entrada de Dados'!#REF!</f>
        <v>#REF!</v>
      </c>
      <c r="DJ13" s="4" t="e">
        <f>'Entrada de Dados'!#REF!</f>
        <v>#REF!</v>
      </c>
      <c r="DK13" s="4" t="e">
        <f>'Entrada de Dados'!#REF!</f>
        <v>#REF!</v>
      </c>
      <c r="DL13" s="4" t="e">
        <f>'Entrada de Dados'!#REF!</f>
        <v>#REF!</v>
      </c>
      <c r="DM13" s="4" t="e">
        <f>'Entrada de Dados'!#REF!</f>
        <v>#REF!</v>
      </c>
      <c r="DN13" s="4" t="e">
        <f>'Entrada de Dados'!#REF!</f>
        <v>#REF!</v>
      </c>
      <c r="DO13" s="4" t="e">
        <f>'Entrada de Dados'!#REF!</f>
        <v>#REF!</v>
      </c>
      <c r="DP13" s="4" t="e">
        <f>'Entrada de Dados'!#REF!</f>
        <v>#REF!</v>
      </c>
      <c r="DQ13" s="4" t="e">
        <f>'Entrada de Dados'!#REF!</f>
        <v>#REF!</v>
      </c>
      <c r="DR13" s="4" t="e">
        <f>'Entrada de Dados'!#REF!</f>
        <v>#REF!</v>
      </c>
      <c r="DS13" s="4" t="e">
        <f>'Entrada de Dados'!#REF!</f>
        <v>#REF!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>
    <pageSetUpPr fitToPage="1"/>
  </sheetPr>
  <dimension ref="A1:BP91"/>
  <sheetViews>
    <sheetView showGridLines="0" zoomScale="90" zoomScaleNormal="90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A8" sqref="A8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5" width="15.7109375" style="8" customWidth="1"/>
    <col min="6" max="6" width="3.7109375" style="8" customWidth="1"/>
    <col min="7" max="8" width="15.7109375" style="8" customWidth="1"/>
    <col min="9" max="9" width="3.7109375" style="8" customWidth="1"/>
    <col min="10" max="11" width="15.7109375" style="8" customWidth="1"/>
    <col min="12" max="12" width="3.7109375" style="8" customWidth="1"/>
    <col min="13" max="15" width="15.7109375" style="8" customWidth="1"/>
    <col min="16" max="68" width="9.140625" style="8"/>
    <col min="69" max="16384" width="9.140625" style="1"/>
  </cols>
  <sheetData>
    <row r="1" spans="1:68" ht="40.5" customHeight="1">
      <c r="A1"/>
      <c r="B1" s="6" t="s">
        <v>0</v>
      </c>
      <c r="C1" s="44" t="s">
        <v>57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68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</row>
    <row r="3" spans="1:68" ht="9.9499999999999993" customHeight="1" thickBot="1">
      <c r="A3" s="31"/>
    </row>
    <row r="4" spans="1:68" s="14" customFormat="1" ht="23.1" customHeight="1">
      <c r="A4" s="107" t="s">
        <v>4</v>
      </c>
      <c r="B4" s="18"/>
      <c r="C4" s="12"/>
      <c r="D4" s="45" t="s">
        <v>66</v>
      </c>
      <c r="E4" s="46"/>
      <c r="F4" s="55"/>
      <c r="G4" s="46" t="s">
        <v>67</v>
      </c>
      <c r="H4" s="46"/>
      <c r="I4" s="55"/>
      <c r="J4" s="46" t="s">
        <v>68</v>
      </c>
      <c r="K4" s="46"/>
      <c r="L4" s="55"/>
      <c r="M4" s="46" t="s">
        <v>69</v>
      </c>
      <c r="N4" s="6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</row>
    <row r="5" spans="1:68" ht="23.1" customHeight="1">
      <c r="A5" s="108" t="s">
        <v>6</v>
      </c>
      <c r="B5" s="19"/>
      <c r="D5" s="47" t="s">
        <v>21</v>
      </c>
      <c r="E5" s="105">
        <v>0.05</v>
      </c>
      <c r="F5" s="69"/>
      <c r="G5" s="8" t="s">
        <v>29</v>
      </c>
      <c r="H5" s="105">
        <v>6.4999999999999997E-3</v>
      </c>
      <c r="I5" s="69"/>
      <c r="J5" s="8" t="s">
        <v>29</v>
      </c>
      <c r="K5" s="105">
        <v>1.6500000000000001E-2</v>
      </c>
      <c r="L5" s="69"/>
      <c r="M5" s="8" t="s">
        <v>36</v>
      </c>
      <c r="N5" s="48">
        <f>VLOOKUP(SUM('Entrada de Dados'!H5:H11),'Tabela Simples Nacional'!D6:F25,3,1)</f>
        <v>5.4699999999999999E-2</v>
      </c>
      <c r="O5" s="39"/>
    </row>
    <row r="6" spans="1:68" ht="21.95" customHeight="1">
      <c r="A6" s="109" t="s">
        <v>58</v>
      </c>
      <c r="B6" s="19"/>
      <c r="D6" s="47" t="s">
        <v>22</v>
      </c>
      <c r="E6" s="105">
        <v>0.05</v>
      </c>
      <c r="F6" s="69"/>
      <c r="G6" s="8" t="s">
        <v>30</v>
      </c>
      <c r="H6" s="105">
        <v>0.03</v>
      </c>
      <c r="I6" s="69"/>
      <c r="J6" s="8" t="s">
        <v>30</v>
      </c>
      <c r="K6" s="105">
        <v>7.5999999999999998E-2</v>
      </c>
      <c r="L6" s="69"/>
      <c r="M6" s="8" t="s">
        <v>37</v>
      </c>
      <c r="N6" s="48">
        <f>VLOOKUP(SUM('Entrada de Dados'!H5:H11),'Tabela Simples Nacional'!D29:F48,3,1)</f>
        <v>5.9700000000000003E-2</v>
      </c>
      <c r="O6" s="39"/>
    </row>
    <row r="7" spans="1:68" ht="21.95" customHeight="1">
      <c r="A7" s="108" t="s">
        <v>59</v>
      </c>
      <c r="B7" s="19"/>
      <c r="D7" s="47" t="s">
        <v>23</v>
      </c>
      <c r="E7" s="105">
        <v>0.18</v>
      </c>
      <c r="F7" s="69"/>
      <c r="G7" s="8" t="s">
        <v>31</v>
      </c>
      <c r="H7" s="105">
        <v>0.15</v>
      </c>
      <c r="I7" s="69"/>
      <c r="J7" s="8" t="s">
        <v>31</v>
      </c>
      <c r="K7" s="105">
        <v>0.15</v>
      </c>
      <c r="L7" s="69"/>
      <c r="M7" s="8" t="s">
        <v>38</v>
      </c>
      <c r="N7" s="48">
        <f>VLOOKUP(SUM('Entrada de Dados'!H5:H11),'Tabela Simples Nacional'!D52:F71,3,1)</f>
        <v>8.2100000000000006E-2</v>
      </c>
      <c r="O7" s="39"/>
    </row>
    <row r="8" spans="1:68" ht="21.95" customHeight="1">
      <c r="A8" s="108" t="s">
        <v>60</v>
      </c>
      <c r="B8" s="19"/>
      <c r="D8" s="47" t="s">
        <v>24</v>
      </c>
      <c r="E8" s="105">
        <v>0.01</v>
      </c>
      <c r="F8" s="69"/>
      <c r="G8" s="8" t="s">
        <v>32</v>
      </c>
      <c r="H8" s="105">
        <v>0.1</v>
      </c>
      <c r="I8" s="69"/>
      <c r="J8" s="8" t="s">
        <v>32</v>
      </c>
      <c r="K8" s="105">
        <v>0.1</v>
      </c>
      <c r="L8" s="69"/>
      <c r="M8" s="8" t="s">
        <v>39</v>
      </c>
      <c r="N8" s="48">
        <f>VLOOKUP(SUM('Entrada de Dados'!H5:H11),'Tabela Simples Nacional'!D75:F94,3,1)</f>
        <v>6.54E-2</v>
      </c>
      <c r="O8" s="39"/>
    </row>
    <row r="9" spans="1:68" ht="21.95" customHeight="1">
      <c r="A9" s="108"/>
      <c r="B9" s="19"/>
      <c r="D9" s="47" t="s">
        <v>127</v>
      </c>
      <c r="E9" s="39">
        <f>IF('Entrada de Dados'!E7="Sim",'Entrada de Dados'!E8,0)</f>
        <v>0</v>
      </c>
      <c r="F9" s="69"/>
      <c r="G9" s="8" t="s">
        <v>33</v>
      </c>
      <c r="H9" s="105">
        <v>0.09</v>
      </c>
      <c r="I9" s="69"/>
      <c r="J9" s="8" t="s">
        <v>33</v>
      </c>
      <c r="K9" s="105">
        <v>0.09</v>
      </c>
      <c r="L9" s="69"/>
      <c r="M9" s="8" t="s">
        <v>40</v>
      </c>
      <c r="N9" s="48">
        <f t="array" ref="N9">INDEX('Tabela Simples Nacional'!F142:F301,MATCH(Auxiliar!C16&amp;Auxiliar!C17,'Tabela Simples Nacional'!D142:D301&amp;'Tabela Simples Nacional'!E142:E301,0))</f>
        <v>0.17519999999999999</v>
      </c>
      <c r="O9" s="39"/>
    </row>
    <row r="10" spans="1:68" ht="21.95" customHeight="1">
      <c r="A10" s="108" t="s">
        <v>5</v>
      </c>
      <c r="B10" s="19"/>
      <c r="D10" s="47" t="s">
        <v>34</v>
      </c>
      <c r="E10" s="105">
        <v>0.2</v>
      </c>
      <c r="F10" s="69"/>
      <c r="H10" s="39"/>
      <c r="I10" s="69"/>
      <c r="K10" s="39"/>
      <c r="L10" s="69"/>
      <c r="M10" s="8" t="s">
        <v>41</v>
      </c>
      <c r="N10" s="48">
        <f>VLOOKUP(SUM('Entrada de Dados'!H5:H11),'Tabela Simples Nacional'!D121:F140,3,1)</f>
        <v>0.1772</v>
      </c>
      <c r="O10" s="39"/>
    </row>
    <row r="11" spans="1:68" s="3" customFormat="1" ht="21.95" customHeight="1" thickBot="1">
      <c r="A11" s="108"/>
      <c r="B11" s="19"/>
      <c r="C11" s="8"/>
      <c r="D11" s="47" t="s">
        <v>35</v>
      </c>
      <c r="E11" s="105">
        <v>5.8000000000000003E-2</v>
      </c>
      <c r="F11" s="69"/>
      <c r="G11" s="8"/>
      <c r="H11" s="37"/>
      <c r="I11" s="70"/>
      <c r="J11" s="8"/>
      <c r="K11" s="37"/>
      <c r="L11" s="70"/>
      <c r="M11" s="8" t="s">
        <v>133</v>
      </c>
      <c r="N11" s="48">
        <f>VLOOKUP(SUM('Entrada de Dados'!H5:H11),'Tabela Simples Nacional'!D6:F25,3,1)-VLOOKUP(SUM('Entrada de Dados'!H5:H11),'Tabela Simples Nacional'!D6:L25,9,1)</f>
        <v>3.61E-2</v>
      </c>
      <c r="O11" s="37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</row>
    <row r="12" spans="1:68" s="13" customFormat="1" ht="21.95" customHeight="1">
      <c r="A12" s="32"/>
      <c r="B12" s="18"/>
      <c r="C12" s="12"/>
      <c r="D12" s="47" t="s">
        <v>42</v>
      </c>
      <c r="E12" s="105">
        <v>0.18</v>
      </c>
      <c r="F12" s="69"/>
      <c r="G12" s="12"/>
      <c r="H12" s="38"/>
      <c r="I12" s="71"/>
      <c r="J12" s="12"/>
      <c r="K12" s="12"/>
      <c r="L12" s="68"/>
      <c r="M12" s="12"/>
      <c r="N12" s="50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</row>
    <row r="13" spans="1:68" ht="21.95" customHeight="1">
      <c r="A13" s="32"/>
      <c r="B13" s="19"/>
      <c r="D13" s="47" t="s">
        <v>43</v>
      </c>
      <c r="E13" s="105">
        <v>0.12</v>
      </c>
      <c r="F13" s="69"/>
      <c r="I13" s="56"/>
      <c r="L13" s="56"/>
      <c r="N13" s="49"/>
    </row>
    <row r="14" spans="1:68" ht="21.95" customHeight="1">
      <c r="A14" s="32"/>
      <c r="B14" s="19"/>
      <c r="D14" s="47" t="s">
        <v>49</v>
      </c>
      <c r="E14" s="105">
        <v>0.04</v>
      </c>
      <c r="F14" s="69"/>
      <c r="I14" s="56"/>
      <c r="L14" s="56"/>
      <c r="N14" s="49"/>
    </row>
    <row r="15" spans="1:68" ht="21.95" customHeight="1">
      <c r="A15" s="32"/>
      <c r="B15" s="19"/>
      <c r="D15" s="47" t="s">
        <v>47</v>
      </c>
      <c r="E15" s="105">
        <v>0.05</v>
      </c>
      <c r="F15" s="69"/>
      <c r="I15" s="56"/>
      <c r="L15" s="56"/>
      <c r="N15" s="49"/>
    </row>
    <row r="16" spans="1:68" ht="21.95" customHeight="1" thickBot="1">
      <c r="A16" s="22"/>
      <c r="B16" s="19"/>
      <c r="D16" s="58" t="s">
        <v>46</v>
      </c>
      <c r="E16" s="106">
        <v>0.08</v>
      </c>
      <c r="F16" s="72"/>
      <c r="G16" s="73"/>
      <c r="H16" s="73"/>
      <c r="I16" s="59"/>
      <c r="J16" s="73"/>
      <c r="K16" s="73"/>
      <c r="L16" s="59"/>
      <c r="M16" s="73"/>
      <c r="N16" s="74"/>
    </row>
    <row r="17" spans="1:68" ht="21.95" customHeight="1">
      <c r="A17" s="22"/>
      <c r="B17" s="19"/>
    </row>
    <row r="18" spans="1:68" ht="21.95" customHeight="1">
      <c r="A18" s="22"/>
      <c r="B18" s="19"/>
    </row>
    <row r="19" spans="1:68" ht="21.95" customHeight="1">
      <c r="A19" s="22"/>
      <c r="B19" s="19"/>
    </row>
    <row r="20" spans="1:68" s="3" customFormat="1" ht="21.95" customHeight="1" thickBot="1">
      <c r="A20" s="22"/>
      <c r="B20" s="1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</row>
    <row r="21" spans="1:68" s="15" customFormat="1" ht="21.95" customHeight="1">
      <c r="A21" s="22"/>
      <c r="B21" s="3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</row>
    <row r="22" spans="1:68" s="16" customFormat="1" ht="21.95" customHeight="1">
      <c r="A22" s="22"/>
      <c r="B22" s="3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</row>
    <row r="23" spans="1:68" ht="21.95" customHeight="1">
      <c r="A23" s="22"/>
      <c r="B23" s="17"/>
    </row>
    <row r="24" spans="1:68" ht="21.95" customHeight="1">
      <c r="A24" s="22"/>
      <c r="B24" s="17"/>
    </row>
    <row r="25" spans="1:68" ht="21.95" customHeight="1">
      <c r="A25" s="22"/>
      <c r="B25" s="17"/>
    </row>
    <row r="26" spans="1:68" ht="21.95" customHeight="1">
      <c r="A26" s="22"/>
      <c r="B26" s="17"/>
    </row>
    <row r="27" spans="1:68" ht="21.95" customHeight="1">
      <c r="A27" s="22"/>
      <c r="B27" s="17"/>
    </row>
    <row r="28" spans="1:68" ht="21.95" customHeight="1">
      <c r="A28" s="22"/>
      <c r="B28" s="17"/>
    </row>
    <row r="29" spans="1:68" ht="21.95" customHeight="1">
      <c r="A29" s="22"/>
      <c r="B29" s="17"/>
    </row>
    <row r="30" spans="1:68" ht="21.95" customHeight="1">
      <c r="A30" s="22"/>
      <c r="B30" s="17"/>
    </row>
    <row r="31" spans="1:68" ht="21.95" customHeight="1">
      <c r="B31" s="17"/>
    </row>
    <row r="32" spans="1:68" ht="21.95" customHeight="1">
      <c r="B32" s="17"/>
    </row>
    <row r="33" spans="1:68" ht="21.95" customHeight="1">
      <c r="B33" s="17"/>
    </row>
    <row r="34" spans="1:68" ht="21.95" customHeight="1">
      <c r="B34" s="17"/>
    </row>
    <row r="35" spans="1:68" s="3" customFormat="1" ht="21.95" customHeight="1" thickBot="1">
      <c r="A35" s="33"/>
      <c r="B35" s="1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</row>
    <row r="36" spans="1:68" s="11" customFormat="1" ht="21.95" customHeight="1">
      <c r="A36" s="33"/>
      <c r="B36" s="34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1:68" ht="21.95" customHeight="1">
      <c r="B37" s="17"/>
    </row>
    <row r="38" spans="1:68" ht="21.95" customHeight="1">
      <c r="B38" s="17"/>
    </row>
    <row r="39" spans="1:68" ht="21.95" customHeight="1">
      <c r="B39" s="17"/>
    </row>
    <row r="40" spans="1:68" ht="21.95" customHeight="1">
      <c r="B40" s="17"/>
    </row>
    <row r="41" spans="1:68" ht="21.95" customHeight="1">
      <c r="B41" s="17"/>
    </row>
    <row r="42" spans="1:68" ht="21.95" customHeight="1">
      <c r="B42" s="17"/>
    </row>
    <row r="43" spans="1:68" ht="21.95" customHeight="1">
      <c r="B43" s="17"/>
    </row>
    <row r="44" spans="1:68" ht="21.95" customHeight="1">
      <c r="B44" s="17"/>
    </row>
    <row r="45" spans="1:68" ht="21.95" customHeight="1">
      <c r="B45" s="17"/>
    </row>
    <row r="46" spans="1:68" ht="21.95" customHeight="1">
      <c r="B46" s="17"/>
    </row>
    <row r="47" spans="1:68" ht="21.95" customHeight="1">
      <c r="B47" s="17"/>
    </row>
    <row r="48" spans="1:68" ht="21.95" customHeight="1">
      <c r="B48" s="17"/>
    </row>
    <row r="49" spans="1:68" ht="21.95" customHeight="1">
      <c r="B49" s="17"/>
    </row>
    <row r="50" spans="1:68" ht="21.95" customHeight="1">
      <c r="B50" s="17"/>
    </row>
    <row r="51" spans="1:68" ht="21.95" customHeight="1">
      <c r="B51" s="17"/>
    </row>
    <row r="52" spans="1:68" ht="21.95" customHeight="1">
      <c r="B52" s="17"/>
    </row>
    <row r="53" spans="1:68" ht="21.95" customHeight="1">
      <c r="B53" s="17"/>
    </row>
    <row r="54" spans="1:68" s="3" customFormat="1" ht="21.95" customHeight="1" thickBot="1">
      <c r="A54" s="33"/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</row>
    <row r="55" spans="1:68" s="17" customFormat="1" ht="21.95" customHeight="1">
      <c r="A55" s="3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</row>
    <row r="56" spans="1:68" s="17" customFormat="1" ht="21.95" customHeight="1">
      <c r="A56" s="3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</row>
    <row r="57" spans="1:68" s="14" customFormat="1" ht="21.95" customHeight="1">
      <c r="A57" s="33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</row>
    <row r="58" spans="1:68" s="6" customFormat="1" ht="21.95" customHeight="1">
      <c r="A58" s="3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</row>
    <row r="59" spans="1:68" s="6" customFormat="1" ht="21.95" customHeight="1">
      <c r="A59" s="3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</row>
    <row r="60" spans="1:68" s="6" customFormat="1" ht="21.95" customHeight="1">
      <c r="A60" s="3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</row>
    <row r="61" spans="1:68" s="6" customFormat="1" ht="21.95" customHeight="1">
      <c r="A61" s="3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</row>
    <row r="62" spans="1:68" ht="21.95" customHeight="1"/>
    <row r="63" spans="1:68" ht="21.95" customHeight="1"/>
    <row r="64" spans="1:68" ht="21.95" customHeight="1"/>
    <row r="65" spans="1:68" s="6" customFormat="1" ht="21.95" customHeight="1">
      <c r="A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1:68" ht="21.95" customHeight="1"/>
    <row r="67" spans="1:68" ht="21.95" customHeight="1"/>
    <row r="68" spans="1:68" ht="21.95" customHeight="1"/>
    <row r="69" spans="1:68" ht="21.95" customHeight="1"/>
    <row r="70" spans="1:68" s="21" customFormat="1" ht="21.95" customHeight="1">
      <c r="A70" s="3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</row>
    <row r="71" spans="1:68" s="5" customFormat="1" ht="21.95" customHeight="1">
      <c r="A71" s="3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</row>
    <row r="72" spans="1:68" ht="21.95" customHeight="1"/>
    <row r="73" spans="1:68" ht="21.95" customHeight="1"/>
    <row r="74" spans="1:68" ht="21.95" customHeight="1"/>
    <row r="75" spans="1:68" ht="21.95" customHeight="1"/>
    <row r="76" spans="1:68" ht="21.95" customHeight="1"/>
    <row r="77" spans="1:68" ht="21.95" customHeight="1"/>
    <row r="78" spans="1:68" ht="21.95" customHeight="1"/>
    <row r="79" spans="1:68" ht="21.95" customHeight="1"/>
    <row r="80" spans="1:68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algorithmName="SHA-512" hashValue="KghXMWk/NkXu8GzgqSaWx1w+0+p8s4knV3a8ue1j8qkMN5KZQcbkqpcuBZcszvlOdkeAKlRRm+guzQBqbo1O3Q==" saltValue="YO0PhdL7XJ36VM+KiEq+Sw==" spinCount="100000" sheet="1" objects="1" scenarios="1" selectLockedCells="1"/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74803149606299213" right="0.74803149606299213" top="0.98425196850393704" bottom="0.98425196850393704" header="0.51181102362204722" footer="0.51181102362204722"/>
  <pageSetup paperSize="9" scale="72" orientation="landscape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BO91"/>
  <sheetViews>
    <sheetView showGridLines="0" zoomScale="90" zoomScaleNormal="90" workbookViewId="0">
      <pane xSplit="2" ySplit="3" topLeftCell="C22" activePane="bottomRight" state="frozenSplit"/>
      <selection pane="topRight" activeCell="C1" sqref="C1"/>
      <selection pane="bottomLeft" activeCell="A4" sqref="A4"/>
      <selection pane="bottomRight" activeCell="A7" sqref="A7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4" width="18.42578125" style="8" bestFit="1" customWidth="1"/>
    <col min="5" max="5" width="3.7109375" style="8" customWidth="1"/>
    <col min="6" max="7" width="21.7109375" style="8" customWidth="1"/>
    <col min="8" max="8" width="3.7109375" style="8" customWidth="1"/>
    <col min="9" max="10" width="21.7109375" style="8" customWidth="1"/>
    <col min="11" max="11" width="3.7109375" style="8" customWidth="1"/>
    <col min="12" max="14" width="21.7109375" style="8" customWidth="1"/>
    <col min="15" max="67" width="9.140625" style="8"/>
    <col min="68" max="16384" width="9.140625" style="1"/>
  </cols>
  <sheetData>
    <row r="1" spans="1:67" ht="40.5" customHeight="1">
      <c r="A1"/>
      <c r="B1" s="6" t="s">
        <v>0</v>
      </c>
      <c r="C1" s="44" t="s">
        <v>100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67" s="7" customFormat="1" ht="23.1" customHeight="1">
      <c r="A2" s="29" t="s">
        <v>3</v>
      </c>
      <c r="C2" s="9"/>
      <c r="D2" s="9"/>
      <c r="E2" s="9"/>
      <c r="F2" s="9"/>
      <c r="G2" s="9"/>
      <c r="H2" s="9"/>
      <c r="I2" s="43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spans="1:67" ht="9.9499999999999993" customHeight="1" thickBot="1">
      <c r="A3" s="31"/>
    </row>
    <row r="4" spans="1:67" s="14" customFormat="1" ht="23.1" customHeight="1">
      <c r="A4" s="107" t="s">
        <v>4</v>
      </c>
      <c r="B4" s="18"/>
      <c r="C4" s="12"/>
      <c r="D4" s="91" t="s">
        <v>20</v>
      </c>
      <c r="E4" s="55"/>
      <c r="F4" s="142" t="s">
        <v>26</v>
      </c>
      <c r="G4" s="142"/>
      <c r="H4" s="55"/>
      <c r="I4" s="142" t="s">
        <v>27</v>
      </c>
      <c r="J4" s="142"/>
      <c r="K4" s="55"/>
      <c r="L4" s="142" t="s">
        <v>28</v>
      </c>
      <c r="M4" s="143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</row>
    <row r="5" spans="1:67" ht="23.1" customHeight="1" thickBot="1">
      <c r="A5" s="108" t="s">
        <v>6</v>
      </c>
      <c r="B5" s="19"/>
      <c r="D5" s="92"/>
      <c r="E5" s="59"/>
      <c r="F5" s="60" t="s">
        <v>128</v>
      </c>
      <c r="G5" s="61" t="s">
        <v>45</v>
      </c>
      <c r="H5" s="59"/>
      <c r="I5" s="60" t="s">
        <v>128</v>
      </c>
      <c r="J5" s="61" t="s">
        <v>45</v>
      </c>
      <c r="K5" s="59"/>
      <c r="L5" s="60" t="s">
        <v>128</v>
      </c>
      <c r="M5" s="62" t="s">
        <v>45</v>
      </c>
      <c r="N5" s="39"/>
    </row>
    <row r="6" spans="1:67" ht="21.95" customHeight="1">
      <c r="A6" s="108" t="s">
        <v>58</v>
      </c>
      <c r="B6" s="19"/>
      <c r="D6" s="93" t="s">
        <v>29</v>
      </c>
      <c r="E6" s="56"/>
      <c r="F6" s="40">
        <f>'Aliquota de Impostos'!H5</f>
        <v>6.4999999999999997E-3</v>
      </c>
      <c r="G6" s="41">
        <f>'Entrada de Dados'!H12*Resultados!F6</f>
        <v>1365</v>
      </c>
      <c r="H6" s="56"/>
      <c r="I6" s="40">
        <f>J6/'Entrada de Dados'!$H$12</f>
        <v>1.6500000000000001E-2</v>
      </c>
      <c r="J6" s="41">
        <f>(('Entrada de Dados'!H12)*'Aliquota de Impostos'!K5)-(SUM('Entrada de Dados'!K6:K11)*'Aliquota de Impostos'!K5)</f>
        <v>3465</v>
      </c>
      <c r="K6" s="56"/>
      <c r="L6" s="40">
        <f>M6/'Entrada de Dados'!$H$12</f>
        <v>0</v>
      </c>
      <c r="M6" s="66">
        <v>0</v>
      </c>
      <c r="N6" s="39"/>
    </row>
    <row r="7" spans="1:67" ht="21.95" customHeight="1">
      <c r="A7" s="109" t="s">
        <v>101</v>
      </c>
      <c r="B7" s="19"/>
      <c r="D7" s="93" t="s">
        <v>30</v>
      </c>
      <c r="E7" s="56"/>
      <c r="F7" s="40">
        <f>'Aliquota de Impostos'!H6</f>
        <v>0.03</v>
      </c>
      <c r="G7" s="41">
        <f>'Entrada de Dados'!H12*Resultados!F7</f>
        <v>6300</v>
      </c>
      <c r="H7" s="56"/>
      <c r="I7" s="40">
        <f>J7/'Entrada de Dados'!$H$12</f>
        <v>7.5999999999999998E-2</v>
      </c>
      <c r="J7" s="41">
        <f>(('Entrada de Dados'!H12)*'Aliquota de Impostos'!K6)-(SUM('Entrada de Dados'!K6:K11)*'Aliquota de Impostos'!K6)</f>
        <v>15960</v>
      </c>
      <c r="K7" s="56"/>
      <c r="L7" s="40">
        <f>M7/'Entrada de Dados'!$H$12</f>
        <v>0</v>
      </c>
      <c r="M7" s="66">
        <v>0</v>
      </c>
      <c r="N7" s="39"/>
    </row>
    <row r="8" spans="1:67" ht="21.95" customHeight="1">
      <c r="A8" s="108" t="s">
        <v>60</v>
      </c>
      <c r="B8" s="19"/>
      <c r="D8" s="93" t="s">
        <v>31</v>
      </c>
      <c r="E8" s="56"/>
      <c r="F8" s="40">
        <f>G8/'Entrada de Dados'!$H$12</f>
        <v>3.2571428571428571E-2</v>
      </c>
      <c r="G8" s="41">
        <f>(((SUM('Entrada de Dados'!H5:H7)*8%)+(SUM('Entrada de Dados'!H8:H11)*32%))*'Aliquota de Impostos'!H7)</f>
        <v>6840</v>
      </c>
      <c r="H8" s="56"/>
      <c r="I8" s="40">
        <f>J8/'Entrada de Dados'!$H$12</f>
        <v>0.11898214285714286</v>
      </c>
      <c r="J8" s="41">
        <f>('Entrada de Dados'!H12-'Entrada de Dados'!K13-J6-J7-J12-J13-J16-J17-J18-J20)*'Aliquota de Impostos'!K7</f>
        <v>24986.25</v>
      </c>
      <c r="K8" s="56"/>
      <c r="L8" s="40">
        <f>M8/'Entrada de Dados'!$H$12</f>
        <v>0</v>
      </c>
      <c r="M8" s="66">
        <v>0</v>
      </c>
      <c r="N8" s="39"/>
    </row>
    <row r="9" spans="1:67" ht="21.95" customHeight="1">
      <c r="A9" s="108"/>
      <c r="B9" s="19"/>
      <c r="D9" s="93" t="s">
        <v>32</v>
      </c>
      <c r="E9" s="56"/>
      <c r="F9" s="40">
        <f>G9/'Entrada de Dados'!$H$12</f>
        <v>0</v>
      </c>
      <c r="G9" s="41">
        <f>IF(((SUM('Entrada de Dados'!H5:H7)*8%)+(SUM('Entrada de Dados'!H8:H11)*32%))&gt;240000,(((SUM('Entrada de Dados'!H5:H7)*8%)+(SUM('Entrada de Dados'!H8:H11)*32%))-240000)*'Aliquota de Impostos'!H8,0)</f>
        <v>0</v>
      </c>
      <c r="H9" s="56"/>
      <c r="I9" s="40">
        <f>J9/'Entrada de Dados'!$H$12</f>
        <v>0</v>
      </c>
      <c r="J9" s="41">
        <f>IF(('Entrada de Dados'!H12-'Entrada de Dados'!K13-J6-J7-J12-J13-J16-J17-J18-J20)&gt;240000,(('Entrada de Dados'!H12-'Entrada de Dados'!K13-J6-J7-J12-J13-J16-J17-J18-J20)-240000)*'Aliquota de Impostos'!K8,0)</f>
        <v>0</v>
      </c>
      <c r="K9" s="56"/>
      <c r="L9" s="40">
        <f>M9/'Entrada de Dados'!$H$12</f>
        <v>0</v>
      </c>
      <c r="M9" s="66">
        <v>0</v>
      </c>
      <c r="N9" s="39"/>
    </row>
    <row r="10" spans="1:67" ht="21.95" customHeight="1">
      <c r="A10" s="108" t="s">
        <v>5</v>
      </c>
      <c r="B10" s="19"/>
      <c r="D10" s="93" t="s">
        <v>33</v>
      </c>
      <c r="E10" s="56"/>
      <c r="F10" s="40">
        <f>G10/'Entrada de Dados'!$H$12</f>
        <v>2.1085714285714284E-2</v>
      </c>
      <c r="G10" s="41">
        <f>(((SUM('Entrada de Dados'!H5:H7)*12%)+(SUM('Entrada de Dados'!H8:H11)*32%))*'Aliquota de Impostos'!H9)</f>
        <v>4428</v>
      </c>
      <c r="H10" s="56"/>
      <c r="I10" s="40">
        <f>J10/'Entrada de Dados'!$H$12</f>
        <v>7.1389285714285711E-2</v>
      </c>
      <c r="J10" s="41">
        <f>('Entrada de Dados'!H12-'Entrada de Dados'!K13-J6-J7-J12-J13-J16-J17-J18-J20)*'Aliquota de Impostos'!K9</f>
        <v>14991.75</v>
      </c>
      <c r="K10" s="56"/>
      <c r="L10" s="40">
        <f>M10/'Entrada de Dados'!$H$12</f>
        <v>0</v>
      </c>
      <c r="M10" s="66">
        <v>0</v>
      </c>
      <c r="N10" s="39"/>
    </row>
    <row r="11" spans="1:67" s="3" customFormat="1" ht="21.95" customHeight="1" thickBot="1">
      <c r="A11" s="108"/>
      <c r="B11" s="19"/>
      <c r="C11" s="8"/>
      <c r="D11" s="93" t="s">
        <v>21</v>
      </c>
      <c r="E11" s="56"/>
      <c r="F11" s="40">
        <f>G11/'Entrada de Dados'!$H$12</f>
        <v>7.1428571428571426E-3</v>
      </c>
      <c r="G11" s="41">
        <f>IF('Entrada de Dados'!H7&gt;0,'Entrada de Dados'!H7*'Aliquota de Impostos'!E5-SUM('Entrada de Dados'!K5)*'Aliquota de Impostos'!E15,0)</f>
        <v>1500</v>
      </c>
      <c r="H11" s="56"/>
      <c r="I11" s="40">
        <f>J11/'Entrada de Dados'!$H$12</f>
        <v>7.1428571428571426E-3</v>
      </c>
      <c r="J11" s="41">
        <f>IF('Entrada de Dados'!H7&gt;0,'Entrada de Dados'!H7*'Aliquota de Impostos'!E5-SUM('Entrada de Dados'!K5)*'Aliquota de Impostos'!E15,0)</f>
        <v>1500</v>
      </c>
      <c r="K11" s="56"/>
      <c r="L11" s="40">
        <f>M11/'Entrada de Dados'!$H$12</f>
        <v>0</v>
      </c>
      <c r="M11" s="66">
        <v>0</v>
      </c>
      <c r="N11" s="3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spans="1:67" s="13" customFormat="1" ht="21.95" customHeight="1">
      <c r="A12" s="32"/>
      <c r="B12" s="18"/>
      <c r="C12" s="12"/>
      <c r="D12" s="93" t="s">
        <v>22</v>
      </c>
      <c r="E12" s="56"/>
      <c r="F12" s="40">
        <f>G12/'Entrada de Dados'!$H$12</f>
        <v>2.8571428571428571E-2</v>
      </c>
      <c r="G12" s="41">
        <f>SUM('Entrada de Dados'!H8:H11)*'Aliquota de Impostos'!E6</f>
        <v>6000</v>
      </c>
      <c r="H12" s="56"/>
      <c r="I12" s="40">
        <f>J12/'Entrada de Dados'!$H$12</f>
        <v>2.8571428571428571E-2</v>
      </c>
      <c r="J12" s="41">
        <f>SUM('Entrada de Dados'!H8:H11)*'Aliquota de Impostos'!E6</f>
        <v>6000</v>
      </c>
      <c r="K12" s="56"/>
      <c r="L12" s="40">
        <f>M12/'Entrada de Dados'!$H$12</f>
        <v>0</v>
      </c>
      <c r="M12" s="66">
        <v>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</row>
    <row r="13" spans="1:67" ht="21.95" customHeight="1">
      <c r="A13" s="32"/>
      <c r="B13" s="19"/>
      <c r="D13" s="93" t="s">
        <v>23</v>
      </c>
      <c r="E13" s="56"/>
      <c r="F13" s="40">
        <f>G13/'Entrada de Dados'!$H$12</f>
        <v>5.1428571428571428E-2</v>
      </c>
      <c r="G13" s="41">
        <f>(SUM(('Entrada de Dados'!H5+'Entrada de Dados'!H7)*'Aliquota de Impostos'!E12)-('Entrada de Dados'!K6*'Aliquota de Impostos'!E12)-('Entrada de Dados'!K7*'Aliquota de Impostos'!E13)-('Entrada de Dados'!K8*'Aliquota de Impostos'!E14))</f>
        <v>10800</v>
      </c>
      <c r="H13" s="56"/>
      <c r="I13" s="40">
        <f>J13/'Entrada de Dados'!$H$12</f>
        <v>5.1428571428571428E-2</v>
      </c>
      <c r="J13" s="41">
        <f>(SUM(('Entrada de Dados'!H5+'Entrada de Dados'!H7)*'Aliquota de Impostos'!E12)-('Entrada de Dados'!K6*'Aliquota de Impostos'!E12)-('Entrada de Dados'!K7*'Aliquota de Impostos'!E13)-('Entrada de Dados'!K8*'Aliquota de Impostos'!E14))</f>
        <v>10800</v>
      </c>
      <c r="K13" s="56"/>
      <c r="L13" s="40">
        <f>M13/'Entrada de Dados'!$H$12</f>
        <v>0</v>
      </c>
      <c r="M13" s="66">
        <v>0</v>
      </c>
    </row>
    <row r="14" spans="1:67" ht="21.95" customHeight="1">
      <c r="A14" s="32"/>
      <c r="B14" s="19"/>
      <c r="D14" s="93" t="s">
        <v>61</v>
      </c>
      <c r="E14" s="56"/>
      <c r="F14" s="40">
        <v>0</v>
      </c>
      <c r="G14" s="41">
        <v>0</v>
      </c>
      <c r="H14" s="56"/>
      <c r="I14" s="40">
        <f>J14/'Entrada de Dados'!$H$12</f>
        <v>0</v>
      </c>
      <c r="J14" s="41">
        <v>0</v>
      </c>
      <c r="K14" s="56"/>
      <c r="L14" s="40">
        <f>M14/'Entrada de Dados'!$H$12</f>
        <v>0</v>
      </c>
      <c r="M14" s="66">
        <f>('Entrada de Dados'!K7*('Aliquota de Impostos'!E12-'Aliquota de Impostos'!E13))+('Entrada de Dados'!K8*('Aliquota de Impostos'!E12-'Aliquota de Impostos'!E14))</f>
        <v>0</v>
      </c>
    </row>
    <row r="15" spans="1:67" ht="21.95" customHeight="1">
      <c r="A15" s="32"/>
      <c r="B15" s="19"/>
      <c r="D15" s="93" t="s">
        <v>28</v>
      </c>
      <c r="E15" s="56"/>
      <c r="F15" s="40">
        <v>0</v>
      </c>
      <c r="G15" s="41">
        <v>0</v>
      </c>
      <c r="H15" s="56"/>
      <c r="I15" s="40">
        <f>J15/'Entrada de Dados'!$H$12</f>
        <v>0</v>
      </c>
      <c r="J15" s="41">
        <v>0</v>
      </c>
      <c r="K15" s="56"/>
      <c r="L15" s="40">
        <f>M15/'Entrada de Dados'!$H$12</f>
        <v>9.2914285714285713E-2</v>
      </c>
      <c r="M15" s="66">
        <f>('Entrada de Dados'!H5*'Aliquota de Impostos'!N5)+('Entrada de Dados'!H6*'Aliquota de Impostos'!N11)+('Entrada de Dados'!H7*'Aliquota de Impostos'!N6)+('Entrada de Dados'!H8*'Aliquota de Impostos'!N7)+('Entrada de Dados'!H9*'Aliquota de Impostos'!N8)+('Entrada de Dados'!H10*'Aliquota de Impostos'!N9)+('Entrada de Dados'!H11*'Aliquota de Impostos'!N10)</f>
        <v>19512</v>
      </c>
    </row>
    <row r="16" spans="1:67" ht="21.95" customHeight="1">
      <c r="A16" s="22"/>
      <c r="B16" s="19"/>
      <c r="D16" s="93" t="s">
        <v>34</v>
      </c>
      <c r="E16" s="56"/>
      <c r="F16" s="40">
        <f>G16/'Entrada de Dados'!$H$12</f>
        <v>0</v>
      </c>
      <c r="G16" s="41">
        <f>IF(F19&gt;0,0,'Entrada de Dados'!K5*'Aliquota de Impostos'!E10)</f>
        <v>0</v>
      </c>
      <c r="H16" s="56"/>
      <c r="I16" s="40">
        <f>J16/'Entrada de Dados'!$H$12</f>
        <v>0</v>
      </c>
      <c r="J16" s="41">
        <f>IF(F19&gt;0,0,'Entrada de Dados'!K5*'Aliquota de Impostos'!E10)</f>
        <v>0</v>
      </c>
      <c r="K16" s="56"/>
      <c r="L16" s="40">
        <f>M16/'Entrada de Dados'!$H$12</f>
        <v>0</v>
      </c>
      <c r="M16" s="66">
        <f>IF('Entrada de Dados'!H9=0,0,IF(F19&gt;0,0,'Entrada de Dados'!K5*'Aliquota de Impostos'!E10))</f>
        <v>0</v>
      </c>
    </row>
    <row r="17" spans="1:67" ht="21.95" customHeight="1">
      <c r="A17" s="22"/>
      <c r="B17" s="19"/>
      <c r="D17" s="93" t="s">
        <v>35</v>
      </c>
      <c r="E17" s="56"/>
      <c r="F17" s="40">
        <f>G17/'Entrada de Dados'!$H$12</f>
        <v>0</v>
      </c>
      <c r="G17" s="41">
        <f>'Entrada de Dados'!K5*'Aliquota de Impostos'!E11</f>
        <v>0</v>
      </c>
      <c r="H17" s="56"/>
      <c r="I17" s="40">
        <f>J17/'Entrada de Dados'!$H$12</f>
        <v>0</v>
      </c>
      <c r="J17" s="41">
        <f>'Entrada de Dados'!K5*'Aliquota de Impostos'!E11</f>
        <v>0</v>
      </c>
      <c r="K17" s="56"/>
      <c r="L17" s="40">
        <f>M17/'Entrada de Dados'!$H$12</f>
        <v>0</v>
      </c>
      <c r="M17" s="66">
        <v>0</v>
      </c>
    </row>
    <row r="18" spans="1:67" ht="21.95" customHeight="1">
      <c r="A18" s="22"/>
      <c r="B18" s="19"/>
      <c r="D18" s="93" t="s">
        <v>24</v>
      </c>
      <c r="E18" s="56"/>
      <c r="F18" s="40">
        <f>G18/'Entrada de Dados'!$H$12</f>
        <v>0</v>
      </c>
      <c r="G18" s="41">
        <f>'Entrada de Dados'!K5*'Aliquota de Impostos'!E8</f>
        <v>0</v>
      </c>
      <c r="H18" s="56"/>
      <c r="I18" s="40">
        <f>J18/'Entrada de Dados'!$H$12</f>
        <v>0</v>
      </c>
      <c r="J18" s="41">
        <f>'Entrada de Dados'!K5*'Aliquota de Impostos'!E8</f>
        <v>0</v>
      </c>
      <c r="K18" s="56"/>
      <c r="L18" s="40">
        <f>M18/'Entrada de Dados'!$H$12</f>
        <v>0</v>
      </c>
      <c r="M18" s="66">
        <f>IF('Entrada de Dados'!H9=0,0,IF(F19&gt;0,0,'Entrada de Dados'!K5*'Aliquota de Impostos'!E8))</f>
        <v>0</v>
      </c>
    </row>
    <row r="19" spans="1:67" ht="21.95" customHeight="1">
      <c r="A19" s="22"/>
      <c r="B19" s="19"/>
      <c r="D19" s="93" t="s">
        <v>25</v>
      </c>
      <c r="E19" s="56"/>
      <c r="F19" s="42">
        <f>'Aliquota de Impostos'!E9</f>
        <v>0</v>
      </c>
      <c r="G19" s="41">
        <f>'Entrada de Dados'!H12*Resultados!F19</f>
        <v>0</v>
      </c>
      <c r="H19" s="56"/>
      <c r="I19" s="40">
        <f>'Aliquota de Impostos'!E9</f>
        <v>0</v>
      </c>
      <c r="J19" s="41">
        <f>'Entrada de Dados'!K5*Resultados!F19</f>
        <v>0</v>
      </c>
      <c r="K19" s="56"/>
      <c r="L19" s="40">
        <f>M19/'Entrada de Dados'!$H$12</f>
        <v>0</v>
      </c>
      <c r="M19" s="66">
        <f>IF('Aliquota de Impostos'!E9&gt;0,'Entrada de Dados'!H9*'Aliquota de Impostos'!E9,0)</f>
        <v>0</v>
      </c>
    </row>
    <row r="20" spans="1:67" s="3" customFormat="1" ht="21.95" customHeight="1" thickBot="1">
      <c r="A20" s="22"/>
      <c r="B20" s="19"/>
      <c r="C20" s="8"/>
      <c r="D20" s="93" t="s">
        <v>46</v>
      </c>
      <c r="E20" s="56"/>
      <c r="F20" s="40">
        <f>G20/'Entrada de Dados'!$H$12</f>
        <v>0</v>
      </c>
      <c r="G20" s="41">
        <f>'Entrada de Dados'!K5*'Aliquota de Impostos'!E16</f>
        <v>0</v>
      </c>
      <c r="H20" s="56"/>
      <c r="I20" s="40">
        <f>J20/'Entrada de Dados'!$H$12</f>
        <v>0</v>
      </c>
      <c r="J20" s="41">
        <f>'Entrada de Dados'!K5*'Aliquota de Impostos'!E16</f>
        <v>0</v>
      </c>
      <c r="K20" s="56"/>
      <c r="L20" s="40">
        <f>M20/'Entrada de Dados'!$H$12</f>
        <v>0</v>
      </c>
      <c r="M20" s="66">
        <f>'Entrada de Dados'!K5*'Aliquota de Impostos'!E16</f>
        <v>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1:67" s="15" customFormat="1" ht="21.95" customHeight="1" thickBot="1">
      <c r="A21" s="22"/>
      <c r="B21" s="34"/>
      <c r="C21" s="12"/>
      <c r="D21" s="94"/>
      <c r="E21" s="57"/>
      <c r="F21" s="52">
        <f>SUM(F6:F20)</f>
        <v>0.17730000000000001</v>
      </c>
      <c r="G21" s="53">
        <f>SUM(G6:G20)</f>
        <v>37233</v>
      </c>
      <c r="H21" s="57"/>
      <c r="I21" s="52">
        <f>SUM(I6:I20)</f>
        <v>0.37001428571428568</v>
      </c>
      <c r="J21" s="54">
        <f>SUM(J6:J20)</f>
        <v>77703</v>
      </c>
      <c r="K21" s="57"/>
      <c r="L21" s="52">
        <f>SUM(L6:L20)</f>
        <v>9.2914285714285713E-2</v>
      </c>
      <c r="M21" s="67">
        <f>SUM(M6:M20)</f>
        <v>19512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s="16" customFormat="1" ht="21.95" customHeight="1">
      <c r="A22" s="22"/>
      <c r="B22" s="3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21.95" customHeight="1">
      <c r="A23" s="22"/>
      <c r="B23" s="17"/>
    </row>
    <row r="24" spans="1:67" ht="21.95" customHeight="1">
      <c r="A24" s="22"/>
      <c r="B24" s="17"/>
    </row>
    <row r="25" spans="1:67" ht="21.95" customHeight="1">
      <c r="A25" s="22"/>
      <c r="B25" s="17"/>
    </row>
    <row r="26" spans="1:67" ht="21.95" customHeight="1">
      <c r="A26" s="22"/>
      <c r="B26" s="17"/>
    </row>
    <row r="27" spans="1:67" ht="21.95" customHeight="1">
      <c r="A27" s="22"/>
      <c r="B27" s="17"/>
    </row>
    <row r="28" spans="1:67" ht="21.95" customHeight="1">
      <c r="A28" s="22"/>
      <c r="B28" s="17"/>
    </row>
    <row r="29" spans="1:67" ht="21.95" customHeight="1">
      <c r="A29" s="22"/>
      <c r="B29" s="17"/>
    </row>
    <row r="30" spans="1:67" ht="21.95" customHeight="1">
      <c r="A30" s="22"/>
      <c r="B30" s="17"/>
    </row>
    <row r="31" spans="1:67" ht="21.95" customHeight="1">
      <c r="B31" s="17"/>
    </row>
    <row r="32" spans="1:67" ht="21.95" customHeight="1">
      <c r="B32" s="17"/>
    </row>
    <row r="33" spans="1:67" ht="21.95" customHeight="1">
      <c r="B33" s="17"/>
    </row>
    <row r="34" spans="1:67" ht="21.95" customHeight="1">
      <c r="B34" s="17"/>
    </row>
    <row r="35" spans="1:67" s="3" customFormat="1" ht="21.95" customHeight="1" thickBot="1">
      <c r="A35" s="33"/>
      <c r="B35" s="1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</row>
    <row r="36" spans="1:67" s="11" customFormat="1" ht="21.95" customHeight="1">
      <c r="A36" s="33"/>
      <c r="B36" s="34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21.95" customHeight="1">
      <c r="B37" s="17"/>
    </row>
    <row r="38" spans="1:67" ht="21.95" customHeight="1">
      <c r="B38" s="17"/>
    </row>
    <row r="39" spans="1:67" ht="21.95" customHeight="1">
      <c r="B39" s="17"/>
    </row>
    <row r="40" spans="1:67" ht="21.95" customHeight="1">
      <c r="B40" s="17"/>
    </row>
    <row r="41" spans="1:67" ht="21.95" customHeight="1">
      <c r="B41" s="17"/>
    </row>
    <row r="42" spans="1:67" ht="21.95" customHeight="1">
      <c r="B42" s="17"/>
    </row>
    <row r="43" spans="1:67" ht="21.95" customHeight="1">
      <c r="B43" s="17"/>
    </row>
    <row r="44" spans="1:67" ht="21.95" customHeight="1">
      <c r="B44" s="17"/>
    </row>
    <row r="45" spans="1:67" ht="21.95" customHeight="1">
      <c r="B45" s="17"/>
    </row>
    <row r="46" spans="1:67" ht="21.95" customHeight="1">
      <c r="B46" s="17"/>
    </row>
    <row r="47" spans="1:67" ht="21.95" customHeight="1">
      <c r="B47" s="17"/>
    </row>
    <row r="48" spans="1:67" ht="21.95" customHeight="1">
      <c r="B48" s="17"/>
    </row>
    <row r="49" spans="1:67" ht="21.95" customHeight="1">
      <c r="B49" s="17"/>
    </row>
    <row r="50" spans="1:67" ht="21.95" customHeight="1">
      <c r="B50" s="17"/>
    </row>
    <row r="51" spans="1:67" ht="21.95" customHeight="1">
      <c r="B51" s="17"/>
    </row>
    <row r="52" spans="1:67" ht="21.95" customHeight="1">
      <c r="B52" s="17"/>
    </row>
    <row r="53" spans="1:67" ht="21.95" customHeight="1">
      <c r="B53" s="17"/>
    </row>
    <row r="54" spans="1:67" s="3" customFormat="1" ht="21.95" customHeight="1" thickBot="1">
      <c r="A54" s="33"/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1:67" s="17" customFormat="1" ht="21.95" customHeight="1">
      <c r="A55" s="3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1:67" s="17" customFormat="1" ht="21.95" customHeight="1">
      <c r="A56" s="3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1:67" s="14" customFormat="1" ht="21.95" customHeight="1">
      <c r="A57" s="33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</row>
    <row r="58" spans="1:67" s="6" customFormat="1" ht="21.95" customHeight="1">
      <c r="A58" s="3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1:67" s="6" customFormat="1" ht="21.95" customHeight="1">
      <c r="A59" s="3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1:67" s="6" customFormat="1" ht="21.95" customHeight="1">
      <c r="A60" s="3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1:67" s="6" customFormat="1" ht="21.95" customHeight="1">
      <c r="A61" s="3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ht="21.95" customHeight="1"/>
    <row r="63" spans="1:67" ht="21.95" customHeight="1"/>
    <row r="64" spans="1:67" ht="21.95" customHeight="1"/>
    <row r="65" spans="1:67" s="6" customFormat="1" ht="21.95" customHeight="1">
      <c r="A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21.95" customHeight="1"/>
    <row r="67" spans="1:67" ht="21.95" customHeight="1"/>
    <row r="68" spans="1:67" ht="21.95" customHeight="1"/>
    <row r="69" spans="1:67" ht="21.95" customHeight="1"/>
    <row r="70" spans="1:67" s="21" customFormat="1" ht="21.95" customHeight="1">
      <c r="A70" s="3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</row>
    <row r="71" spans="1:67" s="5" customFormat="1" ht="21.95" customHeight="1">
      <c r="A71" s="3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</row>
    <row r="72" spans="1:67" ht="21.95" customHeight="1"/>
    <row r="73" spans="1:67" ht="21.95" customHeight="1"/>
    <row r="74" spans="1:67" ht="21.95" customHeight="1"/>
    <row r="75" spans="1:67" ht="21.95" customHeight="1"/>
    <row r="76" spans="1:67" ht="21.95" customHeight="1"/>
    <row r="77" spans="1:67" ht="21.95" customHeight="1"/>
    <row r="78" spans="1:67" ht="21.95" customHeight="1"/>
    <row r="79" spans="1:67" ht="21.95" customHeight="1"/>
    <row r="80" spans="1:67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algorithmName="SHA-512" hashValue="P0HBLkUjiLAkgcnne9q0N4uIdFQf99Zj6ZTf7WlK5n86RD+f2UyKYLFeKHjfyqovSBlbOKBBm/Z2dDICsiB1xg==" saltValue="4bhDBMdSwI/A2UvKyeGxsA==" spinCount="100000" sheet="1" objects="1" scenarios="1" selectLockedCells="1"/>
  <mergeCells count="3">
    <mergeCell ref="F4:G4"/>
    <mergeCell ref="I4:J4"/>
    <mergeCell ref="L4:M4"/>
  </mergeCells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74803149606299213" right="0.74803149606299213" top="0.98425196850393704" bottom="0.98425196850393704" header="0.51181102362204722" footer="0.51181102362204722"/>
  <pageSetup paperSize="9" scale="59" orientation="landscape" verticalDpi="0" r:id="rId1"/>
  <headerFooter>
    <oddFooter>&amp;C&amp;"Arial,Negrito"&amp;11Obs:&amp;"Arial,Normal" 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pageSetUpPr fitToPage="1"/>
  </sheetPr>
  <dimension ref="A1:BD734"/>
  <sheetViews>
    <sheetView showGridLines="0" zoomScale="90" zoomScaleNormal="90" workbookViewId="0">
      <pane xSplit="2" ySplit="3" topLeftCell="C283" activePane="bottomRight" state="frozenSplit"/>
      <selection pane="topRight" activeCell="C1" sqref="C1"/>
      <selection pane="bottomLeft" activeCell="A4" sqref="A4"/>
      <selection pane="bottomRight" activeCell="H25" sqref="H25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5" width="21.7109375" style="8" customWidth="1"/>
    <col min="6" max="6" width="13.85546875" style="8" customWidth="1"/>
    <col min="7" max="7" width="15.28515625" style="8" customWidth="1"/>
    <col min="8" max="12" width="13.85546875" style="8" customWidth="1"/>
    <col min="13" max="56" width="9.140625" style="8"/>
    <col min="57" max="16384" width="9.140625" style="1"/>
  </cols>
  <sheetData>
    <row r="1" spans="1:56" ht="40.5" customHeight="1">
      <c r="A1"/>
      <c r="B1" s="6" t="s">
        <v>0</v>
      </c>
      <c r="C1" s="44" t="s">
        <v>84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56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</row>
    <row r="3" spans="1:56" ht="9.9499999999999993" customHeight="1">
      <c r="A3" s="31"/>
    </row>
    <row r="4" spans="1:56" s="14" customFormat="1" ht="23.1" customHeight="1" thickBot="1">
      <c r="A4" s="107" t="s">
        <v>4</v>
      </c>
      <c r="B4" s="18"/>
      <c r="C4" s="8"/>
      <c r="D4" s="8" t="s">
        <v>55</v>
      </c>
      <c r="E4" s="8"/>
      <c r="F4" s="8"/>
      <c r="G4" s="8"/>
      <c r="H4" s="8"/>
      <c r="I4" s="8"/>
      <c r="J4" s="8"/>
      <c r="K4" s="8"/>
      <c r="L4" s="8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pans="1:56" ht="23.1" customHeight="1" thickBot="1">
      <c r="A5" s="108" t="s">
        <v>6</v>
      </c>
      <c r="B5" s="19"/>
      <c r="C5" s="12"/>
      <c r="D5" s="144" t="s">
        <v>52</v>
      </c>
      <c r="E5" s="145"/>
      <c r="F5" s="111" t="s">
        <v>44</v>
      </c>
      <c r="G5" s="111" t="s">
        <v>31</v>
      </c>
      <c r="H5" s="111" t="s">
        <v>33</v>
      </c>
      <c r="I5" s="111" t="s">
        <v>53</v>
      </c>
      <c r="J5" s="111" t="s">
        <v>54</v>
      </c>
      <c r="K5" s="111" t="s">
        <v>25</v>
      </c>
      <c r="L5" s="111" t="s">
        <v>23</v>
      </c>
      <c r="M5" s="112"/>
      <c r="N5" s="112"/>
    </row>
    <row r="6" spans="1:56" ht="21.95" customHeight="1" thickBot="1">
      <c r="A6" s="108" t="s">
        <v>58</v>
      </c>
      <c r="B6" s="19"/>
      <c r="D6" s="113">
        <v>0</v>
      </c>
      <c r="E6" s="114">
        <v>180000</v>
      </c>
      <c r="F6" s="115">
        <v>0.04</v>
      </c>
      <c r="G6" s="115">
        <v>0</v>
      </c>
      <c r="H6" s="115">
        <v>0</v>
      </c>
      <c r="I6" s="115">
        <v>0</v>
      </c>
      <c r="J6" s="115">
        <v>0</v>
      </c>
      <c r="K6" s="115">
        <v>2.75E-2</v>
      </c>
      <c r="L6" s="115">
        <v>1.2500000000000001E-2</v>
      </c>
      <c r="M6" s="112"/>
      <c r="N6" s="112"/>
    </row>
    <row r="7" spans="1:56" ht="21.95" customHeight="1" thickBot="1">
      <c r="A7" s="108" t="s">
        <v>59</v>
      </c>
      <c r="B7" s="19"/>
      <c r="D7" s="116">
        <v>180000.01</v>
      </c>
      <c r="E7" s="117">
        <v>360000</v>
      </c>
      <c r="F7" s="115">
        <v>5.4699999999999999E-2</v>
      </c>
      <c r="G7" s="115">
        <v>0</v>
      </c>
      <c r="H7" s="115">
        <v>0</v>
      </c>
      <c r="I7" s="115">
        <v>8.6E-3</v>
      </c>
      <c r="J7" s="115">
        <v>0</v>
      </c>
      <c r="K7" s="115">
        <v>2.75E-2</v>
      </c>
      <c r="L7" s="115">
        <v>1.8599999999999998E-2</v>
      </c>
      <c r="M7" s="112"/>
      <c r="N7" s="112"/>
    </row>
    <row r="8" spans="1:56" ht="21.95" customHeight="1" thickBot="1">
      <c r="A8" s="109" t="s">
        <v>60</v>
      </c>
      <c r="B8" s="19"/>
      <c r="D8" s="116">
        <v>360000.01</v>
      </c>
      <c r="E8" s="117">
        <v>540000</v>
      </c>
      <c r="F8" s="115">
        <v>6.8400000000000002E-2</v>
      </c>
      <c r="G8" s="115">
        <v>2.7000000000000001E-3</v>
      </c>
      <c r="H8" s="115">
        <v>3.0999999999999999E-3</v>
      </c>
      <c r="I8" s="115">
        <v>9.4999999999999998E-3</v>
      </c>
      <c r="J8" s="115">
        <v>2.3E-3</v>
      </c>
      <c r="K8" s="115">
        <v>2.75E-2</v>
      </c>
      <c r="L8" s="115">
        <v>2.3300000000000001E-2</v>
      </c>
      <c r="M8" s="112"/>
      <c r="N8" s="112"/>
    </row>
    <row r="9" spans="1:56" ht="21.95" customHeight="1" thickBot="1">
      <c r="A9" s="108"/>
      <c r="B9" s="19"/>
      <c r="D9" s="116">
        <v>540000.01</v>
      </c>
      <c r="E9" s="117">
        <v>720000</v>
      </c>
      <c r="F9" s="115">
        <v>7.5399999999999995E-2</v>
      </c>
      <c r="G9" s="115">
        <v>3.5000000000000001E-3</v>
      </c>
      <c r="H9" s="115">
        <v>3.5000000000000001E-3</v>
      </c>
      <c r="I9" s="115">
        <v>1.04E-2</v>
      </c>
      <c r="J9" s="115">
        <v>2.5000000000000001E-3</v>
      </c>
      <c r="K9" s="115">
        <v>2.9899999999999999E-2</v>
      </c>
      <c r="L9" s="115">
        <v>2.5600000000000001E-2</v>
      </c>
      <c r="M9" s="112"/>
      <c r="N9" s="112"/>
    </row>
    <row r="10" spans="1:56" ht="21.95" customHeight="1" thickBot="1">
      <c r="A10" s="108" t="s">
        <v>5</v>
      </c>
      <c r="B10" s="19"/>
      <c r="D10" s="116">
        <v>720000.01</v>
      </c>
      <c r="E10" s="117">
        <v>900000</v>
      </c>
      <c r="F10" s="115">
        <v>7.5999999999999998E-2</v>
      </c>
      <c r="G10" s="115">
        <v>3.5000000000000001E-3</v>
      </c>
      <c r="H10" s="115">
        <v>3.5000000000000001E-3</v>
      </c>
      <c r="I10" s="115">
        <v>1.0500000000000001E-2</v>
      </c>
      <c r="J10" s="115">
        <v>2.5000000000000001E-3</v>
      </c>
      <c r="K10" s="115">
        <v>3.0200000000000001E-2</v>
      </c>
      <c r="L10" s="115">
        <v>2.58E-2</v>
      </c>
      <c r="M10" s="112"/>
      <c r="N10" s="134"/>
    </row>
    <row r="11" spans="1:56" s="3" customFormat="1" ht="21.95" customHeight="1" thickBot="1">
      <c r="A11" s="108"/>
      <c r="B11" s="19"/>
      <c r="C11" s="8"/>
      <c r="D11" s="116">
        <v>900000.01</v>
      </c>
      <c r="E11" s="117">
        <v>1080000</v>
      </c>
      <c r="F11" s="115">
        <v>8.2799999999999999E-2</v>
      </c>
      <c r="G11" s="115">
        <v>3.8E-3</v>
      </c>
      <c r="H11" s="115">
        <v>3.8E-3</v>
      </c>
      <c r="I11" s="115">
        <v>1.15E-2</v>
      </c>
      <c r="J11" s="115">
        <v>2.7000000000000001E-3</v>
      </c>
      <c r="K11" s="115">
        <v>3.2800000000000003E-2</v>
      </c>
      <c r="L11" s="115">
        <v>2.8199999999999999E-2</v>
      </c>
      <c r="M11" s="112"/>
      <c r="N11" s="11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1:56" s="13" customFormat="1" ht="21.95" customHeight="1" thickBot="1">
      <c r="A12" s="32"/>
      <c r="B12" s="18"/>
      <c r="C12" s="8"/>
      <c r="D12" s="116">
        <v>1080000.01</v>
      </c>
      <c r="E12" s="117">
        <v>1260000</v>
      </c>
      <c r="F12" s="115">
        <v>8.3599999999999994E-2</v>
      </c>
      <c r="G12" s="115">
        <v>3.8999999999999998E-3</v>
      </c>
      <c r="H12" s="115">
        <v>3.8999999999999998E-3</v>
      </c>
      <c r="I12" s="115">
        <v>1.1599999999999999E-2</v>
      </c>
      <c r="J12" s="115">
        <v>2.8E-3</v>
      </c>
      <c r="K12" s="115">
        <v>3.3000000000000002E-2</v>
      </c>
      <c r="L12" s="115">
        <v>2.8400000000000002E-2</v>
      </c>
      <c r="M12" s="118"/>
      <c r="N12" s="118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</row>
    <row r="13" spans="1:56" ht="21.95" customHeight="1" thickBot="1">
      <c r="A13" s="32"/>
      <c r="B13" s="19"/>
      <c r="C13" s="12"/>
      <c r="D13" s="116">
        <v>1260000.01</v>
      </c>
      <c r="E13" s="117">
        <v>1440000</v>
      </c>
      <c r="F13" s="115">
        <v>8.4500000000000006E-2</v>
      </c>
      <c r="G13" s="115">
        <v>3.8999999999999998E-3</v>
      </c>
      <c r="H13" s="115">
        <v>3.8999999999999998E-3</v>
      </c>
      <c r="I13" s="115">
        <v>1.17E-2</v>
      </c>
      <c r="J13" s="115">
        <v>2.8E-3</v>
      </c>
      <c r="K13" s="115">
        <v>3.3500000000000002E-2</v>
      </c>
      <c r="L13" s="115">
        <v>2.87E-2</v>
      </c>
      <c r="M13" s="112"/>
      <c r="N13" s="112"/>
    </row>
    <row r="14" spans="1:56" ht="21.95" customHeight="1" thickBot="1">
      <c r="A14" s="32"/>
      <c r="B14" s="19"/>
      <c r="D14" s="116">
        <v>1440000.01</v>
      </c>
      <c r="E14" s="117">
        <v>1620000</v>
      </c>
      <c r="F14" s="115">
        <v>9.0300000000000005E-2</v>
      </c>
      <c r="G14" s="115">
        <v>4.1999999999999997E-3</v>
      </c>
      <c r="H14" s="115">
        <v>4.1999999999999997E-3</v>
      </c>
      <c r="I14" s="115">
        <v>1.2500000000000001E-2</v>
      </c>
      <c r="J14" s="115">
        <v>3.0000000000000001E-3</v>
      </c>
      <c r="K14" s="115">
        <v>3.5700000000000003E-2</v>
      </c>
      <c r="L14" s="115">
        <v>3.0700000000000002E-2</v>
      </c>
      <c r="M14" s="112"/>
      <c r="N14" s="112"/>
    </row>
    <row r="15" spans="1:56" ht="21.95" customHeight="1" thickBot="1">
      <c r="A15" s="32"/>
      <c r="B15" s="19"/>
      <c r="D15" s="116">
        <v>1620000.01</v>
      </c>
      <c r="E15" s="117">
        <v>1800000</v>
      </c>
      <c r="F15" s="115">
        <v>9.1200000000000003E-2</v>
      </c>
      <c r="G15" s="115">
        <v>4.3E-3</v>
      </c>
      <c r="H15" s="115">
        <v>4.3E-3</v>
      </c>
      <c r="I15" s="115">
        <v>1.26E-2</v>
      </c>
      <c r="J15" s="115">
        <v>3.0000000000000001E-3</v>
      </c>
      <c r="K15" s="115">
        <v>3.5999999999999997E-2</v>
      </c>
      <c r="L15" s="115">
        <v>3.1E-2</v>
      </c>
      <c r="M15" s="112"/>
      <c r="N15" s="112"/>
    </row>
    <row r="16" spans="1:56" ht="21.95" customHeight="1" thickBot="1">
      <c r="A16" s="22"/>
      <c r="B16" s="19"/>
      <c r="D16" s="116">
        <v>1800000.01</v>
      </c>
      <c r="E16" s="117">
        <v>1980000</v>
      </c>
      <c r="F16" s="115">
        <v>9.9500000000000005E-2</v>
      </c>
      <c r="G16" s="115">
        <v>4.5999999999999999E-3</v>
      </c>
      <c r="H16" s="115">
        <v>4.5999999999999999E-3</v>
      </c>
      <c r="I16" s="115">
        <v>1.38E-2</v>
      </c>
      <c r="J16" s="115">
        <v>3.3E-3</v>
      </c>
      <c r="K16" s="115">
        <v>3.9399999999999998E-2</v>
      </c>
      <c r="L16" s="115">
        <v>3.3799999999999997E-2</v>
      </c>
      <c r="M16" s="112"/>
      <c r="N16" s="112"/>
    </row>
    <row r="17" spans="1:56" ht="21.95" customHeight="1" thickBot="1">
      <c r="A17" s="22"/>
      <c r="B17" s="19"/>
      <c r="D17" s="116">
        <v>1980000.01</v>
      </c>
      <c r="E17" s="117">
        <v>2160000</v>
      </c>
      <c r="F17" s="115">
        <v>0.1004</v>
      </c>
      <c r="G17" s="115">
        <v>4.5999999999999999E-3</v>
      </c>
      <c r="H17" s="115">
        <v>4.5999999999999999E-3</v>
      </c>
      <c r="I17" s="115">
        <v>1.3899999999999999E-2</v>
      </c>
      <c r="J17" s="115">
        <v>3.3E-3</v>
      </c>
      <c r="K17" s="115">
        <v>3.9899999999999998E-2</v>
      </c>
      <c r="L17" s="115">
        <v>3.4099999999999998E-2</v>
      </c>
      <c r="M17" s="112"/>
      <c r="N17" s="112"/>
    </row>
    <row r="18" spans="1:56" ht="21.95" customHeight="1" thickBot="1">
      <c r="A18" s="22"/>
      <c r="B18" s="19"/>
      <c r="D18" s="116">
        <v>2160000.0099999998</v>
      </c>
      <c r="E18" s="117">
        <v>2340000</v>
      </c>
      <c r="F18" s="115">
        <v>0.1013</v>
      </c>
      <c r="G18" s="115">
        <v>4.7000000000000002E-3</v>
      </c>
      <c r="H18" s="115">
        <v>4.7000000000000002E-3</v>
      </c>
      <c r="I18" s="115">
        <v>1.4E-2</v>
      </c>
      <c r="J18" s="115">
        <v>3.3E-3</v>
      </c>
      <c r="K18" s="115">
        <v>4.0099999999999997E-2</v>
      </c>
      <c r="L18" s="115">
        <v>3.4500000000000003E-2</v>
      </c>
      <c r="M18" s="112"/>
      <c r="N18" s="112"/>
    </row>
    <row r="19" spans="1:56" ht="21.95" customHeight="1" thickBot="1">
      <c r="A19" s="22"/>
      <c r="B19" s="19"/>
      <c r="D19" s="116">
        <v>2340000.0099999998</v>
      </c>
      <c r="E19" s="117">
        <v>2520000</v>
      </c>
      <c r="F19" s="115">
        <v>0.1023</v>
      </c>
      <c r="G19" s="115">
        <v>4.7000000000000002E-3</v>
      </c>
      <c r="H19" s="115">
        <v>4.7000000000000002E-3</v>
      </c>
      <c r="I19" s="115">
        <v>1.4200000000000001E-2</v>
      </c>
      <c r="J19" s="115">
        <v>3.3999999999999998E-3</v>
      </c>
      <c r="K19" s="115">
        <v>4.0500000000000001E-2</v>
      </c>
      <c r="L19" s="115">
        <v>3.4799999999999998E-2</v>
      </c>
      <c r="M19" s="112"/>
      <c r="N19" s="112"/>
    </row>
    <row r="20" spans="1:56" s="3" customFormat="1" ht="21.95" customHeight="1" thickBot="1">
      <c r="A20" s="22"/>
      <c r="B20" s="19"/>
      <c r="C20" s="8"/>
      <c r="D20" s="116">
        <v>2520000.0099999998</v>
      </c>
      <c r="E20" s="117">
        <v>2700000</v>
      </c>
      <c r="F20" s="115">
        <v>0.1032</v>
      </c>
      <c r="G20" s="115">
        <v>4.7999999999999996E-3</v>
      </c>
      <c r="H20" s="115">
        <v>4.7999999999999996E-3</v>
      </c>
      <c r="I20" s="115">
        <v>1.43E-2</v>
      </c>
      <c r="J20" s="115">
        <v>3.3999999999999998E-3</v>
      </c>
      <c r="K20" s="115">
        <v>4.0800000000000003E-2</v>
      </c>
      <c r="L20" s="115">
        <v>3.5099999999999999E-2</v>
      </c>
      <c r="M20" s="112"/>
      <c r="N20" s="11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1:56" s="15" customFormat="1" ht="21.95" customHeight="1" thickBot="1">
      <c r="A21" s="22"/>
      <c r="B21" s="34"/>
      <c r="C21" s="8"/>
      <c r="D21" s="116">
        <v>2700000.01</v>
      </c>
      <c r="E21" s="117">
        <v>2880000</v>
      </c>
      <c r="F21" s="115">
        <v>0.1123</v>
      </c>
      <c r="G21" s="115">
        <v>5.1999999999999998E-3</v>
      </c>
      <c r="H21" s="115">
        <v>5.1999999999999998E-3</v>
      </c>
      <c r="I21" s="115">
        <v>1.5599999999999999E-2</v>
      </c>
      <c r="J21" s="115">
        <v>3.7000000000000002E-3</v>
      </c>
      <c r="K21" s="115">
        <v>4.4400000000000002E-2</v>
      </c>
      <c r="L21" s="115">
        <v>3.8199999999999998E-2</v>
      </c>
      <c r="M21" s="118"/>
      <c r="N21" s="118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</row>
    <row r="22" spans="1:56" s="16" customFormat="1" ht="21.95" customHeight="1" thickBot="1">
      <c r="A22" s="22"/>
      <c r="B22" s="34"/>
      <c r="C22" s="12"/>
      <c r="D22" s="116">
        <v>2880000.01</v>
      </c>
      <c r="E22" s="117">
        <v>3060000</v>
      </c>
      <c r="F22" s="115">
        <v>0.1132</v>
      </c>
      <c r="G22" s="115">
        <v>5.1999999999999998E-3</v>
      </c>
      <c r="H22" s="115">
        <v>5.1999999999999998E-3</v>
      </c>
      <c r="I22" s="115">
        <v>1.5699999999999999E-2</v>
      </c>
      <c r="J22" s="115">
        <v>3.7000000000000002E-3</v>
      </c>
      <c r="K22" s="115">
        <v>4.4900000000000002E-2</v>
      </c>
      <c r="L22" s="115">
        <v>3.85E-2</v>
      </c>
      <c r="M22" s="118"/>
      <c r="N22" s="118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</row>
    <row r="23" spans="1:56" ht="21.95" customHeight="1" thickBot="1">
      <c r="A23" s="22"/>
      <c r="B23" s="17"/>
      <c r="C23" s="12"/>
      <c r="D23" s="116">
        <v>3060000.01</v>
      </c>
      <c r="E23" s="117">
        <v>3240000</v>
      </c>
      <c r="F23" s="115">
        <v>0.1142</v>
      </c>
      <c r="G23" s="115">
        <v>5.3E-3</v>
      </c>
      <c r="H23" s="115">
        <v>5.3E-3</v>
      </c>
      <c r="I23" s="115">
        <v>1.5800000000000002E-2</v>
      </c>
      <c r="J23" s="115">
        <v>3.8E-3</v>
      </c>
      <c r="K23" s="115">
        <v>4.5199999999999997E-2</v>
      </c>
      <c r="L23" s="115">
        <v>3.8800000000000001E-2</v>
      </c>
      <c r="M23" s="112"/>
      <c r="N23" s="112"/>
    </row>
    <row r="24" spans="1:56" ht="21.95" customHeight="1" thickBot="1">
      <c r="A24" s="22"/>
      <c r="B24" s="17"/>
      <c r="D24" s="116">
        <v>3240000.01</v>
      </c>
      <c r="E24" s="117">
        <v>3420000</v>
      </c>
      <c r="F24" s="115">
        <v>0.11509999999999999</v>
      </c>
      <c r="G24" s="115">
        <v>5.3E-3</v>
      </c>
      <c r="H24" s="115">
        <v>5.3E-3</v>
      </c>
      <c r="I24" s="115">
        <v>1.6E-2</v>
      </c>
      <c r="J24" s="115">
        <v>3.8E-3</v>
      </c>
      <c r="K24" s="115">
        <v>4.5600000000000002E-2</v>
      </c>
      <c r="L24" s="115">
        <v>3.9100000000000003E-2</v>
      </c>
      <c r="M24" s="112"/>
      <c r="N24" s="112"/>
    </row>
    <row r="25" spans="1:56" ht="21.95" customHeight="1" thickBot="1">
      <c r="A25" s="22"/>
      <c r="B25" s="17"/>
      <c r="D25" s="116">
        <v>3420000.01</v>
      </c>
      <c r="E25" s="117">
        <v>3600000</v>
      </c>
      <c r="F25" s="115">
        <v>0.11609999999999999</v>
      </c>
      <c r="G25" s="115">
        <v>5.4000000000000003E-3</v>
      </c>
      <c r="H25" s="115">
        <v>5.4000000000000003E-3</v>
      </c>
      <c r="I25" s="115">
        <v>1.6E-2</v>
      </c>
      <c r="J25" s="115">
        <v>3.8E-3</v>
      </c>
      <c r="K25" s="115">
        <v>4.5999999999999999E-2</v>
      </c>
      <c r="L25" s="115">
        <v>3.95E-2</v>
      </c>
      <c r="M25" s="112"/>
      <c r="N25" s="112"/>
    </row>
    <row r="26" spans="1:56" ht="21.95" customHeight="1">
      <c r="A26" s="22"/>
      <c r="B26" s="17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</row>
    <row r="27" spans="1:56" ht="21.95" customHeight="1" thickBot="1">
      <c r="A27" s="22"/>
      <c r="B27" s="17"/>
      <c r="D27" s="112" t="s">
        <v>70</v>
      </c>
      <c r="E27" s="112"/>
      <c r="F27" s="112"/>
      <c r="G27" s="112"/>
      <c r="H27" s="112"/>
      <c r="I27" s="112"/>
      <c r="J27" s="112"/>
      <c r="K27" s="112"/>
      <c r="L27" s="112"/>
      <c r="M27" s="112"/>
      <c r="N27" s="112"/>
    </row>
    <row r="28" spans="1:56" ht="21.95" customHeight="1" thickBot="1">
      <c r="A28" s="22"/>
      <c r="B28" s="17"/>
      <c r="D28" s="144" t="s">
        <v>52</v>
      </c>
      <c r="E28" s="145"/>
      <c r="F28" s="119" t="s">
        <v>44</v>
      </c>
      <c r="G28" s="119" t="s">
        <v>31</v>
      </c>
      <c r="H28" s="119" t="s">
        <v>33</v>
      </c>
      <c r="I28" s="119" t="s">
        <v>53</v>
      </c>
      <c r="J28" s="119" t="s">
        <v>54</v>
      </c>
      <c r="K28" s="119" t="s">
        <v>25</v>
      </c>
      <c r="L28" s="119" t="s">
        <v>23</v>
      </c>
      <c r="M28" s="120" t="s">
        <v>21</v>
      </c>
      <c r="N28" s="112"/>
    </row>
    <row r="29" spans="1:56" ht="21.95" customHeight="1" thickBot="1">
      <c r="A29" s="22"/>
      <c r="B29" s="17"/>
      <c r="D29" s="113">
        <v>0</v>
      </c>
      <c r="E29" s="114">
        <v>180000</v>
      </c>
      <c r="F29" s="121">
        <v>4.4999999999999998E-2</v>
      </c>
      <c r="G29" s="121">
        <v>0</v>
      </c>
      <c r="H29" s="121">
        <v>0</v>
      </c>
      <c r="I29" s="121">
        <v>0</v>
      </c>
      <c r="J29" s="121">
        <v>0</v>
      </c>
      <c r="K29" s="121">
        <v>2.75E-2</v>
      </c>
      <c r="L29" s="121">
        <v>1.2500000000000001E-2</v>
      </c>
      <c r="M29" s="122">
        <v>5.0000000000000001E-3</v>
      </c>
      <c r="N29" s="112"/>
    </row>
    <row r="30" spans="1:56" ht="21.95" customHeight="1" thickBot="1">
      <c r="A30" s="22"/>
      <c r="B30" s="17"/>
      <c r="D30" s="116">
        <v>180000.01</v>
      </c>
      <c r="E30" s="117">
        <v>360000</v>
      </c>
      <c r="F30" s="121">
        <v>5.9700000000000003E-2</v>
      </c>
      <c r="G30" s="121">
        <v>0</v>
      </c>
      <c r="H30" s="121">
        <v>0</v>
      </c>
      <c r="I30" s="121">
        <v>8.6E-3</v>
      </c>
      <c r="J30" s="121">
        <v>0</v>
      </c>
      <c r="K30" s="121">
        <v>2.75E-2</v>
      </c>
      <c r="L30" s="121">
        <v>1.8599999999999998E-2</v>
      </c>
      <c r="M30" s="122">
        <v>5.0000000000000001E-3</v>
      </c>
      <c r="N30" s="112"/>
    </row>
    <row r="31" spans="1:56" ht="21.95" customHeight="1" thickBot="1">
      <c r="B31" s="17"/>
      <c r="D31" s="116">
        <v>360000.01</v>
      </c>
      <c r="E31" s="117">
        <v>540000</v>
      </c>
      <c r="F31" s="121">
        <v>7.3400000000000007E-2</v>
      </c>
      <c r="G31" s="121">
        <v>2.7000000000000001E-3</v>
      </c>
      <c r="H31" s="121">
        <v>3.0999999999999999E-3</v>
      </c>
      <c r="I31" s="121">
        <v>9.4999999999999998E-3</v>
      </c>
      <c r="J31" s="121">
        <v>2.3E-3</v>
      </c>
      <c r="K31" s="121">
        <v>2.75E-2</v>
      </c>
      <c r="L31" s="121">
        <v>2.3300000000000001E-2</v>
      </c>
      <c r="M31" s="122">
        <v>5.0000000000000001E-3</v>
      </c>
      <c r="N31" s="112"/>
    </row>
    <row r="32" spans="1:56" ht="21.95" customHeight="1" thickBot="1">
      <c r="B32" s="17"/>
      <c r="D32" s="116">
        <v>540000.01</v>
      </c>
      <c r="E32" s="117">
        <v>720000</v>
      </c>
      <c r="F32" s="121">
        <v>8.0399999999999999E-2</v>
      </c>
      <c r="G32" s="121">
        <v>3.5000000000000001E-3</v>
      </c>
      <c r="H32" s="121">
        <v>3.5000000000000001E-3</v>
      </c>
      <c r="I32" s="121">
        <v>1.04E-2</v>
      </c>
      <c r="J32" s="121">
        <v>2.5000000000000001E-3</v>
      </c>
      <c r="K32" s="121">
        <v>2.9899999999999999E-2</v>
      </c>
      <c r="L32" s="121">
        <v>2.5600000000000001E-2</v>
      </c>
      <c r="M32" s="122">
        <v>5.0000000000000001E-3</v>
      </c>
      <c r="N32" s="112"/>
    </row>
    <row r="33" spans="1:56" ht="21.95" customHeight="1" thickBot="1">
      <c r="B33" s="17"/>
      <c r="D33" s="116">
        <v>720000.01</v>
      </c>
      <c r="E33" s="117">
        <v>900000</v>
      </c>
      <c r="F33" s="121">
        <v>8.1000000000000003E-2</v>
      </c>
      <c r="G33" s="121">
        <v>3.5000000000000001E-3</v>
      </c>
      <c r="H33" s="121">
        <v>3.5000000000000001E-3</v>
      </c>
      <c r="I33" s="121">
        <v>1.0500000000000001E-2</v>
      </c>
      <c r="J33" s="121">
        <v>2.5000000000000001E-3</v>
      </c>
      <c r="K33" s="121">
        <v>3.0200000000000001E-2</v>
      </c>
      <c r="L33" s="121">
        <v>2.58E-2</v>
      </c>
      <c r="M33" s="122">
        <v>5.0000000000000001E-3</v>
      </c>
      <c r="N33" s="112"/>
    </row>
    <row r="34" spans="1:56" ht="21.95" customHeight="1" thickBot="1">
      <c r="B34" s="17"/>
      <c r="D34" s="116">
        <v>900000.01</v>
      </c>
      <c r="E34" s="117">
        <v>1080000</v>
      </c>
      <c r="F34" s="121">
        <v>8.7800000000000003E-2</v>
      </c>
      <c r="G34" s="121">
        <v>3.8E-3</v>
      </c>
      <c r="H34" s="121">
        <v>3.8E-3</v>
      </c>
      <c r="I34" s="121">
        <v>1.15E-2</v>
      </c>
      <c r="J34" s="121">
        <v>2.7000000000000001E-3</v>
      </c>
      <c r="K34" s="121">
        <v>3.2800000000000003E-2</v>
      </c>
      <c r="L34" s="121">
        <v>2.8199999999999999E-2</v>
      </c>
      <c r="M34" s="122">
        <v>5.0000000000000001E-3</v>
      </c>
      <c r="N34" s="112"/>
    </row>
    <row r="35" spans="1:56" s="3" customFormat="1" ht="21.95" customHeight="1" thickBot="1">
      <c r="A35" s="33"/>
      <c r="B35" s="17"/>
      <c r="C35" s="8"/>
      <c r="D35" s="116">
        <v>1080000.01</v>
      </c>
      <c r="E35" s="117">
        <v>1260000</v>
      </c>
      <c r="F35" s="121">
        <v>8.8599999999999998E-2</v>
      </c>
      <c r="G35" s="121">
        <v>3.8999999999999998E-3</v>
      </c>
      <c r="H35" s="121">
        <v>3.8999999999999998E-3</v>
      </c>
      <c r="I35" s="121">
        <v>1.1599999999999999E-2</v>
      </c>
      <c r="J35" s="121">
        <v>2.8E-3</v>
      </c>
      <c r="K35" s="121">
        <v>3.3000000000000002E-2</v>
      </c>
      <c r="L35" s="121">
        <v>2.8400000000000002E-2</v>
      </c>
      <c r="M35" s="122">
        <v>5.0000000000000001E-3</v>
      </c>
      <c r="N35" s="11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1:56" s="11" customFormat="1" ht="21.95" customHeight="1" thickBot="1">
      <c r="A36" s="33"/>
      <c r="B36" s="34"/>
      <c r="C36" s="8"/>
      <c r="D36" s="116">
        <v>1260000.01</v>
      </c>
      <c r="E36" s="117">
        <v>1440000</v>
      </c>
      <c r="F36" s="121">
        <v>8.9499999999999996E-2</v>
      </c>
      <c r="G36" s="121">
        <v>3.8999999999999998E-3</v>
      </c>
      <c r="H36" s="121">
        <v>3.8999999999999998E-3</v>
      </c>
      <c r="I36" s="121">
        <v>1.17E-2</v>
      </c>
      <c r="J36" s="121">
        <v>2.8E-3</v>
      </c>
      <c r="K36" s="121">
        <v>3.3500000000000002E-2</v>
      </c>
      <c r="L36" s="121">
        <v>2.87E-2</v>
      </c>
      <c r="M36" s="122">
        <v>5.0000000000000001E-3</v>
      </c>
      <c r="N36" s="118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</row>
    <row r="37" spans="1:56" ht="21.95" customHeight="1" thickBot="1">
      <c r="B37" s="17"/>
      <c r="C37" s="12"/>
      <c r="D37" s="116">
        <v>1440000.01</v>
      </c>
      <c r="E37" s="117">
        <v>1620000</v>
      </c>
      <c r="F37" s="121">
        <v>9.5299999999999996E-2</v>
      </c>
      <c r="G37" s="121">
        <v>4.1999999999999997E-3</v>
      </c>
      <c r="H37" s="121">
        <v>4.1999999999999997E-3</v>
      </c>
      <c r="I37" s="121">
        <v>1.2500000000000001E-2</v>
      </c>
      <c r="J37" s="121">
        <v>3.0000000000000001E-3</v>
      </c>
      <c r="K37" s="121">
        <v>3.5700000000000003E-2</v>
      </c>
      <c r="L37" s="121">
        <v>3.0700000000000002E-2</v>
      </c>
      <c r="M37" s="122">
        <v>5.0000000000000001E-3</v>
      </c>
      <c r="N37" s="112"/>
    </row>
    <row r="38" spans="1:56" ht="21.95" customHeight="1" thickBot="1">
      <c r="B38" s="17"/>
      <c r="D38" s="116">
        <v>1620000.01</v>
      </c>
      <c r="E38" s="117">
        <v>1800000</v>
      </c>
      <c r="F38" s="121">
        <v>9.6199999999999994E-2</v>
      </c>
      <c r="G38" s="121">
        <v>4.1999999999999997E-3</v>
      </c>
      <c r="H38" s="121">
        <v>4.1999999999999997E-3</v>
      </c>
      <c r="I38" s="121">
        <v>1.26E-2</v>
      </c>
      <c r="J38" s="121">
        <v>3.0000000000000001E-3</v>
      </c>
      <c r="K38" s="121">
        <v>3.6200000000000003E-2</v>
      </c>
      <c r="L38" s="121">
        <v>3.1E-2</v>
      </c>
      <c r="M38" s="122">
        <v>5.0000000000000001E-3</v>
      </c>
      <c r="N38" s="112"/>
    </row>
    <row r="39" spans="1:56" ht="21.95" customHeight="1" thickBot="1">
      <c r="B39" s="17"/>
      <c r="D39" s="116">
        <v>1800000.01</v>
      </c>
      <c r="E39" s="117">
        <v>1980000</v>
      </c>
      <c r="F39" s="121">
        <v>0.1045</v>
      </c>
      <c r="G39" s="121">
        <v>4.5999999999999999E-3</v>
      </c>
      <c r="H39" s="121">
        <v>4.5999999999999999E-3</v>
      </c>
      <c r="I39" s="121">
        <v>1.38E-2</v>
      </c>
      <c r="J39" s="121">
        <v>3.3E-3</v>
      </c>
      <c r="K39" s="121">
        <v>3.9399999999999998E-2</v>
      </c>
      <c r="L39" s="121">
        <v>3.3799999999999997E-2</v>
      </c>
      <c r="M39" s="122">
        <v>5.0000000000000001E-3</v>
      </c>
      <c r="N39" s="112"/>
    </row>
    <row r="40" spans="1:56" ht="21.95" customHeight="1" thickBot="1">
      <c r="B40" s="17"/>
      <c r="D40" s="116">
        <v>1980000.01</v>
      </c>
      <c r="E40" s="117">
        <v>2160000</v>
      </c>
      <c r="F40" s="121">
        <v>0.10539999999999999</v>
      </c>
      <c r="G40" s="121">
        <v>4.5999999999999999E-3</v>
      </c>
      <c r="H40" s="121">
        <v>4.5999999999999999E-3</v>
      </c>
      <c r="I40" s="121">
        <v>1.3899999999999999E-2</v>
      </c>
      <c r="J40" s="121">
        <v>3.3E-3</v>
      </c>
      <c r="K40" s="121">
        <v>3.9899999999999998E-2</v>
      </c>
      <c r="L40" s="121">
        <v>3.4099999999999998E-2</v>
      </c>
      <c r="M40" s="122">
        <v>5.0000000000000001E-3</v>
      </c>
      <c r="N40" s="112"/>
    </row>
    <row r="41" spans="1:56" ht="21.95" customHeight="1" thickBot="1">
      <c r="B41" s="17"/>
      <c r="D41" s="116">
        <v>2160000.0099999998</v>
      </c>
      <c r="E41" s="117">
        <v>2340000</v>
      </c>
      <c r="F41" s="121">
        <v>0.10630000000000001</v>
      </c>
      <c r="G41" s="121">
        <v>4.7000000000000002E-3</v>
      </c>
      <c r="H41" s="121">
        <v>4.7000000000000002E-3</v>
      </c>
      <c r="I41" s="121">
        <v>1.4E-2</v>
      </c>
      <c r="J41" s="121">
        <v>3.3E-3</v>
      </c>
      <c r="K41" s="121">
        <v>4.0099999999999997E-2</v>
      </c>
      <c r="L41" s="121">
        <v>3.4500000000000003E-2</v>
      </c>
      <c r="M41" s="122">
        <v>5.0000000000000001E-3</v>
      </c>
      <c r="N41" s="112"/>
    </row>
    <row r="42" spans="1:56" ht="21.95" customHeight="1" thickBot="1">
      <c r="B42" s="17"/>
      <c r="D42" s="116">
        <v>2340000.0099999998</v>
      </c>
      <c r="E42" s="117">
        <v>2520000</v>
      </c>
      <c r="F42" s="121">
        <v>0.10730000000000001</v>
      </c>
      <c r="G42" s="121">
        <v>4.7000000000000002E-3</v>
      </c>
      <c r="H42" s="121">
        <v>4.7000000000000002E-3</v>
      </c>
      <c r="I42" s="121">
        <v>1.4200000000000001E-2</v>
      </c>
      <c r="J42" s="121">
        <v>3.3999999999999998E-3</v>
      </c>
      <c r="K42" s="121">
        <v>4.0500000000000001E-2</v>
      </c>
      <c r="L42" s="121">
        <v>3.4799999999999998E-2</v>
      </c>
      <c r="M42" s="122">
        <v>5.0000000000000001E-3</v>
      </c>
      <c r="N42" s="112"/>
    </row>
    <row r="43" spans="1:56" ht="21.95" customHeight="1" thickBot="1">
      <c r="B43" s="17"/>
      <c r="D43" s="116">
        <v>2520000.0099999998</v>
      </c>
      <c r="E43" s="117">
        <v>2700000</v>
      </c>
      <c r="F43" s="121">
        <v>0.1082</v>
      </c>
      <c r="G43" s="121">
        <v>4.7999999999999996E-3</v>
      </c>
      <c r="H43" s="121">
        <v>4.7999999999999996E-3</v>
      </c>
      <c r="I43" s="121">
        <v>1.43E-2</v>
      </c>
      <c r="J43" s="121">
        <v>3.3999999999999998E-3</v>
      </c>
      <c r="K43" s="121">
        <v>4.0800000000000003E-2</v>
      </c>
      <c r="L43" s="121">
        <v>3.5099999999999999E-2</v>
      </c>
      <c r="M43" s="122">
        <v>5.0000000000000001E-3</v>
      </c>
      <c r="N43" s="112"/>
    </row>
    <row r="44" spans="1:56" ht="21.95" customHeight="1" thickBot="1">
      <c r="B44" s="17"/>
      <c r="D44" s="116">
        <v>2700000.01</v>
      </c>
      <c r="E44" s="117">
        <v>2880000</v>
      </c>
      <c r="F44" s="121">
        <v>0.1173</v>
      </c>
      <c r="G44" s="121">
        <v>5.1999999999999998E-3</v>
      </c>
      <c r="H44" s="121">
        <v>5.1999999999999998E-3</v>
      </c>
      <c r="I44" s="121">
        <v>1.5599999999999999E-2</v>
      </c>
      <c r="J44" s="121">
        <v>3.7000000000000002E-3</v>
      </c>
      <c r="K44" s="121">
        <v>4.4400000000000002E-2</v>
      </c>
      <c r="L44" s="121">
        <v>3.8199999999999998E-2</v>
      </c>
      <c r="M44" s="122">
        <v>5.0000000000000001E-3</v>
      </c>
      <c r="N44" s="112"/>
    </row>
    <row r="45" spans="1:56" ht="21.95" customHeight="1" thickBot="1">
      <c r="B45" s="17"/>
      <c r="D45" s="116">
        <v>2880000.01</v>
      </c>
      <c r="E45" s="117">
        <v>3060000</v>
      </c>
      <c r="F45" s="121">
        <v>0.1182</v>
      </c>
      <c r="G45" s="121">
        <v>5.1999999999999998E-3</v>
      </c>
      <c r="H45" s="121">
        <v>5.1999999999999998E-3</v>
      </c>
      <c r="I45" s="121">
        <v>1.5699999999999999E-2</v>
      </c>
      <c r="J45" s="121">
        <v>3.7000000000000002E-3</v>
      </c>
      <c r="K45" s="121">
        <v>4.4900000000000002E-2</v>
      </c>
      <c r="L45" s="121">
        <v>3.85E-2</v>
      </c>
      <c r="M45" s="122">
        <v>5.0000000000000001E-3</v>
      </c>
      <c r="N45" s="112"/>
    </row>
    <row r="46" spans="1:56" ht="21.95" customHeight="1" thickBot="1">
      <c r="B46" s="17"/>
      <c r="D46" s="116">
        <v>3060000.01</v>
      </c>
      <c r="E46" s="117">
        <v>3240000</v>
      </c>
      <c r="F46" s="121">
        <v>0.1192</v>
      </c>
      <c r="G46" s="121">
        <v>5.3E-3</v>
      </c>
      <c r="H46" s="121">
        <v>5.3E-3</v>
      </c>
      <c r="I46" s="121">
        <v>1.5800000000000002E-2</v>
      </c>
      <c r="J46" s="121">
        <v>3.8E-3</v>
      </c>
      <c r="K46" s="121">
        <v>4.5199999999999997E-2</v>
      </c>
      <c r="L46" s="121">
        <v>3.8800000000000001E-2</v>
      </c>
      <c r="M46" s="122">
        <v>5.0000000000000001E-3</v>
      </c>
      <c r="N46" s="112"/>
    </row>
    <row r="47" spans="1:56" ht="21.95" customHeight="1" thickBot="1">
      <c r="B47" s="17"/>
      <c r="D47" s="116">
        <v>3240000.01</v>
      </c>
      <c r="E47" s="117">
        <v>3420000</v>
      </c>
      <c r="F47" s="121">
        <v>0.1201</v>
      </c>
      <c r="G47" s="121">
        <v>5.3E-3</v>
      </c>
      <c r="H47" s="121">
        <v>5.3E-3</v>
      </c>
      <c r="I47" s="121">
        <v>1.6E-2</v>
      </c>
      <c r="J47" s="121">
        <v>3.8E-3</v>
      </c>
      <c r="K47" s="121">
        <v>4.5600000000000002E-2</v>
      </c>
      <c r="L47" s="121">
        <v>3.9100000000000003E-2</v>
      </c>
      <c r="M47" s="122">
        <v>5.0000000000000001E-3</v>
      </c>
      <c r="N47" s="112"/>
    </row>
    <row r="48" spans="1:56" ht="21.95" customHeight="1" thickBot="1">
      <c r="B48" s="17"/>
      <c r="D48" s="116">
        <v>3420000.01</v>
      </c>
      <c r="E48" s="117">
        <v>3600000</v>
      </c>
      <c r="F48" s="123">
        <v>0.1211</v>
      </c>
      <c r="G48" s="123">
        <v>5.4000000000000003E-3</v>
      </c>
      <c r="H48" s="123">
        <v>5.4000000000000003E-3</v>
      </c>
      <c r="I48" s="123">
        <v>1.6E-2</v>
      </c>
      <c r="J48" s="123">
        <v>3.8E-3</v>
      </c>
      <c r="K48" s="123">
        <v>4.5999999999999999E-2</v>
      </c>
      <c r="L48" s="123">
        <v>3.95E-2</v>
      </c>
      <c r="M48" s="124">
        <v>5.0000000000000001E-3</v>
      </c>
      <c r="N48" s="112"/>
    </row>
    <row r="49" spans="1:56" ht="21.95" customHeight="1">
      <c r="B49" s="17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</row>
    <row r="50" spans="1:56" ht="21.95" customHeight="1" thickBot="1">
      <c r="B50" s="17"/>
      <c r="D50" s="112" t="s">
        <v>71</v>
      </c>
      <c r="E50" s="112"/>
      <c r="F50" s="112"/>
      <c r="G50" s="112"/>
      <c r="H50" s="112"/>
      <c r="I50" s="112"/>
      <c r="J50" s="112"/>
      <c r="K50" s="112"/>
      <c r="L50" s="112"/>
      <c r="M50" s="112"/>
      <c r="N50" s="112"/>
    </row>
    <row r="51" spans="1:56" ht="21.95" customHeight="1" thickBot="1">
      <c r="B51" s="17"/>
      <c r="D51" s="144" t="s">
        <v>52</v>
      </c>
      <c r="E51" s="145"/>
      <c r="F51" s="125" t="s">
        <v>44</v>
      </c>
      <c r="G51" s="125" t="s">
        <v>31</v>
      </c>
      <c r="H51" s="125" t="s">
        <v>33</v>
      </c>
      <c r="I51" s="125" t="s">
        <v>53</v>
      </c>
      <c r="J51" s="125" t="s">
        <v>54</v>
      </c>
      <c r="K51" s="125" t="s">
        <v>25</v>
      </c>
      <c r="L51" s="125" t="s">
        <v>22</v>
      </c>
      <c r="M51" s="112"/>
      <c r="N51" s="112"/>
    </row>
    <row r="52" spans="1:56" ht="21.95" customHeight="1" thickBot="1">
      <c r="B52" s="17"/>
      <c r="D52" s="113">
        <v>0</v>
      </c>
      <c r="E52" s="114">
        <v>180000</v>
      </c>
      <c r="F52" s="126">
        <v>0.06</v>
      </c>
      <c r="G52" s="126">
        <v>0</v>
      </c>
      <c r="H52" s="126">
        <v>0</v>
      </c>
      <c r="I52" s="126">
        <v>0</v>
      </c>
      <c r="J52" s="126">
        <v>0</v>
      </c>
      <c r="K52" s="126">
        <v>0.04</v>
      </c>
      <c r="L52" s="126">
        <v>0.02</v>
      </c>
      <c r="M52" s="112"/>
      <c r="N52" s="112"/>
    </row>
    <row r="53" spans="1:56" ht="21.95" customHeight="1" thickBot="1">
      <c r="B53" s="17"/>
      <c r="D53" s="116">
        <v>180000.01</v>
      </c>
      <c r="E53" s="117">
        <v>360000</v>
      </c>
      <c r="F53" s="126">
        <v>8.2100000000000006E-2</v>
      </c>
      <c r="G53" s="126">
        <v>0</v>
      </c>
      <c r="H53" s="126">
        <v>0</v>
      </c>
      <c r="I53" s="126">
        <v>1.4200000000000001E-2</v>
      </c>
      <c r="J53" s="126">
        <v>0</v>
      </c>
      <c r="K53" s="126">
        <v>0.04</v>
      </c>
      <c r="L53" s="126">
        <v>2.7900000000000001E-2</v>
      </c>
      <c r="M53" s="112"/>
      <c r="N53" s="112"/>
    </row>
    <row r="54" spans="1:56" ht="21.95" customHeight="1" thickBot="1">
      <c r="B54" s="17"/>
      <c r="D54" s="116">
        <v>360000.01</v>
      </c>
      <c r="E54" s="117">
        <v>540000</v>
      </c>
      <c r="F54" s="126">
        <v>0.1026</v>
      </c>
      <c r="G54" s="126">
        <v>4.7999999999999996E-3</v>
      </c>
      <c r="H54" s="126">
        <v>4.3E-3</v>
      </c>
      <c r="I54" s="126">
        <v>1.43E-2</v>
      </c>
      <c r="J54" s="126">
        <v>3.5000000000000001E-3</v>
      </c>
      <c r="K54" s="126">
        <v>4.07E-2</v>
      </c>
      <c r="L54" s="126">
        <v>3.5000000000000003E-2</v>
      </c>
      <c r="M54" s="112"/>
      <c r="N54" s="112"/>
    </row>
    <row r="55" spans="1:56" s="3" customFormat="1" ht="21.95" customHeight="1" thickBot="1">
      <c r="A55" s="33"/>
      <c r="B55" s="17"/>
      <c r="C55" s="8"/>
      <c r="D55" s="116">
        <v>540000.01</v>
      </c>
      <c r="E55" s="117">
        <v>720000</v>
      </c>
      <c r="F55" s="126">
        <v>0.11310000000000001</v>
      </c>
      <c r="G55" s="126">
        <v>5.3E-3</v>
      </c>
      <c r="H55" s="126">
        <v>5.3E-3</v>
      </c>
      <c r="I55" s="126">
        <v>1.5599999999999999E-2</v>
      </c>
      <c r="J55" s="126">
        <v>3.8E-3</v>
      </c>
      <c r="K55" s="126">
        <v>4.4699999999999997E-2</v>
      </c>
      <c r="L55" s="126">
        <v>3.8399999999999997E-2</v>
      </c>
      <c r="M55" s="112"/>
      <c r="N55" s="11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1:56" s="17" customFormat="1" ht="21.95" customHeight="1" thickBot="1">
      <c r="A56" s="33"/>
      <c r="C56" s="8"/>
      <c r="D56" s="116">
        <v>720000.01</v>
      </c>
      <c r="E56" s="117">
        <v>900000</v>
      </c>
      <c r="F56" s="126">
        <v>0.114</v>
      </c>
      <c r="G56" s="126">
        <v>5.3E-3</v>
      </c>
      <c r="H56" s="126">
        <v>5.1999999999999998E-3</v>
      </c>
      <c r="I56" s="126">
        <v>1.5800000000000002E-2</v>
      </c>
      <c r="J56" s="126">
        <v>3.8E-3</v>
      </c>
      <c r="K56" s="126">
        <v>4.5199999999999997E-2</v>
      </c>
      <c r="L56" s="126">
        <v>3.8699999999999998E-2</v>
      </c>
      <c r="M56" s="112"/>
      <c r="N56" s="11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1:56" s="17" customFormat="1" ht="21.95" customHeight="1" thickBot="1">
      <c r="A57" s="33"/>
      <c r="C57" s="8"/>
      <c r="D57" s="116">
        <v>900000.01</v>
      </c>
      <c r="E57" s="117">
        <v>1080000</v>
      </c>
      <c r="F57" s="126">
        <v>0.1242</v>
      </c>
      <c r="G57" s="126">
        <v>5.7000000000000002E-3</v>
      </c>
      <c r="H57" s="126">
        <v>5.7000000000000002E-3</v>
      </c>
      <c r="I57" s="126">
        <v>1.7299999999999999E-2</v>
      </c>
      <c r="J57" s="126">
        <v>4.0000000000000001E-3</v>
      </c>
      <c r="K57" s="126">
        <v>4.9200000000000001E-2</v>
      </c>
      <c r="L57" s="126">
        <v>4.2299999999999997E-2</v>
      </c>
      <c r="M57" s="112"/>
      <c r="N57" s="11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spans="1:56" s="14" customFormat="1" ht="21.95" customHeight="1" thickBot="1">
      <c r="A58" s="33"/>
      <c r="B58" s="11"/>
      <c r="C58" s="8"/>
      <c r="D58" s="116">
        <v>1080000.01</v>
      </c>
      <c r="E58" s="117">
        <v>1260000</v>
      </c>
      <c r="F58" s="126">
        <v>0.12540000000000001</v>
      </c>
      <c r="G58" s="126">
        <v>5.8999999999999999E-3</v>
      </c>
      <c r="H58" s="126">
        <v>5.5999999999999999E-3</v>
      </c>
      <c r="I58" s="126">
        <v>1.7399999999999999E-2</v>
      </c>
      <c r="J58" s="126">
        <v>4.1999999999999997E-3</v>
      </c>
      <c r="K58" s="126">
        <v>4.9700000000000001E-2</v>
      </c>
      <c r="L58" s="126">
        <v>4.2599999999999999E-2</v>
      </c>
      <c r="M58" s="118"/>
      <c r="N58" s="118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</row>
    <row r="59" spans="1:56" s="6" customFormat="1" ht="21.95" customHeight="1" thickBot="1">
      <c r="A59" s="33"/>
      <c r="C59" s="12"/>
      <c r="D59" s="116">
        <v>1260000.01</v>
      </c>
      <c r="E59" s="117">
        <v>1440000</v>
      </c>
      <c r="F59" s="126">
        <v>0.1268</v>
      </c>
      <c r="G59" s="126">
        <v>5.8999999999999999E-3</v>
      </c>
      <c r="H59" s="126">
        <v>5.7000000000000002E-3</v>
      </c>
      <c r="I59" s="126">
        <v>1.7600000000000001E-2</v>
      </c>
      <c r="J59" s="126">
        <v>4.1999999999999997E-3</v>
      </c>
      <c r="K59" s="126">
        <v>5.0299999999999997E-2</v>
      </c>
      <c r="L59" s="126">
        <v>4.3099999999999999E-2</v>
      </c>
      <c r="M59" s="112"/>
      <c r="N59" s="11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1:56" s="6" customFormat="1" ht="21.95" customHeight="1" thickBot="1">
      <c r="A60" s="33"/>
      <c r="C60" s="8"/>
      <c r="D60" s="116">
        <v>1440000.01</v>
      </c>
      <c r="E60" s="117">
        <v>1620000</v>
      </c>
      <c r="F60" s="126">
        <v>0.13550000000000001</v>
      </c>
      <c r="G60" s="126">
        <v>6.3E-3</v>
      </c>
      <c r="H60" s="126">
        <v>6.1000000000000004E-3</v>
      </c>
      <c r="I60" s="126">
        <v>1.8800000000000001E-2</v>
      </c>
      <c r="J60" s="126">
        <v>4.4999999999999997E-3</v>
      </c>
      <c r="K60" s="126">
        <v>5.3699999999999998E-2</v>
      </c>
      <c r="L60" s="126">
        <v>4.6100000000000002E-2</v>
      </c>
      <c r="M60" s="112"/>
      <c r="N60" s="11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1:56" s="6" customFormat="1" ht="21.95" customHeight="1" thickBot="1">
      <c r="A61" s="33"/>
      <c r="C61" s="8"/>
      <c r="D61" s="116">
        <v>1620000.01</v>
      </c>
      <c r="E61" s="117">
        <v>1800000</v>
      </c>
      <c r="F61" s="126">
        <v>0.1368</v>
      </c>
      <c r="G61" s="126">
        <v>6.3E-3</v>
      </c>
      <c r="H61" s="126">
        <v>6.4000000000000003E-3</v>
      </c>
      <c r="I61" s="126">
        <v>1.89E-2</v>
      </c>
      <c r="J61" s="126">
        <v>4.4999999999999997E-3</v>
      </c>
      <c r="K61" s="126">
        <v>5.4199999999999998E-2</v>
      </c>
      <c r="L61" s="126">
        <v>4.65E-2</v>
      </c>
      <c r="M61" s="112"/>
      <c r="N61" s="11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spans="1:56" s="6" customFormat="1" ht="21.95" customHeight="1" thickBot="1">
      <c r="A62" s="33"/>
      <c r="C62" s="8"/>
      <c r="D62" s="116">
        <v>1800000.01</v>
      </c>
      <c r="E62" s="117">
        <v>1980000</v>
      </c>
      <c r="F62" s="126">
        <v>0.14929999999999999</v>
      </c>
      <c r="G62" s="126">
        <v>6.8999999999999999E-3</v>
      </c>
      <c r="H62" s="126">
        <v>6.8999999999999999E-3</v>
      </c>
      <c r="I62" s="126">
        <v>2.07E-2</v>
      </c>
      <c r="J62" s="126">
        <v>5.0000000000000001E-3</v>
      </c>
      <c r="K62" s="126">
        <v>5.9799999999999999E-2</v>
      </c>
      <c r="L62" s="126">
        <v>0.05</v>
      </c>
      <c r="M62" s="112"/>
      <c r="N62" s="11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1:56" ht="21.95" customHeight="1" thickBot="1">
      <c r="D63" s="116">
        <v>1980000.01</v>
      </c>
      <c r="E63" s="117">
        <v>2160000</v>
      </c>
      <c r="F63" s="126">
        <v>0.15060000000000001</v>
      </c>
      <c r="G63" s="126">
        <v>6.8999999999999999E-3</v>
      </c>
      <c r="H63" s="126">
        <v>6.8999999999999999E-3</v>
      </c>
      <c r="I63" s="126">
        <v>2.0899999999999998E-2</v>
      </c>
      <c r="J63" s="126">
        <v>5.0000000000000001E-3</v>
      </c>
      <c r="K63" s="126">
        <v>6.0900000000000003E-2</v>
      </c>
      <c r="L63" s="126">
        <v>0.05</v>
      </c>
      <c r="M63" s="112"/>
      <c r="N63" s="112"/>
    </row>
    <row r="64" spans="1:56" ht="21.95" customHeight="1" thickBot="1">
      <c r="D64" s="116">
        <v>2160000.0099999998</v>
      </c>
      <c r="E64" s="117">
        <v>2340000</v>
      </c>
      <c r="F64" s="126">
        <v>0.152</v>
      </c>
      <c r="G64" s="126">
        <v>7.1000000000000004E-3</v>
      </c>
      <c r="H64" s="126">
        <v>7.0000000000000001E-3</v>
      </c>
      <c r="I64" s="126">
        <v>2.1000000000000001E-2</v>
      </c>
      <c r="J64" s="126">
        <v>5.0000000000000001E-3</v>
      </c>
      <c r="K64" s="126">
        <v>6.1899999999999997E-2</v>
      </c>
      <c r="L64" s="126">
        <v>0.05</v>
      </c>
      <c r="M64" s="112"/>
      <c r="N64" s="112"/>
    </row>
    <row r="65" spans="1:56" ht="21.95" customHeight="1" thickBot="1">
      <c r="D65" s="116">
        <v>2340000.0099999998</v>
      </c>
      <c r="E65" s="117">
        <v>2520000</v>
      </c>
      <c r="F65" s="126">
        <v>0.1535</v>
      </c>
      <c r="G65" s="126">
        <v>7.1000000000000004E-3</v>
      </c>
      <c r="H65" s="126">
        <v>7.0000000000000001E-3</v>
      </c>
      <c r="I65" s="126">
        <v>2.1299999999999999E-2</v>
      </c>
      <c r="J65" s="126">
        <v>5.1000000000000004E-3</v>
      </c>
      <c r="K65" s="126">
        <v>6.3E-2</v>
      </c>
      <c r="L65" s="126">
        <v>0.05</v>
      </c>
      <c r="M65" s="112"/>
      <c r="N65" s="112"/>
    </row>
    <row r="66" spans="1:56" s="6" customFormat="1" ht="21.95" customHeight="1" thickBot="1">
      <c r="A66" s="33"/>
      <c r="C66" s="8"/>
      <c r="D66" s="116">
        <v>2520000.0099999998</v>
      </c>
      <c r="E66" s="117">
        <v>2700000</v>
      </c>
      <c r="F66" s="126">
        <v>0.15479999999999999</v>
      </c>
      <c r="G66" s="126">
        <v>7.1999999999999998E-3</v>
      </c>
      <c r="H66" s="126">
        <v>7.0000000000000001E-3</v>
      </c>
      <c r="I66" s="126">
        <v>2.1499999999999998E-2</v>
      </c>
      <c r="J66" s="126">
        <v>5.1000000000000004E-3</v>
      </c>
      <c r="K66" s="126">
        <v>6.4000000000000001E-2</v>
      </c>
      <c r="L66" s="126">
        <v>0.05</v>
      </c>
      <c r="M66" s="127"/>
      <c r="N66" s="12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ht="21.95" customHeight="1" thickBot="1">
      <c r="C67" s="2"/>
      <c r="D67" s="116">
        <v>2700000.01</v>
      </c>
      <c r="E67" s="117">
        <v>2880000</v>
      </c>
      <c r="F67" s="126">
        <v>0.16850000000000001</v>
      </c>
      <c r="G67" s="126">
        <v>7.7999999999999996E-3</v>
      </c>
      <c r="H67" s="126">
        <v>7.6E-3</v>
      </c>
      <c r="I67" s="126">
        <v>2.3400000000000001E-2</v>
      </c>
      <c r="J67" s="126">
        <v>5.5999999999999999E-3</v>
      </c>
      <c r="K67" s="126">
        <v>7.4099999999999999E-2</v>
      </c>
      <c r="L67" s="126">
        <v>0.05</v>
      </c>
      <c r="M67" s="112"/>
      <c r="N67" s="112"/>
    </row>
    <row r="68" spans="1:56" ht="21.95" customHeight="1" thickBot="1">
      <c r="D68" s="116">
        <v>2880000.01</v>
      </c>
      <c r="E68" s="117">
        <v>3060000</v>
      </c>
      <c r="F68" s="126">
        <v>0.16980000000000001</v>
      </c>
      <c r="G68" s="126">
        <v>7.7999999999999996E-3</v>
      </c>
      <c r="H68" s="126">
        <v>7.7999999999999996E-3</v>
      </c>
      <c r="I68" s="126">
        <v>2.3599999999999999E-2</v>
      </c>
      <c r="J68" s="126">
        <v>5.5999999999999999E-3</v>
      </c>
      <c r="K68" s="126">
        <v>7.4999999999999997E-2</v>
      </c>
      <c r="L68" s="126">
        <v>0.05</v>
      </c>
      <c r="M68" s="112"/>
      <c r="N68" s="112"/>
    </row>
    <row r="69" spans="1:56" ht="21.95" customHeight="1" thickBot="1">
      <c r="D69" s="116">
        <v>3060000.01</v>
      </c>
      <c r="E69" s="117">
        <v>3240000</v>
      </c>
      <c r="F69" s="126">
        <v>0.17130000000000001</v>
      </c>
      <c r="G69" s="126">
        <v>8.0000000000000002E-3</v>
      </c>
      <c r="H69" s="126">
        <v>7.9000000000000008E-3</v>
      </c>
      <c r="I69" s="126">
        <v>2.3699999999999999E-2</v>
      </c>
      <c r="J69" s="126">
        <v>5.7000000000000002E-3</v>
      </c>
      <c r="K69" s="126">
        <v>7.5999999999999998E-2</v>
      </c>
      <c r="L69" s="126">
        <v>0.05</v>
      </c>
      <c r="M69" s="112"/>
      <c r="N69" s="112"/>
    </row>
    <row r="70" spans="1:56" ht="21.95" customHeight="1" thickBot="1">
      <c r="D70" s="116">
        <v>3240000.01</v>
      </c>
      <c r="E70" s="117">
        <v>3420000</v>
      </c>
      <c r="F70" s="126">
        <v>0.17269999999999999</v>
      </c>
      <c r="G70" s="126">
        <v>8.0000000000000002E-3</v>
      </c>
      <c r="H70" s="126">
        <v>7.9000000000000008E-3</v>
      </c>
      <c r="I70" s="126">
        <v>2.4E-2</v>
      </c>
      <c r="J70" s="126">
        <v>5.7000000000000002E-3</v>
      </c>
      <c r="K70" s="126">
        <v>7.7100000000000002E-2</v>
      </c>
      <c r="L70" s="126">
        <v>0.05</v>
      </c>
      <c r="M70" s="112"/>
      <c r="N70" s="112"/>
    </row>
    <row r="71" spans="1:56" s="21" customFormat="1" ht="21.95" customHeight="1" thickBot="1">
      <c r="A71" s="33"/>
      <c r="C71" s="8"/>
      <c r="D71" s="116">
        <v>3420000.01</v>
      </c>
      <c r="E71" s="117">
        <v>3600000</v>
      </c>
      <c r="F71" s="126">
        <v>0.17419999999999999</v>
      </c>
      <c r="G71" s="126">
        <v>8.0999999999999996E-3</v>
      </c>
      <c r="H71" s="126">
        <v>7.9000000000000008E-3</v>
      </c>
      <c r="I71" s="126">
        <v>2.4199999999999999E-2</v>
      </c>
      <c r="J71" s="126">
        <v>5.7000000000000002E-3</v>
      </c>
      <c r="K71" s="126">
        <v>7.8299999999999995E-2</v>
      </c>
      <c r="L71" s="126">
        <v>0.05</v>
      </c>
      <c r="M71" s="127"/>
      <c r="N71" s="128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</row>
    <row r="72" spans="1:56" s="5" customFormat="1" ht="21.95" customHeight="1">
      <c r="A72" s="33"/>
      <c r="C72" s="20"/>
      <c r="D72" s="127"/>
      <c r="E72" s="127"/>
      <c r="F72" s="127"/>
      <c r="G72" s="127"/>
      <c r="H72" s="127"/>
      <c r="I72" s="127"/>
      <c r="J72" s="127"/>
      <c r="K72" s="127"/>
      <c r="L72" s="127"/>
      <c r="M72" s="129"/>
      <c r="N72" s="12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ht="21.95" customHeight="1" thickBot="1">
      <c r="C73" s="10"/>
      <c r="D73" s="112" t="s">
        <v>72</v>
      </c>
      <c r="E73" s="112"/>
      <c r="F73" s="129"/>
      <c r="G73" s="129"/>
      <c r="H73" s="129"/>
      <c r="I73" s="129"/>
      <c r="J73" s="129"/>
      <c r="K73" s="129"/>
      <c r="L73" s="129"/>
      <c r="M73" s="112"/>
      <c r="N73" s="112"/>
    </row>
    <row r="74" spans="1:56" ht="21.95" customHeight="1" thickBot="1">
      <c r="D74" s="144" t="s">
        <v>52</v>
      </c>
      <c r="E74" s="145"/>
      <c r="F74" s="130" t="s">
        <v>44</v>
      </c>
      <c r="G74" s="130" t="s">
        <v>31</v>
      </c>
      <c r="H74" s="130" t="s">
        <v>33</v>
      </c>
      <c r="I74" s="130" t="s">
        <v>53</v>
      </c>
      <c r="J74" s="130" t="s">
        <v>54</v>
      </c>
      <c r="K74" s="131" t="s">
        <v>22</v>
      </c>
      <c r="L74" s="112"/>
      <c r="M74" s="112"/>
      <c r="N74" s="112"/>
    </row>
    <row r="75" spans="1:56" ht="21.95" customHeight="1" thickBot="1">
      <c r="D75" s="113">
        <v>0</v>
      </c>
      <c r="E75" s="114">
        <v>180000</v>
      </c>
      <c r="F75" s="121">
        <v>4.4999999999999998E-2</v>
      </c>
      <c r="G75" s="121">
        <v>0</v>
      </c>
      <c r="H75" s="121">
        <v>1.2200000000000001E-2</v>
      </c>
      <c r="I75" s="121">
        <v>1.2800000000000001E-2</v>
      </c>
      <c r="J75" s="121">
        <v>0</v>
      </c>
      <c r="K75" s="122">
        <v>0.02</v>
      </c>
      <c r="L75" s="112"/>
      <c r="M75" s="112"/>
      <c r="N75" s="112"/>
    </row>
    <row r="76" spans="1:56" ht="21.95" customHeight="1" thickBot="1">
      <c r="D76" s="116">
        <v>180000.01</v>
      </c>
      <c r="E76" s="117">
        <v>360000</v>
      </c>
      <c r="F76" s="121">
        <v>6.54E-2</v>
      </c>
      <c r="G76" s="121">
        <v>0</v>
      </c>
      <c r="H76" s="121">
        <v>1.84E-2</v>
      </c>
      <c r="I76" s="121">
        <v>1.9099999999999999E-2</v>
      </c>
      <c r="J76" s="121">
        <v>0</v>
      </c>
      <c r="K76" s="122">
        <v>2.7900000000000001E-2</v>
      </c>
      <c r="L76" s="112"/>
      <c r="M76" s="112"/>
      <c r="N76" s="112"/>
    </row>
    <row r="77" spans="1:56" ht="21.95" customHeight="1" thickBot="1">
      <c r="D77" s="116">
        <v>360000.01</v>
      </c>
      <c r="E77" s="117">
        <v>540000</v>
      </c>
      <c r="F77" s="121">
        <v>7.6999999999999999E-2</v>
      </c>
      <c r="G77" s="121">
        <v>1.6000000000000001E-3</v>
      </c>
      <c r="H77" s="121">
        <v>1.8499999999999999E-2</v>
      </c>
      <c r="I77" s="121">
        <v>1.95E-2</v>
      </c>
      <c r="J77" s="121">
        <v>2.3999999999999998E-3</v>
      </c>
      <c r="K77" s="122">
        <v>3.5000000000000003E-2</v>
      </c>
      <c r="L77" s="112"/>
      <c r="M77" s="112"/>
      <c r="N77" s="112"/>
    </row>
    <row r="78" spans="1:56" ht="21.95" customHeight="1" thickBot="1">
      <c r="D78" s="116">
        <v>540000.01</v>
      </c>
      <c r="E78" s="117">
        <v>720000</v>
      </c>
      <c r="F78" s="121">
        <v>8.4900000000000003E-2</v>
      </c>
      <c r="G78" s="121">
        <v>5.1999999999999998E-3</v>
      </c>
      <c r="H78" s="121">
        <v>1.8700000000000001E-2</v>
      </c>
      <c r="I78" s="121">
        <v>1.9900000000000001E-2</v>
      </c>
      <c r="J78" s="121">
        <v>2.7000000000000001E-3</v>
      </c>
      <c r="K78" s="122">
        <v>3.8399999999999997E-2</v>
      </c>
      <c r="L78" s="112"/>
      <c r="M78" s="112"/>
      <c r="N78" s="112"/>
    </row>
    <row r="79" spans="1:56" ht="21.95" customHeight="1" thickBot="1">
      <c r="D79" s="116">
        <v>720000.01</v>
      </c>
      <c r="E79" s="117">
        <v>900000</v>
      </c>
      <c r="F79" s="121">
        <v>8.9700000000000002E-2</v>
      </c>
      <c r="G79" s="121">
        <v>8.8999999999999999E-3</v>
      </c>
      <c r="H79" s="121">
        <v>1.89E-2</v>
      </c>
      <c r="I79" s="121">
        <v>2.0299999999999999E-2</v>
      </c>
      <c r="J79" s="121">
        <v>2.8999999999999998E-3</v>
      </c>
      <c r="K79" s="122">
        <v>3.8699999999999998E-2</v>
      </c>
      <c r="L79" s="112"/>
      <c r="M79" s="112"/>
      <c r="N79" s="112"/>
    </row>
    <row r="80" spans="1:56" ht="21.95" customHeight="1" thickBot="1">
      <c r="D80" s="116">
        <v>900000.01</v>
      </c>
      <c r="E80" s="117">
        <v>1080000</v>
      </c>
      <c r="F80" s="121">
        <v>9.7799999999999998E-2</v>
      </c>
      <c r="G80" s="121">
        <v>1.2500000000000001E-2</v>
      </c>
      <c r="H80" s="121">
        <v>1.9099999999999999E-2</v>
      </c>
      <c r="I80" s="121">
        <v>2.07E-2</v>
      </c>
      <c r="J80" s="121">
        <v>3.2000000000000002E-3</v>
      </c>
      <c r="K80" s="122">
        <v>4.2299999999999997E-2</v>
      </c>
      <c r="L80" s="112"/>
      <c r="M80" s="112"/>
      <c r="N80" s="112"/>
    </row>
    <row r="81" spans="4:14" ht="21.95" customHeight="1" thickBot="1">
      <c r="D81" s="116">
        <v>1080000.01</v>
      </c>
      <c r="E81" s="117">
        <v>1260000</v>
      </c>
      <c r="F81" s="121">
        <v>0.1026</v>
      </c>
      <c r="G81" s="121">
        <v>1.6199999999999999E-2</v>
      </c>
      <c r="H81" s="121">
        <v>1.9300000000000001E-2</v>
      </c>
      <c r="I81" s="121">
        <v>2.1100000000000001E-2</v>
      </c>
      <c r="J81" s="121">
        <v>3.3999999999999998E-3</v>
      </c>
      <c r="K81" s="122">
        <v>4.2599999999999999E-2</v>
      </c>
      <c r="L81" s="112"/>
      <c r="M81" s="112"/>
      <c r="N81" s="112"/>
    </row>
    <row r="82" spans="4:14" ht="21.95" customHeight="1" thickBot="1">
      <c r="D82" s="116">
        <v>1260000.01</v>
      </c>
      <c r="E82" s="117">
        <v>1440000</v>
      </c>
      <c r="F82" s="121">
        <v>0.1076</v>
      </c>
      <c r="G82" s="121">
        <v>0.02</v>
      </c>
      <c r="H82" s="121">
        <v>1.95E-2</v>
      </c>
      <c r="I82" s="121">
        <v>2.1499999999999998E-2</v>
      </c>
      <c r="J82" s="121">
        <v>3.5000000000000001E-3</v>
      </c>
      <c r="K82" s="122">
        <v>4.3099999999999999E-2</v>
      </c>
      <c r="L82" s="112"/>
      <c r="M82" s="112"/>
      <c r="N82" s="112"/>
    </row>
    <row r="83" spans="4:14" ht="21.95" customHeight="1" thickBot="1">
      <c r="D83" s="116">
        <v>1440000.01</v>
      </c>
      <c r="E83" s="117">
        <v>1620000</v>
      </c>
      <c r="F83" s="121">
        <v>0.11509999999999999</v>
      </c>
      <c r="G83" s="121">
        <v>2.3699999999999999E-2</v>
      </c>
      <c r="H83" s="121">
        <v>1.9699999999999999E-2</v>
      </c>
      <c r="I83" s="121">
        <v>2.1899999999999999E-2</v>
      </c>
      <c r="J83" s="121">
        <v>3.7000000000000002E-3</v>
      </c>
      <c r="K83" s="122">
        <v>4.6100000000000002E-2</v>
      </c>
      <c r="L83" s="112"/>
      <c r="M83" s="112"/>
      <c r="N83" s="112"/>
    </row>
    <row r="84" spans="4:14" ht="21.95" customHeight="1" thickBot="1">
      <c r="D84" s="116">
        <v>1620000.01</v>
      </c>
      <c r="E84" s="117">
        <v>1800000</v>
      </c>
      <c r="F84" s="121">
        <v>0.12</v>
      </c>
      <c r="G84" s="121">
        <v>2.7400000000000001E-2</v>
      </c>
      <c r="H84" s="121">
        <v>0.02</v>
      </c>
      <c r="I84" s="121">
        <v>2.23E-2</v>
      </c>
      <c r="J84" s="121">
        <v>3.8E-3</v>
      </c>
      <c r="K84" s="122">
        <v>4.65E-2</v>
      </c>
      <c r="L84" s="112"/>
      <c r="M84" s="112"/>
      <c r="N84" s="112"/>
    </row>
    <row r="85" spans="4:14" ht="21.95" customHeight="1" thickBot="1">
      <c r="D85" s="116">
        <v>1800000.01</v>
      </c>
      <c r="E85" s="117">
        <v>1980000</v>
      </c>
      <c r="F85" s="121">
        <v>0.128</v>
      </c>
      <c r="G85" s="121">
        <v>3.1199999999999999E-2</v>
      </c>
      <c r="H85" s="121">
        <v>2.01E-2</v>
      </c>
      <c r="I85" s="121">
        <v>2.2700000000000001E-2</v>
      </c>
      <c r="J85" s="121">
        <v>4.0000000000000001E-3</v>
      </c>
      <c r="K85" s="122">
        <v>0.05</v>
      </c>
      <c r="L85" s="112"/>
      <c r="M85" s="112"/>
      <c r="N85" s="112"/>
    </row>
    <row r="86" spans="4:14" ht="21.95" customHeight="1" thickBot="1">
      <c r="D86" s="116">
        <v>1980000.01</v>
      </c>
      <c r="E86" s="117">
        <v>2160000</v>
      </c>
      <c r="F86" s="121">
        <v>0.13250000000000001</v>
      </c>
      <c r="G86" s="121">
        <v>3.49E-2</v>
      </c>
      <c r="H86" s="121">
        <v>2.0299999999999999E-2</v>
      </c>
      <c r="I86" s="121">
        <v>2.3099999999999999E-2</v>
      </c>
      <c r="J86" s="121">
        <v>4.1999999999999997E-3</v>
      </c>
      <c r="K86" s="122">
        <v>0.05</v>
      </c>
      <c r="L86" s="112"/>
      <c r="M86" s="112"/>
      <c r="N86" s="112"/>
    </row>
    <row r="87" spans="4:14" ht="21.95" customHeight="1" thickBot="1">
      <c r="D87" s="116">
        <v>2160000.0099999998</v>
      </c>
      <c r="E87" s="117">
        <v>2340000</v>
      </c>
      <c r="F87" s="121">
        <v>0.13700000000000001</v>
      </c>
      <c r="G87" s="121">
        <v>3.8600000000000002E-2</v>
      </c>
      <c r="H87" s="121">
        <v>2.0500000000000001E-2</v>
      </c>
      <c r="I87" s="121">
        <v>2.35E-2</v>
      </c>
      <c r="J87" s="121">
        <v>4.4000000000000003E-3</v>
      </c>
      <c r="K87" s="122">
        <v>0.05</v>
      </c>
      <c r="L87" s="112"/>
      <c r="M87" s="112"/>
      <c r="N87" s="112"/>
    </row>
    <row r="88" spans="4:14" ht="21.95" customHeight="1" thickBot="1">
      <c r="D88" s="116">
        <v>2340000.0099999998</v>
      </c>
      <c r="E88" s="117">
        <v>2520000</v>
      </c>
      <c r="F88" s="121">
        <v>0.14149999999999999</v>
      </c>
      <c r="G88" s="121">
        <v>4.2299999999999997E-2</v>
      </c>
      <c r="H88" s="121">
        <v>2.07E-2</v>
      </c>
      <c r="I88" s="121">
        <v>2.3900000000000001E-2</v>
      </c>
      <c r="J88" s="121">
        <v>4.5999999999999999E-3</v>
      </c>
      <c r="K88" s="122">
        <v>0.05</v>
      </c>
      <c r="L88" s="112"/>
      <c r="M88" s="112"/>
      <c r="N88" s="112"/>
    </row>
    <row r="89" spans="4:14" ht="21.95" customHeight="1" thickBot="1">
      <c r="D89" s="116">
        <v>2520000.0099999998</v>
      </c>
      <c r="E89" s="117">
        <v>2700000</v>
      </c>
      <c r="F89" s="121">
        <v>0.14599999999999999</v>
      </c>
      <c r="G89" s="121">
        <v>4.5999999999999999E-2</v>
      </c>
      <c r="H89" s="121">
        <v>2.1000000000000001E-2</v>
      </c>
      <c r="I89" s="121">
        <v>2.4299999999999999E-2</v>
      </c>
      <c r="J89" s="121">
        <v>4.7000000000000002E-3</v>
      </c>
      <c r="K89" s="122">
        <v>0.05</v>
      </c>
      <c r="L89" s="112"/>
      <c r="M89" s="112"/>
      <c r="N89" s="112"/>
    </row>
    <row r="90" spans="4:14" ht="21.95" customHeight="1" thickBot="1">
      <c r="D90" s="116">
        <v>2700000.01</v>
      </c>
      <c r="E90" s="117">
        <v>2880000</v>
      </c>
      <c r="F90" s="121">
        <v>0.15049999999999999</v>
      </c>
      <c r="G90" s="121">
        <v>4.9000000000000002E-2</v>
      </c>
      <c r="H90" s="121">
        <v>2.1899999999999999E-2</v>
      </c>
      <c r="I90" s="121">
        <v>2.47E-2</v>
      </c>
      <c r="J90" s="121">
        <v>4.8999999999999998E-3</v>
      </c>
      <c r="K90" s="122">
        <v>0.05</v>
      </c>
      <c r="L90" s="112"/>
      <c r="M90" s="112"/>
      <c r="N90" s="112"/>
    </row>
    <row r="91" spans="4:14" ht="21.95" customHeight="1" thickBot="1">
      <c r="D91" s="116">
        <v>2880000.01</v>
      </c>
      <c r="E91" s="117">
        <v>3060000</v>
      </c>
      <c r="F91" s="121">
        <v>0.155</v>
      </c>
      <c r="G91" s="121">
        <v>5.21E-2</v>
      </c>
      <c r="H91" s="121">
        <v>2.2700000000000001E-2</v>
      </c>
      <c r="I91" s="121">
        <v>2.5100000000000001E-2</v>
      </c>
      <c r="J91" s="121">
        <v>5.1000000000000004E-3</v>
      </c>
      <c r="K91" s="122">
        <v>0.05</v>
      </c>
      <c r="L91" s="112"/>
      <c r="M91" s="112"/>
      <c r="N91" s="112"/>
    </row>
    <row r="92" spans="4:14" ht="21.95" customHeight="1" thickBot="1">
      <c r="D92" s="116">
        <v>3060000.01</v>
      </c>
      <c r="E92" s="117">
        <v>3240000</v>
      </c>
      <c r="F92" s="121">
        <v>0.1595</v>
      </c>
      <c r="G92" s="121">
        <v>5.5100000000000003E-2</v>
      </c>
      <c r="H92" s="121">
        <v>2.3599999999999999E-2</v>
      </c>
      <c r="I92" s="121">
        <v>2.5499999999999998E-2</v>
      </c>
      <c r="J92" s="121">
        <v>5.3E-3</v>
      </c>
      <c r="K92" s="122">
        <v>0.05</v>
      </c>
      <c r="L92" s="112"/>
      <c r="M92" s="112"/>
      <c r="N92" s="112"/>
    </row>
    <row r="93" spans="4:14" ht="21.95" customHeight="1" thickBot="1">
      <c r="D93" s="116">
        <v>3240000.01</v>
      </c>
      <c r="E93" s="117">
        <v>3420000</v>
      </c>
      <c r="F93" s="121">
        <v>0.16400000000000001</v>
      </c>
      <c r="G93" s="121">
        <v>5.8099999999999999E-2</v>
      </c>
      <c r="H93" s="121">
        <v>2.4500000000000001E-2</v>
      </c>
      <c r="I93" s="121">
        <v>2.5899999999999999E-2</v>
      </c>
      <c r="J93" s="121">
        <v>5.4999999999999997E-3</v>
      </c>
      <c r="K93" s="122">
        <v>0.05</v>
      </c>
      <c r="L93" s="112"/>
      <c r="M93" s="112"/>
      <c r="N93" s="112"/>
    </row>
    <row r="94" spans="4:14" ht="21.95" customHeight="1" thickBot="1">
      <c r="D94" s="116">
        <v>3420000.01</v>
      </c>
      <c r="E94" s="117">
        <v>3600000</v>
      </c>
      <c r="F94" s="121">
        <v>0.16850000000000001</v>
      </c>
      <c r="G94" s="121">
        <v>6.1199999999999997E-2</v>
      </c>
      <c r="H94" s="121">
        <v>2.53E-2</v>
      </c>
      <c r="I94" s="121">
        <v>2.63E-2</v>
      </c>
      <c r="J94" s="121">
        <v>5.7000000000000002E-3</v>
      </c>
      <c r="K94" s="122">
        <v>0.05</v>
      </c>
      <c r="L94" s="112"/>
      <c r="M94" s="112"/>
      <c r="N94" s="112"/>
    </row>
    <row r="95" spans="4:14" ht="21.95" customHeight="1"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</row>
    <row r="96" spans="4:14" ht="21.95" customHeight="1" thickBot="1">
      <c r="D96" s="112" t="s">
        <v>73</v>
      </c>
      <c r="E96" s="112"/>
      <c r="F96" s="112"/>
      <c r="G96" s="112"/>
      <c r="H96" s="112"/>
      <c r="I96" s="112"/>
      <c r="J96" s="112"/>
      <c r="K96" s="112"/>
      <c r="L96" s="112"/>
      <c r="M96" s="112"/>
      <c r="N96" s="112"/>
    </row>
    <row r="97" spans="4:14" ht="30.75" thickBot="1">
      <c r="D97" s="144" t="s">
        <v>52</v>
      </c>
      <c r="E97" s="145"/>
      <c r="F97" s="132" t="s">
        <v>74</v>
      </c>
      <c r="G97" s="132" t="s">
        <v>75</v>
      </c>
      <c r="H97" s="132" t="s">
        <v>76</v>
      </c>
      <c r="I97" s="132" t="s">
        <v>77</v>
      </c>
      <c r="J97" s="132" t="s">
        <v>78</v>
      </c>
      <c r="K97" s="132" t="s">
        <v>79</v>
      </c>
      <c r="L97" s="132" t="s">
        <v>80</v>
      </c>
      <c r="M97" s="132" t="s">
        <v>81</v>
      </c>
      <c r="N97" s="112"/>
    </row>
    <row r="98" spans="4:14" ht="21.95" customHeight="1" thickBot="1">
      <c r="D98" s="113">
        <v>0</v>
      </c>
      <c r="E98" s="114">
        <v>180000</v>
      </c>
      <c r="F98" s="126">
        <v>0.17499999999999999</v>
      </c>
      <c r="G98" s="126">
        <v>0.157</v>
      </c>
      <c r="H98" s="126">
        <v>0.13700000000000001</v>
      </c>
      <c r="I98" s="126">
        <v>0.1182</v>
      </c>
      <c r="J98" s="126">
        <v>0.1047</v>
      </c>
      <c r="K98" s="126">
        <v>9.9699999999999997E-2</v>
      </c>
      <c r="L98" s="126">
        <v>8.7999999999999995E-2</v>
      </c>
      <c r="M98" s="126">
        <v>0.08</v>
      </c>
      <c r="N98" s="112"/>
    </row>
    <row r="99" spans="4:14" ht="21.95" customHeight="1" thickBot="1">
      <c r="D99" s="116">
        <v>180000.01</v>
      </c>
      <c r="E99" s="117">
        <v>360000</v>
      </c>
      <c r="F99" s="126">
        <v>0.17519999999999999</v>
      </c>
      <c r="G99" s="126">
        <v>0.1575</v>
      </c>
      <c r="H99" s="126">
        <v>0.13900000000000001</v>
      </c>
      <c r="I99" s="126">
        <v>0.126</v>
      </c>
      <c r="J99" s="126">
        <v>0.12330000000000001</v>
      </c>
      <c r="K99" s="126">
        <v>0.1072</v>
      </c>
      <c r="L99" s="126">
        <v>9.0999999999999998E-2</v>
      </c>
      <c r="M99" s="126">
        <v>8.48E-2</v>
      </c>
      <c r="N99" s="112"/>
    </row>
    <row r="100" spans="4:14" ht="21.95" customHeight="1" thickBot="1">
      <c r="D100" s="116">
        <v>360000.01</v>
      </c>
      <c r="E100" s="117">
        <v>540000</v>
      </c>
      <c r="F100" s="126">
        <v>0.17549999999999999</v>
      </c>
      <c r="G100" s="126">
        <v>0.1595</v>
      </c>
      <c r="H100" s="126">
        <v>0.14199999999999999</v>
      </c>
      <c r="I100" s="126">
        <v>0.129</v>
      </c>
      <c r="J100" s="126">
        <v>0.12640000000000001</v>
      </c>
      <c r="K100" s="126">
        <v>0.1111</v>
      </c>
      <c r="L100" s="126">
        <v>9.5799999999999996E-2</v>
      </c>
      <c r="M100" s="126">
        <v>9.0300000000000005E-2</v>
      </c>
      <c r="N100" s="112"/>
    </row>
    <row r="101" spans="4:14" ht="21.95" customHeight="1" thickBot="1">
      <c r="D101" s="116">
        <v>540000.01</v>
      </c>
      <c r="E101" s="117">
        <v>720000</v>
      </c>
      <c r="F101" s="126">
        <v>0.17949999999999999</v>
      </c>
      <c r="G101" s="126">
        <v>0.16700000000000001</v>
      </c>
      <c r="H101" s="126">
        <v>0.15</v>
      </c>
      <c r="I101" s="126">
        <v>0.13700000000000001</v>
      </c>
      <c r="J101" s="126">
        <v>0.13450000000000001</v>
      </c>
      <c r="K101" s="126">
        <v>0.12</v>
      </c>
      <c r="L101" s="126">
        <v>0.1056</v>
      </c>
      <c r="M101" s="126">
        <v>9.3399999999999997E-2</v>
      </c>
      <c r="N101" s="112"/>
    </row>
    <row r="102" spans="4:14" ht="21.95" customHeight="1" thickBot="1">
      <c r="D102" s="116">
        <v>720000.01</v>
      </c>
      <c r="E102" s="117">
        <v>900000</v>
      </c>
      <c r="F102" s="126">
        <v>0.18149999999999999</v>
      </c>
      <c r="G102" s="126">
        <v>0.16950000000000001</v>
      </c>
      <c r="H102" s="126">
        <v>0.153</v>
      </c>
      <c r="I102" s="126">
        <v>0.14030000000000001</v>
      </c>
      <c r="J102" s="126">
        <v>0.1353</v>
      </c>
      <c r="K102" s="126">
        <v>0.124</v>
      </c>
      <c r="L102" s="126">
        <v>0.1104</v>
      </c>
      <c r="M102" s="126">
        <v>0.10059999999999999</v>
      </c>
      <c r="N102" s="112"/>
    </row>
    <row r="103" spans="4:14" ht="21.95" customHeight="1" thickBot="1">
      <c r="D103" s="116">
        <v>900000.01</v>
      </c>
      <c r="E103" s="117">
        <v>1080000</v>
      </c>
      <c r="F103" s="126">
        <v>0.1845</v>
      </c>
      <c r="G103" s="126">
        <v>0.17199999999999999</v>
      </c>
      <c r="H103" s="126">
        <v>0.154</v>
      </c>
      <c r="I103" s="126">
        <v>0.14099999999999999</v>
      </c>
      <c r="J103" s="126">
        <v>0.13600000000000001</v>
      </c>
      <c r="K103" s="126">
        <v>0.126</v>
      </c>
      <c r="L103" s="126">
        <v>0.11600000000000001</v>
      </c>
      <c r="M103" s="126">
        <v>0.106</v>
      </c>
      <c r="N103" s="112"/>
    </row>
    <row r="104" spans="4:14" ht="21.95" customHeight="1" thickBot="1">
      <c r="D104" s="116">
        <v>1080000.01</v>
      </c>
      <c r="E104" s="117">
        <v>1260000</v>
      </c>
      <c r="F104" s="126">
        <v>0.1855</v>
      </c>
      <c r="G104" s="126">
        <v>0.17299999999999999</v>
      </c>
      <c r="H104" s="126">
        <v>0.155</v>
      </c>
      <c r="I104" s="126">
        <v>0.1411</v>
      </c>
      <c r="J104" s="126">
        <v>0.1368</v>
      </c>
      <c r="K104" s="126">
        <v>0.1268</v>
      </c>
      <c r="L104" s="126">
        <v>0.1168</v>
      </c>
      <c r="M104" s="126">
        <v>0.10680000000000001</v>
      </c>
      <c r="N104" s="112"/>
    </row>
    <row r="105" spans="4:14" ht="21.95" customHeight="1" thickBot="1">
      <c r="D105" s="116">
        <v>1260000.01</v>
      </c>
      <c r="E105" s="117">
        <v>1440000</v>
      </c>
      <c r="F105" s="126">
        <v>0.1862</v>
      </c>
      <c r="G105" s="126">
        <v>0.17319999999999999</v>
      </c>
      <c r="H105" s="126">
        <v>0.156</v>
      </c>
      <c r="I105" s="126">
        <v>0.14119999999999999</v>
      </c>
      <c r="J105" s="126">
        <v>0.13689999999999999</v>
      </c>
      <c r="K105" s="126">
        <v>0.12690000000000001</v>
      </c>
      <c r="L105" s="126">
        <v>0.1169</v>
      </c>
      <c r="M105" s="126">
        <v>0.1069</v>
      </c>
      <c r="N105" s="112"/>
    </row>
    <row r="106" spans="4:14" ht="21.95" customHeight="1" thickBot="1">
      <c r="D106" s="116">
        <v>1440000.01</v>
      </c>
      <c r="E106" s="117">
        <v>1620000</v>
      </c>
      <c r="F106" s="126">
        <v>0.18720000000000001</v>
      </c>
      <c r="G106" s="126">
        <v>0.17419999999999999</v>
      </c>
      <c r="H106" s="126">
        <v>0.157</v>
      </c>
      <c r="I106" s="126">
        <v>0.14130000000000001</v>
      </c>
      <c r="J106" s="126">
        <v>0.14080000000000001</v>
      </c>
      <c r="K106" s="126">
        <v>0.1308</v>
      </c>
      <c r="L106" s="126">
        <v>0.1208</v>
      </c>
      <c r="M106" s="126">
        <v>0.1108</v>
      </c>
      <c r="N106" s="112"/>
    </row>
    <row r="107" spans="4:14" ht="21.95" customHeight="1" thickBot="1">
      <c r="D107" s="116">
        <v>1620000.01</v>
      </c>
      <c r="E107" s="117">
        <v>1800000</v>
      </c>
      <c r="F107" s="126">
        <v>0.18859999999999999</v>
      </c>
      <c r="G107" s="126">
        <v>0.17560000000000001</v>
      </c>
      <c r="H107" s="126">
        <v>0.158</v>
      </c>
      <c r="I107" s="126">
        <v>0.1414</v>
      </c>
      <c r="J107" s="126">
        <v>0.1409</v>
      </c>
      <c r="K107" s="126">
        <v>0.13089999999999999</v>
      </c>
      <c r="L107" s="126">
        <v>0.12089999999999999</v>
      </c>
      <c r="M107" s="126">
        <v>0.1109</v>
      </c>
      <c r="N107" s="112"/>
    </row>
    <row r="108" spans="4:14" ht="21.95" customHeight="1" thickBot="1">
      <c r="D108" s="116">
        <v>1800000.01</v>
      </c>
      <c r="E108" s="117">
        <v>1980000</v>
      </c>
      <c r="F108" s="126">
        <v>0.18959999999999999</v>
      </c>
      <c r="G108" s="126">
        <v>0.17660000000000001</v>
      </c>
      <c r="H108" s="126">
        <v>0.159</v>
      </c>
      <c r="I108" s="126">
        <v>0.1449</v>
      </c>
      <c r="J108" s="126">
        <v>0.14449999999999999</v>
      </c>
      <c r="K108" s="126">
        <v>0.1361</v>
      </c>
      <c r="L108" s="126">
        <v>0.1278</v>
      </c>
      <c r="M108" s="126">
        <v>0.1187</v>
      </c>
      <c r="N108" s="112"/>
    </row>
    <row r="109" spans="4:14" ht="21.95" customHeight="1" thickBot="1">
      <c r="D109" s="116">
        <v>1980000.01</v>
      </c>
      <c r="E109" s="117">
        <v>2160000</v>
      </c>
      <c r="F109" s="126">
        <v>0.19059999999999999</v>
      </c>
      <c r="G109" s="126">
        <v>0.17760000000000001</v>
      </c>
      <c r="H109" s="126">
        <v>0.16</v>
      </c>
      <c r="I109" s="126">
        <v>0.1467</v>
      </c>
      <c r="J109" s="126">
        <v>0.1464</v>
      </c>
      <c r="K109" s="126">
        <v>0.1389</v>
      </c>
      <c r="L109" s="126">
        <v>0.13150000000000001</v>
      </c>
      <c r="M109" s="126">
        <v>0.12280000000000001</v>
      </c>
      <c r="N109" s="112"/>
    </row>
    <row r="110" spans="4:14" ht="21.95" customHeight="1" thickBot="1">
      <c r="D110" s="116">
        <v>2160000.0099999998</v>
      </c>
      <c r="E110" s="117">
        <v>2340000</v>
      </c>
      <c r="F110" s="126">
        <v>0.19259999999999999</v>
      </c>
      <c r="G110" s="126">
        <v>0.17960000000000001</v>
      </c>
      <c r="H110" s="126">
        <v>0.16200000000000001</v>
      </c>
      <c r="I110" s="126">
        <v>0.14860000000000001</v>
      </c>
      <c r="J110" s="126">
        <v>0.1482</v>
      </c>
      <c r="K110" s="126">
        <v>0.14169999999999999</v>
      </c>
      <c r="L110" s="126">
        <v>0.1351</v>
      </c>
      <c r="M110" s="126">
        <v>0.1268</v>
      </c>
      <c r="N110" s="112"/>
    </row>
    <row r="111" spans="4:14" ht="21.95" customHeight="1" thickBot="1">
      <c r="D111" s="116">
        <v>2340000.0099999998</v>
      </c>
      <c r="E111" s="117">
        <v>2520000</v>
      </c>
      <c r="F111" s="126">
        <v>0.1956</v>
      </c>
      <c r="G111" s="126">
        <v>0.183</v>
      </c>
      <c r="H111" s="126">
        <v>0.16500000000000001</v>
      </c>
      <c r="I111" s="126">
        <v>0.15459999999999999</v>
      </c>
      <c r="J111" s="126">
        <v>0.15179999999999999</v>
      </c>
      <c r="K111" s="126">
        <v>0.14610000000000001</v>
      </c>
      <c r="L111" s="126">
        <v>0.1404</v>
      </c>
      <c r="M111" s="126">
        <v>0.1326</v>
      </c>
      <c r="N111" s="112"/>
    </row>
    <row r="112" spans="4:14" ht="21.95" customHeight="1" thickBot="1">
      <c r="D112" s="116">
        <v>2520000.0099999998</v>
      </c>
      <c r="E112" s="117">
        <v>2700000</v>
      </c>
      <c r="F112" s="126">
        <v>0.20699999999999999</v>
      </c>
      <c r="G112" s="126">
        <v>0.193</v>
      </c>
      <c r="H112" s="126">
        <v>0.17449999999999999</v>
      </c>
      <c r="I112" s="126">
        <v>0.16239999999999999</v>
      </c>
      <c r="J112" s="126">
        <v>0.16</v>
      </c>
      <c r="K112" s="126">
        <v>0.1552</v>
      </c>
      <c r="L112" s="126">
        <v>0.15029999999999999</v>
      </c>
      <c r="M112" s="126">
        <v>0.1429</v>
      </c>
      <c r="N112" s="112"/>
    </row>
    <row r="113" spans="4:14" ht="21.95" customHeight="1" thickBot="1">
      <c r="D113" s="116">
        <v>2700000.01</v>
      </c>
      <c r="E113" s="117">
        <v>2880000</v>
      </c>
      <c r="F113" s="126">
        <v>0.21199999999999999</v>
      </c>
      <c r="G113" s="126">
        <v>0.2</v>
      </c>
      <c r="H113" s="126">
        <v>0.182</v>
      </c>
      <c r="I113" s="126">
        <v>0.1691</v>
      </c>
      <c r="J113" s="126">
        <v>0.16719999999999999</v>
      </c>
      <c r="K113" s="126">
        <v>0.16320000000000001</v>
      </c>
      <c r="L113" s="126">
        <v>0.1593</v>
      </c>
      <c r="M113" s="126">
        <v>0.15229999999999999</v>
      </c>
      <c r="N113" s="112"/>
    </row>
    <row r="114" spans="4:14" ht="21.95" customHeight="1" thickBot="1">
      <c r="D114" s="116">
        <v>2880000.01</v>
      </c>
      <c r="E114" s="117">
        <v>3060000</v>
      </c>
      <c r="F114" s="126">
        <v>0.217</v>
      </c>
      <c r="G114" s="126">
        <v>0.20499999999999999</v>
      </c>
      <c r="H114" s="126">
        <v>0.187</v>
      </c>
      <c r="I114" s="126">
        <v>0.17399999999999999</v>
      </c>
      <c r="J114" s="126">
        <v>0.17130000000000001</v>
      </c>
      <c r="K114" s="126">
        <v>0.16819999999999999</v>
      </c>
      <c r="L114" s="126">
        <v>0.1638</v>
      </c>
      <c r="M114" s="126">
        <v>0.16170000000000001</v>
      </c>
      <c r="N114" s="112"/>
    </row>
    <row r="115" spans="4:14" ht="21.95" customHeight="1" thickBot="1">
      <c r="D115" s="116">
        <v>3060000.01</v>
      </c>
      <c r="E115" s="117">
        <v>3240000</v>
      </c>
      <c r="F115" s="126">
        <v>0.222</v>
      </c>
      <c r="G115" s="126">
        <v>0.20899999999999999</v>
      </c>
      <c r="H115" s="126">
        <v>0.191</v>
      </c>
      <c r="I115" s="126">
        <v>0.17799999999999999</v>
      </c>
      <c r="J115" s="126">
        <v>0.17549999999999999</v>
      </c>
      <c r="K115" s="126">
        <v>0.17219999999999999</v>
      </c>
      <c r="L115" s="126">
        <v>0.16819999999999999</v>
      </c>
      <c r="M115" s="126">
        <v>0.1651</v>
      </c>
      <c r="N115" s="112"/>
    </row>
    <row r="116" spans="4:14" ht="21.95" customHeight="1" thickBot="1">
      <c r="D116" s="116">
        <v>3240000.01</v>
      </c>
      <c r="E116" s="117">
        <v>3420000</v>
      </c>
      <c r="F116" s="126">
        <v>0.22500000000000001</v>
      </c>
      <c r="G116" s="126">
        <v>0.21299999999999999</v>
      </c>
      <c r="H116" s="126">
        <v>0.19500000000000001</v>
      </c>
      <c r="I116" s="126">
        <v>0.182</v>
      </c>
      <c r="J116" s="126">
        <v>0.1797</v>
      </c>
      <c r="K116" s="126">
        <v>0.1744</v>
      </c>
      <c r="L116" s="126">
        <v>0.1721</v>
      </c>
      <c r="M116" s="126">
        <v>0.1694</v>
      </c>
      <c r="N116" s="112"/>
    </row>
    <row r="117" spans="4:14" ht="21.95" customHeight="1" thickBot="1">
      <c r="D117" s="116">
        <v>3420000.01</v>
      </c>
      <c r="E117" s="117">
        <v>3600000</v>
      </c>
      <c r="F117" s="126">
        <v>0.22900000000000001</v>
      </c>
      <c r="G117" s="126">
        <v>0.218</v>
      </c>
      <c r="H117" s="126">
        <v>0.2</v>
      </c>
      <c r="I117" s="126">
        <v>0.186</v>
      </c>
      <c r="J117" s="126">
        <v>0.184</v>
      </c>
      <c r="K117" s="126">
        <v>0.17849999999999999</v>
      </c>
      <c r="L117" s="126">
        <v>0.17599999999999999</v>
      </c>
      <c r="M117" s="126">
        <v>0.17180000000000001</v>
      </c>
      <c r="N117" s="112"/>
    </row>
    <row r="118" spans="4:14" ht="21.95" customHeight="1"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</row>
    <row r="119" spans="4:14" ht="21.95" customHeight="1" thickBot="1">
      <c r="D119" s="112" t="s">
        <v>82</v>
      </c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</row>
    <row r="120" spans="4:14" ht="21.95" customHeight="1" thickBot="1">
      <c r="D120" s="144" t="s">
        <v>52</v>
      </c>
      <c r="E120" s="145"/>
      <c r="F120" s="132" t="s">
        <v>44</v>
      </c>
      <c r="G120" s="132" t="s">
        <v>83</v>
      </c>
      <c r="H120" s="132" t="s">
        <v>22</v>
      </c>
      <c r="I120" s="112"/>
      <c r="J120" s="112"/>
      <c r="K120" s="112"/>
      <c r="L120" s="112"/>
      <c r="M120" s="112"/>
      <c r="N120" s="112"/>
    </row>
    <row r="121" spans="4:14" ht="21.95" customHeight="1" thickBot="1">
      <c r="D121" s="113">
        <v>0</v>
      </c>
      <c r="E121" s="114">
        <v>180000</v>
      </c>
      <c r="F121" s="126">
        <v>0.16930000000000001</v>
      </c>
      <c r="G121" s="126">
        <v>0.14929999999999999</v>
      </c>
      <c r="H121" s="126">
        <v>0.02</v>
      </c>
      <c r="I121" s="112"/>
      <c r="J121" s="112"/>
      <c r="K121" s="112"/>
      <c r="L121" s="112"/>
      <c r="M121" s="112"/>
      <c r="N121" s="112"/>
    </row>
    <row r="122" spans="4:14" ht="21.95" customHeight="1" thickBot="1">
      <c r="D122" s="116">
        <v>180000.01</v>
      </c>
      <c r="E122" s="117">
        <v>360000</v>
      </c>
      <c r="F122" s="126">
        <v>0.1772</v>
      </c>
      <c r="G122" s="126">
        <v>0.14929999999999999</v>
      </c>
      <c r="H122" s="126">
        <v>2.7900000000000001E-2</v>
      </c>
      <c r="I122" s="112"/>
      <c r="J122" s="112"/>
      <c r="K122" s="112"/>
      <c r="L122" s="112"/>
      <c r="M122" s="112"/>
      <c r="N122" s="112"/>
    </row>
    <row r="123" spans="4:14" ht="21.95" customHeight="1" thickBot="1">
      <c r="D123" s="116">
        <v>360000.01</v>
      </c>
      <c r="E123" s="117">
        <v>540000</v>
      </c>
      <c r="F123" s="126">
        <v>0.18429999999999999</v>
      </c>
      <c r="G123" s="126">
        <v>0.14929999999999999</v>
      </c>
      <c r="H123" s="126">
        <v>3.5000000000000003E-2</v>
      </c>
      <c r="I123" s="112"/>
      <c r="J123" s="112"/>
      <c r="K123" s="112"/>
      <c r="L123" s="112"/>
      <c r="M123" s="112"/>
      <c r="N123" s="112"/>
    </row>
    <row r="124" spans="4:14" ht="21.95" customHeight="1" thickBot="1">
      <c r="D124" s="116">
        <v>540000.01</v>
      </c>
      <c r="E124" s="117">
        <v>720000</v>
      </c>
      <c r="F124" s="126">
        <v>0.18770000000000001</v>
      </c>
      <c r="G124" s="126">
        <v>0.14929999999999999</v>
      </c>
      <c r="H124" s="126">
        <v>3.8399999999999997E-2</v>
      </c>
      <c r="I124" s="112"/>
      <c r="J124" s="112"/>
      <c r="K124" s="112"/>
      <c r="L124" s="112"/>
      <c r="M124" s="112"/>
      <c r="N124" s="112"/>
    </row>
    <row r="125" spans="4:14" ht="21.95" customHeight="1" thickBot="1">
      <c r="D125" s="116">
        <v>720000.01</v>
      </c>
      <c r="E125" s="117">
        <v>900000</v>
      </c>
      <c r="F125" s="126">
        <v>0.19040000000000001</v>
      </c>
      <c r="G125" s="126">
        <v>0.1517</v>
      </c>
      <c r="H125" s="126">
        <v>3.8699999999999998E-2</v>
      </c>
      <c r="I125" s="112"/>
      <c r="J125" s="112"/>
      <c r="K125" s="112"/>
      <c r="L125" s="112"/>
      <c r="M125" s="112"/>
      <c r="N125" s="112"/>
    </row>
    <row r="126" spans="4:14" ht="21.95" customHeight="1" thickBot="1">
      <c r="D126" s="116">
        <v>900000.01</v>
      </c>
      <c r="E126" s="117">
        <v>1080000</v>
      </c>
      <c r="F126" s="126">
        <v>0.19939999999999999</v>
      </c>
      <c r="G126" s="126">
        <v>0.15709999999999999</v>
      </c>
      <c r="H126" s="126">
        <v>4.2299999999999997E-2</v>
      </c>
      <c r="I126" s="112"/>
      <c r="J126" s="112"/>
      <c r="K126" s="112"/>
      <c r="L126" s="112"/>
      <c r="M126" s="112"/>
      <c r="N126" s="112"/>
    </row>
    <row r="127" spans="4:14" ht="21.95" customHeight="1" thickBot="1">
      <c r="D127" s="116">
        <v>1080000.01</v>
      </c>
      <c r="E127" s="117">
        <v>1260000</v>
      </c>
      <c r="F127" s="126">
        <v>0.2034</v>
      </c>
      <c r="G127" s="126">
        <v>0.1608</v>
      </c>
      <c r="H127" s="126">
        <v>4.2599999999999999E-2</v>
      </c>
      <c r="I127" s="112"/>
      <c r="J127" s="112"/>
      <c r="K127" s="112"/>
      <c r="L127" s="112"/>
      <c r="M127" s="112"/>
      <c r="N127" s="112"/>
    </row>
    <row r="128" spans="4:14" ht="21.95" customHeight="1" thickBot="1">
      <c r="D128" s="116">
        <v>1260000.01</v>
      </c>
      <c r="E128" s="117">
        <v>1440000</v>
      </c>
      <c r="F128" s="126">
        <v>0.20660000000000001</v>
      </c>
      <c r="G128" s="126">
        <v>0.16350000000000001</v>
      </c>
      <c r="H128" s="126">
        <v>4.3099999999999999E-2</v>
      </c>
      <c r="I128" s="112"/>
      <c r="J128" s="112"/>
      <c r="K128" s="112"/>
      <c r="L128" s="112"/>
      <c r="M128" s="112"/>
      <c r="N128" s="112"/>
    </row>
    <row r="129" spans="4:14" ht="21.95" customHeight="1" thickBot="1">
      <c r="D129" s="116">
        <v>1440000.01</v>
      </c>
      <c r="E129" s="117">
        <v>1620000</v>
      </c>
      <c r="F129" s="126">
        <v>0.2117</v>
      </c>
      <c r="G129" s="126">
        <v>0.1656</v>
      </c>
      <c r="H129" s="126">
        <v>4.6100000000000002E-2</v>
      </c>
      <c r="I129" s="112"/>
      <c r="J129" s="112"/>
      <c r="K129" s="112"/>
      <c r="L129" s="112"/>
      <c r="M129" s="112"/>
      <c r="N129" s="112"/>
    </row>
    <row r="130" spans="4:14" ht="21.95" customHeight="1" thickBot="1">
      <c r="D130" s="116">
        <v>1620000.01</v>
      </c>
      <c r="E130" s="117">
        <v>1800000</v>
      </c>
      <c r="F130" s="126">
        <v>0.21379999999999999</v>
      </c>
      <c r="G130" s="126">
        <v>0.1673</v>
      </c>
      <c r="H130" s="126">
        <v>4.65E-2</v>
      </c>
      <c r="I130" s="112"/>
      <c r="J130" s="112"/>
      <c r="K130" s="112"/>
      <c r="L130" s="112"/>
      <c r="M130" s="112"/>
      <c r="N130" s="112"/>
    </row>
    <row r="131" spans="4:14" ht="21.95" customHeight="1" thickBot="1">
      <c r="D131" s="116">
        <v>1800000.01</v>
      </c>
      <c r="E131" s="117">
        <v>1980000</v>
      </c>
      <c r="F131" s="126">
        <v>0.21859999999999999</v>
      </c>
      <c r="G131" s="126">
        <v>0.1686</v>
      </c>
      <c r="H131" s="126">
        <v>0.05</v>
      </c>
      <c r="I131" s="112"/>
      <c r="J131" s="112"/>
      <c r="K131" s="112"/>
      <c r="L131" s="112"/>
      <c r="M131" s="112"/>
      <c r="N131" s="112"/>
    </row>
    <row r="132" spans="4:14" ht="21.95" customHeight="1" thickBot="1">
      <c r="D132" s="116">
        <v>1980000.01</v>
      </c>
      <c r="E132" s="117">
        <v>2160000</v>
      </c>
      <c r="F132" s="126">
        <v>0.21970000000000001</v>
      </c>
      <c r="G132" s="126">
        <v>0.16969999999999999</v>
      </c>
      <c r="H132" s="126">
        <v>0.05</v>
      </c>
      <c r="I132" s="112"/>
      <c r="J132" s="112"/>
      <c r="K132" s="112"/>
      <c r="L132" s="112"/>
      <c r="M132" s="112"/>
      <c r="N132" s="112"/>
    </row>
    <row r="133" spans="4:14" ht="21.95" customHeight="1" thickBot="1">
      <c r="D133" s="116">
        <v>2160000.0099999998</v>
      </c>
      <c r="E133" s="117">
        <v>2340000</v>
      </c>
      <c r="F133" s="126">
        <v>0.22059999999999999</v>
      </c>
      <c r="G133" s="126">
        <v>0.1706</v>
      </c>
      <c r="H133" s="126">
        <v>0.05</v>
      </c>
      <c r="I133" s="112"/>
      <c r="J133" s="112"/>
      <c r="K133" s="112"/>
      <c r="L133" s="112"/>
      <c r="M133" s="112"/>
      <c r="N133" s="112"/>
    </row>
    <row r="134" spans="4:14" ht="21.95" customHeight="1" thickBot="1">
      <c r="D134" s="116">
        <v>2340000.0099999998</v>
      </c>
      <c r="E134" s="117">
        <v>2520000</v>
      </c>
      <c r="F134" s="126">
        <v>0.22140000000000001</v>
      </c>
      <c r="G134" s="126">
        <v>0.1714</v>
      </c>
      <c r="H134" s="126">
        <v>0.05</v>
      </c>
      <c r="I134" s="112"/>
      <c r="J134" s="112"/>
      <c r="K134" s="112"/>
      <c r="L134" s="112"/>
      <c r="M134" s="112"/>
      <c r="N134" s="112"/>
    </row>
    <row r="135" spans="4:14" ht="21.95" customHeight="1" thickBot="1">
      <c r="D135" s="116">
        <v>2520000.0099999998</v>
      </c>
      <c r="E135" s="117">
        <v>2700000</v>
      </c>
      <c r="F135" s="126">
        <v>0.22209999999999999</v>
      </c>
      <c r="G135" s="126">
        <v>0.1721</v>
      </c>
      <c r="H135" s="126">
        <v>0.05</v>
      </c>
      <c r="I135" s="112"/>
      <c r="J135" s="112"/>
      <c r="K135" s="112"/>
      <c r="L135" s="112"/>
      <c r="M135" s="112"/>
      <c r="N135" s="112"/>
    </row>
    <row r="136" spans="4:14" ht="21.95" customHeight="1" thickBot="1">
      <c r="D136" s="116">
        <v>2700000.01</v>
      </c>
      <c r="E136" s="117">
        <v>2880000</v>
      </c>
      <c r="F136" s="126">
        <v>0.22209999999999999</v>
      </c>
      <c r="G136" s="126">
        <v>0.1721</v>
      </c>
      <c r="H136" s="126">
        <v>0.05</v>
      </c>
      <c r="I136" s="112"/>
      <c r="J136" s="112"/>
      <c r="K136" s="112"/>
      <c r="L136" s="112"/>
      <c r="M136" s="112"/>
      <c r="N136" s="112"/>
    </row>
    <row r="137" spans="4:14" ht="21.95" customHeight="1" thickBot="1">
      <c r="D137" s="116">
        <v>2880000.01</v>
      </c>
      <c r="E137" s="117">
        <v>3060000</v>
      </c>
      <c r="F137" s="126">
        <v>0.22320000000000001</v>
      </c>
      <c r="G137" s="126">
        <v>0.17319999999999999</v>
      </c>
      <c r="H137" s="126">
        <v>0.05</v>
      </c>
      <c r="I137" s="112"/>
      <c r="J137" s="112"/>
      <c r="K137" s="112"/>
      <c r="L137" s="112"/>
      <c r="M137" s="112"/>
      <c r="N137" s="112"/>
    </row>
    <row r="138" spans="4:14" ht="21.95" customHeight="1" thickBot="1">
      <c r="D138" s="116">
        <v>3060000.01</v>
      </c>
      <c r="E138" s="117">
        <v>3240000</v>
      </c>
      <c r="F138" s="126">
        <v>0.22370000000000001</v>
      </c>
      <c r="G138" s="126">
        <v>0.17369999999999999</v>
      </c>
      <c r="H138" s="126">
        <v>0.05</v>
      </c>
      <c r="I138" s="112"/>
      <c r="J138" s="112"/>
      <c r="K138" s="112"/>
      <c r="L138" s="112"/>
      <c r="M138" s="112"/>
      <c r="N138" s="112"/>
    </row>
    <row r="139" spans="4:14" ht="21.95" customHeight="1" thickBot="1">
      <c r="D139" s="116">
        <v>3240000.01</v>
      </c>
      <c r="E139" s="117">
        <v>3420000</v>
      </c>
      <c r="F139" s="126">
        <v>0.22409999999999999</v>
      </c>
      <c r="G139" s="126">
        <v>0.1741</v>
      </c>
      <c r="H139" s="126">
        <v>0.05</v>
      </c>
      <c r="I139" s="112"/>
      <c r="J139" s="112"/>
      <c r="K139" s="112"/>
      <c r="L139" s="112"/>
      <c r="M139" s="112"/>
      <c r="N139" s="112"/>
    </row>
    <row r="140" spans="4:14" ht="21.95" customHeight="1" thickBot="1">
      <c r="D140" s="116">
        <v>3420000.01</v>
      </c>
      <c r="E140" s="117">
        <v>3600000</v>
      </c>
      <c r="F140" s="126">
        <v>0.22450000000000001</v>
      </c>
      <c r="G140" s="126">
        <v>0.17449999999999999</v>
      </c>
      <c r="H140" s="126">
        <v>0.05</v>
      </c>
      <c r="I140" s="112"/>
      <c r="J140" s="112"/>
      <c r="K140" s="112"/>
      <c r="L140" s="112"/>
      <c r="M140" s="112"/>
      <c r="N140" s="112"/>
    </row>
    <row r="141" spans="4:14" ht="21.95" customHeight="1" thickBot="1"/>
    <row r="142" spans="4:14" ht="21.95" customHeight="1" thickBot="1">
      <c r="D142" s="98" t="s">
        <v>105</v>
      </c>
      <c r="E142" s="100" t="s">
        <v>74</v>
      </c>
      <c r="F142" s="95">
        <v>0.17499999999999999</v>
      </c>
    </row>
    <row r="143" spans="4:14" ht="21.95" customHeight="1" thickBot="1">
      <c r="D143" s="99" t="s">
        <v>106</v>
      </c>
      <c r="E143" s="100" t="s">
        <v>74</v>
      </c>
      <c r="F143" s="95">
        <v>0.17519999999999999</v>
      </c>
    </row>
    <row r="144" spans="4:14" ht="21.95" customHeight="1" thickBot="1">
      <c r="D144" s="99" t="s">
        <v>107</v>
      </c>
      <c r="E144" s="100" t="s">
        <v>74</v>
      </c>
      <c r="F144" s="95">
        <v>0.17549999999999999</v>
      </c>
    </row>
    <row r="145" spans="4:6" ht="21.95" customHeight="1" thickBot="1">
      <c r="D145" s="99" t="s">
        <v>108</v>
      </c>
      <c r="E145" s="100" t="s">
        <v>74</v>
      </c>
      <c r="F145" s="95">
        <v>0.17949999999999999</v>
      </c>
    </row>
    <row r="146" spans="4:6" ht="21.95" customHeight="1" thickBot="1">
      <c r="D146" s="99" t="s">
        <v>109</v>
      </c>
      <c r="E146" s="100" t="s">
        <v>74</v>
      </c>
      <c r="F146" s="95">
        <v>0.18149999999999999</v>
      </c>
    </row>
    <row r="147" spans="4:6" ht="21.95" customHeight="1" thickBot="1">
      <c r="D147" s="99" t="s">
        <v>110</v>
      </c>
      <c r="E147" s="100" t="s">
        <v>74</v>
      </c>
      <c r="F147" s="95">
        <v>0.1845</v>
      </c>
    </row>
    <row r="148" spans="4:6" ht="21.95" customHeight="1" thickBot="1">
      <c r="D148" s="99" t="s">
        <v>111</v>
      </c>
      <c r="E148" s="100" t="s">
        <v>74</v>
      </c>
      <c r="F148" s="95">
        <v>0.1855</v>
      </c>
    </row>
    <row r="149" spans="4:6" ht="21.95" customHeight="1" thickBot="1">
      <c r="D149" s="99" t="s">
        <v>112</v>
      </c>
      <c r="E149" s="100" t="s">
        <v>74</v>
      </c>
      <c r="F149" s="95">
        <v>0.1862</v>
      </c>
    </row>
    <row r="150" spans="4:6" ht="21.95" customHeight="1" thickBot="1">
      <c r="D150" s="99" t="s">
        <v>113</v>
      </c>
      <c r="E150" s="100" t="s">
        <v>74</v>
      </c>
      <c r="F150" s="95">
        <v>0.18720000000000001</v>
      </c>
    </row>
    <row r="151" spans="4:6" ht="21.95" customHeight="1" thickBot="1">
      <c r="D151" s="99" t="s">
        <v>114</v>
      </c>
      <c r="E151" s="100" t="s">
        <v>74</v>
      </c>
      <c r="F151" s="95">
        <v>0.18859999999999999</v>
      </c>
    </row>
    <row r="152" spans="4:6" ht="21.95" customHeight="1" thickBot="1">
      <c r="D152" s="99" t="s">
        <v>115</v>
      </c>
      <c r="E152" s="100" t="s">
        <v>74</v>
      </c>
      <c r="F152" s="95">
        <v>0.18959999999999999</v>
      </c>
    </row>
    <row r="153" spans="4:6" ht="21.95" customHeight="1" thickBot="1">
      <c r="D153" s="99" t="s">
        <v>116</v>
      </c>
      <c r="E153" s="100" t="s">
        <v>74</v>
      </c>
      <c r="F153" s="95">
        <v>0.19059999999999999</v>
      </c>
    </row>
    <row r="154" spans="4:6" ht="21.95" customHeight="1" thickBot="1">
      <c r="D154" s="99" t="s">
        <v>117</v>
      </c>
      <c r="E154" s="100" t="s">
        <v>74</v>
      </c>
      <c r="F154" s="95">
        <v>0.19259999999999999</v>
      </c>
    </row>
    <row r="155" spans="4:6" ht="21.95" customHeight="1" thickBot="1">
      <c r="D155" s="99" t="s">
        <v>118</v>
      </c>
      <c r="E155" s="100" t="s">
        <v>74</v>
      </c>
      <c r="F155" s="95">
        <v>0.1956</v>
      </c>
    </row>
    <row r="156" spans="4:6" ht="21.95" customHeight="1" thickBot="1">
      <c r="D156" s="99" t="s">
        <v>119</v>
      </c>
      <c r="E156" s="100" t="s">
        <v>74</v>
      </c>
      <c r="F156" s="95">
        <v>0.20699999999999999</v>
      </c>
    </row>
    <row r="157" spans="4:6" ht="21.95" customHeight="1" thickBot="1">
      <c r="D157" s="99" t="s">
        <v>120</v>
      </c>
      <c r="E157" s="100" t="s">
        <v>74</v>
      </c>
      <c r="F157" s="95">
        <v>0.21199999999999999</v>
      </c>
    </row>
    <row r="158" spans="4:6" ht="21.95" customHeight="1" thickBot="1">
      <c r="D158" s="99" t="s">
        <v>121</v>
      </c>
      <c r="E158" s="100" t="s">
        <v>74</v>
      </c>
      <c r="F158" s="95">
        <v>0.217</v>
      </c>
    </row>
    <row r="159" spans="4:6" ht="21.95" customHeight="1" thickBot="1">
      <c r="D159" s="99" t="s">
        <v>122</v>
      </c>
      <c r="E159" s="100" t="s">
        <v>74</v>
      </c>
      <c r="F159" s="95">
        <v>0.222</v>
      </c>
    </row>
    <row r="160" spans="4:6" ht="21.95" customHeight="1" thickBot="1">
      <c r="D160" s="99" t="s">
        <v>123</v>
      </c>
      <c r="E160" s="100" t="s">
        <v>74</v>
      </c>
      <c r="F160" s="95">
        <v>0.22500000000000001</v>
      </c>
    </row>
    <row r="161" spans="4:6" ht="21.95" customHeight="1" thickBot="1">
      <c r="D161" s="99" t="s">
        <v>124</v>
      </c>
      <c r="E161" s="100" t="s">
        <v>74</v>
      </c>
      <c r="F161" s="95">
        <v>0.22900000000000001</v>
      </c>
    </row>
    <row r="162" spans="4:6" ht="21.95" customHeight="1" thickBot="1">
      <c r="D162" s="98" t="s">
        <v>105</v>
      </c>
      <c r="E162" s="100" t="s">
        <v>75</v>
      </c>
      <c r="F162" s="95">
        <v>0.157</v>
      </c>
    </row>
    <row r="163" spans="4:6" ht="21.95" customHeight="1" thickBot="1">
      <c r="D163" s="99" t="s">
        <v>106</v>
      </c>
      <c r="E163" s="100" t="s">
        <v>75</v>
      </c>
      <c r="F163" s="95">
        <v>0.1575</v>
      </c>
    </row>
    <row r="164" spans="4:6" ht="21.95" customHeight="1" thickBot="1">
      <c r="D164" s="99" t="s">
        <v>107</v>
      </c>
      <c r="E164" s="100" t="s">
        <v>75</v>
      </c>
      <c r="F164" s="95">
        <v>0.1595</v>
      </c>
    </row>
    <row r="165" spans="4:6" ht="21.95" customHeight="1" thickBot="1">
      <c r="D165" s="99" t="s">
        <v>108</v>
      </c>
      <c r="E165" s="100" t="s">
        <v>75</v>
      </c>
      <c r="F165" s="95">
        <v>0.16700000000000001</v>
      </c>
    </row>
    <row r="166" spans="4:6" ht="21.95" customHeight="1" thickBot="1">
      <c r="D166" s="99" t="s">
        <v>109</v>
      </c>
      <c r="E166" s="100" t="s">
        <v>75</v>
      </c>
      <c r="F166" s="95">
        <v>0.16950000000000001</v>
      </c>
    </row>
    <row r="167" spans="4:6" ht="21.95" customHeight="1" thickBot="1">
      <c r="D167" s="99" t="s">
        <v>110</v>
      </c>
      <c r="E167" s="100" t="s">
        <v>75</v>
      </c>
      <c r="F167" s="95">
        <v>0.17199999999999999</v>
      </c>
    </row>
    <row r="168" spans="4:6" ht="21.95" customHeight="1" thickBot="1">
      <c r="D168" s="99" t="s">
        <v>111</v>
      </c>
      <c r="E168" s="100" t="s">
        <v>75</v>
      </c>
      <c r="F168" s="95">
        <v>0.17299999999999999</v>
      </c>
    </row>
    <row r="169" spans="4:6" ht="21.95" customHeight="1" thickBot="1">
      <c r="D169" s="99" t="s">
        <v>112</v>
      </c>
      <c r="E169" s="100" t="s">
        <v>75</v>
      </c>
      <c r="F169" s="95">
        <v>0.17319999999999999</v>
      </c>
    </row>
    <row r="170" spans="4:6" ht="21.95" customHeight="1" thickBot="1">
      <c r="D170" s="99" t="s">
        <v>113</v>
      </c>
      <c r="E170" s="100" t="s">
        <v>75</v>
      </c>
      <c r="F170" s="95">
        <v>0.17419999999999999</v>
      </c>
    </row>
    <row r="171" spans="4:6" ht="21.95" customHeight="1" thickBot="1">
      <c r="D171" s="99" t="s">
        <v>114</v>
      </c>
      <c r="E171" s="100" t="s">
        <v>75</v>
      </c>
      <c r="F171" s="95">
        <v>0.17560000000000001</v>
      </c>
    </row>
    <row r="172" spans="4:6" ht="21.95" customHeight="1" thickBot="1">
      <c r="D172" s="99" t="s">
        <v>115</v>
      </c>
      <c r="E172" s="100" t="s">
        <v>75</v>
      </c>
      <c r="F172" s="95">
        <v>0.17660000000000001</v>
      </c>
    </row>
    <row r="173" spans="4:6" ht="21.95" customHeight="1" thickBot="1">
      <c r="D173" s="99" t="s">
        <v>116</v>
      </c>
      <c r="E173" s="100" t="s">
        <v>75</v>
      </c>
      <c r="F173" s="95">
        <v>0.17760000000000001</v>
      </c>
    </row>
    <row r="174" spans="4:6" ht="21.95" customHeight="1" thickBot="1">
      <c r="D174" s="99" t="s">
        <v>117</v>
      </c>
      <c r="E174" s="100" t="s">
        <v>75</v>
      </c>
      <c r="F174" s="95">
        <v>0.17960000000000001</v>
      </c>
    </row>
    <row r="175" spans="4:6" ht="21.95" customHeight="1" thickBot="1">
      <c r="D175" s="99" t="s">
        <v>118</v>
      </c>
      <c r="E175" s="100" t="s">
        <v>75</v>
      </c>
      <c r="F175" s="95">
        <v>0.183</v>
      </c>
    </row>
    <row r="176" spans="4:6" ht="21.95" customHeight="1" thickBot="1">
      <c r="D176" s="99" t="s">
        <v>119</v>
      </c>
      <c r="E176" s="100" t="s">
        <v>75</v>
      </c>
      <c r="F176" s="95">
        <v>0.193</v>
      </c>
    </row>
    <row r="177" spans="4:6" ht="21.95" customHeight="1" thickBot="1">
      <c r="D177" s="99" t="s">
        <v>120</v>
      </c>
      <c r="E177" s="100" t="s">
        <v>75</v>
      </c>
      <c r="F177" s="95">
        <v>0.2</v>
      </c>
    </row>
    <row r="178" spans="4:6" ht="21.95" customHeight="1" thickBot="1">
      <c r="D178" s="99" t="s">
        <v>121</v>
      </c>
      <c r="E178" s="100" t="s">
        <v>75</v>
      </c>
      <c r="F178" s="95">
        <v>0.20499999999999999</v>
      </c>
    </row>
    <row r="179" spans="4:6" ht="21.95" customHeight="1" thickBot="1">
      <c r="D179" s="99" t="s">
        <v>122</v>
      </c>
      <c r="E179" s="100" t="s">
        <v>75</v>
      </c>
      <c r="F179" s="95">
        <v>0.20899999999999999</v>
      </c>
    </row>
    <row r="180" spans="4:6" ht="21.95" customHeight="1" thickBot="1">
      <c r="D180" s="99" t="s">
        <v>123</v>
      </c>
      <c r="E180" s="100" t="s">
        <v>75</v>
      </c>
      <c r="F180" s="95">
        <v>0.21299999999999999</v>
      </c>
    </row>
    <row r="181" spans="4:6" ht="21.95" customHeight="1" thickBot="1">
      <c r="D181" s="99" t="s">
        <v>124</v>
      </c>
      <c r="E181" s="100" t="s">
        <v>75</v>
      </c>
      <c r="F181" s="95">
        <v>0.218</v>
      </c>
    </row>
    <row r="182" spans="4:6" ht="21.95" customHeight="1" thickBot="1">
      <c r="D182" s="98" t="s">
        <v>105</v>
      </c>
      <c r="E182" s="100" t="s">
        <v>76</v>
      </c>
      <c r="F182" s="95">
        <v>0.13700000000000001</v>
      </c>
    </row>
    <row r="183" spans="4:6" ht="21.95" customHeight="1" thickBot="1">
      <c r="D183" s="99" t="s">
        <v>106</v>
      </c>
      <c r="E183" s="100" t="s">
        <v>76</v>
      </c>
      <c r="F183" s="95">
        <v>0.13900000000000001</v>
      </c>
    </row>
    <row r="184" spans="4:6" ht="21.95" customHeight="1" thickBot="1">
      <c r="D184" s="99" t="s">
        <v>107</v>
      </c>
      <c r="E184" s="100" t="s">
        <v>76</v>
      </c>
      <c r="F184" s="95">
        <v>0.14199999999999999</v>
      </c>
    </row>
    <row r="185" spans="4:6" ht="21.95" customHeight="1" thickBot="1">
      <c r="D185" s="99" t="s">
        <v>108</v>
      </c>
      <c r="E185" s="100" t="s">
        <v>76</v>
      </c>
      <c r="F185" s="95">
        <v>0.15</v>
      </c>
    </row>
    <row r="186" spans="4:6" ht="21.95" customHeight="1" thickBot="1">
      <c r="D186" s="99" t="s">
        <v>109</v>
      </c>
      <c r="E186" s="100" t="s">
        <v>76</v>
      </c>
      <c r="F186" s="95">
        <v>0.153</v>
      </c>
    </row>
    <row r="187" spans="4:6" ht="21.95" customHeight="1" thickBot="1">
      <c r="D187" s="99" t="s">
        <v>110</v>
      </c>
      <c r="E187" s="100" t="s">
        <v>76</v>
      </c>
      <c r="F187" s="95">
        <v>0.154</v>
      </c>
    </row>
    <row r="188" spans="4:6" ht="21.95" customHeight="1" thickBot="1">
      <c r="D188" s="99" t="s">
        <v>111</v>
      </c>
      <c r="E188" s="100" t="s">
        <v>76</v>
      </c>
      <c r="F188" s="95">
        <v>0.155</v>
      </c>
    </row>
    <row r="189" spans="4:6" ht="21.95" customHeight="1" thickBot="1">
      <c r="D189" s="99" t="s">
        <v>112</v>
      </c>
      <c r="E189" s="100" t="s">
        <v>76</v>
      </c>
      <c r="F189" s="95">
        <v>0.156</v>
      </c>
    </row>
    <row r="190" spans="4:6" ht="21.95" customHeight="1" thickBot="1">
      <c r="D190" s="99" t="s">
        <v>113</v>
      </c>
      <c r="E190" s="100" t="s">
        <v>76</v>
      </c>
      <c r="F190" s="95">
        <v>0.157</v>
      </c>
    </row>
    <row r="191" spans="4:6" ht="21.95" customHeight="1" thickBot="1">
      <c r="D191" s="99" t="s">
        <v>114</v>
      </c>
      <c r="E191" s="100" t="s">
        <v>76</v>
      </c>
      <c r="F191" s="95">
        <v>0.158</v>
      </c>
    </row>
    <row r="192" spans="4:6" ht="21.95" customHeight="1" thickBot="1">
      <c r="D192" s="99" t="s">
        <v>115</v>
      </c>
      <c r="E192" s="100" t="s">
        <v>76</v>
      </c>
      <c r="F192" s="95">
        <v>0.159</v>
      </c>
    </row>
    <row r="193" spans="4:6" ht="21.95" customHeight="1" thickBot="1">
      <c r="D193" s="99" t="s">
        <v>116</v>
      </c>
      <c r="E193" s="100" t="s">
        <v>76</v>
      </c>
      <c r="F193" s="95">
        <v>0.16</v>
      </c>
    </row>
    <row r="194" spans="4:6" ht="21.95" customHeight="1" thickBot="1">
      <c r="D194" s="99" t="s">
        <v>117</v>
      </c>
      <c r="E194" s="100" t="s">
        <v>76</v>
      </c>
      <c r="F194" s="95">
        <v>0.16200000000000001</v>
      </c>
    </row>
    <row r="195" spans="4:6" ht="21.95" customHeight="1" thickBot="1">
      <c r="D195" s="99" t="s">
        <v>118</v>
      </c>
      <c r="E195" s="100" t="s">
        <v>76</v>
      </c>
      <c r="F195" s="95">
        <v>0.16500000000000001</v>
      </c>
    </row>
    <row r="196" spans="4:6" ht="21.95" customHeight="1" thickBot="1">
      <c r="D196" s="99" t="s">
        <v>119</v>
      </c>
      <c r="E196" s="100" t="s">
        <v>76</v>
      </c>
      <c r="F196" s="95">
        <v>0.17449999999999999</v>
      </c>
    </row>
    <row r="197" spans="4:6" ht="21.95" customHeight="1" thickBot="1">
      <c r="D197" s="99" t="s">
        <v>120</v>
      </c>
      <c r="E197" s="100" t="s">
        <v>76</v>
      </c>
      <c r="F197" s="95">
        <v>0.182</v>
      </c>
    </row>
    <row r="198" spans="4:6" ht="21.95" customHeight="1" thickBot="1">
      <c r="D198" s="99" t="s">
        <v>121</v>
      </c>
      <c r="E198" s="100" t="s">
        <v>76</v>
      </c>
      <c r="F198" s="95">
        <v>0.187</v>
      </c>
    </row>
    <row r="199" spans="4:6" ht="21.95" customHeight="1" thickBot="1">
      <c r="D199" s="99" t="s">
        <v>122</v>
      </c>
      <c r="E199" s="100" t="s">
        <v>76</v>
      </c>
      <c r="F199" s="95">
        <v>0.191</v>
      </c>
    </row>
    <row r="200" spans="4:6" ht="21.95" customHeight="1" thickBot="1">
      <c r="D200" s="99" t="s">
        <v>123</v>
      </c>
      <c r="E200" s="100" t="s">
        <v>76</v>
      </c>
      <c r="F200" s="95">
        <v>0.19500000000000001</v>
      </c>
    </row>
    <row r="201" spans="4:6" ht="21.95" customHeight="1" thickBot="1">
      <c r="D201" s="99" t="s">
        <v>124</v>
      </c>
      <c r="E201" s="100" t="s">
        <v>76</v>
      </c>
      <c r="F201" s="95">
        <v>0.2</v>
      </c>
    </row>
    <row r="202" spans="4:6" ht="21.95" customHeight="1" thickBot="1">
      <c r="D202" s="98" t="s">
        <v>105</v>
      </c>
      <c r="E202" s="100" t="s">
        <v>77</v>
      </c>
      <c r="F202" s="95">
        <v>0.1182</v>
      </c>
    </row>
    <row r="203" spans="4:6" ht="21.95" customHeight="1" thickBot="1">
      <c r="D203" s="99" t="s">
        <v>106</v>
      </c>
      <c r="E203" s="100" t="s">
        <v>77</v>
      </c>
      <c r="F203" s="95">
        <v>0.126</v>
      </c>
    </row>
    <row r="204" spans="4:6" ht="21.95" customHeight="1" thickBot="1">
      <c r="D204" s="99" t="s">
        <v>107</v>
      </c>
      <c r="E204" s="100" t="s">
        <v>77</v>
      </c>
      <c r="F204" s="95">
        <v>0.129</v>
      </c>
    </row>
    <row r="205" spans="4:6" ht="21.95" customHeight="1" thickBot="1">
      <c r="D205" s="99" t="s">
        <v>108</v>
      </c>
      <c r="E205" s="100" t="s">
        <v>77</v>
      </c>
      <c r="F205" s="95">
        <v>0.13700000000000001</v>
      </c>
    </row>
    <row r="206" spans="4:6" ht="21.95" customHeight="1" thickBot="1">
      <c r="D206" s="99" t="s">
        <v>109</v>
      </c>
      <c r="E206" s="100" t="s">
        <v>77</v>
      </c>
      <c r="F206" s="95">
        <v>0.14030000000000001</v>
      </c>
    </row>
    <row r="207" spans="4:6" ht="21.95" customHeight="1" thickBot="1">
      <c r="D207" s="99" t="s">
        <v>110</v>
      </c>
      <c r="E207" s="100" t="s">
        <v>77</v>
      </c>
      <c r="F207" s="95">
        <v>0.14099999999999999</v>
      </c>
    </row>
    <row r="208" spans="4:6" ht="21.95" customHeight="1" thickBot="1">
      <c r="D208" s="99" t="s">
        <v>111</v>
      </c>
      <c r="E208" s="100" t="s">
        <v>77</v>
      </c>
      <c r="F208" s="95">
        <v>0.1411</v>
      </c>
    </row>
    <row r="209" spans="4:6" ht="21.95" customHeight="1" thickBot="1">
      <c r="D209" s="99" t="s">
        <v>112</v>
      </c>
      <c r="E209" s="100" t="s">
        <v>77</v>
      </c>
      <c r="F209" s="95">
        <v>0.14119999999999999</v>
      </c>
    </row>
    <row r="210" spans="4:6" ht="21.95" customHeight="1" thickBot="1">
      <c r="D210" s="99" t="s">
        <v>113</v>
      </c>
      <c r="E210" s="100" t="s">
        <v>77</v>
      </c>
      <c r="F210" s="95">
        <v>0.14130000000000001</v>
      </c>
    </row>
    <row r="211" spans="4:6" ht="21.95" customHeight="1" thickBot="1">
      <c r="D211" s="99" t="s">
        <v>114</v>
      </c>
      <c r="E211" s="100" t="s">
        <v>77</v>
      </c>
      <c r="F211" s="95">
        <v>0.1414</v>
      </c>
    </row>
    <row r="212" spans="4:6" ht="21.95" customHeight="1" thickBot="1">
      <c r="D212" s="99" t="s">
        <v>115</v>
      </c>
      <c r="E212" s="100" t="s">
        <v>77</v>
      </c>
      <c r="F212" s="95">
        <v>0.1449</v>
      </c>
    </row>
    <row r="213" spans="4:6" ht="21.95" customHeight="1" thickBot="1">
      <c r="D213" s="99" t="s">
        <v>116</v>
      </c>
      <c r="E213" s="100" t="s">
        <v>77</v>
      </c>
      <c r="F213" s="95">
        <v>0.1467</v>
      </c>
    </row>
    <row r="214" spans="4:6" ht="21.95" customHeight="1" thickBot="1">
      <c r="D214" s="99" t="s">
        <v>117</v>
      </c>
      <c r="E214" s="100" t="s">
        <v>77</v>
      </c>
      <c r="F214" s="95">
        <v>0.14860000000000001</v>
      </c>
    </row>
    <row r="215" spans="4:6" ht="21.95" customHeight="1" thickBot="1">
      <c r="D215" s="99" t="s">
        <v>118</v>
      </c>
      <c r="E215" s="100" t="s">
        <v>77</v>
      </c>
      <c r="F215" s="95">
        <v>0.15459999999999999</v>
      </c>
    </row>
    <row r="216" spans="4:6" ht="21.95" customHeight="1" thickBot="1">
      <c r="D216" s="99" t="s">
        <v>119</v>
      </c>
      <c r="E216" s="100" t="s">
        <v>77</v>
      </c>
      <c r="F216" s="95">
        <v>0.16239999999999999</v>
      </c>
    </row>
    <row r="217" spans="4:6" ht="21.95" customHeight="1" thickBot="1">
      <c r="D217" s="99" t="s">
        <v>120</v>
      </c>
      <c r="E217" s="100" t="s">
        <v>77</v>
      </c>
      <c r="F217" s="95">
        <v>0.1691</v>
      </c>
    </row>
    <row r="218" spans="4:6" ht="21.95" customHeight="1" thickBot="1">
      <c r="D218" s="99" t="s">
        <v>121</v>
      </c>
      <c r="E218" s="100" t="s">
        <v>77</v>
      </c>
      <c r="F218" s="95">
        <v>0.17399999999999999</v>
      </c>
    </row>
    <row r="219" spans="4:6" ht="21.95" customHeight="1" thickBot="1">
      <c r="D219" s="99" t="s">
        <v>122</v>
      </c>
      <c r="E219" s="100" t="s">
        <v>77</v>
      </c>
      <c r="F219" s="95">
        <v>0.17799999999999999</v>
      </c>
    </row>
    <row r="220" spans="4:6" ht="21.95" customHeight="1" thickBot="1">
      <c r="D220" s="99" t="s">
        <v>123</v>
      </c>
      <c r="E220" s="100" t="s">
        <v>77</v>
      </c>
      <c r="F220" s="95">
        <v>0.182</v>
      </c>
    </row>
    <row r="221" spans="4:6" ht="21.95" customHeight="1" thickBot="1">
      <c r="D221" s="99" t="s">
        <v>124</v>
      </c>
      <c r="E221" s="100" t="s">
        <v>77</v>
      </c>
      <c r="F221" s="95">
        <v>0.186</v>
      </c>
    </row>
    <row r="222" spans="4:6" ht="21.95" customHeight="1" thickBot="1">
      <c r="D222" s="98" t="s">
        <v>105</v>
      </c>
      <c r="E222" s="100" t="s">
        <v>78</v>
      </c>
      <c r="F222" s="95">
        <v>0.1047</v>
      </c>
    </row>
    <row r="223" spans="4:6" ht="21.95" customHeight="1" thickBot="1">
      <c r="D223" s="99" t="s">
        <v>106</v>
      </c>
      <c r="E223" s="100" t="s">
        <v>78</v>
      </c>
      <c r="F223" s="95">
        <v>0.12330000000000001</v>
      </c>
    </row>
    <row r="224" spans="4:6" ht="21.95" customHeight="1" thickBot="1">
      <c r="D224" s="99" t="s">
        <v>107</v>
      </c>
      <c r="E224" s="100" t="s">
        <v>78</v>
      </c>
      <c r="F224" s="95">
        <v>0.12640000000000001</v>
      </c>
    </row>
    <row r="225" spans="4:6" ht="21.95" customHeight="1" thickBot="1">
      <c r="D225" s="99" t="s">
        <v>108</v>
      </c>
      <c r="E225" s="100" t="s">
        <v>78</v>
      </c>
      <c r="F225" s="95">
        <v>0.13450000000000001</v>
      </c>
    </row>
    <row r="226" spans="4:6" ht="21.95" customHeight="1" thickBot="1">
      <c r="D226" s="99" t="s">
        <v>109</v>
      </c>
      <c r="E226" s="100" t="s">
        <v>78</v>
      </c>
      <c r="F226" s="95">
        <v>0.1353</v>
      </c>
    </row>
    <row r="227" spans="4:6" ht="21.95" customHeight="1" thickBot="1">
      <c r="D227" s="99" t="s">
        <v>110</v>
      </c>
      <c r="E227" s="100" t="s">
        <v>78</v>
      </c>
      <c r="F227" s="95">
        <v>0.13600000000000001</v>
      </c>
    </row>
    <row r="228" spans="4:6" ht="21.95" customHeight="1" thickBot="1">
      <c r="D228" s="99" t="s">
        <v>111</v>
      </c>
      <c r="E228" s="100" t="s">
        <v>78</v>
      </c>
      <c r="F228" s="95">
        <v>0.1368</v>
      </c>
    </row>
    <row r="229" spans="4:6" ht="21.95" customHeight="1" thickBot="1">
      <c r="D229" s="99" t="s">
        <v>112</v>
      </c>
      <c r="E229" s="100" t="s">
        <v>78</v>
      </c>
      <c r="F229" s="95">
        <v>0.13689999999999999</v>
      </c>
    </row>
    <row r="230" spans="4:6" ht="21.95" customHeight="1" thickBot="1">
      <c r="D230" s="99" t="s">
        <v>113</v>
      </c>
      <c r="E230" s="100" t="s">
        <v>78</v>
      </c>
      <c r="F230" s="95">
        <v>0.14080000000000001</v>
      </c>
    </row>
    <row r="231" spans="4:6" ht="21.95" customHeight="1" thickBot="1">
      <c r="D231" s="99" t="s">
        <v>114</v>
      </c>
      <c r="E231" s="100" t="s">
        <v>78</v>
      </c>
      <c r="F231" s="95">
        <v>0.1409</v>
      </c>
    </row>
    <row r="232" spans="4:6" ht="21.95" customHeight="1" thickBot="1">
      <c r="D232" s="99" t="s">
        <v>115</v>
      </c>
      <c r="E232" s="100" t="s">
        <v>78</v>
      </c>
      <c r="F232" s="95">
        <v>0.14449999999999999</v>
      </c>
    </row>
    <row r="233" spans="4:6" ht="21.95" customHeight="1" thickBot="1">
      <c r="D233" s="99" t="s">
        <v>116</v>
      </c>
      <c r="E233" s="100" t="s">
        <v>78</v>
      </c>
      <c r="F233" s="95">
        <v>0.1464</v>
      </c>
    </row>
    <row r="234" spans="4:6" ht="21.95" customHeight="1" thickBot="1">
      <c r="D234" s="99" t="s">
        <v>117</v>
      </c>
      <c r="E234" s="100" t="s">
        <v>78</v>
      </c>
      <c r="F234" s="95">
        <v>0.1482</v>
      </c>
    </row>
    <row r="235" spans="4:6" ht="21.95" customHeight="1" thickBot="1">
      <c r="D235" s="99" t="s">
        <v>118</v>
      </c>
      <c r="E235" s="100" t="s">
        <v>78</v>
      </c>
      <c r="F235" s="95">
        <v>0.15179999999999999</v>
      </c>
    </row>
    <row r="236" spans="4:6" ht="21.95" customHeight="1" thickBot="1">
      <c r="D236" s="99" t="s">
        <v>119</v>
      </c>
      <c r="E236" s="100" t="s">
        <v>78</v>
      </c>
      <c r="F236" s="95">
        <v>0.16</v>
      </c>
    </row>
    <row r="237" spans="4:6" ht="21.95" customHeight="1" thickBot="1">
      <c r="D237" s="99" t="s">
        <v>120</v>
      </c>
      <c r="E237" s="100" t="s">
        <v>78</v>
      </c>
      <c r="F237" s="95">
        <v>0.16719999999999999</v>
      </c>
    </row>
    <row r="238" spans="4:6" ht="21.95" customHeight="1" thickBot="1">
      <c r="D238" s="99" t="s">
        <v>121</v>
      </c>
      <c r="E238" s="100" t="s">
        <v>78</v>
      </c>
      <c r="F238" s="95">
        <v>0.17130000000000001</v>
      </c>
    </row>
    <row r="239" spans="4:6" ht="21.95" customHeight="1" thickBot="1">
      <c r="D239" s="99" t="s">
        <v>122</v>
      </c>
      <c r="E239" s="100" t="s">
        <v>78</v>
      </c>
      <c r="F239" s="95">
        <v>0.17549999999999999</v>
      </c>
    </row>
    <row r="240" spans="4:6" ht="21.95" customHeight="1" thickBot="1">
      <c r="D240" s="99" t="s">
        <v>123</v>
      </c>
      <c r="E240" s="100" t="s">
        <v>78</v>
      </c>
      <c r="F240" s="95">
        <v>0.1797</v>
      </c>
    </row>
    <row r="241" spans="4:6" ht="21.95" customHeight="1" thickBot="1">
      <c r="D241" s="99" t="s">
        <v>124</v>
      </c>
      <c r="E241" s="100" t="s">
        <v>78</v>
      </c>
      <c r="F241" s="95">
        <v>0.184</v>
      </c>
    </row>
    <row r="242" spans="4:6" ht="21.95" customHeight="1" thickBot="1">
      <c r="D242" s="98" t="s">
        <v>105</v>
      </c>
      <c r="E242" s="100" t="s">
        <v>79</v>
      </c>
      <c r="F242" s="95">
        <v>9.9699999999999997E-2</v>
      </c>
    </row>
    <row r="243" spans="4:6" ht="21.95" customHeight="1" thickBot="1">
      <c r="D243" s="99" t="s">
        <v>106</v>
      </c>
      <c r="E243" s="100" t="s">
        <v>79</v>
      </c>
      <c r="F243" s="95">
        <v>0.1072</v>
      </c>
    </row>
    <row r="244" spans="4:6" ht="21.95" customHeight="1" thickBot="1">
      <c r="D244" s="99" t="s">
        <v>107</v>
      </c>
      <c r="E244" s="100" t="s">
        <v>79</v>
      </c>
      <c r="F244" s="95">
        <v>0.1111</v>
      </c>
    </row>
    <row r="245" spans="4:6" ht="21.95" customHeight="1" thickBot="1">
      <c r="D245" s="99" t="s">
        <v>108</v>
      </c>
      <c r="E245" s="100" t="s">
        <v>79</v>
      </c>
      <c r="F245" s="95">
        <v>0.12</v>
      </c>
    </row>
    <row r="246" spans="4:6" ht="21.95" customHeight="1" thickBot="1">
      <c r="D246" s="99" t="s">
        <v>109</v>
      </c>
      <c r="E246" s="100" t="s">
        <v>79</v>
      </c>
      <c r="F246" s="95">
        <v>0.124</v>
      </c>
    </row>
    <row r="247" spans="4:6" ht="21.95" customHeight="1" thickBot="1">
      <c r="D247" s="99" t="s">
        <v>110</v>
      </c>
      <c r="E247" s="100" t="s">
        <v>79</v>
      </c>
      <c r="F247" s="95">
        <v>0.126</v>
      </c>
    </row>
    <row r="248" spans="4:6" ht="21.95" customHeight="1" thickBot="1">
      <c r="D248" s="99" t="s">
        <v>111</v>
      </c>
      <c r="E248" s="100" t="s">
        <v>79</v>
      </c>
      <c r="F248" s="95">
        <v>0.1268</v>
      </c>
    </row>
    <row r="249" spans="4:6" ht="21.95" customHeight="1" thickBot="1">
      <c r="D249" s="99" t="s">
        <v>112</v>
      </c>
      <c r="E249" s="100" t="s">
        <v>79</v>
      </c>
      <c r="F249" s="95">
        <v>0.12690000000000001</v>
      </c>
    </row>
    <row r="250" spans="4:6" ht="21.95" customHeight="1" thickBot="1">
      <c r="D250" s="99" t="s">
        <v>113</v>
      </c>
      <c r="E250" s="100" t="s">
        <v>79</v>
      </c>
      <c r="F250" s="95">
        <v>0.1308</v>
      </c>
    </row>
    <row r="251" spans="4:6" ht="21.95" customHeight="1" thickBot="1">
      <c r="D251" s="99" t="s">
        <v>114</v>
      </c>
      <c r="E251" s="100" t="s">
        <v>79</v>
      </c>
      <c r="F251" s="95">
        <v>0.13089999999999999</v>
      </c>
    </row>
    <row r="252" spans="4:6" ht="21.95" customHeight="1" thickBot="1">
      <c r="D252" s="99" t="s">
        <v>115</v>
      </c>
      <c r="E252" s="100" t="s">
        <v>79</v>
      </c>
      <c r="F252" s="95">
        <v>0.1361</v>
      </c>
    </row>
    <row r="253" spans="4:6" ht="21.95" customHeight="1" thickBot="1">
      <c r="D253" s="99" t="s">
        <v>116</v>
      </c>
      <c r="E253" s="100" t="s">
        <v>79</v>
      </c>
      <c r="F253" s="95">
        <v>0.1389</v>
      </c>
    </row>
    <row r="254" spans="4:6" ht="21.95" customHeight="1" thickBot="1">
      <c r="D254" s="99" t="s">
        <v>117</v>
      </c>
      <c r="E254" s="100" t="s">
        <v>79</v>
      </c>
      <c r="F254" s="95">
        <v>0.14169999999999999</v>
      </c>
    </row>
    <row r="255" spans="4:6" ht="21.95" customHeight="1" thickBot="1">
      <c r="D255" s="99" t="s">
        <v>118</v>
      </c>
      <c r="E255" s="100" t="s">
        <v>79</v>
      </c>
      <c r="F255" s="95">
        <v>0.14610000000000001</v>
      </c>
    </row>
    <row r="256" spans="4:6" ht="21.95" customHeight="1" thickBot="1">
      <c r="D256" s="99" t="s">
        <v>119</v>
      </c>
      <c r="E256" s="100" t="s">
        <v>79</v>
      </c>
      <c r="F256" s="95">
        <v>0.1552</v>
      </c>
    </row>
    <row r="257" spans="4:6" ht="21.95" customHeight="1" thickBot="1">
      <c r="D257" s="99" t="s">
        <v>120</v>
      </c>
      <c r="E257" s="100" t="s">
        <v>79</v>
      </c>
      <c r="F257" s="95">
        <v>0.16320000000000001</v>
      </c>
    </row>
    <row r="258" spans="4:6" ht="21.95" customHeight="1" thickBot="1">
      <c r="D258" s="99" t="s">
        <v>121</v>
      </c>
      <c r="E258" s="100" t="s">
        <v>79</v>
      </c>
      <c r="F258" s="95">
        <v>0.16819999999999999</v>
      </c>
    </row>
    <row r="259" spans="4:6" ht="21.95" customHeight="1" thickBot="1">
      <c r="D259" s="99" t="s">
        <v>122</v>
      </c>
      <c r="E259" s="100" t="s">
        <v>79</v>
      </c>
      <c r="F259" s="95">
        <v>0.17219999999999999</v>
      </c>
    </row>
    <row r="260" spans="4:6" ht="21.95" customHeight="1" thickBot="1">
      <c r="D260" s="99" t="s">
        <v>123</v>
      </c>
      <c r="E260" s="100" t="s">
        <v>79</v>
      </c>
      <c r="F260" s="95">
        <v>0.1744</v>
      </c>
    </row>
    <row r="261" spans="4:6" ht="21.95" customHeight="1" thickBot="1">
      <c r="D261" s="99" t="s">
        <v>124</v>
      </c>
      <c r="E261" s="100" t="s">
        <v>79</v>
      </c>
      <c r="F261" s="95">
        <v>0.17849999999999999</v>
      </c>
    </row>
    <row r="262" spans="4:6" ht="21.95" customHeight="1" thickBot="1">
      <c r="D262" s="98" t="s">
        <v>105</v>
      </c>
      <c r="E262" s="100" t="s">
        <v>80</v>
      </c>
      <c r="F262" s="95">
        <v>8.7999999999999995E-2</v>
      </c>
    </row>
    <row r="263" spans="4:6" ht="21.95" customHeight="1" thickBot="1">
      <c r="D263" s="99" t="s">
        <v>106</v>
      </c>
      <c r="E263" s="100" t="s">
        <v>80</v>
      </c>
      <c r="F263" s="95">
        <v>9.0999999999999998E-2</v>
      </c>
    </row>
    <row r="264" spans="4:6" ht="21.95" customHeight="1" thickBot="1">
      <c r="D264" s="99" t="s">
        <v>107</v>
      </c>
      <c r="E264" s="100" t="s">
        <v>80</v>
      </c>
      <c r="F264" s="95">
        <v>9.5799999999999996E-2</v>
      </c>
    </row>
    <row r="265" spans="4:6" ht="21.95" customHeight="1" thickBot="1">
      <c r="D265" s="99" t="s">
        <v>108</v>
      </c>
      <c r="E265" s="100" t="s">
        <v>80</v>
      </c>
      <c r="F265" s="95">
        <v>0.1056</v>
      </c>
    </row>
    <row r="266" spans="4:6" ht="21.95" customHeight="1" thickBot="1">
      <c r="D266" s="99" t="s">
        <v>109</v>
      </c>
      <c r="E266" s="100" t="s">
        <v>80</v>
      </c>
      <c r="F266" s="95">
        <v>0.1104</v>
      </c>
    </row>
    <row r="267" spans="4:6" ht="21.95" customHeight="1" thickBot="1">
      <c r="D267" s="99" t="s">
        <v>110</v>
      </c>
      <c r="E267" s="100" t="s">
        <v>80</v>
      </c>
      <c r="F267" s="95">
        <v>0.11600000000000001</v>
      </c>
    </row>
    <row r="268" spans="4:6" ht="21.95" customHeight="1" thickBot="1">
      <c r="D268" s="99" t="s">
        <v>111</v>
      </c>
      <c r="E268" s="100" t="s">
        <v>80</v>
      </c>
      <c r="F268" s="95">
        <v>0.1168</v>
      </c>
    </row>
    <row r="269" spans="4:6" ht="21.95" customHeight="1" thickBot="1">
      <c r="D269" s="99" t="s">
        <v>112</v>
      </c>
      <c r="E269" s="100" t="s">
        <v>80</v>
      </c>
      <c r="F269" s="95">
        <v>0.1169</v>
      </c>
    </row>
    <row r="270" spans="4:6" ht="21.95" customHeight="1" thickBot="1">
      <c r="D270" s="99" t="s">
        <v>113</v>
      </c>
      <c r="E270" s="100" t="s">
        <v>80</v>
      </c>
      <c r="F270" s="95">
        <v>0.1208</v>
      </c>
    </row>
    <row r="271" spans="4:6" ht="21.95" customHeight="1" thickBot="1">
      <c r="D271" s="99" t="s">
        <v>114</v>
      </c>
      <c r="E271" s="100" t="s">
        <v>80</v>
      </c>
      <c r="F271" s="95">
        <v>0.12089999999999999</v>
      </c>
    </row>
    <row r="272" spans="4:6" ht="21.95" customHeight="1" thickBot="1">
      <c r="D272" s="99" t="s">
        <v>115</v>
      </c>
      <c r="E272" s="100" t="s">
        <v>80</v>
      </c>
      <c r="F272" s="95">
        <v>0.1278</v>
      </c>
    </row>
    <row r="273" spans="4:6" ht="21.95" customHeight="1" thickBot="1">
      <c r="D273" s="99" t="s">
        <v>116</v>
      </c>
      <c r="E273" s="100" t="s">
        <v>80</v>
      </c>
      <c r="F273" s="95">
        <v>0.13150000000000001</v>
      </c>
    </row>
    <row r="274" spans="4:6" ht="21.95" customHeight="1" thickBot="1">
      <c r="D274" s="99" t="s">
        <v>117</v>
      </c>
      <c r="E274" s="100" t="s">
        <v>80</v>
      </c>
      <c r="F274" s="95">
        <v>0.1351</v>
      </c>
    </row>
    <row r="275" spans="4:6" ht="21.95" customHeight="1" thickBot="1">
      <c r="D275" s="99" t="s">
        <v>118</v>
      </c>
      <c r="E275" s="100" t="s">
        <v>80</v>
      </c>
      <c r="F275" s="95">
        <v>0.1404</v>
      </c>
    </row>
    <row r="276" spans="4:6" ht="21.95" customHeight="1" thickBot="1">
      <c r="D276" s="99" t="s">
        <v>119</v>
      </c>
      <c r="E276" s="100" t="s">
        <v>80</v>
      </c>
      <c r="F276" s="95">
        <v>0.15029999999999999</v>
      </c>
    </row>
    <row r="277" spans="4:6" ht="21.95" customHeight="1" thickBot="1">
      <c r="D277" s="99" t="s">
        <v>120</v>
      </c>
      <c r="E277" s="100" t="s">
        <v>80</v>
      </c>
      <c r="F277" s="95">
        <v>0.1593</v>
      </c>
    </row>
    <row r="278" spans="4:6" ht="21.95" customHeight="1" thickBot="1">
      <c r="D278" s="99" t="s">
        <v>121</v>
      </c>
      <c r="E278" s="100" t="s">
        <v>80</v>
      </c>
      <c r="F278" s="95">
        <v>0.1638</v>
      </c>
    </row>
    <row r="279" spans="4:6" ht="21.95" customHeight="1" thickBot="1">
      <c r="D279" s="99" t="s">
        <v>122</v>
      </c>
      <c r="E279" s="100" t="s">
        <v>80</v>
      </c>
      <c r="F279" s="95">
        <v>0.16819999999999999</v>
      </c>
    </row>
    <row r="280" spans="4:6" ht="21.95" customHeight="1" thickBot="1">
      <c r="D280" s="99" t="s">
        <v>123</v>
      </c>
      <c r="E280" s="100" t="s">
        <v>80</v>
      </c>
      <c r="F280" s="95">
        <v>0.1721</v>
      </c>
    </row>
    <row r="281" spans="4:6" ht="21.95" customHeight="1" thickBot="1">
      <c r="D281" s="99" t="s">
        <v>124</v>
      </c>
      <c r="E281" s="100" t="s">
        <v>80</v>
      </c>
      <c r="F281" s="95">
        <v>0.17599999999999999</v>
      </c>
    </row>
    <row r="282" spans="4:6" ht="21.95" customHeight="1" thickBot="1">
      <c r="D282" s="98" t="s">
        <v>105</v>
      </c>
      <c r="E282" s="100" t="s">
        <v>81</v>
      </c>
      <c r="F282" s="95">
        <v>0.08</v>
      </c>
    </row>
    <row r="283" spans="4:6" ht="21.95" customHeight="1" thickBot="1">
      <c r="D283" s="99" t="s">
        <v>106</v>
      </c>
      <c r="E283" s="100" t="s">
        <v>81</v>
      </c>
      <c r="F283" s="95">
        <v>8.48E-2</v>
      </c>
    </row>
    <row r="284" spans="4:6" ht="21.95" customHeight="1" thickBot="1">
      <c r="D284" s="99" t="s">
        <v>107</v>
      </c>
      <c r="E284" s="100" t="s">
        <v>81</v>
      </c>
      <c r="F284" s="95">
        <v>9.0300000000000005E-2</v>
      </c>
    </row>
    <row r="285" spans="4:6" ht="21.95" customHeight="1" thickBot="1">
      <c r="D285" s="99" t="s">
        <v>108</v>
      </c>
      <c r="E285" s="100" t="s">
        <v>81</v>
      </c>
      <c r="F285" s="95">
        <v>9.3399999999999997E-2</v>
      </c>
    </row>
    <row r="286" spans="4:6" ht="21.95" customHeight="1" thickBot="1">
      <c r="D286" s="99" t="s">
        <v>109</v>
      </c>
      <c r="E286" s="100" t="s">
        <v>81</v>
      </c>
      <c r="F286" s="95">
        <v>0.10059999999999999</v>
      </c>
    </row>
    <row r="287" spans="4:6" ht="21.95" customHeight="1" thickBot="1">
      <c r="D287" s="99" t="s">
        <v>110</v>
      </c>
      <c r="E287" s="100" t="s">
        <v>81</v>
      </c>
      <c r="F287" s="95">
        <v>0.106</v>
      </c>
    </row>
    <row r="288" spans="4:6" ht="21.95" customHeight="1" thickBot="1">
      <c r="D288" s="99" t="s">
        <v>111</v>
      </c>
      <c r="E288" s="100" t="s">
        <v>81</v>
      </c>
      <c r="F288" s="95">
        <v>0.10680000000000001</v>
      </c>
    </row>
    <row r="289" spans="4:6" ht="21.95" customHeight="1" thickBot="1">
      <c r="D289" s="99" t="s">
        <v>112</v>
      </c>
      <c r="E289" s="100" t="s">
        <v>81</v>
      </c>
      <c r="F289" s="95">
        <v>0.1069</v>
      </c>
    </row>
    <row r="290" spans="4:6" ht="21.95" customHeight="1" thickBot="1">
      <c r="D290" s="99" t="s">
        <v>113</v>
      </c>
      <c r="E290" s="100" t="s">
        <v>81</v>
      </c>
      <c r="F290" s="95">
        <v>0.1108</v>
      </c>
    </row>
    <row r="291" spans="4:6" ht="21.95" customHeight="1" thickBot="1">
      <c r="D291" s="99" t="s">
        <v>114</v>
      </c>
      <c r="E291" s="100" t="s">
        <v>81</v>
      </c>
      <c r="F291" s="95">
        <v>0.1109</v>
      </c>
    </row>
    <row r="292" spans="4:6" ht="21.95" customHeight="1" thickBot="1">
      <c r="D292" s="99" t="s">
        <v>115</v>
      </c>
      <c r="E292" s="100" t="s">
        <v>81</v>
      </c>
      <c r="F292" s="95">
        <v>0.1187</v>
      </c>
    </row>
    <row r="293" spans="4:6" ht="21.95" customHeight="1" thickBot="1">
      <c r="D293" s="99" t="s">
        <v>116</v>
      </c>
      <c r="E293" s="100" t="s">
        <v>81</v>
      </c>
      <c r="F293" s="95">
        <v>0.12280000000000001</v>
      </c>
    </row>
    <row r="294" spans="4:6" ht="21.95" customHeight="1" thickBot="1">
      <c r="D294" s="99" t="s">
        <v>117</v>
      </c>
      <c r="E294" s="100" t="s">
        <v>81</v>
      </c>
      <c r="F294" s="95">
        <v>0.1268</v>
      </c>
    </row>
    <row r="295" spans="4:6" ht="21.95" customHeight="1" thickBot="1">
      <c r="D295" s="99" t="s">
        <v>118</v>
      </c>
      <c r="E295" s="100" t="s">
        <v>81</v>
      </c>
      <c r="F295" s="95">
        <v>0.1326</v>
      </c>
    </row>
    <row r="296" spans="4:6" ht="21.95" customHeight="1" thickBot="1">
      <c r="D296" s="99" t="s">
        <v>119</v>
      </c>
      <c r="E296" s="100" t="s">
        <v>81</v>
      </c>
      <c r="F296" s="95">
        <v>0.1429</v>
      </c>
    </row>
    <row r="297" spans="4:6" ht="21.95" customHeight="1" thickBot="1">
      <c r="D297" s="99" t="s">
        <v>120</v>
      </c>
      <c r="E297" s="100" t="s">
        <v>81</v>
      </c>
      <c r="F297" s="95">
        <v>0.15229999999999999</v>
      </c>
    </row>
    <row r="298" spans="4:6" ht="21.95" customHeight="1" thickBot="1">
      <c r="D298" s="99" t="s">
        <v>121</v>
      </c>
      <c r="E298" s="100" t="s">
        <v>81</v>
      </c>
      <c r="F298" s="95">
        <v>0.16170000000000001</v>
      </c>
    </row>
    <row r="299" spans="4:6" ht="21.95" customHeight="1" thickBot="1">
      <c r="D299" s="99" t="s">
        <v>122</v>
      </c>
      <c r="E299" s="100" t="s">
        <v>81</v>
      </c>
      <c r="F299" s="95">
        <v>0.1651</v>
      </c>
    </row>
    <row r="300" spans="4:6" ht="21.95" customHeight="1" thickBot="1">
      <c r="D300" s="99" t="s">
        <v>123</v>
      </c>
      <c r="E300" s="100" t="s">
        <v>81</v>
      </c>
      <c r="F300" s="95">
        <v>0.1694</v>
      </c>
    </row>
    <row r="301" spans="4:6" ht="21.95" customHeight="1" thickBot="1">
      <c r="D301" s="99" t="s">
        <v>124</v>
      </c>
      <c r="E301" s="100" t="s">
        <v>81</v>
      </c>
      <c r="F301" s="95">
        <v>0.17180000000000001</v>
      </c>
    </row>
    <row r="302" spans="4:6" ht="21.95" customHeight="1"/>
    <row r="303" spans="4:6" ht="21.95" customHeight="1"/>
    <row r="304" spans="4:6" ht="21.95" customHeight="1"/>
    <row r="305" ht="21.95" customHeight="1"/>
    <row r="306" ht="21.95" customHeight="1"/>
    <row r="307" ht="21.95" customHeight="1"/>
    <row r="308" ht="21.95" customHeight="1"/>
    <row r="309" ht="21.95" customHeight="1"/>
    <row r="310" ht="21.95" customHeight="1"/>
    <row r="311" ht="21.95" customHeight="1"/>
    <row r="312" ht="21.95" customHeight="1"/>
    <row r="313" ht="21.95" customHeight="1"/>
    <row r="314" ht="21.95" customHeight="1"/>
    <row r="315" ht="21.95" customHeight="1"/>
    <row r="316" ht="21.95" customHeight="1"/>
    <row r="317" ht="21.95" customHeight="1"/>
    <row r="318" ht="21.95" customHeight="1"/>
    <row r="319" ht="21.95" customHeight="1"/>
    <row r="320" ht="21.95" customHeight="1"/>
    <row r="321" ht="21.95" customHeight="1"/>
    <row r="322" ht="21.95" customHeight="1"/>
    <row r="323" ht="21.95" customHeight="1"/>
    <row r="324" ht="21.95" customHeight="1"/>
    <row r="325" ht="21.95" customHeight="1"/>
    <row r="326" ht="21.95" customHeight="1"/>
    <row r="327" ht="21.95" customHeight="1"/>
    <row r="328" ht="21.95" customHeight="1"/>
    <row r="329" ht="21.95" customHeight="1"/>
    <row r="330" ht="21.95" customHeight="1"/>
    <row r="331" ht="21.95" customHeight="1"/>
    <row r="332" ht="21.95" customHeight="1"/>
    <row r="333" ht="21.95" customHeight="1"/>
    <row r="334" ht="21.95" customHeight="1"/>
    <row r="335" ht="21.95" customHeight="1"/>
    <row r="336" ht="21.95" customHeight="1"/>
    <row r="337" ht="21.95" customHeight="1"/>
    <row r="338" ht="21.95" customHeight="1"/>
    <row r="339" ht="21.95" customHeight="1"/>
    <row r="340" ht="21.95" customHeight="1"/>
    <row r="341" ht="21.95" customHeight="1"/>
    <row r="342" ht="21.95" customHeight="1"/>
    <row r="343" ht="21.95" customHeight="1"/>
    <row r="344" ht="21.95" customHeight="1"/>
    <row r="345" ht="21.95" customHeight="1"/>
    <row r="346" ht="21.95" customHeight="1"/>
    <row r="347" ht="21.95" customHeight="1"/>
    <row r="348" ht="21.95" customHeight="1"/>
    <row r="349" ht="21.95" customHeight="1"/>
    <row r="350" ht="21.95" customHeight="1"/>
    <row r="351" ht="21.95" customHeight="1"/>
    <row r="352" ht="21.95" customHeight="1"/>
    <row r="353" ht="21.95" customHeight="1"/>
    <row r="354" ht="21.95" customHeight="1"/>
    <row r="355" ht="21.95" customHeight="1"/>
    <row r="356" ht="21.95" customHeight="1"/>
    <row r="357" ht="21.95" customHeight="1"/>
    <row r="358" ht="21.95" customHeight="1"/>
    <row r="359" ht="21.95" customHeight="1"/>
    <row r="360" ht="21.95" customHeight="1"/>
    <row r="361" ht="21.95" customHeight="1"/>
    <row r="362" ht="21.95" customHeight="1"/>
    <row r="363" ht="21.95" customHeight="1"/>
    <row r="364" ht="21.95" customHeight="1"/>
    <row r="365" ht="21.95" customHeight="1"/>
    <row r="366" ht="21.95" customHeight="1"/>
    <row r="367" ht="21.95" customHeight="1"/>
    <row r="368" ht="21.95" customHeight="1"/>
    <row r="369" ht="21.95" customHeight="1"/>
    <row r="370" ht="21.95" customHeight="1"/>
    <row r="371" ht="21.95" customHeight="1"/>
    <row r="372" ht="21.95" customHeight="1"/>
    <row r="373" ht="21.95" customHeight="1"/>
    <row r="374" ht="21.95" customHeight="1"/>
    <row r="375" ht="21.95" customHeight="1"/>
    <row r="376" ht="21.95" customHeight="1"/>
    <row r="377" ht="21.95" customHeight="1"/>
    <row r="378" ht="21.95" customHeight="1"/>
    <row r="379" ht="21.95" customHeight="1"/>
    <row r="380" ht="21.95" customHeight="1"/>
    <row r="381" ht="21.95" customHeight="1"/>
    <row r="382" ht="21.95" customHeight="1"/>
    <row r="383" ht="21.95" customHeight="1"/>
    <row r="384" ht="21.95" customHeight="1"/>
    <row r="385" ht="21.95" customHeight="1"/>
    <row r="386" ht="21.95" customHeight="1"/>
    <row r="387" ht="21.95" customHeight="1"/>
    <row r="388" ht="21.95" customHeight="1"/>
    <row r="389" ht="21.95" customHeight="1"/>
    <row r="390" ht="21.95" customHeight="1"/>
    <row r="391" ht="21.95" customHeight="1"/>
    <row r="392" ht="21.95" customHeight="1"/>
    <row r="393" ht="21.95" customHeight="1"/>
    <row r="394" ht="21.95" customHeight="1"/>
    <row r="395" ht="21.95" customHeight="1"/>
    <row r="396" ht="21.95" customHeight="1"/>
    <row r="397" ht="21.95" customHeight="1"/>
    <row r="398" ht="21.95" customHeight="1"/>
    <row r="399" ht="21.95" customHeight="1"/>
    <row r="400" ht="21.95" customHeight="1"/>
    <row r="401" ht="21.95" customHeight="1"/>
    <row r="402" ht="21.95" customHeight="1"/>
    <row r="403" ht="21.95" customHeight="1"/>
    <row r="404" ht="21.95" customHeight="1"/>
    <row r="405" ht="21.95" customHeight="1"/>
    <row r="406" ht="21.95" customHeight="1"/>
    <row r="407" ht="21.95" customHeight="1"/>
    <row r="408" ht="21.95" customHeight="1"/>
    <row r="409" ht="21.95" customHeight="1"/>
    <row r="410" ht="21.95" customHeight="1"/>
    <row r="411" ht="21.95" customHeight="1"/>
    <row r="412" ht="21.95" customHeight="1"/>
    <row r="413" ht="21.95" customHeight="1"/>
    <row r="414" ht="21.95" customHeight="1"/>
    <row r="415" ht="21.95" customHeight="1"/>
    <row r="416" ht="21.95" customHeight="1"/>
    <row r="417" ht="21.95" customHeight="1"/>
    <row r="418" ht="21.95" customHeight="1"/>
    <row r="419" ht="21.95" customHeight="1"/>
    <row r="420" ht="21.95" customHeight="1"/>
    <row r="421" ht="21.95" customHeight="1"/>
    <row r="422" ht="21.95" customHeight="1"/>
    <row r="423" ht="21.95" customHeight="1"/>
    <row r="424" ht="21.95" customHeight="1"/>
    <row r="425" ht="21.95" customHeight="1"/>
    <row r="426" ht="21.95" customHeight="1"/>
    <row r="427" ht="21.95" customHeight="1"/>
    <row r="428" ht="21.95" customHeight="1"/>
    <row r="429" ht="21.95" customHeight="1"/>
    <row r="430" ht="21.95" customHeight="1"/>
    <row r="431" ht="21.95" customHeight="1"/>
    <row r="432" ht="21.95" customHeight="1"/>
    <row r="433" ht="21.95" customHeight="1"/>
    <row r="434" ht="21.95" customHeight="1"/>
    <row r="435" ht="21.95" customHeight="1"/>
    <row r="436" ht="21.95" customHeight="1"/>
    <row r="437" ht="21.95" customHeight="1"/>
    <row r="438" ht="21.95" customHeight="1"/>
    <row r="439" ht="21.95" customHeight="1"/>
    <row r="440" ht="21.95" customHeight="1"/>
    <row r="441" ht="21.95" customHeight="1"/>
    <row r="442" ht="21.95" customHeight="1"/>
    <row r="443" ht="21.95" customHeight="1"/>
    <row r="444" ht="21.95" customHeight="1"/>
    <row r="445" ht="21.95" customHeight="1"/>
    <row r="446" ht="21.95" customHeight="1"/>
    <row r="447" ht="21.95" customHeight="1"/>
    <row r="448" ht="21.95" customHeight="1"/>
    <row r="449" ht="21.95" customHeight="1"/>
    <row r="450" ht="21.95" customHeight="1"/>
    <row r="451" ht="21.95" customHeight="1"/>
    <row r="452" ht="21.95" customHeight="1"/>
    <row r="453" ht="21.95" customHeight="1"/>
    <row r="454" ht="21.95" customHeight="1"/>
    <row r="455" ht="21.95" customHeight="1"/>
    <row r="456" ht="21.95" customHeight="1"/>
    <row r="457" ht="21.95" customHeight="1"/>
    <row r="458" ht="21.95" customHeight="1"/>
    <row r="459" ht="21.95" customHeight="1"/>
    <row r="460" ht="21.95" customHeight="1"/>
    <row r="461" ht="21.95" customHeight="1"/>
    <row r="462" ht="21.95" customHeight="1"/>
    <row r="463" ht="21.95" customHeight="1"/>
    <row r="464" ht="21.95" customHeight="1"/>
    <row r="465" ht="21.95" customHeight="1"/>
    <row r="466" ht="21.95" customHeight="1"/>
    <row r="467" ht="21.95" customHeight="1"/>
    <row r="468" ht="21.95" customHeight="1"/>
    <row r="469" ht="21.95" customHeight="1"/>
    <row r="470" ht="21.95" customHeight="1"/>
    <row r="471" ht="21.95" customHeight="1"/>
    <row r="472" ht="21.95" customHeight="1"/>
    <row r="473" ht="21.95" customHeight="1"/>
    <row r="474" ht="21.95" customHeight="1"/>
    <row r="475" ht="21.95" customHeight="1"/>
    <row r="476" ht="21.95" customHeight="1"/>
    <row r="477" ht="21.95" customHeight="1"/>
    <row r="478" ht="21.95" customHeight="1"/>
    <row r="479" ht="21.95" customHeight="1"/>
    <row r="480" ht="21.95" customHeight="1"/>
    <row r="481" ht="21.95" customHeight="1"/>
    <row r="482" ht="21.95" customHeight="1"/>
    <row r="483" ht="21.95" customHeight="1"/>
    <row r="484" ht="21.95" customHeight="1"/>
    <row r="485" ht="21.95" customHeight="1"/>
    <row r="486" ht="21.95" customHeight="1"/>
    <row r="487" ht="21.95" customHeight="1"/>
    <row r="488" ht="21.95" customHeight="1"/>
    <row r="489" ht="21.95" customHeight="1"/>
    <row r="490" ht="21.95" customHeight="1"/>
    <row r="491" ht="21.95" customHeight="1"/>
    <row r="492" ht="21.95" customHeight="1"/>
    <row r="493" ht="21.95" customHeight="1"/>
    <row r="494" ht="21.95" customHeight="1"/>
    <row r="495" ht="21.95" customHeight="1"/>
    <row r="496" ht="21.95" customHeight="1"/>
    <row r="497" ht="21.95" customHeight="1"/>
    <row r="498" ht="21.95" customHeight="1"/>
    <row r="499" ht="21.95" customHeight="1"/>
    <row r="500" ht="21.95" customHeight="1"/>
    <row r="501" ht="21.95" customHeight="1"/>
    <row r="502" ht="21.95" customHeight="1"/>
    <row r="503" ht="21.95" customHeight="1"/>
    <row r="504" ht="21.95" customHeight="1"/>
    <row r="505" ht="21.95" customHeight="1"/>
    <row r="506" ht="21.95" customHeight="1"/>
    <row r="507" ht="21.95" customHeight="1"/>
    <row r="508" ht="21.95" customHeight="1"/>
    <row r="509" ht="21.95" customHeight="1"/>
    <row r="510" ht="21.95" customHeight="1"/>
    <row r="511" ht="21.95" customHeight="1"/>
    <row r="512" ht="21.95" customHeight="1"/>
    <row r="513" ht="21.95" customHeight="1"/>
    <row r="514" ht="21.95" customHeight="1"/>
    <row r="515" ht="21.95" customHeight="1"/>
    <row r="516" ht="21.95" customHeight="1"/>
    <row r="517" ht="21.95" customHeight="1"/>
    <row r="518" ht="21.95" customHeight="1"/>
    <row r="519" ht="21.95" customHeight="1"/>
    <row r="520" ht="21.95" customHeight="1"/>
    <row r="521" ht="21.95" customHeight="1"/>
    <row r="522" ht="21.95" customHeight="1"/>
    <row r="523" ht="21.95" customHeight="1"/>
    <row r="524" ht="21.95" customHeight="1"/>
    <row r="525" ht="21.95" customHeight="1"/>
    <row r="526" ht="21.95" customHeight="1"/>
    <row r="527" ht="21.95" customHeight="1"/>
    <row r="528" ht="21.95" customHeight="1"/>
    <row r="529" ht="21.95" customHeight="1"/>
    <row r="530" ht="21.95" customHeight="1"/>
    <row r="531" ht="21.95" customHeight="1"/>
    <row r="532" ht="21.95" customHeight="1"/>
    <row r="533" ht="21.95" customHeight="1"/>
    <row r="534" ht="21.95" customHeight="1"/>
    <row r="535" ht="21.95" customHeight="1"/>
    <row r="536" ht="21.95" customHeight="1"/>
    <row r="537" ht="21.95" customHeight="1"/>
    <row r="538" ht="21.95" customHeight="1"/>
    <row r="539" ht="21.95" customHeight="1"/>
    <row r="540" ht="21.95" customHeight="1"/>
    <row r="541" ht="21.95" customHeight="1"/>
    <row r="542" ht="21.95" customHeight="1"/>
    <row r="543" ht="21.95" customHeight="1"/>
    <row r="544" ht="21.95" customHeight="1"/>
    <row r="545" ht="21.95" customHeight="1"/>
    <row r="546" ht="21.95" customHeight="1"/>
    <row r="547" ht="21.95" customHeight="1"/>
    <row r="548" ht="21.95" customHeight="1"/>
    <row r="549" ht="21.95" customHeight="1"/>
    <row r="550" ht="21.95" customHeight="1"/>
    <row r="551" ht="21.95" customHeight="1"/>
    <row r="552" ht="21.95" customHeight="1"/>
    <row r="553" ht="21.95" customHeight="1"/>
    <row r="554" ht="21.95" customHeight="1"/>
    <row r="555" ht="21.95" customHeight="1"/>
    <row r="556" ht="21.95" customHeight="1"/>
    <row r="557" ht="21.95" customHeight="1"/>
    <row r="558" ht="21.95" customHeight="1"/>
    <row r="559" ht="21.95" customHeight="1"/>
    <row r="560" ht="21.95" customHeight="1"/>
    <row r="561" ht="21.95" customHeight="1"/>
    <row r="562" ht="21.95" customHeight="1"/>
    <row r="563" ht="21.95" customHeight="1"/>
    <row r="564" ht="21.95" customHeight="1"/>
    <row r="565" ht="21.95" customHeight="1"/>
    <row r="566" ht="21.95" customHeight="1"/>
    <row r="567" ht="21.95" customHeight="1"/>
    <row r="568" ht="21.95" customHeight="1"/>
    <row r="569" ht="21.95" customHeight="1"/>
    <row r="570" ht="21.95" customHeight="1"/>
    <row r="571" ht="21.95" customHeight="1"/>
    <row r="572" ht="21.95" customHeight="1"/>
    <row r="573" ht="21.95" customHeight="1"/>
    <row r="574" ht="21.95" customHeight="1"/>
    <row r="575" ht="21.95" customHeight="1"/>
    <row r="576" ht="21.95" customHeight="1"/>
    <row r="577" ht="21.95" customHeight="1"/>
    <row r="578" ht="21.95" customHeight="1"/>
    <row r="579" ht="21.95" customHeight="1"/>
    <row r="580" ht="21.95" customHeight="1"/>
    <row r="581" ht="21.95" customHeight="1"/>
    <row r="582" ht="21.95" customHeight="1"/>
    <row r="583" ht="21.95" customHeight="1"/>
    <row r="584" ht="21.95" customHeight="1"/>
    <row r="585" ht="21.95" customHeight="1"/>
    <row r="586" ht="21.95" customHeight="1"/>
    <row r="587" ht="21.95" customHeight="1"/>
    <row r="588" ht="21.95" customHeight="1"/>
    <row r="589" ht="21.95" customHeight="1"/>
    <row r="590" ht="21.95" customHeight="1"/>
    <row r="591" ht="21.95" customHeight="1"/>
    <row r="592" ht="21.95" customHeight="1"/>
    <row r="593" ht="21.95" customHeight="1"/>
    <row r="594" ht="21.95" customHeight="1"/>
    <row r="595" ht="21.95" customHeight="1"/>
    <row r="596" ht="21.95" customHeight="1"/>
    <row r="597" ht="21.95" customHeight="1"/>
    <row r="598" ht="21.95" customHeight="1"/>
    <row r="599" ht="21.95" customHeight="1"/>
    <row r="600" ht="21.95" customHeight="1"/>
    <row r="601" ht="21.95" customHeight="1"/>
    <row r="602" ht="21.95" customHeight="1"/>
    <row r="603" ht="21.95" customHeight="1"/>
    <row r="604" ht="21.95" customHeight="1"/>
    <row r="605" ht="21.95" customHeight="1"/>
    <row r="606" ht="21.95" customHeight="1"/>
    <row r="607" ht="21.95" customHeight="1"/>
    <row r="608" ht="21.95" customHeight="1"/>
    <row r="609" ht="21.95" customHeight="1"/>
    <row r="610" ht="21.95" customHeight="1"/>
    <row r="611" ht="21.95" customHeight="1"/>
    <row r="612" ht="21.95" customHeight="1"/>
    <row r="613" ht="21.95" customHeight="1"/>
    <row r="614" ht="21.95" customHeight="1"/>
    <row r="615" ht="21.95" customHeight="1"/>
    <row r="616" ht="21.95" customHeight="1"/>
    <row r="617" ht="21.95" customHeight="1"/>
    <row r="618" ht="21.95" customHeight="1"/>
    <row r="619" ht="21.95" customHeight="1"/>
    <row r="620" ht="21.95" customHeight="1"/>
    <row r="621" ht="21.95" customHeight="1"/>
    <row r="622" ht="21.95" customHeight="1"/>
    <row r="623" ht="21.95" customHeight="1"/>
    <row r="624" ht="21.95" customHeight="1"/>
    <row r="625" ht="21.95" customHeight="1"/>
    <row r="626" ht="21.95" customHeight="1"/>
    <row r="627" ht="21.95" customHeight="1"/>
    <row r="628" ht="21.95" customHeight="1"/>
    <row r="629" ht="21.95" customHeight="1"/>
    <row r="630" ht="21.95" customHeight="1"/>
    <row r="631" ht="21.95" customHeight="1"/>
    <row r="632" ht="21.95" customHeight="1"/>
    <row r="633" ht="21.95" customHeight="1"/>
    <row r="634" ht="21.95" customHeight="1"/>
    <row r="635" ht="21.95" customHeight="1"/>
    <row r="636" ht="21.95" customHeight="1"/>
    <row r="637" ht="21.95" customHeight="1"/>
    <row r="638" ht="21.95" customHeight="1"/>
    <row r="639" ht="21.95" customHeight="1"/>
    <row r="640" ht="21.95" customHeight="1"/>
    <row r="641" ht="21.95" customHeight="1"/>
    <row r="642" ht="21.95" customHeight="1"/>
    <row r="643" ht="21.95" customHeight="1"/>
    <row r="644" ht="21.95" customHeight="1"/>
    <row r="645" ht="21.95" customHeight="1"/>
    <row r="646" ht="21.95" customHeight="1"/>
    <row r="647" ht="21.95" customHeight="1"/>
    <row r="648" ht="21.95" customHeight="1"/>
    <row r="649" ht="21.95" customHeight="1"/>
    <row r="650" ht="21.95" customHeight="1"/>
    <row r="651" ht="21.95" customHeight="1"/>
    <row r="652" ht="21.95" customHeight="1"/>
    <row r="653" ht="21.95" customHeight="1"/>
    <row r="654" ht="21.95" customHeight="1"/>
    <row r="655" ht="21.95" customHeight="1"/>
    <row r="656" ht="21.95" customHeight="1"/>
    <row r="657" ht="21.95" customHeight="1"/>
    <row r="658" ht="21.95" customHeight="1"/>
    <row r="659" ht="21.95" customHeight="1"/>
    <row r="660" ht="21.95" customHeight="1"/>
    <row r="661" ht="21.95" customHeight="1"/>
    <row r="662" ht="21.95" customHeight="1"/>
    <row r="663" ht="21.95" customHeight="1"/>
    <row r="664" ht="21.95" customHeight="1"/>
    <row r="665" ht="21.95" customHeight="1"/>
    <row r="666" ht="21.95" customHeight="1"/>
    <row r="667" ht="21.95" customHeight="1"/>
    <row r="668" ht="21.95" customHeight="1"/>
    <row r="669" ht="21.95" customHeight="1"/>
    <row r="670" ht="21.95" customHeight="1"/>
    <row r="671" ht="21.95" customHeight="1"/>
    <row r="672" ht="21.95" customHeight="1"/>
    <row r="673" ht="21.95" customHeight="1"/>
    <row r="674" ht="21.95" customHeight="1"/>
    <row r="675" ht="21.95" customHeight="1"/>
    <row r="676" ht="21.95" customHeight="1"/>
    <row r="677" ht="21.95" customHeight="1"/>
    <row r="678" ht="21.95" customHeight="1"/>
    <row r="679" ht="21.95" customHeight="1"/>
    <row r="680" ht="21.95" customHeight="1"/>
    <row r="681" ht="21.95" customHeight="1"/>
    <row r="682" ht="21.95" customHeight="1"/>
    <row r="683" ht="21.95" customHeight="1"/>
    <row r="684" ht="21.95" customHeight="1"/>
    <row r="685" ht="21.95" customHeight="1"/>
    <row r="686" ht="21.95" customHeight="1"/>
    <row r="687" ht="21.95" customHeight="1"/>
    <row r="688" ht="21.95" customHeight="1"/>
    <row r="689" ht="21.95" customHeight="1"/>
    <row r="690" ht="21.95" customHeight="1"/>
    <row r="691" ht="21.95" customHeight="1"/>
    <row r="692" ht="21.95" customHeight="1"/>
    <row r="693" ht="21.95" customHeight="1"/>
    <row r="694" ht="21.95" customHeight="1"/>
    <row r="695" ht="21.95" customHeight="1"/>
    <row r="696" ht="21.95" customHeight="1"/>
    <row r="697" ht="21.95" customHeight="1"/>
    <row r="698" ht="21.95" customHeight="1"/>
    <row r="699" ht="21.95" customHeight="1"/>
    <row r="700" ht="21.95" customHeight="1"/>
    <row r="701" ht="21.95" customHeight="1"/>
    <row r="702" ht="21.95" customHeight="1"/>
    <row r="703" ht="21.95" customHeight="1"/>
    <row r="704" ht="21.95" customHeight="1"/>
    <row r="705" ht="21.95" customHeight="1"/>
    <row r="706" ht="21.95" customHeight="1"/>
    <row r="707" ht="21.95" customHeight="1"/>
    <row r="708" ht="21.95" customHeight="1"/>
    <row r="709" ht="21.95" customHeight="1"/>
    <row r="710" ht="21.95" customHeight="1"/>
    <row r="711" ht="21.95" customHeight="1"/>
    <row r="712" ht="21.95" customHeight="1"/>
    <row r="713" ht="21.95" customHeight="1"/>
    <row r="714" ht="21.95" customHeight="1"/>
    <row r="715" ht="21.95" customHeight="1"/>
    <row r="716" ht="21.95" customHeight="1"/>
    <row r="717" ht="21.95" customHeight="1"/>
    <row r="718" ht="21.95" customHeight="1"/>
    <row r="719" ht="21.95" customHeight="1"/>
    <row r="720" ht="21.95" customHeight="1"/>
    <row r="721" ht="21.95" customHeight="1"/>
    <row r="722" ht="21.95" customHeight="1"/>
    <row r="723" ht="21.95" customHeight="1"/>
    <row r="724" ht="21.95" customHeight="1"/>
    <row r="725" ht="21.95" customHeight="1"/>
    <row r="726" ht="21.95" customHeight="1"/>
    <row r="727" ht="21.95" customHeight="1"/>
    <row r="728" ht="21.95" customHeight="1"/>
    <row r="729" ht="21.95" customHeight="1"/>
    <row r="730" ht="21.95" customHeight="1"/>
    <row r="731" ht="21.95" customHeight="1"/>
    <row r="732" ht="21.95" customHeight="1"/>
    <row r="733" ht="21.95" customHeight="1"/>
    <row r="734" ht="21.95" customHeight="1"/>
  </sheetData>
  <sheetProtection algorithmName="SHA-512" hashValue="Dv3KIW1zD+jDhGB7IE0aC7rSvnmz8aQKWho25oreZqa+wDbnCoAcyVuq8HJfHhhj/HrY01biWhfbZPtTmc4Q/Q==" saltValue="+KuULMPoeoIHxx6KJOfePA==" spinCount="100000" sheet="1" objects="1" scenarios="1" selectLockedCells="1"/>
  <mergeCells count="6">
    <mergeCell ref="D120:E120"/>
    <mergeCell ref="D5:E5"/>
    <mergeCell ref="D28:E28"/>
    <mergeCell ref="D51:E51"/>
    <mergeCell ref="D74:E74"/>
    <mergeCell ref="D97:E97"/>
  </mergeCells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74803149606299213" right="0.74803149606299213" top="0.98425196850393704" bottom="0.98425196850393704" header="0.51181102362204722" footer="0.51181102362204722"/>
  <pageSetup paperSize="9" scale="15" orientation="portrait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3:H39"/>
  <sheetViews>
    <sheetView topLeftCell="A11" workbookViewId="0">
      <selection activeCell="C13" sqref="C13"/>
    </sheetView>
  </sheetViews>
  <sheetFormatPr defaultRowHeight="15"/>
  <cols>
    <col min="1" max="1" width="9.140625" style="96"/>
    <col min="2" max="2" width="12.5703125" style="96" bestFit="1" customWidth="1"/>
    <col min="3" max="3" width="13.28515625" style="96" bestFit="1" customWidth="1"/>
    <col min="4" max="4" width="12.5703125" style="96" bestFit="1" customWidth="1"/>
    <col min="5" max="7" width="9.140625" style="96"/>
    <col min="8" max="8" width="30.7109375" style="96" customWidth="1"/>
    <col min="9" max="16384" width="9.140625" style="96"/>
  </cols>
  <sheetData>
    <row r="3" spans="1:3">
      <c r="A3" s="96" t="s">
        <v>87</v>
      </c>
    </row>
    <row r="4" spans="1:3">
      <c r="A4" s="96" t="s">
        <v>88</v>
      </c>
    </row>
    <row r="6" spans="1:3">
      <c r="A6" s="96" t="s">
        <v>89</v>
      </c>
    </row>
    <row r="7" spans="1:3">
      <c r="A7" s="96" t="s">
        <v>90</v>
      </c>
    </row>
    <row r="8" spans="1:3">
      <c r="A8" s="96" t="s">
        <v>91</v>
      </c>
    </row>
    <row r="9" spans="1:3">
      <c r="A9" s="96" t="s">
        <v>92</v>
      </c>
    </row>
    <row r="13" spans="1:3">
      <c r="B13" s="96" t="s">
        <v>104</v>
      </c>
      <c r="C13" s="97">
        <f>'Entrada de Dados'!H12</f>
        <v>210000</v>
      </c>
    </row>
    <row r="14" spans="1:3">
      <c r="B14" s="8" t="s">
        <v>98</v>
      </c>
      <c r="C14" s="41">
        <f>SUM(Resultados!G16:G20)</f>
        <v>0</v>
      </c>
    </row>
    <row r="15" spans="1:3">
      <c r="B15" s="8" t="s">
        <v>99</v>
      </c>
      <c r="C15" s="81">
        <f>C14/C13</f>
        <v>0</v>
      </c>
    </row>
    <row r="16" spans="1:3">
      <c r="B16" s="96" t="s">
        <v>125</v>
      </c>
      <c r="C16" s="96" t="str">
        <f>VLOOKUP(C13,B20:D39,3,1)</f>
        <v>180000,01</v>
      </c>
    </row>
    <row r="17" spans="2:8">
      <c r="B17" s="96" t="s">
        <v>126</v>
      </c>
      <c r="C17" s="96" t="str">
        <f>VLOOKUP(C15,F20:H27,3,1)</f>
        <v>(r)&lt;0,10</v>
      </c>
    </row>
    <row r="19" spans="2:8" ht="15.75" thickBot="1"/>
    <row r="20" spans="2:8" ht="15.75" thickBot="1">
      <c r="B20" s="79">
        <v>0</v>
      </c>
      <c r="C20" s="80">
        <v>180000</v>
      </c>
      <c r="D20" s="98" t="s">
        <v>105</v>
      </c>
      <c r="F20" s="96">
        <v>0</v>
      </c>
      <c r="G20" s="96">
        <v>0.09</v>
      </c>
      <c r="H20" s="100" t="s">
        <v>74</v>
      </c>
    </row>
    <row r="21" spans="2:8" ht="15.75" thickBot="1">
      <c r="B21" s="77">
        <v>180000.01</v>
      </c>
      <c r="C21" s="78">
        <v>360000</v>
      </c>
      <c r="D21" s="99" t="s">
        <v>106</v>
      </c>
      <c r="F21" s="96">
        <v>0.1</v>
      </c>
      <c r="G21" s="96">
        <v>0.14000000000000001</v>
      </c>
      <c r="H21" s="100" t="s">
        <v>75</v>
      </c>
    </row>
    <row r="22" spans="2:8" ht="15.75" thickBot="1">
      <c r="B22" s="77">
        <v>360000.01</v>
      </c>
      <c r="C22" s="78">
        <v>540000</v>
      </c>
      <c r="D22" s="99" t="s">
        <v>107</v>
      </c>
      <c r="F22" s="96">
        <v>0.15</v>
      </c>
      <c r="G22" s="96">
        <v>0.19</v>
      </c>
      <c r="H22" s="100" t="s">
        <v>76</v>
      </c>
    </row>
    <row r="23" spans="2:8" ht="15.75" thickBot="1">
      <c r="B23" s="77">
        <v>540000.01</v>
      </c>
      <c r="C23" s="78">
        <v>720000</v>
      </c>
      <c r="D23" s="99" t="s">
        <v>108</v>
      </c>
      <c r="F23" s="96">
        <v>0.2</v>
      </c>
      <c r="G23" s="96">
        <v>0.24</v>
      </c>
      <c r="H23" s="100" t="s">
        <v>77</v>
      </c>
    </row>
    <row r="24" spans="2:8" ht="15.75" thickBot="1">
      <c r="B24" s="77">
        <v>720000.01</v>
      </c>
      <c r="C24" s="78">
        <v>900000</v>
      </c>
      <c r="D24" s="99" t="s">
        <v>109</v>
      </c>
      <c r="F24" s="96">
        <v>0.25</v>
      </c>
      <c r="G24" s="96">
        <v>0.28999999999999998</v>
      </c>
      <c r="H24" s="100" t="s">
        <v>78</v>
      </c>
    </row>
    <row r="25" spans="2:8" ht="15.75" thickBot="1">
      <c r="B25" s="77">
        <v>900000.01</v>
      </c>
      <c r="C25" s="78">
        <v>1080000</v>
      </c>
      <c r="D25" s="99" t="s">
        <v>110</v>
      </c>
      <c r="F25" s="96">
        <v>0.3</v>
      </c>
      <c r="G25" s="96">
        <v>0.34</v>
      </c>
      <c r="H25" s="100" t="s">
        <v>79</v>
      </c>
    </row>
    <row r="26" spans="2:8" ht="15.75" thickBot="1">
      <c r="B26" s="77">
        <v>1080000.01</v>
      </c>
      <c r="C26" s="78">
        <v>1260000</v>
      </c>
      <c r="D26" s="99" t="s">
        <v>111</v>
      </c>
      <c r="F26" s="96">
        <v>0.35</v>
      </c>
      <c r="G26" s="96">
        <v>0.39</v>
      </c>
      <c r="H26" s="100" t="s">
        <v>80</v>
      </c>
    </row>
    <row r="27" spans="2:8" ht="15.75" thickBot="1">
      <c r="B27" s="77">
        <v>1260000.01</v>
      </c>
      <c r="C27" s="78">
        <v>1440000</v>
      </c>
      <c r="D27" s="99" t="s">
        <v>112</v>
      </c>
      <c r="F27" s="96">
        <v>0.4</v>
      </c>
      <c r="H27" s="100" t="s">
        <v>81</v>
      </c>
    </row>
    <row r="28" spans="2:8" ht="15.75" thickBot="1">
      <c r="B28" s="77">
        <v>1440000.01</v>
      </c>
      <c r="C28" s="78">
        <v>1620000</v>
      </c>
      <c r="D28" s="99" t="s">
        <v>113</v>
      </c>
    </row>
    <row r="29" spans="2:8" ht="15.75" thickBot="1">
      <c r="B29" s="77">
        <v>1620000.01</v>
      </c>
      <c r="C29" s="78">
        <v>1800000</v>
      </c>
      <c r="D29" s="99" t="s">
        <v>114</v>
      </c>
    </row>
    <row r="30" spans="2:8" ht="15.75" thickBot="1">
      <c r="B30" s="77">
        <v>1800000.01</v>
      </c>
      <c r="C30" s="78">
        <v>1980000</v>
      </c>
      <c r="D30" s="99" t="s">
        <v>115</v>
      </c>
    </row>
    <row r="31" spans="2:8" ht="15.75" thickBot="1">
      <c r="B31" s="77">
        <v>1980000.01</v>
      </c>
      <c r="C31" s="78">
        <v>2160000</v>
      </c>
      <c r="D31" s="99" t="s">
        <v>116</v>
      </c>
    </row>
    <row r="32" spans="2:8" ht="15.75" thickBot="1">
      <c r="B32" s="77">
        <v>2160000.0099999998</v>
      </c>
      <c r="C32" s="78">
        <v>2340000</v>
      </c>
      <c r="D32" s="99" t="s">
        <v>117</v>
      </c>
    </row>
    <row r="33" spans="2:4" ht="15.75" thickBot="1">
      <c r="B33" s="77">
        <v>2340000.0099999998</v>
      </c>
      <c r="C33" s="78">
        <v>2520000</v>
      </c>
      <c r="D33" s="99" t="s">
        <v>118</v>
      </c>
    </row>
    <row r="34" spans="2:4" ht="15.75" thickBot="1">
      <c r="B34" s="77">
        <v>2520000.0099999998</v>
      </c>
      <c r="C34" s="78">
        <v>2700000</v>
      </c>
      <c r="D34" s="99" t="s">
        <v>119</v>
      </c>
    </row>
    <row r="35" spans="2:4" ht="15.75" thickBot="1">
      <c r="B35" s="77">
        <v>2700000.01</v>
      </c>
      <c r="C35" s="78">
        <v>2880000</v>
      </c>
      <c r="D35" s="99" t="s">
        <v>120</v>
      </c>
    </row>
    <row r="36" spans="2:4" ht="15.75" thickBot="1">
      <c r="B36" s="77">
        <v>2880000.01</v>
      </c>
      <c r="C36" s="78">
        <v>3060000</v>
      </c>
      <c r="D36" s="99" t="s">
        <v>121</v>
      </c>
    </row>
    <row r="37" spans="2:4" ht="15.75" thickBot="1">
      <c r="B37" s="77">
        <v>3060000.01</v>
      </c>
      <c r="C37" s="78">
        <v>3240000</v>
      </c>
      <c r="D37" s="99" t="s">
        <v>122</v>
      </c>
    </row>
    <row r="38" spans="2:4" ht="15.75" thickBot="1">
      <c r="B38" s="77">
        <v>3240000.01</v>
      </c>
      <c r="C38" s="78">
        <v>3420000</v>
      </c>
      <c r="D38" s="99" t="s">
        <v>123</v>
      </c>
    </row>
    <row r="39" spans="2:4" ht="15.75" thickBot="1">
      <c r="B39" s="77">
        <v>3420000.01</v>
      </c>
      <c r="C39" s="78">
        <v>3600000</v>
      </c>
      <c r="D39" s="99" t="s">
        <v>124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Inicio</vt:lpstr>
      <vt:lpstr>Entrada de Dados</vt:lpstr>
      <vt:lpstr>Sheet1</vt:lpstr>
      <vt:lpstr>Aliquota de Impostos</vt:lpstr>
      <vt:lpstr>Resultados</vt:lpstr>
      <vt:lpstr>Tabela Simples Nacional</vt:lpstr>
      <vt:lpstr>Auxiliar</vt:lpstr>
      <vt:lpstr>'Aliquota de Impostos'!Area_de_impressao</vt:lpstr>
      <vt:lpstr>'Entrada de Dados'!Area_de_impressao</vt:lpstr>
      <vt:lpstr>Resultados!Area_de_impressao</vt:lpstr>
    </vt:vector>
  </TitlesOfParts>
  <Company>Accenture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leonardo.c.rangel</dc:creator>
  <cp:lastModifiedBy>Poliana</cp:lastModifiedBy>
  <cp:lastPrinted>2016-08-07T21:09:16Z</cp:lastPrinted>
  <dcterms:created xsi:type="dcterms:W3CDTF">2005-06-17T04:21:50Z</dcterms:created>
  <dcterms:modified xsi:type="dcterms:W3CDTF">2018-01-22T18:20:38Z</dcterms:modified>
</cp:coreProperties>
</file>