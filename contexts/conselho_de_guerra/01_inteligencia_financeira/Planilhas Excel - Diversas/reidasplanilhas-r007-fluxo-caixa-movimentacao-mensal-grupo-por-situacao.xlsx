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<sst xmlns="http://schemas.openxmlformats.org/spreadsheetml/2006/main" count="32" uniqueCount="29">
  <si>
    <t>ENTRADAS</t>
  </si>
  <si>
    <t>Rótulos de Linha</t>
  </si>
  <si>
    <t>SALDO MENSAL</t>
  </si>
  <si>
    <t>ANO</t>
  </si>
  <si>
    <t>(Tudo)</t>
  </si>
  <si>
    <t>SEMESTRE</t>
  </si>
  <si>
    <t>TRIMESTRE</t>
  </si>
  <si>
    <t>FILTROS</t>
  </si>
  <si>
    <t>01 (JAN)</t>
  </si>
  <si>
    <t>Rótulos de Coluna</t>
  </si>
  <si>
    <t>02 (FEV)</t>
  </si>
  <si>
    <t>03 (MAR)</t>
  </si>
  <si>
    <t>04 (ABR)</t>
  </si>
  <si>
    <t>05 (MAI)</t>
  </si>
  <si>
    <t>06 (JUN)</t>
  </si>
  <si>
    <t>07 (JUL)</t>
  </si>
  <si>
    <t>08 (AGO)</t>
  </si>
  <si>
    <t>09 (SET)</t>
  </si>
  <si>
    <t>10 (OUT)</t>
  </si>
  <si>
    <t>11 (NOV)</t>
  </si>
  <si>
    <t>12 (DEZ)</t>
  </si>
  <si>
    <t>PREVISTO</t>
  </si>
  <si>
    <t>REALIZADO</t>
  </si>
  <si>
    <t>VER GRÁFICO</t>
  </si>
  <si>
    <t>VER TABELA</t>
  </si>
  <si>
    <t>GRUPO</t>
  </si>
  <si>
    <t>Total Geral</t>
  </si>
  <si>
    <t>TIPO</t>
  </si>
  <si>
    <t>FLUXO DE CAIXA - MOVIMENTAÇÃO MENSAL DO GRUPO POR 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</si>
</sst>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10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[reidasplanilhas-R007-Fluxo-Caixa-Movimentacao-Mensal-Grupo-por-Situacao.xlsx]TABELA!Tabela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</c:pivotFmt>
      <c:pivotFmt>
        <c:idx val="200"/>
      </c:pivotFmt>
    </c:pivotFmts>
    <c:plotArea>
      <c:layout>
        <c:manualLayout>
          <c:layoutTarget val="inner"/>
          <c:xMode val="edge"/>
          <c:yMode val="edge"/>
          <c:x val="0.11665442782513259"/>
          <c:y val="4.2770053371581372E-2"/>
          <c:w val="0.86683938235368874"/>
          <c:h val="0.85069415103599944"/>
        </c:manualLayout>
      </c:layout>
      <c:lineChart>
        <c:grouping val="standar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PREVISTO</c:v>
                </c:pt>
              </c:strCache>
            </c:strRef>
          </c:tx>
          <c:cat>
            <c:strRef>
              <c:f>TABELA!$B$11:$B$23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TABELA!$C$11:$C$23</c:f>
              <c:numCache>
                <c:formatCode>_(* #,##0.00_);_(* \(#,##0.00\);_(* "-"??_);_(@_)</c:formatCode>
                <c:ptCount val="12"/>
                <c:pt idx="0">
                  <c:v>24554.3</c:v>
                </c:pt>
                <c:pt idx="1">
                  <c:v>34858.839999999997</c:v>
                </c:pt>
                <c:pt idx="2">
                  <c:v>74116.47</c:v>
                </c:pt>
                <c:pt idx="3">
                  <c:v>99675.920000000013</c:v>
                </c:pt>
                <c:pt idx="4">
                  <c:v>81115.45</c:v>
                </c:pt>
                <c:pt idx="5">
                  <c:v>119942.52</c:v>
                </c:pt>
                <c:pt idx="6">
                  <c:v>133565.95000000001</c:v>
                </c:pt>
                <c:pt idx="7">
                  <c:v>146418.31999999998</c:v>
                </c:pt>
                <c:pt idx="8">
                  <c:v>145023.83999999994</c:v>
                </c:pt>
                <c:pt idx="9">
                  <c:v>167629</c:v>
                </c:pt>
                <c:pt idx="10">
                  <c:v>145337.5</c:v>
                </c:pt>
                <c:pt idx="11">
                  <c:v>216764.16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TABELA!$D$9:$D$10</c:f>
              <c:strCache>
                <c:ptCount val="1"/>
                <c:pt idx="0">
                  <c:v>REALIZADO</c:v>
                </c:pt>
              </c:strCache>
            </c:strRef>
          </c:tx>
          <c:cat>
            <c:strRef>
              <c:f>TABELA!$B$11:$B$23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TABELA!$D$11:$D$23</c:f>
              <c:numCache>
                <c:formatCode>_(* #,##0.00_);_(* \(#,##0.00\);_(* "-"??_);_(@_)</c:formatCode>
                <c:ptCount val="12"/>
                <c:pt idx="0">
                  <c:v>160568.26999999999</c:v>
                </c:pt>
                <c:pt idx="1">
                  <c:v>277358.60000000009</c:v>
                </c:pt>
                <c:pt idx="2">
                  <c:v>420734.88</c:v>
                </c:pt>
                <c:pt idx="3">
                  <c:v>508824.28000000014</c:v>
                </c:pt>
                <c:pt idx="4">
                  <c:v>668913.00000000012</c:v>
                </c:pt>
                <c:pt idx="5">
                  <c:v>783255.29999999946</c:v>
                </c:pt>
                <c:pt idx="6">
                  <c:v>836420.55</c:v>
                </c:pt>
                <c:pt idx="7">
                  <c:v>963940.31999999948</c:v>
                </c:pt>
                <c:pt idx="8">
                  <c:v>1074697.1099999996</c:v>
                </c:pt>
                <c:pt idx="9">
                  <c:v>1249876.3000000005</c:v>
                </c:pt>
                <c:pt idx="10">
                  <c:v>1219156.8399999994</c:v>
                </c:pt>
                <c:pt idx="11">
                  <c:v>1384527.9600000009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12608"/>
        <c:axId val="77438976"/>
      </c:lineChart>
      <c:catAx>
        <c:axId val="77412608"/>
        <c:scaling>
          <c:orientation val="minMax"/>
        </c:scaling>
        <c:delete val="0"/>
        <c:axPos val="b"/>
        <c:majorTickMark val="out"/>
        <c:minorTickMark val="none"/>
        <c:tickLblPos val="low"/>
        <c:crossAx val="77438976"/>
        <c:crosses val="autoZero"/>
        <c:auto val="1"/>
        <c:lblAlgn val="ctr"/>
        <c:lblOffset val="100"/>
        <c:noMultiLvlLbl val="0"/>
      </c:catAx>
      <c:valAx>
        <c:axId val="774389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77412608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</c:spPr>
      </c:dTable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2</xdr:row>
      <xdr:rowOff>152400</xdr:rowOff>
    </xdr:from>
    <xdr:to>
      <xdr:col>3</xdr:col>
      <xdr:colOff>467410</xdr:colOff>
      <xdr:row>4</xdr:row>
      <xdr:rowOff>42986</xdr:rowOff>
    </xdr:to>
    <xdr:sp macro="" textlink="">
      <xdr:nvSpPr>
        <xdr:cNvPr id="2" name="Seta para a direita 1"/>
        <xdr:cNvSpPr/>
      </xdr:nvSpPr>
      <xdr:spPr>
        <a:xfrm rot="10800000">
          <a:off x="3251200" y="10160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541526504632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0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E23" firstHeaderRow="1" firstDataRow="2" firstDataCol="1" rowPageCount="5" colPageCount="1"/>
  <pivotFields count="14">
    <pivotField showAll="0" insertBlankRow="1"/>
    <pivotField showAll="0" insertBlankRow="1"/>
    <pivotField showAll="0" insertBlankRow="1"/>
    <pivotField axis="axisRow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axis="axisPage"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Col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5">
    <pageField fld="7" item="0" hier="-1"/>
    <pageField fld="9" hier="-1"/>
    <pageField fld="6" item="1" hier="-1"/>
    <pageField fld="5" hier="-1"/>
    <pageField fld="4" hier="-1"/>
  </pageFields>
  <dataFields count="1">
    <dataField name="SALDO MENSAL" fld="13" baseField="0" baseItem="0" numFmtId="43"/>
  </dataFields>
  <formats count="10">
    <format dxfId="9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8">
      <pivotArea field="6" type="button" dataOnly="0" labelOnly="1" outline="0" axis="axisPage" fieldPosition="2"/>
    </format>
    <format dxfId="7">
      <pivotArea dataOnly="0" labelOnly="1" outline="0" fieldPosition="0">
        <references count="1">
          <reference field="6" count="1">
            <x v="1"/>
          </reference>
        </references>
      </pivotArea>
    </format>
    <format dxfId="6">
      <pivotArea field="5" type="button" dataOnly="0" labelOnly="1" outline="0" axis="axisPage" fieldPosition="3"/>
    </format>
    <format dxfId="5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4">
      <pivotArea field="4" type="button" dataOnly="0" labelOnly="1" outline="0" axis="axisPage" fieldPosition="4"/>
    </format>
    <format dxfId="3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2">
      <pivotArea field="8" type="button" dataOnly="0" labelOnly="1" outline="0"/>
    </format>
    <format dxfId="1">
      <pivotArea field="9" type="button" dataOnly="0" labelOnly="1" outline="0" axis="axisPage" fieldPosition="1"/>
    </format>
    <format dxfId="0">
      <pivotArea dataOnly="0" labelOnly="1" outline="0" fieldPosition="0">
        <references count="2">
          <reference field="6" count="1" selected="0">
            <x v="1"/>
          </reference>
          <reference field="9" count="0"/>
        </references>
      </pivotArea>
    </format>
  </formats>
  <chartFormats count="43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9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20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3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23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2" width="28.7109375" customWidth="1"/>
    <col min="3" max="15" width="15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5" t="s">
        <v>7</v>
      </c>
      <c r="C1" s="15"/>
      <c r="E1" s="16" t="str">
        <f>GRAFICO!B1</f>
        <v>FLUXO DE CAIXA - MOVIMENTAÇÃO MENSAL DO GRUPO POR SITUAÇÃO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8" customFormat="1" ht="20.100000000000001" customHeight="1" x14ac:dyDescent="0.25">
      <c r="B2" s="6"/>
      <c r="C2" s="6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GRUPO=(Tudo), ANO=2011, SEMESTRE=(Tudo), TRIMESTRE=(Tudo)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8" customFormat="1" ht="15" customHeight="1" x14ac:dyDescent="0.25">
      <c r="B3" s="3" t="s">
        <v>27</v>
      </c>
      <c r="C3" t="s">
        <v>0</v>
      </c>
      <c r="E3" s="18" t="s">
        <v>23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10" customFormat="1" ht="15" customHeight="1" x14ac:dyDescent="0.25">
      <c r="B4" s="13" t="s">
        <v>25</v>
      </c>
      <c r="C4" s="10" t="s">
        <v>4</v>
      </c>
    </row>
    <row r="5" spans="2:14" s="10" customFormat="1" ht="15" customHeight="1" x14ac:dyDescent="0.25">
      <c r="B5" s="13" t="s">
        <v>3</v>
      </c>
      <c r="C5" s="14">
        <v>2011</v>
      </c>
    </row>
    <row r="6" spans="2:14" s="10" customFormat="1" ht="15" customHeight="1" x14ac:dyDescent="0.25">
      <c r="B6" s="13" t="s">
        <v>5</v>
      </c>
      <c r="C6" s="10" t="s">
        <v>4</v>
      </c>
    </row>
    <row r="7" spans="2:14" s="10" customFormat="1" ht="15" customHeight="1" x14ac:dyDescent="0.25">
      <c r="B7" s="13" t="s">
        <v>6</v>
      </c>
      <c r="C7" s="10" t="s">
        <v>4</v>
      </c>
    </row>
    <row r="8" spans="2:14" s="10" customFormat="1" x14ac:dyDescent="0.25"/>
    <row r="9" spans="2:14" x14ac:dyDescent="0.25">
      <c r="B9" s="3" t="s">
        <v>2</v>
      </c>
      <c r="C9" s="3" t="s">
        <v>9</v>
      </c>
    </row>
    <row r="10" spans="2:14" x14ac:dyDescent="0.25">
      <c r="B10" s="3" t="s">
        <v>1</v>
      </c>
      <c r="C10" t="s">
        <v>21</v>
      </c>
      <c r="D10" t="s">
        <v>22</v>
      </c>
      <c r="E10" s="4" t="s">
        <v>26</v>
      </c>
    </row>
    <row r="11" spans="2:14" x14ac:dyDescent="0.25">
      <c r="B11" s="2" t="s">
        <v>8</v>
      </c>
      <c r="C11" s="1">
        <v>24554.3</v>
      </c>
      <c r="D11" s="1">
        <v>160568.26999999999</v>
      </c>
      <c r="E11" s="1">
        <v>185122.56999999998</v>
      </c>
    </row>
    <row r="12" spans="2:14" x14ac:dyDescent="0.25">
      <c r="B12" s="2" t="s">
        <v>10</v>
      </c>
      <c r="C12" s="1">
        <v>34858.839999999997</v>
      </c>
      <c r="D12" s="1">
        <v>277358.60000000009</v>
      </c>
      <c r="E12" s="1">
        <v>312217.44000000012</v>
      </c>
    </row>
    <row r="13" spans="2:14" x14ac:dyDescent="0.25">
      <c r="B13" s="2" t="s">
        <v>11</v>
      </c>
      <c r="C13" s="1">
        <v>74116.47</v>
      </c>
      <c r="D13" s="1">
        <v>420734.88</v>
      </c>
      <c r="E13" s="1">
        <v>494851.34999999992</v>
      </c>
    </row>
    <row r="14" spans="2:14" x14ac:dyDescent="0.25">
      <c r="B14" s="2" t="s">
        <v>12</v>
      </c>
      <c r="C14" s="1">
        <v>99675.920000000013</v>
      </c>
      <c r="D14" s="1">
        <v>508824.28000000014</v>
      </c>
      <c r="E14" s="1">
        <v>608500.19999999995</v>
      </c>
    </row>
    <row r="15" spans="2:14" x14ac:dyDescent="0.25">
      <c r="B15" s="2" t="s">
        <v>13</v>
      </c>
      <c r="C15" s="1">
        <v>81115.45</v>
      </c>
      <c r="D15" s="1">
        <v>668913.00000000012</v>
      </c>
      <c r="E15" s="1">
        <v>750028.45000000007</v>
      </c>
    </row>
    <row r="16" spans="2:14" x14ac:dyDescent="0.25">
      <c r="B16" s="2" t="s">
        <v>14</v>
      </c>
      <c r="C16" s="1">
        <v>119942.52</v>
      </c>
      <c r="D16" s="1">
        <v>783255.29999999946</v>
      </c>
      <c r="E16" s="1">
        <v>903197.8199999996</v>
      </c>
    </row>
    <row r="17" spans="2:5" x14ac:dyDescent="0.25">
      <c r="B17" s="2" t="s">
        <v>15</v>
      </c>
      <c r="C17" s="1">
        <v>133565.95000000001</v>
      </c>
      <c r="D17" s="1">
        <v>836420.55</v>
      </c>
      <c r="E17" s="1">
        <v>969986.5</v>
      </c>
    </row>
    <row r="18" spans="2:5" x14ac:dyDescent="0.25">
      <c r="B18" s="2" t="s">
        <v>16</v>
      </c>
      <c r="C18" s="1">
        <v>146418.31999999998</v>
      </c>
      <c r="D18" s="1">
        <v>963940.31999999948</v>
      </c>
      <c r="E18" s="1">
        <v>1110358.6399999997</v>
      </c>
    </row>
    <row r="19" spans="2:5" x14ac:dyDescent="0.25">
      <c r="B19" s="2" t="s">
        <v>17</v>
      </c>
      <c r="C19" s="1">
        <v>145023.83999999994</v>
      </c>
      <c r="D19" s="1">
        <v>1074697.1099999996</v>
      </c>
      <c r="E19" s="1">
        <v>1219720.9499999993</v>
      </c>
    </row>
    <row r="20" spans="2:5" x14ac:dyDescent="0.25">
      <c r="B20" s="2" t="s">
        <v>18</v>
      </c>
      <c r="C20" s="1">
        <v>167629</v>
      </c>
      <c r="D20" s="1">
        <v>1249876.3000000005</v>
      </c>
      <c r="E20" s="1">
        <v>1417505.3000000003</v>
      </c>
    </row>
    <row r="21" spans="2:5" x14ac:dyDescent="0.25">
      <c r="B21" s="2" t="s">
        <v>19</v>
      </c>
      <c r="C21" s="1">
        <v>145337.5</v>
      </c>
      <c r="D21" s="1">
        <v>1219156.8399999994</v>
      </c>
      <c r="E21" s="1">
        <v>1364494.3400000003</v>
      </c>
    </row>
    <row r="22" spans="2:5" x14ac:dyDescent="0.25">
      <c r="B22" s="2" t="s">
        <v>20</v>
      </c>
      <c r="C22" s="1">
        <v>216764.16</v>
      </c>
      <c r="D22" s="1">
        <v>1384527.9600000009</v>
      </c>
      <c r="E22" s="1">
        <v>1601292.1200000015</v>
      </c>
    </row>
    <row r="23" spans="2:5" x14ac:dyDescent="0.25">
      <c r="B23" s="2" t="s">
        <v>26</v>
      </c>
      <c r="C23" s="1">
        <v>1389002.2699999998</v>
      </c>
      <c r="D23" s="1">
        <v>9548273.4099999908</v>
      </c>
      <c r="E23" s="1">
        <v>10937275.68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topLeftCell="A8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">
        <v>28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GRUPO=(Tudo), ANO=2011, SEMESTRE=(Tudo), TRIMESTRE=(Tudo)</v>
      </c>
      <c r="C2" s="8"/>
    </row>
    <row r="3" spans="1:3" x14ac:dyDescent="0.25">
      <c r="B3" s="12" t="s">
        <v>24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2011-12-31T10:58:00Z</dcterms:created>
  <dcterms:modified xsi:type="dcterms:W3CDTF">2011-12-31T16:00:32Z</dcterms:modified>
</cp:coreProperties>
</file>