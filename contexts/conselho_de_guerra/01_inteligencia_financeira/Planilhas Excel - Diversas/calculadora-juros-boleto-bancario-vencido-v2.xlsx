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Referências\EXCEL SOLUÇÃO\_NOVO EXCEL\PLANILHAS GRATIS\G103 CALC JUROS\"/>
    </mc:Choice>
  </mc:AlternateContent>
  <xr:revisionPtr revIDLastSave="0" documentId="8_{204C3B2E-E7E7-814E-AAAF-631415ADD0BC}" xr6:coauthVersionLast="28" xr6:coauthVersionMax="28" xr10:uidLastSave="{00000000-0000-0000-0000-000000000000}"/>
  <bookViews>
    <workbookView xWindow="240" yWindow="60" windowWidth="15480" windowHeight="9465" xr2:uid="{00000000-000D-0000-FFFF-FFFF00000000}"/>
  </bookViews>
  <sheets>
    <sheet name="Apresentação" sheetId="5" r:id="rId1"/>
    <sheet name="Calculador Juros Boleto" sheetId="2" r:id="rId2"/>
  </sheets>
  <calcPr calcId="171026"/>
</workbook>
</file>

<file path=xl/calcChain.xml><?xml version="1.0" encoding="utf-8"?>
<calcChain xmlns="http://schemas.openxmlformats.org/spreadsheetml/2006/main">
  <c r="A10" i="2" l="1"/>
  <c r="A8" i="2"/>
  <c r="A9" i="2"/>
  <c r="A14" i="2"/>
  <c r="A11" i="2"/>
  <c r="D17" i="2"/>
  <c r="D18" i="2"/>
  <c r="D19" i="2"/>
  <c r="D21" i="2"/>
</calcChain>
</file>

<file path=xl/sharedStrings.xml><?xml version="1.0" encoding="utf-8"?>
<sst xmlns="http://schemas.openxmlformats.org/spreadsheetml/2006/main" count="25" uniqueCount="25">
  <si>
    <t>Data Pagamento</t>
  </si>
  <si>
    <t>Vencimento</t>
  </si>
  <si>
    <t>Valor do Título</t>
  </si>
  <si>
    <t>Dias em Atraso</t>
  </si>
  <si>
    <t>Juros Período*</t>
  </si>
  <si>
    <t>Multa Período (%)**</t>
  </si>
  <si>
    <t>**Percentual Multa Diária</t>
  </si>
  <si>
    <t>Preench</t>
  </si>
  <si>
    <t>VALID EM ATRAS</t>
  </si>
  <si>
    <t>Cadastre os dados:</t>
  </si>
  <si>
    <t>Insira as informações do boleto:</t>
  </si>
  <si>
    <t>Personalizamos para sua necessidade.</t>
  </si>
  <si>
    <t>*Percentual Juros diário</t>
  </si>
  <si>
    <t>Valor a pagar &gt;</t>
  </si>
  <si>
    <t>Valores Calculados:</t>
  </si>
  <si>
    <t>Planilha produzida para o site ExcelSolução.com.br - ©Diretos Reservados</t>
  </si>
  <si>
    <t>Planilha Grátis Excel - Calculadora de Juros Boleto bancário vencido</t>
  </si>
  <si>
    <t>digitar as datas de vencimento, pagamento e valor do título.</t>
  </si>
  <si>
    <t xml:space="preserve">Basta apenas cadastrar os percentuais juros, multa, valor de multa fixo quando houver e </t>
  </si>
  <si>
    <t xml:space="preserve">Calcule rapidamente o valor dos boletos bancários vencidos, já atualizados com valor de juros e multa. </t>
  </si>
  <si>
    <t>Super planilha Calculadora de juros para boleto bancário vencido!</t>
  </si>
  <si>
    <t>Para mais informações ou modelos personalizados entre em contato por email: contato@excelsolucao.com.br</t>
  </si>
  <si>
    <t>Entre em contato: contato@excelsolucao.com.br</t>
  </si>
  <si>
    <t>Planilha Cálculo de juros de Boleto - Excel Solução</t>
  </si>
  <si>
    <t>Saiba nossas melhores dicas para otimizar seus trabalhos com planilhas de Excel!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</si>
</sst>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&quot;R$&quot;\ #,##0.00"/>
    <numFmt numFmtId="166" formatCode="0.000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50B3AC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 applyProtection="1">
      <alignment horizontal="left"/>
    </xf>
    <xf numFmtId="0" fontId="0" fillId="0" borderId="0" xfId="0" applyProtection="1"/>
    <xf numFmtId="0" fontId="0" fillId="0" borderId="0" xfId="0" applyFill="1" applyProtection="1"/>
    <xf numFmtId="0" fontId="1" fillId="0" borderId="0" xfId="0" applyFont="1" applyFill="1" applyProtection="1"/>
    <xf numFmtId="14" fontId="0" fillId="0" borderId="0" xfId="0" applyNumberFormat="1" applyFill="1" applyBorder="1" applyAlignment="1" applyProtection="1">
      <alignment horizontal="left"/>
    </xf>
    <xf numFmtId="0" fontId="5" fillId="0" borderId="0" xfId="0" applyFont="1" applyProtection="1"/>
    <xf numFmtId="164" fontId="0" fillId="0" borderId="0" xfId="0" applyNumberFormat="1" applyFill="1" applyAlignment="1" applyProtection="1">
      <alignment horizontal="left"/>
    </xf>
    <xf numFmtId="0" fontId="1" fillId="4" borderId="0" xfId="0" applyFont="1" applyFill="1" applyProtection="1"/>
    <xf numFmtId="0" fontId="4" fillId="3" borderId="0" xfId="0" applyFont="1" applyFill="1" applyProtection="1"/>
    <xf numFmtId="0" fontId="0" fillId="2" borderId="0" xfId="0" applyFill="1" applyProtection="1"/>
    <xf numFmtId="166" fontId="0" fillId="0" borderId="1" xfId="0" applyNumberFormat="1" applyFill="1" applyBorder="1" applyAlignment="1" applyProtection="1">
      <alignment horizontal="left"/>
      <protection locked="0"/>
    </xf>
    <xf numFmtId="165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0" fillId="4" borderId="0" xfId="0" applyFont="1" applyFill="1" applyAlignment="1" applyProtection="1">
      <alignment horizontal="center"/>
      <protection hidden="1"/>
    </xf>
    <xf numFmtId="164" fontId="0" fillId="4" borderId="0" xfId="0" applyNumberFormat="1" applyFill="1" applyAlignment="1" applyProtection="1">
      <protection hidden="1"/>
    </xf>
    <xf numFmtId="164" fontId="0" fillId="4" borderId="0" xfId="0" applyNumberFormat="1" applyFill="1" applyAlignment="1" applyProtection="1">
      <alignment horizontal="left"/>
      <protection hidden="1"/>
    </xf>
    <xf numFmtId="165" fontId="6" fillId="3" borderId="0" xfId="0" applyNumberFormat="1" applyFont="1" applyFill="1" applyAlignment="1" applyProtection="1">
      <alignment horizontal="left"/>
      <protection hidden="1"/>
    </xf>
    <xf numFmtId="0" fontId="7" fillId="0" borderId="0" xfId="1"/>
    <xf numFmtId="0" fontId="7" fillId="7" borderId="0" xfId="1" applyFill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0" fillId="0" borderId="0" xfId="0" applyFill="1" applyBorder="1" applyProtection="1"/>
    <xf numFmtId="164" fontId="0" fillId="0" borderId="0" xfId="0" applyNumberFormat="1" applyFill="1" applyBorder="1" applyAlignment="1" applyProtection="1">
      <alignment horizontal="left"/>
      <protection locked="0"/>
    </xf>
    <xf numFmtId="0" fontId="1" fillId="4" borderId="4" xfId="0" applyFont="1" applyFill="1" applyBorder="1" applyProtection="1"/>
    <xf numFmtId="0" fontId="1" fillId="4" borderId="5" xfId="0" applyFont="1" applyFill="1" applyBorder="1" applyProtection="1"/>
    <xf numFmtId="0" fontId="13" fillId="0" borderId="0" xfId="2" applyFont="1" applyAlignment="1" applyProtection="1"/>
    <xf numFmtId="0" fontId="14" fillId="8" borderId="0" xfId="1" applyFont="1" applyFill="1" applyAlignment="1" applyProtection="1">
      <alignment horizontal="center" vertical="center"/>
    </xf>
    <xf numFmtId="0" fontId="3" fillId="5" borderId="0" xfId="0" applyFont="1" applyFill="1" applyAlignment="1" applyProtection="1">
      <alignment horizontal="center"/>
    </xf>
    <xf numFmtId="0" fontId="3" fillId="6" borderId="2" xfId="0" applyFont="1" applyFill="1" applyBorder="1" applyAlignment="1" applyProtection="1">
      <alignment horizontal="center"/>
    </xf>
    <xf numFmtId="0" fontId="3" fillId="6" borderId="3" xfId="0" applyFont="1" applyFill="1" applyBorder="1" applyAlignment="1" applyProtection="1">
      <alignment horizontal="center"/>
    </xf>
    <xf numFmtId="0" fontId="3" fillId="3" borderId="0" xfId="0" applyFont="1" applyFill="1" applyAlignment="1" applyProtection="1">
      <alignment horizontal="center"/>
    </xf>
  </cellXfs>
  <cellStyles count="7">
    <cellStyle name="Hiperlink" xfId="2" builtinId="8"/>
    <cellStyle name="Normal" xfId="0" builtinId="0"/>
    <cellStyle name="Normal 2" xfId="1" xr:uid="{00000000-0005-0000-0000-000002000000}"/>
    <cellStyle name="Porcentagem 2" xfId="3" xr:uid="{00000000-0005-0000-0000-000003000000}"/>
    <cellStyle name="Separador de milhares 2" xfId="4" xr:uid="{00000000-0005-0000-0000-000004000000}"/>
    <cellStyle name="Separador de milhares 2 2" xfId="6" xr:uid="{00000000-0005-0000-0000-000005000000}"/>
    <cellStyle name="Separador de milhares 2 3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g" /><Relationship Id="rId3" Type="http://schemas.openxmlformats.org/officeDocument/2006/relationships/hyperlink" Target="http://excelsolucao.com.br/loja-planilhas/planilha-contas-a-pagar-receber-fluxo-de-caixa/" TargetMode="External" /><Relationship Id="rId7" Type="http://schemas.openxmlformats.org/officeDocument/2006/relationships/hyperlink" Target="http://excelsolucao.com.br/loja-planilhas/planilha-controle-calculo-boleto-bancario-vencido/" TargetMode="External" /><Relationship Id="rId2" Type="http://schemas.openxmlformats.org/officeDocument/2006/relationships/image" Target="../media/image1.jpg" /><Relationship Id="rId1" Type="http://schemas.openxmlformats.org/officeDocument/2006/relationships/hyperlink" Target="http://excelsolucao.com.br" TargetMode="External" /><Relationship Id="rId6" Type="http://schemas.openxmlformats.org/officeDocument/2006/relationships/image" Target="../media/image3.jpg" /><Relationship Id="rId5" Type="http://schemas.openxmlformats.org/officeDocument/2006/relationships/hyperlink" Target="http://excelsolucao.com.br/curso-de-excel-avancado-aulas-particulares-online/" TargetMode="External" /><Relationship Id="rId4" Type="http://schemas.openxmlformats.org/officeDocument/2006/relationships/image" Target="../media/image2.jpg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 /><Relationship Id="rId2" Type="http://schemas.openxmlformats.org/officeDocument/2006/relationships/hyperlink" Target="http://excelsolucao.com.br" TargetMode="External" /><Relationship Id="rId1" Type="http://schemas.openxmlformats.org/officeDocument/2006/relationships/image" Target="../media/image5.jpeg" /><Relationship Id="rId5" Type="http://schemas.openxmlformats.org/officeDocument/2006/relationships/image" Target="../media/image6.jpg" /><Relationship Id="rId4" Type="http://schemas.openxmlformats.org/officeDocument/2006/relationships/hyperlink" Target="http://excelsolucao.com.br/servicos/planilhas-personalizadas-profissionais-sob-encomenda/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459442</xdr:colOff>
      <xdr:row>2</xdr:row>
      <xdr:rowOff>112059</xdr:rowOff>
    </xdr:from>
    <xdr:to>
      <xdr:col>10</xdr:col>
      <xdr:colOff>310404</xdr:colOff>
      <xdr:row>7</xdr:row>
      <xdr:rowOff>51548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3589" y="425824"/>
          <a:ext cx="2876550" cy="723901"/>
        </a:xfrm>
        <a:prstGeom prst="rect">
          <a:avLst/>
        </a:prstGeom>
      </xdr:spPr>
    </xdr:pic>
    <xdr:clientData/>
  </xdr:twoCellAnchor>
  <xdr:twoCellAnchor editAs="absolute">
    <xdr:from>
      <xdr:col>6</xdr:col>
      <xdr:colOff>510751</xdr:colOff>
      <xdr:row>25</xdr:row>
      <xdr:rowOff>0</xdr:rowOff>
    </xdr:from>
    <xdr:to>
      <xdr:col>10</xdr:col>
      <xdr:colOff>427653</xdr:colOff>
      <xdr:row>35</xdr:row>
      <xdr:rowOff>46968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4851" y="4648200"/>
          <a:ext cx="2355302" cy="1666218"/>
        </a:xfrm>
        <a:prstGeom prst="rect">
          <a:avLst/>
        </a:prstGeom>
      </xdr:spPr>
    </xdr:pic>
    <xdr:clientData/>
  </xdr:twoCellAnchor>
  <xdr:twoCellAnchor editAs="absolute">
    <xdr:from>
      <xdr:col>11</xdr:col>
      <xdr:colOff>133350</xdr:colOff>
      <xdr:row>25</xdr:row>
      <xdr:rowOff>0</xdr:rowOff>
    </xdr:from>
    <xdr:to>
      <xdr:col>15</xdr:col>
      <xdr:colOff>19050</xdr:colOff>
      <xdr:row>35</xdr:row>
      <xdr:rowOff>47625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4648200"/>
          <a:ext cx="2352675" cy="1666875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25</xdr:row>
      <xdr:rowOff>0</xdr:rowOff>
    </xdr:from>
    <xdr:to>
      <xdr:col>6</xdr:col>
      <xdr:colOff>227287</xdr:colOff>
      <xdr:row>35</xdr:row>
      <xdr:rowOff>38100</xdr:rowOff>
    </xdr:to>
    <xdr:pic>
      <xdr:nvPicPr>
        <xdr:cNvPr id="7" name="Imagem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648200"/>
          <a:ext cx="2351362" cy="1657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1639554</xdr:colOff>
      <xdr:row>3</xdr:row>
      <xdr:rowOff>74951</xdr:rowOff>
    </xdr:from>
    <xdr:to>
      <xdr:col>2</xdr:col>
      <xdr:colOff>1739484</xdr:colOff>
      <xdr:row>3</xdr:row>
      <xdr:rowOff>158585</xdr:rowOff>
    </xdr:to>
    <xdr:pic>
      <xdr:nvPicPr>
        <xdr:cNvPr id="5" name="Imagem 4" descr="Seta_icone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2279" y="570251"/>
          <a:ext cx="99930" cy="83634"/>
        </a:xfrm>
        <a:prstGeom prst="rect">
          <a:avLst/>
        </a:prstGeom>
      </xdr:spPr>
    </xdr:pic>
    <xdr:clientData/>
  </xdr:twoCellAnchor>
  <xdr:twoCellAnchor editAs="oneCell">
    <xdr:from>
      <xdr:col>2</xdr:col>
      <xdr:colOff>1633978</xdr:colOff>
      <xdr:row>2</xdr:row>
      <xdr:rowOff>69390</xdr:rowOff>
    </xdr:from>
    <xdr:to>
      <xdr:col>2</xdr:col>
      <xdr:colOff>1733908</xdr:colOff>
      <xdr:row>2</xdr:row>
      <xdr:rowOff>153024</xdr:rowOff>
    </xdr:to>
    <xdr:pic>
      <xdr:nvPicPr>
        <xdr:cNvPr id="6" name="Imagem 5" descr="Seta_icone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86703" y="374190"/>
          <a:ext cx="99930" cy="83634"/>
        </a:xfrm>
        <a:prstGeom prst="rect">
          <a:avLst/>
        </a:prstGeom>
      </xdr:spPr>
    </xdr:pic>
    <xdr:clientData/>
  </xdr:twoCellAnchor>
  <xdr:twoCellAnchor editAs="oneCell">
    <xdr:from>
      <xdr:col>2</xdr:col>
      <xdr:colOff>1642574</xdr:colOff>
      <xdr:row>1</xdr:row>
      <xdr:rowOff>68474</xdr:rowOff>
    </xdr:from>
    <xdr:to>
      <xdr:col>2</xdr:col>
      <xdr:colOff>1742504</xdr:colOff>
      <xdr:row>1</xdr:row>
      <xdr:rowOff>152108</xdr:rowOff>
    </xdr:to>
    <xdr:pic>
      <xdr:nvPicPr>
        <xdr:cNvPr id="7" name="Imagem 6" descr="Seta_icone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5299" y="182774"/>
          <a:ext cx="99930" cy="83634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66675</xdr:rowOff>
    </xdr:from>
    <xdr:to>
      <xdr:col>2</xdr:col>
      <xdr:colOff>1415863</xdr:colOff>
      <xdr:row>3</xdr:row>
      <xdr:rowOff>188961</xdr:rowOff>
    </xdr:to>
    <xdr:pic>
      <xdr:nvPicPr>
        <xdr:cNvPr id="8" name="Imagem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6675"/>
          <a:ext cx="2454088" cy="617586"/>
        </a:xfrm>
        <a:prstGeom prst="rect">
          <a:avLst/>
        </a:prstGeom>
      </xdr:spPr>
    </xdr:pic>
    <xdr:clientData/>
  </xdr:twoCellAnchor>
  <xdr:twoCellAnchor editAs="oneCell">
    <xdr:from>
      <xdr:col>2</xdr:col>
      <xdr:colOff>1590675</xdr:colOff>
      <xdr:row>1</xdr:row>
      <xdr:rowOff>0</xdr:rowOff>
    </xdr:from>
    <xdr:to>
      <xdr:col>6</xdr:col>
      <xdr:colOff>57150</xdr:colOff>
      <xdr:row>4</xdr:row>
      <xdr:rowOff>0</xdr:rowOff>
    </xdr:to>
    <xdr:pic>
      <xdr:nvPicPr>
        <xdr:cNvPr id="2" name="Imagem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14300"/>
          <a:ext cx="2657475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%22malito:contato@excelsolucao.com.br%22" TargetMode="Externa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showGridLines="0" showRowColHeaders="0" tabSelected="1" zoomScaleNormal="100" workbookViewId="0" xr3:uid="{AEA406A1-0E4B-5B11-9CD5-51D6E497D94C}"/>
  </sheetViews>
  <sheetFormatPr defaultColWidth="0" defaultRowHeight="12.75" customHeight="1" zeroHeight="1" x14ac:dyDescent="0.15"/>
  <cols>
    <col min="1" max="1" width="2.41796875" style="18" customWidth="1"/>
    <col min="2" max="2" width="0.53515625" style="18" customWidth="1"/>
    <col min="3" max="3" width="4.4375" style="18" customWidth="1"/>
    <col min="4" max="14" width="9.14453125" style="18" customWidth="1"/>
    <col min="15" max="15" width="9.55078125" style="18" customWidth="1"/>
    <col min="16" max="16" width="0.53515625" style="18" customWidth="1"/>
    <col min="17" max="17" width="2.5546875" style="18" customWidth="1"/>
    <col min="18" max="18" width="0" style="18" hidden="1" customWidth="1"/>
    <col min="19" max="16384" width="9.14453125" style="18" hidden="1"/>
  </cols>
  <sheetData>
    <row r="1" spans="2:16" ht="12.75" customHeight="1" x14ac:dyDescent="0.15"/>
    <row r="2" spans="2:16" ht="3.6" customHeight="1" x14ac:dyDescent="0.1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2:16" x14ac:dyDescent="0.15">
      <c r="B3" s="19"/>
      <c r="P3" s="19"/>
    </row>
    <row r="4" spans="2:16" x14ac:dyDescent="0.15">
      <c r="B4" s="19"/>
      <c r="P4" s="19"/>
    </row>
    <row r="5" spans="2:16" x14ac:dyDescent="0.15">
      <c r="B5" s="19"/>
      <c r="P5" s="19"/>
    </row>
    <row r="6" spans="2:16" x14ac:dyDescent="0.15">
      <c r="B6" s="19"/>
      <c r="P6" s="19"/>
    </row>
    <row r="7" spans="2:16" x14ac:dyDescent="0.15">
      <c r="B7" s="19"/>
      <c r="P7" s="19"/>
    </row>
    <row r="8" spans="2:16" x14ac:dyDescent="0.15">
      <c r="B8" s="19"/>
      <c r="P8" s="19"/>
    </row>
    <row r="9" spans="2:16" ht="24.75" x14ac:dyDescent="0.35">
      <c r="B9" s="19"/>
      <c r="D9" s="20" t="s">
        <v>16</v>
      </c>
      <c r="P9" s="19"/>
    </row>
    <row r="10" spans="2:16" ht="16.5" customHeight="1" x14ac:dyDescent="0.45">
      <c r="B10" s="19"/>
      <c r="D10" s="23"/>
      <c r="P10" s="19"/>
    </row>
    <row r="11" spans="2:16" ht="15" x14ac:dyDescent="0.2">
      <c r="B11" s="19"/>
      <c r="D11" s="21" t="s">
        <v>15</v>
      </c>
      <c r="P11" s="19"/>
    </row>
    <row r="12" spans="2:16" x14ac:dyDescent="0.15">
      <c r="B12" s="19"/>
      <c r="P12" s="19"/>
    </row>
    <row r="13" spans="2:16" ht="15" x14ac:dyDescent="0.2">
      <c r="B13" s="19"/>
      <c r="D13" s="28" t="s">
        <v>21</v>
      </c>
      <c r="P13" s="19"/>
    </row>
    <row r="14" spans="2:16" ht="26.25" customHeight="1" x14ac:dyDescent="0.45">
      <c r="B14" s="19"/>
      <c r="D14" s="23"/>
      <c r="P14" s="19"/>
    </row>
    <row r="15" spans="2:16" ht="15" x14ac:dyDescent="0.2">
      <c r="B15" s="19"/>
      <c r="D15" s="22" t="s">
        <v>20</v>
      </c>
      <c r="P15" s="19"/>
    </row>
    <row r="16" spans="2:16" ht="15" x14ac:dyDescent="0.2">
      <c r="B16" s="19"/>
      <c r="D16" s="21"/>
      <c r="P16" s="19"/>
    </row>
    <row r="17" spans="2:16" ht="15" x14ac:dyDescent="0.2">
      <c r="B17" s="19"/>
      <c r="D17" s="21" t="s">
        <v>19</v>
      </c>
      <c r="P17" s="19"/>
    </row>
    <row r="18" spans="2:16" ht="15" x14ac:dyDescent="0.2">
      <c r="B18" s="19"/>
      <c r="D18" s="21" t="s">
        <v>18</v>
      </c>
      <c r="P18" s="19"/>
    </row>
    <row r="19" spans="2:16" ht="15" x14ac:dyDescent="0.2">
      <c r="B19" s="19"/>
      <c r="D19" s="21" t="s">
        <v>17</v>
      </c>
      <c r="P19" s="19"/>
    </row>
    <row r="20" spans="2:16" x14ac:dyDescent="0.15">
      <c r="B20" s="19"/>
      <c r="P20" s="19"/>
    </row>
    <row r="21" spans="2:16" ht="3.6" customHeight="1" x14ac:dyDescent="0.15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2:16" ht="12.75" customHeight="1" x14ac:dyDescent="0.15"/>
    <row r="23" spans="2:16" ht="12.75" customHeight="1" x14ac:dyDescent="0.15"/>
    <row r="24" spans="2:16" ht="30" customHeight="1" x14ac:dyDescent="0.15">
      <c r="B24" s="29" t="s">
        <v>24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2:16" ht="12.75" customHeight="1" x14ac:dyDescent="0.15"/>
    <row r="26" spans="2:16" ht="12.75" customHeight="1" x14ac:dyDescent="0.15"/>
    <row r="27" spans="2:16" ht="12.75" customHeight="1" x14ac:dyDescent="0.15"/>
    <row r="28" spans="2:16" ht="12.75" customHeight="1" x14ac:dyDescent="0.15"/>
    <row r="29" spans="2:16" ht="12.75" customHeight="1" x14ac:dyDescent="0.15"/>
    <row r="30" spans="2:16" ht="12.75" customHeight="1" x14ac:dyDescent="0.15"/>
    <row r="31" spans="2:16" ht="12.75" customHeight="1" x14ac:dyDescent="0.15"/>
    <row r="32" spans="2:16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</sheetData>
  <sheetProtection algorithmName="SHA-512" hashValue="/kat+aPCFs54RrOAWw1qdF5Dpaelj8FEONoxW9W+URPaJt875zi5SuxTvZnxv76Ufh0qc6xT/EM7oIcCltms6A==" saltValue="RVVc+pPgMw1X1Yd4ifqVjw==" spinCount="100000" sheet="1" objects="1" scenarios="1" formatCells="0" formatColumns="0" formatRows="0" insertColumns="0" insertRows="0" insertHyperlinks="0" deleteColumns="0" deleteRows="0" sort="0" autoFilter="0" pivotTables="0"/>
  <mergeCells count="1">
    <mergeCell ref="B24:P24"/>
  </mergeCells>
  <hyperlinks>
    <hyperlink ref="D13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showRowColHeaders="0" topLeftCell="B1" workbookViewId="0" xr3:uid="{958C4451-9541-5A59-BF78-D2F731DF1C81}">
      <selection activeCell="D13" sqref="D13"/>
    </sheetView>
  </sheetViews>
  <sheetFormatPr defaultColWidth="0" defaultRowHeight="15" zeroHeight="1" x14ac:dyDescent="0.2"/>
  <cols>
    <col min="1" max="1" width="9.14453125" style="2" hidden="1" customWidth="1"/>
    <col min="2" max="2" width="17.62109375" style="2" customWidth="1"/>
    <col min="3" max="3" width="26.23046875" style="2" customWidth="1"/>
    <col min="4" max="4" width="15.19921875" style="2" customWidth="1"/>
    <col min="5" max="5" width="11.97265625" style="2" customWidth="1"/>
    <col min="6" max="6" width="9.4140625" style="2" customWidth="1"/>
    <col min="7" max="7" width="3.2265625" style="2" customWidth="1"/>
    <col min="8" max="8" width="9.14453125" style="2" hidden="1" customWidth="1"/>
    <col min="9" max="16384" width="23.67578125" style="2" hidden="1"/>
  </cols>
  <sheetData>
    <row r="1" spans="1:4" ht="9" customHeight="1" x14ac:dyDescent="0.2"/>
    <row r="2" spans="1:4" x14ac:dyDescent="0.2">
      <c r="D2" s="6" t="s">
        <v>23</v>
      </c>
    </row>
    <row r="3" spans="1:4" x14ac:dyDescent="0.2">
      <c r="D3" s="6" t="s">
        <v>11</v>
      </c>
    </row>
    <row r="4" spans="1:4" x14ac:dyDescent="0.2">
      <c r="D4" s="6" t="s">
        <v>22</v>
      </c>
    </row>
    <row r="5" spans="1:4" x14ac:dyDescent="0.2">
      <c r="D5" s="6"/>
    </row>
    <row r="6" spans="1:4" ht="24.75" customHeight="1" x14ac:dyDescent="0.2"/>
    <row r="7" spans="1:4" x14ac:dyDescent="0.2">
      <c r="A7" s="10" t="s">
        <v>7</v>
      </c>
      <c r="C7" s="31" t="s">
        <v>9</v>
      </c>
      <c r="D7" s="32"/>
    </row>
    <row r="8" spans="1:4" x14ac:dyDescent="0.2">
      <c r="A8" s="2">
        <f>IF(D12="","",1)</f>
        <v>1</v>
      </c>
      <c r="C8" s="26" t="s">
        <v>12</v>
      </c>
      <c r="D8" s="11">
        <v>6.7349999999999997E-3</v>
      </c>
    </row>
    <row r="9" spans="1:4" x14ac:dyDescent="0.2">
      <c r="A9" s="2">
        <f>IF(D13="","",1)</f>
        <v>1</v>
      </c>
      <c r="C9" s="27" t="s">
        <v>6</v>
      </c>
      <c r="D9" s="11">
        <v>3.3300000000000002E-4</v>
      </c>
    </row>
    <row r="10" spans="1:4" ht="7.5" customHeight="1" x14ac:dyDescent="0.2">
      <c r="A10" s="2">
        <f>IF(D14="","",1)</f>
        <v>1</v>
      </c>
      <c r="C10" s="24"/>
      <c r="D10" s="25"/>
    </row>
    <row r="11" spans="1:4" x14ac:dyDescent="0.2">
      <c r="A11" s="2">
        <f>SUM(A8:A10)</f>
        <v>3</v>
      </c>
      <c r="C11" s="33" t="s">
        <v>10</v>
      </c>
      <c r="D11" s="33"/>
    </row>
    <row r="12" spans="1:4" s="3" customFormat="1" x14ac:dyDescent="0.2">
      <c r="A12" s="2"/>
      <c r="C12" s="8" t="s">
        <v>2</v>
      </c>
      <c r="D12" s="12">
        <v>1000</v>
      </c>
    </row>
    <row r="13" spans="1:4" x14ac:dyDescent="0.2">
      <c r="A13" s="10" t="s">
        <v>8</v>
      </c>
      <c r="C13" s="8" t="s">
        <v>1</v>
      </c>
      <c r="D13" s="13">
        <v>42282</v>
      </c>
    </row>
    <row r="14" spans="1:4" x14ac:dyDescent="0.2">
      <c r="A14" s="2">
        <f>D14-D13</f>
        <v>61</v>
      </c>
      <c r="C14" s="8" t="s">
        <v>0</v>
      </c>
      <c r="D14" s="13">
        <v>42343</v>
      </c>
    </row>
    <row r="15" spans="1:4" ht="6.75" customHeight="1" x14ac:dyDescent="0.2">
      <c r="C15" s="4"/>
      <c r="D15" s="5"/>
    </row>
    <row r="16" spans="1:4" x14ac:dyDescent="0.2">
      <c r="C16" s="30" t="s">
        <v>14</v>
      </c>
      <c r="D16" s="30"/>
    </row>
    <row r="17" spans="3:5" x14ac:dyDescent="0.2">
      <c r="C17" s="8" t="s">
        <v>3</v>
      </c>
      <c r="D17" s="14">
        <f>IF(A14&lt;=0,"Em dia",D14-D13)</f>
        <v>61</v>
      </c>
    </row>
    <row r="18" spans="3:5" x14ac:dyDescent="0.2">
      <c r="C18" s="8" t="s">
        <v>4</v>
      </c>
      <c r="D18" s="15">
        <f>IF(A14&lt;=0,"0",D8*D17*D12)</f>
        <v>410.83499999999998</v>
      </c>
      <c r="E18" s="1"/>
    </row>
    <row r="19" spans="3:5" x14ac:dyDescent="0.2">
      <c r="C19" s="8" t="s">
        <v>5</v>
      </c>
      <c r="D19" s="16">
        <f>IF(A14&lt;=0,"0",D9*D17*D12)</f>
        <v>20.313000000000002</v>
      </c>
    </row>
    <row r="20" spans="3:5" ht="9.75" customHeight="1" x14ac:dyDescent="0.2">
      <c r="C20" s="3"/>
      <c r="D20" s="7"/>
    </row>
    <row r="21" spans="3:5" x14ac:dyDescent="0.2">
      <c r="C21" s="9" t="s">
        <v>13</v>
      </c>
      <c r="D21" s="17">
        <f>IF(A11=3,SUM(D18:D19)+D12,"")</f>
        <v>1431.1479999999999</v>
      </c>
    </row>
    <row r="22" spans="3:5" x14ac:dyDescent="0.2"/>
    <row r="23" spans="3:5" hidden="1" x14ac:dyDescent="0.2"/>
    <row r="24" spans="3:5" hidden="1" x14ac:dyDescent="0.2"/>
    <row r="25" spans="3:5" hidden="1" x14ac:dyDescent="0.2"/>
    <row r="26" spans="3:5" hidden="1" x14ac:dyDescent="0.2"/>
    <row r="27" spans="3:5" hidden="1" x14ac:dyDescent="0.2"/>
    <row r="28" spans="3:5" hidden="1" x14ac:dyDescent="0.2"/>
    <row r="29" spans="3:5" hidden="1" x14ac:dyDescent="0.2"/>
    <row r="30" spans="3:5" hidden="1" x14ac:dyDescent="0.2"/>
    <row r="31" spans="3:5" hidden="1" x14ac:dyDescent="0.2"/>
    <row r="32" spans="3:5" hidden="1" x14ac:dyDescent="0.2"/>
    <row r="33" hidden="1" x14ac:dyDescent="0.2"/>
    <row r="34" hidden="1" x14ac:dyDescent="0.2"/>
    <row r="35" hidden="1" x14ac:dyDescent="0.2"/>
    <row r="36" hidden="1" x14ac:dyDescent="0.2"/>
    <row r="37" x14ac:dyDescent="0.2"/>
    <row r="38" x14ac:dyDescent="0.2"/>
  </sheetData>
  <sheetProtection algorithmName="SHA-512" hashValue="tvuQCjugN6g6Y5ozPNHVPaToWO1RT+Nffd8C94UxF0km/pTqux8D6pJjTPZcswqzvNVunj+bztkkdV8xKiYD9w==" saltValue="xtOA/mkybQ1njXyYl46+fg==" spinCount="100000" sheet="1" objects="1" scenarios="1"/>
  <mergeCells count="3">
    <mergeCell ref="C16:D16"/>
    <mergeCell ref="C7:D7"/>
    <mergeCell ref="C11:D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Apresentação</vt:lpstr>
      <vt:lpstr>Calculador Juros Boleto</vt:lpstr>
    </vt:vector>
  </TitlesOfParts>
  <Company>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Nardi - Excel Solução</dc:creator>
  <dc:description>Mais planilhas personalizadas e soluções financeiras em excelsolucao.com.br</dc:description>
  <cp:lastModifiedBy>Usuario</cp:lastModifiedBy>
  <dcterms:created xsi:type="dcterms:W3CDTF">2013-06-20T13:52:36Z</dcterms:created>
  <dcterms:modified xsi:type="dcterms:W3CDTF">2016-09-29T01:52:14Z</dcterms:modified>
</cp:coreProperties>
</file>