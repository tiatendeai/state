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codeName="EstaPasta_de_trabalho"/>
  <bookViews>
    <workbookView xWindow="360" yWindow="300" windowWidth="9270" windowHeight="4965" activeTab="3"/>
  </bookViews>
  <sheets>
    <sheet name="Introdução" sheetId="6" r:id="rId1"/>
    <sheet name="Avaliação de desempenho" sheetId="1" r:id="rId2"/>
    <sheet name="Erros e Reclamações" sheetId="7" r:id="rId3"/>
    <sheet name="Sugestões de aprimoramento-" sheetId="8" r:id="rId4"/>
  </sheets>
  <calcPr calcId="124519"/>
</workbook>
</file>

<file path=xl/calcChain.xml><?xml version="1.0" encoding="utf-8"?>
<calcChain xmlns="http://schemas.openxmlformats.org/spreadsheetml/2006/main">
  <c r="L17" i="1"/>
  <c r="L16"/>
  <c r="L29"/>
  <c r="K51" i="7"/>
  <c r="L18" i="1" s="1"/>
  <c r="K49"/>
  <c r="L47"/>
  <c r="L46"/>
  <c r="L45"/>
  <c r="L44"/>
  <c r="L43"/>
  <c r="L42"/>
  <c r="L41"/>
  <c r="L40"/>
  <c r="L39"/>
  <c r="L38"/>
  <c r="L49" s="1"/>
  <c r="L19" l="1"/>
  <c r="L24"/>
  <c r="L25"/>
  <c r="L26"/>
  <c r="L27"/>
  <c r="L28"/>
  <c r="L30"/>
  <c r="L31"/>
  <c r="L32"/>
  <c r="L23"/>
  <c r="L34"/>
  <c r="K34"/>
  <c r="N11" s="1"/>
  <c r="N12" l="1"/>
</calcChain>
</file>

<file path=xl/comments1.xml><?xml version="1.0" encoding="utf-8"?>
<comments xmlns="http://schemas.openxmlformats.org/spreadsheetml/2006/main">
  <authors>
    <author>Autor</author>
  </authors>
  <commentList>
    <comment ref="K15" authorId="0">
      <text>
        <r>
          <rPr>
            <b/>
            <sz val="10"/>
            <color indexed="81"/>
            <rFont val="Tahoma"/>
            <family val="2"/>
          </rPr>
          <t xml:space="preserve">Suporte:
</t>
        </r>
        <r>
          <rPr>
            <sz val="10"/>
            <color indexed="81"/>
            <rFont val="Tahoma"/>
            <family val="2"/>
          </rPr>
          <t>Informe a quantidade de faltas e atrasos.</t>
        </r>
      </text>
    </comment>
    <comment ref="L15" authorId="0">
      <text>
        <r>
          <rPr>
            <b/>
            <sz val="10"/>
            <color indexed="81"/>
            <rFont val="Tahoma"/>
            <family val="2"/>
          </rPr>
          <t xml:space="preserve">Suporte:
</t>
        </r>
        <r>
          <rPr>
            <sz val="10"/>
            <color indexed="81"/>
            <rFont val="Tahoma"/>
            <family val="2"/>
          </rPr>
          <t>Nesta coluna fica indicado os pontos a descontar, por quantidade.</t>
        </r>
      </text>
    </comment>
    <comment ref="I22" authorId="0">
      <text>
        <r>
          <rPr>
            <b/>
            <sz val="10"/>
            <color indexed="81"/>
            <rFont val="Tahoma"/>
            <family val="2"/>
          </rPr>
          <t>Suporte:</t>
        </r>
        <r>
          <rPr>
            <sz val="10"/>
            <color indexed="81"/>
            <rFont val="Tahoma"/>
            <family val="2"/>
          </rPr>
          <t xml:space="preserve">
Classificação de cada competência, 
Atitude seria o comportamento individual, habito e conduta ou vícios.
Conhecimento esta relacionado a competências adquirida por conhecimento técnico sobre as atividades exercidas.</t>
        </r>
      </text>
    </comment>
    <comment ref="L22" authorId="0">
      <text>
        <r>
          <rPr>
            <b/>
            <sz val="10"/>
            <color indexed="81"/>
            <rFont val="Tahoma"/>
            <family val="2"/>
          </rPr>
          <t>Suporte:</t>
        </r>
        <r>
          <rPr>
            <sz val="10"/>
            <color indexed="81"/>
            <rFont val="Tahoma"/>
            <family val="2"/>
          </rPr>
          <t xml:space="preserve">
Nesta coluna fica demonstrado a pontuação em relação a nota de cada competência.</t>
        </r>
      </text>
    </comment>
    <comment ref="J23" authorId="0">
      <text>
        <r>
          <rPr>
            <b/>
            <sz val="10"/>
            <color indexed="81"/>
            <rFont val="Tahoma"/>
            <family val="2"/>
          </rPr>
          <t>Suporte:</t>
        </r>
        <r>
          <rPr>
            <sz val="10"/>
            <color indexed="81"/>
            <rFont val="Tahoma"/>
            <family val="2"/>
          </rPr>
          <t xml:space="preserve">
Se comprometer com as tarefas proposta pela empresa. Lealdade com a empresa, buscar o sucesso da instituição.</t>
        </r>
      </text>
    </comment>
    <comment ref="J24" authorId="0">
      <text>
        <r>
          <rPr>
            <b/>
            <sz val="10"/>
            <color indexed="81"/>
            <rFont val="Tahoma"/>
            <family val="2"/>
          </rPr>
          <t>Suporte:</t>
        </r>
        <r>
          <rPr>
            <sz val="10"/>
            <color indexed="81"/>
            <rFont val="Tahoma"/>
            <family val="2"/>
          </rPr>
          <t xml:space="preserve">
Capacidade de tomar escolhas por conta própria e ações de forma positiva diante de situações, entusiasmo e disposição.</t>
        </r>
      </text>
    </comment>
    <comment ref="J25" authorId="0">
      <text>
        <r>
          <rPr>
            <b/>
            <sz val="10"/>
            <color indexed="81"/>
            <rFont val="Tahoma"/>
            <family val="2"/>
          </rPr>
          <t>Suporte:</t>
        </r>
        <r>
          <rPr>
            <sz val="10"/>
            <color indexed="81"/>
            <rFont val="Tahoma"/>
            <family val="2"/>
          </rPr>
          <t xml:space="preserve">
A forma de como ele soluciona os problemas e se e capaz sozinho de usar seu conhecimento ou buscar para solucionar.</t>
        </r>
      </text>
    </comment>
    <comment ref="J26" authorId="0">
      <text>
        <r>
          <rPr>
            <b/>
            <sz val="10"/>
            <color indexed="81"/>
            <rFont val="Tahoma"/>
            <family val="2"/>
          </rPr>
          <t>Suporte:</t>
        </r>
        <r>
          <rPr>
            <sz val="10"/>
            <color indexed="81"/>
            <rFont val="Tahoma"/>
            <family val="2"/>
          </rPr>
          <t xml:space="preserve">
Tem responsabilidade de zelar pela sua própria segurança e dos demais colegas de trabalho em situações adversas de risco. Como exemplo risco de vida ou ate mesmo risco de erros e danos futuros a terceiros por falhas humanas.</t>
        </r>
      </text>
    </comment>
    <comment ref="J27" authorId="0">
      <text>
        <r>
          <rPr>
            <b/>
            <sz val="10"/>
            <color indexed="81"/>
            <rFont val="Tahoma"/>
            <family val="2"/>
          </rPr>
          <t>Suporte:</t>
        </r>
        <r>
          <rPr>
            <sz val="10"/>
            <color indexed="81"/>
            <rFont val="Tahoma"/>
            <family val="2"/>
          </rPr>
          <t xml:space="preserve">
Ter o dever de arcar com as consequências do próprio comportamento, ou de terceiros, assumir culpa, ter senso de caráter.</t>
        </r>
      </text>
    </comment>
    <comment ref="J28" authorId="0">
      <text>
        <r>
          <rPr>
            <b/>
            <sz val="10"/>
            <color indexed="81"/>
            <rFont val="Tahoma"/>
            <family val="2"/>
          </rPr>
          <t>Suporte:</t>
        </r>
        <r>
          <rPr>
            <sz val="10"/>
            <color indexed="81"/>
            <rFont val="Tahoma"/>
            <family val="2"/>
          </rPr>
          <t xml:space="preserve">
Esta capacidade se refere no atento aos detalhes, ser caprichoso, fazer, mas fazer bem feito.</t>
        </r>
      </text>
    </comment>
    <comment ref="J29" authorId="0">
      <text>
        <r>
          <rPr>
            <b/>
            <sz val="10"/>
            <color indexed="81"/>
            <rFont val="Tahoma"/>
            <family val="2"/>
          </rPr>
          <t>Suporte:</t>
        </r>
        <r>
          <rPr>
            <sz val="10"/>
            <color indexed="81"/>
            <rFont val="Tahoma"/>
            <family val="2"/>
          </rPr>
          <t xml:space="preserve">
Saber trabalhar em equipe, sem usar das pessoas a sua volta como objeto e sim saber da capacidade de cada um e ter um bom relacionamento, a fim de concluir tarefas que exijam varias pessoas envolvidas.</t>
        </r>
      </text>
    </comment>
    <comment ref="J30" authorId="0">
      <text>
        <r>
          <rPr>
            <b/>
            <sz val="10"/>
            <color indexed="81"/>
            <rFont val="Tahoma"/>
            <family val="2"/>
          </rPr>
          <t>Suporte:</t>
        </r>
        <r>
          <rPr>
            <sz val="10"/>
            <color indexed="81"/>
            <rFont val="Tahoma"/>
            <family val="2"/>
          </rPr>
          <t xml:space="preserve">
Ter certeza naquilo que faz, acreditar em si próprio, essa competência influencia na capacidade de aceitar desafios e propor novas ideias, possuir atitudes determinadas.</t>
        </r>
      </text>
    </comment>
    <comment ref="J31" authorId="0">
      <text>
        <r>
          <rPr>
            <b/>
            <sz val="10"/>
            <color indexed="81"/>
            <rFont val="Tahoma"/>
            <family val="2"/>
          </rPr>
          <t>Suporte:</t>
        </r>
        <r>
          <rPr>
            <sz val="10"/>
            <color indexed="81"/>
            <rFont val="Tahoma"/>
            <family val="2"/>
          </rPr>
          <t xml:space="preserve">
A forma de como o cliente e valorizado, o foco em buscar a satisfação da necessidade da clientela.</t>
        </r>
      </text>
    </comment>
    <comment ref="J32" authorId="0">
      <text>
        <r>
          <rPr>
            <b/>
            <sz val="10"/>
            <color indexed="81"/>
            <rFont val="Tahoma"/>
            <family val="2"/>
          </rPr>
          <t>Suporte:</t>
        </r>
        <r>
          <rPr>
            <sz val="10"/>
            <color indexed="81"/>
            <rFont val="Tahoma"/>
            <family val="2"/>
          </rPr>
          <t xml:space="preserve">
Capacidade manter atenção e não desviar das atividades propostas.
</t>
        </r>
      </text>
    </comment>
    <comment ref="I37" authorId="0">
      <text>
        <r>
          <rPr>
            <b/>
            <sz val="10"/>
            <color indexed="81"/>
            <rFont val="Tahoma"/>
            <family val="2"/>
          </rPr>
          <t>Suporte:</t>
        </r>
        <r>
          <rPr>
            <sz val="10"/>
            <color indexed="81"/>
            <rFont val="Tahoma"/>
            <family val="2"/>
          </rPr>
          <t xml:space="preserve">
Classificação de cada competência,
Atitude seria o comportamento individual, habito e conduta ou vícios.
Conhecimento esta relacionado a competências adquirida por conhecimento técnico sobre as atividades exercidas.</t>
        </r>
      </text>
    </comment>
    <comment ref="L37" authorId="0">
      <text>
        <r>
          <rPr>
            <b/>
            <sz val="10"/>
            <color indexed="81"/>
            <rFont val="Tahoma"/>
            <family val="2"/>
          </rPr>
          <t>Suporte:</t>
        </r>
        <r>
          <rPr>
            <sz val="10"/>
            <color indexed="81"/>
            <rFont val="Tahoma"/>
            <family val="2"/>
          </rPr>
          <t xml:space="preserve">
Nesta coluna fica demonstrado a pontuação em relação a nota de cada competência.</t>
        </r>
      </text>
    </comment>
    <comment ref="J38" authorId="0">
      <text>
        <r>
          <rPr>
            <b/>
            <sz val="10"/>
            <color indexed="81"/>
            <rFont val="Tahoma"/>
            <family val="2"/>
          </rPr>
          <t xml:space="preserve">Suporte:
</t>
        </r>
        <r>
          <rPr>
            <sz val="10"/>
            <color indexed="81"/>
            <rFont val="Tahoma"/>
            <family val="2"/>
          </rPr>
          <t>A preocupação do indivíduo em se manter atualizado, a busca por cada vez mais informações para crescer profissionalmente</t>
        </r>
      </text>
    </comment>
    <comment ref="J39" authorId="0">
      <text>
        <r>
          <rPr>
            <b/>
            <sz val="10"/>
            <color indexed="81"/>
            <rFont val="Tahoma"/>
            <family val="2"/>
          </rPr>
          <t>Suporte:</t>
        </r>
        <r>
          <rPr>
            <sz val="10"/>
            <color indexed="81"/>
            <rFont val="Tahoma"/>
            <family val="2"/>
          </rPr>
          <t xml:space="preserve">
Conhcimento de procedimentos, nomes e padrões internos</t>
        </r>
      </text>
    </comment>
    <comment ref="J40" authorId="0">
      <text>
        <r>
          <rPr>
            <b/>
            <sz val="10"/>
            <color indexed="81"/>
            <rFont val="Tahoma"/>
            <family val="2"/>
          </rPr>
          <t xml:space="preserve">Suporte:
</t>
        </r>
        <r>
          <rPr>
            <sz val="10"/>
            <color indexed="81"/>
            <rFont val="Tahoma"/>
            <family val="2"/>
          </rPr>
          <t>A forma de reagir positivamente com mudanças impostas pelo ambiente onde se encontra, resumindo a facilidade em sair da zona de conforto.</t>
        </r>
      </text>
    </comment>
    <comment ref="J41" authorId="0">
      <text>
        <r>
          <rPr>
            <b/>
            <sz val="10"/>
            <color indexed="81"/>
            <rFont val="Tahoma"/>
            <family val="2"/>
          </rPr>
          <t xml:space="preserve">Suporte:
</t>
        </r>
        <r>
          <rPr>
            <sz val="10"/>
            <color indexed="81"/>
            <rFont val="Tahoma"/>
            <family val="2"/>
          </rPr>
          <t>A forma de como o avaliado lida com suas emoções positivamente</t>
        </r>
      </text>
    </comment>
  </commentList>
</comments>
</file>

<file path=xl/comments2.xml><?xml version="1.0" encoding="utf-8"?>
<comments xmlns="http://schemas.openxmlformats.org/spreadsheetml/2006/main">
  <authors>
    <author>Autor</author>
  </authors>
  <commentList>
    <comment ref="K12" authorId="0">
      <text>
        <r>
          <rPr>
            <b/>
            <sz val="16"/>
            <color indexed="81"/>
            <rFont val="Tahoma"/>
            <family val="2"/>
          </rPr>
          <t>Autor:</t>
        </r>
        <r>
          <rPr>
            <sz val="16"/>
            <color indexed="81"/>
            <rFont val="Tahoma"/>
            <family val="2"/>
          </rPr>
          <t xml:space="preserve">
Informe valores negativos.</t>
        </r>
      </text>
    </comment>
  </commentList>
</comments>
</file>

<file path=xl/sharedStrings.xml><?xml version="1.0" encoding="utf-8"?>
<sst xmlns="http://schemas.openxmlformats.org/spreadsheetml/2006/main" count="84" uniqueCount="58">
  <si>
    <t>Cargo:</t>
  </si>
  <si>
    <t>Nota Final:</t>
  </si>
  <si>
    <t>Nome do Avaliado:</t>
  </si>
  <si>
    <t>Nome do Avaliador:</t>
  </si>
  <si>
    <t xml:space="preserve">Informe de 0 a 10 </t>
  </si>
  <si>
    <t xml:space="preserve">Comprometimento </t>
  </si>
  <si>
    <t>Segurança no trabalho</t>
  </si>
  <si>
    <t>Faltas no ano sem justificativa</t>
  </si>
  <si>
    <t>Atrasos no ano sem justificativa</t>
  </si>
  <si>
    <t>Responsabilidade</t>
  </si>
  <si>
    <t>Qualidade</t>
  </si>
  <si>
    <t>Trabalho em Equipe</t>
  </si>
  <si>
    <t>Quantidade</t>
  </si>
  <si>
    <t>Pontos</t>
  </si>
  <si>
    <t>Busca por conhecimento</t>
  </si>
  <si>
    <t>Foco</t>
  </si>
  <si>
    <t>Confiança, autoestima</t>
  </si>
  <si>
    <t>Score:</t>
  </si>
  <si>
    <t>Status</t>
  </si>
  <si>
    <t>Atitude</t>
  </si>
  <si>
    <t>Conhecimento</t>
  </si>
  <si>
    <t>Pontos negativos por erros e reclamações</t>
  </si>
  <si>
    <t>Classificação</t>
  </si>
  <si>
    <t>Pro atividade</t>
  </si>
  <si>
    <t>Eficiência</t>
  </si>
  <si>
    <t>Valorização do cliente</t>
  </si>
  <si>
    <t>Adaptação em relação ao ambiente</t>
  </si>
  <si>
    <t>Motivo da reclamação ou erro</t>
  </si>
  <si>
    <t>Bem vindo a este material totalmente GRATUITO.</t>
  </si>
  <si>
    <t>O seu propósito é auxiliar você empresário a alcançar seus objetivos, e alavancar sua empresa, através de ferramentas auxiliares de gestão.</t>
  </si>
  <si>
    <t xml:space="preserve">Antes, uma pequena dica! </t>
  </si>
  <si>
    <t xml:space="preserve">Algumas colunas possuem dicas ou informações que auxiliam no seu entendimento. Basta parar o cursor do mouse sobre as células que possuem setinha vermelha no canto superior direito. Como este: </t>
  </si>
  <si>
    <t>Depois de ler as instruções, clique aqui para acessar a planilha na integra</t>
  </si>
  <si>
    <t xml:space="preserve">                                                     </t>
  </si>
  <si>
    <t>Avaliação de colaborador</t>
  </si>
  <si>
    <t>Total de pontos negativos</t>
  </si>
  <si>
    <t>Média</t>
  </si>
  <si>
    <t>Avaliação Individual de competências</t>
  </si>
  <si>
    <t>Total</t>
  </si>
  <si>
    <t>Habilidade técnica</t>
  </si>
  <si>
    <t>Erros e Reclamações</t>
  </si>
  <si>
    <t>Sugestões de aprimoramento</t>
  </si>
  <si>
    <t>Tema do Treinamento</t>
  </si>
  <si>
    <t>Treinamento sugeridos
para aprimorar conhecimento</t>
  </si>
  <si>
    <t>Treinamentos sugeridos
para atitudes</t>
  </si>
  <si>
    <t>Sumário</t>
  </si>
  <si>
    <t>Habilidades e diferenciais</t>
  </si>
  <si>
    <t>Suporte</t>
  </si>
  <si>
    <t>Gerente</t>
  </si>
  <si>
    <t>Márcio</t>
  </si>
  <si>
    <t>Cristiano</t>
  </si>
  <si>
    <t>Equilíbrio emocional</t>
  </si>
  <si>
    <t>Treinamento para emissão de Nfe</t>
  </si>
  <si>
    <t>Realizado</t>
  </si>
  <si>
    <t>Workshop</t>
  </si>
  <si>
    <t>Em processo</t>
  </si>
  <si>
    <t xml:space="preserve">Informe a nota de 0 a 10 </t>
  </si>
  <si>
    <t>Esqueceu de ligar ao cliente</t>
  </si>
</sst>
</file>

<file path=xl/styles.xml><?xml version="1.0" encoding="utf-8"?>
<styleSheet xmlns="http://schemas.openxmlformats.org/spreadsheetml/2006/main">
  <fonts count="36">
    <font>
      <sz val="11"/>
      <color theme="1"/>
      <name val="Calibri"/>
      <family val="2"/>
      <scheme val="minor"/>
    </font>
    <font>
      <b/>
      <sz val="28"/>
      <color rgb="FF3B8BAF"/>
      <name val="Arial Rounded MT Bold"/>
      <family val="2"/>
    </font>
    <font>
      <b/>
      <sz val="48"/>
      <color rgb="FF3B8BAF"/>
      <name val="Arial Rounded MT Bold"/>
      <family val="2"/>
    </font>
    <font>
      <sz val="12"/>
      <color theme="1" tint="0.249977111117893"/>
      <name val="Arial Rounded MT"/>
    </font>
    <font>
      <b/>
      <sz val="16"/>
      <color rgb="FFFF4F4F"/>
      <name val="Arial Rounded MT"/>
    </font>
    <font>
      <sz val="12"/>
      <color theme="1" tint="0.14999847407452621"/>
      <name val="Arial Rounded MT"/>
    </font>
    <font>
      <sz val="12"/>
      <color theme="1" tint="0.14999847407452621"/>
      <name val="Calibri"/>
      <family val="2"/>
      <scheme val="minor"/>
    </font>
    <font>
      <sz val="12"/>
      <color theme="1"/>
      <name val="Arial Rounded MT"/>
    </font>
    <font>
      <sz val="12"/>
      <color theme="1"/>
      <name val="Verdana"/>
      <family val="2"/>
    </font>
    <font>
      <sz val="11"/>
      <color theme="1"/>
      <name val="Verdana"/>
      <family val="2"/>
    </font>
    <font>
      <sz val="26"/>
      <color rgb="FF006699"/>
      <name val="Verdana"/>
      <family val="2"/>
    </font>
    <font>
      <sz val="36"/>
      <color rgb="FF006699"/>
      <name val="Verdana"/>
      <family val="2"/>
    </font>
    <font>
      <b/>
      <sz val="28"/>
      <color theme="0"/>
      <name val="Verdana"/>
      <family val="2"/>
    </font>
    <font>
      <b/>
      <sz val="18"/>
      <color theme="0"/>
      <name val="Verdana"/>
      <family val="2"/>
    </font>
    <font>
      <sz val="12"/>
      <color rgb="FFFF0000"/>
      <name val="Verdana"/>
      <family val="2"/>
    </font>
    <font>
      <b/>
      <u/>
      <sz val="18"/>
      <color theme="0"/>
      <name val="Verdana"/>
      <family val="2"/>
    </font>
    <font>
      <u/>
      <sz val="12"/>
      <color theme="0"/>
      <name val="Verdana"/>
      <family val="2"/>
    </font>
    <font>
      <b/>
      <sz val="12"/>
      <color theme="0"/>
      <name val="Verdana"/>
      <family val="2"/>
    </font>
    <font>
      <sz val="12"/>
      <color theme="0"/>
      <name val="Verdana"/>
      <family val="2"/>
    </font>
    <font>
      <b/>
      <sz val="12"/>
      <color rgb="FF3B8BAF"/>
      <name val="Verdana"/>
      <family val="2"/>
    </font>
    <font>
      <b/>
      <sz val="14"/>
      <color theme="0"/>
      <name val="Verdana"/>
      <family val="2"/>
    </font>
    <font>
      <b/>
      <sz val="16"/>
      <color rgb="FFEA8239"/>
      <name val="Verdana"/>
      <family val="2"/>
    </font>
    <font>
      <u/>
      <sz val="12"/>
      <color theme="1"/>
      <name val="Verdana"/>
      <family val="2"/>
    </font>
    <font>
      <b/>
      <sz val="12"/>
      <color rgb="FFE2843E"/>
      <name val="Verdana"/>
      <family val="2"/>
    </font>
    <font>
      <sz val="14"/>
      <color theme="1"/>
      <name val="Verdana"/>
      <family val="2"/>
    </font>
    <font>
      <b/>
      <sz val="14"/>
      <color rgb="FFE2843E"/>
      <name val="Verdana"/>
      <family val="2"/>
    </font>
    <font>
      <u/>
      <sz val="11"/>
      <color theme="1"/>
      <name val="Verdana"/>
      <family val="2"/>
    </font>
    <font>
      <b/>
      <sz val="16"/>
      <color theme="0"/>
      <name val="Verdana"/>
      <family val="2"/>
    </font>
    <font>
      <sz val="11"/>
      <color rgb="FFEA8239"/>
      <name val="Verdana"/>
      <family val="2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b/>
      <sz val="12"/>
      <color rgb="FFEA8239"/>
      <name val="Verdana"/>
      <family val="2"/>
    </font>
    <font>
      <b/>
      <sz val="11"/>
      <color rgb="FFEA8239"/>
      <name val="Verdana"/>
      <family val="2"/>
    </font>
    <font>
      <b/>
      <sz val="11"/>
      <color rgb="FF3B8BAF"/>
      <name val="Verdana"/>
      <family val="2"/>
    </font>
    <font>
      <b/>
      <sz val="16"/>
      <color indexed="81"/>
      <name val="Tahoma"/>
      <family val="2"/>
    </font>
    <font>
      <sz val="16"/>
      <color indexed="8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6699"/>
        <bgColor indexed="64"/>
      </patternFill>
    </fill>
    <fill>
      <patternFill patternType="solid">
        <fgColor rgb="FF2C6983"/>
        <bgColor indexed="64"/>
      </patternFill>
    </fill>
    <fill>
      <patternFill patternType="solid">
        <fgColor rgb="FF3B8BA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AFD1E0"/>
        <bgColor indexed="64"/>
      </patternFill>
    </fill>
    <fill>
      <patternFill patternType="solid">
        <fgColor rgb="FFE2843E"/>
        <bgColor indexed="64"/>
      </patternFill>
    </fill>
    <fill>
      <patternFill patternType="solid">
        <fgColor rgb="FFFFDA65"/>
        <bgColor indexed="64"/>
      </patternFill>
    </fill>
    <fill>
      <patternFill patternType="solid">
        <fgColor rgb="FFFFE799"/>
        <bgColor indexed="64"/>
      </patternFill>
    </fill>
    <fill>
      <patternFill patternType="solid">
        <fgColor theme="8" tint="0.79998168889431442"/>
        <bgColor indexed="64"/>
      </patternFill>
    </fill>
  </fills>
  <borders count="28">
    <border>
      <left/>
      <right/>
      <top/>
      <bottom/>
      <diagonal/>
    </border>
    <border>
      <left style="medium">
        <color rgb="FF3B8BAF"/>
      </left>
      <right/>
      <top style="medium">
        <color rgb="FF3B8BAF"/>
      </top>
      <bottom/>
      <diagonal/>
    </border>
    <border>
      <left/>
      <right/>
      <top style="medium">
        <color rgb="FF3B8BAF"/>
      </top>
      <bottom/>
      <diagonal/>
    </border>
    <border>
      <left/>
      <right style="medium">
        <color rgb="FF3B8BAF"/>
      </right>
      <top style="medium">
        <color rgb="FF3B8BAF"/>
      </top>
      <bottom/>
      <diagonal/>
    </border>
    <border>
      <left style="medium">
        <color rgb="FF3B8BAF"/>
      </left>
      <right/>
      <top/>
      <bottom style="medium">
        <color rgb="FF3B8BAF"/>
      </bottom>
      <diagonal/>
    </border>
    <border>
      <left/>
      <right/>
      <top/>
      <bottom style="medium">
        <color rgb="FF3B8BAF"/>
      </bottom>
      <diagonal/>
    </border>
    <border>
      <left/>
      <right style="medium">
        <color rgb="FF3B8BAF"/>
      </right>
      <top/>
      <bottom style="medium">
        <color rgb="FF3B8BAF"/>
      </bottom>
      <diagonal/>
    </border>
    <border>
      <left style="medium">
        <color rgb="FFFF4F4F"/>
      </left>
      <right/>
      <top style="medium">
        <color rgb="FFFF4F4F"/>
      </top>
      <bottom/>
      <diagonal/>
    </border>
    <border>
      <left/>
      <right/>
      <top style="medium">
        <color rgb="FFFF4F4F"/>
      </top>
      <bottom/>
      <diagonal/>
    </border>
    <border>
      <left/>
      <right style="medium">
        <color rgb="FFFF4F4F"/>
      </right>
      <top style="medium">
        <color rgb="FFFF4F4F"/>
      </top>
      <bottom/>
      <diagonal/>
    </border>
    <border>
      <left style="medium">
        <color rgb="FFFF4F4F"/>
      </left>
      <right/>
      <top/>
      <bottom/>
      <diagonal/>
    </border>
    <border>
      <left/>
      <right style="medium">
        <color rgb="FFFF4F4F"/>
      </right>
      <top/>
      <bottom/>
      <diagonal/>
    </border>
    <border>
      <left style="medium">
        <color rgb="FFFF4F4F"/>
      </left>
      <right/>
      <top/>
      <bottom style="medium">
        <color rgb="FFFF4F4F"/>
      </bottom>
      <diagonal/>
    </border>
    <border>
      <left/>
      <right/>
      <top/>
      <bottom style="medium">
        <color rgb="FFFF4F4F"/>
      </bottom>
      <diagonal/>
    </border>
    <border>
      <left/>
      <right style="medium">
        <color rgb="FFFF4F4F"/>
      </right>
      <top/>
      <bottom style="medium">
        <color rgb="FFFF4F4F"/>
      </bottom>
      <diagonal/>
    </border>
    <border>
      <left style="medium">
        <color rgb="FFFF4F4F"/>
      </left>
      <right/>
      <top style="medium">
        <color rgb="FFFF4F4F"/>
      </top>
      <bottom style="medium">
        <color rgb="FFFF4F4F"/>
      </bottom>
      <diagonal/>
    </border>
    <border>
      <left/>
      <right/>
      <top style="medium">
        <color rgb="FFFF4F4F"/>
      </top>
      <bottom style="medium">
        <color rgb="FFFF4F4F"/>
      </bottom>
      <diagonal/>
    </border>
    <border>
      <left/>
      <right style="medium">
        <color rgb="FFFF4F4F"/>
      </right>
      <top style="medium">
        <color rgb="FFFF4F4F"/>
      </top>
      <bottom style="medium">
        <color rgb="FFFF4F4F"/>
      </bottom>
      <diagonal/>
    </border>
    <border>
      <left style="dotted">
        <color rgb="FF3B8BAF"/>
      </left>
      <right style="dotted">
        <color rgb="FF3B8BAF"/>
      </right>
      <top style="dotted">
        <color rgb="FF3B8BAF"/>
      </top>
      <bottom style="dotted">
        <color rgb="FF3B8BAF"/>
      </bottom>
      <diagonal/>
    </border>
    <border>
      <left style="dotted">
        <color rgb="FF3B8BAF"/>
      </left>
      <right style="dotted">
        <color rgb="FF3B8BAF"/>
      </right>
      <top/>
      <bottom style="dotted">
        <color rgb="FF3B8BAF"/>
      </bottom>
      <diagonal/>
    </border>
    <border>
      <left style="dotted">
        <color rgb="FF3B8BAF"/>
      </left>
      <right/>
      <top style="dotted">
        <color rgb="FF3B8BAF"/>
      </top>
      <bottom style="dotted">
        <color rgb="FF3B8BAF"/>
      </bottom>
      <diagonal/>
    </border>
    <border>
      <left/>
      <right style="dotted">
        <color rgb="FF3B8BAF"/>
      </right>
      <top style="dotted">
        <color rgb="FF3B8BAF"/>
      </top>
      <bottom style="dotted">
        <color rgb="FF3B8BAF"/>
      </bottom>
      <diagonal/>
    </border>
    <border>
      <left/>
      <right/>
      <top style="dotted">
        <color rgb="FF3B8BAF"/>
      </top>
      <bottom/>
      <diagonal/>
    </border>
    <border>
      <left/>
      <right style="dotted">
        <color rgb="FF3B8BAF"/>
      </right>
      <top/>
      <bottom/>
      <diagonal/>
    </border>
    <border>
      <left/>
      <right/>
      <top/>
      <bottom style="dotted">
        <color rgb="FF3B8BAF"/>
      </bottom>
      <diagonal/>
    </border>
    <border>
      <left/>
      <right/>
      <top style="dotted">
        <color rgb="FF3B8BAF"/>
      </top>
      <bottom style="dotted">
        <color rgb="FF3B8BAF"/>
      </bottom>
      <diagonal/>
    </border>
    <border>
      <left style="dotted">
        <color rgb="FFE2843E"/>
      </left>
      <right style="dotted">
        <color rgb="FFE2843E"/>
      </right>
      <top style="dotted">
        <color rgb="FFE2843E"/>
      </top>
      <bottom style="dotted">
        <color rgb="FFE2843E"/>
      </bottom>
      <diagonal/>
    </border>
    <border>
      <left/>
      <right style="dotted">
        <color rgb="FFE2843E"/>
      </right>
      <top/>
      <bottom/>
      <diagonal/>
    </border>
  </borders>
  <cellStyleXfs count="1">
    <xf numFmtId="0" fontId="0" fillId="0" borderId="0"/>
  </cellStyleXfs>
  <cellXfs count="152">
    <xf numFmtId="0" fontId="0" fillId="0" borderId="0" xfId="0"/>
    <xf numFmtId="0" fontId="2" fillId="2" borderId="0" xfId="0" applyFont="1" applyFill="1" applyAlignment="1">
      <alignment wrapText="1"/>
    </xf>
    <xf numFmtId="0" fontId="0" fillId="2" borderId="0" xfId="0" applyFill="1" applyBorder="1" applyAlignment="1">
      <alignment horizontal="center" vertical="center" wrapText="1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vertical="center" wrapText="1"/>
    </xf>
    <xf numFmtId="0" fontId="0" fillId="2" borderId="0" xfId="0" applyFill="1"/>
    <xf numFmtId="0" fontId="8" fillId="0" borderId="0" xfId="0" applyFont="1"/>
    <xf numFmtId="0" fontId="8" fillId="2" borderId="0" xfId="0" applyFont="1" applyFill="1"/>
    <xf numFmtId="0" fontId="8" fillId="0" borderId="0" xfId="0" applyFont="1" applyAlignment="1">
      <alignment horizontal="center"/>
    </xf>
    <xf numFmtId="0" fontId="9" fillId="0" borderId="0" xfId="0" applyFont="1"/>
    <xf numFmtId="0" fontId="11" fillId="2" borderId="0" xfId="0" applyFont="1" applyFill="1" applyAlignment="1">
      <alignment vertical="center" wrapText="1"/>
    </xf>
    <xf numFmtId="0" fontId="11" fillId="3" borderId="0" xfId="0" applyFont="1" applyFill="1" applyAlignment="1">
      <alignment vertical="center" wrapText="1"/>
    </xf>
    <xf numFmtId="0" fontId="8" fillId="3" borderId="0" xfId="0" applyFont="1" applyFill="1"/>
    <xf numFmtId="0" fontId="13" fillId="3" borderId="0" xfId="0" applyFont="1" applyFill="1" applyAlignment="1">
      <alignment vertical="center" wrapText="1"/>
    </xf>
    <xf numFmtId="0" fontId="14" fillId="3" borderId="0" xfId="0" applyFont="1" applyFill="1"/>
    <xf numFmtId="0" fontId="14" fillId="2" borderId="0" xfId="0" applyFont="1" applyFill="1"/>
    <xf numFmtId="0" fontId="8" fillId="0" borderId="0" xfId="0" applyFont="1" applyBorder="1"/>
    <xf numFmtId="0" fontId="8" fillId="3" borderId="0" xfId="0" applyFont="1" applyFill="1" applyAlignment="1"/>
    <xf numFmtId="0" fontId="8" fillId="2" borderId="0" xfId="0" applyFont="1" applyFill="1" applyAlignment="1"/>
    <xf numFmtId="0" fontId="8" fillId="2" borderId="0" xfId="0" applyFont="1" applyFill="1" applyBorder="1" applyAlignment="1"/>
    <xf numFmtId="0" fontId="8" fillId="0" borderId="0" xfId="0" applyFont="1" applyBorder="1" applyAlignment="1">
      <alignment horizontal="center"/>
    </xf>
    <xf numFmtId="0" fontId="19" fillId="2" borderId="24" xfId="0" applyFont="1" applyFill="1" applyBorder="1" applyAlignment="1">
      <alignment horizontal="left"/>
    </xf>
    <xf numFmtId="0" fontId="19" fillId="6" borderId="24" xfId="0" applyFont="1" applyFill="1" applyBorder="1" applyAlignment="1" applyProtection="1">
      <protection locked="0"/>
    </xf>
    <xf numFmtId="0" fontId="19" fillId="2" borderId="24" xfId="0" applyFont="1" applyFill="1" applyBorder="1" applyAlignment="1">
      <alignment horizontal="right"/>
    </xf>
    <xf numFmtId="0" fontId="19" fillId="6" borderId="24" xfId="0" applyFont="1" applyFill="1" applyBorder="1" applyProtection="1">
      <protection locked="0"/>
    </xf>
    <xf numFmtId="1" fontId="19" fillId="6" borderId="24" xfId="0" applyNumberFormat="1" applyFont="1" applyFill="1" applyBorder="1" applyAlignment="1">
      <alignment horizontal="center"/>
    </xf>
    <xf numFmtId="0" fontId="19" fillId="2" borderId="0" xfId="0" applyFont="1" applyFill="1" applyBorder="1" applyAlignment="1">
      <alignment horizontal="left"/>
    </xf>
    <xf numFmtId="0" fontId="19" fillId="6" borderId="0" xfId="0" applyFont="1" applyFill="1" applyBorder="1" applyAlignment="1" applyProtection="1">
      <protection locked="0"/>
    </xf>
    <xf numFmtId="0" fontId="19" fillId="2" borderId="0" xfId="0" applyFont="1" applyFill="1" applyBorder="1" applyAlignment="1">
      <alignment horizontal="right"/>
    </xf>
    <xf numFmtId="0" fontId="19" fillId="6" borderId="0" xfId="0" applyFont="1" applyFill="1" applyBorder="1" applyProtection="1">
      <protection locked="0"/>
    </xf>
    <xf numFmtId="0" fontId="8" fillId="2" borderId="0" xfId="0" applyFont="1" applyFill="1" applyBorder="1"/>
    <xf numFmtId="0" fontId="17" fillId="5" borderId="0" xfId="0" applyFont="1" applyFill="1" applyAlignment="1">
      <alignment horizontal="center" vertical="center"/>
    </xf>
    <xf numFmtId="0" fontId="22" fillId="0" borderId="0" xfId="0" applyFont="1"/>
    <xf numFmtId="0" fontId="17" fillId="5" borderId="0" xfId="0" applyFont="1" applyFill="1" applyBorder="1" applyAlignment="1">
      <alignment horizontal="center"/>
    </xf>
    <xf numFmtId="0" fontId="17" fillId="8" borderId="0" xfId="0" applyFont="1" applyFill="1" applyBorder="1" applyAlignment="1" applyProtection="1">
      <alignment horizontal="center"/>
    </xf>
    <xf numFmtId="0" fontId="19" fillId="7" borderId="0" xfId="0" applyFont="1" applyFill="1" applyBorder="1" applyAlignment="1" applyProtection="1">
      <alignment horizontal="center"/>
      <protection locked="0"/>
    </xf>
    <xf numFmtId="0" fontId="8" fillId="6" borderId="0" xfId="0" applyFont="1" applyFill="1" applyBorder="1" applyProtection="1">
      <protection locked="0"/>
    </xf>
    <xf numFmtId="2" fontId="23" fillId="9" borderId="0" xfId="0" applyNumberFormat="1" applyFont="1" applyFill="1" applyBorder="1" applyAlignment="1" applyProtection="1">
      <alignment horizontal="center"/>
    </xf>
    <xf numFmtId="0" fontId="19" fillId="11" borderId="0" xfId="0" applyFont="1" applyFill="1" applyBorder="1" applyAlignment="1" applyProtection="1">
      <alignment horizontal="center"/>
      <protection locked="0"/>
    </xf>
    <xf numFmtId="0" fontId="8" fillId="0" borderId="21" xfId="0" applyFont="1" applyBorder="1" applyProtection="1">
      <protection locked="0"/>
    </xf>
    <xf numFmtId="2" fontId="23" fillId="10" borderId="20" xfId="0" applyNumberFormat="1" applyFont="1" applyFill="1" applyBorder="1" applyAlignment="1" applyProtection="1">
      <alignment horizontal="center"/>
    </xf>
    <xf numFmtId="0" fontId="8" fillId="6" borderId="21" xfId="0" applyFont="1" applyFill="1" applyBorder="1" applyProtection="1">
      <protection locked="0"/>
    </xf>
    <xf numFmtId="2" fontId="23" fillId="9" borderId="20" xfId="0" applyNumberFormat="1" applyFont="1" applyFill="1" applyBorder="1" applyAlignment="1" applyProtection="1">
      <alignment horizontal="center"/>
    </xf>
    <xf numFmtId="0" fontId="8" fillId="0" borderId="21" xfId="0" applyFont="1" applyFill="1" applyBorder="1" applyProtection="1">
      <protection locked="0"/>
    </xf>
    <xf numFmtId="0" fontId="9" fillId="0" borderId="0" xfId="0" applyFont="1" applyBorder="1"/>
    <xf numFmtId="0" fontId="8" fillId="0" borderId="21" xfId="0" applyFont="1" applyFill="1" applyBorder="1" applyAlignment="1" applyProtection="1">
      <alignment horizontal="left"/>
      <protection locked="0"/>
    </xf>
    <xf numFmtId="0" fontId="20" fillId="5" borderId="0" xfId="0" applyFont="1" applyFill="1" applyBorder="1" applyAlignment="1">
      <alignment horizontal="center"/>
    </xf>
    <xf numFmtId="0" fontId="20" fillId="8" borderId="0" xfId="0" applyFont="1" applyFill="1" applyBorder="1" applyAlignment="1" applyProtection="1">
      <alignment horizontal="center"/>
    </xf>
    <xf numFmtId="2" fontId="24" fillId="0" borderId="0" xfId="0" applyNumberFormat="1" applyFont="1" applyBorder="1" applyAlignment="1">
      <alignment horizontal="center" vertical="center"/>
    </xf>
    <xf numFmtId="0" fontId="25" fillId="0" borderId="0" xfId="0" applyNumberFormat="1" applyFont="1" applyFill="1" applyBorder="1" applyAlignment="1" applyProtection="1">
      <alignment horizontal="center" vertical="center"/>
    </xf>
    <xf numFmtId="0" fontId="26" fillId="0" borderId="0" xfId="0" applyFont="1" applyBorder="1"/>
    <xf numFmtId="0" fontId="17" fillId="8" borderId="0" xfId="0" applyFont="1" applyFill="1" applyBorder="1" applyAlignment="1">
      <alignment horizontal="center"/>
    </xf>
    <xf numFmtId="2" fontId="23" fillId="9" borderId="0" xfId="0" applyNumberFormat="1" applyFont="1" applyFill="1" applyBorder="1" applyAlignment="1">
      <alignment horizontal="center"/>
    </xf>
    <xf numFmtId="2" fontId="23" fillId="10" borderId="20" xfId="0" applyNumberFormat="1" applyFont="1" applyFill="1" applyBorder="1" applyAlignment="1">
      <alignment horizontal="center"/>
    </xf>
    <xf numFmtId="2" fontId="23" fillId="9" borderId="20" xfId="0" applyNumberFormat="1" applyFont="1" applyFill="1" applyBorder="1" applyAlignment="1">
      <alignment horizontal="center"/>
    </xf>
    <xf numFmtId="0" fontId="20" fillId="8" borderId="0" xfId="0" applyFont="1" applyFill="1" applyBorder="1" applyAlignment="1">
      <alignment horizontal="center"/>
    </xf>
    <xf numFmtId="0" fontId="12" fillId="2" borderId="0" xfId="0" applyFont="1" applyFill="1" applyBorder="1" applyAlignment="1">
      <alignment vertical="center" wrapText="1"/>
    </xf>
    <xf numFmtId="0" fontId="9" fillId="2" borderId="0" xfId="0" applyFont="1" applyFill="1"/>
    <xf numFmtId="0" fontId="9" fillId="0" borderId="0" xfId="0" applyFont="1" applyAlignment="1"/>
    <xf numFmtId="0" fontId="26" fillId="0" borderId="0" xfId="0" applyFont="1"/>
    <xf numFmtId="0" fontId="8" fillId="2" borderId="0" xfId="0" applyFont="1" applyFill="1" applyBorder="1" applyAlignment="1">
      <alignment vertical="center"/>
    </xf>
    <xf numFmtId="0" fontId="28" fillId="2" borderId="0" xfId="0" applyFont="1" applyFill="1" applyAlignment="1"/>
    <xf numFmtId="0" fontId="9" fillId="2" borderId="0" xfId="0" applyFont="1" applyFill="1" applyAlignment="1"/>
    <xf numFmtId="0" fontId="19" fillId="11" borderId="18" xfId="0" applyFont="1" applyFill="1" applyBorder="1" applyAlignment="1">
      <alignment horizontal="center" vertical="center"/>
    </xf>
    <xf numFmtId="0" fontId="23" fillId="10" borderId="27" xfId="0" applyFont="1" applyFill="1" applyBorder="1" applyAlignment="1">
      <alignment horizontal="center" vertical="center"/>
    </xf>
    <xf numFmtId="0" fontId="8" fillId="3" borderId="0" xfId="0" applyFont="1" applyFill="1" applyAlignment="1">
      <alignment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8" fillId="6" borderId="18" xfId="0" applyFont="1" applyFill="1" applyBorder="1" applyAlignment="1" applyProtection="1">
      <alignment horizontal="center"/>
      <protection locked="0"/>
    </xf>
    <xf numFmtId="0" fontId="8" fillId="2" borderId="19" xfId="0" applyFont="1" applyFill="1" applyBorder="1" applyAlignment="1" applyProtection="1">
      <alignment horizontal="center"/>
      <protection locked="0"/>
    </xf>
    <xf numFmtId="0" fontId="9" fillId="0" borderId="0" xfId="0" applyFont="1" applyAlignment="1">
      <alignment horizontal="center"/>
    </xf>
    <xf numFmtId="0" fontId="8" fillId="7" borderId="18" xfId="0" applyFont="1" applyFill="1" applyBorder="1" applyAlignment="1" applyProtection="1">
      <alignment horizontal="left" vertical="center" wrapText="1"/>
      <protection locked="0"/>
    </xf>
    <xf numFmtId="0" fontId="8" fillId="2" borderId="0" xfId="0" applyFont="1" applyFill="1" applyBorder="1" applyAlignment="1">
      <alignment horizontal="left" vertical="center"/>
    </xf>
    <xf numFmtId="0" fontId="8" fillId="11" borderId="18" xfId="0" applyFont="1" applyFill="1" applyBorder="1" applyAlignment="1" applyProtection="1">
      <alignment horizontal="left" vertical="center" wrapText="1"/>
      <protection locked="0"/>
    </xf>
    <xf numFmtId="0" fontId="19" fillId="7" borderId="18" xfId="0" applyFont="1" applyFill="1" applyBorder="1" applyAlignment="1" applyProtection="1">
      <alignment horizontal="center" vertical="center" wrapText="1"/>
      <protection locked="0"/>
    </xf>
    <xf numFmtId="0" fontId="19" fillId="11" borderId="18" xfId="0" applyFont="1" applyFill="1" applyBorder="1" applyAlignment="1" applyProtection="1">
      <alignment horizontal="center" vertical="center" wrapText="1"/>
      <protection locked="0"/>
    </xf>
    <xf numFmtId="0" fontId="8" fillId="9" borderId="26" xfId="0" applyFont="1" applyFill="1" applyBorder="1" applyAlignment="1" applyProtection="1">
      <alignment horizontal="left" vertical="center"/>
      <protection locked="0"/>
    </xf>
    <xf numFmtId="0" fontId="8" fillId="10" borderId="26" xfId="0" applyFont="1" applyFill="1" applyBorder="1" applyAlignment="1" applyProtection="1">
      <alignment horizontal="left" vertical="center"/>
      <protection locked="0"/>
    </xf>
    <xf numFmtId="0" fontId="31" fillId="10" borderId="0" xfId="0" applyFont="1" applyFill="1" applyAlignment="1">
      <alignment horizontal="center" vertical="center"/>
    </xf>
    <xf numFmtId="0" fontId="31" fillId="0" borderId="0" xfId="0" applyFont="1"/>
    <xf numFmtId="0" fontId="31" fillId="9" borderId="26" xfId="0" applyFont="1" applyFill="1" applyBorder="1" applyAlignment="1" applyProtection="1">
      <alignment horizontal="center" vertical="center"/>
      <protection locked="0"/>
    </xf>
    <xf numFmtId="0" fontId="31" fillId="10" borderId="26" xfId="0" applyFont="1" applyFill="1" applyBorder="1" applyAlignment="1" applyProtection="1">
      <alignment horizontal="center" vertical="center"/>
      <protection locked="0"/>
    </xf>
    <xf numFmtId="0" fontId="32" fillId="2" borderId="0" xfId="0" applyFont="1" applyFill="1" applyAlignment="1"/>
    <xf numFmtId="0" fontId="32" fillId="2" borderId="0" xfId="0" applyFont="1" applyFill="1"/>
    <xf numFmtId="0" fontId="32" fillId="0" borderId="0" xfId="0" applyFont="1"/>
    <xf numFmtId="0" fontId="19" fillId="2" borderId="0" xfId="0" applyFont="1" applyFill="1"/>
    <xf numFmtId="0" fontId="33" fillId="2" borderId="0" xfId="0" applyFont="1" applyFill="1" applyAlignment="1">
      <alignment horizontal="center"/>
    </xf>
    <xf numFmtId="0" fontId="33" fillId="0" borderId="0" xfId="0" applyFont="1" applyAlignment="1">
      <alignment horizontal="center"/>
    </xf>
    <xf numFmtId="0" fontId="19" fillId="2" borderId="0" xfId="0" applyFont="1" applyFill="1" applyAlignment="1">
      <alignment horizontal="center"/>
    </xf>
    <xf numFmtId="1" fontId="19" fillId="6" borderId="23" xfId="0" applyNumberFormat="1" applyFont="1" applyFill="1" applyBorder="1" applyAlignment="1" applyProtection="1">
      <alignment horizontal="center"/>
      <protection locked="0"/>
    </xf>
    <xf numFmtId="1" fontId="19" fillId="0" borderId="18" xfId="0" applyNumberFormat="1" applyFont="1" applyBorder="1" applyAlignment="1" applyProtection="1">
      <alignment horizontal="center"/>
      <protection locked="0"/>
    </xf>
    <xf numFmtId="1" fontId="19" fillId="6" borderId="18" xfId="0" applyNumberFormat="1" applyFont="1" applyFill="1" applyBorder="1" applyAlignment="1" applyProtection="1">
      <alignment horizontal="center"/>
      <protection locked="0"/>
    </xf>
    <xf numFmtId="0" fontId="21" fillId="2" borderId="0" xfId="0" applyFont="1" applyFill="1" applyAlignment="1">
      <alignment horizontal="center"/>
    </xf>
    <xf numFmtId="0" fontId="31" fillId="10" borderId="0" xfId="0" applyFont="1" applyFill="1" applyAlignment="1" applyProtection="1">
      <alignment horizontal="center" vertical="center"/>
      <protection locked="0"/>
    </xf>
    <xf numFmtId="0" fontId="31" fillId="9" borderId="0" xfId="0" applyFont="1" applyFill="1" applyAlignment="1" applyProtection="1">
      <alignment horizontal="center" vertical="center"/>
      <protection locked="0"/>
    </xf>
    <xf numFmtId="0" fontId="9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2" fontId="25" fillId="0" borderId="0" xfId="0" applyNumberFormat="1" applyFont="1" applyFill="1" applyBorder="1" applyAlignment="1">
      <alignment horizontal="center" vertical="center"/>
    </xf>
    <xf numFmtId="2" fontId="19" fillId="6" borderId="0" xfId="0" applyNumberFormat="1" applyFont="1" applyFill="1" applyBorder="1" applyAlignment="1">
      <alignment horizontal="center"/>
    </xf>
    <xf numFmtId="0" fontId="8" fillId="2" borderId="0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17" fillId="5" borderId="0" xfId="0" applyFont="1" applyFill="1" applyBorder="1" applyAlignment="1">
      <alignment horizontal="center"/>
    </xf>
    <xf numFmtId="0" fontId="10" fillId="3" borderId="0" xfId="0" applyFont="1" applyFill="1" applyAlignment="1">
      <alignment horizontal="left" vertical="center" wrapText="1"/>
    </xf>
    <xf numFmtId="0" fontId="18" fillId="3" borderId="0" xfId="0" applyFont="1" applyFill="1" applyAlignment="1">
      <alignment horizontal="left" vertical="center"/>
    </xf>
    <xf numFmtId="0" fontId="13" fillId="3" borderId="0" xfId="0" applyFont="1" applyFill="1" applyAlignment="1">
      <alignment horizontal="left" vertical="center"/>
    </xf>
    <xf numFmtId="0" fontId="15" fillId="3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left"/>
    </xf>
    <xf numFmtId="0" fontId="20" fillId="8" borderId="0" xfId="0" applyFont="1" applyFill="1" applyAlignment="1">
      <alignment horizontal="center"/>
    </xf>
    <xf numFmtId="0" fontId="12" fillId="4" borderId="0" xfId="0" applyFont="1" applyFill="1" applyBorder="1" applyAlignment="1">
      <alignment horizontal="center" vertical="center" wrapText="1"/>
    </xf>
    <xf numFmtId="0" fontId="17" fillId="5" borderId="0" xfId="0" applyFont="1" applyFill="1" applyAlignment="1">
      <alignment horizontal="center"/>
    </xf>
    <xf numFmtId="0" fontId="17" fillId="5" borderId="23" xfId="0" applyFont="1" applyFill="1" applyBorder="1" applyAlignment="1">
      <alignment horizontal="center"/>
    </xf>
    <xf numFmtId="0" fontId="8" fillId="6" borderId="20" xfId="0" applyFont="1" applyFill="1" applyBorder="1" applyAlignment="1">
      <alignment horizontal="center"/>
    </xf>
    <xf numFmtId="0" fontId="8" fillId="6" borderId="25" xfId="0" applyFont="1" applyFill="1" applyBorder="1" applyAlignment="1">
      <alignment horizontal="center"/>
    </xf>
    <xf numFmtId="0" fontId="8" fillId="2" borderId="20" xfId="0" applyFont="1" applyFill="1" applyBorder="1" applyAlignment="1">
      <alignment horizontal="center"/>
    </xf>
    <xf numFmtId="0" fontId="8" fillId="2" borderId="25" xfId="0" applyFont="1" applyFill="1" applyBorder="1" applyAlignment="1">
      <alignment horizontal="center"/>
    </xf>
    <xf numFmtId="0" fontId="17" fillId="5" borderId="0" xfId="0" applyFont="1" applyFill="1" applyAlignment="1">
      <alignment horizontal="center" vertical="center"/>
    </xf>
    <xf numFmtId="0" fontId="8" fillId="6" borderId="22" xfId="0" applyFont="1" applyFill="1" applyBorder="1" applyAlignment="1">
      <alignment horizontal="center"/>
    </xf>
    <xf numFmtId="0" fontId="21" fillId="2" borderId="0" xfId="0" applyFont="1" applyFill="1" applyAlignment="1">
      <alignment horizontal="center"/>
    </xf>
    <xf numFmtId="0" fontId="20" fillId="4" borderId="0" xfId="0" applyFont="1" applyFill="1" applyBorder="1" applyAlignment="1">
      <alignment horizontal="center" vertical="center"/>
    </xf>
    <xf numFmtId="0" fontId="17" fillId="3" borderId="0" xfId="0" applyFont="1" applyFill="1" applyAlignment="1">
      <alignment horizontal="left" vertical="center"/>
    </xf>
    <xf numFmtId="0" fontId="27" fillId="8" borderId="0" xfId="0" applyFont="1" applyFill="1" applyAlignment="1">
      <alignment horizontal="center" vertical="center"/>
    </xf>
    <xf numFmtId="0" fontId="8" fillId="7" borderId="0" xfId="0" applyFont="1" applyFill="1" applyAlignment="1" applyProtection="1">
      <alignment horizontal="left" vertical="center"/>
      <protection locked="0"/>
    </xf>
    <xf numFmtId="0" fontId="8" fillId="11" borderId="0" xfId="0" applyFont="1" applyFill="1" applyAlignment="1" applyProtection="1">
      <alignment horizontal="left" vertical="center"/>
      <protection locked="0"/>
    </xf>
    <xf numFmtId="0" fontId="8" fillId="11" borderId="0" xfId="0" applyFont="1" applyFill="1" applyAlignment="1" applyProtection="1">
      <alignment horizontal="left" vertical="center" wrapText="1"/>
      <protection locked="0"/>
    </xf>
    <xf numFmtId="0" fontId="27" fillId="5" borderId="0" xfId="0" applyFont="1" applyFill="1" applyAlignment="1">
      <alignment horizontal="center" vertical="center"/>
    </xf>
    <xf numFmtId="0" fontId="27" fillId="5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27" fillId="2" borderId="0" xfId="0" applyFont="1" applyFill="1" applyAlignment="1">
      <alignment horizontal="center"/>
    </xf>
    <xf numFmtId="0" fontId="27" fillId="5" borderId="0" xfId="0" applyFont="1" applyFill="1" applyAlignment="1">
      <alignment horizontal="center" vertical="center" wrapText="1"/>
    </xf>
    <xf numFmtId="0" fontId="27" fillId="8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/>
    </xf>
  </cellXfs>
  <cellStyles count="1">
    <cellStyle name="Normal" xfId="0" builtinId="0"/>
  </cellStyles>
  <dxfs count="4">
    <dxf>
      <font>
        <b/>
        <i val="0"/>
        <color rgb="FF85A24E"/>
      </font>
      <border>
        <left/>
        <right/>
        <top/>
        <bottom/>
        <vertical/>
        <horizontal/>
      </border>
    </dxf>
    <dxf>
      <font>
        <b/>
        <i val="0"/>
        <color rgb="FFC73F44"/>
      </font>
      <border>
        <left/>
        <right/>
        <top/>
        <bottom/>
        <vertical/>
        <horizontal/>
      </border>
    </dxf>
    <dxf>
      <font>
        <b/>
        <i val="0"/>
        <color rgb="FF85A24E"/>
      </font>
      <border>
        <left/>
        <right/>
        <top/>
        <bottom/>
        <vertical/>
        <horizontal/>
      </border>
    </dxf>
    <dxf>
      <font>
        <b/>
        <i val="0"/>
        <color rgb="FFC73F44"/>
      </font>
      <border>
        <left/>
        <right/>
        <top/>
        <bottom/>
        <vertical/>
        <horizontal/>
      </border>
    </dxf>
  </dxfs>
  <tableStyles count="0" defaultTableStyle="TableStyleMedium9" defaultPivotStyle="PivotStyleLight16"/>
  <colors>
    <mruColors>
      <color rgb="FF3B8BAF"/>
      <color rgb="FFEA8239"/>
      <color rgb="FF006699"/>
      <color rgb="FFFFDA65"/>
      <color rgb="FFE2843E"/>
      <color rgb="FFFFE799"/>
      <color rgb="FFAFD1E0"/>
      <color rgb="FFC73F44"/>
      <color rgb="FF85A24E"/>
      <color rgb="FF2C698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title>
      <c:tx>
        <c:rich>
          <a:bodyPr/>
          <a:lstStyle/>
          <a:p>
            <a:pPr>
              <a:defRPr/>
            </a:pPr>
            <a:r>
              <a:rPr lang="pt-BR"/>
              <a:t>Competências</a:t>
            </a:r>
          </a:p>
        </c:rich>
      </c:tx>
      <c:layout/>
    </c:title>
    <c:plotArea>
      <c:layout/>
      <c:radarChart>
        <c:radarStyle val="filled"/>
        <c:ser>
          <c:idx val="0"/>
          <c:order val="0"/>
          <c:dLbls>
            <c:showVal val="1"/>
          </c:dLbls>
          <c:cat>
            <c:strRef>
              <c:f>'Avaliação de desempenho'!$J$23:$J$32</c:f>
              <c:strCache>
                <c:ptCount val="10"/>
                <c:pt idx="0">
                  <c:v>Comprometimento </c:v>
                </c:pt>
                <c:pt idx="1">
                  <c:v>Pro atividade</c:v>
                </c:pt>
                <c:pt idx="2">
                  <c:v>Eficiência</c:v>
                </c:pt>
                <c:pt idx="3">
                  <c:v>Segurança no trabalho</c:v>
                </c:pt>
                <c:pt idx="4">
                  <c:v>Responsabilidade</c:v>
                </c:pt>
                <c:pt idx="5">
                  <c:v>Qualidade</c:v>
                </c:pt>
                <c:pt idx="6">
                  <c:v>Trabalho em Equipe</c:v>
                </c:pt>
                <c:pt idx="7">
                  <c:v>Confiança, autoestima</c:v>
                </c:pt>
                <c:pt idx="8">
                  <c:v>Valorização do cliente</c:v>
                </c:pt>
                <c:pt idx="9">
                  <c:v>Foco</c:v>
                </c:pt>
              </c:strCache>
            </c:strRef>
          </c:cat>
          <c:val>
            <c:numRef>
              <c:f>'Avaliação de desempenho'!$K$23:$K$32</c:f>
              <c:numCache>
                <c:formatCode>0</c:formatCode>
                <c:ptCount val="10"/>
                <c:pt idx="0">
                  <c:v>10</c:v>
                </c:pt>
                <c:pt idx="1">
                  <c:v>7</c:v>
                </c:pt>
                <c:pt idx="2">
                  <c:v>7</c:v>
                </c:pt>
                <c:pt idx="3">
                  <c:v>5</c:v>
                </c:pt>
                <c:pt idx="4">
                  <c:v>7</c:v>
                </c:pt>
                <c:pt idx="5">
                  <c:v>6</c:v>
                </c:pt>
                <c:pt idx="6">
                  <c:v>5</c:v>
                </c:pt>
                <c:pt idx="7">
                  <c:v>6</c:v>
                </c:pt>
                <c:pt idx="8">
                  <c:v>8</c:v>
                </c:pt>
                <c:pt idx="9">
                  <c:v>8</c:v>
                </c:pt>
              </c:numCache>
            </c:numRef>
          </c:val>
        </c:ser>
        <c:dLbls>
          <c:showVal val="1"/>
        </c:dLbls>
        <c:axId val="63690624"/>
        <c:axId val="63692160"/>
      </c:radarChart>
      <c:catAx>
        <c:axId val="63690624"/>
        <c:scaling>
          <c:orientation val="minMax"/>
        </c:scaling>
        <c:axPos val="b"/>
        <c:majorGridlines/>
        <c:tickLblPos val="nextTo"/>
        <c:crossAx val="63692160"/>
        <c:crosses val="autoZero"/>
        <c:auto val="1"/>
        <c:lblAlgn val="ctr"/>
        <c:lblOffset val="100"/>
      </c:catAx>
      <c:valAx>
        <c:axId val="63692160"/>
        <c:scaling>
          <c:orientation val="minMax"/>
        </c:scaling>
        <c:delete val="1"/>
        <c:axPos val="l"/>
        <c:majorGridlines/>
        <c:numFmt formatCode="0" sourceLinked="1"/>
        <c:majorTickMark val="cross"/>
        <c:tickLblPos val="nextTo"/>
        <c:crossAx val="63690624"/>
        <c:crosses val="autoZero"/>
        <c:crossBetween val="between"/>
      </c:valAx>
    </c:plotArea>
    <c:plotVisOnly val="1"/>
  </c:chart>
  <c:printSettings>
    <c:headerFooter/>
    <c:pageMargins b="0.78740157499999996" l="0.511811024" r="0.511811024" t="0.78740157499999996" header="0.31496062000000136" footer="0.3149606200000013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title>
      <c:tx>
        <c:rich>
          <a:bodyPr/>
          <a:lstStyle/>
          <a:p>
            <a:pPr>
              <a:defRPr/>
            </a:pPr>
            <a:r>
              <a:rPr lang="pt-BR"/>
              <a:t>Habilidades</a:t>
            </a:r>
            <a:r>
              <a:rPr lang="pt-BR" baseline="0"/>
              <a:t> e diferenciais</a:t>
            </a:r>
            <a:endParaRPr lang="pt-BR"/>
          </a:p>
        </c:rich>
      </c:tx>
      <c:layout>
        <c:manualLayout>
          <c:xMode val="edge"/>
          <c:yMode val="edge"/>
          <c:x val="0.33769307334675375"/>
          <c:y val="2.3260644125698324E-2"/>
        </c:manualLayout>
      </c:layout>
    </c:title>
    <c:plotArea>
      <c:layout>
        <c:manualLayout>
          <c:layoutTarget val="inner"/>
          <c:xMode val="edge"/>
          <c:yMode val="edge"/>
          <c:x val="0.30761758128963723"/>
          <c:y val="0.23471967993353682"/>
          <c:w val="0.37665565780690297"/>
          <c:h val="0.66505751173832661"/>
        </c:manualLayout>
      </c:layout>
      <c:radarChart>
        <c:radarStyle val="filled"/>
        <c:ser>
          <c:idx val="0"/>
          <c:order val="0"/>
          <c:spPr>
            <a:ln w="25400">
              <a:noFill/>
            </a:ln>
          </c:spPr>
          <c:cat>
            <c:strRef>
              <c:f>'Avaliação de desempenho'!$J$38:$J$47</c:f>
              <c:strCache>
                <c:ptCount val="4"/>
                <c:pt idx="0">
                  <c:v>Busca por conhecimento</c:v>
                </c:pt>
                <c:pt idx="1">
                  <c:v>Habilidade técnica</c:v>
                </c:pt>
                <c:pt idx="2">
                  <c:v>Adaptação em relação ao ambiente</c:v>
                </c:pt>
                <c:pt idx="3">
                  <c:v>Equilíbrio emocional</c:v>
                </c:pt>
              </c:strCache>
            </c:strRef>
          </c:cat>
          <c:val>
            <c:numRef>
              <c:f>'Avaliação de desempenho'!$J$38:$J$47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spPr>
            <a:ln w="25400">
              <a:noFill/>
            </a:ln>
          </c:spPr>
          <c:cat>
            <c:strRef>
              <c:f>'Avaliação de desempenho'!$J$38:$J$47</c:f>
              <c:strCache>
                <c:ptCount val="4"/>
                <c:pt idx="0">
                  <c:v>Busca por conhecimento</c:v>
                </c:pt>
                <c:pt idx="1">
                  <c:v>Habilidade técnica</c:v>
                </c:pt>
                <c:pt idx="2">
                  <c:v>Adaptação em relação ao ambiente</c:v>
                </c:pt>
                <c:pt idx="3">
                  <c:v>Equilíbrio emocional</c:v>
                </c:pt>
              </c:strCache>
            </c:strRef>
          </c:cat>
          <c:val>
            <c:numRef>
              <c:f>'Avaliação de desempenho'!$K$38:$K$47</c:f>
              <c:numCache>
                <c:formatCode>0</c:formatCode>
                <c:ptCount val="10"/>
                <c:pt idx="0">
                  <c:v>6</c:v>
                </c:pt>
                <c:pt idx="1">
                  <c:v>9</c:v>
                </c:pt>
                <c:pt idx="2">
                  <c:v>7</c:v>
                </c:pt>
                <c:pt idx="3">
                  <c:v>6</c:v>
                </c:pt>
              </c:numCache>
            </c:numRef>
          </c:val>
        </c:ser>
        <c:axId val="63724928"/>
        <c:axId val="63747200"/>
      </c:radarChart>
      <c:catAx>
        <c:axId val="63724928"/>
        <c:scaling>
          <c:orientation val="minMax"/>
        </c:scaling>
        <c:axPos val="b"/>
        <c:majorGridlines/>
        <c:numFmt formatCode="0" sourceLinked="1"/>
        <c:tickLblPos val="nextTo"/>
        <c:crossAx val="63747200"/>
        <c:crosses val="autoZero"/>
        <c:auto val="1"/>
        <c:lblAlgn val="ctr"/>
        <c:lblOffset val="100"/>
      </c:catAx>
      <c:valAx>
        <c:axId val="63747200"/>
        <c:scaling>
          <c:orientation val="minMax"/>
        </c:scaling>
        <c:delete val="1"/>
        <c:axPos val="l"/>
        <c:majorGridlines/>
        <c:numFmt formatCode="General" sourceLinked="1"/>
        <c:majorTickMark val="cross"/>
        <c:tickLblPos val="nextTo"/>
        <c:crossAx val="63724928"/>
        <c:crosses val="autoZero"/>
        <c:crossBetween val="between"/>
      </c:valAx>
    </c:plotArea>
    <c:plotVisOnly val="1"/>
  </c:chart>
  <c:printSettings>
    <c:headerFooter/>
    <c:pageMargins b="0.78740157499999996" l="0.511811024" r="0.511811024" t="0.78740157499999996" header="0.31496062000000136" footer="0.31496062000000136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7" Type="http://schemas.openxmlformats.org/officeDocument/2006/relationships/hyperlink" Target="#'Sugest&#245;es de aprimoramento-'!A1"/><Relationship Id="rId2" Type="http://schemas.openxmlformats.org/officeDocument/2006/relationships/image" Target="../media/image2.png"/><Relationship Id="rId1" Type="http://schemas.openxmlformats.org/officeDocument/2006/relationships/hyperlink" Target="http://www.softensistemas.com.br" TargetMode="External"/><Relationship Id="rId6" Type="http://schemas.openxmlformats.org/officeDocument/2006/relationships/hyperlink" Target="#'Erros e Reclama&#231;&#245;es'!A1"/><Relationship Id="rId5" Type="http://schemas.openxmlformats.org/officeDocument/2006/relationships/hyperlink" Target="#'Avalia&#231;&#227;o de desempenho'!A1"/><Relationship Id="rId4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'Avalia&#231;&#227;o de desempenho'!A1"/><Relationship Id="rId2" Type="http://schemas.openxmlformats.org/officeDocument/2006/relationships/image" Target="../media/image2.png"/><Relationship Id="rId1" Type="http://schemas.openxmlformats.org/officeDocument/2006/relationships/hyperlink" Target="http://www.softensistemas.com.br" TargetMode="External"/><Relationship Id="rId5" Type="http://schemas.openxmlformats.org/officeDocument/2006/relationships/hyperlink" Target="#'Sugest&#245;es de aprimoramento-'!A1"/><Relationship Id="rId4" Type="http://schemas.openxmlformats.org/officeDocument/2006/relationships/hyperlink" Target="#'Erros e Reclama&#231;&#245;es'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'Avalia&#231;&#227;o de desempenho'!A1"/><Relationship Id="rId2" Type="http://schemas.openxmlformats.org/officeDocument/2006/relationships/image" Target="../media/image2.png"/><Relationship Id="rId1" Type="http://schemas.openxmlformats.org/officeDocument/2006/relationships/hyperlink" Target="http://www.softensistemas.com.br" TargetMode="External"/><Relationship Id="rId5" Type="http://schemas.openxmlformats.org/officeDocument/2006/relationships/hyperlink" Target="#'Sugest&#245;es de aprimoramento-'!A1"/><Relationship Id="rId4" Type="http://schemas.openxmlformats.org/officeDocument/2006/relationships/hyperlink" Target="#'Erros e Reclama&#231;&#245;es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398808</xdr:colOff>
      <xdr:row>12</xdr:row>
      <xdr:rowOff>135167</xdr:rowOff>
    </xdr:from>
    <xdr:to>
      <xdr:col>8</xdr:col>
      <xdr:colOff>506208</xdr:colOff>
      <xdr:row>13</xdr:row>
      <xdr:rowOff>66675</xdr:rowOff>
    </xdr:to>
    <xdr:sp macro="" textlink="">
      <xdr:nvSpPr>
        <xdr:cNvPr id="3" name="Triângulo retângulo 2"/>
        <xdr:cNvSpPr/>
      </xdr:nvSpPr>
      <xdr:spPr>
        <a:xfrm rot="5400000" flipV="1">
          <a:off x="4952921" y="3804304"/>
          <a:ext cx="122008" cy="107400"/>
        </a:xfrm>
        <a:prstGeom prst="rt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BR" sz="1100"/>
        </a:p>
      </xdr:txBody>
    </xdr:sp>
    <xdr:clientData/>
  </xdr:twoCellAnchor>
  <xdr:twoCellAnchor editAs="oneCell">
    <xdr:from>
      <xdr:col>8</xdr:col>
      <xdr:colOff>486834</xdr:colOff>
      <xdr:row>6</xdr:row>
      <xdr:rowOff>16933</xdr:rowOff>
    </xdr:from>
    <xdr:to>
      <xdr:col>13</xdr:col>
      <xdr:colOff>581807</xdr:colOff>
      <xdr:row>20</xdr:row>
      <xdr:rowOff>38099</xdr:rowOff>
    </xdr:to>
    <xdr:pic>
      <xdr:nvPicPr>
        <xdr:cNvPr id="4" name="Imagem 3" descr="ORSFZJ0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 flipH="1">
          <a:off x="5020734" y="1521883"/>
          <a:ext cx="3142973" cy="3802591"/>
        </a:xfrm>
        <a:prstGeom prst="rect">
          <a:avLst/>
        </a:prstGeom>
      </xdr:spPr>
    </xdr:pic>
    <xdr:clientData/>
  </xdr:twoCellAnchor>
  <xdr:twoCellAnchor>
    <xdr:from>
      <xdr:col>3</xdr:col>
      <xdr:colOff>63501</xdr:colOff>
      <xdr:row>16</xdr:row>
      <xdr:rowOff>722843</xdr:rowOff>
    </xdr:from>
    <xdr:to>
      <xdr:col>3</xdr:col>
      <xdr:colOff>459318</xdr:colOff>
      <xdr:row>19</xdr:row>
      <xdr:rowOff>118534</xdr:rowOff>
    </xdr:to>
    <xdr:sp macro="" textlink="">
      <xdr:nvSpPr>
        <xdr:cNvPr id="5" name="Seta para baixo 4"/>
        <xdr:cNvSpPr/>
      </xdr:nvSpPr>
      <xdr:spPr>
        <a:xfrm>
          <a:off x="1555751" y="4712760"/>
          <a:ext cx="395817" cy="729191"/>
        </a:xfrm>
        <a:prstGeom prst="downArrow">
          <a:avLst>
            <a:gd name="adj1" fmla="val 50000"/>
            <a:gd name="adj2" fmla="val 76087"/>
          </a:avLst>
        </a:prstGeom>
        <a:solidFill>
          <a:srgbClr val="FF4F4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95255</xdr:colOff>
      <xdr:row>1</xdr:row>
      <xdr:rowOff>204009</xdr:rowOff>
    </xdr:from>
    <xdr:to>
      <xdr:col>4</xdr:col>
      <xdr:colOff>511973</xdr:colOff>
      <xdr:row>5</xdr:row>
      <xdr:rowOff>142216</xdr:rowOff>
    </xdr:to>
    <xdr:pic>
      <xdr:nvPicPr>
        <xdr:cNvPr id="14" name="Imagem 13" descr="SOFTEN branco.png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67398" y="326473"/>
          <a:ext cx="1641361" cy="713814"/>
        </a:xfrm>
        <a:prstGeom prst="rect">
          <a:avLst/>
        </a:prstGeom>
      </xdr:spPr>
    </xdr:pic>
    <xdr:clientData/>
  </xdr:twoCellAnchor>
  <xdr:twoCellAnchor>
    <xdr:from>
      <xdr:col>12</xdr:col>
      <xdr:colOff>611981</xdr:colOff>
      <xdr:row>19</xdr:row>
      <xdr:rowOff>176893</xdr:rowOff>
    </xdr:from>
    <xdr:to>
      <xdr:col>15</xdr:col>
      <xdr:colOff>457200</xdr:colOff>
      <xdr:row>34</xdr:row>
      <xdr:rowOff>14287</xdr:rowOff>
    </xdr:to>
    <xdr:graphicFrame macro="">
      <xdr:nvGraphicFramePr>
        <xdr:cNvPr id="7" name="Grá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738187</xdr:colOff>
      <xdr:row>35</xdr:row>
      <xdr:rowOff>166687</xdr:rowOff>
    </xdr:from>
    <xdr:to>
      <xdr:col>15</xdr:col>
      <xdr:colOff>464344</xdr:colOff>
      <xdr:row>49</xdr:row>
      <xdr:rowOff>107155</xdr:rowOff>
    </xdr:to>
    <xdr:graphicFrame macro="">
      <xdr:nvGraphicFramePr>
        <xdr:cNvPr id="11" name="Gráfico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absolute">
    <xdr:from>
      <xdr:col>2</xdr:col>
      <xdr:colOff>13607</xdr:colOff>
      <xdr:row>11</xdr:row>
      <xdr:rowOff>122462</xdr:rowOff>
    </xdr:from>
    <xdr:to>
      <xdr:col>6</xdr:col>
      <xdr:colOff>37118</xdr:colOff>
      <xdr:row>13</xdr:row>
      <xdr:rowOff>20834</xdr:rowOff>
    </xdr:to>
    <xdr:sp macro="" textlink="">
      <xdr:nvSpPr>
        <xdr:cNvPr id="12" name="CaixaDeTexto 11">
          <a:hlinkClick xmlns:r="http://schemas.openxmlformats.org/officeDocument/2006/relationships" r:id="rId5"/>
        </xdr:cNvPr>
        <xdr:cNvSpPr txBox="1"/>
      </xdr:nvSpPr>
      <xdr:spPr>
        <a:xfrm>
          <a:off x="285750" y="1918605"/>
          <a:ext cx="2404761" cy="2793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200" b="0">
              <a:solidFill>
                <a:schemeClr val="bg1"/>
              </a:solidFill>
              <a:latin typeface="Verdana" pitchFamily="34" charset="0"/>
            </a:rPr>
            <a:t>1.</a:t>
          </a:r>
          <a:r>
            <a:rPr lang="pt-BR" sz="1200" b="0" baseline="0">
              <a:solidFill>
                <a:schemeClr val="bg1"/>
              </a:solidFill>
              <a:latin typeface="Verdana" pitchFamily="34" charset="0"/>
            </a:rPr>
            <a:t> </a:t>
          </a:r>
          <a:r>
            <a:rPr lang="pt-BR" sz="1200" b="0">
              <a:solidFill>
                <a:schemeClr val="bg1"/>
              </a:solidFill>
              <a:latin typeface="Verdana" pitchFamily="34" charset="0"/>
            </a:rPr>
            <a:t>Avaliação de desempenho</a:t>
          </a:r>
        </a:p>
      </xdr:txBody>
    </xdr:sp>
    <xdr:clientData/>
  </xdr:twoCellAnchor>
  <xdr:twoCellAnchor editAs="absolute">
    <xdr:from>
      <xdr:col>2</xdr:col>
      <xdr:colOff>13607</xdr:colOff>
      <xdr:row>13</xdr:row>
      <xdr:rowOff>97967</xdr:rowOff>
    </xdr:from>
    <xdr:to>
      <xdr:col>5</xdr:col>
      <xdr:colOff>131024</xdr:colOff>
      <xdr:row>15</xdr:row>
      <xdr:rowOff>23553</xdr:rowOff>
    </xdr:to>
    <xdr:sp macro="" textlink="">
      <xdr:nvSpPr>
        <xdr:cNvPr id="15" name="CaixaDeTexto 14">
          <a:hlinkClick xmlns:r="http://schemas.openxmlformats.org/officeDocument/2006/relationships" r:id="rId6"/>
        </xdr:cNvPr>
        <xdr:cNvSpPr txBox="1"/>
      </xdr:nvSpPr>
      <xdr:spPr>
        <a:xfrm>
          <a:off x="285750" y="2275110"/>
          <a:ext cx="1954381" cy="2793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200" b="0">
              <a:solidFill>
                <a:schemeClr val="bg1"/>
              </a:solidFill>
              <a:latin typeface="Verdana" pitchFamily="34" charset="0"/>
            </a:rPr>
            <a:t>2. Erros e reclamações</a:t>
          </a:r>
        </a:p>
      </xdr:txBody>
    </xdr:sp>
    <xdr:clientData/>
  </xdr:twoCellAnchor>
  <xdr:twoCellAnchor editAs="absolute">
    <xdr:from>
      <xdr:col>2</xdr:col>
      <xdr:colOff>13607</xdr:colOff>
      <xdr:row>15</xdr:row>
      <xdr:rowOff>100686</xdr:rowOff>
    </xdr:from>
    <xdr:to>
      <xdr:col>6</xdr:col>
      <xdr:colOff>307128</xdr:colOff>
      <xdr:row>17</xdr:row>
      <xdr:rowOff>4501</xdr:rowOff>
    </xdr:to>
    <xdr:sp macro="" textlink="">
      <xdr:nvSpPr>
        <xdr:cNvPr id="16" name="CaixaDeTexto 15">
          <a:hlinkClick xmlns:r="http://schemas.openxmlformats.org/officeDocument/2006/relationships" r:id="rId7"/>
        </xdr:cNvPr>
        <xdr:cNvSpPr txBox="1"/>
      </xdr:nvSpPr>
      <xdr:spPr>
        <a:xfrm>
          <a:off x="285750" y="2631615"/>
          <a:ext cx="2674771" cy="2793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200" b="0">
              <a:solidFill>
                <a:schemeClr val="bg1"/>
              </a:solidFill>
              <a:latin typeface="Verdana" pitchFamily="34" charset="0"/>
            </a:rPr>
            <a:t>3. Sugestões de aprimoramento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81643</xdr:colOff>
      <xdr:row>1</xdr:row>
      <xdr:rowOff>204007</xdr:rowOff>
    </xdr:from>
    <xdr:to>
      <xdr:col>4</xdr:col>
      <xdr:colOff>498361</xdr:colOff>
      <xdr:row>5</xdr:row>
      <xdr:rowOff>142214</xdr:rowOff>
    </xdr:to>
    <xdr:pic>
      <xdr:nvPicPr>
        <xdr:cNvPr id="4" name="Imagem 3" descr="SOFTEN branco.png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53786" y="326471"/>
          <a:ext cx="1641361" cy="713814"/>
        </a:xfrm>
        <a:prstGeom prst="rect">
          <a:avLst/>
        </a:prstGeom>
      </xdr:spPr>
    </xdr:pic>
    <xdr:clientData/>
  </xdr:twoCellAnchor>
  <xdr:twoCellAnchor editAs="absolute">
    <xdr:from>
      <xdr:col>2</xdr:col>
      <xdr:colOff>0</xdr:colOff>
      <xdr:row>11</xdr:row>
      <xdr:rowOff>136068</xdr:rowOff>
    </xdr:from>
    <xdr:to>
      <xdr:col>6</xdr:col>
      <xdr:colOff>37118</xdr:colOff>
      <xdr:row>13</xdr:row>
      <xdr:rowOff>34440</xdr:rowOff>
    </xdr:to>
    <xdr:sp macro="" textlink="">
      <xdr:nvSpPr>
        <xdr:cNvPr id="5" name="CaixaDeTexto 4">
          <a:hlinkClick xmlns:r="http://schemas.openxmlformats.org/officeDocument/2006/relationships" r:id="rId3"/>
        </xdr:cNvPr>
        <xdr:cNvSpPr txBox="1"/>
      </xdr:nvSpPr>
      <xdr:spPr>
        <a:xfrm>
          <a:off x="272143" y="1918604"/>
          <a:ext cx="2404761" cy="2793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200" b="0">
              <a:solidFill>
                <a:schemeClr val="bg1"/>
              </a:solidFill>
              <a:latin typeface="Verdana" pitchFamily="34" charset="0"/>
            </a:rPr>
            <a:t>1.</a:t>
          </a:r>
          <a:r>
            <a:rPr lang="pt-BR" sz="1200" b="0" baseline="0">
              <a:solidFill>
                <a:schemeClr val="bg1"/>
              </a:solidFill>
              <a:latin typeface="Verdana" pitchFamily="34" charset="0"/>
            </a:rPr>
            <a:t> </a:t>
          </a:r>
          <a:r>
            <a:rPr lang="pt-BR" sz="1200" b="0">
              <a:solidFill>
                <a:schemeClr val="bg1"/>
              </a:solidFill>
              <a:latin typeface="Verdana" pitchFamily="34" charset="0"/>
            </a:rPr>
            <a:t>Avaliação de desempenho</a:t>
          </a:r>
        </a:p>
      </xdr:txBody>
    </xdr:sp>
    <xdr:clientData/>
  </xdr:twoCellAnchor>
  <xdr:twoCellAnchor editAs="absolute">
    <xdr:from>
      <xdr:col>2</xdr:col>
      <xdr:colOff>0</xdr:colOff>
      <xdr:row>13</xdr:row>
      <xdr:rowOff>111573</xdr:rowOff>
    </xdr:from>
    <xdr:to>
      <xdr:col>5</xdr:col>
      <xdr:colOff>117417</xdr:colOff>
      <xdr:row>15</xdr:row>
      <xdr:rowOff>9945</xdr:rowOff>
    </xdr:to>
    <xdr:sp macro="" textlink="">
      <xdr:nvSpPr>
        <xdr:cNvPr id="6" name="CaixaDeTexto 5">
          <a:hlinkClick xmlns:r="http://schemas.openxmlformats.org/officeDocument/2006/relationships" r:id="rId4"/>
        </xdr:cNvPr>
        <xdr:cNvSpPr txBox="1"/>
      </xdr:nvSpPr>
      <xdr:spPr>
        <a:xfrm>
          <a:off x="272143" y="2275109"/>
          <a:ext cx="1954381" cy="2793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200" b="0">
              <a:solidFill>
                <a:schemeClr val="bg1"/>
              </a:solidFill>
              <a:latin typeface="Verdana" pitchFamily="34" charset="0"/>
            </a:rPr>
            <a:t>2. Erros e reclamações</a:t>
          </a:r>
        </a:p>
      </xdr:txBody>
    </xdr:sp>
    <xdr:clientData/>
  </xdr:twoCellAnchor>
  <xdr:twoCellAnchor editAs="absolute">
    <xdr:from>
      <xdr:col>2</xdr:col>
      <xdr:colOff>0</xdr:colOff>
      <xdr:row>15</xdr:row>
      <xdr:rowOff>127900</xdr:rowOff>
    </xdr:from>
    <xdr:to>
      <xdr:col>7</xdr:col>
      <xdr:colOff>7771</xdr:colOff>
      <xdr:row>17</xdr:row>
      <xdr:rowOff>26272</xdr:rowOff>
    </xdr:to>
    <xdr:sp macro="" textlink="">
      <xdr:nvSpPr>
        <xdr:cNvPr id="7" name="CaixaDeTexto 6">
          <a:hlinkClick xmlns:r="http://schemas.openxmlformats.org/officeDocument/2006/relationships" r:id="rId5"/>
        </xdr:cNvPr>
        <xdr:cNvSpPr txBox="1"/>
      </xdr:nvSpPr>
      <xdr:spPr>
        <a:xfrm>
          <a:off x="272143" y="2631614"/>
          <a:ext cx="2674771" cy="2793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200" b="0">
              <a:solidFill>
                <a:schemeClr val="bg1"/>
              </a:solidFill>
              <a:latin typeface="Verdana" pitchFamily="34" charset="0"/>
            </a:rPr>
            <a:t>3. Sugestões de aprimoramento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68036</xdr:colOff>
      <xdr:row>2</xdr:row>
      <xdr:rowOff>13507</xdr:rowOff>
    </xdr:from>
    <xdr:to>
      <xdr:col>4</xdr:col>
      <xdr:colOff>484754</xdr:colOff>
      <xdr:row>6</xdr:row>
      <xdr:rowOff>6142</xdr:rowOff>
    </xdr:to>
    <xdr:pic>
      <xdr:nvPicPr>
        <xdr:cNvPr id="2" name="Imagem 1" descr="SOFTEN branco.png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53786" y="340078"/>
          <a:ext cx="1641361" cy="713814"/>
        </a:xfrm>
        <a:prstGeom prst="rect">
          <a:avLst/>
        </a:prstGeom>
      </xdr:spPr>
    </xdr:pic>
    <xdr:clientData/>
  </xdr:twoCellAnchor>
  <xdr:twoCellAnchor editAs="absolute">
    <xdr:from>
      <xdr:col>2</xdr:col>
      <xdr:colOff>0</xdr:colOff>
      <xdr:row>11</xdr:row>
      <xdr:rowOff>95247</xdr:rowOff>
    </xdr:from>
    <xdr:to>
      <xdr:col>6</xdr:col>
      <xdr:colOff>37118</xdr:colOff>
      <xdr:row>12</xdr:row>
      <xdr:rowOff>184119</xdr:rowOff>
    </xdr:to>
    <xdr:sp macro="" textlink="">
      <xdr:nvSpPr>
        <xdr:cNvPr id="7" name="CaixaDeTexto 6">
          <a:hlinkClick xmlns:r="http://schemas.openxmlformats.org/officeDocument/2006/relationships" r:id="rId3"/>
        </xdr:cNvPr>
        <xdr:cNvSpPr txBox="1"/>
      </xdr:nvSpPr>
      <xdr:spPr>
        <a:xfrm>
          <a:off x="285750" y="1891390"/>
          <a:ext cx="2404761" cy="2793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200" b="0">
              <a:solidFill>
                <a:schemeClr val="bg1"/>
              </a:solidFill>
              <a:latin typeface="Verdana" pitchFamily="34" charset="0"/>
            </a:rPr>
            <a:t>1.</a:t>
          </a:r>
          <a:r>
            <a:rPr lang="pt-BR" sz="1200" b="0" baseline="0">
              <a:solidFill>
                <a:schemeClr val="bg1"/>
              </a:solidFill>
              <a:latin typeface="Verdana" pitchFamily="34" charset="0"/>
            </a:rPr>
            <a:t> </a:t>
          </a:r>
          <a:r>
            <a:rPr lang="pt-BR" sz="1200" b="0">
              <a:solidFill>
                <a:schemeClr val="bg1"/>
              </a:solidFill>
              <a:latin typeface="Verdana" pitchFamily="34" charset="0"/>
            </a:rPr>
            <a:t>Avaliação de desempenho</a:t>
          </a:r>
        </a:p>
      </xdr:txBody>
    </xdr:sp>
    <xdr:clientData/>
  </xdr:twoCellAnchor>
  <xdr:twoCellAnchor editAs="absolute">
    <xdr:from>
      <xdr:col>2</xdr:col>
      <xdr:colOff>0</xdr:colOff>
      <xdr:row>13</xdr:row>
      <xdr:rowOff>70752</xdr:rowOff>
    </xdr:from>
    <xdr:to>
      <xdr:col>5</xdr:col>
      <xdr:colOff>117417</xdr:colOff>
      <xdr:row>14</xdr:row>
      <xdr:rowOff>173231</xdr:rowOff>
    </xdr:to>
    <xdr:sp macro="" textlink="">
      <xdr:nvSpPr>
        <xdr:cNvPr id="8" name="CaixaDeTexto 7">
          <a:hlinkClick xmlns:r="http://schemas.openxmlformats.org/officeDocument/2006/relationships" r:id="rId4"/>
        </xdr:cNvPr>
        <xdr:cNvSpPr txBox="1"/>
      </xdr:nvSpPr>
      <xdr:spPr>
        <a:xfrm>
          <a:off x="285750" y="2247895"/>
          <a:ext cx="1954381" cy="2793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200" b="0">
              <a:solidFill>
                <a:schemeClr val="bg1"/>
              </a:solidFill>
              <a:latin typeface="Verdana" pitchFamily="34" charset="0"/>
            </a:rPr>
            <a:t>2. Erros e reclamações</a:t>
          </a:r>
        </a:p>
      </xdr:txBody>
    </xdr:sp>
    <xdr:clientData/>
  </xdr:twoCellAnchor>
  <xdr:twoCellAnchor editAs="absolute">
    <xdr:from>
      <xdr:col>2</xdr:col>
      <xdr:colOff>0</xdr:colOff>
      <xdr:row>15</xdr:row>
      <xdr:rowOff>19042</xdr:rowOff>
    </xdr:from>
    <xdr:to>
      <xdr:col>7</xdr:col>
      <xdr:colOff>7771</xdr:colOff>
      <xdr:row>15</xdr:row>
      <xdr:rowOff>298414</xdr:rowOff>
    </xdr:to>
    <xdr:sp macro="" textlink="">
      <xdr:nvSpPr>
        <xdr:cNvPr id="9" name="CaixaDeTexto 8">
          <a:hlinkClick xmlns:r="http://schemas.openxmlformats.org/officeDocument/2006/relationships" r:id="rId5"/>
        </xdr:cNvPr>
        <xdr:cNvSpPr txBox="1"/>
      </xdr:nvSpPr>
      <xdr:spPr>
        <a:xfrm>
          <a:off x="285750" y="2645221"/>
          <a:ext cx="2674771" cy="2793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pt-BR" sz="1200" b="0">
              <a:solidFill>
                <a:schemeClr val="bg1"/>
              </a:solidFill>
              <a:latin typeface="Verdana" pitchFamily="34" charset="0"/>
            </a:rPr>
            <a:t>3. Sugestões de aprimoramento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noFill/>
      </a:spPr>
      <a:bodyPr wrap="none" rtlCol="0" anchor="t">
        <a:spAutoFit/>
      </a:bodyPr>
      <a:lstStyle>
        <a:defPPr>
          <a:defRPr sz="1200" b="0">
            <a:solidFill>
              <a:schemeClr val="bg1"/>
            </a:solidFill>
            <a:latin typeface="Verdana" pitchFamily="34" charset="0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Plan1"/>
  <dimension ref="A1:AB29"/>
  <sheetViews>
    <sheetView workbookViewId="0"/>
  </sheetViews>
  <sheetFormatPr defaultColWidth="0" defaultRowHeight="15" zeroHeight="1"/>
  <cols>
    <col min="1" max="1" width="4" customWidth="1"/>
    <col min="2" max="15" width="9.140625" customWidth="1"/>
    <col min="16" max="28" width="0" hidden="1" customWidth="1"/>
    <col min="29" max="16384" width="9.140625" hidden="1"/>
  </cols>
  <sheetData>
    <row r="1" spans="1:28" ht="6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 ht="6" customHeight="1">
      <c r="A2" s="5"/>
      <c r="B2" s="105" t="s">
        <v>28</v>
      </c>
      <c r="C2" s="105"/>
      <c r="D2" s="105"/>
      <c r="E2" s="105"/>
      <c r="F2" s="105"/>
      <c r="G2" s="105"/>
      <c r="H2" s="105"/>
      <c r="I2" s="10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28">
      <c r="A3" s="5"/>
      <c r="B3" s="105"/>
      <c r="C3" s="105"/>
      <c r="D3" s="105"/>
      <c r="E3" s="105"/>
      <c r="F3" s="105"/>
      <c r="G3" s="105"/>
      <c r="H3" s="105"/>
      <c r="I3" s="10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28" ht="52.5" customHeight="1">
      <c r="A4" s="5"/>
      <c r="B4" s="105"/>
      <c r="C4" s="105"/>
      <c r="D4" s="105"/>
      <c r="E4" s="105"/>
      <c r="F4" s="105"/>
      <c r="G4" s="105"/>
      <c r="H4" s="105"/>
      <c r="I4" s="10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8" ht="15" customHeight="1" thickBot="1">
      <c r="A5" s="5"/>
      <c r="B5" s="1"/>
      <c r="C5" s="1"/>
      <c r="D5" s="1"/>
      <c r="E5" s="1"/>
      <c r="F5" s="1"/>
      <c r="G5" s="1"/>
      <c r="H5" s="1"/>
      <c r="I5" s="1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ht="24" customHeight="1">
      <c r="A6" s="5"/>
      <c r="B6" s="106" t="s">
        <v>29</v>
      </c>
      <c r="C6" s="107"/>
      <c r="D6" s="107"/>
      <c r="E6" s="107"/>
      <c r="F6" s="107"/>
      <c r="G6" s="107"/>
      <c r="H6" s="107"/>
      <c r="I6" s="108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ht="43.5" customHeight="1" thickBot="1">
      <c r="A7" s="5"/>
      <c r="B7" s="109"/>
      <c r="C7" s="110"/>
      <c r="D7" s="110"/>
      <c r="E7" s="110"/>
      <c r="F7" s="110"/>
      <c r="G7" s="110"/>
      <c r="H7" s="110"/>
      <c r="I7" s="111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>
      <c r="A8" s="5"/>
      <c r="B8" s="2"/>
      <c r="C8" s="2"/>
      <c r="D8" s="2"/>
      <c r="E8" s="2"/>
      <c r="F8" s="2"/>
      <c r="G8" s="2"/>
      <c r="H8" s="2"/>
      <c r="I8" s="2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 ht="20.25">
      <c r="A9" s="5"/>
      <c r="B9" s="112" t="s">
        <v>30</v>
      </c>
      <c r="C9" s="112"/>
      <c r="D9" s="112"/>
      <c r="E9" s="112"/>
      <c r="F9" s="112"/>
      <c r="G9" s="112"/>
      <c r="H9" s="112"/>
      <c r="I9" s="112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 ht="15.75" thickBot="1">
      <c r="A10" s="5"/>
      <c r="B10" s="3"/>
      <c r="C10" s="3"/>
      <c r="D10" s="3"/>
      <c r="E10" s="3"/>
      <c r="F10" s="3"/>
      <c r="G10" s="3"/>
      <c r="H10" s="3"/>
      <c r="I10" s="3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spans="1:28">
      <c r="A11" s="5"/>
      <c r="B11" s="113" t="s">
        <v>31</v>
      </c>
      <c r="C11" s="114"/>
      <c r="D11" s="114"/>
      <c r="E11" s="114"/>
      <c r="F11" s="114"/>
      <c r="G11" s="114"/>
      <c r="H11" s="114"/>
      <c r="I11" s="11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>
      <c r="A12" s="5"/>
      <c r="B12" s="116"/>
      <c r="C12" s="117"/>
      <c r="D12" s="117"/>
      <c r="E12" s="117"/>
      <c r="F12" s="117"/>
      <c r="G12" s="117"/>
      <c r="H12" s="117"/>
      <c r="I12" s="118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8">
      <c r="A13" s="5"/>
      <c r="B13" s="116"/>
      <c r="C13" s="117"/>
      <c r="D13" s="117"/>
      <c r="E13" s="117"/>
      <c r="F13" s="117"/>
      <c r="G13" s="117"/>
      <c r="H13" s="117"/>
      <c r="I13" s="118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 ht="15.75" thickBot="1">
      <c r="A14" s="5"/>
      <c r="B14" s="119"/>
      <c r="C14" s="120"/>
      <c r="D14" s="120"/>
      <c r="E14" s="120"/>
      <c r="F14" s="120"/>
      <c r="G14" s="120"/>
      <c r="H14" s="120"/>
      <c r="I14" s="121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>
      <c r="A15" s="5"/>
      <c r="B15" s="4"/>
      <c r="C15" s="4"/>
      <c r="D15" s="4"/>
      <c r="E15" s="4"/>
      <c r="F15" s="4"/>
      <c r="G15" s="4"/>
      <c r="H15" s="4"/>
      <c r="I15" s="4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 ht="7.5" customHeight="1" thickBot="1">
      <c r="A16" s="5"/>
      <c r="B16" s="4"/>
      <c r="C16" s="4"/>
      <c r="D16" s="4"/>
      <c r="E16" s="4"/>
      <c r="F16" s="4"/>
      <c r="G16" s="4"/>
      <c r="H16" s="4"/>
      <c r="I16" s="4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 ht="75" customHeight="1" thickBot="1">
      <c r="A17" s="5"/>
      <c r="B17" s="102" t="s">
        <v>32</v>
      </c>
      <c r="C17" s="103"/>
      <c r="D17" s="104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spans="1:2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spans="1:28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spans="1:28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spans="1:28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spans="1:28" hidden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spans="1:28" hidden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spans="1:28" hidden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spans="1:28" hidden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 hidden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 hidden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 hidden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spans="1:28" hidden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</sheetData>
  <sheetProtection formatCells="0" selectLockedCells="1"/>
  <mergeCells count="5">
    <mergeCell ref="B17:D17"/>
    <mergeCell ref="B2:I4"/>
    <mergeCell ref="B6:I7"/>
    <mergeCell ref="B9:I9"/>
    <mergeCell ref="B11:I14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Plan2"/>
  <dimension ref="A1:AA161"/>
  <sheetViews>
    <sheetView showGridLines="0" zoomScale="70" zoomScaleNormal="70" workbookViewId="0">
      <pane xSplit="7" ySplit="1" topLeftCell="H23" activePane="bottomRight" state="frozen"/>
      <selection pane="topRight" activeCell="H1" sqref="H1"/>
      <selection pane="bottomLeft" activeCell="A2" sqref="A2"/>
      <selection pane="bottomRight" activeCell="K39" sqref="K39"/>
    </sheetView>
  </sheetViews>
  <sheetFormatPr defaultColWidth="0" defaultRowHeight="15" zeroHeight="1"/>
  <cols>
    <col min="1" max="1" width="1.85546875" style="6" customWidth="1"/>
    <col min="2" max="2" width="2.140625" style="6" customWidth="1"/>
    <col min="3" max="5" width="9.140625" style="6" customWidth="1"/>
    <col min="6" max="6" width="8.140625" style="6" customWidth="1"/>
    <col min="7" max="7" width="5.140625" style="6" customWidth="1"/>
    <col min="8" max="8" width="3" style="7" customWidth="1"/>
    <col min="9" max="9" width="28.28515625" style="7" bestFit="1" customWidth="1"/>
    <col min="10" max="10" width="44.5703125" style="7" bestFit="1" customWidth="1"/>
    <col min="11" max="11" width="20.28515625" style="7" customWidth="1"/>
    <col min="12" max="12" width="22.140625" style="7" customWidth="1"/>
    <col min="13" max="13" width="18.42578125" style="6" customWidth="1"/>
    <col min="14" max="14" width="21.28515625" style="8" customWidth="1"/>
    <col min="15" max="15" width="39.85546875" style="6" customWidth="1"/>
    <col min="16" max="16" width="12.28515625" style="8" customWidth="1"/>
    <col min="17" max="17" width="22.5703125" style="6" hidden="1" customWidth="1"/>
    <col min="18" max="18" width="10.5703125" style="6" hidden="1" customWidth="1"/>
    <col min="19" max="19" width="7.140625" style="6" hidden="1" customWidth="1"/>
    <col min="20" max="20" width="16" style="6" hidden="1" customWidth="1"/>
    <col min="21" max="21" width="12.42578125" style="6" hidden="1" customWidth="1"/>
    <col min="22" max="24" width="9.140625" style="6" hidden="1" customWidth="1"/>
    <col min="25" max="25" width="3" style="6" hidden="1" customWidth="1"/>
    <col min="26" max="26" width="9.140625" style="6" hidden="1" customWidth="1"/>
    <col min="27" max="27" width="17.5703125" style="6" hidden="1" customWidth="1"/>
    <col min="28" max="16384" width="9.140625" style="6" hidden="1"/>
  </cols>
  <sheetData>
    <row r="1" spans="2:26" ht="9.75" customHeight="1"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2:26" ht="15.75" customHeight="1">
      <c r="B2" s="123"/>
      <c r="C2" s="123"/>
      <c r="D2" s="123"/>
      <c r="E2" s="123"/>
      <c r="F2" s="123"/>
      <c r="G2" s="123"/>
      <c r="H2" s="10"/>
      <c r="I2" s="129" t="s">
        <v>34</v>
      </c>
      <c r="J2" s="129"/>
      <c r="K2" s="129"/>
      <c r="L2" s="129"/>
      <c r="M2" s="129"/>
      <c r="N2" s="12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2:26" ht="15" customHeight="1">
      <c r="B3" s="123"/>
      <c r="C3" s="123"/>
      <c r="D3" s="123"/>
      <c r="E3" s="123"/>
      <c r="F3" s="123"/>
      <c r="G3" s="123"/>
      <c r="H3" s="10"/>
      <c r="I3" s="129"/>
      <c r="J3" s="129"/>
      <c r="K3" s="129"/>
      <c r="L3" s="129"/>
      <c r="M3" s="129"/>
      <c r="N3" s="12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2:26" ht="15" customHeight="1">
      <c r="B4" s="123"/>
      <c r="C4" s="123"/>
      <c r="D4" s="123"/>
      <c r="E4" s="123"/>
      <c r="F4" s="123"/>
      <c r="G4" s="123"/>
      <c r="H4" s="10"/>
      <c r="I4" s="129"/>
      <c r="J4" s="129"/>
      <c r="K4" s="129"/>
      <c r="L4" s="129"/>
      <c r="M4" s="129"/>
      <c r="N4" s="12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2:26" ht="15" customHeight="1">
      <c r="B5" s="123"/>
      <c r="C5" s="123"/>
      <c r="D5" s="123"/>
      <c r="E5" s="123"/>
      <c r="F5" s="123"/>
      <c r="G5" s="123"/>
      <c r="H5" s="10"/>
      <c r="I5" s="129"/>
      <c r="J5" s="129"/>
      <c r="K5" s="129"/>
      <c r="L5" s="129"/>
      <c r="M5" s="129"/>
      <c r="N5" s="12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2:26" ht="12" customHeight="1">
      <c r="B6" s="11"/>
      <c r="C6" s="11"/>
      <c r="D6" s="11"/>
      <c r="E6" s="11"/>
      <c r="F6" s="11"/>
      <c r="G6" s="11"/>
      <c r="H6" s="10"/>
      <c r="I6" s="129"/>
      <c r="J6" s="129"/>
      <c r="K6" s="129"/>
      <c r="L6" s="129"/>
      <c r="M6" s="129"/>
      <c r="N6" s="12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2:26" ht="13.5" customHeight="1">
      <c r="B7" s="11"/>
      <c r="C7" s="12"/>
      <c r="D7" s="13"/>
      <c r="E7" s="13"/>
      <c r="F7" s="13"/>
      <c r="G7" s="11"/>
      <c r="H7" s="10"/>
      <c r="I7" s="129"/>
      <c r="J7" s="129"/>
      <c r="K7" s="129"/>
      <c r="L7" s="129"/>
      <c r="M7" s="129"/>
      <c r="N7" s="12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2:26" ht="15" customHeight="1">
      <c r="B8" s="14"/>
      <c r="C8" s="125" t="s">
        <v>45</v>
      </c>
      <c r="D8" s="126"/>
      <c r="E8" s="126"/>
      <c r="F8" s="126"/>
      <c r="G8" s="14"/>
      <c r="H8" s="15"/>
      <c r="I8" s="129"/>
      <c r="J8" s="129"/>
      <c r="K8" s="129"/>
      <c r="L8" s="129"/>
      <c r="M8" s="129"/>
      <c r="N8" s="12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2:26" ht="10.5" customHeight="1">
      <c r="B9" s="12"/>
      <c r="C9" s="126"/>
      <c r="D9" s="126"/>
      <c r="E9" s="126"/>
      <c r="F9" s="126"/>
      <c r="G9" s="12"/>
      <c r="M9" s="16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2:26" ht="3" customHeight="1">
      <c r="B10" s="12"/>
      <c r="C10" s="127" t="s">
        <v>33</v>
      </c>
      <c r="D10" s="127"/>
      <c r="E10" s="127"/>
      <c r="F10" s="127"/>
      <c r="G10" s="17"/>
      <c r="H10" s="18"/>
      <c r="I10" s="18"/>
      <c r="J10" s="19"/>
      <c r="K10" s="19"/>
      <c r="L10" s="19"/>
      <c r="M10" s="16"/>
      <c r="N10" s="20"/>
      <c r="O10" s="16"/>
      <c r="P10" s="20"/>
    </row>
    <row r="11" spans="2:26" ht="15.75" customHeight="1">
      <c r="B11" s="12"/>
      <c r="C11" s="140"/>
      <c r="D11" s="124"/>
      <c r="E11" s="124"/>
      <c r="F11" s="124"/>
      <c r="G11" s="17"/>
      <c r="H11" s="18"/>
      <c r="I11" s="21" t="s">
        <v>2</v>
      </c>
      <c r="J11" s="22" t="s">
        <v>49</v>
      </c>
      <c r="K11" s="23" t="s">
        <v>0</v>
      </c>
      <c r="L11" s="24" t="s">
        <v>47</v>
      </c>
      <c r="M11" s="23" t="s">
        <v>1</v>
      </c>
      <c r="N11" s="25">
        <f>K49</f>
        <v>7</v>
      </c>
    </row>
    <row r="12" spans="2:26" ht="15" customHeight="1">
      <c r="B12" s="12"/>
      <c r="C12" s="124"/>
      <c r="D12" s="124"/>
      <c r="E12" s="124"/>
      <c r="F12" s="124"/>
      <c r="G12" s="12"/>
      <c r="I12" s="26" t="s">
        <v>3</v>
      </c>
      <c r="J12" s="27" t="s">
        <v>50</v>
      </c>
      <c r="K12" s="28" t="s">
        <v>0</v>
      </c>
      <c r="L12" s="29" t="s">
        <v>48</v>
      </c>
      <c r="M12" s="28" t="s">
        <v>17</v>
      </c>
      <c r="N12" s="100">
        <f>L49+L34+L19</f>
        <v>50</v>
      </c>
    </row>
    <row r="13" spans="2:26" ht="15" customHeight="1">
      <c r="B13" s="12"/>
      <c r="C13" s="124"/>
      <c r="D13" s="124"/>
      <c r="E13" s="124"/>
      <c r="F13" s="124"/>
      <c r="G13" s="12"/>
      <c r="J13" s="30"/>
      <c r="K13" s="30"/>
      <c r="L13" s="30"/>
      <c r="M13" s="16"/>
      <c r="N13" s="20"/>
      <c r="O13" s="16"/>
      <c r="P13" s="20"/>
    </row>
    <row r="14" spans="2:26" ht="14.25" customHeight="1">
      <c r="B14" s="12"/>
      <c r="C14" s="124"/>
      <c r="D14" s="124"/>
      <c r="E14" s="124"/>
      <c r="F14" s="124"/>
      <c r="G14" s="12"/>
    </row>
    <row r="15" spans="2:26" ht="13.5" customHeight="1">
      <c r="B15" s="12"/>
      <c r="C15" s="124"/>
      <c r="D15" s="124"/>
      <c r="E15" s="124"/>
      <c r="F15" s="124"/>
      <c r="G15" s="12"/>
      <c r="K15" s="31" t="s">
        <v>12</v>
      </c>
      <c r="L15" s="136" t="s">
        <v>13</v>
      </c>
      <c r="M15" s="136"/>
      <c r="O15" s="9"/>
      <c r="P15" s="9"/>
      <c r="Q15" s="9"/>
      <c r="R15" s="9"/>
      <c r="S15" s="9"/>
    </row>
    <row r="16" spans="2:26" ht="16.5" customHeight="1">
      <c r="B16" s="12"/>
      <c r="C16" s="124"/>
      <c r="D16" s="124"/>
      <c r="E16" s="124"/>
      <c r="F16" s="124"/>
      <c r="G16" s="12"/>
      <c r="I16" s="130" t="s">
        <v>7</v>
      </c>
      <c r="J16" s="131"/>
      <c r="K16" s="70">
        <v>40</v>
      </c>
      <c r="L16" s="132" t="str">
        <f>IF($K$16=0,"0",IF($K$16&lt;=7,"-5",IF($K$16&gt;=15,"-15","-10")))</f>
        <v>-15</v>
      </c>
      <c r="M16" s="133"/>
      <c r="O16" s="9"/>
      <c r="P16" s="9"/>
      <c r="Q16" s="9"/>
      <c r="R16" s="9"/>
      <c r="S16" s="9"/>
    </row>
    <row r="17" spans="2:19" ht="13.5" customHeight="1">
      <c r="B17" s="12"/>
      <c r="C17" s="124"/>
      <c r="D17" s="124"/>
      <c r="E17" s="124"/>
      <c r="F17" s="124"/>
      <c r="G17" s="12"/>
      <c r="I17" s="130" t="s">
        <v>8</v>
      </c>
      <c r="J17" s="131"/>
      <c r="K17" s="71">
        <v>3</v>
      </c>
      <c r="L17" s="134" t="str">
        <f>IF($K$17=0,"0",IF($K$17&lt;=7,"-5",IF($K$17&gt;=15,"-15","-10")))</f>
        <v>-5</v>
      </c>
      <c r="M17" s="135"/>
      <c r="O17" s="9"/>
      <c r="P17" s="9"/>
      <c r="Q17" s="9"/>
      <c r="R17" s="9"/>
      <c r="S17" s="9"/>
    </row>
    <row r="18" spans="2:19" ht="14.25" customHeight="1">
      <c r="B18" s="12"/>
      <c r="C18" s="124"/>
      <c r="D18" s="124"/>
      <c r="E18" s="124"/>
      <c r="F18" s="124"/>
      <c r="G18" s="12"/>
      <c r="I18" s="130" t="s">
        <v>21</v>
      </c>
      <c r="J18" s="130"/>
      <c r="K18" s="130"/>
      <c r="L18" s="137">
        <f>'Erros e Reclamações'!K51:K51</f>
        <v>-10</v>
      </c>
      <c r="M18" s="137"/>
      <c r="O18" s="9"/>
      <c r="P18" s="9"/>
      <c r="Q18" s="9"/>
      <c r="R18" s="9"/>
      <c r="S18" s="9"/>
    </row>
    <row r="19" spans="2:19" ht="18.75" customHeight="1">
      <c r="B19" s="12"/>
      <c r="C19" s="12"/>
      <c r="D19" s="12"/>
      <c r="E19" s="12"/>
      <c r="F19" s="12"/>
      <c r="G19" s="12"/>
      <c r="I19" s="128" t="s">
        <v>35</v>
      </c>
      <c r="J19" s="128"/>
      <c r="K19" s="69"/>
      <c r="L19" s="138">
        <f>L16+L17+L18</f>
        <v>-30</v>
      </c>
      <c r="M19" s="138"/>
      <c r="O19" s="9"/>
      <c r="P19" s="9"/>
      <c r="Q19" s="9"/>
      <c r="R19" s="9"/>
      <c r="S19" s="9"/>
    </row>
    <row r="20" spans="2:19" ht="21.75" customHeight="1">
      <c r="B20" s="12"/>
      <c r="C20" s="12"/>
      <c r="D20" s="12"/>
      <c r="E20" s="12"/>
      <c r="F20" s="12"/>
      <c r="G20" s="12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2:19" ht="31.5" customHeight="1">
      <c r="B21" s="12"/>
      <c r="C21" s="12"/>
      <c r="D21" s="12"/>
      <c r="E21" s="12"/>
      <c r="F21" s="12"/>
      <c r="G21" s="12"/>
      <c r="I21" s="139" t="s">
        <v>37</v>
      </c>
      <c r="J21" s="139"/>
      <c r="K21" s="139"/>
      <c r="L21" s="139"/>
      <c r="O21" s="32"/>
      <c r="S21" s="9"/>
    </row>
    <row r="22" spans="2:19">
      <c r="B22" s="12"/>
      <c r="C22" s="12"/>
      <c r="D22" s="12"/>
      <c r="E22" s="12"/>
      <c r="F22" s="12"/>
      <c r="G22" s="12"/>
      <c r="I22" s="33" t="s">
        <v>22</v>
      </c>
      <c r="J22" s="122" t="s">
        <v>56</v>
      </c>
      <c r="K22" s="122"/>
      <c r="L22" s="34" t="s">
        <v>13</v>
      </c>
      <c r="M22" s="16"/>
      <c r="S22" s="9"/>
    </row>
    <row r="23" spans="2:19" ht="13.5" customHeight="1">
      <c r="B23" s="12"/>
      <c r="C23" s="12"/>
      <c r="D23" s="12"/>
      <c r="E23" s="12"/>
      <c r="F23" s="12"/>
      <c r="G23" s="12"/>
      <c r="I23" s="35" t="s">
        <v>19</v>
      </c>
      <c r="J23" s="36" t="s">
        <v>5</v>
      </c>
      <c r="K23" s="91">
        <v>10</v>
      </c>
      <c r="L23" s="37" t="str">
        <f>IF(K23&lt;=5,"0",IF(K23&lt;8,"5","10"))</f>
        <v>10</v>
      </c>
      <c r="M23" s="16"/>
      <c r="S23" s="9"/>
    </row>
    <row r="24" spans="2:19" ht="13.5" customHeight="1">
      <c r="B24" s="12"/>
      <c r="C24" s="12"/>
      <c r="D24" s="12"/>
      <c r="E24" s="12"/>
      <c r="F24" s="12"/>
      <c r="G24" s="12"/>
      <c r="I24" s="38" t="s">
        <v>19</v>
      </c>
      <c r="J24" s="39" t="s">
        <v>23</v>
      </c>
      <c r="K24" s="91">
        <v>7</v>
      </c>
      <c r="L24" s="40" t="str">
        <f t="shared" ref="L24:L32" si="0">IF(K24&lt;=5,"0",IF(K24&lt;8,"5","10"))</f>
        <v>5</v>
      </c>
      <c r="M24" s="16"/>
      <c r="S24" s="9"/>
    </row>
    <row r="25" spans="2:19" ht="13.5" customHeight="1">
      <c r="B25" s="12"/>
      <c r="C25" s="12"/>
      <c r="D25" s="12"/>
      <c r="E25" s="12"/>
      <c r="F25" s="12"/>
      <c r="G25" s="12"/>
      <c r="I25" s="35" t="s">
        <v>20</v>
      </c>
      <c r="J25" s="41" t="s">
        <v>24</v>
      </c>
      <c r="K25" s="91">
        <v>7</v>
      </c>
      <c r="L25" s="42" t="str">
        <f t="shared" si="0"/>
        <v>5</v>
      </c>
      <c r="M25" s="16"/>
      <c r="S25" s="9"/>
    </row>
    <row r="26" spans="2:19" ht="13.5" customHeight="1">
      <c r="B26" s="12"/>
      <c r="C26" s="12"/>
      <c r="D26" s="12"/>
      <c r="E26" s="12"/>
      <c r="F26" s="12"/>
      <c r="G26" s="12"/>
      <c r="I26" s="38" t="s">
        <v>19</v>
      </c>
      <c r="J26" s="39" t="s">
        <v>6</v>
      </c>
      <c r="K26" s="91">
        <v>5</v>
      </c>
      <c r="L26" s="40" t="str">
        <f t="shared" si="0"/>
        <v>0</v>
      </c>
      <c r="M26" s="16"/>
      <c r="S26" s="9"/>
    </row>
    <row r="27" spans="2:19" ht="13.5" customHeight="1">
      <c r="B27" s="12"/>
      <c r="C27" s="12"/>
      <c r="D27" s="12"/>
      <c r="E27" s="12"/>
      <c r="F27" s="12"/>
      <c r="G27" s="12"/>
      <c r="I27" s="35" t="s">
        <v>19</v>
      </c>
      <c r="J27" s="41" t="s">
        <v>9</v>
      </c>
      <c r="K27" s="91">
        <v>7</v>
      </c>
      <c r="L27" s="42" t="str">
        <f t="shared" si="0"/>
        <v>5</v>
      </c>
      <c r="M27" s="16"/>
      <c r="S27" s="9"/>
    </row>
    <row r="28" spans="2:19" ht="13.5" customHeight="1">
      <c r="B28" s="12"/>
      <c r="C28" s="12"/>
      <c r="D28" s="12"/>
      <c r="E28" s="12"/>
      <c r="F28" s="12"/>
      <c r="G28" s="12"/>
      <c r="I28" s="38" t="s">
        <v>20</v>
      </c>
      <c r="J28" s="43" t="s">
        <v>10</v>
      </c>
      <c r="K28" s="91">
        <v>6</v>
      </c>
      <c r="L28" s="40" t="str">
        <f t="shared" si="0"/>
        <v>5</v>
      </c>
      <c r="M28" s="16"/>
      <c r="S28" s="9"/>
    </row>
    <row r="29" spans="2:19" ht="13.5" customHeight="1">
      <c r="B29" s="12"/>
      <c r="C29" s="12"/>
      <c r="D29" s="12"/>
      <c r="E29" s="12"/>
      <c r="F29" s="12"/>
      <c r="G29" s="12"/>
      <c r="I29" s="35" t="s">
        <v>19</v>
      </c>
      <c r="J29" s="41" t="s">
        <v>11</v>
      </c>
      <c r="K29" s="91">
        <v>5</v>
      </c>
      <c r="L29" s="42" t="str">
        <f t="shared" si="0"/>
        <v>0</v>
      </c>
      <c r="M29" s="16"/>
      <c r="S29" s="9"/>
    </row>
    <row r="30" spans="2:19" ht="13.5" customHeight="1">
      <c r="B30" s="12"/>
      <c r="C30" s="12"/>
      <c r="D30" s="12"/>
      <c r="E30" s="12"/>
      <c r="F30" s="12"/>
      <c r="G30" s="12"/>
      <c r="I30" s="38" t="s">
        <v>19</v>
      </c>
      <c r="J30" s="43" t="s">
        <v>16</v>
      </c>
      <c r="K30" s="91">
        <v>6</v>
      </c>
      <c r="L30" s="40" t="str">
        <f t="shared" si="0"/>
        <v>5</v>
      </c>
      <c r="M30" s="16"/>
      <c r="S30" s="9"/>
    </row>
    <row r="31" spans="2:19" ht="13.5" customHeight="1">
      <c r="B31" s="12"/>
      <c r="C31" s="12"/>
      <c r="D31" s="12"/>
      <c r="E31" s="12"/>
      <c r="F31" s="12"/>
      <c r="G31" s="12"/>
      <c r="I31" s="35" t="s">
        <v>19</v>
      </c>
      <c r="J31" s="41" t="s">
        <v>25</v>
      </c>
      <c r="K31" s="91">
        <v>8</v>
      </c>
      <c r="L31" s="42" t="str">
        <f t="shared" si="0"/>
        <v>10</v>
      </c>
      <c r="M31" s="44"/>
      <c r="R31" s="9"/>
      <c r="S31" s="9"/>
    </row>
    <row r="32" spans="2:19" ht="13.5" customHeight="1">
      <c r="B32" s="12"/>
      <c r="C32" s="12"/>
      <c r="D32" s="12"/>
      <c r="E32" s="12"/>
      <c r="F32" s="12"/>
      <c r="G32" s="12"/>
      <c r="I32" s="38" t="s">
        <v>19</v>
      </c>
      <c r="J32" s="45" t="s">
        <v>15</v>
      </c>
      <c r="K32" s="91">
        <v>8</v>
      </c>
      <c r="L32" s="40" t="str">
        <f t="shared" si="0"/>
        <v>10</v>
      </c>
      <c r="M32" s="44"/>
      <c r="N32" s="9"/>
      <c r="O32" s="9"/>
      <c r="P32" s="9"/>
      <c r="Q32" s="9"/>
      <c r="R32" s="9"/>
      <c r="S32" s="9"/>
    </row>
    <row r="33" spans="2:17" ht="18">
      <c r="B33" s="12"/>
      <c r="C33" s="12"/>
      <c r="D33" s="12"/>
      <c r="E33" s="12"/>
      <c r="F33" s="12"/>
      <c r="G33" s="12"/>
      <c r="I33" s="20"/>
      <c r="J33" s="16"/>
      <c r="K33" s="46" t="s">
        <v>36</v>
      </c>
      <c r="L33" s="47" t="s">
        <v>38</v>
      </c>
      <c r="M33" s="44"/>
      <c r="N33" s="9"/>
      <c r="O33" s="9"/>
      <c r="P33" s="9"/>
      <c r="Q33" s="9"/>
    </row>
    <row r="34" spans="2:17" ht="18">
      <c r="B34" s="12"/>
      <c r="C34" s="12"/>
      <c r="D34" s="12"/>
      <c r="E34" s="12"/>
      <c r="F34" s="12"/>
      <c r="G34" s="12"/>
      <c r="I34" s="20"/>
      <c r="J34" s="16"/>
      <c r="K34" s="48">
        <f>AVERAGE(K23:K32)</f>
        <v>6.9</v>
      </c>
      <c r="L34" s="49">
        <f>L23+L24+L25+L26+L27+L28+L29+L30+L31+L32</f>
        <v>55</v>
      </c>
      <c r="M34" s="50"/>
      <c r="N34" s="9"/>
      <c r="O34" s="9"/>
      <c r="P34" s="9"/>
      <c r="Q34" s="9"/>
    </row>
    <row r="35" spans="2:17">
      <c r="B35" s="12"/>
      <c r="C35" s="12"/>
      <c r="D35" s="12"/>
      <c r="E35" s="12"/>
      <c r="F35" s="12"/>
      <c r="G35" s="12"/>
      <c r="N35" s="9"/>
      <c r="O35" s="9"/>
      <c r="P35" s="9"/>
      <c r="Q35" s="9"/>
    </row>
    <row r="36" spans="2:17" ht="18">
      <c r="B36" s="12"/>
      <c r="C36" s="12"/>
      <c r="D36" s="12"/>
      <c r="E36" s="12"/>
      <c r="F36" s="12"/>
      <c r="G36" s="12"/>
      <c r="I36" s="139" t="s">
        <v>46</v>
      </c>
      <c r="J36" s="139"/>
      <c r="K36" s="139"/>
      <c r="L36" s="139"/>
      <c r="N36" s="9"/>
      <c r="O36" s="9"/>
      <c r="P36" s="9"/>
      <c r="Q36" s="9"/>
    </row>
    <row r="37" spans="2:17">
      <c r="B37" s="12"/>
      <c r="C37" s="12"/>
      <c r="D37" s="12"/>
      <c r="E37" s="12"/>
      <c r="F37" s="12"/>
      <c r="G37" s="12"/>
      <c r="I37" s="33" t="s">
        <v>22</v>
      </c>
      <c r="J37" s="122" t="s">
        <v>4</v>
      </c>
      <c r="K37" s="122"/>
      <c r="L37" s="51" t="s">
        <v>13</v>
      </c>
      <c r="N37" s="9"/>
      <c r="O37" s="9"/>
      <c r="P37" s="9"/>
      <c r="Q37" s="9"/>
    </row>
    <row r="38" spans="2:17" ht="15" customHeight="1">
      <c r="B38" s="12"/>
      <c r="C38" s="12"/>
      <c r="D38" s="12"/>
      <c r="E38" s="12"/>
      <c r="F38" s="12"/>
      <c r="G38" s="12"/>
      <c r="I38" s="35" t="s">
        <v>19</v>
      </c>
      <c r="J38" s="36" t="s">
        <v>14</v>
      </c>
      <c r="K38" s="91">
        <v>6</v>
      </c>
      <c r="L38" s="52" t="str">
        <f>IF(K38&lt;=5,"0",IF(K38&lt;8,"5","10"))</f>
        <v>5</v>
      </c>
    </row>
    <row r="39" spans="2:17" ht="15" customHeight="1">
      <c r="B39" s="12"/>
      <c r="C39" s="12"/>
      <c r="D39" s="12"/>
      <c r="E39" s="12"/>
      <c r="F39" s="12"/>
      <c r="G39" s="12"/>
      <c r="I39" s="38" t="s">
        <v>20</v>
      </c>
      <c r="J39" s="39" t="s">
        <v>39</v>
      </c>
      <c r="K39" s="92">
        <v>9</v>
      </c>
      <c r="L39" s="53" t="str">
        <f t="shared" ref="L39:L47" si="1">IF(K39&lt;=5,"0",IF(K39&lt;8,"5","10"))</f>
        <v>10</v>
      </c>
      <c r="N39" s="9"/>
      <c r="O39" s="9"/>
      <c r="P39" s="9"/>
      <c r="Q39" s="9"/>
    </row>
    <row r="40" spans="2:17" ht="15" customHeight="1">
      <c r="B40" s="12"/>
      <c r="C40" s="12"/>
      <c r="D40" s="12"/>
      <c r="E40" s="12"/>
      <c r="F40" s="12"/>
      <c r="G40" s="12"/>
      <c r="I40" s="35" t="s">
        <v>19</v>
      </c>
      <c r="J40" s="41" t="s">
        <v>26</v>
      </c>
      <c r="K40" s="93">
        <v>7</v>
      </c>
      <c r="L40" s="54" t="str">
        <f t="shared" si="1"/>
        <v>5</v>
      </c>
      <c r="N40" s="9"/>
      <c r="O40" s="9"/>
      <c r="P40" s="9"/>
      <c r="Q40" s="9"/>
    </row>
    <row r="41" spans="2:17" ht="15" customHeight="1">
      <c r="B41" s="12"/>
      <c r="C41" s="12"/>
      <c r="D41" s="12"/>
      <c r="E41" s="12"/>
      <c r="F41" s="12"/>
      <c r="G41" s="12"/>
      <c r="I41" s="38" t="s">
        <v>19</v>
      </c>
      <c r="J41" s="39" t="s">
        <v>51</v>
      </c>
      <c r="K41" s="92">
        <v>6</v>
      </c>
      <c r="L41" s="53" t="str">
        <f t="shared" si="1"/>
        <v>5</v>
      </c>
      <c r="N41" s="9"/>
      <c r="O41" s="9"/>
      <c r="P41" s="9"/>
      <c r="Q41" s="9"/>
    </row>
    <row r="42" spans="2:17" ht="15" customHeight="1">
      <c r="B42" s="12"/>
      <c r="C42" s="12"/>
      <c r="D42" s="12"/>
      <c r="E42" s="12"/>
      <c r="F42" s="12"/>
      <c r="G42" s="12"/>
      <c r="I42" s="35"/>
      <c r="J42" s="41"/>
      <c r="K42" s="93"/>
      <c r="L42" s="54" t="str">
        <f t="shared" si="1"/>
        <v>0</v>
      </c>
      <c r="N42" s="9"/>
      <c r="O42" s="9"/>
      <c r="P42" s="9"/>
      <c r="Q42" s="9"/>
    </row>
    <row r="43" spans="2:17" ht="15" customHeight="1">
      <c r="B43" s="12"/>
      <c r="C43" s="12"/>
      <c r="D43" s="12"/>
      <c r="E43" s="12"/>
      <c r="F43" s="12"/>
      <c r="G43" s="12"/>
      <c r="I43" s="38"/>
      <c r="J43" s="43"/>
      <c r="K43" s="92"/>
      <c r="L43" s="53" t="str">
        <f t="shared" si="1"/>
        <v>0</v>
      </c>
      <c r="N43" s="9"/>
      <c r="O43" s="9"/>
      <c r="P43" s="9"/>
      <c r="Q43" s="9"/>
    </row>
    <row r="44" spans="2:17" ht="15" customHeight="1">
      <c r="B44" s="12"/>
      <c r="C44" s="12"/>
      <c r="D44" s="12"/>
      <c r="E44" s="12"/>
      <c r="F44" s="12"/>
      <c r="G44" s="12"/>
      <c r="I44" s="35"/>
      <c r="J44" s="41"/>
      <c r="K44" s="93"/>
      <c r="L44" s="54" t="str">
        <f t="shared" si="1"/>
        <v>0</v>
      </c>
      <c r="N44" s="9"/>
      <c r="O44" s="9"/>
      <c r="P44" s="9"/>
      <c r="Q44" s="9"/>
    </row>
    <row r="45" spans="2:17" ht="15" customHeight="1">
      <c r="B45" s="12"/>
      <c r="C45" s="12"/>
      <c r="D45" s="12"/>
      <c r="E45" s="12"/>
      <c r="F45" s="12"/>
      <c r="G45" s="12"/>
      <c r="I45" s="38"/>
      <c r="J45" s="43"/>
      <c r="K45" s="92"/>
      <c r="L45" s="53" t="str">
        <f t="shared" si="1"/>
        <v>0</v>
      </c>
      <c r="N45" s="9"/>
      <c r="O45" s="9"/>
      <c r="P45" s="9"/>
      <c r="Q45" s="9"/>
    </row>
    <row r="46" spans="2:17" ht="15" customHeight="1">
      <c r="B46" s="12"/>
      <c r="C46" s="12"/>
      <c r="D46" s="12"/>
      <c r="E46" s="12"/>
      <c r="F46" s="12"/>
      <c r="G46" s="12"/>
      <c r="I46" s="35"/>
      <c r="J46" s="41"/>
      <c r="K46" s="93"/>
      <c r="L46" s="54" t="str">
        <f t="shared" si="1"/>
        <v>0</v>
      </c>
      <c r="N46" s="9"/>
      <c r="O46" s="9"/>
      <c r="P46" s="9"/>
      <c r="Q46" s="9"/>
    </row>
    <row r="47" spans="2:17" ht="15" customHeight="1">
      <c r="B47" s="12"/>
      <c r="C47" s="12"/>
      <c r="D47" s="12"/>
      <c r="E47" s="12"/>
      <c r="F47" s="12"/>
      <c r="G47" s="12"/>
      <c r="I47" s="38"/>
      <c r="J47" s="45"/>
      <c r="K47" s="92"/>
      <c r="L47" s="53" t="str">
        <f t="shared" si="1"/>
        <v>0</v>
      </c>
      <c r="N47" s="9"/>
      <c r="O47" s="9"/>
      <c r="P47" s="9"/>
      <c r="Q47" s="9"/>
    </row>
    <row r="48" spans="2:17" ht="18">
      <c r="B48" s="12"/>
      <c r="C48" s="12"/>
      <c r="D48" s="12"/>
      <c r="E48" s="12"/>
      <c r="F48" s="12"/>
      <c r="G48" s="12"/>
      <c r="I48" s="20"/>
      <c r="J48" s="16"/>
      <c r="K48" s="46" t="s">
        <v>36</v>
      </c>
      <c r="L48" s="55" t="s">
        <v>38</v>
      </c>
      <c r="N48" s="9"/>
      <c r="O48" s="9"/>
      <c r="P48" s="9"/>
      <c r="Q48" s="9"/>
    </row>
    <row r="49" spans="2:17" ht="18">
      <c r="B49" s="12"/>
      <c r="C49" s="12"/>
      <c r="D49" s="12"/>
      <c r="E49" s="12"/>
      <c r="F49" s="12"/>
      <c r="G49" s="12"/>
      <c r="I49" s="20"/>
      <c r="J49" s="16"/>
      <c r="K49" s="48">
        <f>AVERAGE(K38:K47)</f>
        <v>7</v>
      </c>
      <c r="L49" s="99">
        <f>L38+L39+L40+L41+L42+L43+L44+L45+L46+L47</f>
        <v>25</v>
      </c>
      <c r="N49" s="9"/>
      <c r="O49" s="9"/>
      <c r="P49" s="9"/>
      <c r="Q49" s="9"/>
    </row>
    <row r="50" spans="2:17">
      <c r="B50" s="12"/>
      <c r="C50" s="12"/>
      <c r="D50" s="12"/>
      <c r="E50" s="12"/>
      <c r="F50" s="12"/>
      <c r="G50" s="12"/>
      <c r="N50" s="9"/>
      <c r="O50" s="9"/>
      <c r="P50" s="9"/>
      <c r="Q50" s="9"/>
    </row>
    <row r="51" spans="2:17">
      <c r="B51" s="12"/>
      <c r="C51" s="12"/>
      <c r="D51" s="12"/>
      <c r="E51" s="12"/>
      <c r="F51" s="12"/>
      <c r="G51" s="12"/>
      <c r="N51" s="9"/>
      <c r="O51" s="9"/>
      <c r="P51" s="9"/>
      <c r="Q51" s="9"/>
    </row>
    <row r="52" spans="2:17" hidden="1">
      <c r="B52" s="12"/>
      <c r="C52" s="12"/>
      <c r="D52" s="12"/>
      <c r="E52" s="12"/>
      <c r="F52" s="12"/>
      <c r="G52" s="12"/>
      <c r="N52" s="9"/>
      <c r="O52" s="9"/>
      <c r="P52" s="9"/>
      <c r="Q52" s="9"/>
    </row>
    <row r="53" spans="2:17" hidden="1">
      <c r="B53" s="12"/>
      <c r="C53" s="12"/>
      <c r="D53" s="12"/>
      <c r="E53" s="12"/>
      <c r="F53" s="12"/>
      <c r="G53" s="12"/>
      <c r="N53" s="9"/>
      <c r="O53" s="9"/>
      <c r="P53" s="9"/>
      <c r="Q53" s="9"/>
    </row>
    <row r="54" spans="2:17" hidden="1">
      <c r="B54" s="12"/>
      <c r="C54" s="12"/>
      <c r="D54" s="12"/>
      <c r="E54" s="12"/>
      <c r="F54" s="12"/>
      <c r="G54" s="12"/>
      <c r="N54" s="9"/>
      <c r="O54" s="9"/>
      <c r="P54" s="9"/>
      <c r="Q54" s="9"/>
    </row>
    <row r="55" spans="2:17" hidden="1">
      <c r="B55" s="12"/>
      <c r="C55" s="12"/>
      <c r="D55" s="12"/>
      <c r="E55" s="12"/>
      <c r="F55" s="12"/>
      <c r="G55" s="12"/>
      <c r="N55" s="9"/>
      <c r="O55" s="9"/>
      <c r="P55" s="9"/>
      <c r="Q55" s="9"/>
    </row>
    <row r="56" spans="2:17" hidden="1">
      <c r="B56" s="12"/>
      <c r="C56" s="12"/>
      <c r="D56" s="12"/>
      <c r="E56" s="12"/>
      <c r="F56" s="12"/>
      <c r="G56" s="12"/>
      <c r="N56" s="9"/>
      <c r="O56" s="9"/>
      <c r="P56" s="9"/>
      <c r="Q56" s="9"/>
    </row>
    <row r="57" spans="2:17" hidden="1">
      <c r="B57" s="12"/>
      <c r="C57" s="12"/>
      <c r="D57" s="12"/>
      <c r="E57" s="12"/>
      <c r="F57" s="12"/>
      <c r="G57" s="12"/>
    </row>
    <row r="58" spans="2:17" hidden="1">
      <c r="B58" s="12"/>
      <c r="C58" s="12"/>
      <c r="D58" s="12"/>
      <c r="E58" s="12"/>
      <c r="F58" s="12"/>
      <c r="G58" s="12"/>
    </row>
    <row r="59" spans="2:17" hidden="1">
      <c r="B59" s="12"/>
      <c r="C59" s="12"/>
      <c r="D59" s="12"/>
      <c r="E59" s="12"/>
      <c r="F59" s="12"/>
      <c r="G59" s="12"/>
    </row>
    <row r="60" spans="2:17" hidden="1">
      <c r="B60" s="12"/>
      <c r="C60" s="12"/>
      <c r="D60" s="12"/>
      <c r="E60" s="12"/>
      <c r="F60" s="12"/>
      <c r="G60" s="12"/>
    </row>
    <row r="61" spans="2:17" hidden="1">
      <c r="B61" s="12"/>
      <c r="C61" s="12"/>
      <c r="D61" s="12"/>
      <c r="E61" s="12"/>
      <c r="F61" s="12"/>
      <c r="G61" s="12"/>
    </row>
    <row r="62" spans="2:17" hidden="1">
      <c r="B62" s="12"/>
      <c r="C62" s="12"/>
      <c r="D62" s="12"/>
      <c r="E62" s="12"/>
      <c r="F62" s="12"/>
      <c r="G62" s="12"/>
    </row>
    <row r="63" spans="2:17" hidden="1">
      <c r="B63" s="12"/>
      <c r="C63" s="12"/>
      <c r="D63" s="12"/>
      <c r="E63" s="12"/>
      <c r="F63" s="12"/>
      <c r="G63" s="12"/>
    </row>
    <row r="64" spans="2:17" hidden="1">
      <c r="B64" s="12"/>
      <c r="C64" s="12"/>
      <c r="D64" s="12"/>
      <c r="E64" s="12"/>
      <c r="F64" s="12"/>
      <c r="G64" s="12"/>
    </row>
    <row r="65" spans="2:7" hidden="1">
      <c r="B65" s="12"/>
      <c r="C65" s="12"/>
      <c r="D65" s="12"/>
      <c r="E65" s="12"/>
      <c r="F65" s="12"/>
      <c r="G65" s="12"/>
    </row>
    <row r="66" spans="2:7" hidden="1">
      <c r="B66" s="12"/>
      <c r="C66" s="12"/>
      <c r="D66" s="12"/>
      <c r="E66" s="12"/>
      <c r="F66" s="12"/>
      <c r="G66" s="12"/>
    </row>
    <row r="67" spans="2:7" hidden="1">
      <c r="B67" s="12"/>
      <c r="C67" s="12"/>
      <c r="D67" s="12"/>
      <c r="E67" s="12"/>
      <c r="F67" s="12"/>
      <c r="G67" s="12"/>
    </row>
    <row r="68" spans="2:7" hidden="1">
      <c r="B68" s="12"/>
      <c r="C68" s="12"/>
      <c r="D68" s="12"/>
      <c r="E68" s="12"/>
      <c r="F68" s="12"/>
      <c r="G68" s="12"/>
    </row>
    <row r="69" spans="2:7" hidden="1">
      <c r="B69" s="12"/>
      <c r="C69" s="12"/>
      <c r="D69" s="12"/>
      <c r="E69" s="12"/>
      <c r="F69" s="12"/>
      <c r="G69" s="12"/>
    </row>
    <row r="70" spans="2:7" hidden="1">
      <c r="B70" s="12"/>
      <c r="C70" s="12"/>
      <c r="D70" s="12"/>
      <c r="E70" s="12"/>
      <c r="F70" s="12"/>
      <c r="G70" s="12"/>
    </row>
    <row r="71" spans="2:7" hidden="1">
      <c r="B71" s="12"/>
      <c r="C71" s="12"/>
      <c r="D71" s="12"/>
      <c r="E71" s="12"/>
      <c r="F71" s="12"/>
      <c r="G71" s="12"/>
    </row>
    <row r="72" spans="2:7" hidden="1">
      <c r="B72" s="12"/>
      <c r="C72" s="12"/>
      <c r="D72" s="12"/>
      <c r="E72" s="12"/>
      <c r="F72" s="12"/>
      <c r="G72" s="12"/>
    </row>
    <row r="73" spans="2:7" hidden="1">
      <c r="B73" s="12"/>
      <c r="C73" s="12"/>
      <c r="D73" s="12"/>
      <c r="E73" s="12"/>
      <c r="F73" s="12"/>
      <c r="G73" s="12"/>
    </row>
    <row r="74" spans="2:7" hidden="1">
      <c r="B74" s="12"/>
      <c r="C74" s="12"/>
      <c r="D74" s="12"/>
      <c r="E74" s="12"/>
      <c r="F74" s="12"/>
      <c r="G74" s="12"/>
    </row>
    <row r="75" spans="2:7" hidden="1">
      <c r="B75" s="12"/>
      <c r="C75" s="12"/>
      <c r="D75" s="12"/>
      <c r="E75" s="12"/>
      <c r="F75" s="12"/>
      <c r="G75" s="12"/>
    </row>
    <row r="76" spans="2:7" hidden="1">
      <c r="B76" s="12"/>
      <c r="C76" s="12"/>
      <c r="D76" s="12"/>
      <c r="E76" s="12"/>
      <c r="F76" s="12"/>
      <c r="G76" s="12"/>
    </row>
    <row r="77" spans="2:7" hidden="1">
      <c r="B77" s="12"/>
      <c r="C77" s="12"/>
      <c r="D77" s="12"/>
      <c r="E77" s="12"/>
      <c r="F77" s="12"/>
      <c r="G77" s="12"/>
    </row>
    <row r="78" spans="2:7" hidden="1">
      <c r="B78" s="12"/>
      <c r="C78" s="12"/>
      <c r="D78" s="12"/>
      <c r="E78" s="12"/>
      <c r="F78" s="12"/>
      <c r="G78" s="12"/>
    </row>
    <row r="79" spans="2:7" hidden="1">
      <c r="B79" s="12"/>
      <c r="C79" s="12"/>
      <c r="D79" s="12"/>
      <c r="E79" s="12"/>
      <c r="F79" s="12"/>
      <c r="G79" s="12"/>
    </row>
    <row r="80" spans="2:7" hidden="1">
      <c r="B80" s="12"/>
      <c r="C80" s="12"/>
      <c r="D80" s="12"/>
      <c r="E80" s="12"/>
      <c r="F80" s="12"/>
      <c r="G80" s="12"/>
    </row>
    <row r="81" spans="2:7" hidden="1">
      <c r="B81" s="12"/>
      <c r="C81" s="12"/>
      <c r="D81" s="12"/>
      <c r="E81" s="12"/>
      <c r="F81" s="12"/>
      <c r="G81" s="12"/>
    </row>
    <row r="82" spans="2:7" hidden="1">
      <c r="B82" s="12"/>
      <c r="C82" s="12"/>
      <c r="D82" s="12"/>
      <c r="E82" s="12"/>
      <c r="F82" s="12"/>
      <c r="G82" s="12"/>
    </row>
    <row r="83" spans="2:7" hidden="1">
      <c r="B83" s="12"/>
      <c r="C83" s="12"/>
      <c r="D83" s="12"/>
      <c r="E83" s="12"/>
      <c r="F83" s="12"/>
      <c r="G83" s="12"/>
    </row>
    <row r="84" spans="2:7" hidden="1">
      <c r="B84" s="12"/>
      <c r="C84" s="12"/>
      <c r="D84" s="12"/>
      <c r="E84" s="12"/>
      <c r="F84" s="12"/>
      <c r="G84" s="12"/>
    </row>
    <row r="85" spans="2:7" hidden="1">
      <c r="B85" s="12"/>
      <c r="C85" s="12"/>
      <c r="D85" s="12"/>
      <c r="E85" s="12"/>
      <c r="F85" s="12"/>
      <c r="G85" s="12"/>
    </row>
    <row r="86" spans="2:7" hidden="1">
      <c r="B86" s="12"/>
      <c r="C86" s="12"/>
      <c r="D86" s="12"/>
      <c r="E86" s="12"/>
      <c r="F86" s="12"/>
      <c r="G86" s="12"/>
    </row>
    <row r="87" spans="2:7" hidden="1">
      <c r="B87" s="12"/>
      <c r="C87" s="12"/>
      <c r="D87" s="12"/>
      <c r="E87" s="12"/>
      <c r="F87" s="12"/>
      <c r="G87" s="12"/>
    </row>
    <row r="88" spans="2:7" hidden="1">
      <c r="B88" s="12"/>
      <c r="C88" s="12"/>
      <c r="D88" s="12"/>
      <c r="E88" s="12"/>
      <c r="F88" s="12"/>
      <c r="G88" s="12"/>
    </row>
    <row r="89" spans="2:7" hidden="1">
      <c r="B89" s="12"/>
      <c r="C89" s="12"/>
      <c r="D89" s="12"/>
      <c r="E89" s="12"/>
      <c r="F89" s="12"/>
      <c r="G89" s="12"/>
    </row>
    <row r="90" spans="2:7" hidden="1">
      <c r="B90" s="12"/>
      <c r="C90" s="12"/>
      <c r="D90" s="12"/>
      <c r="E90" s="12"/>
      <c r="F90" s="12"/>
      <c r="G90" s="12"/>
    </row>
    <row r="91" spans="2:7" hidden="1">
      <c r="B91" s="12"/>
      <c r="C91" s="12"/>
      <c r="D91" s="12"/>
      <c r="E91" s="12"/>
      <c r="F91" s="12"/>
      <c r="G91" s="12"/>
    </row>
    <row r="92" spans="2:7" hidden="1">
      <c r="B92" s="12"/>
      <c r="C92" s="12"/>
      <c r="D92" s="12"/>
      <c r="E92" s="12"/>
      <c r="F92" s="12"/>
      <c r="G92" s="12"/>
    </row>
    <row r="93" spans="2:7" hidden="1">
      <c r="B93" s="12"/>
      <c r="C93" s="12"/>
      <c r="D93" s="12"/>
      <c r="E93" s="12"/>
      <c r="F93" s="12"/>
      <c r="G93" s="12"/>
    </row>
    <row r="94" spans="2:7" hidden="1">
      <c r="B94" s="12"/>
      <c r="C94" s="12"/>
      <c r="D94" s="12"/>
      <c r="E94" s="12"/>
      <c r="F94" s="12"/>
      <c r="G94" s="12"/>
    </row>
    <row r="95" spans="2:7" hidden="1">
      <c r="B95" s="12"/>
      <c r="C95" s="12"/>
      <c r="D95" s="12"/>
      <c r="E95" s="12"/>
      <c r="F95" s="12"/>
      <c r="G95" s="12"/>
    </row>
    <row r="96" spans="2:7" hidden="1">
      <c r="B96" s="12"/>
      <c r="C96" s="12"/>
      <c r="D96" s="12"/>
      <c r="E96" s="12"/>
      <c r="F96" s="12"/>
      <c r="G96" s="12"/>
    </row>
    <row r="97" spans="2:7" hidden="1">
      <c r="B97" s="12"/>
      <c r="C97" s="12"/>
      <c r="D97" s="12"/>
      <c r="E97" s="12"/>
      <c r="F97" s="12"/>
      <c r="G97" s="12"/>
    </row>
    <row r="98" spans="2:7" hidden="1">
      <c r="B98" s="12"/>
      <c r="C98" s="12"/>
      <c r="D98" s="12"/>
      <c r="E98" s="12"/>
      <c r="F98" s="12"/>
      <c r="G98" s="12"/>
    </row>
    <row r="99" spans="2:7" hidden="1">
      <c r="B99" s="12"/>
      <c r="C99" s="12"/>
      <c r="D99" s="12"/>
      <c r="E99" s="12"/>
      <c r="F99" s="12"/>
      <c r="G99" s="12"/>
    </row>
    <row r="100" spans="2:7" hidden="1">
      <c r="B100" s="12"/>
      <c r="C100" s="12"/>
      <c r="D100" s="12"/>
      <c r="E100" s="12"/>
      <c r="F100" s="12"/>
      <c r="G100" s="12"/>
    </row>
    <row r="101" spans="2:7" hidden="1">
      <c r="B101" s="12"/>
      <c r="C101" s="12"/>
      <c r="D101" s="12"/>
      <c r="E101" s="12"/>
      <c r="F101" s="12"/>
      <c r="G101" s="12"/>
    </row>
    <row r="102" spans="2:7" hidden="1">
      <c r="B102" s="12"/>
      <c r="C102" s="12"/>
      <c r="D102" s="12"/>
      <c r="E102" s="12"/>
      <c r="F102" s="12"/>
      <c r="G102" s="12"/>
    </row>
    <row r="103" spans="2:7" hidden="1">
      <c r="B103" s="12"/>
      <c r="C103" s="12"/>
      <c r="D103" s="12"/>
      <c r="E103" s="12"/>
      <c r="F103" s="12"/>
      <c r="G103" s="12"/>
    </row>
    <row r="104" spans="2:7" hidden="1">
      <c r="B104" s="12"/>
      <c r="C104" s="12"/>
      <c r="D104" s="12"/>
      <c r="E104" s="12"/>
      <c r="F104" s="12"/>
      <c r="G104" s="12"/>
    </row>
    <row r="105" spans="2:7" hidden="1">
      <c r="B105" s="12"/>
      <c r="C105" s="12"/>
      <c r="D105" s="12"/>
      <c r="E105" s="12"/>
      <c r="F105" s="12"/>
      <c r="G105" s="12"/>
    </row>
    <row r="106" spans="2:7" hidden="1">
      <c r="B106" s="12"/>
      <c r="C106" s="12"/>
      <c r="D106" s="12"/>
      <c r="E106" s="12"/>
      <c r="F106" s="12"/>
      <c r="G106" s="12"/>
    </row>
    <row r="107" spans="2:7" hidden="1">
      <c r="B107" s="12"/>
      <c r="C107" s="12"/>
      <c r="D107" s="12"/>
      <c r="E107" s="12"/>
      <c r="F107" s="12"/>
      <c r="G107" s="12"/>
    </row>
    <row r="108" spans="2:7" hidden="1">
      <c r="B108" s="12"/>
      <c r="C108" s="12"/>
      <c r="D108" s="12"/>
      <c r="E108" s="12"/>
      <c r="F108" s="12"/>
      <c r="G108" s="12"/>
    </row>
    <row r="109" spans="2:7" hidden="1">
      <c r="B109" s="12"/>
      <c r="C109" s="12"/>
      <c r="D109" s="12"/>
      <c r="E109" s="12"/>
      <c r="F109" s="12"/>
      <c r="G109" s="12"/>
    </row>
    <row r="110" spans="2:7" hidden="1">
      <c r="B110" s="12"/>
      <c r="C110" s="12"/>
      <c r="D110" s="12"/>
      <c r="E110" s="12"/>
      <c r="F110" s="12"/>
      <c r="G110" s="12"/>
    </row>
    <row r="111" spans="2:7" hidden="1">
      <c r="B111" s="12"/>
      <c r="C111" s="12"/>
      <c r="D111" s="12"/>
      <c r="E111" s="12"/>
      <c r="F111" s="12"/>
      <c r="G111" s="12"/>
    </row>
    <row r="112" spans="2:7" hidden="1">
      <c r="B112" s="12"/>
      <c r="C112" s="12"/>
      <c r="D112" s="12"/>
      <c r="E112" s="12"/>
      <c r="F112" s="12"/>
      <c r="G112" s="12"/>
    </row>
    <row r="113" spans="2:7" hidden="1">
      <c r="B113" s="12"/>
      <c r="C113" s="12"/>
      <c r="D113" s="12"/>
      <c r="E113" s="12"/>
      <c r="F113" s="12"/>
      <c r="G113" s="12"/>
    </row>
    <row r="114" spans="2:7" hidden="1">
      <c r="B114" s="12"/>
      <c r="C114" s="12"/>
      <c r="D114" s="12"/>
      <c r="E114" s="12"/>
      <c r="F114" s="12"/>
      <c r="G114" s="12"/>
    </row>
    <row r="115" spans="2:7" hidden="1">
      <c r="B115" s="12"/>
      <c r="C115" s="12"/>
      <c r="D115" s="12"/>
      <c r="E115" s="12"/>
      <c r="F115" s="12"/>
      <c r="G115" s="12"/>
    </row>
    <row r="116" spans="2:7" hidden="1">
      <c r="B116" s="12"/>
      <c r="C116" s="12"/>
      <c r="D116" s="12"/>
      <c r="E116" s="12"/>
      <c r="F116" s="12"/>
      <c r="G116" s="12"/>
    </row>
    <row r="117" spans="2:7" hidden="1">
      <c r="B117" s="12"/>
      <c r="C117" s="12"/>
      <c r="D117" s="12"/>
      <c r="E117" s="12"/>
      <c r="F117" s="12"/>
      <c r="G117" s="12"/>
    </row>
    <row r="118" spans="2:7" hidden="1">
      <c r="B118" s="12"/>
      <c r="C118" s="12"/>
      <c r="D118" s="12"/>
      <c r="E118" s="12"/>
      <c r="F118" s="12"/>
      <c r="G118" s="12"/>
    </row>
    <row r="119" spans="2:7" hidden="1">
      <c r="B119" s="12"/>
      <c r="C119" s="12"/>
      <c r="D119" s="12"/>
      <c r="E119" s="12"/>
      <c r="F119" s="12"/>
      <c r="G119" s="12"/>
    </row>
    <row r="120" spans="2:7" hidden="1">
      <c r="B120" s="12"/>
      <c r="C120" s="12"/>
      <c r="D120" s="12"/>
      <c r="E120" s="12"/>
      <c r="F120" s="12"/>
      <c r="G120" s="12"/>
    </row>
    <row r="121" spans="2:7" hidden="1">
      <c r="B121" s="12"/>
      <c r="C121" s="12"/>
      <c r="D121" s="12"/>
      <c r="E121" s="12"/>
      <c r="F121" s="12"/>
      <c r="G121" s="12"/>
    </row>
    <row r="122" spans="2:7" hidden="1">
      <c r="B122" s="12"/>
      <c r="C122" s="12"/>
      <c r="D122" s="12"/>
      <c r="E122" s="12"/>
      <c r="F122" s="12"/>
      <c r="G122" s="12"/>
    </row>
    <row r="123" spans="2:7" hidden="1">
      <c r="B123" s="12"/>
      <c r="C123" s="12"/>
      <c r="D123" s="12"/>
      <c r="E123" s="12"/>
      <c r="F123" s="12"/>
      <c r="G123" s="12"/>
    </row>
    <row r="124" spans="2:7" hidden="1">
      <c r="B124" s="12"/>
      <c r="C124" s="12"/>
      <c r="D124" s="12"/>
      <c r="E124" s="12"/>
      <c r="F124" s="12"/>
      <c r="G124" s="12"/>
    </row>
    <row r="125" spans="2:7" hidden="1">
      <c r="B125" s="12"/>
      <c r="C125" s="12"/>
      <c r="D125" s="12"/>
      <c r="E125" s="12"/>
      <c r="F125" s="12"/>
      <c r="G125" s="12"/>
    </row>
    <row r="126" spans="2:7" hidden="1">
      <c r="B126" s="12"/>
      <c r="C126" s="12"/>
      <c r="D126" s="12"/>
      <c r="E126" s="12"/>
      <c r="F126" s="12"/>
      <c r="G126" s="12"/>
    </row>
    <row r="127" spans="2:7" hidden="1">
      <c r="B127" s="12"/>
      <c r="C127" s="12"/>
      <c r="D127" s="12"/>
      <c r="E127" s="12"/>
      <c r="F127" s="12"/>
      <c r="G127" s="12"/>
    </row>
    <row r="128" spans="2:7" hidden="1">
      <c r="B128" s="12"/>
      <c r="C128" s="12"/>
      <c r="D128" s="12"/>
      <c r="E128" s="12"/>
      <c r="F128" s="12"/>
      <c r="G128" s="12"/>
    </row>
    <row r="129" spans="2:7" hidden="1">
      <c r="B129" s="12"/>
      <c r="C129" s="12"/>
      <c r="D129" s="12"/>
      <c r="E129" s="12"/>
      <c r="F129" s="12"/>
      <c r="G129" s="12"/>
    </row>
    <row r="130" spans="2:7" hidden="1">
      <c r="B130" s="12"/>
      <c r="C130" s="12"/>
      <c r="D130" s="12"/>
      <c r="E130" s="12"/>
      <c r="F130" s="12"/>
      <c r="G130" s="12"/>
    </row>
    <row r="131" spans="2:7" hidden="1">
      <c r="B131" s="12"/>
      <c r="C131" s="12"/>
      <c r="D131" s="12"/>
      <c r="E131" s="12"/>
      <c r="F131" s="12"/>
      <c r="G131" s="12"/>
    </row>
    <row r="132" spans="2:7" hidden="1">
      <c r="B132" s="12"/>
      <c r="C132" s="12"/>
      <c r="D132" s="12"/>
      <c r="E132" s="12"/>
      <c r="F132" s="12"/>
      <c r="G132" s="12"/>
    </row>
    <row r="133" spans="2:7" hidden="1">
      <c r="B133" s="12"/>
      <c r="C133" s="12"/>
      <c r="D133" s="12"/>
      <c r="E133" s="12"/>
      <c r="F133" s="12"/>
      <c r="G133" s="12"/>
    </row>
    <row r="134" spans="2:7" hidden="1">
      <c r="B134" s="12"/>
      <c r="C134" s="12"/>
      <c r="D134" s="12"/>
      <c r="E134" s="12"/>
      <c r="F134" s="12"/>
      <c r="G134" s="12"/>
    </row>
    <row r="135" spans="2:7" hidden="1">
      <c r="B135" s="12"/>
      <c r="C135" s="12"/>
      <c r="D135" s="12"/>
      <c r="E135" s="12"/>
      <c r="F135" s="12"/>
      <c r="G135" s="12"/>
    </row>
    <row r="136" spans="2:7" hidden="1">
      <c r="B136" s="12"/>
      <c r="C136" s="12"/>
      <c r="D136" s="12"/>
      <c r="E136" s="12"/>
      <c r="F136" s="12"/>
      <c r="G136" s="12"/>
    </row>
    <row r="137" spans="2:7" hidden="1">
      <c r="B137" s="12"/>
      <c r="C137" s="12"/>
      <c r="D137" s="12"/>
      <c r="E137" s="12"/>
      <c r="F137" s="12"/>
      <c r="G137" s="12"/>
    </row>
    <row r="138" spans="2:7" hidden="1">
      <c r="B138" s="12"/>
      <c r="C138" s="12"/>
      <c r="D138" s="12"/>
      <c r="E138" s="12"/>
      <c r="F138" s="12"/>
      <c r="G138" s="12"/>
    </row>
    <row r="139" spans="2:7" hidden="1">
      <c r="B139" s="12"/>
      <c r="C139" s="12"/>
      <c r="D139" s="12"/>
      <c r="E139" s="12"/>
      <c r="F139" s="12"/>
      <c r="G139" s="12"/>
    </row>
    <row r="140" spans="2:7" hidden="1">
      <c r="B140" s="12"/>
      <c r="C140" s="12"/>
      <c r="D140" s="12"/>
      <c r="E140" s="12"/>
      <c r="F140" s="12"/>
      <c r="G140" s="12"/>
    </row>
    <row r="141" spans="2:7" hidden="1">
      <c r="B141" s="12"/>
      <c r="C141" s="12"/>
      <c r="D141" s="12"/>
      <c r="E141" s="12"/>
      <c r="F141" s="12"/>
      <c r="G141" s="12"/>
    </row>
    <row r="142" spans="2:7" hidden="1">
      <c r="B142" s="12"/>
      <c r="C142" s="12"/>
      <c r="D142" s="12"/>
      <c r="E142" s="12"/>
      <c r="F142" s="12"/>
      <c r="G142" s="12"/>
    </row>
    <row r="143" spans="2:7" hidden="1">
      <c r="B143" s="12"/>
      <c r="C143" s="12"/>
      <c r="D143" s="12"/>
      <c r="E143" s="12"/>
      <c r="F143" s="12"/>
      <c r="G143" s="12"/>
    </row>
    <row r="144" spans="2:7" hidden="1">
      <c r="B144" s="12"/>
      <c r="C144" s="12"/>
      <c r="D144" s="12"/>
      <c r="E144" s="12"/>
      <c r="F144" s="12"/>
      <c r="G144" s="12"/>
    </row>
    <row r="145" spans="2:7" hidden="1">
      <c r="B145" s="12"/>
      <c r="C145" s="12"/>
      <c r="D145" s="12"/>
      <c r="E145" s="12"/>
      <c r="F145" s="12"/>
      <c r="G145" s="12"/>
    </row>
    <row r="146" spans="2:7" hidden="1">
      <c r="B146" s="12"/>
      <c r="C146" s="12"/>
      <c r="D146" s="12"/>
      <c r="E146" s="12"/>
      <c r="F146" s="12"/>
      <c r="G146" s="12"/>
    </row>
    <row r="147" spans="2:7" hidden="1">
      <c r="B147" s="12"/>
      <c r="C147" s="12"/>
      <c r="D147" s="12"/>
      <c r="E147" s="12"/>
      <c r="F147" s="12"/>
      <c r="G147" s="12"/>
    </row>
    <row r="148" spans="2:7" hidden="1">
      <c r="B148" s="12"/>
      <c r="C148" s="12"/>
      <c r="D148" s="12"/>
      <c r="E148" s="12"/>
      <c r="F148" s="12"/>
      <c r="G148" s="12"/>
    </row>
    <row r="149" spans="2:7" hidden="1">
      <c r="B149" s="12"/>
      <c r="C149" s="12"/>
      <c r="D149" s="12"/>
      <c r="E149" s="12"/>
      <c r="F149" s="12"/>
      <c r="G149" s="12"/>
    </row>
    <row r="150" spans="2:7" hidden="1">
      <c r="B150" s="12"/>
      <c r="C150" s="12"/>
      <c r="D150" s="12"/>
      <c r="E150" s="12"/>
      <c r="F150" s="12"/>
      <c r="G150" s="12"/>
    </row>
    <row r="151" spans="2:7" hidden="1">
      <c r="B151" s="12"/>
      <c r="C151" s="12"/>
      <c r="D151" s="12"/>
      <c r="E151" s="12"/>
      <c r="F151" s="12"/>
      <c r="G151" s="12"/>
    </row>
    <row r="152" spans="2:7" hidden="1">
      <c r="B152" s="12"/>
      <c r="C152" s="12"/>
      <c r="D152" s="12"/>
      <c r="E152" s="12"/>
      <c r="F152" s="12"/>
      <c r="G152" s="12"/>
    </row>
    <row r="153" spans="2:7" hidden="1">
      <c r="B153" s="12"/>
      <c r="C153" s="12"/>
      <c r="D153" s="12"/>
      <c r="E153" s="12"/>
      <c r="F153" s="12"/>
      <c r="G153" s="12"/>
    </row>
    <row r="154" spans="2:7" hidden="1">
      <c r="B154" s="12"/>
      <c r="C154" s="12"/>
      <c r="D154" s="12"/>
      <c r="E154" s="12"/>
      <c r="F154" s="12"/>
      <c r="G154" s="12"/>
    </row>
    <row r="155" spans="2:7" hidden="1">
      <c r="B155" s="12"/>
      <c r="C155" s="12"/>
      <c r="D155" s="12"/>
      <c r="E155" s="12"/>
      <c r="F155" s="12"/>
      <c r="G155" s="12"/>
    </row>
    <row r="156" spans="2:7" hidden="1">
      <c r="B156" s="12"/>
      <c r="C156" s="12"/>
      <c r="D156" s="12"/>
      <c r="E156" s="12"/>
      <c r="F156" s="12"/>
      <c r="G156" s="12"/>
    </row>
    <row r="157" spans="2:7" hidden="1">
      <c r="B157" s="12"/>
      <c r="C157" s="12"/>
      <c r="D157" s="12"/>
      <c r="E157" s="12"/>
      <c r="F157" s="12"/>
      <c r="G157" s="12"/>
    </row>
    <row r="158" spans="2:7" hidden="1">
      <c r="B158" s="12"/>
      <c r="C158" s="12"/>
      <c r="D158" s="12"/>
      <c r="E158" s="12"/>
      <c r="F158" s="12"/>
      <c r="G158" s="12"/>
    </row>
    <row r="159" spans="2:7" hidden="1">
      <c r="B159" s="12"/>
      <c r="C159" s="12"/>
      <c r="D159" s="12"/>
      <c r="E159" s="12"/>
      <c r="F159" s="12"/>
      <c r="G159" s="12"/>
    </row>
    <row r="160" spans="2:7" hidden="1">
      <c r="B160" s="12"/>
      <c r="C160" s="12"/>
      <c r="D160" s="12"/>
      <c r="E160" s="12"/>
      <c r="F160" s="12"/>
      <c r="G160" s="12"/>
    </row>
    <row r="161" spans="2:7" hidden="1">
      <c r="B161" s="12"/>
      <c r="C161" s="12"/>
      <c r="D161" s="12"/>
      <c r="E161" s="12"/>
      <c r="F161" s="12"/>
      <c r="G161" s="12"/>
    </row>
  </sheetData>
  <sheetProtection password="CB9A" sheet="1" objects="1" scenarios="1" formatColumns="0" formatRows="0" insertRows="0"/>
  <mergeCells count="21">
    <mergeCell ref="C17:F18"/>
    <mergeCell ref="C11:F12"/>
    <mergeCell ref="C13:F14"/>
    <mergeCell ref="J22:K22"/>
    <mergeCell ref="I18:K18"/>
    <mergeCell ref="J37:K37"/>
    <mergeCell ref="B2:G5"/>
    <mergeCell ref="C15:F16"/>
    <mergeCell ref="C8:F9"/>
    <mergeCell ref="C10:F10"/>
    <mergeCell ref="I19:J19"/>
    <mergeCell ref="I2:N8"/>
    <mergeCell ref="I17:J17"/>
    <mergeCell ref="L16:M16"/>
    <mergeCell ref="L17:M17"/>
    <mergeCell ref="I16:J16"/>
    <mergeCell ref="L15:M15"/>
    <mergeCell ref="L18:M18"/>
    <mergeCell ref="L19:M19"/>
    <mergeCell ref="I36:L36"/>
    <mergeCell ref="I21:L21"/>
  </mergeCells>
  <conditionalFormatting sqref="K34">
    <cfRule type="cellIs" dxfId="3" priority="6" operator="lessThan">
      <formula>7</formula>
    </cfRule>
    <cfRule type="cellIs" dxfId="2" priority="7" operator="greaterThan">
      <formula>7</formula>
    </cfRule>
  </conditionalFormatting>
  <conditionalFormatting sqref="K49">
    <cfRule type="cellIs" dxfId="1" priority="1" operator="lessThan">
      <formula>7</formula>
    </cfRule>
    <cfRule type="cellIs" dxfId="0" priority="2" operator="greaterThan">
      <formula>7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 codeName="Plan3"/>
  <dimension ref="A1:AA161"/>
  <sheetViews>
    <sheetView showGridLines="0" zoomScale="70" zoomScaleNormal="70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K24" sqref="K24"/>
    </sheetView>
  </sheetViews>
  <sheetFormatPr defaultColWidth="0" defaultRowHeight="15" zeroHeight="1"/>
  <cols>
    <col min="1" max="1" width="1.85546875" style="6" customWidth="1"/>
    <col min="2" max="2" width="2.140625" style="6" customWidth="1"/>
    <col min="3" max="5" width="9.140625" style="6" customWidth="1"/>
    <col min="6" max="6" width="8" style="6" customWidth="1"/>
    <col min="7" max="7" width="4.5703125" style="6" customWidth="1"/>
    <col min="8" max="8" width="3" style="7" customWidth="1"/>
    <col min="9" max="9" width="25.85546875" style="7" customWidth="1"/>
    <col min="10" max="10" width="38.85546875" style="7" bestFit="1" customWidth="1"/>
    <col min="11" max="11" width="32.5703125" style="98" customWidth="1"/>
    <col min="12" max="12" width="4.140625" style="6" customWidth="1"/>
    <col min="13" max="13" width="21.28515625" style="8" hidden="1" customWidth="1"/>
    <col min="14" max="14" width="39.85546875" style="6" hidden="1" customWidth="1"/>
    <col min="15" max="15" width="12.28515625" style="8" hidden="1" customWidth="1"/>
    <col min="16" max="16" width="22.5703125" style="6" hidden="1" customWidth="1"/>
    <col min="17" max="17" width="10.5703125" style="6" hidden="1" customWidth="1"/>
    <col min="18" max="18" width="7.140625" style="6" hidden="1" customWidth="1"/>
    <col min="19" max="19" width="16" style="6" hidden="1" customWidth="1"/>
    <col min="20" max="20" width="12.42578125" style="6" hidden="1" customWidth="1"/>
    <col min="21" max="23" width="9.140625" style="6" hidden="1" customWidth="1"/>
    <col min="24" max="24" width="3" style="6" hidden="1" customWidth="1"/>
    <col min="25" max="25" width="9.140625" style="6" hidden="1" customWidth="1"/>
    <col min="26" max="27" width="17.5703125" style="6" hidden="1" customWidth="1"/>
    <col min="28" max="16384" width="9.140625" style="6" hidden="1"/>
  </cols>
  <sheetData>
    <row r="1" spans="2:25" ht="9.75" customHeight="1"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spans="2:25" ht="15.75" customHeight="1">
      <c r="B2" s="123"/>
      <c r="C2" s="123"/>
      <c r="D2" s="123"/>
      <c r="E2" s="123"/>
      <c r="F2" s="123"/>
      <c r="G2" s="123"/>
      <c r="H2" s="10"/>
      <c r="I2" s="129" t="s">
        <v>40</v>
      </c>
      <c r="J2" s="129"/>
      <c r="K2" s="129"/>
      <c r="L2" s="56"/>
      <c r="M2" s="56"/>
      <c r="N2" s="57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spans="2:25" ht="15" customHeight="1">
      <c r="B3" s="123"/>
      <c r="C3" s="123"/>
      <c r="D3" s="123"/>
      <c r="E3" s="123"/>
      <c r="F3" s="123"/>
      <c r="G3" s="123"/>
      <c r="H3" s="10"/>
      <c r="I3" s="129"/>
      <c r="J3" s="129"/>
      <c r="K3" s="129"/>
      <c r="L3" s="56"/>
      <c r="M3" s="56"/>
      <c r="N3" s="57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spans="2:25" ht="15" customHeight="1">
      <c r="B4" s="123"/>
      <c r="C4" s="123"/>
      <c r="D4" s="123"/>
      <c r="E4" s="123"/>
      <c r="F4" s="123"/>
      <c r="G4" s="123"/>
      <c r="H4" s="10"/>
      <c r="I4" s="129"/>
      <c r="J4" s="129"/>
      <c r="K4" s="129"/>
      <c r="L4" s="56"/>
      <c r="M4" s="56"/>
      <c r="N4" s="57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spans="2:25" ht="15" customHeight="1">
      <c r="B5" s="123"/>
      <c r="C5" s="123"/>
      <c r="D5" s="123"/>
      <c r="E5" s="123"/>
      <c r="F5" s="123"/>
      <c r="G5" s="123"/>
      <c r="H5" s="10"/>
      <c r="I5" s="129"/>
      <c r="J5" s="129"/>
      <c r="K5" s="129"/>
      <c r="L5" s="56"/>
      <c r="M5" s="56"/>
      <c r="N5" s="57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spans="2:25" ht="12" customHeight="1">
      <c r="B6" s="11"/>
      <c r="C6" s="11"/>
      <c r="D6" s="11"/>
      <c r="E6" s="11"/>
      <c r="F6" s="11"/>
      <c r="G6" s="11"/>
      <c r="H6" s="10"/>
      <c r="I6" s="129"/>
      <c r="J6" s="129"/>
      <c r="K6" s="129"/>
      <c r="L6" s="56"/>
      <c r="M6" s="56"/>
      <c r="N6" s="57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2:25" ht="13.5" customHeight="1">
      <c r="B7" s="11"/>
      <c r="C7" s="12"/>
      <c r="D7" s="13"/>
      <c r="E7" s="13"/>
      <c r="F7" s="13"/>
      <c r="G7" s="11"/>
      <c r="H7" s="10"/>
      <c r="I7" s="129"/>
      <c r="J7" s="129"/>
      <c r="K7" s="129"/>
      <c r="L7" s="56"/>
      <c r="M7" s="56"/>
      <c r="N7" s="57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2:25" ht="15" customHeight="1">
      <c r="B8" s="14"/>
      <c r="C8" s="125" t="s">
        <v>45</v>
      </c>
      <c r="D8" s="126"/>
      <c r="E8" s="126"/>
      <c r="F8" s="126"/>
      <c r="G8" s="14"/>
      <c r="H8" s="15"/>
      <c r="I8" s="129"/>
      <c r="J8" s="129"/>
      <c r="K8" s="129"/>
      <c r="L8" s="56"/>
      <c r="M8" s="56"/>
      <c r="N8" s="57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spans="2:25" ht="10.5" customHeight="1">
      <c r="B9" s="12"/>
      <c r="C9" s="126"/>
      <c r="D9" s="126"/>
      <c r="E9" s="126"/>
      <c r="F9" s="126"/>
      <c r="G9" s="12"/>
      <c r="L9" s="16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spans="2:25" ht="3" customHeight="1">
      <c r="B10" s="12"/>
      <c r="C10" s="127" t="s">
        <v>33</v>
      </c>
      <c r="D10" s="127"/>
      <c r="E10" s="127"/>
      <c r="F10" s="127"/>
      <c r="G10" s="17"/>
      <c r="H10" s="18"/>
      <c r="I10" s="18"/>
      <c r="J10" s="19"/>
      <c r="K10" s="101"/>
      <c r="L10" s="16"/>
      <c r="M10" s="20"/>
      <c r="N10" s="16"/>
      <c r="O10" s="20"/>
    </row>
    <row r="11" spans="2:25">
      <c r="B11" s="12"/>
      <c r="C11" s="140"/>
      <c r="D11" s="124"/>
      <c r="E11" s="124"/>
      <c r="F11" s="124"/>
      <c r="G11" s="17"/>
      <c r="H11" s="18"/>
      <c r="I11" s="9"/>
      <c r="J11" s="9"/>
      <c r="K11" s="72"/>
      <c r="L11" s="9"/>
      <c r="M11" s="9"/>
      <c r="N11" s="9"/>
      <c r="O11" s="9"/>
      <c r="P11" s="9"/>
    </row>
    <row r="12" spans="2:25" ht="15" customHeight="1">
      <c r="B12" s="12"/>
      <c r="C12" s="124"/>
      <c r="D12" s="124"/>
      <c r="E12" s="124"/>
      <c r="F12" s="124"/>
      <c r="G12" s="12"/>
      <c r="I12" s="145" t="s">
        <v>27</v>
      </c>
      <c r="J12" s="145"/>
      <c r="K12" s="141" t="s">
        <v>13</v>
      </c>
      <c r="L12" s="58"/>
      <c r="M12" s="58"/>
      <c r="N12" s="9"/>
      <c r="O12" s="9"/>
      <c r="P12" s="9"/>
    </row>
    <row r="13" spans="2:25" ht="15" customHeight="1">
      <c r="B13" s="12"/>
      <c r="C13" s="124"/>
      <c r="D13" s="124"/>
      <c r="E13" s="124"/>
      <c r="F13" s="124"/>
      <c r="G13" s="12"/>
      <c r="I13" s="145"/>
      <c r="J13" s="145"/>
      <c r="K13" s="141"/>
      <c r="L13" s="58"/>
      <c r="M13" s="58"/>
      <c r="N13" s="9"/>
      <c r="O13" s="9"/>
      <c r="P13" s="9"/>
    </row>
    <row r="14" spans="2:25">
      <c r="B14" s="12"/>
      <c r="C14" s="124"/>
      <c r="D14" s="124"/>
      <c r="E14" s="124"/>
      <c r="F14" s="124"/>
      <c r="G14" s="12"/>
      <c r="I14" s="142" t="s">
        <v>57</v>
      </c>
      <c r="J14" s="142"/>
      <c r="K14" s="96">
        <v>-10</v>
      </c>
      <c r="L14" s="9"/>
      <c r="M14" s="9"/>
      <c r="N14" s="9"/>
      <c r="O14" s="9"/>
      <c r="P14" s="9"/>
    </row>
    <row r="15" spans="2:25">
      <c r="B15" s="12"/>
      <c r="C15" s="124"/>
      <c r="D15" s="124"/>
      <c r="E15" s="124"/>
      <c r="F15" s="124"/>
      <c r="G15" s="12"/>
      <c r="I15" s="143"/>
      <c r="J15" s="143"/>
      <c r="K15" s="95"/>
      <c r="L15" s="9"/>
      <c r="M15" s="9"/>
      <c r="N15" s="9"/>
      <c r="O15" s="9"/>
      <c r="P15" s="9"/>
      <c r="Q15" s="9"/>
      <c r="R15" s="9"/>
    </row>
    <row r="16" spans="2:25">
      <c r="B16" s="12"/>
      <c r="C16" s="124"/>
      <c r="D16" s="124"/>
      <c r="E16" s="124"/>
      <c r="F16" s="124"/>
      <c r="G16" s="12"/>
      <c r="I16" s="142"/>
      <c r="J16" s="142"/>
      <c r="K16" s="96"/>
      <c r="L16" s="9"/>
      <c r="M16" s="9"/>
      <c r="N16" s="9"/>
      <c r="O16" s="9"/>
      <c r="P16" s="9"/>
      <c r="Q16" s="9"/>
      <c r="R16" s="9"/>
    </row>
    <row r="17" spans="2:18">
      <c r="B17" s="12"/>
      <c r="C17" s="124"/>
      <c r="D17" s="124"/>
      <c r="E17" s="124"/>
      <c r="F17" s="124"/>
      <c r="G17" s="12"/>
      <c r="I17" s="144"/>
      <c r="J17" s="144"/>
      <c r="K17" s="95"/>
      <c r="L17" s="9"/>
      <c r="M17" s="9"/>
      <c r="N17" s="9"/>
      <c r="O17" s="9"/>
      <c r="P17" s="9"/>
      <c r="Q17" s="9"/>
      <c r="R17" s="9"/>
    </row>
    <row r="18" spans="2:18">
      <c r="B18" s="12"/>
      <c r="C18" s="124"/>
      <c r="D18" s="124"/>
      <c r="E18" s="124"/>
      <c r="F18" s="124"/>
      <c r="G18" s="12"/>
      <c r="I18" s="142"/>
      <c r="J18" s="142"/>
      <c r="K18" s="96"/>
      <c r="L18" s="9"/>
      <c r="M18" s="9"/>
      <c r="N18" s="9"/>
      <c r="O18" s="9"/>
      <c r="P18" s="9"/>
      <c r="Q18" s="9"/>
      <c r="R18" s="9"/>
    </row>
    <row r="19" spans="2:18">
      <c r="B19" s="12"/>
      <c r="C19" s="12"/>
      <c r="D19" s="12"/>
      <c r="E19" s="12"/>
      <c r="F19" s="12"/>
      <c r="G19" s="12"/>
      <c r="I19" s="143"/>
      <c r="J19" s="143"/>
      <c r="K19" s="95"/>
      <c r="L19" s="9"/>
      <c r="M19" s="9"/>
      <c r="N19" s="59"/>
      <c r="O19" s="9"/>
      <c r="P19" s="9"/>
      <c r="Q19" s="9"/>
      <c r="R19" s="9"/>
    </row>
    <row r="20" spans="2:18">
      <c r="B20" s="12"/>
      <c r="C20" s="12"/>
      <c r="D20" s="12"/>
      <c r="E20" s="12"/>
      <c r="F20" s="12"/>
      <c r="G20" s="12"/>
      <c r="I20" s="142"/>
      <c r="J20" s="142"/>
      <c r="K20" s="96"/>
      <c r="L20" s="9"/>
      <c r="M20" s="9"/>
      <c r="N20" s="9"/>
      <c r="O20" s="9"/>
      <c r="P20" s="9"/>
      <c r="Q20" s="9"/>
      <c r="R20" s="9"/>
    </row>
    <row r="21" spans="2:18">
      <c r="B21" s="12"/>
      <c r="C21" s="12"/>
      <c r="D21" s="12"/>
      <c r="E21" s="12"/>
      <c r="F21" s="12"/>
      <c r="G21" s="12"/>
      <c r="I21" s="143"/>
      <c r="J21" s="143"/>
      <c r="K21" s="95"/>
      <c r="L21" s="9"/>
      <c r="M21" s="9"/>
      <c r="N21" s="9"/>
      <c r="O21" s="9"/>
      <c r="P21" s="9"/>
      <c r="R21" s="9"/>
    </row>
    <row r="22" spans="2:18">
      <c r="B22" s="12"/>
      <c r="C22" s="12"/>
      <c r="D22" s="12"/>
      <c r="E22" s="12"/>
      <c r="F22" s="12"/>
      <c r="G22" s="12"/>
      <c r="I22" s="142"/>
      <c r="J22" s="142"/>
      <c r="K22" s="96"/>
      <c r="L22" s="9"/>
      <c r="M22" s="9"/>
      <c r="N22" s="9"/>
      <c r="O22" s="9"/>
      <c r="P22" s="9"/>
      <c r="R22" s="9"/>
    </row>
    <row r="23" spans="2:18">
      <c r="B23" s="12"/>
      <c r="C23" s="12"/>
      <c r="D23" s="12"/>
      <c r="E23" s="12"/>
      <c r="F23" s="12"/>
      <c r="G23" s="12"/>
      <c r="I23" s="143"/>
      <c r="J23" s="143"/>
      <c r="K23" s="95"/>
      <c r="L23" s="9"/>
      <c r="M23" s="9"/>
      <c r="N23" s="9"/>
      <c r="O23" s="9"/>
      <c r="P23" s="9"/>
      <c r="R23" s="9"/>
    </row>
    <row r="24" spans="2:18">
      <c r="B24" s="12"/>
      <c r="C24" s="12"/>
      <c r="D24" s="12"/>
      <c r="E24" s="12"/>
      <c r="F24" s="12"/>
      <c r="G24" s="12"/>
      <c r="I24" s="142"/>
      <c r="J24" s="142"/>
      <c r="K24" s="96"/>
      <c r="L24" s="9"/>
      <c r="M24" s="9"/>
      <c r="N24" s="9"/>
      <c r="O24" s="9"/>
      <c r="P24" s="9"/>
      <c r="R24" s="9"/>
    </row>
    <row r="25" spans="2:18">
      <c r="B25" s="12"/>
      <c r="C25" s="12"/>
      <c r="D25" s="12"/>
      <c r="E25" s="12"/>
      <c r="F25" s="12"/>
      <c r="G25" s="12"/>
      <c r="I25" s="143"/>
      <c r="J25" s="143"/>
      <c r="K25" s="95"/>
      <c r="L25" s="9"/>
      <c r="M25" s="9"/>
      <c r="N25" s="9"/>
      <c r="O25" s="9"/>
      <c r="P25" s="9"/>
      <c r="R25" s="9"/>
    </row>
    <row r="26" spans="2:18">
      <c r="B26" s="12"/>
      <c r="C26" s="12"/>
      <c r="D26" s="12"/>
      <c r="E26" s="12"/>
      <c r="F26" s="12"/>
      <c r="G26" s="12"/>
      <c r="I26" s="142"/>
      <c r="J26" s="142"/>
      <c r="K26" s="96"/>
      <c r="L26" s="9"/>
      <c r="M26" s="9"/>
      <c r="N26" s="9"/>
      <c r="O26" s="9"/>
      <c r="P26" s="9"/>
      <c r="R26" s="9"/>
    </row>
    <row r="27" spans="2:18">
      <c r="B27" s="12"/>
      <c r="C27" s="12"/>
      <c r="D27" s="12"/>
      <c r="E27" s="12"/>
      <c r="F27" s="12"/>
      <c r="G27" s="12"/>
      <c r="I27" s="143"/>
      <c r="J27" s="143"/>
      <c r="K27" s="95"/>
      <c r="L27" s="9"/>
      <c r="M27" s="9"/>
      <c r="N27" s="9"/>
      <c r="O27" s="9"/>
      <c r="P27" s="9"/>
      <c r="R27" s="9"/>
    </row>
    <row r="28" spans="2:18">
      <c r="B28" s="12"/>
      <c r="C28" s="12"/>
      <c r="D28" s="12"/>
      <c r="E28" s="12"/>
      <c r="F28" s="12"/>
      <c r="G28" s="12"/>
      <c r="I28" s="142"/>
      <c r="J28" s="142"/>
      <c r="K28" s="96"/>
      <c r="L28" s="9"/>
      <c r="M28" s="9"/>
      <c r="N28" s="9"/>
      <c r="O28" s="9"/>
      <c r="P28" s="9"/>
      <c r="R28" s="9"/>
    </row>
    <row r="29" spans="2:18">
      <c r="B29" s="12"/>
      <c r="C29" s="12"/>
      <c r="D29" s="12"/>
      <c r="E29" s="12"/>
      <c r="F29" s="12"/>
      <c r="G29" s="12"/>
      <c r="I29" s="143"/>
      <c r="J29" s="143"/>
      <c r="K29" s="95"/>
      <c r="L29" s="9"/>
      <c r="M29" s="9"/>
      <c r="N29" s="9"/>
      <c r="O29" s="9"/>
      <c r="P29" s="9"/>
      <c r="R29" s="9"/>
    </row>
    <row r="30" spans="2:18">
      <c r="B30" s="12"/>
      <c r="C30" s="12"/>
      <c r="D30" s="12"/>
      <c r="E30" s="12"/>
      <c r="F30" s="12"/>
      <c r="G30" s="12"/>
      <c r="I30" s="142"/>
      <c r="J30" s="142"/>
      <c r="K30" s="96"/>
      <c r="L30" s="9"/>
      <c r="M30" s="9"/>
      <c r="N30" s="9"/>
      <c r="O30" s="9"/>
      <c r="P30" s="9"/>
      <c r="R30" s="9"/>
    </row>
    <row r="31" spans="2:18">
      <c r="B31" s="12"/>
      <c r="C31" s="12"/>
      <c r="D31" s="12"/>
      <c r="E31" s="12"/>
      <c r="F31" s="12"/>
      <c r="G31" s="12"/>
      <c r="I31" s="143"/>
      <c r="J31" s="143"/>
      <c r="K31" s="95"/>
      <c r="L31" s="9"/>
      <c r="M31" s="9"/>
      <c r="N31" s="9"/>
      <c r="O31" s="9"/>
      <c r="P31" s="9"/>
      <c r="Q31" s="9"/>
      <c r="R31" s="9"/>
    </row>
    <row r="32" spans="2:18">
      <c r="B32" s="12"/>
      <c r="C32" s="12"/>
      <c r="D32" s="12"/>
      <c r="E32" s="12"/>
      <c r="F32" s="12"/>
      <c r="G32" s="12"/>
      <c r="I32" s="142"/>
      <c r="J32" s="142"/>
      <c r="K32" s="96"/>
      <c r="L32" s="9"/>
      <c r="M32" s="9"/>
      <c r="N32" s="9"/>
      <c r="O32" s="9"/>
      <c r="P32" s="9"/>
      <c r="Q32" s="9"/>
      <c r="R32" s="9"/>
    </row>
    <row r="33" spans="2:16">
      <c r="B33" s="12"/>
      <c r="C33" s="12"/>
      <c r="D33" s="12"/>
      <c r="E33" s="12"/>
      <c r="F33" s="12"/>
      <c r="G33" s="12"/>
      <c r="I33" s="143"/>
      <c r="J33" s="143"/>
      <c r="K33" s="95"/>
      <c r="L33" s="9"/>
      <c r="M33" s="9"/>
      <c r="N33" s="9"/>
      <c r="O33" s="9"/>
      <c r="P33" s="9"/>
    </row>
    <row r="34" spans="2:16">
      <c r="B34" s="12"/>
      <c r="C34" s="12"/>
      <c r="D34" s="12"/>
      <c r="E34" s="12"/>
      <c r="F34" s="12"/>
      <c r="G34" s="12"/>
      <c r="I34" s="142"/>
      <c r="J34" s="142"/>
      <c r="K34" s="96"/>
      <c r="L34" s="9"/>
      <c r="M34" s="9"/>
      <c r="N34" s="9"/>
      <c r="O34" s="9"/>
      <c r="P34" s="9"/>
    </row>
    <row r="35" spans="2:16">
      <c r="B35" s="12"/>
      <c r="C35" s="12"/>
      <c r="D35" s="12"/>
      <c r="E35" s="12"/>
      <c r="F35" s="12"/>
      <c r="G35" s="12"/>
      <c r="I35" s="143"/>
      <c r="J35" s="143"/>
      <c r="K35" s="95"/>
      <c r="L35" s="9"/>
      <c r="M35" s="9"/>
      <c r="N35" s="9"/>
      <c r="O35" s="9"/>
      <c r="P35" s="9"/>
    </row>
    <row r="36" spans="2:16">
      <c r="B36" s="12"/>
      <c r="C36" s="12"/>
      <c r="D36" s="12"/>
      <c r="E36" s="12"/>
      <c r="F36" s="12"/>
      <c r="G36" s="12"/>
      <c r="I36" s="142"/>
      <c r="J36" s="142"/>
      <c r="K36" s="96"/>
      <c r="L36" s="9"/>
      <c r="M36" s="9"/>
      <c r="N36" s="9"/>
      <c r="O36" s="9"/>
      <c r="P36" s="9"/>
    </row>
    <row r="37" spans="2:16">
      <c r="B37" s="12"/>
      <c r="C37" s="12"/>
      <c r="D37" s="12"/>
      <c r="E37" s="12"/>
      <c r="F37" s="12"/>
      <c r="G37" s="12"/>
      <c r="I37" s="143"/>
      <c r="J37" s="143"/>
      <c r="K37" s="95"/>
      <c r="L37" s="9"/>
      <c r="M37" s="9"/>
      <c r="N37" s="9"/>
      <c r="O37" s="9"/>
      <c r="P37" s="9"/>
    </row>
    <row r="38" spans="2:16">
      <c r="B38" s="12"/>
      <c r="C38" s="12"/>
      <c r="D38" s="12"/>
      <c r="E38" s="12"/>
      <c r="F38" s="12"/>
      <c r="G38" s="12"/>
      <c r="I38" s="142"/>
      <c r="J38" s="142"/>
      <c r="K38" s="96"/>
      <c r="L38" s="9"/>
      <c r="M38" s="9"/>
      <c r="N38" s="9"/>
      <c r="O38" s="9"/>
      <c r="P38" s="9"/>
    </row>
    <row r="39" spans="2:16">
      <c r="B39" s="12"/>
      <c r="C39" s="12"/>
      <c r="D39" s="12"/>
      <c r="E39" s="12"/>
      <c r="F39" s="12"/>
      <c r="G39" s="12"/>
      <c r="I39" s="143"/>
      <c r="J39" s="143"/>
      <c r="K39" s="95"/>
      <c r="L39" s="9"/>
      <c r="M39" s="9"/>
      <c r="N39" s="9"/>
      <c r="O39" s="9"/>
      <c r="P39" s="9"/>
    </row>
    <row r="40" spans="2:16">
      <c r="B40" s="12"/>
      <c r="C40" s="12"/>
      <c r="D40" s="12"/>
      <c r="E40" s="12"/>
      <c r="F40" s="12"/>
      <c r="G40" s="12"/>
      <c r="I40" s="142"/>
      <c r="J40" s="142"/>
      <c r="K40" s="96"/>
      <c r="L40" s="9"/>
      <c r="M40" s="9"/>
      <c r="N40" s="9"/>
      <c r="O40" s="9"/>
      <c r="P40" s="9"/>
    </row>
    <row r="41" spans="2:16">
      <c r="B41" s="12"/>
      <c r="C41" s="12"/>
      <c r="D41" s="12"/>
      <c r="E41" s="12"/>
      <c r="F41" s="12"/>
      <c r="G41" s="12"/>
      <c r="I41" s="143"/>
      <c r="J41" s="143"/>
      <c r="K41" s="95"/>
      <c r="L41" s="9"/>
      <c r="M41" s="9"/>
      <c r="N41" s="9"/>
      <c r="O41" s="9"/>
      <c r="P41" s="9"/>
    </row>
    <row r="42" spans="2:16">
      <c r="B42" s="12"/>
      <c r="C42" s="12"/>
      <c r="D42" s="12"/>
      <c r="E42" s="12"/>
      <c r="F42" s="12"/>
      <c r="G42" s="12"/>
      <c r="I42" s="142"/>
      <c r="J42" s="142"/>
      <c r="K42" s="96"/>
      <c r="L42" s="9"/>
      <c r="M42" s="9"/>
      <c r="N42" s="9"/>
      <c r="O42" s="9"/>
      <c r="P42" s="9"/>
    </row>
    <row r="43" spans="2:16">
      <c r="B43" s="12"/>
      <c r="C43" s="12"/>
      <c r="D43" s="12"/>
      <c r="E43" s="12"/>
      <c r="F43" s="12"/>
      <c r="G43" s="12"/>
      <c r="I43" s="143"/>
      <c r="J43" s="143"/>
      <c r="K43" s="95"/>
      <c r="L43" s="9"/>
      <c r="M43" s="9"/>
      <c r="N43" s="9"/>
      <c r="O43" s="9"/>
      <c r="P43" s="9"/>
    </row>
    <row r="44" spans="2:16">
      <c r="B44" s="12"/>
      <c r="C44" s="12"/>
      <c r="D44" s="12"/>
      <c r="E44" s="12"/>
      <c r="F44" s="12"/>
      <c r="G44" s="12"/>
      <c r="I44" s="142"/>
      <c r="J44" s="142"/>
      <c r="K44" s="96"/>
      <c r="L44" s="9"/>
      <c r="M44" s="9"/>
      <c r="N44" s="9"/>
      <c r="O44" s="9"/>
      <c r="P44" s="9"/>
    </row>
    <row r="45" spans="2:16">
      <c r="B45" s="12"/>
      <c r="C45" s="12"/>
      <c r="D45" s="12"/>
      <c r="E45" s="12"/>
      <c r="F45" s="12"/>
      <c r="G45" s="12"/>
      <c r="I45" s="143"/>
      <c r="J45" s="143"/>
      <c r="K45" s="95"/>
      <c r="L45" s="9"/>
      <c r="M45" s="9"/>
      <c r="N45" s="9"/>
      <c r="O45" s="9"/>
      <c r="P45" s="9"/>
    </row>
    <row r="46" spans="2:16">
      <c r="B46" s="12"/>
      <c r="C46" s="12"/>
      <c r="D46" s="12"/>
      <c r="E46" s="12"/>
      <c r="F46" s="12"/>
      <c r="G46" s="12"/>
      <c r="I46" s="142"/>
      <c r="J46" s="142"/>
      <c r="K46" s="96"/>
      <c r="L46" s="9"/>
      <c r="M46" s="9"/>
      <c r="N46" s="9"/>
      <c r="O46" s="9"/>
      <c r="P46" s="9"/>
    </row>
    <row r="47" spans="2:16">
      <c r="B47" s="12"/>
      <c r="C47" s="12"/>
      <c r="D47" s="12"/>
      <c r="E47" s="12"/>
      <c r="F47" s="12"/>
      <c r="G47" s="12"/>
      <c r="I47" s="143"/>
      <c r="J47" s="143"/>
      <c r="K47" s="95"/>
      <c r="L47" s="9"/>
      <c r="M47" s="9"/>
      <c r="N47" s="9"/>
      <c r="O47" s="9"/>
      <c r="P47" s="9"/>
    </row>
    <row r="48" spans="2:16">
      <c r="B48" s="12"/>
      <c r="C48" s="12"/>
      <c r="D48" s="12"/>
      <c r="E48" s="12"/>
      <c r="F48" s="12"/>
      <c r="G48" s="12"/>
      <c r="I48" s="142"/>
      <c r="J48" s="142"/>
      <c r="K48" s="96"/>
      <c r="L48" s="9"/>
      <c r="M48" s="9"/>
      <c r="N48" s="9"/>
      <c r="O48" s="9"/>
      <c r="P48" s="9"/>
    </row>
    <row r="49" spans="2:16">
      <c r="B49" s="12"/>
      <c r="C49" s="12"/>
      <c r="D49" s="12"/>
      <c r="E49" s="12"/>
      <c r="F49" s="12"/>
      <c r="G49" s="12"/>
      <c r="I49" s="143"/>
      <c r="J49" s="143"/>
      <c r="K49" s="95"/>
      <c r="L49" s="9"/>
      <c r="M49" s="9"/>
      <c r="N49" s="9"/>
      <c r="O49" s="9"/>
      <c r="P49" s="9"/>
    </row>
    <row r="50" spans="2:16">
      <c r="B50" s="12"/>
      <c r="C50" s="12"/>
      <c r="D50" s="12"/>
      <c r="E50" s="12"/>
      <c r="F50" s="12"/>
      <c r="G50" s="12"/>
      <c r="I50" s="142"/>
      <c r="J50" s="142"/>
      <c r="K50" s="96"/>
      <c r="L50" s="9"/>
      <c r="M50" s="9"/>
      <c r="N50" s="9"/>
      <c r="O50" s="9"/>
      <c r="P50" s="9"/>
    </row>
    <row r="51" spans="2:16" ht="19.5">
      <c r="B51" s="12"/>
      <c r="C51" s="12"/>
      <c r="D51" s="12"/>
      <c r="E51" s="12"/>
      <c r="F51" s="12"/>
      <c r="G51" s="12"/>
      <c r="I51" s="146" t="s">
        <v>38</v>
      </c>
      <c r="J51" s="146"/>
      <c r="K51" s="94">
        <f>SUM(K14:K50)</f>
        <v>-10</v>
      </c>
      <c r="L51" s="9"/>
      <c r="M51" s="9"/>
      <c r="N51" s="9"/>
      <c r="O51" s="9"/>
      <c r="P51" s="9"/>
    </row>
    <row r="52" spans="2:16">
      <c r="B52" s="12"/>
      <c r="C52" s="12"/>
      <c r="D52" s="12"/>
      <c r="E52" s="12"/>
      <c r="F52" s="12"/>
      <c r="G52" s="12"/>
      <c r="I52" s="147"/>
      <c r="J52" s="147"/>
      <c r="K52" s="97"/>
      <c r="L52" s="9"/>
      <c r="M52" s="9"/>
      <c r="N52" s="9"/>
      <c r="O52" s="9"/>
      <c r="P52" s="9"/>
    </row>
    <row r="53" spans="2:16" ht="15" hidden="1" customHeight="1">
      <c r="B53" s="12"/>
      <c r="C53" s="12"/>
      <c r="D53" s="12"/>
      <c r="E53" s="12"/>
      <c r="F53" s="12"/>
      <c r="G53" s="12"/>
      <c r="I53" s="147"/>
      <c r="J53" s="147"/>
      <c r="K53" s="97"/>
      <c r="L53" s="9"/>
      <c r="M53" s="9"/>
      <c r="N53" s="9"/>
      <c r="O53" s="9"/>
      <c r="P53" s="9"/>
    </row>
    <row r="54" spans="2:16" ht="15" hidden="1" customHeight="1">
      <c r="B54" s="12"/>
      <c r="C54" s="12"/>
      <c r="D54" s="12"/>
      <c r="E54" s="12"/>
      <c r="F54" s="12"/>
      <c r="G54" s="12"/>
      <c r="I54" s="147"/>
      <c r="J54" s="147"/>
      <c r="K54" s="97"/>
      <c r="L54" s="9"/>
      <c r="M54" s="9"/>
      <c r="N54" s="9"/>
      <c r="O54" s="9"/>
      <c r="P54" s="9"/>
    </row>
    <row r="55" spans="2:16" hidden="1">
      <c r="B55" s="12"/>
      <c r="C55" s="12"/>
      <c r="D55" s="12"/>
      <c r="E55" s="12"/>
      <c r="F55" s="12"/>
      <c r="G55" s="12"/>
      <c r="I55" s="57"/>
      <c r="J55" s="57"/>
      <c r="K55" s="97"/>
      <c r="L55" s="9"/>
      <c r="M55" s="9"/>
      <c r="N55" s="9"/>
      <c r="O55" s="9"/>
      <c r="P55" s="9"/>
    </row>
    <row r="56" spans="2:16" hidden="1">
      <c r="B56" s="12"/>
      <c r="C56" s="12"/>
      <c r="D56" s="12"/>
      <c r="E56" s="12"/>
      <c r="F56" s="12"/>
      <c r="G56" s="12"/>
      <c r="I56" s="57"/>
      <c r="J56" s="57"/>
      <c r="K56" s="97"/>
      <c r="L56" s="9"/>
      <c r="M56" s="9"/>
      <c r="N56" s="9"/>
      <c r="O56" s="9"/>
      <c r="P56" s="9"/>
    </row>
    <row r="57" spans="2:16" hidden="1">
      <c r="B57" s="12"/>
      <c r="C57" s="12"/>
      <c r="D57" s="12"/>
      <c r="E57" s="12"/>
      <c r="F57" s="12"/>
      <c r="G57" s="12"/>
      <c r="I57" s="57"/>
      <c r="J57" s="57"/>
      <c r="K57" s="97"/>
      <c r="L57" s="9"/>
      <c r="M57" s="9"/>
      <c r="N57" s="9"/>
      <c r="O57" s="9"/>
      <c r="P57" s="9"/>
    </row>
    <row r="58" spans="2:16" hidden="1">
      <c r="B58" s="12"/>
      <c r="C58" s="12"/>
      <c r="D58" s="12"/>
      <c r="E58" s="12"/>
      <c r="F58" s="12"/>
      <c r="G58" s="12"/>
      <c r="I58" s="57"/>
      <c r="J58" s="57"/>
      <c r="K58" s="97"/>
      <c r="L58" s="9"/>
      <c r="M58" s="9"/>
      <c r="N58" s="9"/>
      <c r="O58" s="9"/>
      <c r="P58" s="9"/>
    </row>
    <row r="59" spans="2:16" hidden="1">
      <c r="B59" s="12"/>
      <c r="C59" s="12"/>
      <c r="D59" s="12"/>
      <c r="E59" s="12"/>
      <c r="F59" s="12"/>
      <c r="G59" s="12"/>
      <c r="I59" s="9"/>
      <c r="J59" s="9"/>
      <c r="K59" s="72"/>
      <c r="L59" s="9"/>
      <c r="M59" s="9"/>
      <c r="N59" s="9"/>
      <c r="O59" s="9"/>
      <c r="P59" s="9"/>
    </row>
    <row r="60" spans="2:16" hidden="1">
      <c r="B60" s="12"/>
      <c r="C60" s="12"/>
      <c r="D60" s="12"/>
      <c r="E60" s="12"/>
      <c r="F60" s="12"/>
      <c r="G60" s="12"/>
      <c r="I60" s="9"/>
      <c r="J60" s="9"/>
      <c r="K60" s="72"/>
      <c r="L60" s="9"/>
      <c r="M60" s="9"/>
      <c r="N60" s="9"/>
      <c r="O60" s="9"/>
      <c r="P60" s="9"/>
    </row>
    <row r="61" spans="2:16" hidden="1">
      <c r="B61" s="12"/>
      <c r="C61" s="12"/>
      <c r="D61" s="12"/>
      <c r="E61" s="12"/>
      <c r="F61" s="12"/>
      <c r="G61" s="12"/>
      <c r="I61" s="9"/>
      <c r="J61" s="9"/>
      <c r="K61" s="72"/>
      <c r="L61" s="9"/>
      <c r="M61" s="9"/>
      <c r="N61" s="9"/>
      <c r="O61" s="9"/>
      <c r="P61" s="9"/>
    </row>
    <row r="62" spans="2:16" hidden="1">
      <c r="B62" s="12"/>
      <c r="C62" s="12"/>
      <c r="D62" s="12"/>
      <c r="E62" s="12"/>
      <c r="F62" s="12"/>
      <c r="G62" s="12"/>
      <c r="I62" s="9"/>
      <c r="J62" s="9"/>
      <c r="K62" s="72"/>
      <c r="L62" s="9"/>
      <c r="M62" s="9"/>
      <c r="N62" s="9"/>
      <c r="O62" s="9"/>
      <c r="P62" s="9"/>
    </row>
    <row r="63" spans="2:16" hidden="1">
      <c r="B63" s="12"/>
      <c r="C63" s="12"/>
      <c r="D63" s="12"/>
      <c r="E63" s="12"/>
      <c r="F63" s="12"/>
      <c r="G63" s="12"/>
      <c r="I63" s="9"/>
      <c r="J63" s="9"/>
      <c r="K63" s="72"/>
      <c r="L63" s="9"/>
      <c r="M63" s="9"/>
      <c r="N63" s="9"/>
      <c r="O63" s="9"/>
      <c r="P63" s="9"/>
    </row>
    <row r="64" spans="2:16" hidden="1">
      <c r="B64" s="12"/>
      <c r="C64" s="12"/>
      <c r="D64" s="12"/>
      <c r="E64" s="12"/>
      <c r="F64" s="12"/>
      <c r="G64" s="12"/>
      <c r="I64" s="9"/>
      <c r="J64" s="9"/>
      <c r="K64" s="72"/>
      <c r="L64" s="9"/>
      <c r="M64" s="9"/>
      <c r="N64" s="9"/>
      <c r="O64" s="9"/>
      <c r="P64" s="9"/>
    </row>
    <row r="65" spans="2:16" hidden="1">
      <c r="B65" s="12"/>
      <c r="C65" s="12"/>
      <c r="D65" s="12"/>
      <c r="E65" s="12"/>
      <c r="F65" s="12"/>
      <c r="G65" s="12"/>
      <c r="I65" s="9"/>
      <c r="J65" s="9"/>
      <c r="K65" s="72"/>
      <c r="L65" s="9"/>
      <c r="M65" s="9"/>
      <c r="N65" s="9"/>
      <c r="O65" s="9"/>
      <c r="P65" s="9"/>
    </row>
    <row r="66" spans="2:16" hidden="1">
      <c r="B66" s="12"/>
      <c r="C66" s="12"/>
      <c r="D66" s="12"/>
      <c r="E66" s="12"/>
      <c r="F66" s="12"/>
      <c r="G66" s="12"/>
      <c r="I66" s="9"/>
      <c r="J66" s="9"/>
      <c r="K66" s="72"/>
      <c r="L66" s="9"/>
      <c r="M66" s="9"/>
      <c r="N66" s="9"/>
      <c r="O66" s="9"/>
      <c r="P66" s="9"/>
    </row>
    <row r="67" spans="2:16" hidden="1">
      <c r="B67" s="12"/>
      <c r="C67" s="12"/>
      <c r="D67" s="12"/>
      <c r="E67" s="12"/>
      <c r="F67" s="12"/>
      <c r="G67" s="12"/>
      <c r="I67" s="9"/>
      <c r="J67" s="9"/>
      <c r="K67" s="72"/>
      <c r="L67" s="9"/>
      <c r="M67" s="9"/>
      <c r="N67" s="9"/>
      <c r="O67" s="9"/>
      <c r="P67" s="9"/>
    </row>
    <row r="68" spans="2:16" hidden="1">
      <c r="B68" s="12"/>
      <c r="C68" s="12"/>
      <c r="D68" s="12"/>
      <c r="E68" s="12"/>
      <c r="F68" s="12"/>
      <c r="G68" s="12"/>
      <c r="I68" s="9"/>
      <c r="J68" s="9"/>
      <c r="K68" s="72"/>
      <c r="L68" s="9"/>
      <c r="M68" s="9"/>
      <c r="N68" s="9"/>
      <c r="O68" s="9"/>
      <c r="P68" s="9"/>
    </row>
    <row r="69" spans="2:16" hidden="1">
      <c r="B69" s="12"/>
      <c r="C69" s="12"/>
      <c r="D69" s="12"/>
      <c r="E69" s="12"/>
      <c r="F69" s="12"/>
      <c r="G69" s="12"/>
      <c r="I69" s="9"/>
      <c r="J69" s="9"/>
      <c r="K69" s="72"/>
      <c r="L69" s="9"/>
      <c r="M69" s="9"/>
      <c r="N69" s="9"/>
      <c r="O69" s="9"/>
      <c r="P69" s="9"/>
    </row>
    <row r="70" spans="2:16" hidden="1">
      <c r="B70" s="12"/>
      <c r="C70" s="12"/>
      <c r="D70" s="12"/>
      <c r="E70" s="12"/>
      <c r="F70" s="12"/>
      <c r="G70" s="12"/>
      <c r="I70" s="9"/>
      <c r="J70" s="9"/>
      <c r="K70" s="72"/>
      <c r="L70" s="9"/>
      <c r="M70" s="9"/>
      <c r="N70" s="9"/>
      <c r="O70" s="9"/>
      <c r="P70" s="9"/>
    </row>
    <row r="71" spans="2:16" hidden="1">
      <c r="B71" s="12"/>
      <c r="C71" s="12"/>
      <c r="D71" s="12"/>
      <c r="E71" s="12"/>
      <c r="F71" s="12"/>
      <c r="G71" s="12"/>
      <c r="I71" s="9"/>
      <c r="J71" s="9"/>
      <c r="K71" s="72"/>
      <c r="L71" s="9"/>
      <c r="M71" s="9"/>
      <c r="N71" s="9"/>
      <c r="O71" s="9"/>
      <c r="P71" s="9"/>
    </row>
    <row r="72" spans="2:16" hidden="1">
      <c r="B72" s="12"/>
      <c r="C72" s="12"/>
      <c r="D72" s="12"/>
      <c r="E72" s="12"/>
      <c r="F72" s="12"/>
      <c r="G72" s="12"/>
      <c r="I72" s="9"/>
      <c r="J72" s="9"/>
      <c r="K72" s="72"/>
      <c r="L72" s="9"/>
      <c r="M72" s="9"/>
      <c r="N72" s="9"/>
      <c r="O72" s="9"/>
      <c r="P72" s="9"/>
    </row>
    <row r="73" spans="2:16" hidden="1">
      <c r="B73" s="12"/>
      <c r="C73" s="12"/>
      <c r="D73" s="12"/>
      <c r="E73" s="12"/>
      <c r="F73" s="12"/>
      <c r="G73" s="12"/>
      <c r="I73" s="9"/>
      <c r="J73" s="9"/>
      <c r="K73" s="72"/>
      <c r="L73" s="9"/>
      <c r="M73" s="9"/>
      <c r="N73" s="9"/>
      <c r="O73" s="9"/>
      <c r="P73" s="9"/>
    </row>
    <row r="74" spans="2:16" hidden="1">
      <c r="B74" s="12"/>
      <c r="C74" s="12"/>
      <c r="D74" s="12"/>
      <c r="E74" s="12"/>
      <c r="F74" s="12"/>
      <c r="G74" s="12"/>
      <c r="I74" s="9"/>
      <c r="J74" s="9"/>
      <c r="K74" s="72"/>
      <c r="L74" s="9"/>
      <c r="M74" s="9"/>
      <c r="N74" s="9"/>
      <c r="O74" s="9"/>
      <c r="P74" s="9"/>
    </row>
    <row r="75" spans="2:16" hidden="1">
      <c r="B75" s="12"/>
      <c r="C75" s="12"/>
      <c r="D75" s="12"/>
      <c r="E75" s="12"/>
      <c r="F75" s="12"/>
      <c r="G75" s="12"/>
      <c r="I75" s="9"/>
      <c r="J75" s="9"/>
      <c r="K75" s="72"/>
      <c r="L75" s="9"/>
      <c r="M75" s="9"/>
      <c r="N75" s="9"/>
      <c r="O75" s="9"/>
      <c r="P75" s="9"/>
    </row>
    <row r="76" spans="2:16" hidden="1">
      <c r="B76" s="12"/>
      <c r="C76" s="12"/>
      <c r="D76" s="12"/>
      <c r="E76" s="12"/>
      <c r="F76" s="12"/>
      <c r="G76" s="12"/>
      <c r="I76" s="9"/>
      <c r="J76" s="9"/>
      <c r="K76" s="72"/>
      <c r="L76" s="9"/>
      <c r="M76" s="9"/>
      <c r="N76" s="9"/>
      <c r="O76" s="9"/>
      <c r="P76" s="9"/>
    </row>
    <row r="77" spans="2:16" hidden="1">
      <c r="B77" s="12"/>
      <c r="C77" s="12"/>
      <c r="D77" s="12"/>
      <c r="E77" s="12"/>
      <c r="F77" s="12"/>
      <c r="G77" s="12"/>
      <c r="I77" s="9"/>
      <c r="J77" s="9"/>
      <c r="K77" s="72"/>
      <c r="L77" s="9"/>
      <c r="M77" s="9"/>
      <c r="N77" s="9"/>
      <c r="O77" s="9"/>
      <c r="P77" s="9"/>
    </row>
    <row r="78" spans="2:16" hidden="1">
      <c r="B78" s="12"/>
      <c r="C78" s="12"/>
      <c r="D78" s="12"/>
      <c r="E78" s="12"/>
      <c r="F78" s="12"/>
      <c r="G78" s="12"/>
      <c r="I78" s="9"/>
      <c r="J78" s="9"/>
      <c r="K78" s="72"/>
      <c r="L78" s="9"/>
      <c r="M78" s="9"/>
      <c r="N78" s="9"/>
      <c r="O78" s="9"/>
      <c r="P78" s="9"/>
    </row>
    <row r="79" spans="2:16" hidden="1">
      <c r="B79" s="12"/>
      <c r="C79" s="12"/>
      <c r="D79" s="12"/>
      <c r="E79" s="12"/>
      <c r="F79" s="12"/>
      <c r="G79" s="12"/>
      <c r="I79" s="9"/>
      <c r="J79" s="9"/>
      <c r="K79" s="72"/>
      <c r="L79" s="9"/>
      <c r="M79" s="9"/>
      <c r="N79" s="9"/>
      <c r="O79" s="9"/>
      <c r="P79" s="9"/>
    </row>
    <row r="80" spans="2:16" hidden="1">
      <c r="B80" s="12"/>
      <c r="C80" s="12"/>
      <c r="D80" s="12"/>
      <c r="E80" s="12"/>
      <c r="F80" s="12"/>
      <c r="G80" s="12"/>
      <c r="I80" s="9"/>
      <c r="J80" s="9"/>
      <c r="K80" s="72"/>
      <c r="L80" s="9"/>
      <c r="M80" s="9"/>
      <c r="N80" s="9"/>
      <c r="O80" s="9"/>
      <c r="P80" s="9"/>
    </row>
    <row r="81" spans="2:16" hidden="1">
      <c r="B81" s="12"/>
      <c r="C81" s="12"/>
      <c r="D81" s="12"/>
      <c r="E81" s="12"/>
      <c r="F81" s="12"/>
      <c r="G81" s="12"/>
      <c r="I81" s="9"/>
      <c r="J81" s="9"/>
      <c r="K81" s="72"/>
      <c r="L81" s="9"/>
      <c r="M81" s="9"/>
      <c r="N81" s="9"/>
      <c r="O81" s="9"/>
      <c r="P81" s="9"/>
    </row>
    <row r="82" spans="2:16" hidden="1">
      <c r="B82" s="12"/>
      <c r="C82" s="12"/>
      <c r="D82" s="12"/>
      <c r="E82" s="12"/>
      <c r="F82" s="12"/>
      <c r="G82" s="12"/>
      <c r="I82" s="9"/>
      <c r="J82" s="9"/>
      <c r="K82" s="72"/>
      <c r="L82" s="9"/>
      <c r="M82" s="9"/>
      <c r="N82" s="9"/>
      <c r="O82" s="9"/>
      <c r="P82" s="9"/>
    </row>
    <row r="83" spans="2:16" hidden="1">
      <c r="B83" s="12"/>
      <c r="C83" s="12"/>
      <c r="D83" s="12"/>
      <c r="E83" s="12"/>
      <c r="F83" s="12"/>
      <c r="G83" s="12"/>
      <c r="I83" s="9"/>
      <c r="J83" s="9"/>
      <c r="K83" s="72"/>
      <c r="L83" s="9"/>
      <c r="M83" s="9"/>
      <c r="N83" s="9"/>
      <c r="O83" s="9"/>
      <c r="P83" s="9"/>
    </row>
    <row r="84" spans="2:16" hidden="1">
      <c r="B84" s="12"/>
      <c r="C84" s="12"/>
      <c r="D84" s="12"/>
      <c r="E84" s="12"/>
      <c r="F84" s="12"/>
      <c r="G84" s="12"/>
      <c r="I84" s="9"/>
      <c r="J84" s="9"/>
      <c r="K84" s="72"/>
      <c r="L84" s="9"/>
      <c r="M84" s="9"/>
      <c r="N84" s="9"/>
      <c r="O84" s="9"/>
      <c r="P84" s="9"/>
    </row>
    <row r="85" spans="2:16" hidden="1">
      <c r="B85" s="12"/>
      <c r="C85" s="12"/>
      <c r="D85" s="12"/>
      <c r="E85" s="12"/>
      <c r="F85" s="12"/>
      <c r="G85" s="12"/>
      <c r="I85" s="9"/>
      <c r="J85" s="9"/>
      <c r="K85" s="72"/>
      <c r="L85" s="9"/>
      <c r="M85" s="9"/>
      <c r="N85" s="9"/>
      <c r="O85" s="9"/>
      <c r="P85" s="9"/>
    </row>
    <row r="86" spans="2:16" hidden="1">
      <c r="B86" s="12"/>
      <c r="C86" s="12"/>
      <c r="D86" s="12"/>
      <c r="E86" s="12"/>
      <c r="F86" s="12"/>
      <c r="G86" s="12"/>
      <c r="I86" s="9"/>
      <c r="J86" s="9"/>
      <c r="K86" s="72"/>
      <c r="L86" s="9"/>
      <c r="M86" s="9"/>
      <c r="N86" s="9"/>
      <c r="O86" s="9"/>
      <c r="P86" s="9"/>
    </row>
    <row r="87" spans="2:16" hidden="1">
      <c r="B87" s="12"/>
      <c r="C87" s="12"/>
      <c r="D87" s="12"/>
      <c r="E87" s="12"/>
      <c r="F87" s="12"/>
      <c r="G87" s="12"/>
      <c r="I87" s="9"/>
      <c r="J87" s="9"/>
      <c r="K87" s="72"/>
      <c r="L87" s="9"/>
      <c r="M87" s="9"/>
      <c r="N87" s="9"/>
      <c r="O87" s="9"/>
      <c r="P87" s="9"/>
    </row>
    <row r="88" spans="2:16" hidden="1">
      <c r="B88" s="12"/>
      <c r="C88" s="12"/>
      <c r="D88" s="12"/>
      <c r="E88" s="12"/>
      <c r="F88" s="12"/>
      <c r="G88" s="12"/>
      <c r="I88" s="9"/>
      <c r="J88" s="9"/>
      <c r="K88" s="72"/>
      <c r="L88" s="9"/>
      <c r="M88" s="9"/>
      <c r="N88" s="9"/>
      <c r="O88" s="9"/>
      <c r="P88" s="9"/>
    </row>
    <row r="89" spans="2:16" hidden="1">
      <c r="B89" s="12"/>
      <c r="C89" s="12"/>
      <c r="D89" s="12"/>
      <c r="E89" s="12"/>
      <c r="F89" s="12"/>
      <c r="G89" s="12"/>
      <c r="I89" s="9"/>
      <c r="J89" s="9"/>
      <c r="K89" s="72"/>
      <c r="L89" s="9"/>
      <c r="M89" s="9"/>
      <c r="N89" s="9"/>
      <c r="O89" s="9"/>
      <c r="P89" s="9"/>
    </row>
    <row r="90" spans="2:16" hidden="1">
      <c r="B90" s="12"/>
      <c r="C90" s="12"/>
      <c r="D90" s="12"/>
      <c r="E90" s="12"/>
      <c r="F90" s="12"/>
      <c r="G90" s="12"/>
      <c r="I90" s="9"/>
      <c r="J90" s="9"/>
      <c r="K90" s="72"/>
      <c r="L90" s="9"/>
      <c r="M90" s="9"/>
      <c r="N90" s="9"/>
      <c r="O90" s="9"/>
      <c r="P90" s="9"/>
    </row>
    <row r="91" spans="2:16" hidden="1">
      <c r="B91" s="12"/>
      <c r="C91" s="12"/>
      <c r="D91" s="12"/>
      <c r="E91" s="12"/>
      <c r="F91" s="12"/>
      <c r="G91" s="12"/>
      <c r="I91" s="9"/>
      <c r="J91" s="9"/>
      <c r="K91" s="72"/>
      <c r="L91" s="9"/>
      <c r="M91" s="9"/>
      <c r="N91" s="9"/>
      <c r="O91" s="9"/>
      <c r="P91" s="9"/>
    </row>
    <row r="92" spans="2:16" hidden="1">
      <c r="B92" s="12"/>
      <c r="C92" s="12"/>
      <c r="D92" s="12"/>
      <c r="E92" s="12"/>
      <c r="F92" s="12"/>
      <c r="G92" s="12"/>
      <c r="I92" s="9"/>
      <c r="J92" s="9"/>
      <c r="K92" s="72"/>
      <c r="L92" s="9"/>
      <c r="M92" s="9"/>
      <c r="N92" s="9"/>
      <c r="O92" s="9"/>
      <c r="P92" s="9"/>
    </row>
    <row r="93" spans="2:16" hidden="1">
      <c r="B93" s="12"/>
      <c r="C93" s="12"/>
      <c r="D93" s="12"/>
      <c r="E93" s="12"/>
      <c r="F93" s="12"/>
      <c r="G93" s="12"/>
      <c r="I93" s="9"/>
      <c r="J93" s="9"/>
      <c r="K93" s="72"/>
      <c r="L93" s="9"/>
      <c r="M93" s="9"/>
      <c r="N93" s="9"/>
      <c r="O93" s="9"/>
      <c r="P93" s="9"/>
    </row>
    <row r="94" spans="2:16" hidden="1">
      <c r="B94" s="12"/>
      <c r="C94" s="12"/>
      <c r="D94" s="12"/>
      <c r="E94" s="12"/>
      <c r="F94" s="12"/>
      <c r="G94" s="12"/>
      <c r="I94" s="9"/>
      <c r="J94" s="9"/>
      <c r="K94" s="72"/>
      <c r="L94" s="9"/>
      <c r="M94" s="9"/>
      <c r="N94" s="9"/>
      <c r="O94" s="9"/>
      <c r="P94" s="9"/>
    </row>
    <row r="95" spans="2:16" hidden="1">
      <c r="B95" s="12"/>
      <c r="C95" s="12"/>
      <c r="D95" s="12"/>
      <c r="E95" s="12"/>
      <c r="F95" s="12"/>
      <c r="G95" s="12"/>
      <c r="I95" s="9"/>
      <c r="J95" s="9"/>
      <c r="K95" s="72"/>
      <c r="L95" s="9"/>
      <c r="M95" s="9"/>
      <c r="N95" s="9"/>
      <c r="O95" s="9"/>
      <c r="P95" s="9"/>
    </row>
    <row r="96" spans="2:16" hidden="1">
      <c r="B96" s="12"/>
      <c r="C96" s="12"/>
      <c r="D96" s="12"/>
      <c r="E96" s="12"/>
      <c r="F96" s="12"/>
      <c r="G96" s="12"/>
      <c r="I96" s="9"/>
      <c r="J96" s="9"/>
      <c r="K96" s="72"/>
      <c r="L96" s="9"/>
      <c r="M96" s="9"/>
      <c r="N96" s="9"/>
      <c r="O96" s="9"/>
      <c r="P96" s="9"/>
    </row>
    <row r="97" spans="2:16" hidden="1">
      <c r="B97" s="12"/>
      <c r="C97" s="12"/>
      <c r="D97" s="12"/>
      <c r="E97" s="12"/>
      <c r="F97" s="12"/>
      <c r="G97" s="12"/>
      <c r="I97" s="9"/>
      <c r="J97" s="9"/>
      <c r="K97" s="72"/>
      <c r="L97" s="9"/>
      <c r="M97" s="9"/>
      <c r="N97" s="9"/>
      <c r="O97" s="9"/>
      <c r="P97" s="9"/>
    </row>
    <row r="98" spans="2:16" hidden="1">
      <c r="B98" s="12"/>
      <c r="C98" s="12"/>
      <c r="D98" s="12"/>
      <c r="E98" s="12"/>
      <c r="F98" s="12"/>
      <c r="G98" s="12"/>
      <c r="I98" s="9"/>
      <c r="J98" s="9"/>
      <c r="K98" s="72"/>
      <c r="L98" s="9"/>
      <c r="M98" s="9"/>
      <c r="N98" s="9"/>
      <c r="O98" s="9"/>
      <c r="P98" s="9"/>
    </row>
    <row r="99" spans="2:16" hidden="1">
      <c r="B99" s="12"/>
      <c r="C99" s="12"/>
      <c r="D99" s="12"/>
      <c r="E99" s="12"/>
      <c r="F99" s="12"/>
      <c r="G99" s="12"/>
      <c r="I99" s="9"/>
      <c r="J99" s="9"/>
      <c r="K99" s="72"/>
      <c r="L99" s="9"/>
      <c r="M99" s="9"/>
      <c r="N99" s="9"/>
      <c r="O99" s="9"/>
      <c r="P99" s="9"/>
    </row>
    <row r="100" spans="2:16" hidden="1">
      <c r="B100" s="12"/>
      <c r="C100" s="12"/>
      <c r="D100" s="12"/>
      <c r="E100" s="12"/>
      <c r="F100" s="12"/>
      <c r="G100" s="12"/>
      <c r="I100" s="9"/>
      <c r="J100" s="9"/>
      <c r="K100" s="72"/>
      <c r="L100" s="9"/>
      <c r="M100" s="9"/>
      <c r="N100" s="9"/>
      <c r="O100" s="9"/>
      <c r="P100" s="9"/>
    </row>
    <row r="101" spans="2:16" hidden="1">
      <c r="B101" s="12"/>
      <c r="C101" s="12"/>
      <c r="D101" s="12"/>
      <c r="E101" s="12"/>
      <c r="F101" s="12"/>
      <c r="G101" s="12"/>
      <c r="I101" s="9"/>
      <c r="J101" s="9"/>
      <c r="K101" s="72"/>
      <c r="L101" s="9"/>
      <c r="M101" s="9"/>
      <c r="N101" s="9"/>
      <c r="O101" s="9"/>
      <c r="P101" s="9"/>
    </row>
    <row r="102" spans="2:16" hidden="1">
      <c r="B102" s="12"/>
      <c r="C102" s="12"/>
      <c r="D102" s="12"/>
      <c r="E102" s="12"/>
      <c r="F102" s="12"/>
      <c r="G102" s="12"/>
      <c r="I102" s="9"/>
      <c r="J102" s="9"/>
      <c r="K102" s="72"/>
      <c r="L102" s="9"/>
      <c r="M102" s="9"/>
      <c r="N102" s="9"/>
      <c r="O102" s="9"/>
      <c r="P102" s="9"/>
    </row>
    <row r="103" spans="2:16" hidden="1">
      <c r="B103" s="12"/>
      <c r="C103" s="12"/>
      <c r="D103" s="12"/>
      <c r="E103" s="12"/>
      <c r="F103" s="12"/>
      <c r="G103" s="12"/>
      <c r="I103" s="9"/>
      <c r="J103" s="9"/>
      <c r="K103" s="72"/>
      <c r="L103" s="9"/>
      <c r="M103" s="9"/>
      <c r="N103" s="9"/>
      <c r="O103" s="9"/>
      <c r="P103" s="9"/>
    </row>
    <row r="104" spans="2:16" hidden="1">
      <c r="B104" s="12"/>
      <c r="C104" s="12"/>
      <c r="D104" s="12"/>
      <c r="E104" s="12"/>
      <c r="F104" s="12"/>
      <c r="G104" s="12"/>
      <c r="I104" s="9"/>
      <c r="J104" s="9"/>
      <c r="K104" s="72"/>
      <c r="L104" s="9"/>
      <c r="M104" s="9"/>
      <c r="N104" s="9"/>
      <c r="O104" s="9"/>
      <c r="P104" s="9"/>
    </row>
    <row r="105" spans="2:16" hidden="1">
      <c r="B105" s="12"/>
      <c r="C105" s="12"/>
      <c r="D105" s="12"/>
      <c r="E105" s="12"/>
      <c r="F105" s="12"/>
      <c r="G105" s="12"/>
      <c r="I105" s="9"/>
      <c r="J105" s="9"/>
      <c r="K105" s="72"/>
      <c r="L105" s="9"/>
      <c r="M105" s="9"/>
      <c r="N105" s="9"/>
      <c r="O105" s="9"/>
      <c r="P105" s="9"/>
    </row>
    <row r="106" spans="2:16" hidden="1">
      <c r="B106" s="12"/>
      <c r="C106" s="12"/>
      <c r="D106" s="12"/>
      <c r="E106" s="12"/>
      <c r="F106" s="12"/>
      <c r="G106" s="12"/>
      <c r="I106" s="9"/>
      <c r="J106" s="9"/>
      <c r="K106" s="72"/>
      <c r="L106" s="9"/>
      <c r="M106" s="9"/>
      <c r="N106" s="9"/>
      <c r="O106" s="9"/>
      <c r="P106" s="9"/>
    </row>
    <row r="107" spans="2:16" hidden="1">
      <c r="B107" s="12"/>
      <c r="C107" s="12"/>
      <c r="D107" s="12"/>
      <c r="E107" s="12"/>
      <c r="F107" s="12"/>
      <c r="G107" s="12"/>
      <c r="I107" s="9"/>
      <c r="J107" s="9"/>
      <c r="K107" s="72"/>
      <c r="L107" s="9"/>
      <c r="M107" s="9"/>
      <c r="N107" s="9"/>
      <c r="O107" s="9"/>
      <c r="P107" s="9"/>
    </row>
    <row r="108" spans="2:16" hidden="1">
      <c r="B108" s="12"/>
      <c r="C108" s="12"/>
      <c r="D108" s="12"/>
      <c r="E108" s="12"/>
      <c r="F108" s="12"/>
      <c r="G108" s="12"/>
      <c r="I108" s="9"/>
      <c r="J108" s="9"/>
      <c r="K108" s="72"/>
      <c r="L108" s="9"/>
      <c r="M108" s="9"/>
      <c r="N108" s="9"/>
      <c r="O108" s="9"/>
      <c r="P108" s="9"/>
    </row>
    <row r="109" spans="2:16" hidden="1">
      <c r="B109" s="12"/>
      <c r="C109" s="12"/>
      <c r="D109" s="12"/>
      <c r="E109" s="12"/>
      <c r="F109" s="12"/>
      <c r="G109" s="12"/>
      <c r="I109" s="9"/>
      <c r="J109" s="9"/>
      <c r="K109" s="72"/>
      <c r="L109" s="9"/>
      <c r="M109" s="9"/>
      <c r="N109" s="9"/>
      <c r="O109" s="9"/>
      <c r="P109" s="9"/>
    </row>
    <row r="110" spans="2:16" hidden="1">
      <c r="B110" s="12"/>
      <c r="C110" s="12"/>
      <c r="D110" s="12"/>
      <c r="E110" s="12"/>
      <c r="F110" s="12"/>
      <c r="G110" s="12"/>
      <c r="I110" s="9"/>
      <c r="J110" s="9"/>
      <c r="K110" s="72"/>
      <c r="L110" s="9"/>
      <c r="M110" s="9"/>
      <c r="N110" s="9"/>
      <c r="O110" s="9"/>
      <c r="P110" s="9"/>
    </row>
    <row r="111" spans="2:16" hidden="1">
      <c r="B111" s="12"/>
      <c r="C111" s="12"/>
      <c r="D111" s="12"/>
      <c r="E111" s="12"/>
      <c r="F111" s="12"/>
      <c r="G111" s="12"/>
      <c r="I111" s="9"/>
      <c r="J111" s="9"/>
      <c r="K111" s="72"/>
      <c r="L111" s="9"/>
      <c r="M111" s="9"/>
      <c r="N111" s="9"/>
      <c r="O111" s="9"/>
      <c r="P111" s="9"/>
    </row>
    <row r="112" spans="2:16" hidden="1">
      <c r="B112" s="12"/>
      <c r="C112" s="12"/>
      <c r="D112" s="12"/>
      <c r="E112" s="12"/>
      <c r="F112" s="12"/>
      <c r="G112" s="12"/>
      <c r="I112" s="9"/>
      <c r="J112" s="9"/>
      <c r="K112" s="72"/>
      <c r="L112" s="9"/>
      <c r="M112" s="9"/>
      <c r="N112" s="9"/>
      <c r="O112" s="9"/>
      <c r="P112" s="9"/>
    </row>
    <row r="113" spans="2:16" hidden="1">
      <c r="B113" s="12"/>
      <c r="C113" s="12"/>
      <c r="D113" s="12"/>
      <c r="E113" s="12"/>
      <c r="F113" s="12"/>
      <c r="G113" s="12"/>
      <c r="I113" s="9"/>
      <c r="J113" s="9"/>
      <c r="K113" s="72"/>
      <c r="L113" s="9"/>
      <c r="M113" s="9"/>
      <c r="N113" s="9"/>
      <c r="O113" s="9"/>
      <c r="P113" s="9"/>
    </row>
    <row r="114" spans="2:16" hidden="1">
      <c r="B114" s="12"/>
      <c r="C114" s="12"/>
      <c r="D114" s="12"/>
      <c r="E114" s="12"/>
      <c r="F114" s="12"/>
      <c r="G114" s="12"/>
      <c r="I114" s="9"/>
      <c r="J114" s="9"/>
      <c r="K114" s="72"/>
      <c r="L114" s="9"/>
      <c r="M114" s="9"/>
      <c r="N114" s="9"/>
      <c r="O114" s="9"/>
      <c r="P114" s="9"/>
    </row>
    <row r="115" spans="2:16" hidden="1">
      <c r="B115" s="12"/>
      <c r="C115" s="12"/>
      <c r="D115" s="12"/>
      <c r="E115" s="12"/>
      <c r="F115" s="12"/>
      <c r="G115" s="12"/>
      <c r="I115" s="9"/>
      <c r="J115" s="9"/>
      <c r="K115" s="72"/>
      <c r="L115" s="9"/>
      <c r="M115" s="9"/>
      <c r="N115" s="9"/>
      <c r="O115" s="9"/>
      <c r="P115" s="9"/>
    </row>
    <row r="116" spans="2:16" hidden="1">
      <c r="B116" s="12"/>
      <c r="C116" s="12"/>
      <c r="D116" s="12"/>
      <c r="E116" s="12"/>
      <c r="F116" s="12"/>
      <c r="G116" s="12"/>
      <c r="I116" s="9"/>
      <c r="J116" s="9"/>
      <c r="K116" s="72"/>
      <c r="L116" s="9"/>
      <c r="M116" s="9"/>
      <c r="N116" s="9"/>
      <c r="O116" s="9"/>
      <c r="P116" s="9"/>
    </row>
    <row r="117" spans="2:16" hidden="1">
      <c r="B117" s="12"/>
      <c r="C117" s="12"/>
      <c r="D117" s="12"/>
      <c r="E117" s="12"/>
      <c r="F117" s="12"/>
      <c r="G117" s="12"/>
      <c r="I117" s="9"/>
      <c r="J117" s="9"/>
      <c r="K117" s="72"/>
      <c r="L117" s="9"/>
      <c r="M117" s="9"/>
      <c r="N117" s="9"/>
      <c r="O117" s="9"/>
      <c r="P117" s="9"/>
    </row>
    <row r="118" spans="2:16" hidden="1">
      <c r="B118" s="12"/>
      <c r="C118" s="12"/>
      <c r="D118" s="12"/>
      <c r="E118" s="12"/>
      <c r="F118" s="12"/>
      <c r="G118" s="12"/>
      <c r="I118" s="9"/>
      <c r="J118" s="9"/>
      <c r="K118" s="72"/>
      <c r="L118" s="9"/>
      <c r="M118" s="9"/>
      <c r="N118" s="9"/>
      <c r="O118" s="9"/>
      <c r="P118" s="9"/>
    </row>
    <row r="119" spans="2:16" hidden="1">
      <c r="B119" s="12"/>
      <c r="C119" s="12"/>
      <c r="D119" s="12"/>
      <c r="E119" s="12"/>
      <c r="F119" s="12"/>
      <c r="G119" s="12"/>
      <c r="I119" s="9"/>
      <c r="J119" s="9"/>
      <c r="K119" s="72"/>
      <c r="L119" s="9"/>
      <c r="M119" s="9"/>
      <c r="N119" s="9"/>
      <c r="O119" s="9"/>
      <c r="P119" s="9"/>
    </row>
    <row r="120" spans="2:16" hidden="1">
      <c r="B120" s="12"/>
      <c r="C120" s="12"/>
      <c r="D120" s="12"/>
      <c r="E120" s="12"/>
      <c r="F120" s="12"/>
      <c r="G120" s="12"/>
      <c r="I120" s="9"/>
      <c r="J120" s="9"/>
      <c r="K120" s="72"/>
      <c r="L120" s="9"/>
      <c r="M120" s="9"/>
      <c r="N120" s="9"/>
      <c r="O120" s="9"/>
      <c r="P120" s="9"/>
    </row>
    <row r="121" spans="2:16" hidden="1">
      <c r="B121" s="12"/>
      <c r="C121" s="12"/>
      <c r="D121" s="12"/>
      <c r="E121" s="12"/>
      <c r="F121" s="12"/>
      <c r="G121" s="12"/>
      <c r="I121" s="9"/>
      <c r="J121" s="9"/>
      <c r="K121" s="72"/>
      <c r="L121" s="9"/>
      <c r="M121" s="9"/>
      <c r="N121" s="9"/>
      <c r="O121" s="9"/>
      <c r="P121" s="9"/>
    </row>
    <row r="122" spans="2:16" hidden="1">
      <c r="B122" s="12"/>
      <c r="C122" s="12"/>
      <c r="D122" s="12"/>
      <c r="E122" s="12"/>
      <c r="F122" s="12"/>
      <c r="G122" s="12"/>
      <c r="I122" s="9"/>
      <c r="J122" s="9"/>
      <c r="K122" s="72"/>
      <c r="L122" s="9"/>
      <c r="M122" s="9"/>
      <c r="N122" s="9"/>
      <c r="O122" s="9"/>
      <c r="P122" s="9"/>
    </row>
    <row r="123" spans="2:16" hidden="1">
      <c r="B123" s="12"/>
      <c r="C123" s="12"/>
      <c r="D123" s="12"/>
      <c r="E123" s="12"/>
      <c r="F123" s="12"/>
      <c r="G123" s="12"/>
      <c r="I123" s="9"/>
      <c r="J123" s="9"/>
      <c r="K123" s="72"/>
      <c r="L123" s="9"/>
      <c r="M123" s="9"/>
      <c r="N123" s="9"/>
      <c r="O123" s="9"/>
      <c r="P123" s="9"/>
    </row>
    <row r="124" spans="2:16" hidden="1">
      <c r="B124" s="12"/>
      <c r="C124" s="12"/>
      <c r="D124" s="12"/>
      <c r="E124" s="12"/>
      <c r="F124" s="12"/>
      <c r="G124" s="12"/>
      <c r="I124" s="9"/>
      <c r="J124" s="9"/>
      <c r="K124" s="72"/>
      <c r="L124" s="9"/>
      <c r="M124" s="9"/>
      <c r="N124" s="9"/>
      <c r="O124" s="9"/>
      <c r="P124" s="9"/>
    </row>
    <row r="125" spans="2:16" hidden="1">
      <c r="B125" s="12"/>
      <c r="C125" s="12"/>
      <c r="D125" s="12"/>
      <c r="E125" s="12"/>
      <c r="F125" s="12"/>
      <c r="G125" s="12"/>
      <c r="I125" s="9"/>
      <c r="J125" s="9"/>
      <c r="K125" s="72"/>
      <c r="L125" s="9"/>
      <c r="M125" s="9"/>
      <c r="N125" s="9"/>
      <c r="O125" s="9"/>
      <c r="P125" s="9"/>
    </row>
    <row r="126" spans="2:16" hidden="1">
      <c r="B126" s="12"/>
      <c r="C126" s="12"/>
      <c r="D126" s="12"/>
      <c r="E126" s="12"/>
      <c r="F126" s="12"/>
      <c r="G126" s="12"/>
      <c r="I126" s="9"/>
      <c r="J126" s="9"/>
      <c r="K126" s="72"/>
      <c r="L126" s="9"/>
      <c r="M126" s="9"/>
      <c r="N126" s="9"/>
      <c r="O126" s="9"/>
      <c r="P126" s="9"/>
    </row>
    <row r="127" spans="2:16" hidden="1">
      <c r="B127" s="12"/>
      <c r="C127" s="12"/>
      <c r="D127" s="12"/>
      <c r="E127" s="12"/>
      <c r="F127" s="12"/>
      <c r="G127" s="12"/>
      <c r="I127" s="9"/>
      <c r="J127" s="9"/>
      <c r="K127" s="72"/>
      <c r="L127" s="9"/>
      <c r="M127" s="9"/>
      <c r="N127" s="9"/>
      <c r="O127" s="9"/>
      <c r="P127" s="9"/>
    </row>
    <row r="128" spans="2:16" hidden="1">
      <c r="B128" s="12"/>
      <c r="C128" s="12"/>
      <c r="D128" s="12"/>
      <c r="E128" s="12"/>
      <c r="F128" s="12"/>
      <c r="G128" s="12"/>
      <c r="I128" s="9"/>
      <c r="J128" s="9"/>
      <c r="K128" s="72"/>
      <c r="L128" s="9"/>
      <c r="M128" s="9"/>
      <c r="N128" s="9"/>
      <c r="O128" s="9"/>
      <c r="P128" s="9"/>
    </row>
    <row r="129" spans="2:16" hidden="1">
      <c r="B129" s="12"/>
      <c r="C129" s="12"/>
      <c r="D129" s="12"/>
      <c r="E129" s="12"/>
      <c r="F129" s="12"/>
      <c r="G129" s="12"/>
      <c r="I129" s="9"/>
      <c r="J129" s="9"/>
      <c r="K129" s="72"/>
      <c r="L129" s="9"/>
      <c r="M129" s="9"/>
      <c r="N129" s="9"/>
      <c r="O129" s="9"/>
      <c r="P129" s="9"/>
    </row>
    <row r="130" spans="2:16" hidden="1">
      <c r="B130" s="12"/>
      <c r="C130" s="12"/>
      <c r="D130" s="12"/>
      <c r="E130" s="12"/>
      <c r="F130" s="12"/>
      <c r="G130" s="12"/>
      <c r="I130" s="9"/>
      <c r="J130" s="9"/>
      <c r="K130" s="72"/>
      <c r="L130" s="9"/>
      <c r="M130" s="9"/>
      <c r="N130" s="9"/>
      <c r="O130" s="9"/>
      <c r="P130" s="9"/>
    </row>
    <row r="131" spans="2:16" hidden="1">
      <c r="B131" s="12"/>
      <c r="C131" s="12"/>
      <c r="D131" s="12"/>
      <c r="E131" s="12"/>
      <c r="F131" s="12"/>
      <c r="G131" s="12"/>
      <c r="I131" s="9"/>
      <c r="J131" s="9"/>
      <c r="K131" s="72"/>
      <c r="L131" s="9"/>
      <c r="M131" s="9"/>
      <c r="N131" s="9"/>
      <c r="O131" s="9"/>
      <c r="P131" s="9"/>
    </row>
    <row r="132" spans="2:16" hidden="1">
      <c r="B132" s="12"/>
      <c r="C132" s="12"/>
      <c r="D132" s="12"/>
      <c r="E132" s="12"/>
      <c r="F132" s="12"/>
      <c r="G132" s="12"/>
      <c r="I132" s="9"/>
      <c r="J132" s="9"/>
      <c r="K132" s="72"/>
      <c r="L132" s="9"/>
      <c r="M132" s="9"/>
      <c r="N132" s="9"/>
      <c r="O132" s="9"/>
      <c r="P132" s="9"/>
    </row>
    <row r="133" spans="2:16" hidden="1">
      <c r="B133" s="12"/>
      <c r="C133" s="12"/>
      <c r="D133" s="12"/>
      <c r="E133" s="12"/>
      <c r="F133" s="12"/>
      <c r="G133" s="12"/>
      <c r="I133" s="9"/>
      <c r="J133" s="9"/>
      <c r="K133" s="72"/>
      <c r="L133" s="9"/>
      <c r="M133" s="9"/>
      <c r="N133" s="9"/>
      <c r="O133" s="9"/>
      <c r="P133" s="9"/>
    </row>
    <row r="134" spans="2:16" hidden="1">
      <c r="B134" s="12"/>
      <c r="C134" s="12"/>
      <c r="D134" s="12"/>
      <c r="E134" s="12"/>
      <c r="F134" s="12"/>
      <c r="G134" s="12"/>
      <c r="I134" s="9"/>
      <c r="J134" s="9"/>
      <c r="K134" s="72"/>
      <c r="L134" s="9"/>
      <c r="M134" s="9"/>
      <c r="N134" s="9"/>
      <c r="O134" s="9"/>
      <c r="P134" s="9"/>
    </row>
    <row r="135" spans="2:16" hidden="1">
      <c r="B135" s="12"/>
      <c r="C135" s="12"/>
      <c r="D135" s="12"/>
      <c r="E135" s="12"/>
      <c r="F135" s="12"/>
      <c r="G135" s="12"/>
      <c r="I135" s="9"/>
      <c r="J135" s="9"/>
      <c r="K135" s="72"/>
      <c r="L135" s="9"/>
      <c r="M135" s="9"/>
      <c r="N135" s="9"/>
      <c r="O135" s="9"/>
      <c r="P135" s="9"/>
    </row>
    <row r="136" spans="2:16" hidden="1">
      <c r="B136" s="12"/>
      <c r="C136" s="12"/>
      <c r="D136" s="12"/>
      <c r="E136" s="12"/>
      <c r="F136" s="12"/>
      <c r="G136" s="12"/>
      <c r="I136" s="9"/>
      <c r="J136" s="9"/>
      <c r="K136" s="72"/>
      <c r="L136" s="9"/>
      <c r="M136" s="9"/>
      <c r="N136" s="9"/>
      <c r="O136" s="9"/>
      <c r="P136" s="9"/>
    </row>
    <row r="137" spans="2:16" hidden="1">
      <c r="B137" s="12"/>
      <c r="C137" s="12"/>
      <c r="D137" s="12"/>
      <c r="E137" s="12"/>
      <c r="F137" s="12"/>
      <c r="G137" s="12"/>
      <c r="I137" s="9"/>
      <c r="J137" s="9"/>
      <c r="K137" s="72"/>
      <c r="L137" s="9"/>
      <c r="M137" s="9"/>
      <c r="N137" s="9"/>
      <c r="O137" s="9"/>
      <c r="P137" s="9"/>
    </row>
    <row r="138" spans="2:16" hidden="1">
      <c r="B138" s="12"/>
      <c r="C138" s="12"/>
      <c r="D138" s="12"/>
      <c r="E138" s="12"/>
      <c r="F138" s="12"/>
      <c r="G138" s="12"/>
      <c r="I138" s="9"/>
      <c r="J138" s="9"/>
      <c r="K138" s="72"/>
      <c r="L138" s="9"/>
      <c r="M138" s="9"/>
      <c r="N138" s="9"/>
      <c r="O138" s="9"/>
      <c r="P138" s="9"/>
    </row>
    <row r="139" spans="2:16" hidden="1">
      <c r="B139" s="12"/>
      <c r="C139" s="12"/>
      <c r="D139" s="12"/>
      <c r="E139" s="12"/>
      <c r="F139" s="12"/>
      <c r="G139" s="12"/>
      <c r="I139" s="9"/>
      <c r="J139" s="9"/>
      <c r="K139" s="72"/>
      <c r="L139" s="9"/>
      <c r="M139" s="9"/>
      <c r="N139" s="9"/>
      <c r="O139" s="9"/>
      <c r="P139" s="9"/>
    </row>
    <row r="140" spans="2:16" hidden="1">
      <c r="B140" s="12"/>
      <c r="C140" s="12"/>
      <c r="D140" s="12"/>
      <c r="E140" s="12"/>
      <c r="F140" s="12"/>
      <c r="G140" s="12"/>
    </row>
    <row r="141" spans="2:16" hidden="1">
      <c r="B141" s="12"/>
      <c r="C141" s="12"/>
      <c r="D141" s="12"/>
      <c r="E141" s="12"/>
      <c r="F141" s="12"/>
      <c r="G141" s="12"/>
    </row>
    <row r="142" spans="2:16" hidden="1">
      <c r="B142" s="12"/>
      <c r="C142" s="12"/>
      <c r="D142" s="12"/>
      <c r="E142" s="12"/>
      <c r="F142" s="12"/>
      <c r="G142" s="12"/>
    </row>
    <row r="143" spans="2:16" hidden="1">
      <c r="B143" s="12"/>
      <c r="C143" s="12"/>
      <c r="D143" s="12"/>
      <c r="E143" s="12"/>
      <c r="F143" s="12"/>
      <c r="G143" s="12"/>
    </row>
    <row r="144" spans="2:16" hidden="1">
      <c r="B144" s="12"/>
      <c r="C144" s="12"/>
      <c r="D144" s="12"/>
      <c r="E144" s="12"/>
      <c r="F144" s="12"/>
      <c r="G144" s="12"/>
    </row>
    <row r="145" spans="2:7" hidden="1">
      <c r="B145" s="12"/>
      <c r="C145" s="12"/>
      <c r="D145" s="12"/>
      <c r="E145" s="12"/>
      <c r="F145" s="12"/>
      <c r="G145" s="12"/>
    </row>
    <row r="146" spans="2:7" hidden="1">
      <c r="B146" s="12"/>
      <c r="C146" s="12"/>
      <c r="D146" s="12"/>
      <c r="E146" s="12"/>
      <c r="F146" s="12"/>
      <c r="G146" s="12"/>
    </row>
    <row r="147" spans="2:7" hidden="1">
      <c r="B147" s="12"/>
      <c r="C147" s="12"/>
      <c r="D147" s="12"/>
      <c r="E147" s="12"/>
      <c r="F147" s="12"/>
      <c r="G147" s="12"/>
    </row>
    <row r="148" spans="2:7" hidden="1">
      <c r="B148" s="12"/>
      <c r="C148" s="12"/>
      <c r="D148" s="12"/>
      <c r="E148" s="12"/>
      <c r="F148" s="12"/>
      <c r="G148" s="12"/>
    </row>
    <row r="149" spans="2:7" hidden="1">
      <c r="B149" s="12"/>
      <c r="C149" s="12"/>
      <c r="D149" s="12"/>
      <c r="E149" s="12"/>
      <c r="F149" s="12"/>
      <c r="G149" s="12"/>
    </row>
    <row r="150" spans="2:7" hidden="1">
      <c r="B150" s="12"/>
      <c r="C150" s="12"/>
      <c r="D150" s="12"/>
      <c r="E150" s="12"/>
      <c r="F150" s="12"/>
      <c r="G150" s="12"/>
    </row>
    <row r="151" spans="2:7" hidden="1">
      <c r="B151" s="12"/>
      <c r="C151" s="12"/>
      <c r="D151" s="12"/>
      <c r="E151" s="12"/>
      <c r="F151" s="12"/>
      <c r="G151" s="12"/>
    </row>
    <row r="152" spans="2:7" hidden="1">
      <c r="B152" s="12"/>
      <c r="C152" s="12"/>
      <c r="D152" s="12"/>
      <c r="E152" s="12"/>
      <c r="F152" s="12"/>
      <c r="G152" s="12"/>
    </row>
    <row r="153" spans="2:7" hidden="1">
      <c r="B153" s="12"/>
      <c r="C153" s="12"/>
      <c r="D153" s="12"/>
      <c r="E153" s="12"/>
      <c r="F153" s="12"/>
      <c r="G153" s="12"/>
    </row>
    <row r="154" spans="2:7" hidden="1">
      <c r="B154" s="12"/>
      <c r="C154" s="12"/>
      <c r="D154" s="12"/>
      <c r="E154" s="12"/>
      <c r="F154" s="12"/>
      <c r="G154" s="12"/>
    </row>
    <row r="155" spans="2:7" hidden="1">
      <c r="B155" s="12"/>
      <c r="C155" s="12"/>
      <c r="D155" s="12"/>
      <c r="E155" s="12"/>
      <c r="F155" s="12"/>
      <c r="G155" s="12"/>
    </row>
    <row r="156" spans="2:7" hidden="1">
      <c r="B156" s="12"/>
      <c r="C156" s="12"/>
      <c r="D156" s="12"/>
      <c r="E156" s="12"/>
      <c r="F156" s="12"/>
      <c r="G156" s="12"/>
    </row>
    <row r="157" spans="2:7" hidden="1">
      <c r="B157" s="12"/>
      <c r="C157" s="12"/>
      <c r="D157" s="12"/>
      <c r="E157" s="12"/>
      <c r="F157" s="12"/>
      <c r="G157" s="12"/>
    </row>
    <row r="158" spans="2:7" hidden="1">
      <c r="B158" s="12"/>
      <c r="C158" s="12"/>
      <c r="D158" s="12"/>
      <c r="E158" s="12"/>
      <c r="F158" s="12"/>
      <c r="G158" s="12"/>
    </row>
    <row r="159" spans="2:7" hidden="1">
      <c r="B159" s="12"/>
      <c r="C159" s="12"/>
      <c r="D159" s="12"/>
      <c r="E159" s="12"/>
      <c r="F159" s="12"/>
      <c r="G159" s="12"/>
    </row>
    <row r="160" spans="2:7" hidden="1">
      <c r="B160" s="12"/>
      <c r="C160" s="12"/>
      <c r="D160" s="12"/>
      <c r="E160" s="12"/>
      <c r="F160" s="12"/>
      <c r="G160" s="12"/>
    </row>
    <row r="161" spans="2:7" hidden="1">
      <c r="B161" s="12"/>
      <c r="C161" s="12"/>
      <c r="D161" s="12"/>
      <c r="E161" s="12"/>
      <c r="F161" s="12"/>
      <c r="G161" s="12"/>
    </row>
  </sheetData>
  <sheetProtection password="CB9A" sheet="1" objects="1" scenarios="1" formatColumns="0" formatRows="0" insertRows="0"/>
  <mergeCells count="51">
    <mergeCell ref="I43:J43"/>
    <mergeCell ref="I44:J44"/>
    <mergeCell ref="I39:J39"/>
    <mergeCell ref="I2:K8"/>
    <mergeCell ref="I40:J40"/>
    <mergeCell ref="I41:J41"/>
    <mergeCell ref="I42:J42"/>
    <mergeCell ref="I51:J51"/>
    <mergeCell ref="I52:J52"/>
    <mergeCell ref="I53:J53"/>
    <mergeCell ref="I54:J54"/>
    <mergeCell ref="I45:J45"/>
    <mergeCell ref="I46:J46"/>
    <mergeCell ref="I47:J47"/>
    <mergeCell ref="I48:J48"/>
    <mergeCell ref="I49:J49"/>
    <mergeCell ref="I50:J50"/>
    <mergeCell ref="I19:J19"/>
    <mergeCell ref="I20:J20"/>
    <mergeCell ref="I38:J38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26:J26"/>
    <mergeCell ref="I21:J21"/>
    <mergeCell ref="I22:J22"/>
    <mergeCell ref="I23:J23"/>
    <mergeCell ref="I24:J24"/>
    <mergeCell ref="I25:J25"/>
    <mergeCell ref="K12:K13"/>
    <mergeCell ref="C15:F16"/>
    <mergeCell ref="C17:F18"/>
    <mergeCell ref="B2:G5"/>
    <mergeCell ref="C8:F9"/>
    <mergeCell ref="C10:F10"/>
    <mergeCell ref="C11:F12"/>
    <mergeCell ref="C13:F14"/>
    <mergeCell ref="I14:J14"/>
    <mergeCell ref="I15:J15"/>
    <mergeCell ref="I16:J16"/>
    <mergeCell ref="I17:J17"/>
    <mergeCell ref="I18:J18"/>
    <mergeCell ref="I12:J13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 codeName="Plan4"/>
  <dimension ref="A1:AA161"/>
  <sheetViews>
    <sheetView showGridLines="0" tabSelected="1" zoomScale="70" zoomScaleNormal="70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L27" sqref="L27"/>
    </sheetView>
  </sheetViews>
  <sheetFormatPr defaultColWidth="0" defaultRowHeight="15"/>
  <cols>
    <col min="1" max="1" width="2" style="6" customWidth="1"/>
    <col min="2" max="2" width="2.140625" style="6" customWidth="1"/>
    <col min="3" max="5" width="9.140625" style="6" customWidth="1"/>
    <col min="6" max="6" width="8" style="6" customWidth="1"/>
    <col min="7" max="7" width="4.5703125" style="6" customWidth="1"/>
    <col min="8" max="8" width="3" style="7" customWidth="1"/>
    <col min="9" max="9" width="35.42578125" style="69" customWidth="1"/>
    <col min="10" max="10" width="30" style="90" customWidth="1"/>
    <col min="11" max="11" width="4.42578125" style="7" customWidth="1"/>
    <col min="12" max="12" width="36.28515625" style="7" customWidth="1"/>
    <col min="13" max="13" width="29.85546875" style="81" customWidth="1"/>
    <col min="14" max="14" width="4" style="8" customWidth="1"/>
    <col min="15" max="15" width="39.85546875" style="6" hidden="1" customWidth="1"/>
    <col min="16" max="16" width="12.28515625" style="8" hidden="1" customWidth="1"/>
    <col min="17" max="17" width="22.5703125" style="6" hidden="1" customWidth="1"/>
    <col min="18" max="18" width="10.5703125" style="6" hidden="1" customWidth="1"/>
    <col min="19" max="19" width="7.140625" style="6" hidden="1" customWidth="1"/>
    <col min="20" max="20" width="16" style="6" hidden="1" customWidth="1"/>
    <col min="21" max="21" width="12.42578125" style="6" hidden="1" customWidth="1"/>
    <col min="22" max="24" width="9.140625" style="6" hidden="1" customWidth="1"/>
    <col min="25" max="25" width="3" style="6" hidden="1" customWidth="1"/>
    <col min="26" max="26" width="9.140625" style="6" hidden="1" customWidth="1"/>
    <col min="27" max="27" width="17.5703125" style="6" hidden="1" customWidth="1"/>
    <col min="28" max="16384" width="9.140625" style="6" hidden="1"/>
  </cols>
  <sheetData>
    <row r="1" spans="2:26" ht="9.75" customHeight="1">
      <c r="I1" s="7"/>
      <c r="J1" s="87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2:26" ht="15.75" customHeight="1">
      <c r="B2" s="123"/>
      <c r="C2" s="123"/>
      <c r="D2" s="123"/>
      <c r="E2" s="123"/>
      <c r="F2" s="123"/>
      <c r="G2" s="123"/>
      <c r="H2" s="10"/>
      <c r="I2" s="129" t="s">
        <v>41</v>
      </c>
      <c r="J2" s="129"/>
      <c r="K2" s="129"/>
      <c r="L2" s="129"/>
      <c r="M2" s="129"/>
      <c r="N2" s="56"/>
      <c r="O2" s="57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2:26" ht="15" customHeight="1">
      <c r="B3" s="123"/>
      <c r="C3" s="123"/>
      <c r="D3" s="123"/>
      <c r="E3" s="123"/>
      <c r="F3" s="123"/>
      <c r="G3" s="123"/>
      <c r="H3" s="10"/>
      <c r="I3" s="129"/>
      <c r="J3" s="129"/>
      <c r="K3" s="129"/>
      <c r="L3" s="129"/>
      <c r="M3" s="129"/>
      <c r="N3" s="56"/>
      <c r="O3" s="57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2:26" ht="15" customHeight="1">
      <c r="B4" s="123"/>
      <c r="C4" s="123"/>
      <c r="D4" s="123"/>
      <c r="E4" s="123"/>
      <c r="F4" s="123"/>
      <c r="G4" s="123"/>
      <c r="H4" s="10"/>
      <c r="I4" s="129"/>
      <c r="J4" s="129"/>
      <c r="K4" s="129"/>
      <c r="L4" s="129"/>
      <c r="M4" s="129"/>
      <c r="N4" s="56"/>
      <c r="O4" s="57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2:26" ht="15" customHeight="1">
      <c r="B5" s="123"/>
      <c r="C5" s="123"/>
      <c r="D5" s="123"/>
      <c r="E5" s="123"/>
      <c r="F5" s="123"/>
      <c r="G5" s="123"/>
      <c r="H5" s="10"/>
      <c r="I5" s="129"/>
      <c r="J5" s="129"/>
      <c r="K5" s="129"/>
      <c r="L5" s="129"/>
      <c r="M5" s="129"/>
      <c r="N5" s="56"/>
      <c r="O5" s="57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2:26" ht="12" customHeight="1">
      <c r="B6" s="11"/>
      <c r="C6" s="11"/>
      <c r="D6" s="11"/>
      <c r="E6" s="11"/>
      <c r="F6" s="11"/>
      <c r="G6" s="11"/>
      <c r="H6" s="10"/>
      <c r="I6" s="129"/>
      <c r="J6" s="129"/>
      <c r="K6" s="129"/>
      <c r="L6" s="129"/>
      <c r="M6" s="129"/>
      <c r="N6" s="56"/>
      <c r="O6" s="57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2:26" ht="13.5" customHeight="1">
      <c r="B7" s="11"/>
      <c r="C7" s="12"/>
      <c r="D7" s="13"/>
      <c r="E7" s="13"/>
      <c r="F7" s="13"/>
      <c r="G7" s="11"/>
      <c r="H7" s="10"/>
      <c r="I7" s="129"/>
      <c r="J7" s="129"/>
      <c r="K7" s="129"/>
      <c r="L7" s="129"/>
      <c r="M7" s="129"/>
      <c r="N7" s="56"/>
      <c r="O7" s="57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2:26" ht="15" customHeight="1">
      <c r="B8" s="14"/>
      <c r="C8" s="125" t="s">
        <v>45</v>
      </c>
      <c r="D8" s="126"/>
      <c r="E8" s="126"/>
      <c r="F8" s="126"/>
      <c r="G8" s="14"/>
      <c r="H8" s="15"/>
      <c r="I8" s="129"/>
      <c r="J8" s="129"/>
      <c r="K8" s="129"/>
      <c r="L8" s="129"/>
      <c r="M8" s="129"/>
      <c r="N8" s="56"/>
      <c r="O8" s="57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2:26" ht="10.5" customHeight="1">
      <c r="B9" s="12"/>
      <c r="C9" s="126"/>
      <c r="D9" s="126"/>
      <c r="E9" s="126"/>
      <c r="F9" s="126"/>
      <c r="G9" s="12"/>
      <c r="I9" s="151"/>
      <c r="J9" s="151"/>
      <c r="K9" s="151"/>
      <c r="L9" s="151"/>
      <c r="M9" s="151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2:26" ht="3" customHeight="1">
      <c r="B10" s="12"/>
      <c r="C10" s="127" t="s">
        <v>33</v>
      </c>
      <c r="D10" s="127"/>
      <c r="E10" s="127"/>
      <c r="F10" s="127"/>
      <c r="G10" s="17"/>
      <c r="H10" s="18"/>
      <c r="I10" s="151"/>
      <c r="J10" s="151"/>
      <c r="K10" s="151"/>
      <c r="L10" s="151"/>
      <c r="M10" s="151"/>
      <c r="N10" s="20"/>
      <c r="O10" s="16"/>
      <c r="P10" s="20"/>
    </row>
    <row r="11" spans="2:26" ht="15.75" customHeight="1">
      <c r="B11" s="12"/>
      <c r="C11" s="140"/>
      <c r="D11" s="124"/>
      <c r="E11" s="124"/>
      <c r="F11" s="124"/>
      <c r="G11" s="17"/>
      <c r="H11" s="18"/>
      <c r="I11" s="151"/>
      <c r="J11" s="151"/>
      <c r="K11" s="151"/>
      <c r="L11" s="151"/>
      <c r="M11" s="151"/>
      <c r="N11" s="9"/>
      <c r="O11" s="9"/>
      <c r="P11" s="9"/>
      <c r="Q11" s="9"/>
    </row>
    <row r="12" spans="2:26" ht="15" customHeight="1">
      <c r="B12" s="12"/>
      <c r="C12" s="124"/>
      <c r="D12" s="124"/>
      <c r="E12" s="124"/>
      <c r="F12" s="124"/>
      <c r="G12" s="12"/>
      <c r="I12" s="149" t="s">
        <v>43</v>
      </c>
      <c r="J12" s="149"/>
      <c r="L12" s="150" t="s">
        <v>44</v>
      </c>
      <c r="M12" s="150"/>
      <c r="N12" s="58"/>
      <c r="O12" s="9"/>
      <c r="P12" s="9"/>
      <c r="Q12" s="9"/>
    </row>
    <row r="13" spans="2:26" ht="15" customHeight="1">
      <c r="B13" s="12"/>
      <c r="C13" s="124"/>
      <c r="D13" s="124"/>
      <c r="E13" s="124"/>
      <c r="F13" s="124"/>
      <c r="G13" s="12"/>
      <c r="I13" s="149"/>
      <c r="J13" s="149"/>
      <c r="L13" s="150"/>
      <c r="M13" s="150"/>
      <c r="N13" s="58"/>
      <c r="O13" s="9"/>
      <c r="P13" s="9"/>
      <c r="Q13" s="9"/>
    </row>
    <row r="14" spans="2:26" ht="14.25" customHeight="1">
      <c r="B14" s="12"/>
      <c r="C14" s="124"/>
      <c r="D14" s="124"/>
      <c r="E14" s="124"/>
      <c r="F14" s="124"/>
      <c r="G14" s="12"/>
      <c r="I14" s="149"/>
      <c r="J14" s="149"/>
      <c r="L14" s="150"/>
      <c r="M14" s="150"/>
      <c r="N14" s="9"/>
      <c r="O14" s="9"/>
      <c r="P14" s="9"/>
      <c r="Q14" s="9"/>
    </row>
    <row r="15" spans="2:26" ht="21.75" customHeight="1">
      <c r="B15" s="12"/>
      <c r="C15" s="124"/>
      <c r="D15" s="124"/>
      <c r="E15" s="124"/>
      <c r="F15" s="124"/>
      <c r="G15" s="12"/>
      <c r="H15" s="30"/>
      <c r="I15" s="63" t="s">
        <v>42</v>
      </c>
      <c r="J15" s="63" t="s">
        <v>18</v>
      </c>
      <c r="K15" s="60"/>
      <c r="L15" s="64" t="s">
        <v>42</v>
      </c>
      <c r="M15" s="80" t="s">
        <v>18</v>
      </c>
      <c r="N15" s="9"/>
      <c r="O15" s="9"/>
      <c r="P15" s="9"/>
      <c r="Q15" s="9"/>
      <c r="R15" s="9"/>
      <c r="S15" s="9"/>
    </row>
    <row r="16" spans="2:26" s="67" customFormat="1" ht="30">
      <c r="B16" s="65"/>
      <c r="C16" s="124"/>
      <c r="D16" s="124"/>
      <c r="E16" s="124"/>
      <c r="F16" s="124"/>
      <c r="G16" s="65"/>
      <c r="H16" s="60"/>
      <c r="I16" s="73" t="s">
        <v>52</v>
      </c>
      <c r="J16" s="76" t="s">
        <v>53</v>
      </c>
      <c r="K16" s="74"/>
      <c r="L16" s="78" t="s">
        <v>54</v>
      </c>
      <c r="M16" s="82" t="s">
        <v>55</v>
      </c>
      <c r="N16" s="66"/>
      <c r="O16" s="66"/>
      <c r="P16" s="66"/>
      <c r="Q16" s="66"/>
      <c r="R16" s="66"/>
      <c r="S16" s="66"/>
    </row>
    <row r="17" spans="2:19" s="67" customFormat="1">
      <c r="B17" s="65"/>
      <c r="C17" s="124"/>
      <c r="D17" s="124"/>
      <c r="E17" s="124"/>
      <c r="F17" s="124"/>
      <c r="G17" s="65"/>
      <c r="H17" s="60"/>
      <c r="I17" s="75"/>
      <c r="J17" s="77"/>
      <c r="K17" s="74"/>
      <c r="L17" s="79"/>
      <c r="M17" s="83"/>
      <c r="N17" s="66"/>
      <c r="O17" s="66"/>
      <c r="P17" s="66"/>
      <c r="Q17" s="66"/>
      <c r="R17" s="66"/>
      <c r="S17" s="66"/>
    </row>
    <row r="18" spans="2:19" s="67" customFormat="1">
      <c r="B18" s="65"/>
      <c r="C18" s="124"/>
      <c r="D18" s="124"/>
      <c r="E18" s="124"/>
      <c r="F18" s="124"/>
      <c r="G18" s="65"/>
      <c r="H18" s="60"/>
      <c r="I18" s="73"/>
      <c r="J18" s="76"/>
      <c r="K18" s="74"/>
      <c r="L18" s="78"/>
      <c r="M18" s="82"/>
      <c r="N18" s="66"/>
      <c r="O18" s="66"/>
      <c r="P18" s="66"/>
      <c r="Q18" s="66"/>
      <c r="R18" s="66"/>
      <c r="S18" s="66"/>
    </row>
    <row r="19" spans="2:19" s="67" customFormat="1">
      <c r="B19" s="65"/>
      <c r="C19" s="65"/>
      <c r="D19" s="65"/>
      <c r="E19" s="65"/>
      <c r="F19" s="65"/>
      <c r="G19" s="65"/>
      <c r="H19" s="60"/>
      <c r="I19" s="75"/>
      <c r="J19" s="77"/>
      <c r="K19" s="74"/>
      <c r="L19" s="79"/>
      <c r="M19" s="83"/>
      <c r="N19" s="66"/>
      <c r="O19" s="66"/>
      <c r="P19" s="66"/>
      <c r="Q19" s="66"/>
      <c r="R19" s="66"/>
      <c r="S19" s="66"/>
    </row>
    <row r="20" spans="2:19" s="67" customFormat="1">
      <c r="B20" s="65"/>
      <c r="C20" s="65"/>
      <c r="D20" s="65"/>
      <c r="E20" s="65"/>
      <c r="F20" s="65"/>
      <c r="G20" s="65"/>
      <c r="H20" s="60"/>
      <c r="I20" s="73"/>
      <c r="J20" s="76"/>
      <c r="K20" s="74"/>
      <c r="L20" s="78"/>
      <c r="M20" s="82"/>
      <c r="N20" s="66"/>
      <c r="O20" s="66"/>
      <c r="P20" s="66"/>
      <c r="Q20" s="66"/>
      <c r="R20" s="66"/>
      <c r="S20" s="66"/>
    </row>
    <row r="21" spans="2:19" s="67" customFormat="1">
      <c r="B21" s="65"/>
      <c r="C21" s="65"/>
      <c r="D21" s="65"/>
      <c r="E21" s="65"/>
      <c r="F21" s="65"/>
      <c r="G21" s="65"/>
      <c r="H21" s="60"/>
      <c r="I21" s="75"/>
      <c r="J21" s="77"/>
      <c r="K21" s="74"/>
      <c r="L21" s="79"/>
      <c r="M21" s="83"/>
      <c r="N21" s="66"/>
      <c r="O21" s="66"/>
      <c r="P21" s="66"/>
      <c r="Q21" s="66"/>
      <c r="S21" s="66"/>
    </row>
    <row r="22" spans="2:19" s="67" customFormat="1">
      <c r="B22" s="65"/>
      <c r="C22" s="65"/>
      <c r="D22" s="65"/>
      <c r="E22" s="65"/>
      <c r="F22" s="65"/>
      <c r="G22" s="65"/>
      <c r="H22" s="60"/>
      <c r="I22" s="73"/>
      <c r="J22" s="76"/>
      <c r="K22" s="74"/>
      <c r="L22" s="78"/>
      <c r="M22" s="82"/>
      <c r="N22" s="66"/>
      <c r="O22" s="66"/>
      <c r="P22" s="66"/>
      <c r="Q22" s="66"/>
      <c r="S22" s="66"/>
    </row>
    <row r="23" spans="2:19" s="67" customFormat="1">
      <c r="B23" s="65"/>
      <c r="C23" s="65"/>
      <c r="D23" s="65"/>
      <c r="E23" s="65"/>
      <c r="F23" s="65"/>
      <c r="G23" s="65"/>
      <c r="H23" s="60"/>
      <c r="I23" s="75"/>
      <c r="J23" s="77"/>
      <c r="K23" s="74"/>
      <c r="L23" s="79"/>
      <c r="M23" s="83"/>
      <c r="N23" s="66"/>
      <c r="O23" s="66"/>
      <c r="P23" s="66"/>
      <c r="Q23" s="66"/>
      <c r="S23" s="66"/>
    </row>
    <row r="24" spans="2:19" s="67" customFormat="1">
      <c r="B24" s="65"/>
      <c r="C24" s="65"/>
      <c r="D24" s="65"/>
      <c r="E24" s="65"/>
      <c r="F24" s="65"/>
      <c r="G24" s="65"/>
      <c r="H24" s="60"/>
      <c r="I24" s="73"/>
      <c r="J24" s="76"/>
      <c r="K24" s="74"/>
      <c r="L24" s="78"/>
      <c r="M24" s="82"/>
      <c r="N24" s="66"/>
      <c r="O24" s="66"/>
      <c r="P24" s="66"/>
      <c r="Q24" s="66"/>
      <c r="S24" s="66"/>
    </row>
    <row r="25" spans="2:19" s="67" customFormat="1">
      <c r="B25" s="65"/>
      <c r="C25" s="65"/>
      <c r="D25" s="65"/>
      <c r="E25" s="65"/>
      <c r="F25" s="65"/>
      <c r="G25" s="65"/>
      <c r="H25" s="60"/>
      <c r="I25" s="75"/>
      <c r="J25" s="77"/>
      <c r="K25" s="74"/>
      <c r="L25" s="79"/>
      <c r="M25" s="83"/>
      <c r="N25" s="66"/>
      <c r="O25" s="66"/>
      <c r="P25" s="66"/>
      <c r="Q25" s="66"/>
      <c r="S25" s="66"/>
    </row>
    <row r="26" spans="2:19" s="67" customFormat="1">
      <c r="B26" s="65"/>
      <c r="C26" s="65"/>
      <c r="D26" s="65"/>
      <c r="E26" s="65"/>
      <c r="F26" s="65"/>
      <c r="G26" s="65"/>
      <c r="H26" s="60"/>
      <c r="I26" s="73"/>
      <c r="J26" s="76"/>
      <c r="K26" s="74"/>
      <c r="L26" s="78"/>
      <c r="M26" s="82"/>
      <c r="N26" s="66"/>
      <c r="O26" s="66"/>
      <c r="P26" s="66"/>
      <c r="Q26" s="66"/>
      <c r="S26" s="66"/>
    </row>
    <row r="27" spans="2:19" s="67" customFormat="1">
      <c r="B27" s="65"/>
      <c r="C27" s="65"/>
      <c r="D27" s="65"/>
      <c r="E27" s="65"/>
      <c r="F27" s="65"/>
      <c r="G27" s="65"/>
      <c r="H27" s="60"/>
      <c r="I27" s="75"/>
      <c r="J27" s="77"/>
      <c r="K27" s="74"/>
      <c r="L27" s="79"/>
      <c r="M27" s="83"/>
      <c r="N27" s="66"/>
      <c r="O27" s="66"/>
      <c r="P27" s="66"/>
      <c r="Q27" s="66"/>
      <c r="S27" s="66"/>
    </row>
    <row r="28" spans="2:19" s="67" customFormat="1">
      <c r="B28" s="65"/>
      <c r="C28" s="65"/>
      <c r="D28" s="65"/>
      <c r="E28" s="65"/>
      <c r="F28" s="65"/>
      <c r="G28" s="65"/>
      <c r="H28" s="60"/>
      <c r="I28" s="73"/>
      <c r="J28" s="76"/>
      <c r="K28" s="74"/>
      <c r="L28" s="78"/>
      <c r="M28" s="82"/>
      <c r="N28" s="66"/>
      <c r="O28" s="66"/>
      <c r="P28" s="66"/>
      <c r="Q28" s="66"/>
      <c r="S28" s="66"/>
    </row>
    <row r="29" spans="2:19" s="67" customFormat="1">
      <c r="B29" s="65"/>
      <c r="C29" s="65"/>
      <c r="D29" s="65"/>
      <c r="E29" s="65"/>
      <c r="F29" s="65"/>
      <c r="G29" s="65"/>
      <c r="H29" s="60"/>
      <c r="I29" s="75"/>
      <c r="J29" s="77"/>
      <c r="K29" s="74"/>
      <c r="L29" s="79"/>
      <c r="M29" s="83"/>
      <c r="N29" s="66"/>
      <c r="O29" s="66"/>
      <c r="P29" s="66"/>
      <c r="Q29" s="66"/>
      <c r="S29" s="66"/>
    </row>
    <row r="30" spans="2:19" s="67" customFormat="1">
      <c r="B30" s="65"/>
      <c r="C30" s="65"/>
      <c r="D30" s="65"/>
      <c r="E30" s="65"/>
      <c r="F30" s="65"/>
      <c r="G30" s="65"/>
      <c r="H30" s="60"/>
      <c r="I30" s="73"/>
      <c r="J30" s="76"/>
      <c r="K30" s="74"/>
      <c r="L30" s="78"/>
      <c r="M30" s="82"/>
      <c r="N30" s="66"/>
      <c r="O30" s="66"/>
      <c r="P30" s="66"/>
      <c r="Q30" s="66"/>
      <c r="S30" s="66"/>
    </row>
    <row r="31" spans="2:19" s="67" customFormat="1">
      <c r="B31" s="65"/>
      <c r="C31" s="65"/>
      <c r="D31" s="65"/>
      <c r="E31" s="65"/>
      <c r="F31" s="65"/>
      <c r="G31" s="65"/>
      <c r="H31" s="60"/>
      <c r="I31" s="75"/>
      <c r="J31" s="77"/>
      <c r="K31" s="74"/>
      <c r="L31" s="79"/>
      <c r="M31" s="83"/>
      <c r="N31" s="66"/>
      <c r="O31" s="66"/>
      <c r="P31" s="66"/>
      <c r="Q31" s="66"/>
      <c r="R31" s="66"/>
      <c r="S31" s="66"/>
    </row>
    <row r="32" spans="2:19" s="67" customFormat="1">
      <c r="B32" s="65"/>
      <c r="C32" s="65"/>
      <c r="D32" s="65"/>
      <c r="E32" s="65"/>
      <c r="F32" s="65"/>
      <c r="G32" s="65"/>
      <c r="H32" s="60"/>
      <c r="I32" s="73"/>
      <c r="J32" s="76"/>
      <c r="K32" s="74"/>
      <c r="L32" s="78"/>
      <c r="M32" s="82"/>
      <c r="N32" s="66"/>
      <c r="O32" s="66"/>
      <c r="P32" s="66"/>
      <c r="Q32" s="66"/>
      <c r="R32" s="66"/>
      <c r="S32" s="66"/>
    </row>
    <row r="33" spans="2:17" s="67" customFormat="1">
      <c r="B33" s="65"/>
      <c r="C33" s="65"/>
      <c r="D33" s="65"/>
      <c r="E33" s="65"/>
      <c r="F33" s="65"/>
      <c r="G33" s="65"/>
      <c r="H33" s="60"/>
      <c r="I33" s="75"/>
      <c r="J33" s="77"/>
      <c r="K33" s="74"/>
      <c r="L33" s="79"/>
      <c r="M33" s="83"/>
      <c r="N33" s="66"/>
      <c r="O33" s="66"/>
      <c r="P33" s="66"/>
      <c r="Q33" s="66"/>
    </row>
    <row r="34" spans="2:17" s="67" customFormat="1">
      <c r="B34" s="65"/>
      <c r="C34" s="65"/>
      <c r="D34" s="65"/>
      <c r="E34" s="65"/>
      <c r="F34" s="65"/>
      <c r="G34" s="65"/>
      <c r="H34" s="60"/>
      <c r="I34" s="73"/>
      <c r="J34" s="76"/>
      <c r="K34" s="74"/>
      <c r="L34" s="78"/>
      <c r="M34" s="82"/>
      <c r="N34" s="66"/>
      <c r="O34" s="66"/>
      <c r="P34" s="66"/>
      <c r="Q34" s="66"/>
    </row>
    <row r="35" spans="2:17" s="67" customFormat="1">
      <c r="B35" s="65"/>
      <c r="C35" s="65"/>
      <c r="D35" s="65"/>
      <c r="E35" s="65"/>
      <c r="F35" s="65"/>
      <c r="G35" s="65"/>
      <c r="H35" s="60"/>
      <c r="I35" s="75"/>
      <c r="J35" s="77"/>
      <c r="K35" s="74"/>
      <c r="L35" s="79"/>
      <c r="M35" s="83"/>
      <c r="N35" s="66"/>
      <c r="O35" s="66"/>
      <c r="P35" s="66"/>
      <c r="Q35" s="66"/>
    </row>
    <row r="36" spans="2:17" s="67" customFormat="1">
      <c r="B36" s="65"/>
      <c r="C36" s="65"/>
      <c r="D36" s="65"/>
      <c r="E36" s="65"/>
      <c r="F36" s="65"/>
      <c r="G36" s="65"/>
      <c r="H36" s="60"/>
      <c r="I36" s="73"/>
      <c r="J36" s="76"/>
      <c r="K36" s="74"/>
      <c r="L36" s="78"/>
      <c r="M36" s="82"/>
      <c r="N36" s="66"/>
      <c r="O36" s="66"/>
      <c r="P36" s="66"/>
      <c r="Q36" s="66"/>
    </row>
    <row r="37" spans="2:17" s="67" customFormat="1">
      <c r="B37" s="65"/>
      <c r="C37" s="65"/>
      <c r="D37" s="65"/>
      <c r="E37" s="65"/>
      <c r="F37" s="65"/>
      <c r="G37" s="65"/>
      <c r="H37" s="60"/>
      <c r="I37" s="75"/>
      <c r="J37" s="77"/>
      <c r="K37" s="74"/>
      <c r="L37" s="79"/>
      <c r="M37" s="83"/>
      <c r="N37" s="66"/>
      <c r="O37" s="66"/>
      <c r="P37" s="66"/>
      <c r="Q37" s="66"/>
    </row>
    <row r="38" spans="2:17" s="67" customFormat="1">
      <c r="B38" s="65"/>
      <c r="C38" s="65"/>
      <c r="D38" s="65"/>
      <c r="E38" s="65"/>
      <c r="F38" s="65"/>
      <c r="G38" s="65"/>
      <c r="H38" s="60"/>
      <c r="I38" s="73"/>
      <c r="J38" s="76"/>
      <c r="K38" s="74"/>
      <c r="L38" s="78"/>
      <c r="M38" s="82"/>
      <c r="N38" s="66"/>
      <c r="O38" s="66"/>
      <c r="P38" s="66"/>
      <c r="Q38" s="66"/>
    </row>
    <row r="39" spans="2:17" s="67" customFormat="1">
      <c r="B39" s="65"/>
      <c r="C39" s="65"/>
      <c r="D39" s="65"/>
      <c r="E39" s="65"/>
      <c r="F39" s="65"/>
      <c r="G39" s="65"/>
      <c r="H39" s="60"/>
      <c r="I39" s="75"/>
      <c r="J39" s="77"/>
      <c r="K39" s="74"/>
      <c r="L39" s="79"/>
      <c r="M39" s="83"/>
      <c r="N39" s="66"/>
      <c r="O39" s="66"/>
      <c r="P39" s="66"/>
      <c r="Q39" s="66"/>
    </row>
    <row r="40" spans="2:17" s="67" customFormat="1">
      <c r="B40" s="65"/>
      <c r="C40" s="65"/>
      <c r="D40" s="65"/>
      <c r="E40" s="65"/>
      <c r="F40" s="65"/>
      <c r="G40" s="65"/>
      <c r="H40" s="60"/>
      <c r="I40" s="73"/>
      <c r="J40" s="76"/>
      <c r="K40" s="74"/>
      <c r="L40" s="78"/>
      <c r="M40" s="82"/>
      <c r="N40" s="66"/>
      <c r="O40" s="66"/>
      <c r="P40" s="66"/>
      <c r="Q40" s="66"/>
    </row>
    <row r="41" spans="2:17" s="67" customFormat="1">
      <c r="B41" s="65"/>
      <c r="C41" s="65"/>
      <c r="D41" s="65"/>
      <c r="E41" s="65"/>
      <c r="F41" s="65"/>
      <c r="G41" s="65"/>
      <c r="H41" s="60"/>
      <c r="I41" s="75"/>
      <c r="J41" s="77"/>
      <c r="K41" s="74"/>
      <c r="L41" s="79"/>
      <c r="M41" s="83"/>
      <c r="N41" s="66"/>
      <c r="O41" s="66"/>
      <c r="P41" s="66"/>
      <c r="Q41" s="66"/>
    </row>
    <row r="42" spans="2:17" s="67" customFormat="1">
      <c r="B42" s="65"/>
      <c r="C42" s="65"/>
      <c r="D42" s="65"/>
      <c r="E42" s="65"/>
      <c r="F42" s="65"/>
      <c r="G42" s="65"/>
      <c r="H42" s="60"/>
      <c r="I42" s="73"/>
      <c r="J42" s="76"/>
      <c r="K42" s="74"/>
      <c r="L42" s="78"/>
      <c r="M42" s="82"/>
      <c r="N42" s="66"/>
      <c r="O42" s="66"/>
      <c r="P42" s="66"/>
      <c r="Q42" s="66"/>
    </row>
    <row r="43" spans="2:17" s="67" customFormat="1">
      <c r="B43" s="65"/>
      <c r="C43" s="65"/>
      <c r="D43" s="65"/>
      <c r="E43" s="65"/>
      <c r="F43" s="65"/>
      <c r="G43" s="65"/>
      <c r="H43" s="60"/>
      <c r="I43" s="75"/>
      <c r="J43" s="77"/>
      <c r="K43" s="74"/>
      <c r="L43" s="79"/>
      <c r="M43" s="83"/>
      <c r="N43" s="66"/>
      <c r="O43" s="66"/>
      <c r="P43" s="66"/>
      <c r="Q43" s="66"/>
    </row>
    <row r="44" spans="2:17" s="67" customFormat="1">
      <c r="B44" s="65"/>
      <c r="C44" s="65"/>
      <c r="D44" s="65"/>
      <c r="E44" s="65"/>
      <c r="F44" s="65"/>
      <c r="G44" s="65"/>
      <c r="H44" s="60"/>
      <c r="I44" s="73"/>
      <c r="J44" s="76"/>
      <c r="K44" s="74"/>
      <c r="L44" s="78"/>
      <c r="M44" s="82"/>
      <c r="N44" s="66"/>
      <c r="O44" s="66"/>
      <c r="P44" s="66"/>
      <c r="Q44" s="66"/>
    </row>
    <row r="45" spans="2:17" s="67" customFormat="1">
      <c r="B45" s="65"/>
      <c r="C45" s="65"/>
      <c r="D45" s="65"/>
      <c r="E45" s="65"/>
      <c r="F45" s="65"/>
      <c r="G45" s="65"/>
      <c r="H45" s="60"/>
      <c r="I45" s="75"/>
      <c r="J45" s="77"/>
      <c r="K45" s="74"/>
      <c r="L45" s="79"/>
      <c r="M45" s="83"/>
      <c r="N45" s="66"/>
      <c r="O45" s="66"/>
      <c r="P45" s="66"/>
      <c r="Q45" s="66"/>
    </row>
    <row r="46" spans="2:17" s="67" customFormat="1">
      <c r="B46" s="65"/>
      <c r="C46" s="65"/>
      <c r="D46" s="65"/>
      <c r="E46" s="65"/>
      <c r="F46" s="65"/>
      <c r="G46" s="65"/>
      <c r="H46" s="60"/>
      <c r="I46" s="73"/>
      <c r="J46" s="76"/>
      <c r="K46" s="74"/>
      <c r="L46" s="78"/>
      <c r="M46" s="82"/>
      <c r="N46" s="66"/>
      <c r="O46" s="66"/>
      <c r="P46" s="66"/>
      <c r="Q46" s="66"/>
    </row>
    <row r="47" spans="2:17" s="67" customFormat="1">
      <c r="B47" s="65"/>
      <c r="C47" s="65"/>
      <c r="D47" s="65"/>
      <c r="E47" s="65"/>
      <c r="F47" s="65"/>
      <c r="G47" s="65"/>
      <c r="H47" s="60"/>
      <c r="I47" s="75"/>
      <c r="J47" s="77"/>
      <c r="K47" s="74"/>
      <c r="L47" s="79"/>
      <c r="M47" s="83"/>
      <c r="N47" s="66"/>
      <c r="O47" s="66"/>
      <c r="P47" s="66"/>
      <c r="Q47" s="66"/>
    </row>
    <row r="48" spans="2:17" s="67" customFormat="1">
      <c r="B48" s="65"/>
      <c r="C48" s="65"/>
      <c r="D48" s="65"/>
      <c r="E48" s="65"/>
      <c r="F48" s="65"/>
      <c r="G48" s="65"/>
      <c r="H48" s="60"/>
      <c r="I48" s="73"/>
      <c r="J48" s="76"/>
      <c r="K48" s="74"/>
      <c r="L48" s="78"/>
      <c r="M48" s="82"/>
      <c r="N48" s="66"/>
      <c r="O48" s="66"/>
      <c r="P48" s="66"/>
      <c r="Q48" s="66"/>
    </row>
    <row r="49" spans="2:17" s="67" customFormat="1">
      <c r="B49" s="65"/>
      <c r="C49" s="65"/>
      <c r="D49" s="65"/>
      <c r="E49" s="65"/>
      <c r="F49" s="65"/>
      <c r="G49" s="65"/>
      <c r="H49" s="60"/>
      <c r="I49" s="75"/>
      <c r="J49" s="77"/>
      <c r="K49" s="74"/>
      <c r="L49" s="79"/>
      <c r="M49" s="83"/>
      <c r="N49" s="66"/>
      <c r="O49" s="66"/>
      <c r="P49" s="66"/>
      <c r="Q49" s="66"/>
    </row>
    <row r="50" spans="2:17" s="67" customFormat="1">
      <c r="B50" s="65"/>
      <c r="C50" s="65"/>
      <c r="D50" s="65"/>
      <c r="E50" s="65"/>
      <c r="F50" s="65"/>
      <c r="G50" s="65"/>
      <c r="H50" s="60"/>
      <c r="I50" s="73"/>
      <c r="J50" s="76"/>
      <c r="K50" s="74"/>
      <c r="L50" s="78"/>
      <c r="M50" s="82"/>
      <c r="N50" s="66"/>
      <c r="O50" s="66"/>
      <c r="P50" s="66"/>
      <c r="Q50" s="66"/>
    </row>
    <row r="51" spans="2:17" ht="19.5">
      <c r="B51" s="12"/>
      <c r="C51" s="12"/>
      <c r="D51" s="12"/>
      <c r="E51" s="12"/>
      <c r="F51" s="12"/>
      <c r="G51" s="12"/>
      <c r="I51" s="148"/>
      <c r="J51" s="148"/>
      <c r="K51" s="30"/>
      <c r="L51" s="61"/>
      <c r="M51" s="84"/>
      <c r="N51" s="9"/>
      <c r="O51" s="9"/>
      <c r="P51" s="9"/>
      <c r="Q51" s="9"/>
    </row>
    <row r="52" spans="2:17">
      <c r="B52" s="12"/>
      <c r="C52" s="12"/>
      <c r="D52" s="12"/>
      <c r="E52" s="12"/>
      <c r="F52" s="12"/>
      <c r="G52" s="12"/>
      <c r="I52" s="147"/>
      <c r="J52" s="147"/>
      <c r="K52" s="30"/>
      <c r="L52" s="62"/>
      <c r="M52" s="84"/>
      <c r="N52" s="9"/>
      <c r="O52" s="9"/>
      <c r="P52" s="9"/>
      <c r="Q52" s="9"/>
    </row>
    <row r="53" spans="2:17">
      <c r="B53" s="12"/>
      <c r="C53" s="12"/>
      <c r="D53" s="12"/>
      <c r="E53" s="12"/>
      <c r="F53" s="12"/>
      <c r="G53" s="12"/>
      <c r="I53" s="147"/>
      <c r="J53" s="147"/>
      <c r="K53" s="30"/>
      <c r="L53" s="62"/>
      <c r="M53" s="84"/>
      <c r="N53" s="9"/>
      <c r="O53" s="9"/>
      <c r="P53" s="9"/>
      <c r="Q53" s="9"/>
    </row>
    <row r="54" spans="2:17">
      <c r="B54" s="12"/>
      <c r="C54" s="12"/>
      <c r="D54" s="12"/>
      <c r="E54" s="12"/>
      <c r="F54" s="12"/>
      <c r="G54" s="12"/>
      <c r="I54" s="147"/>
      <c r="J54" s="147"/>
      <c r="K54" s="30"/>
      <c r="L54" s="62"/>
      <c r="M54" s="84"/>
      <c r="N54" s="9"/>
      <c r="O54" s="9"/>
      <c r="P54" s="9"/>
      <c r="Q54" s="9"/>
    </row>
    <row r="55" spans="2:17">
      <c r="B55" s="12"/>
      <c r="C55" s="12"/>
      <c r="D55" s="12"/>
      <c r="E55" s="12"/>
      <c r="F55" s="12"/>
      <c r="G55" s="12"/>
      <c r="I55" s="68"/>
      <c r="J55" s="88"/>
      <c r="K55" s="30"/>
      <c r="L55" s="57"/>
      <c r="M55" s="85"/>
      <c r="N55" s="9"/>
      <c r="O55" s="9"/>
      <c r="P55" s="9"/>
      <c r="Q55" s="9"/>
    </row>
    <row r="56" spans="2:17">
      <c r="B56" s="12"/>
      <c r="C56" s="12"/>
      <c r="D56" s="12"/>
      <c r="E56" s="12"/>
      <c r="F56" s="12"/>
      <c r="G56" s="12"/>
      <c r="I56" s="68"/>
      <c r="J56" s="88"/>
      <c r="K56" s="30"/>
      <c r="L56" s="57"/>
      <c r="M56" s="85"/>
      <c r="N56" s="9"/>
      <c r="O56" s="9"/>
      <c r="P56" s="9"/>
      <c r="Q56" s="9"/>
    </row>
    <row r="57" spans="2:17">
      <c r="B57" s="12"/>
      <c r="C57" s="12"/>
      <c r="D57" s="12"/>
      <c r="E57" s="12"/>
      <c r="F57" s="12"/>
      <c r="G57" s="12"/>
      <c r="I57" s="68"/>
      <c r="J57" s="88"/>
      <c r="K57" s="30"/>
      <c r="L57" s="57"/>
      <c r="M57" s="85"/>
      <c r="N57" s="9"/>
      <c r="O57" s="9"/>
      <c r="P57" s="9"/>
      <c r="Q57" s="9"/>
    </row>
    <row r="58" spans="2:17">
      <c r="B58" s="12"/>
      <c r="C58" s="12"/>
      <c r="D58" s="12"/>
      <c r="E58" s="12"/>
      <c r="F58" s="12"/>
      <c r="G58" s="12"/>
      <c r="I58" s="68"/>
      <c r="J58" s="88"/>
      <c r="K58" s="30"/>
      <c r="L58" s="57"/>
      <c r="M58" s="85"/>
      <c r="N58" s="9"/>
      <c r="O58" s="9"/>
      <c r="P58" s="9"/>
      <c r="Q58" s="9"/>
    </row>
    <row r="59" spans="2:17">
      <c r="B59" s="12"/>
      <c r="C59" s="12"/>
      <c r="D59" s="12"/>
      <c r="E59" s="12"/>
      <c r="F59" s="12"/>
      <c r="G59" s="12"/>
      <c r="I59" s="72"/>
      <c r="J59" s="89"/>
      <c r="K59" s="30"/>
      <c r="L59" s="9"/>
      <c r="M59" s="86"/>
      <c r="N59" s="9"/>
      <c r="O59" s="9"/>
      <c r="P59" s="9"/>
      <c r="Q59" s="9"/>
    </row>
    <row r="60" spans="2:17">
      <c r="B60" s="12"/>
      <c r="C60" s="12"/>
      <c r="D60" s="12"/>
      <c r="E60" s="12"/>
      <c r="F60" s="12"/>
      <c r="G60" s="12"/>
      <c r="I60" s="72"/>
      <c r="J60" s="89"/>
      <c r="K60" s="30"/>
      <c r="L60" s="9"/>
      <c r="M60" s="86"/>
      <c r="N60" s="9"/>
      <c r="O60" s="9"/>
      <c r="P60" s="9"/>
      <c r="Q60" s="9"/>
    </row>
    <row r="61" spans="2:17">
      <c r="B61" s="12"/>
      <c r="C61" s="12"/>
      <c r="D61" s="12"/>
      <c r="E61" s="12"/>
      <c r="F61" s="12"/>
      <c r="G61" s="12"/>
      <c r="I61" s="72"/>
      <c r="J61" s="89"/>
      <c r="K61" s="30"/>
      <c r="L61" s="9"/>
      <c r="M61" s="86"/>
      <c r="N61" s="9"/>
      <c r="O61" s="9"/>
      <c r="P61" s="9"/>
      <c r="Q61" s="9"/>
    </row>
    <row r="62" spans="2:17">
      <c r="B62" s="12"/>
      <c r="C62" s="12"/>
      <c r="D62" s="12"/>
      <c r="E62" s="12"/>
      <c r="F62" s="12"/>
      <c r="G62" s="12"/>
      <c r="I62" s="72"/>
      <c r="J62" s="89"/>
      <c r="K62" s="30"/>
      <c r="L62" s="9"/>
      <c r="M62" s="86"/>
      <c r="N62" s="9"/>
      <c r="O62" s="9"/>
      <c r="P62" s="9"/>
      <c r="Q62" s="9"/>
    </row>
    <row r="63" spans="2:17">
      <c r="B63" s="12"/>
      <c r="C63" s="12"/>
      <c r="D63" s="12"/>
      <c r="E63" s="12"/>
      <c r="F63" s="12"/>
      <c r="G63" s="12"/>
      <c r="I63" s="72"/>
      <c r="J63" s="89"/>
      <c r="K63" s="30"/>
      <c r="L63" s="9"/>
      <c r="M63" s="86"/>
      <c r="N63" s="9"/>
      <c r="O63" s="9"/>
      <c r="P63" s="9"/>
      <c r="Q63" s="9"/>
    </row>
    <row r="64" spans="2:17">
      <c r="B64" s="12"/>
      <c r="C64" s="12"/>
      <c r="D64" s="12"/>
      <c r="E64" s="12"/>
      <c r="F64" s="12"/>
      <c r="G64" s="12"/>
      <c r="I64" s="72"/>
      <c r="J64" s="89"/>
      <c r="K64" s="30"/>
      <c r="L64" s="9"/>
      <c r="M64" s="86"/>
      <c r="N64" s="9"/>
      <c r="O64" s="9"/>
      <c r="P64" s="9"/>
      <c r="Q64" s="9"/>
    </row>
    <row r="65" spans="2:17">
      <c r="B65" s="12"/>
      <c r="C65" s="12"/>
      <c r="D65" s="12"/>
      <c r="E65" s="12"/>
      <c r="F65" s="12"/>
      <c r="G65" s="12"/>
      <c r="I65" s="72"/>
      <c r="J65" s="89"/>
      <c r="K65" s="30"/>
      <c r="L65" s="9"/>
      <c r="M65" s="86"/>
      <c r="N65" s="9"/>
      <c r="O65" s="9"/>
      <c r="P65" s="9"/>
      <c r="Q65" s="9"/>
    </row>
    <row r="66" spans="2:17">
      <c r="B66" s="12"/>
      <c r="C66" s="12"/>
      <c r="D66" s="12"/>
      <c r="E66" s="12"/>
      <c r="F66" s="12"/>
      <c r="G66" s="12"/>
      <c r="I66" s="72"/>
      <c r="J66" s="89"/>
      <c r="K66" s="30"/>
      <c r="L66" s="9"/>
      <c r="M66" s="86"/>
      <c r="N66" s="9"/>
      <c r="O66" s="9"/>
      <c r="P66" s="9"/>
      <c r="Q66" s="9"/>
    </row>
    <row r="67" spans="2:17">
      <c r="B67" s="12"/>
      <c r="C67" s="12"/>
      <c r="D67" s="12"/>
      <c r="E67" s="12"/>
      <c r="F67" s="12"/>
      <c r="G67" s="12"/>
      <c r="I67" s="72"/>
      <c r="J67" s="89"/>
      <c r="K67" s="30"/>
      <c r="L67" s="9"/>
      <c r="M67" s="86"/>
      <c r="N67" s="9"/>
      <c r="O67" s="9"/>
      <c r="P67" s="9"/>
      <c r="Q67" s="9"/>
    </row>
    <row r="68" spans="2:17">
      <c r="B68" s="12"/>
      <c r="C68" s="12"/>
      <c r="D68" s="12"/>
      <c r="E68" s="12"/>
      <c r="F68" s="12"/>
      <c r="G68" s="12"/>
      <c r="I68" s="72"/>
      <c r="J68" s="89"/>
      <c r="K68" s="44"/>
      <c r="L68" s="9"/>
      <c r="M68" s="86"/>
      <c r="N68" s="9"/>
      <c r="O68" s="9"/>
      <c r="P68" s="9"/>
      <c r="Q68" s="9"/>
    </row>
    <row r="69" spans="2:17">
      <c r="B69" s="12"/>
      <c r="C69" s="12"/>
      <c r="D69" s="12"/>
      <c r="E69" s="12"/>
      <c r="F69" s="12"/>
      <c r="G69" s="12"/>
      <c r="I69" s="72"/>
      <c r="J69" s="89"/>
      <c r="K69" s="44"/>
      <c r="L69" s="9"/>
      <c r="M69" s="86"/>
      <c r="N69" s="9"/>
      <c r="O69" s="9"/>
      <c r="P69" s="9"/>
      <c r="Q69" s="9"/>
    </row>
    <row r="70" spans="2:17">
      <c r="B70" s="12"/>
      <c r="C70" s="12"/>
      <c r="D70" s="12"/>
      <c r="E70" s="12"/>
      <c r="F70" s="12"/>
      <c r="G70" s="12"/>
      <c r="I70" s="72"/>
      <c r="J70" s="89"/>
      <c r="K70" s="44"/>
      <c r="L70" s="9"/>
      <c r="M70" s="86"/>
      <c r="N70" s="9"/>
      <c r="O70" s="9"/>
      <c r="P70" s="9"/>
      <c r="Q70" s="9"/>
    </row>
    <row r="71" spans="2:17">
      <c r="B71" s="12"/>
      <c r="C71" s="12"/>
      <c r="D71" s="12"/>
      <c r="E71" s="12"/>
      <c r="F71" s="12"/>
      <c r="G71" s="12"/>
      <c r="I71" s="72"/>
      <c r="J71" s="89"/>
      <c r="K71" s="44"/>
      <c r="L71" s="9"/>
      <c r="M71" s="86"/>
      <c r="N71" s="9"/>
      <c r="O71" s="9"/>
      <c r="P71" s="9"/>
      <c r="Q71" s="9"/>
    </row>
    <row r="72" spans="2:17">
      <c r="B72" s="12"/>
      <c r="C72" s="12"/>
      <c r="D72" s="12"/>
      <c r="E72" s="12"/>
      <c r="F72" s="12"/>
      <c r="G72" s="12"/>
      <c r="I72" s="72"/>
      <c r="J72" s="89"/>
      <c r="K72" s="44"/>
      <c r="L72" s="9"/>
      <c r="M72" s="86"/>
      <c r="N72" s="9"/>
      <c r="O72" s="9"/>
      <c r="P72" s="9"/>
      <c r="Q72" s="9"/>
    </row>
    <row r="73" spans="2:17">
      <c r="B73" s="12"/>
      <c r="C73" s="12"/>
      <c r="D73" s="12"/>
      <c r="E73" s="12"/>
      <c r="F73" s="12"/>
      <c r="G73" s="12"/>
      <c r="I73" s="72"/>
      <c r="J73" s="89"/>
      <c r="K73" s="44"/>
      <c r="L73" s="9"/>
      <c r="M73" s="86"/>
      <c r="N73" s="9"/>
      <c r="O73" s="9"/>
      <c r="P73" s="9"/>
      <c r="Q73" s="9"/>
    </row>
    <row r="74" spans="2:17">
      <c r="B74" s="12"/>
      <c r="C74" s="12"/>
      <c r="D74" s="12"/>
      <c r="E74" s="12"/>
      <c r="F74" s="12"/>
      <c r="G74" s="12"/>
      <c r="I74" s="72"/>
      <c r="J74" s="89"/>
      <c r="K74" s="44"/>
      <c r="L74" s="9"/>
      <c r="M74" s="86"/>
      <c r="N74" s="9"/>
      <c r="O74" s="9"/>
      <c r="P74" s="9"/>
      <c r="Q74" s="9"/>
    </row>
    <row r="75" spans="2:17">
      <c r="B75" s="12"/>
      <c r="C75" s="12"/>
      <c r="D75" s="12"/>
      <c r="E75" s="12"/>
      <c r="F75" s="12"/>
      <c r="G75" s="12"/>
      <c r="I75" s="72"/>
      <c r="J75" s="89"/>
      <c r="K75" s="44"/>
      <c r="L75" s="9"/>
      <c r="M75" s="86"/>
      <c r="N75" s="9"/>
      <c r="O75" s="9"/>
      <c r="P75" s="9"/>
      <c r="Q75" s="9"/>
    </row>
    <row r="76" spans="2:17">
      <c r="B76" s="12"/>
      <c r="C76" s="12"/>
      <c r="D76" s="12"/>
      <c r="E76" s="12"/>
      <c r="F76" s="12"/>
      <c r="G76" s="12"/>
      <c r="I76" s="72"/>
      <c r="J76" s="89"/>
      <c r="K76" s="44"/>
      <c r="L76" s="9"/>
      <c r="M76" s="86"/>
      <c r="N76" s="9"/>
      <c r="O76" s="9"/>
      <c r="P76" s="9"/>
      <c r="Q76" s="9"/>
    </row>
    <row r="77" spans="2:17">
      <c r="B77" s="12"/>
      <c r="C77" s="12"/>
      <c r="D77" s="12"/>
      <c r="E77" s="12"/>
      <c r="F77" s="12"/>
      <c r="G77" s="12"/>
      <c r="I77" s="72"/>
      <c r="J77" s="89"/>
      <c r="K77" s="44"/>
      <c r="L77" s="9"/>
      <c r="M77" s="86"/>
      <c r="N77" s="9"/>
      <c r="O77" s="9"/>
      <c r="P77" s="9"/>
      <c r="Q77" s="9"/>
    </row>
    <row r="78" spans="2:17">
      <c r="B78" s="12"/>
      <c r="C78" s="12"/>
      <c r="D78" s="12"/>
      <c r="E78" s="12"/>
      <c r="F78" s="12"/>
      <c r="G78" s="12"/>
      <c r="I78" s="72"/>
      <c r="J78" s="89"/>
      <c r="K78" s="44"/>
      <c r="L78" s="9"/>
      <c r="M78" s="86"/>
      <c r="N78" s="9"/>
      <c r="O78" s="9"/>
      <c r="P78" s="9"/>
      <c r="Q78" s="9"/>
    </row>
    <row r="79" spans="2:17">
      <c r="B79" s="12"/>
      <c r="C79" s="12"/>
      <c r="D79" s="12"/>
      <c r="E79" s="12"/>
      <c r="F79" s="12"/>
      <c r="G79" s="12"/>
      <c r="I79" s="72"/>
      <c r="J79" s="89"/>
      <c r="K79" s="44"/>
      <c r="L79" s="9"/>
      <c r="M79" s="86"/>
      <c r="N79" s="9"/>
      <c r="O79" s="9"/>
      <c r="P79" s="9"/>
      <c r="Q79" s="9"/>
    </row>
    <row r="80" spans="2:17">
      <c r="B80" s="12"/>
      <c r="C80" s="12"/>
      <c r="D80" s="12"/>
      <c r="E80" s="12"/>
      <c r="F80" s="12"/>
      <c r="G80" s="12"/>
      <c r="I80" s="72"/>
      <c r="J80" s="89"/>
      <c r="K80" s="44"/>
      <c r="L80" s="9"/>
      <c r="M80" s="86"/>
      <c r="N80" s="9"/>
      <c r="O80" s="9"/>
      <c r="P80" s="9"/>
      <c r="Q80" s="9"/>
    </row>
    <row r="81" spans="2:17">
      <c r="B81" s="12"/>
      <c r="C81" s="12"/>
      <c r="D81" s="12"/>
      <c r="E81" s="12"/>
      <c r="F81" s="12"/>
      <c r="G81" s="12"/>
      <c r="I81" s="72"/>
      <c r="J81" s="89"/>
      <c r="K81" s="44"/>
      <c r="L81" s="9"/>
      <c r="M81" s="86"/>
      <c r="N81" s="9"/>
      <c r="O81" s="9"/>
      <c r="P81" s="9"/>
      <c r="Q81" s="9"/>
    </row>
    <row r="82" spans="2:17">
      <c r="B82" s="12"/>
      <c r="C82" s="12"/>
      <c r="D82" s="12"/>
      <c r="E82" s="12"/>
      <c r="F82" s="12"/>
      <c r="G82" s="12"/>
      <c r="I82" s="72"/>
      <c r="J82" s="89"/>
      <c r="K82" s="44"/>
      <c r="L82" s="9"/>
      <c r="M82" s="86"/>
      <c r="N82" s="9"/>
      <c r="O82" s="9"/>
      <c r="P82" s="9"/>
      <c r="Q82" s="9"/>
    </row>
    <row r="83" spans="2:17">
      <c r="B83" s="12"/>
      <c r="C83" s="12"/>
      <c r="D83" s="12"/>
      <c r="E83" s="12"/>
      <c r="F83" s="12"/>
      <c r="G83" s="12"/>
      <c r="I83" s="72"/>
      <c r="J83" s="89"/>
      <c r="K83" s="44"/>
      <c r="L83" s="9"/>
      <c r="M83" s="86"/>
      <c r="N83" s="9"/>
      <c r="O83" s="9"/>
      <c r="P83" s="9"/>
      <c r="Q83" s="9"/>
    </row>
    <row r="84" spans="2:17">
      <c r="B84" s="12"/>
      <c r="C84" s="12"/>
      <c r="D84" s="12"/>
      <c r="E84" s="12"/>
      <c r="F84" s="12"/>
      <c r="G84" s="12"/>
      <c r="I84" s="72"/>
      <c r="J84" s="89"/>
      <c r="K84" s="44"/>
      <c r="L84" s="9"/>
      <c r="M84" s="86"/>
      <c r="N84" s="9"/>
      <c r="O84" s="9"/>
      <c r="P84" s="9"/>
      <c r="Q84" s="9"/>
    </row>
    <row r="85" spans="2:17">
      <c r="B85" s="12"/>
      <c r="C85" s="12"/>
      <c r="D85" s="12"/>
      <c r="E85" s="12"/>
      <c r="F85" s="12"/>
      <c r="G85" s="12"/>
      <c r="I85" s="72"/>
      <c r="J85" s="89"/>
      <c r="K85" s="44"/>
      <c r="L85" s="9"/>
      <c r="M85" s="86"/>
      <c r="N85" s="9"/>
      <c r="O85" s="9"/>
      <c r="P85" s="9"/>
      <c r="Q85" s="9"/>
    </row>
    <row r="86" spans="2:17">
      <c r="B86" s="12"/>
      <c r="C86" s="12"/>
      <c r="D86" s="12"/>
      <c r="E86" s="12"/>
      <c r="F86" s="12"/>
      <c r="G86" s="12"/>
      <c r="I86" s="72"/>
      <c r="J86" s="89"/>
      <c r="K86" s="9"/>
      <c r="L86" s="9"/>
      <c r="M86" s="86"/>
      <c r="N86" s="9"/>
      <c r="O86" s="9"/>
      <c r="P86" s="9"/>
      <c r="Q86" s="9"/>
    </row>
    <row r="87" spans="2:17">
      <c r="B87" s="12"/>
      <c r="C87" s="12"/>
      <c r="D87" s="12"/>
      <c r="E87" s="12"/>
      <c r="F87" s="12"/>
      <c r="G87" s="12"/>
      <c r="I87" s="72"/>
      <c r="J87" s="89"/>
      <c r="K87" s="9"/>
      <c r="L87" s="9"/>
      <c r="M87" s="86"/>
      <c r="N87" s="9"/>
      <c r="O87" s="9"/>
      <c r="P87" s="9"/>
      <c r="Q87" s="9"/>
    </row>
    <row r="88" spans="2:17">
      <c r="B88" s="12"/>
      <c r="C88" s="12"/>
      <c r="D88" s="12"/>
      <c r="E88" s="12"/>
      <c r="F88" s="12"/>
      <c r="G88" s="12"/>
      <c r="I88" s="72"/>
      <c r="J88" s="89"/>
      <c r="K88" s="9"/>
      <c r="L88" s="9"/>
      <c r="M88" s="86"/>
      <c r="N88" s="9"/>
      <c r="O88" s="9"/>
      <c r="P88" s="9"/>
      <c r="Q88" s="9"/>
    </row>
    <row r="89" spans="2:17">
      <c r="B89" s="12"/>
      <c r="C89" s="12"/>
      <c r="D89" s="12"/>
      <c r="E89" s="12"/>
      <c r="F89" s="12"/>
      <c r="G89" s="12"/>
      <c r="I89" s="72"/>
      <c r="J89" s="89"/>
      <c r="K89" s="9"/>
      <c r="L89" s="9"/>
      <c r="M89" s="86"/>
      <c r="N89" s="9"/>
      <c r="O89" s="9"/>
      <c r="P89" s="9"/>
      <c r="Q89" s="9"/>
    </row>
    <row r="90" spans="2:17">
      <c r="B90" s="12"/>
      <c r="C90" s="12"/>
      <c r="D90" s="12"/>
      <c r="E90" s="12"/>
      <c r="F90" s="12"/>
      <c r="G90" s="12"/>
      <c r="I90" s="72"/>
      <c r="J90" s="89"/>
      <c r="K90" s="9"/>
      <c r="L90" s="9"/>
      <c r="M90" s="86"/>
      <c r="N90" s="9"/>
      <c r="O90" s="9"/>
      <c r="P90" s="9"/>
      <c r="Q90" s="9"/>
    </row>
    <row r="91" spans="2:17">
      <c r="B91" s="12"/>
      <c r="C91" s="12"/>
      <c r="D91" s="12"/>
      <c r="E91" s="12"/>
      <c r="F91" s="12"/>
      <c r="G91" s="12"/>
      <c r="I91" s="72"/>
      <c r="J91" s="89"/>
      <c r="K91" s="9"/>
      <c r="L91" s="9"/>
      <c r="M91" s="86"/>
      <c r="N91" s="9"/>
      <c r="O91" s="9"/>
      <c r="P91" s="9"/>
      <c r="Q91" s="9"/>
    </row>
    <row r="92" spans="2:17">
      <c r="B92" s="12"/>
      <c r="C92" s="12"/>
      <c r="D92" s="12"/>
      <c r="E92" s="12"/>
      <c r="F92" s="12"/>
      <c r="G92" s="12"/>
      <c r="I92" s="72"/>
      <c r="J92" s="89"/>
      <c r="K92" s="9"/>
      <c r="L92" s="9"/>
      <c r="M92" s="86"/>
      <c r="N92" s="9"/>
      <c r="O92" s="9"/>
      <c r="P92" s="9"/>
      <c r="Q92" s="9"/>
    </row>
    <row r="93" spans="2:17">
      <c r="B93" s="12"/>
      <c r="C93" s="12"/>
      <c r="D93" s="12"/>
      <c r="E93" s="12"/>
      <c r="F93" s="12"/>
      <c r="G93" s="12"/>
      <c r="I93" s="72"/>
      <c r="J93" s="89"/>
      <c r="K93" s="9"/>
      <c r="L93" s="9"/>
      <c r="M93" s="86"/>
      <c r="N93" s="9"/>
      <c r="O93" s="9"/>
      <c r="P93" s="9"/>
      <c r="Q93" s="9"/>
    </row>
    <row r="94" spans="2:17">
      <c r="B94" s="12"/>
      <c r="C94" s="12"/>
      <c r="D94" s="12"/>
      <c r="E94" s="12"/>
      <c r="F94" s="12"/>
      <c r="G94" s="12"/>
      <c r="I94" s="72"/>
      <c r="J94" s="89"/>
      <c r="K94" s="9"/>
      <c r="L94" s="9"/>
      <c r="M94" s="86"/>
      <c r="N94" s="9"/>
      <c r="O94" s="9"/>
      <c r="P94" s="9"/>
      <c r="Q94" s="9"/>
    </row>
    <row r="95" spans="2:17">
      <c r="B95" s="12"/>
      <c r="C95" s="12"/>
      <c r="D95" s="12"/>
      <c r="E95" s="12"/>
      <c r="F95" s="12"/>
      <c r="G95" s="12"/>
      <c r="I95" s="72"/>
      <c r="J95" s="89"/>
      <c r="K95" s="9"/>
      <c r="L95" s="9"/>
      <c r="M95" s="86"/>
      <c r="N95" s="9"/>
      <c r="O95" s="9"/>
      <c r="P95" s="9"/>
      <c r="Q95" s="9"/>
    </row>
    <row r="96" spans="2:17">
      <c r="B96" s="12"/>
      <c r="C96" s="12"/>
      <c r="D96" s="12"/>
      <c r="E96" s="12"/>
      <c r="F96" s="12"/>
      <c r="G96" s="12"/>
      <c r="I96" s="72"/>
      <c r="J96" s="89"/>
      <c r="K96" s="9"/>
      <c r="L96" s="9"/>
      <c r="M96" s="86"/>
      <c r="N96" s="9"/>
      <c r="O96" s="9"/>
      <c r="P96" s="9"/>
      <c r="Q96" s="9"/>
    </row>
    <row r="97" spans="2:17">
      <c r="B97" s="12"/>
      <c r="C97" s="12"/>
      <c r="D97" s="12"/>
      <c r="E97" s="12"/>
      <c r="F97" s="12"/>
      <c r="G97" s="12"/>
      <c r="I97" s="72"/>
      <c r="J97" s="89"/>
      <c r="K97" s="9"/>
      <c r="L97" s="9"/>
      <c r="M97" s="86"/>
      <c r="N97" s="9"/>
      <c r="O97" s="9"/>
      <c r="P97" s="9"/>
      <c r="Q97" s="9"/>
    </row>
    <row r="98" spans="2:17">
      <c r="B98" s="12"/>
      <c r="C98" s="12"/>
      <c r="D98" s="12"/>
      <c r="E98" s="12"/>
      <c r="F98" s="12"/>
      <c r="G98" s="12"/>
      <c r="I98" s="72"/>
      <c r="J98" s="89"/>
      <c r="K98" s="9"/>
      <c r="L98" s="9"/>
      <c r="M98" s="86"/>
      <c r="N98" s="9"/>
      <c r="O98" s="9"/>
      <c r="P98" s="9"/>
      <c r="Q98" s="9"/>
    </row>
    <row r="99" spans="2:17">
      <c r="B99" s="12"/>
      <c r="C99" s="12"/>
      <c r="D99" s="12"/>
      <c r="E99" s="12"/>
      <c r="F99" s="12"/>
      <c r="G99" s="12"/>
      <c r="I99" s="72"/>
      <c r="J99" s="89"/>
      <c r="K99" s="9"/>
      <c r="L99" s="9"/>
      <c r="M99" s="86"/>
      <c r="N99" s="9"/>
      <c r="O99" s="9"/>
      <c r="P99" s="9"/>
      <c r="Q99" s="9"/>
    </row>
    <row r="100" spans="2:17">
      <c r="B100" s="12"/>
      <c r="C100" s="12"/>
      <c r="D100" s="12"/>
      <c r="E100" s="12"/>
      <c r="F100" s="12"/>
      <c r="G100" s="12"/>
      <c r="I100" s="72"/>
      <c r="J100" s="89"/>
      <c r="K100" s="9"/>
      <c r="L100" s="9"/>
      <c r="M100" s="86"/>
      <c r="N100" s="9"/>
      <c r="O100" s="9"/>
      <c r="P100" s="9"/>
      <c r="Q100" s="9"/>
    </row>
    <row r="101" spans="2:17">
      <c r="B101" s="12"/>
      <c r="C101" s="12"/>
      <c r="D101" s="12"/>
      <c r="E101" s="12"/>
      <c r="F101" s="12"/>
      <c r="G101" s="12"/>
      <c r="I101" s="72"/>
      <c r="J101" s="89"/>
      <c r="K101" s="9"/>
      <c r="L101" s="9"/>
      <c r="M101" s="86"/>
      <c r="N101" s="9"/>
      <c r="O101" s="9"/>
      <c r="P101" s="9"/>
      <c r="Q101" s="9"/>
    </row>
    <row r="102" spans="2:17">
      <c r="B102" s="12"/>
      <c r="C102" s="12"/>
      <c r="D102" s="12"/>
      <c r="E102" s="12"/>
      <c r="F102" s="12"/>
      <c r="G102" s="12"/>
      <c r="I102" s="72"/>
      <c r="J102" s="89"/>
      <c r="K102" s="9"/>
      <c r="L102" s="9"/>
      <c r="M102" s="86"/>
      <c r="N102" s="9"/>
      <c r="O102" s="9"/>
      <c r="P102" s="9"/>
      <c r="Q102" s="9"/>
    </row>
    <row r="103" spans="2:17">
      <c r="B103" s="12"/>
      <c r="C103" s="12"/>
      <c r="D103" s="12"/>
      <c r="E103" s="12"/>
      <c r="F103" s="12"/>
      <c r="G103" s="12"/>
      <c r="I103" s="72"/>
      <c r="J103" s="89"/>
      <c r="K103" s="9"/>
      <c r="L103" s="9"/>
      <c r="M103" s="86"/>
      <c r="N103" s="9"/>
      <c r="O103" s="9"/>
      <c r="P103" s="9"/>
      <c r="Q103" s="9"/>
    </row>
    <row r="104" spans="2:17">
      <c r="B104" s="12"/>
      <c r="C104" s="12"/>
      <c r="D104" s="12"/>
      <c r="E104" s="12"/>
      <c r="F104" s="12"/>
      <c r="G104" s="12"/>
      <c r="I104" s="72"/>
      <c r="J104" s="89"/>
      <c r="K104" s="9"/>
      <c r="L104" s="9"/>
      <c r="M104" s="86"/>
      <c r="N104" s="9"/>
      <c r="O104" s="9"/>
      <c r="P104" s="9"/>
      <c r="Q104" s="9"/>
    </row>
    <row r="105" spans="2:17">
      <c r="B105" s="12"/>
      <c r="C105" s="12"/>
      <c r="D105" s="12"/>
      <c r="E105" s="12"/>
      <c r="F105" s="12"/>
      <c r="G105" s="12"/>
      <c r="I105" s="72"/>
      <c r="J105" s="89"/>
      <c r="K105" s="9"/>
      <c r="L105" s="9"/>
      <c r="M105" s="86"/>
      <c r="N105" s="9"/>
      <c r="O105" s="9"/>
      <c r="P105" s="9"/>
      <c r="Q105" s="9"/>
    </row>
    <row r="106" spans="2:17">
      <c r="B106" s="12"/>
      <c r="C106" s="12"/>
      <c r="D106" s="12"/>
      <c r="E106" s="12"/>
      <c r="F106" s="12"/>
      <c r="G106" s="12"/>
      <c r="I106" s="72"/>
      <c r="J106" s="89"/>
      <c r="K106" s="9"/>
      <c r="L106" s="9"/>
      <c r="M106" s="86"/>
      <c r="N106" s="9"/>
      <c r="O106" s="9"/>
      <c r="P106" s="9"/>
      <c r="Q106" s="9"/>
    </row>
    <row r="107" spans="2:17">
      <c r="B107" s="12"/>
      <c r="C107" s="12"/>
      <c r="D107" s="12"/>
      <c r="E107" s="12"/>
      <c r="F107" s="12"/>
      <c r="G107" s="12"/>
      <c r="I107" s="72"/>
      <c r="J107" s="89"/>
      <c r="K107" s="9"/>
      <c r="L107" s="9"/>
      <c r="M107" s="86"/>
      <c r="N107" s="9"/>
      <c r="O107" s="9"/>
      <c r="P107" s="9"/>
      <c r="Q107" s="9"/>
    </row>
    <row r="108" spans="2:17">
      <c r="B108" s="12"/>
      <c r="C108" s="12"/>
      <c r="D108" s="12"/>
      <c r="E108" s="12"/>
      <c r="F108" s="12"/>
      <c r="G108" s="12"/>
      <c r="I108" s="72"/>
      <c r="J108" s="89"/>
      <c r="K108" s="9"/>
      <c r="L108" s="9"/>
      <c r="M108" s="86"/>
      <c r="N108" s="9"/>
      <c r="O108" s="9"/>
      <c r="P108" s="9"/>
      <c r="Q108" s="9"/>
    </row>
    <row r="109" spans="2:17">
      <c r="B109" s="12"/>
      <c r="C109" s="12"/>
      <c r="D109" s="12"/>
      <c r="E109" s="12"/>
      <c r="F109" s="12"/>
      <c r="G109" s="12"/>
      <c r="I109" s="72"/>
      <c r="J109" s="89"/>
      <c r="K109" s="9"/>
      <c r="L109" s="9"/>
      <c r="M109" s="86"/>
      <c r="N109" s="9"/>
      <c r="O109" s="9"/>
      <c r="P109" s="9"/>
      <c r="Q109" s="9"/>
    </row>
    <row r="110" spans="2:17">
      <c r="B110" s="12"/>
      <c r="C110" s="12"/>
      <c r="D110" s="12"/>
      <c r="E110" s="12"/>
      <c r="F110" s="12"/>
      <c r="G110" s="12"/>
      <c r="I110" s="72"/>
      <c r="J110" s="89"/>
      <c r="K110" s="9"/>
      <c r="L110" s="9"/>
      <c r="M110" s="86"/>
      <c r="N110" s="9"/>
      <c r="O110" s="9"/>
      <c r="P110" s="9"/>
      <c r="Q110" s="9"/>
    </row>
    <row r="111" spans="2:17">
      <c r="B111" s="12"/>
      <c r="C111" s="12"/>
      <c r="D111" s="12"/>
      <c r="E111" s="12"/>
      <c r="F111" s="12"/>
      <c r="G111" s="12"/>
      <c r="I111" s="72"/>
      <c r="J111" s="89"/>
      <c r="K111" s="9"/>
      <c r="L111" s="9"/>
      <c r="M111" s="86"/>
      <c r="N111" s="9"/>
      <c r="O111" s="9"/>
      <c r="P111" s="9"/>
      <c r="Q111" s="9"/>
    </row>
    <row r="112" spans="2:17">
      <c r="B112" s="12"/>
      <c r="C112" s="12"/>
      <c r="D112" s="12"/>
      <c r="E112" s="12"/>
      <c r="F112" s="12"/>
      <c r="G112" s="12"/>
      <c r="I112" s="72"/>
      <c r="J112" s="89"/>
      <c r="K112" s="9"/>
      <c r="L112" s="9"/>
      <c r="M112" s="86"/>
      <c r="N112" s="9"/>
      <c r="O112" s="9"/>
      <c r="P112" s="9"/>
      <c r="Q112" s="9"/>
    </row>
    <row r="113" spans="2:17">
      <c r="B113" s="12"/>
      <c r="C113" s="12"/>
      <c r="D113" s="12"/>
      <c r="E113" s="12"/>
      <c r="F113" s="12"/>
      <c r="G113" s="12"/>
      <c r="I113" s="72"/>
      <c r="J113" s="89"/>
      <c r="K113" s="9"/>
      <c r="L113" s="9"/>
      <c r="M113" s="86"/>
      <c r="N113" s="9"/>
      <c r="O113" s="9"/>
      <c r="P113" s="9"/>
      <c r="Q113" s="9"/>
    </row>
    <row r="114" spans="2:17">
      <c r="B114" s="12"/>
      <c r="C114" s="12"/>
      <c r="D114" s="12"/>
      <c r="E114" s="12"/>
      <c r="F114" s="12"/>
      <c r="G114" s="12"/>
      <c r="I114" s="72"/>
      <c r="J114" s="89"/>
      <c r="K114" s="9"/>
      <c r="L114" s="9"/>
      <c r="M114" s="86"/>
      <c r="N114" s="9"/>
      <c r="O114" s="9"/>
      <c r="P114" s="9"/>
      <c r="Q114" s="9"/>
    </row>
    <row r="115" spans="2:17">
      <c r="B115" s="12"/>
      <c r="C115" s="12"/>
      <c r="D115" s="12"/>
      <c r="E115" s="12"/>
      <c r="F115" s="12"/>
      <c r="G115" s="12"/>
      <c r="I115" s="72"/>
      <c r="J115" s="89"/>
      <c r="K115" s="9"/>
      <c r="L115" s="9"/>
      <c r="M115" s="86"/>
      <c r="N115" s="9"/>
      <c r="O115" s="9"/>
      <c r="P115" s="9"/>
      <c r="Q115" s="9"/>
    </row>
    <row r="116" spans="2:17">
      <c r="B116" s="12"/>
      <c r="C116" s="12"/>
      <c r="D116" s="12"/>
      <c r="E116" s="12"/>
      <c r="F116" s="12"/>
      <c r="G116" s="12"/>
      <c r="I116" s="72"/>
      <c r="J116" s="89"/>
      <c r="K116" s="9"/>
      <c r="L116" s="9"/>
      <c r="M116" s="86"/>
      <c r="N116" s="9"/>
      <c r="O116" s="9"/>
      <c r="P116" s="9"/>
      <c r="Q116" s="9"/>
    </row>
    <row r="117" spans="2:17">
      <c r="B117" s="12"/>
      <c r="C117" s="12"/>
      <c r="D117" s="12"/>
      <c r="E117" s="12"/>
      <c r="F117" s="12"/>
      <c r="G117" s="12"/>
      <c r="I117" s="72"/>
      <c r="J117" s="89"/>
      <c r="K117" s="9"/>
      <c r="L117" s="9"/>
      <c r="M117" s="86"/>
      <c r="N117" s="9"/>
      <c r="O117" s="9"/>
      <c r="P117" s="9"/>
      <c r="Q117" s="9"/>
    </row>
    <row r="118" spans="2:17">
      <c r="B118" s="12"/>
      <c r="C118" s="12"/>
      <c r="D118" s="12"/>
      <c r="E118" s="12"/>
      <c r="F118" s="12"/>
      <c r="G118" s="12"/>
      <c r="I118" s="72"/>
      <c r="J118" s="89"/>
      <c r="K118" s="9"/>
      <c r="L118" s="9"/>
      <c r="M118" s="86"/>
      <c r="N118" s="9"/>
      <c r="O118" s="9"/>
      <c r="P118" s="9"/>
      <c r="Q118" s="9"/>
    </row>
    <row r="119" spans="2:17">
      <c r="B119" s="12"/>
      <c r="C119" s="12"/>
      <c r="D119" s="12"/>
      <c r="E119" s="12"/>
      <c r="F119" s="12"/>
      <c r="G119" s="12"/>
      <c r="I119" s="72"/>
      <c r="J119" s="89"/>
      <c r="K119" s="9"/>
      <c r="L119" s="9"/>
      <c r="M119" s="86"/>
      <c r="N119" s="9"/>
      <c r="O119" s="9"/>
      <c r="P119" s="9"/>
      <c r="Q119" s="9"/>
    </row>
    <row r="120" spans="2:17">
      <c r="B120" s="12"/>
      <c r="C120" s="12"/>
      <c r="D120" s="12"/>
      <c r="E120" s="12"/>
      <c r="F120" s="12"/>
      <c r="G120" s="12"/>
      <c r="I120" s="72"/>
      <c r="J120" s="89"/>
      <c r="K120" s="9"/>
      <c r="L120" s="9"/>
      <c r="M120" s="86"/>
      <c r="N120" s="9"/>
      <c r="O120" s="9"/>
      <c r="P120" s="9"/>
      <c r="Q120" s="9"/>
    </row>
    <row r="121" spans="2:17">
      <c r="B121" s="12"/>
      <c r="C121" s="12"/>
      <c r="D121" s="12"/>
      <c r="E121" s="12"/>
      <c r="F121" s="12"/>
      <c r="G121" s="12"/>
      <c r="I121" s="72"/>
      <c r="J121" s="89"/>
      <c r="K121" s="9"/>
      <c r="L121" s="9"/>
      <c r="M121" s="86"/>
      <c r="N121" s="9"/>
      <c r="O121" s="9"/>
      <c r="P121" s="9"/>
      <c r="Q121" s="9"/>
    </row>
    <row r="122" spans="2:17">
      <c r="B122" s="12"/>
      <c r="C122" s="12"/>
      <c r="D122" s="12"/>
      <c r="E122" s="12"/>
      <c r="F122" s="12"/>
      <c r="G122" s="12"/>
      <c r="I122" s="72"/>
      <c r="J122" s="89"/>
      <c r="K122" s="9"/>
      <c r="L122" s="9"/>
      <c r="M122" s="86"/>
      <c r="N122" s="9"/>
      <c r="O122" s="9"/>
      <c r="P122" s="9"/>
      <c r="Q122" s="9"/>
    </row>
    <row r="123" spans="2:17">
      <c r="B123" s="12"/>
      <c r="C123" s="12"/>
      <c r="D123" s="12"/>
      <c r="E123" s="12"/>
      <c r="F123" s="12"/>
      <c r="G123" s="12"/>
      <c r="I123" s="72"/>
      <c r="J123" s="89"/>
      <c r="K123" s="9"/>
      <c r="L123" s="9"/>
      <c r="M123" s="86"/>
      <c r="N123" s="9"/>
      <c r="O123" s="9"/>
      <c r="P123" s="9"/>
      <c r="Q123" s="9"/>
    </row>
    <row r="124" spans="2:17">
      <c r="B124" s="12"/>
      <c r="C124" s="12"/>
      <c r="D124" s="12"/>
      <c r="E124" s="12"/>
      <c r="F124" s="12"/>
      <c r="G124" s="12"/>
      <c r="I124" s="72"/>
      <c r="J124" s="89"/>
      <c r="K124" s="9"/>
      <c r="L124" s="9"/>
      <c r="M124" s="86"/>
      <c r="N124" s="9"/>
      <c r="O124" s="9"/>
      <c r="P124" s="9"/>
      <c r="Q124" s="9"/>
    </row>
    <row r="125" spans="2:17">
      <c r="B125" s="12"/>
      <c r="C125" s="12"/>
      <c r="D125" s="12"/>
      <c r="E125" s="12"/>
      <c r="F125" s="12"/>
      <c r="G125" s="12"/>
      <c r="I125" s="72"/>
      <c r="J125" s="89"/>
      <c r="K125" s="9"/>
      <c r="L125" s="9"/>
      <c r="M125" s="86"/>
      <c r="N125" s="9"/>
      <c r="O125" s="9"/>
      <c r="P125" s="9"/>
      <c r="Q125" s="9"/>
    </row>
    <row r="126" spans="2:17">
      <c r="B126" s="12"/>
      <c r="C126" s="12"/>
      <c r="D126" s="12"/>
      <c r="E126" s="12"/>
      <c r="F126" s="12"/>
      <c r="G126" s="12"/>
      <c r="I126" s="72"/>
      <c r="J126" s="89"/>
      <c r="K126" s="9"/>
      <c r="L126" s="9"/>
      <c r="M126" s="86"/>
      <c r="N126" s="9"/>
      <c r="O126" s="9"/>
      <c r="P126" s="9"/>
      <c r="Q126" s="9"/>
    </row>
    <row r="127" spans="2:17">
      <c r="B127" s="12"/>
      <c r="C127" s="12"/>
      <c r="D127" s="12"/>
      <c r="E127" s="12"/>
      <c r="F127" s="12"/>
      <c r="G127" s="12"/>
      <c r="I127" s="72"/>
      <c r="J127" s="89"/>
      <c r="K127" s="9"/>
      <c r="L127" s="9"/>
      <c r="M127" s="86"/>
      <c r="N127" s="9"/>
      <c r="O127" s="9"/>
      <c r="P127" s="9"/>
      <c r="Q127" s="9"/>
    </row>
    <row r="128" spans="2:17">
      <c r="B128" s="12"/>
      <c r="C128" s="12"/>
      <c r="D128" s="12"/>
      <c r="E128" s="12"/>
      <c r="F128" s="12"/>
      <c r="G128" s="12"/>
      <c r="I128" s="72"/>
      <c r="J128" s="89"/>
      <c r="K128" s="9"/>
      <c r="L128" s="9"/>
      <c r="M128" s="86"/>
      <c r="N128" s="9"/>
      <c r="O128" s="9"/>
      <c r="P128" s="9"/>
      <c r="Q128" s="9"/>
    </row>
    <row r="129" spans="2:17">
      <c r="B129" s="12"/>
      <c r="C129" s="12"/>
      <c r="D129" s="12"/>
      <c r="E129" s="12"/>
      <c r="F129" s="12"/>
      <c r="G129" s="12"/>
      <c r="I129" s="72"/>
      <c r="J129" s="89"/>
      <c r="K129" s="9"/>
      <c r="L129" s="9"/>
      <c r="M129" s="86"/>
      <c r="N129" s="9"/>
      <c r="O129" s="9"/>
      <c r="P129" s="9"/>
      <c r="Q129" s="9"/>
    </row>
    <row r="130" spans="2:17">
      <c r="B130" s="12"/>
      <c r="C130" s="12"/>
      <c r="D130" s="12"/>
      <c r="E130" s="12"/>
      <c r="F130" s="12"/>
      <c r="G130" s="12"/>
      <c r="I130" s="72"/>
      <c r="J130" s="89"/>
      <c r="K130" s="9"/>
      <c r="L130" s="9"/>
      <c r="M130" s="86"/>
      <c r="N130" s="9"/>
      <c r="O130" s="9"/>
      <c r="P130" s="9"/>
      <c r="Q130" s="9"/>
    </row>
    <row r="131" spans="2:17">
      <c r="B131" s="12"/>
      <c r="C131" s="12"/>
      <c r="D131" s="12"/>
      <c r="E131" s="12"/>
      <c r="F131" s="12"/>
      <c r="G131" s="12"/>
      <c r="I131" s="72"/>
      <c r="J131" s="89"/>
      <c r="K131" s="9"/>
      <c r="L131" s="9"/>
      <c r="M131" s="86"/>
      <c r="N131" s="9"/>
      <c r="O131" s="9"/>
      <c r="P131" s="9"/>
      <c r="Q131" s="9"/>
    </row>
    <row r="132" spans="2:17">
      <c r="B132" s="12"/>
      <c r="C132" s="12"/>
      <c r="D132" s="12"/>
      <c r="E132" s="12"/>
      <c r="F132" s="12"/>
      <c r="G132" s="12"/>
      <c r="I132" s="72"/>
      <c r="J132" s="89"/>
      <c r="K132" s="9"/>
      <c r="L132" s="9"/>
      <c r="M132" s="86"/>
      <c r="N132" s="9"/>
      <c r="O132" s="9"/>
      <c r="P132" s="9"/>
      <c r="Q132" s="9"/>
    </row>
    <row r="133" spans="2:17">
      <c r="B133" s="12"/>
      <c r="C133" s="12"/>
      <c r="D133" s="12"/>
      <c r="E133" s="12"/>
      <c r="F133" s="12"/>
      <c r="G133" s="12"/>
      <c r="I133" s="72"/>
      <c r="J133" s="89"/>
      <c r="K133" s="9"/>
      <c r="L133" s="9"/>
      <c r="M133" s="86"/>
      <c r="N133" s="9"/>
      <c r="O133" s="9"/>
      <c r="P133" s="9"/>
      <c r="Q133" s="9"/>
    </row>
    <row r="134" spans="2:17">
      <c r="B134" s="12"/>
      <c r="C134" s="12"/>
      <c r="D134" s="12"/>
      <c r="E134" s="12"/>
      <c r="F134" s="12"/>
      <c r="G134" s="12"/>
      <c r="I134" s="72"/>
      <c r="J134" s="89"/>
      <c r="K134" s="9"/>
      <c r="L134" s="9"/>
      <c r="M134" s="86"/>
      <c r="N134" s="9"/>
      <c r="O134" s="9"/>
      <c r="P134" s="9"/>
      <c r="Q134" s="9"/>
    </row>
    <row r="135" spans="2:17">
      <c r="B135" s="12"/>
      <c r="C135" s="12"/>
      <c r="D135" s="12"/>
      <c r="E135" s="12"/>
      <c r="F135" s="12"/>
      <c r="G135" s="12"/>
      <c r="I135" s="72"/>
      <c r="J135" s="89"/>
      <c r="K135" s="9"/>
      <c r="L135" s="9"/>
      <c r="M135" s="86"/>
      <c r="N135" s="9"/>
      <c r="O135" s="9"/>
      <c r="P135" s="9"/>
      <c r="Q135" s="9"/>
    </row>
    <row r="136" spans="2:17">
      <c r="B136" s="12"/>
      <c r="C136" s="12"/>
      <c r="D136" s="12"/>
      <c r="E136" s="12"/>
      <c r="F136" s="12"/>
      <c r="G136" s="12"/>
      <c r="I136" s="72"/>
      <c r="J136" s="89"/>
      <c r="K136" s="9"/>
      <c r="L136" s="9"/>
      <c r="M136" s="86"/>
      <c r="N136" s="9"/>
      <c r="O136" s="9"/>
      <c r="P136" s="9"/>
      <c r="Q136" s="9"/>
    </row>
    <row r="137" spans="2:17">
      <c r="B137" s="12"/>
      <c r="C137" s="12"/>
      <c r="D137" s="12"/>
      <c r="E137" s="12"/>
      <c r="F137" s="12"/>
      <c r="G137" s="12"/>
      <c r="I137" s="72"/>
      <c r="J137" s="89"/>
      <c r="K137" s="9"/>
      <c r="L137" s="9"/>
      <c r="M137" s="86"/>
      <c r="N137" s="9"/>
      <c r="O137" s="9"/>
      <c r="P137" s="9"/>
      <c r="Q137" s="9"/>
    </row>
    <row r="138" spans="2:17">
      <c r="B138" s="12"/>
      <c r="C138" s="12"/>
      <c r="D138" s="12"/>
      <c r="E138" s="12"/>
      <c r="F138" s="12"/>
      <c r="G138" s="12"/>
      <c r="I138" s="72"/>
      <c r="J138" s="89"/>
      <c r="K138" s="9"/>
      <c r="L138" s="9"/>
      <c r="M138" s="86"/>
      <c r="N138" s="9"/>
      <c r="O138" s="9"/>
      <c r="P138" s="9"/>
      <c r="Q138" s="9"/>
    </row>
    <row r="139" spans="2:17">
      <c r="B139" s="12"/>
      <c r="C139" s="12"/>
      <c r="D139" s="12"/>
      <c r="E139" s="12"/>
      <c r="F139" s="12"/>
      <c r="G139" s="12"/>
      <c r="I139" s="72"/>
      <c r="J139" s="89"/>
      <c r="K139" s="9"/>
      <c r="L139" s="9"/>
      <c r="M139" s="86"/>
      <c r="N139" s="9"/>
      <c r="O139" s="9"/>
      <c r="P139" s="9"/>
      <c r="Q139" s="9"/>
    </row>
    <row r="140" spans="2:17">
      <c r="B140" s="12"/>
      <c r="C140" s="12"/>
      <c r="D140" s="12"/>
      <c r="E140" s="12"/>
      <c r="F140" s="12"/>
      <c r="G140" s="12"/>
    </row>
    <row r="141" spans="2:17">
      <c r="B141" s="12"/>
      <c r="C141" s="12"/>
      <c r="D141" s="12"/>
      <c r="E141" s="12"/>
      <c r="F141" s="12"/>
      <c r="G141" s="12"/>
    </row>
    <row r="142" spans="2:17">
      <c r="B142" s="12"/>
      <c r="C142" s="12"/>
      <c r="D142" s="12"/>
      <c r="E142" s="12"/>
      <c r="F142" s="12"/>
      <c r="G142" s="12"/>
    </row>
    <row r="143" spans="2:17">
      <c r="B143" s="12"/>
      <c r="C143" s="12"/>
      <c r="D143" s="12"/>
      <c r="E143" s="12"/>
      <c r="F143" s="12"/>
      <c r="G143" s="12"/>
    </row>
    <row r="144" spans="2:17">
      <c r="B144" s="12"/>
      <c r="C144" s="12"/>
      <c r="D144" s="12"/>
      <c r="E144" s="12"/>
      <c r="F144" s="12"/>
      <c r="G144" s="12"/>
    </row>
    <row r="145" spans="2:7">
      <c r="B145" s="12"/>
      <c r="C145" s="12"/>
      <c r="D145" s="12"/>
      <c r="E145" s="12"/>
      <c r="F145" s="12"/>
      <c r="G145" s="12"/>
    </row>
    <row r="146" spans="2:7">
      <c r="B146" s="12"/>
      <c r="C146" s="12"/>
      <c r="D146" s="12"/>
      <c r="E146" s="12"/>
      <c r="F146" s="12"/>
      <c r="G146" s="12"/>
    </row>
    <row r="147" spans="2:7">
      <c r="B147" s="12"/>
      <c r="C147" s="12"/>
      <c r="D147" s="12"/>
      <c r="E147" s="12"/>
      <c r="F147" s="12"/>
      <c r="G147" s="12"/>
    </row>
    <row r="148" spans="2:7">
      <c r="B148" s="12"/>
      <c r="C148" s="12"/>
      <c r="D148" s="12"/>
      <c r="E148" s="12"/>
      <c r="F148" s="12"/>
      <c r="G148" s="12"/>
    </row>
    <row r="149" spans="2:7">
      <c r="B149" s="12"/>
      <c r="C149" s="12"/>
      <c r="D149" s="12"/>
      <c r="E149" s="12"/>
      <c r="F149" s="12"/>
      <c r="G149" s="12"/>
    </row>
    <row r="150" spans="2:7">
      <c r="B150" s="12"/>
      <c r="C150" s="12"/>
      <c r="D150" s="12"/>
      <c r="E150" s="12"/>
      <c r="F150" s="12"/>
      <c r="G150" s="12"/>
    </row>
    <row r="151" spans="2:7">
      <c r="B151" s="12"/>
      <c r="C151" s="12"/>
      <c r="D151" s="12"/>
      <c r="E151" s="12"/>
      <c r="F151" s="12"/>
      <c r="G151" s="12"/>
    </row>
    <row r="152" spans="2:7">
      <c r="B152" s="12"/>
      <c r="C152" s="12"/>
      <c r="D152" s="12"/>
      <c r="E152" s="12"/>
      <c r="F152" s="12"/>
      <c r="G152" s="12"/>
    </row>
    <row r="153" spans="2:7">
      <c r="B153" s="12"/>
      <c r="C153" s="12"/>
      <c r="D153" s="12"/>
      <c r="E153" s="12"/>
      <c r="F153" s="12"/>
      <c r="G153" s="12"/>
    </row>
    <row r="154" spans="2:7">
      <c r="B154" s="12"/>
      <c r="C154" s="12"/>
      <c r="D154" s="12"/>
      <c r="E154" s="12"/>
      <c r="F154" s="12"/>
      <c r="G154" s="12"/>
    </row>
    <row r="155" spans="2:7">
      <c r="B155" s="12"/>
      <c r="C155" s="12"/>
      <c r="D155" s="12"/>
      <c r="E155" s="12"/>
      <c r="F155" s="12"/>
      <c r="G155" s="12"/>
    </row>
    <row r="156" spans="2:7">
      <c r="B156" s="12"/>
      <c r="C156" s="12"/>
      <c r="D156" s="12"/>
      <c r="E156" s="12"/>
      <c r="F156" s="12"/>
      <c r="G156" s="12"/>
    </row>
    <row r="157" spans="2:7">
      <c r="B157" s="12"/>
      <c r="C157" s="12"/>
      <c r="D157" s="12"/>
      <c r="E157" s="12"/>
      <c r="F157" s="12"/>
      <c r="G157" s="12"/>
    </row>
    <row r="158" spans="2:7">
      <c r="B158" s="12"/>
      <c r="C158" s="12"/>
      <c r="D158" s="12"/>
      <c r="E158" s="12"/>
      <c r="F158" s="12"/>
      <c r="G158" s="12"/>
    </row>
    <row r="159" spans="2:7">
      <c r="B159" s="12"/>
      <c r="C159" s="12"/>
      <c r="D159" s="12"/>
      <c r="E159" s="12"/>
      <c r="F159" s="12"/>
      <c r="G159" s="12"/>
    </row>
    <row r="160" spans="2:7">
      <c r="B160" s="12"/>
      <c r="C160" s="12"/>
      <c r="D160" s="12"/>
      <c r="E160" s="12"/>
      <c r="F160" s="12"/>
      <c r="G160" s="12"/>
    </row>
    <row r="161" spans="2:7">
      <c r="B161" s="12"/>
      <c r="C161" s="12"/>
      <c r="D161" s="12"/>
      <c r="E161" s="12"/>
      <c r="F161" s="12"/>
      <c r="G161" s="12"/>
    </row>
  </sheetData>
  <sheetProtection password="CB9A" sheet="1" objects="1" scenarios="1" formatColumns="0" formatRows="0" insertRows="0"/>
  <mergeCells count="15">
    <mergeCell ref="I12:J14"/>
    <mergeCell ref="I2:M8"/>
    <mergeCell ref="L12:M14"/>
    <mergeCell ref="I9:M11"/>
    <mergeCell ref="I52:J52"/>
    <mergeCell ref="I53:J53"/>
    <mergeCell ref="I54:J54"/>
    <mergeCell ref="I51:J51"/>
    <mergeCell ref="C15:F16"/>
    <mergeCell ref="C17:F18"/>
    <mergeCell ref="B2:G5"/>
    <mergeCell ref="C8:F9"/>
    <mergeCell ref="C10:F10"/>
    <mergeCell ref="C11:F12"/>
    <mergeCell ref="C13:F14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Introdução</vt:lpstr>
      <vt:lpstr>Avaliação de desempenho</vt:lpstr>
      <vt:lpstr>Erros e Reclamações</vt:lpstr>
      <vt:lpstr>Sugestões de aprimoramento-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GESTÃO DE PESSOAS</dc:title>
  <dc:creator/>
  <cp:keywords>Soften Sistemas</cp:keywords>
  <cp:lastModifiedBy/>
  <dcterms:created xsi:type="dcterms:W3CDTF">2006-09-25T12:47:36Z</dcterms:created>
  <dcterms:modified xsi:type="dcterms:W3CDTF">2018-04-25T14:04:11Z</dcterms:modified>
</cp:coreProperties>
</file>