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EstaPasta_de_trabalho"/>
  <bookViews>
    <workbookView xWindow="0" yWindow="0" windowWidth="15345" windowHeight="4455"/>
  </bookViews>
  <sheets>
    <sheet name="Planilha1" sheetId="1" r:id="rId1"/>
    <sheet name="Plan1" sheetId="2" r:id="rId2"/>
    <sheet name="Cadastro Produtos" sheetId="3" r:id="rId3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3" l="1"/>
  <c r="A1" i="1" l="1"/>
  <c r="D6" i="3"/>
  <c r="C6" i="3"/>
  <c r="B6" i="3"/>
  <c r="A6" i="3"/>
  <c r="H5" i="2" l="1"/>
  <c r="H41" i="2" s="1"/>
  <c r="A5" i="2"/>
  <c r="E6" i="3"/>
  <c r="E5" i="2" l="1"/>
  <c r="F5" i="2" s="1"/>
  <c r="B5" i="2"/>
  <c r="B41" i="2" s="1"/>
  <c r="C5" i="2"/>
  <c r="D5" i="2" l="1"/>
  <c r="D41" i="2" s="1"/>
  <c r="G5" i="2" l="1"/>
  <c r="I5" i="2" l="1"/>
  <c r="I41" i="2" s="1"/>
  <c r="J5" i="2" l="1"/>
  <c r="J41" i="2" s="1"/>
  <c r="M5" i="2" l="1"/>
  <c r="M41" i="2" s="1"/>
  <c r="R5" i="2"/>
  <c r="R41" i="2" s="1"/>
  <c r="K5" i="2"/>
  <c r="O5" i="2"/>
  <c r="O41" i="2" s="1"/>
  <c r="Q5" i="2" l="1"/>
  <c r="Q41" i="2" s="1"/>
  <c r="S5" i="2" l="1"/>
  <c r="S41" i="2" s="1"/>
</calcChain>
</file>

<file path=xl/comments1.xml><?xml version="1.0" encoding="utf-8"?>
<comments xmlns="http://schemas.openxmlformats.org/spreadsheetml/2006/main">
  <authors>
    <author>ProCont Soluções</author>
  </authors>
  <commentList>
    <comment ref="O4" authorId="0">
      <text>
        <r>
          <rPr>
            <b/>
            <sz val="9"/>
            <color indexed="81"/>
            <rFont val="Tahoma"/>
            <family val="2"/>
          </rPr>
          <t>ProCont Soluções:</t>
        </r>
        <r>
          <rPr>
            <sz val="9"/>
            <color indexed="81"/>
            <rFont val="Tahoma"/>
            <family val="2"/>
          </rPr>
          <t xml:space="preserve">
Base de Cálculo do ICMS ST para informar na Nota fiscal.</t>
        </r>
      </text>
    </comment>
    <comment ref="S4" authorId="0">
      <text>
        <r>
          <rPr>
            <b/>
            <sz val="9"/>
            <color indexed="81"/>
            <rFont val="Tahoma"/>
            <family val="2"/>
          </rPr>
          <t>ProCont Soluções:</t>
        </r>
        <r>
          <rPr>
            <sz val="9"/>
            <color indexed="81"/>
            <rFont val="Tahoma"/>
            <family val="2"/>
          </rPr>
          <t xml:space="preserve">
Valor da ST a destacar na nota fiscal.
</t>
        </r>
      </text>
    </comment>
  </commentList>
</comments>
</file>

<file path=xl/sharedStrings.xml><?xml version="1.0" encoding="utf-8"?>
<sst xmlns="http://schemas.openxmlformats.org/spreadsheetml/2006/main" count="48" uniqueCount="41">
  <si>
    <t>MVA</t>
  </si>
  <si>
    <t>ICMS Normal</t>
  </si>
  <si>
    <t>Custo do Produto</t>
  </si>
  <si>
    <t>Margem de Lucro</t>
  </si>
  <si>
    <t>Custo + Margem</t>
  </si>
  <si>
    <t>Alíquota Imposto</t>
  </si>
  <si>
    <t>Preço com Imposto</t>
  </si>
  <si>
    <t>Inclusão do Imposto</t>
  </si>
  <si>
    <t>Formação de preço e emissão de nota fiscal</t>
  </si>
  <si>
    <t>Formação de Preços</t>
  </si>
  <si>
    <t>Venda</t>
  </si>
  <si>
    <t>Quantidade</t>
  </si>
  <si>
    <t>Preço Unit</t>
  </si>
  <si>
    <t>Preço Total</t>
  </si>
  <si>
    <t>Impostos</t>
  </si>
  <si>
    <t>Simples Nacional</t>
  </si>
  <si>
    <t>ICMS/ST</t>
  </si>
  <si>
    <t>Base de Cálculo</t>
  </si>
  <si>
    <t>Alíquota</t>
  </si>
  <si>
    <t>Total ST</t>
  </si>
  <si>
    <t>ICMS/ST Nota Fiscal</t>
  </si>
  <si>
    <t>ICMS/Simples</t>
  </si>
  <si>
    <t>Valor</t>
  </si>
  <si>
    <t>Totais</t>
  </si>
  <si>
    <t>Código</t>
  </si>
  <si>
    <t>Código
Produto</t>
  </si>
  <si>
    <t>Dados
Produto</t>
  </si>
  <si>
    <t>Código:</t>
  </si>
  <si>
    <t>Margem</t>
  </si>
  <si>
    <t>Custo Produto</t>
  </si>
  <si>
    <t>Tipo</t>
  </si>
  <si>
    <t>Alóquota</t>
  </si>
  <si>
    <t>Comércio</t>
  </si>
  <si>
    <t>Indústria</t>
  </si>
  <si>
    <t>ICMS Simples</t>
  </si>
  <si>
    <t>Lançamento de Vendas</t>
  </si>
  <si>
    <t>Custo do Produto:</t>
  </si>
  <si>
    <t>Margem:</t>
  </si>
  <si>
    <t>Tipo:</t>
  </si>
  <si>
    <t>Cadastro de Produtos</t>
  </si>
  <si>
    <t>Licenciado para: Sorvebom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</si>
</sst>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R$&quot;\ * #,##0.00_-;\-&quot;R$&quot;\ * #,##0.00_-;_-&quot;R$&quot;\ 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20"/>
      <color theme="1"/>
      <name val="Calibri"/>
      <family val="2"/>
      <scheme val="minor"/>
    </font>
    <font>
      <sz val="11"/>
      <color theme="8" tint="0.59999389629810485"/>
      <name val="Calibri"/>
      <family val="2"/>
      <scheme val="minor"/>
    </font>
    <font>
      <b/>
      <sz val="16"/>
      <color rgb="FF000000"/>
      <name val="Calibri"/>
      <family val="2"/>
    </font>
    <font>
      <b/>
      <sz val="16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6">
    <xf numFmtId="0" fontId="0" fillId="0" borderId="0" xfId="0"/>
    <xf numFmtId="0" fontId="0" fillId="0" borderId="0" xfId="0" applyProtection="1">
      <protection locked="0"/>
    </xf>
    <xf numFmtId="0" fontId="4" fillId="0" borderId="0" xfId="0" applyFont="1" applyProtection="1">
      <protection hidden="1"/>
    </xf>
    <xf numFmtId="0" fontId="4" fillId="0" borderId="0" xfId="0" applyFont="1"/>
    <xf numFmtId="9" fontId="4" fillId="0" borderId="0" xfId="2" applyFont="1"/>
    <xf numFmtId="0" fontId="4" fillId="0" borderId="0" xfId="0" applyFont="1" applyAlignment="1" applyProtection="1">
      <alignment horizontal="left"/>
      <protection hidden="1"/>
    </xf>
    <xf numFmtId="0" fontId="4" fillId="0" borderId="0" xfId="0" applyFont="1" applyAlignment="1" applyProtection="1">
      <alignment horizontal="left"/>
      <protection locked="0"/>
    </xf>
    <xf numFmtId="0" fontId="5" fillId="6" borderId="5" xfId="0" applyFont="1" applyFill="1" applyBorder="1" applyAlignment="1" applyProtection="1">
      <alignment horizontal="left"/>
      <protection hidden="1"/>
    </xf>
    <xf numFmtId="0" fontId="4" fillId="6" borderId="10" xfId="0" applyFont="1" applyFill="1" applyBorder="1" applyAlignment="1" applyProtection="1">
      <alignment horizontal="left"/>
      <protection locked="0"/>
    </xf>
    <xf numFmtId="44" fontId="4" fillId="6" borderId="10" xfId="0" applyNumberFormat="1" applyFont="1" applyFill="1" applyBorder="1" applyAlignment="1" applyProtection="1">
      <alignment horizontal="left"/>
      <protection hidden="1"/>
    </xf>
    <xf numFmtId="9" fontId="4" fillId="7" borderId="10" xfId="0" applyNumberFormat="1" applyFont="1" applyFill="1" applyBorder="1" applyAlignment="1" applyProtection="1">
      <alignment horizontal="left"/>
      <protection hidden="1"/>
    </xf>
    <xf numFmtId="44" fontId="4" fillId="7" borderId="10" xfId="0" applyNumberFormat="1" applyFont="1" applyFill="1" applyBorder="1" applyAlignment="1" applyProtection="1">
      <alignment horizontal="left"/>
      <protection hidden="1"/>
    </xf>
    <xf numFmtId="44" fontId="5" fillId="7" borderId="10" xfId="0" applyNumberFormat="1" applyFont="1" applyFill="1" applyBorder="1" applyAlignment="1" applyProtection="1">
      <alignment horizontal="left"/>
      <protection hidden="1"/>
    </xf>
    <xf numFmtId="0" fontId="5" fillId="7" borderId="5" xfId="0" applyFont="1" applyFill="1" applyBorder="1" applyAlignment="1" applyProtection="1">
      <alignment horizontal="left" vertical="center"/>
      <protection hidden="1"/>
    </xf>
    <xf numFmtId="0" fontId="5" fillId="7" borderId="5" xfId="0" applyFont="1" applyFill="1" applyBorder="1" applyAlignment="1" applyProtection="1">
      <alignment horizontal="center" vertical="center"/>
      <protection hidden="1"/>
    </xf>
    <xf numFmtId="44" fontId="5" fillId="7" borderId="20" xfId="0" applyNumberFormat="1" applyFont="1" applyFill="1" applyBorder="1" applyAlignment="1" applyProtection="1">
      <protection locked="0"/>
    </xf>
    <xf numFmtId="0" fontId="0" fillId="5" borderId="0" xfId="0" applyFill="1" applyProtection="1">
      <protection hidden="1"/>
    </xf>
    <xf numFmtId="0" fontId="0" fillId="5" borderId="4" xfId="0" applyFill="1" applyBorder="1" applyProtection="1">
      <protection hidden="1"/>
    </xf>
    <xf numFmtId="0" fontId="0" fillId="5" borderId="0" xfId="0" applyFill="1" applyBorder="1" applyProtection="1">
      <protection hidden="1"/>
    </xf>
    <xf numFmtId="0" fontId="0" fillId="5" borderId="14" xfId="0" applyFill="1" applyBorder="1" applyProtection="1">
      <protection hidden="1"/>
    </xf>
    <xf numFmtId="0" fontId="2" fillId="5" borderId="0" xfId="0" applyFont="1" applyFill="1" applyBorder="1" applyProtection="1">
      <protection hidden="1"/>
    </xf>
    <xf numFmtId="0" fontId="0" fillId="5" borderId="11" xfId="0" applyFill="1" applyBorder="1" applyProtection="1">
      <protection hidden="1"/>
    </xf>
    <xf numFmtId="0" fontId="0" fillId="5" borderId="12" xfId="0" applyFill="1" applyBorder="1" applyProtection="1">
      <protection hidden="1"/>
    </xf>
    <xf numFmtId="0" fontId="0" fillId="5" borderId="13" xfId="0" applyFill="1" applyBorder="1" applyProtection="1">
      <protection hidden="1"/>
    </xf>
    <xf numFmtId="10" fontId="5" fillId="7" borderId="10" xfId="2" applyNumberFormat="1" applyFont="1" applyFill="1" applyBorder="1" applyAlignment="1" applyProtection="1">
      <alignment horizontal="left"/>
      <protection hidden="1"/>
    </xf>
    <xf numFmtId="44" fontId="4" fillId="7" borderId="10" xfId="0" applyNumberFormat="1" applyFont="1" applyFill="1" applyBorder="1" applyAlignment="1" applyProtection="1">
      <protection locked="0"/>
    </xf>
    <xf numFmtId="0" fontId="5" fillId="2" borderId="10" xfId="0" applyFont="1" applyFill="1" applyBorder="1" applyAlignment="1" applyProtection="1">
      <alignment vertical="center" wrapText="1"/>
      <protection hidden="1"/>
    </xf>
    <xf numFmtId="44" fontId="4" fillId="4" borderId="10" xfId="1" applyFont="1" applyFill="1" applyBorder="1" applyAlignment="1" applyProtection="1">
      <protection locked="0"/>
    </xf>
    <xf numFmtId="9" fontId="4" fillId="4" borderId="10" xfId="2" applyFont="1" applyFill="1" applyBorder="1" applyAlignment="1" applyProtection="1">
      <protection locked="0"/>
    </xf>
    <xf numFmtId="44" fontId="4" fillId="4" borderId="10" xfId="1" applyFont="1" applyFill="1" applyBorder="1" applyAlignment="1" applyProtection="1">
      <protection hidden="1"/>
    </xf>
    <xf numFmtId="10" fontId="4" fillId="4" borderId="10" xfId="2" applyNumberFormat="1" applyFont="1" applyFill="1" applyBorder="1" applyAlignment="1" applyProtection="1">
      <protection locked="0"/>
    </xf>
    <xf numFmtId="0" fontId="4" fillId="4" borderId="10" xfId="0" applyFont="1" applyFill="1" applyBorder="1" applyAlignment="1" applyProtection="1">
      <protection hidden="1"/>
    </xf>
    <xf numFmtId="44" fontId="5" fillId="7" borderId="10" xfId="0" applyNumberFormat="1" applyFont="1" applyFill="1" applyBorder="1" applyAlignment="1" applyProtection="1">
      <protection hidden="1"/>
    </xf>
    <xf numFmtId="0" fontId="5" fillId="2" borderId="5" xfId="0" applyFont="1" applyFill="1" applyBorder="1" applyAlignment="1" applyProtection="1">
      <alignment horizontal="center" vertical="center" wrapText="1"/>
      <protection hidden="1"/>
    </xf>
    <xf numFmtId="0" fontId="5" fillId="4" borderId="5" xfId="0" applyFont="1" applyFill="1" applyBorder="1" applyAlignment="1" applyProtection="1">
      <protection hidden="1"/>
    </xf>
    <xf numFmtId="9" fontId="5" fillId="4" borderId="5" xfId="2" applyFont="1" applyFill="1" applyBorder="1" applyAlignment="1" applyProtection="1">
      <protection hidden="1"/>
    </xf>
    <xf numFmtId="0" fontId="2" fillId="0" borderId="5" xfId="0" applyFont="1" applyBorder="1" applyProtection="1">
      <protection hidden="1"/>
    </xf>
    <xf numFmtId="0" fontId="2" fillId="9" borderId="7" xfId="0" applyFont="1" applyFill="1" applyBorder="1" applyProtection="1">
      <protection hidden="1"/>
    </xf>
    <xf numFmtId="9" fontId="2" fillId="9" borderId="7" xfId="2" applyFont="1" applyFill="1" applyBorder="1" applyProtection="1">
      <protection hidden="1"/>
    </xf>
    <xf numFmtId="44" fontId="2" fillId="9" borderId="19" xfId="1" applyFont="1" applyFill="1" applyBorder="1" applyAlignment="1" applyProtection="1">
      <protection hidden="1"/>
    </xf>
    <xf numFmtId="10" fontId="0" fillId="0" borderId="5" xfId="2" applyNumberFormat="1" applyFont="1" applyBorder="1" applyProtection="1">
      <protection locked="0"/>
    </xf>
    <xf numFmtId="0" fontId="2" fillId="0" borderId="7" xfId="0" applyFont="1" applyBorder="1" applyProtection="1">
      <protection locked="0"/>
    </xf>
    <xf numFmtId="9" fontId="0" fillId="0" borderId="7" xfId="2" applyFont="1" applyBorder="1" applyProtection="1">
      <protection locked="0"/>
    </xf>
    <xf numFmtId="44" fontId="0" fillId="0" borderId="19" xfId="1" applyFont="1" applyBorder="1" applyAlignment="1" applyProtection="1">
      <protection locked="0"/>
    </xf>
    <xf numFmtId="0" fontId="2" fillId="0" borderId="7" xfId="0" applyNumberFormat="1" applyFont="1" applyBorder="1" applyProtection="1">
      <protection locked="0"/>
    </xf>
    <xf numFmtId="10" fontId="0" fillId="0" borderId="7" xfId="2" applyNumberFormat="1" applyFont="1" applyBorder="1" applyProtection="1">
      <protection locked="0"/>
    </xf>
    <xf numFmtId="9" fontId="0" fillId="0" borderId="0" xfId="2" applyFont="1" applyProtection="1">
      <protection locked="0"/>
    </xf>
    <xf numFmtId="44" fontId="0" fillId="0" borderId="0" xfId="1" applyFont="1" applyProtection="1">
      <protection locked="0"/>
    </xf>
    <xf numFmtId="0" fontId="5" fillId="2" borderId="0" xfId="0" applyFont="1" applyFill="1" applyBorder="1" applyAlignment="1" applyProtection="1">
      <alignment vertical="center" wrapText="1"/>
      <protection hidden="1"/>
    </xf>
    <xf numFmtId="44" fontId="4" fillId="4" borderId="0" xfId="1" applyFont="1" applyFill="1" applyBorder="1" applyAlignment="1" applyProtection="1">
      <protection locked="0"/>
    </xf>
    <xf numFmtId="9" fontId="4" fillId="4" borderId="0" xfId="2" applyFont="1" applyFill="1" applyBorder="1" applyAlignment="1" applyProtection="1">
      <protection locked="0"/>
    </xf>
    <xf numFmtId="44" fontId="4" fillId="4" borderId="0" xfId="1" applyFont="1" applyFill="1" applyBorder="1" applyAlignment="1" applyProtection="1">
      <protection hidden="1"/>
    </xf>
    <xf numFmtId="10" fontId="4" fillId="4" borderId="0" xfId="2" applyNumberFormat="1" applyFont="1" applyFill="1" applyBorder="1" applyAlignment="1" applyProtection="1">
      <protection locked="0"/>
    </xf>
    <xf numFmtId="0" fontId="4" fillId="4" borderId="0" xfId="0" applyFont="1" applyFill="1" applyBorder="1" applyAlignment="1" applyProtection="1">
      <protection hidden="1"/>
    </xf>
    <xf numFmtId="0" fontId="4" fillId="6" borderId="0" xfId="0" applyFont="1" applyFill="1" applyBorder="1" applyAlignment="1" applyProtection="1">
      <alignment horizontal="left"/>
      <protection locked="0"/>
    </xf>
    <xf numFmtId="44" fontId="4" fillId="6" borderId="0" xfId="0" applyNumberFormat="1" applyFont="1" applyFill="1" applyBorder="1" applyAlignment="1" applyProtection="1">
      <alignment horizontal="left"/>
      <protection hidden="1"/>
    </xf>
    <xf numFmtId="44" fontId="4" fillId="7" borderId="0" xfId="0" applyNumberFormat="1" applyFont="1" applyFill="1" applyBorder="1" applyAlignment="1" applyProtection="1">
      <protection locked="0"/>
    </xf>
    <xf numFmtId="10" fontId="5" fillId="7" borderId="0" xfId="2" applyNumberFormat="1" applyFont="1" applyFill="1" applyBorder="1" applyAlignment="1" applyProtection="1">
      <alignment horizontal="left"/>
      <protection hidden="1"/>
    </xf>
    <xf numFmtId="44" fontId="5" fillId="7" borderId="0" xfId="0" applyNumberFormat="1" applyFont="1" applyFill="1" applyBorder="1" applyAlignment="1" applyProtection="1">
      <alignment horizontal="left"/>
      <protection hidden="1"/>
    </xf>
    <xf numFmtId="9" fontId="4" fillId="7" borderId="0" xfId="0" applyNumberFormat="1" applyFont="1" applyFill="1" applyBorder="1" applyAlignment="1" applyProtection="1">
      <alignment horizontal="left"/>
      <protection hidden="1"/>
    </xf>
    <xf numFmtId="44" fontId="5" fillId="7" borderId="0" xfId="0" applyNumberFormat="1" applyFont="1" applyFill="1" applyBorder="1" applyAlignment="1" applyProtection="1">
      <protection hidden="1"/>
    </xf>
    <xf numFmtId="44" fontId="4" fillId="7" borderId="0" xfId="0" applyNumberFormat="1" applyFont="1" applyFill="1" applyBorder="1" applyAlignment="1" applyProtection="1">
      <alignment horizontal="left"/>
      <protection hidden="1"/>
    </xf>
    <xf numFmtId="44" fontId="5" fillId="7" borderId="14" xfId="0" applyNumberFormat="1" applyFont="1" applyFill="1" applyBorder="1" applyAlignment="1" applyProtection="1">
      <protection locked="0"/>
    </xf>
    <xf numFmtId="44" fontId="4" fillId="0" borderId="0" xfId="1" applyFont="1"/>
    <xf numFmtId="0" fontId="7" fillId="5" borderId="0" xfId="0" applyFont="1" applyFill="1" applyAlignment="1" applyProtection="1">
      <alignment horizontal="left"/>
      <protection hidden="1"/>
    </xf>
    <xf numFmtId="0" fontId="2" fillId="5" borderId="0" xfId="0" applyFont="1" applyFill="1" applyAlignment="1" applyProtection="1">
      <alignment horizontal="left"/>
      <protection hidden="1"/>
    </xf>
    <xf numFmtId="0" fontId="2" fillId="5" borderId="0" xfId="0" applyFont="1" applyFill="1" applyBorder="1" applyAlignment="1" applyProtection="1">
      <alignment horizontal="center"/>
      <protection hidden="1"/>
    </xf>
    <xf numFmtId="0" fontId="0" fillId="0" borderId="18" xfId="0" applyFill="1" applyBorder="1" applyAlignment="1" applyProtection="1">
      <alignment horizontal="left"/>
      <protection locked="0" hidden="1"/>
    </xf>
    <xf numFmtId="0" fontId="0" fillId="0" borderId="17" xfId="0" applyFill="1" applyBorder="1" applyAlignment="1" applyProtection="1">
      <alignment horizontal="left"/>
      <protection locked="0" hidden="1"/>
    </xf>
    <xf numFmtId="0" fontId="2" fillId="5" borderId="0" xfId="0" applyFont="1" applyFill="1" applyBorder="1" applyAlignment="1" applyProtection="1">
      <alignment horizontal="left"/>
      <protection hidden="1"/>
    </xf>
    <xf numFmtId="0" fontId="0" fillId="8" borderId="18" xfId="0" applyFill="1" applyBorder="1" applyAlignment="1" applyProtection="1">
      <alignment horizontal="left"/>
      <protection locked="0" hidden="1"/>
    </xf>
    <xf numFmtId="0" fontId="0" fillId="8" borderId="17" xfId="0" applyFill="1" applyBorder="1" applyAlignment="1" applyProtection="1">
      <alignment horizontal="left"/>
      <protection locked="0" hidden="1"/>
    </xf>
    <xf numFmtId="0" fontId="6" fillId="5" borderId="8" xfId="0" applyFont="1" applyFill="1" applyBorder="1" applyAlignment="1" applyProtection="1">
      <alignment horizontal="center" vertical="center"/>
      <protection hidden="1"/>
    </xf>
    <xf numFmtId="0" fontId="6" fillId="5" borderId="6" xfId="0" applyFont="1" applyFill="1" applyBorder="1" applyAlignment="1" applyProtection="1">
      <alignment horizontal="center" vertical="center"/>
      <protection hidden="1"/>
    </xf>
    <xf numFmtId="0" fontId="6" fillId="5" borderId="9" xfId="0" applyFont="1" applyFill="1" applyBorder="1" applyAlignment="1" applyProtection="1">
      <alignment horizontal="center" vertical="center"/>
      <protection hidden="1"/>
    </xf>
    <xf numFmtId="0" fontId="6" fillId="5" borderId="11" xfId="0" applyFont="1" applyFill="1" applyBorder="1" applyAlignment="1" applyProtection="1">
      <alignment horizontal="center" vertical="center"/>
      <protection hidden="1"/>
    </xf>
    <xf numFmtId="0" fontId="6" fillId="5" borderId="12" xfId="0" applyFont="1" applyFill="1" applyBorder="1" applyAlignment="1" applyProtection="1">
      <alignment horizontal="center" vertical="center"/>
      <protection hidden="1"/>
    </xf>
    <xf numFmtId="0" fontId="6" fillId="5" borderId="13" xfId="0" applyFont="1" applyFill="1" applyBorder="1" applyAlignment="1" applyProtection="1">
      <alignment horizontal="center" vertical="center"/>
      <protection hidden="1"/>
    </xf>
    <xf numFmtId="10" fontId="0" fillId="0" borderId="18" xfId="2" applyNumberFormat="1" applyFont="1" applyFill="1" applyBorder="1" applyAlignment="1" applyProtection="1">
      <alignment horizontal="left"/>
      <protection locked="0" hidden="1"/>
    </xf>
    <xf numFmtId="10" fontId="0" fillId="0" borderId="17" xfId="2" applyNumberFormat="1" applyFont="1" applyFill="1" applyBorder="1" applyAlignment="1" applyProtection="1">
      <alignment horizontal="left"/>
      <protection locked="0" hidden="1"/>
    </xf>
    <xf numFmtId="0" fontId="9" fillId="0" borderId="1" xfId="0" applyFont="1" applyBorder="1" applyAlignment="1">
      <alignment horizontal="left"/>
    </xf>
    <xf numFmtId="0" fontId="9" fillId="0" borderId="2" xfId="0" applyFont="1" applyBorder="1" applyAlignment="1">
      <alignment horizontal="left"/>
    </xf>
    <xf numFmtId="0" fontId="9" fillId="0" borderId="3" xfId="0" applyFont="1" applyBorder="1" applyAlignment="1">
      <alignment horizontal="left"/>
    </xf>
    <xf numFmtId="0" fontId="3" fillId="0" borderId="1" xfId="0" applyFont="1" applyBorder="1" applyAlignment="1" applyProtection="1">
      <alignment horizontal="center"/>
      <protection hidden="1"/>
    </xf>
    <xf numFmtId="0" fontId="3" fillId="0" borderId="2" xfId="0" applyFont="1" applyBorder="1" applyAlignment="1" applyProtection="1">
      <alignment horizontal="center"/>
      <protection hidden="1"/>
    </xf>
    <xf numFmtId="0" fontId="3" fillId="0" borderId="3" xfId="0" applyFont="1" applyBorder="1" applyAlignment="1" applyProtection="1">
      <alignment horizontal="center"/>
      <protection hidden="1"/>
    </xf>
    <xf numFmtId="0" fontId="5" fillId="4" borderId="8" xfId="0" applyFont="1" applyFill="1" applyBorder="1" applyAlignment="1" applyProtection="1">
      <alignment horizontal="center" vertical="center"/>
      <protection hidden="1"/>
    </xf>
    <xf numFmtId="0" fontId="5" fillId="4" borderId="6" xfId="0" applyFont="1" applyFill="1" applyBorder="1" applyAlignment="1" applyProtection="1">
      <alignment horizontal="center" vertical="center"/>
      <protection hidden="1"/>
    </xf>
    <xf numFmtId="0" fontId="5" fillId="4" borderId="9" xfId="0" applyFont="1" applyFill="1" applyBorder="1" applyAlignment="1" applyProtection="1">
      <alignment horizontal="center" vertical="center"/>
      <protection hidden="1"/>
    </xf>
    <xf numFmtId="0" fontId="5" fillId="4" borderId="11" xfId="0" applyFont="1" applyFill="1" applyBorder="1" applyAlignment="1" applyProtection="1">
      <alignment horizontal="center" vertical="center"/>
      <protection hidden="1"/>
    </xf>
    <xf numFmtId="0" fontId="5" fillId="4" borderId="12" xfId="0" applyFont="1" applyFill="1" applyBorder="1" applyAlignment="1" applyProtection="1">
      <alignment horizontal="center" vertical="center"/>
      <protection hidden="1"/>
    </xf>
    <xf numFmtId="0" fontId="5" fillId="4" borderId="13" xfId="0" applyFont="1" applyFill="1" applyBorder="1" applyAlignment="1" applyProtection="1">
      <alignment horizontal="center" vertical="center"/>
      <protection hidden="1"/>
    </xf>
    <xf numFmtId="0" fontId="5" fillId="6" borderId="8" xfId="0" applyFont="1" applyFill="1" applyBorder="1" applyAlignment="1" applyProtection="1">
      <alignment horizontal="center" vertical="center"/>
      <protection hidden="1"/>
    </xf>
    <xf numFmtId="0" fontId="5" fillId="6" borderId="6" xfId="0" applyFont="1" applyFill="1" applyBorder="1" applyAlignment="1" applyProtection="1">
      <alignment horizontal="center" vertical="center"/>
      <protection hidden="1"/>
    </xf>
    <xf numFmtId="0" fontId="5" fillId="6" borderId="9" xfId="0" applyFont="1" applyFill="1" applyBorder="1" applyAlignment="1" applyProtection="1">
      <alignment horizontal="center" vertical="center"/>
      <protection hidden="1"/>
    </xf>
    <xf numFmtId="0" fontId="5" fillId="6" borderId="11" xfId="0" applyFont="1" applyFill="1" applyBorder="1" applyAlignment="1" applyProtection="1">
      <alignment horizontal="center" vertical="center"/>
      <protection hidden="1"/>
    </xf>
    <xf numFmtId="0" fontId="5" fillId="6" borderId="12" xfId="0" applyFont="1" applyFill="1" applyBorder="1" applyAlignment="1" applyProtection="1">
      <alignment horizontal="center" vertical="center"/>
      <protection hidden="1"/>
    </xf>
    <xf numFmtId="0" fontId="5" fillId="6" borderId="13" xfId="0" applyFont="1" applyFill="1" applyBorder="1" applyAlignment="1" applyProtection="1">
      <alignment horizontal="center" vertical="center"/>
      <protection hidden="1"/>
    </xf>
    <xf numFmtId="0" fontId="5" fillId="7" borderId="1" xfId="0" applyFont="1" applyFill="1" applyBorder="1" applyAlignment="1" applyProtection="1">
      <alignment horizontal="center"/>
      <protection hidden="1"/>
    </xf>
    <xf numFmtId="0" fontId="5" fillId="7" borderId="2" xfId="0" applyFont="1" applyFill="1" applyBorder="1" applyAlignment="1" applyProtection="1">
      <alignment horizontal="center"/>
      <protection hidden="1"/>
    </xf>
    <xf numFmtId="0" fontId="5" fillId="7" borderId="3" xfId="0" applyFont="1" applyFill="1" applyBorder="1" applyAlignment="1" applyProtection="1">
      <alignment horizontal="center"/>
      <protection hidden="1"/>
    </xf>
    <xf numFmtId="0" fontId="5" fillId="7" borderId="15" xfId="0" applyFont="1" applyFill="1" applyBorder="1" applyAlignment="1" applyProtection="1">
      <alignment horizontal="center" vertical="center"/>
      <protection hidden="1"/>
    </xf>
    <xf numFmtId="0" fontId="5" fillId="7" borderId="16" xfId="0" applyFont="1" applyFill="1" applyBorder="1" applyAlignment="1" applyProtection="1">
      <alignment horizontal="center" vertical="center"/>
      <protection hidden="1"/>
    </xf>
    <xf numFmtId="0" fontId="5" fillId="7" borderId="8" xfId="0" applyFont="1" applyFill="1" applyBorder="1" applyAlignment="1" applyProtection="1">
      <alignment horizontal="center" vertical="center"/>
      <protection hidden="1"/>
    </xf>
    <xf numFmtId="0" fontId="5" fillId="7" borderId="9" xfId="0" applyFont="1" applyFill="1" applyBorder="1" applyAlignment="1" applyProtection="1">
      <alignment horizontal="center" vertical="center"/>
      <protection hidden="1"/>
    </xf>
    <xf numFmtId="0" fontId="5" fillId="2" borderId="15" xfId="0" applyFont="1" applyFill="1" applyBorder="1" applyAlignment="1" applyProtection="1">
      <alignment horizontal="center" vertical="center" wrapText="1"/>
      <protection hidden="1"/>
    </xf>
    <xf numFmtId="0" fontId="5" fillId="2" borderId="16" xfId="0" applyFont="1" applyFill="1" applyBorder="1" applyAlignment="1" applyProtection="1">
      <alignment horizontal="center" vertical="center"/>
      <protection hidden="1"/>
    </xf>
    <xf numFmtId="0" fontId="2" fillId="0" borderId="1" xfId="0" applyFont="1" applyBorder="1" applyAlignment="1" applyProtection="1">
      <alignment horizontal="center"/>
      <protection hidden="1"/>
    </xf>
    <xf numFmtId="0" fontId="2" fillId="0" borderId="3" xfId="0" applyFont="1" applyBorder="1" applyAlignment="1" applyProtection="1">
      <alignment horizontal="center"/>
      <protection hidden="1"/>
    </xf>
    <xf numFmtId="44" fontId="5" fillId="4" borderId="16" xfId="1" applyFont="1" applyFill="1" applyBorder="1"/>
    <xf numFmtId="44" fontId="5" fillId="6" borderId="16" xfId="1" applyFont="1" applyFill="1" applyBorder="1"/>
    <xf numFmtId="1" fontId="5" fillId="6" borderId="16" xfId="1" applyNumberFormat="1" applyFont="1" applyFill="1" applyBorder="1"/>
    <xf numFmtId="44" fontId="5" fillId="7" borderId="16" xfId="1" applyFont="1" applyFill="1" applyBorder="1"/>
    <xf numFmtId="0" fontId="5" fillId="3" borderId="0" xfId="0" applyFont="1" applyFill="1"/>
    <xf numFmtId="0" fontId="2" fillId="5" borderId="21" xfId="0" applyFont="1" applyFill="1" applyBorder="1" applyAlignment="1" applyProtection="1">
      <alignment horizontal="center"/>
      <protection hidden="1"/>
    </xf>
    <xf numFmtId="10" fontId="0" fillId="0" borderId="7" xfId="0" applyNumberFormat="1" applyBorder="1" applyProtection="1">
      <protection locked="0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10</xdr:row>
          <xdr:rowOff>95250</xdr:rowOff>
        </xdr:from>
        <xdr:to>
          <xdr:col>4</xdr:col>
          <xdr:colOff>352425</xdr:colOff>
          <xdr:row>13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</a:rPr>
                <a:t>Inserir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10</xdr:row>
          <xdr:rowOff>95250</xdr:rowOff>
        </xdr:from>
        <xdr:to>
          <xdr:col>7</xdr:col>
          <xdr:colOff>381000</xdr:colOff>
          <xdr:row>13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</a:rPr>
                <a:t>Limpar Janela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10</xdr:row>
          <xdr:rowOff>95250</xdr:rowOff>
        </xdr:from>
        <xdr:to>
          <xdr:col>10</xdr:col>
          <xdr:colOff>361950</xdr:colOff>
          <xdr:row>13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</a:rPr>
                <a:t>Limpar Nota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400050</xdr:colOff>
          <xdr:row>10</xdr:row>
          <xdr:rowOff>133350</xdr:rowOff>
        </xdr:from>
        <xdr:to>
          <xdr:col>15</xdr:col>
          <xdr:colOff>161925</xdr:colOff>
          <xdr:row>13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</a:rPr>
                <a:t>Inserir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428625</xdr:colOff>
          <xdr:row>10</xdr:row>
          <xdr:rowOff>142875</xdr:rowOff>
        </xdr:from>
        <xdr:to>
          <xdr:col>18</xdr:col>
          <xdr:colOff>209550</xdr:colOff>
          <xdr:row>13</xdr:row>
          <xdr:rowOff>76200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</a:rPr>
                <a:t>Limpar Janela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381000</xdr:colOff>
          <xdr:row>10</xdr:row>
          <xdr:rowOff>152400</xdr:rowOff>
        </xdr:from>
        <xdr:to>
          <xdr:col>21</xdr:col>
          <xdr:colOff>161925</xdr:colOff>
          <xdr:row>13</xdr:row>
          <xdr:rowOff>85725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</a:rPr>
                <a:t>Eliminar Último Cadastro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XFD1048576"/>
  <sheetViews>
    <sheetView tabSelected="1" workbookViewId="0">
      <selection activeCell="O28" sqref="O28"/>
    </sheetView>
  </sheetViews>
  <sheetFormatPr defaultRowHeight="15" x14ac:dyDescent="0.25"/>
  <cols>
    <col min="1" max="1" width="9.140625" style="16"/>
    <col min="2" max="2" width="3.85546875" style="16" customWidth="1"/>
    <col min="3" max="16384" width="9.140625" style="16"/>
  </cols>
  <sheetData>
    <row r="1" spans="1:22" ht="15.75" thickBot="1" x14ac:dyDescent="0.3">
      <c r="A1" s="65" t="str">
        <f>XFA1048576</f>
        <v>Licenciado para: Sorvebom</v>
      </c>
      <c r="B1" s="65"/>
      <c r="C1" s="65"/>
      <c r="D1" s="65"/>
    </row>
    <row r="2" spans="1:22" x14ac:dyDescent="0.25">
      <c r="B2" s="72" t="s">
        <v>35</v>
      </c>
      <c r="C2" s="73"/>
      <c r="D2" s="73"/>
      <c r="E2" s="73"/>
      <c r="F2" s="73"/>
      <c r="G2" s="73"/>
      <c r="H2" s="73"/>
      <c r="I2" s="73"/>
      <c r="J2" s="73"/>
      <c r="K2" s="74"/>
      <c r="M2" s="72" t="s">
        <v>39</v>
      </c>
      <c r="N2" s="73"/>
      <c r="O2" s="73"/>
      <c r="P2" s="73"/>
      <c r="Q2" s="73"/>
      <c r="R2" s="73"/>
      <c r="S2" s="73"/>
      <c r="T2" s="73"/>
      <c r="U2" s="73"/>
      <c r="V2" s="74"/>
    </row>
    <row r="3" spans="1:22" ht="15.75" thickBot="1" x14ac:dyDescent="0.3">
      <c r="B3" s="75"/>
      <c r="C3" s="76"/>
      <c r="D3" s="76"/>
      <c r="E3" s="76"/>
      <c r="F3" s="76"/>
      <c r="G3" s="76"/>
      <c r="H3" s="76"/>
      <c r="I3" s="76"/>
      <c r="J3" s="76"/>
      <c r="K3" s="77"/>
      <c r="M3" s="75"/>
      <c r="N3" s="76"/>
      <c r="O3" s="76"/>
      <c r="P3" s="76"/>
      <c r="Q3" s="76"/>
      <c r="R3" s="76"/>
      <c r="S3" s="76"/>
      <c r="T3" s="76"/>
      <c r="U3" s="76"/>
      <c r="V3" s="77"/>
    </row>
    <row r="4" spans="1:22" x14ac:dyDescent="0.25">
      <c r="B4" s="17"/>
      <c r="C4" s="18"/>
      <c r="D4" s="18"/>
      <c r="E4" s="18"/>
      <c r="F4" s="18"/>
      <c r="G4" s="18"/>
      <c r="H4" s="18"/>
      <c r="I4" s="18"/>
      <c r="J4" s="18"/>
      <c r="K4" s="19"/>
      <c r="M4" s="17"/>
      <c r="N4" s="18"/>
      <c r="O4" s="18"/>
      <c r="P4" s="18"/>
      <c r="Q4" s="18"/>
      <c r="R4" s="18"/>
      <c r="S4" s="18"/>
      <c r="T4" s="18"/>
      <c r="U4" s="18"/>
      <c r="V4" s="19"/>
    </row>
    <row r="5" spans="1:22" x14ac:dyDescent="0.25">
      <c r="B5" s="17"/>
      <c r="C5" s="18"/>
      <c r="D5" s="18"/>
      <c r="E5" s="18"/>
      <c r="F5" s="18"/>
      <c r="G5" s="18"/>
      <c r="H5" s="18"/>
      <c r="I5" s="18"/>
      <c r="J5" s="18"/>
      <c r="K5" s="19"/>
      <c r="M5" s="17"/>
      <c r="N5" s="18"/>
      <c r="O5" s="18"/>
      <c r="P5" s="18"/>
      <c r="Q5" s="18"/>
      <c r="R5" s="18"/>
      <c r="S5" s="18"/>
      <c r="T5" s="18"/>
      <c r="U5" s="18"/>
      <c r="V5" s="19"/>
    </row>
    <row r="6" spans="1:22" x14ac:dyDescent="0.25">
      <c r="B6" s="17"/>
      <c r="C6" s="20" t="s">
        <v>27</v>
      </c>
      <c r="D6" s="18"/>
      <c r="E6" s="67"/>
      <c r="F6" s="67"/>
      <c r="G6" s="67"/>
      <c r="H6" s="67"/>
      <c r="I6" s="67"/>
      <c r="J6" s="68"/>
      <c r="K6" s="19"/>
      <c r="M6" s="17"/>
      <c r="N6" s="69" t="s">
        <v>27</v>
      </c>
      <c r="O6" s="69"/>
      <c r="P6" s="67"/>
      <c r="Q6" s="67"/>
      <c r="R6" s="67"/>
      <c r="S6" s="67"/>
      <c r="T6" s="67"/>
      <c r="U6" s="68"/>
      <c r="V6" s="19"/>
    </row>
    <row r="7" spans="1:22" x14ac:dyDescent="0.25">
      <c r="B7" s="17"/>
      <c r="C7" s="18"/>
      <c r="D7" s="18"/>
      <c r="E7" s="18"/>
      <c r="F7" s="18"/>
      <c r="G7" s="18"/>
      <c r="H7" s="18"/>
      <c r="I7" s="18"/>
      <c r="J7" s="18"/>
      <c r="K7" s="19"/>
      <c r="M7" s="17"/>
      <c r="N7" s="18"/>
      <c r="O7" s="18"/>
      <c r="P7" s="18"/>
      <c r="Q7" s="18"/>
      <c r="R7" s="18"/>
      <c r="S7" s="18"/>
      <c r="T7" s="18"/>
      <c r="U7" s="18"/>
      <c r="V7" s="19"/>
    </row>
    <row r="8" spans="1:22" x14ac:dyDescent="0.25">
      <c r="B8" s="17"/>
      <c r="C8" s="20" t="s">
        <v>11</v>
      </c>
      <c r="D8" s="18"/>
      <c r="E8" s="67"/>
      <c r="F8" s="67"/>
      <c r="G8" s="67"/>
      <c r="H8" s="67"/>
      <c r="I8" s="67"/>
      <c r="J8" s="68"/>
      <c r="K8" s="19"/>
      <c r="M8" s="17"/>
      <c r="N8" s="69" t="s">
        <v>36</v>
      </c>
      <c r="O8" s="69"/>
      <c r="P8" s="67"/>
      <c r="Q8" s="68"/>
      <c r="R8" s="66" t="s">
        <v>37</v>
      </c>
      <c r="S8" s="66"/>
      <c r="T8" s="78"/>
      <c r="U8" s="79"/>
      <c r="V8" s="19"/>
    </row>
    <row r="9" spans="1:22" x14ac:dyDescent="0.25">
      <c r="B9" s="17"/>
      <c r="C9" s="18"/>
      <c r="D9" s="18"/>
      <c r="E9" s="18"/>
      <c r="F9" s="18"/>
      <c r="G9" s="18"/>
      <c r="H9" s="18"/>
      <c r="I9" s="18"/>
      <c r="J9" s="18"/>
      <c r="K9" s="19"/>
      <c r="M9" s="17"/>
      <c r="N9" s="18"/>
      <c r="O9" s="18"/>
      <c r="P9" s="18"/>
      <c r="Q9" s="18"/>
      <c r="R9" s="18"/>
      <c r="S9" s="18"/>
      <c r="T9" s="18"/>
      <c r="U9" s="18"/>
      <c r="V9" s="19"/>
    </row>
    <row r="10" spans="1:22" x14ac:dyDescent="0.25">
      <c r="B10" s="17"/>
      <c r="C10" s="18"/>
      <c r="D10" s="18"/>
      <c r="E10" s="18"/>
      <c r="F10" s="18"/>
      <c r="G10" s="18"/>
      <c r="H10" s="18"/>
      <c r="I10" s="18"/>
      <c r="J10" s="18"/>
      <c r="K10" s="19"/>
      <c r="M10" s="17"/>
      <c r="N10" s="69" t="s">
        <v>38</v>
      </c>
      <c r="O10" s="69"/>
      <c r="P10" s="70"/>
      <c r="Q10" s="71"/>
      <c r="R10" s="114" t="s">
        <v>0</v>
      </c>
      <c r="S10" s="66"/>
      <c r="T10" s="78"/>
      <c r="U10" s="79"/>
      <c r="V10" s="19"/>
    </row>
    <row r="11" spans="1:22" x14ac:dyDescent="0.25">
      <c r="B11" s="17"/>
      <c r="C11" s="18"/>
      <c r="D11" s="18"/>
      <c r="E11" s="18"/>
      <c r="F11" s="18"/>
      <c r="G11" s="18"/>
      <c r="H11" s="18"/>
      <c r="I11" s="18"/>
      <c r="J11" s="18"/>
      <c r="K11" s="19"/>
      <c r="M11" s="17"/>
      <c r="N11" s="18"/>
      <c r="O11" s="18"/>
      <c r="P11" s="18"/>
      <c r="Q11" s="18"/>
      <c r="R11" s="18"/>
      <c r="S11" s="18"/>
      <c r="T11" s="18"/>
      <c r="U11" s="18"/>
      <c r="V11" s="19"/>
    </row>
    <row r="12" spans="1:22" x14ac:dyDescent="0.25">
      <c r="B12" s="17"/>
      <c r="C12" s="18"/>
      <c r="D12" s="18"/>
      <c r="E12" s="18"/>
      <c r="F12" s="18"/>
      <c r="G12" s="18"/>
      <c r="H12" s="18"/>
      <c r="I12" s="18"/>
      <c r="J12" s="18"/>
      <c r="K12" s="19"/>
      <c r="M12" s="17"/>
      <c r="N12" s="18"/>
      <c r="O12" s="18"/>
      <c r="P12" s="18"/>
      <c r="Q12" s="18"/>
      <c r="R12" s="18"/>
      <c r="S12" s="18"/>
      <c r="T12" s="18"/>
      <c r="U12" s="18"/>
      <c r="V12" s="19"/>
    </row>
    <row r="13" spans="1:22" x14ac:dyDescent="0.25">
      <c r="B13" s="17"/>
      <c r="C13" s="18"/>
      <c r="D13" s="18"/>
      <c r="E13" s="18"/>
      <c r="F13" s="18"/>
      <c r="G13" s="18"/>
      <c r="H13" s="18"/>
      <c r="I13" s="18"/>
      <c r="J13" s="18"/>
      <c r="K13" s="19"/>
      <c r="M13" s="17"/>
      <c r="N13" s="18"/>
      <c r="O13" s="18"/>
      <c r="P13" s="18"/>
      <c r="Q13" s="18"/>
      <c r="R13" s="18"/>
      <c r="S13" s="18"/>
      <c r="T13" s="18"/>
      <c r="U13" s="18"/>
      <c r="V13" s="19"/>
    </row>
    <row r="14" spans="1:22" ht="15.75" thickBot="1" x14ac:dyDescent="0.3">
      <c r="B14" s="21"/>
      <c r="C14" s="22"/>
      <c r="D14" s="22"/>
      <c r="E14" s="22"/>
      <c r="F14" s="22"/>
      <c r="G14" s="22"/>
      <c r="H14" s="22"/>
      <c r="I14" s="22"/>
      <c r="J14" s="22"/>
      <c r="K14" s="23"/>
      <c r="M14" s="21"/>
      <c r="N14" s="22"/>
      <c r="O14" s="22"/>
      <c r="P14" s="22"/>
      <c r="Q14" s="22"/>
      <c r="R14" s="22"/>
      <c r="S14" s="22"/>
      <c r="T14" s="22"/>
      <c r="U14" s="22"/>
      <c r="V14" s="23"/>
    </row>
    <row r="1048576" spans="16381:16384" x14ac:dyDescent="0.25">
      <c r="XFA1048576" s="64" t="s">
        <v>40</v>
      </c>
      <c r="XFB1048576" s="64"/>
      <c r="XFC1048576" s="64"/>
      <c r="XFD1048576" s="64"/>
    </row>
  </sheetData>
  <sheetProtection insertColumns="0" insertRows="0" deleteColumns="0" deleteRows="0"/>
  <mergeCells count="16">
    <mergeCell ref="XFA1048576:XFD1048576"/>
    <mergeCell ref="A1:D1"/>
    <mergeCell ref="R8:S8"/>
    <mergeCell ref="P6:U6"/>
    <mergeCell ref="N6:O6"/>
    <mergeCell ref="N8:O8"/>
    <mergeCell ref="N10:O10"/>
    <mergeCell ref="P10:Q10"/>
    <mergeCell ref="B2:K3"/>
    <mergeCell ref="E6:J6"/>
    <mergeCell ref="E8:J8"/>
    <mergeCell ref="M2:V3"/>
    <mergeCell ref="P8:Q8"/>
    <mergeCell ref="T8:U8"/>
    <mergeCell ref="R10:S10"/>
    <mergeCell ref="T10:U10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serirLançamento">
                <anchor moveWithCells="1" sizeWithCells="1">
                  <from>
                    <xdr:col>1</xdr:col>
                    <xdr:colOff>219075</xdr:colOff>
                    <xdr:row>10</xdr:row>
                    <xdr:rowOff>95250</xdr:rowOff>
                  </from>
                  <to>
                    <xdr:col>4</xdr:col>
                    <xdr:colOff>352425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LimparJanelaLançamento">
                <anchor moveWithCells="1" sizeWithCells="1">
                  <from>
                    <xdr:col>4</xdr:col>
                    <xdr:colOff>600075</xdr:colOff>
                    <xdr:row>10</xdr:row>
                    <xdr:rowOff>95250</xdr:rowOff>
                  </from>
                  <to>
                    <xdr:col>7</xdr:col>
                    <xdr:colOff>381000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LimparNota">
                <anchor moveWithCells="1" sizeWithCells="1">
                  <from>
                    <xdr:col>7</xdr:col>
                    <xdr:colOff>581025</xdr:colOff>
                    <xdr:row>10</xdr:row>
                    <xdr:rowOff>95250</xdr:rowOff>
                  </from>
                  <to>
                    <xdr:col>10</xdr:col>
                    <xdr:colOff>361950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InserirProduto">
                <anchor moveWithCells="1" sizeWithCells="1">
                  <from>
                    <xdr:col>12</xdr:col>
                    <xdr:colOff>400050</xdr:colOff>
                    <xdr:row>10</xdr:row>
                    <xdr:rowOff>133350</xdr:rowOff>
                  </from>
                  <to>
                    <xdr:col>15</xdr:col>
                    <xdr:colOff>161925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LimparJanelaCadastro">
                <anchor moveWithCells="1" sizeWithCells="1">
                  <from>
                    <xdr:col>15</xdr:col>
                    <xdr:colOff>428625</xdr:colOff>
                    <xdr:row>10</xdr:row>
                    <xdr:rowOff>142875</xdr:rowOff>
                  </from>
                  <to>
                    <xdr:col>18</xdr:col>
                    <xdr:colOff>209550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Button 11">
              <controlPr defaultSize="0" print="0" autoFill="0" autoPict="0" macro="[0]!EliminarUltimoCadastroProcuto">
                <anchor moveWithCells="1" sizeWithCells="1">
                  <from>
                    <xdr:col>18</xdr:col>
                    <xdr:colOff>381000</xdr:colOff>
                    <xdr:row>10</xdr:row>
                    <xdr:rowOff>152400</xdr:rowOff>
                  </from>
                  <to>
                    <xdr:col>21</xdr:col>
                    <xdr:colOff>161925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'Cadastro Produtos'!$A$2:$A$3</xm:f>
          </x14:formula1>
          <xm:sqref>P10:Q10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S42"/>
  <sheetViews>
    <sheetView zoomScale="90" zoomScaleNormal="90" workbookViewId="0">
      <selection activeCell="W13" sqref="W13"/>
    </sheetView>
  </sheetViews>
  <sheetFormatPr defaultRowHeight="15" x14ac:dyDescent="0.25"/>
  <cols>
    <col min="1" max="1" width="9.140625" style="3"/>
    <col min="2" max="2" width="17.7109375" style="3" bestFit="1" customWidth="1"/>
    <col min="3" max="3" width="17.140625" style="4" customWidth="1"/>
    <col min="4" max="4" width="15.28515625" style="3" customWidth="1"/>
    <col min="5" max="5" width="15.5703125" style="4" customWidth="1"/>
    <col min="6" max="6" width="18" style="3" customWidth="1"/>
    <col min="7" max="7" width="17" style="3" customWidth="1"/>
    <col min="8" max="8" width="11.7109375" style="3" bestFit="1" customWidth="1"/>
    <col min="9" max="9" width="13.7109375" style="3" customWidth="1"/>
    <col min="10" max="10" width="14" style="3" customWidth="1"/>
    <col min="11" max="11" width="17" style="3" bestFit="1" customWidth="1"/>
    <col min="12" max="12" width="8.85546875" style="3" bestFit="1" customWidth="1"/>
    <col min="13" max="13" width="13.85546875" style="3" bestFit="1" customWidth="1"/>
    <col min="14" max="14" width="6.140625" style="3" bestFit="1" customWidth="1"/>
    <col min="15" max="15" width="16.28515625" style="3" bestFit="1" customWidth="1"/>
    <col min="16" max="16" width="8.85546875" style="3" bestFit="1" customWidth="1"/>
    <col min="17" max="17" width="15" style="3" bestFit="1" customWidth="1"/>
    <col min="18" max="18" width="14.28515625" style="3" bestFit="1" customWidth="1"/>
    <col min="19" max="19" width="21.140625" style="3" bestFit="1" customWidth="1"/>
    <col min="20" max="16384" width="9.140625" style="3"/>
  </cols>
  <sheetData>
    <row r="1" spans="1:19" s="2" customFormat="1" ht="23.25" thickBot="1" x14ac:dyDescent="0.35">
      <c r="A1" s="83" t="s">
        <v>8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5"/>
    </row>
    <row r="2" spans="1:19" s="2" customFormat="1" ht="15.75" thickBot="1" x14ac:dyDescent="0.3">
      <c r="A2" s="105" t="s">
        <v>26</v>
      </c>
      <c r="B2" s="86" t="s">
        <v>9</v>
      </c>
      <c r="C2" s="87"/>
      <c r="D2" s="87"/>
      <c r="E2" s="87"/>
      <c r="F2" s="87"/>
      <c r="G2" s="88"/>
      <c r="H2" s="92" t="s">
        <v>10</v>
      </c>
      <c r="I2" s="93"/>
      <c r="J2" s="94"/>
      <c r="K2" s="98" t="s">
        <v>14</v>
      </c>
      <c r="L2" s="99"/>
      <c r="M2" s="99"/>
      <c r="N2" s="99"/>
      <c r="O2" s="99"/>
      <c r="P2" s="99"/>
      <c r="Q2" s="99"/>
      <c r="R2" s="99"/>
      <c r="S2" s="100"/>
    </row>
    <row r="3" spans="1:19" s="2" customFormat="1" ht="15.75" thickBot="1" x14ac:dyDescent="0.3">
      <c r="A3" s="106"/>
      <c r="B3" s="89"/>
      <c r="C3" s="90"/>
      <c r="D3" s="90"/>
      <c r="E3" s="90"/>
      <c r="F3" s="90"/>
      <c r="G3" s="91"/>
      <c r="H3" s="95"/>
      <c r="I3" s="96"/>
      <c r="J3" s="97"/>
      <c r="K3" s="101" t="s">
        <v>15</v>
      </c>
      <c r="L3" s="103" t="s">
        <v>21</v>
      </c>
      <c r="M3" s="104"/>
      <c r="N3" s="98" t="s">
        <v>16</v>
      </c>
      <c r="O3" s="99"/>
      <c r="P3" s="99"/>
      <c r="Q3" s="99"/>
      <c r="R3" s="99"/>
      <c r="S3" s="100"/>
    </row>
    <row r="4" spans="1:19" s="5" customFormat="1" ht="30.75" customHeight="1" thickBot="1" x14ac:dyDescent="0.3">
      <c r="A4" s="33" t="s">
        <v>25</v>
      </c>
      <c r="B4" s="34" t="s">
        <v>2</v>
      </c>
      <c r="C4" s="35" t="s">
        <v>3</v>
      </c>
      <c r="D4" s="34" t="s">
        <v>4</v>
      </c>
      <c r="E4" s="35" t="s">
        <v>5</v>
      </c>
      <c r="F4" s="34" t="s">
        <v>7</v>
      </c>
      <c r="G4" s="34" t="s">
        <v>6</v>
      </c>
      <c r="H4" s="7" t="s">
        <v>11</v>
      </c>
      <c r="I4" s="7" t="s">
        <v>12</v>
      </c>
      <c r="J4" s="7" t="s">
        <v>13</v>
      </c>
      <c r="K4" s="102"/>
      <c r="L4" s="13" t="s">
        <v>18</v>
      </c>
      <c r="M4" s="13" t="s">
        <v>22</v>
      </c>
      <c r="N4" s="13" t="s">
        <v>0</v>
      </c>
      <c r="O4" s="14" t="s">
        <v>17</v>
      </c>
      <c r="P4" s="13" t="s">
        <v>18</v>
      </c>
      <c r="Q4" s="13" t="s">
        <v>19</v>
      </c>
      <c r="R4" s="14" t="s">
        <v>1</v>
      </c>
      <c r="S4" s="14" t="s">
        <v>20</v>
      </c>
    </row>
    <row r="5" spans="1:19" s="6" customFormat="1" hidden="1" x14ac:dyDescent="0.25">
      <c r="A5" s="26">
        <f>Planilha1!E6</f>
        <v>0</v>
      </c>
      <c r="B5" s="27">
        <f>SUMIF('Cadastro Produtos'!A6:A47807,Plan1!A5,'Cadastro Produtos'!C6:D47807)</f>
        <v>0</v>
      </c>
      <c r="C5" s="28">
        <f>SUMIF('Cadastro Produtos'!A6:A47807,Plan1!A5,'Cadastro Produtos'!B6:B47807)</f>
        <v>0</v>
      </c>
      <c r="D5" s="29">
        <f>B5+(B5*C5)</f>
        <v>0</v>
      </c>
      <c r="E5" s="30">
        <f>SUMIF('Cadastro Produtos'!A6:A49979,A5,'Cadastro Produtos'!E6:E49979)</f>
        <v>0</v>
      </c>
      <c r="F5" s="31">
        <f>1-E5</f>
        <v>1</v>
      </c>
      <c r="G5" s="29">
        <f>D5/F5</f>
        <v>0</v>
      </c>
      <c r="H5" s="8">
        <f>Planilha1!E8</f>
        <v>0</v>
      </c>
      <c r="I5" s="9">
        <f>G5</f>
        <v>0</v>
      </c>
      <c r="J5" s="9">
        <f>I5*H5</f>
        <v>0</v>
      </c>
      <c r="K5" s="25">
        <f>J5*E5</f>
        <v>0</v>
      </c>
      <c r="L5" s="24">
        <v>1.44E-2</v>
      </c>
      <c r="M5" s="12">
        <f>J5*L5</f>
        <v>0</v>
      </c>
      <c r="N5" s="10">
        <v>0.7</v>
      </c>
      <c r="O5" s="32">
        <f>(J5*N5)+J5</f>
        <v>0</v>
      </c>
      <c r="P5" s="10">
        <v>0.17</v>
      </c>
      <c r="Q5" s="11">
        <f>O5*P5</f>
        <v>0</v>
      </c>
      <c r="R5" s="25">
        <f>J5*P5</f>
        <v>0</v>
      </c>
      <c r="S5" s="15">
        <f>Q5-R5</f>
        <v>0</v>
      </c>
    </row>
    <row r="6" spans="1:19" s="6" customFormat="1" x14ac:dyDescent="0.25">
      <c r="A6" s="48"/>
      <c r="B6" s="49"/>
      <c r="C6" s="50"/>
      <c r="D6" s="51"/>
      <c r="E6" s="52"/>
      <c r="F6" s="53"/>
      <c r="G6" s="51"/>
      <c r="H6" s="54"/>
      <c r="I6" s="55"/>
      <c r="J6" s="55"/>
      <c r="K6" s="56"/>
      <c r="L6" s="57"/>
      <c r="M6" s="58"/>
      <c r="N6" s="59"/>
      <c r="O6" s="60"/>
      <c r="P6" s="59"/>
      <c r="Q6" s="61"/>
      <c r="R6" s="56"/>
      <c r="S6" s="62"/>
    </row>
    <row r="7" spans="1:19" s="6" customFormat="1" x14ac:dyDescent="0.25">
      <c r="A7" s="48"/>
      <c r="B7" s="49"/>
      <c r="C7" s="50"/>
      <c r="D7" s="51"/>
      <c r="E7" s="52"/>
      <c r="F7" s="53"/>
      <c r="G7" s="51"/>
      <c r="H7" s="54"/>
      <c r="I7" s="55"/>
      <c r="J7" s="55"/>
      <c r="K7" s="56"/>
      <c r="L7" s="57"/>
      <c r="M7" s="58"/>
      <c r="N7" s="59"/>
      <c r="O7" s="60"/>
      <c r="P7" s="59"/>
      <c r="Q7" s="61"/>
      <c r="R7" s="56"/>
      <c r="S7" s="62"/>
    </row>
    <row r="8" spans="1:19" s="6" customFormat="1" x14ac:dyDescent="0.25">
      <c r="A8" s="48"/>
      <c r="B8" s="49"/>
      <c r="C8" s="50"/>
      <c r="D8" s="51"/>
      <c r="E8" s="52"/>
      <c r="F8" s="53"/>
      <c r="G8" s="51"/>
      <c r="H8" s="54"/>
      <c r="I8" s="55"/>
      <c r="J8" s="55"/>
      <c r="K8" s="56"/>
      <c r="L8" s="57"/>
      <c r="M8" s="58"/>
      <c r="N8" s="59"/>
      <c r="O8" s="60"/>
      <c r="P8" s="59"/>
      <c r="Q8" s="61"/>
      <c r="R8" s="56"/>
      <c r="S8" s="62"/>
    </row>
    <row r="9" spans="1:19" s="6" customFormat="1" x14ac:dyDescent="0.25">
      <c r="A9" s="48"/>
      <c r="B9" s="49"/>
      <c r="C9" s="50"/>
      <c r="D9" s="51"/>
      <c r="E9" s="52"/>
      <c r="F9" s="53"/>
      <c r="G9" s="51"/>
      <c r="H9" s="54"/>
      <c r="I9" s="55"/>
      <c r="J9" s="55"/>
      <c r="K9" s="56"/>
      <c r="L9" s="57"/>
      <c r="M9" s="58"/>
      <c r="N9" s="59"/>
      <c r="O9" s="60"/>
      <c r="P9" s="59"/>
      <c r="Q9" s="61"/>
      <c r="R9" s="56"/>
      <c r="S9" s="62"/>
    </row>
    <row r="10" spans="1:19" s="6" customFormat="1" x14ac:dyDescent="0.25">
      <c r="A10" s="48"/>
      <c r="B10" s="49"/>
      <c r="C10" s="50"/>
      <c r="D10" s="51"/>
      <c r="E10" s="52"/>
      <c r="F10" s="53"/>
      <c r="G10" s="51"/>
      <c r="H10" s="54"/>
      <c r="I10" s="55"/>
      <c r="J10" s="55"/>
      <c r="K10" s="56"/>
      <c r="L10" s="57"/>
      <c r="M10" s="58"/>
      <c r="N10" s="59"/>
      <c r="O10" s="60"/>
      <c r="P10" s="59"/>
      <c r="Q10" s="61"/>
      <c r="R10" s="56"/>
      <c r="S10" s="62"/>
    </row>
    <row r="11" spans="1:19" s="6" customFormat="1" x14ac:dyDescent="0.25">
      <c r="A11" s="48"/>
      <c r="B11" s="49"/>
      <c r="C11" s="50"/>
      <c r="D11" s="51"/>
      <c r="E11" s="52"/>
      <c r="F11" s="53"/>
      <c r="G11" s="51"/>
      <c r="H11" s="54"/>
      <c r="I11" s="55"/>
      <c r="J11" s="55"/>
      <c r="K11" s="56"/>
      <c r="L11" s="57"/>
      <c r="M11" s="58"/>
      <c r="N11" s="59"/>
      <c r="O11" s="60"/>
      <c r="P11" s="59"/>
      <c r="Q11" s="61"/>
      <c r="R11" s="56"/>
      <c r="S11" s="62"/>
    </row>
    <row r="12" spans="1:19" s="6" customFormat="1" x14ac:dyDescent="0.25">
      <c r="A12" s="48"/>
      <c r="B12" s="49"/>
      <c r="C12" s="50"/>
      <c r="D12" s="51"/>
      <c r="E12" s="52"/>
      <c r="F12" s="53"/>
      <c r="G12" s="51"/>
      <c r="H12" s="54"/>
      <c r="I12" s="55"/>
      <c r="J12" s="55"/>
      <c r="K12" s="56"/>
      <c r="L12" s="57"/>
      <c r="M12" s="58"/>
      <c r="N12" s="59"/>
      <c r="O12" s="60"/>
      <c r="P12" s="59"/>
      <c r="Q12" s="61"/>
      <c r="R12" s="56"/>
      <c r="S12" s="62"/>
    </row>
    <row r="13" spans="1:19" s="6" customFormat="1" x14ac:dyDescent="0.25">
      <c r="A13" s="48"/>
      <c r="B13" s="49"/>
      <c r="C13" s="50"/>
      <c r="D13" s="51"/>
      <c r="E13" s="52"/>
      <c r="F13" s="53"/>
      <c r="G13" s="51"/>
      <c r="H13" s="54"/>
      <c r="I13" s="55"/>
      <c r="J13" s="55"/>
      <c r="K13" s="56"/>
      <c r="L13" s="57"/>
      <c r="M13" s="58"/>
      <c r="N13" s="59"/>
      <c r="O13" s="60"/>
      <c r="P13" s="59"/>
      <c r="Q13" s="61"/>
      <c r="R13" s="56"/>
      <c r="S13" s="62"/>
    </row>
    <row r="14" spans="1:19" s="6" customFormat="1" x14ac:dyDescent="0.25">
      <c r="A14" s="48"/>
      <c r="B14" s="49"/>
      <c r="C14" s="50"/>
      <c r="D14" s="51"/>
      <c r="E14" s="52"/>
      <c r="F14" s="53"/>
      <c r="G14" s="51"/>
      <c r="H14" s="54"/>
      <c r="I14" s="55"/>
      <c r="J14" s="55"/>
      <c r="K14" s="56"/>
      <c r="L14" s="57"/>
      <c r="M14" s="58"/>
      <c r="N14" s="59"/>
      <c r="O14" s="60"/>
      <c r="P14" s="59"/>
      <c r="Q14" s="61"/>
      <c r="R14" s="56"/>
      <c r="S14" s="62"/>
    </row>
    <row r="15" spans="1:19" s="6" customFormat="1" x14ac:dyDescent="0.25">
      <c r="A15" s="48"/>
      <c r="B15" s="49"/>
      <c r="C15" s="50"/>
      <c r="D15" s="51"/>
      <c r="E15" s="52"/>
      <c r="F15" s="53"/>
      <c r="G15" s="51"/>
      <c r="H15" s="54"/>
      <c r="I15" s="55"/>
      <c r="J15" s="55"/>
      <c r="K15" s="56"/>
      <c r="L15" s="57"/>
      <c r="M15" s="58"/>
      <c r="N15" s="59"/>
      <c r="O15" s="60"/>
      <c r="P15" s="59"/>
      <c r="Q15" s="61"/>
      <c r="R15" s="56"/>
      <c r="S15" s="62"/>
    </row>
    <row r="16" spans="1:19" s="6" customFormat="1" x14ac:dyDescent="0.25">
      <c r="A16" s="48"/>
      <c r="B16" s="49"/>
      <c r="C16" s="50"/>
      <c r="D16" s="51"/>
      <c r="E16" s="52"/>
      <c r="F16" s="53"/>
      <c r="G16" s="51"/>
      <c r="H16" s="54"/>
      <c r="I16" s="55"/>
      <c r="J16" s="55"/>
      <c r="K16" s="56"/>
      <c r="L16" s="57"/>
      <c r="M16" s="58"/>
      <c r="N16" s="59"/>
      <c r="O16" s="60"/>
      <c r="P16" s="59"/>
      <c r="Q16" s="61"/>
      <c r="R16" s="56"/>
      <c r="S16" s="62"/>
    </row>
    <row r="17" spans="1:19" s="6" customFormat="1" x14ac:dyDescent="0.25">
      <c r="A17" s="48"/>
      <c r="B17" s="49"/>
      <c r="C17" s="50"/>
      <c r="D17" s="51"/>
      <c r="E17" s="52"/>
      <c r="F17" s="53"/>
      <c r="G17" s="51"/>
      <c r="H17" s="54"/>
      <c r="I17" s="55"/>
      <c r="J17" s="55"/>
      <c r="K17" s="56"/>
      <c r="L17" s="57"/>
      <c r="M17" s="58"/>
      <c r="N17" s="59"/>
      <c r="O17" s="60"/>
      <c r="P17" s="59"/>
      <c r="Q17" s="61"/>
      <c r="R17" s="56"/>
      <c r="S17" s="62"/>
    </row>
    <row r="18" spans="1:19" s="6" customFormat="1" x14ac:dyDescent="0.25">
      <c r="A18" s="48"/>
      <c r="B18" s="49"/>
      <c r="C18" s="50"/>
      <c r="D18" s="51"/>
      <c r="E18" s="52"/>
      <c r="F18" s="53"/>
      <c r="G18" s="51"/>
      <c r="H18" s="54"/>
      <c r="I18" s="55"/>
      <c r="J18" s="55"/>
      <c r="K18" s="56"/>
      <c r="L18" s="57"/>
      <c r="M18" s="58"/>
      <c r="N18" s="59"/>
      <c r="O18" s="60"/>
      <c r="P18" s="59"/>
      <c r="Q18" s="61"/>
      <c r="R18" s="56"/>
      <c r="S18" s="62"/>
    </row>
    <row r="19" spans="1:19" s="6" customFormat="1" x14ac:dyDescent="0.25">
      <c r="A19" s="48"/>
      <c r="B19" s="49"/>
      <c r="C19" s="50"/>
      <c r="D19" s="51"/>
      <c r="E19" s="52"/>
      <c r="F19" s="53"/>
      <c r="G19" s="51"/>
      <c r="H19" s="54"/>
      <c r="I19" s="55"/>
      <c r="J19" s="55"/>
      <c r="K19" s="56"/>
      <c r="L19" s="57"/>
      <c r="M19" s="58"/>
      <c r="N19" s="59"/>
      <c r="O19" s="60"/>
      <c r="P19" s="59"/>
      <c r="Q19" s="61"/>
      <c r="R19" s="56"/>
      <c r="S19" s="62"/>
    </row>
    <row r="20" spans="1:19" s="6" customFormat="1" x14ac:dyDescent="0.25">
      <c r="A20" s="48"/>
      <c r="B20" s="49"/>
      <c r="C20" s="50"/>
      <c r="D20" s="51"/>
      <c r="E20" s="52"/>
      <c r="F20" s="53"/>
      <c r="G20" s="51"/>
      <c r="H20" s="54"/>
      <c r="I20" s="55"/>
      <c r="J20" s="55"/>
      <c r="K20" s="56"/>
      <c r="L20" s="57"/>
      <c r="M20" s="58"/>
      <c r="N20" s="59"/>
      <c r="O20" s="60"/>
      <c r="P20" s="59"/>
      <c r="Q20" s="61"/>
      <c r="R20" s="56"/>
      <c r="S20" s="62"/>
    </row>
    <row r="21" spans="1:19" s="6" customFormat="1" x14ac:dyDescent="0.25">
      <c r="A21" s="48"/>
      <c r="B21" s="49"/>
      <c r="C21" s="50"/>
      <c r="D21" s="51"/>
      <c r="E21" s="52"/>
      <c r="F21" s="53"/>
      <c r="G21" s="51"/>
      <c r="H21" s="54"/>
      <c r="I21" s="55"/>
      <c r="J21" s="55"/>
      <c r="K21" s="56"/>
      <c r="L21" s="57"/>
      <c r="M21" s="58"/>
      <c r="N21" s="59"/>
      <c r="O21" s="60"/>
      <c r="P21" s="59"/>
      <c r="Q21" s="61"/>
      <c r="R21" s="56"/>
      <c r="S21" s="62"/>
    </row>
    <row r="22" spans="1:19" s="6" customFormat="1" x14ac:dyDescent="0.25">
      <c r="A22" s="48"/>
      <c r="B22" s="49"/>
      <c r="C22" s="50"/>
      <c r="D22" s="51"/>
      <c r="E22" s="52"/>
      <c r="F22" s="53"/>
      <c r="G22" s="51"/>
      <c r="H22" s="54"/>
      <c r="I22" s="55"/>
      <c r="J22" s="55"/>
      <c r="K22" s="56"/>
      <c r="L22" s="57"/>
      <c r="M22" s="58"/>
      <c r="N22" s="59"/>
      <c r="O22" s="60"/>
      <c r="P22" s="59"/>
      <c r="Q22" s="61"/>
      <c r="R22" s="56"/>
      <c r="S22" s="62"/>
    </row>
    <row r="23" spans="1:19" s="6" customFormat="1" x14ac:dyDescent="0.25">
      <c r="A23" s="48"/>
      <c r="B23" s="49"/>
      <c r="C23" s="50"/>
      <c r="D23" s="51"/>
      <c r="E23" s="52"/>
      <c r="F23" s="53"/>
      <c r="G23" s="51"/>
      <c r="H23" s="54"/>
      <c r="I23" s="55"/>
      <c r="J23" s="55"/>
      <c r="K23" s="56"/>
      <c r="L23" s="57"/>
      <c r="M23" s="58"/>
      <c r="N23" s="59"/>
      <c r="O23" s="60"/>
      <c r="P23" s="59"/>
      <c r="Q23" s="61"/>
      <c r="R23" s="56"/>
      <c r="S23" s="62"/>
    </row>
    <row r="24" spans="1:19" s="6" customFormat="1" x14ac:dyDescent="0.25">
      <c r="A24" s="48"/>
      <c r="B24" s="49"/>
      <c r="C24" s="50"/>
      <c r="D24" s="51"/>
      <c r="E24" s="52"/>
      <c r="F24" s="53"/>
      <c r="G24" s="51"/>
      <c r="H24" s="54"/>
      <c r="I24" s="55"/>
      <c r="J24" s="55"/>
      <c r="K24" s="56"/>
      <c r="L24" s="57"/>
      <c r="M24" s="58"/>
      <c r="N24" s="59"/>
      <c r="O24" s="60"/>
      <c r="P24" s="59"/>
      <c r="Q24" s="61"/>
      <c r="R24" s="56"/>
      <c r="S24" s="62"/>
    </row>
    <row r="25" spans="1:19" s="6" customFormat="1" x14ac:dyDescent="0.25">
      <c r="A25" s="48"/>
      <c r="B25" s="49"/>
      <c r="C25" s="50"/>
      <c r="D25" s="51"/>
      <c r="E25" s="52"/>
      <c r="F25" s="53"/>
      <c r="G25" s="51"/>
      <c r="H25" s="54"/>
      <c r="I25" s="55"/>
      <c r="J25" s="55"/>
      <c r="K25" s="56"/>
      <c r="L25" s="57"/>
      <c r="M25" s="58"/>
      <c r="N25" s="59"/>
      <c r="O25" s="60"/>
      <c r="P25" s="59"/>
      <c r="Q25" s="61"/>
      <c r="R25" s="56"/>
      <c r="S25" s="62"/>
    </row>
    <row r="26" spans="1:19" s="6" customFormat="1" x14ac:dyDescent="0.25">
      <c r="A26" s="48"/>
      <c r="B26" s="49"/>
      <c r="C26" s="50"/>
      <c r="D26" s="51"/>
      <c r="E26" s="52"/>
      <c r="F26" s="53"/>
      <c r="G26" s="51"/>
      <c r="H26" s="54"/>
      <c r="I26" s="55"/>
      <c r="J26" s="55"/>
      <c r="K26" s="56"/>
      <c r="L26" s="57"/>
      <c r="M26" s="58"/>
      <c r="N26" s="59"/>
      <c r="O26" s="60"/>
      <c r="P26" s="59"/>
      <c r="Q26" s="61"/>
      <c r="R26" s="56"/>
      <c r="S26" s="62"/>
    </row>
    <row r="27" spans="1:19" s="6" customFormat="1" x14ac:dyDescent="0.25">
      <c r="A27" s="48"/>
      <c r="B27" s="49"/>
      <c r="C27" s="50"/>
      <c r="D27" s="51"/>
      <c r="E27" s="52"/>
      <c r="F27" s="53"/>
      <c r="G27" s="51"/>
      <c r="H27" s="54"/>
      <c r="I27" s="55"/>
      <c r="J27" s="55"/>
      <c r="K27" s="56"/>
      <c r="L27" s="57"/>
      <c r="M27" s="58"/>
      <c r="N27" s="59"/>
      <c r="O27" s="60"/>
      <c r="P27" s="59"/>
      <c r="Q27" s="61"/>
      <c r="R27" s="56"/>
      <c r="S27" s="62"/>
    </row>
    <row r="28" spans="1:19" s="6" customFormat="1" x14ac:dyDescent="0.25">
      <c r="A28" s="48"/>
      <c r="B28" s="49"/>
      <c r="C28" s="50"/>
      <c r="D28" s="51"/>
      <c r="E28" s="52"/>
      <c r="F28" s="53"/>
      <c r="G28" s="51"/>
      <c r="H28" s="54"/>
      <c r="I28" s="55"/>
      <c r="J28" s="55"/>
      <c r="K28" s="56"/>
      <c r="L28" s="57"/>
      <c r="M28" s="58"/>
      <c r="N28" s="59"/>
      <c r="O28" s="60"/>
      <c r="P28" s="59"/>
      <c r="Q28" s="61"/>
      <c r="R28" s="56"/>
      <c r="S28" s="62"/>
    </row>
    <row r="29" spans="1:19" s="6" customFormat="1" x14ac:dyDescent="0.25">
      <c r="A29" s="48"/>
      <c r="B29" s="49"/>
      <c r="C29" s="50"/>
      <c r="D29" s="51"/>
      <c r="E29" s="52"/>
      <c r="F29" s="53"/>
      <c r="G29" s="51"/>
      <c r="H29" s="54"/>
      <c r="I29" s="55"/>
      <c r="J29" s="55"/>
      <c r="K29" s="56"/>
      <c r="L29" s="57"/>
      <c r="M29" s="58"/>
      <c r="N29" s="59"/>
      <c r="O29" s="60"/>
      <c r="P29" s="59"/>
      <c r="Q29" s="61"/>
      <c r="R29" s="56"/>
      <c r="S29" s="62"/>
    </row>
    <row r="30" spans="1:19" s="6" customFormat="1" x14ac:dyDescent="0.25">
      <c r="A30" s="48"/>
      <c r="B30" s="49"/>
      <c r="C30" s="50"/>
      <c r="D30" s="51"/>
      <c r="E30" s="52"/>
      <c r="F30" s="53"/>
      <c r="G30" s="51"/>
      <c r="H30" s="54"/>
      <c r="I30" s="55"/>
      <c r="J30" s="55"/>
      <c r="K30" s="56"/>
      <c r="L30" s="57"/>
      <c r="M30" s="58"/>
      <c r="N30" s="59"/>
      <c r="O30" s="60"/>
      <c r="P30" s="59"/>
      <c r="Q30" s="61"/>
      <c r="R30" s="56"/>
      <c r="S30" s="62"/>
    </row>
    <row r="31" spans="1:19" s="6" customFormat="1" x14ac:dyDescent="0.25">
      <c r="A31" s="48"/>
      <c r="B31" s="49"/>
      <c r="C31" s="50"/>
      <c r="D31" s="51"/>
      <c r="E31" s="52"/>
      <c r="F31" s="53"/>
      <c r="G31" s="51"/>
      <c r="H31" s="54"/>
      <c r="I31" s="55"/>
      <c r="J31" s="55"/>
      <c r="K31" s="56"/>
      <c r="L31" s="57"/>
      <c r="M31" s="58"/>
      <c r="N31" s="59"/>
      <c r="O31" s="60"/>
      <c r="P31" s="59"/>
      <c r="Q31" s="61"/>
      <c r="R31" s="56"/>
      <c r="S31" s="62"/>
    </row>
    <row r="32" spans="1:19" s="6" customFormat="1" x14ac:dyDescent="0.25">
      <c r="A32" s="48"/>
      <c r="B32" s="49"/>
      <c r="C32" s="50"/>
      <c r="D32" s="51"/>
      <c r="E32" s="52"/>
      <c r="F32" s="53"/>
      <c r="G32" s="51"/>
      <c r="H32" s="54"/>
      <c r="I32" s="55"/>
      <c r="J32" s="55"/>
      <c r="K32" s="56"/>
      <c r="L32" s="57"/>
      <c r="M32" s="58"/>
      <c r="N32" s="59"/>
      <c r="O32" s="60"/>
      <c r="P32" s="59"/>
      <c r="Q32" s="61"/>
      <c r="R32" s="56"/>
      <c r="S32" s="62"/>
    </row>
    <row r="33" spans="1:19" s="6" customFormat="1" x14ac:dyDescent="0.25">
      <c r="A33" s="48"/>
      <c r="B33" s="49"/>
      <c r="C33" s="50"/>
      <c r="D33" s="51"/>
      <c r="E33" s="52"/>
      <c r="F33" s="53"/>
      <c r="G33" s="51"/>
      <c r="H33" s="54"/>
      <c r="I33" s="55"/>
      <c r="J33" s="55"/>
      <c r="K33" s="56"/>
      <c r="L33" s="57"/>
      <c r="M33" s="58"/>
      <c r="N33" s="59"/>
      <c r="O33" s="60"/>
      <c r="P33" s="59"/>
      <c r="Q33" s="61"/>
      <c r="R33" s="56"/>
      <c r="S33" s="62"/>
    </row>
    <row r="34" spans="1:19" s="6" customFormat="1" x14ac:dyDescent="0.25">
      <c r="A34" s="48"/>
      <c r="B34" s="49"/>
      <c r="C34" s="50"/>
      <c r="D34" s="51"/>
      <c r="E34" s="52"/>
      <c r="F34" s="53"/>
      <c r="G34" s="51"/>
      <c r="H34" s="54"/>
      <c r="I34" s="55"/>
      <c r="J34" s="55"/>
      <c r="K34" s="56"/>
      <c r="L34" s="57"/>
      <c r="M34" s="58"/>
      <c r="N34" s="59"/>
      <c r="O34" s="60"/>
      <c r="P34" s="59"/>
      <c r="Q34" s="61"/>
      <c r="R34" s="56"/>
      <c r="S34" s="62"/>
    </row>
    <row r="35" spans="1:19" s="6" customFormat="1" x14ac:dyDescent="0.25">
      <c r="A35" s="48"/>
      <c r="B35" s="49"/>
      <c r="C35" s="50"/>
      <c r="D35" s="51"/>
      <c r="E35" s="52"/>
      <c r="F35" s="53"/>
      <c r="G35" s="51"/>
      <c r="H35" s="54"/>
      <c r="I35" s="55"/>
      <c r="J35" s="55"/>
      <c r="K35" s="56"/>
      <c r="L35" s="57"/>
      <c r="M35" s="58"/>
      <c r="N35" s="59"/>
      <c r="O35" s="60"/>
      <c r="P35" s="59"/>
      <c r="Q35" s="61"/>
      <c r="R35" s="56"/>
      <c r="S35" s="62"/>
    </row>
    <row r="36" spans="1:19" s="6" customFormat="1" x14ac:dyDescent="0.25">
      <c r="A36" s="48"/>
      <c r="B36" s="49"/>
      <c r="C36" s="50"/>
      <c r="D36" s="51"/>
      <c r="E36" s="52"/>
      <c r="F36" s="53"/>
      <c r="G36" s="51"/>
      <c r="H36" s="54"/>
      <c r="I36" s="55"/>
      <c r="J36" s="55"/>
      <c r="K36" s="56"/>
      <c r="L36" s="57"/>
      <c r="M36" s="58"/>
      <c r="N36" s="59"/>
      <c r="O36" s="60"/>
      <c r="P36" s="59"/>
      <c r="Q36" s="61"/>
      <c r="R36" s="56"/>
      <c r="S36" s="62"/>
    </row>
    <row r="37" spans="1:19" s="6" customFormat="1" x14ac:dyDescent="0.25">
      <c r="A37" s="48"/>
      <c r="B37" s="49"/>
      <c r="C37" s="50"/>
      <c r="D37" s="51"/>
      <c r="E37" s="52"/>
      <c r="F37" s="53"/>
      <c r="G37" s="51"/>
      <c r="H37" s="54"/>
      <c r="I37" s="55"/>
      <c r="J37" s="55"/>
      <c r="K37" s="56"/>
      <c r="L37" s="57"/>
      <c r="M37" s="58"/>
      <c r="N37" s="59"/>
      <c r="O37" s="60"/>
      <c r="P37" s="59"/>
      <c r="Q37" s="61"/>
      <c r="R37" s="56"/>
      <c r="S37" s="62"/>
    </row>
    <row r="38" spans="1:19" s="6" customFormat="1" x14ac:dyDescent="0.25">
      <c r="A38" s="48"/>
      <c r="B38" s="49"/>
      <c r="C38" s="50"/>
      <c r="D38" s="51"/>
      <c r="E38" s="52"/>
      <c r="F38" s="53"/>
      <c r="G38" s="51"/>
      <c r="H38" s="54"/>
      <c r="I38" s="55"/>
      <c r="J38" s="55"/>
      <c r="K38" s="56"/>
      <c r="L38" s="57"/>
      <c r="M38" s="58"/>
      <c r="N38" s="59"/>
      <c r="O38" s="60"/>
      <c r="P38" s="59"/>
      <c r="Q38" s="61"/>
      <c r="R38" s="56"/>
      <c r="S38" s="62"/>
    </row>
    <row r="39" spans="1:19" s="6" customFormat="1" ht="15.75" thickBot="1" x14ac:dyDescent="0.3">
      <c r="A39" s="48"/>
      <c r="B39" s="49"/>
      <c r="C39" s="50"/>
      <c r="D39" s="51"/>
      <c r="E39" s="52"/>
      <c r="F39" s="53"/>
      <c r="G39" s="51"/>
      <c r="H39" s="54"/>
      <c r="I39" s="55"/>
      <c r="J39" s="55"/>
      <c r="K39" s="56"/>
      <c r="L39" s="57"/>
      <c r="M39" s="58"/>
      <c r="N39" s="59"/>
      <c r="O39" s="60"/>
      <c r="P39" s="59"/>
      <c r="Q39" s="61"/>
      <c r="R39" s="56"/>
      <c r="S39" s="62"/>
    </row>
    <row r="40" spans="1:19" ht="21" thickBot="1" x14ac:dyDescent="0.35">
      <c r="A40" s="80" t="s">
        <v>23</v>
      </c>
      <c r="B40" s="81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1"/>
      <c r="R40" s="81"/>
      <c r="S40" s="82"/>
    </row>
    <row r="41" spans="1:19" ht="15.75" thickBot="1" x14ac:dyDescent="0.3">
      <c r="A41" s="113"/>
      <c r="B41" s="109">
        <f>SUM(B5:B40)</f>
        <v>0</v>
      </c>
      <c r="C41" s="113"/>
      <c r="D41" s="109">
        <f>SUM(D5:D40)</f>
        <v>0</v>
      </c>
      <c r="E41" s="113"/>
      <c r="F41" s="113"/>
      <c r="G41" s="113"/>
      <c r="H41" s="111">
        <f>SUM(H5:H40)</f>
        <v>0</v>
      </c>
      <c r="I41" s="110">
        <f>SUM(I5:I40)</f>
        <v>0</v>
      </c>
      <c r="J41" s="110">
        <f>SUM(J5:J40)</f>
        <v>0</v>
      </c>
      <c r="K41" s="113"/>
      <c r="L41" s="113"/>
      <c r="M41" s="112">
        <f>SUM(M5:M40)</f>
        <v>0</v>
      </c>
      <c r="N41" s="113"/>
      <c r="O41" s="112">
        <f>SUM(O5:O40)</f>
        <v>0</v>
      </c>
      <c r="P41" s="113"/>
      <c r="Q41" s="112">
        <f>SUM(Q5:Q40)</f>
        <v>0</v>
      </c>
      <c r="R41" s="112">
        <f>SUM(R5:R40)</f>
        <v>0</v>
      </c>
      <c r="S41" s="112">
        <f>SUM(S5:S40)</f>
        <v>0</v>
      </c>
    </row>
    <row r="42" spans="1:19" x14ac:dyDescent="0.25">
      <c r="J42" s="63"/>
    </row>
  </sheetData>
  <sheetProtection insertColumns="0" insertRows="0" deleteColumns="0" deleteRows="0"/>
  <mergeCells count="9">
    <mergeCell ref="A40:S40"/>
    <mergeCell ref="A1:S1"/>
    <mergeCell ref="B2:G3"/>
    <mergeCell ref="H2:J3"/>
    <mergeCell ref="K2:S2"/>
    <mergeCell ref="K3:K4"/>
    <mergeCell ref="L3:M3"/>
    <mergeCell ref="N3:S3"/>
    <mergeCell ref="A2:A3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F6"/>
  <sheetViews>
    <sheetView workbookViewId="0">
      <selection activeCell="G5" sqref="G5"/>
    </sheetView>
  </sheetViews>
  <sheetFormatPr defaultRowHeight="15" x14ac:dyDescent="0.25"/>
  <cols>
    <col min="1" max="1" width="9.140625" style="1"/>
    <col min="2" max="2" width="9.140625" style="46"/>
    <col min="3" max="3" width="15.140625" style="47" bestFit="1" customWidth="1"/>
    <col min="4" max="4" width="9.140625" style="47"/>
    <col min="5" max="5" width="9.42578125" style="1" bestFit="1" customWidth="1"/>
    <col min="6" max="16384" width="9.140625" style="1"/>
  </cols>
  <sheetData>
    <row r="1" spans="1:6" ht="15.75" thickBot="1" x14ac:dyDescent="0.3">
      <c r="A1" s="107" t="s">
        <v>5</v>
      </c>
      <c r="B1" s="108"/>
      <c r="C1" s="1"/>
      <c r="D1" s="107" t="s">
        <v>34</v>
      </c>
      <c r="E1" s="108"/>
    </row>
    <row r="2" spans="1:6" ht="15.75" thickBot="1" x14ac:dyDescent="0.3">
      <c r="A2" s="36" t="s">
        <v>32</v>
      </c>
      <c r="B2" s="40">
        <v>3.2500000000000001E-2</v>
      </c>
      <c r="C2" s="1"/>
      <c r="D2" s="36" t="s">
        <v>18</v>
      </c>
      <c r="E2" s="40">
        <v>1.44E-2</v>
      </c>
    </row>
    <row r="3" spans="1:6" ht="15.75" thickBot="1" x14ac:dyDescent="0.3">
      <c r="A3" s="36" t="s">
        <v>33</v>
      </c>
      <c r="B3" s="40">
        <v>4.4999999999999998E-2</v>
      </c>
      <c r="C3" s="1"/>
      <c r="D3" s="1"/>
    </row>
    <row r="5" spans="1:6" x14ac:dyDescent="0.25">
      <c r="A5" s="37" t="s">
        <v>24</v>
      </c>
      <c r="B5" s="38" t="s">
        <v>28</v>
      </c>
      <c r="C5" s="39" t="s">
        <v>29</v>
      </c>
      <c r="D5" s="37" t="s">
        <v>30</v>
      </c>
      <c r="E5" s="37" t="s">
        <v>31</v>
      </c>
      <c r="F5" s="37" t="s">
        <v>0</v>
      </c>
    </row>
    <row r="6" spans="1:6" hidden="1" x14ac:dyDescent="0.25">
      <c r="A6" s="41">
        <f>Planilha1!P6</f>
        <v>0</v>
      </c>
      <c r="B6" s="42">
        <f>Planilha1!T8</f>
        <v>0</v>
      </c>
      <c r="C6" s="43">
        <f>Planilha1!P8</f>
        <v>0</v>
      </c>
      <c r="D6" s="44">
        <f>Planilha1!P10</f>
        <v>0</v>
      </c>
      <c r="E6" s="45">
        <f>SUMIF(A2:A3,D6,B2:B3)</f>
        <v>0</v>
      </c>
      <c r="F6" s="115">
        <f>Planilha1!T10</f>
        <v>0</v>
      </c>
    </row>
  </sheetData>
  <mergeCells count="2">
    <mergeCell ref="A1:B1"/>
    <mergeCell ref="D1:E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Plan1</vt:lpstr>
      <vt:lpstr>Cadastro Produtos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 Roetger Silva</dc:creator>
  <cp:lastModifiedBy>ProCont Soluções</cp:lastModifiedBy>
  <dcterms:created xsi:type="dcterms:W3CDTF">2017-10-27T11:24:32Z</dcterms:created>
  <dcterms:modified xsi:type="dcterms:W3CDTF">2018-03-23T21:35:53Z</dcterms:modified>
</cp:coreProperties>
</file>