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Dropbox\Condominio Jardim I\"/>
    </mc:Choice>
  </mc:AlternateContent>
  <bookViews>
    <workbookView xWindow="0" yWindow="0" windowWidth="28800" windowHeight="11835"/>
  </bookViews>
  <sheets>
    <sheet name="2.018 Demonstrativos" sheetId="10" r:id="rId1"/>
  </sheets>
  <definedNames>
    <definedName name="_xlnm.Print_Area" localSheetId="0">'2.018 Demonstrativos'!$A$1:$S$135</definedName>
    <definedName name="_xlnm.Print_Titles" localSheetId="0">'2.018 Demonstrativos'!$A:$C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9" i="10" l="1"/>
  <c r="U77" i="10"/>
  <c r="T77" i="10"/>
  <c r="R74" i="10" l="1"/>
  <c r="R75" i="10"/>
  <c r="P55" i="10" l="1"/>
  <c r="P60" i="10" s="1"/>
  <c r="O55" i="10"/>
  <c r="O60" i="10" s="1"/>
  <c r="N55" i="10"/>
  <c r="N60" i="10" s="1"/>
  <c r="M55" i="10"/>
  <c r="M60" i="10" s="1"/>
  <c r="L55" i="10"/>
  <c r="L60" i="10" s="1"/>
  <c r="K55" i="10"/>
  <c r="K60" i="10" s="1"/>
  <c r="J55" i="10"/>
  <c r="J60" i="10" s="1"/>
  <c r="I55" i="10"/>
  <c r="I60" i="10" s="1"/>
  <c r="H55" i="10"/>
  <c r="H60" i="10" s="1"/>
  <c r="P70" i="10"/>
  <c r="O70" i="10"/>
  <c r="N70" i="10"/>
  <c r="M70" i="10"/>
  <c r="L70" i="10"/>
  <c r="K70" i="10"/>
  <c r="J70" i="10"/>
  <c r="I70" i="10"/>
  <c r="H70" i="10"/>
  <c r="G70" i="10"/>
  <c r="F70" i="10"/>
  <c r="E70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S79" i="10"/>
  <c r="Q79" i="10"/>
  <c r="S78" i="10"/>
  <c r="Q78" i="10"/>
  <c r="S77" i="10"/>
  <c r="Q77" i="10"/>
  <c r="S76" i="10"/>
  <c r="Q76" i="10"/>
  <c r="S74" i="10" l="1"/>
  <c r="Q74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S62" i="10"/>
  <c r="U15" i="10" l="1"/>
  <c r="T15" i="10"/>
  <c r="Q55" i="10" l="1"/>
  <c r="S55" i="10"/>
  <c r="Q49" i="10" l="1"/>
  <c r="N94" i="10"/>
  <c r="S94" i="10" s="1"/>
  <c r="N40" i="10"/>
  <c r="M40" i="10"/>
  <c r="L40" i="10"/>
  <c r="K40" i="10"/>
  <c r="J40" i="10"/>
  <c r="I40" i="10"/>
  <c r="H40" i="10"/>
  <c r="G40" i="10"/>
  <c r="F40" i="10"/>
  <c r="E40" i="10"/>
  <c r="P38" i="10"/>
  <c r="P37" i="10" s="1"/>
  <c r="O38" i="10"/>
  <c r="O37" i="10" s="1"/>
  <c r="N38" i="10"/>
  <c r="N37" i="10" s="1"/>
  <c r="M38" i="10"/>
  <c r="M37" i="10" s="1"/>
  <c r="L38" i="10"/>
  <c r="K38" i="10"/>
  <c r="K37" i="10" s="1"/>
  <c r="J38" i="10"/>
  <c r="J37" i="10" s="1"/>
  <c r="I38" i="10"/>
  <c r="I37" i="10" s="1"/>
  <c r="H38" i="10"/>
  <c r="H37" i="10" s="1"/>
  <c r="G38" i="10"/>
  <c r="G37" i="10" s="1"/>
  <c r="F38" i="10"/>
  <c r="F37" i="10" s="1"/>
  <c r="E38" i="10"/>
  <c r="E37" i="10" s="1"/>
  <c r="S13" i="10"/>
  <c r="S12" i="10"/>
  <c r="S11" i="10"/>
  <c r="S10" i="10"/>
  <c r="S9" i="10"/>
  <c r="S8" i="10"/>
  <c r="Q13" i="10"/>
  <c r="Q12" i="10"/>
  <c r="Q11" i="10"/>
  <c r="Q10" i="10"/>
  <c r="Q9" i="10"/>
  <c r="Q8" i="10"/>
  <c r="E14" i="10"/>
  <c r="S14" i="10" s="1"/>
  <c r="Q16" i="10"/>
  <c r="S16" i="10"/>
  <c r="Q17" i="10"/>
  <c r="S17" i="10"/>
  <c r="Q18" i="10"/>
  <c r="S18" i="10"/>
  <c r="Q19" i="10"/>
  <c r="S19" i="10"/>
  <c r="Q20" i="10"/>
  <c r="S20" i="10"/>
  <c r="Q21" i="10"/>
  <c r="S21" i="10"/>
  <c r="Q22" i="10"/>
  <c r="S22" i="10"/>
  <c r="Q23" i="10"/>
  <c r="S23" i="10"/>
  <c r="Q24" i="10"/>
  <c r="S24" i="10"/>
  <c r="Q25" i="10"/>
  <c r="S25" i="10"/>
  <c r="Q26" i="10"/>
  <c r="S26" i="10"/>
  <c r="Q27" i="10"/>
  <c r="S27" i="10"/>
  <c r="Q28" i="10"/>
  <c r="S28" i="10"/>
  <c r="S127" i="10"/>
  <c r="Q127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S125" i="10"/>
  <c r="S124" i="10"/>
  <c r="Q124" i="10"/>
  <c r="S123" i="10"/>
  <c r="Q123" i="10"/>
  <c r="S122" i="10"/>
  <c r="Q122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S119" i="10"/>
  <c r="Q119" i="10"/>
  <c r="S118" i="10"/>
  <c r="Q118" i="10"/>
  <c r="S117" i="10"/>
  <c r="Q117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S114" i="10"/>
  <c r="Q114" i="10"/>
  <c r="S113" i="10"/>
  <c r="Q113" i="10"/>
  <c r="S112" i="10"/>
  <c r="Q112" i="10"/>
  <c r="S111" i="10"/>
  <c r="Q111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S108" i="10"/>
  <c r="Q108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S105" i="10"/>
  <c r="Q105" i="10"/>
  <c r="S104" i="10"/>
  <c r="Q104" i="10"/>
  <c r="S103" i="10"/>
  <c r="Q103" i="10"/>
  <c r="S102" i="10"/>
  <c r="Q102" i="10"/>
  <c r="S101" i="10"/>
  <c r="Q101" i="10"/>
  <c r="S100" i="10"/>
  <c r="Q100" i="10"/>
  <c r="S99" i="10"/>
  <c r="Q99" i="10"/>
  <c r="S98" i="10"/>
  <c r="Q98" i="10"/>
  <c r="S97" i="10"/>
  <c r="Q97" i="10"/>
  <c r="S96" i="10"/>
  <c r="Q96" i="10"/>
  <c r="S95" i="10"/>
  <c r="Q95" i="10"/>
  <c r="S93" i="10"/>
  <c r="Q93" i="10"/>
  <c r="P92" i="10"/>
  <c r="O92" i="10"/>
  <c r="M92" i="10"/>
  <c r="L92" i="10"/>
  <c r="K92" i="10"/>
  <c r="J92" i="10"/>
  <c r="I92" i="10"/>
  <c r="H92" i="10"/>
  <c r="G92" i="10"/>
  <c r="F92" i="10"/>
  <c r="E92" i="10"/>
  <c r="S90" i="10"/>
  <c r="Q90" i="10"/>
  <c r="S89" i="10"/>
  <c r="Q89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S86" i="10"/>
  <c r="Q86" i="10"/>
  <c r="S85" i="10"/>
  <c r="Q85" i="10"/>
  <c r="S84" i="10"/>
  <c r="Q84" i="10"/>
  <c r="S83" i="10"/>
  <c r="Q83" i="10"/>
  <c r="S82" i="10"/>
  <c r="Q82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S72" i="10"/>
  <c r="Q72" i="10"/>
  <c r="S71" i="10"/>
  <c r="Q71" i="10"/>
  <c r="S75" i="10"/>
  <c r="Q75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S44" i="10"/>
  <c r="Q44" i="10"/>
  <c r="S43" i="10"/>
  <c r="Q43" i="10"/>
  <c r="S41" i="10"/>
  <c r="Q41" i="10"/>
  <c r="S39" i="10"/>
  <c r="Q39" i="10"/>
  <c r="S35" i="10"/>
  <c r="Q35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S32" i="10"/>
  <c r="Q32" i="10"/>
  <c r="S31" i="10"/>
  <c r="Q31" i="10"/>
  <c r="P30" i="10"/>
  <c r="P53" i="10" s="1"/>
  <c r="O30" i="10"/>
  <c r="O53" i="10" s="1"/>
  <c r="O64" i="10" s="1"/>
  <c r="N30" i="10"/>
  <c r="N53" i="10" s="1"/>
  <c r="M30" i="10"/>
  <c r="L30" i="10"/>
  <c r="L53" i="10" s="1"/>
  <c r="K30" i="10"/>
  <c r="J30" i="10"/>
  <c r="J53" i="10" s="1"/>
  <c r="J64" i="10" s="1"/>
  <c r="I30" i="10"/>
  <c r="H30" i="10"/>
  <c r="H53" i="10" s="1"/>
  <c r="H64" i="10" s="1"/>
  <c r="G30" i="10"/>
  <c r="G53" i="10" s="1"/>
  <c r="F30" i="10"/>
  <c r="F53" i="10" s="1"/>
  <c r="F64" i="10" s="1"/>
  <c r="E30" i="10"/>
  <c r="U16" i="10"/>
  <c r="S15" i="10"/>
  <c r="Q15" i="10"/>
  <c r="P7" i="10"/>
  <c r="O7" i="10"/>
  <c r="N7" i="10"/>
  <c r="M7" i="10"/>
  <c r="L7" i="10"/>
  <c r="K7" i="10"/>
  <c r="J7" i="10"/>
  <c r="I7" i="10"/>
  <c r="H7" i="10"/>
  <c r="G7" i="10"/>
  <c r="F7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P47" i="10"/>
  <c r="P51" i="10" s="1"/>
  <c r="O47" i="10"/>
  <c r="O51" i="10" s="1"/>
  <c r="N47" i="10"/>
  <c r="M47" i="10"/>
  <c r="M51" i="10" s="1"/>
  <c r="L47" i="10"/>
  <c r="L51" i="10" s="1"/>
  <c r="K47" i="10"/>
  <c r="K51" i="10" s="1"/>
  <c r="K61" i="10" s="1"/>
  <c r="J47" i="10"/>
  <c r="I47" i="10"/>
  <c r="H47" i="10"/>
  <c r="G47" i="10"/>
  <c r="G51" i="10" s="1"/>
  <c r="G59" i="10" s="1"/>
  <c r="G60" i="10" s="1"/>
  <c r="F47" i="10"/>
  <c r="E47" i="10"/>
  <c r="E51" i="10" s="1"/>
  <c r="E59" i="10" s="1"/>
  <c r="E60" i="10" s="1"/>
  <c r="O68" i="10" l="1"/>
  <c r="G68" i="10"/>
  <c r="G132" i="10" s="1"/>
  <c r="K68" i="10"/>
  <c r="K132" i="10" s="1"/>
  <c r="E68" i="10"/>
  <c r="E132" i="10" s="1"/>
  <c r="I68" i="10"/>
  <c r="I132" i="10" s="1"/>
  <c r="M68" i="10"/>
  <c r="F68" i="10"/>
  <c r="F132" i="10" s="1"/>
  <c r="J68" i="10"/>
  <c r="J132" i="10" s="1"/>
  <c r="H68" i="10"/>
  <c r="L68" i="10"/>
  <c r="L132" i="10" s="1"/>
  <c r="P68" i="10"/>
  <c r="P132" i="10" s="1"/>
  <c r="M59" i="10"/>
  <c r="M61" i="10"/>
  <c r="O59" i="10"/>
  <c r="O61" i="10"/>
  <c r="L59" i="10"/>
  <c r="L61" i="10"/>
  <c r="P59" i="10"/>
  <c r="P61" i="10"/>
  <c r="M132" i="10"/>
  <c r="E56" i="10"/>
  <c r="E7" i="10"/>
  <c r="Q7" i="10" s="1"/>
  <c r="Q14" i="10"/>
  <c r="N92" i="10"/>
  <c r="S92" i="10" s="1"/>
  <c r="Q40" i="10"/>
  <c r="S116" i="10"/>
  <c r="H5" i="10"/>
  <c r="H131" i="10" s="1"/>
  <c r="S34" i="10"/>
  <c r="S88" i="10"/>
  <c r="S126" i="10"/>
  <c r="S40" i="10"/>
  <c r="Q47" i="10"/>
  <c r="L37" i="10"/>
  <c r="L5" i="10" s="1"/>
  <c r="L131" i="10" s="1"/>
  <c r="Q94" i="10"/>
  <c r="S121" i="10"/>
  <c r="Q34" i="10"/>
  <c r="Q38" i="10"/>
  <c r="Q81" i="10"/>
  <c r="O132" i="10"/>
  <c r="H132" i="10"/>
  <c r="Q50" i="10"/>
  <c r="H51" i="10"/>
  <c r="I51" i="10"/>
  <c r="N54" i="10"/>
  <c r="S38" i="10"/>
  <c r="J5" i="10"/>
  <c r="J131" i="10" s="1"/>
  <c r="N5" i="10"/>
  <c r="N131" i="10" s="1"/>
  <c r="G5" i="10"/>
  <c r="G131" i="10" s="1"/>
  <c r="K5" i="10"/>
  <c r="K131" i="10" s="1"/>
  <c r="O5" i="10"/>
  <c r="O131" i="10" s="1"/>
  <c r="K53" i="10"/>
  <c r="K64" i="10" s="1"/>
  <c r="P5" i="10"/>
  <c r="P131" i="10" s="1"/>
  <c r="N64" i="10"/>
  <c r="I5" i="10"/>
  <c r="I131" i="10" s="1"/>
  <c r="M5" i="10"/>
  <c r="M131" i="10" s="1"/>
  <c r="F54" i="10"/>
  <c r="F5" i="10"/>
  <c r="F131" i="10" s="1"/>
  <c r="K59" i="10"/>
  <c r="K56" i="10"/>
  <c r="L54" i="10"/>
  <c r="L64" i="10"/>
  <c r="P54" i="10"/>
  <c r="P64" i="10"/>
  <c r="P56" i="10"/>
  <c r="I53" i="10"/>
  <c r="Q30" i="10"/>
  <c r="E53" i="10"/>
  <c r="E64" i="10" s="1"/>
  <c r="Q88" i="10"/>
  <c r="F51" i="10"/>
  <c r="F59" i="10" s="1"/>
  <c r="F60" i="10" s="1"/>
  <c r="J51" i="10"/>
  <c r="N51" i="10"/>
  <c r="J54" i="10"/>
  <c r="G56" i="10"/>
  <c r="M56" i="10"/>
  <c r="S81" i="10"/>
  <c r="Q70" i="10"/>
  <c r="S70" i="10"/>
  <c r="O56" i="10"/>
  <c r="S30" i="10"/>
  <c r="G64" i="10"/>
  <c r="G54" i="10"/>
  <c r="M53" i="10"/>
  <c r="O54" i="10"/>
  <c r="L56" i="10"/>
  <c r="S107" i="10"/>
  <c r="Q126" i="10"/>
  <c r="Q107" i="10"/>
  <c r="S110" i="10"/>
  <c r="Q110" i="10"/>
  <c r="Q116" i="10"/>
  <c r="Q121" i="10"/>
  <c r="N68" i="10" l="1"/>
  <c r="N132" i="10" s="1"/>
  <c r="N135" i="10" s="1"/>
  <c r="Q92" i="10"/>
  <c r="S7" i="10"/>
  <c r="I135" i="10"/>
  <c r="J59" i="10"/>
  <c r="J61" i="10"/>
  <c r="E5" i="10"/>
  <c r="S5" i="10" s="1"/>
  <c r="N59" i="10"/>
  <c r="N61" i="10"/>
  <c r="H59" i="10"/>
  <c r="H61" i="10"/>
  <c r="I59" i="10"/>
  <c r="I61" i="10"/>
  <c r="Q51" i="10"/>
  <c r="M135" i="10"/>
  <c r="H135" i="10"/>
  <c r="N56" i="10"/>
  <c r="S37" i="10"/>
  <c r="H56" i="10"/>
  <c r="Q37" i="10"/>
  <c r="R114" i="10"/>
  <c r="K54" i="10"/>
  <c r="J135" i="10"/>
  <c r="G135" i="10"/>
  <c r="P135" i="10"/>
  <c r="I56" i="10"/>
  <c r="F135" i="10"/>
  <c r="K135" i="10"/>
  <c r="O135" i="10"/>
  <c r="J56" i="10"/>
  <c r="L135" i="10"/>
  <c r="F56" i="10"/>
  <c r="I54" i="10"/>
  <c r="I64" i="10"/>
  <c r="M54" i="10"/>
  <c r="M64" i="10"/>
  <c r="Q53" i="10"/>
  <c r="S53" i="10"/>
  <c r="E54" i="10"/>
  <c r="H54" i="10"/>
  <c r="Q58" i="10"/>
  <c r="S58" i="10"/>
  <c r="Q68" i="10" l="1"/>
  <c r="R135" i="10" s="1"/>
  <c r="R62" i="10"/>
  <c r="R79" i="10"/>
  <c r="R77" i="10"/>
  <c r="R76" i="10"/>
  <c r="R78" i="10"/>
  <c r="Q5" i="10"/>
  <c r="R5" i="10" s="1"/>
  <c r="S68" i="10"/>
  <c r="R110" i="10"/>
  <c r="R104" i="10"/>
  <c r="E131" i="10"/>
  <c r="E135" i="10" s="1"/>
  <c r="R58" i="10"/>
  <c r="R53" i="10"/>
  <c r="R98" i="10"/>
  <c r="S60" i="10"/>
  <c r="R103" i="10"/>
  <c r="R97" i="10"/>
  <c r="R111" i="10"/>
  <c r="R89" i="10"/>
  <c r="R126" i="10"/>
  <c r="R108" i="10"/>
  <c r="R122" i="10"/>
  <c r="R112" i="10"/>
  <c r="R37" i="10"/>
  <c r="R102" i="10"/>
  <c r="R14" i="10"/>
  <c r="R101" i="10"/>
  <c r="R88" i="10"/>
  <c r="R70" i="10"/>
  <c r="R95" i="10"/>
  <c r="R83" i="10"/>
  <c r="R99" i="10"/>
  <c r="R118" i="10"/>
  <c r="R84" i="10"/>
  <c r="R9" i="10"/>
  <c r="R22" i="10"/>
  <c r="R10" i="10"/>
  <c r="R44" i="10"/>
  <c r="R35" i="10"/>
  <c r="R19" i="10"/>
  <c r="R27" i="10"/>
  <c r="R25" i="10"/>
  <c r="R26" i="10"/>
  <c r="R18" i="10"/>
  <c r="R8" i="10"/>
  <c r="R127" i="10"/>
  <c r="R24" i="10"/>
  <c r="R16" i="10"/>
  <c r="R41" i="10"/>
  <c r="R31" i="10"/>
  <c r="R21" i="10"/>
  <c r="R12" i="10"/>
  <c r="R39" i="10"/>
  <c r="R32" i="10"/>
  <c r="R20" i="10"/>
  <c r="R17" i="10"/>
  <c r="R13" i="10"/>
  <c r="R15" i="10"/>
  <c r="R23" i="10"/>
  <c r="R11" i="10"/>
  <c r="S61" i="10"/>
  <c r="R61" i="10" s="1"/>
  <c r="R40" i="10"/>
  <c r="R38" i="10"/>
  <c r="R7" i="10"/>
  <c r="S56" i="10"/>
  <c r="R94" i="10"/>
  <c r="R92" i="10"/>
  <c r="R121" i="10"/>
  <c r="R72" i="10"/>
  <c r="R81" i="10"/>
  <c r="R96" i="10"/>
  <c r="R116" i="10"/>
  <c r="R86" i="10"/>
  <c r="R85" i="10"/>
  <c r="R100" i="10"/>
  <c r="R93" i="10"/>
  <c r="R107" i="10"/>
  <c r="R30" i="10"/>
  <c r="R34" i="10"/>
  <c r="R43" i="10"/>
  <c r="R82" i="10"/>
  <c r="R71" i="10"/>
  <c r="R119" i="10"/>
  <c r="R123" i="10"/>
  <c r="R105" i="10"/>
  <c r="R124" i="10"/>
  <c r="R90" i="10"/>
  <c r="R113" i="10"/>
  <c r="R117" i="10"/>
  <c r="Q56" i="10"/>
  <c r="S64" i="10"/>
  <c r="S59" i="10"/>
  <c r="Q59" i="10"/>
  <c r="Q64" i="10"/>
  <c r="R64" i="10" s="1"/>
  <c r="Q54" i="10"/>
  <c r="S54" i="10" s="1"/>
  <c r="R132" i="10"/>
  <c r="R68" i="10" l="1"/>
  <c r="E134" i="10"/>
  <c r="F130" i="10" s="1"/>
  <c r="F134" i="10" s="1"/>
  <c r="G130" i="10" s="1"/>
  <c r="G134" i="10" s="1"/>
  <c r="H130" i="10" s="1"/>
  <c r="H134" i="10" s="1"/>
  <c r="I133" i="10" s="1"/>
  <c r="Q60" i="10"/>
  <c r="I130" i="10" l="1"/>
  <c r="I134" i="10" s="1"/>
  <c r="J130" i="10" s="1"/>
  <c r="J134" i="10" s="1"/>
  <c r="K130" i="10" s="1"/>
  <c r="K134" i="10" s="1"/>
  <c r="L130" i="10" s="1"/>
  <c r="L134" i="10" s="1"/>
  <c r="M130" i="10" s="1"/>
  <c r="M134" i="10" s="1"/>
  <c r="N130" i="10" s="1"/>
  <c r="N134" i="10" s="1"/>
  <c r="O130" i="10" s="1"/>
  <c r="O134" i="10" l="1"/>
  <c r="P130" i="10" s="1"/>
  <c r="P134" i="10" s="1"/>
</calcChain>
</file>

<file path=xl/sharedStrings.xml><?xml version="1.0" encoding="utf-8"?>
<sst xmlns="http://schemas.openxmlformats.org/spreadsheetml/2006/main" count="100" uniqueCount="94">
  <si>
    <t>Taxa de condominio</t>
  </si>
  <si>
    <t>Saldo Anterior</t>
  </si>
  <si>
    <t>Conservação e Limpeza</t>
  </si>
  <si>
    <t>Quarterizada</t>
  </si>
  <si>
    <t>Material de Limpeza</t>
  </si>
  <si>
    <t>Outras de Conservação e Limpeza</t>
  </si>
  <si>
    <t>Administração Condominal</t>
  </si>
  <si>
    <t>Remuneração Administração</t>
  </si>
  <si>
    <t>Concessionarias</t>
  </si>
  <si>
    <t xml:space="preserve">Água </t>
  </si>
  <si>
    <t>Luz</t>
  </si>
  <si>
    <t>Manutenção e Conservação</t>
  </si>
  <si>
    <t>Limpeza de Cx de Gordura e Rede Esgoto</t>
  </si>
  <si>
    <t>Dedetização e Desinf e Desratização</t>
  </si>
  <si>
    <t>Manutenção Hidraulica</t>
  </si>
  <si>
    <t>Material de Consumo e Permanentes</t>
  </si>
  <si>
    <t>Aquisição de Material de Escritorio</t>
  </si>
  <si>
    <t>Aquisição de Mobiliario/ Utensilio</t>
  </si>
  <si>
    <t xml:space="preserve">Despesas Bancarias </t>
  </si>
  <si>
    <t>Tarifa Siscob</t>
  </si>
  <si>
    <t>Tarifa de Manutenção da conta</t>
  </si>
  <si>
    <t>INSS | GPS</t>
  </si>
  <si>
    <t>IRRF</t>
  </si>
  <si>
    <t>ISSQN</t>
  </si>
  <si>
    <t>PIS|Cofins|CSLL</t>
  </si>
  <si>
    <t xml:space="preserve">TOTAL DAS DESPESAS </t>
  </si>
  <si>
    <t>Unid Ociosa</t>
  </si>
  <si>
    <t>Ação Judicial</t>
  </si>
  <si>
    <t>Juros e Multas</t>
  </si>
  <si>
    <t xml:space="preserve">Outras Receitas </t>
  </si>
  <si>
    <t>Honorarios Advocaticio</t>
  </si>
  <si>
    <t>Outras Receitas</t>
  </si>
  <si>
    <t>TOTAL DAS RECEITAS</t>
  </si>
  <si>
    <t>Manutenção do Portão Automatico</t>
  </si>
  <si>
    <t>Outras de Material Consumo Permanente ( Disc)</t>
  </si>
  <si>
    <t>Emprestimo da Administradora</t>
  </si>
  <si>
    <t>( - ) Descontos</t>
  </si>
  <si>
    <t>Devolução de Emprestimo a ADM</t>
  </si>
  <si>
    <t>Aquisição de Interfone</t>
  </si>
  <si>
    <t>Despesas Administrativa</t>
  </si>
  <si>
    <t>Despesas com Cartorio</t>
  </si>
  <si>
    <t>Manutenção de Camera e CFTV</t>
  </si>
  <si>
    <t>Outras de Manutenção e Conservação</t>
  </si>
  <si>
    <t>Despesas com Repografia</t>
  </si>
  <si>
    <t>Outras Adm</t>
  </si>
  <si>
    <t>Manutenção Geral do Jardim</t>
  </si>
  <si>
    <t>Manutenções Eletricas</t>
  </si>
  <si>
    <t>Custas Processuais</t>
  </si>
  <si>
    <t>Manutenção de Alvenaria</t>
  </si>
  <si>
    <t>Movimentação financeira</t>
  </si>
  <si>
    <t>Transferencia entre contas</t>
  </si>
  <si>
    <t>Verificação cobertura do Telhado</t>
  </si>
  <si>
    <t>Recolhimento de Entulhos - Caçamba</t>
  </si>
  <si>
    <t>Seguro Residencial | Predial</t>
  </si>
  <si>
    <t>Manutenção das Bomba de Recalque</t>
  </si>
  <si>
    <t>Recarga de Extintores</t>
  </si>
  <si>
    <t>Receitas</t>
  </si>
  <si>
    <t>Despesas</t>
  </si>
  <si>
    <t>Saldo Atual</t>
  </si>
  <si>
    <t>Saldo do MÊS</t>
  </si>
  <si>
    <t>MÊS do Balancete Demonstrativo</t>
  </si>
  <si>
    <t>Totais</t>
  </si>
  <si>
    <t>%</t>
  </si>
  <si>
    <t>Honorário Advocaticio</t>
  </si>
  <si>
    <t>Limpeza do Reservatorio de Agua</t>
  </si>
  <si>
    <t>Diferença entre os Demonstrativo</t>
  </si>
  <si>
    <t>Media</t>
  </si>
  <si>
    <t>Rateios</t>
  </si>
  <si>
    <t xml:space="preserve"> </t>
  </si>
  <si>
    <t xml:space="preserve">Valor Mensal do Rateio </t>
  </si>
  <si>
    <t>Valor Unitario da Taxa de Condominio</t>
  </si>
  <si>
    <t>Valor Total da Cota Mensal do Condominio</t>
  </si>
  <si>
    <t>Totais (d)</t>
  </si>
  <si>
    <r>
      <t xml:space="preserve">Total = </t>
    </r>
    <r>
      <rPr>
        <b/>
        <sz val="11"/>
        <color rgb="FFFF0000"/>
        <rFont val="Calibri"/>
        <family val="2"/>
        <scheme val="minor"/>
      </rPr>
      <t>( b ) + ( c )</t>
    </r>
  </si>
  <si>
    <r>
      <t xml:space="preserve">Inadimplencia do MÊS </t>
    </r>
    <r>
      <rPr>
        <b/>
        <sz val="11"/>
        <color rgb="FFFF0000"/>
        <rFont val="Calibri"/>
        <family val="2"/>
        <scheme val="minor"/>
      </rPr>
      <t xml:space="preserve"> ( c )</t>
    </r>
  </si>
  <si>
    <r>
      <t>Valor Mensal do Condominio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( a )</t>
    </r>
  </si>
  <si>
    <r>
      <t xml:space="preserve">Taxa  de Condominio  </t>
    </r>
    <r>
      <rPr>
        <b/>
        <sz val="11"/>
        <color rgb="FFFF0000"/>
        <rFont val="Calibri"/>
        <family val="2"/>
        <scheme val="minor"/>
      </rPr>
      <t>( e )</t>
    </r>
  </si>
  <si>
    <r>
      <t>Taxa de Condominio Recebido no Mes</t>
    </r>
    <r>
      <rPr>
        <b/>
        <sz val="11"/>
        <color rgb="FFFF0000"/>
        <rFont val="Calibri"/>
        <family val="2"/>
        <scheme val="minor"/>
      </rPr>
      <t xml:space="preserve"> ( b ) + ( e )</t>
    </r>
  </si>
  <si>
    <r>
      <t>% de Inadimplentes dentro do MÊS</t>
    </r>
    <r>
      <rPr>
        <b/>
        <sz val="11"/>
        <color rgb="FFFF0000"/>
        <rFont val="Calibri"/>
        <family val="2"/>
        <scheme val="minor"/>
      </rPr>
      <t xml:space="preserve"> = ( c )/( a )</t>
    </r>
  </si>
  <si>
    <t xml:space="preserve">D  e  s  p  e  s  a  s </t>
  </si>
  <si>
    <t xml:space="preserve">R  e  c  e  i  t  a  s </t>
  </si>
  <si>
    <r>
      <t>% Percentual de Pagantes no mes</t>
    </r>
    <r>
      <rPr>
        <b/>
        <sz val="11"/>
        <color rgb="FFFF0000"/>
        <rFont val="Calibri"/>
        <family val="2"/>
        <scheme val="minor"/>
      </rPr>
      <t xml:space="preserve"> = ( b )/( a )</t>
    </r>
  </si>
  <si>
    <t xml:space="preserve">Tarifas da Conta TED|DOC </t>
  </si>
  <si>
    <t>Valor da Mensalidade Dividido pelas Despesas</t>
  </si>
  <si>
    <t>Valor da Mensalidade Dividido pelas Despesas sem RATEIO</t>
  </si>
  <si>
    <t>Locação do Salão de Festa</t>
  </si>
  <si>
    <t>Numero de Condominos pagantes nos MÊS</t>
  </si>
  <si>
    <r>
      <t xml:space="preserve">% Total Recebido Durante o Ano de Cada MÊS </t>
    </r>
    <r>
      <rPr>
        <b/>
        <sz val="11"/>
        <color rgb="FFFF0000"/>
        <rFont val="Calibri"/>
        <family val="2"/>
        <scheme val="minor"/>
      </rPr>
      <t>(d ) / (a)</t>
    </r>
  </si>
  <si>
    <t>Valor Unitario do Rateio Ref: Reforma do Telhado</t>
  </si>
  <si>
    <t>numero de condominos inadimplentes no mês</t>
  </si>
  <si>
    <t>Unidades</t>
  </si>
  <si>
    <t>% da Inadimplencia Acumulada pela Receita do MÊS</t>
  </si>
  <si>
    <t>Valor da Inadimplentes Acumulada</t>
  </si>
  <si>
    <t>Serviços de Portaria e Limpeza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</si>
</sst>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[$-416]mmmm\-yy;@"/>
    <numFmt numFmtId="165" formatCode="#,##0.00_ ;[Red]\-#,##0.00\ "/>
    <numFmt numFmtId="166" formatCode="[$-416]mmm\-yy;@"/>
    <numFmt numFmtId="167" formatCode="#,##0.00_ ;\-#,##0.00\ 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2">
    <xf numFmtId="0" fontId="0" fillId="0" borderId="0" xfId="0"/>
    <xf numFmtId="0" fontId="3" fillId="0" borderId="0" xfId="0" applyFont="1"/>
    <xf numFmtId="43" fontId="3" fillId="0" borderId="0" xfId="1" applyFont="1"/>
    <xf numFmtId="0" fontId="2" fillId="0" borderId="0" xfId="0" applyFont="1"/>
    <xf numFmtId="43" fontId="0" fillId="0" borderId="1" xfId="1" applyFont="1" applyBorder="1"/>
    <xf numFmtId="166" fontId="3" fillId="0" borderId="0" xfId="0" applyNumberFormat="1" applyFont="1" applyAlignment="1">
      <alignment horizontal="center" vertical="center"/>
    </xf>
    <xf numFmtId="0" fontId="0" fillId="0" borderId="0" xfId="0" applyBorder="1"/>
    <xf numFmtId="43" fontId="3" fillId="0" borderId="4" xfId="1" applyFont="1" applyBorder="1"/>
    <xf numFmtId="43" fontId="3" fillId="0" borderId="0" xfId="1" applyFont="1" applyBorder="1"/>
    <xf numFmtId="10" fontId="3" fillId="0" borderId="0" xfId="2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43" fontId="0" fillId="0" borderId="6" xfId="1" applyFont="1" applyBorder="1"/>
    <xf numFmtId="0" fontId="8" fillId="3" borderId="0" xfId="0" applyFont="1" applyFill="1"/>
    <xf numFmtId="10" fontId="0" fillId="0" borderId="9" xfId="2" applyNumberFormat="1" applyFont="1" applyBorder="1" applyAlignment="1">
      <alignment horizontal="center" vertical="center"/>
    </xf>
    <xf numFmtId="43" fontId="0" fillId="0" borderId="10" xfId="1" applyFont="1" applyBorder="1"/>
    <xf numFmtId="43" fontId="0" fillId="0" borderId="11" xfId="1" applyFont="1" applyBorder="1"/>
    <xf numFmtId="0" fontId="0" fillId="0" borderId="0" xfId="0" applyFont="1"/>
    <xf numFmtId="0" fontId="0" fillId="5" borderId="0" xfId="0" applyFont="1" applyFill="1"/>
    <xf numFmtId="0" fontId="10" fillId="5" borderId="0" xfId="0" applyFont="1" applyFill="1"/>
    <xf numFmtId="0" fontId="10" fillId="5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Border="1" applyAlignment="1">
      <alignment horizontal="left" indent="5"/>
    </xf>
    <xf numFmtId="43" fontId="10" fillId="0" borderId="0" xfId="1" applyFont="1" applyBorder="1"/>
    <xf numFmtId="0" fontId="8" fillId="5" borderId="0" xfId="0" applyFont="1" applyFill="1"/>
    <xf numFmtId="0" fontId="10" fillId="0" borderId="0" xfId="0" applyFont="1"/>
    <xf numFmtId="0" fontId="11" fillId="3" borderId="0" xfId="0" applyFont="1" applyFill="1"/>
    <xf numFmtId="43" fontId="11" fillId="0" borderId="0" xfId="1" applyFont="1" applyBorder="1"/>
    <xf numFmtId="43" fontId="0" fillId="0" borderId="5" xfId="1" applyFont="1" applyBorder="1"/>
    <xf numFmtId="0" fontId="12" fillId="0" borderId="0" xfId="0" applyFont="1"/>
    <xf numFmtId="0" fontId="4" fillId="5" borderId="0" xfId="0" applyFont="1" applyFill="1" applyAlignment="1">
      <alignment vertical="center"/>
    </xf>
    <xf numFmtId="43" fontId="3" fillId="0" borderId="3" xfId="1" applyFont="1" applyBorder="1" applyAlignment="1">
      <alignment horizontal="left"/>
    </xf>
    <xf numFmtId="43" fontId="3" fillId="0" borderId="0" xfId="1" applyFont="1" applyBorder="1" applyAlignment="1">
      <alignment horizontal="left"/>
    </xf>
    <xf numFmtId="10" fontId="3" fillId="0" borderId="0" xfId="2" applyNumberFormat="1" applyFont="1" applyBorder="1" applyAlignment="1">
      <alignment horizontal="center" vertical="center"/>
    </xf>
    <xf numFmtId="0" fontId="10" fillId="0" borderId="0" xfId="0" applyFont="1" applyBorder="1"/>
    <xf numFmtId="43" fontId="0" fillId="0" borderId="0" xfId="1" applyFont="1"/>
    <xf numFmtId="0" fontId="0" fillId="0" borderId="3" xfId="0" applyFont="1" applyBorder="1"/>
    <xf numFmtId="0" fontId="0" fillId="0" borderId="0" xfId="0" applyFont="1" applyBorder="1"/>
    <xf numFmtId="0" fontId="0" fillId="0" borderId="4" xfId="0" applyFont="1" applyBorder="1"/>
    <xf numFmtId="0" fontId="0" fillId="0" borderId="9" xfId="0" applyFont="1" applyBorder="1"/>
    <xf numFmtId="165" fontId="2" fillId="0" borderId="1" xfId="1" applyNumberFormat="1" applyFont="1" applyBorder="1"/>
    <xf numFmtId="43" fontId="3" fillId="0" borderId="1" xfId="1" applyFont="1" applyBorder="1"/>
    <xf numFmtId="43" fontId="0" fillId="0" borderId="23" xfId="1" applyFont="1" applyBorder="1" applyAlignment="1">
      <alignment horizontal="center" vertical="center"/>
    </xf>
    <xf numFmtId="43" fontId="0" fillId="0" borderId="20" xfId="1" applyFont="1" applyBorder="1" applyAlignment="1">
      <alignment horizontal="center" vertical="center"/>
    </xf>
    <xf numFmtId="43" fontId="8" fillId="3" borderId="12" xfId="1" applyFont="1" applyFill="1" applyBorder="1" applyAlignment="1">
      <alignment vertical="center"/>
    </xf>
    <xf numFmtId="43" fontId="8" fillId="3" borderId="14" xfId="1" applyFont="1" applyFill="1" applyBorder="1" applyAlignment="1">
      <alignment vertical="center"/>
    </xf>
    <xf numFmtId="10" fontId="13" fillId="6" borderId="12" xfId="2" applyNumberFormat="1" applyFont="1" applyFill="1" applyBorder="1" applyAlignment="1">
      <alignment horizontal="center" vertical="center"/>
    </xf>
    <xf numFmtId="43" fontId="10" fillId="5" borderId="25" xfId="1" applyFont="1" applyFill="1" applyBorder="1" applyAlignment="1">
      <alignment vertical="center"/>
    </xf>
    <xf numFmtId="43" fontId="10" fillId="5" borderId="26" xfId="1" applyFont="1" applyFill="1" applyBorder="1" applyAlignment="1">
      <alignment vertical="center"/>
    </xf>
    <xf numFmtId="43" fontId="8" fillId="3" borderId="29" xfId="1" applyFont="1" applyFill="1" applyBorder="1" applyAlignment="1">
      <alignment vertical="center"/>
    </xf>
    <xf numFmtId="0" fontId="7" fillId="4" borderId="15" xfId="0" applyFont="1" applyFill="1" applyBorder="1" applyAlignment="1">
      <alignment horizontal="centerContinuous" vertical="center"/>
    </xf>
    <xf numFmtId="0" fontId="7" fillId="4" borderId="30" xfId="0" applyFont="1" applyFill="1" applyBorder="1" applyAlignment="1">
      <alignment horizontal="centerContinuous" vertical="center"/>
    </xf>
    <xf numFmtId="10" fontId="7" fillId="4" borderId="30" xfId="2" applyNumberFormat="1" applyFont="1" applyFill="1" applyBorder="1" applyAlignment="1">
      <alignment horizontal="centerContinuous" vertical="center"/>
    </xf>
    <xf numFmtId="0" fontId="7" fillId="4" borderId="18" xfId="0" applyFont="1" applyFill="1" applyBorder="1" applyAlignment="1">
      <alignment horizontal="centerContinuous" vertical="center"/>
    </xf>
    <xf numFmtId="166" fontId="4" fillId="0" borderId="7" xfId="0" applyNumberFormat="1" applyFont="1" applyBorder="1" applyAlignment="1">
      <alignment horizontal="center" vertical="center"/>
    </xf>
    <xf numFmtId="166" fontId="4" fillId="0" borderId="15" xfId="0" applyNumberFormat="1" applyFont="1" applyBorder="1" applyAlignment="1">
      <alignment horizontal="center" vertical="center"/>
    </xf>
    <xf numFmtId="10" fontId="4" fillId="0" borderId="7" xfId="2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Continuous" vertical="top"/>
    </xf>
    <xf numFmtId="0" fontId="7" fillId="0" borderId="0" xfId="0" applyFont="1" applyBorder="1" applyAlignment="1">
      <alignment horizontal="centerContinuous" vertical="top"/>
    </xf>
    <xf numFmtId="10" fontId="7" fillId="0" borderId="0" xfId="2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Continuous" vertical="top"/>
    </xf>
    <xf numFmtId="43" fontId="8" fillId="3" borderId="7" xfId="1" applyFont="1" applyFill="1" applyBorder="1" applyAlignment="1">
      <alignment vertical="center"/>
    </xf>
    <xf numFmtId="43" fontId="8" fillId="3" borderId="7" xfId="1" applyFont="1" applyFill="1" applyBorder="1"/>
    <xf numFmtId="43" fontId="8" fillId="3" borderId="15" xfId="1" applyFont="1" applyFill="1" applyBorder="1"/>
    <xf numFmtId="43" fontId="8" fillId="3" borderId="15" xfId="1" applyFont="1" applyFill="1" applyBorder="1" applyAlignment="1">
      <alignment vertical="center"/>
    </xf>
    <xf numFmtId="10" fontId="8" fillId="3" borderId="7" xfId="2" applyNumberFormat="1" applyFont="1" applyFill="1" applyBorder="1" applyAlignment="1">
      <alignment horizontal="center" vertical="center"/>
    </xf>
    <xf numFmtId="43" fontId="8" fillId="3" borderId="18" xfId="1" applyFont="1" applyFill="1" applyBorder="1"/>
    <xf numFmtId="43" fontId="0" fillId="0" borderId="23" xfId="1" applyFont="1" applyBorder="1"/>
    <xf numFmtId="43" fontId="3" fillId="0" borderId="23" xfId="1" applyFont="1" applyBorder="1"/>
    <xf numFmtId="10" fontId="3" fillId="0" borderId="23" xfId="2" applyNumberFormat="1" applyFont="1" applyBorder="1" applyAlignment="1">
      <alignment horizontal="center" vertical="center"/>
    </xf>
    <xf numFmtId="10" fontId="3" fillId="0" borderId="1" xfId="2" applyNumberFormat="1" applyFont="1" applyBorder="1" applyAlignment="1">
      <alignment horizontal="center" vertical="center"/>
    </xf>
    <xf numFmtId="43" fontId="0" fillId="0" borderId="25" xfId="1" applyFont="1" applyBorder="1"/>
    <xf numFmtId="43" fontId="3" fillId="0" borderId="25" xfId="1" applyFont="1" applyBorder="1"/>
    <xf numFmtId="10" fontId="3" fillId="0" borderId="25" xfId="2" applyNumberFormat="1" applyFont="1" applyBorder="1" applyAlignment="1">
      <alignment horizontal="center" vertical="center"/>
    </xf>
    <xf numFmtId="43" fontId="8" fillId="3" borderId="23" xfId="1" applyFont="1" applyFill="1" applyBorder="1"/>
    <xf numFmtId="10" fontId="8" fillId="3" borderId="23" xfId="2" applyNumberFormat="1" applyFont="1" applyFill="1" applyBorder="1" applyAlignment="1">
      <alignment horizontal="center" vertical="center"/>
    </xf>
    <xf numFmtId="43" fontId="3" fillId="5" borderId="1" xfId="1" applyFont="1" applyFill="1" applyBorder="1"/>
    <xf numFmtId="10" fontId="3" fillId="5" borderId="1" xfId="2" applyNumberFormat="1" applyFont="1" applyFill="1" applyBorder="1" applyAlignment="1">
      <alignment horizontal="center" vertical="center"/>
    </xf>
    <xf numFmtId="43" fontId="11" fillId="3" borderId="7" xfId="1" applyFont="1" applyFill="1" applyBorder="1"/>
    <xf numFmtId="10" fontId="11" fillId="3" borderId="7" xfId="2" applyNumberFormat="1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Continuous" vertical="center"/>
    </xf>
    <xf numFmtId="0" fontId="5" fillId="2" borderId="30" xfId="0" applyFont="1" applyFill="1" applyBorder="1" applyAlignment="1">
      <alignment horizontal="centerContinuous" vertical="center"/>
    </xf>
    <xf numFmtId="0" fontId="6" fillId="2" borderId="30" xfId="0" applyFont="1" applyFill="1" applyBorder="1" applyAlignment="1">
      <alignment horizontal="centerContinuous" vertical="center"/>
    </xf>
    <xf numFmtId="10" fontId="5" fillId="2" borderId="30" xfId="2" applyNumberFormat="1" applyFont="1" applyFill="1" applyBorder="1" applyAlignment="1">
      <alignment horizontal="centerContinuous" vertical="center"/>
    </xf>
    <xf numFmtId="0" fontId="5" fillId="2" borderId="18" xfId="0" applyFont="1" applyFill="1" applyBorder="1" applyAlignment="1">
      <alignment horizontal="centerContinuous" vertical="center"/>
    </xf>
    <xf numFmtId="43" fontId="4" fillId="2" borderId="7" xfId="1" applyFont="1" applyFill="1" applyBorder="1" applyAlignment="1">
      <alignment vertical="center"/>
    </xf>
    <xf numFmtId="10" fontId="4" fillId="2" borderId="7" xfId="2" applyNumberFormat="1" applyFont="1" applyFill="1" applyBorder="1" applyAlignment="1">
      <alignment horizontal="center" vertical="center"/>
    </xf>
    <xf numFmtId="43" fontId="4" fillId="2" borderId="7" xfId="1" applyNumberFormat="1" applyFont="1" applyFill="1" applyBorder="1" applyAlignment="1">
      <alignment vertical="center"/>
    </xf>
    <xf numFmtId="43" fontId="0" fillId="5" borderId="1" xfId="1" applyFont="1" applyFill="1" applyBorder="1"/>
    <xf numFmtId="165" fontId="3" fillId="0" borderId="25" xfId="0" applyNumberFormat="1" applyFont="1" applyBorder="1"/>
    <xf numFmtId="43" fontId="0" fillId="0" borderId="31" xfId="1" applyFont="1" applyBorder="1"/>
    <xf numFmtId="43" fontId="3" fillId="0" borderId="10" xfId="1" applyFont="1" applyBorder="1"/>
    <xf numFmtId="10" fontId="3" fillId="0" borderId="10" xfId="2" applyNumberFormat="1" applyFont="1" applyBorder="1" applyAlignment="1">
      <alignment horizontal="center" vertical="center"/>
    </xf>
    <xf numFmtId="0" fontId="0" fillId="0" borderId="5" xfId="0" applyBorder="1"/>
    <xf numFmtId="43" fontId="3" fillId="5" borderId="23" xfId="1" applyFont="1" applyFill="1" applyBorder="1"/>
    <xf numFmtId="10" fontId="3" fillId="5" borderId="23" xfId="2" applyNumberFormat="1" applyFont="1" applyFill="1" applyBorder="1" applyAlignment="1">
      <alignment horizontal="center" vertical="center"/>
    </xf>
    <xf numFmtId="43" fontId="3" fillId="0" borderId="14" xfId="1" applyFont="1" applyBorder="1" applyAlignment="1">
      <alignment vertical="center" wrapText="1"/>
    </xf>
    <xf numFmtId="2" fontId="4" fillId="5" borderId="17" xfId="0" applyNumberFormat="1" applyFont="1" applyFill="1" applyBorder="1" applyAlignment="1">
      <alignment vertical="center"/>
    </xf>
    <xf numFmtId="2" fontId="4" fillId="5" borderId="12" xfId="0" applyNumberFormat="1" applyFont="1" applyFill="1" applyBorder="1" applyAlignment="1">
      <alignment vertical="center"/>
    </xf>
    <xf numFmtId="2" fontId="4" fillId="4" borderId="7" xfId="1" applyNumberFormat="1" applyFont="1" applyFill="1" applyBorder="1" applyAlignment="1">
      <alignment horizontal="center" vertical="center"/>
    </xf>
    <xf numFmtId="2" fontId="4" fillId="4" borderId="7" xfId="0" applyNumberFormat="1" applyFont="1" applyFill="1" applyBorder="1" applyAlignment="1">
      <alignment horizontal="center" vertical="center"/>
    </xf>
    <xf numFmtId="165" fontId="10" fillId="0" borderId="1" xfId="1" applyNumberFormat="1" applyFont="1" applyBorder="1"/>
    <xf numFmtId="2" fontId="8" fillId="5" borderId="0" xfId="1" applyNumberFormat="1" applyFont="1" applyFill="1" applyBorder="1" applyAlignment="1">
      <alignment horizontal="center" vertical="center"/>
    </xf>
    <xf numFmtId="10" fontId="3" fillId="5" borderId="10" xfId="2" applyNumberFormat="1" applyFont="1" applyFill="1" applyBorder="1" applyAlignment="1">
      <alignment horizontal="center" vertical="center"/>
    </xf>
    <xf numFmtId="43" fontId="3" fillId="5" borderId="10" xfId="1" applyFont="1" applyFill="1" applyBorder="1"/>
    <xf numFmtId="43" fontId="4" fillId="2" borderId="7" xfId="1" applyFont="1" applyFill="1" applyBorder="1"/>
    <xf numFmtId="43" fontId="0" fillId="0" borderId="7" xfId="1" applyFont="1" applyBorder="1"/>
    <xf numFmtId="10" fontId="4" fillId="2" borderId="7" xfId="2" applyNumberFormat="1" applyFont="1" applyFill="1" applyBorder="1"/>
    <xf numFmtId="0" fontId="14" fillId="7" borderId="7" xfId="0" applyFont="1" applyFill="1" applyBorder="1" applyAlignment="1">
      <alignment horizontal="center" vertical="center"/>
    </xf>
    <xf numFmtId="10" fontId="2" fillId="0" borderId="7" xfId="2" applyNumberFormat="1" applyFont="1" applyBorder="1" applyAlignment="1">
      <alignment horizontal="center" vertical="center"/>
    </xf>
    <xf numFmtId="165" fontId="11" fillId="5" borderId="23" xfId="1" applyNumberFormat="1" applyFont="1" applyFill="1" applyBorder="1" applyAlignment="1">
      <alignment vertical="center"/>
    </xf>
    <xf numFmtId="43" fontId="3" fillId="0" borderId="23" xfId="1" applyFont="1" applyBorder="1" applyAlignment="1">
      <alignment vertical="center"/>
    </xf>
    <xf numFmtId="167" fontId="11" fillId="5" borderId="25" xfId="1" applyNumberFormat="1" applyFont="1" applyFill="1" applyBorder="1" applyAlignment="1">
      <alignment vertical="center"/>
    </xf>
    <xf numFmtId="165" fontId="11" fillId="5" borderId="25" xfId="1" applyNumberFormat="1" applyFont="1" applyFill="1" applyBorder="1" applyAlignment="1">
      <alignment vertical="center"/>
    </xf>
    <xf numFmtId="43" fontId="2" fillId="0" borderId="7" xfId="1" applyFont="1" applyBorder="1" applyAlignment="1">
      <alignment vertical="center"/>
    </xf>
    <xf numFmtId="10" fontId="0" fillId="0" borderId="7" xfId="2" applyNumberFormat="1" applyFont="1" applyBorder="1"/>
    <xf numFmtId="0" fontId="10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10" fontId="8" fillId="5" borderId="7" xfId="2" applyNumberFormat="1" applyFont="1" applyFill="1" applyBorder="1"/>
    <xf numFmtId="10" fontId="8" fillId="5" borderId="7" xfId="0" applyNumberFormat="1" applyFont="1" applyFill="1" applyBorder="1" applyAlignment="1">
      <alignment horizontal="center"/>
    </xf>
    <xf numFmtId="43" fontId="12" fillId="0" borderId="7" xfId="1" applyFont="1" applyBorder="1"/>
    <xf numFmtId="1" fontId="0" fillId="0" borderId="7" xfId="1" applyNumberFormat="1" applyFont="1" applyBorder="1" applyAlignment="1">
      <alignment horizontal="center" vertical="center"/>
    </xf>
    <xf numFmtId="2" fontId="8" fillId="5" borderId="7" xfId="1" applyNumberFormat="1" applyFont="1" applyFill="1" applyBorder="1" applyAlignment="1">
      <alignment horizontal="center" vertical="center"/>
    </xf>
    <xf numFmtId="165" fontId="10" fillId="0" borderId="10" xfId="1" applyNumberFormat="1" applyFont="1" applyBorder="1"/>
    <xf numFmtId="10" fontId="8" fillId="5" borderId="7" xfId="2" applyNumberFormat="1" applyFont="1" applyFill="1" applyBorder="1" applyAlignment="1">
      <alignment horizontal="center" vertical="center"/>
    </xf>
    <xf numFmtId="10" fontId="8" fillId="5" borderId="7" xfId="1" applyNumberFormat="1" applyFont="1" applyFill="1" applyBorder="1" applyAlignment="1">
      <alignment horizontal="center" vertical="center"/>
    </xf>
    <xf numFmtId="43" fontId="8" fillId="5" borderId="7" xfId="1" applyFont="1" applyFill="1" applyBorder="1" applyAlignment="1">
      <alignment horizontal="center" vertical="center"/>
    </xf>
    <xf numFmtId="0" fontId="0" fillId="0" borderId="30" xfId="0" applyFont="1" applyBorder="1"/>
    <xf numFmtId="10" fontId="0" fillId="0" borderId="0" xfId="2" applyNumberFormat="1" applyFont="1"/>
    <xf numFmtId="43" fontId="0" fillId="0" borderId="0" xfId="2" applyNumberFormat="1" applyFont="1"/>
    <xf numFmtId="43" fontId="0" fillId="0" borderId="0" xfId="0" applyNumberFormat="1" applyFont="1"/>
    <xf numFmtId="0" fontId="7" fillId="4" borderId="0" xfId="0" applyFont="1" applyFill="1" applyBorder="1" applyAlignment="1">
      <alignment horizontal="centerContinuous" vertical="center"/>
    </xf>
    <xf numFmtId="0" fontId="5" fillId="2" borderId="0" xfId="0" applyFont="1" applyFill="1" applyBorder="1" applyAlignment="1">
      <alignment horizontal="centerContinuous" vertical="center"/>
    </xf>
    <xf numFmtId="166" fontId="4" fillId="0" borderId="2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indent="2"/>
    </xf>
    <xf numFmtId="164" fontId="0" fillId="0" borderId="24" xfId="0" applyNumberFormat="1" applyBorder="1" applyAlignment="1">
      <alignment horizontal="left" indent="5"/>
    </xf>
    <xf numFmtId="17" fontId="0" fillId="0" borderId="2" xfId="0" applyNumberFormat="1" applyFont="1" applyBorder="1" applyAlignment="1">
      <alignment horizontal="left" indent="4"/>
    </xf>
    <xf numFmtId="0" fontId="0" fillId="0" borderId="2" xfId="0" applyFont="1" applyBorder="1" applyAlignment="1">
      <alignment horizontal="left" indent="4"/>
    </xf>
    <xf numFmtId="0" fontId="0" fillId="0" borderId="2" xfId="0" applyFont="1" applyBorder="1" applyAlignment="1">
      <alignment horizontal="left" indent="3"/>
    </xf>
    <xf numFmtId="43" fontId="0" fillId="0" borderId="24" xfId="1" applyFont="1" applyBorder="1" applyAlignment="1">
      <alignment horizontal="center"/>
    </xf>
    <xf numFmtId="0" fontId="10" fillId="5" borderId="24" xfId="0" applyFont="1" applyFill="1" applyBorder="1" applyAlignment="1">
      <alignment horizontal="center" vertical="center"/>
    </xf>
    <xf numFmtId="43" fontId="0" fillId="0" borderId="2" xfId="1" applyFont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0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11" fillId="3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indent="1"/>
    </xf>
    <xf numFmtId="0" fontId="0" fillId="0" borderId="2" xfId="0" applyFont="1" applyBorder="1" applyAlignment="1">
      <alignment horizontal="left" indent="2"/>
    </xf>
    <xf numFmtId="0" fontId="0" fillId="0" borderId="2" xfId="0" applyFont="1" applyBorder="1" applyAlignment="1">
      <alignment horizontal="left" indent="5"/>
    </xf>
    <xf numFmtId="0" fontId="2" fillId="0" borderId="2" xfId="0" applyFont="1" applyBorder="1" applyAlignment="1">
      <alignment horizontal="left" indent="1"/>
    </xf>
    <xf numFmtId="0" fontId="0" fillId="0" borderId="2" xfId="0" applyFont="1" applyBorder="1" applyAlignment="1">
      <alignment horizontal="left" indent="1"/>
    </xf>
    <xf numFmtId="0" fontId="3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6" fontId="4" fillId="0" borderId="7" xfId="0" applyNumberFormat="1" applyFont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left" indent="2"/>
    </xf>
    <xf numFmtId="43" fontId="0" fillId="0" borderId="20" xfId="1" applyFont="1" applyBorder="1" applyAlignment="1">
      <alignment horizontal="center"/>
    </xf>
    <xf numFmtId="43" fontId="0" fillId="0" borderId="21" xfId="1" applyFont="1" applyBorder="1" applyAlignment="1">
      <alignment horizontal="center"/>
    </xf>
    <xf numFmtId="43" fontId="0" fillId="0" borderId="22" xfId="1" applyFont="1" applyBorder="1" applyAlignment="1">
      <alignment horizontal="center"/>
    </xf>
    <xf numFmtId="0" fontId="10" fillId="5" borderId="26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43" fontId="0" fillId="0" borderId="23" xfId="1" applyFont="1" applyBorder="1" applyAlignment="1">
      <alignment horizontal="center"/>
    </xf>
    <xf numFmtId="164" fontId="0" fillId="0" borderId="1" xfId="0" applyNumberFormat="1" applyBorder="1" applyAlignment="1">
      <alignment horizontal="left" indent="5"/>
    </xf>
    <xf numFmtId="164" fontId="0" fillId="0" borderId="23" xfId="0" applyNumberFormat="1" applyBorder="1" applyAlignment="1">
      <alignment horizontal="left" indent="5"/>
    </xf>
    <xf numFmtId="17" fontId="0" fillId="0" borderId="23" xfId="0" applyNumberFormat="1" applyFont="1" applyBorder="1" applyAlignment="1">
      <alignment horizontal="left" indent="4"/>
    </xf>
    <xf numFmtId="17" fontId="0" fillId="0" borderId="1" xfId="0" applyNumberFormat="1" applyFont="1" applyBorder="1" applyAlignment="1">
      <alignment horizontal="left" indent="4"/>
    </xf>
    <xf numFmtId="17" fontId="0" fillId="0" borderId="10" xfId="0" applyNumberFormat="1" applyFont="1" applyBorder="1" applyAlignment="1">
      <alignment horizontal="left" indent="4"/>
    </xf>
    <xf numFmtId="0" fontId="0" fillId="0" borderId="23" xfId="0" applyFont="1" applyBorder="1" applyAlignment="1">
      <alignment horizontal="left" indent="4"/>
    </xf>
    <xf numFmtId="0" fontId="0" fillId="0" borderId="7" xfId="0" applyFont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0" fillId="0" borderId="1" xfId="0" applyFont="1" applyBorder="1" applyAlignment="1">
      <alignment horizontal="left" indent="4"/>
    </xf>
    <xf numFmtId="0" fontId="8" fillId="3" borderId="23" xfId="0" applyFont="1" applyFill="1" applyBorder="1" applyAlignment="1">
      <alignment horizontal="left" indent="2"/>
    </xf>
    <xf numFmtId="0" fontId="0" fillId="0" borderId="25" xfId="0" applyFont="1" applyBorder="1" applyAlignment="1">
      <alignment horizontal="left" indent="3"/>
    </xf>
    <xf numFmtId="0" fontId="10" fillId="5" borderId="25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indent="3"/>
    </xf>
    <xf numFmtId="0" fontId="0" fillId="0" borderId="25" xfId="0" applyFont="1" applyBorder="1" applyAlignment="1">
      <alignment horizontal="left" indent="2"/>
    </xf>
    <xf numFmtId="0" fontId="4" fillId="2" borderId="7" xfId="0" applyFont="1" applyFill="1" applyBorder="1" applyAlignment="1">
      <alignment horizontal="left" indent="1"/>
    </xf>
    <xf numFmtId="0" fontId="0" fillId="0" borderId="10" xfId="0" applyFont="1" applyBorder="1" applyAlignment="1">
      <alignment horizontal="left" indent="3"/>
    </xf>
    <xf numFmtId="0" fontId="4" fillId="2" borderId="7" xfId="0" applyFont="1" applyFill="1" applyBorder="1" applyAlignment="1">
      <alignment horizontal="left" vertical="center"/>
    </xf>
    <xf numFmtId="0" fontId="0" fillId="0" borderId="25" xfId="0" applyFont="1" applyBorder="1" applyAlignment="1">
      <alignment horizontal="left" indent="1"/>
    </xf>
    <xf numFmtId="0" fontId="2" fillId="0" borderId="7" xfId="0" applyFont="1" applyBorder="1" applyAlignment="1">
      <alignment horizontal="left" inden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43" fontId="3" fillId="0" borderId="13" xfId="1" applyFont="1" applyBorder="1" applyAlignment="1">
      <alignment horizontal="center" vertical="center" wrapText="1"/>
    </xf>
    <xf numFmtId="43" fontId="3" fillId="0" borderId="2" xfId="1" applyFont="1" applyBorder="1" applyAlignment="1">
      <alignment horizontal="center" vertical="center" wrapText="1"/>
    </xf>
    <xf numFmtId="43" fontId="3" fillId="0" borderId="16" xfId="1" applyFont="1" applyBorder="1" applyAlignment="1">
      <alignment horizontal="center" vertical="center" wrapText="1"/>
    </xf>
    <xf numFmtId="43" fontId="3" fillId="0" borderId="32" xfId="1" applyFont="1" applyBorder="1" applyAlignment="1">
      <alignment horizontal="center" vertical="center" wrapText="1"/>
    </xf>
    <xf numFmtId="43" fontId="3" fillId="0" borderId="19" xfId="1" applyFont="1" applyBorder="1" applyAlignment="1">
      <alignment horizontal="center" vertical="center" wrapText="1"/>
    </xf>
    <xf numFmtId="43" fontId="3" fillId="0" borderId="8" xfId="1" applyFont="1" applyBorder="1" applyAlignment="1">
      <alignment horizontal="center" vertical="center" wrapText="1"/>
    </xf>
    <xf numFmtId="43" fontId="3" fillId="0" borderId="0" xfId="1" applyFont="1" applyBorder="1" applyAlignment="1">
      <alignment horizontal="center" vertical="center" wrapText="1"/>
    </xf>
    <xf numFmtId="43" fontId="3" fillId="0" borderId="24" xfId="1" applyFont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1" xfId="0" applyFont="1" applyBorder="1" applyAlignment="1">
      <alignment horizontal="left" indent="5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04"/>
  <sheetViews>
    <sheetView showGridLines="0" tabSelected="1" view="pageBreakPreview" zoomScaleNormal="100" zoomScaleSheetLayoutView="100" workbookViewId="0">
      <pane xSplit="3" ySplit="3" topLeftCell="D100" activePane="bottomRight" state="frozen"/>
      <selection pane="topRight" activeCell="E1" sqref="E1"/>
      <selection pane="bottomLeft" activeCell="A4" sqref="A4"/>
      <selection pane="bottomRight" activeCell="D7" sqref="D7"/>
    </sheetView>
  </sheetViews>
  <sheetFormatPr defaultRowHeight="15" x14ac:dyDescent="0.25"/>
  <cols>
    <col min="1" max="1" width="4.28515625" customWidth="1"/>
    <col min="2" max="2" width="33.5703125" customWidth="1"/>
    <col min="3" max="3" width="15.85546875" customWidth="1"/>
    <col min="4" max="4" width="1.7109375" style="6" customWidth="1"/>
    <col min="5" max="6" width="15.85546875" bestFit="1" customWidth="1"/>
    <col min="7" max="16" width="15.42578125" customWidth="1"/>
    <col min="17" max="17" width="17" style="1" bestFit="1" customWidth="1"/>
    <col min="18" max="18" width="11.28515625" style="9" bestFit="1" customWidth="1"/>
    <col min="19" max="19" width="15.42578125" bestFit="1" customWidth="1"/>
    <col min="20" max="20" width="11.28515625" bestFit="1" customWidth="1"/>
  </cols>
  <sheetData>
    <row r="1" spans="1:21" ht="27.75" customHeight="1" x14ac:dyDescent="0.25">
      <c r="A1" s="50" t="s">
        <v>80</v>
      </c>
      <c r="B1" s="51"/>
      <c r="C1" s="51"/>
      <c r="D1" s="13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2"/>
      <c r="S1" s="53"/>
    </row>
    <row r="2" spans="1:21" s="2" customFormat="1" ht="5.0999999999999996" customHeight="1" x14ac:dyDescent="0.25">
      <c r="A2" s="31"/>
      <c r="B2" s="32"/>
      <c r="C2" s="32"/>
      <c r="D2" s="32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33"/>
      <c r="S2" s="7"/>
      <c r="T2"/>
    </row>
    <row r="3" spans="1:21" s="5" customFormat="1" ht="20.100000000000001" customHeight="1" x14ac:dyDescent="0.25">
      <c r="A3" s="161" t="s">
        <v>60</v>
      </c>
      <c r="B3" s="161"/>
      <c r="C3" s="161"/>
      <c r="D3" s="133"/>
      <c r="E3" s="54">
        <v>43101</v>
      </c>
      <c r="F3" s="54">
        <v>43132</v>
      </c>
      <c r="G3" s="54">
        <v>43160</v>
      </c>
      <c r="H3" s="54">
        <v>43191</v>
      </c>
      <c r="I3" s="54">
        <v>43221</v>
      </c>
      <c r="J3" s="54">
        <v>43252</v>
      </c>
      <c r="K3" s="54">
        <v>43282</v>
      </c>
      <c r="L3" s="54">
        <v>43313</v>
      </c>
      <c r="M3" s="54">
        <v>43344</v>
      </c>
      <c r="N3" s="54">
        <v>43374</v>
      </c>
      <c r="O3" s="54">
        <v>43405</v>
      </c>
      <c r="P3" s="55">
        <v>43435</v>
      </c>
      <c r="Q3" s="54" t="s">
        <v>72</v>
      </c>
      <c r="R3" s="56" t="s">
        <v>62</v>
      </c>
      <c r="S3" s="54" t="s">
        <v>66</v>
      </c>
      <c r="T3"/>
    </row>
    <row r="4" spans="1:21" ht="5.0999999999999996" customHeight="1" x14ac:dyDescent="0.25">
      <c r="A4" s="57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9"/>
      <c r="S4" s="60"/>
    </row>
    <row r="5" spans="1:21" s="10" customFormat="1" ht="20.100000000000001" customHeight="1" x14ac:dyDescent="0.25">
      <c r="A5" s="162" t="s">
        <v>32</v>
      </c>
      <c r="B5" s="162"/>
      <c r="C5" s="162"/>
      <c r="D5" s="134"/>
      <c r="E5" s="61">
        <f t="shared" ref="E5:P5" si="0">SUM(E37,E30,E7)</f>
        <v>36343.380000000005</v>
      </c>
      <c r="F5" s="61">
        <f t="shared" si="0"/>
        <v>46728.160000000003</v>
      </c>
      <c r="G5" s="61">
        <f t="shared" si="0"/>
        <v>40720.61</v>
      </c>
      <c r="H5" s="61">
        <f t="shared" si="0"/>
        <v>42490.67</v>
      </c>
      <c r="I5" s="61">
        <f t="shared" si="0"/>
        <v>36863.890000000007</v>
      </c>
      <c r="J5" s="61">
        <f t="shared" si="0"/>
        <v>32023.41</v>
      </c>
      <c r="K5" s="61">
        <f t="shared" si="0"/>
        <v>35255.229999999996</v>
      </c>
      <c r="L5" s="61">
        <f t="shared" si="0"/>
        <v>34432.92</v>
      </c>
      <c r="M5" s="61">
        <f t="shared" si="0"/>
        <v>28854.26</v>
      </c>
      <c r="N5" s="61">
        <f t="shared" si="0"/>
        <v>33585.269999999997</v>
      </c>
      <c r="O5" s="61">
        <f t="shared" si="0"/>
        <v>32243.409999999996</v>
      </c>
      <c r="P5" s="64">
        <f t="shared" si="0"/>
        <v>37753.21</v>
      </c>
      <c r="Q5" s="61">
        <f>SUM(E5:P5)</f>
        <v>437294.42000000004</v>
      </c>
      <c r="R5" s="65">
        <f>Q5/Q51</f>
        <v>1.0105376877826215</v>
      </c>
      <c r="S5" s="61">
        <f>AVERAGE(E5:P5)</f>
        <v>36441.201666666668</v>
      </c>
    </row>
    <row r="6" spans="1:21" ht="5.0999999999999996" customHeight="1" x14ac:dyDescent="0.25">
      <c r="Q6"/>
      <c r="R6"/>
    </row>
    <row r="7" spans="1:21" s="13" customFormat="1" ht="15.95" customHeight="1" x14ac:dyDescent="0.25">
      <c r="A7" s="163" t="s">
        <v>0</v>
      </c>
      <c r="B7" s="163"/>
      <c r="C7" s="163"/>
      <c r="D7" s="135"/>
      <c r="E7" s="62">
        <f t="shared" ref="E7:P7" si="1">SUM(E8:E28)</f>
        <v>29019.660000000003</v>
      </c>
      <c r="F7" s="62">
        <f t="shared" si="1"/>
        <v>40682.980000000003</v>
      </c>
      <c r="G7" s="62">
        <f t="shared" si="1"/>
        <v>31583.7</v>
      </c>
      <c r="H7" s="62">
        <f t="shared" si="1"/>
        <v>34244.9</v>
      </c>
      <c r="I7" s="62">
        <f t="shared" si="1"/>
        <v>34229.700000000004</v>
      </c>
      <c r="J7" s="62">
        <f t="shared" si="1"/>
        <v>29340.25</v>
      </c>
      <c r="K7" s="62">
        <f t="shared" si="1"/>
        <v>33551.259999999995</v>
      </c>
      <c r="L7" s="62">
        <f t="shared" si="1"/>
        <v>32832.46</v>
      </c>
      <c r="M7" s="62">
        <f t="shared" si="1"/>
        <v>27850.799999999999</v>
      </c>
      <c r="N7" s="62">
        <f t="shared" si="1"/>
        <v>31886</v>
      </c>
      <c r="O7" s="62">
        <f t="shared" si="1"/>
        <v>30538.739999999998</v>
      </c>
      <c r="P7" s="63">
        <f t="shared" si="1"/>
        <v>36294.69</v>
      </c>
      <c r="Q7" s="62">
        <f>SUM(E7:P7)</f>
        <v>392055.14</v>
      </c>
      <c r="R7" s="65">
        <f t="shared" ref="R7:R27" si="2">Q7/$Q$51</f>
        <v>0.9059948550427237</v>
      </c>
      <c r="S7" s="66">
        <f>AVERAGE(E7:P7)</f>
        <v>32671.261666666669</v>
      </c>
    </row>
    <row r="8" spans="1:21" s="17" customFormat="1" ht="15.95" customHeight="1" x14ac:dyDescent="0.25">
      <c r="A8" s="172">
        <v>42278</v>
      </c>
      <c r="B8" s="172"/>
      <c r="C8" s="172"/>
      <c r="D8" s="136"/>
      <c r="E8" s="90">
        <v>246.96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6">
        <v>0</v>
      </c>
      <c r="Q8" s="91">
        <f t="shared" ref="Q8:Q13" si="3">SUM(E8:P8)</f>
        <v>246.96</v>
      </c>
      <c r="R8" s="92">
        <f t="shared" si="2"/>
        <v>5.7069648264616813E-4</v>
      </c>
      <c r="S8" s="15">
        <f t="shared" ref="S8:S28" si="4">AVERAGE(E8:P8)</f>
        <v>20.580000000000002</v>
      </c>
    </row>
    <row r="9" spans="1:21" s="17" customFormat="1" ht="15.95" customHeight="1" x14ac:dyDescent="0.25">
      <c r="A9" s="171">
        <v>42583</v>
      </c>
      <c r="B9" s="171"/>
      <c r="C9" s="171"/>
      <c r="D9" s="136"/>
      <c r="E9" s="28">
        <v>231.78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12">
        <v>0</v>
      </c>
      <c r="Q9" s="41">
        <f t="shared" si="3"/>
        <v>231.78</v>
      </c>
      <c r="R9" s="70">
        <f t="shared" si="2"/>
        <v>5.3561722848934588E-4</v>
      </c>
      <c r="S9" s="4">
        <f t="shared" si="4"/>
        <v>19.315000000000001</v>
      </c>
      <c r="T9">
        <v>24606.400000000001</v>
      </c>
      <c r="U9" s="17">
        <v>23795.200000000001</v>
      </c>
    </row>
    <row r="10" spans="1:21" s="17" customFormat="1" ht="15.95" customHeight="1" x14ac:dyDescent="0.25">
      <c r="A10" s="171">
        <v>42644</v>
      </c>
      <c r="B10" s="171"/>
      <c r="C10" s="171"/>
      <c r="D10" s="136"/>
      <c r="E10" s="93">
        <v>231.78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12">
        <v>0</v>
      </c>
      <c r="Q10" s="41">
        <f t="shared" si="3"/>
        <v>231.78</v>
      </c>
      <c r="R10" s="70">
        <f t="shared" si="2"/>
        <v>5.3561722848934588E-4</v>
      </c>
      <c r="S10" s="4">
        <f t="shared" si="4"/>
        <v>19.315000000000001</v>
      </c>
      <c r="T10">
        <v>6202.74</v>
      </c>
      <c r="U10" s="17">
        <v>12229.09</v>
      </c>
    </row>
    <row r="11" spans="1:21" s="17" customFormat="1" ht="15.95" customHeight="1" x14ac:dyDescent="0.25">
      <c r="A11" s="171">
        <v>42948</v>
      </c>
      <c r="B11" s="171"/>
      <c r="C11" s="171"/>
      <c r="D11" s="136"/>
      <c r="E11" s="28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41">
        <f t="shared" si="3"/>
        <v>0</v>
      </c>
      <c r="R11" s="70">
        <f t="shared" si="2"/>
        <v>0</v>
      </c>
      <c r="S11" s="4">
        <f t="shared" si="4"/>
        <v>0</v>
      </c>
      <c r="T11" s="17">
        <v>270.39999999999998</v>
      </c>
      <c r="U11" s="17">
        <v>270.39999999999998</v>
      </c>
    </row>
    <row r="12" spans="1:21" s="17" customFormat="1" ht="15.95" customHeight="1" x14ac:dyDescent="0.25">
      <c r="A12" s="171">
        <v>42979</v>
      </c>
      <c r="B12" s="171"/>
      <c r="C12" s="171"/>
      <c r="D12" s="136"/>
      <c r="E12" s="28">
        <v>0</v>
      </c>
      <c r="F12" s="4">
        <v>0</v>
      </c>
      <c r="G12" s="4">
        <v>0</v>
      </c>
      <c r="H12" s="4">
        <v>0</v>
      </c>
      <c r="I12" s="4">
        <v>0</v>
      </c>
      <c r="J12" s="4">
        <v>260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12">
        <v>0</v>
      </c>
      <c r="Q12" s="41">
        <f t="shared" si="3"/>
        <v>260</v>
      </c>
      <c r="R12" s="70">
        <f t="shared" si="2"/>
        <v>6.0083044010367562E-4</v>
      </c>
      <c r="S12" s="4">
        <f t="shared" si="4"/>
        <v>21.666666666666668</v>
      </c>
      <c r="T12" s="17">
        <v>270.39999999999998</v>
      </c>
      <c r="U12" s="17">
        <v>270.39999999999998</v>
      </c>
    </row>
    <row r="13" spans="1:21" s="17" customFormat="1" ht="15.95" customHeight="1" x14ac:dyDescent="0.25">
      <c r="A13" s="171">
        <v>43009</v>
      </c>
      <c r="B13" s="171"/>
      <c r="C13" s="171"/>
      <c r="D13" s="136"/>
      <c r="E13" s="28">
        <v>260</v>
      </c>
      <c r="F13" s="4">
        <v>0</v>
      </c>
      <c r="G13" s="4">
        <v>0</v>
      </c>
      <c r="H13" s="4">
        <v>0</v>
      </c>
      <c r="I13" s="4">
        <v>0</v>
      </c>
      <c r="J13" s="4">
        <v>260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12">
        <v>0</v>
      </c>
      <c r="Q13" s="41">
        <f t="shared" si="3"/>
        <v>520</v>
      </c>
      <c r="R13" s="70">
        <f t="shared" si="2"/>
        <v>1.2016608802073512E-3</v>
      </c>
      <c r="S13" s="4">
        <f t="shared" si="4"/>
        <v>43.333333333333336</v>
      </c>
      <c r="T13" s="17">
        <v>1121.28</v>
      </c>
      <c r="U13" s="17">
        <v>855.01</v>
      </c>
    </row>
    <row r="14" spans="1:21" s="17" customFormat="1" x14ac:dyDescent="0.25">
      <c r="A14" s="171">
        <v>43040</v>
      </c>
      <c r="B14" s="171"/>
      <c r="C14" s="171"/>
      <c r="D14" s="136"/>
      <c r="E14" s="28">
        <f>780+260</f>
        <v>1040</v>
      </c>
      <c r="F14" s="4">
        <v>260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12">
        <v>0</v>
      </c>
      <c r="Q14" s="41">
        <f t="shared" ref="Q14:Q32" si="5">SUM(E14:P14)</f>
        <v>1300</v>
      </c>
      <c r="R14" s="70">
        <f t="shared" si="2"/>
        <v>3.0041522005183779E-3</v>
      </c>
      <c r="S14" s="4">
        <f t="shared" si="4"/>
        <v>108.33333333333333</v>
      </c>
      <c r="T14" s="3">
        <v>55</v>
      </c>
      <c r="U14" s="17">
        <v>50</v>
      </c>
    </row>
    <row r="15" spans="1:21" s="17" customFormat="1" x14ac:dyDescent="0.25">
      <c r="A15" s="171">
        <v>43070</v>
      </c>
      <c r="B15" s="171"/>
      <c r="C15" s="171"/>
      <c r="D15" s="136"/>
      <c r="E15" s="28">
        <v>1560</v>
      </c>
      <c r="F15" s="4">
        <v>520</v>
      </c>
      <c r="G15" s="4">
        <v>260</v>
      </c>
      <c r="H15" s="4">
        <v>260</v>
      </c>
      <c r="I15" s="4">
        <v>0</v>
      </c>
      <c r="J15" s="4">
        <v>260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12">
        <v>0</v>
      </c>
      <c r="Q15" s="41">
        <f>SUM(E15:P15)</f>
        <v>2860</v>
      </c>
      <c r="R15" s="70">
        <f t="shared" si="2"/>
        <v>6.6091348411404316E-3</v>
      </c>
      <c r="S15" s="4">
        <f t="shared" si="4"/>
        <v>238.33333333333334</v>
      </c>
      <c r="T15" s="17">
        <f>SUM(T9:T14)</f>
        <v>32526.22</v>
      </c>
      <c r="U15" s="17">
        <f>SUM(U9:U14)</f>
        <v>37470.100000000006</v>
      </c>
    </row>
    <row r="16" spans="1:21" s="17" customFormat="1" x14ac:dyDescent="0.25">
      <c r="A16" s="171">
        <v>43101</v>
      </c>
      <c r="B16" s="171"/>
      <c r="C16" s="171"/>
      <c r="D16" s="136"/>
      <c r="E16" s="28">
        <v>25178.74</v>
      </c>
      <c r="F16" s="4">
        <v>1560</v>
      </c>
      <c r="G16" s="4">
        <v>520</v>
      </c>
      <c r="H16" s="4">
        <v>260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12">
        <v>0</v>
      </c>
      <c r="Q16" s="41">
        <f>SUM(E16:P16)</f>
        <v>27518.74</v>
      </c>
      <c r="R16" s="70">
        <f t="shared" si="2"/>
        <v>6.3592679481917783E-2</v>
      </c>
      <c r="S16" s="4">
        <f t="shared" si="4"/>
        <v>2293.2283333333335</v>
      </c>
      <c r="U16" s="17">
        <f>F16/F46</f>
        <v>5.7692307692307701</v>
      </c>
    </row>
    <row r="17" spans="1:20" s="17" customFormat="1" x14ac:dyDescent="0.25">
      <c r="A17" s="171">
        <v>43132</v>
      </c>
      <c r="B17" s="171"/>
      <c r="C17" s="171"/>
      <c r="D17" s="136"/>
      <c r="E17" s="28">
        <v>270.39999999999998</v>
      </c>
      <c r="F17" s="4">
        <v>38342.980000000003</v>
      </c>
      <c r="G17" s="4">
        <v>2163.1999999999998</v>
      </c>
      <c r="H17" s="4">
        <v>270.39999999999998</v>
      </c>
      <c r="I17" s="4">
        <v>270.39999999999998</v>
      </c>
      <c r="J17" s="4">
        <v>0</v>
      </c>
      <c r="K17" s="4">
        <v>0</v>
      </c>
      <c r="L17" s="4">
        <v>0</v>
      </c>
      <c r="M17" s="4">
        <v>270.39999999999998</v>
      </c>
      <c r="N17" s="4">
        <v>0</v>
      </c>
      <c r="O17" s="4">
        <v>0</v>
      </c>
      <c r="P17" s="12">
        <v>0</v>
      </c>
      <c r="Q17" s="41">
        <f>SUM(E17:P17)</f>
        <v>41587.780000000006</v>
      </c>
      <c r="R17" s="70">
        <f t="shared" si="2"/>
        <v>9.6104631385903236E-2</v>
      </c>
      <c r="S17" s="4">
        <f t="shared" si="4"/>
        <v>3465.648333333334</v>
      </c>
    </row>
    <row r="18" spans="1:20" s="17" customFormat="1" x14ac:dyDescent="0.25">
      <c r="A18" s="171">
        <v>43160</v>
      </c>
      <c r="B18" s="171"/>
      <c r="C18" s="171"/>
      <c r="D18" s="136"/>
      <c r="E18" s="28">
        <v>0</v>
      </c>
      <c r="F18" s="4">
        <v>0</v>
      </c>
      <c r="G18" s="4">
        <v>28640.5</v>
      </c>
      <c r="H18" s="4">
        <v>1892.8</v>
      </c>
      <c r="I18" s="4">
        <v>811.2</v>
      </c>
      <c r="J18" s="4">
        <v>0</v>
      </c>
      <c r="K18" s="4">
        <v>270.39999999999998</v>
      </c>
      <c r="L18" s="4">
        <v>0</v>
      </c>
      <c r="M18" s="4">
        <v>0</v>
      </c>
      <c r="N18" s="4">
        <v>0</v>
      </c>
      <c r="O18" s="4">
        <v>0</v>
      </c>
      <c r="P18" s="12">
        <v>0</v>
      </c>
      <c r="Q18" s="41">
        <f t="shared" si="5"/>
        <v>31614.9</v>
      </c>
      <c r="R18" s="70">
        <f t="shared" si="2"/>
        <v>7.3058439541668047E-2</v>
      </c>
      <c r="S18" s="4">
        <f t="shared" si="4"/>
        <v>2634.5750000000003</v>
      </c>
    </row>
    <row r="19" spans="1:20" s="17" customFormat="1" x14ac:dyDescent="0.25">
      <c r="A19" s="171">
        <v>43191</v>
      </c>
      <c r="B19" s="171"/>
      <c r="C19" s="171"/>
      <c r="D19" s="136"/>
      <c r="E19" s="28">
        <v>0</v>
      </c>
      <c r="F19" s="4">
        <v>0</v>
      </c>
      <c r="G19" s="4">
        <v>0</v>
      </c>
      <c r="H19" s="4">
        <v>30751.7</v>
      </c>
      <c r="I19" s="4">
        <v>4794.3999999999996</v>
      </c>
      <c r="J19" s="4">
        <v>0</v>
      </c>
      <c r="K19" s="4">
        <v>0</v>
      </c>
      <c r="L19" s="4">
        <v>0</v>
      </c>
      <c r="M19" s="4">
        <v>0</v>
      </c>
      <c r="N19" s="4">
        <v>270.39999999999998</v>
      </c>
      <c r="O19" s="4">
        <v>0</v>
      </c>
      <c r="P19" s="12">
        <v>0</v>
      </c>
      <c r="Q19" s="41">
        <f t="shared" si="5"/>
        <v>35816.5</v>
      </c>
      <c r="R19" s="70">
        <f t="shared" si="2"/>
        <v>8.2767859453743445E-2</v>
      </c>
      <c r="S19" s="4">
        <f t="shared" si="4"/>
        <v>2984.7083333333335</v>
      </c>
    </row>
    <row r="20" spans="1:20" s="17" customFormat="1" x14ac:dyDescent="0.25">
      <c r="A20" s="171">
        <v>43221</v>
      </c>
      <c r="B20" s="171"/>
      <c r="C20" s="171"/>
      <c r="D20" s="136"/>
      <c r="E20" s="28">
        <v>0</v>
      </c>
      <c r="F20" s="4">
        <v>0</v>
      </c>
      <c r="G20" s="4">
        <v>0</v>
      </c>
      <c r="H20" s="4">
        <v>810</v>
      </c>
      <c r="I20" s="4">
        <v>27812.9</v>
      </c>
      <c r="J20" s="4">
        <v>2062.25</v>
      </c>
      <c r="K20" s="4">
        <v>0</v>
      </c>
      <c r="L20" s="4">
        <v>0</v>
      </c>
      <c r="M20" s="4">
        <v>270</v>
      </c>
      <c r="N20" s="4">
        <v>0</v>
      </c>
      <c r="O20" s="4">
        <v>0</v>
      </c>
      <c r="P20" s="12">
        <v>0</v>
      </c>
      <c r="Q20" s="41">
        <f t="shared" si="5"/>
        <v>30955.15</v>
      </c>
      <c r="R20" s="70">
        <f t="shared" si="2"/>
        <v>7.1533832299904981E-2</v>
      </c>
      <c r="S20" s="4">
        <f t="shared" si="4"/>
        <v>2579.5958333333333</v>
      </c>
    </row>
    <row r="21" spans="1:20" s="17" customFormat="1" x14ac:dyDescent="0.25">
      <c r="A21" s="171">
        <v>43252</v>
      </c>
      <c r="B21" s="171"/>
      <c r="C21" s="171"/>
      <c r="D21" s="136"/>
      <c r="E21" s="28">
        <v>0</v>
      </c>
      <c r="F21" s="4">
        <v>0</v>
      </c>
      <c r="G21" s="4">
        <v>0</v>
      </c>
      <c r="H21" s="4">
        <v>0</v>
      </c>
      <c r="I21" s="4">
        <v>540.79999999999995</v>
      </c>
      <c r="J21" s="4">
        <v>25957.200000000001</v>
      </c>
      <c r="K21" s="4">
        <v>4121.26</v>
      </c>
      <c r="L21" s="4">
        <v>0</v>
      </c>
      <c r="M21" s="4">
        <v>0</v>
      </c>
      <c r="N21" s="4">
        <v>270.39999999999998</v>
      </c>
      <c r="O21" s="4">
        <v>0</v>
      </c>
      <c r="P21" s="12">
        <v>0</v>
      </c>
      <c r="Q21" s="41">
        <f t="shared" si="5"/>
        <v>30889.660000000003</v>
      </c>
      <c r="R21" s="70">
        <f t="shared" si="2"/>
        <v>7.1382492355588092E-2</v>
      </c>
      <c r="S21" s="4">
        <f t="shared" si="4"/>
        <v>2574.1383333333338</v>
      </c>
    </row>
    <row r="22" spans="1:20" s="17" customFormat="1" x14ac:dyDescent="0.25">
      <c r="A22" s="171">
        <v>43282</v>
      </c>
      <c r="B22" s="171"/>
      <c r="C22" s="171"/>
      <c r="D22" s="136"/>
      <c r="E22" s="28">
        <v>0</v>
      </c>
      <c r="F22" s="4">
        <v>0</v>
      </c>
      <c r="G22" s="4">
        <v>0</v>
      </c>
      <c r="H22" s="4">
        <v>0</v>
      </c>
      <c r="I22" s="4">
        <v>0</v>
      </c>
      <c r="J22" s="4">
        <v>540.79999999999995</v>
      </c>
      <c r="K22" s="4">
        <v>29159.599999999999</v>
      </c>
      <c r="L22" s="4">
        <v>2704</v>
      </c>
      <c r="M22" s="4">
        <v>0</v>
      </c>
      <c r="N22" s="4">
        <v>270.39999999999998</v>
      </c>
      <c r="O22" s="4">
        <v>270.39999999999998</v>
      </c>
      <c r="P22" s="12">
        <v>0</v>
      </c>
      <c r="Q22" s="41">
        <f t="shared" si="5"/>
        <v>32945.199999999997</v>
      </c>
      <c r="R22" s="70">
        <f t="shared" si="2"/>
        <v>7.6132611597321584E-2</v>
      </c>
      <c r="S22" s="4">
        <f t="shared" si="4"/>
        <v>2745.4333333333329</v>
      </c>
    </row>
    <row r="23" spans="1:20" s="17" customFormat="1" x14ac:dyDescent="0.25">
      <c r="A23" s="171">
        <v>43313</v>
      </c>
      <c r="B23" s="171"/>
      <c r="C23" s="171"/>
      <c r="D23" s="136"/>
      <c r="E23" s="28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30128.46</v>
      </c>
      <c r="M23" s="4">
        <v>1622.4</v>
      </c>
      <c r="N23" s="4">
        <v>540.79999999999995</v>
      </c>
      <c r="O23" s="4">
        <v>270.39999999999998</v>
      </c>
      <c r="P23" s="12">
        <v>0</v>
      </c>
      <c r="Q23" s="41">
        <f t="shared" si="5"/>
        <v>32562.06</v>
      </c>
      <c r="R23" s="70">
        <f t="shared" si="2"/>
        <v>7.5247218617239583E-2</v>
      </c>
      <c r="S23" s="4">
        <f t="shared" si="4"/>
        <v>2713.5050000000001</v>
      </c>
    </row>
    <row r="24" spans="1:20" s="17" customFormat="1" x14ac:dyDescent="0.25">
      <c r="A24" s="171">
        <v>43344</v>
      </c>
      <c r="B24" s="171"/>
      <c r="C24" s="171"/>
      <c r="D24" s="136"/>
      <c r="E24" s="28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25688</v>
      </c>
      <c r="N24" s="4">
        <v>2974.4</v>
      </c>
      <c r="O24" s="4">
        <v>270.39999999999998</v>
      </c>
      <c r="P24" s="12">
        <v>0</v>
      </c>
      <c r="Q24" s="41">
        <f t="shared" si="5"/>
        <v>28932.800000000003</v>
      </c>
      <c r="R24" s="70">
        <f t="shared" si="2"/>
        <v>6.6860411374737028E-2</v>
      </c>
      <c r="S24" s="4">
        <f t="shared" si="4"/>
        <v>2411.0666666666671</v>
      </c>
    </row>
    <row r="25" spans="1:20" s="17" customFormat="1" x14ac:dyDescent="0.25">
      <c r="A25" s="171">
        <v>43374</v>
      </c>
      <c r="B25" s="171"/>
      <c r="C25" s="171"/>
      <c r="D25" s="136"/>
      <c r="E25" s="28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27559.599999999999</v>
      </c>
      <c r="O25" s="4">
        <v>1081.5999999999999</v>
      </c>
      <c r="P25" s="12">
        <v>0</v>
      </c>
      <c r="Q25" s="41">
        <f t="shared" si="5"/>
        <v>28641.199999999997</v>
      </c>
      <c r="R25" s="70">
        <f t="shared" si="2"/>
        <v>6.6186556927297663E-2</v>
      </c>
      <c r="S25" s="4">
        <f t="shared" si="4"/>
        <v>2386.7666666666664</v>
      </c>
    </row>
    <row r="26" spans="1:20" s="17" customFormat="1" x14ac:dyDescent="0.25">
      <c r="A26" s="171">
        <v>43405</v>
      </c>
      <c r="B26" s="171"/>
      <c r="C26" s="171"/>
      <c r="D26" s="136"/>
      <c r="E26" s="28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28645.94</v>
      </c>
      <c r="P26" s="12">
        <v>5391.79</v>
      </c>
      <c r="Q26" s="41">
        <f t="shared" si="5"/>
        <v>34037.729999999996</v>
      </c>
      <c r="R26" s="70">
        <f t="shared" si="2"/>
        <v>7.8657324215500299E-2</v>
      </c>
      <c r="S26" s="4">
        <f t="shared" si="4"/>
        <v>2836.4774999999995</v>
      </c>
    </row>
    <row r="27" spans="1:20" s="17" customFormat="1" x14ac:dyDescent="0.25">
      <c r="A27" s="171">
        <v>43435</v>
      </c>
      <c r="B27" s="171"/>
      <c r="C27" s="171"/>
      <c r="D27" s="136"/>
      <c r="E27" s="28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12">
        <v>30902.9</v>
      </c>
      <c r="Q27" s="41">
        <f t="shared" si="5"/>
        <v>30902.9</v>
      </c>
      <c r="R27" s="70">
        <f t="shared" si="2"/>
        <v>7.1413088490307211E-2</v>
      </c>
      <c r="S27" s="4">
        <f t="shared" si="4"/>
        <v>2575.2416666666668</v>
      </c>
    </row>
    <row r="28" spans="1:20" s="17" customFormat="1" x14ac:dyDescent="0.25">
      <c r="A28" s="171">
        <v>43466</v>
      </c>
      <c r="B28" s="171"/>
      <c r="C28" s="171"/>
      <c r="D28" s="136"/>
      <c r="E28" s="28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12">
        <v>0</v>
      </c>
      <c r="Q28" s="41">
        <f t="shared" si="5"/>
        <v>0</v>
      </c>
      <c r="R28" s="70"/>
      <c r="S28" s="4">
        <f t="shared" si="4"/>
        <v>0</v>
      </c>
    </row>
    <row r="29" spans="1:20" ht="5.0999999999999996" customHeight="1" x14ac:dyDescent="0.25">
      <c r="Q29"/>
      <c r="R29"/>
    </row>
    <row r="30" spans="1:20" s="13" customFormat="1" ht="15.95" customHeight="1" x14ac:dyDescent="0.25">
      <c r="A30" s="163" t="s">
        <v>76</v>
      </c>
      <c r="B30" s="163"/>
      <c r="C30" s="163"/>
      <c r="D30" s="135"/>
      <c r="E30" s="62">
        <f t="shared" ref="E30:M30" si="6">SUM(E31:E32)</f>
        <v>1560</v>
      </c>
      <c r="F30" s="62">
        <f t="shared" si="6"/>
        <v>0</v>
      </c>
      <c r="G30" s="62">
        <f t="shared" si="6"/>
        <v>1622.4</v>
      </c>
      <c r="H30" s="62">
        <f t="shared" si="6"/>
        <v>1622.4</v>
      </c>
      <c r="I30" s="62">
        <f t="shared" si="6"/>
        <v>811.19999999999993</v>
      </c>
      <c r="J30" s="62">
        <f t="shared" si="6"/>
        <v>1622.4</v>
      </c>
      <c r="K30" s="62">
        <f t="shared" si="6"/>
        <v>811.19999999999993</v>
      </c>
      <c r="L30" s="62">
        <f t="shared" si="6"/>
        <v>540.79999999999995</v>
      </c>
      <c r="M30" s="62">
        <f t="shared" si="6"/>
        <v>540.79999999999995</v>
      </c>
      <c r="N30" s="62">
        <f>SUM(N31:N32)</f>
        <v>540.79999999999995</v>
      </c>
      <c r="O30" s="62">
        <f t="shared" ref="O30:P30" si="7">SUM(O31:O32)</f>
        <v>541.09999999999991</v>
      </c>
      <c r="P30" s="62">
        <f t="shared" si="7"/>
        <v>540.79999999999995</v>
      </c>
      <c r="Q30" s="62">
        <f>SUM(E30:P30)</f>
        <v>10753.899999999998</v>
      </c>
      <c r="R30" s="65">
        <f>Q30/$Q$51</f>
        <v>2.4851040268580444E-2</v>
      </c>
      <c r="S30" s="62">
        <f>AVERAGE(E30:P30)</f>
        <v>896.15833333333319</v>
      </c>
      <c r="T30" s="17"/>
    </row>
    <row r="31" spans="1:20" s="17" customFormat="1" ht="15.95" customHeight="1" x14ac:dyDescent="0.25">
      <c r="A31" s="173" t="s">
        <v>26</v>
      </c>
      <c r="B31" s="173"/>
      <c r="C31" s="173"/>
      <c r="D31" s="137"/>
      <c r="E31" s="67">
        <v>260</v>
      </c>
      <c r="F31" s="67">
        <v>0</v>
      </c>
      <c r="G31" s="67">
        <v>0</v>
      </c>
      <c r="H31" s="67">
        <v>811.2</v>
      </c>
      <c r="I31" s="67">
        <v>270.39999999999998</v>
      </c>
      <c r="J31" s="67">
        <v>270.39999999999998</v>
      </c>
      <c r="K31" s="67">
        <v>270.39999999999998</v>
      </c>
      <c r="L31" s="67">
        <v>270.39999999999998</v>
      </c>
      <c r="M31" s="67">
        <v>270.39999999999998</v>
      </c>
      <c r="N31" s="67">
        <v>270.39999999999998</v>
      </c>
      <c r="O31" s="67">
        <v>270.39999999999998</v>
      </c>
      <c r="P31" s="67">
        <v>270.39999999999998</v>
      </c>
      <c r="Q31" s="68">
        <f t="shared" si="5"/>
        <v>3234.4000000000005</v>
      </c>
      <c r="R31" s="69">
        <f>Q31/$Q$51</f>
        <v>7.4743306748897252E-3</v>
      </c>
      <c r="S31" s="67">
        <f t="shared" ref="S31:S32" si="8">AVERAGE(E31:P31)</f>
        <v>269.53333333333336</v>
      </c>
    </row>
    <row r="32" spans="1:20" s="17" customFormat="1" ht="15.95" customHeight="1" x14ac:dyDescent="0.25">
      <c r="A32" s="174" t="s">
        <v>27</v>
      </c>
      <c r="B32" s="174"/>
      <c r="C32" s="174"/>
      <c r="D32" s="137"/>
      <c r="E32" s="4">
        <v>1300</v>
      </c>
      <c r="F32" s="4">
        <v>0</v>
      </c>
      <c r="G32" s="4">
        <v>1622.4</v>
      </c>
      <c r="H32" s="4">
        <v>811.2</v>
      </c>
      <c r="I32" s="4">
        <v>540.79999999999995</v>
      </c>
      <c r="J32" s="4">
        <v>1352</v>
      </c>
      <c r="K32" s="4">
        <v>540.79999999999995</v>
      </c>
      <c r="L32" s="4">
        <v>270.39999999999998</v>
      </c>
      <c r="M32" s="4">
        <v>270.39999999999998</v>
      </c>
      <c r="N32" s="4">
        <v>270.39999999999998</v>
      </c>
      <c r="O32" s="4">
        <v>270.7</v>
      </c>
      <c r="P32" s="4">
        <v>270.39999999999998</v>
      </c>
      <c r="Q32" s="41">
        <f t="shared" si="5"/>
        <v>7519.4999999999991</v>
      </c>
      <c r="R32" s="70">
        <f>Q32/$Q$51</f>
        <v>1.7376709593690722E-2</v>
      </c>
      <c r="S32" s="4">
        <f t="shared" si="8"/>
        <v>626.62499999999989</v>
      </c>
    </row>
    <row r="33" spans="1:20" ht="5.0999999999999996" customHeight="1" x14ac:dyDescent="0.25">
      <c r="Q33"/>
      <c r="R33"/>
    </row>
    <row r="34" spans="1:20" s="13" customFormat="1" ht="15.95" customHeight="1" x14ac:dyDescent="0.25">
      <c r="A34" s="163" t="s">
        <v>85</v>
      </c>
      <c r="B34" s="163"/>
      <c r="C34" s="163"/>
      <c r="D34" s="135"/>
      <c r="E34" s="62">
        <f t="shared" ref="E34:P34" si="9">SUM(E35:E35)</f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62">
        <f t="shared" si="9"/>
        <v>0</v>
      </c>
      <c r="Q34" s="62">
        <f>SUM(E34:P34)</f>
        <v>0</v>
      </c>
      <c r="R34" s="65">
        <f>Q34/$Q$51</f>
        <v>0</v>
      </c>
      <c r="S34" s="62">
        <f>AVERAGE(E34:P34)</f>
        <v>0</v>
      </c>
      <c r="T34" s="17"/>
    </row>
    <row r="35" spans="1:20" s="17" customFormat="1" ht="15.95" customHeight="1" x14ac:dyDescent="0.25">
      <c r="A35" s="175" t="s">
        <v>85</v>
      </c>
      <c r="B35" s="175"/>
      <c r="C35" s="175"/>
      <c r="D35" s="137"/>
      <c r="E35" s="15"/>
      <c r="F35" s="15"/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91">
        <f t="shared" ref="Q35" si="10">SUM(E35:P35)</f>
        <v>0</v>
      </c>
      <c r="R35" s="92">
        <f>Q35/$Q$51</f>
        <v>0</v>
      </c>
      <c r="S35" s="15">
        <f t="shared" ref="S35" si="11">AVERAGE(E35:P35)</f>
        <v>0</v>
      </c>
    </row>
    <row r="36" spans="1:20" ht="5.0999999999999996" customHeight="1" x14ac:dyDescent="0.25">
      <c r="Q36"/>
      <c r="R36"/>
    </row>
    <row r="37" spans="1:20" s="13" customFormat="1" ht="15.95" customHeight="1" x14ac:dyDescent="0.25">
      <c r="A37" s="163" t="s">
        <v>29</v>
      </c>
      <c r="B37" s="163"/>
      <c r="C37" s="163"/>
      <c r="D37" s="135"/>
      <c r="E37" s="62">
        <f t="shared" ref="E37:P37" si="12">SUM(E38:E44)</f>
        <v>5763.72</v>
      </c>
      <c r="F37" s="62">
        <f t="shared" si="12"/>
        <v>6045.18</v>
      </c>
      <c r="G37" s="62">
        <f t="shared" si="12"/>
        <v>7514.5099999999993</v>
      </c>
      <c r="H37" s="62">
        <f t="shared" si="12"/>
        <v>6623.37</v>
      </c>
      <c r="I37" s="62">
        <f t="shared" si="12"/>
        <v>1822.9899999999998</v>
      </c>
      <c r="J37" s="62">
        <f t="shared" si="12"/>
        <v>1060.76</v>
      </c>
      <c r="K37" s="62">
        <f t="shared" si="12"/>
        <v>892.77</v>
      </c>
      <c r="L37" s="62">
        <f t="shared" si="12"/>
        <v>1059.6599999999999</v>
      </c>
      <c r="M37" s="62">
        <f t="shared" si="12"/>
        <v>462.65999999999997</v>
      </c>
      <c r="N37" s="62">
        <f t="shared" si="12"/>
        <v>1158.4699999999998</v>
      </c>
      <c r="O37" s="62">
        <f t="shared" si="12"/>
        <v>1163.5700000000002</v>
      </c>
      <c r="P37" s="62">
        <f t="shared" si="12"/>
        <v>917.72</v>
      </c>
      <c r="Q37" s="62">
        <f>SUM(E37:P37)</f>
        <v>34485.379999999997</v>
      </c>
      <c r="R37" s="65">
        <f>Q37/$Q$51</f>
        <v>7.9691792471317274E-2</v>
      </c>
      <c r="S37" s="62">
        <f>AVERAGE(E37:P37)</f>
        <v>2873.7816666666663</v>
      </c>
      <c r="T37" s="17"/>
    </row>
    <row r="38" spans="1:20" s="17" customFormat="1" ht="15.95" customHeight="1" x14ac:dyDescent="0.25">
      <c r="A38" s="176" t="s">
        <v>28</v>
      </c>
      <c r="B38" s="176"/>
      <c r="C38" s="176"/>
      <c r="D38" s="138"/>
      <c r="E38" s="67">
        <f>247.75+13.61+37.2+13.02+29.67+272.47</f>
        <v>613.72</v>
      </c>
      <c r="F38" s="67">
        <f>21.48+399.44+16.94+23.98+109.64</f>
        <v>571.48</v>
      </c>
      <c r="G38" s="67">
        <f>24.18+49.24+179.84+16.74+122.78</f>
        <v>392.78</v>
      </c>
      <c r="H38" s="67">
        <f>16.01+13.78+30.02+332.68+20.15+175.18</f>
        <v>587.81999999999994</v>
      </c>
      <c r="I38" s="67">
        <f>161.94+15.27+25.32+239.04+269.57</f>
        <v>711.14</v>
      </c>
      <c r="J38" s="67">
        <f>485.41+89.56+26.04+162.35</f>
        <v>763.36</v>
      </c>
      <c r="K38" s="67">
        <f>19.34+17.67+308.58+147.18</f>
        <v>492.77</v>
      </c>
      <c r="L38" s="67">
        <f>41.55+156.7+130.51</f>
        <v>328.76</v>
      </c>
      <c r="M38" s="67">
        <f>27.88+16.47+25.15+130.88+112.28</f>
        <v>312.65999999999997</v>
      </c>
      <c r="N38" s="67">
        <f>281.07+60.94+27.24+22.63+16.32+14.24+102.63</f>
        <v>525.06999999999994</v>
      </c>
      <c r="O38" s="67">
        <f>966.39+16.95+14.6+12.26+98.37</f>
        <v>1108.5700000000002</v>
      </c>
      <c r="P38" s="67">
        <f>631.02+45.07+191.63</f>
        <v>867.72</v>
      </c>
      <c r="Q38" s="94">
        <f t="shared" ref="Q38:Q41" si="13">SUM(E38:P38)</f>
        <v>7275.8499999999995</v>
      </c>
      <c r="R38" s="95">
        <f>Q38/$Q$51</f>
        <v>1.6813662144724337E-2</v>
      </c>
      <c r="S38" s="67">
        <f t="shared" ref="S38:S41" si="14">AVERAGE(E38:P38)</f>
        <v>606.32083333333333</v>
      </c>
    </row>
    <row r="39" spans="1:20" s="17" customFormat="1" ht="15.95" customHeight="1" x14ac:dyDescent="0.25">
      <c r="A39" s="183" t="s">
        <v>30</v>
      </c>
      <c r="B39" s="183"/>
      <c r="C39" s="183"/>
      <c r="D39" s="138"/>
      <c r="E39" s="4">
        <v>0</v>
      </c>
      <c r="F39" s="4">
        <v>0</v>
      </c>
      <c r="G39" s="4">
        <v>0</v>
      </c>
      <c r="H39" s="4">
        <v>0</v>
      </c>
      <c r="I39" s="4"/>
      <c r="J39" s="4">
        <v>0</v>
      </c>
      <c r="K39" s="4">
        <v>0</v>
      </c>
      <c r="L39" s="4">
        <v>0</v>
      </c>
      <c r="M39" s="4">
        <v>0</v>
      </c>
      <c r="N39" s="4">
        <v>283.39999999999998</v>
      </c>
      <c r="O39" s="4">
        <v>0</v>
      </c>
      <c r="P39" s="4">
        <v>0</v>
      </c>
      <c r="Q39" s="76">
        <f t="shared" si="13"/>
        <v>283.39999999999998</v>
      </c>
      <c r="R39" s="77">
        <f>Q39/$Q$51</f>
        <v>6.5490517971300631E-4</v>
      </c>
      <c r="S39" s="4">
        <f t="shared" si="14"/>
        <v>25.763636363636362</v>
      </c>
    </row>
    <row r="40" spans="1:20" s="17" customFormat="1" ht="15.95" customHeight="1" x14ac:dyDescent="0.25">
      <c r="A40" s="183" t="s">
        <v>31</v>
      </c>
      <c r="B40" s="183"/>
      <c r="C40" s="183"/>
      <c r="D40" s="138"/>
      <c r="E40" s="4">
        <f>4600+50+150+50+300</f>
        <v>5150</v>
      </c>
      <c r="F40" s="4">
        <f>300+5023.7+50+100</f>
        <v>5473.7</v>
      </c>
      <c r="G40" s="4">
        <f>100+400+6571.73+50</f>
        <v>7121.73</v>
      </c>
      <c r="H40" s="4">
        <f>50+50+350+5535.55+50</f>
        <v>6035.55</v>
      </c>
      <c r="I40" s="4">
        <f>50+150+711.85+200</f>
        <v>1111.8499999999999</v>
      </c>
      <c r="J40" s="4">
        <f>47.4+200+50</f>
        <v>297.39999999999998</v>
      </c>
      <c r="K40" s="4">
        <f>50+50+300</f>
        <v>400</v>
      </c>
      <c r="L40" s="4">
        <f>730.9</f>
        <v>730.9</v>
      </c>
      <c r="M40" s="4">
        <f>50+100</f>
        <v>150</v>
      </c>
      <c r="N40" s="4">
        <f>300+50</f>
        <v>350</v>
      </c>
      <c r="O40" s="4">
        <v>55</v>
      </c>
      <c r="P40" s="4">
        <v>50</v>
      </c>
      <c r="Q40" s="76">
        <f t="shared" si="13"/>
        <v>26926.13</v>
      </c>
      <c r="R40" s="77">
        <f>Q40/$Q$51</f>
        <v>6.2223225146879932E-2</v>
      </c>
      <c r="S40" s="4">
        <f t="shared" si="14"/>
        <v>2243.8441666666668</v>
      </c>
    </row>
    <row r="41" spans="1:20" s="17" customFormat="1" ht="15.95" customHeight="1" x14ac:dyDescent="0.25">
      <c r="A41" s="183" t="s">
        <v>35</v>
      </c>
      <c r="B41" s="183"/>
      <c r="C41" s="183"/>
      <c r="D41" s="138"/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76">
        <f t="shared" si="13"/>
        <v>0</v>
      </c>
      <c r="R41" s="77">
        <f>Q41/$Q$51</f>
        <v>0</v>
      </c>
      <c r="S41" s="4">
        <f t="shared" si="14"/>
        <v>0</v>
      </c>
    </row>
    <row r="42" spans="1:20" ht="5.0999999999999996" customHeight="1" x14ac:dyDescent="0.25">
      <c r="Q42"/>
      <c r="R42"/>
    </row>
    <row r="43" spans="1:20" s="13" customFormat="1" ht="15.95" customHeight="1" x14ac:dyDescent="0.25">
      <c r="A43" s="184" t="s">
        <v>36</v>
      </c>
      <c r="B43" s="184"/>
      <c r="C43" s="184"/>
      <c r="D43" s="135"/>
      <c r="E43" s="62">
        <f>SUM(E44:E44)</f>
        <v>0</v>
      </c>
      <c r="F43" s="62">
        <f t="shared" ref="F43:P43" si="15">SUM(F44:F44)</f>
        <v>0</v>
      </c>
      <c r="G43" s="62">
        <f t="shared" si="15"/>
        <v>0</v>
      </c>
      <c r="H43" s="62">
        <f t="shared" si="15"/>
        <v>0</v>
      </c>
      <c r="I43" s="62">
        <f t="shared" si="15"/>
        <v>0</v>
      </c>
      <c r="J43" s="62">
        <f t="shared" si="15"/>
        <v>0</v>
      </c>
      <c r="K43" s="62">
        <f t="shared" si="15"/>
        <v>0</v>
      </c>
      <c r="L43" s="62">
        <f t="shared" si="15"/>
        <v>0</v>
      </c>
      <c r="M43" s="62">
        <f t="shared" si="15"/>
        <v>0</v>
      </c>
      <c r="N43" s="62">
        <f t="shared" si="15"/>
        <v>0</v>
      </c>
      <c r="O43" s="62">
        <f t="shared" si="15"/>
        <v>0</v>
      </c>
      <c r="P43" s="62">
        <f t="shared" si="15"/>
        <v>0</v>
      </c>
      <c r="Q43" s="74">
        <f>SUM(E43:P43)</f>
        <v>0</v>
      </c>
      <c r="R43" s="75">
        <f>Q43/$Q$51</f>
        <v>0</v>
      </c>
      <c r="S43" s="74">
        <f>AVERAGE(E43:P43)</f>
        <v>0</v>
      </c>
      <c r="T43" s="17"/>
    </row>
    <row r="44" spans="1:20" s="17" customFormat="1" ht="15.95" customHeight="1" x14ac:dyDescent="0.25">
      <c r="A44" s="185" t="s">
        <v>36</v>
      </c>
      <c r="B44" s="185"/>
      <c r="C44" s="185"/>
      <c r="D44" s="139"/>
      <c r="E44" s="71">
        <v>0</v>
      </c>
      <c r="F44" s="71">
        <v>0</v>
      </c>
      <c r="G44" s="71">
        <v>0</v>
      </c>
      <c r="H44" s="71">
        <v>0</v>
      </c>
      <c r="I44" s="71">
        <v>0</v>
      </c>
      <c r="J44" s="71">
        <v>0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2">
        <f t="shared" ref="Q44" si="16">SUM(E44:P44)</f>
        <v>0</v>
      </c>
      <c r="R44" s="73">
        <f>Q44/$Q$51</f>
        <v>0</v>
      </c>
      <c r="S44" s="71">
        <f t="shared" ref="S44" si="17">AVERAGE(E44:P44)</f>
        <v>0</v>
      </c>
    </row>
    <row r="45" spans="1:20" ht="5.0999999999999996" customHeight="1" x14ac:dyDescent="0.25">
      <c r="Q45"/>
      <c r="R45"/>
    </row>
    <row r="46" spans="1:20" s="35" customFormat="1" x14ac:dyDescent="0.25">
      <c r="A46" s="164" t="s">
        <v>70</v>
      </c>
      <c r="B46" s="165"/>
      <c r="C46" s="166"/>
      <c r="D46" s="140"/>
      <c r="E46" s="42">
        <v>260</v>
      </c>
      <c r="F46" s="42">
        <v>270.39999999999998</v>
      </c>
      <c r="G46" s="42">
        <v>270.39999999999998</v>
      </c>
      <c r="H46" s="42">
        <v>270.39999999999998</v>
      </c>
      <c r="I46" s="42">
        <v>270.39999999999998</v>
      </c>
      <c r="J46" s="42">
        <v>270.39999999999998</v>
      </c>
      <c r="K46" s="42">
        <v>270.39999999999998</v>
      </c>
      <c r="L46" s="42">
        <v>270.39999999999998</v>
      </c>
      <c r="M46" s="42">
        <v>270.39999999999998</v>
      </c>
      <c r="N46" s="42">
        <v>270.39999999999998</v>
      </c>
      <c r="O46" s="42">
        <v>270.39999999999998</v>
      </c>
      <c r="P46" s="42">
        <v>270.39999999999998</v>
      </c>
      <c r="Q46" s="111" t="s">
        <v>61</v>
      </c>
      <c r="R46"/>
      <c r="S46"/>
      <c r="T46" s="17"/>
    </row>
    <row r="47" spans="1:20" s="20" customFormat="1" x14ac:dyDescent="0.25">
      <c r="A47" s="167" t="s">
        <v>75</v>
      </c>
      <c r="B47" s="168"/>
      <c r="C47" s="169"/>
      <c r="D47" s="141"/>
      <c r="E47" s="47">
        <f t="shared" ref="E47:P47" si="18">E46*126</f>
        <v>32760</v>
      </c>
      <c r="F47" s="47">
        <f t="shared" si="18"/>
        <v>34070.399999999994</v>
      </c>
      <c r="G47" s="47">
        <f t="shared" si="18"/>
        <v>34070.399999999994</v>
      </c>
      <c r="H47" s="47">
        <f t="shared" si="18"/>
        <v>34070.399999999994</v>
      </c>
      <c r="I47" s="47">
        <f t="shared" si="18"/>
        <v>34070.399999999994</v>
      </c>
      <c r="J47" s="47">
        <f t="shared" si="18"/>
        <v>34070.399999999994</v>
      </c>
      <c r="K47" s="47">
        <f t="shared" si="18"/>
        <v>34070.399999999994</v>
      </c>
      <c r="L47" s="47">
        <f t="shared" si="18"/>
        <v>34070.399999999994</v>
      </c>
      <c r="M47" s="47">
        <f t="shared" si="18"/>
        <v>34070.399999999994</v>
      </c>
      <c r="N47" s="47">
        <f t="shared" si="18"/>
        <v>34070.399999999994</v>
      </c>
      <c r="O47" s="47">
        <f t="shared" si="18"/>
        <v>34070.399999999994</v>
      </c>
      <c r="P47" s="48">
        <f t="shared" si="18"/>
        <v>34070.399999999994</v>
      </c>
      <c r="Q47" s="112">
        <f>SUM(E47:P47)</f>
        <v>407534.4</v>
      </c>
      <c r="R47"/>
      <c r="S47"/>
      <c r="T47" s="19"/>
    </row>
    <row r="48" spans="1:20" ht="5.0999999999999996" customHeight="1" x14ac:dyDescent="0.25">
      <c r="Q48"/>
      <c r="R48"/>
    </row>
    <row r="49" spans="1:20" s="35" customFormat="1" x14ac:dyDescent="0.25">
      <c r="A49" s="170" t="s">
        <v>88</v>
      </c>
      <c r="B49" s="170"/>
      <c r="C49" s="170"/>
      <c r="D49" s="142"/>
      <c r="E49" s="42">
        <v>50</v>
      </c>
      <c r="F49" s="42">
        <v>50</v>
      </c>
      <c r="G49" s="42">
        <v>50</v>
      </c>
      <c r="H49" s="42">
        <v>50</v>
      </c>
      <c r="I49" s="42">
        <v>0</v>
      </c>
      <c r="J49" s="42">
        <v>0</v>
      </c>
      <c r="K49" s="42">
        <v>0</v>
      </c>
      <c r="L49" s="42">
        <v>0</v>
      </c>
      <c r="M49" s="42">
        <v>0</v>
      </c>
      <c r="N49" s="42">
        <v>0</v>
      </c>
      <c r="O49" s="42">
        <v>0</v>
      </c>
      <c r="P49" s="43">
        <v>0</v>
      </c>
      <c r="Q49" s="110">
        <f>SUM(E49:P49)</f>
        <v>200</v>
      </c>
      <c r="R49"/>
      <c r="S49" s="108" t="s">
        <v>90</v>
      </c>
      <c r="T49" s="17"/>
    </row>
    <row r="50" spans="1:20" s="20" customFormat="1" ht="15" customHeight="1" x14ac:dyDescent="0.25">
      <c r="A50" s="186" t="s">
        <v>69</v>
      </c>
      <c r="B50" s="186"/>
      <c r="C50" s="186"/>
      <c r="D50" s="143"/>
      <c r="E50" s="47">
        <f t="shared" ref="E50:P50" si="19">E49*126</f>
        <v>6300</v>
      </c>
      <c r="F50" s="47">
        <f t="shared" si="19"/>
        <v>6300</v>
      </c>
      <c r="G50" s="47">
        <f t="shared" si="19"/>
        <v>6300</v>
      </c>
      <c r="H50" s="47">
        <f t="shared" si="19"/>
        <v>6300</v>
      </c>
      <c r="I50" s="47">
        <f t="shared" si="19"/>
        <v>0</v>
      </c>
      <c r="J50" s="47">
        <f t="shared" si="19"/>
        <v>0</v>
      </c>
      <c r="K50" s="47">
        <f t="shared" si="19"/>
        <v>0</v>
      </c>
      <c r="L50" s="47">
        <f t="shared" si="19"/>
        <v>0</v>
      </c>
      <c r="M50" s="47">
        <f t="shared" si="19"/>
        <v>0</v>
      </c>
      <c r="N50" s="47">
        <f t="shared" si="19"/>
        <v>0</v>
      </c>
      <c r="O50" s="47">
        <f t="shared" si="19"/>
        <v>0</v>
      </c>
      <c r="P50" s="48">
        <f t="shared" si="19"/>
        <v>0</v>
      </c>
      <c r="Q50" s="113">
        <f>SUM(E50:P50)</f>
        <v>25200</v>
      </c>
      <c r="R50"/>
      <c r="S50" s="208">
        <v>126</v>
      </c>
      <c r="T50" s="19"/>
    </row>
    <row r="51" spans="1:20" s="10" customFormat="1" ht="15" customHeight="1" x14ac:dyDescent="0.25">
      <c r="A51" s="187" t="s">
        <v>71</v>
      </c>
      <c r="B51" s="187"/>
      <c r="C51" s="187"/>
      <c r="D51" s="144"/>
      <c r="E51" s="44">
        <f t="shared" ref="E51:Q51" si="20">E47+E50</f>
        <v>39060</v>
      </c>
      <c r="F51" s="44">
        <f t="shared" si="20"/>
        <v>40370.399999999994</v>
      </c>
      <c r="G51" s="44">
        <f t="shared" si="20"/>
        <v>40370.399999999994</v>
      </c>
      <c r="H51" s="44">
        <f t="shared" si="20"/>
        <v>40370.399999999994</v>
      </c>
      <c r="I51" s="44">
        <f t="shared" si="20"/>
        <v>34070.399999999994</v>
      </c>
      <c r="J51" s="44">
        <f t="shared" si="20"/>
        <v>34070.399999999994</v>
      </c>
      <c r="K51" s="44">
        <f t="shared" si="20"/>
        <v>34070.399999999994</v>
      </c>
      <c r="L51" s="44">
        <f t="shared" si="20"/>
        <v>34070.399999999994</v>
      </c>
      <c r="M51" s="44">
        <f t="shared" si="20"/>
        <v>34070.399999999994</v>
      </c>
      <c r="N51" s="44">
        <f t="shared" si="20"/>
        <v>34070.399999999994</v>
      </c>
      <c r="O51" s="44">
        <f t="shared" si="20"/>
        <v>34070.399999999994</v>
      </c>
      <c r="P51" s="45">
        <f t="shared" si="20"/>
        <v>34070.399999999994</v>
      </c>
      <c r="Q51" s="49">
        <f t="shared" si="20"/>
        <v>432734.4</v>
      </c>
      <c r="R51" s="46">
        <v>1</v>
      </c>
      <c r="S51" s="209"/>
      <c r="T51" s="17"/>
    </row>
    <row r="52" spans="1:20" ht="5.0999999999999996" customHeight="1" x14ac:dyDescent="0.25"/>
    <row r="53" spans="1:20" s="26" customFormat="1" ht="15.95" customHeight="1" x14ac:dyDescent="0.25">
      <c r="A53" s="178" t="s">
        <v>77</v>
      </c>
      <c r="B53" s="178"/>
      <c r="C53" s="178"/>
      <c r="D53" s="145"/>
      <c r="E53" s="78">
        <f>E16+E30</f>
        <v>26738.74</v>
      </c>
      <c r="F53" s="78">
        <f>F17+F30</f>
        <v>38342.980000000003</v>
      </c>
      <c r="G53" s="78">
        <f>G18+G30</f>
        <v>30262.9</v>
      </c>
      <c r="H53" s="78">
        <f>H19+H30</f>
        <v>32374.100000000002</v>
      </c>
      <c r="I53" s="78">
        <f>I20+I30</f>
        <v>28624.100000000002</v>
      </c>
      <c r="J53" s="78">
        <f>J21+J30</f>
        <v>27579.600000000002</v>
      </c>
      <c r="K53" s="78">
        <f>K22+K30</f>
        <v>29970.799999999999</v>
      </c>
      <c r="L53" s="78">
        <f>L23+L30</f>
        <v>30669.26</v>
      </c>
      <c r="M53" s="78">
        <f>M24+M30</f>
        <v>26228.799999999999</v>
      </c>
      <c r="N53" s="78">
        <f>N25+N30</f>
        <v>28100.399999999998</v>
      </c>
      <c r="O53" s="78">
        <f>O26+O30</f>
        <v>29187.039999999997</v>
      </c>
      <c r="P53" s="78">
        <f>P27+P30</f>
        <v>31443.7</v>
      </c>
      <c r="Q53" s="78">
        <f>SUM(E53:P53)</f>
        <v>359522.42000000004</v>
      </c>
      <c r="R53" s="79">
        <f>Q53/$Q$51</f>
        <v>0.83081543782976353</v>
      </c>
      <c r="S53" s="62">
        <f>AVERAGE(E53:P53)</f>
        <v>29960.201666666671</v>
      </c>
      <c r="T53" s="25"/>
    </row>
    <row r="54" spans="1:20" s="24" customFormat="1" ht="15.95" customHeight="1" x14ac:dyDescent="0.25">
      <c r="A54" s="180" t="s">
        <v>81</v>
      </c>
      <c r="B54" s="180"/>
      <c r="C54" s="180"/>
      <c r="D54" s="146"/>
      <c r="E54" s="118">
        <f t="shared" ref="E54:P54" si="21">E53/E47</f>
        <v>0.81620085470085479</v>
      </c>
      <c r="F54" s="118">
        <f t="shared" si="21"/>
        <v>1.125404456654457</v>
      </c>
      <c r="G54" s="118">
        <f t="shared" si="21"/>
        <v>0.88824610218841005</v>
      </c>
      <c r="H54" s="118">
        <f t="shared" si="21"/>
        <v>0.95021191415422213</v>
      </c>
      <c r="I54" s="118">
        <f t="shared" si="21"/>
        <v>0.8401456983187755</v>
      </c>
      <c r="J54" s="118">
        <f t="shared" si="21"/>
        <v>0.80948858833474235</v>
      </c>
      <c r="K54" s="118">
        <f t="shared" si="21"/>
        <v>0.87967267774960101</v>
      </c>
      <c r="L54" s="118">
        <f t="shared" si="21"/>
        <v>0.90017317084624793</v>
      </c>
      <c r="M54" s="118">
        <f t="shared" si="21"/>
        <v>0.76984126984126999</v>
      </c>
      <c r="N54" s="118">
        <f t="shared" si="21"/>
        <v>0.82477458438996909</v>
      </c>
      <c r="O54" s="118">
        <f t="shared" si="21"/>
        <v>0.85666854513008361</v>
      </c>
      <c r="P54" s="118">
        <f t="shared" si="21"/>
        <v>0.92290375223067544</v>
      </c>
      <c r="Q54" s="119">
        <f>SUM(E54:P54)</f>
        <v>10.58373161453931</v>
      </c>
      <c r="S54" s="124">
        <f>AVERAGE(E54:Q54)</f>
        <v>1.628266402236817</v>
      </c>
      <c r="T54" s="17"/>
    </row>
    <row r="55" spans="1:20" s="29" customFormat="1" x14ac:dyDescent="0.25">
      <c r="A55" s="181" t="s">
        <v>86</v>
      </c>
      <c r="B55" s="181"/>
      <c r="C55" s="181"/>
      <c r="D55" s="147"/>
      <c r="E55" s="120"/>
      <c r="F55" s="120"/>
      <c r="G55" s="120"/>
      <c r="H55" s="121">
        <f t="shared" ref="H55:P55" si="22">H354+H356+H357</f>
        <v>0</v>
      </c>
      <c r="I55" s="121">
        <f t="shared" si="22"/>
        <v>0</v>
      </c>
      <c r="J55" s="121">
        <f t="shared" si="22"/>
        <v>0</v>
      </c>
      <c r="K55" s="121">
        <f t="shared" si="22"/>
        <v>0</v>
      </c>
      <c r="L55" s="121">
        <f t="shared" si="22"/>
        <v>0</v>
      </c>
      <c r="M55" s="121">
        <f t="shared" si="22"/>
        <v>0</v>
      </c>
      <c r="N55" s="121">
        <f t="shared" si="22"/>
        <v>0</v>
      </c>
      <c r="O55" s="121">
        <f t="shared" si="22"/>
        <v>0</v>
      </c>
      <c r="P55" s="121">
        <f t="shared" si="22"/>
        <v>0</v>
      </c>
      <c r="Q55" s="122">
        <f>SUM(E55:P55)</f>
        <v>0</v>
      </c>
      <c r="S55" s="122">
        <f>AVERAGE(E55:P55)</f>
        <v>0</v>
      </c>
      <c r="T55" s="17"/>
    </row>
    <row r="56" spans="1:20" s="30" customFormat="1" x14ac:dyDescent="0.25">
      <c r="A56" s="182" t="s">
        <v>87</v>
      </c>
      <c r="B56" s="182"/>
      <c r="C56" s="182"/>
      <c r="D56" s="148"/>
      <c r="E56" s="107">
        <f>$Q$16/E51</f>
        <v>0.70452483358934981</v>
      </c>
      <c r="F56" s="107">
        <f>$Q$17/F51</f>
        <v>1.0301552622713674</v>
      </c>
      <c r="G56" s="107">
        <f>$Q$18/G51</f>
        <v>0.78312080137922846</v>
      </c>
      <c r="H56" s="107">
        <f>$Q$19/H51</f>
        <v>0.88719705526821646</v>
      </c>
      <c r="I56" s="107">
        <f>$Q$20/I51</f>
        <v>0.90856432563163347</v>
      </c>
      <c r="J56" s="107">
        <f>$Q$21/J51</f>
        <v>0.90664212923828336</v>
      </c>
      <c r="K56" s="107">
        <f>$Q$22/K51</f>
        <v>0.96697426505118822</v>
      </c>
      <c r="L56" s="107">
        <f>$Q$23/L51</f>
        <v>0.95572872640180351</v>
      </c>
      <c r="M56" s="107">
        <f>$Q$24/M51</f>
        <v>0.84920634920634941</v>
      </c>
      <c r="N56" s="107">
        <f>$Q$25/N51</f>
        <v>0.84064760026298491</v>
      </c>
      <c r="O56" s="107">
        <f>$Q$26/O51</f>
        <v>0.99904110312764161</v>
      </c>
      <c r="P56" s="107">
        <f>$Q$27/P51</f>
        <v>0.90703073635765963</v>
      </c>
      <c r="Q56" s="119">
        <f>SUM(E56:P56)</f>
        <v>10.738833187785707</v>
      </c>
      <c r="S56" s="124">
        <f>AVERAGE(E56:P56)</f>
        <v>0.89490276564880888</v>
      </c>
      <c r="T56" s="18"/>
    </row>
    <row r="57" spans="1:20" s="25" customFormat="1" ht="5.0999999999999996" customHeight="1" x14ac:dyDescent="0.25">
      <c r="A57" s="22"/>
      <c r="B57" s="22"/>
      <c r="C57" s="22"/>
      <c r="D57" s="22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7"/>
      <c r="R57" s="34"/>
      <c r="S57" s="34"/>
    </row>
    <row r="58" spans="1:20" s="26" customFormat="1" ht="15.95" customHeight="1" x14ac:dyDescent="0.25">
      <c r="A58" s="178" t="s">
        <v>74</v>
      </c>
      <c r="B58" s="178"/>
      <c r="C58" s="178"/>
      <c r="D58" s="145"/>
      <c r="E58" s="78">
        <v>10275.200000000001</v>
      </c>
      <c r="F58" s="78">
        <v>9734.4</v>
      </c>
      <c r="G58" s="78">
        <v>8652.7999999999993</v>
      </c>
      <c r="H58" s="78">
        <v>7841.6</v>
      </c>
      <c r="I58" s="78">
        <v>9180</v>
      </c>
      <c r="J58" s="78">
        <v>9193.6</v>
      </c>
      <c r="K58" s="78">
        <v>10545.6</v>
      </c>
      <c r="L58" s="78">
        <v>8923.2000000000007</v>
      </c>
      <c r="M58" s="78">
        <v>8382.4</v>
      </c>
      <c r="N58" s="78">
        <v>8112</v>
      </c>
      <c r="O58" s="78">
        <v>8923.2000000000007</v>
      </c>
      <c r="P58" s="78">
        <v>9864</v>
      </c>
      <c r="Q58" s="78">
        <f>SUM(E58:P58)</f>
        <v>109627.99999999999</v>
      </c>
      <c r="R58" s="79">
        <f>Q58/$Q$51</f>
        <v>0.25333784418340666</v>
      </c>
      <c r="S58" s="62">
        <f>AVERAGE(E58:P58)</f>
        <v>9135.6666666666661</v>
      </c>
      <c r="T58" s="25"/>
    </row>
    <row r="59" spans="1:20" s="17" customFormat="1" x14ac:dyDescent="0.25">
      <c r="A59" s="177" t="s">
        <v>78</v>
      </c>
      <c r="B59" s="177"/>
      <c r="C59" s="177"/>
      <c r="D59" s="149"/>
      <c r="E59" s="115">
        <f t="shared" ref="E59:P59" si="23">E58/E51</f>
        <v>0.26306195596518178</v>
      </c>
      <c r="F59" s="115">
        <f t="shared" si="23"/>
        <v>0.24112716247547711</v>
      </c>
      <c r="G59" s="115">
        <f t="shared" si="23"/>
        <v>0.21433525553375743</v>
      </c>
      <c r="H59" s="115">
        <f t="shared" si="23"/>
        <v>0.19424132532746768</v>
      </c>
      <c r="I59" s="115">
        <f t="shared" si="23"/>
        <v>0.26944209636517336</v>
      </c>
      <c r="J59" s="115">
        <f t="shared" si="23"/>
        <v>0.26984126984126988</v>
      </c>
      <c r="K59" s="115">
        <f t="shared" si="23"/>
        <v>0.30952380952380959</v>
      </c>
      <c r="L59" s="115">
        <f t="shared" si="23"/>
        <v>0.26190476190476197</v>
      </c>
      <c r="M59" s="115">
        <f t="shared" si="23"/>
        <v>0.24603174603174607</v>
      </c>
      <c r="N59" s="115">
        <f t="shared" si="23"/>
        <v>0.23809523809523814</v>
      </c>
      <c r="O59" s="115">
        <f t="shared" si="23"/>
        <v>0.26190476190476197</v>
      </c>
      <c r="P59" s="115">
        <f t="shared" si="23"/>
        <v>0.28951817413355879</v>
      </c>
      <c r="Q59" s="119">
        <f>SUM(E59:P59)</f>
        <v>3.0590275571022039</v>
      </c>
      <c r="S59" s="125">
        <f>AVERAGE(E59:P59)</f>
        <v>0.2549189630918503</v>
      </c>
    </row>
    <row r="60" spans="1:20" s="21" customFormat="1" ht="17.25" customHeight="1" x14ac:dyDescent="0.25">
      <c r="A60" s="210" t="s">
        <v>89</v>
      </c>
      <c r="B60" s="210"/>
      <c r="C60" s="210"/>
      <c r="D60" s="150"/>
      <c r="E60" s="114">
        <f>$S$50*E59</f>
        <v>33.145806451612906</v>
      </c>
      <c r="F60" s="114">
        <f>$S$50*F59</f>
        <v>30.382022471910116</v>
      </c>
      <c r="G60" s="114">
        <f>$S$50*G59</f>
        <v>27.006242197253435</v>
      </c>
      <c r="H60" s="114">
        <f>$S$50-H55</f>
        <v>126</v>
      </c>
      <c r="I60" s="114">
        <f t="shared" ref="I60:P60" si="24">$S$50-I55</f>
        <v>126</v>
      </c>
      <c r="J60" s="114">
        <f t="shared" si="24"/>
        <v>126</v>
      </c>
      <c r="K60" s="114">
        <f t="shared" si="24"/>
        <v>126</v>
      </c>
      <c r="L60" s="114">
        <f t="shared" si="24"/>
        <v>126</v>
      </c>
      <c r="M60" s="114">
        <f t="shared" si="24"/>
        <v>126</v>
      </c>
      <c r="N60" s="114">
        <f t="shared" si="24"/>
        <v>126</v>
      </c>
      <c r="O60" s="114">
        <f t="shared" si="24"/>
        <v>126</v>
      </c>
      <c r="P60" s="114">
        <f t="shared" si="24"/>
        <v>126</v>
      </c>
      <c r="Q60" s="122">
        <f>SUM(E60:P60)</f>
        <v>1224.5340711207764</v>
      </c>
      <c r="S60" s="122">
        <f>AVERAGE(E60:P60)</f>
        <v>102.04450592673136</v>
      </c>
      <c r="T60" s="17"/>
    </row>
    <row r="61" spans="1:20" s="21" customFormat="1" ht="17.100000000000001" customHeight="1" x14ac:dyDescent="0.25">
      <c r="A61" s="116" t="s">
        <v>91</v>
      </c>
      <c r="B61" s="117"/>
      <c r="C61" s="117"/>
      <c r="D61" s="150"/>
      <c r="E61" s="114"/>
      <c r="F61" s="114"/>
      <c r="G61" s="114"/>
      <c r="H61" s="109">
        <f t="shared" ref="H61:P61" si="25">H62/H51</f>
        <v>1.4059045736480196</v>
      </c>
      <c r="I61" s="109">
        <f t="shared" si="25"/>
        <v>1.7070192894712128</v>
      </c>
      <c r="J61" s="109">
        <f t="shared" si="25"/>
        <v>1.8057486850756086</v>
      </c>
      <c r="K61" s="109">
        <f t="shared" si="25"/>
        <v>1.7439777636893024</v>
      </c>
      <c r="L61" s="109">
        <f t="shared" si="25"/>
        <v>1.7685721329952102</v>
      </c>
      <c r="M61" s="109">
        <f t="shared" si="25"/>
        <v>1.9229113834883069</v>
      </c>
      <c r="N61" s="109">
        <f t="shared" si="25"/>
        <v>1.9655630694092237</v>
      </c>
      <c r="O61" s="109">
        <f t="shared" si="25"/>
        <v>2.0437969615854232</v>
      </c>
      <c r="P61" s="109">
        <f t="shared" si="25"/>
        <v>1.9691077885789425</v>
      </c>
      <c r="Q61" s="102"/>
      <c r="R61" s="124">
        <f>S61/$Q$51</f>
        <v>4.1936428359703241E-6</v>
      </c>
      <c r="S61" s="124">
        <f>AVERAGE(E61:P61)</f>
        <v>1.8147335164379166</v>
      </c>
      <c r="T61" s="17"/>
    </row>
    <row r="62" spans="1:20" s="21" customFormat="1" ht="17.100000000000001" customHeight="1" x14ac:dyDescent="0.25">
      <c r="A62" s="177" t="s">
        <v>92</v>
      </c>
      <c r="B62" s="177"/>
      <c r="C62" s="177"/>
      <c r="D62" s="149"/>
      <c r="E62" s="114"/>
      <c r="F62" s="114"/>
      <c r="G62" s="114"/>
      <c r="H62" s="106">
        <v>56756.93</v>
      </c>
      <c r="I62" s="106">
        <v>58158.83</v>
      </c>
      <c r="J62" s="106">
        <v>61522.58</v>
      </c>
      <c r="K62" s="106">
        <v>59418.02</v>
      </c>
      <c r="L62" s="106">
        <v>60255.96</v>
      </c>
      <c r="M62" s="106">
        <v>65514.36</v>
      </c>
      <c r="N62" s="106">
        <v>66967.520000000004</v>
      </c>
      <c r="O62" s="106">
        <v>69632.98</v>
      </c>
      <c r="P62" s="106">
        <v>67088.289999999994</v>
      </c>
      <c r="Q62" s="102"/>
      <c r="R62" s="124">
        <f>S62/$Q$51</f>
        <v>0.14515330881945135</v>
      </c>
      <c r="S62" s="126">
        <f>AVERAGE(E62:P62)</f>
        <v>62812.829999999994</v>
      </c>
      <c r="T62" s="17"/>
    </row>
    <row r="63" spans="1:20" ht="5.0999999999999996" customHeight="1" x14ac:dyDescent="0.25"/>
    <row r="64" spans="1:20" s="26" customFormat="1" ht="15.95" customHeight="1" x14ac:dyDescent="0.25">
      <c r="A64" s="179" t="s">
        <v>73</v>
      </c>
      <c r="B64" s="179"/>
      <c r="C64" s="179"/>
      <c r="D64" s="151"/>
      <c r="E64" s="78">
        <f t="shared" ref="E64:Q64" si="26">E53+E58</f>
        <v>37013.94</v>
      </c>
      <c r="F64" s="78">
        <f t="shared" si="26"/>
        <v>48077.380000000005</v>
      </c>
      <c r="G64" s="78">
        <f t="shared" si="26"/>
        <v>38915.699999999997</v>
      </c>
      <c r="H64" s="78">
        <f t="shared" si="26"/>
        <v>40215.700000000004</v>
      </c>
      <c r="I64" s="78">
        <f t="shared" si="26"/>
        <v>37804.100000000006</v>
      </c>
      <c r="J64" s="78">
        <f t="shared" si="26"/>
        <v>36773.200000000004</v>
      </c>
      <c r="K64" s="78">
        <f t="shared" si="26"/>
        <v>40516.400000000001</v>
      </c>
      <c r="L64" s="78">
        <f t="shared" si="26"/>
        <v>39592.46</v>
      </c>
      <c r="M64" s="78">
        <f t="shared" si="26"/>
        <v>34611.199999999997</v>
      </c>
      <c r="N64" s="78">
        <f t="shared" si="26"/>
        <v>36212.399999999994</v>
      </c>
      <c r="O64" s="78">
        <f t="shared" si="26"/>
        <v>38110.239999999998</v>
      </c>
      <c r="P64" s="78">
        <f t="shared" si="26"/>
        <v>41307.699999999997</v>
      </c>
      <c r="Q64" s="78">
        <f t="shared" si="26"/>
        <v>469150.42000000004</v>
      </c>
      <c r="R64" s="79">
        <f>Q64/$Q$51</f>
        <v>1.0841532820131703</v>
      </c>
      <c r="S64" s="62">
        <f>AVERAGE(E64:P64)</f>
        <v>39095.868333333339</v>
      </c>
      <c r="T64" s="25"/>
    </row>
    <row r="66" spans="1:21" ht="27" customHeight="1" x14ac:dyDescent="0.25">
      <c r="A66" s="80" t="s">
        <v>79</v>
      </c>
      <c r="B66" s="81"/>
      <c r="C66" s="81"/>
      <c r="D66" s="132"/>
      <c r="E66" s="81"/>
      <c r="F66" s="81"/>
      <c r="G66" s="82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3"/>
      <c r="S66" s="84"/>
    </row>
    <row r="67" spans="1:21" s="5" customFormat="1" ht="20.100000000000001" customHeight="1" x14ac:dyDescent="0.25">
      <c r="A67" s="161" t="s">
        <v>60</v>
      </c>
      <c r="B67" s="161"/>
      <c r="C67" s="161"/>
      <c r="D67" s="133"/>
      <c r="E67" s="54">
        <f t="shared" ref="E67:P67" si="27">E3</f>
        <v>43101</v>
      </c>
      <c r="F67" s="54">
        <f t="shared" si="27"/>
        <v>43132</v>
      </c>
      <c r="G67" s="54">
        <f t="shared" si="27"/>
        <v>43160</v>
      </c>
      <c r="H67" s="54">
        <f t="shared" si="27"/>
        <v>43191</v>
      </c>
      <c r="I67" s="54">
        <f t="shared" si="27"/>
        <v>43221</v>
      </c>
      <c r="J67" s="54">
        <f t="shared" si="27"/>
        <v>43252</v>
      </c>
      <c r="K67" s="54">
        <f t="shared" si="27"/>
        <v>43282</v>
      </c>
      <c r="L67" s="54">
        <f t="shared" si="27"/>
        <v>43313</v>
      </c>
      <c r="M67" s="54">
        <f t="shared" si="27"/>
        <v>43344</v>
      </c>
      <c r="N67" s="54">
        <f t="shared" si="27"/>
        <v>43374</v>
      </c>
      <c r="O67" s="54">
        <f t="shared" si="27"/>
        <v>43405</v>
      </c>
      <c r="P67" s="54">
        <f t="shared" si="27"/>
        <v>43435</v>
      </c>
      <c r="Q67" s="54" t="s">
        <v>61</v>
      </c>
      <c r="R67" s="56" t="s">
        <v>62</v>
      </c>
      <c r="S67" s="54" t="s">
        <v>66</v>
      </c>
      <c r="T67" s="17"/>
    </row>
    <row r="68" spans="1:21" s="10" customFormat="1" ht="20.100000000000001" customHeight="1" x14ac:dyDescent="0.25">
      <c r="A68" s="192" t="s">
        <v>25</v>
      </c>
      <c r="B68" s="192"/>
      <c r="C68" s="192"/>
      <c r="D68" s="152"/>
      <c r="E68" s="85">
        <f>SUM(E70,E74,E81,E88,E92,E107,E110,E116,E121,E126,)</f>
        <v>35466.31</v>
      </c>
      <c r="F68" s="85">
        <f t="shared" ref="F68:R68" si="28">SUM(F70,F74,F81,F88,F92,F107,F110,F116,F121,F126,)</f>
        <v>36820.520000000004</v>
      </c>
      <c r="G68" s="85">
        <f t="shared" si="28"/>
        <v>34455.670000000006</v>
      </c>
      <c r="H68" s="85">
        <f t="shared" si="28"/>
        <v>62725.530000000006</v>
      </c>
      <c r="I68" s="85">
        <f t="shared" si="28"/>
        <v>45462.829999999994</v>
      </c>
      <c r="J68" s="85">
        <f t="shared" si="28"/>
        <v>32949.200000000004</v>
      </c>
      <c r="K68" s="85">
        <f t="shared" si="28"/>
        <v>43721.249999999993</v>
      </c>
      <c r="L68" s="85">
        <f t="shared" si="28"/>
        <v>39744.92</v>
      </c>
      <c r="M68" s="85">
        <f t="shared" si="28"/>
        <v>40853.51</v>
      </c>
      <c r="N68" s="85">
        <f t="shared" si="28"/>
        <v>40614.51</v>
      </c>
      <c r="O68" s="85">
        <f t="shared" si="28"/>
        <v>40548.659999999996</v>
      </c>
      <c r="P68" s="85">
        <f t="shared" si="28"/>
        <v>36517.509999999995</v>
      </c>
      <c r="Q68" s="87">
        <f>SUM(E68:P68)</f>
        <v>489880.42</v>
      </c>
      <c r="R68" s="86">
        <f t="shared" si="28"/>
        <v>1.1655795773690529</v>
      </c>
      <c r="S68" s="85">
        <f>AVERAGE(E68:P68)</f>
        <v>40823.368333333332</v>
      </c>
      <c r="T68" s="17"/>
    </row>
    <row r="69" spans="1:21" s="17" customFormat="1" ht="5.0999999999999996" customHeight="1" x14ac:dyDescent="0.25">
      <c r="A69" s="36"/>
      <c r="B69" s="37"/>
      <c r="C69" s="37"/>
      <c r="D69" s="37"/>
      <c r="E69" s="12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8"/>
      <c r="R69" s="14"/>
      <c r="S69" s="39"/>
    </row>
    <row r="70" spans="1:21" s="11" customFormat="1" x14ac:dyDescent="0.25">
      <c r="A70" s="190" t="s">
        <v>2</v>
      </c>
      <c r="B70" s="190"/>
      <c r="C70" s="190"/>
      <c r="D70" s="153"/>
      <c r="E70" s="105">
        <f t="shared" ref="E70:P70" si="29">SUM(E71:E72)</f>
        <v>0</v>
      </c>
      <c r="F70" s="105">
        <f t="shared" si="29"/>
        <v>0</v>
      </c>
      <c r="G70" s="105">
        <f t="shared" si="29"/>
        <v>0</v>
      </c>
      <c r="H70" s="105">
        <f t="shared" si="29"/>
        <v>0</v>
      </c>
      <c r="I70" s="105">
        <f t="shared" si="29"/>
        <v>0</v>
      </c>
      <c r="J70" s="105">
        <f t="shared" si="29"/>
        <v>150.80000000000001</v>
      </c>
      <c r="K70" s="105">
        <f t="shared" si="29"/>
        <v>0</v>
      </c>
      <c r="L70" s="105">
        <f t="shared" si="29"/>
        <v>0</v>
      </c>
      <c r="M70" s="105">
        <f t="shared" si="29"/>
        <v>174</v>
      </c>
      <c r="N70" s="105">
        <f t="shared" si="29"/>
        <v>351.26</v>
      </c>
      <c r="O70" s="105">
        <f t="shared" si="29"/>
        <v>0</v>
      </c>
      <c r="P70" s="105">
        <f t="shared" si="29"/>
        <v>133.05000000000001</v>
      </c>
      <c r="Q70" s="87">
        <f>SUM(E70:P70)</f>
        <v>809.1099999999999</v>
      </c>
      <c r="R70" s="86">
        <f>Q70/$Q$51</f>
        <v>1.8697612207395572E-3</v>
      </c>
      <c r="S70" s="105">
        <f>AVERAGE(E70:P70)</f>
        <v>67.42583333333333</v>
      </c>
      <c r="T70" s="17"/>
    </row>
    <row r="71" spans="1:21" s="17" customFormat="1" x14ac:dyDescent="0.25">
      <c r="A71" s="191" t="s">
        <v>4</v>
      </c>
      <c r="B71" s="191"/>
      <c r="C71" s="191"/>
      <c r="D71" s="139"/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150.80000000000001</v>
      </c>
      <c r="K71" s="15">
        <v>0</v>
      </c>
      <c r="L71" s="15">
        <v>0</v>
      </c>
      <c r="M71" s="15">
        <v>174</v>
      </c>
      <c r="N71" s="15">
        <v>141.1</v>
      </c>
      <c r="O71" s="15">
        <v>0</v>
      </c>
      <c r="P71" s="15">
        <v>133.05000000000001</v>
      </c>
      <c r="Q71" s="91">
        <f>SUM(E71:P71)</f>
        <v>598.95000000000005</v>
      </c>
      <c r="R71" s="92">
        <f>Q71/$Q$51</f>
        <v>1.3841053542311404E-3</v>
      </c>
      <c r="S71" s="15">
        <f>AVERAGE(E71:P71)</f>
        <v>49.912500000000001</v>
      </c>
    </row>
    <row r="72" spans="1:21" s="17" customFormat="1" x14ac:dyDescent="0.25">
      <c r="A72" s="188" t="s">
        <v>5</v>
      </c>
      <c r="B72" s="188"/>
      <c r="C72" s="188"/>
      <c r="D72" s="139"/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210.16</v>
      </c>
      <c r="O72" s="4">
        <v>0</v>
      </c>
      <c r="P72" s="4">
        <v>0</v>
      </c>
      <c r="Q72" s="41">
        <f>SUM(E72:P72)</f>
        <v>210.16</v>
      </c>
      <c r="R72" s="70">
        <f>Q72/$Q$51</f>
        <v>4.8565586650841714E-4</v>
      </c>
      <c r="S72" s="4">
        <f>AVERAGE(E72:P72)</f>
        <v>17.513333333333332</v>
      </c>
    </row>
    <row r="73" spans="1:21" s="17" customFormat="1" ht="5.0999999999999996" customHeight="1" x14ac:dyDescent="0.25">
      <c r="A73" s="189"/>
      <c r="B73" s="189"/>
      <c r="C73" s="189"/>
      <c r="D73" s="154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2"/>
      <c r="R73" s="73"/>
      <c r="S73" s="71"/>
    </row>
    <row r="74" spans="1:21" s="11" customFormat="1" x14ac:dyDescent="0.25">
      <c r="A74" s="190" t="s">
        <v>93</v>
      </c>
      <c r="B74" s="190"/>
      <c r="C74" s="190"/>
      <c r="D74" s="153"/>
      <c r="E74" s="105">
        <f>SUM(E75:E79)</f>
        <v>17091.490000000002</v>
      </c>
      <c r="F74" s="105">
        <f t="shared" ref="F74:P74" si="30">SUM(F75:F79)</f>
        <v>17091.490000000002</v>
      </c>
      <c r="G74" s="105">
        <f t="shared" si="30"/>
        <v>17091.490000000002</v>
      </c>
      <c r="H74" s="105">
        <f t="shared" si="30"/>
        <v>34182.980000000003</v>
      </c>
      <c r="I74" s="105">
        <f t="shared" si="30"/>
        <v>14812.62</v>
      </c>
      <c r="J74" s="105">
        <f t="shared" si="30"/>
        <v>2920</v>
      </c>
      <c r="K74" s="105">
        <f t="shared" si="30"/>
        <v>21900.3</v>
      </c>
      <c r="L74" s="105">
        <f t="shared" si="30"/>
        <v>21900</v>
      </c>
      <c r="M74" s="105">
        <f t="shared" si="30"/>
        <v>21900</v>
      </c>
      <c r="N74" s="105">
        <f t="shared" si="30"/>
        <v>21900</v>
      </c>
      <c r="O74" s="105">
        <f t="shared" si="30"/>
        <v>21900</v>
      </c>
      <c r="P74" s="105">
        <f t="shared" si="30"/>
        <v>21900</v>
      </c>
      <c r="Q74" s="87">
        <f>SUM(E74:P74)</f>
        <v>234590.37</v>
      </c>
      <c r="R74" s="86">
        <f>Q74/$Q$47</f>
        <v>0.57563329623217074</v>
      </c>
      <c r="S74" s="105">
        <f>AVERAGE(E74:P74)</f>
        <v>19549.197499999998</v>
      </c>
      <c r="T74" s="17"/>
    </row>
    <row r="75" spans="1:21" s="17" customFormat="1" x14ac:dyDescent="0.25">
      <c r="A75" s="191" t="s">
        <v>3</v>
      </c>
      <c r="B75" s="191"/>
      <c r="C75" s="191"/>
      <c r="D75" s="139"/>
      <c r="E75" s="15">
        <v>17091.490000000002</v>
      </c>
      <c r="F75" s="15">
        <v>17091.490000000002</v>
      </c>
      <c r="G75" s="15">
        <v>17091.490000000002</v>
      </c>
      <c r="H75" s="15">
        <v>34182.980000000003</v>
      </c>
      <c r="I75" s="15">
        <v>14812.62</v>
      </c>
      <c r="J75" s="15">
        <v>2663.04</v>
      </c>
      <c r="K75" s="15">
        <v>18091.95</v>
      </c>
      <c r="L75" s="15">
        <v>18091.650000000001</v>
      </c>
      <c r="M75" s="15">
        <v>18091.650000000001</v>
      </c>
      <c r="N75" s="15">
        <v>18091.650000000001</v>
      </c>
      <c r="O75" s="15">
        <v>18091.650000000001</v>
      </c>
      <c r="P75" s="15">
        <v>18091.650000000001</v>
      </c>
      <c r="Q75" s="91">
        <f t="shared" ref="Q75:Q79" si="31">SUM(E75:P75)</f>
        <v>211483.30999999997</v>
      </c>
      <c r="R75" s="92">
        <f>Q75/$Q$51</f>
        <v>0.48871388546877703</v>
      </c>
      <c r="S75" s="15">
        <f t="shared" ref="S75:S79" si="32">AVERAGE(E75:P75)</f>
        <v>17623.609166666665</v>
      </c>
    </row>
    <row r="76" spans="1:21" s="17" customFormat="1" x14ac:dyDescent="0.25">
      <c r="A76" s="211" t="s">
        <v>21</v>
      </c>
      <c r="B76" s="211"/>
      <c r="C76" s="211"/>
      <c r="D76" s="155"/>
      <c r="E76" s="4"/>
      <c r="F76" s="4"/>
      <c r="G76" s="4"/>
      <c r="H76" s="4"/>
      <c r="I76" s="4"/>
      <c r="J76" s="4">
        <v>256.95999999999998</v>
      </c>
      <c r="K76" s="4">
        <v>1914</v>
      </c>
      <c r="L76" s="4">
        <v>1914</v>
      </c>
      <c r="M76" s="4">
        <v>1914</v>
      </c>
      <c r="N76" s="4">
        <v>1914</v>
      </c>
      <c r="O76" s="4">
        <v>1914</v>
      </c>
      <c r="P76" s="4">
        <v>1914</v>
      </c>
      <c r="Q76" s="41">
        <f t="shared" si="31"/>
        <v>11740.96</v>
      </c>
      <c r="R76" s="70">
        <f>Q76/$Q$51</f>
        <v>2.7132023707844809E-2</v>
      </c>
      <c r="S76" s="4">
        <f t="shared" si="32"/>
        <v>1677.28</v>
      </c>
    </row>
    <row r="77" spans="1:21" s="17" customFormat="1" x14ac:dyDescent="0.25">
      <c r="A77" s="211" t="s">
        <v>22</v>
      </c>
      <c r="B77" s="211"/>
      <c r="C77" s="211"/>
      <c r="D77" s="155"/>
      <c r="E77" s="4"/>
      <c r="F77" s="4"/>
      <c r="G77" s="4"/>
      <c r="H77" s="4"/>
      <c r="I77" s="4"/>
      <c r="J77" s="4"/>
      <c r="K77" s="4">
        <v>219</v>
      </c>
      <c r="L77" s="4">
        <v>219</v>
      </c>
      <c r="M77" s="4">
        <v>219</v>
      </c>
      <c r="N77" s="4">
        <v>219</v>
      </c>
      <c r="O77" s="4">
        <v>219</v>
      </c>
      <c r="P77" s="4">
        <v>219</v>
      </c>
      <c r="Q77" s="41">
        <f t="shared" si="31"/>
        <v>1314</v>
      </c>
      <c r="R77" s="70">
        <f>Q77/$Q$51</f>
        <v>3.0365046088316528E-3</v>
      </c>
      <c r="S77" s="4">
        <f t="shared" si="32"/>
        <v>219</v>
      </c>
      <c r="T77" s="129">
        <f>K74-G74</f>
        <v>4808.8099999999977</v>
      </c>
      <c r="U77" s="128">
        <f>T77/G74</f>
        <v>0.2813569794090508</v>
      </c>
    </row>
    <row r="78" spans="1:21" s="17" customFormat="1" x14ac:dyDescent="0.25">
      <c r="A78" s="211" t="s">
        <v>23</v>
      </c>
      <c r="B78" s="211"/>
      <c r="C78" s="211"/>
      <c r="D78" s="155"/>
      <c r="E78" s="4"/>
      <c r="F78" s="4"/>
      <c r="G78" s="4"/>
      <c r="H78" s="4"/>
      <c r="I78" s="4"/>
      <c r="J78" s="4"/>
      <c r="K78" s="4">
        <v>657</v>
      </c>
      <c r="L78" s="4">
        <v>657</v>
      </c>
      <c r="M78" s="4">
        <v>657</v>
      </c>
      <c r="N78" s="4">
        <v>657</v>
      </c>
      <c r="O78" s="4">
        <v>657</v>
      </c>
      <c r="P78" s="4">
        <v>657</v>
      </c>
      <c r="Q78" s="41">
        <f t="shared" si="31"/>
        <v>3942</v>
      </c>
      <c r="R78" s="70">
        <f>Q78/$Q$51</f>
        <v>9.1095138264949589E-3</v>
      </c>
      <c r="S78" s="4">
        <f t="shared" si="32"/>
        <v>657</v>
      </c>
    </row>
    <row r="79" spans="1:21" s="17" customFormat="1" x14ac:dyDescent="0.25">
      <c r="A79" s="211" t="s">
        <v>24</v>
      </c>
      <c r="B79" s="211"/>
      <c r="C79" s="211"/>
      <c r="D79" s="155"/>
      <c r="E79" s="4"/>
      <c r="F79" s="4"/>
      <c r="G79" s="4"/>
      <c r="H79" s="4"/>
      <c r="I79" s="4"/>
      <c r="J79" s="4"/>
      <c r="K79" s="4">
        <v>1018.35</v>
      </c>
      <c r="L79" s="4">
        <v>1018.35</v>
      </c>
      <c r="M79" s="4">
        <v>1018.35</v>
      </c>
      <c r="N79" s="4">
        <v>1018.35</v>
      </c>
      <c r="O79" s="4">
        <v>1018.35</v>
      </c>
      <c r="P79" s="4">
        <v>1018.35</v>
      </c>
      <c r="Q79" s="41">
        <f t="shared" si="31"/>
        <v>6110.1</v>
      </c>
      <c r="R79" s="70">
        <f>Q79/$Q$51</f>
        <v>1.4119746431067186E-2</v>
      </c>
      <c r="S79" s="4">
        <f t="shared" si="32"/>
        <v>1018.35</v>
      </c>
      <c r="T79" s="130">
        <f>G74+(G74*U77)</f>
        <v>21900.3</v>
      </c>
    </row>
    <row r="80" spans="1:21" s="17" customFormat="1" ht="5.0999999999999996" customHeight="1" x14ac:dyDescent="0.25">
      <c r="A80" s="189"/>
      <c r="B80" s="189"/>
      <c r="C80" s="189"/>
      <c r="D80" s="154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2"/>
      <c r="R80" s="73"/>
      <c r="S80" s="71"/>
    </row>
    <row r="81" spans="1:20" s="11" customFormat="1" x14ac:dyDescent="0.25">
      <c r="A81" s="190" t="s">
        <v>6</v>
      </c>
      <c r="B81" s="190"/>
      <c r="C81" s="190"/>
      <c r="D81" s="153"/>
      <c r="E81" s="105">
        <f t="shared" ref="E81:P81" si="33">SUM(E82:E87)</f>
        <v>3104.5</v>
      </c>
      <c r="F81" s="105">
        <f t="shared" si="33"/>
        <v>3519.34</v>
      </c>
      <c r="G81" s="105">
        <f t="shared" si="33"/>
        <v>4123.72</v>
      </c>
      <c r="H81" s="105">
        <f t="shared" si="33"/>
        <v>2678.87</v>
      </c>
      <c r="I81" s="105">
        <f t="shared" si="33"/>
        <v>3561.76</v>
      </c>
      <c r="J81" s="105">
        <f t="shared" si="33"/>
        <v>4318.8900000000003</v>
      </c>
      <c r="K81" s="105">
        <f t="shared" si="33"/>
        <v>3172.6</v>
      </c>
      <c r="L81" s="105">
        <f t="shared" si="33"/>
        <v>2439.87</v>
      </c>
      <c r="M81" s="105">
        <f t="shared" si="33"/>
        <v>2477.1</v>
      </c>
      <c r="N81" s="105">
        <f t="shared" si="33"/>
        <v>2109.77</v>
      </c>
      <c r="O81" s="105">
        <f t="shared" si="33"/>
        <v>2705.36</v>
      </c>
      <c r="P81" s="105">
        <f t="shared" si="33"/>
        <v>1458.94</v>
      </c>
      <c r="Q81" s="87">
        <f>SUM(E81:P81)</f>
        <v>35670.720000000001</v>
      </c>
      <c r="R81" s="86">
        <f t="shared" ref="R81:R86" si="34">Q81/$Q$51</f>
        <v>8.2430978447749936E-2</v>
      </c>
      <c r="S81" s="105">
        <f>AVERAGE(E81:P81)</f>
        <v>2972.56</v>
      </c>
      <c r="T81" s="17"/>
    </row>
    <row r="82" spans="1:20" s="17" customFormat="1" x14ac:dyDescent="0.25">
      <c r="A82" s="191" t="s">
        <v>7</v>
      </c>
      <c r="B82" s="191"/>
      <c r="C82" s="191"/>
      <c r="D82" s="139"/>
      <c r="E82" s="15">
        <v>3104.5</v>
      </c>
      <c r="F82" s="15">
        <v>3504.34</v>
      </c>
      <c r="G82" s="15">
        <v>4123.72</v>
      </c>
      <c r="H82" s="15">
        <v>2678.87</v>
      </c>
      <c r="I82" s="15">
        <v>3561.76</v>
      </c>
      <c r="J82" s="15">
        <v>3208.8</v>
      </c>
      <c r="K82" s="15">
        <v>3172.6</v>
      </c>
      <c r="L82" s="15">
        <v>2439.87</v>
      </c>
      <c r="M82" s="15">
        <v>2477.1</v>
      </c>
      <c r="N82" s="15">
        <v>2109.77</v>
      </c>
      <c r="O82" s="15">
        <v>2421.96</v>
      </c>
      <c r="P82" s="15">
        <v>1458.94</v>
      </c>
      <c r="Q82" s="91">
        <f t="shared" ref="Q82:Q86" si="35">SUM(E82:P82)</f>
        <v>34262.230000000003</v>
      </c>
      <c r="R82" s="92">
        <f t="shared" si="34"/>
        <v>7.9176118191666756E-2</v>
      </c>
      <c r="S82" s="15">
        <f t="shared" ref="S82:S86" si="36">AVERAGE(E82:P82)</f>
        <v>2855.1858333333334</v>
      </c>
    </row>
    <row r="83" spans="1:20" s="17" customFormat="1" x14ac:dyDescent="0.25">
      <c r="A83" s="188" t="s">
        <v>53</v>
      </c>
      <c r="B83" s="188"/>
      <c r="C83" s="188"/>
      <c r="D83" s="139"/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1110.0899999999999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1">
        <f t="shared" si="35"/>
        <v>1110.0899999999999</v>
      </c>
      <c r="R83" s="70">
        <f t="shared" si="34"/>
        <v>2.5652917817488045E-3</v>
      </c>
      <c r="S83" s="4">
        <f t="shared" si="36"/>
        <v>92.507499999999993</v>
      </c>
    </row>
    <row r="84" spans="1:20" s="17" customFormat="1" x14ac:dyDescent="0.25">
      <c r="A84" s="188" t="s">
        <v>63</v>
      </c>
      <c r="B84" s="188"/>
      <c r="C84" s="188"/>
      <c r="D84" s="139"/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283.39999999999998</v>
      </c>
      <c r="P84" s="4">
        <v>0</v>
      </c>
      <c r="Q84" s="41">
        <f t="shared" si="35"/>
        <v>283.39999999999998</v>
      </c>
      <c r="R84" s="70">
        <f t="shared" si="34"/>
        <v>6.5490517971300631E-4</v>
      </c>
      <c r="S84" s="4">
        <f t="shared" si="36"/>
        <v>23.616666666666664</v>
      </c>
    </row>
    <row r="85" spans="1:20" s="17" customFormat="1" x14ac:dyDescent="0.25">
      <c r="A85" s="188" t="s">
        <v>47</v>
      </c>
      <c r="B85" s="188"/>
      <c r="C85" s="188"/>
      <c r="D85" s="139"/>
      <c r="E85" s="4">
        <v>0</v>
      </c>
      <c r="F85" s="4">
        <v>15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1">
        <f t="shared" si="35"/>
        <v>15</v>
      </c>
      <c r="R85" s="70">
        <f t="shared" si="34"/>
        <v>3.4663294621365895E-5</v>
      </c>
      <c r="S85" s="4">
        <f t="shared" si="36"/>
        <v>1.25</v>
      </c>
    </row>
    <row r="86" spans="1:20" s="17" customFormat="1" x14ac:dyDescent="0.25">
      <c r="A86" s="188" t="s">
        <v>37</v>
      </c>
      <c r="B86" s="188"/>
      <c r="C86" s="188"/>
      <c r="D86" s="139"/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1">
        <f t="shared" si="35"/>
        <v>0</v>
      </c>
      <c r="R86" s="70">
        <f t="shared" si="34"/>
        <v>0</v>
      </c>
      <c r="S86" s="4">
        <f t="shared" si="36"/>
        <v>0</v>
      </c>
    </row>
    <row r="87" spans="1:20" s="17" customFormat="1" ht="5.0999999999999996" customHeight="1" x14ac:dyDescent="0.25">
      <c r="A87" s="185"/>
      <c r="B87" s="185"/>
      <c r="C87" s="185"/>
      <c r="D87" s="139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2"/>
      <c r="R87" s="73"/>
      <c r="S87" s="71"/>
    </row>
    <row r="88" spans="1:20" s="11" customFormat="1" x14ac:dyDescent="0.25">
      <c r="A88" s="190" t="s">
        <v>8</v>
      </c>
      <c r="B88" s="194"/>
      <c r="C88" s="194"/>
      <c r="D88" s="156"/>
      <c r="E88" s="105">
        <f t="shared" ref="E88:M88" si="37">SUM(E89:E90)</f>
        <v>7903.94</v>
      </c>
      <c r="F88" s="105">
        <f t="shared" si="37"/>
        <v>8009.37</v>
      </c>
      <c r="G88" s="105">
        <f t="shared" si="37"/>
        <v>8424.42</v>
      </c>
      <c r="H88" s="105">
        <f t="shared" si="37"/>
        <v>9431.7099999999991</v>
      </c>
      <c r="I88" s="105">
        <f t="shared" si="37"/>
        <v>9683.0500000000011</v>
      </c>
      <c r="J88" s="105">
        <f t="shared" si="37"/>
        <v>10332.07</v>
      </c>
      <c r="K88" s="105">
        <f t="shared" si="37"/>
        <v>9370.2899999999991</v>
      </c>
      <c r="L88" s="105">
        <f t="shared" si="37"/>
        <v>10355.619999999999</v>
      </c>
      <c r="M88" s="105">
        <f t="shared" si="37"/>
        <v>9577.2799999999988</v>
      </c>
      <c r="N88" s="105">
        <f>SUM(N89:N90)</f>
        <v>9662.08</v>
      </c>
      <c r="O88" s="105">
        <f t="shared" ref="O88:P88" si="38">SUM(O89:O90)</f>
        <v>10702.519999999999</v>
      </c>
      <c r="P88" s="105">
        <f t="shared" si="38"/>
        <v>10515.66</v>
      </c>
      <c r="Q88" s="87">
        <f>SUM(E88:P88)</f>
        <v>113968.01000000001</v>
      </c>
      <c r="R88" s="86">
        <f>Q88/$Q$51</f>
        <v>0.26336711386938499</v>
      </c>
      <c r="S88" s="105">
        <f>AVERAGE(E88:P88)</f>
        <v>9497.3341666666674</v>
      </c>
      <c r="T88" s="17"/>
    </row>
    <row r="89" spans="1:20" s="17" customFormat="1" x14ac:dyDescent="0.25">
      <c r="A89" s="191" t="s">
        <v>9</v>
      </c>
      <c r="B89" s="191"/>
      <c r="C89" s="191"/>
      <c r="D89" s="139"/>
      <c r="E89" s="15">
        <v>6951.99</v>
      </c>
      <c r="F89" s="15">
        <v>6989.97</v>
      </c>
      <c r="G89" s="15">
        <v>7438.25</v>
      </c>
      <c r="H89" s="15">
        <v>8342.3799999999992</v>
      </c>
      <c r="I89" s="15">
        <v>8547.5300000000007</v>
      </c>
      <c r="J89" s="15">
        <v>9132.56</v>
      </c>
      <c r="K89" s="15">
        <v>8056.94</v>
      </c>
      <c r="L89" s="15">
        <v>8962.8799999999992</v>
      </c>
      <c r="M89" s="15">
        <v>8296.7999999999993</v>
      </c>
      <c r="N89" s="15">
        <v>8263.8799999999992</v>
      </c>
      <c r="O89" s="15">
        <v>9145.2099999999991</v>
      </c>
      <c r="P89" s="15">
        <v>9104.7000000000007</v>
      </c>
      <c r="Q89" s="104">
        <f t="shared" ref="Q89:Q90" si="39">SUM(E89:P89)</f>
        <v>99233.089999999982</v>
      </c>
      <c r="R89" s="103">
        <f>Q89/$Q$51</f>
        <v>0.22931638899056783</v>
      </c>
      <c r="S89" s="15">
        <f>AVERAGE(E89:P89)</f>
        <v>8269.4241666666658</v>
      </c>
    </row>
    <row r="90" spans="1:20" s="17" customFormat="1" x14ac:dyDescent="0.25">
      <c r="A90" s="188" t="s">
        <v>10</v>
      </c>
      <c r="B90" s="188"/>
      <c r="C90" s="188"/>
      <c r="D90" s="139"/>
      <c r="E90" s="4">
        <v>951.95</v>
      </c>
      <c r="F90" s="4">
        <v>1019.4</v>
      </c>
      <c r="G90" s="4">
        <v>986.17</v>
      </c>
      <c r="H90" s="4">
        <v>1089.33</v>
      </c>
      <c r="I90" s="4">
        <v>1135.52</v>
      </c>
      <c r="J90" s="4">
        <v>1199.51</v>
      </c>
      <c r="K90" s="4">
        <v>1313.35</v>
      </c>
      <c r="L90" s="4">
        <v>1392.74</v>
      </c>
      <c r="M90" s="4">
        <v>1280.48</v>
      </c>
      <c r="N90" s="4">
        <v>1398.2</v>
      </c>
      <c r="O90" s="4">
        <v>1557.31</v>
      </c>
      <c r="P90" s="4">
        <v>1410.96</v>
      </c>
      <c r="Q90" s="76">
        <f t="shared" si="39"/>
        <v>14734.919999999998</v>
      </c>
      <c r="R90" s="77">
        <f>Q90/$Q$51</f>
        <v>3.4050724878817114E-2</v>
      </c>
      <c r="S90" s="4">
        <f>AVERAGE(E90:P90)</f>
        <v>1227.9099999999999</v>
      </c>
    </row>
    <row r="91" spans="1:20" s="17" customFormat="1" ht="5.0999999999999996" customHeight="1" x14ac:dyDescent="0.25">
      <c r="A91" s="193"/>
      <c r="B91" s="193"/>
      <c r="C91" s="193"/>
      <c r="D91" s="157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2"/>
      <c r="R91" s="73"/>
      <c r="S91" s="71"/>
    </row>
    <row r="92" spans="1:20" s="11" customFormat="1" x14ac:dyDescent="0.25">
      <c r="A92" s="190" t="s">
        <v>11</v>
      </c>
      <c r="B92" s="194"/>
      <c r="C92" s="194"/>
      <c r="D92" s="156"/>
      <c r="E92" s="105">
        <f t="shared" ref="E92:P92" si="40">SUM(E93:E105)</f>
        <v>6253.35</v>
      </c>
      <c r="F92" s="105">
        <f t="shared" si="40"/>
        <v>7318.32</v>
      </c>
      <c r="G92" s="105">
        <f t="shared" si="40"/>
        <v>370.8</v>
      </c>
      <c r="H92" s="105">
        <f t="shared" si="40"/>
        <v>4964</v>
      </c>
      <c r="I92" s="105">
        <f t="shared" si="40"/>
        <v>4489</v>
      </c>
      <c r="J92" s="105">
        <f t="shared" si="40"/>
        <v>3875</v>
      </c>
      <c r="K92" s="105">
        <f t="shared" si="40"/>
        <v>8041.2</v>
      </c>
      <c r="L92" s="105">
        <f t="shared" si="40"/>
        <v>3530.5299999999997</v>
      </c>
      <c r="M92" s="105">
        <f t="shared" si="40"/>
        <v>5962.83</v>
      </c>
      <c r="N92" s="105">
        <f t="shared" si="40"/>
        <v>3457</v>
      </c>
      <c r="O92" s="105">
        <f t="shared" si="40"/>
        <v>3580.1</v>
      </c>
      <c r="P92" s="105">
        <f t="shared" si="40"/>
        <v>1267</v>
      </c>
      <c r="Q92" s="87">
        <f>SUM(E92:P92)</f>
        <v>53109.13</v>
      </c>
      <c r="R92" s="86">
        <f t="shared" ref="R92:R105" si="41">Q92/$Q$51</f>
        <v>0.12272916135162815</v>
      </c>
      <c r="S92" s="105">
        <f>AVERAGE(E92:P92)</f>
        <v>4425.7608333333328</v>
      </c>
      <c r="T92" s="17"/>
    </row>
    <row r="93" spans="1:20" s="17" customFormat="1" x14ac:dyDescent="0.25">
      <c r="A93" s="191" t="s">
        <v>13</v>
      </c>
      <c r="B93" s="191"/>
      <c r="C93" s="191"/>
      <c r="D93" s="139"/>
      <c r="E93" s="15">
        <v>0</v>
      </c>
      <c r="F93" s="15">
        <v>1980</v>
      </c>
      <c r="G93" s="15">
        <v>0</v>
      </c>
      <c r="H93" s="15">
        <v>0</v>
      </c>
      <c r="I93" s="15">
        <v>0</v>
      </c>
      <c r="J93" s="15">
        <v>0</v>
      </c>
      <c r="K93" s="15">
        <v>250</v>
      </c>
      <c r="L93" s="15">
        <v>0</v>
      </c>
      <c r="M93" s="15">
        <v>0</v>
      </c>
      <c r="N93" s="15">
        <v>1900</v>
      </c>
      <c r="O93" s="15">
        <v>0</v>
      </c>
      <c r="P93" s="15">
        <v>0</v>
      </c>
      <c r="Q93" s="104">
        <f>SUM(E93:P93)</f>
        <v>4130</v>
      </c>
      <c r="R93" s="103">
        <f t="shared" si="41"/>
        <v>9.5439604524160775E-3</v>
      </c>
      <c r="S93" s="15">
        <f t="shared" ref="S93:S105" si="42">AVERAGE(E93:P93)</f>
        <v>344.16666666666669</v>
      </c>
    </row>
    <row r="94" spans="1:20" s="17" customFormat="1" x14ac:dyDescent="0.25">
      <c r="A94" s="188" t="s">
        <v>12</v>
      </c>
      <c r="B94" s="188"/>
      <c r="C94" s="188"/>
      <c r="D94" s="139"/>
      <c r="E94" s="4">
        <v>0</v>
      </c>
      <c r="F94" s="4">
        <v>1450</v>
      </c>
      <c r="G94" s="4">
        <v>0</v>
      </c>
      <c r="H94" s="4">
        <v>900</v>
      </c>
      <c r="I94" s="4">
        <v>450</v>
      </c>
      <c r="J94" s="4">
        <v>0</v>
      </c>
      <c r="K94" s="4">
        <v>0</v>
      </c>
      <c r="L94" s="4">
        <v>0</v>
      </c>
      <c r="M94" s="4">
        <v>0</v>
      </c>
      <c r="N94" s="4">
        <f>450+450</f>
        <v>900</v>
      </c>
      <c r="O94" s="4">
        <v>450</v>
      </c>
      <c r="P94" s="4">
        <v>450</v>
      </c>
      <c r="Q94" s="76">
        <f t="shared" ref="Q94:Q105" si="43">SUM(E94:P94)</f>
        <v>4600</v>
      </c>
      <c r="R94" s="77">
        <f t="shared" si="41"/>
        <v>1.0630077017218876E-2</v>
      </c>
      <c r="S94" s="4">
        <f t="shared" si="42"/>
        <v>383.33333333333331</v>
      </c>
    </row>
    <row r="95" spans="1:20" s="17" customFormat="1" x14ac:dyDescent="0.25">
      <c r="A95" s="188" t="s">
        <v>64</v>
      </c>
      <c r="B95" s="188"/>
      <c r="C95" s="188"/>
      <c r="D95" s="139"/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1900</v>
      </c>
      <c r="P95" s="4">
        <v>0</v>
      </c>
      <c r="Q95" s="76">
        <f t="shared" si="43"/>
        <v>1900</v>
      </c>
      <c r="R95" s="77">
        <f t="shared" si="41"/>
        <v>4.3906839853730135E-3</v>
      </c>
      <c r="S95" s="4">
        <f t="shared" si="42"/>
        <v>158.33333333333334</v>
      </c>
    </row>
    <row r="96" spans="1:20" s="17" customFormat="1" x14ac:dyDescent="0.25">
      <c r="A96" s="188" t="s">
        <v>54</v>
      </c>
      <c r="B96" s="188"/>
      <c r="C96" s="188"/>
      <c r="D96" s="139"/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590.4</v>
      </c>
      <c r="M96" s="4">
        <v>0</v>
      </c>
      <c r="N96" s="4">
        <v>0</v>
      </c>
      <c r="O96" s="4">
        <v>0</v>
      </c>
      <c r="P96" s="4">
        <v>0</v>
      </c>
      <c r="Q96" s="76">
        <f t="shared" si="43"/>
        <v>590.4</v>
      </c>
      <c r="R96" s="77">
        <f t="shared" si="41"/>
        <v>1.3643472762969618E-3</v>
      </c>
      <c r="S96" s="4">
        <f t="shared" si="42"/>
        <v>49.199999999999996</v>
      </c>
    </row>
    <row r="97" spans="1:20" s="17" customFormat="1" x14ac:dyDescent="0.25">
      <c r="A97" s="188" t="s">
        <v>48</v>
      </c>
      <c r="B97" s="188"/>
      <c r="C97" s="188"/>
      <c r="D97" s="139"/>
      <c r="E97" s="4">
        <v>0</v>
      </c>
      <c r="F97" s="4">
        <v>590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240.13</v>
      </c>
      <c r="M97" s="4">
        <v>0</v>
      </c>
      <c r="N97" s="4">
        <v>0</v>
      </c>
      <c r="O97" s="4">
        <v>0</v>
      </c>
      <c r="P97" s="4">
        <v>0</v>
      </c>
      <c r="Q97" s="41">
        <f t="shared" si="43"/>
        <v>830.13</v>
      </c>
      <c r="R97" s="77">
        <f t="shared" si="41"/>
        <v>1.9183360509356315E-3</v>
      </c>
      <c r="S97" s="4">
        <f t="shared" si="42"/>
        <v>69.177499999999995</v>
      </c>
    </row>
    <row r="98" spans="1:20" s="17" customFormat="1" x14ac:dyDescent="0.25">
      <c r="A98" s="188" t="s">
        <v>41</v>
      </c>
      <c r="B98" s="188"/>
      <c r="C98" s="188"/>
      <c r="D98" s="139"/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337</v>
      </c>
      <c r="K98" s="4">
        <v>320</v>
      </c>
      <c r="L98" s="4">
        <v>0</v>
      </c>
      <c r="M98" s="4">
        <v>1162</v>
      </c>
      <c r="N98" s="4">
        <v>0</v>
      </c>
      <c r="O98" s="4">
        <v>0</v>
      </c>
      <c r="P98" s="4">
        <v>0</v>
      </c>
      <c r="Q98" s="76">
        <f t="shared" si="43"/>
        <v>1819</v>
      </c>
      <c r="R98" s="77">
        <f t="shared" si="41"/>
        <v>4.2035021944176378E-3</v>
      </c>
      <c r="S98" s="88">
        <f t="shared" si="42"/>
        <v>151.58333333333334</v>
      </c>
    </row>
    <row r="99" spans="1:20" s="17" customFormat="1" x14ac:dyDescent="0.25">
      <c r="A99" s="188" t="s">
        <v>33</v>
      </c>
      <c r="B99" s="188"/>
      <c r="C99" s="188"/>
      <c r="D99" s="139"/>
      <c r="E99" s="4">
        <v>125</v>
      </c>
      <c r="F99" s="4">
        <v>0</v>
      </c>
      <c r="G99" s="4">
        <v>0</v>
      </c>
      <c r="H99" s="4">
        <v>120</v>
      </c>
      <c r="I99" s="4">
        <v>0</v>
      </c>
      <c r="J99" s="4">
        <v>634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817</v>
      </c>
      <c r="Q99" s="76">
        <f t="shared" si="43"/>
        <v>1696</v>
      </c>
      <c r="R99" s="77">
        <f t="shared" si="41"/>
        <v>3.9192631785224374E-3</v>
      </c>
      <c r="S99" s="88">
        <f t="shared" si="42"/>
        <v>141.33333333333334</v>
      </c>
    </row>
    <row r="100" spans="1:20" s="17" customFormat="1" x14ac:dyDescent="0.25">
      <c r="A100" s="188" t="s">
        <v>45</v>
      </c>
      <c r="B100" s="188"/>
      <c r="C100" s="188"/>
      <c r="D100" s="139"/>
      <c r="E100" s="4">
        <v>367.73</v>
      </c>
      <c r="F100" s="4"/>
      <c r="G100" s="4">
        <v>0</v>
      </c>
      <c r="H100" s="4">
        <v>0</v>
      </c>
      <c r="I100" s="4" t="s">
        <v>68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76">
        <f t="shared" si="43"/>
        <v>367.73</v>
      </c>
      <c r="R100" s="77">
        <f t="shared" si="41"/>
        <v>8.497822220743255E-4</v>
      </c>
      <c r="S100" s="88">
        <f t="shared" si="42"/>
        <v>36.773000000000003</v>
      </c>
    </row>
    <row r="101" spans="1:20" s="17" customFormat="1" x14ac:dyDescent="0.25">
      <c r="A101" s="188" t="s">
        <v>14</v>
      </c>
      <c r="B101" s="188"/>
      <c r="C101" s="188"/>
      <c r="D101" s="139"/>
      <c r="E101" s="4">
        <v>0</v>
      </c>
      <c r="F101" s="4">
        <v>301.32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657</v>
      </c>
      <c r="O101" s="4">
        <v>950</v>
      </c>
      <c r="P101" s="4">
        <v>0</v>
      </c>
      <c r="Q101" s="76">
        <f t="shared" si="43"/>
        <v>1908.32</v>
      </c>
      <c r="R101" s="77">
        <f t="shared" si="41"/>
        <v>4.4099105594563315E-3</v>
      </c>
      <c r="S101" s="88">
        <f t="shared" si="42"/>
        <v>159.02666666666667</v>
      </c>
    </row>
    <row r="102" spans="1:20" s="17" customFormat="1" x14ac:dyDescent="0.25">
      <c r="A102" s="188" t="s">
        <v>46</v>
      </c>
      <c r="B102" s="188"/>
      <c r="C102" s="188"/>
      <c r="D102" s="139"/>
      <c r="E102" s="4">
        <v>5685.62</v>
      </c>
      <c r="F102" s="4">
        <v>397</v>
      </c>
      <c r="G102" s="4">
        <v>370.8</v>
      </c>
      <c r="H102" s="4">
        <v>0</v>
      </c>
      <c r="I102" s="4">
        <v>935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76">
        <f t="shared" si="43"/>
        <v>7388.42</v>
      </c>
      <c r="R102" s="77">
        <f t="shared" si="41"/>
        <v>1.7073798616426147E-2</v>
      </c>
      <c r="S102" s="88">
        <f t="shared" si="42"/>
        <v>615.70166666666671</v>
      </c>
    </row>
    <row r="103" spans="1:20" s="17" customFormat="1" x14ac:dyDescent="0.25">
      <c r="A103" s="188" t="s">
        <v>42</v>
      </c>
      <c r="B103" s="188"/>
      <c r="C103" s="188"/>
      <c r="D103" s="139"/>
      <c r="E103" s="4">
        <v>75</v>
      </c>
      <c r="F103" s="4">
        <v>2600</v>
      </c>
      <c r="G103" s="4">
        <v>0</v>
      </c>
      <c r="H103" s="4">
        <v>3704</v>
      </c>
      <c r="I103" s="4">
        <v>2904</v>
      </c>
      <c r="J103" s="4">
        <v>2904</v>
      </c>
      <c r="K103" s="4">
        <v>7471.2</v>
      </c>
      <c r="L103" s="4">
        <v>2700</v>
      </c>
      <c r="M103" s="4">
        <v>2900.83</v>
      </c>
      <c r="N103" s="4">
        <v>0</v>
      </c>
      <c r="O103" s="4">
        <v>280.10000000000002</v>
      </c>
      <c r="P103" s="4">
        <v>0</v>
      </c>
      <c r="Q103" s="76">
        <f t="shared" si="43"/>
        <v>25539.129999999997</v>
      </c>
      <c r="R103" s="77">
        <f t="shared" si="41"/>
        <v>5.9018025837557622E-2</v>
      </c>
      <c r="S103" s="88">
        <f t="shared" si="42"/>
        <v>2128.2608333333333</v>
      </c>
    </row>
    <row r="104" spans="1:20" s="17" customFormat="1" x14ac:dyDescent="0.25">
      <c r="A104" s="188" t="s">
        <v>55</v>
      </c>
      <c r="B104" s="188"/>
      <c r="C104" s="188"/>
      <c r="D104" s="139"/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1900</v>
      </c>
      <c r="N104" s="4">
        <v>0</v>
      </c>
      <c r="O104" s="4">
        <v>0</v>
      </c>
      <c r="P104" s="4">
        <v>0</v>
      </c>
      <c r="Q104" s="76">
        <f t="shared" si="43"/>
        <v>1900</v>
      </c>
      <c r="R104" s="77">
        <f t="shared" si="41"/>
        <v>4.3906839853730135E-3</v>
      </c>
      <c r="S104" s="88">
        <f t="shared" si="42"/>
        <v>158.33333333333334</v>
      </c>
    </row>
    <row r="105" spans="1:20" s="17" customFormat="1" x14ac:dyDescent="0.25">
      <c r="A105" s="188" t="s">
        <v>52</v>
      </c>
      <c r="B105" s="188"/>
      <c r="C105" s="188"/>
      <c r="D105" s="139"/>
      <c r="E105" s="4">
        <v>0</v>
      </c>
      <c r="F105" s="4">
        <v>0</v>
      </c>
      <c r="G105" s="4">
        <v>0</v>
      </c>
      <c r="H105" s="4">
        <v>240</v>
      </c>
      <c r="I105" s="4">
        <v>200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76">
        <f t="shared" si="43"/>
        <v>440</v>
      </c>
      <c r="R105" s="77">
        <f t="shared" si="41"/>
        <v>1.0167899755600663E-3</v>
      </c>
      <c r="S105" s="88">
        <f t="shared" si="42"/>
        <v>36.666666666666664</v>
      </c>
    </row>
    <row r="106" spans="1:20" s="17" customFormat="1" ht="5.0999999999999996" customHeight="1" x14ac:dyDescent="0.25">
      <c r="A106" s="193"/>
      <c r="B106" s="193"/>
      <c r="C106" s="193"/>
      <c r="D106" s="157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2"/>
      <c r="R106" s="73"/>
      <c r="S106" s="71"/>
    </row>
    <row r="107" spans="1:20" s="11" customFormat="1" x14ac:dyDescent="0.25">
      <c r="A107" s="190" t="s">
        <v>67</v>
      </c>
      <c r="B107" s="194"/>
      <c r="C107" s="194"/>
      <c r="D107" s="156"/>
      <c r="E107" s="105">
        <f t="shared" ref="E107:P107" si="44">SUM(E108:E109)</f>
        <v>0</v>
      </c>
      <c r="F107" s="105">
        <f t="shared" si="44"/>
        <v>0</v>
      </c>
      <c r="G107" s="105">
        <f t="shared" si="44"/>
        <v>0</v>
      </c>
      <c r="H107" s="105">
        <f t="shared" si="44"/>
        <v>7800</v>
      </c>
      <c r="I107" s="105">
        <f t="shared" si="44"/>
        <v>10000</v>
      </c>
      <c r="J107" s="105">
        <f t="shared" si="44"/>
        <v>10050</v>
      </c>
      <c r="K107" s="105">
        <f t="shared" si="44"/>
        <v>0</v>
      </c>
      <c r="L107" s="105">
        <f t="shared" si="44"/>
        <v>0</v>
      </c>
      <c r="M107" s="105">
        <f t="shared" si="44"/>
        <v>0</v>
      </c>
      <c r="N107" s="105">
        <f t="shared" si="44"/>
        <v>0</v>
      </c>
      <c r="O107" s="105">
        <f t="shared" si="44"/>
        <v>0</v>
      </c>
      <c r="P107" s="105">
        <f t="shared" si="44"/>
        <v>0</v>
      </c>
      <c r="Q107" s="87">
        <f>SUM(E107:P107)</f>
        <v>27850</v>
      </c>
      <c r="R107" s="86">
        <f>Q107/$Q$51</f>
        <v>6.4358183680336023E-2</v>
      </c>
      <c r="S107" s="105">
        <f>AVERAGE(E107:P107)</f>
        <v>2320.8333333333335</v>
      </c>
      <c r="T107" s="17"/>
    </row>
    <row r="108" spans="1:20" s="17" customFormat="1" x14ac:dyDescent="0.25">
      <c r="A108" s="191" t="s">
        <v>51</v>
      </c>
      <c r="B108" s="191"/>
      <c r="C108" s="191"/>
      <c r="D108" s="139"/>
      <c r="E108" s="15">
        <v>0</v>
      </c>
      <c r="F108" s="15">
        <v>0</v>
      </c>
      <c r="G108" s="15">
        <v>0</v>
      </c>
      <c r="H108" s="15">
        <v>7800</v>
      </c>
      <c r="I108" s="15">
        <v>10000</v>
      </c>
      <c r="J108" s="15">
        <v>10050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91">
        <f t="shared" ref="Q108" si="45">SUM(E108:P108)</f>
        <v>27850</v>
      </c>
      <c r="R108" s="92">
        <f>Q108/$Q$51</f>
        <v>6.4358183680336023E-2</v>
      </c>
      <c r="S108" s="15">
        <f t="shared" ref="S108" si="46">AVERAGE(E108:P108)</f>
        <v>2320.8333333333335</v>
      </c>
    </row>
    <row r="109" spans="1:20" s="17" customFormat="1" ht="5.0999999999999996" customHeight="1" x14ac:dyDescent="0.25">
      <c r="A109" s="193"/>
      <c r="B109" s="193"/>
      <c r="C109" s="193"/>
      <c r="D109" s="157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2"/>
      <c r="R109" s="73"/>
      <c r="S109" s="71"/>
    </row>
    <row r="110" spans="1:20" s="11" customFormat="1" x14ac:dyDescent="0.25">
      <c r="A110" s="190" t="s">
        <v>15</v>
      </c>
      <c r="B110" s="194"/>
      <c r="C110" s="194"/>
      <c r="D110" s="156"/>
      <c r="E110" s="105">
        <f t="shared" ref="E110:P110" si="47">SUM(E111:E115)</f>
        <v>263.25</v>
      </c>
      <c r="F110" s="105">
        <f t="shared" si="47"/>
        <v>0</v>
      </c>
      <c r="G110" s="105">
        <f t="shared" si="47"/>
        <v>1986.34</v>
      </c>
      <c r="H110" s="105">
        <f t="shared" si="47"/>
        <v>2336.5700000000002</v>
      </c>
      <c r="I110" s="105">
        <f t="shared" si="47"/>
        <v>1918.43</v>
      </c>
      <c r="J110" s="105">
        <f t="shared" si="47"/>
        <v>307.3</v>
      </c>
      <c r="K110" s="105">
        <f t="shared" si="47"/>
        <v>387.76</v>
      </c>
      <c r="L110" s="105">
        <f t="shared" si="47"/>
        <v>639.4</v>
      </c>
      <c r="M110" s="105">
        <f t="shared" si="47"/>
        <v>0</v>
      </c>
      <c r="N110" s="105">
        <f t="shared" si="47"/>
        <v>2400</v>
      </c>
      <c r="O110" s="105">
        <f t="shared" si="47"/>
        <v>818.88</v>
      </c>
      <c r="P110" s="105">
        <f t="shared" si="47"/>
        <v>397.31</v>
      </c>
      <c r="Q110" s="87">
        <f>SUM(E110:P110)</f>
        <v>11455.239999999998</v>
      </c>
      <c r="R110" s="86">
        <f>Q110/$Q$51</f>
        <v>2.6471757271897028E-2</v>
      </c>
      <c r="S110" s="105">
        <f>AVERAGE(E110:P110)</f>
        <v>954.60333333333313</v>
      </c>
      <c r="T110" s="17"/>
    </row>
    <row r="111" spans="1:20" s="17" customFormat="1" x14ac:dyDescent="0.25">
      <c r="A111" s="191" t="s">
        <v>16</v>
      </c>
      <c r="B111" s="191"/>
      <c r="C111" s="191"/>
      <c r="D111" s="139"/>
      <c r="E111" s="15">
        <v>0</v>
      </c>
      <c r="F111" s="15">
        <v>0</v>
      </c>
      <c r="G111" s="15">
        <v>0</v>
      </c>
      <c r="H111" s="15">
        <v>0</v>
      </c>
      <c r="I111" s="15">
        <v>30</v>
      </c>
      <c r="J111" s="15">
        <v>0</v>
      </c>
      <c r="K111" s="15">
        <v>0</v>
      </c>
      <c r="L111" s="15">
        <v>639.4</v>
      </c>
      <c r="M111" s="15">
        <v>0</v>
      </c>
      <c r="N111" s="15">
        <v>800</v>
      </c>
      <c r="O111" s="15">
        <v>316</v>
      </c>
      <c r="P111" s="15">
        <v>0</v>
      </c>
      <c r="Q111" s="91">
        <f t="shared" ref="Q111:Q114" si="48">SUM(E111:P111)</f>
        <v>1785.4</v>
      </c>
      <c r="R111" s="92">
        <f>Q111/$Q$51</f>
        <v>4.1258564144657783E-3</v>
      </c>
      <c r="S111" s="15">
        <f t="shared" ref="S111:S114" si="49">AVERAGE(E111:P111)</f>
        <v>148.78333333333333</v>
      </c>
    </row>
    <row r="112" spans="1:20" s="17" customFormat="1" x14ac:dyDescent="0.25">
      <c r="A112" s="188" t="s">
        <v>17</v>
      </c>
      <c r="B112" s="188"/>
      <c r="C112" s="188"/>
      <c r="D112" s="139"/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1600</v>
      </c>
      <c r="O112" s="4">
        <v>0</v>
      </c>
      <c r="P112" s="4">
        <v>0</v>
      </c>
      <c r="Q112" s="76">
        <f t="shared" si="48"/>
        <v>1600</v>
      </c>
      <c r="R112" s="77">
        <f>Q112/$Q$51</f>
        <v>3.6974180929456959E-3</v>
      </c>
      <c r="S112" s="4">
        <f t="shared" si="49"/>
        <v>133.33333333333334</v>
      </c>
    </row>
    <row r="113" spans="1:20" s="17" customFormat="1" x14ac:dyDescent="0.25">
      <c r="A113" s="188" t="s">
        <v>34</v>
      </c>
      <c r="B113" s="188"/>
      <c r="C113" s="188"/>
      <c r="D113" s="139"/>
      <c r="E113" s="4">
        <v>263.25</v>
      </c>
      <c r="F113" s="4">
        <v>0</v>
      </c>
      <c r="G113" s="4">
        <v>1986.34</v>
      </c>
      <c r="H113" s="4">
        <v>2336.5700000000002</v>
      </c>
      <c r="I113" s="4">
        <v>1888.43</v>
      </c>
      <c r="J113" s="4">
        <v>307.3</v>
      </c>
      <c r="K113" s="4">
        <v>387.76</v>
      </c>
      <c r="L113" s="4">
        <v>0</v>
      </c>
      <c r="M113" s="4">
        <v>0</v>
      </c>
      <c r="N113" s="4">
        <v>0</v>
      </c>
      <c r="O113" s="4">
        <v>502.88</v>
      </c>
      <c r="P113" s="4">
        <v>397.31</v>
      </c>
      <c r="Q113" s="76">
        <f t="shared" si="48"/>
        <v>8069.8400000000011</v>
      </c>
      <c r="R113" s="77">
        <f>Q113/$Q$51</f>
        <v>1.8648482764485563E-2</v>
      </c>
      <c r="S113" s="4">
        <f t="shared" si="49"/>
        <v>672.48666666666679</v>
      </c>
    </row>
    <row r="114" spans="1:20" s="17" customFormat="1" x14ac:dyDescent="0.25">
      <c r="A114" s="188" t="s">
        <v>38</v>
      </c>
      <c r="B114" s="188"/>
      <c r="C114" s="188"/>
      <c r="D114" s="139"/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76">
        <f t="shared" si="48"/>
        <v>0</v>
      </c>
      <c r="R114" s="77">
        <f>Q114/$Q$51</f>
        <v>0</v>
      </c>
      <c r="S114" s="4">
        <f t="shared" si="49"/>
        <v>0</v>
      </c>
    </row>
    <row r="115" spans="1:20" s="17" customFormat="1" ht="5.0999999999999996" customHeight="1" x14ac:dyDescent="0.25">
      <c r="A115" s="193"/>
      <c r="B115" s="193"/>
      <c r="C115" s="193"/>
      <c r="D115" s="157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2"/>
      <c r="R115" s="73"/>
      <c r="S115" s="71"/>
    </row>
    <row r="116" spans="1:20" s="11" customFormat="1" x14ac:dyDescent="0.25">
      <c r="A116" s="190" t="s">
        <v>39</v>
      </c>
      <c r="B116" s="194"/>
      <c r="C116" s="194"/>
      <c r="D116" s="156"/>
      <c r="E116" s="105">
        <f t="shared" ref="E116:P116" si="50">SUM(E117:E120)</f>
        <v>52.58</v>
      </c>
      <c r="F116" s="105">
        <f t="shared" si="50"/>
        <v>230.1</v>
      </c>
      <c r="G116" s="105">
        <f t="shared" si="50"/>
        <v>122</v>
      </c>
      <c r="H116" s="105">
        <f t="shared" si="50"/>
        <v>400</v>
      </c>
      <c r="I116" s="105">
        <f>SUM(I117:I120)</f>
        <v>228.77</v>
      </c>
      <c r="J116" s="105">
        <f t="shared" si="50"/>
        <v>168.84</v>
      </c>
      <c r="K116" s="105">
        <f t="shared" si="50"/>
        <v>0</v>
      </c>
      <c r="L116" s="105">
        <f t="shared" si="50"/>
        <v>0</v>
      </c>
      <c r="M116" s="105">
        <f t="shared" si="50"/>
        <v>0</v>
      </c>
      <c r="N116" s="105">
        <f t="shared" si="50"/>
        <v>0</v>
      </c>
      <c r="O116" s="105">
        <f t="shared" si="50"/>
        <v>0</v>
      </c>
      <c r="P116" s="105">
        <f t="shared" si="50"/>
        <v>0</v>
      </c>
      <c r="Q116" s="87">
        <f>SUM(E116:P116)</f>
        <v>1202.29</v>
      </c>
      <c r="R116" s="86">
        <f>Q116/$Q$51</f>
        <v>2.7783554993548003E-3</v>
      </c>
      <c r="S116" s="105">
        <f>AVERAGE(E116:P116)</f>
        <v>100.19083333333333</v>
      </c>
      <c r="T116" s="17"/>
    </row>
    <row r="117" spans="1:20" s="17" customFormat="1" x14ac:dyDescent="0.25">
      <c r="A117" s="191" t="s">
        <v>40</v>
      </c>
      <c r="B117" s="191"/>
      <c r="C117" s="191"/>
      <c r="D117" s="139"/>
      <c r="E117" s="15">
        <v>52.58</v>
      </c>
      <c r="F117" s="15">
        <v>0</v>
      </c>
      <c r="G117" s="15">
        <v>0</v>
      </c>
      <c r="H117" s="15">
        <v>106</v>
      </c>
      <c r="I117" s="15">
        <v>228.77</v>
      </c>
      <c r="J117" s="15">
        <v>20.440000000000001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91">
        <f t="shared" ref="Q117:Q119" si="51">SUM(E117:P117)</f>
        <v>407.79</v>
      </c>
      <c r="R117" s="92">
        <f>Q117/$Q$51</f>
        <v>9.4235632757645336E-4</v>
      </c>
      <c r="S117" s="15">
        <f t="shared" ref="S117:S119" si="52">AVERAGE(E117:P117)</f>
        <v>33.982500000000002</v>
      </c>
    </row>
    <row r="118" spans="1:20" s="17" customFormat="1" x14ac:dyDescent="0.25">
      <c r="A118" s="188" t="s">
        <v>43</v>
      </c>
      <c r="B118" s="188"/>
      <c r="C118" s="188"/>
      <c r="D118" s="139"/>
      <c r="E118" s="4">
        <v>0</v>
      </c>
      <c r="F118" s="4">
        <v>206.4</v>
      </c>
      <c r="G118" s="4">
        <v>122</v>
      </c>
      <c r="H118" s="4">
        <v>294</v>
      </c>
      <c r="I118" s="4">
        <v>0</v>
      </c>
      <c r="J118" s="4">
        <v>148.4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1">
        <f t="shared" si="51"/>
        <v>770.8</v>
      </c>
      <c r="R118" s="70">
        <f>Q118/$Q$51</f>
        <v>1.7812311662765889E-3</v>
      </c>
      <c r="S118" s="4">
        <f t="shared" si="52"/>
        <v>64.233333333333334</v>
      </c>
    </row>
    <row r="119" spans="1:20" s="17" customFormat="1" x14ac:dyDescent="0.25">
      <c r="A119" s="188" t="s">
        <v>44</v>
      </c>
      <c r="B119" s="188"/>
      <c r="C119" s="188"/>
      <c r="D119" s="139"/>
      <c r="E119" s="4">
        <v>0</v>
      </c>
      <c r="F119" s="4">
        <v>23.7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1">
        <f t="shared" si="51"/>
        <v>23.7</v>
      </c>
      <c r="R119" s="70">
        <f>Q119/$Q$51</f>
        <v>5.4768005501758115E-5</v>
      </c>
      <c r="S119" s="4">
        <f t="shared" si="52"/>
        <v>1.9749999999999999</v>
      </c>
    </row>
    <row r="120" spans="1:20" s="17" customFormat="1" ht="5.0999999999999996" customHeight="1" x14ac:dyDescent="0.25">
      <c r="A120" s="193"/>
      <c r="B120" s="193"/>
      <c r="C120" s="193"/>
      <c r="D120" s="157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2"/>
      <c r="R120" s="73"/>
      <c r="S120" s="71"/>
    </row>
    <row r="121" spans="1:20" s="11" customFormat="1" x14ac:dyDescent="0.25">
      <c r="A121" s="190" t="s">
        <v>18</v>
      </c>
      <c r="B121" s="194"/>
      <c r="C121" s="194"/>
      <c r="D121" s="156"/>
      <c r="E121" s="105">
        <f t="shared" ref="E121:M121" si="53">SUM(E122:E124)</f>
        <v>797.2</v>
      </c>
      <c r="F121" s="105">
        <f t="shared" si="53"/>
        <v>651.9</v>
      </c>
      <c r="G121" s="105">
        <f t="shared" si="53"/>
        <v>736.9</v>
      </c>
      <c r="H121" s="105">
        <f t="shared" si="53"/>
        <v>931.4</v>
      </c>
      <c r="I121" s="105">
        <f t="shared" si="53"/>
        <v>759.7</v>
      </c>
      <c r="J121" s="105">
        <f t="shared" si="53"/>
        <v>816.8</v>
      </c>
      <c r="K121" s="105">
        <f t="shared" si="53"/>
        <v>830.1</v>
      </c>
      <c r="L121" s="105">
        <f t="shared" si="53"/>
        <v>879.5</v>
      </c>
      <c r="M121" s="105">
        <f t="shared" si="53"/>
        <v>762.3</v>
      </c>
      <c r="N121" s="105">
        <f>SUM(N122:N124)</f>
        <v>734.4</v>
      </c>
      <c r="O121" s="105">
        <f t="shared" ref="O121:P121" si="54">SUM(O122:O124)</f>
        <v>841.8</v>
      </c>
      <c r="P121" s="105">
        <f t="shared" si="54"/>
        <v>845.55</v>
      </c>
      <c r="Q121" s="87">
        <f>SUM(E121:P121)</f>
        <v>9587.5499999999993</v>
      </c>
      <c r="R121" s="86">
        <f>Q121/$Q$51</f>
        <v>2.215573802313844E-2</v>
      </c>
      <c r="S121" s="105">
        <f>AVERAGE(E121:P121)</f>
        <v>798.96249999999998</v>
      </c>
      <c r="T121" s="17"/>
    </row>
    <row r="122" spans="1:20" s="17" customFormat="1" x14ac:dyDescent="0.25">
      <c r="A122" s="191" t="s">
        <v>19</v>
      </c>
      <c r="B122" s="191"/>
      <c r="C122" s="191"/>
      <c r="D122" s="139"/>
      <c r="E122" s="15">
        <v>755.2</v>
      </c>
      <c r="F122" s="15">
        <v>609.9</v>
      </c>
      <c r="G122" s="15">
        <v>694.9</v>
      </c>
      <c r="H122" s="15">
        <v>889.4</v>
      </c>
      <c r="I122" s="123">
        <v>717.7</v>
      </c>
      <c r="J122" s="123">
        <v>728.8</v>
      </c>
      <c r="K122" s="123">
        <v>788.1</v>
      </c>
      <c r="L122" s="123">
        <v>827</v>
      </c>
      <c r="M122" s="123">
        <v>710.8</v>
      </c>
      <c r="N122" s="123">
        <v>692.4</v>
      </c>
      <c r="O122" s="123">
        <v>733.3</v>
      </c>
      <c r="P122" s="123">
        <v>803.55</v>
      </c>
      <c r="Q122" s="91">
        <f t="shared" ref="Q122:Q124" si="55">SUM(E122:P122)</f>
        <v>8951.0500000000011</v>
      </c>
      <c r="R122" s="92">
        <f>Q122/$Q$51</f>
        <v>2.0684858888038483E-2</v>
      </c>
      <c r="S122" s="123">
        <f t="shared" ref="S122:S125" si="56">AVERAGE(E122:P122)</f>
        <v>745.92083333333346</v>
      </c>
      <c r="T122" s="101"/>
    </row>
    <row r="123" spans="1:20" s="17" customFormat="1" x14ac:dyDescent="0.25">
      <c r="A123" s="188" t="s">
        <v>82</v>
      </c>
      <c r="B123" s="188"/>
      <c r="C123" s="188"/>
      <c r="D123" s="139"/>
      <c r="E123" s="4">
        <v>0</v>
      </c>
      <c r="F123" s="4">
        <v>0</v>
      </c>
      <c r="G123" s="4">
        <v>0</v>
      </c>
      <c r="H123" s="4">
        <v>0</v>
      </c>
      <c r="I123" s="101">
        <v>0</v>
      </c>
      <c r="J123" s="101">
        <v>36.5</v>
      </c>
      <c r="K123" s="101">
        <v>0</v>
      </c>
      <c r="L123" s="101">
        <v>0</v>
      </c>
      <c r="M123" s="101"/>
      <c r="N123" s="101">
        <v>0</v>
      </c>
      <c r="O123" s="101">
        <v>0</v>
      </c>
      <c r="P123" s="101">
        <v>0</v>
      </c>
      <c r="Q123" s="41">
        <f t="shared" si="55"/>
        <v>36.5</v>
      </c>
      <c r="R123" s="70">
        <f>Q123/$Q$51</f>
        <v>8.4347350245323681E-5</v>
      </c>
      <c r="S123" s="101">
        <f t="shared" si="56"/>
        <v>3.3181818181818183</v>
      </c>
      <c r="T123" s="101"/>
    </row>
    <row r="124" spans="1:20" s="17" customFormat="1" x14ac:dyDescent="0.25">
      <c r="A124" s="188" t="s">
        <v>20</v>
      </c>
      <c r="B124" s="188"/>
      <c r="C124" s="188"/>
      <c r="D124" s="139"/>
      <c r="E124" s="4">
        <v>42</v>
      </c>
      <c r="F124" s="4">
        <v>42</v>
      </c>
      <c r="G124" s="4">
        <v>42</v>
      </c>
      <c r="H124" s="4">
        <v>42</v>
      </c>
      <c r="I124" s="4">
        <v>42</v>
      </c>
      <c r="J124" s="4">
        <v>51.5</v>
      </c>
      <c r="K124" s="4">
        <v>42</v>
      </c>
      <c r="L124" s="4">
        <v>52.5</v>
      </c>
      <c r="M124" s="4">
        <v>51.5</v>
      </c>
      <c r="N124" s="4">
        <v>42</v>
      </c>
      <c r="O124" s="4">
        <v>108.5</v>
      </c>
      <c r="P124" s="4">
        <v>42</v>
      </c>
      <c r="Q124" s="41">
        <f t="shared" si="55"/>
        <v>600</v>
      </c>
      <c r="R124" s="70">
        <f>Q124/$Q$51</f>
        <v>1.386531784854636E-3</v>
      </c>
      <c r="S124" s="4">
        <f t="shared" si="56"/>
        <v>50</v>
      </c>
    </row>
    <row r="125" spans="1:20" s="17" customFormat="1" ht="5.0999999999999996" customHeight="1" x14ac:dyDescent="0.25">
      <c r="A125" s="193"/>
      <c r="B125" s="193"/>
      <c r="C125" s="193"/>
      <c r="D125" s="157"/>
      <c r="E125" s="71"/>
      <c r="F125" s="71"/>
      <c r="G125" s="71"/>
      <c r="H125" s="71"/>
      <c r="I125" s="71"/>
      <c r="J125" s="71"/>
      <c r="K125" s="71"/>
      <c r="L125" s="71"/>
      <c r="M125" s="71">
        <v>0</v>
      </c>
      <c r="N125" s="71"/>
      <c r="O125" s="71"/>
      <c r="P125" s="71"/>
      <c r="Q125" s="72"/>
      <c r="R125" s="73"/>
      <c r="S125" s="71">
        <f t="shared" si="56"/>
        <v>0</v>
      </c>
    </row>
    <row r="126" spans="1:20" s="11" customFormat="1" x14ac:dyDescent="0.25">
      <c r="A126" s="190" t="s">
        <v>49</v>
      </c>
      <c r="B126" s="194"/>
      <c r="C126" s="194"/>
      <c r="D126" s="156"/>
      <c r="E126" s="105">
        <f t="shared" ref="E126:M126" si="57">SUM(E127:E128)</f>
        <v>0</v>
      </c>
      <c r="F126" s="105">
        <f t="shared" si="57"/>
        <v>0</v>
      </c>
      <c r="G126" s="105">
        <f t="shared" si="57"/>
        <v>1600</v>
      </c>
      <c r="H126" s="105">
        <f t="shared" si="57"/>
        <v>0</v>
      </c>
      <c r="I126" s="105">
        <f t="shared" si="57"/>
        <v>9.5</v>
      </c>
      <c r="J126" s="105">
        <f t="shared" si="57"/>
        <v>9.5</v>
      </c>
      <c r="K126" s="105">
        <f t="shared" si="57"/>
        <v>19</v>
      </c>
      <c r="L126" s="105">
        <f t="shared" si="57"/>
        <v>0</v>
      </c>
      <c r="M126" s="105">
        <f t="shared" si="57"/>
        <v>0</v>
      </c>
      <c r="N126" s="105">
        <f>SUM(N127:N128)</f>
        <v>0</v>
      </c>
      <c r="O126" s="105">
        <f t="shared" ref="O126:P126" si="58">SUM(O127:O128)</f>
        <v>0</v>
      </c>
      <c r="P126" s="105">
        <f t="shared" si="58"/>
        <v>0</v>
      </c>
      <c r="Q126" s="87">
        <f>SUM(E126:P126)</f>
        <v>1638</v>
      </c>
      <c r="R126" s="86">
        <f>Q126/$Q$51</f>
        <v>3.7852317726531563E-3</v>
      </c>
      <c r="S126" s="105">
        <f>AVERAGE(E126:P126)</f>
        <v>136.5</v>
      </c>
      <c r="T126" s="17"/>
    </row>
    <row r="127" spans="1:20" s="17" customFormat="1" x14ac:dyDescent="0.25">
      <c r="A127" s="191" t="s">
        <v>50</v>
      </c>
      <c r="B127" s="191"/>
      <c r="C127" s="191"/>
      <c r="D127" s="139"/>
      <c r="E127" s="15"/>
      <c r="F127" s="15"/>
      <c r="G127" s="15">
        <v>1600</v>
      </c>
      <c r="H127" s="15"/>
      <c r="I127" s="15">
        <v>9.5</v>
      </c>
      <c r="J127" s="15">
        <v>9.5</v>
      </c>
      <c r="K127" s="15">
        <v>19</v>
      </c>
      <c r="L127" s="15"/>
      <c r="M127" s="15"/>
      <c r="N127" s="15"/>
      <c r="O127" s="15"/>
      <c r="P127" s="15"/>
      <c r="Q127" s="104">
        <f t="shared" ref="Q127" si="59">SUM(E127:P127)</f>
        <v>1638</v>
      </c>
      <c r="R127" s="103">
        <f>Q127/$Q$51</f>
        <v>3.7852317726531563E-3</v>
      </c>
      <c r="S127" s="15">
        <f>AVERAGE(E127:P127)</f>
        <v>409.5</v>
      </c>
    </row>
    <row r="128" spans="1:20" s="17" customFormat="1" ht="5.0999999999999996" customHeight="1" x14ac:dyDescent="0.25">
      <c r="A128" s="193"/>
      <c r="B128" s="193"/>
      <c r="C128" s="193"/>
      <c r="D128" s="157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2"/>
      <c r="R128" s="73"/>
      <c r="S128" s="71"/>
    </row>
    <row r="129" spans="1:20" s="17" customFormat="1" ht="17.100000000000001" customHeight="1" x14ac:dyDescent="0.25">
      <c r="D129" s="37"/>
      <c r="Q129" s="1"/>
      <c r="R129" s="9"/>
    </row>
    <row r="130" spans="1:20" s="1" customFormat="1" ht="15" customHeight="1" x14ac:dyDescent="0.25">
      <c r="A130" s="198" t="s">
        <v>1</v>
      </c>
      <c r="B130" s="198"/>
      <c r="C130" s="198"/>
      <c r="D130" s="158"/>
      <c r="E130" s="68">
        <v>59857.43</v>
      </c>
      <c r="F130" s="68">
        <f t="shared" ref="F130:P130" si="60">E134</f>
        <v>60734.5</v>
      </c>
      <c r="G130" s="68">
        <f t="shared" si="60"/>
        <v>70642.14</v>
      </c>
      <c r="H130" s="68">
        <f t="shared" si="60"/>
        <v>76907.079999999987</v>
      </c>
      <c r="I130" s="68">
        <f t="shared" si="60"/>
        <v>56672.219999999979</v>
      </c>
      <c r="J130" s="68">
        <f t="shared" si="60"/>
        <v>44001.19000000001</v>
      </c>
      <c r="K130" s="68">
        <f t="shared" si="60"/>
        <v>43075.4</v>
      </c>
      <c r="L130" s="68">
        <f t="shared" si="60"/>
        <v>34609.380000000012</v>
      </c>
      <c r="M130" s="68">
        <f t="shared" si="60"/>
        <v>29297.380000000019</v>
      </c>
      <c r="N130" s="68">
        <f t="shared" si="60"/>
        <v>17298.130000000012</v>
      </c>
      <c r="O130" s="68">
        <f t="shared" si="60"/>
        <v>10268.890000000007</v>
      </c>
      <c r="P130" s="68">
        <f t="shared" si="60"/>
        <v>2246.7500000000068</v>
      </c>
      <c r="Q130" s="200" t="s">
        <v>83</v>
      </c>
      <c r="R130" s="200"/>
      <c r="S130" s="200"/>
      <c r="T130" s="17"/>
    </row>
    <row r="131" spans="1:20" s="17" customFormat="1" x14ac:dyDescent="0.25">
      <c r="A131" s="199" t="s">
        <v>56</v>
      </c>
      <c r="B131" s="199"/>
      <c r="C131" s="199"/>
      <c r="D131" s="159"/>
      <c r="E131" s="4">
        <f t="shared" ref="E131:P131" si="61">E5</f>
        <v>36343.380000000005</v>
      </c>
      <c r="F131" s="4">
        <f t="shared" si="61"/>
        <v>46728.160000000003</v>
      </c>
      <c r="G131" s="4">
        <f t="shared" si="61"/>
        <v>40720.61</v>
      </c>
      <c r="H131" s="4">
        <f t="shared" si="61"/>
        <v>42490.67</v>
      </c>
      <c r="I131" s="4">
        <f t="shared" si="61"/>
        <v>36863.890000000007</v>
      </c>
      <c r="J131" s="4">
        <f t="shared" si="61"/>
        <v>32023.41</v>
      </c>
      <c r="K131" s="4">
        <f t="shared" si="61"/>
        <v>35255.229999999996</v>
      </c>
      <c r="L131" s="4">
        <f t="shared" si="61"/>
        <v>34432.92</v>
      </c>
      <c r="M131" s="4">
        <f t="shared" si="61"/>
        <v>28854.26</v>
      </c>
      <c r="N131" s="4">
        <f t="shared" si="61"/>
        <v>33585.269999999997</v>
      </c>
      <c r="O131" s="4">
        <f t="shared" si="61"/>
        <v>32243.409999999996</v>
      </c>
      <c r="P131" s="4">
        <f t="shared" si="61"/>
        <v>37753.21</v>
      </c>
      <c r="Q131" s="201"/>
      <c r="R131" s="201"/>
      <c r="S131" s="201"/>
    </row>
    <row r="132" spans="1:20" s="3" customFormat="1" x14ac:dyDescent="0.25">
      <c r="A132" s="195" t="s">
        <v>57</v>
      </c>
      <c r="B132" s="195"/>
      <c r="C132" s="195"/>
      <c r="D132" s="160"/>
      <c r="E132" s="40">
        <f t="shared" ref="E132:P132" si="62">-E68</f>
        <v>-35466.31</v>
      </c>
      <c r="F132" s="40">
        <f t="shared" si="62"/>
        <v>-36820.520000000004</v>
      </c>
      <c r="G132" s="40">
        <f t="shared" si="62"/>
        <v>-34455.670000000006</v>
      </c>
      <c r="H132" s="40">
        <f t="shared" si="62"/>
        <v>-62725.530000000006</v>
      </c>
      <c r="I132" s="40">
        <f t="shared" si="62"/>
        <v>-45462.829999999994</v>
      </c>
      <c r="J132" s="40">
        <f t="shared" si="62"/>
        <v>-32949.200000000004</v>
      </c>
      <c r="K132" s="40">
        <f t="shared" si="62"/>
        <v>-43721.249999999993</v>
      </c>
      <c r="L132" s="40">
        <f t="shared" si="62"/>
        <v>-39744.92</v>
      </c>
      <c r="M132" s="40">
        <f t="shared" si="62"/>
        <v>-40853.51</v>
      </c>
      <c r="N132" s="40">
        <f t="shared" si="62"/>
        <v>-40614.51</v>
      </c>
      <c r="O132" s="40">
        <f t="shared" si="62"/>
        <v>-40548.659999999996</v>
      </c>
      <c r="P132" s="40">
        <f t="shared" si="62"/>
        <v>-36517.509999999995</v>
      </c>
      <c r="R132" s="99">
        <f>(Q68/12)/126</f>
        <v>323.99498677248675</v>
      </c>
      <c r="S132" s="98"/>
      <c r="T132" s="17"/>
    </row>
    <row r="133" spans="1:20" s="3" customFormat="1" ht="15" customHeight="1" x14ac:dyDescent="0.25">
      <c r="A133" s="195" t="s">
        <v>65</v>
      </c>
      <c r="B133" s="195"/>
      <c r="C133" s="195"/>
      <c r="D133" s="160"/>
      <c r="E133" s="40">
        <v>0</v>
      </c>
      <c r="F133" s="40">
        <v>0</v>
      </c>
      <c r="G133" s="40">
        <v>0</v>
      </c>
      <c r="H133" s="40">
        <v>0</v>
      </c>
      <c r="I133" s="40">
        <f>52600.13-H134</f>
        <v>-4072.089999999982</v>
      </c>
      <c r="J133" s="40">
        <v>0</v>
      </c>
      <c r="K133" s="40">
        <v>0</v>
      </c>
      <c r="L133" s="40">
        <v>0</v>
      </c>
      <c r="M133" s="40">
        <v>0</v>
      </c>
      <c r="N133" s="40">
        <v>0</v>
      </c>
      <c r="O133" s="40">
        <v>283.11</v>
      </c>
      <c r="P133" s="40">
        <v>-733.41</v>
      </c>
      <c r="Q133" s="202" t="s">
        <v>84</v>
      </c>
      <c r="R133" s="203"/>
      <c r="S133" s="204"/>
      <c r="T133" s="17"/>
    </row>
    <row r="134" spans="1:20" s="1" customFormat="1" x14ac:dyDescent="0.25">
      <c r="A134" s="196" t="s">
        <v>58</v>
      </c>
      <c r="B134" s="196"/>
      <c r="C134" s="196"/>
      <c r="D134" s="158"/>
      <c r="E134" s="41">
        <f>E130+E131+E132</f>
        <v>60734.5</v>
      </c>
      <c r="F134" s="41">
        <f t="shared" ref="F134:N134" si="63">F130+F131+F132</f>
        <v>70642.14</v>
      </c>
      <c r="G134" s="41">
        <f t="shared" si="63"/>
        <v>76907.079999999987</v>
      </c>
      <c r="H134" s="41">
        <f t="shared" si="63"/>
        <v>56672.219999999979</v>
      </c>
      <c r="I134" s="41">
        <f>I130+I131+I132+I133</f>
        <v>44001.19000000001</v>
      </c>
      <c r="J134" s="41">
        <f t="shared" si="63"/>
        <v>43075.4</v>
      </c>
      <c r="K134" s="41">
        <f t="shared" si="63"/>
        <v>34609.380000000012</v>
      </c>
      <c r="L134" s="41">
        <f t="shared" si="63"/>
        <v>29297.380000000019</v>
      </c>
      <c r="M134" s="41">
        <f t="shared" si="63"/>
        <v>17298.130000000012</v>
      </c>
      <c r="N134" s="41">
        <f t="shared" si="63"/>
        <v>10268.890000000007</v>
      </c>
      <c r="O134" s="41">
        <f>O130+O131+O132+O133</f>
        <v>2246.7500000000068</v>
      </c>
      <c r="P134" s="41">
        <f>P130+P131+P132+P133</f>
        <v>2749.0400000000118</v>
      </c>
      <c r="Q134" s="205"/>
      <c r="R134" s="206"/>
      <c r="S134" s="207"/>
      <c r="T134" s="17"/>
    </row>
    <row r="135" spans="1:20" s="1" customFormat="1" x14ac:dyDescent="0.25">
      <c r="A135" s="197" t="s">
        <v>59</v>
      </c>
      <c r="B135" s="197"/>
      <c r="C135" s="197"/>
      <c r="D135" s="158"/>
      <c r="E135" s="89">
        <f t="shared" ref="E135:P135" si="64">E131+E132</f>
        <v>877.07000000000698</v>
      </c>
      <c r="F135" s="89">
        <f t="shared" si="64"/>
        <v>9907.64</v>
      </c>
      <c r="G135" s="89">
        <f t="shared" si="64"/>
        <v>6264.9399999999951</v>
      </c>
      <c r="H135" s="89">
        <f t="shared" si="64"/>
        <v>-20234.860000000008</v>
      </c>
      <c r="I135" s="89">
        <f t="shared" si="64"/>
        <v>-8598.9399999999878</v>
      </c>
      <c r="J135" s="89">
        <f t="shared" si="64"/>
        <v>-925.79000000000451</v>
      </c>
      <c r="K135" s="89">
        <f t="shared" si="64"/>
        <v>-8466.0199999999968</v>
      </c>
      <c r="L135" s="89">
        <f t="shared" si="64"/>
        <v>-5312</v>
      </c>
      <c r="M135" s="89">
        <f t="shared" si="64"/>
        <v>-11999.250000000004</v>
      </c>
      <c r="N135" s="89">
        <f t="shared" si="64"/>
        <v>-7029.2400000000052</v>
      </c>
      <c r="O135" s="89">
        <f t="shared" si="64"/>
        <v>-8305.25</v>
      </c>
      <c r="P135" s="89">
        <f t="shared" si="64"/>
        <v>1235.7000000000044</v>
      </c>
      <c r="Q135" s="96"/>
      <c r="R135" s="100">
        <f>((Q68-Q108)/12)/$S$50</f>
        <v>305.57567460317455</v>
      </c>
      <c r="S135" s="97"/>
      <c r="T135" s="17"/>
    </row>
    <row r="136" spans="1:20" ht="5.0999999999999996" customHeight="1" x14ac:dyDescent="0.25">
      <c r="D136"/>
      <c r="Q136"/>
      <c r="R136"/>
    </row>
    <row r="137" spans="1:20" x14ac:dyDescent="0.25">
      <c r="D137"/>
      <c r="Q137"/>
      <c r="R137"/>
    </row>
    <row r="138" spans="1:20" ht="5.0999999999999996" customHeight="1" x14ac:dyDescent="0.25">
      <c r="D138"/>
      <c r="Q138"/>
      <c r="R138"/>
    </row>
    <row r="139" spans="1:20" ht="24" customHeight="1" x14ac:dyDescent="0.25">
      <c r="D139"/>
      <c r="Q139"/>
      <c r="R139"/>
    </row>
    <row r="140" spans="1:20" ht="20.100000000000001" customHeight="1" x14ac:dyDescent="0.25">
      <c r="D140"/>
      <c r="Q140"/>
      <c r="R140"/>
    </row>
    <row r="141" spans="1:20" x14ac:dyDescent="0.25">
      <c r="D141"/>
      <c r="Q141"/>
      <c r="R141"/>
    </row>
    <row r="142" spans="1:20" x14ac:dyDescent="0.25">
      <c r="D142"/>
      <c r="Q142"/>
      <c r="R142"/>
    </row>
    <row r="143" spans="1:20" x14ac:dyDescent="0.25">
      <c r="D143"/>
      <c r="Q143"/>
      <c r="R143"/>
    </row>
    <row r="144" spans="1:20" x14ac:dyDescent="0.25">
      <c r="D144"/>
      <c r="Q144"/>
      <c r="R144"/>
    </row>
    <row r="145" spans="4:18" ht="5.0999999999999996" customHeight="1" x14ac:dyDescent="0.25">
      <c r="D145"/>
      <c r="Q145"/>
      <c r="R145"/>
    </row>
    <row r="146" spans="4:18" x14ac:dyDescent="0.25">
      <c r="D146"/>
      <c r="Q146"/>
      <c r="R146"/>
    </row>
    <row r="147" spans="4:18" x14ac:dyDescent="0.25">
      <c r="D147"/>
      <c r="Q147"/>
      <c r="R147"/>
    </row>
    <row r="148" spans="4:18" x14ac:dyDescent="0.25">
      <c r="D148"/>
      <c r="Q148"/>
      <c r="R148"/>
    </row>
    <row r="149" spans="4:18" ht="5.0999999999999996" customHeight="1" x14ac:dyDescent="0.25">
      <c r="D149"/>
      <c r="Q149"/>
      <c r="R149"/>
    </row>
    <row r="150" spans="4:18" ht="15" customHeight="1" x14ac:dyDescent="0.25">
      <c r="D150"/>
      <c r="Q150"/>
      <c r="R150"/>
    </row>
    <row r="151" spans="4:18" x14ac:dyDescent="0.25">
      <c r="D151"/>
      <c r="Q151"/>
      <c r="R151"/>
    </row>
    <row r="152" spans="4:18" x14ac:dyDescent="0.25">
      <c r="D152"/>
      <c r="Q152"/>
      <c r="R152"/>
    </row>
    <row r="153" spans="4:18" ht="5.0999999999999996" customHeight="1" x14ac:dyDescent="0.25">
      <c r="D153"/>
      <c r="Q153"/>
      <c r="R153"/>
    </row>
    <row r="154" spans="4:18" ht="15" customHeight="1" x14ac:dyDescent="0.25">
      <c r="D154"/>
      <c r="Q154"/>
      <c r="R154"/>
    </row>
    <row r="155" spans="4:18" ht="15" customHeight="1" x14ac:dyDescent="0.25">
      <c r="D155"/>
      <c r="Q155"/>
      <c r="R155"/>
    </row>
    <row r="156" spans="4:18" ht="15.75" customHeight="1" x14ac:dyDescent="0.25">
      <c r="D156"/>
      <c r="Q156"/>
      <c r="R156"/>
    </row>
    <row r="157" spans="4:18" ht="5.0999999999999996" customHeight="1" x14ac:dyDescent="0.25">
      <c r="D157"/>
      <c r="Q157"/>
      <c r="R157"/>
    </row>
    <row r="158" spans="4:18" x14ac:dyDescent="0.25">
      <c r="D158"/>
      <c r="Q158"/>
      <c r="R158"/>
    </row>
    <row r="159" spans="4:18" x14ac:dyDescent="0.25">
      <c r="D159"/>
      <c r="Q159"/>
      <c r="R159"/>
    </row>
    <row r="160" spans="4:18" x14ac:dyDescent="0.25">
      <c r="D160"/>
      <c r="Q160"/>
      <c r="R160"/>
    </row>
    <row r="161" spans="4:18" ht="5.0999999999999996" customHeight="1" x14ac:dyDescent="0.25">
      <c r="D161"/>
      <c r="Q161"/>
      <c r="R161"/>
    </row>
    <row r="162" spans="4:18" x14ac:dyDescent="0.25">
      <c r="D162"/>
      <c r="Q162"/>
      <c r="R162"/>
    </row>
    <row r="163" spans="4:18" x14ac:dyDescent="0.25">
      <c r="D163"/>
      <c r="Q163"/>
      <c r="R163"/>
    </row>
    <row r="164" spans="4:18" x14ac:dyDescent="0.25">
      <c r="D164"/>
      <c r="Q164"/>
      <c r="R164"/>
    </row>
    <row r="165" spans="4:18" ht="5.0999999999999996" customHeight="1" x14ac:dyDescent="0.25">
      <c r="D165"/>
      <c r="Q165"/>
      <c r="R165"/>
    </row>
    <row r="166" spans="4:18" ht="15" customHeight="1" x14ac:dyDescent="0.25">
      <c r="D166"/>
      <c r="Q166"/>
      <c r="R166"/>
    </row>
    <row r="167" spans="4:18" x14ac:dyDescent="0.25">
      <c r="D167"/>
      <c r="Q167"/>
      <c r="R167"/>
    </row>
    <row r="168" spans="4:18" x14ac:dyDescent="0.25">
      <c r="D168"/>
      <c r="Q168"/>
      <c r="R168"/>
    </row>
    <row r="169" spans="4:18" ht="5.0999999999999996" customHeight="1" x14ac:dyDescent="0.25">
      <c r="D169"/>
      <c r="Q169"/>
      <c r="R169"/>
    </row>
    <row r="170" spans="4:18" ht="15" customHeight="1" x14ac:dyDescent="0.25">
      <c r="D170"/>
      <c r="Q170"/>
      <c r="R170"/>
    </row>
    <row r="171" spans="4:18" x14ac:dyDescent="0.25">
      <c r="D171"/>
      <c r="Q171"/>
      <c r="R171"/>
    </row>
    <row r="172" spans="4:18" x14ac:dyDescent="0.25">
      <c r="D172"/>
      <c r="Q172"/>
      <c r="R172"/>
    </row>
    <row r="173" spans="4:18" ht="5.0999999999999996" customHeight="1" x14ac:dyDescent="0.25">
      <c r="D173"/>
      <c r="Q173"/>
      <c r="R173"/>
    </row>
    <row r="174" spans="4:18" x14ac:dyDescent="0.25">
      <c r="D174"/>
      <c r="Q174"/>
      <c r="R174"/>
    </row>
    <row r="175" spans="4:18" ht="5.0999999999999996" customHeight="1" x14ac:dyDescent="0.25">
      <c r="D175"/>
      <c r="Q175"/>
      <c r="R175"/>
    </row>
    <row r="176" spans="4:18" x14ac:dyDescent="0.25">
      <c r="D176"/>
      <c r="Q176"/>
      <c r="R176"/>
    </row>
    <row r="177" spans="4:18" x14ac:dyDescent="0.25">
      <c r="D177"/>
      <c r="Q177"/>
      <c r="R177"/>
    </row>
    <row r="178" spans="4:18" x14ac:dyDescent="0.25">
      <c r="D178"/>
      <c r="Q178"/>
      <c r="R178"/>
    </row>
    <row r="179" spans="4:18" ht="5.0999999999999996" customHeight="1" x14ac:dyDescent="0.25">
      <c r="D179"/>
      <c r="Q179"/>
      <c r="R179"/>
    </row>
    <row r="180" spans="4:18" ht="24" customHeight="1" x14ac:dyDescent="0.25">
      <c r="D180"/>
      <c r="Q180"/>
      <c r="R180"/>
    </row>
    <row r="181" spans="4:18" ht="20.100000000000001" customHeight="1" x14ac:dyDescent="0.25">
      <c r="D181"/>
      <c r="Q181"/>
      <c r="R181"/>
    </row>
    <row r="182" spans="4:18" x14ac:dyDescent="0.25">
      <c r="D182"/>
      <c r="Q182"/>
      <c r="R182"/>
    </row>
    <row r="183" spans="4:18" x14ac:dyDescent="0.25">
      <c r="D183"/>
      <c r="Q183"/>
      <c r="R183"/>
    </row>
    <row r="184" spans="4:18" x14ac:dyDescent="0.25">
      <c r="D184"/>
      <c r="Q184"/>
      <c r="R184"/>
    </row>
    <row r="185" spans="4:18" x14ac:dyDescent="0.25">
      <c r="D185"/>
      <c r="Q185"/>
      <c r="R185"/>
    </row>
    <row r="186" spans="4:18" ht="5.0999999999999996" customHeight="1" x14ac:dyDescent="0.25">
      <c r="D186"/>
      <c r="Q186"/>
      <c r="R186"/>
    </row>
    <row r="187" spans="4:18" x14ac:dyDescent="0.25">
      <c r="D187"/>
      <c r="Q187"/>
      <c r="R187"/>
    </row>
    <row r="188" spans="4:18" ht="20.100000000000001" customHeight="1" x14ac:dyDescent="0.25">
      <c r="D188"/>
      <c r="Q188"/>
      <c r="R188"/>
    </row>
    <row r="189" spans="4:18" x14ac:dyDescent="0.25">
      <c r="D189"/>
      <c r="Q189"/>
      <c r="R189"/>
    </row>
    <row r="190" spans="4:18" x14ac:dyDescent="0.25">
      <c r="D190"/>
      <c r="Q190"/>
      <c r="R190"/>
    </row>
    <row r="191" spans="4:18" x14ac:dyDescent="0.25">
      <c r="D191"/>
      <c r="Q191"/>
      <c r="R191"/>
    </row>
    <row r="192" spans="4:18" x14ac:dyDescent="0.25">
      <c r="D192"/>
      <c r="Q192"/>
      <c r="R192"/>
    </row>
    <row r="193" spans="4:18" x14ac:dyDescent="0.25">
      <c r="D193"/>
      <c r="Q193"/>
      <c r="R193"/>
    </row>
    <row r="194" spans="4:18" x14ac:dyDescent="0.25">
      <c r="D194"/>
      <c r="Q194"/>
      <c r="R194"/>
    </row>
    <row r="195" spans="4:18" x14ac:dyDescent="0.25">
      <c r="D195"/>
      <c r="Q195"/>
      <c r="R195"/>
    </row>
    <row r="196" spans="4:18" x14ac:dyDescent="0.25">
      <c r="D196"/>
      <c r="Q196"/>
      <c r="R196"/>
    </row>
    <row r="197" spans="4:18" x14ac:dyDescent="0.25">
      <c r="D197"/>
      <c r="Q197"/>
      <c r="R197"/>
    </row>
    <row r="198" spans="4:18" x14ac:dyDescent="0.25">
      <c r="D198"/>
      <c r="Q198"/>
      <c r="R198"/>
    </row>
    <row r="199" spans="4:18" x14ac:dyDescent="0.25">
      <c r="D199"/>
      <c r="Q199"/>
      <c r="R199"/>
    </row>
    <row r="200" spans="4:18" x14ac:dyDescent="0.25">
      <c r="D200"/>
      <c r="Q200"/>
      <c r="R200"/>
    </row>
    <row r="201" spans="4:18" ht="5.0999999999999996" customHeight="1" x14ac:dyDescent="0.25">
      <c r="D201"/>
      <c r="Q201"/>
      <c r="R201"/>
    </row>
    <row r="202" spans="4:18" x14ac:dyDescent="0.25">
      <c r="D202"/>
      <c r="Q202"/>
      <c r="R202"/>
    </row>
    <row r="203" spans="4:18" x14ac:dyDescent="0.25">
      <c r="D203"/>
      <c r="Q203"/>
      <c r="R203"/>
    </row>
    <row r="204" spans="4:18" x14ac:dyDescent="0.25">
      <c r="D204"/>
      <c r="Q204"/>
      <c r="R204"/>
    </row>
    <row r="205" spans="4:18" x14ac:dyDescent="0.25">
      <c r="D205"/>
      <c r="Q205"/>
      <c r="R205"/>
    </row>
    <row r="206" spans="4:18" x14ac:dyDescent="0.25">
      <c r="D206"/>
      <c r="Q206"/>
      <c r="R206"/>
    </row>
    <row r="207" spans="4:18" x14ac:dyDescent="0.25">
      <c r="D207"/>
      <c r="Q207"/>
      <c r="R207"/>
    </row>
    <row r="208" spans="4:18" x14ac:dyDescent="0.25">
      <c r="D208"/>
      <c r="Q208"/>
      <c r="R208"/>
    </row>
    <row r="209" spans="4:18" x14ac:dyDescent="0.25">
      <c r="D209"/>
      <c r="Q209"/>
      <c r="R209"/>
    </row>
    <row r="210" spans="4:18" x14ac:dyDescent="0.25">
      <c r="D210"/>
      <c r="Q210"/>
      <c r="R210"/>
    </row>
    <row r="211" spans="4:18" x14ac:dyDescent="0.25">
      <c r="D211"/>
      <c r="Q211"/>
      <c r="R211"/>
    </row>
    <row r="212" spans="4:18" x14ac:dyDescent="0.25">
      <c r="D212"/>
      <c r="Q212"/>
      <c r="R212"/>
    </row>
    <row r="213" spans="4:18" x14ac:dyDescent="0.25">
      <c r="D213"/>
      <c r="Q213"/>
      <c r="R213"/>
    </row>
    <row r="214" spans="4:18" ht="5.0999999999999996" customHeight="1" x14ac:dyDescent="0.25">
      <c r="D214"/>
      <c r="Q214"/>
      <c r="R214"/>
    </row>
    <row r="215" spans="4:18" x14ac:dyDescent="0.25">
      <c r="D215"/>
      <c r="Q215"/>
      <c r="R215"/>
    </row>
    <row r="216" spans="4:18" x14ac:dyDescent="0.25">
      <c r="D216"/>
      <c r="Q216"/>
      <c r="R216"/>
    </row>
    <row r="217" spans="4:18" x14ac:dyDescent="0.25">
      <c r="D217"/>
      <c r="Q217"/>
      <c r="R217"/>
    </row>
    <row r="218" spans="4:18" x14ac:dyDescent="0.25">
      <c r="D218"/>
      <c r="Q218"/>
      <c r="R218"/>
    </row>
    <row r="219" spans="4:18" x14ac:dyDescent="0.25">
      <c r="D219"/>
      <c r="Q219"/>
      <c r="R219"/>
    </row>
    <row r="220" spans="4:18" x14ac:dyDescent="0.25">
      <c r="D220"/>
      <c r="Q220"/>
      <c r="R220"/>
    </row>
    <row r="221" spans="4:18" x14ac:dyDescent="0.25">
      <c r="D221"/>
      <c r="Q221"/>
      <c r="R221"/>
    </row>
    <row r="222" spans="4:18" x14ac:dyDescent="0.25">
      <c r="D222"/>
      <c r="Q222"/>
      <c r="R222"/>
    </row>
    <row r="223" spans="4:18" x14ac:dyDescent="0.25">
      <c r="D223"/>
      <c r="Q223"/>
      <c r="R223"/>
    </row>
    <row r="224" spans="4:18" x14ac:dyDescent="0.25">
      <c r="D224"/>
      <c r="Q224"/>
      <c r="R224"/>
    </row>
    <row r="225" spans="4:18" x14ac:dyDescent="0.25">
      <c r="D225"/>
      <c r="Q225"/>
      <c r="R225"/>
    </row>
    <row r="226" spans="4:18" x14ac:dyDescent="0.25">
      <c r="D226"/>
      <c r="Q226"/>
      <c r="R226"/>
    </row>
    <row r="227" spans="4:18" x14ac:dyDescent="0.25">
      <c r="D227"/>
      <c r="Q227"/>
      <c r="R227"/>
    </row>
    <row r="228" spans="4:18" x14ac:dyDescent="0.25">
      <c r="D228"/>
      <c r="Q228"/>
      <c r="R228"/>
    </row>
    <row r="229" spans="4:18" x14ac:dyDescent="0.25">
      <c r="D229"/>
      <c r="Q229"/>
      <c r="R229"/>
    </row>
    <row r="230" spans="4:18" x14ac:dyDescent="0.25">
      <c r="D230"/>
      <c r="Q230"/>
      <c r="R230"/>
    </row>
    <row r="231" spans="4:18" x14ac:dyDescent="0.25">
      <c r="D231"/>
      <c r="Q231"/>
      <c r="R231"/>
    </row>
    <row r="232" spans="4:18" x14ac:dyDescent="0.25">
      <c r="D232"/>
      <c r="Q232"/>
      <c r="R232"/>
    </row>
    <row r="233" spans="4:18" ht="5.0999999999999996" customHeight="1" x14ac:dyDescent="0.25">
      <c r="D233"/>
      <c r="Q233"/>
      <c r="R233"/>
    </row>
    <row r="234" spans="4:18" x14ac:dyDescent="0.25">
      <c r="D234"/>
      <c r="Q234"/>
      <c r="R234"/>
    </row>
    <row r="235" spans="4:18" x14ac:dyDescent="0.25">
      <c r="D235"/>
      <c r="Q235"/>
      <c r="R235"/>
    </row>
    <row r="236" spans="4:18" x14ac:dyDescent="0.25">
      <c r="D236"/>
      <c r="Q236"/>
      <c r="R236"/>
    </row>
    <row r="237" spans="4:18" x14ac:dyDescent="0.25">
      <c r="D237"/>
      <c r="Q237"/>
      <c r="R237"/>
    </row>
    <row r="238" spans="4:18" x14ac:dyDescent="0.25">
      <c r="D238"/>
      <c r="Q238"/>
      <c r="R238"/>
    </row>
    <row r="239" spans="4:18" x14ac:dyDescent="0.25">
      <c r="D239"/>
      <c r="Q239"/>
      <c r="R239"/>
    </row>
    <row r="240" spans="4:18" x14ac:dyDescent="0.25">
      <c r="D240"/>
      <c r="Q240"/>
      <c r="R240"/>
    </row>
    <row r="241" spans="4:18" x14ac:dyDescent="0.25">
      <c r="D241"/>
      <c r="Q241"/>
      <c r="R241"/>
    </row>
    <row r="242" spans="4:18" x14ac:dyDescent="0.25">
      <c r="D242"/>
      <c r="Q242"/>
      <c r="R242"/>
    </row>
    <row r="243" spans="4:18" x14ac:dyDescent="0.25">
      <c r="D243"/>
      <c r="Q243"/>
      <c r="R243"/>
    </row>
    <row r="244" spans="4:18" x14ac:dyDescent="0.25">
      <c r="D244"/>
      <c r="Q244"/>
      <c r="R244"/>
    </row>
    <row r="245" spans="4:18" x14ac:dyDescent="0.25">
      <c r="D245"/>
      <c r="Q245"/>
      <c r="R245"/>
    </row>
    <row r="246" spans="4:18" x14ac:dyDescent="0.25">
      <c r="D246"/>
      <c r="Q246"/>
      <c r="R246"/>
    </row>
    <row r="247" spans="4:18" x14ac:dyDescent="0.25">
      <c r="D247"/>
      <c r="Q247"/>
      <c r="R247"/>
    </row>
    <row r="248" spans="4:18" x14ac:dyDescent="0.25">
      <c r="D248"/>
      <c r="Q248"/>
      <c r="R248"/>
    </row>
    <row r="249" spans="4:18" x14ac:dyDescent="0.25">
      <c r="D249"/>
      <c r="Q249"/>
      <c r="R249"/>
    </row>
    <row r="250" spans="4:18" x14ac:dyDescent="0.25">
      <c r="D250"/>
      <c r="Q250"/>
      <c r="R250"/>
    </row>
    <row r="251" spans="4:18" x14ac:dyDescent="0.25">
      <c r="D251"/>
      <c r="Q251"/>
      <c r="R251"/>
    </row>
    <row r="252" spans="4:18" x14ac:dyDescent="0.25">
      <c r="D252"/>
      <c r="Q252"/>
      <c r="R252"/>
    </row>
    <row r="253" spans="4:18" x14ac:dyDescent="0.25">
      <c r="D253"/>
      <c r="Q253"/>
      <c r="R253"/>
    </row>
    <row r="254" spans="4:18" x14ac:dyDescent="0.25">
      <c r="D254"/>
      <c r="Q254"/>
      <c r="R254"/>
    </row>
    <row r="255" spans="4:18" x14ac:dyDescent="0.25">
      <c r="D255"/>
      <c r="Q255"/>
      <c r="R255"/>
    </row>
    <row r="256" spans="4:18" x14ac:dyDescent="0.25">
      <c r="D256"/>
      <c r="Q256"/>
      <c r="R256"/>
    </row>
    <row r="257" spans="4:18" x14ac:dyDescent="0.25">
      <c r="D257"/>
      <c r="Q257"/>
      <c r="R257"/>
    </row>
    <row r="258" spans="4:18" x14ac:dyDescent="0.25">
      <c r="D258"/>
      <c r="Q258"/>
      <c r="R258"/>
    </row>
    <row r="259" spans="4:18" x14ac:dyDescent="0.25">
      <c r="D259"/>
      <c r="Q259"/>
      <c r="R259"/>
    </row>
    <row r="260" spans="4:18" x14ac:dyDescent="0.25">
      <c r="D260"/>
      <c r="Q260"/>
      <c r="R260"/>
    </row>
    <row r="261" spans="4:18" x14ac:dyDescent="0.25">
      <c r="D261"/>
      <c r="Q261"/>
      <c r="R261"/>
    </row>
    <row r="262" spans="4:18" x14ac:dyDescent="0.25">
      <c r="D262"/>
      <c r="Q262"/>
      <c r="R262"/>
    </row>
    <row r="263" spans="4:18" x14ac:dyDescent="0.25">
      <c r="D263"/>
      <c r="Q263"/>
      <c r="R263"/>
    </row>
    <row r="264" spans="4:18" x14ac:dyDescent="0.25">
      <c r="D264"/>
      <c r="Q264"/>
      <c r="R264"/>
    </row>
    <row r="265" spans="4:18" x14ac:dyDescent="0.25">
      <c r="D265"/>
      <c r="Q265"/>
      <c r="R265"/>
    </row>
    <row r="266" spans="4:18" x14ac:dyDescent="0.25">
      <c r="D266"/>
      <c r="Q266"/>
      <c r="R266"/>
    </row>
    <row r="267" spans="4:18" ht="5.0999999999999996" customHeight="1" x14ac:dyDescent="0.25">
      <c r="D267"/>
      <c r="Q267"/>
      <c r="R267"/>
    </row>
    <row r="268" spans="4:18" x14ac:dyDescent="0.25">
      <c r="D268"/>
      <c r="Q268"/>
      <c r="R268"/>
    </row>
    <row r="269" spans="4:18" x14ac:dyDescent="0.25">
      <c r="D269"/>
      <c r="Q269"/>
      <c r="R269"/>
    </row>
    <row r="270" spans="4:18" x14ac:dyDescent="0.25">
      <c r="D270"/>
      <c r="Q270"/>
      <c r="R270"/>
    </row>
    <row r="271" spans="4:18" x14ac:dyDescent="0.25">
      <c r="D271"/>
      <c r="Q271"/>
      <c r="R271"/>
    </row>
    <row r="272" spans="4:18" x14ac:dyDescent="0.25">
      <c r="D272"/>
      <c r="Q272"/>
      <c r="R272"/>
    </row>
    <row r="273" spans="4:18" x14ac:dyDescent="0.25">
      <c r="D273"/>
      <c r="Q273"/>
      <c r="R273"/>
    </row>
    <row r="274" spans="4:18" x14ac:dyDescent="0.25">
      <c r="D274"/>
      <c r="Q274"/>
      <c r="R274"/>
    </row>
    <row r="275" spans="4:18" x14ac:dyDescent="0.25">
      <c r="D275"/>
      <c r="Q275"/>
      <c r="R275"/>
    </row>
    <row r="276" spans="4:18" x14ac:dyDescent="0.25">
      <c r="D276"/>
      <c r="Q276"/>
      <c r="R276"/>
    </row>
    <row r="277" spans="4:18" x14ac:dyDescent="0.25">
      <c r="D277"/>
      <c r="Q277"/>
      <c r="R277"/>
    </row>
    <row r="278" spans="4:18" x14ac:dyDescent="0.25">
      <c r="D278"/>
      <c r="Q278"/>
      <c r="R278"/>
    </row>
    <row r="279" spans="4:18" x14ac:dyDescent="0.25">
      <c r="D279"/>
      <c r="Q279"/>
      <c r="R279"/>
    </row>
    <row r="280" spans="4:18" x14ac:dyDescent="0.25">
      <c r="D280"/>
      <c r="Q280"/>
      <c r="R280"/>
    </row>
    <row r="281" spans="4:18" x14ac:dyDescent="0.25">
      <c r="D281"/>
      <c r="Q281"/>
      <c r="R281"/>
    </row>
    <row r="282" spans="4:18" x14ac:dyDescent="0.25">
      <c r="D282"/>
      <c r="Q282"/>
      <c r="R282"/>
    </row>
    <row r="283" spans="4:18" x14ac:dyDescent="0.25">
      <c r="D283"/>
      <c r="Q283"/>
      <c r="R283"/>
    </row>
    <row r="284" spans="4:18" x14ac:dyDescent="0.25">
      <c r="D284"/>
      <c r="Q284"/>
      <c r="R284"/>
    </row>
    <row r="285" spans="4:18" x14ac:dyDescent="0.25">
      <c r="D285"/>
      <c r="Q285"/>
      <c r="R285"/>
    </row>
    <row r="286" spans="4:18" x14ac:dyDescent="0.25">
      <c r="D286"/>
      <c r="Q286"/>
      <c r="R286"/>
    </row>
    <row r="287" spans="4:18" x14ac:dyDescent="0.25">
      <c r="D287"/>
      <c r="Q287"/>
      <c r="R287"/>
    </row>
    <row r="288" spans="4:18" x14ac:dyDescent="0.25">
      <c r="D288"/>
      <c r="Q288"/>
      <c r="R288"/>
    </row>
    <row r="289" spans="4:18" x14ac:dyDescent="0.25">
      <c r="D289"/>
      <c r="Q289"/>
      <c r="R289"/>
    </row>
    <row r="290" spans="4:18" x14ac:dyDescent="0.25">
      <c r="D290"/>
      <c r="Q290"/>
      <c r="R290"/>
    </row>
    <row r="291" spans="4:18" x14ac:dyDescent="0.25">
      <c r="D291"/>
      <c r="Q291"/>
      <c r="R291"/>
    </row>
    <row r="292" spans="4:18" x14ac:dyDescent="0.25">
      <c r="D292"/>
      <c r="Q292"/>
      <c r="R292"/>
    </row>
    <row r="293" spans="4:18" x14ac:dyDescent="0.25">
      <c r="D293"/>
      <c r="Q293"/>
      <c r="R293"/>
    </row>
    <row r="294" spans="4:18" x14ac:dyDescent="0.25">
      <c r="D294"/>
      <c r="Q294"/>
      <c r="R294"/>
    </row>
    <row r="295" spans="4:18" x14ac:dyDescent="0.25">
      <c r="D295"/>
      <c r="Q295"/>
      <c r="R295"/>
    </row>
    <row r="296" spans="4:18" x14ac:dyDescent="0.25">
      <c r="D296"/>
      <c r="Q296"/>
      <c r="R296"/>
    </row>
    <row r="297" spans="4:18" x14ac:dyDescent="0.25">
      <c r="D297"/>
      <c r="Q297"/>
      <c r="R297"/>
    </row>
    <row r="298" spans="4:18" x14ac:dyDescent="0.25">
      <c r="D298"/>
      <c r="Q298"/>
      <c r="R298"/>
    </row>
    <row r="299" spans="4:18" x14ac:dyDescent="0.25">
      <c r="D299"/>
      <c r="Q299"/>
      <c r="R299"/>
    </row>
    <row r="300" spans="4:18" x14ac:dyDescent="0.25">
      <c r="D300"/>
      <c r="Q300"/>
      <c r="R300"/>
    </row>
    <row r="301" spans="4:18" x14ac:dyDescent="0.25">
      <c r="D301"/>
      <c r="Q301"/>
      <c r="R301"/>
    </row>
    <row r="302" spans="4:18" x14ac:dyDescent="0.25">
      <c r="D302"/>
      <c r="Q302"/>
      <c r="R302"/>
    </row>
    <row r="303" spans="4:18" x14ac:dyDescent="0.25">
      <c r="D303"/>
      <c r="Q303"/>
      <c r="R303"/>
    </row>
    <row r="304" spans="4:18" x14ac:dyDescent="0.25">
      <c r="D304"/>
      <c r="Q304"/>
      <c r="R304"/>
    </row>
    <row r="305" spans="4:18" x14ac:dyDescent="0.25">
      <c r="D305"/>
      <c r="Q305"/>
      <c r="R305"/>
    </row>
    <row r="306" spans="4:18" x14ac:dyDescent="0.25">
      <c r="D306"/>
      <c r="Q306"/>
      <c r="R306"/>
    </row>
    <row r="307" spans="4:18" x14ac:dyDescent="0.25">
      <c r="D307"/>
      <c r="Q307"/>
      <c r="R307"/>
    </row>
    <row r="308" spans="4:18" x14ac:dyDescent="0.25">
      <c r="D308"/>
      <c r="Q308"/>
      <c r="R308"/>
    </row>
    <row r="309" spans="4:18" x14ac:dyDescent="0.25">
      <c r="D309"/>
      <c r="Q309"/>
      <c r="R309"/>
    </row>
    <row r="310" spans="4:18" x14ac:dyDescent="0.25">
      <c r="D310"/>
      <c r="Q310"/>
      <c r="R310"/>
    </row>
    <row r="311" spans="4:18" x14ac:dyDescent="0.25">
      <c r="D311"/>
      <c r="Q311"/>
      <c r="R311"/>
    </row>
    <row r="312" spans="4:18" x14ac:dyDescent="0.25">
      <c r="D312"/>
      <c r="Q312"/>
      <c r="R312"/>
    </row>
    <row r="313" spans="4:18" ht="5.0999999999999996" customHeight="1" x14ac:dyDescent="0.25">
      <c r="D313"/>
      <c r="Q313"/>
      <c r="R313"/>
    </row>
    <row r="314" spans="4:18" x14ac:dyDescent="0.25">
      <c r="D314"/>
      <c r="Q314"/>
      <c r="R314"/>
    </row>
    <row r="315" spans="4:18" x14ac:dyDescent="0.25">
      <c r="D315"/>
      <c r="Q315"/>
      <c r="R315"/>
    </row>
    <row r="316" spans="4:18" x14ac:dyDescent="0.25">
      <c r="D316"/>
      <c r="Q316"/>
      <c r="R316"/>
    </row>
    <row r="317" spans="4:18" x14ac:dyDescent="0.25">
      <c r="D317"/>
      <c r="Q317"/>
      <c r="R317"/>
    </row>
    <row r="318" spans="4:18" x14ac:dyDescent="0.25">
      <c r="D318"/>
      <c r="Q318"/>
      <c r="R318"/>
    </row>
    <row r="319" spans="4:18" x14ac:dyDescent="0.25">
      <c r="D319"/>
      <c r="Q319"/>
      <c r="R319"/>
    </row>
    <row r="320" spans="4:18" x14ac:dyDescent="0.25">
      <c r="D320"/>
      <c r="Q320"/>
      <c r="R320"/>
    </row>
    <row r="321" spans="4:18" x14ac:dyDescent="0.25">
      <c r="D321"/>
      <c r="Q321"/>
      <c r="R321"/>
    </row>
    <row r="322" spans="4:18" x14ac:dyDescent="0.25">
      <c r="D322"/>
      <c r="Q322"/>
      <c r="R322"/>
    </row>
    <row r="323" spans="4:18" x14ac:dyDescent="0.25">
      <c r="D323"/>
      <c r="Q323"/>
      <c r="R323"/>
    </row>
    <row r="324" spans="4:18" x14ac:dyDescent="0.25">
      <c r="D324"/>
      <c r="Q324"/>
      <c r="R324"/>
    </row>
    <row r="325" spans="4:18" x14ac:dyDescent="0.25">
      <c r="D325"/>
      <c r="Q325"/>
      <c r="R325"/>
    </row>
    <row r="326" spans="4:18" x14ac:dyDescent="0.25">
      <c r="D326"/>
      <c r="Q326"/>
      <c r="R326"/>
    </row>
    <row r="327" spans="4:18" x14ac:dyDescent="0.25">
      <c r="D327"/>
      <c r="Q327"/>
      <c r="R327"/>
    </row>
    <row r="328" spans="4:18" x14ac:dyDescent="0.25">
      <c r="D328"/>
      <c r="Q328"/>
      <c r="R328"/>
    </row>
    <row r="329" spans="4:18" x14ac:dyDescent="0.25">
      <c r="D329"/>
      <c r="Q329"/>
      <c r="R329"/>
    </row>
    <row r="330" spans="4:18" x14ac:dyDescent="0.25">
      <c r="D330"/>
      <c r="Q330"/>
      <c r="R330"/>
    </row>
    <row r="331" spans="4:18" x14ac:dyDescent="0.25">
      <c r="D331"/>
      <c r="Q331"/>
      <c r="R331"/>
    </row>
    <row r="332" spans="4:18" ht="9.9499999999999993" customHeight="1" x14ac:dyDescent="0.25">
      <c r="D332"/>
      <c r="Q332"/>
      <c r="R332"/>
    </row>
    <row r="333" spans="4:18" x14ac:dyDescent="0.25">
      <c r="D333"/>
      <c r="Q333"/>
      <c r="R333"/>
    </row>
    <row r="334" spans="4:18" x14ac:dyDescent="0.25">
      <c r="D334"/>
      <c r="Q334"/>
      <c r="R334"/>
    </row>
    <row r="335" spans="4:18" x14ac:dyDescent="0.25">
      <c r="D335"/>
      <c r="Q335"/>
      <c r="R335"/>
    </row>
    <row r="336" spans="4:18" x14ac:dyDescent="0.25">
      <c r="D336"/>
      <c r="Q336"/>
      <c r="R336"/>
    </row>
    <row r="337" spans="4:18" x14ac:dyDescent="0.25">
      <c r="D337"/>
      <c r="Q337"/>
      <c r="R337"/>
    </row>
    <row r="338" spans="4:18" x14ac:dyDescent="0.25">
      <c r="D338"/>
      <c r="Q338"/>
      <c r="R338"/>
    </row>
    <row r="339" spans="4:18" x14ac:dyDescent="0.25">
      <c r="D339"/>
      <c r="Q339"/>
      <c r="R339"/>
    </row>
    <row r="340" spans="4:18" x14ac:dyDescent="0.25">
      <c r="D340"/>
      <c r="Q340"/>
      <c r="R340"/>
    </row>
    <row r="341" spans="4:18" x14ac:dyDescent="0.25">
      <c r="D341"/>
      <c r="Q341"/>
      <c r="R341"/>
    </row>
    <row r="342" spans="4:18" x14ac:dyDescent="0.25">
      <c r="D342"/>
      <c r="Q342"/>
      <c r="R342"/>
    </row>
    <row r="343" spans="4:18" x14ac:dyDescent="0.25">
      <c r="D343"/>
      <c r="Q343"/>
      <c r="R343"/>
    </row>
    <row r="344" spans="4:18" x14ac:dyDescent="0.25">
      <c r="D344"/>
      <c r="Q344"/>
      <c r="R344"/>
    </row>
    <row r="345" spans="4:18" x14ac:dyDescent="0.25">
      <c r="D345"/>
      <c r="Q345"/>
      <c r="R345"/>
    </row>
    <row r="346" spans="4:18" x14ac:dyDescent="0.25">
      <c r="D346"/>
      <c r="Q346"/>
      <c r="R346"/>
    </row>
    <row r="347" spans="4:18" x14ac:dyDescent="0.25">
      <c r="D347"/>
      <c r="Q347"/>
      <c r="R347"/>
    </row>
    <row r="348" spans="4:18" x14ac:dyDescent="0.25">
      <c r="D348"/>
      <c r="Q348"/>
      <c r="R348"/>
    </row>
    <row r="349" spans="4:18" x14ac:dyDescent="0.25">
      <c r="D349"/>
      <c r="Q349"/>
      <c r="R349"/>
    </row>
    <row r="350" spans="4:18" ht="15.75" customHeight="1" x14ac:dyDescent="0.25">
      <c r="D350"/>
      <c r="Q350"/>
      <c r="R350"/>
    </row>
    <row r="351" spans="4:18" x14ac:dyDescent="0.25">
      <c r="D351"/>
      <c r="Q351"/>
      <c r="R351"/>
    </row>
    <row r="352" spans="4:18" x14ac:dyDescent="0.25">
      <c r="D352"/>
      <c r="Q352"/>
      <c r="R352"/>
    </row>
    <row r="353" spans="4:18" ht="5.0999999999999996" customHeight="1" x14ac:dyDescent="0.25">
      <c r="D353"/>
      <c r="Q353"/>
      <c r="R353"/>
    </row>
    <row r="354" spans="4:18" ht="17.25" customHeight="1" x14ac:dyDescent="0.25">
      <c r="D354"/>
      <c r="Q354"/>
      <c r="R354"/>
    </row>
    <row r="355" spans="4:18" ht="17.25" customHeight="1" x14ac:dyDescent="0.25">
      <c r="D355"/>
      <c r="Q355"/>
      <c r="R355"/>
    </row>
    <row r="356" spans="4:18" ht="17.25" customHeight="1" x14ac:dyDescent="0.25">
      <c r="D356"/>
      <c r="Q356"/>
      <c r="R356"/>
    </row>
    <row r="357" spans="4:18" ht="17.25" customHeight="1" x14ac:dyDescent="0.25">
      <c r="D357"/>
      <c r="Q357"/>
      <c r="R357"/>
    </row>
    <row r="358" spans="4:18" ht="17.25" customHeight="1" x14ac:dyDescent="0.25">
      <c r="D358"/>
      <c r="Q358"/>
      <c r="R358"/>
    </row>
    <row r="359" spans="4:18" x14ac:dyDescent="0.25">
      <c r="D359"/>
      <c r="Q359"/>
      <c r="R359"/>
    </row>
    <row r="360" spans="4:18" x14ac:dyDescent="0.25">
      <c r="D360"/>
      <c r="Q360"/>
      <c r="R360"/>
    </row>
    <row r="361" spans="4:18" x14ac:dyDescent="0.25">
      <c r="D361"/>
      <c r="Q361"/>
      <c r="R361"/>
    </row>
    <row r="362" spans="4:18" x14ac:dyDescent="0.25">
      <c r="D362"/>
      <c r="Q362"/>
      <c r="R362"/>
    </row>
    <row r="363" spans="4:18" x14ac:dyDescent="0.25">
      <c r="D363"/>
      <c r="Q363"/>
      <c r="R363"/>
    </row>
    <row r="364" spans="4:18" x14ac:dyDescent="0.25">
      <c r="D364"/>
      <c r="Q364"/>
      <c r="R364"/>
    </row>
    <row r="365" spans="4:18" x14ac:dyDescent="0.25">
      <c r="D365"/>
      <c r="Q365"/>
      <c r="R365"/>
    </row>
    <row r="366" spans="4:18" x14ac:dyDescent="0.25">
      <c r="D366"/>
      <c r="Q366"/>
      <c r="R366"/>
    </row>
    <row r="367" spans="4:18" x14ac:dyDescent="0.25">
      <c r="D367"/>
      <c r="Q367"/>
      <c r="R367"/>
    </row>
    <row r="368" spans="4:18" x14ac:dyDescent="0.25">
      <c r="D368"/>
      <c r="Q368"/>
      <c r="R368"/>
    </row>
    <row r="369" spans="4:18" x14ac:dyDescent="0.25">
      <c r="D369"/>
      <c r="Q369"/>
      <c r="R369"/>
    </row>
    <row r="370" spans="4:18" x14ac:dyDescent="0.25">
      <c r="D370"/>
      <c r="Q370"/>
      <c r="R370"/>
    </row>
    <row r="371" spans="4:18" x14ac:dyDescent="0.25">
      <c r="D371"/>
      <c r="Q371"/>
      <c r="R371"/>
    </row>
    <row r="372" spans="4:18" x14ac:dyDescent="0.25">
      <c r="D372"/>
      <c r="Q372"/>
      <c r="R372"/>
    </row>
    <row r="373" spans="4:18" x14ac:dyDescent="0.25">
      <c r="D373"/>
      <c r="Q373"/>
      <c r="R373"/>
    </row>
    <row r="374" spans="4:18" x14ac:dyDescent="0.25">
      <c r="D374"/>
      <c r="Q374"/>
      <c r="R374"/>
    </row>
    <row r="375" spans="4:18" x14ac:dyDescent="0.25">
      <c r="D375"/>
      <c r="Q375"/>
      <c r="R375"/>
    </row>
    <row r="376" spans="4:18" x14ac:dyDescent="0.25">
      <c r="D376"/>
      <c r="Q376"/>
      <c r="R376"/>
    </row>
    <row r="377" spans="4:18" x14ac:dyDescent="0.25">
      <c r="D377"/>
      <c r="Q377"/>
      <c r="R377"/>
    </row>
    <row r="378" spans="4:18" x14ac:dyDescent="0.25">
      <c r="D378"/>
      <c r="Q378"/>
      <c r="R378"/>
    </row>
    <row r="379" spans="4:18" x14ac:dyDescent="0.25">
      <c r="D379"/>
      <c r="Q379"/>
      <c r="R379"/>
    </row>
    <row r="380" spans="4:18" x14ac:dyDescent="0.25">
      <c r="D380"/>
      <c r="Q380"/>
      <c r="R380"/>
    </row>
    <row r="381" spans="4:18" x14ac:dyDescent="0.25">
      <c r="D381"/>
      <c r="Q381"/>
      <c r="R381"/>
    </row>
    <row r="382" spans="4:18" x14ac:dyDescent="0.25">
      <c r="D382"/>
      <c r="Q382"/>
      <c r="R382"/>
    </row>
    <row r="383" spans="4:18" x14ac:dyDescent="0.25">
      <c r="D383"/>
      <c r="Q383"/>
      <c r="R383"/>
    </row>
    <row r="384" spans="4:18" x14ac:dyDescent="0.25">
      <c r="D384"/>
      <c r="Q384"/>
      <c r="R384"/>
    </row>
    <row r="385" spans="4:18" x14ac:dyDescent="0.25">
      <c r="D385"/>
      <c r="Q385"/>
      <c r="R385"/>
    </row>
    <row r="386" spans="4:18" x14ac:dyDescent="0.25">
      <c r="D386"/>
      <c r="Q386"/>
      <c r="R386"/>
    </row>
    <row r="387" spans="4:18" x14ac:dyDescent="0.25">
      <c r="D387"/>
      <c r="Q387"/>
      <c r="R387"/>
    </row>
    <row r="388" spans="4:18" x14ac:dyDescent="0.25">
      <c r="D388"/>
      <c r="Q388"/>
      <c r="R388"/>
    </row>
    <row r="389" spans="4:18" x14ac:dyDescent="0.25">
      <c r="D389"/>
      <c r="Q389"/>
      <c r="R389"/>
    </row>
    <row r="390" spans="4:18" x14ac:dyDescent="0.25">
      <c r="D390"/>
      <c r="Q390"/>
      <c r="R390"/>
    </row>
    <row r="391" spans="4:18" x14ac:dyDescent="0.25">
      <c r="D391"/>
      <c r="Q391"/>
      <c r="R391"/>
    </row>
    <row r="392" spans="4:18" x14ac:dyDescent="0.25">
      <c r="D392"/>
      <c r="Q392"/>
      <c r="R392"/>
    </row>
    <row r="393" spans="4:18" x14ac:dyDescent="0.25">
      <c r="D393"/>
      <c r="Q393"/>
      <c r="R393"/>
    </row>
    <row r="394" spans="4:18" x14ac:dyDescent="0.25">
      <c r="D394"/>
      <c r="Q394"/>
      <c r="R394"/>
    </row>
    <row r="395" spans="4:18" x14ac:dyDescent="0.25">
      <c r="D395"/>
      <c r="Q395"/>
      <c r="R395"/>
    </row>
    <row r="396" spans="4:18" x14ac:dyDescent="0.25">
      <c r="D396"/>
      <c r="Q396"/>
      <c r="R396"/>
    </row>
    <row r="397" spans="4:18" x14ac:dyDescent="0.25">
      <c r="D397"/>
      <c r="Q397"/>
      <c r="R397"/>
    </row>
    <row r="398" spans="4:18" x14ac:dyDescent="0.25">
      <c r="D398"/>
      <c r="Q398"/>
      <c r="R398"/>
    </row>
    <row r="399" spans="4:18" x14ac:dyDescent="0.25">
      <c r="D399"/>
      <c r="Q399"/>
      <c r="R399"/>
    </row>
    <row r="400" spans="4:18" x14ac:dyDescent="0.25">
      <c r="D400"/>
      <c r="Q400"/>
      <c r="R400"/>
    </row>
    <row r="401" spans="4:18" x14ac:dyDescent="0.25">
      <c r="D401"/>
      <c r="Q401"/>
      <c r="R401"/>
    </row>
    <row r="402" spans="4:18" x14ac:dyDescent="0.25">
      <c r="D402"/>
      <c r="Q402"/>
      <c r="R402"/>
    </row>
    <row r="403" spans="4:18" x14ac:dyDescent="0.25">
      <c r="D403"/>
      <c r="Q403"/>
      <c r="R403"/>
    </row>
    <row r="404" spans="4:18" x14ac:dyDescent="0.25">
      <c r="D404"/>
      <c r="Q404"/>
      <c r="R404"/>
    </row>
    <row r="405" spans="4:18" x14ac:dyDescent="0.25">
      <c r="D405"/>
      <c r="Q405"/>
      <c r="R405"/>
    </row>
    <row r="406" spans="4:18" x14ac:dyDescent="0.25">
      <c r="D406"/>
      <c r="Q406"/>
      <c r="R406"/>
    </row>
    <row r="407" spans="4:18" x14ac:dyDescent="0.25">
      <c r="D407"/>
      <c r="Q407"/>
      <c r="R407"/>
    </row>
    <row r="408" spans="4:18" x14ac:dyDescent="0.25">
      <c r="D408"/>
      <c r="Q408"/>
      <c r="R408"/>
    </row>
    <row r="409" spans="4:18" x14ac:dyDescent="0.25">
      <c r="D409"/>
      <c r="Q409"/>
      <c r="R409"/>
    </row>
    <row r="410" spans="4:18" x14ac:dyDescent="0.25">
      <c r="D410"/>
      <c r="Q410"/>
      <c r="R410"/>
    </row>
    <row r="411" spans="4:18" x14ac:dyDescent="0.25">
      <c r="D411"/>
      <c r="Q411"/>
      <c r="R411"/>
    </row>
    <row r="412" spans="4:18" x14ac:dyDescent="0.25">
      <c r="D412"/>
      <c r="Q412"/>
      <c r="R412"/>
    </row>
    <row r="413" spans="4:18" x14ac:dyDescent="0.25">
      <c r="D413"/>
      <c r="Q413"/>
      <c r="R413"/>
    </row>
    <row r="414" spans="4:18" x14ac:dyDescent="0.25">
      <c r="D414"/>
      <c r="Q414"/>
      <c r="R414"/>
    </row>
    <row r="415" spans="4:18" x14ac:dyDescent="0.25">
      <c r="D415"/>
      <c r="Q415"/>
      <c r="R415"/>
    </row>
    <row r="416" spans="4:18" x14ac:dyDescent="0.25">
      <c r="D416"/>
      <c r="Q416"/>
      <c r="R416"/>
    </row>
    <row r="417" spans="4:18" x14ac:dyDescent="0.25">
      <c r="D417"/>
      <c r="Q417"/>
      <c r="R417"/>
    </row>
    <row r="418" spans="4:18" x14ac:dyDescent="0.25">
      <c r="D418"/>
      <c r="Q418"/>
      <c r="R418"/>
    </row>
    <row r="419" spans="4:18" x14ac:dyDescent="0.25">
      <c r="D419"/>
      <c r="Q419"/>
      <c r="R419"/>
    </row>
    <row r="420" spans="4:18" x14ac:dyDescent="0.25">
      <c r="D420"/>
      <c r="Q420"/>
      <c r="R420"/>
    </row>
    <row r="421" spans="4:18" x14ac:dyDescent="0.25">
      <c r="D421"/>
      <c r="Q421"/>
      <c r="R421"/>
    </row>
    <row r="422" spans="4:18" x14ac:dyDescent="0.25">
      <c r="D422"/>
      <c r="Q422"/>
      <c r="R422"/>
    </row>
    <row r="423" spans="4:18" x14ac:dyDescent="0.25">
      <c r="D423"/>
      <c r="Q423"/>
      <c r="R423"/>
    </row>
    <row r="424" spans="4:18" x14ac:dyDescent="0.25">
      <c r="D424"/>
      <c r="Q424"/>
      <c r="R424"/>
    </row>
    <row r="425" spans="4:18" x14ac:dyDescent="0.25">
      <c r="D425"/>
      <c r="Q425"/>
      <c r="R425"/>
    </row>
    <row r="426" spans="4:18" x14ac:dyDescent="0.25">
      <c r="D426"/>
      <c r="Q426"/>
      <c r="R426"/>
    </row>
    <row r="427" spans="4:18" x14ac:dyDescent="0.25">
      <c r="D427"/>
      <c r="Q427"/>
      <c r="R427"/>
    </row>
    <row r="428" spans="4:18" x14ac:dyDescent="0.25">
      <c r="D428"/>
      <c r="Q428"/>
      <c r="R428"/>
    </row>
    <row r="429" spans="4:18" x14ac:dyDescent="0.25">
      <c r="D429"/>
      <c r="Q429"/>
      <c r="R429"/>
    </row>
    <row r="430" spans="4:18" x14ac:dyDescent="0.25">
      <c r="D430"/>
      <c r="Q430"/>
      <c r="R430"/>
    </row>
    <row r="431" spans="4:18" x14ac:dyDescent="0.25">
      <c r="D431"/>
      <c r="Q431"/>
      <c r="R431"/>
    </row>
    <row r="432" spans="4:18" x14ac:dyDescent="0.25">
      <c r="D432"/>
      <c r="Q432"/>
      <c r="R432"/>
    </row>
    <row r="433" spans="4:18" x14ac:dyDescent="0.25">
      <c r="D433"/>
      <c r="Q433"/>
      <c r="R433"/>
    </row>
    <row r="434" spans="4:18" x14ac:dyDescent="0.25">
      <c r="D434"/>
      <c r="Q434"/>
      <c r="R434"/>
    </row>
    <row r="435" spans="4:18" x14ac:dyDescent="0.25">
      <c r="D435"/>
      <c r="Q435"/>
      <c r="R435"/>
    </row>
    <row r="436" spans="4:18" x14ac:dyDescent="0.25">
      <c r="D436"/>
      <c r="Q436"/>
      <c r="R436"/>
    </row>
    <row r="437" spans="4:18" x14ac:dyDescent="0.25">
      <c r="D437"/>
      <c r="Q437"/>
      <c r="R437"/>
    </row>
    <row r="438" spans="4:18" x14ac:dyDescent="0.25">
      <c r="D438"/>
      <c r="Q438"/>
      <c r="R438"/>
    </row>
    <row r="439" spans="4:18" x14ac:dyDescent="0.25">
      <c r="D439"/>
      <c r="Q439"/>
      <c r="R439"/>
    </row>
    <row r="440" spans="4:18" x14ac:dyDescent="0.25">
      <c r="D440"/>
      <c r="Q440"/>
      <c r="R440"/>
    </row>
    <row r="441" spans="4:18" x14ac:dyDescent="0.25">
      <c r="D441"/>
      <c r="Q441"/>
      <c r="R441"/>
    </row>
    <row r="442" spans="4:18" x14ac:dyDescent="0.25">
      <c r="D442"/>
      <c r="Q442"/>
      <c r="R442"/>
    </row>
    <row r="443" spans="4:18" x14ac:dyDescent="0.25">
      <c r="D443"/>
      <c r="Q443"/>
      <c r="R443"/>
    </row>
    <row r="444" spans="4:18" x14ac:dyDescent="0.25">
      <c r="D444"/>
      <c r="Q444"/>
      <c r="R444"/>
    </row>
    <row r="445" spans="4:18" x14ac:dyDescent="0.25">
      <c r="D445"/>
      <c r="Q445"/>
      <c r="R445"/>
    </row>
    <row r="446" spans="4:18" x14ac:dyDescent="0.25">
      <c r="D446"/>
      <c r="Q446"/>
      <c r="R446"/>
    </row>
    <row r="447" spans="4:18" x14ac:dyDescent="0.25">
      <c r="D447"/>
      <c r="Q447"/>
      <c r="R447"/>
    </row>
    <row r="448" spans="4:18" x14ac:dyDescent="0.25">
      <c r="D448"/>
      <c r="Q448"/>
      <c r="R448"/>
    </row>
    <row r="449" spans="4:18" x14ac:dyDescent="0.25">
      <c r="D449"/>
      <c r="Q449"/>
      <c r="R449"/>
    </row>
    <row r="450" spans="4:18" x14ac:dyDescent="0.25">
      <c r="D450"/>
      <c r="Q450"/>
      <c r="R450"/>
    </row>
    <row r="451" spans="4:18" x14ac:dyDescent="0.25">
      <c r="D451"/>
      <c r="Q451"/>
      <c r="R451"/>
    </row>
    <row r="452" spans="4:18" x14ac:dyDescent="0.25">
      <c r="D452"/>
      <c r="Q452"/>
      <c r="R452"/>
    </row>
    <row r="453" spans="4:18" x14ac:dyDescent="0.25">
      <c r="D453"/>
      <c r="Q453"/>
      <c r="R453"/>
    </row>
    <row r="454" spans="4:18" x14ac:dyDescent="0.25">
      <c r="D454"/>
      <c r="Q454"/>
      <c r="R454"/>
    </row>
    <row r="455" spans="4:18" x14ac:dyDescent="0.25">
      <c r="D455"/>
      <c r="Q455"/>
      <c r="R455"/>
    </row>
    <row r="456" spans="4:18" x14ac:dyDescent="0.25">
      <c r="D456"/>
      <c r="Q456"/>
      <c r="R456"/>
    </row>
    <row r="457" spans="4:18" x14ac:dyDescent="0.25">
      <c r="D457"/>
      <c r="Q457"/>
      <c r="R457"/>
    </row>
    <row r="458" spans="4:18" x14ac:dyDescent="0.25">
      <c r="D458"/>
      <c r="Q458"/>
      <c r="R458"/>
    </row>
    <row r="459" spans="4:18" x14ac:dyDescent="0.25">
      <c r="D459"/>
      <c r="Q459"/>
      <c r="R459"/>
    </row>
    <row r="460" spans="4:18" x14ac:dyDescent="0.25">
      <c r="D460"/>
      <c r="Q460"/>
      <c r="R460"/>
    </row>
    <row r="461" spans="4:18" x14ac:dyDescent="0.25">
      <c r="D461"/>
      <c r="Q461"/>
      <c r="R461"/>
    </row>
    <row r="462" spans="4:18" x14ac:dyDescent="0.25">
      <c r="D462"/>
      <c r="Q462"/>
      <c r="R462"/>
    </row>
    <row r="463" spans="4:18" x14ac:dyDescent="0.25">
      <c r="D463"/>
      <c r="Q463"/>
      <c r="R463"/>
    </row>
    <row r="464" spans="4:18" x14ac:dyDescent="0.25">
      <c r="D464"/>
      <c r="Q464"/>
      <c r="R464"/>
    </row>
    <row r="465" spans="4:18" x14ac:dyDescent="0.25">
      <c r="D465"/>
      <c r="Q465"/>
      <c r="R465"/>
    </row>
    <row r="466" spans="4:18" x14ac:dyDescent="0.25">
      <c r="D466"/>
      <c r="Q466"/>
      <c r="R466"/>
    </row>
    <row r="467" spans="4:18" x14ac:dyDescent="0.25">
      <c r="D467"/>
      <c r="Q467"/>
      <c r="R467"/>
    </row>
    <row r="468" spans="4:18" x14ac:dyDescent="0.25">
      <c r="D468"/>
      <c r="Q468"/>
      <c r="R468"/>
    </row>
    <row r="469" spans="4:18" x14ac:dyDescent="0.25">
      <c r="D469"/>
      <c r="Q469"/>
      <c r="R469"/>
    </row>
    <row r="470" spans="4:18" x14ac:dyDescent="0.25">
      <c r="D470"/>
      <c r="Q470"/>
      <c r="R470"/>
    </row>
    <row r="471" spans="4:18" x14ac:dyDescent="0.25">
      <c r="D471"/>
      <c r="Q471"/>
      <c r="R471"/>
    </row>
    <row r="472" spans="4:18" x14ac:dyDescent="0.25">
      <c r="D472"/>
      <c r="Q472"/>
      <c r="R472"/>
    </row>
    <row r="473" spans="4:18" x14ac:dyDescent="0.25">
      <c r="D473"/>
      <c r="Q473"/>
      <c r="R473"/>
    </row>
    <row r="474" spans="4:18" x14ac:dyDescent="0.25">
      <c r="D474"/>
      <c r="Q474"/>
      <c r="R474"/>
    </row>
    <row r="475" spans="4:18" x14ac:dyDescent="0.25">
      <c r="D475"/>
      <c r="Q475"/>
      <c r="R475"/>
    </row>
    <row r="476" spans="4:18" x14ac:dyDescent="0.25">
      <c r="D476"/>
      <c r="Q476"/>
      <c r="R476"/>
    </row>
    <row r="477" spans="4:18" x14ac:dyDescent="0.25">
      <c r="D477"/>
      <c r="Q477"/>
      <c r="R477"/>
    </row>
    <row r="478" spans="4:18" x14ac:dyDescent="0.25">
      <c r="D478"/>
      <c r="Q478"/>
      <c r="R478"/>
    </row>
    <row r="479" spans="4:18" x14ac:dyDescent="0.25">
      <c r="D479"/>
      <c r="Q479"/>
      <c r="R479"/>
    </row>
    <row r="480" spans="4:18" x14ac:dyDescent="0.25">
      <c r="D480"/>
      <c r="Q480"/>
      <c r="R480"/>
    </row>
    <row r="481" spans="4:18" x14ac:dyDescent="0.25">
      <c r="D481"/>
      <c r="Q481"/>
      <c r="R481"/>
    </row>
    <row r="482" spans="4:18" x14ac:dyDescent="0.25">
      <c r="D482"/>
      <c r="Q482"/>
      <c r="R482"/>
    </row>
    <row r="483" spans="4:18" x14ac:dyDescent="0.25">
      <c r="D483"/>
      <c r="Q483"/>
      <c r="R483"/>
    </row>
    <row r="484" spans="4:18" x14ac:dyDescent="0.25">
      <c r="D484"/>
      <c r="Q484"/>
      <c r="R484"/>
    </row>
    <row r="485" spans="4:18" x14ac:dyDescent="0.25">
      <c r="D485"/>
      <c r="Q485"/>
      <c r="R485"/>
    </row>
    <row r="486" spans="4:18" x14ac:dyDescent="0.25">
      <c r="D486"/>
      <c r="Q486"/>
      <c r="R486"/>
    </row>
    <row r="487" spans="4:18" x14ac:dyDescent="0.25">
      <c r="D487"/>
      <c r="Q487"/>
      <c r="R487"/>
    </row>
    <row r="488" spans="4:18" x14ac:dyDescent="0.25">
      <c r="D488"/>
      <c r="Q488"/>
      <c r="R488"/>
    </row>
    <row r="489" spans="4:18" x14ac:dyDescent="0.25">
      <c r="D489"/>
      <c r="Q489"/>
      <c r="R489"/>
    </row>
    <row r="490" spans="4:18" x14ac:dyDescent="0.25">
      <c r="D490"/>
      <c r="Q490"/>
      <c r="R490"/>
    </row>
    <row r="491" spans="4:18" x14ac:dyDescent="0.25">
      <c r="D491"/>
      <c r="Q491"/>
      <c r="R491"/>
    </row>
    <row r="492" spans="4:18" x14ac:dyDescent="0.25">
      <c r="D492"/>
      <c r="Q492"/>
      <c r="R492"/>
    </row>
    <row r="493" spans="4:18" x14ac:dyDescent="0.25">
      <c r="D493"/>
      <c r="Q493"/>
      <c r="R493"/>
    </row>
    <row r="494" spans="4:18" x14ac:dyDescent="0.25">
      <c r="D494"/>
      <c r="Q494"/>
      <c r="R494"/>
    </row>
    <row r="495" spans="4:18" x14ac:dyDescent="0.25">
      <c r="D495"/>
      <c r="Q495"/>
      <c r="R495"/>
    </row>
    <row r="496" spans="4:18" x14ac:dyDescent="0.25">
      <c r="D496"/>
      <c r="Q496"/>
      <c r="R496"/>
    </row>
    <row r="497" spans="4:18" x14ac:dyDescent="0.25">
      <c r="D497"/>
      <c r="Q497"/>
      <c r="R497"/>
    </row>
    <row r="498" spans="4:18" x14ac:dyDescent="0.25">
      <c r="D498"/>
      <c r="Q498"/>
      <c r="R498"/>
    </row>
    <row r="499" spans="4:18" x14ac:dyDescent="0.25">
      <c r="D499"/>
      <c r="Q499"/>
      <c r="R499"/>
    </row>
    <row r="500" spans="4:18" x14ac:dyDescent="0.25">
      <c r="D500"/>
      <c r="Q500"/>
      <c r="R500"/>
    </row>
    <row r="501" spans="4:18" x14ac:dyDescent="0.25">
      <c r="D501"/>
      <c r="Q501"/>
      <c r="R501"/>
    </row>
    <row r="502" spans="4:18" x14ac:dyDescent="0.25">
      <c r="D502"/>
      <c r="Q502"/>
      <c r="R502"/>
    </row>
    <row r="503" spans="4:18" x14ac:dyDescent="0.25">
      <c r="D503"/>
      <c r="Q503"/>
      <c r="R503"/>
    </row>
    <row r="504" spans="4:18" x14ac:dyDescent="0.25">
      <c r="D504"/>
      <c r="Q504"/>
      <c r="R504"/>
    </row>
    <row r="505" spans="4:18" x14ac:dyDescent="0.25">
      <c r="D505"/>
      <c r="Q505"/>
      <c r="R505"/>
    </row>
    <row r="506" spans="4:18" x14ac:dyDescent="0.25">
      <c r="D506"/>
      <c r="Q506"/>
      <c r="R506"/>
    </row>
    <row r="507" spans="4:18" x14ac:dyDescent="0.25">
      <c r="D507"/>
      <c r="Q507"/>
      <c r="R507"/>
    </row>
    <row r="508" spans="4:18" x14ac:dyDescent="0.25">
      <c r="D508"/>
      <c r="Q508"/>
      <c r="R508"/>
    </row>
    <row r="509" spans="4:18" x14ac:dyDescent="0.25">
      <c r="D509"/>
      <c r="Q509"/>
      <c r="R509"/>
    </row>
    <row r="510" spans="4:18" x14ac:dyDescent="0.25">
      <c r="D510"/>
      <c r="Q510"/>
      <c r="R510"/>
    </row>
    <row r="511" spans="4:18" x14ac:dyDescent="0.25">
      <c r="D511"/>
      <c r="Q511"/>
      <c r="R511"/>
    </row>
    <row r="512" spans="4:18" x14ac:dyDescent="0.25">
      <c r="D512"/>
      <c r="Q512"/>
      <c r="R512"/>
    </row>
    <row r="513" spans="4:18" x14ac:dyDescent="0.25">
      <c r="D513"/>
      <c r="Q513"/>
      <c r="R513"/>
    </row>
    <row r="514" spans="4:18" x14ac:dyDescent="0.25">
      <c r="D514"/>
      <c r="Q514"/>
      <c r="R514"/>
    </row>
    <row r="515" spans="4:18" x14ac:dyDescent="0.25">
      <c r="D515"/>
      <c r="Q515"/>
      <c r="R515"/>
    </row>
    <row r="516" spans="4:18" x14ac:dyDescent="0.25">
      <c r="D516"/>
      <c r="Q516"/>
      <c r="R516"/>
    </row>
    <row r="517" spans="4:18" x14ac:dyDescent="0.25">
      <c r="D517"/>
      <c r="Q517"/>
      <c r="R517"/>
    </row>
    <row r="518" spans="4:18" x14ac:dyDescent="0.25">
      <c r="D518"/>
      <c r="Q518"/>
      <c r="R518"/>
    </row>
    <row r="519" spans="4:18" x14ac:dyDescent="0.25">
      <c r="D519"/>
      <c r="Q519"/>
      <c r="R519"/>
    </row>
    <row r="520" spans="4:18" x14ac:dyDescent="0.25">
      <c r="D520"/>
      <c r="Q520"/>
      <c r="R520"/>
    </row>
    <row r="521" spans="4:18" x14ac:dyDescent="0.25">
      <c r="D521"/>
      <c r="Q521"/>
      <c r="R521"/>
    </row>
    <row r="522" spans="4:18" x14ac:dyDescent="0.25">
      <c r="D522"/>
      <c r="Q522"/>
      <c r="R522"/>
    </row>
    <row r="523" spans="4:18" x14ac:dyDescent="0.25">
      <c r="D523"/>
      <c r="Q523"/>
      <c r="R523"/>
    </row>
    <row r="524" spans="4:18" x14ac:dyDescent="0.25">
      <c r="D524"/>
      <c r="Q524"/>
      <c r="R524"/>
    </row>
    <row r="525" spans="4:18" x14ac:dyDescent="0.25">
      <c r="D525"/>
      <c r="Q525"/>
      <c r="R525"/>
    </row>
    <row r="526" spans="4:18" x14ac:dyDescent="0.25">
      <c r="D526"/>
      <c r="Q526"/>
      <c r="R526"/>
    </row>
    <row r="527" spans="4:18" x14ac:dyDescent="0.25">
      <c r="D527"/>
      <c r="Q527"/>
      <c r="R527"/>
    </row>
    <row r="528" spans="4:18" x14ac:dyDescent="0.25">
      <c r="D528"/>
      <c r="Q528"/>
      <c r="R528"/>
    </row>
    <row r="529" spans="4:18" x14ac:dyDescent="0.25">
      <c r="D529"/>
      <c r="Q529"/>
      <c r="R529"/>
    </row>
    <row r="530" spans="4:18" x14ac:dyDescent="0.25">
      <c r="D530"/>
      <c r="Q530"/>
      <c r="R530"/>
    </row>
    <row r="531" spans="4:18" x14ac:dyDescent="0.25">
      <c r="D531"/>
      <c r="Q531"/>
      <c r="R531"/>
    </row>
    <row r="532" spans="4:18" x14ac:dyDescent="0.25">
      <c r="D532"/>
      <c r="Q532"/>
      <c r="R532"/>
    </row>
    <row r="533" spans="4:18" x14ac:dyDescent="0.25">
      <c r="D533"/>
      <c r="Q533"/>
      <c r="R533"/>
    </row>
    <row r="534" spans="4:18" x14ac:dyDescent="0.25">
      <c r="D534"/>
      <c r="Q534"/>
      <c r="R534"/>
    </row>
    <row r="535" spans="4:18" x14ac:dyDescent="0.25">
      <c r="D535"/>
      <c r="Q535"/>
      <c r="R535"/>
    </row>
    <row r="536" spans="4:18" x14ac:dyDescent="0.25">
      <c r="D536"/>
      <c r="Q536"/>
      <c r="R536"/>
    </row>
    <row r="537" spans="4:18" x14ac:dyDescent="0.25">
      <c r="D537"/>
      <c r="Q537"/>
      <c r="R537"/>
    </row>
    <row r="538" spans="4:18" x14ac:dyDescent="0.25">
      <c r="D538"/>
      <c r="Q538"/>
      <c r="R538"/>
    </row>
    <row r="539" spans="4:18" x14ac:dyDescent="0.25">
      <c r="D539"/>
      <c r="Q539"/>
      <c r="R539"/>
    </row>
    <row r="540" spans="4:18" x14ac:dyDescent="0.25">
      <c r="D540"/>
      <c r="Q540"/>
      <c r="R540"/>
    </row>
    <row r="541" spans="4:18" x14ac:dyDescent="0.25">
      <c r="D541"/>
      <c r="Q541"/>
      <c r="R541"/>
    </row>
    <row r="542" spans="4:18" x14ac:dyDescent="0.25">
      <c r="D542"/>
      <c r="Q542"/>
      <c r="R542"/>
    </row>
    <row r="543" spans="4:18" x14ac:dyDescent="0.25">
      <c r="D543"/>
      <c r="Q543"/>
      <c r="R543"/>
    </row>
    <row r="544" spans="4:18" x14ac:dyDescent="0.25">
      <c r="D544"/>
      <c r="Q544"/>
      <c r="R544"/>
    </row>
    <row r="545" spans="4:18" x14ac:dyDescent="0.25">
      <c r="D545"/>
      <c r="Q545"/>
      <c r="R545"/>
    </row>
    <row r="546" spans="4:18" x14ac:dyDescent="0.25">
      <c r="D546"/>
      <c r="Q546"/>
      <c r="R546"/>
    </row>
    <row r="547" spans="4:18" x14ac:dyDescent="0.25">
      <c r="D547"/>
      <c r="Q547"/>
      <c r="R547"/>
    </row>
    <row r="548" spans="4:18" x14ac:dyDescent="0.25">
      <c r="D548"/>
      <c r="Q548"/>
      <c r="R548"/>
    </row>
    <row r="549" spans="4:18" x14ac:dyDescent="0.25">
      <c r="D549"/>
      <c r="Q549"/>
      <c r="R549"/>
    </row>
    <row r="550" spans="4:18" x14ac:dyDescent="0.25">
      <c r="D550"/>
      <c r="Q550"/>
      <c r="R550"/>
    </row>
    <row r="551" spans="4:18" x14ac:dyDescent="0.25">
      <c r="D551"/>
      <c r="Q551"/>
      <c r="R551"/>
    </row>
    <row r="552" spans="4:18" x14ac:dyDescent="0.25">
      <c r="D552"/>
      <c r="Q552"/>
      <c r="R552"/>
    </row>
    <row r="553" spans="4:18" x14ac:dyDescent="0.25">
      <c r="D553"/>
      <c r="Q553"/>
      <c r="R553"/>
    </row>
    <row r="554" spans="4:18" x14ac:dyDescent="0.25">
      <c r="D554"/>
      <c r="Q554"/>
      <c r="R554"/>
    </row>
    <row r="555" spans="4:18" x14ac:dyDescent="0.25">
      <c r="D555"/>
      <c r="Q555"/>
      <c r="R555"/>
    </row>
    <row r="556" spans="4:18" x14ac:dyDescent="0.25">
      <c r="D556"/>
      <c r="Q556"/>
      <c r="R556"/>
    </row>
    <row r="557" spans="4:18" x14ac:dyDescent="0.25">
      <c r="D557"/>
      <c r="Q557"/>
      <c r="R557"/>
    </row>
    <row r="558" spans="4:18" x14ac:dyDescent="0.25">
      <c r="D558"/>
      <c r="Q558"/>
      <c r="R558"/>
    </row>
    <row r="559" spans="4:18" x14ac:dyDescent="0.25">
      <c r="D559"/>
      <c r="Q559"/>
      <c r="R559"/>
    </row>
    <row r="560" spans="4:18" x14ac:dyDescent="0.25">
      <c r="D560"/>
      <c r="Q560"/>
      <c r="R560"/>
    </row>
    <row r="561" spans="4:18" x14ac:dyDescent="0.25">
      <c r="D561"/>
      <c r="Q561"/>
      <c r="R561"/>
    </row>
    <row r="562" spans="4:18" x14ac:dyDescent="0.25">
      <c r="D562"/>
      <c r="Q562"/>
      <c r="R562"/>
    </row>
    <row r="563" spans="4:18" x14ac:dyDescent="0.25">
      <c r="D563"/>
      <c r="Q563"/>
      <c r="R563"/>
    </row>
    <row r="564" spans="4:18" x14ac:dyDescent="0.25">
      <c r="D564"/>
      <c r="Q564"/>
      <c r="R564"/>
    </row>
    <row r="565" spans="4:18" x14ac:dyDescent="0.25">
      <c r="D565"/>
      <c r="Q565"/>
      <c r="R565"/>
    </row>
    <row r="566" spans="4:18" x14ac:dyDescent="0.25">
      <c r="D566"/>
      <c r="Q566"/>
      <c r="R566"/>
    </row>
    <row r="567" spans="4:18" x14ac:dyDescent="0.25">
      <c r="D567"/>
      <c r="Q567"/>
      <c r="R567"/>
    </row>
    <row r="568" spans="4:18" x14ac:dyDescent="0.25">
      <c r="D568"/>
      <c r="Q568"/>
      <c r="R568"/>
    </row>
    <row r="569" spans="4:18" x14ac:dyDescent="0.25">
      <c r="D569"/>
      <c r="Q569"/>
      <c r="R569"/>
    </row>
    <row r="570" spans="4:18" x14ac:dyDescent="0.25">
      <c r="D570"/>
      <c r="Q570"/>
      <c r="R570"/>
    </row>
    <row r="571" spans="4:18" x14ac:dyDescent="0.25">
      <c r="D571"/>
      <c r="Q571"/>
      <c r="R571"/>
    </row>
    <row r="572" spans="4:18" x14ac:dyDescent="0.25">
      <c r="D572"/>
      <c r="Q572"/>
      <c r="R572"/>
    </row>
    <row r="573" spans="4:18" x14ac:dyDescent="0.25">
      <c r="D573"/>
      <c r="Q573"/>
      <c r="R573"/>
    </row>
    <row r="574" spans="4:18" x14ac:dyDescent="0.25">
      <c r="D574"/>
      <c r="Q574"/>
      <c r="R574"/>
    </row>
    <row r="575" spans="4:18" x14ac:dyDescent="0.25">
      <c r="D575"/>
      <c r="Q575"/>
      <c r="R575"/>
    </row>
    <row r="576" spans="4:18" x14ac:dyDescent="0.25">
      <c r="D576"/>
      <c r="Q576"/>
      <c r="R576"/>
    </row>
    <row r="577" spans="4:18" x14ac:dyDescent="0.25">
      <c r="D577"/>
      <c r="Q577"/>
      <c r="R577"/>
    </row>
    <row r="578" spans="4:18" x14ac:dyDescent="0.25">
      <c r="D578"/>
      <c r="Q578"/>
      <c r="R578"/>
    </row>
    <row r="579" spans="4:18" x14ac:dyDescent="0.25">
      <c r="D579"/>
      <c r="Q579"/>
      <c r="R579"/>
    </row>
    <row r="580" spans="4:18" x14ac:dyDescent="0.25">
      <c r="D580"/>
      <c r="Q580"/>
      <c r="R580"/>
    </row>
    <row r="581" spans="4:18" x14ac:dyDescent="0.25">
      <c r="D581"/>
      <c r="Q581"/>
      <c r="R581"/>
    </row>
    <row r="582" spans="4:18" x14ac:dyDescent="0.25">
      <c r="D582"/>
      <c r="Q582"/>
      <c r="R582"/>
    </row>
    <row r="583" spans="4:18" x14ac:dyDescent="0.25">
      <c r="D583"/>
      <c r="Q583"/>
      <c r="R583"/>
    </row>
    <row r="584" spans="4:18" x14ac:dyDescent="0.25">
      <c r="D584"/>
      <c r="Q584"/>
      <c r="R584"/>
    </row>
    <row r="585" spans="4:18" x14ac:dyDescent="0.25">
      <c r="D585"/>
      <c r="Q585"/>
      <c r="R585"/>
    </row>
    <row r="586" spans="4:18" x14ac:dyDescent="0.25">
      <c r="D586"/>
      <c r="Q586"/>
      <c r="R586"/>
    </row>
    <row r="587" spans="4:18" x14ac:dyDescent="0.25">
      <c r="D587"/>
      <c r="Q587"/>
      <c r="R587"/>
    </row>
    <row r="588" spans="4:18" x14ac:dyDescent="0.25">
      <c r="D588"/>
      <c r="Q588"/>
      <c r="R588"/>
    </row>
    <row r="589" spans="4:18" x14ac:dyDescent="0.25">
      <c r="D589"/>
      <c r="Q589"/>
      <c r="R589"/>
    </row>
    <row r="590" spans="4:18" x14ac:dyDescent="0.25">
      <c r="D590"/>
      <c r="Q590"/>
      <c r="R590"/>
    </row>
    <row r="591" spans="4:18" x14ac:dyDescent="0.25">
      <c r="D591"/>
      <c r="Q591"/>
      <c r="R591"/>
    </row>
    <row r="592" spans="4:18" x14ac:dyDescent="0.25">
      <c r="D592"/>
      <c r="Q592"/>
      <c r="R592"/>
    </row>
    <row r="593" spans="4:18" x14ac:dyDescent="0.25">
      <c r="D593"/>
      <c r="Q593"/>
      <c r="R593"/>
    </row>
    <row r="594" spans="4:18" x14ac:dyDescent="0.25">
      <c r="D594"/>
      <c r="Q594"/>
      <c r="R594"/>
    </row>
    <row r="595" spans="4:18" x14ac:dyDescent="0.25">
      <c r="D595"/>
      <c r="Q595"/>
      <c r="R595"/>
    </row>
    <row r="596" spans="4:18" x14ac:dyDescent="0.25">
      <c r="D596"/>
      <c r="Q596"/>
      <c r="R596"/>
    </row>
    <row r="597" spans="4:18" x14ac:dyDescent="0.25">
      <c r="D597"/>
      <c r="Q597"/>
      <c r="R597"/>
    </row>
    <row r="598" spans="4:18" x14ac:dyDescent="0.25">
      <c r="D598"/>
      <c r="Q598"/>
      <c r="R598"/>
    </row>
    <row r="599" spans="4:18" x14ac:dyDescent="0.25">
      <c r="D599"/>
      <c r="Q599"/>
      <c r="R599"/>
    </row>
    <row r="600" spans="4:18" x14ac:dyDescent="0.25">
      <c r="D600"/>
      <c r="Q600"/>
      <c r="R600"/>
    </row>
    <row r="601" spans="4:18" x14ac:dyDescent="0.25">
      <c r="D601"/>
      <c r="Q601"/>
      <c r="R601"/>
    </row>
    <row r="602" spans="4:18" x14ac:dyDescent="0.25">
      <c r="D602"/>
      <c r="Q602"/>
      <c r="R602"/>
    </row>
    <row r="603" spans="4:18" x14ac:dyDescent="0.25">
      <c r="D603"/>
      <c r="Q603"/>
      <c r="R603"/>
    </row>
    <row r="604" spans="4:18" x14ac:dyDescent="0.25">
      <c r="D604"/>
      <c r="Q604"/>
      <c r="R604"/>
    </row>
    <row r="605" spans="4:18" x14ac:dyDescent="0.25">
      <c r="D605"/>
      <c r="Q605"/>
      <c r="R605"/>
    </row>
    <row r="606" spans="4:18" x14ac:dyDescent="0.25">
      <c r="D606"/>
      <c r="Q606"/>
      <c r="R606"/>
    </row>
    <row r="607" spans="4:18" x14ac:dyDescent="0.25">
      <c r="D607"/>
      <c r="Q607"/>
      <c r="R607"/>
    </row>
    <row r="608" spans="4:18" x14ac:dyDescent="0.25">
      <c r="D608"/>
      <c r="Q608"/>
      <c r="R608"/>
    </row>
    <row r="609" spans="4:18" x14ac:dyDescent="0.25">
      <c r="D609"/>
      <c r="Q609"/>
      <c r="R609"/>
    </row>
    <row r="610" spans="4:18" x14ac:dyDescent="0.25">
      <c r="D610"/>
      <c r="Q610"/>
      <c r="R610"/>
    </row>
    <row r="611" spans="4:18" x14ac:dyDescent="0.25">
      <c r="D611"/>
      <c r="Q611"/>
      <c r="R611"/>
    </row>
    <row r="612" spans="4:18" x14ac:dyDescent="0.25">
      <c r="D612"/>
      <c r="Q612"/>
      <c r="R612"/>
    </row>
    <row r="613" spans="4:18" x14ac:dyDescent="0.25">
      <c r="D613"/>
      <c r="Q613"/>
      <c r="R613"/>
    </row>
    <row r="614" spans="4:18" x14ac:dyDescent="0.25">
      <c r="D614"/>
      <c r="Q614"/>
      <c r="R614"/>
    </row>
    <row r="615" spans="4:18" x14ac:dyDescent="0.25">
      <c r="D615"/>
      <c r="Q615"/>
      <c r="R615"/>
    </row>
    <row r="616" spans="4:18" x14ac:dyDescent="0.25">
      <c r="D616"/>
      <c r="Q616"/>
      <c r="R616"/>
    </row>
    <row r="617" spans="4:18" x14ac:dyDescent="0.25">
      <c r="D617"/>
      <c r="Q617"/>
      <c r="R617"/>
    </row>
    <row r="618" spans="4:18" x14ac:dyDescent="0.25">
      <c r="D618"/>
      <c r="Q618"/>
      <c r="R618"/>
    </row>
    <row r="619" spans="4:18" x14ac:dyDescent="0.25">
      <c r="D619"/>
      <c r="Q619"/>
      <c r="R619"/>
    </row>
    <row r="620" spans="4:18" x14ac:dyDescent="0.25">
      <c r="D620"/>
      <c r="Q620"/>
      <c r="R620"/>
    </row>
    <row r="621" spans="4:18" x14ac:dyDescent="0.25">
      <c r="D621"/>
      <c r="Q621"/>
      <c r="R621"/>
    </row>
    <row r="622" spans="4:18" x14ac:dyDescent="0.25">
      <c r="D622"/>
      <c r="Q622"/>
      <c r="R622"/>
    </row>
    <row r="623" spans="4:18" x14ac:dyDescent="0.25">
      <c r="D623"/>
      <c r="Q623"/>
      <c r="R623"/>
    </row>
    <row r="624" spans="4:18" x14ac:dyDescent="0.25">
      <c r="D624"/>
      <c r="Q624"/>
      <c r="R624"/>
    </row>
    <row r="625" spans="4:18" x14ac:dyDescent="0.25">
      <c r="D625"/>
      <c r="Q625"/>
      <c r="R625"/>
    </row>
    <row r="626" spans="4:18" x14ac:dyDescent="0.25">
      <c r="D626"/>
      <c r="Q626"/>
      <c r="R626"/>
    </row>
    <row r="627" spans="4:18" x14ac:dyDescent="0.25">
      <c r="D627"/>
      <c r="Q627"/>
      <c r="R627"/>
    </row>
    <row r="628" spans="4:18" x14ac:dyDescent="0.25">
      <c r="D628"/>
      <c r="Q628"/>
      <c r="R628"/>
    </row>
    <row r="629" spans="4:18" x14ac:dyDescent="0.25">
      <c r="D629"/>
      <c r="Q629"/>
      <c r="R629"/>
    </row>
    <row r="630" spans="4:18" x14ac:dyDescent="0.25">
      <c r="D630"/>
      <c r="Q630"/>
      <c r="R630"/>
    </row>
    <row r="631" spans="4:18" x14ac:dyDescent="0.25">
      <c r="D631"/>
      <c r="Q631"/>
      <c r="R631"/>
    </row>
    <row r="632" spans="4:18" x14ac:dyDescent="0.25">
      <c r="D632"/>
      <c r="Q632"/>
      <c r="R632"/>
    </row>
    <row r="633" spans="4:18" x14ac:dyDescent="0.25">
      <c r="D633"/>
      <c r="Q633"/>
      <c r="R633"/>
    </row>
    <row r="634" spans="4:18" x14ac:dyDescent="0.25">
      <c r="D634"/>
      <c r="Q634"/>
      <c r="R634"/>
    </row>
    <row r="635" spans="4:18" x14ac:dyDescent="0.25">
      <c r="D635"/>
      <c r="Q635"/>
      <c r="R635"/>
    </row>
    <row r="636" spans="4:18" x14ac:dyDescent="0.25">
      <c r="D636"/>
      <c r="Q636"/>
      <c r="R636"/>
    </row>
    <row r="637" spans="4:18" x14ac:dyDescent="0.25">
      <c r="D637"/>
      <c r="Q637"/>
      <c r="R637"/>
    </row>
    <row r="638" spans="4:18" x14ac:dyDescent="0.25">
      <c r="D638"/>
      <c r="Q638"/>
      <c r="R638"/>
    </row>
    <row r="639" spans="4:18" x14ac:dyDescent="0.25">
      <c r="D639"/>
      <c r="Q639"/>
      <c r="R639"/>
    </row>
    <row r="640" spans="4:18" x14ac:dyDescent="0.25">
      <c r="D640"/>
      <c r="Q640"/>
      <c r="R640"/>
    </row>
    <row r="641" spans="4:18" x14ac:dyDescent="0.25">
      <c r="D641"/>
      <c r="Q641"/>
      <c r="R641"/>
    </row>
    <row r="642" spans="4:18" x14ac:dyDescent="0.25">
      <c r="D642"/>
      <c r="Q642"/>
      <c r="R642"/>
    </row>
    <row r="643" spans="4:18" x14ac:dyDescent="0.25">
      <c r="D643"/>
      <c r="Q643"/>
      <c r="R643"/>
    </row>
    <row r="644" spans="4:18" x14ac:dyDescent="0.25">
      <c r="D644"/>
      <c r="Q644"/>
      <c r="R644"/>
    </row>
    <row r="645" spans="4:18" x14ac:dyDescent="0.25">
      <c r="D645"/>
      <c r="Q645"/>
      <c r="R645"/>
    </row>
    <row r="646" spans="4:18" x14ac:dyDescent="0.25">
      <c r="D646"/>
      <c r="Q646"/>
      <c r="R646"/>
    </row>
    <row r="647" spans="4:18" x14ac:dyDescent="0.25">
      <c r="D647"/>
      <c r="Q647"/>
      <c r="R647"/>
    </row>
    <row r="648" spans="4:18" x14ac:dyDescent="0.25">
      <c r="D648"/>
      <c r="Q648"/>
      <c r="R648"/>
    </row>
    <row r="649" spans="4:18" x14ac:dyDescent="0.25">
      <c r="D649"/>
      <c r="Q649"/>
      <c r="R649"/>
    </row>
    <row r="650" spans="4:18" x14ac:dyDescent="0.25">
      <c r="D650"/>
      <c r="Q650"/>
      <c r="R650"/>
    </row>
    <row r="651" spans="4:18" x14ac:dyDescent="0.25">
      <c r="D651"/>
      <c r="Q651"/>
      <c r="R651"/>
    </row>
    <row r="652" spans="4:18" x14ac:dyDescent="0.25">
      <c r="D652"/>
      <c r="Q652"/>
      <c r="R652"/>
    </row>
    <row r="653" spans="4:18" x14ac:dyDescent="0.25">
      <c r="D653"/>
      <c r="Q653"/>
      <c r="R653"/>
    </row>
    <row r="654" spans="4:18" x14ac:dyDescent="0.25">
      <c r="D654"/>
      <c r="Q654"/>
      <c r="R654"/>
    </row>
    <row r="655" spans="4:18" x14ac:dyDescent="0.25">
      <c r="D655"/>
      <c r="Q655"/>
      <c r="R655"/>
    </row>
    <row r="656" spans="4:18" x14ac:dyDescent="0.25">
      <c r="D656"/>
      <c r="Q656"/>
      <c r="R656"/>
    </row>
    <row r="657" spans="4:18" x14ac:dyDescent="0.25">
      <c r="D657"/>
      <c r="Q657"/>
      <c r="R657"/>
    </row>
    <row r="658" spans="4:18" x14ac:dyDescent="0.25">
      <c r="D658"/>
      <c r="Q658"/>
      <c r="R658"/>
    </row>
    <row r="659" spans="4:18" x14ac:dyDescent="0.25">
      <c r="D659"/>
      <c r="Q659"/>
      <c r="R659"/>
    </row>
    <row r="660" spans="4:18" x14ac:dyDescent="0.25">
      <c r="D660"/>
      <c r="Q660"/>
      <c r="R660"/>
    </row>
    <row r="661" spans="4:18" x14ac:dyDescent="0.25">
      <c r="D661"/>
      <c r="Q661"/>
      <c r="R661"/>
    </row>
    <row r="662" spans="4:18" x14ac:dyDescent="0.25">
      <c r="D662"/>
      <c r="Q662"/>
      <c r="R662"/>
    </row>
    <row r="663" spans="4:18" x14ac:dyDescent="0.25">
      <c r="D663"/>
      <c r="Q663"/>
      <c r="R663"/>
    </row>
    <row r="664" spans="4:18" x14ac:dyDescent="0.25">
      <c r="D664"/>
      <c r="Q664"/>
      <c r="R664"/>
    </row>
    <row r="665" spans="4:18" x14ac:dyDescent="0.25">
      <c r="D665"/>
      <c r="Q665"/>
      <c r="R665"/>
    </row>
    <row r="666" spans="4:18" x14ac:dyDescent="0.25">
      <c r="D666"/>
      <c r="Q666"/>
      <c r="R666"/>
    </row>
    <row r="667" spans="4:18" x14ac:dyDescent="0.25">
      <c r="D667"/>
      <c r="Q667"/>
      <c r="R667"/>
    </row>
    <row r="668" spans="4:18" x14ac:dyDescent="0.25">
      <c r="D668"/>
      <c r="Q668"/>
      <c r="R668"/>
    </row>
    <row r="669" spans="4:18" x14ac:dyDescent="0.25">
      <c r="D669"/>
      <c r="Q669"/>
      <c r="R669"/>
    </row>
    <row r="670" spans="4:18" x14ac:dyDescent="0.25">
      <c r="D670"/>
      <c r="Q670"/>
      <c r="R670"/>
    </row>
    <row r="671" spans="4:18" x14ac:dyDescent="0.25">
      <c r="D671"/>
      <c r="Q671"/>
      <c r="R671"/>
    </row>
    <row r="672" spans="4:18" x14ac:dyDescent="0.25">
      <c r="D672"/>
      <c r="Q672"/>
      <c r="R672"/>
    </row>
    <row r="673" spans="4:18" x14ac:dyDescent="0.25">
      <c r="D673"/>
      <c r="Q673"/>
      <c r="R673"/>
    </row>
    <row r="674" spans="4:18" x14ac:dyDescent="0.25">
      <c r="D674"/>
      <c r="Q674"/>
      <c r="R674"/>
    </row>
    <row r="675" spans="4:18" x14ac:dyDescent="0.25">
      <c r="D675"/>
      <c r="Q675"/>
      <c r="R675"/>
    </row>
    <row r="676" spans="4:18" x14ac:dyDescent="0.25">
      <c r="D676"/>
      <c r="Q676"/>
      <c r="R676"/>
    </row>
    <row r="677" spans="4:18" x14ac:dyDescent="0.25">
      <c r="D677"/>
      <c r="Q677"/>
      <c r="R677"/>
    </row>
    <row r="678" spans="4:18" x14ac:dyDescent="0.25">
      <c r="D678"/>
      <c r="Q678"/>
      <c r="R678"/>
    </row>
    <row r="679" spans="4:18" x14ac:dyDescent="0.25">
      <c r="D679"/>
      <c r="Q679"/>
      <c r="R679"/>
    </row>
    <row r="680" spans="4:18" x14ac:dyDescent="0.25">
      <c r="D680"/>
      <c r="Q680"/>
      <c r="R680"/>
    </row>
    <row r="681" spans="4:18" x14ac:dyDescent="0.25">
      <c r="D681"/>
      <c r="Q681"/>
      <c r="R681"/>
    </row>
    <row r="682" spans="4:18" x14ac:dyDescent="0.25">
      <c r="D682"/>
      <c r="Q682"/>
      <c r="R682"/>
    </row>
    <row r="683" spans="4:18" x14ac:dyDescent="0.25">
      <c r="D683"/>
      <c r="Q683"/>
      <c r="R683"/>
    </row>
    <row r="684" spans="4:18" x14ac:dyDescent="0.25">
      <c r="D684"/>
      <c r="Q684"/>
      <c r="R684"/>
    </row>
    <row r="685" spans="4:18" x14ac:dyDescent="0.25">
      <c r="D685"/>
      <c r="Q685"/>
      <c r="R685"/>
    </row>
    <row r="686" spans="4:18" x14ac:dyDescent="0.25">
      <c r="D686"/>
      <c r="Q686"/>
      <c r="R686"/>
    </row>
    <row r="687" spans="4:18" x14ac:dyDescent="0.25">
      <c r="D687"/>
      <c r="Q687"/>
      <c r="R687"/>
    </row>
    <row r="688" spans="4:18" x14ac:dyDescent="0.25">
      <c r="D688"/>
      <c r="Q688"/>
      <c r="R688"/>
    </row>
    <row r="689" spans="4:18" x14ac:dyDescent="0.25">
      <c r="D689"/>
      <c r="Q689"/>
      <c r="R689"/>
    </row>
    <row r="690" spans="4:18" x14ac:dyDescent="0.25">
      <c r="D690"/>
      <c r="Q690"/>
      <c r="R690"/>
    </row>
    <row r="691" spans="4:18" x14ac:dyDescent="0.25">
      <c r="D691"/>
      <c r="Q691"/>
      <c r="R691"/>
    </row>
    <row r="692" spans="4:18" x14ac:dyDescent="0.25">
      <c r="D692"/>
      <c r="Q692"/>
      <c r="R692"/>
    </row>
    <row r="693" spans="4:18" x14ac:dyDescent="0.25">
      <c r="D693"/>
      <c r="Q693"/>
      <c r="R693"/>
    </row>
    <row r="694" spans="4:18" x14ac:dyDescent="0.25">
      <c r="D694"/>
      <c r="Q694"/>
      <c r="R694"/>
    </row>
    <row r="695" spans="4:18" x14ac:dyDescent="0.25">
      <c r="D695"/>
      <c r="Q695"/>
      <c r="R695"/>
    </row>
    <row r="696" spans="4:18" x14ac:dyDescent="0.25">
      <c r="D696"/>
      <c r="Q696"/>
      <c r="R696"/>
    </row>
    <row r="697" spans="4:18" x14ac:dyDescent="0.25">
      <c r="D697"/>
      <c r="Q697"/>
      <c r="R697"/>
    </row>
    <row r="698" spans="4:18" x14ac:dyDescent="0.25">
      <c r="D698"/>
      <c r="Q698"/>
      <c r="R698"/>
    </row>
    <row r="699" spans="4:18" x14ac:dyDescent="0.25">
      <c r="D699"/>
      <c r="Q699"/>
      <c r="R699"/>
    </row>
    <row r="700" spans="4:18" x14ac:dyDescent="0.25">
      <c r="D700"/>
      <c r="Q700"/>
      <c r="R700"/>
    </row>
    <row r="701" spans="4:18" x14ac:dyDescent="0.25">
      <c r="D701"/>
      <c r="Q701"/>
      <c r="R701"/>
    </row>
    <row r="702" spans="4:18" x14ac:dyDescent="0.25">
      <c r="D702"/>
      <c r="Q702"/>
      <c r="R702"/>
    </row>
    <row r="703" spans="4:18" x14ac:dyDescent="0.25">
      <c r="D703"/>
      <c r="Q703"/>
      <c r="R703"/>
    </row>
    <row r="704" spans="4:18" x14ac:dyDescent="0.25">
      <c r="D704"/>
      <c r="Q704"/>
      <c r="R704"/>
    </row>
    <row r="705" spans="4:18" x14ac:dyDescent="0.25">
      <c r="D705"/>
      <c r="Q705"/>
      <c r="R705"/>
    </row>
    <row r="706" spans="4:18" x14ac:dyDescent="0.25">
      <c r="D706"/>
      <c r="Q706"/>
      <c r="R706"/>
    </row>
    <row r="707" spans="4:18" x14ac:dyDescent="0.25">
      <c r="D707"/>
      <c r="Q707"/>
      <c r="R707"/>
    </row>
    <row r="708" spans="4:18" x14ac:dyDescent="0.25">
      <c r="D708"/>
      <c r="Q708"/>
      <c r="R708"/>
    </row>
    <row r="709" spans="4:18" x14ac:dyDescent="0.25">
      <c r="D709"/>
      <c r="Q709"/>
      <c r="R709"/>
    </row>
    <row r="710" spans="4:18" x14ac:dyDescent="0.25">
      <c r="D710"/>
      <c r="Q710"/>
      <c r="R710"/>
    </row>
    <row r="711" spans="4:18" x14ac:dyDescent="0.25">
      <c r="D711"/>
      <c r="Q711"/>
      <c r="R711"/>
    </row>
    <row r="712" spans="4:18" x14ac:dyDescent="0.25">
      <c r="D712"/>
      <c r="Q712"/>
      <c r="R712"/>
    </row>
    <row r="713" spans="4:18" x14ac:dyDescent="0.25">
      <c r="D713"/>
      <c r="Q713"/>
      <c r="R713"/>
    </row>
    <row r="714" spans="4:18" x14ac:dyDescent="0.25">
      <c r="D714"/>
      <c r="Q714"/>
      <c r="R714"/>
    </row>
    <row r="715" spans="4:18" x14ac:dyDescent="0.25">
      <c r="D715"/>
      <c r="Q715"/>
      <c r="R715"/>
    </row>
    <row r="716" spans="4:18" x14ac:dyDescent="0.25">
      <c r="D716"/>
      <c r="Q716"/>
      <c r="R716"/>
    </row>
    <row r="717" spans="4:18" x14ac:dyDescent="0.25">
      <c r="D717"/>
      <c r="Q717"/>
      <c r="R717"/>
    </row>
    <row r="718" spans="4:18" x14ac:dyDescent="0.25">
      <c r="D718"/>
      <c r="Q718"/>
      <c r="R718"/>
    </row>
    <row r="719" spans="4:18" x14ac:dyDescent="0.25">
      <c r="D719"/>
      <c r="Q719"/>
      <c r="R719"/>
    </row>
    <row r="720" spans="4:18" x14ac:dyDescent="0.25">
      <c r="D720"/>
      <c r="Q720"/>
      <c r="R720"/>
    </row>
    <row r="721" spans="4:18" x14ac:dyDescent="0.25">
      <c r="D721"/>
      <c r="Q721"/>
      <c r="R721"/>
    </row>
    <row r="722" spans="4:18" x14ac:dyDescent="0.25">
      <c r="D722"/>
      <c r="Q722"/>
      <c r="R722"/>
    </row>
    <row r="723" spans="4:18" x14ac:dyDescent="0.25">
      <c r="D723"/>
      <c r="Q723"/>
      <c r="R723"/>
    </row>
    <row r="724" spans="4:18" x14ac:dyDescent="0.25">
      <c r="D724"/>
      <c r="Q724"/>
      <c r="R724"/>
    </row>
    <row r="725" spans="4:18" x14ac:dyDescent="0.25">
      <c r="D725"/>
      <c r="Q725"/>
      <c r="R725"/>
    </row>
    <row r="726" spans="4:18" x14ac:dyDescent="0.25">
      <c r="D726"/>
      <c r="Q726"/>
      <c r="R726"/>
    </row>
    <row r="727" spans="4:18" x14ac:dyDescent="0.25">
      <c r="D727"/>
      <c r="Q727"/>
      <c r="R727"/>
    </row>
    <row r="728" spans="4:18" x14ac:dyDescent="0.25">
      <c r="D728"/>
      <c r="Q728"/>
      <c r="R728"/>
    </row>
    <row r="729" spans="4:18" x14ac:dyDescent="0.25">
      <c r="D729"/>
      <c r="Q729"/>
      <c r="R729"/>
    </row>
    <row r="730" spans="4:18" x14ac:dyDescent="0.25">
      <c r="D730"/>
      <c r="Q730"/>
      <c r="R730"/>
    </row>
    <row r="731" spans="4:18" x14ac:dyDescent="0.25">
      <c r="D731"/>
      <c r="Q731"/>
      <c r="R731"/>
    </row>
    <row r="732" spans="4:18" x14ac:dyDescent="0.25">
      <c r="D732"/>
      <c r="Q732"/>
      <c r="R732"/>
    </row>
    <row r="733" spans="4:18" x14ac:dyDescent="0.25">
      <c r="D733"/>
      <c r="Q733"/>
      <c r="R733"/>
    </row>
    <row r="734" spans="4:18" x14ac:dyDescent="0.25">
      <c r="D734"/>
      <c r="Q734"/>
      <c r="R734"/>
    </row>
    <row r="735" spans="4:18" x14ac:dyDescent="0.25">
      <c r="D735"/>
      <c r="Q735"/>
      <c r="R735"/>
    </row>
    <row r="736" spans="4:18" x14ac:dyDescent="0.25">
      <c r="D736"/>
      <c r="Q736"/>
      <c r="R736"/>
    </row>
    <row r="737" spans="4:18" x14ac:dyDescent="0.25">
      <c r="D737"/>
      <c r="Q737"/>
      <c r="R737"/>
    </row>
    <row r="738" spans="4:18" x14ac:dyDescent="0.25">
      <c r="D738"/>
      <c r="Q738"/>
      <c r="R738"/>
    </row>
    <row r="739" spans="4:18" x14ac:dyDescent="0.25">
      <c r="D739"/>
      <c r="Q739"/>
      <c r="R739"/>
    </row>
    <row r="740" spans="4:18" x14ac:dyDescent="0.25">
      <c r="D740"/>
      <c r="Q740"/>
      <c r="R740"/>
    </row>
    <row r="741" spans="4:18" x14ac:dyDescent="0.25">
      <c r="D741"/>
      <c r="Q741"/>
      <c r="R741"/>
    </row>
    <row r="742" spans="4:18" x14ac:dyDescent="0.25">
      <c r="D742"/>
      <c r="Q742"/>
      <c r="R742"/>
    </row>
    <row r="743" spans="4:18" x14ac:dyDescent="0.25">
      <c r="D743"/>
      <c r="Q743"/>
      <c r="R743"/>
    </row>
    <row r="744" spans="4:18" x14ac:dyDescent="0.25">
      <c r="D744"/>
      <c r="Q744"/>
      <c r="R744"/>
    </row>
    <row r="745" spans="4:18" x14ac:dyDescent="0.25">
      <c r="D745"/>
      <c r="Q745"/>
      <c r="R745"/>
    </row>
    <row r="746" spans="4:18" x14ac:dyDescent="0.25">
      <c r="D746"/>
      <c r="Q746"/>
      <c r="R746"/>
    </row>
    <row r="747" spans="4:18" x14ac:dyDescent="0.25">
      <c r="D747"/>
      <c r="Q747"/>
      <c r="R747"/>
    </row>
    <row r="748" spans="4:18" x14ac:dyDescent="0.25">
      <c r="D748"/>
      <c r="Q748"/>
      <c r="R748"/>
    </row>
    <row r="749" spans="4:18" x14ac:dyDescent="0.25">
      <c r="D749"/>
      <c r="Q749"/>
      <c r="R749"/>
    </row>
    <row r="750" spans="4:18" x14ac:dyDescent="0.25">
      <c r="D750"/>
      <c r="Q750"/>
      <c r="R750"/>
    </row>
    <row r="751" spans="4:18" x14ac:dyDescent="0.25">
      <c r="D751"/>
      <c r="Q751"/>
      <c r="R751"/>
    </row>
    <row r="752" spans="4:18" x14ac:dyDescent="0.25">
      <c r="D752"/>
      <c r="Q752"/>
      <c r="R752"/>
    </row>
    <row r="753" spans="4:18" x14ac:dyDescent="0.25">
      <c r="D753"/>
      <c r="Q753"/>
      <c r="R753"/>
    </row>
    <row r="754" spans="4:18" x14ac:dyDescent="0.25">
      <c r="D754"/>
      <c r="Q754"/>
      <c r="R754"/>
    </row>
    <row r="755" spans="4:18" x14ac:dyDescent="0.25">
      <c r="D755"/>
      <c r="Q755"/>
      <c r="R755"/>
    </row>
    <row r="756" spans="4:18" x14ac:dyDescent="0.25">
      <c r="D756"/>
      <c r="Q756"/>
      <c r="R756"/>
    </row>
    <row r="757" spans="4:18" x14ac:dyDescent="0.25">
      <c r="D757"/>
      <c r="Q757"/>
      <c r="R757"/>
    </row>
    <row r="758" spans="4:18" x14ac:dyDescent="0.25">
      <c r="D758"/>
      <c r="Q758"/>
      <c r="R758"/>
    </row>
    <row r="759" spans="4:18" x14ac:dyDescent="0.25">
      <c r="D759"/>
      <c r="Q759"/>
      <c r="R759"/>
    </row>
    <row r="760" spans="4:18" x14ac:dyDescent="0.25">
      <c r="D760"/>
      <c r="Q760"/>
      <c r="R760"/>
    </row>
    <row r="761" spans="4:18" x14ac:dyDescent="0.25">
      <c r="D761"/>
      <c r="Q761"/>
      <c r="R761"/>
    </row>
    <row r="762" spans="4:18" x14ac:dyDescent="0.25">
      <c r="D762"/>
      <c r="Q762"/>
      <c r="R762"/>
    </row>
    <row r="763" spans="4:18" x14ac:dyDescent="0.25">
      <c r="D763"/>
      <c r="Q763"/>
      <c r="R763"/>
    </row>
    <row r="764" spans="4:18" x14ac:dyDescent="0.25">
      <c r="D764"/>
      <c r="Q764"/>
      <c r="R764"/>
    </row>
    <row r="765" spans="4:18" x14ac:dyDescent="0.25">
      <c r="D765"/>
      <c r="Q765"/>
      <c r="R765"/>
    </row>
    <row r="766" spans="4:18" x14ac:dyDescent="0.25">
      <c r="D766"/>
      <c r="Q766"/>
      <c r="R766"/>
    </row>
    <row r="767" spans="4:18" x14ac:dyDescent="0.25">
      <c r="D767"/>
      <c r="Q767"/>
      <c r="R767"/>
    </row>
    <row r="768" spans="4:18" x14ac:dyDescent="0.25">
      <c r="D768"/>
      <c r="Q768"/>
      <c r="R768"/>
    </row>
    <row r="769" spans="4:18" x14ac:dyDescent="0.25">
      <c r="D769"/>
      <c r="Q769"/>
      <c r="R769"/>
    </row>
    <row r="770" spans="4:18" x14ac:dyDescent="0.25">
      <c r="D770"/>
      <c r="Q770"/>
      <c r="R770"/>
    </row>
    <row r="771" spans="4:18" x14ac:dyDescent="0.25">
      <c r="D771"/>
      <c r="Q771"/>
      <c r="R771"/>
    </row>
    <row r="772" spans="4:18" x14ac:dyDescent="0.25">
      <c r="D772"/>
      <c r="Q772"/>
      <c r="R772"/>
    </row>
    <row r="773" spans="4:18" x14ac:dyDescent="0.25">
      <c r="D773"/>
      <c r="Q773"/>
      <c r="R773"/>
    </row>
    <row r="774" spans="4:18" x14ac:dyDescent="0.25">
      <c r="D774"/>
      <c r="Q774"/>
      <c r="R774"/>
    </row>
    <row r="775" spans="4:18" x14ac:dyDescent="0.25">
      <c r="D775"/>
      <c r="Q775"/>
      <c r="R775"/>
    </row>
    <row r="776" spans="4:18" x14ac:dyDescent="0.25">
      <c r="D776"/>
      <c r="Q776"/>
      <c r="R776"/>
    </row>
    <row r="777" spans="4:18" x14ac:dyDescent="0.25">
      <c r="D777"/>
      <c r="Q777"/>
      <c r="R777"/>
    </row>
    <row r="778" spans="4:18" x14ac:dyDescent="0.25">
      <c r="D778"/>
      <c r="Q778"/>
      <c r="R778"/>
    </row>
    <row r="779" spans="4:18" x14ac:dyDescent="0.25">
      <c r="D779"/>
      <c r="Q779"/>
      <c r="R779"/>
    </row>
    <row r="780" spans="4:18" x14ac:dyDescent="0.25">
      <c r="D780"/>
      <c r="Q780"/>
      <c r="R780"/>
    </row>
    <row r="781" spans="4:18" x14ac:dyDescent="0.25">
      <c r="D781"/>
      <c r="Q781"/>
      <c r="R781"/>
    </row>
    <row r="782" spans="4:18" x14ac:dyDescent="0.25">
      <c r="D782"/>
      <c r="Q782"/>
      <c r="R782"/>
    </row>
    <row r="783" spans="4:18" x14ac:dyDescent="0.25">
      <c r="D783"/>
      <c r="Q783"/>
      <c r="R783"/>
    </row>
    <row r="784" spans="4:18" x14ac:dyDescent="0.25">
      <c r="D784"/>
      <c r="Q784"/>
      <c r="R784"/>
    </row>
    <row r="785" spans="4:18" x14ac:dyDescent="0.25">
      <c r="D785"/>
      <c r="Q785"/>
      <c r="R785"/>
    </row>
    <row r="786" spans="4:18" x14ac:dyDescent="0.25">
      <c r="D786"/>
      <c r="Q786"/>
      <c r="R786"/>
    </row>
    <row r="787" spans="4:18" x14ac:dyDescent="0.25">
      <c r="D787"/>
      <c r="Q787"/>
      <c r="R787"/>
    </row>
    <row r="788" spans="4:18" x14ac:dyDescent="0.25">
      <c r="D788"/>
      <c r="Q788"/>
      <c r="R788"/>
    </row>
    <row r="789" spans="4:18" x14ac:dyDescent="0.25">
      <c r="D789"/>
      <c r="Q789"/>
      <c r="R789"/>
    </row>
    <row r="790" spans="4:18" x14ac:dyDescent="0.25">
      <c r="D790"/>
      <c r="Q790"/>
      <c r="R790"/>
    </row>
    <row r="791" spans="4:18" x14ac:dyDescent="0.25">
      <c r="D791"/>
      <c r="Q791"/>
      <c r="R791"/>
    </row>
    <row r="792" spans="4:18" x14ac:dyDescent="0.25">
      <c r="D792"/>
      <c r="Q792"/>
      <c r="R792"/>
    </row>
    <row r="793" spans="4:18" x14ac:dyDescent="0.25">
      <c r="D793"/>
      <c r="Q793"/>
      <c r="R793"/>
    </row>
    <row r="794" spans="4:18" x14ac:dyDescent="0.25">
      <c r="D794"/>
      <c r="Q794"/>
      <c r="R794"/>
    </row>
    <row r="795" spans="4:18" x14ac:dyDescent="0.25">
      <c r="D795"/>
      <c r="Q795"/>
      <c r="R795"/>
    </row>
    <row r="796" spans="4:18" x14ac:dyDescent="0.25">
      <c r="D796"/>
      <c r="Q796"/>
      <c r="R796"/>
    </row>
    <row r="797" spans="4:18" x14ac:dyDescent="0.25">
      <c r="D797"/>
      <c r="Q797"/>
      <c r="R797"/>
    </row>
    <row r="798" spans="4:18" x14ac:dyDescent="0.25">
      <c r="D798"/>
      <c r="Q798"/>
      <c r="R798"/>
    </row>
    <row r="799" spans="4:18" x14ac:dyDescent="0.25">
      <c r="D799"/>
      <c r="Q799"/>
      <c r="R799"/>
    </row>
    <row r="800" spans="4:18" x14ac:dyDescent="0.25">
      <c r="D800"/>
      <c r="Q800"/>
      <c r="R800"/>
    </row>
    <row r="801" spans="4:18" x14ac:dyDescent="0.25">
      <c r="D801"/>
      <c r="Q801"/>
      <c r="R801"/>
    </row>
    <row r="802" spans="4:18" x14ac:dyDescent="0.25">
      <c r="D802"/>
      <c r="Q802"/>
      <c r="R802"/>
    </row>
    <row r="803" spans="4:18" x14ac:dyDescent="0.25">
      <c r="D803"/>
      <c r="Q803"/>
      <c r="R803"/>
    </row>
    <row r="804" spans="4:18" x14ac:dyDescent="0.25">
      <c r="D804"/>
      <c r="Q804"/>
      <c r="R804"/>
    </row>
    <row r="805" spans="4:18" x14ac:dyDescent="0.25">
      <c r="D805"/>
      <c r="Q805"/>
      <c r="R805"/>
    </row>
    <row r="806" spans="4:18" x14ac:dyDescent="0.25">
      <c r="D806"/>
      <c r="Q806"/>
      <c r="R806"/>
    </row>
    <row r="807" spans="4:18" x14ac:dyDescent="0.25">
      <c r="D807"/>
      <c r="Q807"/>
      <c r="R807"/>
    </row>
    <row r="808" spans="4:18" x14ac:dyDescent="0.25">
      <c r="D808"/>
      <c r="Q808"/>
      <c r="R808"/>
    </row>
    <row r="809" spans="4:18" x14ac:dyDescent="0.25">
      <c r="D809"/>
      <c r="Q809"/>
      <c r="R809"/>
    </row>
    <row r="810" spans="4:18" x14ac:dyDescent="0.25">
      <c r="D810"/>
      <c r="Q810"/>
      <c r="R810"/>
    </row>
    <row r="811" spans="4:18" x14ac:dyDescent="0.25">
      <c r="D811"/>
      <c r="Q811"/>
      <c r="R811"/>
    </row>
    <row r="812" spans="4:18" x14ac:dyDescent="0.25">
      <c r="D812"/>
      <c r="Q812"/>
      <c r="R812"/>
    </row>
    <row r="813" spans="4:18" x14ac:dyDescent="0.25">
      <c r="D813"/>
      <c r="Q813"/>
      <c r="R813"/>
    </row>
    <row r="814" spans="4:18" x14ac:dyDescent="0.25">
      <c r="D814"/>
      <c r="Q814"/>
      <c r="R814"/>
    </row>
    <row r="815" spans="4:18" x14ac:dyDescent="0.25">
      <c r="D815"/>
      <c r="Q815"/>
      <c r="R815"/>
    </row>
    <row r="816" spans="4:18" x14ac:dyDescent="0.25">
      <c r="D816"/>
      <c r="Q816"/>
      <c r="R816"/>
    </row>
    <row r="817" spans="4:18" x14ac:dyDescent="0.25">
      <c r="D817"/>
      <c r="Q817"/>
      <c r="R817"/>
    </row>
    <row r="818" spans="4:18" x14ac:dyDescent="0.25">
      <c r="D818"/>
      <c r="Q818"/>
      <c r="R818"/>
    </row>
    <row r="819" spans="4:18" x14ac:dyDescent="0.25">
      <c r="D819"/>
      <c r="Q819"/>
      <c r="R819"/>
    </row>
    <row r="820" spans="4:18" x14ac:dyDescent="0.25">
      <c r="D820"/>
      <c r="Q820"/>
      <c r="R820"/>
    </row>
    <row r="821" spans="4:18" x14ac:dyDescent="0.25">
      <c r="D821"/>
      <c r="Q821"/>
      <c r="R821"/>
    </row>
    <row r="822" spans="4:18" x14ac:dyDescent="0.25">
      <c r="D822"/>
      <c r="Q822"/>
      <c r="R822"/>
    </row>
    <row r="823" spans="4:18" x14ac:dyDescent="0.25">
      <c r="D823"/>
      <c r="Q823"/>
      <c r="R823"/>
    </row>
    <row r="824" spans="4:18" x14ac:dyDescent="0.25">
      <c r="D824"/>
      <c r="Q824"/>
      <c r="R824"/>
    </row>
    <row r="825" spans="4:18" x14ac:dyDescent="0.25">
      <c r="D825"/>
      <c r="Q825"/>
      <c r="R825"/>
    </row>
    <row r="826" spans="4:18" x14ac:dyDescent="0.25">
      <c r="D826"/>
      <c r="Q826"/>
      <c r="R826"/>
    </row>
    <row r="827" spans="4:18" x14ac:dyDescent="0.25">
      <c r="D827"/>
      <c r="Q827"/>
      <c r="R827"/>
    </row>
    <row r="828" spans="4:18" x14ac:dyDescent="0.25">
      <c r="D828"/>
      <c r="Q828"/>
      <c r="R828"/>
    </row>
    <row r="829" spans="4:18" x14ac:dyDescent="0.25">
      <c r="D829"/>
      <c r="Q829"/>
      <c r="R829"/>
    </row>
    <row r="830" spans="4:18" x14ac:dyDescent="0.25">
      <c r="D830"/>
      <c r="Q830"/>
      <c r="R830"/>
    </row>
    <row r="831" spans="4:18" x14ac:dyDescent="0.25">
      <c r="D831"/>
      <c r="Q831"/>
      <c r="R831"/>
    </row>
    <row r="832" spans="4:18" x14ac:dyDescent="0.25">
      <c r="D832"/>
      <c r="Q832"/>
      <c r="R832"/>
    </row>
    <row r="833" spans="4:18" x14ac:dyDescent="0.25">
      <c r="D833"/>
      <c r="Q833"/>
      <c r="R833"/>
    </row>
    <row r="834" spans="4:18" x14ac:dyDescent="0.25">
      <c r="D834"/>
      <c r="Q834"/>
      <c r="R834"/>
    </row>
    <row r="835" spans="4:18" x14ac:dyDescent="0.25">
      <c r="D835"/>
      <c r="Q835"/>
      <c r="R835"/>
    </row>
    <row r="836" spans="4:18" x14ac:dyDescent="0.25">
      <c r="D836"/>
      <c r="Q836"/>
      <c r="R836"/>
    </row>
    <row r="837" spans="4:18" x14ac:dyDescent="0.25">
      <c r="D837"/>
      <c r="Q837"/>
      <c r="R837"/>
    </row>
    <row r="838" spans="4:18" x14ac:dyDescent="0.25">
      <c r="D838"/>
      <c r="Q838"/>
      <c r="R838"/>
    </row>
    <row r="839" spans="4:18" x14ac:dyDescent="0.25">
      <c r="D839"/>
      <c r="Q839"/>
      <c r="R839"/>
    </row>
    <row r="840" spans="4:18" x14ac:dyDescent="0.25">
      <c r="D840"/>
      <c r="Q840"/>
      <c r="R840"/>
    </row>
    <row r="841" spans="4:18" x14ac:dyDescent="0.25">
      <c r="D841"/>
      <c r="Q841"/>
      <c r="R841"/>
    </row>
    <row r="842" spans="4:18" x14ac:dyDescent="0.25">
      <c r="D842"/>
      <c r="Q842"/>
      <c r="R842"/>
    </row>
    <row r="843" spans="4:18" x14ac:dyDescent="0.25">
      <c r="D843"/>
      <c r="Q843"/>
      <c r="R843"/>
    </row>
    <row r="844" spans="4:18" x14ac:dyDescent="0.25">
      <c r="D844"/>
      <c r="Q844"/>
      <c r="R844"/>
    </row>
    <row r="845" spans="4:18" x14ac:dyDescent="0.25">
      <c r="D845"/>
      <c r="Q845"/>
      <c r="R845"/>
    </row>
    <row r="846" spans="4:18" x14ac:dyDescent="0.25">
      <c r="D846"/>
      <c r="Q846"/>
      <c r="R846"/>
    </row>
    <row r="847" spans="4:18" x14ac:dyDescent="0.25">
      <c r="D847"/>
      <c r="Q847"/>
      <c r="R847"/>
    </row>
    <row r="848" spans="4:18" x14ac:dyDescent="0.25">
      <c r="D848"/>
      <c r="Q848"/>
      <c r="R848"/>
    </row>
    <row r="849" spans="4:18" x14ac:dyDescent="0.25">
      <c r="D849"/>
      <c r="Q849"/>
      <c r="R849"/>
    </row>
    <row r="850" spans="4:18" x14ac:dyDescent="0.25">
      <c r="D850"/>
      <c r="Q850"/>
      <c r="R850"/>
    </row>
    <row r="851" spans="4:18" x14ac:dyDescent="0.25">
      <c r="D851"/>
      <c r="Q851"/>
      <c r="R851"/>
    </row>
    <row r="852" spans="4:18" x14ac:dyDescent="0.25">
      <c r="D852"/>
      <c r="Q852"/>
      <c r="R852"/>
    </row>
    <row r="853" spans="4:18" x14ac:dyDescent="0.25">
      <c r="D853"/>
      <c r="Q853"/>
      <c r="R853"/>
    </row>
    <row r="854" spans="4:18" x14ac:dyDescent="0.25">
      <c r="D854"/>
      <c r="Q854"/>
      <c r="R854"/>
    </row>
    <row r="855" spans="4:18" x14ac:dyDescent="0.25">
      <c r="D855"/>
      <c r="Q855"/>
      <c r="R855"/>
    </row>
    <row r="856" spans="4:18" x14ac:dyDescent="0.25">
      <c r="D856"/>
      <c r="Q856"/>
      <c r="R856"/>
    </row>
    <row r="857" spans="4:18" x14ac:dyDescent="0.25">
      <c r="D857"/>
      <c r="Q857"/>
      <c r="R857"/>
    </row>
    <row r="858" spans="4:18" x14ac:dyDescent="0.25">
      <c r="D858"/>
      <c r="Q858"/>
      <c r="R858"/>
    </row>
    <row r="859" spans="4:18" x14ac:dyDescent="0.25">
      <c r="D859"/>
      <c r="Q859"/>
      <c r="R859"/>
    </row>
    <row r="860" spans="4:18" x14ac:dyDescent="0.25">
      <c r="D860"/>
      <c r="Q860"/>
      <c r="R860"/>
    </row>
    <row r="861" spans="4:18" x14ac:dyDescent="0.25">
      <c r="D861"/>
      <c r="Q861"/>
      <c r="R861"/>
    </row>
    <row r="862" spans="4:18" x14ac:dyDescent="0.25">
      <c r="D862"/>
      <c r="Q862"/>
      <c r="R862"/>
    </row>
    <row r="863" spans="4:18" x14ac:dyDescent="0.25">
      <c r="D863"/>
      <c r="Q863"/>
      <c r="R863"/>
    </row>
    <row r="864" spans="4:18" x14ac:dyDescent="0.25">
      <c r="D864"/>
      <c r="Q864"/>
      <c r="R864"/>
    </row>
    <row r="865" spans="4:18" x14ac:dyDescent="0.25">
      <c r="D865"/>
      <c r="Q865"/>
      <c r="R865"/>
    </row>
    <row r="866" spans="4:18" x14ac:dyDescent="0.25">
      <c r="D866"/>
      <c r="Q866"/>
      <c r="R866"/>
    </row>
    <row r="867" spans="4:18" x14ac:dyDescent="0.25">
      <c r="D867"/>
      <c r="Q867"/>
      <c r="R867"/>
    </row>
    <row r="868" spans="4:18" x14ac:dyDescent="0.25">
      <c r="D868"/>
      <c r="Q868"/>
      <c r="R868"/>
    </row>
    <row r="869" spans="4:18" x14ac:dyDescent="0.25">
      <c r="D869"/>
      <c r="Q869"/>
      <c r="R869"/>
    </row>
    <row r="870" spans="4:18" x14ac:dyDescent="0.25">
      <c r="D870"/>
      <c r="Q870"/>
      <c r="R870"/>
    </row>
    <row r="871" spans="4:18" x14ac:dyDescent="0.25">
      <c r="D871"/>
      <c r="Q871"/>
      <c r="R871"/>
    </row>
    <row r="872" spans="4:18" x14ac:dyDescent="0.25">
      <c r="D872"/>
      <c r="Q872"/>
      <c r="R872"/>
    </row>
    <row r="873" spans="4:18" x14ac:dyDescent="0.25">
      <c r="D873"/>
      <c r="Q873"/>
      <c r="R873"/>
    </row>
    <row r="874" spans="4:18" x14ac:dyDescent="0.25">
      <c r="D874"/>
      <c r="Q874"/>
      <c r="R874"/>
    </row>
    <row r="875" spans="4:18" x14ac:dyDescent="0.25">
      <c r="D875"/>
      <c r="Q875"/>
      <c r="R875"/>
    </row>
    <row r="876" spans="4:18" x14ac:dyDescent="0.25">
      <c r="D876"/>
      <c r="Q876"/>
      <c r="R876"/>
    </row>
    <row r="877" spans="4:18" x14ac:dyDescent="0.25">
      <c r="D877"/>
      <c r="Q877"/>
      <c r="R877"/>
    </row>
    <row r="878" spans="4:18" x14ac:dyDescent="0.25">
      <c r="D878"/>
      <c r="Q878"/>
      <c r="R878"/>
    </row>
    <row r="879" spans="4:18" x14ac:dyDescent="0.25">
      <c r="D879"/>
      <c r="Q879"/>
      <c r="R879"/>
    </row>
    <row r="880" spans="4:18" x14ac:dyDescent="0.25">
      <c r="D880"/>
      <c r="Q880"/>
      <c r="R880"/>
    </row>
    <row r="881" spans="4:18" x14ac:dyDescent="0.25">
      <c r="D881"/>
      <c r="Q881"/>
      <c r="R881"/>
    </row>
    <row r="882" spans="4:18" x14ac:dyDescent="0.25">
      <c r="D882"/>
      <c r="Q882"/>
      <c r="R882"/>
    </row>
    <row r="883" spans="4:18" x14ac:dyDescent="0.25">
      <c r="D883"/>
      <c r="Q883"/>
      <c r="R883"/>
    </row>
    <row r="884" spans="4:18" x14ac:dyDescent="0.25">
      <c r="D884"/>
      <c r="Q884"/>
      <c r="R884"/>
    </row>
    <row r="885" spans="4:18" x14ac:dyDescent="0.25">
      <c r="D885"/>
      <c r="Q885"/>
      <c r="R885"/>
    </row>
    <row r="886" spans="4:18" x14ac:dyDescent="0.25">
      <c r="D886"/>
      <c r="Q886"/>
      <c r="R886"/>
    </row>
    <row r="887" spans="4:18" x14ac:dyDescent="0.25">
      <c r="D887"/>
      <c r="Q887"/>
      <c r="R887"/>
    </row>
    <row r="888" spans="4:18" x14ac:dyDescent="0.25">
      <c r="D888"/>
      <c r="Q888"/>
      <c r="R888"/>
    </row>
    <row r="889" spans="4:18" x14ac:dyDescent="0.25">
      <c r="D889"/>
      <c r="Q889"/>
      <c r="R889"/>
    </row>
    <row r="890" spans="4:18" x14ac:dyDescent="0.25">
      <c r="D890"/>
      <c r="Q890"/>
      <c r="R890"/>
    </row>
    <row r="891" spans="4:18" x14ac:dyDescent="0.25">
      <c r="D891"/>
      <c r="Q891"/>
      <c r="R891"/>
    </row>
    <row r="892" spans="4:18" x14ac:dyDescent="0.25">
      <c r="D892"/>
      <c r="Q892"/>
      <c r="R892"/>
    </row>
    <row r="893" spans="4:18" x14ac:dyDescent="0.25">
      <c r="D893"/>
      <c r="Q893"/>
      <c r="R893"/>
    </row>
    <row r="894" spans="4:18" x14ac:dyDescent="0.25">
      <c r="D894"/>
      <c r="Q894"/>
      <c r="R894"/>
    </row>
    <row r="895" spans="4:18" x14ac:dyDescent="0.25">
      <c r="D895"/>
      <c r="Q895"/>
      <c r="R895"/>
    </row>
    <row r="896" spans="4:18" x14ac:dyDescent="0.25">
      <c r="D896"/>
      <c r="Q896"/>
      <c r="R896"/>
    </row>
    <row r="897" spans="4:18" x14ac:dyDescent="0.25">
      <c r="D897"/>
      <c r="Q897"/>
      <c r="R897"/>
    </row>
    <row r="898" spans="4:18" x14ac:dyDescent="0.25">
      <c r="D898"/>
      <c r="Q898"/>
      <c r="R898"/>
    </row>
    <row r="899" spans="4:18" x14ac:dyDescent="0.25">
      <c r="D899"/>
      <c r="Q899"/>
      <c r="R899"/>
    </row>
    <row r="900" spans="4:18" x14ac:dyDescent="0.25">
      <c r="D900"/>
      <c r="Q900"/>
      <c r="R900"/>
    </row>
    <row r="901" spans="4:18" x14ac:dyDescent="0.25">
      <c r="D901"/>
      <c r="Q901"/>
      <c r="R901"/>
    </row>
    <row r="902" spans="4:18" x14ac:dyDescent="0.25">
      <c r="D902"/>
      <c r="Q902"/>
      <c r="R902"/>
    </row>
    <row r="903" spans="4:18" x14ac:dyDescent="0.25">
      <c r="D903"/>
      <c r="Q903"/>
      <c r="R903"/>
    </row>
    <row r="904" spans="4:18" x14ac:dyDescent="0.25">
      <c r="D904"/>
      <c r="Q904"/>
      <c r="R904"/>
    </row>
    <row r="905" spans="4:18" x14ac:dyDescent="0.25">
      <c r="D905"/>
      <c r="Q905"/>
      <c r="R905"/>
    </row>
    <row r="906" spans="4:18" x14ac:dyDescent="0.25">
      <c r="D906"/>
      <c r="Q906"/>
      <c r="R906"/>
    </row>
    <row r="907" spans="4:18" x14ac:dyDescent="0.25">
      <c r="D907"/>
      <c r="Q907"/>
      <c r="R907"/>
    </row>
    <row r="908" spans="4:18" x14ac:dyDescent="0.25">
      <c r="D908"/>
      <c r="Q908"/>
      <c r="R908"/>
    </row>
    <row r="909" spans="4:18" x14ac:dyDescent="0.25">
      <c r="D909"/>
      <c r="Q909"/>
      <c r="R909"/>
    </row>
    <row r="910" spans="4:18" x14ac:dyDescent="0.25">
      <c r="D910"/>
      <c r="Q910"/>
      <c r="R910"/>
    </row>
    <row r="911" spans="4:18" x14ac:dyDescent="0.25">
      <c r="D911"/>
      <c r="Q911"/>
      <c r="R911"/>
    </row>
    <row r="912" spans="4:18" x14ac:dyDescent="0.25">
      <c r="D912"/>
      <c r="Q912"/>
      <c r="R912"/>
    </row>
    <row r="913" spans="4:18" x14ac:dyDescent="0.25">
      <c r="D913"/>
      <c r="Q913"/>
      <c r="R913"/>
    </row>
    <row r="914" spans="4:18" x14ac:dyDescent="0.25">
      <c r="D914"/>
      <c r="Q914"/>
      <c r="R914"/>
    </row>
    <row r="915" spans="4:18" x14ac:dyDescent="0.25">
      <c r="D915"/>
      <c r="Q915"/>
      <c r="R915"/>
    </row>
    <row r="916" spans="4:18" x14ac:dyDescent="0.25">
      <c r="D916"/>
      <c r="Q916"/>
      <c r="R916"/>
    </row>
    <row r="917" spans="4:18" x14ac:dyDescent="0.25">
      <c r="D917"/>
      <c r="Q917"/>
      <c r="R917"/>
    </row>
    <row r="918" spans="4:18" x14ac:dyDescent="0.25">
      <c r="D918"/>
      <c r="Q918"/>
      <c r="R918"/>
    </row>
    <row r="919" spans="4:18" x14ac:dyDescent="0.25">
      <c r="D919"/>
      <c r="Q919"/>
      <c r="R919"/>
    </row>
    <row r="920" spans="4:18" x14ac:dyDescent="0.25">
      <c r="D920"/>
      <c r="Q920"/>
      <c r="R920"/>
    </row>
    <row r="921" spans="4:18" x14ac:dyDescent="0.25">
      <c r="D921"/>
      <c r="Q921"/>
      <c r="R921"/>
    </row>
    <row r="922" spans="4:18" x14ac:dyDescent="0.25">
      <c r="D922"/>
      <c r="Q922"/>
      <c r="R922"/>
    </row>
    <row r="923" spans="4:18" x14ac:dyDescent="0.25">
      <c r="D923"/>
      <c r="Q923"/>
      <c r="R923"/>
    </row>
    <row r="924" spans="4:18" x14ac:dyDescent="0.25">
      <c r="D924"/>
      <c r="Q924"/>
      <c r="R924"/>
    </row>
    <row r="925" spans="4:18" x14ac:dyDescent="0.25">
      <c r="D925"/>
      <c r="Q925"/>
      <c r="R925"/>
    </row>
    <row r="926" spans="4:18" x14ac:dyDescent="0.25">
      <c r="D926"/>
      <c r="Q926"/>
      <c r="R926"/>
    </row>
    <row r="927" spans="4:18" x14ac:dyDescent="0.25">
      <c r="D927"/>
      <c r="Q927"/>
      <c r="R927"/>
    </row>
    <row r="928" spans="4:18" x14ac:dyDescent="0.25">
      <c r="D928"/>
      <c r="Q928"/>
      <c r="R928"/>
    </row>
    <row r="929" spans="4:18" x14ac:dyDescent="0.25">
      <c r="D929"/>
      <c r="Q929"/>
      <c r="R929"/>
    </row>
    <row r="930" spans="4:18" x14ac:dyDescent="0.25">
      <c r="D930"/>
      <c r="Q930"/>
      <c r="R930"/>
    </row>
    <row r="931" spans="4:18" x14ac:dyDescent="0.25">
      <c r="D931"/>
      <c r="Q931"/>
      <c r="R931"/>
    </row>
    <row r="932" spans="4:18" x14ac:dyDescent="0.25">
      <c r="D932"/>
      <c r="Q932"/>
      <c r="R932"/>
    </row>
    <row r="933" spans="4:18" x14ac:dyDescent="0.25">
      <c r="D933"/>
      <c r="Q933"/>
      <c r="R933"/>
    </row>
    <row r="934" spans="4:18" x14ac:dyDescent="0.25">
      <c r="D934"/>
      <c r="Q934"/>
      <c r="R934"/>
    </row>
    <row r="935" spans="4:18" x14ac:dyDescent="0.25">
      <c r="D935"/>
      <c r="Q935"/>
      <c r="R935"/>
    </row>
    <row r="936" spans="4:18" x14ac:dyDescent="0.25">
      <c r="D936"/>
      <c r="Q936"/>
      <c r="R936"/>
    </row>
    <row r="937" spans="4:18" x14ac:dyDescent="0.25">
      <c r="D937"/>
      <c r="Q937"/>
      <c r="R937"/>
    </row>
    <row r="938" spans="4:18" x14ac:dyDescent="0.25">
      <c r="D938"/>
      <c r="Q938"/>
      <c r="R938"/>
    </row>
    <row r="939" spans="4:18" x14ac:dyDescent="0.25">
      <c r="D939"/>
      <c r="Q939"/>
      <c r="R939"/>
    </row>
    <row r="940" spans="4:18" x14ac:dyDescent="0.25">
      <c r="D940"/>
      <c r="Q940"/>
      <c r="R940"/>
    </row>
    <row r="941" spans="4:18" x14ac:dyDescent="0.25">
      <c r="D941"/>
      <c r="Q941"/>
      <c r="R941"/>
    </row>
    <row r="942" spans="4:18" x14ac:dyDescent="0.25">
      <c r="D942"/>
      <c r="Q942"/>
      <c r="R942"/>
    </row>
    <row r="943" spans="4:18" x14ac:dyDescent="0.25">
      <c r="D943"/>
      <c r="Q943"/>
      <c r="R943"/>
    </row>
    <row r="944" spans="4:18" x14ac:dyDescent="0.25">
      <c r="D944"/>
      <c r="Q944"/>
      <c r="R944"/>
    </row>
    <row r="945" spans="4:18" x14ac:dyDescent="0.25">
      <c r="D945"/>
      <c r="Q945"/>
      <c r="R945"/>
    </row>
    <row r="946" spans="4:18" x14ac:dyDescent="0.25">
      <c r="D946"/>
      <c r="Q946"/>
      <c r="R946"/>
    </row>
    <row r="947" spans="4:18" x14ac:dyDescent="0.25">
      <c r="D947"/>
      <c r="Q947"/>
      <c r="R947"/>
    </row>
    <row r="948" spans="4:18" x14ac:dyDescent="0.25">
      <c r="D948"/>
      <c r="Q948"/>
      <c r="R948"/>
    </row>
    <row r="949" spans="4:18" x14ac:dyDescent="0.25">
      <c r="D949"/>
      <c r="Q949"/>
      <c r="R949"/>
    </row>
    <row r="950" spans="4:18" x14ac:dyDescent="0.25">
      <c r="D950"/>
      <c r="Q950"/>
      <c r="R950"/>
    </row>
    <row r="951" spans="4:18" x14ac:dyDescent="0.25">
      <c r="D951"/>
      <c r="Q951"/>
      <c r="R951"/>
    </row>
    <row r="952" spans="4:18" x14ac:dyDescent="0.25">
      <c r="D952"/>
      <c r="Q952"/>
      <c r="R952"/>
    </row>
    <row r="953" spans="4:18" x14ac:dyDescent="0.25">
      <c r="D953"/>
      <c r="Q953"/>
      <c r="R953"/>
    </row>
    <row r="954" spans="4:18" x14ac:dyDescent="0.25">
      <c r="D954"/>
      <c r="Q954"/>
      <c r="R954"/>
    </row>
    <row r="955" spans="4:18" x14ac:dyDescent="0.25">
      <c r="D955"/>
      <c r="Q955"/>
      <c r="R955"/>
    </row>
    <row r="956" spans="4:18" x14ac:dyDescent="0.25">
      <c r="D956"/>
      <c r="Q956"/>
      <c r="R956"/>
    </row>
    <row r="957" spans="4:18" x14ac:dyDescent="0.25">
      <c r="D957"/>
      <c r="Q957"/>
      <c r="R957"/>
    </row>
    <row r="958" spans="4:18" x14ac:dyDescent="0.25">
      <c r="D958"/>
      <c r="Q958"/>
      <c r="R958"/>
    </row>
    <row r="959" spans="4:18" x14ac:dyDescent="0.25">
      <c r="D959"/>
      <c r="Q959"/>
      <c r="R959"/>
    </row>
    <row r="960" spans="4:18" x14ac:dyDescent="0.25">
      <c r="D960"/>
      <c r="Q960"/>
      <c r="R960"/>
    </row>
    <row r="961" spans="4:18" x14ac:dyDescent="0.25">
      <c r="D961"/>
      <c r="Q961"/>
      <c r="R961"/>
    </row>
    <row r="962" spans="4:18" x14ac:dyDescent="0.25">
      <c r="D962"/>
      <c r="Q962"/>
      <c r="R962"/>
    </row>
    <row r="963" spans="4:18" x14ac:dyDescent="0.25">
      <c r="D963"/>
      <c r="Q963"/>
      <c r="R963"/>
    </row>
    <row r="964" spans="4:18" x14ac:dyDescent="0.25">
      <c r="D964"/>
      <c r="Q964"/>
      <c r="R964"/>
    </row>
    <row r="965" spans="4:18" x14ac:dyDescent="0.25">
      <c r="D965"/>
      <c r="Q965"/>
      <c r="R965"/>
    </row>
    <row r="966" spans="4:18" x14ac:dyDescent="0.25">
      <c r="D966"/>
      <c r="Q966"/>
      <c r="R966"/>
    </row>
    <row r="967" spans="4:18" x14ac:dyDescent="0.25">
      <c r="D967"/>
      <c r="Q967"/>
      <c r="R967"/>
    </row>
    <row r="968" spans="4:18" x14ac:dyDescent="0.25">
      <c r="D968"/>
      <c r="Q968"/>
      <c r="R968"/>
    </row>
    <row r="969" spans="4:18" x14ac:dyDescent="0.25">
      <c r="D969"/>
      <c r="Q969"/>
      <c r="R969"/>
    </row>
    <row r="970" spans="4:18" x14ac:dyDescent="0.25">
      <c r="D970"/>
      <c r="Q970"/>
      <c r="R970"/>
    </row>
    <row r="971" spans="4:18" x14ac:dyDescent="0.25">
      <c r="D971"/>
      <c r="Q971"/>
      <c r="R971"/>
    </row>
    <row r="972" spans="4:18" x14ac:dyDescent="0.25">
      <c r="D972"/>
      <c r="Q972"/>
      <c r="R972"/>
    </row>
    <row r="973" spans="4:18" x14ac:dyDescent="0.25">
      <c r="D973"/>
      <c r="Q973"/>
      <c r="R973"/>
    </row>
    <row r="974" spans="4:18" x14ac:dyDescent="0.25">
      <c r="D974"/>
      <c r="Q974"/>
      <c r="R974"/>
    </row>
    <row r="975" spans="4:18" x14ac:dyDescent="0.25">
      <c r="D975"/>
      <c r="Q975"/>
      <c r="R975"/>
    </row>
    <row r="976" spans="4:18" x14ac:dyDescent="0.25">
      <c r="D976"/>
      <c r="Q976"/>
      <c r="R976"/>
    </row>
    <row r="977" spans="4:18" x14ac:dyDescent="0.25">
      <c r="D977"/>
      <c r="Q977"/>
      <c r="R977"/>
    </row>
    <row r="978" spans="4:18" x14ac:dyDescent="0.25">
      <c r="D978"/>
      <c r="Q978"/>
      <c r="R978"/>
    </row>
    <row r="979" spans="4:18" x14ac:dyDescent="0.25">
      <c r="D979"/>
      <c r="Q979"/>
      <c r="R979"/>
    </row>
    <row r="980" spans="4:18" x14ac:dyDescent="0.25">
      <c r="D980"/>
      <c r="Q980"/>
      <c r="R980"/>
    </row>
    <row r="981" spans="4:18" x14ac:dyDescent="0.25">
      <c r="D981"/>
      <c r="Q981"/>
      <c r="R981"/>
    </row>
    <row r="982" spans="4:18" x14ac:dyDescent="0.25">
      <c r="D982"/>
      <c r="Q982"/>
      <c r="R982"/>
    </row>
    <row r="983" spans="4:18" x14ac:dyDescent="0.25">
      <c r="D983"/>
      <c r="Q983"/>
      <c r="R983"/>
    </row>
    <row r="984" spans="4:18" x14ac:dyDescent="0.25">
      <c r="D984"/>
      <c r="Q984"/>
      <c r="R984"/>
    </row>
    <row r="985" spans="4:18" x14ac:dyDescent="0.25">
      <c r="D985"/>
      <c r="Q985"/>
      <c r="R985"/>
    </row>
    <row r="986" spans="4:18" x14ac:dyDescent="0.25">
      <c r="D986"/>
      <c r="Q986"/>
      <c r="R986"/>
    </row>
    <row r="987" spans="4:18" x14ac:dyDescent="0.25">
      <c r="D987"/>
      <c r="Q987"/>
      <c r="R987"/>
    </row>
    <row r="988" spans="4:18" x14ac:dyDescent="0.25">
      <c r="D988"/>
      <c r="Q988"/>
      <c r="R988"/>
    </row>
    <row r="989" spans="4:18" x14ac:dyDescent="0.25">
      <c r="D989"/>
      <c r="Q989"/>
      <c r="R989"/>
    </row>
    <row r="990" spans="4:18" x14ac:dyDescent="0.25">
      <c r="D990"/>
      <c r="Q990"/>
      <c r="R990"/>
    </row>
    <row r="991" spans="4:18" x14ac:dyDescent="0.25">
      <c r="D991"/>
      <c r="Q991"/>
      <c r="R991"/>
    </row>
    <row r="992" spans="4:18" x14ac:dyDescent="0.25">
      <c r="D992"/>
      <c r="Q992"/>
      <c r="R992"/>
    </row>
    <row r="993" spans="4:18" x14ac:dyDescent="0.25">
      <c r="D993"/>
      <c r="Q993"/>
      <c r="R993"/>
    </row>
    <row r="994" spans="4:18" x14ac:dyDescent="0.25">
      <c r="D994"/>
      <c r="Q994"/>
      <c r="R994"/>
    </row>
    <row r="995" spans="4:18" x14ac:dyDescent="0.25">
      <c r="D995"/>
      <c r="Q995"/>
      <c r="R995"/>
    </row>
    <row r="996" spans="4:18" x14ac:dyDescent="0.25">
      <c r="D996"/>
      <c r="Q996"/>
      <c r="R996"/>
    </row>
    <row r="997" spans="4:18" x14ac:dyDescent="0.25">
      <c r="D997"/>
      <c r="Q997"/>
      <c r="R997"/>
    </row>
    <row r="998" spans="4:18" x14ac:dyDescent="0.25">
      <c r="D998"/>
      <c r="Q998"/>
      <c r="R998"/>
    </row>
    <row r="999" spans="4:18" x14ac:dyDescent="0.25">
      <c r="D999"/>
      <c r="Q999"/>
      <c r="R999"/>
    </row>
    <row r="1000" spans="4:18" x14ac:dyDescent="0.25">
      <c r="D1000"/>
      <c r="Q1000"/>
      <c r="R1000"/>
    </row>
    <row r="1001" spans="4:18" x14ac:dyDescent="0.25">
      <c r="D1001"/>
      <c r="Q1001"/>
      <c r="R1001"/>
    </row>
    <row r="1002" spans="4:18" x14ac:dyDescent="0.25">
      <c r="D1002"/>
      <c r="Q1002"/>
      <c r="R1002"/>
    </row>
    <row r="1003" spans="4:18" x14ac:dyDescent="0.25">
      <c r="D1003"/>
      <c r="Q1003"/>
      <c r="R1003"/>
    </row>
    <row r="1004" spans="4:18" x14ac:dyDescent="0.25">
      <c r="D1004"/>
      <c r="Q1004"/>
      <c r="R1004"/>
    </row>
    <row r="1005" spans="4:18" x14ac:dyDescent="0.25">
      <c r="D1005"/>
      <c r="Q1005"/>
      <c r="R1005"/>
    </row>
    <row r="1006" spans="4:18" x14ac:dyDescent="0.25">
      <c r="D1006"/>
      <c r="Q1006"/>
      <c r="R1006"/>
    </row>
    <row r="1007" spans="4:18" x14ac:dyDescent="0.25">
      <c r="D1007"/>
      <c r="Q1007"/>
      <c r="R1007"/>
    </row>
    <row r="1008" spans="4:18" x14ac:dyDescent="0.25">
      <c r="D1008"/>
      <c r="Q1008"/>
      <c r="R1008"/>
    </row>
    <row r="1009" spans="4:18" x14ac:dyDescent="0.25">
      <c r="D1009"/>
      <c r="Q1009"/>
      <c r="R1009"/>
    </row>
    <row r="1010" spans="4:18" x14ac:dyDescent="0.25">
      <c r="D1010"/>
      <c r="Q1010"/>
      <c r="R1010"/>
    </row>
    <row r="1011" spans="4:18" x14ac:dyDescent="0.25">
      <c r="D1011"/>
      <c r="Q1011"/>
      <c r="R1011"/>
    </row>
    <row r="1012" spans="4:18" x14ac:dyDescent="0.25">
      <c r="D1012"/>
      <c r="Q1012"/>
      <c r="R1012"/>
    </row>
    <row r="1013" spans="4:18" x14ac:dyDescent="0.25">
      <c r="D1013"/>
      <c r="Q1013"/>
      <c r="R1013"/>
    </row>
    <row r="1014" spans="4:18" x14ac:dyDescent="0.25">
      <c r="D1014"/>
      <c r="Q1014"/>
      <c r="R1014"/>
    </row>
    <row r="1015" spans="4:18" x14ac:dyDescent="0.25">
      <c r="D1015"/>
      <c r="Q1015"/>
      <c r="R1015"/>
    </row>
    <row r="1016" spans="4:18" x14ac:dyDescent="0.25">
      <c r="D1016"/>
      <c r="Q1016"/>
      <c r="R1016"/>
    </row>
    <row r="1017" spans="4:18" x14ac:dyDescent="0.25">
      <c r="D1017"/>
      <c r="Q1017"/>
      <c r="R1017"/>
    </row>
    <row r="1018" spans="4:18" x14ac:dyDescent="0.25">
      <c r="D1018"/>
      <c r="Q1018"/>
      <c r="R1018"/>
    </row>
    <row r="1019" spans="4:18" x14ac:dyDescent="0.25">
      <c r="D1019"/>
      <c r="Q1019"/>
      <c r="R1019"/>
    </row>
    <row r="1020" spans="4:18" x14ac:dyDescent="0.25">
      <c r="D1020"/>
      <c r="Q1020"/>
      <c r="R1020"/>
    </row>
    <row r="1021" spans="4:18" x14ac:dyDescent="0.25">
      <c r="D1021"/>
      <c r="Q1021"/>
      <c r="R1021"/>
    </row>
    <row r="1022" spans="4:18" x14ac:dyDescent="0.25">
      <c r="D1022"/>
      <c r="Q1022"/>
      <c r="R1022"/>
    </row>
    <row r="1023" spans="4:18" x14ac:dyDescent="0.25">
      <c r="D1023"/>
      <c r="Q1023"/>
      <c r="R1023"/>
    </row>
    <row r="1024" spans="4:18" x14ac:dyDescent="0.25">
      <c r="D1024"/>
      <c r="Q1024"/>
      <c r="R1024"/>
    </row>
    <row r="1025" spans="4:18" x14ac:dyDescent="0.25">
      <c r="D1025"/>
      <c r="Q1025"/>
      <c r="R1025"/>
    </row>
    <row r="1026" spans="4:18" x14ac:dyDescent="0.25">
      <c r="D1026"/>
      <c r="Q1026"/>
      <c r="R1026"/>
    </row>
    <row r="1027" spans="4:18" x14ac:dyDescent="0.25">
      <c r="D1027"/>
      <c r="Q1027"/>
      <c r="R1027"/>
    </row>
    <row r="1028" spans="4:18" x14ac:dyDescent="0.25">
      <c r="D1028"/>
      <c r="Q1028"/>
      <c r="R1028"/>
    </row>
    <row r="1029" spans="4:18" x14ac:dyDescent="0.25">
      <c r="D1029"/>
      <c r="Q1029"/>
      <c r="R1029"/>
    </row>
    <row r="1030" spans="4:18" x14ac:dyDescent="0.25">
      <c r="D1030"/>
      <c r="Q1030"/>
      <c r="R1030"/>
    </row>
    <row r="1031" spans="4:18" x14ac:dyDescent="0.25">
      <c r="D1031"/>
      <c r="Q1031"/>
      <c r="R1031"/>
    </row>
    <row r="1032" spans="4:18" x14ac:dyDescent="0.25">
      <c r="D1032"/>
      <c r="Q1032"/>
      <c r="R1032"/>
    </row>
    <row r="1033" spans="4:18" x14ac:dyDescent="0.25">
      <c r="D1033"/>
      <c r="Q1033"/>
      <c r="R1033"/>
    </row>
    <row r="1034" spans="4:18" x14ac:dyDescent="0.25">
      <c r="D1034"/>
      <c r="Q1034"/>
      <c r="R1034"/>
    </row>
    <row r="1035" spans="4:18" x14ac:dyDescent="0.25">
      <c r="D1035"/>
      <c r="Q1035"/>
      <c r="R1035"/>
    </row>
    <row r="1036" spans="4:18" x14ac:dyDescent="0.25">
      <c r="D1036"/>
      <c r="Q1036"/>
      <c r="R1036"/>
    </row>
    <row r="1037" spans="4:18" x14ac:dyDescent="0.25">
      <c r="D1037"/>
      <c r="Q1037"/>
      <c r="R1037"/>
    </row>
    <row r="1038" spans="4:18" x14ac:dyDescent="0.25">
      <c r="D1038"/>
      <c r="Q1038"/>
      <c r="R1038"/>
    </row>
    <row r="1039" spans="4:18" x14ac:dyDescent="0.25">
      <c r="D1039"/>
      <c r="Q1039"/>
      <c r="R1039"/>
    </row>
    <row r="1040" spans="4:18" x14ac:dyDescent="0.25">
      <c r="D1040"/>
      <c r="Q1040"/>
      <c r="R1040"/>
    </row>
    <row r="1041" spans="4:18" x14ac:dyDescent="0.25">
      <c r="D1041"/>
      <c r="Q1041"/>
      <c r="R1041"/>
    </row>
    <row r="1042" spans="4:18" x14ac:dyDescent="0.25">
      <c r="D1042"/>
      <c r="Q1042"/>
      <c r="R1042"/>
    </row>
    <row r="1043" spans="4:18" x14ac:dyDescent="0.25">
      <c r="D1043"/>
      <c r="Q1043"/>
      <c r="R1043"/>
    </row>
    <row r="1044" spans="4:18" x14ac:dyDescent="0.25">
      <c r="D1044"/>
      <c r="Q1044"/>
      <c r="R1044"/>
    </row>
    <row r="1045" spans="4:18" x14ac:dyDescent="0.25">
      <c r="D1045"/>
      <c r="Q1045"/>
      <c r="R1045"/>
    </row>
    <row r="1046" spans="4:18" x14ac:dyDescent="0.25">
      <c r="D1046"/>
      <c r="Q1046"/>
      <c r="R1046"/>
    </row>
    <row r="1047" spans="4:18" x14ac:dyDescent="0.25">
      <c r="D1047"/>
      <c r="Q1047"/>
      <c r="R1047"/>
    </row>
    <row r="1048" spans="4:18" x14ac:dyDescent="0.25">
      <c r="D1048"/>
      <c r="Q1048"/>
      <c r="R1048"/>
    </row>
    <row r="1049" spans="4:18" x14ac:dyDescent="0.25">
      <c r="D1049"/>
      <c r="Q1049"/>
      <c r="R1049"/>
    </row>
    <row r="1050" spans="4:18" x14ac:dyDescent="0.25">
      <c r="D1050"/>
      <c r="Q1050"/>
      <c r="R1050"/>
    </row>
    <row r="1051" spans="4:18" x14ac:dyDescent="0.25">
      <c r="D1051"/>
      <c r="Q1051"/>
      <c r="R1051"/>
    </row>
    <row r="1052" spans="4:18" x14ac:dyDescent="0.25">
      <c r="D1052"/>
      <c r="Q1052"/>
      <c r="R1052"/>
    </row>
    <row r="1053" spans="4:18" x14ac:dyDescent="0.25">
      <c r="D1053"/>
      <c r="Q1053"/>
      <c r="R1053"/>
    </row>
    <row r="1054" spans="4:18" x14ac:dyDescent="0.25">
      <c r="D1054"/>
      <c r="Q1054"/>
      <c r="R1054"/>
    </row>
    <row r="1055" spans="4:18" x14ac:dyDescent="0.25">
      <c r="D1055"/>
      <c r="Q1055"/>
      <c r="R1055"/>
    </row>
    <row r="1056" spans="4:18" x14ac:dyDescent="0.25">
      <c r="D1056"/>
      <c r="Q1056"/>
      <c r="R1056"/>
    </row>
    <row r="1057" spans="4:18" x14ac:dyDescent="0.25">
      <c r="D1057"/>
      <c r="Q1057"/>
      <c r="R1057"/>
    </row>
    <row r="1058" spans="4:18" x14ac:dyDescent="0.25">
      <c r="D1058"/>
      <c r="Q1058"/>
      <c r="R1058"/>
    </row>
    <row r="1059" spans="4:18" x14ac:dyDescent="0.25">
      <c r="D1059"/>
      <c r="Q1059"/>
      <c r="R1059"/>
    </row>
    <row r="1060" spans="4:18" x14ac:dyDescent="0.25">
      <c r="D1060"/>
      <c r="Q1060"/>
      <c r="R1060"/>
    </row>
    <row r="1061" spans="4:18" x14ac:dyDescent="0.25">
      <c r="D1061"/>
      <c r="Q1061"/>
      <c r="R1061"/>
    </row>
    <row r="1062" spans="4:18" x14ac:dyDescent="0.25">
      <c r="D1062"/>
      <c r="Q1062"/>
      <c r="R1062"/>
    </row>
    <row r="1063" spans="4:18" x14ac:dyDescent="0.25">
      <c r="D1063"/>
      <c r="Q1063"/>
      <c r="R1063"/>
    </row>
    <row r="1064" spans="4:18" x14ac:dyDescent="0.25">
      <c r="D1064"/>
      <c r="Q1064"/>
      <c r="R1064"/>
    </row>
    <row r="1065" spans="4:18" x14ac:dyDescent="0.25">
      <c r="D1065"/>
      <c r="Q1065"/>
      <c r="R1065"/>
    </row>
    <row r="1066" spans="4:18" x14ac:dyDescent="0.25">
      <c r="D1066"/>
      <c r="Q1066"/>
      <c r="R1066"/>
    </row>
    <row r="1067" spans="4:18" x14ac:dyDescent="0.25">
      <c r="D1067"/>
      <c r="Q1067"/>
      <c r="R1067"/>
    </row>
    <row r="1068" spans="4:18" x14ac:dyDescent="0.25">
      <c r="D1068"/>
      <c r="Q1068"/>
      <c r="R1068"/>
    </row>
    <row r="1069" spans="4:18" x14ac:dyDescent="0.25">
      <c r="D1069"/>
      <c r="Q1069"/>
      <c r="R1069"/>
    </row>
    <row r="1070" spans="4:18" x14ac:dyDescent="0.25">
      <c r="D1070"/>
      <c r="Q1070"/>
      <c r="R1070"/>
    </row>
    <row r="1071" spans="4:18" x14ac:dyDescent="0.25">
      <c r="D1071"/>
      <c r="Q1071"/>
      <c r="R1071"/>
    </row>
    <row r="1072" spans="4:18" x14ac:dyDescent="0.25">
      <c r="D1072"/>
      <c r="Q1072"/>
      <c r="R1072"/>
    </row>
    <row r="1073" spans="4:18" x14ac:dyDescent="0.25">
      <c r="D1073"/>
      <c r="Q1073"/>
      <c r="R1073"/>
    </row>
    <row r="1074" spans="4:18" x14ac:dyDescent="0.25">
      <c r="D1074"/>
      <c r="Q1074"/>
      <c r="R1074"/>
    </row>
    <row r="1075" spans="4:18" x14ac:dyDescent="0.25">
      <c r="D1075"/>
      <c r="Q1075"/>
      <c r="R1075"/>
    </row>
    <row r="1076" spans="4:18" x14ac:dyDescent="0.25">
      <c r="D1076"/>
      <c r="Q1076"/>
      <c r="R1076"/>
    </row>
    <row r="1077" spans="4:18" x14ac:dyDescent="0.25">
      <c r="D1077"/>
      <c r="Q1077"/>
      <c r="R1077"/>
    </row>
    <row r="1078" spans="4:18" x14ac:dyDescent="0.25">
      <c r="D1078"/>
      <c r="Q1078"/>
      <c r="R1078"/>
    </row>
    <row r="1079" spans="4:18" x14ac:dyDescent="0.25">
      <c r="D1079"/>
      <c r="Q1079"/>
      <c r="R1079"/>
    </row>
    <row r="1080" spans="4:18" x14ac:dyDescent="0.25">
      <c r="D1080"/>
      <c r="Q1080"/>
      <c r="R1080"/>
    </row>
    <row r="1081" spans="4:18" x14ac:dyDescent="0.25">
      <c r="D1081"/>
      <c r="Q1081"/>
      <c r="R1081"/>
    </row>
    <row r="1082" spans="4:18" x14ac:dyDescent="0.25">
      <c r="D1082"/>
      <c r="Q1082"/>
      <c r="R1082"/>
    </row>
    <row r="1083" spans="4:18" x14ac:dyDescent="0.25">
      <c r="D1083"/>
      <c r="Q1083"/>
      <c r="R1083"/>
    </row>
    <row r="1084" spans="4:18" x14ac:dyDescent="0.25">
      <c r="D1084"/>
      <c r="Q1084"/>
      <c r="R1084"/>
    </row>
    <row r="1085" spans="4:18" x14ac:dyDescent="0.25">
      <c r="D1085"/>
      <c r="Q1085"/>
      <c r="R1085"/>
    </row>
    <row r="1086" spans="4:18" x14ac:dyDescent="0.25">
      <c r="D1086"/>
      <c r="Q1086"/>
      <c r="R1086"/>
    </row>
    <row r="1087" spans="4:18" x14ac:dyDescent="0.25">
      <c r="D1087"/>
      <c r="Q1087"/>
      <c r="R1087"/>
    </row>
    <row r="1088" spans="4:18" x14ac:dyDescent="0.25">
      <c r="D1088"/>
      <c r="Q1088"/>
      <c r="R1088"/>
    </row>
    <row r="1089" spans="4:18" x14ac:dyDescent="0.25">
      <c r="D1089"/>
      <c r="Q1089"/>
      <c r="R1089"/>
    </row>
    <row r="1090" spans="4:18" x14ac:dyDescent="0.25">
      <c r="D1090"/>
      <c r="Q1090"/>
      <c r="R1090"/>
    </row>
    <row r="1091" spans="4:18" x14ac:dyDescent="0.25">
      <c r="D1091"/>
      <c r="Q1091"/>
      <c r="R1091"/>
    </row>
    <row r="1092" spans="4:18" x14ac:dyDescent="0.25">
      <c r="D1092"/>
      <c r="Q1092"/>
      <c r="R1092"/>
    </row>
    <row r="1093" spans="4:18" x14ac:dyDescent="0.25">
      <c r="D1093"/>
      <c r="Q1093"/>
      <c r="R1093"/>
    </row>
    <row r="1094" spans="4:18" x14ac:dyDescent="0.25">
      <c r="D1094"/>
      <c r="Q1094"/>
      <c r="R1094"/>
    </row>
    <row r="1095" spans="4:18" x14ac:dyDescent="0.25">
      <c r="D1095"/>
      <c r="Q1095"/>
      <c r="R1095"/>
    </row>
    <row r="1096" spans="4:18" x14ac:dyDescent="0.25">
      <c r="D1096"/>
      <c r="Q1096"/>
      <c r="R1096"/>
    </row>
    <row r="1097" spans="4:18" x14ac:dyDescent="0.25">
      <c r="D1097"/>
      <c r="Q1097"/>
      <c r="R1097"/>
    </row>
    <row r="1098" spans="4:18" x14ac:dyDescent="0.25">
      <c r="D1098"/>
      <c r="Q1098"/>
      <c r="R1098"/>
    </row>
    <row r="1099" spans="4:18" x14ac:dyDescent="0.25">
      <c r="D1099"/>
      <c r="Q1099"/>
      <c r="R1099"/>
    </row>
    <row r="1100" spans="4:18" x14ac:dyDescent="0.25">
      <c r="D1100"/>
      <c r="Q1100"/>
      <c r="R1100"/>
    </row>
    <row r="1101" spans="4:18" x14ac:dyDescent="0.25">
      <c r="D1101"/>
      <c r="Q1101"/>
      <c r="R1101"/>
    </row>
    <row r="1102" spans="4:18" x14ac:dyDescent="0.25">
      <c r="D1102"/>
      <c r="Q1102"/>
      <c r="R1102"/>
    </row>
    <row r="1103" spans="4:18" x14ac:dyDescent="0.25">
      <c r="D1103"/>
      <c r="Q1103"/>
      <c r="R1103"/>
    </row>
    <row r="1104" spans="4:18" x14ac:dyDescent="0.25">
      <c r="D1104"/>
      <c r="Q1104"/>
      <c r="R1104"/>
    </row>
    <row r="1105" spans="4:18" x14ac:dyDescent="0.25">
      <c r="D1105"/>
      <c r="Q1105"/>
      <c r="R1105"/>
    </row>
    <row r="1106" spans="4:18" x14ac:dyDescent="0.25">
      <c r="D1106"/>
      <c r="Q1106"/>
      <c r="R1106"/>
    </row>
    <row r="1107" spans="4:18" x14ac:dyDescent="0.25">
      <c r="D1107"/>
      <c r="Q1107"/>
      <c r="R1107"/>
    </row>
    <row r="1108" spans="4:18" x14ac:dyDescent="0.25">
      <c r="D1108"/>
      <c r="Q1108"/>
      <c r="R1108"/>
    </row>
    <row r="1109" spans="4:18" x14ac:dyDescent="0.25">
      <c r="D1109"/>
      <c r="Q1109"/>
      <c r="R1109"/>
    </row>
    <row r="1110" spans="4:18" x14ac:dyDescent="0.25">
      <c r="D1110"/>
      <c r="Q1110"/>
      <c r="R1110"/>
    </row>
    <row r="1111" spans="4:18" x14ac:dyDescent="0.25">
      <c r="D1111"/>
      <c r="Q1111"/>
      <c r="R1111"/>
    </row>
    <row r="1112" spans="4:18" x14ac:dyDescent="0.25">
      <c r="D1112"/>
      <c r="Q1112"/>
      <c r="R1112"/>
    </row>
    <row r="1113" spans="4:18" x14ac:dyDescent="0.25">
      <c r="D1113"/>
      <c r="Q1113"/>
      <c r="R1113"/>
    </row>
    <row r="1114" spans="4:18" x14ac:dyDescent="0.25">
      <c r="D1114"/>
      <c r="Q1114"/>
      <c r="R1114"/>
    </row>
    <row r="1115" spans="4:18" x14ac:dyDescent="0.25">
      <c r="D1115"/>
      <c r="Q1115"/>
      <c r="R1115"/>
    </row>
    <row r="1116" spans="4:18" x14ac:dyDescent="0.25">
      <c r="D1116"/>
      <c r="Q1116"/>
      <c r="R1116"/>
    </row>
    <row r="1117" spans="4:18" x14ac:dyDescent="0.25">
      <c r="D1117"/>
      <c r="Q1117"/>
      <c r="R1117"/>
    </row>
    <row r="1118" spans="4:18" x14ac:dyDescent="0.25">
      <c r="D1118"/>
      <c r="Q1118"/>
      <c r="R1118"/>
    </row>
    <row r="1119" spans="4:18" x14ac:dyDescent="0.25">
      <c r="D1119"/>
      <c r="Q1119"/>
      <c r="R1119"/>
    </row>
    <row r="1120" spans="4:18" x14ac:dyDescent="0.25">
      <c r="D1120"/>
      <c r="Q1120"/>
      <c r="R1120"/>
    </row>
    <row r="1121" spans="4:18" x14ac:dyDescent="0.25">
      <c r="D1121"/>
      <c r="Q1121"/>
      <c r="R1121"/>
    </row>
    <row r="1122" spans="4:18" x14ac:dyDescent="0.25">
      <c r="D1122"/>
      <c r="Q1122"/>
      <c r="R1122"/>
    </row>
    <row r="1123" spans="4:18" x14ac:dyDescent="0.25">
      <c r="D1123"/>
      <c r="Q1123"/>
      <c r="R1123"/>
    </row>
    <row r="1124" spans="4:18" x14ac:dyDescent="0.25">
      <c r="D1124"/>
      <c r="Q1124"/>
      <c r="R1124"/>
    </row>
    <row r="1125" spans="4:18" x14ac:dyDescent="0.25">
      <c r="D1125"/>
      <c r="Q1125"/>
      <c r="R1125"/>
    </row>
    <row r="1126" spans="4:18" x14ac:dyDescent="0.25">
      <c r="D1126"/>
      <c r="Q1126"/>
      <c r="R1126"/>
    </row>
    <row r="1127" spans="4:18" x14ac:dyDescent="0.25">
      <c r="D1127"/>
      <c r="Q1127"/>
      <c r="R1127"/>
    </row>
    <row r="1128" spans="4:18" x14ac:dyDescent="0.25">
      <c r="D1128"/>
      <c r="Q1128"/>
      <c r="R1128"/>
    </row>
    <row r="1129" spans="4:18" x14ac:dyDescent="0.25">
      <c r="D1129"/>
      <c r="Q1129"/>
      <c r="R1129"/>
    </row>
    <row r="1130" spans="4:18" x14ac:dyDescent="0.25">
      <c r="D1130"/>
      <c r="Q1130"/>
      <c r="R1130"/>
    </row>
    <row r="1131" spans="4:18" x14ac:dyDescent="0.25">
      <c r="D1131"/>
      <c r="Q1131"/>
      <c r="R1131"/>
    </row>
    <row r="1132" spans="4:18" x14ac:dyDescent="0.25">
      <c r="D1132"/>
      <c r="Q1132"/>
      <c r="R1132"/>
    </row>
    <row r="1133" spans="4:18" x14ac:dyDescent="0.25">
      <c r="D1133"/>
      <c r="Q1133"/>
      <c r="R1133"/>
    </row>
    <row r="1134" spans="4:18" x14ac:dyDescent="0.25">
      <c r="D1134"/>
      <c r="Q1134"/>
      <c r="R1134"/>
    </row>
    <row r="1135" spans="4:18" x14ac:dyDescent="0.25">
      <c r="D1135"/>
      <c r="Q1135"/>
      <c r="R1135"/>
    </row>
    <row r="1136" spans="4:18" x14ac:dyDescent="0.25">
      <c r="D1136"/>
      <c r="Q1136"/>
      <c r="R1136"/>
    </row>
    <row r="1137" spans="4:18" x14ac:dyDescent="0.25">
      <c r="D1137"/>
      <c r="Q1137"/>
      <c r="R1137"/>
    </row>
    <row r="1138" spans="4:18" x14ac:dyDescent="0.25">
      <c r="D1138"/>
      <c r="Q1138"/>
      <c r="R1138"/>
    </row>
    <row r="1139" spans="4:18" x14ac:dyDescent="0.25">
      <c r="D1139"/>
      <c r="Q1139"/>
      <c r="R1139"/>
    </row>
    <row r="1140" spans="4:18" x14ac:dyDescent="0.25">
      <c r="D1140"/>
      <c r="Q1140"/>
      <c r="R1140"/>
    </row>
    <row r="1141" spans="4:18" x14ac:dyDescent="0.25">
      <c r="D1141"/>
      <c r="Q1141"/>
      <c r="R1141"/>
    </row>
    <row r="1142" spans="4:18" x14ac:dyDescent="0.25">
      <c r="D1142"/>
      <c r="Q1142"/>
      <c r="R1142"/>
    </row>
    <row r="1143" spans="4:18" x14ac:dyDescent="0.25">
      <c r="D1143"/>
      <c r="Q1143"/>
      <c r="R1143"/>
    </row>
    <row r="1144" spans="4:18" x14ac:dyDescent="0.25">
      <c r="D1144"/>
      <c r="Q1144"/>
      <c r="R1144"/>
    </row>
    <row r="1145" spans="4:18" x14ac:dyDescent="0.25">
      <c r="D1145"/>
      <c r="Q1145"/>
      <c r="R1145"/>
    </row>
    <row r="1146" spans="4:18" x14ac:dyDescent="0.25">
      <c r="D1146"/>
      <c r="Q1146"/>
      <c r="R1146"/>
    </row>
    <row r="1147" spans="4:18" x14ac:dyDescent="0.25">
      <c r="D1147"/>
      <c r="Q1147"/>
      <c r="R1147"/>
    </row>
    <row r="1148" spans="4:18" x14ac:dyDescent="0.25">
      <c r="D1148"/>
      <c r="Q1148"/>
      <c r="R1148"/>
    </row>
    <row r="1149" spans="4:18" x14ac:dyDescent="0.25">
      <c r="D1149"/>
      <c r="Q1149"/>
      <c r="R1149"/>
    </row>
    <row r="1150" spans="4:18" x14ac:dyDescent="0.25">
      <c r="D1150"/>
      <c r="Q1150"/>
      <c r="R1150"/>
    </row>
    <row r="1151" spans="4:18" x14ac:dyDescent="0.25">
      <c r="D1151"/>
      <c r="Q1151"/>
      <c r="R1151"/>
    </row>
    <row r="1152" spans="4:18" x14ac:dyDescent="0.25">
      <c r="D1152"/>
      <c r="Q1152"/>
      <c r="R1152"/>
    </row>
    <row r="1153" spans="4:18" x14ac:dyDescent="0.25">
      <c r="D1153"/>
      <c r="Q1153"/>
      <c r="R1153"/>
    </row>
    <row r="1154" spans="4:18" x14ac:dyDescent="0.25">
      <c r="D1154"/>
      <c r="Q1154"/>
      <c r="R1154"/>
    </row>
    <row r="1155" spans="4:18" x14ac:dyDescent="0.25">
      <c r="D1155"/>
      <c r="Q1155"/>
      <c r="R1155"/>
    </row>
    <row r="1156" spans="4:18" x14ac:dyDescent="0.25">
      <c r="D1156"/>
      <c r="Q1156"/>
      <c r="R1156"/>
    </row>
    <row r="1157" spans="4:18" x14ac:dyDescent="0.25">
      <c r="D1157"/>
      <c r="Q1157"/>
      <c r="R1157"/>
    </row>
    <row r="1158" spans="4:18" x14ac:dyDescent="0.25">
      <c r="D1158"/>
      <c r="Q1158"/>
      <c r="R1158"/>
    </row>
    <row r="1159" spans="4:18" x14ac:dyDescent="0.25">
      <c r="D1159"/>
      <c r="Q1159"/>
      <c r="R1159"/>
    </row>
    <row r="1160" spans="4:18" x14ac:dyDescent="0.25">
      <c r="D1160"/>
      <c r="Q1160"/>
      <c r="R1160"/>
    </row>
    <row r="1161" spans="4:18" x14ac:dyDescent="0.25">
      <c r="D1161"/>
      <c r="Q1161"/>
      <c r="R1161"/>
    </row>
    <row r="1162" spans="4:18" x14ac:dyDescent="0.25">
      <c r="D1162"/>
      <c r="Q1162"/>
      <c r="R1162"/>
    </row>
    <row r="1163" spans="4:18" x14ac:dyDescent="0.25">
      <c r="D1163"/>
      <c r="Q1163"/>
      <c r="R1163"/>
    </row>
    <row r="1164" spans="4:18" x14ac:dyDescent="0.25">
      <c r="D1164"/>
      <c r="Q1164"/>
      <c r="R1164"/>
    </row>
    <row r="1165" spans="4:18" x14ac:dyDescent="0.25">
      <c r="D1165"/>
      <c r="Q1165"/>
      <c r="R1165"/>
    </row>
    <row r="1166" spans="4:18" x14ac:dyDescent="0.25">
      <c r="D1166"/>
      <c r="Q1166"/>
      <c r="R1166"/>
    </row>
    <row r="1167" spans="4:18" x14ac:dyDescent="0.25">
      <c r="D1167"/>
      <c r="Q1167"/>
      <c r="R1167"/>
    </row>
    <row r="1168" spans="4:18" x14ac:dyDescent="0.25">
      <c r="D1168"/>
      <c r="Q1168"/>
      <c r="R1168"/>
    </row>
    <row r="1169" spans="4:18" x14ac:dyDescent="0.25">
      <c r="D1169"/>
      <c r="Q1169"/>
      <c r="R1169"/>
    </row>
    <row r="1170" spans="4:18" x14ac:dyDescent="0.25">
      <c r="D1170"/>
      <c r="Q1170"/>
      <c r="R1170"/>
    </row>
    <row r="1171" spans="4:18" x14ac:dyDescent="0.25">
      <c r="D1171"/>
      <c r="Q1171"/>
      <c r="R1171"/>
    </row>
    <row r="1172" spans="4:18" x14ac:dyDescent="0.25">
      <c r="D1172"/>
      <c r="Q1172"/>
      <c r="R1172"/>
    </row>
    <row r="1173" spans="4:18" x14ac:dyDescent="0.25">
      <c r="D1173"/>
      <c r="Q1173"/>
      <c r="R1173"/>
    </row>
    <row r="1174" spans="4:18" x14ac:dyDescent="0.25">
      <c r="D1174"/>
      <c r="Q1174"/>
      <c r="R1174"/>
    </row>
    <row r="1175" spans="4:18" x14ac:dyDescent="0.25">
      <c r="D1175"/>
      <c r="Q1175"/>
      <c r="R1175"/>
    </row>
    <row r="1176" spans="4:18" x14ac:dyDescent="0.25">
      <c r="D1176"/>
      <c r="Q1176"/>
      <c r="R1176"/>
    </row>
    <row r="1177" spans="4:18" x14ac:dyDescent="0.25">
      <c r="D1177"/>
      <c r="Q1177"/>
      <c r="R1177"/>
    </row>
    <row r="1178" spans="4:18" x14ac:dyDescent="0.25">
      <c r="D1178"/>
      <c r="Q1178"/>
      <c r="R1178"/>
    </row>
    <row r="1179" spans="4:18" x14ac:dyDescent="0.25">
      <c r="D1179"/>
      <c r="Q1179"/>
      <c r="R1179"/>
    </row>
    <row r="1180" spans="4:18" x14ac:dyDescent="0.25">
      <c r="D1180"/>
      <c r="Q1180"/>
      <c r="R1180"/>
    </row>
    <row r="1181" spans="4:18" x14ac:dyDescent="0.25">
      <c r="D1181"/>
      <c r="Q1181"/>
      <c r="R1181"/>
    </row>
    <row r="1182" spans="4:18" x14ac:dyDescent="0.25">
      <c r="D1182"/>
      <c r="Q1182"/>
      <c r="R1182"/>
    </row>
    <row r="1183" spans="4:18" x14ac:dyDescent="0.25">
      <c r="D1183"/>
      <c r="Q1183"/>
      <c r="R1183"/>
    </row>
    <row r="1184" spans="4:18" x14ac:dyDescent="0.25">
      <c r="D1184"/>
      <c r="Q1184"/>
      <c r="R1184"/>
    </row>
    <row r="1185" spans="4:18" x14ac:dyDescent="0.25">
      <c r="D1185"/>
      <c r="Q1185"/>
      <c r="R1185"/>
    </row>
    <row r="1186" spans="4:18" x14ac:dyDescent="0.25">
      <c r="D1186"/>
      <c r="Q1186"/>
      <c r="R1186"/>
    </row>
    <row r="1187" spans="4:18" x14ac:dyDescent="0.25">
      <c r="D1187"/>
      <c r="Q1187"/>
      <c r="R1187"/>
    </row>
    <row r="1188" spans="4:18" x14ac:dyDescent="0.25">
      <c r="D1188"/>
      <c r="Q1188"/>
      <c r="R1188"/>
    </row>
    <row r="1189" spans="4:18" x14ac:dyDescent="0.25">
      <c r="D1189"/>
      <c r="Q1189"/>
      <c r="R1189"/>
    </row>
    <row r="1190" spans="4:18" x14ac:dyDescent="0.25">
      <c r="D1190"/>
      <c r="Q1190"/>
      <c r="R1190"/>
    </row>
    <row r="1191" spans="4:18" x14ac:dyDescent="0.25">
      <c r="D1191"/>
      <c r="Q1191"/>
      <c r="R1191"/>
    </row>
    <row r="1192" spans="4:18" x14ac:dyDescent="0.25">
      <c r="D1192"/>
      <c r="Q1192"/>
      <c r="R1192"/>
    </row>
    <row r="1193" spans="4:18" x14ac:dyDescent="0.25">
      <c r="D1193"/>
      <c r="Q1193"/>
      <c r="R1193"/>
    </row>
    <row r="1194" spans="4:18" x14ac:dyDescent="0.25">
      <c r="D1194"/>
      <c r="Q1194"/>
      <c r="R1194"/>
    </row>
    <row r="1195" spans="4:18" x14ac:dyDescent="0.25">
      <c r="D1195"/>
      <c r="Q1195"/>
      <c r="R1195"/>
    </row>
    <row r="1196" spans="4:18" x14ac:dyDescent="0.25">
      <c r="D1196"/>
      <c r="Q1196"/>
      <c r="R1196"/>
    </row>
    <row r="1197" spans="4:18" x14ac:dyDescent="0.25">
      <c r="D1197"/>
      <c r="Q1197"/>
      <c r="R1197"/>
    </row>
    <row r="1198" spans="4:18" x14ac:dyDescent="0.25">
      <c r="D1198"/>
      <c r="Q1198"/>
      <c r="R1198"/>
    </row>
    <row r="1199" spans="4:18" x14ac:dyDescent="0.25">
      <c r="D1199"/>
      <c r="Q1199"/>
      <c r="R1199"/>
    </row>
    <row r="1200" spans="4:18" x14ac:dyDescent="0.25">
      <c r="D1200"/>
      <c r="Q1200"/>
      <c r="R1200"/>
    </row>
    <row r="1201" spans="4:18" x14ac:dyDescent="0.25">
      <c r="D1201"/>
      <c r="Q1201"/>
      <c r="R1201"/>
    </row>
    <row r="1202" spans="4:18" x14ac:dyDescent="0.25">
      <c r="D1202"/>
      <c r="Q1202"/>
      <c r="R1202"/>
    </row>
    <row r="1203" spans="4:18" x14ac:dyDescent="0.25">
      <c r="D1203"/>
      <c r="Q1203"/>
      <c r="R1203"/>
    </row>
    <row r="1204" spans="4:18" x14ac:dyDescent="0.25">
      <c r="D1204"/>
      <c r="Q1204"/>
      <c r="R1204"/>
    </row>
    <row r="1205" spans="4:18" x14ac:dyDescent="0.25">
      <c r="D1205"/>
      <c r="Q1205"/>
      <c r="R1205"/>
    </row>
    <row r="1206" spans="4:18" x14ac:dyDescent="0.25">
      <c r="D1206"/>
      <c r="Q1206"/>
      <c r="R1206"/>
    </row>
    <row r="1207" spans="4:18" x14ac:dyDescent="0.25">
      <c r="D1207"/>
      <c r="Q1207"/>
      <c r="R1207"/>
    </row>
    <row r="1208" spans="4:18" x14ac:dyDescent="0.25">
      <c r="D1208"/>
      <c r="Q1208"/>
      <c r="R1208"/>
    </row>
    <row r="1209" spans="4:18" x14ac:dyDescent="0.25">
      <c r="D1209"/>
      <c r="Q1209"/>
      <c r="R1209"/>
    </row>
    <row r="1210" spans="4:18" x14ac:dyDescent="0.25">
      <c r="D1210"/>
      <c r="Q1210"/>
      <c r="R1210"/>
    </row>
    <row r="1211" spans="4:18" x14ac:dyDescent="0.25">
      <c r="D1211"/>
      <c r="Q1211"/>
      <c r="R1211"/>
    </row>
    <row r="1212" spans="4:18" x14ac:dyDescent="0.25">
      <c r="D1212"/>
      <c r="Q1212"/>
      <c r="R1212"/>
    </row>
    <row r="1213" spans="4:18" x14ac:dyDescent="0.25">
      <c r="D1213"/>
      <c r="Q1213"/>
      <c r="R1213"/>
    </row>
    <row r="1214" spans="4:18" x14ac:dyDescent="0.25">
      <c r="D1214"/>
      <c r="Q1214"/>
      <c r="R1214"/>
    </row>
    <row r="1215" spans="4:18" x14ac:dyDescent="0.25">
      <c r="D1215"/>
      <c r="Q1215"/>
      <c r="R1215"/>
    </row>
    <row r="1216" spans="4:18" x14ac:dyDescent="0.25">
      <c r="D1216"/>
      <c r="Q1216"/>
      <c r="R1216"/>
    </row>
    <row r="1217" spans="4:18" x14ac:dyDescent="0.25">
      <c r="D1217"/>
      <c r="Q1217"/>
      <c r="R1217"/>
    </row>
    <row r="1218" spans="4:18" x14ac:dyDescent="0.25">
      <c r="D1218"/>
      <c r="Q1218"/>
      <c r="R1218"/>
    </row>
    <row r="1219" spans="4:18" x14ac:dyDescent="0.25">
      <c r="D1219"/>
      <c r="Q1219"/>
      <c r="R1219"/>
    </row>
    <row r="1220" spans="4:18" x14ac:dyDescent="0.25">
      <c r="D1220"/>
      <c r="Q1220"/>
      <c r="R1220"/>
    </row>
    <row r="1221" spans="4:18" x14ac:dyDescent="0.25">
      <c r="D1221"/>
      <c r="Q1221"/>
      <c r="R1221"/>
    </row>
    <row r="1222" spans="4:18" x14ac:dyDescent="0.25">
      <c r="D1222"/>
      <c r="Q1222"/>
      <c r="R1222"/>
    </row>
    <row r="1223" spans="4:18" x14ac:dyDescent="0.25">
      <c r="D1223"/>
      <c r="Q1223"/>
      <c r="R1223"/>
    </row>
    <row r="1224" spans="4:18" x14ac:dyDescent="0.25">
      <c r="D1224"/>
      <c r="Q1224"/>
      <c r="R1224"/>
    </row>
    <row r="1225" spans="4:18" x14ac:dyDescent="0.25">
      <c r="D1225"/>
      <c r="Q1225"/>
      <c r="R1225"/>
    </row>
    <row r="1226" spans="4:18" x14ac:dyDescent="0.25">
      <c r="D1226"/>
      <c r="Q1226"/>
      <c r="R1226"/>
    </row>
    <row r="1227" spans="4:18" x14ac:dyDescent="0.25">
      <c r="D1227"/>
      <c r="Q1227"/>
      <c r="R1227"/>
    </row>
    <row r="1228" spans="4:18" x14ac:dyDescent="0.25">
      <c r="D1228"/>
      <c r="Q1228"/>
      <c r="R1228"/>
    </row>
    <row r="1229" spans="4:18" x14ac:dyDescent="0.25">
      <c r="D1229"/>
      <c r="Q1229"/>
      <c r="R1229"/>
    </row>
    <row r="1230" spans="4:18" x14ac:dyDescent="0.25">
      <c r="D1230"/>
      <c r="Q1230"/>
      <c r="R1230"/>
    </row>
    <row r="1231" spans="4:18" x14ac:dyDescent="0.25">
      <c r="D1231"/>
      <c r="Q1231"/>
      <c r="R1231"/>
    </row>
    <row r="1232" spans="4:18" x14ac:dyDescent="0.25">
      <c r="D1232"/>
      <c r="Q1232"/>
      <c r="R1232"/>
    </row>
    <row r="1233" spans="4:18" x14ac:dyDescent="0.25">
      <c r="D1233"/>
      <c r="Q1233"/>
      <c r="R1233"/>
    </row>
    <row r="1234" spans="4:18" x14ac:dyDescent="0.25">
      <c r="D1234"/>
      <c r="Q1234"/>
      <c r="R1234"/>
    </row>
    <row r="1235" spans="4:18" x14ac:dyDescent="0.25">
      <c r="D1235"/>
      <c r="Q1235"/>
      <c r="R1235"/>
    </row>
    <row r="1236" spans="4:18" x14ac:dyDescent="0.25">
      <c r="D1236"/>
      <c r="Q1236"/>
      <c r="R1236"/>
    </row>
    <row r="1237" spans="4:18" x14ac:dyDescent="0.25">
      <c r="D1237"/>
      <c r="Q1237"/>
      <c r="R1237"/>
    </row>
    <row r="1238" spans="4:18" x14ac:dyDescent="0.25">
      <c r="D1238"/>
      <c r="Q1238"/>
      <c r="R1238"/>
    </row>
    <row r="1239" spans="4:18" x14ac:dyDescent="0.25">
      <c r="D1239"/>
      <c r="Q1239"/>
      <c r="R1239"/>
    </row>
    <row r="1240" spans="4:18" x14ac:dyDescent="0.25">
      <c r="D1240"/>
      <c r="Q1240"/>
      <c r="R1240"/>
    </row>
    <row r="1241" spans="4:18" x14ac:dyDescent="0.25">
      <c r="D1241"/>
      <c r="Q1241"/>
      <c r="R1241"/>
    </row>
    <row r="1242" spans="4:18" x14ac:dyDescent="0.25">
      <c r="D1242"/>
      <c r="Q1242"/>
      <c r="R1242"/>
    </row>
    <row r="1243" spans="4:18" x14ac:dyDescent="0.25">
      <c r="D1243"/>
      <c r="Q1243"/>
      <c r="R1243"/>
    </row>
    <row r="1244" spans="4:18" x14ac:dyDescent="0.25">
      <c r="D1244"/>
      <c r="Q1244"/>
      <c r="R1244"/>
    </row>
    <row r="1245" spans="4:18" x14ac:dyDescent="0.25">
      <c r="D1245"/>
      <c r="Q1245"/>
      <c r="R1245"/>
    </row>
    <row r="1246" spans="4:18" x14ac:dyDescent="0.25">
      <c r="D1246"/>
      <c r="Q1246"/>
      <c r="R1246"/>
    </row>
    <row r="1247" spans="4:18" x14ac:dyDescent="0.25">
      <c r="D1247"/>
      <c r="Q1247"/>
      <c r="R1247"/>
    </row>
    <row r="1248" spans="4:18" x14ac:dyDescent="0.25">
      <c r="D1248"/>
      <c r="Q1248"/>
      <c r="R1248"/>
    </row>
    <row r="1249" spans="4:18" x14ac:dyDescent="0.25">
      <c r="D1249"/>
      <c r="Q1249"/>
      <c r="R1249"/>
    </row>
    <row r="1250" spans="4:18" x14ac:dyDescent="0.25">
      <c r="D1250"/>
      <c r="Q1250"/>
      <c r="R1250"/>
    </row>
    <row r="1251" spans="4:18" x14ac:dyDescent="0.25">
      <c r="D1251"/>
      <c r="Q1251"/>
      <c r="R1251"/>
    </row>
    <row r="1252" spans="4:18" x14ac:dyDescent="0.25">
      <c r="D1252"/>
      <c r="Q1252"/>
      <c r="R1252"/>
    </row>
    <row r="1253" spans="4:18" x14ac:dyDescent="0.25">
      <c r="D1253"/>
      <c r="Q1253"/>
      <c r="R1253"/>
    </row>
    <row r="1254" spans="4:18" x14ac:dyDescent="0.25">
      <c r="D1254"/>
      <c r="Q1254"/>
      <c r="R1254"/>
    </row>
    <row r="1255" spans="4:18" x14ac:dyDescent="0.25">
      <c r="D1255"/>
      <c r="Q1255"/>
      <c r="R1255"/>
    </row>
    <row r="1256" spans="4:18" x14ac:dyDescent="0.25">
      <c r="D1256"/>
      <c r="Q1256"/>
      <c r="R1256"/>
    </row>
    <row r="1257" spans="4:18" x14ac:dyDescent="0.25">
      <c r="D1257"/>
      <c r="Q1257"/>
      <c r="R1257"/>
    </row>
    <row r="1258" spans="4:18" x14ac:dyDescent="0.25">
      <c r="D1258"/>
      <c r="Q1258"/>
      <c r="R1258"/>
    </row>
    <row r="1259" spans="4:18" x14ac:dyDescent="0.25">
      <c r="D1259"/>
      <c r="Q1259"/>
      <c r="R1259"/>
    </row>
    <row r="1260" spans="4:18" x14ac:dyDescent="0.25">
      <c r="D1260"/>
      <c r="Q1260"/>
      <c r="R1260"/>
    </row>
    <row r="1261" spans="4:18" x14ac:dyDescent="0.25">
      <c r="D1261"/>
      <c r="Q1261"/>
      <c r="R1261"/>
    </row>
    <row r="1262" spans="4:18" x14ac:dyDescent="0.25">
      <c r="D1262"/>
      <c r="Q1262"/>
      <c r="R1262"/>
    </row>
    <row r="1263" spans="4:18" x14ac:dyDescent="0.25">
      <c r="D1263"/>
      <c r="Q1263"/>
      <c r="R1263"/>
    </row>
    <row r="1264" spans="4:18" x14ac:dyDescent="0.25">
      <c r="D1264"/>
      <c r="Q1264"/>
      <c r="R1264"/>
    </row>
    <row r="1265" spans="4:18" x14ac:dyDescent="0.25">
      <c r="D1265"/>
      <c r="Q1265"/>
      <c r="R1265"/>
    </row>
    <row r="1266" spans="4:18" x14ac:dyDescent="0.25">
      <c r="D1266"/>
      <c r="Q1266"/>
      <c r="R1266"/>
    </row>
    <row r="1267" spans="4:18" x14ac:dyDescent="0.25">
      <c r="D1267"/>
      <c r="Q1267"/>
      <c r="R1267"/>
    </row>
    <row r="1268" spans="4:18" x14ac:dyDescent="0.25">
      <c r="D1268"/>
      <c r="Q1268"/>
      <c r="R1268"/>
    </row>
    <row r="1269" spans="4:18" x14ac:dyDescent="0.25">
      <c r="D1269"/>
      <c r="Q1269"/>
      <c r="R1269"/>
    </row>
    <row r="1270" spans="4:18" x14ac:dyDescent="0.25">
      <c r="D1270"/>
      <c r="Q1270"/>
      <c r="R1270"/>
    </row>
    <row r="1271" spans="4:18" x14ac:dyDescent="0.25">
      <c r="D1271"/>
      <c r="Q1271"/>
      <c r="R1271"/>
    </row>
    <row r="1272" spans="4:18" x14ac:dyDescent="0.25">
      <c r="D1272"/>
      <c r="Q1272"/>
      <c r="R1272"/>
    </row>
    <row r="1273" spans="4:18" x14ac:dyDescent="0.25">
      <c r="D1273"/>
      <c r="Q1273"/>
      <c r="R1273"/>
    </row>
    <row r="1274" spans="4:18" x14ac:dyDescent="0.25">
      <c r="D1274"/>
      <c r="Q1274"/>
      <c r="R1274"/>
    </row>
    <row r="1275" spans="4:18" x14ac:dyDescent="0.25">
      <c r="D1275"/>
      <c r="Q1275"/>
      <c r="R1275"/>
    </row>
    <row r="1276" spans="4:18" x14ac:dyDescent="0.25">
      <c r="D1276"/>
      <c r="Q1276"/>
      <c r="R1276"/>
    </row>
    <row r="1277" spans="4:18" x14ac:dyDescent="0.25">
      <c r="D1277"/>
      <c r="Q1277"/>
      <c r="R1277"/>
    </row>
    <row r="1278" spans="4:18" x14ac:dyDescent="0.25">
      <c r="D1278"/>
      <c r="Q1278"/>
      <c r="R1278"/>
    </row>
    <row r="1279" spans="4:18" x14ac:dyDescent="0.25">
      <c r="D1279"/>
      <c r="Q1279"/>
      <c r="R1279"/>
    </row>
    <row r="1280" spans="4:18" x14ac:dyDescent="0.25">
      <c r="D1280"/>
      <c r="Q1280"/>
      <c r="R1280"/>
    </row>
    <row r="1281" spans="4:18" x14ac:dyDescent="0.25">
      <c r="D1281"/>
      <c r="Q1281"/>
      <c r="R1281"/>
    </row>
    <row r="1282" spans="4:18" x14ac:dyDescent="0.25">
      <c r="D1282"/>
      <c r="Q1282"/>
      <c r="R1282"/>
    </row>
    <row r="1283" spans="4:18" x14ac:dyDescent="0.25">
      <c r="D1283"/>
      <c r="Q1283"/>
      <c r="R1283"/>
    </row>
    <row r="1284" spans="4:18" x14ac:dyDescent="0.25">
      <c r="D1284"/>
      <c r="Q1284"/>
      <c r="R1284"/>
    </row>
    <row r="1285" spans="4:18" x14ac:dyDescent="0.25">
      <c r="D1285"/>
      <c r="Q1285"/>
      <c r="R1285"/>
    </row>
    <row r="1286" spans="4:18" x14ac:dyDescent="0.25">
      <c r="D1286"/>
      <c r="Q1286"/>
      <c r="R1286"/>
    </row>
    <row r="1287" spans="4:18" x14ac:dyDescent="0.25">
      <c r="D1287"/>
      <c r="Q1287"/>
      <c r="R1287"/>
    </row>
    <row r="1288" spans="4:18" x14ac:dyDescent="0.25">
      <c r="D1288"/>
      <c r="Q1288"/>
      <c r="R1288"/>
    </row>
    <row r="1289" spans="4:18" x14ac:dyDescent="0.25">
      <c r="D1289"/>
      <c r="Q1289"/>
      <c r="R1289"/>
    </row>
    <row r="1290" spans="4:18" x14ac:dyDescent="0.25">
      <c r="D1290"/>
      <c r="Q1290"/>
      <c r="R1290"/>
    </row>
    <row r="1291" spans="4:18" x14ac:dyDescent="0.25">
      <c r="D1291"/>
      <c r="Q1291"/>
      <c r="R1291"/>
    </row>
    <row r="1292" spans="4:18" x14ac:dyDescent="0.25">
      <c r="D1292"/>
      <c r="Q1292"/>
      <c r="R1292"/>
    </row>
    <row r="1293" spans="4:18" x14ac:dyDescent="0.25">
      <c r="D1293"/>
      <c r="Q1293"/>
      <c r="R1293"/>
    </row>
    <row r="1294" spans="4:18" x14ac:dyDescent="0.25">
      <c r="D1294"/>
      <c r="Q1294"/>
      <c r="R1294"/>
    </row>
    <row r="1295" spans="4:18" x14ac:dyDescent="0.25">
      <c r="D1295"/>
      <c r="Q1295"/>
      <c r="R1295"/>
    </row>
    <row r="1296" spans="4:18" x14ac:dyDescent="0.25">
      <c r="D1296"/>
      <c r="Q1296"/>
      <c r="R1296"/>
    </row>
    <row r="1297" spans="4:18" x14ac:dyDescent="0.25">
      <c r="D1297"/>
      <c r="Q1297"/>
      <c r="R1297"/>
    </row>
    <row r="1298" spans="4:18" x14ac:dyDescent="0.25">
      <c r="D1298"/>
      <c r="Q1298"/>
      <c r="R1298"/>
    </row>
    <row r="1299" spans="4:18" x14ac:dyDescent="0.25">
      <c r="D1299"/>
      <c r="Q1299"/>
      <c r="R1299"/>
    </row>
    <row r="1300" spans="4:18" x14ac:dyDescent="0.25">
      <c r="D1300"/>
      <c r="Q1300"/>
      <c r="R1300"/>
    </row>
    <row r="1301" spans="4:18" x14ac:dyDescent="0.25">
      <c r="D1301"/>
      <c r="Q1301"/>
      <c r="R1301"/>
    </row>
    <row r="1302" spans="4:18" x14ac:dyDescent="0.25">
      <c r="D1302"/>
      <c r="Q1302"/>
      <c r="R1302"/>
    </row>
    <row r="1303" spans="4:18" x14ac:dyDescent="0.25">
      <c r="D1303"/>
      <c r="Q1303"/>
      <c r="R1303"/>
    </row>
    <row r="1304" spans="4:18" x14ac:dyDescent="0.25">
      <c r="D1304"/>
      <c r="Q1304"/>
      <c r="R1304"/>
    </row>
    <row r="1305" spans="4:18" x14ac:dyDescent="0.25">
      <c r="D1305"/>
      <c r="Q1305"/>
      <c r="R1305"/>
    </row>
    <row r="1306" spans="4:18" x14ac:dyDescent="0.25">
      <c r="D1306"/>
      <c r="Q1306"/>
      <c r="R1306"/>
    </row>
    <row r="1307" spans="4:18" x14ac:dyDescent="0.25">
      <c r="D1307"/>
      <c r="Q1307"/>
      <c r="R1307"/>
    </row>
    <row r="1308" spans="4:18" x14ac:dyDescent="0.25">
      <c r="D1308"/>
      <c r="Q1308"/>
      <c r="R1308"/>
    </row>
    <row r="1309" spans="4:18" x14ac:dyDescent="0.25">
      <c r="D1309"/>
      <c r="Q1309"/>
      <c r="R1309"/>
    </row>
    <row r="1310" spans="4:18" x14ac:dyDescent="0.25">
      <c r="D1310"/>
      <c r="Q1310"/>
      <c r="R1310"/>
    </row>
    <row r="1311" spans="4:18" x14ac:dyDescent="0.25">
      <c r="D1311"/>
      <c r="Q1311"/>
      <c r="R1311"/>
    </row>
    <row r="1312" spans="4:18" x14ac:dyDescent="0.25">
      <c r="D1312"/>
      <c r="Q1312"/>
      <c r="R1312"/>
    </row>
    <row r="1313" spans="4:18" x14ac:dyDescent="0.25">
      <c r="D1313"/>
      <c r="Q1313"/>
      <c r="R1313"/>
    </row>
    <row r="1314" spans="4:18" x14ac:dyDescent="0.25">
      <c r="D1314"/>
      <c r="Q1314"/>
      <c r="R1314"/>
    </row>
    <row r="1315" spans="4:18" x14ac:dyDescent="0.25">
      <c r="D1315"/>
      <c r="Q1315"/>
      <c r="R1315"/>
    </row>
    <row r="1316" spans="4:18" x14ac:dyDescent="0.25">
      <c r="D1316"/>
      <c r="Q1316"/>
      <c r="R1316"/>
    </row>
    <row r="1317" spans="4:18" x14ac:dyDescent="0.25">
      <c r="D1317"/>
      <c r="Q1317"/>
      <c r="R1317"/>
    </row>
    <row r="1318" spans="4:18" x14ac:dyDescent="0.25">
      <c r="D1318"/>
      <c r="Q1318"/>
      <c r="R1318"/>
    </row>
    <row r="1319" spans="4:18" x14ac:dyDescent="0.25">
      <c r="D1319"/>
      <c r="Q1319"/>
      <c r="R1319"/>
    </row>
    <row r="1320" spans="4:18" x14ac:dyDescent="0.25">
      <c r="D1320"/>
      <c r="Q1320"/>
      <c r="R1320"/>
    </row>
    <row r="1321" spans="4:18" x14ac:dyDescent="0.25">
      <c r="D1321"/>
      <c r="Q1321"/>
      <c r="R1321"/>
    </row>
    <row r="1322" spans="4:18" x14ac:dyDescent="0.25">
      <c r="D1322"/>
      <c r="Q1322"/>
      <c r="R1322"/>
    </row>
    <row r="1323" spans="4:18" x14ac:dyDescent="0.25">
      <c r="D1323"/>
      <c r="Q1323"/>
      <c r="R1323"/>
    </row>
    <row r="1324" spans="4:18" x14ac:dyDescent="0.25">
      <c r="D1324"/>
      <c r="Q1324"/>
      <c r="R1324"/>
    </row>
    <row r="1325" spans="4:18" x14ac:dyDescent="0.25">
      <c r="D1325"/>
      <c r="Q1325"/>
      <c r="R1325"/>
    </row>
    <row r="1326" spans="4:18" x14ac:dyDescent="0.25">
      <c r="D1326"/>
      <c r="Q1326"/>
      <c r="R1326"/>
    </row>
    <row r="1327" spans="4:18" x14ac:dyDescent="0.25">
      <c r="D1327"/>
      <c r="Q1327"/>
      <c r="R1327"/>
    </row>
    <row r="1328" spans="4:18" x14ac:dyDescent="0.25">
      <c r="D1328"/>
      <c r="Q1328"/>
      <c r="R1328"/>
    </row>
    <row r="1329" spans="4:18" x14ac:dyDescent="0.25">
      <c r="D1329"/>
      <c r="Q1329"/>
      <c r="R1329"/>
    </row>
    <row r="1330" spans="4:18" x14ac:dyDescent="0.25">
      <c r="D1330"/>
      <c r="Q1330"/>
      <c r="R1330"/>
    </row>
    <row r="1331" spans="4:18" x14ac:dyDescent="0.25">
      <c r="D1331"/>
      <c r="Q1331"/>
      <c r="R1331"/>
    </row>
    <row r="1332" spans="4:18" x14ac:dyDescent="0.25">
      <c r="D1332"/>
      <c r="Q1332"/>
      <c r="R1332"/>
    </row>
    <row r="1333" spans="4:18" x14ac:dyDescent="0.25">
      <c r="D1333"/>
      <c r="Q1333"/>
      <c r="R1333"/>
    </row>
    <row r="1334" spans="4:18" x14ac:dyDescent="0.25">
      <c r="D1334"/>
      <c r="Q1334"/>
      <c r="R1334"/>
    </row>
    <row r="1335" spans="4:18" x14ac:dyDescent="0.25">
      <c r="D1335"/>
      <c r="Q1335"/>
      <c r="R1335"/>
    </row>
    <row r="1336" spans="4:18" x14ac:dyDescent="0.25">
      <c r="D1336"/>
      <c r="Q1336"/>
      <c r="R1336"/>
    </row>
    <row r="1337" spans="4:18" x14ac:dyDescent="0.25">
      <c r="D1337"/>
      <c r="Q1337"/>
      <c r="R1337"/>
    </row>
    <row r="1338" spans="4:18" x14ac:dyDescent="0.25">
      <c r="D1338"/>
      <c r="Q1338"/>
      <c r="R1338"/>
    </row>
    <row r="1339" spans="4:18" x14ac:dyDescent="0.25">
      <c r="D1339"/>
      <c r="Q1339"/>
      <c r="R1339"/>
    </row>
    <row r="1340" spans="4:18" x14ac:dyDescent="0.25">
      <c r="D1340"/>
      <c r="Q1340"/>
      <c r="R1340"/>
    </row>
    <row r="1341" spans="4:18" x14ac:dyDescent="0.25">
      <c r="D1341"/>
      <c r="Q1341"/>
      <c r="R1341"/>
    </row>
    <row r="1342" spans="4:18" x14ac:dyDescent="0.25">
      <c r="D1342"/>
      <c r="Q1342"/>
      <c r="R1342"/>
    </row>
    <row r="1343" spans="4:18" x14ac:dyDescent="0.25">
      <c r="D1343"/>
      <c r="Q1343"/>
      <c r="R1343"/>
    </row>
    <row r="1344" spans="4:18" x14ac:dyDescent="0.25">
      <c r="D1344"/>
      <c r="Q1344"/>
      <c r="R1344"/>
    </row>
    <row r="1345" spans="4:18" x14ac:dyDescent="0.25">
      <c r="D1345"/>
      <c r="Q1345"/>
      <c r="R1345"/>
    </row>
    <row r="1346" spans="4:18" x14ac:dyDescent="0.25">
      <c r="D1346"/>
      <c r="Q1346"/>
      <c r="R1346"/>
    </row>
    <row r="1347" spans="4:18" x14ac:dyDescent="0.25">
      <c r="D1347"/>
      <c r="Q1347"/>
      <c r="R1347"/>
    </row>
    <row r="1348" spans="4:18" x14ac:dyDescent="0.25">
      <c r="D1348"/>
      <c r="Q1348"/>
      <c r="R1348"/>
    </row>
    <row r="1349" spans="4:18" x14ac:dyDescent="0.25">
      <c r="D1349"/>
      <c r="Q1349"/>
      <c r="R1349"/>
    </row>
    <row r="1350" spans="4:18" x14ac:dyDescent="0.25">
      <c r="D1350"/>
      <c r="Q1350"/>
      <c r="R1350"/>
    </row>
    <row r="1351" spans="4:18" x14ac:dyDescent="0.25">
      <c r="D1351"/>
      <c r="Q1351"/>
      <c r="R1351"/>
    </row>
    <row r="1352" spans="4:18" x14ac:dyDescent="0.25">
      <c r="D1352"/>
      <c r="Q1352"/>
      <c r="R1352"/>
    </row>
    <row r="1353" spans="4:18" x14ac:dyDescent="0.25">
      <c r="D1353"/>
      <c r="Q1353"/>
      <c r="R1353"/>
    </row>
    <row r="1354" spans="4:18" x14ac:dyDescent="0.25">
      <c r="D1354"/>
      <c r="Q1354"/>
      <c r="R1354"/>
    </row>
    <row r="1355" spans="4:18" x14ac:dyDescent="0.25">
      <c r="D1355"/>
      <c r="Q1355"/>
      <c r="R1355"/>
    </row>
    <row r="1356" spans="4:18" x14ac:dyDescent="0.25">
      <c r="D1356"/>
      <c r="Q1356"/>
      <c r="R1356"/>
    </row>
    <row r="1357" spans="4:18" x14ac:dyDescent="0.25">
      <c r="D1357"/>
      <c r="Q1357"/>
      <c r="R1357"/>
    </row>
    <row r="1358" spans="4:18" x14ac:dyDescent="0.25">
      <c r="D1358"/>
      <c r="Q1358"/>
      <c r="R1358"/>
    </row>
    <row r="1359" spans="4:18" x14ac:dyDescent="0.25">
      <c r="D1359"/>
      <c r="Q1359"/>
      <c r="R1359"/>
    </row>
    <row r="1360" spans="4:18" x14ac:dyDescent="0.25">
      <c r="D1360"/>
      <c r="Q1360"/>
      <c r="R1360"/>
    </row>
    <row r="1361" spans="4:18" x14ac:dyDescent="0.25">
      <c r="D1361"/>
      <c r="Q1361"/>
      <c r="R1361"/>
    </row>
    <row r="1362" spans="4:18" x14ac:dyDescent="0.25">
      <c r="D1362"/>
      <c r="Q1362"/>
      <c r="R1362"/>
    </row>
    <row r="1363" spans="4:18" x14ac:dyDescent="0.25">
      <c r="D1363"/>
      <c r="Q1363"/>
      <c r="R1363"/>
    </row>
    <row r="1364" spans="4:18" x14ac:dyDescent="0.25">
      <c r="D1364"/>
      <c r="Q1364"/>
      <c r="R1364"/>
    </row>
    <row r="1365" spans="4:18" x14ac:dyDescent="0.25">
      <c r="D1365"/>
      <c r="Q1365"/>
      <c r="R1365"/>
    </row>
    <row r="1366" spans="4:18" x14ac:dyDescent="0.25">
      <c r="D1366"/>
      <c r="Q1366"/>
      <c r="R1366"/>
    </row>
    <row r="1367" spans="4:18" x14ac:dyDescent="0.25">
      <c r="D1367"/>
      <c r="Q1367"/>
      <c r="R1367"/>
    </row>
    <row r="1368" spans="4:18" x14ac:dyDescent="0.25">
      <c r="D1368"/>
      <c r="Q1368"/>
      <c r="R1368"/>
    </row>
    <row r="1369" spans="4:18" x14ac:dyDescent="0.25">
      <c r="D1369"/>
      <c r="Q1369"/>
      <c r="R1369"/>
    </row>
    <row r="1370" spans="4:18" x14ac:dyDescent="0.25">
      <c r="D1370"/>
      <c r="Q1370"/>
      <c r="R1370"/>
    </row>
    <row r="1371" spans="4:18" x14ac:dyDescent="0.25">
      <c r="D1371"/>
      <c r="Q1371"/>
      <c r="R1371"/>
    </row>
    <row r="1372" spans="4:18" x14ac:dyDescent="0.25">
      <c r="D1372"/>
      <c r="Q1372"/>
      <c r="R1372"/>
    </row>
    <row r="1373" spans="4:18" x14ac:dyDescent="0.25">
      <c r="D1373"/>
      <c r="Q1373"/>
      <c r="R1373"/>
    </row>
    <row r="1374" spans="4:18" x14ac:dyDescent="0.25">
      <c r="D1374"/>
      <c r="Q1374"/>
      <c r="R1374"/>
    </row>
    <row r="1375" spans="4:18" x14ac:dyDescent="0.25">
      <c r="D1375"/>
      <c r="Q1375"/>
      <c r="R1375"/>
    </row>
    <row r="1376" spans="4:18" x14ac:dyDescent="0.25">
      <c r="D1376"/>
      <c r="Q1376"/>
      <c r="R1376"/>
    </row>
    <row r="1377" spans="4:18" x14ac:dyDescent="0.25">
      <c r="D1377"/>
      <c r="Q1377"/>
      <c r="R1377"/>
    </row>
    <row r="1378" spans="4:18" x14ac:dyDescent="0.25">
      <c r="D1378"/>
      <c r="Q1378"/>
      <c r="R1378"/>
    </row>
    <row r="1379" spans="4:18" x14ac:dyDescent="0.25">
      <c r="D1379"/>
      <c r="Q1379"/>
      <c r="R1379"/>
    </row>
    <row r="1380" spans="4:18" x14ac:dyDescent="0.25">
      <c r="D1380"/>
      <c r="Q1380"/>
      <c r="R1380"/>
    </row>
    <row r="1381" spans="4:18" x14ac:dyDescent="0.25">
      <c r="D1381"/>
      <c r="Q1381"/>
      <c r="R1381"/>
    </row>
    <row r="1382" spans="4:18" x14ac:dyDescent="0.25">
      <c r="D1382"/>
      <c r="Q1382"/>
      <c r="R1382"/>
    </row>
    <row r="1383" spans="4:18" x14ac:dyDescent="0.25">
      <c r="D1383"/>
      <c r="Q1383"/>
      <c r="R1383"/>
    </row>
    <row r="1384" spans="4:18" x14ac:dyDescent="0.25">
      <c r="D1384"/>
      <c r="Q1384"/>
      <c r="R1384"/>
    </row>
    <row r="1385" spans="4:18" x14ac:dyDescent="0.25">
      <c r="D1385"/>
      <c r="Q1385"/>
      <c r="R1385"/>
    </row>
    <row r="1386" spans="4:18" x14ac:dyDescent="0.25">
      <c r="D1386"/>
      <c r="Q1386"/>
      <c r="R1386"/>
    </row>
    <row r="1387" spans="4:18" x14ac:dyDescent="0.25">
      <c r="D1387"/>
      <c r="Q1387"/>
      <c r="R1387"/>
    </row>
    <row r="1388" spans="4:18" x14ac:dyDescent="0.25">
      <c r="D1388"/>
      <c r="Q1388"/>
      <c r="R1388"/>
    </row>
    <row r="1389" spans="4:18" x14ac:dyDescent="0.25">
      <c r="D1389"/>
      <c r="Q1389"/>
      <c r="R1389"/>
    </row>
    <row r="1390" spans="4:18" x14ac:dyDescent="0.25">
      <c r="D1390"/>
      <c r="Q1390"/>
      <c r="R1390"/>
    </row>
    <row r="1391" spans="4:18" x14ac:dyDescent="0.25">
      <c r="D1391"/>
      <c r="Q1391"/>
      <c r="R1391"/>
    </row>
    <row r="1392" spans="4:18" x14ac:dyDescent="0.25">
      <c r="D1392"/>
      <c r="Q1392"/>
      <c r="R1392"/>
    </row>
    <row r="1393" spans="4:18" x14ac:dyDescent="0.25">
      <c r="D1393"/>
      <c r="Q1393"/>
      <c r="R1393"/>
    </row>
    <row r="1394" spans="4:18" x14ac:dyDescent="0.25">
      <c r="D1394"/>
      <c r="Q1394"/>
      <c r="R1394"/>
    </row>
    <row r="1395" spans="4:18" x14ac:dyDescent="0.25">
      <c r="D1395"/>
      <c r="Q1395"/>
      <c r="R1395"/>
    </row>
    <row r="1396" spans="4:18" x14ac:dyDescent="0.25">
      <c r="D1396"/>
      <c r="Q1396"/>
      <c r="R1396"/>
    </row>
    <row r="1397" spans="4:18" x14ac:dyDescent="0.25">
      <c r="D1397"/>
      <c r="Q1397"/>
      <c r="R1397"/>
    </row>
    <row r="1398" spans="4:18" x14ac:dyDescent="0.25">
      <c r="D1398"/>
      <c r="Q1398"/>
      <c r="R1398"/>
    </row>
    <row r="1399" spans="4:18" x14ac:dyDescent="0.25">
      <c r="D1399"/>
      <c r="Q1399"/>
      <c r="R1399"/>
    </row>
    <row r="1400" spans="4:18" x14ac:dyDescent="0.25">
      <c r="D1400"/>
      <c r="Q1400"/>
      <c r="R1400"/>
    </row>
    <row r="1401" spans="4:18" x14ac:dyDescent="0.25">
      <c r="D1401"/>
      <c r="Q1401"/>
      <c r="R1401"/>
    </row>
    <row r="1402" spans="4:18" x14ac:dyDescent="0.25">
      <c r="D1402"/>
      <c r="Q1402"/>
      <c r="R1402"/>
    </row>
    <row r="1403" spans="4:18" x14ac:dyDescent="0.25">
      <c r="D1403"/>
      <c r="Q1403"/>
      <c r="R1403"/>
    </row>
    <row r="1404" spans="4:18" x14ac:dyDescent="0.25">
      <c r="D1404"/>
      <c r="Q1404"/>
      <c r="R1404"/>
    </row>
    <row r="1405" spans="4:18" x14ac:dyDescent="0.25">
      <c r="D1405"/>
      <c r="Q1405"/>
      <c r="R1405"/>
    </row>
    <row r="1406" spans="4:18" x14ac:dyDescent="0.25">
      <c r="D1406"/>
      <c r="Q1406"/>
      <c r="R1406"/>
    </row>
    <row r="1407" spans="4:18" x14ac:dyDescent="0.25">
      <c r="D1407"/>
      <c r="Q1407"/>
      <c r="R1407"/>
    </row>
    <row r="1408" spans="4:18" x14ac:dyDescent="0.25">
      <c r="D1408"/>
      <c r="Q1408"/>
      <c r="R1408"/>
    </row>
    <row r="1409" spans="4:18" x14ac:dyDescent="0.25">
      <c r="D1409"/>
      <c r="Q1409"/>
      <c r="R1409"/>
    </row>
    <row r="1410" spans="4:18" x14ac:dyDescent="0.25">
      <c r="D1410"/>
      <c r="Q1410"/>
      <c r="R1410"/>
    </row>
    <row r="1411" spans="4:18" x14ac:dyDescent="0.25">
      <c r="D1411"/>
      <c r="Q1411"/>
      <c r="R1411"/>
    </row>
    <row r="1412" spans="4:18" x14ac:dyDescent="0.25">
      <c r="D1412"/>
      <c r="Q1412"/>
      <c r="R1412"/>
    </row>
    <row r="1413" spans="4:18" x14ac:dyDescent="0.25">
      <c r="D1413"/>
      <c r="Q1413"/>
      <c r="R1413"/>
    </row>
    <row r="1414" spans="4:18" x14ac:dyDescent="0.25">
      <c r="D1414"/>
      <c r="Q1414"/>
      <c r="R1414"/>
    </row>
    <row r="1415" spans="4:18" x14ac:dyDescent="0.25">
      <c r="D1415"/>
      <c r="Q1415"/>
      <c r="R1415"/>
    </row>
    <row r="1416" spans="4:18" x14ac:dyDescent="0.25">
      <c r="D1416"/>
      <c r="Q1416"/>
      <c r="R1416"/>
    </row>
    <row r="1417" spans="4:18" x14ac:dyDescent="0.25">
      <c r="D1417"/>
      <c r="Q1417"/>
      <c r="R1417"/>
    </row>
    <row r="1418" spans="4:18" x14ac:dyDescent="0.25">
      <c r="D1418"/>
      <c r="Q1418"/>
      <c r="R1418"/>
    </row>
    <row r="1419" spans="4:18" x14ac:dyDescent="0.25">
      <c r="D1419"/>
      <c r="Q1419"/>
      <c r="R1419"/>
    </row>
    <row r="1420" spans="4:18" x14ac:dyDescent="0.25">
      <c r="D1420"/>
      <c r="Q1420"/>
      <c r="R1420"/>
    </row>
    <row r="1421" spans="4:18" x14ac:dyDescent="0.25">
      <c r="D1421"/>
      <c r="Q1421"/>
      <c r="R1421"/>
    </row>
    <row r="1422" spans="4:18" x14ac:dyDescent="0.25">
      <c r="D1422"/>
      <c r="Q1422"/>
      <c r="R1422"/>
    </row>
    <row r="1423" spans="4:18" x14ac:dyDescent="0.25">
      <c r="D1423"/>
      <c r="Q1423"/>
      <c r="R1423"/>
    </row>
    <row r="1424" spans="4:18" x14ac:dyDescent="0.25">
      <c r="D1424"/>
      <c r="Q1424"/>
      <c r="R1424"/>
    </row>
    <row r="1425" spans="4:18" x14ac:dyDescent="0.25">
      <c r="D1425"/>
      <c r="Q1425"/>
      <c r="R1425"/>
    </row>
    <row r="1426" spans="4:18" x14ac:dyDescent="0.25">
      <c r="D1426"/>
      <c r="Q1426"/>
      <c r="R1426"/>
    </row>
    <row r="1427" spans="4:18" x14ac:dyDescent="0.25">
      <c r="D1427"/>
      <c r="Q1427"/>
      <c r="R1427"/>
    </row>
    <row r="1428" spans="4:18" x14ac:dyDescent="0.25">
      <c r="D1428"/>
      <c r="Q1428"/>
      <c r="R1428"/>
    </row>
    <row r="1429" spans="4:18" x14ac:dyDescent="0.25">
      <c r="D1429"/>
      <c r="Q1429"/>
      <c r="R1429"/>
    </row>
    <row r="1430" spans="4:18" x14ac:dyDescent="0.25">
      <c r="D1430"/>
      <c r="Q1430"/>
      <c r="R1430"/>
    </row>
    <row r="1431" spans="4:18" x14ac:dyDescent="0.25">
      <c r="D1431"/>
      <c r="Q1431"/>
      <c r="R1431"/>
    </row>
    <row r="1432" spans="4:18" x14ac:dyDescent="0.25">
      <c r="D1432"/>
      <c r="Q1432"/>
      <c r="R1432"/>
    </row>
    <row r="1433" spans="4:18" x14ac:dyDescent="0.25">
      <c r="D1433"/>
      <c r="Q1433"/>
      <c r="R1433"/>
    </row>
    <row r="1434" spans="4:18" x14ac:dyDescent="0.25">
      <c r="D1434"/>
      <c r="Q1434"/>
      <c r="R1434"/>
    </row>
    <row r="1435" spans="4:18" x14ac:dyDescent="0.25">
      <c r="D1435"/>
      <c r="Q1435"/>
      <c r="R1435"/>
    </row>
    <row r="1436" spans="4:18" x14ac:dyDescent="0.25">
      <c r="D1436"/>
      <c r="Q1436"/>
      <c r="R1436"/>
    </row>
    <row r="1437" spans="4:18" x14ac:dyDescent="0.25">
      <c r="D1437"/>
      <c r="Q1437"/>
      <c r="R1437"/>
    </row>
    <row r="1438" spans="4:18" x14ac:dyDescent="0.25">
      <c r="D1438"/>
      <c r="Q1438"/>
      <c r="R1438"/>
    </row>
    <row r="1439" spans="4:18" x14ac:dyDescent="0.25">
      <c r="D1439"/>
      <c r="Q1439"/>
      <c r="R1439"/>
    </row>
    <row r="1440" spans="4:18" x14ac:dyDescent="0.25">
      <c r="D1440"/>
      <c r="Q1440"/>
      <c r="R1440"/>
    </row>
    <row r="1441" spans="4:18" x14ac:dyDescent="0.25">
      <c r="D1441"/>
      <c r="Q1441"/>
      <c r="R1441"/>
    </row>
    <row r="1442" spans="4:18" x14ac:dyDescent="0.25">
      <c r="D1442"/>
      <c r="Q1442"/>
      <c r="R1442"/>
    </row>
    <row r="1443" spans="4:18" x14ac:dyDescent="0.25">
      <c r="D1443"/>
      <c r="Q1443"/>
      <c r="R1443"/>
    </row>
    <row r="1444" spans="4:18" x14ac:dyDescent="0.25">
      <c r="D1444"/>
      <c r="Q1444"/>
      <c r="R1444"/>
    </row>
    <row r="1445" spans="4:18" x14ac:dyDescent="0.25">
      <c r="D1445"/>
      <c r="Q1445"/>
      <c r="R1445"/>
    </row>
    <row r="1446" spans="4:18" x14ac:dyDescent="0.25">
      <c r="D1446"/>
      <c r="Q1446"/>
      <c r="R1446"/>
    </row>
    <row r="1447" spans="4:18" x14ac:dyDescent="0.25">
      <c r="D1447"/>
      <c r="Q1447"/>
      <c r="R1447"/>
    </row>
    <row r="1448" spans="4:18" x14ac:dyDescent="0.25">
      <c r="D1448"/>
      <c r="Q1448"/>
      <c r="R1448"/>
    </row>
    <row r="1449" spans="4:18" x14ac:dyDescent="0.25">
      <c r="D1449"/>
      <c r="Q1449"/>
      <c r="R1449"/>
    </row>
    <row r="1450" spans="4:18" x14ac:dyDescent="0.25">
      <c r="D1450"/>
      <c r="Q1450"/>
      <c r="R1450"/>
    </row>
    <row r="1451" spans="4:18" x14ac:dyDescent="0.25">
      <c r="D1451"/>
      <c r="Q1451"/>
      <c r="R1451"/>
    </row>
    <row r="1452" spans="4:18" x14ac:dyDescent="0.25">
      <c r="D1452"/>
      <c r="Q1452"/>
      <c r="R1452"/>
    </row>
    <row r="1453" spans="4:18" x14ac:dyDescent="0.25">
      <c r="D1453"/>
      <c r="Q1453"/>
      <c r="R1453"/>
    </row>
    <row r="1454" spans="4:18" x14ac:dyDescent="0.25">
      <c r="D1454"/>
      <c r="Q1454"/>
      <c r="R1454"/>
    </row>
    <row r="1455" spans="4:18" x14ac:dyDescent="0.25">
      <c r="D1455"/>
      <c r="Q1455"/>
      <c r="R1455"/>
    </row>
    <row r="1456" spans="4:18" x14ac:dyDescent="0.25">
      <c r="D1456"/>
      <c r="Q1456"/>
      <c r="R1456"/>
    </row>
    <row r="1457" spans="4:18" x14ac:dyDescent="0.25">
      <c r="D1457"/>
      <c r="Q1457"/>
      <c r="R1457"/>
    </row>
    <row r="1458" spans="4:18" x14ac:dyDescent="0.25">
      <c r="D1458"/>
      <c r="Q1458"/>
      <c r="R1458"/>
    </row>
    <row r="1459" spans="4:18" x14ac:dyDescent="0.25">
      <c r="D1459"/>
      <c r="Q1459"/>
      <c r="R1459"/>
    </row>
    <row r="1460" spans="4:18" x14ac:dyDescent="0.25">
      <c r="D1460"/>
      <c r="Q1460"/>
      <c r="R1460"/>
    </row>
    <row r="1461" spans="4:18" x14ac:dyDescent="0.25">
      <c r="D1461"/>
      <c r="Q1461"/>
      <c r="R1461"/>
    </row>
    <row r="1462" spans="4:18" x14ac:dyDescent="0.25">
      <c r="D1462"/>
      <c r="Q1462"/>
      <c r="R1462"/>
    </row>
    <row r="1463" spans="4:18" x14ac:dyDescent="0.25">
      <c r="D1463"/>
      <c r="Q1463"/>
      <c r="R1463"/>
    </row>
    <row r="1464" spans="4:18" x14ac:dyDescent="0.25">
      <c r="D1464"/>
      <c r="Q1464"/>
      <c r="R1464"/>
    </row>
    <row r="1465" spans="4:18" x14ac:dyDescent="0.25">
      <c r="D1465"/>
      <c r="Q1465"/>
      <c r="R1465"/>
    </row>
    <row r="1466" spans="4:18" x14ac:dyDescent="0.25">
      <c r="D1466"/>
      <c r="Q1466"/>
      <c r="R1466"/>
    </row>
    <row r="1467" spans="4:18" x14ac:dyDescent="0.25">
      <c r="D1467"/>
      <c r="Q1467"/>
      <c r="R1467"/>
    </row>
    <row r="1468" spans="4:18" x14ac:dyDescent="0.25">
      <c r="D1468"/>
      <c r="Q1468"/>
      <c r="R1468"/>
    </row>
    <row r="1469" spans="4:18" x14ac:dyDescent="0.25">
      <c r="D1469"/>
      <c r="Q1469"/>
      <c r="R1469"/>
    </row>
    <row r="1470" spans="4:18" x14ac:dyDescent="0.25">
      <c r="D1470"/>
      <c r="Q1470"/>
      <c r="R1470"/>
    </row>
    <row r="1471" spans="4:18" x14ac:dyDescent="0.25">
      <c r="D1471"/>
      <c r="Q1471"/>
      <c r="R1471"/>
    </row>
    <row r="1472" spans="4:18" x14ac:dyDescent="0.25">
      <c r="D1472"/>
      <c r="Q1472"/>
      <c r="R1472"/>
    </row>
    <row r="1473" spans="4:18" x14ac:dyDescent="0.25">
      <c r="D1473"/>
      <c r="Q1473"/>
      <c r="R1473"/>
    </row>
    <row r="1474" spans="4:18" x14ac:dyDescent="0.25">
      <c r="D1474"/>
      <c r="Q1474"/>
      <c r="R1474"/>
    </row>
    <row r="1475" spans="4:18" x14ac:dyDescent="0.25">
      <c r="D1475"/>
      <c r="Q1475"/>
      <c r="R1475"/>
    </row>
    <row r="1476" spans="4:18" x14ac:dyDescent="0.25">
      <c r="D1476"/>
      <c r="Q1476"/>
      <c r="R1476"/>
    </row>
    <row r="1477" spans="4:18" x14ac:dyDescent="0.25">
      <c r="D1477"/>
      <c r="Q1477"/>
      <c r="R1477"/>
    </row>
    <row r="1478" spans="4:18" x14ac:dyDescent="0.25">
      <c r="D1478"/>
      <c r="Q1478"/>
      <c r="R1478"/>
    </row>
    <row r="1479" spans="4:18" x14ac:dyDescent="0.25">
      <c r="D1479"/>
      <c r="Q1479"/>
      <c r="R1479"/>
    </row>
    <row r="1480" spans="4:18" x14ac:dyDescent="0.25">
      <c r="D1480"/>
      <c r="Q1480"/>
      <c r="R1480"/>
    </row>
    <row r="1481" spans="4:18" x14ac:dyDescent="0.25">
      <c r="D1481"/>
      <c r="Q1481"/>
      <c r="R1481"/>
    </row>
    <row r="1482" spans="4:18" x14ac:dyDescent="0.25">
      <c r="D1482"/>
      <c r="Q1482"/>
      <c r="R1482"/>
    </row>
    <row r="1483" spans="4:18" x14ac:dyDescent="0.25">
      <c r="D1483"/>
      <c r="Q1483"/>
      <c r="R1483"/>
    </row>
    <row r="1484" spans="4:18" x14ac:dyDescent="0.25">
      <c r="D1484"/>
      <c r="Q1484"/>
      <c r="R1484"/>
    </row>
    <row r="1485" spans="4:18" x14ac:dyDescent="0.25">
      <c r="D1485"/>
      <c r="Q1485"/>
      <c r="R1485"/>
    </row>
    <row r="1486" spans="4:18" x14ac:dyDescent="0.25">
      <c r="D1486"/>
      <c r="Q1486"/>
      <c r="R1486"/>
    </row>
    <row r="1487" spans="4:18" x14ac:dyDescent="0.25">
      <c r="D1487"/>
      <c r="Q1487"/>
      <c r="R1487"/>
    </row>
    <row r="1488" spans="4:18" x14ac:dyDescent="0.25">
      <c r="D1488"/>
      <c r="Q1488"/>
      <c r="R1488"/>
    </row>
    <row r="1489" spans="4:18" x14ac:dyDescent="0.25">
      <c r="D1489"/>
      <c r="Q1489"/>
      <c r="R1489"/>
    </row>
    <row r="1490" spans="4:18" x14ac:dyDescent="0.25">
      <c r="D1490"/>
      <c r="Q1490"/>
      <c r="R1490"/>
    </row>
    <row r="1491" spans="4:18" x14ac:dyDescent="0.25">
      <c r="D1491"/>
      <c r="Q1491"/>
      <c r="R1491"/>
    </row>
    <row r="1492" spans="4:18" x14ac:dyDescent="0.25">
      <c r="D1492"/>
      <c r="Q1492"/>
      <c r="R1492"/>
    </row>
    <row r="1493" spans="4:18" x14ac:dyDescent="0.25">
      <c r="D1493"/>
      <c r="Q1493"/>
      <c r="R1493"/>
    </row>
    <row r="1494" spans="4:18" x14ac:dyDescent="0.25">
      <c r="D1494"/>
      <c r="Q1494"/>
      <c r="R1494"/>
    </row>
    <row r="1495" spans="4:18" x14ac:dyDescent="0.25">
      <c r="D1495"/>
      <c r="Q1495"/>
      <c r="R1495"/>
    </row>
    <row r="1496" spans="4:18" x14ac:dyDescent="0.25">
      <c r="D1496"/>
      <c r="Q1496"/>
      <c r="R1496"/>
    </row>
    <row r="1497" spans="4:18" x14ac:dyDescent="0.25">
      <c r="D1497"/>
      <c r="Q1497"/>
      <c r="R1497"/>
    </row>
    <row r="1498" spans="4:18" x14ac:dyDescent="0.25">
      <c r="D1498"/>
      <c r="Q1498"/>
      <c r="R1498"/>
    </row>
    <row r="1499" spans="4:18" x14ac:dyDescent="0.25">
      <c r="D1499"/>
      <c r="Q1499"/>
      <c r="R1499"/>
    </row>
    <row r="1500" spans="4:18" x14ac:dyDescent="0.25">
      <c r="D1500"/>
      <c r="Q1500"/>
      <c r="R1500"/>
    </row>
    <row r="1501" spans="4:18" x14ac:dyDescent="0.25">
      <c r="D1501"/>
      <c r="Q1501"/>
      <c r="R1501"/>
    </row>
    <row r="1502" spans="4:18" x14ac:dyDescent="0.25">
      <c r="D1502"/>
      <c r="Q1502"/>
      <c r="R1502"/>
    </row>
    <row r="1503" spans="4:18" x14ac:dyDescent="0.25">
      <c r="D1503"/>
      <c r="Q1503"/>
      <c r="R1503"/>
    </row>
    <row r="1504" spans="4:18" x14ac:dyDescent="0.25">
      <c r="D1504"/>
      <c r="Q1504"/>
      <c r="R1504"/>
    </row>
    <row r="1505" spans="4:18" x14ac:dyDescent="0.25">
      <c r="D1505"/>
      <c r="Q1505"/>
      <c r="R1505"/>
    </row>
    <row r="1506" spans="4:18" x14ac:dyDescent="0.25">
      <c r="D1506"/>
      <c r="Q1506"/>
      <c r="R1506"/>
    </row>
    <row r="1507" spans="4:18" x14ac:dyDescent="0.25">
      <c r="D1507"/>
      <c r="Q1507"/>
      <c r="R1507"/>
    </row>
    <row r="1508" spans="4:18" x14ac:dyDescent="0.25">
      <c r="D1508"/>
      <c r="Q1508"/>
      <c r="R1508"/>
    </row>
    <row r="1509" spans="4:18" x14ac:dyDescent="0.25">
      <c r="D1509"/>
      <c r="Q1509"/>
      <c r="R1509"/>
    </row>
    <row r="1510" spans="4:18" x14ac:dyDescent="0.25">
      <c r="D1510"/>
      <c r="Q1510"/>
      <c r="R1510"/>
    </row>
    <row r="1511" spans="4:18" x14ac:dyDescent="0.25">
      <c r="D1511"/>
      <c r="Q1511"/>
      <c r="R1511"/>
    </row>
    <row r="1512" spans="4:18" x14ac:dyDescent="0.25">
      <c r="D1512"/>
      <c r="Q1512"/>
      <c r="R1512"/>
    </row>
    <row r="1513" spans="4:18" x14ac:dyDescent="0.25">
      <c r="D1513"/>
      <c r="Q1513"/>
      <c r="R1513"/>
    </row>
    <row r="1514" spans="4:18" x14ac:dyDescent="0.25">
      <c r="D1514"/>
      <c r="Q1514"/>
      <c r="R1514"/>
    </row>
    <row r="1515" spans="4:18" x14ac:dyDescent="0.25">
      <c r="D1515"/>
      <c r="Q1515"/>
      <c r="R1515"/>
    </row>
    <row r="1516" spans="4:18" x14ac:dyDescent="0.25">
      <c r="D1516"/>
      <c r="Q1516"/>
      <c r="R1516"/>
    </row>
    <row r="1517" spans="4:18" x14ac:dyDescent="0.25">
      <c r="D1517"/>
      <c r="Q1517"/>
      <c r="R1517"/>
    </row>
    <row r="1518" spans="4:18" x14ac:dyDescent="0.25">
      <c r="D1518"/>
      <c r="Q1518"/>
      <c r="R1518"/>
    </row>
    <row r="1519" spans="4:18" x14ac:dyDescent="0.25">
      <c r="D1519"/>
      <c r="Q1519"/>
      <c r="R1519"/>
    </row>
    <row r="1520" spans="4:18" x14ac:dyDescent="0.25">
      <c r="D1520"/>
      <c r="Q1520"/>
      <c r="R1520"/>
    </row>
    <row r="1521" spans="4:18" x14ac:dyDescent="0.25">
      <c r="D1521"/>
      <c r="Q1521"/>
      <c r="R1521"/>
    </row>
    <row r="1522" spans="4:18" x14ac:dyDescent="0.25">
      <c r="D1522"/>
      <c r="Q1522"/>
      <c r="R1522"/>
    </row>
    <row r="1523" spans="4:18" x14ac:dyDescent="0.25">
      <c r="D1523"/>
      <c r="Q1523"/>
      <c r="R1523"/>
    </row>
    <row r="1524" spans="4:18" x14ac:dyDescent="0.25">
      <c r="D1524"/>
      <c r="Q1524"/>
      <c r="R1524"/>
    </row>
    <row r="1525" spans="4:18" x14ac:dyDescent="0.25">
      <c r="D1525"/>
      <c r="Q1525"/>
      <c r="R1525"/>
    </row>
    <row r="1526" spans="4:18" x14ac:dyDescent="0.25">
      <c r="D1526"/>
      <c r="Q1526"/>
      <c r="R1526"/>
    </row>
    <row r="1527" spans="4:18" x14ac:dyDescent="0.25">
      <c r="D1527"/>
      <c r="Q1527"/>
      <c r="R1527"/>
    </row>
    <row r="1528" spans="4:18" x14ac:dyDescent="0.25">
      <c r="D1528"/>
      <c r="Q1528"/>
      <c r="R1528"/>
    </row>
    <row r="1529" spans="4:18" x14ac:dyDescent="0.25">
      <c r="D1529"/>
      <c r="Q1529"/>
      <c r="R1529"/>
    </row>
    <row r="1530" spans="4:18" x14ac:dyDescent="0.25">
      <c r="D1530"/>
      <c r="Q1530"/>
      <c r="R1530"/>
    </row>
    <row r="1531" spans="4:18" x14ac:dyDescent="0.25">
      <c r="D1531"/>
      <c r="Q1531"/>
      <c r="R1531"/>
    </row>
    <row r="1532" spans="4:18" x14ac:dyDescent="0.25">
      <c r="D1532"/>
      <c r="Q1532"/>
      <c r="R1532"/>
    </row>
    <row r="1533" spans="4:18" x14ac:dyDescent="0.25">
      <c r="D1533"/>
      <c r="Q1533"/>
      <c r="R1533"/>
    </row>
    <row r="1534" spans="4:18" x14ac:dyDescent="0.25">
      <c r="D1534"/>
      <c r="Q1534"/>
      <c r="R1534"/>
    </row>
    <row r="1535" spans="4:18" x14ac:dyDescent="0.25">
      <c r="D1535"/>
      <c r="Q1535"/>
      <c r="R1535"/>
    </row>
    <row r="1536" spans="4:18" x14ac:dyDescent="0.25">
      <c r="D1536"/>
      <c r="Q1536"/>
      <c r="R1536"/>
    </row>
    <row r="1537" spans="4:18" x14ac:dyDescent="0.25">
      <c r="D1537"/>
      <c r="Q1537"/>
      <c r="R1537"/>
    </row>
    <row r="1538" spans="4:18" x14ac:dyDescent="0.25">
      <c r="D1538"/>
      <c r="Q1538"/>
      <c r="R1538"/>
    </row>
    <row r="1539" spans="4:18" x14ac:dyDescent="0.25">
      <c r="D1539"/>
      <c r="Q1539"/>
      <c r="R1539"/>
    </row>
    <row r="1540" spans="4:18" x14ac:dyDescent="0.25">
      <c r="D1540"/>
      <c r="Q1540"/>
      <c r="R1540"/>
    </row>
    <row r="1541" spans="4:18" x14ac:dyDescent="0.25">
      <c r="D1541"/>
      <c r="Q1541"/>
      <c r="R1541"/>
    </row>
    <row r="1542" spans="4:18" x14ac:dyDescent="0.25">
      <c r="D1542"/>
      <c r="Q1542"/>
      <c r="R1542"/>
    </row>
    <row r="1543" spans="4:18" x14ac:dyDescent="0.25">
      <c r="D1543"/>
      <c r="Q1543"/>
      <c r="R1543"/>
    </row>
    <row r="1544" spans="4:18" x14ac:dyDescent="0.25">
      <c r="D1544"/>
      <c r="Q1544"/>
      <c r="R1544"/>
    </row>
    <row r="1545" spans="4:18" x14ac:dyDescent="0.25">
      <c r="D1545"/>
      <c r="Q1545"/>
      <c r="R1545"/>
    </row>
    <row r="1546" spans="4:18" x14ac:dyDescent="0.25">
      <c r="D1546"/>
      <c r="Q1546"/>
      <c r="R1546"/>
    </row>
    <row r="1547" spans="4:18" x14ac:dyDescent="0.25">
      <c r="D1547"/>
      <c r="Q1547"/>
      <c r="R1547"/>
    </row>
    <row r="1548" spans="4:18" x14ac:dyDescent="0.25">
      <c r="D1548"/>
      <c r="Q1548"/>
      <c r="R1548"/>
    </row>
    <row r="1549" spans="4:18" x14ac:dyDescent="0.25">
      <c r="D1549"/>
      <c r="Q1549"/>
      <c r="R1549"/>
    </row>
    <row r="1550" spans="4:18" x14ac:dyDescent="0.25">
      <c r="D1550"/>
      <c r="Q1550"/>
      <c r="R1550"/>
    </row>
    <row r="1551" spans="4:18" x14ac:dyDescent="0.25">
      <c r="D1551"/>
      <c r="Q1551"/>
      <c r="R1551"/>
    </row>
    <row r="1552" spans="4:18" x14ac:dyDescent="0.25">
      <c r="D1552"/>
      <c r="Q1552"/>
      <c r="R1552"/>
    </row>
    <row r="1553" spans="4:18" x14ac:dyDescent="0.25">
      <c r="D1553"/>
      <c r="Q1553"/>
      <c r="R1553"/>
    </row>
    <row r="1554" spans="4:18" x14ac:dyDescent="0.25">
      <c r="D1554"/>
      <c r="Q1554"/>
      <c r="R1554"/>
    </row>
    <row r="1555" spans="4:18" x14ac:dyDescent="0.25">
      <c r="D1555"/>
      <c r="Q1555"/>
      <c r="R1555"/>
    </row>
    <row r="1556" spans="4:18" x14ac:dyDescent="0.25">
      <c r="D1556"/>
      <c r="Q1556"/>
      <c r="R1556"/>
    </row>
    <row r="1557" spans="4:18" x14ac:dyDescent="0.25">
      <c r="D1557"/>
      <c r="Q1557"/>
      <c r="R1557"/>
    </row>
    <row r="1558" spans="4:18" x14ac:dyDescent="0.25">
      <c r="D1558"/>
      <c r="Q1558"/>
      <c r="R1558"/>
    </row>
    <row r="1559" spans="4:18" x14ac:dyDescent="0.25">
      <c r="D1559"/>
      <c r="Q1559"/>
      <c r="R1559"/>
    </row>
    <row r="1560" spans="4:18" x14ac:dyDescent="0.25">
      <c r="D1560"/>
      <c r="Q1560"/>
      <c r="R1560"/>
    </row>
    <row r="1561" spans="4:18" x14ac:dyDescent="0.25">
      <c r="D1561"/>
      <c r="Q1561"/>
      <c r="R1561"/>
    </row>
    <row r="1562" spans="4:18" x14ac:dyDescent="0.25">
      <c r="D1562"/>
      <c r="Q1562"/>
      <c r="R1562"/>
    </row>
    <row r="1563" spans="4:18" x14ac:dyDescent="0.25">
      <c r="D1563"/>
      <c r="Q1563"/>
      <c r="R1563"/>
    </row>
    <row r="1564" spans="4:18" x14ac:dyDescent="0.25">
      <c r="D1564"/>
      <c r="Q1564"/>
      <c r="R1564"/>
    </row>
    <row r="1565" spans="4:18" x14ac:dyDescent="0.25">
      <c r="D1565"/>
      <c r="Q1565"/>
      <c r="R1565"/>
    </row>
    <row r="1566" spans="4:18" x14ac:dyDescent="0.25">
      <c r="D1566"/>
      <c r="Q1566"/>
      <c r="R1566"/>
    </row>
    <row r="1567" spans="4:18" x14ac:dyDescent="0.25">
      <c r="D1567"/>
      <c r="Q1567"/>
      <c r="R1567"/>
    </row>
    <row r="1568" spans="4:18" x14ac:dyDescent="0.25">
      <c r="D1568"/>
      <c r="Q1568"/>
      <c r="R1568"/>
    </row>
    <row r="1569" spans="4:18" x14ac:dyDescent="0.25">
      <c r="D1569"/>
      <c r="Q1569"/>
      <c r="R1569"/>
    </row>
    <row r="1570" spans="4:18" x14ac:dyDescent="0.25">
      <c r="D1570"/>
      <c r="Q1570"/>
      <c r="R1570"/>
    </row>
    <row r="1571" spans="4:18" x14ac:dyDescent="0.25">
      <c r="D1571"/>
      <c r="Q1571"/>
      <c r="R1571"/>
    </row>
    <row r="1572" spans="4:18" x14ac:dyDescent="0.25">
      <c r="D1572"/>
      <c r="Q1572"/>
      <c r="R1572"/>
    </row>
    <row r="1573" spans="4:18" x14ac:dyDescent="0.25">
      <c r="D1573"/>
      <c r="Q1573"/>
      <c r="R1573"/>
    </row>
    <row r="1574" spans="4:18" x14ac:dyDescent="0.25">
      <c r="D1574"/>
      <c r="Q1574"/>
      <c r="R1574"/>
    </row>
    <row r="1575" spans="4:18" x14ac:dyDescent="0.25">
      <c r="D1575"/>
      <c r="Q1575"/>
      <c r="R1575"/>
    </row>
    <row r="1576" spans="4:18" x14ac:dyDescent="0.25">
      <c r="D1576"/>
      <c r="Q1576"/>
      <c r="R1576"/>
    </row>
    <row r="1577" spans="4:18" x14ac:dyDescent="0.25">
      <c r="D1577"/>
      <c r="Q1577"/>
      <c r="R1577"/>
    </row>
    <row r="1578" spans="4:18" x14ac:dyDescent="0.25">
      <c r="D1578"/>
      <c r="Q1578"/>
      <c r="R1578"/>
    </row>
    <row r="1579" spans="4:18" x14ac:dyDescent="0.25">
      <c r="D1579"/>
      <c r="Q1579"/>
      <c r="R1579"/>
    </row>
    <row r="1580" spans="4:18" x14ac:dyDescent="0.25">
      <c r="D1580"/>
      <c r="Q1580"/>
      <c r="R1580"/>
    </row>
    <row r="1581" spans="4:18" x14ac:dyDescent="0.25">
      <c r="D1581"/>
      <c r="Q1581"/>
      <c r="R1581"/>
    </row>
    <row r="1582" spans="4:18" x14ac:dyDescent="0.25">
      <c r="D1582"/>
      <c r="Q1582"/>
      <c r="R1582"/>
    </row>
    <row r="1583" spans="4:18" x14ac:dyDescent="0.25">
      <c r="D1583"/>
      <c r="Q1583"/>
      <c r="R1583"/>
    </row>
    <row r="1584" spans="4:18" x14ac:dyDescent="0.25">
      <c r="D1584"/>
      <c r="Q1584"/>
      <c r="R1584"/>
    </row>
    <row r="1585" spans="4:18" x14ac:dyDescent="0.25">
      <c r="D1585"/>
      <c r="Q1585"/>
      <c r="R1585"/>
    </row>
    <row r="1586" spans="4:18" x14ac:dyDescent="0.25">
      <c r="D1586"/>
      <c r="Q1586"/>
      <c r="R1586"/>
    </row>
    <row r="1587" spans="4:18" x14ac:dyDescent="0.25">
      <c r="D1587"/>
      <c r="Q1587"/>
      <c r="R1587"/>
    </row>
    <row r="1588" spans="4:18" x14ac:dyDescent="0.25">
      <c r="D1588"/>
      <c r="Q1588"/>
      <c r="R1588"/>
    </row>
    <row r="1589" spans="4:18" x14ac:dyDescent="0.25">
      <c r="D1589"/>
      <c r="Q1589"/>
      <c r="R1589"/>
    </row>
    <row r="1590" spans="4:18" x14ac:dyDescent="0.25">
      <c r="D1590"/>
      <c r="Q1590"/>
      <c r="R1590"/>
    </row>
    <row r="1591" spans="4:18" x14ac:dyDescent="0.25">
      <c r="D1591"/>
      <c r="Q1591"/>
      <c r="R1591"/>
    </row>
    <row r="1592" spans="4:18" x14ac:dyDescent="0.25">
      <c r="D1592"/>
      <c r="Q1592"/>
      <c r="R1592"/>
    </row>
    <row r="1593" spans="4:18" x14ac:dyDescent="0.25">
      <c r="D1593"/>
      <c r="Q1593"/>
      <c r="R1593"/>
    </row>
    <row r="1594" spans="4:18" x14ac:dyDescent="0.25">
      <c r="D1594"/>
      <c r="Q1594"/>
      <c r="R1594"/>
    </row>
    <row r="1595" spans="4:18" x14ac:dyDescent="0.25">
      <c r="D1595"/>
      <c r="Q1595"/>
      <c r="R1595"/>
    </row>
    <row r="1596" spans="4:18" x14ac:dyDescent="0.25">
      <c r="D1596"/>
      <c r="Q1596"/>
      <c r="R1596"/>
    </row>
    <row r="1597" spans="4:18" x14ac:dyDescent="0.25">
      <c r="D1597"/>
      <c r="Q1597"/>
      <c r="R1597"/>
    </row>
    <row r="1598" spans="4:18" x14ac:dyDescent="0.25">
      <c r="D1598"/>
      <c r="Q1598"/>
      <c r="R1598"/>
    </row>
    <row r="1599" spans="4:18" x14ac:dyDescent="0.25">
      <c r="D1599"/>
      <c r="Q1599"/>
      <c r="R1599"/>
    </row>
    <row r="1600" spans="4:18" x14ac:dyDescent="0.25">
      <c r="D1600"/>
      <c r="Q1600"/>
      <c r="R1600"/>
    </row>
    <row r="1601" spans="4:18" x14ac:dyDescent="0.25">
      <c r="D1601"/>
      <c r="Q1601"/>
      <c r="R1601"/>
    </row>
    <row r="1602" spans="4:18" x14ac:dyDescent="0.25">
      <c r="D1602"/>
      <c r="Q1602"/>
      <c r="R1602"/>
    </row>
    <row r="1603" spans="4:18" x14ac:dyDescent="0.25">
      <c r="D1603"/>
      <c r="Q1603"/>
      <c r="R1603"/>
    </row>
    <row r="1604" spans="4:18" x14ac:dyDescent="0.25">
      <c r="D1604"/>
      <c r="Q1604"/>
      <c r="R1604"/>
    </row>
    <row r="1605" spans="4:18" x14ac:dyDescent="0.25">
      <c r="D1605"/>
      <c r="Q1605"/>
      <c r="R1605"/>
    </row>
    <row r="1606" spans="4:18" x14ac:dyDescent="0.25">
      <c r="D1606"/>
      <c r="Q1606"/>
      <c r="R1606"/>
    </row>
    <row r="1607" spans="4:18" x14ac:dyDescent="0.25">
      <c r="D1607"/>
      <c r="Q1607"/>
      <c r="R1607"/>
    </row>
    <row r="1608" spans="4:18" x14ac:dyDescent="0.25">
      <c r="D1608"/>
      <c r="Q1608"/>
      <c r="R1608"/>
    </row>
    <row r="1609" spans="4:18" x14ac:dyDescent="0.25">
      <c r="D1609"/>
      <c r="Q1609"/>
      <c r="R1609"/>
    </row>
    <row r="1610" spans="4:18" x14ac:dyDescent="0.25">
      <c r="D1610"/>
      <c r="Q1610"/>
      <c r="R1610"/>
    </row>
    <row r="1611" spans="4:18" x14ac:dyDescent="0.25">
      <c r="D1611"/>
      <c r="Q1611"/>
      <c r="R1611"/>
    </row>
    <row r="1612" spans="4:18" x14ac:dyDescent="0.25">
      <c r="D1612"/>
      <c r="Q1612"/>
      <c r="R1612"/>
    </row>
    <row r="1613" spans="4:18" x14ac:dyDescent="0.25">
      <c r="D1613"/>
      <c r="Q1613"/>
      <c r="R1613"/>
    </row>
    <row r="1614" spans="4:18" x14ac:dyDescent="0.25">
      <c r="D1614"/>
      <c r="Q1614"/>
      <c r="R1614"/>
    </row>
    <row r="1615" spans="4:18" x14ac:dyDescent="0.25">
      <c r="D1615"/>
      <c r="Q1615"/>
      <c r="R1615"/>
    </row>
    <row r="1616" spans="4:18" x14ac:dyDescent="0.25">
      <c r="D1616"/>
      <c r="Q1616"/>
      <c r="R1616"/>
    </row>
    <row r="1617" spans="4:18" x14ac:dyDescent="0.25">
      <c r="D1617"/>
      <c r="Q1617"/>
      <c r="R1617"/>
    </row>
    <row r="1618" spans="4:18" x14ac:dyDescent="0.25">
      <c r="D1618"/>
      <c r="Q1618"/>
      <c r="R1618"/>
    </row>
    <row r="1619" spans="4:18" x14ac:dyDescent="0.25">
      <c r="D1619"/>
      <c r="Q1619"/>
      <c r="R1619"/>
    </row>
    <row r="1620" spans="4:18" x14ac:dyDescent="0.25">
      <c r="D1620"/>
      <c r="Q1620"/>
      <c r="R1620"/>
    </row>
    <row r="1621" spans="4:18" x14ac:dyDescent="0.25">
      <c r="D1621"/>
      <c r="Q1621"/>
      <c r="R1621"/>
    </row>
    <row r="1622" spans="4:18" x14ac:dyDescent="0.25">
      <c r="D1622"/>
      <c r="Q1622"/>
      <c r="R1622"/>
    </row>
    <row r="1623" spans="4:18" x14ac:dyDescent="0.25">
      <c r="D1623"/>
      <c r="Q1623"/>
      <c r="R1623"/>
    </row>
    <row r="1624" spans="4:18" x14ac:dyDescent="0.25">
      <c r="D1624"/>
      <c r="Q1624"/>
      <c r="R1624"/>
    </row>
    <row r="1625" spans="4:18" x14ac:dyDescent="0.25">
      <c r="D1625"/>
      <c r="Q1625"/>
      <c r="R1625"/>
    </row>
    <row r="1626" spans="4:18" x14ac:dyDescent="0.25">
      <c r="D1626"/>
      <c r="Q1626"/>
      <c r="R1626"/>
    </row>
    <row r="1627" spans="4:18" x14ac:dyDescent="0.25">
      <c r="D1627"/>
      <c r="Q1627"/>
      <c r="R1627"/>
    </row>
    <row r="1628" spans="4:18" x14ac:dyDescent="0.25">
      <c r="D1628"/>
      <c r="Q1628"/>
      <c r="R1628"/>
    </row>
    <row r="1629" spans="4:18" x14ac:dyDescent="0.25">
      <c r="D1629"/>
      <c r="Q1629"/>
      <c r="R1629"/>
    </row>
    <row r="1630" spans="4:18" x14ac:dyDescent="0.25">
      <c r="D1630"/>
      <c r="Q1630"/>
      <c r="R1630"/>
    </row>
    <row r="1631" spans="4:18" x14ac:dyDescent="0.25">
      <c r="D1631"/>
      <c r="Q1631"/>
      <c r="R1631"/>
    </row>
    <row r="1632" spans="4:18" x14ac:dyDescent="0.25">
      <c r="D1632"/>
      <c r="Q1632"/>
      <c r="R1632"/>
    </row>
    <row r="1633" spans="4:18" x14ac:dyDescent="0.25">
      <c r="D1633"/>
      <c r="Q1633"/>
      <c r="R1633"/>
    </row>
    <row r="1634" spans="4:18" x14ac:dyDescent="0.25">
      <c r="D1634"/>
      <c r="Q1634"/>
      <c r="R1634"/>
    </row>
    <row r="1635" spans="4:18" x14ac:dyDescent="0.25">
      <c r="D1635"/>
      <c r="Q1635"/>
      <c r="R1635"/>
    </row>
    <row r="1636" spans="4:18" x14ac:dyDescent="0.25">
      <c r="D1636"/>
      <c r="Q1636"/>
      <c r="R1636"/>
    </row>
    <row r="1637" spans="4:18" x14ac:dyDescent="0.25">
      <c r="D1637"/>
      <c r="Q1637"/>
      <c r="R1637"/>
    </row>
    <row r="1638" spans="4:18" x14ac:dyDescent="0.25">
      <c r="D1638"/>
      <c r="Q1638"/>
      <c r="R1638"/>
    </row>
    <row r="1639" spans="4:18" x14ac:dyDescent="0.25">
      <c r="D1639"/>
      <c r="Q1639"/>
      <c r="R1639"/>
    </row>
    <row r="1640" spans="4:18" x14ac:dyDescent="0.25">
      <c r="D1640"/>
      <c r="Q1640"/>
      <c r="R1640"/>
    </row>
    <row r="1641" spans="4:18" x14ac:dyDescent="0.25">
      <c r="D1641"/>
      <c r="Q1641"/>
      <c r="R1641"/>
    </row>
    <row r="1642" spans="4:18" x14ac:dyDescent="0.25">
      <c r="D1642"/>
      <c r="Q1642"/>
      <c r="R1642"/>
    </row>
    <row r="1643" spans="4:18" x14ac:dyDescent="0.25">
      <c r="D1643"/>
      <c r="Q1643"/>
      <c r="R1643"/>
    </row>
    <row r="1644" spans="4:18" x14ac:dyDescent="0.25">
      <c r="D1644"/>
      <c r="Q1644"/>
      <c r="R1644"/>
    </row>
    <row r="1645" spans="4:18" x14ac:dyDescent="0.25">
      <c r="D1645"/>
      <c r="Q1645"/>
      <c r="R1645"/>
    </row>
    <row r="1646" spans="4:18" x14ac:dyDescent="0.25">
      <c r="D1646"/>
      <c r="Q1646"/>
      <c r="R1646"/>
    </row>
    <row r="1647" spans="4:18" x14ac:dyDescent="0.25">
      <c r="D1647"/>
      <c r="Q1647"/>
      <c r="R1647"/>
    </row>
    <row r="1648" spans="4:18" x14ac:dyDescent="0.25">
      <c r="D1648"/>
      <c r="Q1648"/>
      <c r="R1648"/>
    </row>
    <row r="1649" spans="4:18" x14ac:dyDescent="0.25">
      <c r="D1649"/>
      <c r="Q1649"/>
      <c r="R1649"/>
    </row>
    <row r="1650" spans="4:18" x14ac:dyDescent="0.25">
      <c r="D1650"/>
      <c r="Q1650"/>
      <c r="R1650"/>
    </row>
    <row r="1651" spans="4:18" x14ac:dyDescent="0.25">
      <c r="D1651"/>
      <c r="Q1651"/>
      <c r="R1651"/>
    </row>
    <row r="1652" spans="4:18" x14ac:dyDescent="0.25">
      <c r="D1652"/>
      <c r="Q1652"/>
      <c r="R1652"/>
    </row>
    <row r="1653" spans="4:18" x14ac:dyDescent="0.25">
      <c r="D1653"/>
      <c r="Q1653"/>
      <c r="R1653"/>
    </row>
    <row r="1654" spans="4:18" x14ac:dyDescent="0.25">
      <c r="D1654"/>
      <c r="Q1654"/>
      <c r="R1654"/>
    </row>
    <row r="1655" spans="4:18" x14ac:dyDescent="0.25">
      <c r="D1655"/>
      <c r="Q1655"/>
      <c r="R1655"/>
    </row>
    <row r="1656" spans="4:18" x14ac:dyDescent="0.25">
      <c r="D1656"/>
      <c r="Q1656"/>
      <c r="R1656"/>
    </row>
    <row r="1657" spans="4:18" x14ac:dyDescent="0.25">
      <c r="D1657"/>
      <c r="Q1657"/>
      <c r="R1657"/>
    </row>
    <row r="1658" spans="4:18" x14ac:dyDescent="0.25">
      <c r="D1658"/>
      <c r="Q1658"/>
      <c r="R1658"/>
    </row>
    <row r="1659" spans="4:18" x14ac:dyDescent="0.25">
      <c r="D1659"/>
      <c r="Q1659"/>
      <c r="R1659"/>
    </row>
    <row r="1660" spans="4:18" x14ac:dyDescent="0.25">
      <c r="D1660"/>
      <c r="Q1660"/>
      <c r="R1660"/>
    </row>
    <row r="1661" spans="4:18" x14ac:dyDescent="0.25">
      <c r="D1661"/>
      <c r="Q1661"/>
      <c r="R1661"/>
    </row>
    <row r="1662" spans="4:18" x14ac:dyDescent="0.25">
      <c r="D1662"/>
      <c r="Q1662"/>
      <c r="R1662"/>
    </row>
    <row r="1663" spans="4:18" x14ac:dyDescent="0.25">
      <c r="D1663"/>
      <c r="Q1663"/>
      <c r="R1663"/>
    </row>
    <row r="1664" spans="4:18" x14ac:dyDescent="0.25">
      <c r="D1664"/>
      <c r="Q1664"/>
      <c r="R1664"/>
    </row>
    <row r="1665" spans="4:18" x14ac:dyDescent="0.25">
      <c r="D1665"/>
      <c r="Q1665"/>
      <c r="R1665"/>
    </row>
    <row r="1666" spans="4:18" x14ac:dyDescent="0.25">
      <c r="D1666"/>
      <c r="Q1666"/>
      <c r="R1666"/>
    </row>
    <row r="1667" spans="4:18" x14ac:dyDescent="0.25">
      <c r="D1667"/>
      <c r="Q1667"/>
      <c r="R1667"/>
    </row>
    <row r="1668" spans="4:18" x14ac:dyDescent="0.25">
      <c r="D1668"/>
      <c r="Q1668"/>
      <c r="R1668"/>
    </row>
    <row r="1669" spans="4:18" x14ac:dyDescent="0.25">
      <c r="D1669"/>
      <c r="Q1669"/>
      <c r="R1669"/>
    </row>
    <row r="1670" spans="4:18" x14ac:dyDescent="0.25">
      <c r="D1670"/>
      <c r="Q1670"/>
      <c r="R1670"/>
    </row>
    <row r="1671" spans="4:18" x14ac:dyDescent="0.25">
      <c r="D1671"/>
      <c r="Q1671"/>
      <c r="R1671"/>
    </row>
    <row r="1672" spans="4:18" x14ac:dyDescent="0.25">
      <c r="D1672"/>
      <c r="Q1672"/>
      <c r="R1672"/>
    </row>
    <row r="1673" spans="4:18" x14ac:dyDescent="0.25">
      <c r="D1673"/>
      <c r="Q1673"/>
      <c r="R1673"/>
    </row>
    <row r="1674" spans="4:18" x14ac:dyDescent="0.25">
      <c r="D1674"/>
      <c r="Q1674"/>
      <c r="R1674"/>
    </row>
    <row r="1675" spans="4:18" x14ac:dyDescent="0.25">
      <c r="D1675"/>
      <c r="Q1675"/>
      <c r="R1675"/>
    </row>
    <row r="1676" spans="4:18" x14ac:dyDescent="0.25">
      <c r="D1676"/>
      <c r="Q1676"/>
      <c r="R1676"/>
    </row>
    <row r="1677" spans="4:18" x14ac:dyDescent="0.25">
      <c r="D1677"/>
      <c r="Q1677"/>
      <c r="R1677"/>
    </row>
    <row r="1678" spans="4:18" x14ac:dyDescent="0.25">
      <c r="D1678"/>
      <c r="Q1678"/>
      <c r="R1678"/>
    </row>
    <row r="1679" spans="4:18" x14ac:dyDescent="0.25">
      <c r="D1679"/>
      <c r="Q1679"/>
      <c r="R1679"/>
    </row>
    <row r="1680" spans="4:18" x14ac:dyDescent="0.25">
      <c r="D1680"/>
      <c r="Q1680"/>
      <c r="R1680"/>
    </row>
    <row r="1681" spans="4:18" x14ac:dyDescent="0.25">
      <c r="D1681"/>
      <c r="Q1681"/>
      <c r="R1681"/>
    </row>
    <row r="1682" spans="4:18" x14ac:dyDescent="0.25">
      <c r="D1682"/>
      <c r="Q1682"/>
      <c r="R1682"/>
    </row>
    <row r="1683" spans="4:18" x14ac:dyDescent="0.25">
      <c r="D1683"/>
      <c r="Q1683"/>
      <c r="R1683"/>
    </row>
    <row r="1684" spans="4:18" x14ac:dyDescent="0.25">
      <c r="D1684"/>
      <c r="Q1684"/>
      <c r="R1684"/>
    </row>
    <row r="1685" spans="4:18" x14ac:dyDescent="0.25">
      <c r="D1685"/>
      <c r="Q1685"/>
      <c r="R1685"/>
    </row>
    <row r="1686" spans="4:18" x14ac:dyDescent="0.25">
      <c r="D1686"/>
      <c r="Q1686"/>
      <c r="R1686"/>
    </row>
    <row r="1687" spans="4:18" x14ac:dyDescent="0.25">
      <c r="D1687"/>
      <c r="Q1687"/>
      <c r="R1687"/>
    </row>
    <row r="1688" spans="4:18" x14ac:dyDescent="0.25">
      <c r="D1688"/>
      <c r="Q1688"/>
      <c r="R1688"/>
    </row>
    <row r="1689" spans="4:18" x14ac:dyDescent="0.25">
      <c r="D1689"/>
      <c r="Q1689"/>
      <c r="R1689"/>
    </row>
    <row r="1690" spans="4:18" x14ac:dyDescent="0.25">
      <c r="D1690"/>
      <c r="Q1690"/>
      <c r="R1690"/>
    </row>
    <row r="1691" spans="4:18" x14ac:dyDescent="0.25">
      <c r="D1691"/>
      <c r="Q1691"/>
      <c r="R1691"/>
    </row>
    <row r="1692" spans="4:18" x14ac:dyDescent="0.25">
      <c r="D1692"/>
      <c r="Q1692"/>
      <c r="R1692"/>
    </row>
    <row r="1693" spans="4:18" x14ac:dyDescent="0.25">
      <c r="D1693"/>
      <c r="Q1693"/>
      <c r="R1693"/>
    </row>
    <row r="1694" spans="4:18" x14ac:dyDescent="0.25">
      <c r="D1694"/>
      <c r="Q1694"/>
      <c r="R1694"/>
    </row>
    <row r="1695" spans="4:18" x14ac:dyDescent="0.25">
      <c r="D1695"/>
      <c r="Q1695"/>
      <c r="R1695"/>
    </row>
    <row r="1696" spans="4:18" x14ac:dyDescent="0.25">
      <c r="D1696"/>
      <c r="Q1696"/>
      <c r="R1696"/>
    </row>
    <row r="1697" spans="4:18" x14ac:dyDescent="0.25">
      <c r="D1697"/>
      <c r="Q1697"/>
      <c r="R1697"/>
    </row>
    <row r="1698" spans="4:18" x14ac:dyDescent="0.25">
      <c r="D1698"/>
      <c r="Q1698"/>
      <c r="R1698"/>
    </row>
    <row r="1699" spans="4:18" x14ac:dyDescent="0.25">
      <c r="D1699"/>
      <c r="Q1699"/>
      <c r="R1699"/>
    </row>
    <row r="1700" spans="4:18" x14ac:dyDescent="0.25">
      <c r="D1700"/>
      <c r="Q1700"/>
      <c r="R1700"/>
    </row>
    <row r="1701" spans="4:18" x14ac:dyDescent="0.25">
      <c r="D1701"/>
      <c r="Q1701"/>
      <c r="R1701"/>
    </row>
    <row r="1702" spans="4:18" x14ac:dyDescent="0.25">
      <c r="D1702"/>
      <c r="Q1702"/>
      <c r="R1702"/>
    </row>
    <row r="1703" spans="4:18" x14ac:dyDescent="0.25">
      <c r="D1703"/>
      <c r="Q1703"/>
      <c r="R1703"/>
    </row>
    <row r="1704" spans="4:18" x14ac:dyDescent="0.25">
      <c r="D1704"/>
      <c r="Q1704"/>
      <c r="R1704"/>
    </row>
    <row r="1705" spans="4:18" x14ac:dyDescent="0.25">
      <c r="D1705"/>
      <c r="Q1705"/>
      <c r="R1705"/>
    </row>
    <row r="1706" spans="4:18" x14ac:dyDescent="0.25">
      <c r="D1706"/>
      <c r="Q1706"/>
      <c r="R1706"/>
    </row>
    <row r="1707" spans="4:18" x14ac:dyDescent="0.25">
      <c r="D1707"/>
      <c r="Q1707"/>
      <c r="R1707"/>
    </row>
    <row r="1708" spans="4:18" x14ac:dyDescent="0.25">
      <c r="D1708"/>
      <c r="Q1708"/>
      <c r="R1708"/>
    </row>
    <row r="1709" spans="4:18" x14ac:dyDescent="0.25">
      <c r="D1709"/>
      <c r="Q1709"/>
      <c r="R1709"/>
    </row>
    <row r="1710" spans="4:18" x14ac:dyDescent="0.25">
      <c r="D1710"/>
      <c r="Q1710"/>
      <c r="R1710"/>
    </row>
    <row r="1711" spans="4:18" x14ac:dyDescent="0.25">
      <c r="D1711"/>
      <c r="Q1711"/>
      <c r="R1711"/>
    </row>
    <row r="1712" spans="4:18" x14ac:dyDescent="0.25">
      <c r="D1712"/>
      <c r="Q1712"/>
      <c r="R1712"/>
    </row>
    <row r="1713" spans="4:18" x14ac:dyDescent="0.25">
      <c r="D1713"/>
      <c r="Q1713"/>
      <c r="R1713"/>
    </row>
    <row r="1714" spans="4:18" x14ac:dyDescent="0.25">
      <c r="D1714"/>
      <c r="Q1714"/>
      <c r="R1714"/>
    </row>
    <row r="1715" spans="4:18" x14ac:dyDescent="0.25">
      <c r="D1715"/>
      <c r="Q1715"/>
      <c r="R1715"/>
    </row>
    <row r="1716" spans="4:18" x14ac:dyDescent="0.25">
      <c r="D1716"/>
      <c r="Q1716"/>
      <c r="R1716"/>
    </row>
    <row r="1717" spans="4:18" x14ac:dyDescent="0.25">
      <c r="D1717"/>
      <c r="Q1717"/>
      <c r="R1717"/>
    </row>
    <row r="1718" spans="4:18" x14ac:dyDescent="0.25">
      <c r="D1718"/>
      <c r="Q1718"/>
      <c r="R1718"/>
    </row>
    <row r="1719" spans="4:18" x14ac:dyDescent="0.25">
      <c r="D1719"/>
      <c r="Q1719"/>
      <c r="R1719"/>
    </row>
    <row r="1720" spans="4:18" x14ac:dyDescent="0.25">
      <c r="D1720"/>
      <c r="Q1720"/>
      <c r="R1720"/>
    </row>
    <row r="1721" spans="4:18" x14ac:dyDescent="0.25">
      <c r="D1721"/>
      <c r="Q1721"/>
      <c r="R1721"/>
    </row>
    <row r="1722" spans="4:18" x14ac:dyDescent="0.25">
      <c r="D1722"/>
      <c r="Q1722"/>
      <c r="R1722"/>
    </row>
    <row r="1723" spans="4:18" x14ac:dyDescent="0.25">
      <c r="D1723"/>
      <c r="Q1723"/>
      <c r="R1723"/>
    </row>
    <row r="1724" spans="4:18" x14ac:dyDescent="0.25">
      <c r="D1724"/>
      <c r="Q1724"/>
      <c r="R1724"/>
    </row>
    <row r="1725" spans="4:18" x14ac:dyDescent="0.25">
      <c r="D1725"/>
      <c r="Q1725"/>
      <c r="R1725"/>
    </row>
    <row r="1726" spans="4:18" x14ac:dyDescent="0.25">
      <c r="D1726"/>
      <c r="Q1726"/>
      <c r="R1726"/>
    </row>
    <row r="1727" spans="4:18" x14ac:dyDescent="0.25">
      <c r="D1727"/>
      <c r="Q1727"/>
      <c r="R1727"/>
    </row>
    <row r="1728" spans="4:18" x14ac:dyDescent="0.25">
      <c r="D1728"/>
      <c r="Q1728"/>
      <c r="R1728"/>
    </row>
    <row r="1729" spans="4:18" x14ac:dyDescent="0.25">
      <c r="D1729"/>
      <c r="Q1729"/>
      <c r="R1729"/>
    </row>
    <row r="1730" spans="4:18" x14ac:dyDescent="0.25">
      <c r="D1730"/>
      <c r="Q1730"/>
      <c r="R1730"/>
    </row>
    <row r="1731" spans="4:18" x14ac:dyDescent="0.25">
      <c r="D1731"/>
      <c r="Q1731"/>
      <c r="R1731"/>
    </row>
    <row r="1732" spans="4:18" x14ac:dyDescent="0.25">
      <c r="D1732"/>
      <c r="Q1732"/>
      <c r="R1732"/>
    </row>
    <row r="1733" spans="4:18" x14ac:dyDescent="0.25">
      <c r="D1733"/>
      <c r="Q1733"/>
      <c r="R1733"/>
    </row>
    <row r="1734" spans="4:18" x14ac:dyDescent="0.25">
      <c r="D1734"/>
      <c r="Q1734"/>
      <c r="R1734"/>
    </row>
    <row r="1735" spans="4:18" x14ac:dyDescent="0.25">
      <c r="D1735"/>
      <c r="Q1735"/>
      <c r="R1735"/>
    </row>
    <row r="1736" spans="4:18" x14ac:dyDescent="0.25">
      <c r="D1736"/>
      <c r="Q1736"/>
      <c r="R1736"/>
    </row>
    <row r="1737" spans="4:18" x14ac:dyDescent="0.25">
      <c r="D1737"/>
      <c r="Q1737"/>
      <c r="R1737"/>
    </row>
    <row r="1738" spans="4:18" x14ac:dyDescent="0.25">
      <c r="D1738"/>
      <c r="Q1738"/>
      <c r="R1738"/>
    </row>
    <row r="1739" spans="4:18" x14ac:dyDescent="0.25">
      <c r="D1739"/>
      <c r="Q1739"/>
      <c r="R1739"/>
    </row>
    <row r="1740" spans="4:18" x14ac:dyDescent="0.25">
      <c r="D1740"/>
      <c r="Q1740"/>
      <c r="R1740"/>
    </row>
    <row r="1741" spans="4:18" x14ac:dyDescent="0.25">
      <c r="D1741"/>
      <c r="Q1741"/>
      <c r="R1741"/>
    </row>
    <row r="1742" spans="4:18" x14ac:dyDescent="0.25">
      <c r="D1742"/>
      <c r="Q1742"/>
      <c r="R1742"/>
    </row>
    <row r="1743" spans="4:18" x14ac:dyDescent="0.25">
      <c r="D1743"/>
      <c r="Q1743"/>
      <c r="R1743"/>
    </row>
    <row r="1744" spans="4:18" x14ac:dyDescent="0.25">
      <c r="D1744"/>
      <c r="Q1744"/>
      <c r="R1744"/>
    </row>
    <row r="1745" spans="4:18" x14ac:dyDescent="0.25">
      <c r="D1745"/>
      <c r="Q1745"/>
      <c r="R1745"/>
    </row>
    <row r="1746" spans="4:18" x14ac:dyDescent="0.25">
      <c r="D1746"/>
      <c r="Q1746"/>
      <c r="R1746"/>
    </row>
    <row r="1747" spans="4:18" x14ac:dyDescent="0.25">
      <c r="D1747"/>
      <c r="Q1747"/>
      <c r="R1747"/>
    </row>
    <row r="1748" spans="4:18" x14ac:dyDescent="0.25">
      <c r="D1748"/>
      <c r="Q1748"/>
      <c r="R1748"/>
    </row>
    <row r="1749" spans="4:18" x14ac:dyDescent="0.25">
      <c r="D1749"/>
      <c r="Q1749"/>
      <c r="R1749"/>
    </row>
    <row r="1750" spans="4:18" x14ac:dyDescent="0.25">
      <c r="D1750"/>
      <c r="Q1750"/>
      <c r="R1750"/>
    </row>
    <row r="1751" spans="4:18" x14ac:dyDescent="0.25">
      <c r="D1751"/>
      <c r="Q1751"/>
      <c r="R1751"/>
    </row>
    <row r="1752" spans="4:18" x14ac:dyDescent="0.25">
      <c r="D1752"/>
      <c r="Q1752"/>
      <c r="R1752"/>
    </row>
    <row r="1753" spans="4:18" x14ac:dyDescent="0.25">
      <c r="D1753"/>
      <c r="Q1753"/>
      <c r="R1753"/>
    </row>
    <row r="1754" spans="4:18" x14ac:dyDescent="0.25">
      <c r="D1754"/>
      <c r="Q1754"/>
      <c r="R1754"/>
    </row>
    <row r="1755" spans="4:18" x14ac:dyDescent="0.25">
      <c r="D1755"/>
      <c r="Q1755"/>
      <c r="R1755"/>
    </row>
    <row r="1756" spans="4:18" x14ac:dyDescent="0.25">
      <c r="D1756"/>
      <c r="Q1756"/>
      <c r="R1756"/>
    </row>
    <row r="1757" spans="4:18" x14ac:dyDescent="0.25">
      <c r="D1757"/>
      <c r="Q1757"/>
      <c r="R1757"/>
    </row>
    <row r="1758" spans="4:18" x14ac:dyDescent="0.25">
      <c r="D1758"/>
      <c r="Q1758"/>
      <c r="R1758"/>
    </row>
    <row r="1759" spans="4:18" x14ac:dyDescent="0.25">
      <c r="D1759"/>
      <c r="Q1759"/>
      <c r="R1759"/>
    </row>
    <row r="1760" spans="4:18" x14ac:dyDescent="0.25">
      <c r="D1760"/>
      <c r="Q1760"/>
      <c r="R1760"/>
    </row>
    <row r="1761" spans="4:18" x14ac:dyDescent="0.25">
      <c r="D1761"/>
      <c r="Q1761"/>
      <c r="R1761"/>
    </row>
    <row r="1762" spans="4:18" x14ac:dyDescent="0.25">
      <c r="D1762"/>
      <c r="Q1762"/>
      <c r="R1762"/>
    </row>
    <row r="1763" spans="4:18" x14ac:dyDescent="0.25">
      <c r="D1763"/>
      <c r="Q1763"/>
      <c r="R1763"/>
    </row>
    <row r="1764" spans="4:18" x14ac:dyDescent="0.25">
      <c r="D1764"/>
      <c r="Q1764"/>
      <c r="R1764"/>
    </row>
    <row r="1765" spans="4:18" x14ac:dyDescent="0.25">
      <c r="D1765"/>
      <c r="Q1765"/>
      <c r="R1765"/>
    </row>
    <row r="1766" spans="4:18" x14ac:dyDescent="0.25">
      <c r="D1766"/>
      <c r="Q1766"/>
      <c r="R1766"/>
    </row>
    <row r="1767" spans="4:18" x14ac:dyDescent="0.25">
      <c r="D1767"/>
      <c r="Q1767"/>
      <c r="R1767"/>
    </row>
    <row r="1768" spans="4:18" x14ac:dyDescent="0.25">
      <c r="D1768"/>
      <c r="Q1768"/>
      <c r="R1768"/>
    </row>
    <row r="1769" spans="4:18" x14ac:dyDescent="0.25">
      <c r="D1769"/>
      <c r="Q1769"/>
      <c r="R1769"/>
    </row>
    <row r="1770" spans="4:18" x14ac:dyDescent="0.25">
      <c r="D1770"/>
      <c r="Q1770"/>
      <c r="R1770"/>
    </row>
    <row r="1771" spans="4:18" x14ac:dyDescent="0.25">
      <c r="D1771"/>
      <c r="Q1771"/>
      <c r="R1771"/>
    </row>
    <row r="1772" spans="4:18" x14ac:dyDescent="0.25">
      <c r="D1772"/>
      <c r="Q1772"/>
      <c r="R1772"/>
    </row>
    <row r="1773" spans="4:18" x14ac:dyDescent="0.25">
      <c r="D1773"/>
      <c r="Q1773"/>
      <c r="R1773"/>
    </row>
    <row r="1774" spans="4:18" x14ac:dyDescent="0.25">
      <c r="D1774"/>
      <c r="Q1774"/>
      <c r="R1774"/>
    </row>
    <row r="1775" spans="4:18" x14ac:dyDescent="0.25">
      <c r="D1775"/>
      <c r="Q1775"/>
      <c r="R1775"/>
    </row>
    <row r="1776" spans="4:18" x14ac:dyDescent="0.25">
      <c r="D1776"/>
      <c r="Q1776"/>
      <c r="R1776"/>
    </row>
    <row r="1777" spans="4:18" x14ac:dyDescent="0.25">
      <c r="D1777"/>
      <c r="Q1777"/>
      <c r="R1777"/>
    </row>
    <row r="1778" spans="4:18" x14ac:dyDescent="0.25">
      <c r="D1778"/>
      <c r="Q1778"/>
      <c r="R1778"/>
    </row>
    <row r="1779" spans="4:18" x14ac:dyDescent="0.25">
      <c r="D1779"/>
      <c r="Q1779"/>
      <c r="R1779"/>
    </row>
    <row r="1780" spans="4:18" x14ac:dyDescent="0.25">
      <c r="D1780"/>
      <c r="Q1780"/>
      <c r="R1780"/>
    </row>
    <row r="1781" spans="4:18" x14ac:dyDescent="0.25">
      <c r="D1781"/>
      <c r="Q1781"/>
      <c r="R1781"/>
    </row>
    <row r="1782" spans="4:18" x14ac:dyDescent="0.25">
      <c r="D1782"/>
      <c r="Q1782"/>
      <c r="R1782"/>
    </row>
    <row r="1783" spans="4:18" x14ac:dyDescent="0.25">
      <c r="D1783"/>
      <c r="Q1783"/>
      <c r="R1783"/>
    </row>
    <row r="1784" spans="4:18" x14ac:dyDescent="0.25">
      <c r="D1784"/>
      <c r="Q1784"/>
      <c r="R1784"/>
    </row>
    <row r="1785" spans="4:18" x14ac:dyDescent="0.25">
      <c r="D1785"/>
      <c r="Q1785"/>
      <c r="R1785"/>
    </row>
    <row r="1786" spans="4:18" x14ac:dyDescent="0.25">
      <c r="D1786"/>
      <c r="Q1786"/>
      <c r="R1786"/>
    </row>
    <row r="1787" spans="4:18" x14ac:dyDescent="0.25">
      <c r="D1787"/>
      <c r="Q1787"/>
      <c r="R1787"/>
    </row>
    <row r="1788" spans="4:18" x14ac:dyDescent="0.25">
      <c r="D1788"/>
      <c r="Q1788"/>
      <c r="R1788"/>
    </row>
    <row r="1789" spans="4:18" x14ac:dyDescent="0.25">
      <c r="D1789"/>
      <c r="Q1789"/>
      <c r="R1789"/>
    </row>
    <row r="1790" spans="4:18" x14ac:dyDescent="0.25">
      <c r="D1790"/>
      <c r="Q1790"/>
      <c r="R1790"/>
    </row>
    <row r="1791" spans="4:18" x14ac:dyDescent="0.25">
      <c r="D1791"/>
      <c r="Q1791"/>
      <c r="R1791"/>
    </row>
    <row r="1792" spans="4:18" x14ac:dyDescent="0.25">
      <c r="D1792"/>
      <c r="Q1792"/>
      <c r="R1792"/>
    </row>
    <row r="1793" spans="4:18" x14ac:dyDescent="0.25">
      <c r="D1793"/>
      <c r="Q1793"/>
      <c r="R1793"/>
    </row>
    <row r="1794" spans="4:18" x14ac:dyDescent="0.25">
      <c r="D1794"/>
      <c r="Q1794"/>
      <c r="R1794"/>
    </row>
    <row r="1795" spans="4:18" x14ac:dyDescent="0.25">
      <c r="D1795"/>
      <c r="Q1795"/>
      <c r="R1795"/>
    </row>
    <row r="1796" spans="4:18" x14ac:dyDescent="0.25">
      <c r="D1796"/>
      <c r="Q1796"/>
      <c r="R1796"/>
    </row>
    <row r="1797" spans="4:18" x14ac:dyDescent="0.25">
      <c r="D1797"/>
      <c r="Q1797"/>
      <c r="R1797"/>
    </row>
    <row r="1798" spans="4:18" x14ac:dyDescent="0.25">
      <c r="D1798"/>
      <c r="Q1798"/>
      <c r="R1798"/>
    </row>
    <row r="1799" spans="4:18" x14ac:dyDescent="0.25">
      <c r="D1799"/>
      <c r="Q1799"/>
      <c r="R1799"/>
    </row>
    <row r="1800" spans="4:18" x14ac:dyDescent="0.25">
      <c r="D1800"/>
      <c r="Q1800"/>
      <c r="R1800"/>
    </row>
    <row r="1801" spans="4:18" x14ac:dyDescent="0.25">
      <c r="D1801"/>
      <c r="Q1801"/>
      <c r="R1801"/>
    </row>
    <row r="1802" spans="4:18" x14ac:dyDescent="0.25">
      <c r="D1802"/>
      <c r="Q1802"/>
      <c r="R1802"/>
    </row>
    <row r="1803" spans="4:18" x14ac:dyDescent="0.25">
      <c r="D1803"/>
      <c r="Q1803"/>
      <c r="R1803"/>
    </row>
    <row r="1804" spans="4:18" x14ac:dyDescent="0.25">
      <c r="D1804"/>
      <c r="Q1804"/>
      <c r="R1804"/>
    </row>
  </sheetData>
  <mergeCells count="120">
    <mergeCell ref="S50:S51"/>
    <mergeCell ref="A60:C60"/>
    <mergeCell ref="A76:C76"/>
    <mergeCell ref="A77:C77"/>
    <mergeCell ref="A78:C78"/>
    <mergeCell ref="A79:C79"/>
    <mergeCell ref="A74:C74"/>
    <mergeCell ref="A73:C73"/>
    <mergeCell ref="A10:C10"/>
    <mergeCell ref="A11:C11"/>
    <mergeCell ref="A12:C12"/>
    <mergeCell ref="A13:C13"/>
    <mergeCell ref="A133:C133"/>
    <mergeCell ref="A134:C134"/>
    <mergeCell ref="A135:C135"/>
    <mergeCell ref="A130:C130"/>
    <mergeCell ref="A131:C131"/>
    <mergeCell ref="A132:C132"/>
    <mergeCell ref="Q130:S131"/>
    <mergeCell ref="Q133:S134"/>
    <mergeCell ref="A126:C126"/>
    <mergeCell ref="A127:C127"/>
    <mergeCell ref="A128:C128"/>
    <mergeCell ref="A120:C120"/>
    <mergeCell ref="A121:C121"/>
    <mergeCell ref="A122:C122"/>
    <mergeCell ref="A123:C123"/>
    <mergeCell ref="A124:C124"/>
    <mergeCell ref="A125:C125"/>
    <mergeCell ref="A115:C115"/>
    <mergeCell ref="A116:C116"/>
    <mergeCell ref="A117:C117"/>
    <mergeCell ref="A118:C118"/>
    <mergeCell ref="A119:C119"/>
    <mergeCell ref="A109:C109"/>
    <mergeCell ref="A110:C110"/>
    <mergeCell ref="A111:C111"/>
    <mergeCell ref="A112:C112"/>
    <mergeCell ref="A113:C113"/>
    <mergeCell ref="A114:C114"/>
    <mergeCell ref="A103:C103"/>
    <mergeCell ref="A104:C104"/>
    <mergeCell ref="A105:C105"/>
    <mergeCell ref="A106:C106"/>
    <mergeCell ref="A107:C107"/>
    <mergeCell ref="A108:C108"/>
    <mergeCell ref="A97:C97"/>
    <mergeCell ref="A98:C98"/>
    <mergeCell ref="A99:C99"/>
    <mergeCell ref="A100:C100"/>
    <mergeCell ref="A101:C101"/>
    <mergeCell ref="A102:C102"/>
    <mergeCell ref="A91:C91"/>
    <mergeCell ref="A92:C92"/>
    <mergeCell ref="A93:C93"/>
    <mergeCell ref="A94:C94"/>
    <mergeCell ref="A95:C95"/>
    <mergeCell ref="A96:C96"/>
    <mergeCell ref="A85:C85"/>
    <mergeCell ref="A86:C86"/>
    <mergeCell ref="A87:C87"/>
    <mergeCell ref="A88:C88"/>
    <mergeCell ref="A89:C89"/>
    <mergeCell ref="A90:C90"/>
    <mergeCell ref="A72:C72"/>
    <mergeCell ref="A80:C80"/>
    <mergeCell ref="A81:C81"/>
    <mergeCell ref="A82:C82"/>
    <mergeCell ref="A83:C83"/>
    <mergeCell ref="A84:C84"/>
    <mergeCell ref="A67:C67"/>
    <mergeCell ref="A68:C68"/>
    <mergeCell ref="A70:C70"/>
    <mergeCell ref="A75:C75"/>
    <mergeCell ref="A71:C71"/>
    <mergeCell ref="A24:C24"/>
    <mergeCell ref="A25:C25"/>
    <mergeCell ref="A26:C26"/>
    <mergeCell ref="A27:C27"/>
    <mergeCell ref="A28:C28"/>
    <mergeCell ref="A30:C30"/>
    <mergeCell ref="A62:C62"/>
    <mergeCell ref="A58:C58"/>
    <mergeCell ref="A64:C64"/>
    <mergeCell ref="A54:C54"/>
    <mergeCell ref="A55:C55"/>
    <mergeCell ref="A56:C56"/>
    <mergeCell ref="A59:C59"/>
    <mergeCell ref="A39:C39"/>
    <mergeCell ref="A40:C40"/>
    <mergeCell ref="A41:C41"/>
    <mergeCell ref="A43:C43"/>
    <mergeCell ref="A44:C44"/>
    <mergeCell ref="A53:C53"/>
    <mergeCell ref="A50:C50"/>
    <mergeCell ref="A51:C51"/>
    <mergeCell ref="A3:C3"/>
    <mergeCell ref="A5:C5"/>
    <mergeCell ref="A7:C7"/>
    <mergeCell ref="A46:C46"/>
    <mergeCell ref="A47:C47"/>
    <mergeCell ref="A49:C49"/>
    <mergeCell ref="A18:C18"/>
    <mergeCell ref="A19:C19"/>
    <mergeCell ref="A20:C20"/>
    <mergeCell ref="A21:C21"/>
    <mergeCell ref="A22:C22"/>
    <mergeCell ref="A23:C23"/>
    <mergeCell ref="A8:C8"/>
    <mergeCell ref="A9:C9"/>
    <mergeCell ref="A14:C14"/>
    <mergeCell ref="A15:C15"/>
    <mergeCell ref="A16:C16"/>
    <mergeCell ref="A17:C17"/>
    <mergeCell ref="A31:C31"/>
    <mergeCell ref="A32:C32"/>
    <mergeCell ref="A34:C34"/>
    <mergeCell ref="A35:C35"/>
    <mergeCell ref="A37:C37"/>
    <mergeCell ref="A38:C38"/>
  </mergeCells>
  <pageMargins left="0.19685039370078741" right="0.15748031496062992" top="0.35433070866141736" bottom="0.35433070866141736" header="0.19685039370078741" footer="0.19685039370078741"/>
  <pageSetup paperSize="9" scale="48" fitToHeight="2" orientation="landscape" horizontalDpi="4294967293" verticalDpi="4294967293" r:id="rId1"/>
  <headerFooter>
    <oddHeader>&amp;CPlanilha para Apresentação na Assembleia Extraordinaria de 16/03/2019 as 16:00hs.</oddHeader>
    <oddFooter>&amp;LPreparada por: Almir Antonio da Silva</oddFooter>
  </headerFooter>
  <rowBreaks count="1" manualBreakCount="1"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2.018 Demonstrativos</vt:lpstr>
      <vt:lpstr>'2.018 Demonstrativos'!Area_de_impressao</vt:lpstr>
      <vt:lpstr>'2.018 Demonstrativos'!Titulos_de_impressao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Almir</dc:creator>
  <cp:lastModifiedBy>Almir</cp:lastModifiedBy>
  <cp:lastPrinted>2019-06-04T12:04:32Z</cp:lastPrinted>
  <dcterms:created xsi:type="dcterms:W3CDTF">2019-03-15T00:54:38Z</dcterms:created>
  <dcterms:modified xsi:type="dcterms:W3CDTF">2019-06-04T20:27:17Z</dcterms:modified>
</cp:coreProperties>
</file>