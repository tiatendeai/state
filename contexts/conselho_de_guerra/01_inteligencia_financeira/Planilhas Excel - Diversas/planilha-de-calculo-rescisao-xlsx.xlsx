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50" yWindow="1740" windowWidth="10695" windowHeight="4680" tabRatio="756"/>
  </bookViews>
  <sheets>
    <sheet name="CALCULOS" sheetId="37" r:id="rId1"/>
  </sheets>
  <definedNames>
    <definedName name="Anos_Inteiro" localSheetId="0">CALCULOS!$N$15</definedName>
    <definedName name="_xlnm.Print_Area" localSheetId="0">CALCULOS!$A$2:$K$54</definedName>
    <definedName name="Av.Previo" localSheetId="0">CALCULOS!$D$14</definedName>
    <definedName name="Av.Previo_1.12_Avos" localSheetId="0">CALCULOS!$P$24</definedName>
    <definedName name="Dia_Admissao" localSheetId="0">CALCULOS!$D$6</definedName>
    <definedName name="Dia_Demissão" localSheetId="0">CALCULOS!$D$7</definedName>
    <definedName name="Dias" localSheetId="0">CALCULOS!$P$15</definedName>
    <definedName name="Dias_1.12_Avos" localSheetId="0">CALCULOS!$N$24</definedName>
    <definedName name="Dias_Av.Previo" localSheetId="0">CALCULOS!$G$18</definedName>
    <definedName name="Dias_Inteiro" localSheetId="0">CALCULOS!$O$9</definedName>
    <definedName name="Meses" localSheetId="0">CALCULOS!$O$7</definedName>
    <definedName name="Meses_Inteiro" localSheetId="0">CALCULOS!$O$17</definedName>
    <definedName name="Meses_Inteiros" localSheetId="0">CALCULOS!$N$9</definedName>
    <definedName name="Motivo_Dispensa" localSheetId="0">CALCULOS!$D$4</definedName>
    <definedName name="No.Anos" localSheetId="0">CALCULOS!$N$14</definedName>
    <definedName name="No.Dias" localSheetId="0">CALCULOS!$M$7</definedName>
    <definedName name="No.Meses" localSheetId="0">CALCULOS!$O$15</definedName>
    <definedName name="Prop.Ferias_Avos" localSheetId="0">CALCULOS!$O$24</definedName>
    <definedName name="Quant.Ferias" localSheetId="0">CALCULOS!$D$15</definedName>
    <definedName name="Quant.Ferias_Int" localSheetId="0">CALCULOS!$N$21</definedName>
    <definedName name="Salario_Base" localSheetId="0">CALCULOS!$D$9</definedName>
    <definedName name="Salario_Total" localSheetId="0">CALCULOS!$D$12</definedName>
    <definedName name="Saldo_Salario" localSheetId="0">CALCULOS!$D$24</definedName>
    <definedName name="Total_FGTS" localSheetId="0">CALCULOS!$D$48</definedName>
    <definedName name="Total_Meses" localSheetId="0">CALCULOS!$N$7</definedName>
    <definedName name="Valor_13o." localSheetId="0">CALCULOS!$D$19</definedName>
    <definedName name="Valor_13o.Ind" localSheetId="0">CALCULOS!$D$20</definedName>
    <definedName name="Valor_Av.Previo" localSheetId="0">CALCULOS!$D$18</definedName>
    <definedName name="Valor_Ferias_Int" localSheetId="0">CALCULOS!$D$21</definedName>
    <definedName name="Valor_Ferias_Prop" localSheetId="0">CALCULOS!$D$22</definedName>
  </definedNames>
  <calcPr calcId="145621"/>
</workbook>
</file>

<file path=xl/calcChain.xml><?xml version="1.0" encoding="utf-8"?>
<calcChain xmlns="http://schemas.openxmlformats.org/spreadsheetml/2006/main">
  <c r="D31" i="37" l="1"/>
  <c r="D32" i="37"/>
  <c r="I3" i="37"/>
  <c r="X35" i="37" l="1"/>
  <c r="G24" i="37" l="1"/>
  <c r="L25" i="37"/>
  <c r="G19" i="37"/>
  <c r="H15" i="37"/>
  <c r="G25" i="37" l="1"/>
  <c r="G18" i="37"/>
  <c r="L24" i="37" l="1"/>
  <c r="Y36" i="37" l="1"/>
  <c r="F49" i="37" l="1"/>
  <c r="I36" i="37"/>
  <c r="H36" i="37"/>
  <c r="I35" i="37"/>
  <c r="H35" i="37"/>
  <c r="I34" i="37"/>
  <c r="H34" i="37"/>
  <c r="I33" i="37"/>
  <c r="H33" i="37"/>
  <c r="I32" i="37"/>
  <c r="H32" i="37"/>
  <c r="L27" i="37"/>
  <c r="L28" i="37" l="1"/>
  <c r="M24" i="37"/>
  <c r="M7" i="37"/>
  <c r="L26" i="37"/>
  <c r="M27" i="37"/>
  <c r="L18" i="37"/>
  <c r="N7" i="37" l="1"/>
  <c r="H12" i="37"/>
  <c r="N14" i="37"/>
  <c r="N15" i="37" l="1"/>
  <c r="O14" i="37"/>
  <c r="O15" i="37" s="1"/>
  <c r="N9" i="37"/>
  <c r="O7" i="37"/>
  <c r="O9" i="37" s="1"/>
  <c r="H11" i="37" l="1"/>
  <c r="M19" i="37"/>
  <c r="N24" i="37"/>
  <c r="P15" i="37"/>
  <c r="P17" i="37" s="1"/>
  <c r="O17" i="37"/>
  <c r="H10" i="37" s="1"/>
  <c r="N21" i="37"/>
  <c r="G21" i="37" s="1"/>
  <c r="H9" i="37"/>
  <c r="L19" i="37" l="1"/>
  <c r="N30" i="37" l="1"/>
  <c r="D12" i="37" l="1"/>
  <c r="D25" i="37" s="1"/>
  <c r="AF29" i="37" l="1"/>
  <c r="AD20" i="37"/>
  <c r="D19" i="37"/>
  <c r="D21" i="37"/>
  <c r="D18" i="37"/>
  <c r="D20" i="37" s="1"/>
  <c r="D24" i="37"/>
  <c r="L22" i="37"/>
  <c r="D43" i="37" l="1"/>
  <c r="G20" i="37"/>
  <c r="D41" i="37"/>
  <c r="D42" i="37"/>
  <c r="N43" i="37"/>
  <c r="G43" i="37" s="1"/>
  <c r="P24" i="37"/>
  <c r="O24" i="37" s="1"/>
  <c r="N42" i="37"/>
  <c r="G42" i="37" s="1"/>
  <c r="D36" i="37" l="1"/>
  <c r="G22" i="37"/>
  <c r="D22" i="37" s="1"/>
  <c r="D23" i="37" s="1"/>
  <c r="AF30" i="37"/>
  <c r="AF31" i="37" s="1"/>
  <c r="AF33" i="37" s="1"/>
  <c r="AF34" i="37" s="1"/>
  <c r="N41" i="37"/>
  <c r="G41" i="37" s="1"/>
  <c r="N22" i="37"/>
  <c r="M22" i="37"/>
  <c r="D48" i="37" l="1"/>
  <c r="D49" i="37" s="1"/>
  <c r="D29" i="37"/>
  <c r="D38" i="37" s="1"/>
  <c r="D51" i="37" l="1"/>
  <c r="D53" i="37" s="1"/>
</calcChain>
</file>

<file path=xl/sharedStrings.xml><?xml version="1.0" encoding="utf-8"?>
<sst xmlns="http://schemas.openxmlformats.org/spreadsheetml/2006/main" count="154" uniqueCount="82">
  <si>
    <t>FGTS</t>
  </si>
  <si>
    <t xml:space="preserve">Total =&gt;  </t>
  </si>
  <si>
    <t xml:space="preserve">  dias</t>
  </si>
  <si>
    <t>Sem Justa Causa</t>
  </si>
  <si>
    <t>Pedido Dispensa</t>
  </si>
  <si>
    <t>Por Justa Causa</t>
  </si>
  <si>
    <t>Nome do Empregado</t>
  </si>
  <si>
    <t>=&gt;</t>
  </si>
  <si>
    <t>Motivo Dispensa</t>
  </si>
  <si>
    <t>Admissão</t>
  </si>
  <si>
    <t xml:space="preserve">  ano(s),  </t>
  </si>
  <si>
    <t xml:space="preserve"> mês(es) e </t>
  </si>
  <si>
    <t xml:space="preserve"> dia(s)</t>
  </si>
  <si>
    <t>Demissão</t>
  </si>
  <si>
    <t>Tempo de Serviço</t>
  </si>
  <si>
    <t>Salário Normal</t>
  </si>
  <si>
    <t>Média Salário Var.</t>
  </si>
  <si>
    <t>Salário Total</t>
  </si>
  <si>
    <t xml:space="preserve">Av. Prévio </t>
  </si>
  <si>
    <t>Indenizado</t>
  </si>
  <si>
    <t>Férias Gozadas</t>
  </si>
  <si>
    <t>férias</t>
  </si>
  <si>
    <t>Verbas Rescisórias</t>
  </si>
  <si>
    <t>Av. Prévio</t>
  </si>
  <si>
    <t>Av. Prévio de</t>
  </si>
  <si>
    <t>13º Salário</t>
  </si>
  <si>
    <t xml:space="preserve">Referente a </t>
  </si>
  <si>
    <t xml:space="preserve">  / 12 avos</t>
  </si>
  <si>
    <t>Trabalhado</t>
  </si>
  <si>
    <t>13º Salário Inden.</t>
  </si>
  <si>
    <t>Férias Vencidas</t>
  </si>
  <si>
    <t xml:space="preserve">  férias integral(is)</t>
  </si>
  <si>
    <t>Férias Proporc.</t>
  </si>
  <si>
    <t>1/3 Férias</t>
  </si>
  <si>
    <t>Saldo Salário</t>
  </si>
  <si>
    <t xml:space="preserve"> dias</t>
  </si>
  <si>
    <t>Valor Incentivo por TS</t>
  </si>
  <si>
    <t xml:space="preserve">Indenização </t>
  </si>
  <si>
    <t>Remuneração Variavel</t>
  </si>
  <si>
    <t>Outras valores incidentes para FGTS e INSS</t>
  </si>
  <si>
    <t>Verbas não Salariais</t>
  </si>
  <si>
    <t>Outros Valores não incidentes.</t>
  </si>
  <si>
    <t>-----------------</t>
  </si>
  <si>
    <t>Total Bruto</t>
  </si>
  <si>
    <t>Descontos</t>
  </si>
  <si>
    <t>Para Alterar os Percentuais dos descontos com o INSS, modifique a tabela abaixo.</t>
  </si>
  <si>
    <t>INSS s/  13º Salário</t>
  </si>
  <si>
    <t>Tabela INSS Utilizada</t>
  </si>
  <si>
    <t>Salários Até:</t>
  </si>
  <si>
    <t>Percentual</t>
  </si>
  <si>
    <t>INSS s/  Salário</t>
  </si>
  <si>
    <t>Salários:</t>
  </si>
  <si>
    <t>Outros Descontos</t>
  </si>
  <si>
    <t>IRRF</t>
  </si>
  <si>
    <t>Total Descontos</t>
  </si>
  <si>
    <t>Acima de</t>
  </si>
  <si>
    <t xml:space="preserve">Até  </t>
  </si>
  <si>
    <t xml:space="preserve">  x  8%</t>
  </si>
  <si>
    <t xml:space="preserve">  </t>
  </si>
  <si>
    <t>Referente a</t>
  </si>
  <si>
    <t xml:space="preserve">Mês Atual </t>
  </si>
  <si>
    <t>Av . Prévio</t>
  </si>
  <si>
    <t xml:space="preserve">Mês Anterior </t>
  </si>
  <si>
    <t>Inserir depósito mês anterior recolhido na GRR</t>
  </si>
  <si>
    <t xml:space="preserve">Total Recolhido </t>
  </si>
  <si>
    <t>Inserir o total do FGTS depositado na CEF</t>
  </si>
  <si>
    <t>Outros Valores</t>
  </si>
  <si>
    <t>Inserir outros valores</t>
  </si>
  <si>
    <t>Total  FGTS</t>
  </si>
  <si>
    <t>Total FGTS para incidência dos 50%</t>
  </si>
  <si>
    <t>Multa 40%</t>
  </si>
  <si>
    <t>Total Geral FGTS  - CAIXA</t>
  </si>
  <si>
    <t>Total FGTS + 50% FGTS</t>
  </si>
  <si>
    <t>Total Rescisão</t>
  </si>
  <si>
    <t>Líquido rescisão + Total FGTS</t>
  </si>
  <si>
    <t>Gratificação</t>
  </si>
  <si>
    <t>13º slario</t>
  </si>
  <si>
    <t>PEDRO PAULO</t>
  </si>
  <si>
    <t>Total Líquido</t>
  </si>
  <si>
    <t>CÁLCULOS RESCISÓRIOS DE EMPREGADOS</t>
  </si>
  <si>
    <t>incentivada por programas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</si>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</sst>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-* #,##0.00_-;\-* #,##0.00_-;_-* &quot;-&quot;??_-;_-@_-"/>
    <numFmt numFmtId="164" formatCode="&quot;R$ &quot;#,##0.00_);\(&quot;R$ &quot;#,##0.00\)"/>
    <numFmt numFmtId="165" formatCode="_(&quot;R$ &quot;* #,##0.00_);_(&quot;R$ &quot;* \(#,##0.00\);_(&quot;R$ &quot;* &quot;-&quot;??_);_(@_)"/>
    <numFmt numFmtId="166" formatCode="_(* #,##0.00_);_(* \(#,##0.00\);_(* &quot;-&quot;??_);_(@_)"/>
    <numFmt numFmtId="167" formatCode="_(* #,##0_);_(* \(#,##0\);_(* &quot;-&quot;??_);_(@_)"/>
    <numFmt numFmtId="168" formatCode="&quot;R$ &quot;#,##0.00"/>
    <numFmt numFmtId="169" formatCode="00"/>
    <numFmt numFmtId="170" formatCode="_(* #,##0.00_);_(* \(#,##0.00\);_(* &quot;-&quot;_);_(@_)"/>
    <numFmt numFmtId="171" formatCode="_(* #,##0.0_);_(* \(#,##0.0\);_(* &quot;-&quot;_);_(@_)"/>
    <numFmt numFmtId="172" formatCode="0.0"/>
    <numFmt numFmtId="173" formatCode="_(* #,##0.0000_);_(* \(#,##0.0000\);_(* &quot;-&quot;??_);_(@_)"/>
    <numFmt numFmtId="174" formatCode="_(* #,##0.00000000000000000000_);_(* \(#,##0.00000000000000000000\);_(* &quot;-&quot;????_);_(@_)"/>
    <numFmt numFmtId="175" formatCode="_(* #,##0.0000_);_(* \(#,##0.0000\);_(* &quot;-&quot;????_);_(@_)"/>
    <numFmt numFmtId="176" formatCode="mmm/yyyy"/>
  </numFmts>
  <fonts count="29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indexed="21"/>
      <name val="Calibri"/>
      <family val="2"/>
      <scheme val="minor"/>
    </font>
    <font>
      <b/>
      <sz val="12"/>
      <color indexed="9"/>
      <name val="Calibri"/>
      <family val="2"/>
      <scheme val="minor"/>
    </font>
    <font>
      <sz val="12"/>
      <color indexed="10"/>
      <name val="Calibri"/>
      <family val="2"/>
      <scheme val="minor"/>
    </font>
    <font>
      <b/>
      <sz val="12"/>
      <color indexed="10"/>
      <name val="Calibri"/>
      <family val="2"/>
      <scheme val="minor"/>
    </font>
    <font>
      <sz val="12"/>
      <color indexed="9"/>
      <name val="Calibri"/>
      <family val="2"/>
      <scheme val="minor"/>
    </font>
    <font>
      <b/>
      <sz val="12"/>
      <color indexed="18"/>
      <name val="Calibri"/>
      <family val="2"/>
      <scheme val="minor"/>
    </font>
    <font>
      <b/>
      <sz val="12"/>
      <color indexed="13"/>
      <name val="Calibri"/>
      <family val="2"/>
      <scheme val="minor"/>
    </font>
    <font>
      <b/>
      <sz val="12"/>
      <color indexed="21"/>
      <name val="Calibri"/>
      <family val="2"/>
      <scheme val="minor"/>
    </font>
    <font>
      <b/>
      <sz val="12"/>
      <color indexed="43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2" tint="-9.9978637043366805E-2"/>
      <name val="Calibri"/>
      <family val="2"/>
      <scheme val="minor"/>
    </font>
    <font>
      <b/>
      <i/>
      <sz val="18"/>
      <color indexed="9"/>
      <name val="Calibri"/>
      <family val="2"/>
      <scheme val="minor"/>
    </font>
    <font>
      <b/>
      <sz val="18"/>
      <color indexed="9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1"/>
      <color theme="4" tint="-0.249977111117893"/>
      <name val="Charter BT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4172AD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9"/>
      </top>
      <bottom style="thin">
        <color indexed="9"/>
      </bottom>
      <diagonal/>
    </border>
    <border>
      <left style="double">
        <color indexed="9"/>
      </left>
      <right style="double">
        <color indexed="9"/>
      </right>
      <top style="double">
        <color indexed="9"/>
      </top>
      <bottom style="thin">
        <color indexed="9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double">
        <color indexed="9"/>
      </left>
      <right style="double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9"/>
      </top>
      <bottom style="double">
        <color indexed="9"/>
      </bottom>
      <diagonal/>
    </border>
    <border>
      <left style="double">
        <color indexed="9"/>
      </left>
      <right style="double">
        <color indexed="9"/>
      </right>
      <top style="thin">
        <color indexed="9"/>
      </top>
      <bottom style="double">
        <color indexed="9"/>
      </bottom>
      <diagonal/>
    </border>
    <border>
      <left/>
      <right/>
      <top style="double">
        <color indexed="9"/>
      </top>
      <bottom/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206">
    <xf numFmtId="0" fontId="0" fillId="0" borderId="0" xfId="0"/>
    <xf numFmtId="0" fontId="6" fillId="0" borderId="7" xfId="0" applyFont="1" applyFill="1" applyBorder="1" applyProtection="1">
      <protection hidden="1"/>
    </xf>
    <xf numFmtId="0" fontId="6" fillId="0" borderId="8" xfId="0" applyFont="1" applyBorder="1" applyProtection="1">
      <protection hidden="1"/>
    </xf>
    <xf numFmtId="0" fontId="5" fillId="0" borderId="8" xfId="0" applyFont="1" applyBorder="1" applyAlignment="1" applyProtection="1">
      <alignment horizontal="center"/>
      <protection hidden="1"/>
    </xf>
    <xf numFmtId="0" fontId="7" fillId="0" borderId="8" xfId="0" applyFont="1" applyFill="1" applyBorder="1" applyProtection="1">
      <protection hidden="1"/>
    </xf>
    <xf numFmtId="0" fontId="6" fillId="0" borderId="9" xfId="0" applyFont="1" applyFill="1" applyBorder="1" applyProtection="1">
      <protection hidden="1"/>
    </xf>
    <xf numFmtId="0" fontId="6" fillId="0" borderId="0" xfId="0" applyFont="1" applyProtection="1">
      <protection hidden="1"/>
    </xf>
    <xf numFmtId="0" fontId="6" fillId="0" borderId="0" xfId="0" applyFont="1" applyFill="1" applyProtection="1">
      <protection hidden="1"/>
    </xf>
    <xf numFmtId="0" fontId="8" fillId="0" borderId="10" xfId="0" applyFont="1" applyFill="1" applyBorder="1" applyAlignment="1" applyProtection="1">
      <alignment vertical="center"/>
      <protection hidden="1"/>
    </xf>
    <xf numFmtId="0" fontId="5" fillId="0" borderId="11" xfId="0" applyFont="1" applyFill="1" applyBorder="1" applyAlignment="1" applyProtection="1">
      <alignment horizontal="center"/>
      <protection hidden="1"/>
    </xf>
    <xf numFmtId="0" fontId="9" fillId="0" borderId="0" xfId="0" applyFont="1" applyFill="1" applyProtection="1">
      <protection hidden="1"/>
    </xf>
    <xf numFmtId="0" fontId="10" fillId="0" borderId="0" xfId="0" applyFont="1" applyFill="1" applyAlignment="1" applyProtection="1">
      <alignment horizontal="center"/>
      <protection hidden="1"/>
    </xf>
    <xf numFmtId="0" fontId="8" fillId="0" borderId="0" xfId="0" applyFont="1" applyFill="1" applyAlignment="1" applyProtection="1">
      <alignment horizontal="center"/>
      <protection hidden="1"/>
    </xf>
    <xf numFmtId="0" fontId="11" fillId="0" borderId="0" xfId="0" applyFont="1" applyProtection="1">
      <protection hidden="1"/>
    </xf>
    <xf numFmtId="0" fontId="11" fillId="0" borderId="0" xfId="0" applyFont="1" applyFill="1" applyProtection="1">
      <protection hidden="1"/>
    </xf>
    <xf numFmtId="0" fontId="6" fillId="0" borderId="10" xfId="0" applyFont="1" applyFill="1" applyBorder="1" applyProtection="1">
      <protection hidden="1"/>
    </xf>
    <xf numFmtId="0" fontId="5" fillId="6" borderId="12" xfId="0" applyFont="1" applyFill="1" applyBorder="1" applyAlignment="1" applyProtection="1">
      <alignment horizontal="right"/>
      <protection hidden="1"/>
    </xf>
    <xf numFmtId="0" fontId="5" fillId="6" borderId="13" xfId="0" quotePrefix="1" applyFont="1" applyFill="1" applyBorder="1" applyAlignment="1" applyProtection="1">
      <alignment horizontal="center"/>
      <protection hidden="1"/>
    </xf>
    <xf numFmtId="0" fontId="5" fillId="6" borderId="15" xfId="0" applyFont="1" applyFill="1" applyBorder="1" applyAlignment="1" applyProtection="1">
      <alignment horizontal="right"/>
      <protection hidden="1"/>
    </xf>
    <xf numFmtId="0" fontId="5" fillId="6" borderId="16" xfId="0" quotePrefix="1" applyFont="1" applyFill="1" applyBorder="1" applyAlignment="1" applyProtection="1">
      <alignment horizontal="center"/>
      <protection hidden="1"/>
    </xf>
    <xf numFmtId="14" fontId="12" fillId="2" borderId="17" xfId="0" applyNumberFormat="1" applyFont="1" applyFill="1" applyBorder="1" applyAlignment="1" applyProtection="1">
      <alignment horizontal="center" vertical="center"/>
      <protection locked="0"/>
    </xf>
    <xf numFmtId="0" fontId="8" fillId="6" borderId="0" xfId="0" applyFont="1" applyFill="1" applyBorder="1" applyAlignment="1" applyProtection="1">
      <alignment horizontal="center"/>
      <protection hidden="1"/>
    </xf>
    <xf numFmtId="0" fontId="8" fillId="6" borderId="0" xfId="0" applyFont="1" applyFill="1" applyBorder="1" applyAlignment="1" applyProtection="1">
      <protection hidden="1"/>
    </xf>
    <xf numFmtId="0" fontId="13" fillId="6" borderId="0" xfId="0" applyFont="1" applyFill="1" applyBorder="1" applyAlignment="1" applyProtection="1">
      <alignment horizontal="center"/>
      <protection hidden="1"/>
    </xf>
    <xf numFmtId="0" fontId="5" fillId="6" borderId="0" xfId="0" applyFont="1" applyFill="1" applyBorder="1" applyAlignment="1" applyProtection="1">
      <alignment horizontal="center"/>
      <protection hidden="1"/>
    </xf>
    <xf numFmtId="0" fontId="14" fillId="6" borderId="11" xfId="0" applyFont="1" applyFill="1" applyBorder="1" applyAlignment="1" applyProtection="1">
      <alignment horizontal="center"/>
      <protection hidden="1"/>
    </xf>
    <xf numFmtId="0" fontId="9" fillId="0" borderId="0" xfId="0" applyFont="1" applyFill="1" applyBorder="1" applyProtection="1">
      <protection hidden="1"/>
    </xf>
    <xf numFmtId="0" fontId="6" fillId="3" borderId="0" xfId="0" applyFont="1" applyFill="1" applyBorder="1" applyProtection="1">
      <protection hidden="1"/>
    </xf>
    <xf numFmtId="0" fontId="6" fillId="6" borderId="0" xfId="0" applyFont="1" applyFill="1" applyBorder="1" applyProtection="1">
      <protection hidden="1"/>
    </xf>
    <xf numFmtId="167" fontId="2" fillId="6" borderId="0" xfId="3" applyNumberFormat="1" applyFont="1" applyFill="1" applyBorder="1" applyAlignment="1" applyProtection="1">
      <alignment horizontal="center" vertical="center"/>
      <protection hidden="1"/>
    </xf>
    <xf numFmtId="0" fontId="5" fillId="6" borderId="19" xfId="0" applyFont="1" applyFill="1" applyBorder="1" applyAlignment="1" applyProtection="1">
      <alignment horizontal="right"/>
      <protection hidden="1"/>
    </xf>
    <xf numFmtId="0" fontId="5" fillId="6" borderId="20" xfId="0" quotePrefix="1" applyFont="1" applyFill="1" applyBorder="1" applyAlignment="1" applyProtection="1">
      <alignment horizontal="center"/>
      <protection hidden="1"/>
    </xf>
    <xf numFmtId="0" fontId="15" fillId="6" borderId="0" xfId="0" applyFont="1" applyFill="1" applyBorder="1" applyAlignment="1" applyProtection="1">
      <alignment horizontal="center"/>
      <protection hidden="1"/>
    </xf>
    <xf numFmtId="167" fontId="9" fillId="0" borderId="0" xfId="3" applyNumberFormat="1" applyFont="1" applyFill="1" applyBorder="1" applyProtection="1">
      <protection hidden="1"/>
    </xf>
    <xf numFmtId="173" fontId="9" fillId="0" borderId="0" xfId="3" applyNumberFormat="1" applyFont="1" applyFill="1" applyBorder="1" applyProtection="1">
      <protection hidden="1"/>
    </xf>
    <xf numFmtId="173" fontId="9" fillId="0" borderId="0" xfId="0" applyNumberFormat="1" applyFont="1" applyFill="1" applyBorder="1" applyProtection="1">
      <protection hidden="1"/>
    </xf>
    <xf numFmtId="0" fontId="8" fillId="3" borderId="0" xfId="0" applyFont="1" applyFill="1" applyBorder="1" applyAlignment="1" applyProtection="1">
      <alignment horizontal="center"/>
      <protection hidden="1"/>
    </xf>
    <xf numFmtId="0" fontId="6" fillId="6" borderId="2" xfId="0" applyFont="1" applyFill="1" applyBorder="1" applyProtection="1">
      <protection hidden="1"/>
    </xf>
    <xf numFmtId="0" fontId="9" fillId="0" borderId="0" xfId="0" applyNumberFormat="1" applyFont="1" applyFill="1" applyBorder="1" applyProtection="1">
      <protection hidden="1"/>
    </xf>
    <xf numFmtId="166" fontId="9" fillId="0" borderId="0" xfId="3" applyFont="1" applyFill="1" applyBorder="1" applyProtection="1">
      <protection hidden="1"/>
    </xf>
    <xf numFmtId="166" fontId="9" fillId="0" borderId="0" xfId="0" applyNumberFormat="1" applyFont="1" applyFill="1" applyBorder="1" applyProtection="1">
      <protection hidden="1"/>
    </xf>
    <xf numFmtId="166" fontId="12" fillId="4" borderId="2" xfId="3" applyFont="1" applyFill="1" applyBorder="1" applyAlignment="1" applyProtection="1">
      <alignment horizontal="center"/>
      <protection hidden="1"/>
    </xf>
    <xf numFmtId="167" fontId="9" fillId="0" borderId="0" xfId="0" applyNumberFormat="1" applyFont="1" applyFill="1" applyBorder="1" applyProtection="1">
      <protection hidden="1"/>
    </xf>
    <xf numFmtId="0" fontId="5" fillId="6" borderId="22" xfId="0" applyFont="1" applyFill="1" applyBorder="1" applyAlignment="1" applyProtection="1">
      <alignment horizontal="right"/>
      <protection hidden="1"/>
    </xf>
    <xf numFmtId="0" fontId="5" fillId="6" borderId="4" xfId="0" quotePrefix="1" applyFont="1" applyFill="1" applyBorder="1" applyAlignment="1" applyProtection="1">
      <alignment horizontal="center"/>
      <protection hidden="1"/>
    </xf>
    <xf numFmtId="0" fontId="12" fillId="3" borderId="15" xfId="0" applyFont="1" applyFill="1" applyBorder="1" applyAlignment="1" applyProtection="1">
      <alignment horizontal="right"/>
      <protection hidden="1"/>
    </xf>
    <xf numFmtId="0" fontId="12" fillId="3" borderId="16" xfId="0" quotePrefix="1" applyFont="1" applyFill="1" applyBorder="1" applyAlignment="1" applyProtection="1">
      <alignment horizontal="center"/>
      <protection hidden="1"/>
    </xf>
    <xf numFmtId="0" fontId="5" fillId="6" borderId="25" xfId="0" quotePrefix="1" applyFont="1" applyFill="1" applyBorder="1" applyAlignment="1" applyProtection="1">
      <alignment horizontal="center"/>
      <protection hidden="1"/>
    </xf>
    <xf numFmtId="0" fontId="12" fillId="2" borderId="18" xfId="0" applyFont="1" applyFill="1" applyBorder="1" applyAlignment="1" applyProtection="1">
      <alignment horizontal="center"/>
      <protection locked="0" hidden="1"/>
    </xf>
    <xf numFmtId="170" fontId="6" fillId="6" borderId="0" xfId="0" applyNumberFormat="1" applyFont="1" applyFill="1" applyBorder="1" applyAlignment="1"/>
    <xf numFmtId="0" fontId="5" fillId="6" borderId="27" xfId="0" quotePrefix="1" applyFont="1" applyFill="1" applyBorder="1" applyAlignment="1" applyProtection="1">
      <alignment horizontal="center"/>
      <protection hidden="1"/>
    </xf>
    <xf numFmtId="167" fontId="5" fillId="6" borderId="27" xfId="3" applyNumberFormat="1" applyFont="1" applyFill="1" applyBorder="1" applyAlignment="1" applyProtection="1">
      <alignment horizontal="center"/>
      <protection hidden="1"/>
    </xf>
    <xf numFmtId="167" fontId="5" fillId="6" borderId="0" xfId="3" applyNumberFormat="1" applyFont="1" applyFill="1" applyBorder="1" applyAlignment="1" applyProtection="1">
      <alignment horizontal="left"/>
      <protection hidden="1"/>
    </xf>
    <xf numFmtId="0" fontId="8" fillId="6" borderId="0" xfId="0" applyFont="1" applyFill="1" applyBorder="1" applyAlignment="1" applyProtection="1">
      <alignment vertical="center"/>
      <protection hidden="1"/>
    </xf>
    <xf numFmtId="0" fontId="8" fillId="6" borderId="11" xfId="0" applyFont="1" applyFill="1" applyBorder="1" applyAlignment="1" applyProtection="1">
      <alignment vertical="center"/>
      <protection hidden="1"/>
    </xf>
    <xf numFmtId="0" fontId="5" fillId="6" borderId="28" xfId="0" applyFont="1" applyFill="1" applyBorder="1" applyAlignment="1" applyProtection="1">
      <alignment horizontal="right"/>
      <protection hidden="1"/>
    </xf>
    <xf numFmtId="0" fontId="5" fillId="6" borderId="29" xfId="0" applyFont="1" applyFill="1" applyBorder="1" applyAlignment="1" applyProtection="1">
      <alignment horizontal="center"/>
      <protection hidden="1"/>
    </xf>
    <xf numFmtId="166" fontId="16" fillId="2" borderId="30" xfId="3" applyFont="1" applyFill="1" applyBorder="1" applyAlignment="1" applyProtection="1">
      <protection hidden="1"/>
    </xf>
    <xf numFmtId="0" fontId="5" fillId="6" borderId="0" xfId="0" quotePrefix="1" applyFont="1" applyFill="1" applyBorder="1" applyAlignment="1" applyProtection="1">
      <alignment horizontal="center"/>
      <protection hidden="1"/>
    </xf>
    <xf numFmtId="0" fontId="5" fillId="6" borderId="0" xfId="0" applyFont="1" applyFill="1" applyBorder="1" applyAlignment="1" applyProtection="1">
      <alignment horizontal="left"/>
      <protection hidden="1"/>
    </xf>
    <xf numFmtId="0" fontId="5" fillId="6" borderId="0" xfId="0" applyFont="1" applyFill="1" applyBorder="1" applyProtection="1">
      <protection hidden="1"/>
    </xf>
    <xf numFmtId="0" fontId="6" fillId="6" borderId="11" xfId="0" applyFont="1" applyFill="1" applyBorder="1" applyProtection="1">
      <protection hidden="1"/>
    </xf>
    <xf numFmtId="0" fontId="6" fillId="0" borderId="11" xfId="0" applyFont="1" applyFill="1" applyBorder="1" applyProtection="1">
      <protection hidden="1"/>
    </xf>
    <xf numFmtId="0" fontId="5" fillId="6" borderId="4" xfId="0" applyFont="1" applyFill="1" applyBorder="1" applyAlignment="1" applyProtection="1">
      <alignment horizontal="center"/>
      <protection hidden="1"/>
    </xf>
    <xf numFmtId="166" fontId="16" fillId="2" borderId="31" xfId="3" applyFont="1" applyFill="1" applyBorder="1" applyAlignment="1" applyProtection="1">
      <protection hidden="1"/>
    </xf>
    <xf numFmtId="0" fontId="6" fillId="6" borderId="0" xfId="0" quotePrefix="1" applyFont="1" applyFill="1" applyBorder="1" applyProtection="1">
      <protection hidden="1"/>
    </xf>
    <xf numFmtId="0" fontId="6" fillId="6" borderId="11" xfId="0" quotePrefix="1" applyFont="1" applyFill="1" applyBorder="1" applyProtection="1">
      <protection hidden="1"/>
    </xf>
    <xf numFmtId="0" fontId="6" fillId="0" borderId="11" xfId="0" quotePrefix="1" applyFont="1" applyFill="1" applyBorder="1" applyProtection="1">
      <protection hidden="1"/>
    </xf>
    <xf numFmtId="166" fontId="16" fillId="2" borderId="31" xfId="3" applyFont="1" applyFill="1" applyBorder="1" applyAlignment="1" applyProtection="1">
      <protection locked="0"/>
    </xf>
    <xf numFmtId="171" fontId="6" fillId="6" borderId="0" xfId="0" applyNumberFormat="1" applyFont="1" applyFill="1" applyBorder="1" applyAlignment="1"/>
    <xf numFmtId="167" fontId="5" fillId="6" borderId="0" xfId="0" applyNumberFormat="1" applyFont="1" applyFill="1" applyBorder="1" applyProtection="1">
      <protection hidden="1"/>
    </xf>
    <xf numFmtId="166" fontId="5" fillId="6" borderId="31" xfId="3" quotePrefix="1" applyFont="1" applyFill="1" applyBorder="1" applyAlignment="1" applyProtection="1">
      <alignment horizontal="right"/>
      <protection hidden="1"/>
    </xf>
    <xf numFmtId="166" fontId="6" fillId="6" borderId="0" xfId="0" applyNumberFormat="1" applyFont="1" applyFill="1" applyBorder="1" applyAlignment="1" applyProtection="1">
      <alignment horizontal="left"/>
      <protection hidden="1"/>
    </xf>
    <xf numFmtId="0" fontId="16" fillId="3" borderId="19" xfId="0" applyFont="1" applyFill="1" applyBorder="1" applyAlignment="1" applyProtection="1">
      <alignment horizontal="right"/>
      <protection hidden="1"/>
    </xf>
    <xf numFmtId="0" fontId="5" fillId="3" borderId="20" xfId="0" applyFont="1" applyFill="1" applyBorder="1" applyAlignment="1" applyProtection="1">
      <alignment horizontal="center"/>
      <protection hidden="1"/>
    </xf>
    <xf numFmtId="166" fontId="12" fillId="3" borderId="21" xfId="3" applyFont="1" applyFill="1" applyBorder="1" applyAlignment="1" applyProtection="1">
      <protection hidden="1"/>
    </xf>
    <xf numFmtId="166" fontId="6" fillId="6" borderId="0" xfId="3" applyFont="1" applyFill="1" applyBorder="1" applyProtection="1">
      <protection hidden="1"/>
    </xf>
    <xf numFmtId="0" fontId="5" fillId="6" borderId="0" xfId="0" applyFont="1" applyFill="1" applyBorder="1" applyAlignment="1" applyProtection="1">
      <alignment horizontal="center" vertical="center"/>
      <protection hidden="1"/>
    </xf>
    <xf numFmtId="0" fontId="5" fillId="6" borderId="13" xfId="0" applyFont="1" applyFill="1" applyBorder="1" applyAlignment="1" applyProtection="1">
      <alignment horizontal="center"/>
      <protection hidden="1"/>
    </xf>
    <xf numFmtId="166" fontId="16" fillId="4" borderId="9" xfId="3" applyFont="1" applyFill="1" applyBorder="1" applyAlignment="1" applyProtection="1">
      <protection hidden="1"/>
    </xf>
    <xf numFmtId="0" fontId="5" fillId="6" borderId="11" xfId="0" applyFont="1" applyFill="1" applyBorder="1" applyAlignment="1" applyProtection="1">
      <alignment horizontal="center"/>
      <protection hidden="1"/>
    </xf>
    <xf numFmtId="166" fontId="16" fillId="4" borderId="31" xfId="3" applyFont="1" applyFill="1" applyBorder="1" applyAlignment="1" applyProtection="1">
      <protection hidden="1"/>
    </xf>
    <xf numFmtId="166" fontId="4" fillId="4" borderId="1" xfId="3" applyFont="1" applyFill="1" applyBorder="1" applyAlignment="1" applyProtection="1">
      <alignment horizontal="right"/>
      <protection hidden="1"/>
    </xf>
    <xf numFmtId="10" fontId="4" fillId="4" borderId="23" xfId="0" applyNumberFormat="1" applyFont="1" applyFill="1" applyBorder="1" applyAlignment="1" applyProtection="1">
      <protection hidden="1"/>
    </xf>
    <xf numFmtId="9" fontId="5" fillId="6" borderId="11" xfId="0" applyNumberFormat="1" applyFont="1" applyFill="1" applyBorder="1" applyAlignment="1" applyProtection="1">
      <alignment horizontal="left"/>
      <protection hidden="1"/>
    </xf>
    <xf numFmtId="0" fontId="5" fillId="6" borderId="37" xfId="0" applyFont="1" applyFill="1" applyBorder="1" applyAlignment="1" applyProtection="1">
      <alignment horizontal="right"/>
      <protection hidden="1"/>
    </xf>
    <xf numFmtId="0" fontId="5" fillId="6" borderId="11" xfId="0" applyFont="1" applyFill="1" applyBorder="1" applyAlignment="1" applyProtection="1">
      <alignment horizontal="left"/>
      <protection hidden="1"/>
    </xf>
    <xf numFmtId="0" fontId="5" fillId="5" borderId="19" xfId="0" applyFont="1" applyFill="1" applyBorder="1" applyAlignment="1" applyProtection="1">
      <alignment horizontal="right"/>
      <protection hidden="1"/>
    </xf>
    <xf numFmtId="0" fontId="5" fillId="5" borderId="20" xfId="0" applyFont="1" applyFill="1" applyBorder="1" applyAlignment="1" applyProtection="1">
      <alignment horizontal="center"/>
      <protection hidden="1"/>
    </xf>
    <xf numFmtId="166" fontId="16" fillId="5" borderId="21" xfId="3" applyFont="1" applyFill="1" applyBorder="1" applyAlignment="1" applyProtection="1">
      <protection hidden="1"/>
    </xf>
    <xf numFmtId="0" fontId="4" fillId="4" borderId="42" xfId="0" applyFont="1" applyFill="1" applyBorder="1" applyAlignment="1" applyProtection="1">
      <alignment horizontal="right"/>
      <protection hidden="1"/>
    </xf>
    <xf numFmtId="166" fontId="4" fillId="4" borderId="43" xfId="3" applyFont="1" applyFill="1" applyBorder="1" applyAlignment="1" applyProtection="1">
      <alignment horizontal="right"/>
      <protection hidden="1"/>
    </xf>
    <xf numFmtId="166" fontId="6" fillId="6" borderId="0" xfId="0" applyNumberFormat="1" applyFont="1" applyFill="1" applyBorder="1" applyProtection="1">
      <protection hidden="1"/>
    </xf>
    <xf numFmtId="0" fontId="6" fillId="0" borderId="48" xfId="0" applyFont="1" applyFill="1" applyBorder="1" applyProtection="1">
      <protection hidden="1"/>
    </xf>
    <xf numFmtId="0" fontId="6" fillId="6" borderId="8" xfId="0" applyFont="1" applyFill="1" applyBorder="1" applyProtection="1">
      <protection hidden="1"/>
    </xf>
    <xf numFmtId="0" fontId="6" fillId="6" borderId="49" xfId="0" applyFont="1" applyFill="1" applyBorder="1" applyProtection="1">
      <protection hidden="1"/>
    </xf>
    <xf numFmtId="0" fontId="5" fillId="6" borderId="49" xfId="0" applyFont="1" applyFill="1" applyBorder="1" applyAlignment="1" applyProtection="1">
      <alignment horizontal="center" vertical="center"/>
      <protection hidden="1"/>
    </xf>
    <xf numFmtId="0" fontId="6" fillId="6" borderId="50" xfId="0" applyFont="1" applyFill="1" applyBorder="1" applyProtection="1">
      <protection hidden="1"/>
    </xf>
    <xf numFmtId="0" fontId="5" fillId="6" borderId="11" xfId="0" quotePrefix="1" applyFont="1" applyFill="1" applyBorder="1" applyAlignment="1" applyProtection="1">
      <alignment horizontal="center"/>
      <protection hidden="1"/>
    </xf>
    <xf numFmtId="0" fontId="11" fillId="0" borderId="11" xfId="0" applyFont="1" applyFill="1" applyBorder="1" applyProtection="1">
      <protection hidden="1"/>
    </xf>
    <xf numFmtId="0" fontId="5" fillId="6" borderId="13" xfId="0" applyFont="1" applyFill="1" applyBorder="1" applyAlignment="1" applyProtection="1">
      <alignment horizontal="right"/>
      <protection hidden="1"/>
    </xf>
    <xf numFmtId="166" fontId="16" fillId="4" borderId="18" xfId="3" applyFont="1" applyFill="1" applyBorder="1" applyAlignment="1" applyProtection="1">
      <protection hidden="1"/>
    </xf>
    <xf numFmtId="0" fontId="8" fillId="0" borderId="11" xfId="0" quotePrefix="1" applyFont="1" applyFill="1" applyBorder="1" applyAlignment="1" applyProtection="1">
      <alignment horizontal="center"/>
      <protection hidden="1"/>
    </xf>
    <xf numFmtId="0" fontId="5" fillId="6" borderId="4" xfId="0" applyFont="1" applyFill="1" applyBorder="1" applyAlignment="1" applyProtection="1">
      <alignment horizontal="right"/>
      <protection hidden="1"/>
    </xf>
    <xf numFmtId="166" fontId="16" fillId="4" borderId="31" xfId="3" quotePrefix="1" applyFont="1" applyFill="1" applyBorder="1" applyAlignment="1" applyProtection="1">
      <alignment horizontal="right"/>
      <protection hidden="1"/>
    </xf>
    <xf numFmtId="0" fontId="5" fillId="6" borderId="20" xfId="0" applyFont="1" applyFill="1" applyBorder="1" applyAlignment="1" applyProtection="1">
      <alignment horizontal="right"/>
      <protection hidden="1"/>
    </xf>
    <xf numFmtId="166" fontId="16" fillId="4" borderId="21" xfId="3" applyFont="1" applyFill="1" applyBorder="1" applyAlignment="1" applyProtection="1">
      <protection hidden="1"/>
    </xf>
    <xf numFmtId="0" fontId="5" fillId="6" borderId="0" xfId="0" quotePrefix="1" applyFont="1" applyFill="1" applyBorder="1" applyAlignment="1" applyProtection="1">
      <alignment horizontal="left"/>
      <protection hidden="1"/>
    </xf>
    <xf numFmtId="0" fontId="5" fillId="6" borderId="0" xfId="0" quotePrefix="1" applyFont="1" applyFill="1" applyBorder="1" applyAlignment="1" applyProtection="1">
      <alignment horizontal="center" vertical="center"/>
      <protection hidden="1"/>
    </xf>
    <xf numFmtId="0" fontId="5" fillId="6" borderId="0" xfId="0" applyFont="1" applyFill="1" applyBorder="1" applyAlignment="1" applyProtection="1">
      <alignment horizontal="left" vertical="center"/>
      <protection hidden="1"/>
    </xf>
    <xf numFmtId="0" fontId="5" fillId="6" borderId="15" xfId="0" quotePrefix="1" applyFont="1" applyFill="1" applyBorder="1" applyAlignment="1" applyProtection="1">
      <alignment horizontal="center" vertical="center"/>
      <protection hidden="1"/>
    </xf>
    <xf numFmtId="0" fontId="5" fillId="6" borderId="27" xfId="0" applyFont="1" applyFill="1" applyBorder="1" applyAlignment="1" applyProtection="1">
      <alignment horizontal="left" vertical="center"/>
      <protection hidden="1"/>
    </xf>
    <xf numFmtId="0" fontId="6" fillId="6" borderId="27" xfId="0" applyFont="1" applyFill="1" applyBorder="1" applyProtection="1">
      <protection hidden="1"/>
    </xf>
    <xf numFmtId="0" fontId="6" fillId="6" borderId="24" xfId="0" applyFont="1" applyFill="1" applyBorder="1" applyProtection="1">
      <protection hidden="1"/>
    </xf>
    <xf numFmtId="0" fontId="6" fillId="0" borderId="15" xfId="0" applyFont="1" applyFill="1" applyBorder="1" applyProtection="1">
      <protection hidden="1"/>
    </xf>
    <xf numFmtId="0" fontId="6" fillId="0" borderId="24" xfId="0" applyFont="1" applyFill="1" applyBorder="1" applyProtection="1">
      <protection hidden="1"/>
    </xf>
    <xf numFmtId="43" fontId="6" fillId="0" borderId="0" xfId="0" applyNumberFormat="1" applyFont="1" applyFill="1" applyProtection="1">
      <protection hidden="1"/>
    </xf>
    <xf numFmtId="0" fontId="7" fillId="0" borderId="0" xfId="0" applyFont="1" applyFill="1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9" fontId="20" fillId="0" borderId="0" xfId="0" applyNumberFormat="1" applyFont="1" applyProtection="1">
      <protection hidden="1"/>
    </xf>
    <xf numFmtId="0" fontId="2" fillId="6" borderId="0" xfId="3" applyNumberFormat="1" applyFont="1" applyFill="1" applyBorder="1" applyAlignment="1" applyProtection="1">
      <alignment horizontal="center" vertical="center"/>
      <protection hidden="1"/>
    </xf>
    <xf numFmtId="0" fontId="21" fillId="0" borderId="0" xfId="0" applyFont="1" applyFill="1" applyBorder="1" applyProtection="1">
      <protection hidden="1"/>
    </xf>
    <xf numFmtId="167" fontId="21" fillId="0" borderId="0" xfId="0" applyNumberFormat="1" applyFont="1" applyFill="1" applyBorder="1" applyProtection="1">
      <protection hidden="1"/>
    </xf>
    <xf numFmtId="0" fontId="22" fillId="0" borderId="0" xfId="0" applyFont="1" applyFill="1" applyAlignment="1" applyProtection="1">
      <alignment horizontal="center"/>
      <protection hidden="1"/>
    </xf>
    <xf numFmtId="0" fontId="21" fillId="0" borderId="0" xfId="0" applyFont="1" applyProtection="1">
      <protection hidden="1"/>
    </xf>
    <xf numFmtId="0" fontId="21" fillId="0" borderId="0" xfId="0" applyFont="1" applyFill="1" applyProtection="1">
      <protection hidden="1"/>
    </xf>
    <xf numFmtId="173" fontId="21" fillId="0" borderId="0" xfId="3" applyNumberFormat="1" applyFont="1" applyFill="1" applyBorder="1" applyProtection="1">
      <protection hidden="1"/>
    </xf>
    <xf numFmtId="174" fontId="21" fillId="0" borderId="0" xfId="0" applyNumberFormat="1" applyFont="1" applyFill="1" applyBorder="1" applyAlignment="1" applyProtection="1">
      <alignment horizontal="center"/>
      <protection hidden="1"/>
    </xf>
    <xf numFmtId="173" fontId="21" fillId="0" borderId="0" xfId="0" applyNumberFormat="1" applyFont="1" applyFill="1" applyBorder="1" applyProtection="1">
      <protection hidden="1"/>
    </xf>
    <xf numFmtId="175" fontId="21" fillId="0" borderId="0" xfId="0" applyNumberFormat="1" applyFont="1" applyFill="1" applyBorder="1" applyProtection="1">
      <protection hidden="1"/>
    </xf>
    <xf numFmtId="0" fontId="21" fillId="0" borderId="0" xfId="0" quotePrefix="1" applyFont="1" applyFill="1" applyBorder="1" applyProtection="1">
      <protection hidden="1"/>
    </xf>
    <xf numFmtId="167" fontId="21" fillId="0" borderId="0" xfId="3" applyNumberFormat="1" applyFont="1" applyFill="1" applyBorder="1" applyAlignment="1" applyProtection="1">
      <alignment horizontal="center"/>
      <protection hidden="1"/>
    </xf>
    <xf numFmtId="169" fontId="22" fillId="0" borderId="0" xfId="0" applyNumberFormat="1" applyFont="1" applyFill="1" applyBorder="1" applyAlignment="1" applyProtection="1">
      <alignment horizontal="center"/>
      <protection hidden="1"/>
    </xf>
    <xf numFmtId="166" fontId="22" fillId="0" borderId="0" xfId="3" applyFont="1" applyFill="1" applyBorder="1" applyAlignment="1" applyProtection="1">
      <protection hidden="1"/>
    </xf>
    <xf numFmtId="166" fontId="21" fillId="0" borderId="0" xfId="0" applyNumberFormat="1" applyFont="1" applyFill="1" applyBorder="1" applyProtection="1">
      <protection hidden="1"/>
    </xf>
    <xf numFmtId="0" fontId="22" fillId="0" borderId="0" xfId="0" applyFont="1" applyFill="1" applyBorder="1" applyAlignment="1" applyProtection="1">
      <alignment horizontal="center"/>
      <protection hidden="1"/>
    </xf>
    <xf numFmtId="167" fontId="21" fillId="0" borderId="0" xfId="3" applyNumberFormat="1" applyFont="1" applyFill="1" applyBorder="1" applyProtection="1">
      <protection hidden="1"/>
    </xf>
    <xf numFmtId="0" fontId="22" fillId="0" borderId="35" xfId="0" applyFont="1" applyFill="1" applyBorder="1" applyAlignment="1" applyProtection="1">
      <alignment horizontal="center"/>
      <protection hidden="1"/>
    </xf>
    <xf numFmtId="10" fontId="22" fillId="0" borderId="36" xfId="2" applyNumberFormat="1" applyFont="1" applyFill="1" applyBorder="1" applyAlignment="1" applyProtection="1">
      <alignment horizontal="center"/>
      <protection hidden="1"/>
    </xf>
    <xf numFmtId="165" fontId="22" fillId="0" borderId="39" xfId="1" applyFont="1" applyFill="1" applyBorder="1" applyAlignment="1" applyProtection="1">
      <protection hidden="1"/>
    </xf>
    <xf numFmtId="10" fontId="22" fillId="0" borderId="40" xfId="2" applyNumberFormat="1" applyFont="1" applyFill="1" applyBorder="1" applyAlignment="1" applyProtection="1">
      <protection hidden="1"/>
    </xf>
    <xf numFmtId="0" fontId="22" fillId="0" borderId="44" xfId="0" applyFont="1" applyFill="1" applyBorder="1" applyAlignment="1" applyProtection="1">
      <alignment horizontal="center"/>
      <protection hidden="1"/>
    </xf>
    <xf numFmtId="165" fontId="22" fillId="0" borderId="45" xfId="1" applyFont="1" applyFill="1" applyBorder="1" applyAlignment="1" applyProtection="1">
      <protection hidden="1"/>
    </xf>
    <xf numFmtId="0" fontId="22" fillId="0" borderId="46" xfId="0" quotePrefix="1" applyFont="1" applyFill="1" applyBorder="1" applyAlignment="1" applyProtection="1">
      <alignment horizontal="center"/>
      <protection hidden="1"/>
    </xf>
    <xf numFmtId="0" fontId="22" fillId="0" borderId="0" xfId="0" applyFont="1" applyFill="1" applyBorder="1" applyAlignment="1" applyProtection="1">
      <protection hidden="1"/>
    </xf>
    <xf numFmtId="49" fontId="21" fillId="0" borderId="0" xfId="0" applyNumberFormat="1" applyFont="1" applyFill="1" applyBorder="1" applyProtection="1">
      <protection hidden="1"/>
    </xf>
    <xf numFmtId="0" fontId="22" fillId="0" borderId="0" xfId="0" quotePrefix="1" applyFont="1" applyFill="1" applyAlignment="1" applyProtection="1">
      <alignment horizontal="center"/>
      <protection hidden="1"/>
    </xf>
    <xf numFmtId="164" fontId="21" fillId="0" borderId="0" xfId="0" applyNumberFormat="1" applyFont="1" applyFill="1" applyBorder="1" applyAlignment="1" applyProtection="1">
      <protection hidden="1"/>
    </xf>
    <xf numFmtId="43" fontId="6" fillId="0" borderId="0" xfId="0" applyNumberFormat="1" applyFont="1" applyProtection="1">
      <protection hidden="1"/>
    </xf>
    <xf numFmtId="3" fontId="21" fillId="0" borderId="0" xfId="0" applyNumberFormat="1" applyFont="1" applyFill="1" applyProtection="1">
      <protection hidden="1"/>
    </xf>
    <xf numFmtId="166" fontId="6" fillId="0" borderId="0" xfId="0" applyNumberFormat="1" applyFont="1" applyProtection="1">
      <protection hidden="1"/>
    </xf>
    <xf numFmtId="4" fontId="21" fillId="0" borderId="0" xfId="0" applyNumberFormat="1" applyFont="1" applyFill="1" applyProtection="1">
      <protection hidden="1"/>
    </xf>
    <xf numFmtId="166" fontId="21" fillId="0" borderId="0" xfId="3" applyFont="1" applyFill="1" applyProtection="1">
      <protection hidden="1"/>
    </xf>
    <xf numFmtId="169" fontId="23" fillId="6" borderId="0" xfId="0" applyNumberFormat="1" applyFont="1" applyFill="1" applyBorder="1" applyAlignment="1">
      <alignment horizontal="center"/>
    </xf>
    <xf numFmtId="14" fontId="5" fillId="2" borderId="18" xfId="0" applyNumberFormat="1" applyFont="1" applyFill="1" applyBorder="1" applyAlignment="1" applyProtection="1">
      <alignment horizontal="center"/>
      <protection locked="0" hidden="1"/>
    </xf>
    <xf numFmtId="14" fontId="5" fillId="2" borderId="21" xfId="0" applyNumberFormat="1" applyFont="1" applyFill="1" applyBorder="1" applyAlignment="1" applyProtection="1">
      <alignment horizontal="center"/>
      <protection locked="0" hidden="1"/>
    </xf>
    <xf numFmtId="166" fontId="16" fillId="2" borderId="18" xfId="3" applyFont="1" applyFill="1" applyBorder="1" applyAlignment="1" applyProtection="1">
      <protection locked="0" hidden="1"/>
    </xf>
    <xf numFmtId="166" fontId="16" fillId="2" borderId="23" xfId="3" applyFont="1" applyFill="1" applyBorder="1" applyAlignment="1" applyProtection="1">
      <protection locked="0" hidden="1"/>
    </xf>
    <xf numFmtId="166" fontId="16" fillId="2" borderId="31" xfId="3" applyFont="1" applyFill="1" applyBorder="1" applyAlignment="1" applyProtection="1">
      <protection locked="0" hidden="1"/>
    </xf>
    <xf numFmtId="167" fontId="5" fillId="4" borderId="26" xfId="3" applyNumberFormat="1" applyFont="1" applyFill="1" applyBorder="1" applyAlignment="1" applyProtection="1">
      <alignment horizontal="center"/>
      <protection locked="0" hidden="1"/>
    </xf>
    <xf numFmtId="166" fontId="16" fillId="4" borderId="31" xfId="3" applyFont="1" applyFill="1" applyBorder="1" applyAlignment="1" applyProtection="1">
      <protection locked="0" hidden="1"/>
    </xf>
    <xf numFmtId="166" fontId="16" fillId="4" borderId="31" xfId="3" quotePrefix="1" applyFont="1" applyFill="1" applyBorder="1" applyAlignment="1" applyProtection="1">
      <alignment horizontal="right"/>
      <protection locked="0" hidden="1"/>
    </xf>
    <xf numFmtId="0" fontId="18" fillId="7" borderId="47" xfId="0" applyFont="1" applyFill="1" applyBorder="1" applyAlignment="1" applyProtection="1">
      <alignment horizontal="center" vertical="center"/>
      <protection hidden="1"/>
    </xf>
    <xf numFmtId="166" fontId="19" fillId="7" borderId="3" xfId="3" applyFont="1" applyFill="1" applyBorder="1" applyAlignment="1" applyProtection="1">
      <alignment vertical="center"/>
      <protection hidden="1"/>
    </xf>
    <xf numFmtId="0" fontId="18" fillId="7" borderId="5" xfId="0" applyFont="1" applyFill="1" applyBorder="1" applyAlignment="1" applyProtection="1">
      <alignment horizontal="left" vertical="center"/>
      <protection hidden="1"/>
    </xf>
    <xf numFmtId="0" fontId="18" fillId="7" borderId="47" xfId="0" applyFont="1" applyFill="1" applyBorder="1" applyAlignment="1" applyProtection="1">
      <alignment horizontal="right" vertical="center"/>
      <protection hidden="1"/>
    </xf>
    <xf numFmtId="0" fontId="19" fillId="7" borderId="2" xfId="0" applyFont="1" applyFill="1" applyBorder="1" applyAlignment="1" applyProtection="1">
      <alignment horizontal="center" vertical="center"/>
      <protection hidden="1"/>
    </xf>
    <xf numFmtId="166" fontId="12" fillId="3" borderId="24" xfId="3" applyFont="1" applyFill="1" applyBorder="1" applyAlignment="1" applyProtection="1">
      <protection hidden="1"/>
    </xf>
    <xf numFmtId="0" fontId="26" fillId="7" borderId="5" xfId="0" applyFont="1" applyFill="1" applyBorder="1" applyAlignment="1" applyProtection="1">
      <alignment horizontal="right" vertical="center"/>
      <protection hidden="1"/>
    </xf>
    <xf numFmtId="0" fontId="19" fillId="7" borderId="5" xfId="0" applyFont="1" applyFill="1" applyBorder="1" applyAlignment="1" applyProtection="1">
      <alignment horizontal="right" vertical="center"/>
      <protection hidden="1"/>
    </xf>
    <xf numFmtId="0" fontId="27" fillId="6" borderId="0" xfId="3" applyNumberFormat="1" applyFont="1" applyFill="1" applyBorder="1" applyAlignment="1" applyProtection="1">
      <alignment horizontal="center" vertical="center"/>
      <protection hidden="1"/>
    </xf>
    <xf numFmtId="169" fontId="27" fillId="6" borderId="0" xfId="0" applyNumberFormat="1" applyFont="1" applyFill="1" applyBorder="1" applyAlignment="1" applyProtection="1">
      <alignment horizontal="center"/>
      <protection hidden="1"/>
    </xf>
    <xf numFmtId="0" fontId="27" fillId="6" borderId="0" xfId="0" applyFont="1" applyFill="1" applyBorder="1" applyProtection="1">
      <protection hidden="1"/>
    </xf>
    <xf numFmtId="0" fontId="27" fillId="6" borderId="0" xfId="0" applyFont="1" applyFill="1" applyBorder="1" applyAlignment="1" applyProtection="1">
      <alignment horizontal="center"/>
      <protection hidden="1"/>
    </xf>
    <xf numFmtId="172" fontId="28" fillId="6" borderId="0" xfId="0" applyNumberFormat="1" applyFont="1" applyFill="1" applyBorder="1" applyAlignment="1">
      <alignment horizontal="center"/>
    </xf>
    <xf numFmtId="0" fontId="24" fillId="8" borderId="5" xfId="0" applyFont="1" applyFill="1" applyBorder="1" applyAlignment="1" applyProtection="1">
      <alignment horizontal="center" vertical="center"/>
      <protection hidden="1"/>
    </xf>
    <xf numFmtId="0" fontId="24" fillId="8" borderId="6" xfId="0" applyFont="1" applyFill="1" applyBorder="1" applyAlignment="1" applyProtection="1">
      <alignment horizontal="center" vertical="center"/>
      <protection hidden="1"/>
    </xf>
    <xf numFmtId="0" fontId="24" fillId="8" borderId="3" xfId="0" applyFont="1" applyFill="1" applyBorder="1" applyAlignment="1" applyProtection="1">
      <alignment horizontal="center" vertical="center"/>
      <protection hidden="1"/>
    </xf>
    <xf numFmtId="168" fontId="5" fillId="6" borderId="0" xfId="0" applyNumberFormat="1" applyFont="1" applyFill="1" applyBorder="1" applyAlignment="1" applyProtection="1">
      <alignment horizontal="left"/>
      <protection hidden="1"/>
    </xf>
    <xf numFmtId="0" fontId="5" fillId="0" borderId="27" xfId="0" applyFont="1" applyFill="1" applyBorder="1" applyAlignment="1" applyProtection="1">
      <alignment horizontal="center"/>
      <protection hidden="1"/>
    </xf>
    <xf numFmtId="0" fontId="5" fillId="5" borderId="5" xfId="0" applyFont="1" applyFill="1" applyBorder="1" applyAlignment="1" applyProtection="1">
      <alignment horizontal="center" vertical="center"/>
      <protection hidden="1"/>
    </xf>
    <xf numFmtId="0" fontId="5" fillId="5" borderId="6" xfId="0" applyFont="1" applyFill="1" applyBorder="1" applyAlignment="1" applyProtection="1">
      <alignment horizontal="center" vertical="center"/>
      <protection hidden="1"/>
    </xf>
    <xf numFmtId="0" fontId="5" fillId="5" borderId="3" xfId="0" applyFont="1" applyFill="1" applyBorder="1" applyAlignment="1" applyProtection="1">
      <alignment horizontal="center" vertical="center"/>
      <protection hidden="1"/>
    </xf>
    <xf numFmtId="14" fontId="12" fillId="2" borderId="14" xfId="0" applyNumberFormat="1" applyFont="1" applyFill="1" applyBorder="1" applyAlignment="1" applyProtection="1">
      <alignment horizontal="left" vertical="center"/>
      <protection locked="0" hidden="1"/>
    </xf>
    <xf numFmtId="14" fontId="12" fillId="2" borderId="6" xfId="0" applyNumberFormat="1" applyFont="1" applyFill="1" applyBorder="1" applyAlignment="1" applyProtection="1">
      <alignment horizontal="left" vertical="center"/>
      <protection locked="0" hidden="1"/>
    </xf>
    <xf numFmtId="14" fontId="12" fillId="2" borderId="3" xfId="0" applyNumberFormat="1" applyFont="1" applyFill="1" applyBorder="1" applyAlignment="1" applyProtection="1">
      <alignment horizontal="left" vertical="center"/>
      <protection locked="0" hidden="1"/>
    </xf>
    <xf numFmtId="176" fontId="3" fillId="4" borderId="5" xfId="0" applyNumberFormat="1" applyFont="1" applyFill="1" applyBorder="1" applyAlignment="1" applyProtection="1">
      <alignment horizontal="center"/>
      <protection hidden="1"/>
    </xf>
    <xf numFmtId="176" fontId="3" fillId="4" borderId="3" xfId="0" applyNumberFormat="1" applyFont="1" applyFill="1" applyBorder="1" applyAlignment="1" applyProtection="1">
      <alignment horizontal="center"/>
      <protection hidden="1"/>
    </xf>
    <xf numFmtId="167" fontId="5" fillId="4" borderId="6" xfId="3" applyNumberFormat="1" applyFont="1" applyFill="1" applyBorder="1" applyAlignment="1" applyProtection="1">
      <alignment horizontal="left"/>
      <protection hidden="1"/>
    </xf>
    <xf numFmtId="0" fontId="6" fillId="4" borderId="3" xfId="0" applyFont="1" applyFill="1" applyBorder="1" applyProtection="1">
      <protection hidden="1"/>
    </xf>
    <xf numFmtId="0" fontId="25" fillId="8" borderId="5" xfId="0" applyFont="1" applyFill="1" applyBorder="1" applyAlignment="1" applyProtection="1">
      <alignment horizontal="center" vertical="center"/>
      <protection hidden="1"/>
    </xf>
    <xf numFmtId="0" fontId="25" fillId="8" borderId="6" xfId="0" applyFont="1" applyFill="1" applyBorder="1" applyAlignment="1" applyProtection="1">
      <alignment horizontal="center" vertical="center"/>
      <protection hidden="1"/>
    </xf>
    <xf numFmtId="0" fontId="25" fillId="8" borderId="3" xfId="0" applyFont="1" applyFill="1" applyBorder="1" applyAlignment="1" applyProtection="1">
      <alignment horizontal="center" vertical="center"/>
      <protection hidden="1"/>
    </xf>
    <xf numFmtId="166" fontId="18" fillId="7" borderId="51" xfId="3" applyFont="1" applyFill="1" applyBorder="1" applyAlignment="1" applyProtection="1">
      <alignment horizontal="center" vertical="center"/>
      <protection hidden="1"/>
    </xf>
    <xf numFmtId="166" fontId="18" fillId="7" borderId="52" xfId="3" applyFont="1" applyFill="1" applyBorder="1" applyAlignment="1" applyProtection="1">
      <alignment horizontal="center" vertical="center"/>
      <protection hidden="1"/>
    </xf>
    <xf numFmtId="166" fontId="18" fillId="7" borderId="53" xfId="3" applyFont="1" applyFill="1" applyBorder="1" applyAlignment="1" applyProtection="1">
      <alignment horizontal="center" vertical="center"/>
      <protection hidden="1"/>
    </xf>
    <xf numFmtId="0" fontId="22" fillId="0" borderId="0" xfId="0" applyFont="1" applyFill="1" applyBorder="1" applyAlignment="1" applyProtection="1">
      <alignment horizontal="center" wrapText="1"/>
      <protection hidden="1"/>
    </xf>
    <xf numFmtId="0" fontId="5" fillId="5" borderId="32" xfId="0" applyFont="1" applyFill="1" applyBorder="1" applyAlignment="1" applyProtection="1">
      <alignment horizontal="center"/>
      <protection hidden="1"/>
    </xf>
    <xf numFmtId="0" fontId="5" fillId="5" borderId="33" xfId="0" applyFont="1" applyFill="1" applyBorder="1" applyAlignment="1" applyProtection="1">
      <alignment horizontal="center"/>
      <protection hidden="1"/>
    </xf>
    <xf numFmtId="0" fontId="5" fillId="5" borderId="34" xfId="0" applyFont="1" applyFill="1" applyBorder="1" applyAlignment="1" applyProtection="1">
      <alignment horizontal="center"/>
      <protection hidden="1"/>
    </xf>
    <xf numFmtId="0" fontId="17" fillId="4" borderId="37" xfId="0" applyFont="1" applyFill="1" applyBorder="1" applyAlignment="1" applyProtection="1">
      <alignment horizontal="center" vertical="center"/>
      <protection hidden="1"/>
    </xf>
    <xf numFmtId="0" fontId="17" fillId="4" borderId="38" xfId="0" applyFont="1" applyFill="1" applyBorder="1" applyAlignment="1" applyProtection="1">
      <alignment horizontal="center" vertical="center"/>
      <protection hidden="1"/>
    </xf>
    <xf numFmtId="0" fontId="17" fillId="4" borderId="10" xfId="0" applyFont="1" applyFill="1" applyBorder="1" applyAlignment="1" applyProtection="1">
      <alignment horizontal="center" vertical="center"/>
      <protection hidden="1"/>
    </xf>
    <xf numFmtId="0" fontId="17" fillId="4" borderId="41" xfId="0" applyFont="1" applyFill="1" applyBorder="1" applyAlignment="1" applyProtection="1">
      <alignment horizontal="center" vertical="center"/>
      <protection hidden="1"/>
    </xf>
    <xf numFmtId="0" fontId="17" fillId="4" borderId="15" xfId="0" applyFont="1" applyFill="1" applyBorder="1" applyAlignment="1" applyProtection="1">
      <alignment horizontal="center" vertical="center"/>
      <protection hidden="1"/>
    </xf>
    <xf numFmtId="0" fontId="17" fillId="4" borderId="16" xfId="0" applyFont="1" applyFill="1" applyBorder="1" applyAlignment="1" applyProtection="1">
      <alignment horizontal="center" vertical="center"/>
      <protection hidden="1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0"/>
  <tableStyles count="0" defaultTableStyle="TableStyleMedium9" defaultPivotStyle="PivotStyleLight16"/>
  <colors>
    <mruColors>
      <color rgb="FF4172AD"/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73"/>
  <sheetViews>
    <sheetView showGridLines="0" tabSelected="1" workbookViewId="0">
      <selection activeCell="D45" sqref="D45"/>
    </sheetView>
  </sheetViews>
  <sheetFormatPr defaultRowHeight="15.75"/>
  <cols>
    <col min="1" max="1" width="1" style="7" customWidth="1"/>
    <col min="2" max="2" width="25.28515625" style="6" customWidth="1"/>
    <col min="3" max="3" width="4.7109375" style="118" customWidth="1"/>
    <col min="4" max="4" width="16.5703125" style="6" customWidth="1"/>
    <col min="5" max="5" width="3.5703125" style="6" customWidth="1"/>
    <col min="6" max="6" width="13.85546875" style="6" customWidth="1"/>
    <col min="7" max="7" width="4.85546875" style="6" customWidth="1"/>
    <col min="8" max="8" width="22" style="6" customWidth="1"/>
    <col min="9" max="9" width="10" style="6" customWidth="1"/>
    <col min="10" max="10" width="0.28515625" style="117" hidden="1" customWidth="1"/>
    <col min="11" max="11" width="0.7109375" style="7" customWidth="1"/>
    <col min="12" max="12" width="7.140625" style="6" hidden="1" customWidth="1"/>
    <col min="13" max="13" width="9" style="6" hidden="1" customWidth="1"/>
    <col min="14" max="14" width="14.85546875" style="6" hidden="1" customWidth="1"/>
    <col min="15" max="15" width="15.85546875" style="6" hidden="1" customWidth="1"/>
    <col min="16" max="16" width="15.140625" style="6" hidden="1" customWidth="1"/>
    <col min="17" max="23" width="1.85546875" style="6" hidden="1" customWidth="1"/>
    <col min="24" max="24" width="14.5703125" style="6" hidden="1" customWidth="1"/>
    <col min="25" max="25" width="11.85546875" style="6" hidden="1" customWidth="1"/>
    <col min="26" max="27" width="1.85546875" style="6" hidden="1" customWidth="1"/>
    <col min="28" max="28" width="16.140625" style="7" hidden="1" customWidth="1"/>
    <col min="29" max="31" width="9.140625" style="6" hidden="1" customWidth="1"/>
    <col min="32" max="32" width="12" style="7" hidden="1" customWidth="1"/>
    <col min="33" max="39" width="9.140625" style="6" hidden="1" customWidth="1"/>
    <col min="40" max="43" width="9.140625" style="6"/>
    <col min="44" max="44" width="11.5703125" style="6" bestFit="1" customWidth="1"/>
    <col min="45" max="16384" width="9.140625" style="6"/>
  </cols>
  <sheetData>
    <row r="1" spans="1:35" ht="3.75" customHeight="1" thickTop="1" thickBot="1">
      <c r="A1" s="1"/>
      <c r="B1" s="2"/>
      <c r="C1" s="3"/>
      <c r="D1" s="2"/>
      <c r="E1" s="2"/>
      <c r="F1" s="2"/>
      <c r="G1" s="2"/>
      <c r="H1" s="2"/>
      <c r="I1" s="2"/>
      <c r="J1" s="4"/>
      <c r="K1" s="5"/>
    </row>
    <row r="2" spans="1:35" ht="24.75" customHeight="1" thickTop="1" thickBot="1">
      <c r="A2" s="8"/>
      <c r="B2" s="175" t="s">
        <v>79</v>
      </c>
      <c r="C2" s="176"/>
      <c r="D2" s="176"/>
      <c r="E2" s="176"/>
      <c r="F2" s="176"/>
      <c r="G2" s="176"/>
      <c r="H2" s="176"/>
      <c r="I2" s="176"/>
      <c r="J2" s="177"/>
      <c r="K2" s="9"/>
      <c r="L2" s="10"/>
      <c r="M2" s="10" t="s">
        <v>1</v>
      </c>
      <c r="N2" s="10" t="s">
        <v>2</v>
      </c>
      <c r="O2" s="10" t="s">
        <v>3</v>
      </c>
      <c r="P2" s="10" t="s">
        <v>4</v>
      </c>
      <c r="Q2" s="10" t="s">
        <v>5</v>
      </c>
      <c r="R2" s="10"/>
      <c r="S2" s="10"/>
      <c r="T2" s="10"/>
      <c r="U2" s="10"/>
      <c r="V2" s="10"/>
      <c r="W2" s="10"/>
      <c r="X2" s="11"/>
      <c r="Y2" s="11"/>
      <c r="Z2" s="11"/>
      <c r="AA2" s="12"/>
      <c r="AB2" s="12"/>
      <c r="AC2" s="13"/>
      <c r="AD2" s="13"/>
      <c r="AE2" s="13"/>
      <c r="AF2" s="14"/>
      <c r="AG2" s="13"/>
      <c r="AH2" s="13"/>
    </row>
    <row r="3" spans="1:35" ht="19.5" customHeight="1" thickTop="1" thickBot="1">
      <c r="A3" s="15"/>
      <c r="B3" s="16" t="s">
        <v>6</v>
      </c>
      <c r="C3" s="17" t="s">
        <v>7</v>
      </c>
      <c r="D3" s="183" t="s">
        <v>77</v>
      </c>
      <c r="E3" s="184"/>
      <c r="F3" s="184"/>
      <c r="G3" s="184"/>
      <c r="H3" s="185"/>
      <c r="I3" s="186">
        <f ca="1">TODAY()</f>
        <v>42331</v>
      </c>
      <c r="J3" s="187"/>
      <c r="K3" s="9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1"/>
      <c r="Y3" s="11"/>
      <c r="Z3" s="11"/>
      <c r="AA3" s="12"/>
      <c r="AB3" s="12"/>
      <c r="AC3" s="119">
        <v>0.08</v>
      </c>
      <c r="AD3" s="13"/>
      <c r="AE3" s="13"/>
      <c r="AF3" s="14"/>
      <c r="AG3" s="13"/>
      <c r="AH3" s="13"/>
    </row>
    <row r="4" spans="1:35" ht="19.5" customHeight="1" thickTop="1" thickBot="1">
      <c r="A4" s="15"/>
      <c r="B4" s="18" t="s">
        <v>8</v>
      </c>
      <c r="C4" s="19" t="s">
        <v>7</v>
      </c>
      <c r="D4" s="20" t="s">
        <v>3</v>
      </c>
      <c r="E4" s="21"/>
      <c r="F4" s="21"/>
      <c r="G4" s="22"/>
      <c r="H4" s="23"/>
      <c r="I4" s="24"/>
      <c r="J4" s="25"/>
      <c r="K4" s="9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11"/>
      <c r="Y4" s="11"/>
      <c r="Z4" s="11"/>
      <c r="AA4" s="12"/>
      <c r="AB4" s="12"/>
      <c r="AC4" s="13"/>
      <c r="AD4" s="13"/>
      <c r="AE4" s="13"/>
      <c r="AF4" s="14"/>
      <c r="AG4" s="13"/>
      <c r="AH4" s="13"/>
    </row>
    <row r="5" spans="1:35" ht="3" customHeight="1" thickTop="1" thickBot="1">
      <c r="A5" s="15"/>
      <c r="B5" s="27"/>
      <c r="C5" s="27"/>
      <c r="D5" s="27"/>
      <c r="E5" s="28"/>
      <c r="F5" s="28"/>
      <c r="G5" s="28"/>
      <c r="H5" s="28"/>
      <c r="I5" s="24"/>
      <c r="J5" s="25"/>
      <c r="K5" s="9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11"/>
      <c r="Y5" s="11"/>
      <c r="Z5" s="11"/>
      <c r="AA5" s="12"/>
      <c r="AB5" s="12"/>
      <c r="AC5" s="13"/>
      <c r="AD5" s="13"/>
      <c r="AE5" s="13"/>
      <c r="AF5" s="14"/>
      <c r="AG5" s="13"/>
      <c r="AH5" s="13"/>
    </row>
    <row r="6" spans="1:35" ht="17.25" thickTop="1" thickBot="1">
      <c r="A6" s="15"/>
      <c r="B6" s="16" t="s">
        <v>9</v>
      </c>
      <c r="C6" s="17" t="s">
        <v>7</v>
      </c>
      <c r="D6" s="154">
        <v>41306</v>
      </c>
      <c r="E6" s="28"/>
      <c r="F6" s="28"/>
      <c r="G6" s="28"/>
      <c r="H6" s="29"/>
      <c r="I6" s="24"/>
      <c r="J6" s="25"/>
      <c r="K6" s="9"/>
      <c r="L6" s="26"/>
      <c r="M6" s="26"/>
      <c r="N6" s="26"/>
      <c r="O6" s="26" t="s">
        <v>10</v>
      </c>
      <c r="P6" s="26" t="s">
        <v>11</v>
      </c>
      <c r="Q6" s="26" t="s">
        <v>12</v>
      </c>
      <c r="R6" s="26"/>
      <c r="S6" s="26"/>
      <c r="T6" s="26"/>
      <c r="U6" s="26"/>
      <c r="V6" s="26"/>
      <c r="W6" s="26"/>
      <c r="X6" s="11"/>
      <c r="Y6" s="11"/>
      <c r="Z6" s="11"/>
      <c r="AA6" s="12"/>
      <c r="AB6" s="12"/>
      <c r="AC6" s="13"/>
      <c r="AD6" s="13"/>
      <c r="AE6" s="13"/>
      <c r="AF6" s="14"/>
      <c r="AG6" s="13"/>
      <c r="AH6" s="13"/>
    </row>
    <row r="7" spans="1:35" ht="20.25" thickTop="1" thickBot="1">
      <c r="A7" s="15"/>
      <c r="B7" s="30" t="s">
        <v>13</v>
      </c>
      <c r="C7" s="31" t="s">
        <v>7</v>
      </c>
      <c r="D7" s="155">
        <v>42369</v>
      </c>
      <c r="E7" s="28"/>
      <c r="F7" s="32"/>
      <c r="G7" s="28"/>
      <c r="H7" s="166" t="s">
        <v>14</v>
      </c>
      <c r="I7" s="28"/>
      <c r="J7" s="25"/>
      <c r="K7" s="9"/>
      <c r="L7" s="26"/>
      <c r="M7" s="33">
        <f>(DAYS360(Dia_Admissao,Dia_Demissão))+1</f>
        <v>1051</v>
      </c>
      <c r="N7" s="34">
        <f>No.Dias/30</f>
        <v>35.033333333333331</v>
      </c>
      <c r="O7" s="35">
        <f>Total_Meses-(INT(Total_Meses))</f>
        <v>3.3333333333331439E-2</v>
      </c>
      <c r="P7" s="26"/>
      <c r="Q7" s="26"/>
      <c r="R7" s="26"/>
      <c r="S7" s="26"/>
      <c r="T7" s="26"/>
      <c r="U7" s="26"/>
      <c r="V7" s="26"/>
      <c r="W7" s="26"/>
      <c r="X7" s="11"/>
      <c r="Y7" s="11"/>
      <c r="Z7" s="11"/>
      <c r="AA7" s="12"/>
      <c r="AB7" s="12"/>
      <c r="AC7" s="13"/>
      <c r="AD7" s="13"/>
      <c r="AE7" s="13"/>
      <c r="AF7" s="14"/>
      <c r="AG7" s="13"/>
      <c r="AH7" s="13"/>
    </row>
    <row r="8" spans="1:35" ht="3" customHeight="1" thickTop="1" thickBot="1">
      <c r="A8" s="15"/>
      <c r="B8" s="36"/>
      <c r="C8" s="36"/>
      <c r="D8" s="36"/>
      <c r="E8" s="21"/>
      <c r="F8" s="21"/>
      <c r="G8" s="28"/>
      <c r="H8" s="37"/>
      <c r="I8" s="24"/>
      <c r="J8" s="25"/>
      <c r="K8" s="9"/>
      <c r="L8" s="26"/>
      <c r="M8" s="38"/>
      <c r="N8" s="39"/>
      <c r="O8" s="40"/>
      <c r="P8" s="26"/>
      <c r="Q8" s="26"/>
      <c r="R8" s="26"/>
      <c r="S8" s="26"/>
      <c r="T8" s="26"/>
      <c r="U8" s="26"/>
      <c r="V8" s="26"/>
      <c r="W8" s="26"/>
      <c r="X8" s="11"/>
      <c r="Y8" s="11"/>
      <c r="Z8" s="11"/>
      <c r="AA8" s="12"/>
      <c r="AB8" s="12"/>
      <c r="AC8" s="13"/>
      <c r="AD8" s="13"/>
      <c r="AE8" s="13"/>
      <c r="AF8" s="14"/>
      <c r="AG8" s="13"/>
      <c r="AH8" s="13"/>
    </row>
    <row r="9" spans="1:35" ht="17.25" thickTop="1" thickBot="1">
      <c r="A9" s="15"/>
      <c r="B9" s="16" t="s">
        <v>15</v>
      </c>
      <c r="C9" s="17" t="s">
        <v>7</v>
      </c>
      <c r="D9" s="156">
        <v>788</v>
      </c>
      <c r="E9" s="28"/>
      <c r="F9" s="21"/>
      <c r="G9" s="28"/>
      <c r="H9" s="41" t="str">
        <f>IF(No.Dias&lt;360,0,CONCATENATE(Anos_Inteiro,O6))</f>
        <v xml:space="preserve">2  ano(s),  </v>
      </c>
      <c r="I9" s="24"/>
      <c r="J9" s="25"/>
      <c r="K9" s="9"/>
      <c r="L9" s="26"/>
      <c r="M9" s="26"/>
      <c r="N9" s="42">
        <f>INT(Total_Meses)</f>
        <v>35</v>
      </c>
      <c r="O9" s="42">
        <f>ROUND(Meses*30,0)</f>
        <v>1</v>
      </c>
      <c r="P9" s="26"/>
      <c r="Q9" s="26"/>
      <c r="R9" s="26"/>
      <c r="S9" s="26"/>
      <c r="T9" s="26"/>
      <c r="U9" s="26"/>
      <c r="V9" s="26"/>
      <c r="W9" s="26"/>
      <c r="X9" s="11"/>
      <c r="Y9" s="11"/>
      <c r="Z9" s="11"/>
      <c r="AA9" s="12"/>
      <c r="AB9" s="12"/>
      <c r="AC9" s="13"/>
      <c r="AD9" s="13"/>
      <c r="AE9" s="13"/>
      <c r="AF9" s="14"/>
      <c r="AG9" s="13"/>
      <c r="AH9" s="13"/>
    </row>
    <row r="10" spans="1:35" ht="17.25" thickTop="1" thickBot="1">
      <c r="A10" s="15"/>
      <c r="B10" s="43" t="s">
        <v>16</v>
      </c>
      <c r="C10" s="44" t="s">
        <v>7</v>
      </c>
      <c r="D10" s="157">
        <v>0</v>
      </c>
      <c r="E10" s="28"/>
      <c r="F10" s="21"/>
      <c r="G10" s="28"/>
      <c r="H10" s="41" t="str">
        <f>CONCATENATE(Meses_Inteiro,P6)</f>
        <v xml:space="preserve">11 mês(es) e </v>
      </c>
      <c r="I10" s="24"/>
      <c r="J10" s="25"/>
      <c r="K10" s="9"/>
      <c r="L10" s="121"/>
      <c r="M10" s="121"/>
      <c r="N10" s="122"/>
      <c r="O10" s="122"/>
      <c r="P10" s="121"/>
      <c r="Q10" s="121"/>
      <c r="R10" s="121"/>
      <c r="S10" s="121"/>
      <c r="T10" s="121"/>
      <c r="U10" s="121"/>
      <c r="V10" s="121"/>
      <c r="W10" s="121"/>
      <c r="X10" s="123"/>
      <c r="Y10" s="123"/>
      <c r="Z10" s="123"/>
      <c r="AA10" s="123"/>
      <c r="AB10" s="123"/>
      <c r="AC10" s="124"/>
      <c r="AD10" s="124"/>
      <c r="AE10" s="124"/>
      <c r="AF10" s="125"/>
      <c r="AG10" s="124"/>
      <c r="AH10" s="124"/>
      <c r="AI10" s="124"/>
    </row>
    <row r="11" spans="1:35" ht="17.25" thickTop="1" thickBot="1">
      <c r="A11" s="15"/>
      <c r="B11" s="43" t="s">
        <v>75</v>
      </c>
      <c r="C11" s="44" t="s">
        <v>7</v>
      </c>
      <c r="D11" s="158">
        <v>0</v>
      </c>
      <c r="E11" s="28"/>
      <c r="F11" s="21"/>
      <c r="G11" s="28"/>
      <c r="H11" s="41" t="str">
        <f>CONCATENATE(O$9,Q$6)</f>
        <v>1 dia(s)</v>
      </c>
      <c r="I11" s="24"/>
      <c r="J11" s="25"/>
      <c r="K11" s="9"/>
      <c r="L11" s="121"/>
      <c r="M11" s="121"/>
      <c r="N11" s="122"/>
      <c r="O11" s="122"/>
      <c r="P11" s="121"/>
      <c r="Q11" s="121"/>
      <c r="R11" s="121"/>
      <c r="S11" s="121"/>
      <c r="T11" s="121"/>
      <c r="U11" s="121"/>
      <c r="V11" s="121"/>
      <c r="W11" s="121"/>
      <c r="X11" s="123"/>
      <c r="Y11" s="123"/>
      <c r="Z11" s="123"/>
      <c r="AA11" s="123"/>
      <c r="AB11" s="123"/>
      <c r="AC11" s="124"/>
      <c r="AD11" s="124"/>
      <c r="AE11" s="124"/>
      <c r="AF11" s="125"/>
      <c r="AG11" s="124"/>
      <c r="AH11" s="124"/>
      <c r="AI11" s="124"/>
    </row>
    <row r="12" spans="1:35" ht="17.25" thickTop="1" thickBot="1">
      <c r="A12" s="15"/>
      <c r="B12" s="45" t="s">
        <v>17</v>
      </c>
      <c r="C12" s="46" t="s">
        <v>7</v>
      </c>
      <c r="D12" s="167">
        <f>SUM(D9:D11)</f>
        <v>788</v>
      </c>
      <c r="E12" s="28"/>
      <c r="F12" s="28"/>
      <c r="G12" s="28"/>
      <c r="H12" s="193" t="str">
        <f>CONCATENATE(M2,No.Dias,N2)</f>
        <v>Total =&gt;  1051  dias</v>
      </c>
      <c r="I12" s="24"/>
      <c r="J12" s="25"/>
      <c r="K12" s="9"/>
      <c r="L12" s="121"/>
      <c r="M12" s="121"/>
      <c r="N12" s="122"/>
      <c r="O12" s="122"/>
      <c r="P12" s="121"/>
      <c r="Q12" s="121"/>
      <c r="R12" s="121"/>
      <c r="S12" s="121"/>
      <c r="T12" s="121"/>
      <c r="U12" s="121"/>
      <c r="V12" s="121"/>
      <c r="W12" s="121"/>
      <c r="X12" s="123"/>
      <c r="Y12" s="123"/>
      <c r="Z12" s="123"/>
      <c r="AA12" s="123"/>
      <c r="AB12" s="123"/>
      <c r="AC12" s="124"/>
      <c r="AD12" s="124"/>
      <c r="AE12" s="124"/>
      <c r="AF12" s="125"/>
      <c r="AG12" s="124"/>
      <c r="AH12" s="124"/>
      <c r="AI12" s="124"/>
    </row>
    <row r="13" spans="1:35" ht="3" customHeight="1" thickTop="1" thickBot="1">
      <c r="A13" s="15"/>
      <c r="B13" s="27"/>
      <c r="C13" s="27"/>
      <c r="D13" s="27"/>
      <c r="E13" s="28"/>
      <c r="F13" s="28"/>
      <c r="G13" s="28"/>
      <c r="H13" s="194"/>
      <c r="I13" s="24"/>
      <c r="J13" s="25"/>
      <c r="K13" s="9"/>
      <c r="L13" s="121"/>
      <c r="M13" s="121"/>
      <c r="N13" s="122"/>
      <c r="O13" s="122"/>
      <c r="P13" s="121"/>
      <c r="Q13" s="121"/>
      <c r="R13" s="121"/>
      <c r="S13" s="121"/>
      <c r="T13" s="121"/>
      <c r="U13" s="121"/>
      <c r="V13" s="121"/>
      <c r="W13" s="121"/>
      <c r="X13" s="123"/>
      <c r="Y13" s="123"/>
      <c r="Z13" s="123"/>
      <c r="AA13" s="123"/>
      <c r="AB13" s="123"/>
      <c r="AC13" s="124"/>
      <c r="AD13" s="124"/>
      <c r="AE13" s="124"/>
      <c r="AF13" s="125"/>
      <c r="AG13" s="124"/>
      <c r="AH13" s="124"/>
      <c r="AI13" s="124"/>
    </row>
    <row r="14" spans="1:35" ht="17.25" thickTop="1" thickBot="1">
      <c r="A14" s="15"/>
      <c r="B14" s="16" t="s">
        <v>18</v>
      </c>
      <c r="C14" s="47" t="s">
        <v>7</v>
      </c>
      <c r="D14" s="48" t="s">
        <v>28</v>
      </c>
      <c r="E14" s="28"/>
      <c r="F14" s="28"/>
      <c r="G14" s="28"/>
      <c r="H14" s="195"/>
      <c r="I14" s="49"/>
      <c r="J14" s="25"/>
      <c r="K14" s="9"/>
      <c r="L14" s="121"/>
      <c r="M14" s="121"/>
      <c r="N14" s="126">
        <f>No.Dias/360</f>
        <v>2.9194444444444443</v>
      </c>
      <c r="O14" s="126">
        <f>No.Anos-INT(No.Anos)</f>
        <v>0.91944444444444429</v>
      </c>
      <c r="P14" s="121"/>
      <c r="Q14" s="121"/>
      <c r="R14" s="127"/>
      <c r="S14" s="127"/>
      <c r="T14" s="127"/>
      <c r="U14" s="127"/>
      <c r="V14" s="121"/>
      <c r="W14" s="121"/>
      <c r="X14" s="123"/>
      <c r="Y14" s="123"/>
      <c r="Z14" s="123"/>
      <c r="AA14" s="123"/>
      <c r="AB14" s="123"/>
      <c r="AC14" s="124"/>
      <c r="AD14" s="124"/>
      <c r="AE14" s="124"/>
      <c r="AF14" s="125"/>
      <c r="AG14" s="124"/>
      <c r="AH14" s="124"/>
      <c r="AI14" s="124"/>
    </row>
    <row r="15" spans="1:35" ht="17.25" thickTop="1" thickBot="1">
      <c r="A15" s="15"/>
      <c r="B15" s="30" t="s">
        <v>20</v>
      </c>
      <c r="C15" s="31" t="s">
        <v>7</v>
      </c>
      <c r="D15" s="159">
        <v>1</v>
      </c>
      <c r="E15" s="188" t="s">
        <v>21</v>
      </c>
      <c r="F15" s="189"/>
      <c r="G15" s="28"/>
      <c r="H15" s="153">
        <f>YEAR(D$7)-YEAR(D6)</f>
        <v>2</v>
      </c>
      <c r="I15" s="24"/>
      <c r="J15" s="25"/>
      <c r="K15" s="9"/>
      <c r="L15" s="121"/>
      <c r="M15" s="121"/>
      <c r="N15" s="122">
        <f>INT(No.Anos)</f>
        <v>2</v>
      </c>
      <c r="O15" s="128">
        <f>ROUND(O14*12,8)</f>
        <v>11.03333333</v>
      </c>
      <c r="P15" s="129">
        <f>No.Meses-INT(No.Meses)</f>
        <v>3.3333329999999606E-2</v>
      </c>
      <c r="Q15" s="121"/>
      <c r="R15" s="121"/>
      <c r="S15" s="121"/>
      <c r="T15" s="121"/>
      <c r="U15" s="121"/>
      <c r="V15" s="121"/>
      <c r="W15" s="121"/>
      <c r="X15" s="123"/>
      <c r="Y15" s="123"/>
      <c r="Z15" s="123"/>
      <c r="AA15" s="123"/>
      <c r="AB15" s="123"/>
      <c r="AC15" s="124"/>
      <c r="AD15" s="124"/>
      <c r="AE15" s="124"/>
      <c r="AF15" s="125"/>
      <c r="AG15" s="124"/>
      <c r="AH15" s="124"/>
      <c r="AI15" s="124"/>
    </row>
    <row r="16" spans="1:35" ht="17.25" thickTop="1" thickBot="1">
      <c r="A16" s="15"/>
      <c r="B16" s="18"/>
      <c r="C16" s="50"/>
      <c r="D16" s="51"/>
      <c r="E16" s="52"/>
      <c r="F16" s="28"/>
      <c r="G16" s="28"/>
      <c r="H16" s="120"/>
      <c r="I16" s="24"/>
      <c r="J16" s="25"/>
      <c r="K16" s="9"/>
      <c r="L16" s="121"/>
      <c r="M16" s="121"/>
      <c r="N16" s="122"/>
      <c r="O16" s="128"/>
      <c r="P16" s="129"/>
      <c r="Q16" s="121"/>
      <c r="R16" s="121"/>
      <c r="S16" s="121"/>
      <c r="T16" s="121"/>
      <c r="U16" s="121"/>
      <c r="V16" s="121"/>
      <c r="W16" s="121"/>
      <c r="X16" s="123"/>
      <c r="Y16" s="123"/>
      <c r="Z16" s="123"/>
      <c r="AA16" s="123"/>
      <c r="AB16" s="123"/>
      <c r="AC16" s="124"/>
      <c r="AD16" s="124"/>
      <c r="AE16" s="124"/>
      <c r="AF16" s="125"/>
      <c r="AG16" s="124"/>
      <c r="AH16" s="124"/>
      <c r="AI16" s="124"/>
    </row>
    <row r="17" spans="1:44" ht="21" customHeight="1" thickTop="1" thickBot="1">
      <c r="A17" s="15"/>
      <c r="B17" s="190" t="s">
        <v>22</v>
      </c>
      <c r="C17" s="191"/>
      <c r="D17" s="192"/>
      <c r="E17" s="53"/>
      <c r="F17" s="53"/>
      <c r="G17" s="53"/>
      <c r="H17" s="29"/>
      <c r="I17" s="53"/>
      <c r="J17" s="54"/>
      <c r="K17" s="9"/>
      <c r="L17" s="130"/>
      <c r="M17" s="121"/>
      <c r="N17" s="121"/>
      <c r="O17" s="122">
        <f>INT(No.Meses)</f>
        <v>11</v>
      </c>
      <c r="P17" s="121">
        <f>ROUND(Dias*30,0)</f>
        <v>1</v>
      </c>
      <c r="Q17" s="121"/>
      <c r="R17" s="121"/>
      <c r="S17" s="121"/>
      <c r="T17" s="121"/>
      <c r="U17" s="121"/>
      <c r="V17" s="121"/>
      <c r="W17" s="121"/>
      <c r="X17" s="123"/>
      <c r="Y17" s="123"/>
      <c r="Z17" s="123"/>
      <c r="AA17" s="123"/>
      <c r="AB17" s="123"/>
      <c r="AC17" s="124"/>
      <c r="AD17" s="124"/>
      <c r="AE17" s="124"/>
      <c r="AF17" s="125"/>
      <c r="AG17" s="124"/>
      <c r="AH17" s="124"/>
      <c r="AI17" s="124"/>
    </row>
    <row r="18" spans="1:44" ht="16.5" thickTop="1">
      <c r="A18" s="15"/>
      <c r="B18" s="55" t="s">
        <v>23</v>
      </c>
      <c r="C18" s="56" t="s">
        <v>7</v>
      </c>
      <c r="D18" s="57">
        <f>IF(AND(Motivo_Dispensa="sem justa causa",Av.Previo="Indenizado"),Salario_Total/30*Dias_Av.Previo,0)</f>
        <v>0</v>
      </c>
      <c r="E18" s="58" t="s">
        <v>7</v>
      </c>
      <c r="F18" s="59" t="s">
        <v>24</v>
      </c>
      <c r="G18" s="170">
        <f>IF(H15&lt;1,30,IF(H15=1,33,IF(H15=2,36,IF(H15=3,39,IF(H15=4,42,IF(H15=5,45,IF(H15=6,48,IF(H15=7,51,IF(H15=8,54,IF(H15=9,57,IF(H15=10,60,IF(H15=11,63,IF(H15=12,66,IF(H15=13,69,IF(H15=14,72,IF(H15=15,75,IF(H15=16,78,IF(H15=17,81,IF(H15=18,84,IF(H15=19,87,IF(H15=20,90,IF(H15&gt;20,90))))))))))))))))))))))</f>
        <v>36</v>
      </c>
      <c r="H18" s="60" t="s">
        <v>2</v>
      </c>
      <c r="I18" s="28"/>
      <c r="J18" s="61"/>
      <c r="K18" s="62"/>
      <c r="L18" s="121">
        <f>IF(YEAR(Dia_Admissao)&lt;&gt;(YEAR(Dia_Demissão)),0,1)</f>
        <v>0</v>
      </c>
      <c r="M18" s="121"/>
      <c r="N18" s="131" t="s">
        <v>19</v>
      </c>
      <c r="O18" s="121"/>
      <c r="P18" s="121"/>
      <c r="Q18" s="121"/>
      <c r="R18" s="121"/>
      <c r="S18" s="121"/>
      <c r="T18" s="121"/>
      <c r="U18" s="121"/>
      <c r="V18" s="121"/>
      <c r="W18" s="121"/>
      <c r="X18" s="123"/>
      <c r="Y18" s="123"/>
      <c r="Z18" s="123"/>
      <c r="AA18" s="123"/>
      <c r="AB18" s="123"/>
      <c r="AC18" s="124"/>
      <c r="AD18" s="124"/>
      <c r="AE18" s="124"/>
      <c r="AF18" s="125"/>
      <c r="AG18" s="124"/>
      <c r="AH18" s="124"/>
      <c r="AI18" s="124"/>
    </row>
    <row r="19" spans="1:44">
      <c r="A19" s="15"/>
      <c r="B19" s="43" t="s">
        <v>25</v>
      </c>
      <c r="C19" s="63" t="s">
        <v>7</v>
      </c>
      <c r="D19" s="64">
        <f>IF(Motivo_Dispensa="por justa causa",0,Salario_Total/12*G19)</f>
        <v>788</v>
      </c>
      <c r="E19" s="58" t="s">
        <v>7</v>
      </c>
      <c r="F19" s="59" t="s">
        <v>26</v>
      </c>
      <c r="G19" s="171">
        <f>IF(YEAR(Dia_Admissao)&lt;&gt;(YEAR(Dia_Demissão)),IF(DAY(Dia_Demissão)&gt;=15,MONTH(Dia_Demissão),MONTH(Dia_Demissão)-1),M19)</f>
        <v>12</v>
      </c>
      <c r="H19" s="60" t="s">
        <v>27</v>
      </c>
      <c r="I19" s="28"/>
      <c r="J19" s="61"/>
      <c r="K19" s="62"/>
      <c r="L19" s="132">
        <f>IF(YEAR(Dia_Admissao)&lt;&gt;(YEAR(Dia_Demissão)),IF(DAY(Dia_Demissão)&gt;=15,MONTH(Dia_Demissão),MONTH(Dia_Demissão)-1),M19)</f>
        <v>12</v>
      </c>
      <c r="M19" s="121">
        <f>IF(Dias_Inteiro&gt;=15,Meses_Inteiros+1,Meses_Inteiros)</f>
        <v>35</v>
      </c>
      <c r="N19" s="131" t="s">
        <v>28</v>
      </c>
      <c r="O19" s="122"/>
      <c r="P19" s="121"/>
      <c r="Q19" s="121"/>
      <c r="R19" s="121"/>
      <c r="S19" s="121"/>
      <c r="T19" s="121"/>
      <c r="U19" s="121"/>
      <c r="V19" s="121"/>
      <c r="W19" s="121"/>
      <c r="X19" s="123"/>
      <c r="Y19" s="123"/>
      <c r="Z19" s="123"/>
      <c r="AA19" s="123"/>
      <c r="AB19" s="123"/>
      <c r="AC19" s="124"/>
      <c r="AD19" s="124"/>
      <c r="AE19" s="124"/>
      <c r="AF19" s="125"/>
      <c r="AG19" s="124"/>
      <c r="AH19" s="124"/>
      <c r="AI19" s="124"/>
    </row>
    <row r="20" spans="1:44">
      <c r="A20" s="15"/>
      <c r="B20" s="43" t="s">
        <v>29</v>
      </c>
      <c r="C20" s="63" t="s">
        <v>7</v>
      </c>
      <c r="D20" s="64">
        <f>IF(Valor_Av.Previo=0,0,Salario_Total/12)</f>
        <v>0</v>
      </c>
      <c r="E20" s="58" t="s">
        <v>7</v>
      </c>
      <c r="F20" s="59" t="s">
        <v>26</v>
      </c>
      <c r="G20" s="171">
        <f>IF(Valor_Av.Previo=0,0,1)</f>
        <v>0</v>
      </c>
      <c r="H20" s="60" t="s">
        <v>27</v>
      </c>
      <c r="I20" s="28"/>
      <c r="J20" s="61"/>
      <c r="K20" s="62"/>
      <c r="L20" s="121"/>
      <c r="M20" s="121"/>
      <c r="N20" s="131"/>
      <c r="O20" s="122"/>
      <c r="P20" s="121"/>
      <c r="Q20" s="121"/>
      <c r="R20" s="121"/>
      <c r="S20" s="121"/>
      <c r="T20" s="121"/>
      <c r="U20" s="121"/>
      <c r="V20" s="121"/>
      <c r="W20" s="121"/>
      <c r="X20" s="123"/>
      <c r="Y20" s="123"/>
      <c r="Z20" s="123"/>
      <c r="AA20" s="123"/>
      <c r="AB20" s="123"/>
      <c r="AC20" s="124"/>
      <c r="AD20" s="124">
        <f>Salario_Total/12*AD21</f>
        <v>131.33333333333334</v>
      </c>
      <c r="AE20" s="124"/>
      <c r="AF20" s="125"/>
      <c r="AG20" s="124"/>
      <c r="AH20" s="124"/>
      <c r="AI20" s="124"/>
    </row>
    <row r="21" spans="1:44">
      <c r="A21" s="15"/>
      <c r="B21" s="43" t="s">
        <v>30</v>
      </c>
      <c r="C21" s="63" t="s">
        <v>7</v>
      </c>
      <c r="D21" s="64">
        <f>IF(Quant.Ferias_Int&lt;=0,0,IF(Quant.Ferias_Int=1,Salario_Total,(Quant.Ferias_Int-1)*2*Salario_Total+Salario_Total))</f>
        <v>788</v>
      </c>
      <c r="E21" s="58" t="s">
        <v>7</v>
      </c>
      <c r="F21" s="59" t="s">
        <v>26</v>
      </c>
      <c r="G21" s="171">
        <f>IF(Quant.Ferias_Int&lt;=0,0,Quant.Ferias_Int)</f>
        <v>1</v>
      </c>
      <c r="H21" s="60" t="s">
        <v>31</v>
      </c>
      <c r="I21" s="28"/>
      <c r="J21" s="61"/>
      <c r="K21" s="62"/>
      <c r="L21" s="121"/>
      <c r="M21" s="121"/>
      <c r="N21" s="122">
        <f>Anos_Inteiro-Quant.Ferias</f>
        <v>1</v>
      </c>
      <c r="O21" s="121"/>
      <c r="P21" s="121"/>
      <c r="Q21" s="121"/>
      <c r="R21" s="121"/>
      <c r="S21" s="121"/>
      <c r="T21" s="121"/>
      <c r="U21" s="121"/>
      <c r="V21" s="121"/>
      <c r="W21" s="121"/>
      <c r="X21" s="123"/>
      <c r="Y21" s="123"/>
      <c r="Z21" s="123"/>
      <c r="AA21" s="123"/>
      <c r="AB21" s="123"/>
      <c r="AC21" s="124"/>
      <c r="AD21" s="124">
        <v>2</v>
      </c>
      <c r="AE21" s="124" t="s">
        <v>76</v>
      </c>
      <c r="AF21" s="125"/>
      <c r="AG21" s="124"/>
      <c r="AH21" s="124"/>
      <c r="AI21" s="124"/>
    </row>
    <row r="22" spans="1:44">
      <c r="A22" s="15"/>
      <c r="B22" s="43" t="s">
        <v>32</v>
      </c>
      <c r="C22" s="63" t="s">
        <v>7</v>
      </c>
      <c r="D22" s="64">
        <f>(Salario_Total/12*G22)</f>
        <v>788</v>
      </c>
      <c r="E22" s="58" t="s">
        <v>7</v>
      </c>
      <c r="F22" s="59" t="s">
        <v>26</v>
      </c>
      <c r="G22" s="171">
        <f>IF(Motivo_Dispensa="por justa causa",0,Prop.Ferias_Avos)+AD22</f>
        <v>12</v>
      </c>
      <c r="H22" s="60" t="s">
        <v>27</v>
      </c>
      <c r="I22" s="65"/>
      <c r="J22" s="66"/>
      <c r="K22" s="67"/>
      <c r="L22" s="133">
        <f>IF(Motivo_Dispensa="por justa causa",0,(IF(Quant.Ferias&gt;No.Anos,0,Salario_Total/12*O22)))</f>
        <v>0</v>
      </c>
      <c r="M22" s="132">
        <f>IF(No.Dias&lt;360,IF(Motivo_Dispensa="pedido dispensa",0,Prop.Ferias_Avos),Prop.Ferias_Avos)</f>
        <v>11</v>
      </c>
      <c r="N22" s="132">
        <f>IF(AND(No.Dias&lt;360,Motivo_Dispensa="pedido dispensa"),0,IF(Motivo_Dispensa="por justa causa",0,Prop.Ferias_Avos))</f>
        <v>11</v>
      </c>
      <c r="O22" s="121"/>
      <c r="P22" s="121"/>
      <c r="Q22" s="121"/>
      <c r="R22" s="121"/>
      <c r="S22" s="121"/>
      <c r="T22" s="121"/>
      <c r="U22" s="121"/>
      <c r="V22" s="121"/>
      <c r="W22" s="121"/>
      <c r="X22" s="123"/>
      <c r="Y22" s="123"/>
      <c r="Z22" s="123"/>
      <c r="AA22" s="123"/>
      <c r="AB22" s="123"/>
      <c r="AC22" s="124"/>
      <c r="AD22" s="124">
        <v>1</v>
      </c>
      <c r="AE22" s="124" t="s">
        <v>21</v>
      </c>
      <c r="AF22" s="125"/>
      <c r="AG22" s="124"/>
      <c r="AH22" s="124"/>
      <c r="AI22" s="124"/>
    </row>
    <row r="23" spans="1:44">
      <c r="A23" s="15"/>
      <c r="B23" s="43" t="s">
        <v>33</v>
      </c>
      <c r="C23" s="63" t="s">
        <v>7</v>
      </c>
      <c r="D23" s="64">
        <f>(Valor_Ferias_Int+Valor_Ferias_Prop)/3</f>
        <v>525.33333333333337</v>
      </c>
      <c r="E23" s="58"/>
      <c r="F23" s="59"/>
      <c r="G23" s="172"/>
      <c r="H23" s="60"/>
      <c r="I23" s="28"/>
      <c r="J23" s="61"/>
      <c r="K23" s="62"/>
      <c r="L23" s="121"/>
      <c r="M23" s="121"/>
      <c r="N23" s="121"/>
      <c r="O23" s="134"/>
      <c r="P23" s="121"/>
      <c r="Q23" s="121"/>
      <c r="R23" s="121"/>
      <c r="S23" s="121"/>
      <c r="T23" s="121"/>
      <c r="U23" s="121"/>
      <c r="V23" s="121"/>
      <c r="W23" s="121"/>
      <c r="X23" s="123"/>
      <c r="Y23" s="123"/>
      <c r="Z23" s="123"/>
      <c r="AA23" s="123"/>
      <c r="AB23" s="123"/>
      <c r="AC23" s="124"/>
      <c r="AD23" s="124"/>
      <c r="AE23" s="124"/>
      <c r="AF23" s="125"/>
      <c r="AG23" s="124"/>
      <c r="AH23" s="124"/>
      <c r="AI23" s="124"/>
    </row>
    <row r="24" spans="1:44">
      <c r="A24" s="15"/>
      <c r="B24" s="43" t="s">
        <v>34</v>
      </c>
      <c r="C24" s="63" t="s">
        <v>7</v>
      </c>
      <c r="D24" s="64">
        <f>Salario_Total/30*G24</f>
        <v>788</v>
      </c>
      <c r="E24" s="58" t="s">
        <v>7</v>
      </c>
      <c r="F24" s="59" t="s">
        <v>26</v>
      </c>
      <c r="G24" s="173">
        <f>IF(DAY(Dia_Demissão)&lt;=30,DAY(Dia_Demissão),30)</f>
        <v>30</v>
      </c>
      <c r="H24" s="60" t="s">
        <v>35</v>
      </c>
      <c r="I24" s="65"/>
      <c r="J24" s="66"/>
      <c r="K24" s="67"/>
      <c r="L24" s="135">
        <f>IF(DAY(Dia_Demissão)&lt;=30,DAY(Dia_Demissão),30)</f>
        <v>30</v>
      </c>
      <c r="M24" s="121" t="b">
        <f>IF(YEAR(Dia_Admissao)=(YEAR(Dia_Demissão)),IF(MONTH(Dia_Admissao)&lt;&gt;(MONTH(Dia_Demissão)),IF(DAY(Dia_Demissão)&lt;=30,DAY(Dia_Demissão),30),No.Dias))</f>
        <v>0</v>
      </c>
      <c r="N24" s="136" t="str">
        <f>IF(Dias_Inteiro&gt;14,1,"0")</f>
        <v>0</v>
      </c>
      <c r="O24" s="122">
        <f>Meses_Inteiro+Dias_1.12_Avos+Av.Previo_1.12_Avos</f>
        <v>11</v>
      </c>
      <c r="P24" s="121">
        <f>IF(Valor_Av.Previo=0,0,1)</f>
        <v>0</v>
      </c>
      <c r="Q24" s="121"/>
      <c r="R24" s="121"/>
      <c r="S24" s="121"/>
      <c r="T24" s="121"/>
      <c r="U24" s="121"/>
      <c r="V24" s="121"/>
      <c r="W24" s="121"/>
      <c r="X24" s="123"/>
      <c r="Y24" s="123"/>
      <c r="Z24" s="123"/>
      <c r="AA24" s="123"/>
      <c r="AB24" s="123"/>
      <c r="AC24" s="124"/>
      <c r="AD24" s="124"/>
      <c r="AE24" s="124"/>
      <c r="AF24" s="125"/>
      <c r="AG24" s="124"/>
      <c r="AH24" s="124"/>
      <c r="AI24" s="124"/>
    </row>
    <row r="25" spans="1:44">
      <c r="A25" s="15"/>
      <c r="B25" s="43" t="s">
        <v>36</v>
      </c>
      <c r="C25" s="63" t="s">
        <v>7</v>
      </c>
      <c r="D25" s="64">
        <f>(Salario_Total-D11)*H15*G25</f>
        <v>0</v>
      </c>
      <c r="E25" s="58" t="s">
        <v>7</v>
      </c>
      <c r="F25" s="59" t="s">
        <v>37</v>
      </c>
      <c r="G25" s="174" t="b">
        <f>IF(H15&gt;20,0.7,IF(H15&gt;=15,0.6,IF(H15&gt;=10,0.5)))</f>
        <v>0</v>
      </c>
      <c r="H25" s="60" t="s">
        <v>80</v>
      </c>
      <c r="I25" s="69"/>
      <c r="J25" s="61"/>
      <c r="K25" s="62"/>
      <c r="L25" s="121">
        <f>IF(YEAR(Dia_Admissao)=(YEAR(Dia_Demissão)),0,1)</f>
        <v>1</v>
      </c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3"/>
      <c r="Y25" s="123"/>
      <c r="Z25" s="123"/>
      <c r="AA25" s="123"/>
      <c r="AB25" s="123"/>
      <c r="AC25" s="124"/>
      <c r="AD25" s="124"/>
      <c r="AE25" s="124"/>
      <c r="AF25" s="125"/>
      <c r="AG25" s="124"/>
      <c r="AH25" s="124"/>
      <c r="AI25" s="124"/>
    </row>
    <row r="26" spans="1:44">
      <c r="A26" s="15"/>
      <c r="B26" s="43" t="s">
        <v>38</v>
      </c>
      <c r="C26" s="63" t="s">
        <v>7</v>
      </c>
      <c r="D26" s="68">
        <v>0</v>
      </c>
      <c r="E26" s="58" t="s">
        <v>7</v>
      </c>
      <c r="F26" s="59" t="s">
        <v>39</v>
      </c>
      <c r="G26" s="70"/>
      <c r="H26" s="60"/>
      <c r="I26" s="28"/>
      <c r="J26" s="61"/>
      <c r="K26" s="62"/>
      <c r="L26" s="121">
        <f>IF(MONTH(Dia_Admissao)=(MONTH(Dia_Demissão)),0,1)</f>
        <v>1</v>
      </c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3"/>
      <c r="Y26" s="123"/>
      <c r="Z26" s="123"/>
      <c r="AA26" s="123"/>
      <c r="AB26" s="123"/>
      <c r="AC26" s="124"/>
      <c r="AD26" s="124"/>
      <c r="AE26" s="124"/>
      <c r="AF26" s="125"/>
      <c r="AG26" s="124"/>
      <c r="AH26" s="124"/>
      <c r="AI26" s="124"/>
    </row>
    <row r="27" spans="1:44">
      <c r="A27" s="15"/>
      <c r="B27" s="43" t="s">
        <v>40</v>
      </c>
      <c r="C27" s="63" t="s">
        <v>7</v>
      </c>
      <c r="D27" s="68">
        <v>0</v>
      </c>
      <c r="E27" s="58" t="s">
        <v>7</v>
      </c>
      <c r="F27" s="59" t="s">
        <v>41</v>
      </c>
      <c r="G27" s="70"/>
      <c r="H27" s="60"/>
      <c r="I27" s="28"/>
      <c r="J27" s="61"/>
      <c r="K27" s="62"/>
      <c r="L27" s="121">
        <f>IF(DAY(Dia_Demissão)&lt;=30,DAY(Dia_Demissão),30)</f>
        <v>30</v>
      </c>
      <c r="M27" s="121" t="b">
        <f>IF(L25=EL26=0,No.Dias)</f>
        <v>0</v>
      </c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3"/>
      <c r="Y27" s="123"/>
      <c r="Z27" s="123"/>
      <c r="AA27" s="123"/>
      <c r="AB27" s="123"/>
      <c r="AC27" s="124"/>
      <c r="AD27" s="124"/>
      <c r="AE27" s="124"/>
      <c r="AF27" s="125"/>
      <c r="AG27" s="124"/>
      <c r="AH27" s="124"/>
      <c r="AI27" s="124"/>
    </row>
    <row r="28" spans="1:44">
      <c r="A28" s="15"/>
      <c r="B28" s="43"/>
      <c r="C28" s="63"/>
      <c r="D28" s="71" t="s">
        <v>42</v>
      </c>
      <c r="E28" s="28"/>
      <c r="F28" s="72"/>
      <c r="G28" s="28"/>
      <c r="H28" s="28"/>
      <c r="I28" s="28"/>
      <c r="J28" s="61"/>
      <c r="K28" s="62"/>
      <c r="L28" s="121">
        <f>IF(YEAR(Dia_Admissao)&lt;&gt;(YEAR(Dia_Demissão)),IF(DAY(Dia_Demissão)&lt;=30,DAY(Dia_Demissão),30))</f>
        <v>30</v>
      </c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3"/>
      <c r="Y28" s="123"/>
      <c r="Z28" s="123"/>
      <c r="AA28" s="123"/>
      <c r="AB28" s="123"/>
      <c r="AC28" s="124"/>
      <c r="AD28" s="124"/>
      <c r="AE28" s="124"/>
      <c r="AF28" s="125"/>
      <c r="AG28" s="124"/>
      <c r="AH28" s="124"/>
      <c r="AI28" s="124"/>
    </row>
    <row r="29" spans="1:44" ht="16.5" thickBot="1">
      <c r="A29" s="15"/>
      <c r="B29" s="73" t="s">
        <v>43</v>
      </c>
      <c r="C29" s="74" t="s">
        <v>7</v>
      </c>
      <c r="D29" s="75">
        <f>SUM(D18:D27)</f>
        <v>3677.3333333333335</v>
      </c>
      <c r="E29" s="28"/>
      <c r="F29" s="76"/>
      <c r="G29" s="28"/>
      <c r="H29" s="28"/>
      <c r="I29" s="28"/>
      <c r="J29" s="61"/>
      <c r="K29" s="62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3"/>
      <c r="Y29" s="123"/>
      <c r="Z29" s="123"/>
      <c r="AA29" s="123"/>
      <c r="AB29" s="123"/>
      <c r="AC29" s="124"/>
      <c r="AD29" s="124"/>
      <c r="AE29" s="124"/>
      <c r="AF29" s="125">
        <f>Salario_Total*8%*2</f>
        <v>126.08</v>
      </c>
      <c r="AG29" s="124"/>
      <c r="AH29" s="124"/>
      <c r="AI29" s="124"/>
    </row>
    <row r="30" spans="1:44" ht="18.75" customHeight="1" thickTop="1" thickBot="1">
      <c r="A30" s="15"/>
      <c r="B30" s="180" t="s">
        <v>44</v>
      </c>
      <c r="C30" s="181"/>
      <c r="D30" s="182"/>
      <c r="E30" s="77"/>
      <c r="F30" s="77"/>
      <c r="G30" s="77"/>
      <c r="H30" s="77"/>
      <c r="I30" s="28"/>
      <c r="J30" s="61"/>
      <c r="K30" s="62"/>
      <c r="L30" s="121"/>
      <c r="M30" s="121"/>
      <c r="N30" s="121">
        <f>IF(Salario_Base&lt;=360,Salario_Base*8%,IF(Salario_Base&lt;=600,Salario_Base*9%,IF(Salario_Base&lt;=1200,Salario_Base*11%,IF(Salario_Base&gt;1200,1200*11%))))</f>
        <v>86.68</v>
      </c>
      <c r="O30" s="121"/>
      <c r="P30" s="121"/>
      <c r="Q30" s="121"/>
      <c r="R30" s="121"/>
      <c r="S30" s="121"/>
      <c r="T30" s="121"/>
      <c r="U30" s="121"/>
      <c r="V30" s="121"/>
      <c r="W30" s="121"/>
      <c r="X30" s="196" t="s">
        <v>45</v>
      </c>
      <c r="Y30" s="196"/>
      <c r="Z30" s="196"/>
      <c r="AA30" s="123"/>
      <c r="AB30" s="123"/>
      <c r="AC30" s="124"/>
      <c r="AD30" s="124"/>
      <c r="AE30" s="124"/>
      <c r="AF30" s="149">
        <f>Valor_Av.Previo+Valor_13o.+Valor_13o.Ind+Saldo_Salario</f>
        <v>1576</v>
      </c>
      <c r="AG30" s="124"/>
      <c r="AH30" s="124"/>
      <c r="AI30" s="124"/>
      <c r="AR30" s="148"/>
    </row>
    <row r="31" spans="1:44" ht="16.5" thickTop="1">
      <c r="A31" s="15"/>
      <c r="B31" s="16" t="s">
        <v>46</v>
      </c>
      <c r="C31" s="78" t="s">
        <v>7</v>
      </c>
      <c r="D31" s="79">
        <f>IF(Valor_13o.&lt;=X32,(Valor_13o.)*I32,IF(Valor_13o.&lt;=X33,(Valor_13o.)*I33,IF(Valor_13o.&lt;=X34,(Valor_13o.)*I34,IF(Valor_13o.&lt;=X35,(Valor_13o.)*I35,IF(Valor_13o.&gt;=X35,I36)))))</f>
        <v>63.04</v>
      </c>
      <c r="E31" s="28"/>
      <c r="F31" s="197" t="s">
        <v>47</v>
      </c>
      <c r="G31" s="198"/>
      <c r="H31" s="198"/>
      <c r="I31" s="199"/>
      <c r="J31" s="80"/>
      <c r="K31" s="62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37" t="s">
        <v>48</v>
      </c>
      <c r="Y31" s="138" t="s">
        <v>49</v>
      </c>
      <c r="Z31" s="123"/>
      <c r="AA31" s="123"/>
      <c r="AB31" s="123"/>
      <c r="AC31" s="124"/>
      <c r="AD31" s="124"/>
      <c r="AE31" s="124"/>
      <c r="AF31" s="151">
        <f>AF30*8%</f>
        <v>126.08</v>
      </c>
      <c r="AG31" s="124"/>
      <c r="AH31" s="124"/>
      <c r="AI31" s="124"/>
    </row>
    <row r="32" spans="1:44">
      <c r="A32" s="15"/>
      <c r="B32" s="43" t="s">
        <v>50</v>
      </c>
      <c r="C32" s="63" t="s">
        <v>7</v>
      </c>
      <c r="D32" s="81">
        <f>IF(Saldo_Salario+D26&lt;=X32,(Saldo_Salario+D26)*I32,IF(Saldo_Salario+D26&lt;=X33,(Saldo_Salario+D26)*I33,IF(Saldo_Salario+D26&lt;=X34,(Saldo_Salario+D26)*I34,IF(Saldo_Salario+D26&lt;=X35,(Saldo_Salario+D26)*I35,IF(Saldo_Salario+D26&gt;=X35,I36)))))</f>
        <v>63.04</v>
      </c>
      <c r="E32" s="28"/>
      <c r="F32" s="200" t="s">
        <v>51</v>
      </c>
      <c r="G32" s="201"/>
      <c r="H32" s="82" t="str">
        <f>CONCATENATE(X38,X32,X40,X37)</f>
        <v>Até  1399,12  =&gt;</v>
      </c>
      <c r="I32" s="83">
        <f>Y32</f>
        <v>0.08</v>
      </c>
      <c r="J32" s="84"/>
      <c r="K32" s="62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39">
        <v>1399.12</v>
      </c>
      <c r="Y32" s="140">
        <v>0.08</v>
      </c>
      <c r="Z32" s="123"/>
      <c r="AA32" s="123"/>
      <c r="AB32" s="123"/>
      <c r="AC32" s="124"/>
      <c r="AD32" s="124"/>
      <c r="AE32" s="124"/>
      <c r="AF32" s="152">
        <v>43216.17</v>
      </c>
      <c r="AG32" s="124"/>
      <c r="AH32" s="124"/>
      <c r="AI32" s="124"/>
    </row>
    <row r="33" spans="1:35">
      <c r="A33" s="15"/>
      <c r="B33" s="85" t="s">
        <v>23</v>
      </c>
      <c r="C33" s="63" t="s">
        <v>7</v>
      </c>
      <c r="D33" s="160">
        <v>0</v>
      </c>
      <c r="E33" s="28"/>
      <c r="F33" s="202"/>
      <c r="G33" s="203"/>
      <c r="H33" s="82" t="str">
        <f>CONCATENATE(X38,X33,X40,X37)</f>
        <v>Até  2331,88  =&gt;</v>
      </c>
      <c r="I33" s="83">
        <f>Y33</f>
        <v>0.09</v>
      </c>
      <c r="J33" s="84"/>
      <c r="K33" s="62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39">
        <v>2331.88</v>
      </c>
      <c r="Y33" s="140">
        <v>0.09</v>
      </c>
      <c r="Z33" s="123"/>
      <c r="AA33" s="123"/>
      <c r="AB33" s="123"/>
      <c r="AC33" s="124"/>
      <c r="AD33" s="124"/>
      <c r="AE33" s="124"/>
      <c r="AF33" s="149">
        <f>AF31+AF32+AF29</f>
        <v>43468.33</v>
      </c>
      <c r="AG33" s="124"/>
      <c r="AH33" s="124"/>
      <c r="AI33" s="124"/>
    </row>
    <row r="34" spans="1:35">
      <c r="A34" s="15"/>
      <c r="B34" s="85" t="s">
        <v>52</v>
      </c>
      <c r="C34" s="63" t="s">
        <v>7</v>
      </c>
      <c r="D34" s="160">
        <v>0</v>
      </c>
      <c r="E34" s="28"/>
      <c r="F34" s="202"/>
      <c r="G34" s="203"/>
      <c r="H34" s="82" t="str">
        <f>CONCATENATE(X38,X34,X40,X37)</f>
        <v>Até  4663,75  =&gt;</v>
      </c>
      <c r="I34" s="83">
        <f>Y34</f>
        <v>0.11</v>
      </c>
      <c r="J34" s="84"/>
      <c r="K34" s="62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39">
        <v>4663.75</v>
      </c>
      <c r="Y34" s="140">
        <v>0.11</v>
      </c>
      <c r="Z34" s="123"/>
      <c r="AA34" s="123"/>
      <c r="AB34" s="123"/>
      <c r="AC34" s="124"/>
      <c r="AD34" s="124"/>
      <c r="AE34" s="124"/>
      <c r="AF34" s="151">
        <f>AF33*40%</f>
        <v>17387.332000000002</v>
      </c>
      <c r="AG34" s="124"/>
      <c r="AH34" s="124"/>
      <c r="AI34" s="124"/>
    </row>
    <row r="35" spans="1:35">
      <c r="A35" s="15"/>
      <c r="B35" s="85" t="s">
        <v>53</v>
      </c>
      <c r="C35" s="63" t="s">
        <v>7</v>
      </c>
      <c r="D35" s="161">
        <v>0</v>
      </c>
      <c r="E35" s="28"/>
      <c r="F35" s="202"/>
      <c r="G35" s="203"/>
      <c r="H35" s="82" t="str">
        <f>CONCATENATE(X38,X35,X40,X37)</f>
        <v>Até  4663,75  =&gt;</v>
      </c>
      <c r="I35" s="83">
        <f>Y35</f>
        <v>0.11</v>
      </c>
      <c r="J35" s="86"/>
      <c r="K35" s="62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39">
        <f>X34</f>
        <v>4663.75</v>
      </c>
      <c r="Y35" s="140">
        <v>0.11</v>
      </c>
      <c r="Z35" s="123"/>
      <c r="AA35" s="123"/>
      <c r="AB35" s="123"/>
      <c r="AC35" s="124"/>
      <c r="AD35" s="124"/>
      <c r="AE35" s="124"/>
      <c r="AF35" s="125"/>
      <c r="AG35" s="124"/>
      <c r="AH35" s="124"/>
      <c r="AI35" s="124"/>
    </row>
    <row r="36" spans="1:35" ht="16.5" thickBot="1">
      <c r="A36" s="15"/>
      <c r="B36" s="87" t="s">
        <v>54</v>
      </c>
      <c r="C36" s="88" t="s">
        <v>7</v>
      </c>
      <c r="D36" s="89">
        <f>SUM(D31:D35)</f>
        <v>126.08</v>
      </c>
      <c r="E36" s="28"/>
      <c r="F36" s="204"/>
      <c r="G36" s="205"/>
      <c r="H36" s="90" t="str">
        <f>CONCATENATE(X36,X40,X35,X40,X37)</f>
        <v>Acima de  4663,75  =&gt;</v>
      </c>
      <c r="I36" s="91">
        <f>Y36</f>
        <v>513.01250000000005</v>
      </c>
      <c r="J36" s="61"/>
      <c r="K36" s="62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41" t="s">
        <v>55</v>
      </c>
      <c r="Y36" s="142">
        <f>X35*11%</f>
        <v>513.01250000000005</v>
      </c>
      <c r="Z36" s="123"/>
      <c r="AA36" s="123"/>
      <c r="AB36" s="123"/>
      <c r="AC36" s="124"/>
      <c r="AD36" s="124"/>
      <c r="AE36" s="124"/>
      <c r="AF36" s="125"/>
      <c r="AG36" s="124"/>
      <c r="AH36" s="124"/>
      <c r="AI36" s="124"/>
    </row>
    <row r="37" spans="1:35" ht="6" customHeight="1" thickTop="1" thickBot="1">
      <c r="A37" s="15"/>
      <c r="B37" s="28"/>
      <c r="C37" s="28"/>
      <c r="D37" s="28"/>
      <c r="E37" s="28"/>
      <c r="F37" s="28"/>
      <c r="G37" s="28"/>
      <c r="H37" s="28"/>
      <c r="I37" s="28"/>
      <c r="J37" s="61"/>
      <c r="K37" s="62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43" t="s">
        <v>7</v>
      </c>
      <c r="Y37" s="135"/>
      <c r="Z37" s="123"/>
      <c r="AA37" s="123"/>
      <c r="AB37" s="123"/>
      <c r="AC37" s="124"/>
      <c r="AD37" s="124"/>
      <c r="AE37" s="124"/>
      <c r="AF37" s="125"/>
      <c r="AG37" s="124"/>
      <c r="AH37" s="124"/>
      <c r="AI37" s="124"/>
    </row>
    <row r="38" spans="1:35" ht="24.75" customHeight="1" thickTop="1" thickBot="1">
      <c r="A38" s="15"/>
      <c r="B38" s="168" t="s">
        <v>78</v>
      </c>
      <c r="C38" s="162" t="s">
        <v>7</v>
      </c>
      <c r="D38" s="163">
        <f>D29-D36</f>
        <v>3551.2533333333336</v>
      </c>
      <c r="E38" s="28"/>
      <c r="F38" s="77"/>
      <c r="G38" s="28"/>
      <c r="H38" s="28"/>
      <c r="I38" s="92"/>
      <c r="J38" s="61"/>
      <c r="K38" s="62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44" t="s">
        <v>56</v>
      </c>
      <c r="Y38" s="123"/>
      <c r="Z38" s="123"/>
      <c r="AA38" s="123"/>
      <c r="AB38" s="123"/>
      <c r="AC38" s="124"/>
      <c r="AD38" s="124"/>
      <c r="AE38" s="124"/>
      <c r="AF38" s="125"/>
      <c r="AG38" s="124"/>
      <c r="AH38" s="124"/>
      <c r="AI38" s="124"/>
    </row>
    <row r="39" spans="1:35" ht="6.75" customHeight="1" thickTop="1" thickBot="1">
      <c r="A39" s="93"/>
      <c r="B39" s="94"/>
      <c r="C39" s="94"/>
      <c r="D39" s="94"/>
      <c r="E39" s="95"/>
      <c r="F39" s="96"/>
      <c r="G39" s="95"/>
      <c r="H39" s="95"/>
      <c r="I39" s="95"/>
      <c r="J39" s="97"/>
      <c r="K39" s="62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3"/>
      <c r="Y39" s="123"/>
      <c r="Z39" s="123"/>
      <c r="AA39" s="123"/>
      <c r="AB39" s="123"/>
      <c r="AC39" s="124"/>
      <c r="AD39" s="124"/>
      <c r="AE39" s="124"/>
      <c r="AF39" s="125"/>
      <c r="AG39" s="124"/>
      <c r="AH39" s="124"/>
      <c r="AI39" s="124"/>
    </row>
    <row r="40" spans="1:35" ht="21" customHeight="1" thickTop="1" thickBot="1">
      <c r="A40" s="15"/>
      <c r="B40" s="180" t="s">
        <v>0</v>
      </c>
      <c r="C40" s="181"/>
      <c r="D40" s="182"/>
      <c r="E40" s="77"/>
      <c r="F40" s="77"/>
      <c r="G40" s="28"/>
      <c r="H40" s="28"/>
      <c r="I40" s="58"/>
      <c r="J40" s="98"/>
      <c r="K40" s="99"/>
      <c r="L40" s="121"/>
      <c r="M40" s="121"/>
      <c r="N40" s="145" t="s">
        <v>57</v>
      </c>
      <c r="O40" s="121"/>
      <c r="P40" s="121"/>
      <c r="Q40" s="121"/>
      <c r="R40" s="121"/>
      <c r="S40" s="121"/>
      <c r="T40" s="121"/>
      <c r="U40" s="121"/>
      <c r="V40" s="121"/>
      <c r="W40" s="121"/>
      <c r="X40" s="146" t="s">
        <v>58</v>
      </c>
      <c r="Y40" s="123"/>
      <c r="Z40" s="123"/>
      <c r="AA40" s="123"/>
      <c r="AB40" s="123"/>
      <c r="AC40" s="124"/>
      <c r="AD40" s="124"/>
      <c r="AE40" s="124"/>
      <c r="AF40" s="125"/>
      <c r="AG40" s="124"/>
      <c r="AH40" s="124"/>
      <c r="AI40" s="124"/>
    </row>
    <row r="41" spans="1:35" ht="16.5" thickTop="1">
      <c r="A41" s="15"/>
      <c r="B41" s="16" t="s">
        <v>25</v>
      </c>
      <c r="C41" s="100" t="s">
        <v>7</v>
      </c>
      <c r="D41" s="101">
        <f>(Valor_13o.+Valor_13o.Ind)*8%</f>
        <v>63.04</v>
      </c>
      <c r="E41" s="58" t="s">
        <v>7</v>
      </c>
      <c r="F41" s="60" t="s">
        <v>59</v>
      </c>
      <c r="G41" s="178" t="str">
        <f>CONCATENATE(ROUND(N41,2),N40)</f>
        <v>788  x  8%</v>
      </c>
      <c r="H41" s="178"/>
      <c r="I41" s="58"/>
      <c r="J41" s="98"/>
      <c r="K41" s="102"/>
      <c r="L41" s="121"/>
      <c r="M41" s="121"/>
      <c r="N41" s="147">
        <f>Valor_13o.+Valor_13o.Ind</f>
        <v>788</v>
      </c>
      <c r="O41" s="121"/>
      <c r="P41" s="121"/>
      <c r="Q41" s="121"/>
      <c r="R41" s="121"/>
      <c r="S41" s="121"/>
      <c r="T41" s="121"/>
      <c r="U41" s="121"/>
      <c r="V41" s="121"/>
      <c r="W41" s="121"/>
      <c r="X41" s="123"/>
      <c r="Y41" s="123"/>
      <c r="Z41" s="123"/>
      <c r="AA41" s="123"/>
      <c r="AB41" s="123"/>
      <c r="AC41" s="124"/>
      <c r="AD41" s="124"/>
      <c r="AE41" s="124"/>
      <c r="AF41" s="125"/>
      <c r="AG41" s="124"/>
      <c r="AH41" s="124"/>
      <c r="AI41" s="124"/>
    </row>
    <row r="42" spans="1:35">
      <c r="A42" s="15"/>
      <c r="B42" s="43" t="s">
        <v>60</v>
      </c>
      <c r="C42" s="103" t="s">
        <v>7</v>
      </c>
      <c r="D42" s="81">
        <f>(Saldo_Salario+D26)*8%</f>
        <v>63.04</v>
      </c>
      <c r="E42" s="58" t="s">
        <v>7</v>
      </c>
      <c r="F42" s="60" t="s">
        <v>59</v>
      </c>
      <c r="G42" s="178" t="str">
        <f>CONCATENATE(ROUND(N42,2),N40)</f>
        <v>788  x  8%</v>
      </c>
      <c r="H42" s="178"/>
      <c r="I42" s="58"/>
      <c r="J42" s="98"/>
      <c r="K42" s="102"/>
      <c r="L42" s="121"/>
      <c r="M42" s="121"/>
      <c r="N42" s="147">
        <f>Saldo_Salario</f>
        <v>788</v>
      </c>
      <c r="O42" s="121"/>
      <c r="P42" s="121"/>
      <c r="Q42" s="121"/>
      <c r="R42" s="121"/>
      <c r="S42" s="121"/>
      <c r="T42" s="121"/>
      <c r="U42" s="121"/>
      <c r="V42" s="121"/>
      <c r="W42" s="121"/>
      <c r="X42" s="123"/>
      <c r="Y42" s="123"/>
      <c r="Z42" s="123"/>
      <c r="AA42" s="123"/>
      <c r="AB42" s="123"/>
      <c r="AC42" s="124"/>
      <c r="AD42" s="124"/>
      <c r="AE42" s="124"/>
      <c r="AF42" s="125"/>
      <c r="AG42" s="124"/>
      <c r="AH42" s="124"/>
      <c r="AI42" s="124"/>
    </row>
    <row r="43" spans="1:35">
      <c r="A43" s="15"/>
      <c r="B43" s="43" t="s">
        <v>61</v>
      </c>
      <c r="C43" s="103" t="s">
        <v>7</v>
      </c>
      <c r="D43" s="81">
        <f>Valor_Av.Previo*8%</f>
        <v>0</v>
      </c>
      <c r="E43" s="58" t="s">
        <v>7</v>
      </c>
      <c r="F43" s="60" t="s">
        <v>59</v>
      </c>
      <c r="G43" s="178" t="str">
        <f>CONCATENATE(ROUND(N43,2),N40)</f>
        <v>0  x  8%</v>
      </c>
      <c r="H43" s="178"/>
      <c r="I43" s="58"/>
      <c r="J43" s="98"/>
      <c r="K43" s="102"/>
      <c r="L43" s="121"/>
      <c r="M43" s="121"/>
      <c r="N43" s="147">
        <f>Valor_Av.Previo</f>
        <v>0</v>
      </c>
      <c r="O43" s="121"/>
      <c r="P43" s="121"/>
      <c r="Q43" s="121"/>
      <c r="R43" s="121"/>
      <c r="S43" s="121"/>
      <c r="T43" s="121"/>
      <c r="U43" s="121"/>
      <c r="V43" s="121"/>
      <c r="W43" s="121"/>
      <c r="X43" s="123"/>
      <c r="Y43" s="123"/>
      <c r="Z43" s="123"/>
      <c r="AA43" s="123"/>
      <c r="AB43" s="123"/>
      <c r="AC43" s="124"/>
      <c r="AD43" s="124"/>
      <c r="AE43" s="124"/>
      <c r="AF43" s="125"/>
      <c r="AG43" s="124"/>
      <c r="AH43" s="124"/>
      <c r="AI43" s="124"/>
    </row>
    <row r="44" spans="1:35">
      <c r="A44" s="15"/>
      <c r="B44" s="43" t="s">
        <v>62</v>
      </c>
      <c r="C44" s="103" t="s">
        <v>7</v>
      </c>
      <c r="D44" s="81">
        <v>0</v>
      </c>
      <c r="E44" s="58" t="s">
        <v>7</v>
      </c>
      <c r="F44" s="60" t="s">
        <v>63</v>
      </c>
      <c r="G44" s="58"/>
      <c r="H44" s="58"/>
      <c r="I44" s="58"/>
      <c r="J44" s="98"/>
      <c r="K44" s="102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3"/>
      <c r="Y44" s="123"/>
      <c r="Z44" s="123"/>
      <c r="AA44" s="123"/>
      <c r="AB44" s="123"/>
      <c r="AC44" s="124"/>
      <c r="AD44" s="124"/>
      <c r="AE44" s="124"/>
      <c r="AF44" s="125"/>
      <c r="AG44" s="124"/>
      <c r="AH44" s="124"/>
      <c r="AI44" s="124"/>
    </row>
    <row r="45" spans="1:35">
      <c r="A45" s="15"/>
      <c r="B45" s="43" t="s">
        <v>64</v>
      </c>
      <c r="C45" s="103" t="s">
        <v>7</v>
      </c>
      <c r="D45" s="160" t="s">
        <v>81</v>
      </c>
      <c r="E45" s="58" t="s">
        <v>7</v>
      </c>
      <c r="F45" s="60" t="s">
        <v>65</v>
      </c>
      <c r="G45" s="58"/>
      <c r="H45" s="58"/>
      <c r="I45" s="58"/>
      <c r="J45" s="98"/>
      <c r="K45" s="102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3"/>
      <c r="Y45" s="123"/>
      <c r="Z45" s="123"/>
      <c r="AA45" s="123"/>
      <c r="AB45" s="123"/>
      <c r="AC45" s="124"/>
      <c r="AD45" s="124"/>
      <c r="AE45" s="124"/>
      <c r="AF45" s="125"/>
      <c r="AG45" s="124"/>
      <c r="AH45" s="124"/>
      <c r="AI45" s="124"/>
    </row>
    <row r="46" spans="1:35">
      <c r="A46" s="15"/>
      <c r="B46" s="43" t="s">
        <v>66</v>
      </c>
      <c r="C46" s="103" t="s">
        <v>7</v>
      </c>
      <c r="D46" s="160">
        <v>0</v>
      </c>
      <c r="E46" s="58" t="s">
        <v>7</v>
      </c>
      <c r="F46" s="60" t="s">
        <v>67</v>
      </c>
      <c r="G46" s="58"/>
      <c r="H46" s="58"/>
      <c r="I46" s="58"/>
      <c r="J46" s="98"/>
      <c r="K46" s="102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3"/>
      <c r="Y46" s="123"/>
      <c r="Z46" s="123"/>
      <c r="AA46" s="123"/>
      <c r="AB46" s="123"/>
      <c r="AC46" s="124"/>
      <c r="AD46" s="124"/>
      <c r="AE46" s="124"/>
      <c r="AF46" s="125"/>
      <c r="AG46" s="124"/>
      <c r="AH46" s="124"/>
      <c r="AI46" s="124"/>
    </row>
    <row r="47" spans="1:35">
      <c r="A47" s="15"/>
      <c r="B47" s="43"/>
      <c r="C47" s="103"/>
      <c r="D47" s="104" t="s">
        <v>42</v>
      </c>
      <c r="E47" s="58"/>
      <c r="F47" s="58"/>
      <c r="G47" s="58"/>
      <c r="H47" s="58"/>
      <c r="I47" s="58"/>
      <c r="J47" s="98"/>
      <c r="K47" s="102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3"/>
      <c r="Y47" s="123"/>
      <c r="Z47" s="123"/>
      <c r="AA47" s="123"/>
      <c r="AB47" s="123"/>
      <c r="AC47" s="124"/>
      <c r="AD47" s="124"/>
      <c r="AE47" s="124"/>
      <c r="AF47" s="125"/>
      <c r="AG47" s="124"/>
      <c r="AH47" s="124"/>
      <c r="AI47" s="124"/>
    </row>
    <row r="48" spans="1:35">
      <c r="A48" s="15"/>
      <c r="B48" s="43" t="s">
        <v>68</v>
      </c>
      <c r="C48" s="103" t="s">
        <v>7</v>
      </c>
      <c r="D48" s="81">
        <f>SUM(D41:D47)</f>
        <v>126.08</v>
      </c>
      <c r="E48" s="58" t="s">
        <v>7</v>
      </c>
      <c r="F48" s="59" t="s">
        <v>69</v>
      </c>
      <c r="G48" s="58"/>
      <c r="H48" s="58"/>
      <c r="I48" s="58"/>
      <c r="J48" s="98"/>
      <c r="K48" s="102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3"/>
      <c r="Y48" s="123"/>
      <c r="Z48" s="123"/>
      <c r="AA48" s="123"/>
      <c r="AB48" s="123"/>
      <c r="AC48" s="124"/>
      <c r="AD48" s="124"/>
      <c r="AE48" s="124"/>
      <c r="AF48" s="125"/>
      <c r="AG48" s="124"/>
      <c r="AH48" s="124"/>
      <c r="AI48" s="124"/>
    </row>
    <row r="49" spans="1:35" ht="16.5" thickBot="1">
      <c r="A49" s="15"/>
      <c r="B49" s="30" t="s">
        <v>70</v>
      </c>
      <c r="C49" s="105" t="s">
        <v>7</v>
      </c>
      <c r="D49" s="106">
        <f>IF(Motivo_Dispensa="sem justa causa",Total_FGTS*50%)</f>
        <v>63.04</v>
      </c>
      <c r="E49" s="58" t="s">
        <v>7</v>
      </c>
      <c r="F49" s="107" t="str">
        <f>IF(Motivo_Dispensa="Pedido Dispensa","Pedido de Dispensa não dá Direito à multa 50% FGTS",IF(Motivo_Dispensa="sem justa causa","Valor da Multa dos 50% sobre o FGTS","Este Motivo de Dispensa não dá Direio à Multa 50%") )</f>
        <v>Valor da Multa dos 50% sobre o FGTS</v>
      </c>
      <c r="G49" s="58"/>
      <c r="H49" s="58"/>
      <c r="I49" s="28"/>
      <c r="J49" s="61"/>
      <c r="K49" s="102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3"/>
      <c r="Y49" s="123"/>
      <c r="Z49" s="123"/>
      <c r="AA49" s="123"/>
      <c r="AB49" s="123"/>
      <c r="AC49" s="124"/>
      <c r="AD49" s="124"/>
      <c r="AE49" s="124"/>
      <c r="AF49" s="125"/>
      <c r="AG49" s="124"/>
      <c r="AH49" s="124"/>
      <c r="AI49" s="124"/>
    </row>
    <row r="50" spans="1:35" ht="6.75" customHeight="1" thickTop="1" thickBot="1">
      <c r="A50" s="15"/>
      <c r="B50" s="28"/>
      <c r="C50" s="28"/>
      <c r="D50" s="28"/>
      <c r="E50" s="28"/>
      <c r="F50" s="28"/>
      <c r="G50" s="28"/>
      <c r="H50" s="28"/>
      <c r="I50" s="28"/>
      <c r="J50" s="61"/>
      <c r="K50" s="62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3"/>
      <c r="Y50" s="123"/>
      <c r="Z50" s="123"/>
      <c r="AA50" s="123"/>
      <c r="AB50" s="123"/>
      <c r="AC50" s="124"/>
      <c r="AD50" s="124"/>
      <c r="AE50" s="124"/>
      <c r="AF50" s="125"/>
      <c r="AG50" s="124"/>
      <c r="AH50" s="124"/>
      <c r="AI50" s="124"/>
    </row>
    <row r="51" spans="1:35" ht="21.75" customHeight="1" thickTop="1" thickBot="1">
      <c r="A51" s="15"/>
      <c r="B51" s="164" t="s">
        <v>71</v>
      </c>
      <c r="C51" s="165" t="s">
        <v>7</v>
      </c>
      <c r="D51" s="163">
        <f>D48+D49</f>
        <v>189.12</v>
      </c>
      <c r="E51" s="108" t="s">
        <v>7</v>
      </c>
      <c r="F51" s="109" t="s">
        <v>72</v>
      </c>
      <c r="G51" s="28"/>
      <c r="H51" s="28"/>
      <c r="I51" s="28"/>
      <c r="J51" s="61"/>
      <c r="K51" s="62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3"/>
      <c r="Y51" s="123"/>
      <c r="Z51" s="123"/>
      <c r="AA51" s="123"/>
      <c r="AB51" s="123"/>
      <c r="AC51" s="124"/>
      <c r="AD51" s="124"/>
      <c r="AE51" s="124"/>
      <c r="AF51" s="125"/>
      <c r="AG51" s="124"/>
      <c r="AH51" s="124"/>
      <c r="AI51" s="124"/>
    </row>
    <row r="52" spans="1:35" ht="12.75" customHeight="1" thickTop="1" thickBot="1">
      <c r="A52" s="15"/>
      <c r="B52" s="28"/>
      <c r="C52" s="28"/>
      <c r="D52" s="28"/>
      <c r="E52" s="28"/>
      <c r="F52" s="28"/>
      <c r="G52" s="28"/>
      <c r="H52" s="28"/>
      <c r="I52" s="28"/>
      <c r="J52" s="61"/>
      <c r="K52" s="62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3"/>
      <c r="Y52" s="123"/>
      <c r="Z52" s="123"/>
      <c r="AA52" s="123"/>
      <c r="AB52" s="123"/>
      <c r="AC52" s="124"/>
      <c r="AD52" s="124"/>
      <c r="AE52" s="124"/>
      <c r="AF52" s="125"/>
      <c r="AG52" s="124"/>
      <c r="AH52" s="124"/>
      <c r="AI52" s="124"/>
    </row>
    <row r="53" spans="1:35" ht="24" customHeight="1" thickTop="1" thickBot="1">
      <c r="A53" s="15"/>
      <c r="B53" s="169" t="s">
        <v>73</v>
      </c>
      <c r="C53" s="165" t="s">
        <v>7</v>
      </c>
      <c r="D53" s="163">
        <f>D38+D51</f>
        <v>3740.3733333333334</v>
      </c>
      <c r="E53" s="110" t="s">
        <v>7</v>
      </c>
      <c r="F53" s="111" t="s">
        <v>74</v>
      </c>
      <c r="G53" s="112"/>
      <c r="H53" s="112"/>
      <c r="I53" s="112"/>
      <c r="J53" s="113"/>
      <c r="K53" s="62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3"/>
      <c r="Y53" s="123"/>
      <c r="Z53" s="123"/>
      <c r="AA53" s="123"/>
      <c r="AB53" s="123"/>
      <c r="AC53" s="124"/>
      <c r="AD53" s="124"/>
      <c r="AE53" s="124"/>
      <c r="AF53" s="125"/>
      <c r="AG53" s="124"/>
      <c r="AH53" s="124"/>
      <c r="AI53" s="124"/>
    </row>
    <row r="54" spans="1:35" ht="5.25" customHeight="1" thickTop="1" thickBot="1">
      <c r="A54" s="114"/>
      <c r="B54" s="179"/>
      <c r="C54" s="179"/>
      <c r="D54" s="179"/>
      <c r="E54" s="179"/>
      <c r="F54" s="179"/>
      <c r="G54" s="179"/>
      <c r="H54" s="179"/>
      <c r="I54" s="179"/>
      <c r="J54" s="179"/>
      <c r="K54" s="115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3"/>
      <c r="Y54" s="123"/>
      <c r="Z54" s="123"/>
      <c r="AA54" s="123"/>
      <c r="AB54" s="123"/>
      <c r="AC54" s="124"/>
      <c r="AD54" s="124"/>
      <c r="AE54" s="124"/>
      <c r="AF54" s="125"/>
      <c r="AG54" s="124"/>
      <c r="AH54" s="124"/>
      <c r="AI54" s="124"/>
    </row>
    <row r="55" spans="1:35" s="7" customFormat="1" ht="16.5" thickTop="1">
      <c r="D55" s="116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3"/>
      <c r="Y55" s="123"/>
      <c r="Z55" s="123"/>
      <c r="AA55" s="123"/>
      <c r="AB55" s="123"/>
      <c r="AC55" s="125"/>
      <c r="AD55" s="125"/>
      <c r="AE55" s="125"/>
      <c r="AF55" s="125"/>
      <c r="AG55" s="125"/>
      <c r="AH55" s="125"/>
      <c r="AI55" s="125"/>
    </row>
    <row r="56" spans="1:35">
      <c r="L56" s="124"/>
      <c r="M56" s="124"/>
      <c r="N56" s="124"/>
      <c r="O56" s="124"/>
      <c r="P56" s="124"/>
      <c r="Q56" s="124"/>
      <c r="R56" s="124"/>
      <c r="S56" s="124"/>
      <c r="T56" s="124"/>
      <c r="U56" s="124"/>
      <c r="V56" s="124"/>
      <c r="W56" s="124"/>
      <c r="X56" s="124"/>
      <c r="Y56" s="124"/>
      <c r="Z56" s="124"/>
      <c r="AA56" s="124"/>
      <c r="AB56" s="125"/>
      <c r="AC56" s="124"/>
      <c r="AD56" s="124"/>
      <c r="AE56" s="124"/>
      <c r="AF56" s="125"/>
      <c r="AG56" s="124"/>
      <c r="AH56" s="124"/>
      <c r="AI56" s="124"/>
    </row>
    <row r="57" spans="1:35">
      <c r="D57" s="150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/>
      <c r="AC57" s="124"/>
      <c r="AD57" s="124"/>
      <c r="AE57" s="124"/>
      <c r="AF57" s="125"/>
      <c r="AG57" s="124"/>
      <c r="AH57" s="124"/>
      <c r="AI57" s="124"/>
    </row>
    <row r="58" spans="1:35">
      <c r="D58" s="148"/>
      <c r="L58" s="124"/>
      <c r="M58" s="124"/>
      <c r="N58" s="124"/>
      <c r="O58" s="124"/>
      <c r="P58" s="124"/>
      <c r="Q58" s="124"/>
      <c r="R58" s="124"/>
      <c r="S58" s="124"/>
      <c r="T58" s="124"/>
      <c r="U58" s="124"/>
      <c r="V58" s="124"/>
      <c r="W58" s="124"/>
      <c r="X58" s="124"/>
      <c r="Y58" s="124"/>
      <c r="Z58" s="124"/>
      <c r="AA58" s="124"/>
      <c r="AB58" s="125"/>
      <c r="AC58" s="124"/>
      <c r="AD58" s="124"/>
      <c r="AE58" s="124"/>
      <c r="AF58" s="125"/>
      <c r="AG58" s="124"/>
      <c r="AH58" s="124"/>
      <c r="AI58" s="124"/>
    </row>
    <row r="59" spans="1:35">
      <c r="D59" s="148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  <c r="AA59" s="124"/>
      <c r="AB59" s="125"/>
      <c r="AC59" s="124"/>
      <c r="AD59" s="124"/>
      <c r="AE59" s="124"/>
      <c r="AF59" s="125"/>
      <c r="AG59" s="124"/>
      <c r="AH59" s="124"/>
      <c r="AI59" s="124"/>
    </row>
    <row r="60" spans="1:35">
      <c r="L60" s="124"/>
      <c r="M60" s="124"/>
      <c r="N60" s="124"/>
      <c r="O60" s="124"/>
      <c r="P60" s="124"/>
      <c r="Q60" s="124"/>
      <c r="R60" s="124"/>
      <c r="S60" s="124"/>
      <c r="T60" s="124"/>
      <c r="U60" s="124"/>
      <c r="V60" s="124"/>
      <c r="W60" s="124"/>
      <c r="X60" s="124"/>
      <c r="Y60" s="124"/>
      <c r="Z60" s="124"/>
      <c r="AA60" s="124"/>
      <c r="AB60" s="125"/>
      <c r="AC60" s="124"/>
      <c r="AD60" s="124"/>
      <c r="AE60" s="124"/>
      <c r="AF60" s="125"/>
      <c r="AG60" s="124"/>
      <c r="AH60" s="124"/>
      <c r="AI60" s="124"/>
    </row>
    <row r="61" spans="1:35">
      <c r="L61" s="124"/>
      <c r="M61" s="124"/>
      <c r="N61" s="124"/>
      <c r="O61" s="124"/>
      <c r="P61" s="124"/>
      <c r="Q61" s="124"/>
      <c r="R61" s="124"/>
      <c r="S61" s="124"/>
      <c r="T61" s="124"/>
      <c r="U61" s="124"/>
      <c r="V61" s="124"/>
      <c r="W61" s="124"/>
      <c r="X61" s="124"/>
      <c r="Y61" s="124"/>
      <c r="Z61" s="124"/>
      <c r="AA61" s="124"/>
      <c r="AB61" s="125"/>
      <c r="AC61" s="124"/>
      <c r="AD61" s="124"/>
      <c r="AE61" s="124"/>
      <c r="AF61" s="125"/>
      <c r="AG61" s="124"/>
      <c r="AH61" s="124"/>
      <c r="AI61" s="124"/>
    </row>
    <row r="62" spans="1:35">
      <c r="D62" s="148"/>
      <c r="L62" s="124"/>
      <c r="M62" s="124"/>
      <c r="N62" s="124"/>
      <c r="O62" s="124"/>
      <c r="P62" s="124"/>
      <c r="Q62" s="124"/>
      <c r="R62" s="124"/>
      <c r="S62" s="124"/>
      <c r="T62" s="124"/>
      <c r="U62" s="124"/>
      <c r="V62" s="124"/>
      <c r="W62" s="124"/>
      <c r="X62" s="124"/>
      <c r="Y62" s="124"/>
      <c r="Z62" s="124"/>
      <c r="AA62" s="124"/>
      <c r="AB62" s="125"/>
      <c r="AC62" s="124"/>
      <c r="AD62" s="124"/>
      <c r="AE62" s="124"/>
      <c r="AF62" s="125"/>
      <c r="AG62" s="124"/>
      <c r="AH62" s="124"/>
      <c r="AI62" s="124"/>
    </row>
    <row r="63" spans="1:35">
      <c r="L63" s="124"/>
      <c r="M63" s="124"/>
      <c r="N63" s="124"/>
      <c r="O63" s="124"/>
      <c r="P63" s="124"/>
      <c r="Q63" s="124"/>
      <c r="R63" s="124"/>
      <c r="S63" s="124"/>
      <c r="T63" s="124"/>
      <c r="U63" s="124"/>
      <c r="V63" s="124"/>
      <c r="W63" s="124"/>
      <c r="X63" s="124"/>
      <c r="Y63" s="124"/>
      <c r="Z63" s="124"/>
      <c r="AA63" s="124"/>
      <c r="AB63" s="125"/>
      <c r="AC63" s="124"/>
      <c r="AD63" s="124"/>
      <c r="AE63" s="124"/>
      <c r="AF63" s="125"/>
      <c r="AG63" s="124"/>
      <c r="AH63" s="124"/>
      <c r="AI63" s="124"/>
    </row>
    <row r="64" spans="1:35"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  <c r="AA64" s="124"/>
      <c r="AB64" s="125"/>
      <c r="AC64" s="124"/>
      <c r="AD64" s="124"/>
      <c r="AE64" s="124"/>
      <c r="AF64" s="125"/>
      <c r="AG64" s="124"/>
      <c r="AH64" s="124"/>
      <c r="AI64" s="124"/>
    </row>
    <row r="65" spans="12:35"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  <c r="AA65" s="124"/>
      <c r="AB65" s="125"/>
      <c r="AC65" s="124"/>
      <c r="AD65" s="124"/>
      <c r="AE65" s="124"/>
      <c r="AF65" s="125"/>
      <c r="AG65" s="124"/>
      <c r="AH65" s="124"/>
      <c r="AI65" s="124"/>
    </row>
    <row r="66" spans="12:35"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125"/>
      <c r="AC66" s="124"/>
      <c r="AD66" s="124"/>
      <c r="AE66" s="124"/>
      <c r="AF66" s="125"/>
      <c r="AG66" s="124"/>
      <c r="AH66" s="124"/>
      <c r="AI66" s="124"/>
    </row>
    <row r="67" spans="12:35"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  <c r="AA67" s="124"/>
      <c r="AB67" s="125"/>
      <c r="AC67" s="124"/>
      <c r="AD67" s="124"/>
      <c r="AE67" s="124"/>
      <c r="AF67" s="125"/>
      <c r="AG67" s="124"/>
      <c r="AH67" s="124"/>
      <c r="AI67" s="124"/>
    </row>
    <row r="68" spans="12:35"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  <c r="AA68" s="124"/>
      <c r="AB68" s="125"/>
      <c r="AC68" s="124"/>
      <c r="AD68" s="124"/>
      <c r="AE68" s="124"/>
      <c r="AF68" s="125"/>
      <c r="AG68" s="124"/>
      <c r="AH68" s="124"/>
      <c r="AI68" s="124"/>
    </row>
    <row r="69" spans="12:35"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  <c r="AA69" s="124"/>
      <c r="AB69" s="125"/>
      <c r="AC69" s="124"/>
      <c r="AD69" s="124"/>
      <c r="AE69" s="124"/>
      <c r="AF69" s="125"/>
      <c r="AG69" s="124"/>
      <c r="AH69" s="124"/>
      <c r="AI69" s="124"/>
    </row>
    <row r="70" spans="12:35"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125"/>
      <c r="AC70" s="124"/>
      <c r="AD70" s="124"/>
      <c r="AE70" s="124"/>
      <c r="AF70" s="125"/>
      <c r="AG70" s="124"/>
      <c r="AH70" s="124"/>
      <c r="AI70" s="124"/>
    </row>
    <row r="71" spans="12:35"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  <c r="AA71" s="124"/>
      <c r="AB71" s="125"/>
      <c r="AC71" s="124"/>
      <c r="AD71" s="124"/>
      <c r="AE71" s="124"/>
      <c r="AF71" s="125"/>
      <c r="AG71" s="124"/>
      <c r="AH71" s="124"/>
      <c r="AI71" s="124"/>
    </row>
    <row r="72" spans="12:35"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125"/>
      <c r="AC72" s="124"/>
      <c r="AD72" s="124"/>
      <c r="AE72" s="124"/>
      <c r="AF72" s="125"/>
      <c r="AG72" s="124"/>
      <c r="AH72" s="124"/>
      <c r="AI72" s="124"/>
    </row>
    <row r="73" spans="12:35"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  <c r="AA73" s="124"/>
      <c r="AB73" s="125"/>
      <c r="AC73" s="124"/>
      <c r="AD73" s="124"/>
      <c r="AE73" s="124"/>
      <c r="AF73" s="125"/>
      <c r="AG73" s="124"/>
      <c r="AH73" s="124"/>
      <c r="AI73" s="124"/>
    </row>
  </sheetData>
  <sheetProtection algorithmName="SHA-512" hashValue="Q6MbNE3Ohj3HWSfzYbc5WjTKD7Z85wDAcQbWjZEUAb5Vh8Dq7FZdGZxGKn+wPXUhdcGJeIgFTLeEzWl8kF/L+A==" saltValue="WgHdOvGUdxbfxIYW/WYPQg==" spinCount="100000" sheet="1" objects="1" scenarios="1" selectLockedCells="1"/>
  <mergeCells count="15">
    <mergeCell ref="X30:Z30"/>
    <mergeCell ref="F31:I31"/>
    <mergeCell ref="F32:G36"/>
    <mergeCell ref="B40:D40"/>
    <mergeCell ref="G41:H41"/>
    <mergeCell ref="B2:J2"/>
    <mergeCell ref="G42:H42"/>
    <mergeCell ref="G43:H43"/>
    <mergeCell ref="B54:J54"/>
    <mergeCell ref="B30:D30"/>
    <mergeCell ref="D3:H3"/>
    <mergeCell ref="I3:J3"/>
    <mergeCell ref="E15:F15"/>
    <mergeCell ref="B17:D17"/>
    <mergeCell ref="H12:H14"/>
  </mergeCells>
  <dataValidations count="2">
    <dataValidation type="list" errorStyle="warning" allowBlank="1" showInputMessage="1" showErrorMessage="1" errorTitle="Entrada Inválida" error="Somente insira uma das opções presentes na lista drop-down." sqref="D4">
      <formula1>$O$2:$Q$2</formula1>
    </dataValidation>
    <dataValidation type="list" errorStyle="warning" allowBlank="1" showInputMessage="1" showErrorMessage="1" errorTitle="Inválido" error="Para o Aviso Prévio, apenas escolha uma das opções já existente na lista de Drop - Down:  Indenizado ou Trabalhado" sqref="D14">
      <formula1>$N$18:$N$19</formula1>
    </dataValidation>
  </dataValidations>
  <printOptions horizontalCentered="1"/>
  <pageMargins left="0.31496062992125984" right="0.31496062992125984" top="0.59055118110236227" bottom="0.39370078740157483" header="0.31496062992125984" footer="0.31496062992125984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30</vt:i4>
      </vt:variant>
    </vt:vector>
  </HeadingPairs>
  <TitlesOfParts>
    <vt:vector size="31" baseType="lpstr">
      <vt:lpstr>CALCULOS</vt:lpstr>
      <vt:lpstr>CALCULOS!Anos_Inteiro</vt:lpstr>
      <vt:lpstr>CALCULOS!Area_de_impressao</vt:lpstr>
      <vt:lpstr>CALCULOS!Av.Previo</vt:lpstr>
      <vt:lpstr>CALCULOS!Av.Previo_1.12_Avos</vt:lpstr>
      <vt:lpstr>CALCULOS!Dia_Admissao</vt:lpstr>
      <vt:lpstr>CALCULOS!Dia_Demissão</vt:lpstr>
      <vt:lpstr>CALCULOS!Dias</vt:lpstr>
      <vt:lpstr>CALCULOS!Dias_1.12_Avos</vt:lpstr>
      <vt:lpstr>CALCULOS!Dias_Av.Previo</vt:lpstr>
      <vt:lpstr>CALCULOS!Dias_Inteiro</vt:lpstr>
      <vt:lpstr>CALCULOS!Meses</vt:lpstr>
      <vt:lpstr>CALCULOS!Meses_Inteiro</vt:lpstr>
      <vt:lpstr>CALCULOS!Meses_Inteiros</vt:lpstr>
      <vt:lpstr>CALCULOS!Motivo_Dispensa</vt:lpstr>
      <vt:lpstr>CALCULOS!No.Anos</vt:lpstr>
      <vt:lpstr>CALCULOS!No.Dias</vt:lpstr>
      <vt:lpstr>CALCULOS!No.Meses</vt:lpstr>
      <vt:lpstr>CALCULOS!Prop.Ferias_Avos</vt:lpstr>
      <vt:lpstr>CALCULOS!Quant.Ferias</vt:lpstr>
      <vt:lpstr>CALCULOS!Quant.Ferias_Int</vt:lpstr>
      <vt:lpstr>CALCULOS!Salario_Base</vt:lpstr>
      <vt:lpstr>CALCULOS!Salario_Total</vt:lpstr>
      <vt:lpstr>CALCULOS!Saldo_Salario</vt:lpstr>
      <vt:lpstr>CALCULOS!Total_FGTS</vt:lpstr>
      <vt:lpstr>CALCULOS!Total_Meses</vt:lpstr>
      <vt:lpstr>CALCULOS!Valor_13o.</vt:lpstr>
      <vt:lpstr>CALCULOS!Valor_13o.Ind</vt:lpstr>
      <vt:lpstr>CALCULOS!Valor_Av.Previo</vt:lpstr>
      <vt:lpstr>CALCULOS!Valor_Ferias_Int</vt:lpstr>
      <vt:lpstr>CALCULOS!Valor_Ferias_Prop</vt:lpstr>
    </vt:vector>
  </TitlesOfParts>
  <Company>sebrae/ap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sebrae</dc:creator>
  <cp:lastModifiedBy>eusvaldo</cp:lastModifiedBy>
  <cp:lastPrinted>2015-11-23T04:41:50Z</cp:lastPrinted>
  <dcterms:created xsi:type="dcterms:W3CDTF">2003-01-29T20:10:16Z</dcterms:created>
  <dcterms:modified xsi:type="dcterms:W3CDTF">2015-11-23T13:37:44Z</dcterms:modified>
</cp:coreProperties>
</file>