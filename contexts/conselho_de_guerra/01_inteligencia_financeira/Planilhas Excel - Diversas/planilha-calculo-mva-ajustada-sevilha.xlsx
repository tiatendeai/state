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Kleyton\Desktop\"/>
    </mc:Choice>
  </mc:AlternateContent>
  <bookViews>
    <workbookView xWindow="0" yWindow="0" windowWidth="20490" windowHeight="7650" tabRatio="132" firstSheet="1" activeTab="1"/>
  </bookViews>
  <sheets>
    <sheet name="Presumido" sheetId="1" r:id="rId1"/>
    <sheet name="MVA Ajustado ICMS - ST" sheetId="2" r:id="rId2"/>
  </sheets>
  <calcPr calcId="162913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2" i="2" l="1"/>
  <c r="B33" i="1"/>
  <c r="B32" i="1"/>
  <c r="C5" i="1"/>
  <c r="C8" i="1"/>
  <c r="C10" i="1" s="1"/>
  <c r="C11" i="1" s="1"/>
  <c r="C13" i="1" s="1"/>
  <c r="C16" i="1" s="1"/>
  <c r="B30" i="1"/>
  <c r="C9" i="1"/>
  <c r="C15" i="1"/>
</calcChain>
</file>

<file path=xl/comments1.xml><?xml version="1.0" encoding="utf-8"?>
<comments xmlns="http://schemas.openxmlformats.org/spreadsheetml/2006/main">
  <authors>
    <author>gisele</author>
  </authors>
  <commentList>
    <comment ref="C9" authorId="0" shapeId="0">
      <text>
        <r>
          <rPr>
            <sz val="8"/>
            <color indexed="81"/>
            <rFont val="Tahoma"/>
            <family val="2"/>
          </rPr>
          <t>Na hipótese de entrada de mercadoria proveniente de outra unidade da Federação cuja saída interna seja tributada com alíquota superior a 12% (doze por cento), o estabelecimento destinatário paulista deverá utilizar o “IVA-ST ajustado”, calculado pela seguinte fórmula: IVA-ST ajustado = [(1+IVA-ST original) x (1 - ALQ inter) / (1 - ALQ intra)] -1, 
Portaria Cat- 15, Art. 1º, § 5º.</t>
        </r>
      </text>
    </comment>
  </commentList>
</comments>
</file>

<file path=xl/sharedStrings.xml><?xml version="1.0" encoding="utf-8"?>
<sst xmlns="http://schemas.openxmlformats.org/spreadsheetml/2006/main" count="42" uniqueCount="42">
  <si>
    <t>Custo Produto</t>
  </si>
  <si>
    <t>Alíquota do IPI</t>
  </si>
  <si>
    <t>Custo com IPI</t>
  </si>
  <si>
    <t>Frete</t>
  </si>
  <si>
    <t>Outras</t>
  </si>
  <si>
    <t>BASE ALÍQUOTA</t>
  </si>
  <si>
    <t>ALÍQUOTA INTERNA</t>
  </si>
  <si>
    <t>ALÍQUOTA DE ENTRADA</t>
  </si>
  <si>
    <t>ICMS NA ENTRADA</t>
  </si>
  <si>
    <t>DÉBITO PARA ST</t>
  </si>
  <si>
    <t>ICMS A PAGAR ST</t>
  </si>
  <si>
    <t>COMPOSIÇÃO DE CUSTOS</t>
  </si>
  <si>
    <t>Alíquota Interestadual</t>
  </si>
  <si>
    <t>Alíquota Interna</t>
  </si>
  <si>
    <t>Fórmula/Cálculo do IVA-Ajustado</t>
  </si>
  <si>
    <t>MVA ST - %</t>
  </si>
  <si>
    <t>MVA AJUSTADO</t>
  </si>
  <si>
    <t xml:space="preserve"> [(1 + MVA original) x (1 - Alíquota Interestadual) / (1 - Alíquota Interna) - 1]</t>
  </si>
  <si>
    <t>Mva-Ajustado:</t>
  </si>
  <si>
    <t>Informe os dados</t>
  </si>
  <si>
    <t>Base Para MVA</t>
  </si>
  <si>
    <t>Alíquota MVA-AJUSTADO</t>
  </si>
  <si>
    <t>MVA APURADO</t>
  </si>
  <si>
    <t>Planilha para Cálculo do MVA Ajustado - ICMS Substituição Tributária Interestadual</t>
  </si>
  <si>
    <t>MVA Normal</t>
  </si>
  <si>
    <t>Alíquota ICMS Interestadual</t>
  </si>
  <si>
    <t>MVA Ajustado</t>
  </si>
  <si>
    <t>Alíquota ICMS Interno</t>
  </si>
  <si>
    <t>www.sevilha.com.br</t>
  </si>
  <si>
    <t>contato@sevilha.com.br</t>
  </si>
  <si>
    <t>(11) 2879.6682</t>
  </si>
  <si>
    <t>Av. Baruel, 246 - São Paulo - SP - CEP 02522-000</t>
  </si>
  <si>
    <t>Instruções de preenchimento</t>
  </si>
  <si>
    <t>Apenas preencha os campos percentuais que indicam:</t>
  </si>
  <si>
    <t>A Alíquota do ICMS para as operações internas (dentro do Estado)</t>
  </si>
  <si>
    <t>O percentual do MVA para operações Internas</t>
  </si>
  <si>
    <t>A alíquota do ICMS Interestadual para a operação à ser realizada (4%, 7%, 12% - normalmente)</t>
  </si>
  <si>
    <t>Veja, no Campo MVA Ajustado o percentual correspondente à ser aplicado em sua operação</t>
  </si>
  <si>
    <r>
      <t>importante:</t>
    </r>
    <r>
      <rPr>
        <sz val="11"/>
        <color theme="1"/>
        <rFont val="Century Gothic"/>
        <family val="2"/>
      </rPr>
      <t xml:space="preserve"> Confira o preenchimento antes de usar o percentual. </t>
    </r>
  </si>
  <si>
    <t>FALHAS NA DIGITAÇÃO PODEM LEVAR À MVA AJUSTADO INCORRETO</t>
  </si>
  <si>
    <t>O uso deste planilha não dispensa a consulta à um profissional especializado e não representa</t>
  </si>
  <si>
    <t>resposta formal à consulta por parte da SEVILHA CONTABILIDADE.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</si>
</sst>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_(&quot;R$ &quot;* #,##0.00_);_(&quot;R$ &quot;* \(#,##0.00\);_(&quot;R$ &quot;* &quot;-&quot;??_);_(@_)"/>
    <numFmt numFmtId="166" formatCode="0.0000%"/>
    <numFmt numFmtId="167" formatCode="0.00000%"/>
  </numFmts>
  <fonts count="2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8"/>
      <color indexed="81"/>
      <name val="Tahoma"/>
      <family val="2"/>
    </font>
    <font>
      <sz val="9"/>
      <color indexed="8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u/>
      <sz val="9"/>
      <color indexed="12"/>
      <name val="Calibri"/>
      <family val="2"/>
    </font>
    <font>
      <b/>
      <u/>
      <sz val="9"/>
      <color indexed="8"/>
      <name val="Calibri"/>
      <family val="2"/>
    </font>
    <font>
      <b/>
      <i/>
      <sz val="9"/>
      <color indexed="8"/>
      <name val="Calibri"/>
      <family val="2"/>
    </font>
    <font>
      <sz val="11"/>
      <color indexed="8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u/>
      <sz val="10"/>
      <color theme="0" tint="-0.34998626667073579"/>
      <name val="Century Gothic"/>
      <family val="2"/>
    </font>
    <font>
      <sz val="10"/>
      <color theme="0" tint="-0.34998626667073579"/>
      <name val="Century Gothic"/>
      <family val="2"/>
    </font>
    <font>
      <b/>
      <u/>
      <sz val="11"/>
      <color indexed="8"/>
      <name val="Century Gothic"/>
      <family val="2"/>
    </font>
    <font>
      <b/>
      <u/>
      <sz val="11"/>
      <color theme="1"/>
      <name val="Century Gothic"/>
      <family val="2"/>
    </font>
    <font>
      <b/>
      <sz val="11"/>
      <color theme="5" tint="0.39997558519241921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6" borderId="0" applyNumberFormat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Fill="1" applyBorder="1" applyAlignment="1"/>
    <xf numFmtId="0" fontId="5" fillId="0" borderId="1" xfId="0" applyFont="1" applyBorder="1"/>
    <xf numFmtId="165" fontId="4" fillId="0" borderId="1" xfId="2" applyFont="1" applyBorder="1"/>
    <xf numFmtId="0" fontId="5" fillId="0" borderId="0" xfId="0" applyFont="1" applyFill="1" applyBorder="1"/>
    <xf numFmtId="165" fontId="5" fillId="0" borderId="0" xfId="0" applyNumberFormat="1" applyFont="1" applyFill="1" applyBorder="1"/>
    <xf numFmtId="0" fontId="5" fillId="0" borderId="0" xfId="0" applyFont="1" applyBorder="1"/>
    <xf numFmtId="0" fontId="5" fillId="0" borderId="2" xfId="0" applyFont="1" applyBorder="1"/>
    <xf numFmtId="9" fontId="5" fillId="0" borderId="2" xfId="0" applyNumberFormat="1" applyFont="1" applyBorder="1"/>
    <xf numFmtId="9" fontId="5" fillId="0" borderId="0" xfId="0" applyNumberFormat="1" applyFont="1" applyFill="1" applyBorder="1"/>
    <xf numFmtId="165" fontId="4" fillId="0" borderId="2" xfId="2" applyFont="1" applyBorder="1"/>
    <xf numFmtId="10" fontId="5" fillId="0" borderId="0" xfId="0" applyNumberFormat="1" applyFont="1" applyFill="1" applyBorder="1"/>
    <xf numFmtId="165" fontId="5" fillId="0" borderId="2" xfId="0" applyNumberFormat="1" applyFont="1" applyBorder="1"/>
    <xf numFmtId="166" fontId="5" fillId="2" borderId="2" xfId="1" applyNumberFormat="1" applyFont="1" applyFill="1" applyBorder="1"/>
    <xf numFmtId="0" fontId="7" fillId="0" borderId="0" xfId="4" applyFont="1" applyBorder="1" applyAlignment="1" applyProtection="1"/>
    <xf numFmtId="10" fontId="5" fillId="0" borderId="0" xfId="0" applyNumberFormat="1" applyFont="1"/>
    <xf numFmtId="0" fontId="8" fillId="0" borderId="0" xfId="0" applyFont="1"/>
    <xf numFmtId="165" fontId="4" fillId="0" borderId="0" xfId="2" applyFont="1"/>
    <xf numFmtId="0" fontId="6" fillId="0" borderId="0" xfId="0" applyFont="1"/>
    <xf numFmtId="0" fontId="5" fillId="0" borderId="0" xfId="0" applyFont="1" applyFill="1" applyAlignment="1">
      <alignment horizontal="center"/>
    </xf>
    <xf numFmtId="0" fontId="9" fillId="0" borderId="0" xfId="0" applyFont="1"/>
    <xf numFmtId="0" fontId="7" fillId="0" borderId="0" xfId="4" applyFont="1" applyFill="1" applyAlignment="1" applyProtection="1">
      <alignment horizontal="left"/>
    </xf>
    <xf numFmtId="0" fontId="6" fillId="0" borderId="3" xfId="0" applyFont="1" applyBorder="1"/>
    <xf numFmtId="165" fontId="5" fillId="0" borderId="0" xfId="0" applyNumberFormat="1" applyFont="1"/>
    <xf numFmtId="0" fontId="6" fillId="0" borderId="0" xfId="0" applyFont="1" applyBorder="1" applyAlignment="1">
      <alignment horizontal="center"/>
    </xf>
    <xf numFmtId="0" fontId="6" fillId="0" borderId="0" xfId="0" applyFont="1" applyBorder="1"/>
    <xf numFmtId="0" fontId="5" fillId="0" borderId="0" xfId="0" applyFont="1" applyFill="1" applyBorder="1" applyAlignment="1">
      <alignment horizontal="center"/>
    </xf>
    <xf numFmtId="165" fontId="5" fillId="0" borderId="0" xfId="0" applyNumberFormat="1" applyFont="1" applyBorder="1"/>
    <xf numFmtId="165" fontId="12" fillId="6" borderId="2" xfId="3" applyNumberFormat="1" applyBorder="1"/>
    <xf numFmtId="2" fontId="6" fillId="3" borderId="0" xfId="0" applyNumberFormat="1" applyFont="1" applyFill="1" applyAlignment="1">
      <alignment horizontal="center"/>
    </xf>
    <xf numFmtId="166" fontId="6" fillId="4" borderId="4" xfId="5" applyNumberFormat="1" applyFont="1" applyFill="1" applyBorder="1"/>
    <xf numFmtId="166" fontId="11" fillId="0" borderId="0" xfId="5" applyNumberFormat="1" applyFont="1"/>
    <xf numFmtId="0" fontId="14" fillId="0" borderId="0" xfId="0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5" fillId="0" borderId="0" xfId="0" applyFont="1" applyAlignment="1"/>
    <xf numFmtId="0" fontId="14" fillId="0" borderId="2" xfId="0" applyFont="1" applyBorder="1" applyAlignment="1">
      <alignment horizontal="center"/>
    </xf>
    <xf numFmtId="0" fontId="14" fillId="8" borderId="2" xfId="0" applyFont="1" applyFill="1" applyBorder="1" applyAlignment="1">
      <alignment horizontal="center"/>
    </xf>
    <xf numFmtId="166" fontId="14" fillId="8" borderId="2" xfId="5" applyNumberFormat="1" applyFont="1" applyFill="1" applyBorder="1" applyAlignment="1">
      <alignment horizontal="center"/>
    </xf>
    <xf numFmtId="10" fontId="14" fillId="0" borderId="2" xfId="0" applyNumberFormat="1" applyFont="1" applyBorder="1" applyAlignment="1" applyProtection="1">
      <alignment horizontal="center"/>
      <protection locked="0"/>
    </xf>
    <xf numFmtId="167" fontId="14" fillId="0" borderId="2" xfId="0" applyNumberFormat="1" applyFont="1" applyBorder="1" applyAlignment="1" applyProtection="1">
      <alignment horizontal="center"/>
      <protection locked="0"/>
    </xf>
    <xf numFmtId="0" fontId="16" fillId="0" borderId="0" xfId="4" applyFont="1" applyAlignment="1" applyProtection="1">
      <alignment horizontal="center"/>
    </xf>
    <xf numFmtId="0" fontId="17" fillId="0" borderId="0" xfId="0" applyFont="1" applyAlignment="1">
      <alignment horizontal="center"/>
    </xf>
    <xf numFmtId="0" fontId="10" fillId="0" borderId="0" xfId="0" applyFont="1" applyAlignment="1"/>
    <xf numFmtId="0" fontId="18" fillId="0" borderId="0" xfId="0" applyFont="1" applyAlignment="1"/>
    <xf numFmtId="0" fontId="19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5" fillId="0" borderId="0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5" fillId="7" borderId="2" xfId="0" applyFont="1" applyFill="1" applyBorder="1" applyAlignment="1">
      <alignment horizontal="center"/>
    </xf>
  </cellXfs>
  <cellStyles count="6">
    <cellStyle name="Bom" xfId="3" builtinId="26"/>
    <cellStyle name="Hiperlink" xfId="4" builtinId="8"/>
    <cellStyle name="Moeda" xfId="2" builtinId="4"/>
    <cellStyle name="Normal" xfId="0" builtinId="0"/>
    <cellStyle name="Porcentagem" xfId="5" builtinId="5"/>
    <cellStyle name="Vírgula" xfId="1" builtinId="3"/>
  </cellStyles>
  <dxfs count="0"/>
  <tableStyles count="0" defaultTableStyle="TableStyleMedium9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441325</xdr:colOff>
      <xdr:row>18</xdr:row>
      <xdr:rowOff>38100</xdr:rowOff>
    </xdr:from>
    <xdr:to>
      <xdr:col>2</xdr:col>
      <xdr:colOff>512763</xdr:colOff>
      <xdr:row>19</xdr:row>
      <xdr:rowOff>104775</xdr:rowOff>
    </xdr:to>
    <xdr:sp macro="" textlink="">
      <xdr:nvSpPr>
        <xdr:cNvPr id="3" name="Seta para baixo 2"/>
        <xdr:cNvSpPr/>
      </xdr:nvSpPr>
      <xdr:spPr>
        <a:xfrm>
          <a:off x="2333625" y="2800350"/>
          <a:ext cx="57150" cy="2190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422275</xdr:colOff>
      <xdr:row>15</xdr:row>
      <xdr:rowOff>66675</xdr:rowOff>
    </xdr:from>
    <xdr:to>
      <xdr:col>6</xdr:col>
      <xdr:colOff>1809180</xdr:colOff>
      <xdr:row>24</xdr:row>
      <xdr:rowOff>38100</xdr:rowOff>
    </xdr:to>
    <xdr:sp macro="" textlink="">
      <xdr:nvSpPr>
        <xdr:cNvPr id="4" name="Elipse 3"/>
        <xdr:cNvSpPr/>
      </xdr:nvSpPr>
      <xdr:spPr>
        <a:xfrm>
          <a:off x="3200400" y="2371725"/>
          <a:ext cx="2743200" cy="13811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100" b="1">
              <a:solidFill>
                <a:srgbClr val="FFFF00"/>
              </a:solidFill>
            </a:rPr>
            <a:t>INSIRA AQUI OS VALORES DE MVA, ALÍQUOTA</a:t>
          </a:r>
          <a:r>
            <a:rPr lang="pt-BR" sz="1100" b="1" baseline="0">
              <a:solidFill>
                <a:srgbClr val="FFFF00"/>
              </a:solidFill>
            </a:rPr>
            <a:t> INTERNA E  ALÍQUOTA INTERESTADUAL</a:t>
          </a:r>
          <a:endParaRPr lang="pt-BR" sz="1100" b="1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844550</xdr:colOff>
      <xdr:row>19</xdr:row>
      <xdr:rowOff>123825</xdr:rowOff>
    </xdr:from>
    <xdr:to>
      <xdr:col>3</xdr:col>
      <xdr:colOff>383550</xdr:colOff>
      <xdr:row>20</xdr:row>
      <xdr:rowOff>76201</xdr:rowOff>
    </xdr:to>
    <xdr:cxnSp macro="">
      <xdr:nvCxnSpPr>
        <xdr:cNvPr id="6" name="Conector angulado 5"/>
        <xdr:cNvCxnSpPr/>
      </xdr:nvCxnSpPr>
      <xdr:spPr>
        <a:xfrm flipV="1">
          <a:off x="2686050" y="3076575"/>
          <a:ext cx="476250" cy="104776"/>
        </a:xfrm>
        <a:prstGeom prst="bentConnector3">
          <a:avLst>
            <a:gd name="adj1" fmla="val 50000"/>
          </a:avLst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25401</xdr:colOff>
      <xdr:row>1</xdr:row>
      <xdr:rowOff>0</xdr:rowOff>
    </xdr:from>
    <xdr:to>
      <xdr:col>1</xdr:col>
      <xdr:colOff>2683935</xdr:colOff>
      <xdr:row>6</xdr:row>
      <xdr:rowOff>7411</xdr:rowOff>
    </xdr:to>
    <xdr:pic>
      <xdr:nvPicPr>
        <xdr:cNvPr id="2" name="Picture 1" descr="logo_sevilha_curva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134" y="177800"/>
          <a:ext cx="2658534" cy="89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mailto:contato@sevilha.com.br" TargetMode="External"/><Relationship Id="rId1" Type="http://schemas.openxmlformats.org/officeDocument/2006/relationships/hyperlink" Target="http://www.sevilha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3"/>
  <sheetViews>
    <sheetView topLeftCell="A14" zoomScale="150" zoomScaleNormal="150" zoomScalePageLayoutView="150" workbookViewId="0">
      <selection activeCell="B27" sqref="B27"/>
    </sheetView>
  </sheetViews>
  <sheetFormatPr defaultColWidth="8.85546875" defaultRowHeight="15" x14ac:dyDescent="0.25"/>
  <cols>
    <col min="1" max="1" width="7" style="1" customWidth="1"/>
    <col min="2" max="2" width="22.140625" bestFit="1" customWidth="1"/>
    <col min="3" max="3" width="15.7109375" customWidth="1"/>
    <col min="4" max="4" width="10.42578125" bestFit="1" customWidth="1"/>
    <col min="5" max="5" width="9.42578125" customWidth="1"/>
    <col min="6" max="6" width="3" style="1" bestFit="1" customWidth="1"/>
    <col min="7" max="7" width="53.28515625" customWidth="1"/>
    <col min="8" max="8" width="11.140625" customWidth="1"/>
    <col min="9" max="9" width="6.42578125" customWidth="1"/>
  </cols>
  <sheetData>
    <row r="1" spans="1:10" s="3" customFormat="1" ht="12.75" thickBot="1" x14ac:dyDescent="0.25">
      <c r="A1" s="2"/>
      <c r="F1" s="2"/>
    </row>
    <row r="2" spans="1:10" s="3" customFormat="1" ht="12.75" thickBot="1" x14ac:dyDescent="0.25">
      <c r="A2" s="4"/>
      <c r="B2" s="54" t="s">
        <v>11</v>
      </c>
      <c r="C2" s="55"/>
      <c r="D2" s="5"/>
      <c r="E2" s="5"/>
      <c r="F2" s="28"/>
      <c r="G2" s="29"/>
      <c r="H2" s="10"/>
      <c r="I2" s="10"/>
      <c r="J2" s="10"/>
    </row>
    <row r="3" spans="1:10" s="3" customFormat="1" ht="12" x14ac:dyDescent="0.2">
      <c r="A3" s="2"/>
      <c r="B3" s="6" t="s">
        <v>0</v>
      </c>
      <c r="C3" s="7">
        <v>680436.39</v>
      </c>
      <c r="D3" s="8"/>
      <c r="E3" s="9"/>
      <c r="F3" s="28"/>
      <c r="G3" s="10"/>
      <c r="H3" s="10"/>
      <c r="I3" s="10"/>
      <c r="J3" s="10"/>
    </row>
    <row r="4" spans="1:10" s="3" customFormat="1" ht="12" x14ac:dyDescent="0.2">
      <c r="A4" s="2"/>
      <c r="B4" s="11" t="s">
        <v>1</v>
      </c>
      <c r="C4" s="12">
        <v>0</v>
      </c>
      <c r="D4" s="8"/>
      <c r="E4" s="13"/>
      <c r="F4" s="28"/>
      <c r="G4" s="10"/>
      <c r="H4" s="10"/>
      <c r="I4" s="10"/>
      <c r="J4" s="10"/>
    </row>
    <row r="5" spans="1:10" s="3" customFormat="1" ht="12" x14ac:dyDescent="0.2">
      <c r="A5" s="2"/>
      <c r="B5" s="11" t="s">
        <v>2</v>
      </c>
      <c r="C5" s="14">
        <f>(C3*C4)+C3</f>
        <v>680436.39</v>
      </c>
      <c r="D5" s="8"/>
      <c r="E5" s="9"/>
      <c r="F5" s="28"/>
      <c r="G5" s="10"/>
      <c r="H5" s="10"/>
      <c r="I5" s="10"/>
      <c r="J5" s="10"/>
    </row>
    <row r="6" spans="1:10" s="3" customFormat="1" ht="12" x14ac:dyDescent="0.2">
      <c r="A6" s="2"/>
      <c r="B6" s="11" t="s">
        <v>3</v>
      </c>
      <c r="C6" s="14">
        <v>0</v>
      </c>
      <c r="D6" s="8"/>
      <c r="E6" s="9"/>
      <c r="F6" s="28"/>
      <c r="G6" s="10"/>
      <c r="H6" s="10"/>
      <c r="I6" s="10"/>
      <c r="J6" s="10"/>
    </row>
    <row r="7" spans="1:10" s="3" customFormat="1" ht="12" x14ac:dyDescent="0.2">
      <c r="A7" s="2"/>
      <c r="B7" s="11" t="s">
        <v>4</v>
      </c>
      <c r="C7" s="14">
        <v>0</v>
      </c>
      <c r="D7" s="8"/>
      <c r="E7" s="15"/>
      <c r="F7" s="28"/>
      <c r="G7" s="10"/>
      <c r="H7" s="10"/>
      <c r="I7" s="10"/>
      <c r="J7" s="10"/>
    </row>
    <row r="8" spans="1:10" s="3" customFormat="1" ht="12" x14ac:dyDescent="0.2">
      <c r="A8" s="2"/>
      <c r="B8" s="11" t="s">
        <v>20</v>
      </c>
      <c r="C8" s="16">
        <f>SUM(C5:C7)</f>
        <v>680436.39</v>
      </c>
      <c r="D8" s="8"/>
      <c r="E8" s="9"/>
      <c r="F8" s="28"/>
      <c r="G8" s="10"/>
      <c r="H8" s="10"/>
      <c r="I8" s="10"/>
      <c r="J8" s="10"/>
    </row>
    <row r="9" spans="1:10" s="3" customFormat="1" ht="12" x14ac:dyDescent="0.2">
      <c r="A9" s="2"/>
      <c r="B9" s="11" t="s">
        <v>21</v>
      </c>
      <c r="C9" s="17">
        <f>B30</f>
        <v>0.62942439024390229</v>
      </c>
      <c r="E9" s="9"/>
      <c r="F9" s="28"/>
      <c r="G9" s="10"/>
      <c r="H9" s="10"/>
      <c r="I9" s="10"/>
      <c r="J9" s="10"/>
    </row>
    <row r="10" spans="1:10" s="3" customFormat="1" ht="12" x14ac:dyDescent="0.2">
      <c r="A10" s="2"/>
      <c r="B10" s="11" t="s">
        <v>22</v>
      </c>
      <c r="C10" s="16">
        <f>C8*C9</f>
        <v>428283.2598755121</v>
      </c>
      <c r="D10" s="8"/>
      <c r="E10" s="9"/>
      <c r="F10" s="28"/>
      <c r="G10" s="10"/>
      <c r="H10" s="10"/>
      <c r="I10" s="10"/>
      <c r="J10" s="10"/>
    </row>
    <row r="11" spans="1:10" s="3" customFormat="1" ht="12" x14ac:dyDescent="0.2">
      <c r="A11" s="2"/>
      <c r="B11" s="11" t="s">
        <v>5</v>
      </c>
      <c r="C11" s="16">
        <f>C8+C10</f>
        <v>1108719.6498755121</v>
      </c>
      <c r="D11" s="8"/>
      <c r="E11" s="8"/>
      <c r="F11" s="28"/>
      <c r="G11" s="10"/>
      <c r="H11" s="10"/>
      <c r="I11" s="10"/>
      <c r="J11" s="10"/>
    </row>
    <row r="12" spans="1:10" s="3" customFormat="1" ht="12" x14ac:dyDescent="0.2">
      <c r="A12" s="2"/>
      <c r="B12" s="11" t="s">
        <v>6</v>
      </c>
      <c r="C12" s="12">
        <v>0.18</v>
      </c>
      <c r="D12" s="8"/>
      <c r="E12" s="9"/>
      <c r="F12" s="28"/>
      <c r="G12" s="10"/>
      <c r="H12" s="18"/>
      <c r="I12" s="10"/>
      <c r="J12" s="10"/>
    </row>
    <row r="13" spans="1:10" s="3" customFormat="1" ht="12" x14ac:dyDescent="0.2">
      <c r="A13" s="2"/>
      <c r="B13" s="11" t="s">
        <v>9</v>
      </c>
      <c r="C13" s="14">
        <f>C11*C12</f>
        <v>199569.53697759219</v>
      </c>
      <c r="D13" s="8"/>
      <c r="E13" s="9"/>
      <c r="F13" s="28"/>
      <c r="G13" s="10"/>
      <c r="H13" s="10"/>
      <c r="I13" s="10"/>
      <c r="J13" s="10"/>
    </row>
    <row r="14" spans="1:10" s="3" customFormat="1" ht="12" x14ac:dyDescent="0.2">
      <c r="A14" s="2"/>
      <c r="B14" s="11" t="s">
        <v>7</v>
      </c>
      <c r="C14" s="12">
        <v>0.04</v>
      </c>
      <c r="D14" s="8"/>
      <c r="E14" s="9"/>
      <c r="F14" s="28"/>
      <c r="G14" s="10"/>
      <c r="H14" s="10"/>
      <c r="I14" s="10"/>
      <c r="J14" s="10"/>
    </row>
    <row r="15" spans="1:10" s="3" customFormat="1" ht="12" x14ac:dyDescent="0.2">
      <c r="A15" s="2"/>
      <c r="B15" s="11" t="s">
        <v>8</v>
      </c>
      <c r="C15" s="16">
        <f>C3*C14</f>
        <v>27217.455600000001</v>
      </c>
      <c r="D15" s="8"/>
      <c r="E15" s="8"/>
      <c r="F15" s="28"/>
      <c r="G15" s="10"/>
      <c r="H15" s="10"/>
      <c r="I15" s="10"/>
      <c r="J15" s="10"/>
    </row>
    <row r="16" spans="1:10" s="3" customFormat="1" x14ac:dyDescent="0.25">
      <c r="A16" s="2"/>
      <c r="B16" s="11" t="s">
        <v>10</v>
      </c>
      <c r="C16" s="32">
        <f>C13-C15</f>
        <v>172352.08137759217</v>
      </c>
      <c r="D16" s="8"/>
      <c r="E16" s="9"/>
      <c r="F16" s="28"/>
      <c r="G16" s="10"/>
      <c r="H16" s="10"/>
      <c r="I16" s="10"/>
      <c r="J16" s="10"/>
    </row>
    <row r="17" spans="1:11" s="3" customFormat="1" ht="12" x14ac:dyDescent="0.2">
      <c r="A17" s="2"/>
      <c r="B17" s="10"/>
      <c r="C17" s="31"/>
      <c r="D17" s="8"/>
      <c r="E17" s="9"/>
      <c r="F17" s="28"/>
      <c r="G17" s="10"/>
      <c r="H17" s="10"/>
      <c r="I17" s="10"/>
      <c r="J17" s="10"/>
    </row>
    <row r="18" spans="1:11" s="3" customFormat="1" ht="12" x14ac:dyDescent="0.2">
      <c r="A18" s="2"/>
      <c r="C18" s="22" t="s">
        <v>19</v>
      </c>
      <c r="F18" s="30"/>
      <c r="G18" s="8"/>
      <c r="H18" s="8"/>
      <c r="I18" s="10"/>
      <c r="J18" s="10"/>
      <c r="K18" s="19"/>
    </row>
    <row r="19" spans="1:11" s="3" customFormat="1" ht="12" x14ac:dyDescent="0.2">
      <c r="A19" s="2"/>
      <c r="B19" s="20" t="s">
        <v>16</v>
      </c>
      <c r="F19" s="53"/>
      <c r="G19" s="53"/>
      <c r="H19" s="10"/>
      <c r="I19" s="10"/>
      <c r="J19" s="10"/>
      <c r="K19" s="21"/>
    </row>
    <row r="20" spans="1:11" s="3" customFormat="1" ht="12" x14ac:dyDescent="0.2">
      <c r="A20" s="2"/>
      <c r="B20" s="22"/>
      <c r="F20" s="23"/>
      <c r="G20" s="23"/>
      <c r="K20" s="21"/>
    </row>
    <row r="21" spans="1:11" s="3" customFormat="1" ht="12" x14ac:dyDescent="0.2">
      <c r="A21" s="2"/>
      <c r="B21" s="24" t="s">
        <v>15</v>
      </c>
      <c r="C21" s="33">
        <v>39.18</v>
      </c>
      <c r="D21" s="56"/>
      <c r="E21" s="56"/>
      <c r="F21" s="56"/>
      <c r="G21" s="25"/>
      <c r="K21" s="21"/>
    </row>
    <row r="22" spans="1:11" s="3" customFormat="1" ht="12" x14ac:dyDescent="0.2">
      <c r="A22" s="2"/>
      <c r="B22" s="24" t="s">
        <v>12</v>
      </c>
      <c r="C22" s="2">
        <v>4</v>
      </c>
      <c r="F22" s="23"/>
      <c r="G22" s="23"/>
      <c r="K22" s="21"/>
    </row>
    <row r="23" spans="1:11" s="3" customFormat="1" ht="12" x14ac:dyDescent="0.2">
      <c r="A23" s="2"/>
      <c r="B23" s="24" t="s">
        <v>13</v>
      </c>
      <c r="C23" s="2">
        <v>18</v>
      </c>
      <c r="F23" s="2"/>
    </row>
    <row r="24" spans="1:11" s="3" customFormat="1" ht="12" x14ac:dyDescent="0.2">
      <c r="A24" s="2"/>
      <c r="B24" s="22"/>
      <c r="F24" s="2"/>
    </row>
    <row r="25" spans="1:11" s="3" customFormat="1" ht="12" x14ac:dyDescent="0.2">
      <c r="A25" s="2"/>
      <c r="B25" s="22" t="s">
        <v>14</v>
      </c>
      <c r="F25" s="2"/>
    </row>
    <row r="26" spans="1:11" s="3" customFormat="1" ht="12" x14ac:dyDescent="0.2">
      <c r="A26" s="2"/>
      <c r="B26" s="22"/>
      <c r="F26" s="2"/>
    </row>
    <row r="27" spans="1:11" s="3" customFormat="1" ht="12" x14ac:dyDescent="0.2">
      <c r="A27" s="2"/>
      <c r="B27" s="3" t="s">
        <v>17</v>
      </c>
      <c r="F27" s="2"/>
    </row>
    <row r="28" spans="1:11" s="3" customFormat="1" ht="12.75" thickBot="1" x14ac:dyDescent="0.25">
      <c r="A28" s="2"/>
      <c r="F28" s="2"/>
    </row>
    <row r="29" spans="1:11" s="3" customFormat="1" ht="12" x14ac:dyDescent="0.2">
      <c r="A29" s="2"/>
      <c r="B29" s="26" t="s">
        <v>18</v>
      </c>
      <c r="F29" s="2"/>
      <c r="K29" s="27"/>
    </row>
    <row r="30" spans="1:11" s="3" customFormat="1" ht="12.75" thickBot="1" x14ac:dyDescent="0.25">
      <c r="A30" s="2"/>
      <c r="B30" s="34">
        <f>((C21/100+1)*(C22/100-1)/(C23/100-1)-1)</f>
        <v>0.62942439024390229</v>
      </c>
      <c r="F30" s="2"/>
    </row>
    <row r="32" spans="1:11" x14ac:dyDescent="0.25">
      <c r="B32" s="35">
        <f>((1+0.3918)*(1-0.12)/(1-0.18))-1</f>
        <v>0.49363902439024354</v>
      </c>
    </row>
    <row r="33" spans="2:2" x14ac:dyDescent="0.25">
      <c r="B33" s="35">
        <f>((1+0.3918)*(1-0.04)/(1-0.18))-1</f>
        <v>0.62942439024390229</v>
      </c>
    </row>
  </sheetData>
  <mergeCells count="3">
    <mergeCell ref="F19:G19"/>
    <mergeCell ref="B2:C2"/>
    <mergeCell ref="D21:F21"/>
  </mergeCells>
  <phoneticPr fontId="2" type="noConversion"/>
  <printOptions horizontalCentered="1" verticalCentered="1"/>
  <pageMargins left="0.19685039370078741" right="0.19685039370078741" top="0.78740157480314965" bottom="0.78740157480314965" header="0.31496062992125984" footer="0.31496062992125984"/>
  <pageSetup paperSize="9" orientation="landscape" horizontalDpi="1200" verticalDpi="1200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25"/>
  <sheetViews>
    <sheetView showGridLines="0" tabSelected="1" workbookViewId="0">
      <selection activeCell="C11" sqref="C11"/>
    </sheetView>
  </sheetViews>
  <sheetFormatPr defaultColWidth="10.85546875" defaultRowHeight="16.5" x14ac:dyDescent="0.3"/>
  <cols>
    <col min="1" max="1" width="10.85546875" style="36"/>
    <col min="2" max="2" width="42" style="37" bestFit="1" customWidth="1"/>
    <col min="3" max="3" width="43.85546875" style="37" customWidth="1"/>
    <col min="4" max="4" width="42" style="36" bestFit="1" customWidth="1"/>
    <col min="5" max="16384" width="10.85546875" style="36"/>
  </cols>
  <sheetData>
    <row r="3" spans="2:4" x14ac:dyDescent="0.3">
      <c r="C3" s="46" t="s">
        <v>28</v>
      </c>
    </row>
    <row r="4" spans="2:4" x14ac:dyDescent="0.3">
      <c r="C4" s="46" t="s">
        <v>29</v>
      </c>
    </row>
    <row r="5" spans="2:4" x14ac:dyDescent="0.3">
      <c r="C5" s="47" t="s">
        <v>30</v>
      </c>
    </row>
    <row r="6" spans="2:4" x14ac:dyDescent="0.3">
      <c r="C6" s="47" t="s">
        <v>31</v>
      </c>
    </row>
    <row r="8" spans="2:4" x14ac:dyDescent="0.3">
      <c r="B8" s="57" t="s">
        <v>23</v>
      </c>
      <c r="C8" s="57"/>
      <c r="D8" s="40"/>
    </row>
    <row r="9" spans="2:4" x14ac:dyDescent="0.3">
      <c r="B9" s="41" t="s">
        <v>27</v>
      </c>
      <c r="C9" s="44">
        <v>0.18</v>
      </c>
    </row>
    <row r="10" spans="2:4" x14ac:dyDescent="0.3">
      <c r="B10" s="41" t="s">
        <v>24</v>
      </c>
      <c r="C10" s="45">
        <v>0.55000000000000004</v>
      </c>
    </row>
    <row r="11" spans="2:4" x14ac:dyDescent="0.3">
      <c r="B11" s="41" t="s">
        <v>25</v>
      </c>
      <c r="C11" s="44">
        <v>0.12</v>
      </c>
    </row>
    <row r="12" spans="2:4" x14ac:dyDescent="0.3">
      <c r="B12" s="42" t="s">
        <v>26</v>
      </c>
      <c r="C12" s="43">
        <f>(((1+C10)*(1-C11))/(1-C9))-1</f>
        <v>0.66341463414634139</v>
      </c>
    </row>
    <row r="15" spans="2:4" x14ac:dyDescent="0.3">
      <c r="B15" s="49" t="s">
        <v>32</v>
      </c>
      <c r="C15" s="48"/>
      <c r="D15" s="48"/>
    </row>
    <row r="16" spans="2:4" x14ac:dyDescent="0.3">
      <c r="B16" s="38" t="s">
        <v>33</v>
      </c>
    </row>
    <row r="17" spans="2:4" x14ac:dyDescent="0.3">
      <c r="B17" s="38" t="s">
        <v>34</v>
      </c>
      <c r="D17" s="37"/>
    </row>
    <row r="18" spans="2:4" x14ac:dyDescent="0.3">
      <c r="B18" s="38" t="s">
        <v>35</v>
      </c>
      <c r="D18" s="37"/>
    </row>
    <row r="19" spans="2:4" x14ac:dyDescent="0.3">
      <c r="B19" s="38" t="s">
        <v>36</v>
      </c>
      <c r="D19" s="37"/>
    </row>
    <row r="20" spans="2:4" x14ac:dyDescent="0.3">
      <c r="B20" s="38" t="s">
        <v>37</v>
      </c>
      <c r="D20" s="37"/>
    </row>
    <row r="21" spans="2:4" x14ac:dyDescent="0.3">
      <c r="B21" s="39"/>
      <c r="C21" s="39"/>
      <c r="D21" s="39"/>
    </row>
    <row r="22" spans="2:4" x14ac:dyDescent="0.3">
      <c r="B22" s="50" t="s">
        <v>38</v>
      </c>
      <c r="D22" s="37"/>
    </row>
    <row r="23" spans="2:4" x14ac:dyDescent="0.3">
      <c r="B23" s="52" t="s">
        <v>39</v>
      </c>
    </row>
    <row r="24" spans="2:4" x14ac:dyDescent="0.3">
      <c r="B24" s="51" t="s">
        <v>40</v>
      </c>
      <c r="C24" s="39"/>
    </row>
    <row r="25" spans="2:4" x14ac:dyDescent="0.3">
      <c r="B25" s="51" t="s">
        <v>41</v>
      </c>
      <c r="C25" s="39"/>
    </row>
  </sheetData>
  <sheetProtection password="C6F9" sheet="1" objects="1" scenarios="1" selectLockedCells="1"/>
  <mergeCells count="1">
    <mergeCell ref="B8:C8"/>
  </mergeCells>
  <hyperlinks>
    <hyperlink ref="C3" r:id="rId1"/>
    <hyperlink ref="C4" r:id="rId2"/>
  </hyperlinks>
  <pageMargins left="0.75" right="0.75" top="1" bottom="1" header="0.5" footer="0.5"/>
  <pageSetup paperSize="9" orientation="portrait" horizontalDpi="4294967292" verticalDpi="4294967292"/>
  <drawing r:id="rId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Presumido</vt:lpstr>
      <vt:lpstr>MVA Ajustado ICMS - ST</vt:lpstr>
    </vt:vector>
  </TitlesOfParts>
  <Company>Grupo Fato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Adenilson Furtado</dc:creator>
  <cp:lastModifiedBy>Kleyton</cp:lastModifiedBy>
  <cp:lastPrinted>2008-04-02T12:33:00Z</cp:lastPrinted>
  <dcterms:created xsi:type="dcterms:W3CDTF">2007-12-14T18:03:42Z</dcterms:created>
  <dcterms:modified xsi:type="dcterms:W3CDTF">2017-10-03T18:50:46Z</dcterms:modified>
</cp:coreProperties>
</file>