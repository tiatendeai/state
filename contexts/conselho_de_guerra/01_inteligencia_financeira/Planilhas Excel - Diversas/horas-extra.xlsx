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\Documents\"/>
    </mc:Choice>
  </mc:AlternateContent>
  <bookViews>
    <workbookView xWindow="210" yWindow="135" windowWidth="12030" windowHeight="7305" tabRatio="717"/>
  </bookViews>
  <sheets>
    <sheet name="Samy" sheetId="61" r:id="rId1"/>
  </sheets>
  <definedNames>
    <definedName name="_xlnm.Print_Area" localSheetId="0">Samy!$A$1:$P$46</definedName>
    <definedName name="Canto_Inf_Dir" localSheetId="0">#REF!</definedName>
    <definedName name="Canto_Inf_Dir">#REF!</definedName>
    <definedName name="Canto_Sup_Esq" localSheetId="0">#REF!</definedName>
    <definedName name="Canto_Sup_Esq">#REF!</definedName>
    <definedName name="CelulaAtiva" localSheetId="0">#REF!</definedName>
    <definedName name="CelulaAtiva">#REF!</definedName>
  </definedNames>
  <calcPr calcId="152511"/>
</workbook>
</file>

<file path=xl/calcChain.xml><?xml version="1.0" encoding="utf-8"?>
<calcChain xmlns="http://schemas.openxmlformats.org/spreadsheetml/2006/main">
  <c r="G25" i="61" l="1"/>
  <c r="K44" i="61" l="1"/>
  <c r="K42" i="61"/>
  <c r="K43" i="61" s="1"/>
  <c r="J35" i="61"/>
  <c r="G35" i="61"/>
  <c r="J34" i="61"/>
  <c r="G34" i="61"/>
  <c r="J33" i="61"/>
  <c r="G33" i="61"/>
  <c r="J32" i="61"/>
  <c r="G32" i="61"/>
  <c r="J30" i="61"/>
  <c r="G30" i="61"/>
  <c r="J28" i="61"/>
  <c r="G28" i="61"/>
  <c r="J27" i="61"/>
  <c r="G27" i="61"/>
  <c r="J26" i="61"/>
  <c r="G26" i="61"/>
  <c r="J25" i="61"/>
  <c r="J23" i="61"/>
  <c r="G23" i="61"/>
  <c r="G22" i="61"/>
  <c r="J21" i="61"/>
  <c r="G21" i="61"/>
  <c r="J20" i="61"/>
  <c r="G20" i="61"/>
  <c r="J19" i="61"/>
  <c r="G19" i="61"/>
  <c r="J18" i="61"/>
  <c r="G18" i="61"/>
  <c r="J16" i="61"/>
  <c r="G16" i="61"/>
  <c r="J15" i="61"/>
  <c r="G15" i="61"/>
  <c r="J14" i="61"/>
  <c r="G14" i="61"/>
  <c r="J13" i="61"/>
  <c r="G13" i="61"/>
  <c r="J11" i="61"/>
  <c r="G11" i="61"/>
  <c r="J9" i="61"/>
  <c r="G9" i="61"/>
  <c r="J8" i="61"/>
  <c r="G8" i="61"/>
  <c r="J7" i="61"/>
  <c r="G7" i="61"/>
  <c r="J6" i="61"/>
  <c r="G6" i="61"/>
  <c r="J5" i="61"/>
  <c r="G5" i="61"/>
  <c r="K18" i="61" l="1"/>
  <c r="K20" i="61"/>
  <c r="K30" i="61"/>
  <c r="K32" i="61"/>
  <c r="L32" i="61" s="1"/>
  <c r="K34" i="61"/>
  <c r="K28" i="61"/>
  <c r="L28" i="61" s="1"/>
  <c r="K26" i="61"/>
  <c r="K23" i="61"/>
  <c r="K21" i="61"/>
  <c r="K15" i="61"/>
  <c r="K13" i="61"/>
  <c r="K5" i="61"/>
  <c r="K7" i="61"/>
  <c r="L7" i="61" s="1"/>
  <c r="K6" i="61"/>
  <c r="K8" i="61"/>
  <c r="K9" i="61"/>
  <c r="K11" i="61"/>
  <c r="K14" i="61"/>
  <c r="K16" i="61"/>
  <c r="K19" i="61"/>
  <c r="L20" i="61"/>
  <c r="M20" i="61" s="1"/>
  <c r="K22" i="61"/>
  <c r="K25" i="61"/>
  <c r="L25" i="61" s="1"/>
  <c r="K27" i="61"/>
  <c r="K33" i="61"/>
  <c r="L33" i="61" s="1"/>
  <c r="K35" i="61"/>
  <c r="L35" i="61" s="1"/>
  <c r="L5" i="61"/>
  <c r="L13" i="61"/>
  <c r="L15" i="61"/>
  <c r="L21" i="61"/>
  <c r="L23" i="61"/>
  <c r="L9" i="61"/>
  <c r="L11" i="61"/>
  <c r="L26" i="61"/>
  <c r="L30" i="61"/>
  <c r="L34" i="61"/>
  <c r="L18" i="61"/>
  <c r="L22" i="61"/>
  <c r="M1" i="61"/>
  <c r="M2" i="61" s="1"/>
  <c r="N2" i="61"/>
  <c r="L27" i="61" l="1"/>
  <c r="M27" i="61" s="1"/>
  <c r="L19" i="61"/>
  <c r="L14" i="61"/>
  <c r="N14" i="61" s="1"/>
  <c r="L6" i="61"/>
  <c r="L36" i="61" s="1"/>
  <c r="L16" i="61"/>
  <c r="K36" i="61"/>
  <c r="J39" i="61" s="1"/>
  <c r="L8" i="61"/>
  <c r="M33" i="61"/>
  <c r="M22" i="61"/>
  <c r="M18" i="61"/>
  <c r="M6" i="61"/>
  <c r="N34" i="61"/>
  <c r="M32" i="61"/>
  <c r="M30" i="61"/>
  <c r="N28" i="61"/>
  <c r="M25" i="61"/>
  <c r="M19" i="61"/>
  <c r="M11" i="61"/>
  <c r="M9" i="61"/>
  <c r="M23" i="61"/>
  <c r="N21" i="61"/>
  <c r="M15" i="61"/>
  <c r="M13" i="61"/>
  <c r="N7" i="61"/>
  <c r="M5" i="61"/>
  <c r="N35" i="61"/>
  <c r="M26" i="61"/>
  <c r="N36" i="61" l="1"/>
  <c r="J37" i="61"/>
  <c r="M8" i="61"/>
  <c r="M36" i="61" s="1"/>
  <c r="M16" i="61"/>
  <c r="J38" i="61" l="1"/>
  <c r="J41" i="61" s="1"/>
  <c r="J42" i="61"/>
  <c r="J44" i="61" l="1"/>
</calcChain>
</file>

<file path=xl/sharedStrings.xml><?xml version="1.0" encoding="utf-8"?>
<sst xmlns="http://schemas.openxmlformats.org/spreadsheetml/2006/main" count="64" uniqueCount="39">
  <si>
    <t>h</t>
  </si>
  <si>
    <t>Funcionário</t>
  </si>
  <si>
    <t xml:space="preserve">Função : </t>
  </si>
  <si>
    <t>REPOSITOR</t>
  </si>
  <si>
    <t>Salario</t>
  </si>
  <si>
    <t>1º Turno</t>
  </si>
  <si>
    <t>2º Turno</t>
  </si>
  <si>
    <t xml:space="preserve"> V</t>
  </si>
  <si>
    <t>DS</t>
  </si>
  <si>
    <t>Sm</t>
  </si>
  <si>
    <t>Car Hor/Dia</t>
  </si>
  <si>
    <t xml:space="preserve"> Entrada</t>
  </si>
  <si>
    <t>Saída</t>
  </si>
  <si>
    <t>Total1</t>
  </si>
  <si>
    <t>Entrada</t>
  </si>
  <si>
    <t>Total2</t>
  </si>
  <si>
    <t>Total Hora/Dia</t>
  </si>
  <si>
    <t>Hora-Extra</t>
  </si>
  <si>
    <t>Atrasos</t>
  </si>
  <si>
    <t>ad noturno</t>
  </si>
  <si>
    <t>Totais da Horas Extras</t>
  </si>
  <si>
    <t>Resumo:</t>
  </si>
  <si>
    <t>HE 50%</t>
  </si>
  <si>
    <t>atrasos</t>
  </si>
  <si>
    <t>Horas Extras  50% ==&gt;</t>
  </si>
  <si>
    <t>Horas Extras  60% ==&gt;</t>
  </si>
  <si>
    <t>Horas Extras  80% ==&gt;</t>
  </si>
  <si>
    <t>Total de Horas Extras</t>
  </si>
  <si>
    <t>Falta ==&gt;</t>
  </si>
  <si>
    <t>ad. Noturno</t>
  </si>
  <si>
    <t>samy Lisboa</t>
  </si>
  <si>
    <t>QUI</t>
  </si>
  <si>
    <t>SEX</t>
  </si>
  <si>
    <t>SÁB</t>
  </si>
  <si>
    <t>DOM</t>
  </si>
  <si>
    <t>SEG</t>
  </si>
  <si>
    <t>TER</t>
  </si>
  <si>
    <t>QUA</t>
  </si>
  <si>
    <t xml:space="preserve">          HORA DIFE 11/2016==&gt;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</si>
</sst>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[$-416]mmm\-yy;@"/>
    <numFmt numFmtId="166" formatCode="[h]:mm"/>
    <numFmt numFmtId="167" formatCode="[$-416]dddd\,\ d&quot; de &quot;mmmm&quot; de &quot;yyyy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7" fontId="1" fillId="0" borderId="0" applyFont="0" applyFill="0" applyBorder="0" applyAlignment="0" applyProtection="0"/>
    <xf numFmtId="0" fontId="4" fillId="0" borderId="0"/>
    <xf numFmtId="0" fontId="4" fillId="0" borderId="0"/>
    <xf numFmtId="0" fontId="3" fillId="0" borderId="0"/>
    <xf numFmtId="0" fontId="7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5" fillId="2" borderId="0" xfId="0" applyFont="1" applyFill="1"/>
    <xf numFmtId="0" fontId="1" fillId="2" borderId="0" xfId="0" applyFont="1" applyFill="1"/>
    <xf numFmtId="0" fontId="1" fillId="0" borderId="0" xfId="0" applyFont="1" applyFill="1" applyBorder="1"/>
    <xf numFmtId="0" fontId="1" fillId="0" borderId="0" xfId="0" applyFont="1" applyFill="1" applyBorder="1" applyAlignment="1">
      <alignment horizontal="right"/>
    </xf>
    <xf numFmtId="164" fontId="2" fillId="2" borderId="0" xfId="0" applyNumberFormat="1" applyFont="1" applyFill="1"/>
    <xf numFmtId="164" fontId="1" fillId="0" borderId="0" xfId="0" applyNumberFormat="1" applyFont="1" applyFill="1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0" xfId="0" applyNumberFormat="1" applyFont="1"/>
    <xf numFmtId="0" fontId="2" fillId="2" borderId="0" xfId="0" applyFont="1" applyFill="1"/>
    <xf numFmtId="165" fontId="5" fillId="0" borderId="0" xfId="0" applyNumberFormat="1" applyFont="1"/>
    <xf numFmtId="164" fontId="2" fillId="0" borderId="0" xfId="0" applyNumberFormat="1" applyFont="1" applyFill="1"/>
    <xf numFmtId="164" fontId="2" fillId="2" borderId="2" xfId="9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164" fontId="2" fillId="3" borderId="3" xfId="9" applyFont="1" applyFill="1" applyBorder="1"/>
    <xf numFmtId="164" fontId="1" fillId="0" borderId="0" xfId="9" applyFont="1" applyFill="1"/>
    <xf numFmtId="2" fontId="1" fillId="0" borderId="0" xfId="9" applyNumberFormat="1" applyFont="1"/>
    <xf numFmtId="164" fontId="1" fillId="0" borderId="0" xfId="9" applyFont="1"/>
    <xf numFmtId="0" fontId="9" fillId="0" borderId="0" xfId="0" applyFont="1"/>
    <xf numFmtId="0" fontId="2" fillId="0" borderId="4" xfId="0" applyFont="1" applyBorder="1"/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7" xfId="0" applyFont="1" applyBorder="1"/>
    <xf numFmtId="166" fontId="2" fillId="0" borderId="8" xfId="0" applyNumberFormat="1" applyFont="1" applyBorder="1" applyAlignment="1" applyProtection="1">
      <alignment horizontal="center"/>
      <protection hidden="1"/>
    </xf>
    <xf numFmtId="0" fontId="1" fillId="0" borderId="9" xfId="0" applyFont="1" applyFill="1" applyBorder="1"/>
    <xf numFmtId="9" fontId="2" fillId="0" borderId="9" xfId="0" applyNumberFormat="1" applyFont="1" applyFill="1" applyBorder="1"/>
    <xf numFmtId="166" fontId="1" fillId="0" borderId="0" xfId="9" applyNumberFormat="1" applyFont="1"/>
    <xf numFmtId="166" fontId="2" fillId="3" borderId="10" xfId="9" applyNumberFormat="1" applyFont="1" applyFill="1" applyBorder="1" applyAlignment="1" applyProtection="1">
      <alignment horizontal="right"/>
      <protection hidden="1"/>
    </xf>
    <xf numFmtId="166" fontId="1" fillId="0" borderId="0" xfId="0" applyNumberFormat="1" applyFont="1" applyFill="1"/>
    <xf numFmtId="1" fontId="7" fillId="0" borderId="11" xfId="5" applyNumberFormat="1" applyFont="1" applyBorder="1"/>
    <xf numFmtId="0" fontId="7" fillId="0" borderId="11" xfId="5" applyNumberFormat="1" applyFont="1" applyBorder="1"/>
    <xf numFmtId="20" fontId="10" fillId="0" borderId="9" xfId="0" applyNumberFormat="1" applyFont="1" applyFill="1" applyBorder="1" applyAlignment="1">
      <alignment horizontal="center"/>
    </xf>
    <xf numFmtId="14" fontId="11" fillId="0" borderId="11" xfId="5" applyNumberFormat="1" applyFont="1" applyBorder="1"/>
    <xf numFmtId="20" fontId="1" fillId="0" borderId="9" xfId="0" applyNumberFormat="1" applyFont="1" applyFill="1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/>
    <xf numFmtId="166" fontId="1" fillId="0" borderId="0" xfId="0" applyNumberFormat="1" applyFont="1"/>
    <xf numFmtId="166" fontId="2" fillId="0" borderId="0" xfId="0" applyNumberFormat="1" applyFont="1" applyBorder="1" applyAlignment="1" applyProtection="1">
      <alignment horizontal="center"/>
      <protection hidden="1"/>
    </xf>
    <xf numFmtId="166" fontId="0" fillId="0" borderId="0" xfId="0" applyNumberFormat="1"/>
    <xf numFmtId="0" fontId="1" fillId="0" borderId="14" xfId="0" applyFont="1" applyFill="1" applyBorder="1"/>
    <xf numFmtId="166" fontId="2" fillId="0" borderId="9" xfId="0" applyNumberFormat="1" applyFont="1" applyBorder="1" applyAlignment="1" applyProtection="1">
      <alignment horizontal="center"/>
      <protection hidden="1"/>
    </xf>
    <xf numFmtId="20" fontId="10" fillId="0" borderId="9" xfId="7" applyNumberFormat="1" applyFont="1" applyFill="1" applyBorder="1" applyAlignment="1">
      <alignment horizontal="center"/>
    </xf>
    <xf numFmtId="20" fontId="12" fillId="0" borderId="9" xfId="0" applyNumberFormat="1" applyFont="1" applyFill="1" applyBorder="1"/>
    <xf numFmtId="1" fontId="7" fillId="0" borderId="11" xfId="5" applyNumberFormat="1" applyFont="1" applyFill="1" applyBorder="1"/>
    <xf numFmtId="166" fontId="2" fillId="0" borderId="9" xfId="0" applyNumberFormat="1" applyFont="1" applyFill="1" applyBorder="1" applyAlignment="1" applyProtection="1">
      <alignment horizontal="center"/>
      <protection hidden="1"/>
    </xf>
    <xf numFmtId="20" fontId="2" fillId="0" borderId="9" xfId="0" applyNumberFormat="1" applyFont="1" applyFill="1" applyBorder="1" applyAlignment="1">
      <alignment horizontal="center"/>
    </xf>
    <xf numFmtId="166" fontId="13" fillId="0" borderId="0" xfId="0" applyNumberFormat="1" applyFont="1"/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1">
    <cellStyle name="Moeda 2" xfId="1"/>
    <cellStyle name="Normal" xfId="0" builtinId="0"/>
    <cellStyle name="Normal 2" xfId="2"/>
    <cellStyle name="Normal 2 2" xfId="3"/>
    <cellStyle name="Normal 3" xfId="4"/>
    <cellStyle name="Normal_HORA" xfId="5"/>
    <cellStyle name="Porcentagem 2" xfId="6"/>
    <cellStyle name="Separador de milhares 2" xfId="7"/>
    <cellStyle name="Separador de milhares 2 2" xfId="8"/>
    <cellStyle name="Separador de milhares 2 2 2" xfId="9"/>
    <cellStyle name="Separador de milhares 3" xfId="10"/>
  </cellStyles>
  <dxfs count="1"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abSelected="1" zoomScale="80" zoomScaleNormal="80" workbookViewId="0">
      <selection activeCell="K36" sqref="K36:N36"/>
    </sheetView>
  </sheetViews>
  <sheetFormatPr defaultRowHeight="12.75" x14ac:dyDescent="0.2"/>
  <cols>
    <col min="1" max="1" width="10.85546875" bestFit="1" customWidth="1"/>
    <col min="2" max="2" width="4" customWidth="1"/>
    <col min="3" max="3" width="5.42578125" customWidth="1"/>
    <col min="6" max="6" width="9.7109375" customWidth="1"/>
    <col min="14" max="14" width="10.85546875" bestFit="1" customWidth="1"/>
  </cols>
  <sheetData>
    <row r="1" spans="1:16" ht="15.75" x14ac:dyDescent="0.25">
      <c r="A1" s="1" t="s">
        <v>0</v>
      </c>
      <c r="B1" s="3"/>
      <c r="C1" s="4" t="s">
        <v>1</v>
      </c>
      <c r="D1" s="5" t="s">
        <v>30</v>
      </c>
      <c r="E1" s="17"/>
      <c r="F1" s="6"/>
      <c r="G1" s="6"/>
      <c r="H1" s="6"/>
      <c r="I1" s="6"/>
      <c r="J1" s="18">
        <v>42216</v>
      </c>
      <c r="K1" s="1"/>
      <c r="L1" s="2"/>
      <c r="M1" s="19">
        <f>J2/220</f>
        <v>4.0425000000000004</v>
      </c>
      <c r="N1" s="2"/>
      <c r="O1" s="24"/>
      <c r="P1" s="2"/>
    </row>
    <row r="2" spans="1:16" x14ac:dyDescent="0.2">
      <c r="A2" s="2"/>
      <c r="B2" s="7"/>
      <c r="C2" s="8" t="s">
        <v>2</v>
      </c>
      <c r="D2" s="9" t="s">
        <v>3</v>
      </c>
      <c r="E2" s="17"/>
      <c r="F2" s="6"/>
      <c r="G2" s="6"/>
      <c r="H2" s="2"/>
      <c r="I2" s="8" t="s">
        <v>4</v>
      </c>
      <c r="J2" s="20">
        <v>889.35</v>
      </c>
      <c r="K2" s="7"/>
      <c r="L2" s="2"/>
      <c r="M2" s="10">
        <f>M1*M4</f>
        <v>2.0212500000000002</v>
      </c>
      <c r="N2" s="10">
        <f>M1*N4</f>
        <v>2.4255</v>
      </c>
      <c r="O2" s="24"/>
      <c r="P2" s="2"/>
    </row>
    <row r="3" spans="1:16" x14ac:dyDescent="0.2">
      <c r="A3" s="1"/>
      <c r="B3" s="1"/>
      <c r="C3" s="1"/>
      <c r="D3" s="57" t="s">
        <v>5</v>
      </c>
      <c r="E3" s="57"/>
      <c r="F3" s="57"/>
      <c r="G3" s="57" t="s">
        <v>6</v>
      </c>
      <c r="H3" s="57"/>
      <c r="I3" s="57"/>
      <c r="J3" s="11"/>
      <c r="K3" s="1"/>
      <c r="L3" s="2"/>
      <c r="M3" s="2"/>
      <c r="N3" s="2"/>
      <c r="O3" s="24"/>
      <c r="P3" s="2"/>
    </row>
    <row r="4" spans="1:16" x14ac:dyDescent="0.2">
      <c r="A4" s="12" t="s">
        <v>7</v>
      </c>
      <c r="B4" s="13" t="s">
        <v>8</v>
      </c>
      <c r="C4" s="14" t="s">
        <v>9</v>
      </c>
      <c r="D4" s="28" t="s">
        <v>10</v>
      </c>
      <c r="E4" s="29" t="s">
        <v>11</v>
      </c>
      <c r="F4" s="30" t="s">
        <v>12</v>
      </c>
      <c r="G4" s="31" t="s">
        <v>13</v>
      </c>
      <c r="H4" s="29" t="s">
        <v>14</v>
      </c>
      <c r="I4" s="30" t="s">
        <v>12</v>
      </c>
      <c r="J4" s="31" t="s">
        <v>15</v>
      </c>
      <c r="K4" s="28" t="s">
        <v>16</v>
      </c>
      <c r="L4" s="32" t="s">
        <v>17</v>
      </c>
      <c r="M4" s="35">
        <v>0.5</v>
      </c>
      <c r="N4" s="35">
        <v>0.6</v>
      </c>
      <c r="O4" s="49" t="s">
        <v>18</v>
      </c>
      <c r="P4" s="34" t="s">
        <v>19</v>
      </c>
    </row>
    <row r="5" spans="1:16" x14ac:dyDescent="0.2">
      <c r="A5" s="42">
        <v>42705</v>
      </c>
      <c r="B5" s="39">
        <v>1</v>
      </c>
      <c r="C5" s="40" t="s">
        <v>31</v>
      </c>
      <c r="D5" s="55">
        <v>0.33333333333333331</v>
      </c>
      <c r="E5" s="43">
        <v>0.33333333333333331</v>
      </c>
      <c r="F5" s="41">
        <v>0.50138888888888888</v>
      </c>
      <c r="G5" s="41">
        <f t="shared" ref="G5:G35" si="0">F5-E5</f>
        <v>0.16805555555555557</v>
      </c>
      <c r="H5" s="41">
        <v>0.67083333333333339</v>
      </c>
      <c r="I5" s="41">
        <v>0.85138888888888886</v>
      </c>
      <c r="J5" s="41">
        <f t="shared" ref="J5:J35" si="1">I5-H5</f>
        <v>0.18055555555555547</v>
      </c>
      <c r="K5" s="51">
        <f t="shared" ref="K5:K35" si="2">J5+G5</f>
        <v>0.34861111111111104</v>
      </c>
      <c r="L5" s="41">
        <f t="shared" ref="L5:L35" si="3">K5-D5</f>
        <v>1.5277777777777724E-2</v>
      </c>
      <c r="M5" s="41">
        <f t="shared" ref="M5:M33" si="4">L5</f>
        <v>1.5277777777777724E-2</v>
      </c>
      <c r="N5" s="41"/>
      <c r="O5" s="52"/>
      <c r="P5" s="50"/>
    </row>
    <row r="6" spans="1:16" x14ac:dyDescent="0.2">
      <c r="A6" s="42">
        <v>42706</v>
      </c>
      <c r="B6" s="39">
        <v>2</v>
      </c>
      <c r="C6" s="40" t="s">
        <v>32</v>
      </c>
      <c r="D6" s="55">
        <v>0.33333333333333331</v>
      </c>
      <c r="E6" s="43">
        <v>0.33680555555555558</v>
      </c>
      <c r="F6" s="41">
        <v>0.50208333333333333</v>
      </c>
      <c r="G6" s="41">
        <f t="shared" si="0"/>
        <v>0.16527777777777775</v>
      </c>
      <c r="H6" s="41">
        <v>0.62916666666666665</v>
      </c>
      <c r="I6" s="41">
        <v>0.8125</v>
      </c>
      <c r="J6" s="41">
        <f t="shared" si="1"/>
        <v>0.18333333333333335</v>
      </c>
      <c r="K6" s="51">
        <f t="shared" si="2"/>
        <v>0.34861111111111109</v>
      </c>
      <c r="L6" s="41">
        <f t="shared" si="3"/>
        <v>1.5277777777777779E-2</v>
      </c>
      <c r="M6" s="41">
        <f t="shared" si="4"/>
        <v>1.5277777777777779E-2</v>
      </c>
      <c r="N6" s="41"/>
      <c r="O6" s="52"/>
      <c r="P6" s="50"/>
    </row>
    <row r="7" spans="1:16" x14ac:dyDescent="0.2">
      <c r="A7" s="42">
        <v>42707</v>
      </c>
      <c r="B7" s="53">
        <v>3</v>
      </c>
      <c r="C7" s="40" t="s">
        <v>33</v>
      </c>
      <c r="D7" s="55">
        <v>0.25</v>
      </c>
      <c r="E7" s="43">
        <v>0.33819444444444446</v>
      </c>
      <c r="F7" s="41">
        <v>0.5</v>
      </c>
      <c r="G7" s="41">
        <f t="shared" si="0"/>
        <v>0.16180555555555554</v>
      </c>
      <c r="H7" s="41">
        <v>0.66666666666666663</v>
      </c>
      <c r="I7" s="41">
        <v>0.84027777777777779</v>
      </c>
      <c r="J7" s="41">
        <f t="shared" si="1"/>
        <v>0.17361111111111116</v>
      </c>
      <c r="K7" s="51">
        <f t="shared" si="2"/>
        <v>0.3354166666666667</v>
      </c>
      <c r="L7" s="41">
        <f t="shared" si="3"/>
        <v>8.5416666666666696E-2</v>
      </c>
      <c r="M7" s="41">
        <v>8.3333333333333329E-2</v>
      </c>
      <c r="N7" s="41">
        <f t="shared" ref="N7" si="5">L7-M7</f>
        <v>2.0833333333333676E-3</v>
      </c>
      <c r="O7" s="52"/>
      <c r="P7" s="54"/>
    </row>
    <row r="8" spans="1:16" x14ac:dyDescent="0.2">
      <c r="A8" s="42">
        <v>42708</v>
      </c>
      <c r="B8" s="39">
        <v>4</v>
      </c>
      <c r="C8" s="40" t="s">
        <v>34</v>
      </c>
      <c r="D8" s="55">
        <v>0.16666666666666666</v>
      </c>
      <c r="E8" s="43">
        <v>0.33402777777777781</v>
      </c>
      <c r="F8" s="41">
        <v>0.51597222222222217</v>
      </c>
      <c r="G8" s="41">
        <f t="shared" si="0"/>
        <v>0.18194444444444435</v>
      </c>
      <c r="H8" s="41"/>
      <c r="I8" s="41"/>
      <c r="J8" s="41">
        <f t="shared" si="1"/>
        <v>0</v>
      </c>
      <c r="K8" s="51">
        <f t="shared" si="2"/>
        <v>0.18194444444444435</v>
      </c>
      <c r="L8" s="41">
        <f t="shared" si="3"/>
        <v>1.5277777777777696E-2</v>
      </c>
      <c r="M8" s="41">
        <f t="shared" si="4"/>
        <v>1.5277777777777696E-2</v>
      </c>
      <c r="N8" s="41"/>
      <c r="O8" s="52"/>
      <c r="P8" s="54"/>
    </row>
    <row r="9" spans="1:16" x14ac:dyDescent="0.2">
      <c r="A9" s="42">
        <v>42709</v>
      </c>
      <c r="B9" s="39">
        <v>5</v>
      </c>
      <c r="C9" s="40" t="s">
        <v>35</v>
      </c>
      <c r="D9" s="55">
        <v>0.33333333333333298</v>
      </c>
      <c r="E9" s="43">
        <v>0.3347222222222222</v>
      </c>
      <c r="F9" s="41">
        <v>0.50069444444444444</v>
      </c>
      <c r="G9" s="41">
        <f t="shared" si="0"/>
        <v>0.16597222222222224</v>
      </c>
      <c r="H9" s="41">
        <v>0.66736111111111107</v>
      </c>
      <c r="I9" s="41">
        <v>0.84722222222222221</v>
      </c>
      <c r="J9" s="41">
        <f t="shared" si="1"/>
        <v>0.17986111111111114</v>
      </c>
      <c r="K9" s="51">
        <f t="shared" si="2"/>
        <v>0.34583333333333338</v>
      </c>
      <c r="L9" s="41">
        <f t="shared" si="3"/>
        <v>1.25000000000004E-2</v>
      </c>
      <c r="M9" s="41">
        <f t="shared" si="4"/>
        <v>1.25000000000004E-2</v>
      </c>
      <c r="N9" s="41"/>
      <c r="O9" s="52"/>
      <c r="P9" s="54"/>
    </row>
    <row r="10" spans="1:16" x14ac:dyDescent="0.2">
      <c r="A10" s="42">
        <v>42710</v>
      </c>
      <c r="B10" s="39">
        <v>6</v>
      </c>
      <c r="C10" s="40" t="s">
        <v>36</v>
      </c>
      <c r="D10" s="55"/>
      <c r="E10" s="43"/>
      <c r="F10" s="41"/>
      <c r="G10" s="41"/>
      <c r="H10" s="41"/>
      <c r="I10" s="41"/>
      <c r="J10" s="41"/>
      <c r="K10" s="51"/>
      <c r="L10" s="41"/>
      <c r="M10" s="41"/>
      <c r="N10" s="41"/>
      <c r="O10" s="52"/>
      <c r="P10" s="54"/>
    </row>
    <row r="11" spans="1:16" x14ac:dyDescent="0.2">
      <c r="A11" s="42">
        <v>42711</v>
      </c>
      <c r="B11" s="39">
        <v>7</v>
      </c>
      <c r="C11" s="40" t="s">
        <v>37</v>
      </c>
      <c r="D11" s="55">
        <v>0.33333333333333298</v>
      </c>
      <c r="E11" s="43">
        <v>0.33402777777777781</v>
      </c>
      <c r="F11" s="41">
        <v>0.5</v>
      </c>
      <c r="G11" s="41">
        <f t="shared" si="0"/>
        <v>0.16597222222222219</v>
      </c>
      <c r="H11" s="41">
        <v>0.66666666666666663</v>
      </c>
      <c r="I11" s="41">
        <v>0.84305555555555556</v>
      </c>
      <c r="J11" s="41">
        <f t="shared" si="1"/>
        <v>0.17638888888888893</v>
      </c>
      <c r="K11" s="51">
        <f t="shared" si="2"/>
        <v>0.34236111111111112</v>
      </c>
      <c r="L11" s="41">
        <f t="shared" si="3"/>
        <v>9.0277777777781343E-3</v>
      </c>
      <c r="M11" s="41">
        <f t="shared" si="4"/>
        <v>9.0277777777781343E-3</v>
      </c>
      <c r="N11" s="41"/>
      <c r="O11" s="52"/>
      <c r="P11" s="54"/>
    </row>
    <row r="12" spans="1:16" x14ac:dyDescent="0.2">
      <c r="A12" s="42">
        <v>42712</v>
      </c>
      <c r="B12" s="39">
        <v>8</v>
      </c>
      <c r="C12" s="40" t="s">
        <v>31</v>
      </c>
      <c r="D12" s="55"/>
      <c r="E12" s="43"/>
      <c r="F12" s="41"/>
      <c r="G12" s="41"/>
      <c r="H12" s="41"/>
      <c r="I12" s="41"/>
      <c r="J12" s="41"/>
      <c r="K12" s="51"/>
      <c r="L12" s="41"/>
      <c r="M12" s="41"/>
      <c r="N12" s="41"/>
      <c r="O12" s="52"/>
      <c r="P12" s="54"/>
    </row>
    <row r="13" spans="1:16" x14ac:dyDescent="0.2">
      <c r="A13" s="42">
        <v>42713</v>
      </c>
      <c r="B13" s="39">
        <v>9</v>
      </c>
      <c r="C13" s="40" t="s">
        <v>32</v>
      </c>
      <c r="D13" s="55">
        <v>0.33333333333333298</v>
      </c>
      <c r="E13" s="43">
        <v>0.33333333333333298</v>
      </c>
      <c r="F13" s="41">
        <v>0.50208333333333333</v>
      </c>
      <c r="G13" s="41">
        <f t="shared" si="0"/>
        <v>0.16875000000000034</v>
      </c>
      <c r="H13" s="41">
        <v>0.66666666666666663</v>
      </c>
      <c r="I13" s="41">
        <v>0.85277777777777775</v>
      </c>
      <c r="J13" s="41">
        <f t="shared" si="1"/>
        <v>0.18611111111111112</v>
      </c>
      <c r="K13" s="51">
        <f t="shared" si="2"/>
        <v>0.35486111111111146</v>
      </c>
      <c r="L13" s="41">
        <f t="shared" si="3"/>
        <v>2.1527777777778478E-2</v>
      </c>
      <c r="M13" s="41">
        <f t="shared" si="4"/>
        <v>2.1527777777778478E-2</v>
      </c>
      <c r="N13" s="41"/>
      <c r="O13" s="52"/>
      <c r="P13" s="54"/>
    </row>
    <row r="14" spans="1:16" x14ac:dyDescent="0.2">
      <c r="A14" s="42">
        <v>42714</v>
      </c>
      <c r="B14" s="53">
        <v>10</v>
      </c>
      <c r="C14" s="40" t="s">
        <v>33</v>
      </c>
      <c r="D14" s="55">
        <v>0.25</v>
      </c>
      <c r="E14" s="43">
        <v>0.3347222222222222</v>
      </c>
      <c r="F14" s="41">
        <v>0.5</v>
      </c>
      <c r="G14" s="41">
        <f t="shared" si="0"/>
        <v>0.1652777777777778</v>
      </c>
      <c r="H14" s="41">
        <v>0.66666666666666663</v>
      </c>
      <c r="I14" s="41">
        <v>0.84375</v>
      </c>
      <c r="J14" s="41">
        <f t="shared" si="1"/>
        <v>0.17708333333333337</v>
      </c>
      <c r="K14" s="51">
        <f t="shared" si="2"/>
        <v>0.34236111111111117</v>
      </c>
      <c r="L14" s="41">
        <f t="shared" si="3"/>
        <v>9.2361111111111172E-2</v>
      </c>
      <c r="M14" s="41">
        <v>8.3333333333333329E-2</v>
      </c>
      <c r="N14" s="41">
        <f t="shared" ref="N14:N35" si="6">L14-M14</f>
        <v>9.0277777777778428E-3</v>
      </c>
      <c r="O14" s="52"/>
      <c r="P14" s="54"/>
    </row>
    <row r="15" spans="1:16" x14ac:dyDescent="0.2">
      <c r="A15" s="42">
        <v>42715</v>
      </c>
      <c r="B15" s="39">
        <v>11</v>
      </c>
      <c r="C15" s="40" t="s">
        <v>34</v>
      </c>
      <c r="D15" s="55">
        <v>0.16666666666666666</v>
      </c>
      <c r="E15" s="43">
        <v>0.33333333333333331</v>
      </c>
      <c r="F15" s="41">
        <v>0.51250000000000007</v>
      </c>
      <c r="G15" s="41">
        <f t="shared" si="0"/>
        <v>0.17916666666666675</v>
      </c>
      <c r="H15" s="41"/>
      <c r="I15" s="41"/>
      <c r="J15" s="41">
        <f t="shared" si="1"/>
        <v>0</v>
      </c>
      <c r="K15" s="51">
        <f t="shared" si="2"/>
        <v>0.17916666666666675</v>
      </c>
      <c r="L15" s="41">
        <f t="shared" si="3"/>
        <v>1.2500000000000094E-2</v>
      </c>
      <c r="M15" s="41">
        <f t="shared" si="4"/>
        <v>1.2500000000000094E-2</v>
      </c>
      <c r="N15" s="41"/>
      <c r="O15" s="52"/>
      <c r="P15" s="54"/>
    </row>
    <row r="16" spans="1:16" x14ac:dyDescent="0.2">
      <c r="A16" s="42">
        <v>42716</v>
      </c>
      <c r="B16" s="39">
        <v>12</v>
      </c>
      <c r="C16" s="40" t="s">
        <v>35</v>
      </c>
      <c r="D16" s="55">
        <v>0.33333333333333298</v>
      </c>
      <c r="E16" s="43">
        <v>0.33333333333333331</v>
      </c>
      <c r="F16" s="41">
        <v>0.5</v>
      </c>
      <c r="G16" s="41">
        <f t="shared" si="0"/>
        <v>0.16666666666666669</v>
      </c>
      <c r="H16" s="41">
        <v>0.66736111111111107</v>
      </c>
      <c r="I16" s="41">
        <v>0.84444444444444444</v>
      </c>
      <c r="J16" s="41">
        <f t="shared" si="1"/>
        <v>0.17708333333333337</v>
      </c>
      <c r="K16" s="51">
        <f t="shared" si="2"/>
        <v>0.34375000000000006</v>
      </c>
      <c r="L16" s="41">
        <f t="shared" si="3"/>
        <v>1.0416666666667074E-2</v>
      </c>
      <c r="M16" s="41">
        <f t="shared" si="4"/>
        <v>1.0416666666667074E-2</v>
      </c>
      <c r="N16" s="41"/>
      <c r="O16" s="52"/>
      <c r="P16" s="54"/>
    </row>
    <row r="17" spans="1:16" x14ac:dyDescent="0.2">
      <c r="A17" s="42">
        <v>42717</v>
      </c>
      <c r="B17" s="39">
        <v>13</v>
      </c>
      <c r="C17" s="40" t="s">
        <v>36</v>
      </c>
      <c r="D17" s="55"/>
      <c r="E17" s="43"/>
      <c r="F17" s="41"/>
      <c r="G17" s="41"/>
      <c r="H17" s="41"/>
      <c r="I17" s="41"/>
      <c r="J17" s="41"/>
      <c r="K17" s="51"/>
      <c r="L17" s="41"/>
      <c r="M17" s="41"/>
      <c r="N17" s="41"/>
      <c r="O17" s="52"/>
      <c r="P17" s="54"/>
    </row>
    <row r="18" spans="1:16" x14ac:dyDescent="0.2">
      <c r="A18" s="42">
        <v>42718</v>
      </c>
      <c r="B18" s="39">
        <v>14</v>
      </c>
      <c r="C18" s="40" t="s">
        <v>37</v>
      </c>
      <c r="D18" s="55">
        <v>0.33333333333333298</v>
      </c>
      <c r="E18" s="43">
        <v>0.3354166666666667</v>
      </c>
      <c r="F18" s="41">
        <v>0.50416666666666665</v>
      </c>
      <c r="G18" s="41">
        <f t="shared" si="0"/>
        <v>0.16874999999999996</v>
      </c>
      <c r="H18" s="41">
        <v>0.66666666666666663</v>
      </c>
      <c r="I18" s="41">
        <v>0.84861111111111109</v>
      </c>
      <c r="J18" s="41">
        <f t="shared" si="1"/>
        <v>0.18194444444444446</v>
      </c>
      <c r="K18" s="51">
        <f t="shared" si="2"/>
        <v>0.35069444444444442</v>
      </c>
      <c r="L18" s="41">
        <f t="shared" si="3"/>
        <v>1.7361111111111438E-2</v>
      </c>
      <c r="M18" s="41">
        <f t="shared" si="4"/>
        <v>1.7361111111111438E-2</v>
      </c>
      <c r="N18" s="41"/>
      <c r="O18" s="52"/>
      <c r="P18" s="54"/>
    </row>
    <row r="19" spans="1:16" x14ac:dyDescent="0.2">
      <c r="A19" s="42">
        <v>42719</v>
      </c>
      <c r="B19" s="39">
        <v>15</v>
      </c>
      <c r="C19" s="40" t="s">
        <v>31</v>
      </c>
      <c r="D19" s="55">
        <v>0.33333333333333298</v>
      </c>
      <c r="E19" s="43">
        <v>0.3354166666666667</v>
      </c>
      <c r="F19" s="41">
        <v>0.50208333333333333</v>
      </c>
      <c r="G19" s="41">
        <f t="shared" si="0"/>
        <v>0.16666666666666663</v>
      </c>
      <c r="H19" s="41">
        <v>0.66666666666666663</v>
      </c>
      <c r="I19" s="41">
        <v>0.84236111111111101</v>
      </c>
      <c r="J19" s="41">
        <f t="shared" si="1"/>
        <v>0.17569444444444438</v>
      </c>
      <c r="K19" s="51">
        <f t="shared" si="2"/>
        <v>0.34236111111111101</v>
      </c>
      <c r="L19" s="41">
        <f t="shared" si="3"/>
        <v>9.0277777777780233E-3</v>
      </c>
      <c r="M19" s="41">
        <f t="shared" si="4"/>
        <v>9.0277777777780233E-3</v>
      </c>
      <c r="N19" s="41"/>
      <c r="O19" s="52"/>
      <c r="P19" s="54"/>
    </row>
    <row r="20" spans="1:16" x14ac:dyDescent="0.2">
      <c r="A20" s="42">
        <v>42720</v>
      </c>
      <c r="B20" s="39">
        <v>16</v>
      </c>
      <c r="C20" s="40" t="s">
        <v>32</v>
      </c>
      <c r="D20" s="55">
        <v>0.33333333333333298</v>
      </c>
      <c r="E20" s="43">
        <v>0.33958333333333335</v>
      </c>
      <c r="F20" s="41">
        <v>0.50624999999999998</v>
      </c>
      <c r="G20" s="41">
        <f t="shared" si="0"/>
        <v>0.16666666666666663</v>
      </c>
      <c r="H20" s="41">
        <v>0.66805555555555562</v>
      </c>
      <c r="I20" s="41">
        <v>0.84791666666666676</v>
      </c>
      <c r="J20" s="41">
        <f t="shared" si="1"/>
        <v>0.17986111111111114</v>
      </c>
      <c r="K20" s="51">
        <f t="shared" si="2"/>
        <v>0.34652777777777777</v>
      </c>
      <c r="L20" s="41">
        <f t="shared" si="3"/>
        <v>1.3194444444444786E-2</v>
      </c>
      <c r="M20" s="41">
        <f t="shared" si="4"/>
        <v>1.3194444444444786E-2</v>
      </c>
      <c r="N20" s="41"/>
      <c r="O20" s="52"/>
      <c r="P20" s="54"/>
    </row>
    <row r="21" spans="1:16" x14ac:dyDescent="0.2">
      <c r="A21" s="42">
        <v>42721</v>
      </c>
      <c r="B21" s="53">
        <v>17</v>
      </c>
      <c r="C21" s="40" t="s">
        <v>33</v>
      </c>
      <c r="D21" s="55">
        <v>0.25</v>
      </c>
      <c r="E21" s="43">
        <v>0.33958333333333335</v>
      </c>
      <c r="F21" s="41">
        <v>0.54652777777777783</v>
      </c>
      <c r="G21" s="41">
        <f t="shared" si="0"/>
        <v>0.20694444444444449</v>
      </c>
      <c r="H21" s="41">
        <v>0.62986111111111109</v>
      </c>
      <c r="I21" s="41">
        <v>0.84027777777777779</v>
      </c>
      <c r="J21" s="41">
        <f t="shared" si="1"/>
        <v>0.2104166666666667</v>
      </c>
      <c r="K21" s="51">
        <f t="shared" si="2"/>
        <v>0.41736111111111118</v>
      </c>
      <c r="L21" s="41">
        <f t="shared" si="3"/>
        <v>0.16736111111111118</v>
      </c>
      <c r="M21" s="41">
        <v>8.3333333333333329E-2</v>
      </c>
      <c r="N21" s="41">
        <f t="shared" si="6"/>
        <v>8.4027777777777854E-2</v>
      </c>
      <c r="O21" s="52"/>
      <c r="P21" s="54"/>
    </row>
    <row r="22" spans="1:16" x14ac:dyDescent="0.2">
      <c r="A22" s="42">
        <v>42722</v>
      </c>
      <c r="B22" s="39">
        <v>18</v>
      </c>
      <c r="C22" s="40" t="s">
        <v>34</v>
      </c>
      <c r="D22" s="55">
        <v>0.16666666666666666</v>
      </c>
      <c r="E22" s="43">
        <v>0.33611111111111108</v>
      </c>
      <c r="F22" s="41">
        <v>0.5229166666666667</v>
      </c>
      <c r="G22" s="41">
        <f t="shared" si="0"/>
        <v>0.18680555555555561</v>
      </c>
      <c r="H22" s="41"/>
      <c r="I22" s="41"/>
      <c r="J22" s="41"/>
      <c r="K22" s="51">
        <f t="shared" si="2"/>
        <v>0.18680555555555561</v>
      </c>
      <c r="L22" s="41">
        <f t="shared" si="3"/>
        <v>2.0138888888888956E-2</v>
      </c>
      <c r="M22" s="41">
        <f t="shared" si="4"/>
        <v>2.0138888888888956E-2</v>
      </c>
      <c r="N22" s="41"/>
      <c r="O22" s="52"/>
      <c r="P22" s="54"/>
    </row>
    <row r="23" spans="1:16" x14ac:dyDescent="0.2">
      <c r="A23" s="42">
        <v>42723</v>
      </c>
      <c r="B23" s="39">
        <v>19</v>
      </c>
      <c r="C23" s="40" t="s">
        <v>35</v>
      </c>
      <c r="D23" s="55">
        <v>0.33333333333333298</v>
      </c>
      <c r="E23" s="43">
        <v>0.33333333333333298</v>
      </c>
      <c r="F23" s="41">
        <v>0.50208333333333333</v>
      </c>
      <c r="G23" s="41">
        <f t="shared" si="0"/>
        <v>0.16875000000000034</v>
      </c>
      <c r="H23" s="41">
        <v>0.66875000000000007</v>
      </c>
      <c r="I23" s="41">
        <v>0.84444444444444444</v>
      </c>
      <c r="J23" s="41">
        <f t="shared" si="1"/>
        <v>0.17569444444444438</v>
      </c>
      <c r="K23" s="51">
        <f t="shared" si="2"/>
        <v>0.34444444444444472</v>
      </c>
      <c r="L23" s="41">
        <f t="shared" si="3"/>
        <v>1.1111111111111738E-2</v>
      </c>
      <c r="M23" s="41">
        <f t="shared" si="4"/>
        <v>1.1111111111111738E-2</v>
      </c>
      <c r="N23" s="41"/>
      <c r="O23" s="52"/>
      <c r="P23" s="54"/>
    </row>
    <row r="24" spans="1:16" x14ac:dyDescent="0.2">
      <c r="A24" s="42">
        <v>42724</v>
      </c>
      <c r="B24" s="39">
        <v>20</v>
      </c>
      <c r="C24" s="40" t="s">
        <v>36</v>
      </c>
      <c r="D24" s="55"/>
      <c r="E24" s="43"/>
      <c r="F24" s="41"/>
      <c r="G24" s="41"/>
      <c r="H24" s="41"/>
      <c r="I24" s="41"/>
      <c r="J24" s="41"/>
      <c r="K24" s="51"/>
      <c r="L24" s="41"/>
      <c r="M24" s="41"/>
      <c r="N24" s="41"/>
      <c r="O24" s="52"/>
      <c r="P24" s="54"/>
    </row>
    <row r="25" spans="1:16" x14ac:dyDescent="0.2">
      <c r="A25" s="42">
        <v>42725</v>
      </c>
      <c r="B25" s="53">
        <v>21</v>
      </c>
      <c r="C25" s="40" t="s">
        <v>37</v>
      </c>
      <c r="D25" s="55">
        <v>0.33333333333333298</v>
      </c>
      <c r="E25" s="43">
        <v>0.33819444444444446</v>
      </c>
      <c r="F25" s="41">
        <v>0.50486111111111109</v>
      </c>
      <c r="G25" s="41">
        <f>F25-E25</f>
        <v>0.16666666666666663</v>
      </c>
      <c r="H25" s="41">
        <v>0.66666666666666663</v>
      </c>
      <c r="I25" s="41">
        <v>0.85138888888888886</v>
      </c>
      <c r="J25" s="41">
        <f t="shared" si="1"/>
        <v>0.18472222222222223</v>
      </c>
      <c r="K25" s="51">
        <f t="shared" si="2"/>
        <v>0.35138888888888886</v>
      </c>
      <c r="L25" s="41">
        <f t="shared" si="3"/>
        <v>1.805555555555588E-2</v>
      </c>
      <c r="M25" s="41">
        <f t="shared" si="4"/>
        <v>1.805555555555588E-2</v>
      </c>
      <c r="N25" s="41"/>
      <c r="O25" s="52"/>
      <c r="P25" s="54"/>
    </row>
    <row r="26" spans="1:16" x14ac:dyDescent="0.2">
      <c r="A26" s="42">
        <v>42726</v>
      </c>
      <c r="B26" s="39">
        <v>22</v>
      </c>
      <c r="C26" s="40" t="s">
        <v>31</v>
      </c>
      <c r="D26" s="55">
        <v>0.33333333333333298</v>
      </c>
      <c r="E26" s="43">
        <v>0.33680555555555558</v>
      </c>
      <c r="F26" s="41">
        <v>0.50416666666666665</v>
      </c>
      <c r="G26" s="41">
        <f t="shared" si="0"/>
        <v>0.16736111111111107</v>
      </c>
      <c r="H26" s="41">
        <v>0.6694444444444444</v>
      </c>
      <c r="I26" s="41">
        <v>0.84305555555555556</v>
      </c>
      <c r="J26" s="41">
        <f t="shared" si="1"/>
        <v>0.17361111111111116</v>
      </c>
      <c r="K26" s="51">
        <f t="shared" si="2"/>
        <v>0.34097222222222223</v>
      </c>
      <c r="L26" s="41">
        <f t="shared" si="3"/>
        <v>7.6388888888892503E-3</v>
      </c>
      <c r="M26" s="41">
        <f t="shared" si="4"/>
        <v>7.6388888888892503E-3</v>
      </c>
      <c r="N26" s="41"/>
      <c r="O26" s="52"/>
      <c r="P26" s="54"/>
    </row>
    <row r="27" spans="1:16" x14ac:dyDescent="0.2">
      <c r="A27" s="42">
        <v>42727</v>
      </c>
      <c r="B27" s="39">
        <v>23</v>
      </c>
      <c r="C27" s="40" t="s">
        <v>32</v>
      </c>
      <c r="D27" s="55">
        <v>0.33333333333333298</v>
      </c>
      <c r="E27" s="43">
        <v>0.33680555555555558</v>
      </c>
      <c r="F27" s="41">
        <v>0.50138888888888888</v>
      </c>
      <c r="G27" s="41">
        <f t="shared" si="0"/>
        <v>0.1645833333333333</v>
      </c>
      <c r="H27" s="41">
        <v>0.66666666666666663</v>
      </c>
      <c r="I27" s="41">
        <v>0.84861111111111109</v>
      </c>
      <c r="J27" s="41">
        <f t="shared" si="1"/>
        <v>0.18194444444444446</v>
      </c>
      <c r="K27" s="51">
        <f t="shared" si="2"/>
        <v>0.34652777777777777</v>
      </c>
      <c r="L27" s="41">
        <f t="shared" si="3"/>
        <v>1.3194444444444786E-2</v>
      </c>
      <c r="M27" s="41">
        <f t="shared" si="4"/>
        <v>1.3194444444444786E-2</v>
      </c>
      <c r="N27" s="41"/>
      <c r="O27" s="52"/>
      <c r="P27" s="54"/>
    </row>
    <row r="28" spans="1:16" x14ac:dyDescent="0.2">
      <c r="A28" s="42">
        <v>42728</v>
      </c>
      <c r="B28" s="53">
        <v>24</v>
      </c>
      <c r="C28" s="40" t="s">
        <v>33</v>
      </c>
      <c r="D28" s="55">
        <v>0.25</v>
      </c>
      <c r="E28" s="43">
        <v>0.33888888888888885</v>
      </c>
      <c r="F28" s="41">
        <v>0.50069444444444444</v>
      </c>
      <c r="G28" s="41">
        <f t="shared" si="0"/>
        <v>0.16180555555555559</v>
      </c>
      <c r="H28" s="41">
        <v>0.625</v>
      </c>
      <c r="I28" s="41">
        <v>0.80138888888888893</v>
      </c>
      <c r="J28" s="41">
        <f t="shared" si="1"/>
        <v>0.17638888888888893</v>
      </c>
      <c r="K28" s="51">
        <f t="shared" si="2"/>
        <v>0.33819444444444452</v>
      </c>
      <c r="L28" s="41">
        <f t="shared" si="3"/>
        <v>8.819444444444452E-2</v>
      </c>
      <c r="M28" s="41">
        <v>8.3333333333333329E-2</v>
      </c>
      <c r="N28" s="41">
        <f t="shared" si="6"/>
        <v>4.861111111111191E-3</v>
      </c>
      <c r="O28" s="52"/>
      <c r="P28" s="54"/>
    </row>
    <row r="29" spans="1:16" x14ac:dyDescent="0.2">
      <c r="A29" s="42">
        <v>42729</v>
      </c>
      <c r="B29" s="39">
        <v>25</v>
      </c>
      <c r="C29" s="40" t="s">
        <v>34</v>
      </c>
      <c r="D29" s="55"/>
      <c r="E29" s="43"/>
      <c r="F29" s="41"/>
      <c r="G29" s="41"/>
      <c r="H29" s="41"/>
      <c r="I29" s="41"/>
      <c r="J29" s="41"/>
      <c r="K29" s="51"/>
      <c r="L29" s="41"/>
      <c r="M29" s="41"/>
      <c r="N29" s="41"/>
      <c r="O29" s="52"/>
      <c r="P29" s="54"/>
    </row>
    <row r="30" spans="1:16" x14ac:dyDescent="0.2">
      <c r="A30" s="42">
        <v>42730</v>
      </c>
      <c r="B30" s="39">
        <v>26</v>
      </c>
      <c r="C30" s="40" t="s">
        <v>35</v>
      </c>
      <c r="D30" s="55">
        <v>0.33333333333333298</v>
      </c>
      <c r="E30" s="43">
        <v>0.33333333333333331</v>
      </c>
      <c r="F30" s="41">
        <v>0.50486111111111109</v>
      </c>
      <c r="G30" s="41">
        <f t="shared" si="0"/>
        <v>0.17152777777777778</v>
      </c>
      <c r="H30" s="41">
        <v>0.6694444444444444</v>
      </c>
      <c r="I30" s="41">
        <v>0.84791666666666676</v>
      </c>
      <c r="J30" s="41">
        <f t="shared" si="1"/>
        <v>0.17847222222222237</v>
      </c>
      <c r="K30" s="51">
        <f t="shared" si="2"/>
        <v>0.35000000000000014</v>
      </c>
      <c r="L30" s="41">
        <f t="shared" si="3"/>
        <v>1.6666666666667163E-2</v>
      </c>
      <c r="M30" s="41">
        <f t="shared" si="4"/>
        <v>1.6666666666667163E-2</v>
      </c>
      <c r="N30" s="41"/>
      <c r="O30" s="52"/>
      <c r="P30" s="54"/>
    </row>
    <row r="31" spans="1:16" x14ac:dyDescent="0.2">
      <c r="A31" s="42">
        <v>42731</v>
      </c>
      <c r="B31" s="39">
        <v>27</v>
      </c>
      <c r="C31" s="40" t="s">
        <v>36</v>
      </c>
      <c r="D31" s="55"/>
      <c r="E31" s="43"/>
      <c r="F31" s="41"/>
      <c r="G31" s="41"/>
      <c r="H31" s="41"/>
      <c r="I31" s="41"/>
      <c r="J31" s="41"/>
      <c r="K31" s="51"/>
      <c r="L31" s="41"/>
      <c r="M31" s="41"/>
      <c r="N31" s="41"/>
      <c r="O31" s="52"/>
      <c r="P31" s="54"/>
    </row>
    <row r="32" spans="1:16" x14ac:dyDescent="0.2">
      <c r="A32" s="42">
        <v>42732</v>
      </c>
      <c r="B32" s="39">
        <v>28</v>
      </c>
      <c r="C32" s="40" t="s">
        <v>37</v>
      </c>
      <c r="D32" s="55">
        <v>0.33333333333333298</v>
      </c>
      <c r="E32" s="43">
        <v>0.33611111111111108</v>
      </c>
      <c r="F32" s="41">
        <v>0.50347222222222221</v>
      </c>
      <c r="G32" s="41">
        <f t="shared" si="0"/>
        <v>0.16736111111111113</v>
      </c>
      <c r="H32" s="41">
        <v>0.66805555555555562</v>
      </c>
      <c r="I32" s="41">
        <v>0.84930555555555554</v>
      </c>
      <c r="J32" s="41">
        <f t="shared" si="1"/>
        <v>0.18124999999999991</v>
      </c>
      <c r="K32" s="51">
        <f t="shared" si="2"/>
        <v>0.34861111111111104</v>
      </c>
      <c r="L32" s="41">
        <f t="shared" si="3"/>
        <v>1.5277777777778057E-2</v>
      </c>
      <c r="M32" s="41">
        <f t="shared" si="4"/>
        <v>1.5277777777778057E-2</v>
      </c>
      <c r="N32" s="41"/>
      <c r="O32" s="52"/>
      <c r="P32" s="54"/>
    </row>
    <row r="33" spans="1:16" x14ac:dyDescent="0.2">
      <c r="A33" s="42">
        <v>42733</v>
      </c>
      <c r="B33" s="39">
        <v>29</v>
      </c>
      <c r="C33" s="40" t="s">
        <v>31</v>
      </c>
      <c r="D33" s="55">
        <v>0.33333333333333298</v>
      </c>
      <c r="E33" s="43">
        <v>0.33611111111111108</v>
      </c>
      <c r="F33" s="41">
        <v>0.50277777777777777</v>
      </c>
      <c r="G33" s="41">
        <f t="shared" si="0"/>
        <v>0.16666666666666669</v>
      </c>
      <c r="H33" s="41">
        <v>0.66666666666666663</v>
      </c>
      <c r="I33" s="41">
        <v>0.84444444444444444</v>
      </c>
      <c r="J33" s="41">
        <f t="shared" si="1"/>
        <v>0.17777777777777781</v>
      </c>
      <c r="K33" s="51">
        <f t="shared" si="2"/>
        <v>0.3444444444444445</v>
      </c>
      <c r="L33" s="41">
        <f t="shared" si="3"/>
        <v>1.1111111111111516E-2</v>
      </c>
      <c r="M33" s="41">
        <f t="shared" si="4"/>
        <v>1.1111111111111516E-2</v>
      </c>
      <c r="N33" s="41"/>
      <c r="O33" s="52"/>
      <c r="P33" s="54"/>
    </row>
    <row r="34" spans="1:16" x14ac:dyDescent="0.2">
      <c r="A34" s="42">
        <v>42734</v>
      </c>
      <c r="B34" s="39">
        <v>30</v>
      </c>
      <c r="C34" s="40" t="s">
        <v>32</v>
      </c>
      <c r="D34" s="55">
        <v>0.33333333333333298</v>
      </c>
      <c r="E34" s="43">
        <v>0.34027777777777773</v>
      </c>
      <c r="F34" s="41">
        <v>0.54236111111111118</v>
      </c>
      <c r="G34" s="41">
        <f t="shared" si="0"/>
        <v>0.20208333333333345</v>
      </c>
      <c r="H34" s="41">
        <v>0.62569444444444444</v>
      </c>
      <c r="I34" s="41">
        <v>0.84930555555555554</v>
      </c>
      <c r="J34" s="41">
        <f t="shared" si="1"/>
        <v>0.22361111111111109</v>
      </c>
      <c r="K34" s="51">
        <f t="shared" si="2"/>
        <v>0.42569444444444454</v>
      </c>
      <c r="L34" s="41">
        <f t="shared" si="3"/>
        <v>9.236111111111156E-2</v>
      </c>
      <c r="M34" s="41">
        <v>8.3333333333333329E-2</v>
      </c>
      <c r="N34" s="41">
        <f t="shared" si="6"/>
        <v>9.0277777777782314E-3</v>
      </c>
      <c r="O34" s="52"/>
      <c r="P34" s="54"/>
    </row>
    <row r="35" spans="1:16" x14ac:dyDescent="0.2">
      <c r="A35" s="42">
        <v>42735</v>
      </c>
      <c r="B35" s="39">
        <v>31</v>
      </c>
      <c r="C35" s="40" t="s">
        <v>33</v>
      </c>
      <c r="D35" s="55">
        <v>0.25</v>
      </c>
      <c r="E35" s="43">
        <v>0.34027777777777773</v>
      </c>
      <c r="F35" s="41">
        <v>0.50624999999999998</v>
      </c>
      <c r="G35" s="41">
        <f t="shared" si="0"/>
        <v>0.16597222222222224</v>
      </c>
      <c r="H35" s="41">
        <v>0.625</v>
      </c>
      <c r="I35" s="41">
        <v>0.80138888888888893</v>
      </c>
      <c r="J35" s="41">
        <f t="shared" si="1"/>
        <v>0.17638888888888893</v>
      </c>
      <c r="K35" s="51">
        <f t="shared" si="2"/>
        <v>0.34236111111111117</v>
      </c>
      <c r="L35" s="41">
        <f t="shared" si="3"/>
        <v>9.2361111111111172E-2</v>
      </c>
      <c r="M35" s="41">
        <v>8.3333333333333329E-2</v>
      </c>
      <c r="N35" s="41">
        <f t="shared" si="6"/>
        <v>9.0277777777778428E-3</v>
      </c>
      <c r="O35" s="52"/>
      <c r="P35" s="54"/>
    </row>
    <row r="36" spans="1:16" ht="13.5" thickBot="1" x14ac:dyDescent="0.25">
      <c r="A36" s="42"/>
      <c r="B36" s="1"/>
      <c r="C36" s="40"/>
      <c r="D36" s="1"/>
      <c r="E36" s="1"/>
      <c r="F36" s="1"/>
      <c r="G36" s="1"/>
      <c r="H36" s="44" t="s">
        <v>20</v>
      </c>
      <c r="I36" s="45"/>
      <c r="J36" s="45"/>
      <c r="K36" s="33">
        <f>SUM(K5:K35)</f>
        <v>8.2993055555555575</v>
      </c>
      <c r="L36" s="33">
        <f>SUM(L5:L35)</f>
        <v>0.88263888888889497</v>
      </c>
      <c r="M36" s="33">
        <f>SUM(M5:M35)</f>
        <v>0.76458333333333894</v>
      </c>
      <c r="N36" s="33">
        <f>SUM(N5:N35)</f>
        <v>0.11805555555555633</v>
      </c>
      <c r="O36" s="52"/>
      <c r="P36" s="50"/>
    </row>
    <row r="37" spans="1:16" x14ac:dyDescent="0.2">
      <c r="A37" s="1"/>
      <c r="B37" s="1"/>
      <c r="C37" s="1"/>
      <c r="D37" s="1"/>
      <c r="E37" s="1"/>
      <c r="F37" s="1"/>
      <c r="G37" s="1"/>
      <c r="H37" s="3"/>
      <c r="I37" s="21" t="s">
        <v>21</v>
      </c>
      <c r="J37" s="46">
        <f>L36</f>
        <v>0.88263888888889497</v>
      </c>
      <c r="K37" s="47"/>
      <c r="L37" s="47"/>
      <c r="M37" s="47"/>
      <c r="N37" s="47"/>
      <c r="O37" s="47"/>
      <c r="P37" s="38"/>
    </row>
    <row r="38" spans="1:16" x14ac:dyDescent="0.2">
      <c r="A38" s="1"/>
      <c r="B38" s="1"/>
      <c r="C38" s="1"/>
      <c r="D38" s="1"/>
      <c r="E38" s="1"/>
      <c r="F38" s="1"/>
      <c r="H38" t="s">
        <v>22</v>
      </c>
      <c r="J38" s="48">
        <f>M36</f>
        <v>0.76458333333333894</v>
      </c>
      <c r="M38" s="10"/>
      <c r="N38" s="10"/>
      <c r="O38" s="24"/>
      <c r="P38" s="2"/>
    </row>
    <row r="39" spans="1:16" x14ac:dyDescent="0.2">
      <c r="A39" s="1"/>
      <c r="B39" s="1"/>
      <c r="C39" s="1"/>
      <c r="D39" s="1"/>
      <c r="E39" s="1"/>
      <c r="F39" s="1"/>
      <c r="G39" s="1"/>
      <c r="H39" s="1" t="s">
        <v>23</v>
      </c>
      <c r="J39" s="48">
        <f>O36</f>
        <v>0</v>
      </c>
      <c r="K39" s="1"/>
      <c r="L39" s="24"/>
      <c r="M39" s="2"/>
      <c r="N39" s="2"/>
      <c r="O39" s="24"/>
      <c r="P39" s="2"/>
    </row>
    <row r="40" spans="1:16" x14ac:dyDescent="0.2">
      <c r="A40" s="1"/>
      <c r="B40" s="1"/>
      <c r="C40" s="1"/>
      <c r="D40" s="1"/>
      <c r="E40" s="1"/>
      <c r="F40" s="1"/>
      <c r="G40" s="58" t="s">
        <v>38</v>
      </c>
      <c r="H40" s="58"/>
      <c r="I40" s="58"/>
      <c r="J40" s="56">
        <v>0.20833333333333334</v>
      </c>
      <c r="K40" s="26"/>
      <c r="L40" s="24"/>
      <c r="M40" s="2"/>
      <c r="N40" s="2"/>
      <c r="O40" s="2"/>
      <c r="P40" s="2"/>
    </row>
    <row r="41" spans="1:16" x14ac:dyDescent="0.2">
      <c r="A41" s="1"/>
      <c r="B41" s="1"/>
      <c r="C41" s="1"/>
      <c r="D41" s="1"/>
      <c r="E41" s="1"/>
      <c r="F41" s="1"/>
      <c r="G41" s="1"/>
      <c r="H41" s="1"/>
      <c r="I41" s="15" t="s">
        <v>24</v>
      </c>
      <c r="J41" s="36">
        <f>J38+J40-J39</f>
        <v>0.97291666666667231</v>
      </c>
      <c r="K41" s="26"/>
      <c r="L41" s="24"/>
      <c r="M41" s="2"/>
      <c r="N41" s="2"/>
      <c r="O41" s="2"/>
      <c r="P41" s="2"/>
    </row>
    <row r="42" spans="1:16" ht="13.5" thickBot="1" x14ac:dyDescent="0.25">
      <c r="A42" s="1"/>
      <c r="B42" s="1"/>
      <c r="C42" s="1"/>
      <c r="D42" s="1"/>
      <c r="E42" s="1"/>
      <c r="F42" s="1"/>
      <c r="G42" s="1"/>
      <c r="H42" s="1"/>
      <c r="I42" s="15" t="s">
        <v>25</v>
      </c>
      <c r="J42" s="36">
        <f>N36</f>
        <v>0.11805555555555633</v>
      </c>
      <c r="K42" s="26">
        <f>O38*J43</f>
        <v>0</v>
      </c>
      <c r="L42" s="24"/>
      <c r="M42" s="2"/>
      <c r="N42" s="2"/>
      <c r="O42" s="2"/>
      <c r="P42" s="2"/>
    </row>
    <row r="43" spans="1:16" ht="13.5" thickBot="1" x14ac:dyDescent="0.25">
      <c r="A43" s="1"/>
      <c r="B43" s="1"/>
      <c r="C43" s="1"/>
      <c r="D43" s="1"/>
      <c r="E43" s="1"/>
      <c r="F43" s="1"/>
      <c r="G43" s="1"/>
      <c r="H43" s="1"/>
      <c r="I43" s="15" t="s">
        <v>26</v>
      </c>
      <c r="J43" s="25"/>
      <c r="K43" s="23">
        <f>SUM(K39:K42)</f>
        <v>0</v>
      </c>
      <c r="L43" s="24"/>
      <c r="M43" s="2"/>
      <c r="N43" s="2"/>
      <c r="O43" s="2"/>
      <c r="P43" s="2"/>
    </row>
    <row r="44" spans="1:16" ht="13.5" thickBot="1" x14ac:dyDescent="0.25">
      <c r="A44" s="1"/>
      <c r="B44" s="1"/>
      <c r="C44" s="1"/>
      <c r="D44" s="1"/>
      <c r="E44" s="1"/>
      <c r="F44" s="1"/>
      <c r="G44" s="1"/>
      <c r="H44" s="1"/>
      <c r="I44" s="22" t="s">
        <v>27</v>
      </c>
      <c r="J44" s="37">
        <f>J41+J42</f>
        <v>1.0909722222222287</v>
      </c>
      <c r="K44" s="16">
        <f>L44*J45</f>
        <v>0</v>
      </c>
      <c r="L44" s="24"/>
      <c r="M44" s="2"/>
      <c r="N44" s="2"/>
      <c r="O44" s="2"/>
      <c r="P44" s="2"/>
    </row>
    <row r="45" spans="1:16" x14ac:dyDescent="0.2">
      <c r="G45" s="1"/>
      <c r="H45" s="1"/>
      <c r="I45" s="8" t="s">
        <v>28</v>
      </c>
      <c r="J45" s="27"/>
    </row>
    <row r="46" spans="1:16" x14ac:dyDescent="0.2">
      <c r="I46" s="8" t="s">
        <v>29</v>
      </c>
      <c r="J46" s="48">
        <v>2.0833333333333332E-2</v>
      </c>
    </row>
  </sheetData>
  <mergeCells count="3">
    <mergeCell ref="D3:F3"/>
    <mergeCell ref="G3:I3"/>
    <mergeCell ref="G40:I40"/>
  </mergeCells>
  <conditionalFormatting sqref="J5:L35">
    <cfRule type="cellIs" dxfId="0" priority="1" stopIfTrue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12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Samy</vt:lpstr>
      <vt:lpstr>Samy!Area_de_impressao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Cliente</dc:creator>
  <cp:keywords/>
  <dc:description/>
  <cp:lastModifiedBy>windows</cp:lastModifiedBy>
  <cp:revision/>
  <dcterms:created xsi:type="dcterms:W3CDTF">2008-08-11T12:46:05Z</dcterms:created>
  <dcterms:modified xsi:type="dcterms:W3CDTF">2017-01-05T21:11:53Z</dcterms:modified>
  <cp:category/>
  <cp:contentStatus/>
</cp:coreProperties>
</file>