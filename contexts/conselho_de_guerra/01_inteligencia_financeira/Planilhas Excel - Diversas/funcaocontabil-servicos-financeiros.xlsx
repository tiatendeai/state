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84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ite\"/>
    </mc:Choice>
  </mc:AlternateContent>
  <bookViews>
    <workbookView xWindow="0" yWindow="0" windowWidth="20490" windowHeight="8820" tabRatio="710"/>
  </bookViews>
  <sheets>
    <sheet name="Menu" sheetId="7" r:id="rId1"/>
    <sheet name="Fluxo de Caixa" sheetId="5" r:id="rId2"/>
    <sheet name="Conciliação" sheetId="3" r:id="rId3"/>
    <sheet name="Apropriação de Seguro" sheetId="4" r:id="rId4"/>
  </sheets>
  <definedNames>
    <definedName name="_xlnm._FilterDatabase" localSheetId="2" hidden="1">Conciliação!$B$12:$J$12</definedName>
    <definedName name="_xlnm.Print_Area" localSheetId="2">Conciliação!#REF!,Conciliação!#REF!</definedName>
  </definedNames>
  <calcPr calcId="171027"/>
</workbook>
</file>

<file path=xl/calcChain.xml><?xml version="1.0" encoding="utf-8"?>
<calcChain xmlns="http://schemas.openxmlformats.org/spreadsheetml/2006/main">
  <c r="E8" i="4" l="1"/>
  <c r="E8" i="3"/>
  <c r="E8" i="5" l="1"/>
  <c r="B12" i="5" s="1"/>
  <c r="G13" i="5" l="1"/>
  <c r="J30" i="3" l="1"/>
  <c r="J29" i="3"/>
  <c r="J28" i="3"/>
  <c r="J27" i="3"/>
  <c r="J26" i="3"/>
  <c r="J25" i="3"/>
  <c r="J24" i="3"/>
  <c r="J23" i="3"/>
  <c r="J22" i="3"/>
  <c r="J21" i="3"/>
  <c r="J20" i="3"/>
  <c r="J19" i="3"/>
  <c r="J18" i="3"/>
  <c r="J17" i="3"/>
  <c r="J16" i="3"/>
  <c r="J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13" i="3"/>
  <c r="B18" i="3"/>
  <c r="E18" i="3"/>
  <c r="B19" i="3"/>
  <c r="E19" i="3"/>
  <c r="B20" i="3"/>
  <c r="E20" i="3"/>
  <c r="B21" i="3"/>
  <c r="E21" i="3"/>
  <c r="B22" i="3"/>
  <c r="E22" i="3"/>
  <c r="B23" i="3"/>
  <c r="E23" i="3"/>
  <c r="B24" i="3"/>
  <c r="E24" i="3"/>
  <c r="B25" i="3"/>
  <c r="E25" i="3"/>
  <c r="B26" i="3"/>
  <c r="E26" i="3"/>
  <c r="B27" i="3"/>
  <c r="E27" i="3"/>
  <c r="B28" i="3"/>
  <c r="E28" i="3"/>
  <c r="B29" i="3"/>
  <c r="E29" i="3"/>
  <c r="B30" i="3"/>
  <c r="E30" i="3"/>
  <c r="F43" i="5"/>
  <c r="E43" i="5"/>
  <c r="B13" i="5"/>
  <c r="G14" i="5"/>
  <c r="G15" i="5" s="1"/>
  <c r="G16" i="5" s="1"/>
  <c r="G17" i="5" s="1"/>
  <c r="G18" i="5" s="1"/>
  <c r="G19" i="5" s="1"/>
  <c r="G20" i="5" s="1"/>
  <c r="G21" i="5" s="1"/>
  <c r="G22" i="5" s="1"/>
  <c r="G23" i="5" s="1"/>
  <c r="G24" i="5" s="1"/>
  <c r="G25" i="5" s="1"/>
  <c r="G26" i="5" s="1"/>
  <c r="G27" i="5" s="1"/>
  <c r="G28" i="5" s="1"/>
  <c r="G29" i="5" s="1"/>
  <c r="G30" i="5" s="1"/>
  <c r="G31" i="5" s="1"/>
  <c r="G32" i="5" s="1"/>
  <c r="G33" i="5" s="1"/>
  <c r="G34" i="5" s="1"/>
  <c r="G35" i="5" s="1"/>
  <c r="G36" i="5" s="1"/>
  <c r="G37" i="5" s="1"/>
  <c r="G38" i="5" s="1"/>
  <c r="G39" i="5" s="1"/>
  <c r="G40" i="5" s="1"/>
  <c r="G41" i="5" s="1"/>
  <c r="G42" i="5" s="1"/>
  <c r="B14" i="5" l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C42" i="5" s="1"/>
  <c r="G43" i="5"/>
  <c r="G5" i="5" s="1"/>
  <c r="C13" i="5"/>
  <c r="C12" i="5"/>
  <c r="B28" i="4"/>
  <c r="C28" i="4" s="1"/>
  <c r="D22" i="4"/>
  <c r="D21" i="4"/>
  <c r="D20" i="4"/>
  <c r="D19" i="4"/>
  <c r="D18" i="4"/>
  <c r="D17" i="4"/>
  <c r="C17" i="4"/>
  <c r="C18" i="4" s="1"/>
  <c r="C19" i="4" s="1"/>
  <c r="C20" i="4" s="1"/>
  <c r="C21" i="4" s="1"/>
  <c r="C22" i="4" s="1"/>
  <c r="C26" i="5" l="1"/>
  <c r="C19" i="5"/>
  <c r="C17" i="5"/>
  <c r="C24" i="5"/>
  <c r="C37" i="5"/>
  <c r="C25" i="5"/>
  <c r="C14" i="5"/>
  <c r="C38" i="5"/>
  <c r="C35" i="5"/>
  <c r="C40" i="5"/>
  <c r="C21" i="5"/>
  <c r="C41" i="5"/>
  <c r="C30" i="5"/>
  <c r="C27" i="5"/>
  <c r="C32" i="5"/>
  <c r="C29" i="5"/>
  <c r="C22" i="5"/>
  <c r="C15" i="5"/>
  <c r="C16" i="5"/>
  <c r="C33" i="5"/>
  <c r="C18" i="5"/>
  <c r="C34" i="5"/>
  <c r="C23" i="5"/>
  <c r="C39" i="5"/>
  <c r="C28" i="5"/>
  <c r="C31" i="5"/>
  <c r="C20" i="5"/>
  <c r="C36" i="5"/>
  <c r="D23" i="4"/>
  <c r="E9" i="4" s="1"/>
  <c r="E16" i="4" s="1"/>
  <c r="E17" i="4" s="1"/>
  <c r="E18" i="4" s="1"/>
  <c r="E19" i="4" s="1"/>
  <c r="E20" i="4" s="1"/>
  <c r="E21" i="4" s="1"/>
  <c r="E22" i="4" s="1"/>
  <c r="B29" i="4"/>
  <c r="C29" i="4" l="1"/>
  <c r="B30" i="4"/>
  <c r="C30" i="4" l="1"/>
  <c r="B31" i="4"/>
  <c r="C31" i="4" l="1"/>
  <c r="B32" i="4"/>
  <c r="C32" i="4" l="1"/>
  <c r="B33" i="4"/>
  <c r="C33" i="4" l="1"/>
  <c r="B34" i="4"/>
  <c r="C34" i="4" l="1"/>
  <c r="B35" i="4"/>
  <c r="C35" i="4" l="1"/>
  <c r="B36" i="4"/>
  <c r="C36" i="4" l="1"/>
  <c r="B37" i="4"/>
  <c r="C37" i="4" l="1"/>
  <c r="B38" i="4"/>
  <c r="C38" i="4" l="1"/>
  <c r="B39" i="4"/>
  <c r="B41" i="4" l="1"/>
  <c r="C40" i="4" s="1"/>
  <c r="C39" i="4"/>
  <c r="C42" i="4" l="1"/>
  <c r="C41" i="4" l="1"/>
  <c r="D39" i="4"/>
  <c r="D35" i="4"/>
  <c r="D31" i="4"/>
  <c r="D41" i="4"/>
  <c r="D38" i="4"/>
  <c r="D34" i="4"/>
  <c r="D30" i="4"/>
  <c r="D37" i="4"/>
  <c r="D33" i="4"/>
  <c r="D29" i="4"/>
  <c r="D36" i="4"/>
  <c r="D32" i="4"/>
  <c r="D28" i="4"/>
  <c r="D42" i="4" l="1"/>
  <c r="E28" i="4"/>
  <c r="E29" i="4" s="1"/>
  <c r="E30" i="4" s="1"/>
  <c r="E31" i="4" s="1"/>
  <c r="E32" i="4" s="1"/>
  <c r="E33" i="4" s="1"/>
  <c r="E34" i="4" s="1"/>
  <c r="E35" i="4" s="1"/>
  <c r="E36" i="4" s="1"/>
  <c r="E37" i="4" s="1"/>
  <c r="E38" i="4" s="1"/>
  <c r="E39" i="4" s="1"/>
  <c r="E41" i="4" s="1"/>
  <c r="J15" i="3"/>
  <c r="I14" i="3" l="1"/>
  <c r="J13" i="3"/>
  <c r="B14" i="3"/>
  <c r="B15" i="3"/>
  <c r="B16" i="3"/>
  <c r="B17" i="3"/>
  <c r="E14" i="3"/>
  <c r="E15" i="3"/>
  <c r="E16" i="3"/>
  <c r="E17" i="3"/>
  <c r="E13" i="3"/>
  <c r="B13" i="3"/>
  <c r="H22" i="3" l="1"/>
  <c r="H26" i="3"/>
  <c r="H30" i="3"/>
  <c r="H18" i="3"/>
  <c r="H28" i="3"/>
  <c r="H24" i="3"/>
  <c r="H29" i="3"/>
  <c r="H23" i="3"/>
  <c r="H19" i="3"/>
  <c r="H20" i="3"/>
  <c r="H25" i="3"/>
  <c r="H21" i="3"/>
  <c r="H27" i="3"/>
  <c r="H13" i="3"/>
  <c r="H14" i="3"/>
  <c r="H15" i="3"/>
  <c r="H17" i="3"/>
  <c r="H16" i="3"/>
</calcChain>
</file>

<file path=xl/comments1.xml><?xml version="1.0" encoding="utf-8"?>
<comments xmlns="http://schemas.openxmlformats.org/spreadsheetml/2006/main">
  <authors>
    <author>User</author>
  </authors>
  <commentList>
    <comment ref="E2" authorId="0" shapeId="0">
      <text>
        <r>
          <rPr>
            <sz val="9"/>
            <color indexed="81"/>
            <rFont val="Segoe UI"/>
            <family val="2"/>
          </rPr>
          <t>Para liberar a planilha será necessário pagamento, consulte desbloqueio de Planilhas Especiais</t>
        </r>
      </text>
    </comment>
  </commentList>
</comments>
</file>

<file path=xl/comments2.xml><?xml version="1.0" encoding="utf-8"?>
<comments xmlns="http://schemas.openxmlformats.org/spreadsheetml/2006/main">
  <authors>
    <author>User</author>
  </authors>
  <commentList>
    <comment ref="D2" authorId="0" shapeId="0">
      <text>
        <r>
          <rPr>
            <sz val="9"/>
            <color indexed="81"/>
            <rFont val="Segoe UI"/>
            <family val="2"/>
          </rPr>
          <t>Para liberar a planilha será necessário pagamento, consulte desbloqueio de Planilhas Especiais</t>
        </r>
      </text>
    </comment>
  </commentList>
</comments>
</file>

<file path=xl/comments3.xml><?xml version="1.0" encoding="utf-8"?>
<comments xmlns="http://schemas.openxmlformats.org/spreadsheetml/2006/main">
  <authors>
    <author>User</author>
  </authors>
  <commentList>
    <comment ref="D2" authorId="0" shapeId="0">
      <text>
        <r>
          <rPr>
            <sz val="9"/>
            <color indexed="81"/>
            <rFont val="Segoe UI"/>
            <family val="2"/>
          </rPr>
          <t>Para liberar a planilha será necessário pagamento, consulte desbloqueio de Planilhas Especiais</t>
        </r>
      </text>
    </comment>
  </commentList>
</comments>
</file>

<file path=xl/comments4.xml><?xml version="1.0" encoding="utf-8"?>
<comments xmlns="http://schemas.openxmlformats.org/spreadsheetml/2006/main">
  <authors>
    <author>User</author>
  </authors>
  <commentList>
    <comment ref="D2" authorId="0" shapeId="0">
      <text>
        <r>
          <rPr>
            <sz val="9"/>
            <color indexed="81"/>
            <rFont val="Segoe UI"/>
            <family val="2"/>
          </rPr>
          <t>Para liberar a planilha será necessário pagamento, consulte desbloqueio de Planilhas Especiais</t>
        </r>
      </text>
    </comment>
    <comment ref="C16" authorId="0" shapeId="0">
      <text>
        <r>
          <rPr>
            <sz val="9"/>
            <color indexed="81"/>
            <rFont val="Segoe UI"/>
            <family val="2"/>
          </rPr>
          <t>Informar data de vencimento.</t>
        </r>
      </text>
    </comment>
    <comment ref="D16" authorId="0" shapeId="0">
      <text>
        <r>
          <rPr>
            <sz val="9"/>
            <color indexed="81"/>
            <rFont val="Segoe UI"/>
            <family val="2"/>
          </rPr>
          <t>Informar valor da PARCELA.</t>
        </r>
      </text>
    </comment>
  </commentList>
</comments>
</file>

<file path=xl/sharedStrings.xml><?xml version="1.0" encoding="utf-8"?>
<sst xmlns="http://schemas.openxmlformats.org/spreadsheetml/2006/main" count="113" uniqueCount="73">
  <si>
    <t>Base de Dados (A)</t>
  </si>
  <si>
    <t>Chave</t>
  </si>
  <si>
    <t>Resultados</t>
  </si>
  <si>
    <t>Base de Dados (B)</t>
  </si>
  <si>
    <t>Nota Fiscal</t>
  </si>
  <si>
    <t>Valores</t>
  </si>
  <si>
    <t>Aviso de Desbloqueio</t>
  </si>
  <si>
    <t xml:space="preserve">                   Função Contábil</t>
  </si>
  <si>
    <t>Vigência:</t>
  </si>
  <si>
    <t>Descrição do Bem:</t>
  </si>
  <si>
    <t>Proposta Apólice nº.</t>
  </si>
  <si>
    <t>Valor do Seguro:</t>
  </si>
  <si>
    <t>Parcela nº.</t>
  </si>
  <si>
    <t>Vencimento</t>
  </si>
  <si>
    <t>Valor Parcela</t>
  </si>
  <si>
    <t>Amortização</t>
  </si>
  <si>
    <t>01</t>
  </si>
  <si>
    <t>02</t>
  </si>
  <si>
    <t>03</t>
  </si>
  <si>
    <t>04</t>
  </si>
  <si>
    <t>05</t>
  </si>
  <si>
    <t>06</t>
  </si>
  <si>
    <t>07</t>
  </si>
  <si>
    <t>Total ..........................</t>
  </si>
  <si>
    <t>Apropriação Mensal  - DESPESA DE SEGUROS</t>
  </si>
  <si>
    <t>Data</t>
  </si>
  <si>
    <t>Dias</t>
  </si>
  <si>
    <t>Valor</t>
  </si>
  <si>
    <t>Saldo</t>
  </si>
  <si>
    <t>CONTABILIZAÇÃO:</t>
  </si>
  <si>
    <t>APROPRIAÇÃO</t>
  </si>
  <si>
    <t>D</t>
  </si>
  <si>
    <t>(Ativo. Apropriação Veículo/Imóvel...)</t>
  </si>
  <si>
    <t>C</t>
  </si>
  <si>
    <t>(Passivo. Seguros a Pagar)</t>
  </si>
  <si>
    <t>PAGAMENTO</t>
  </si>
  <si>
    <t>(Caixa/Banco)</t>
  </si>
  <si>
    <t>VALOR APROPRIAÇÃO MÊS</t>
  </si>
  <si>
    <t>(D.R.E. Despesa Seg. Veículo/Imóvel...)</t>
  </si>
  <si>
    <t>Totais</t>
  </si>
  <si>
    <t>Produto 3</t>
  </si>
  <si>
    <t>Produto 2</t>
  </si>
  <si>
    <t>Produto 1</t>
  </si>
  <si>
    <t>Produto 8</t>
  </si>
  <si>
    <t>Peça 1</t>
  </si>
  <si>
    <t>Produto 10</t>
  </si>
  <si>
    <t>Produto 9</t>
  </si>
  <si>
    <t>Produto 7</t>
  </si>
  <si>
    <t>Produto 6</t>
  </si>
  <si>
    <t>Produto 5</t>
  </si>
  <si>
    <t>Produto 4</t>
  </si>
  <si>
    <t>Saldo de Abertura</t>
  </si>
  <si>
    <t>SALDO ATUAL</t>
  </si>
  <si>
    <t>FLUXO DE CAIXA - PAGAMENTO E RECEBIMENTO</t>
  </si>
  <si>
    <t>Descrição</t>
  </si>
  <si>
    <t>Pagamento</t>
  </si>
  <si>
    <t>Recebimento</t>
  </si>
  <si>
    <t>Dia da Semana</t>
  </si>
  <si>
    <t xml:space="preserve">           Função Contábil</t>
  </si>
  <si>
    <t>APROPRIAÇÃO MENSAL DE SEGUROS</t>
  </si>
  <si>
    <t>CONCILIAÇÃO ENTRE DUAS BASES DE DADOS</t>
  </si>
  <si>
    <t>Mês de Referência</t>
  </si>
  <si>
    <t>Fluxo de Caixa</t>
  </si>
  <si>
    <t>01.</t>
  </si>
  <si>
    <t>02.</t>
  </si>
  <si>
    <t>03.</t>
  </si>
  <si>
    <t>Conciliações</t>
  </si>
  <si>
    <t>Apropriações</t>
  </si>
  <si>
    <t>Empresa Função Contábil</t>
  </si>
  <si>
    <t>Empresa</t>
  </si>
  <si>
    <t>CNPJ do Cliente</t>
  </si>
  <si>
    <t>00111222333344</t>
  </si>
  <si>
    <t>MENU SERVIÇOS FINANCEIROS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</si>
</sst>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-* #,##0.00_-;\-* #,##0.00_-;_-* &quot;-&quot;??_-;_-@_-"/>
    <numFmt numFmtId="164" formatCode="&quot;R$ &quot;#,##0.00_);[Red]\(&quot;R$ &quot;#,##0.00\)"/>
    <numFmt numFmtId="165" formatCode="mmmm/yyyy"/>
    <numFmt numFmtId="166" formatCode="&quot;R$&quot;\ #,##0.00"/>
    <numFmt numFmtId="167" formatCode="mmmm\,\ yyyy;@"/>
  </numFmts>
  <fonts count="29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8"/>
      <name val="Arial"/>
      <family val="2"/>
    </font>
    <font>
      <sz val="10"/>
      <name val="Arial"/>
    </font>
    <font>
      <sz val="11"/>
      <color theme="0" tint="-0.14999847407452621"/>
      <name val="Calibri"/>
      <family val="2"/>
      <scheme val="minor"/>
    </font>
    <font>
      <u/>
      <sz val="10"/>
      <color indexed="12"/>
      <name val="Arial"/>
      <family val="2"/>
    </font>
    <font>
      <u/>
      <sz val="8"/>
      <name val="Arial"/>
      <family val="2"/>
    </font>
    <font>
      <b/>
      <sz val="10"/>
      <color rgb="FFFF0000"/>
      <name val="Arial"/>
      <family val="2"/>
    </font>
    <font>
      <i/>
      <sz val="8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9"/>
      <color indexed="81"/>
      <name val="Segoe UI"/>
      <family val="2"/>
    </font>
    <font>
      <sz val="10"/>
      <color theme="1" tint="0.24994659260841701"/>
      <name val="Calibri"/>
      <family val="2"/>
      <scheme val="minor"/>
    </font>
    <font>
      <sz val="10"/>
      <color theme="1" tint="0.24994659260841701"/>
      <name val="Arial"/>
      <family val="2"/>
    </font>
    <font>
      <b/>
      <sz val="10"/>
      <color theme="1"/>
      <name val="Arial"/>
      <family val="2"/>
    </font>
    <font>
      <sz val="10"/>
      <color rgb="FF404040"/>
      <name val="Arial"/>
      <family val="2"/>
    </font>
    <font>
      <sz val="10"/>
      <color theme="0" tint="-0.249977111117893"/>
      <name val="Arial"/>
      <family val="2"/>
    </font>
    <font>
      <sz val="16.5"/>
      <color theme="4"/>
      <name val="Calibri"/>
      <family val="2"/>
      <scheme val="minor"/>
    </font>
    <font>
      <sz val="10"/>
      <color theme="0"/>
      <name val="Arial"/>
      <family val="2"/>
    </font>
    <font>
      <sz val="11"/>
      <color theme="1" tint="0.499984740745262"/>
      <name val="Cambria"/>
      <family val="1"/>
      <scheme val="major"/>
    </font>
    <font>
      <u/>
      <sz val="10"/>
      <color theme="10"/>
      <name val="Arial"/>
      <family val="2"/>
    </font>
    <font>
      <sz val="27"/>
      <color theme="4"/>
      <name val="Calibri"/>
      <family val="2"/>
      <scheme val="minor"/>
    </font>
    <font>
      <u/>
      <sz val="10"/>
      <color theme="10"/>
      <name val="Arial"/>
    </font>
    <font>
      <u/>
      <sz val="11"/>
      <color theme="10"/>
      <name val="Calibri"/>
      <family val="2"/>
      <scheme val="minor"/>
    </font>
    <font>
      <b/>
      <sz val="10"/>
      <color theme="1" tint="0.24994659260841701"/>
      <name val="Arial"/>
      <family val="2"/>
    </font>
    <font>
      <b/>
      <sz val="10"/>
      <color rgb="FF40404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theme="2" tint="-0.24994659260841701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mediumDashDotDot">
        <color auto="1"/>
      </left>
      <right style="mediumDashDotDot">
        <color auto="1"/>
      </right>
      <top style="mediumDashDotDot">
        <color auto="1"/>
      </top>
      <bottom style="mediumDashDotDot">
        <color auto="1"/>
      </bottom>
      <diagonal/>
    </border>
  </borders>
  <cellStyleXfs count="14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15" fillId="0" borderId="0">
      <alignment vertical="center"/>
    </xf>
    <xf numFmtId="0" fontId="20" fillId="0" borderId="0" applyNumberFormat="0" applyFill="0" applyBorder="0" applyAlignment="0" applyProtection="0"/>
    <xf numFmtId="0" fontId="22" fillId="0" borderId="5" applyNumberFormat="0" applyFill="0" applyAlignment="0" applyProtection="0"/>
    <xf numFmtId="0" fontId="23" fillId="0" borderId="0" applyNumberFormat="0" applyFill="0" applyBorder="0" applyAlignment="0" applyProtection="0">
      <alignment vertical="top"/>
      <protection locked="0"/>
    </xf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1" fillId="0" borderId="0"/>
    <xf numFmtId="0" fontId="26" fillId="0" borderId="0" applyNumberFormat="0" applyFill="0" applyBorder="0" applyAlignment="0" applyProtection="0"/>
    <xf numFmtId="0" fontId="2" fillId="0" borderId="0"/>
    <xf numFmtId="0" fontId="23" fillId="0" borderId="0" applyNumberFormat="0" applyFill="0" applyBorder="0" applyAlignment="0" applyProtection="0"/>
  </cellStyleXfs>
  <cellXfs count="102">
    <xf numFmtId="0" fontId="0" fillId="0" borderId="0" xfId="0"/>
    <xf numFmtId="0" fontId="2" fillId="0" borderId="0" xfId="0" applyFont="1" applyFill="1" applyProtection="1"/>
    <xf numFmtId="0" fontId="4" fillId="0" borderId="0" xfId="0" applyFont="1" applyFill="1" applyProtection="1"/>
    <xf numFmtId="0" fontId="5" fillId="0" borderId="0" xfId="0" applyFont="1" applyFill="1" applyProtection="1"/>
    <xf numFmtId="0" fontId="5" fillId="0" borderId="0" xfId="0" applyFont="1" applyFill="1" applyBorder="1" applyAlignment="1" applyProtection="1"/>
    <xf numFmtId="0" fontId="0" fillId="0" borderId="0" xfId="0" applyProtection="1"/>
    <xf numFmtId="0" fontId="7" fillId="0" borderId="0" xfId="0" applyFont="1" applyBorder="1" applyAlignment="1" applyProtection="1">
      <alignment vertical="center"/>
    </xf>
    <xf numFmtId="0" fontId="9" fillId="0" borderId="0" xfId="3" applyFont="1" applyAlignment="1" applyProtection="1">
      <protection locked="0"/>
    </xf>
    <xf numFmtId="0" fontId="8" fillId="0" borderId="0" xfId="3" applyFont="1" applyAlignment="1" applyProtection="1"/>
    <xf numFmtId="0" fontId="2" fillId="0" borderId="0" xfId="0" applyFont="1" applyFill="1" applyBorder="1" applyProtection="1"/>
    <xf numFmtId="164" fontId="10" fillId="0" borderId="0" xfId="0" applyNumberFormat="1" applyFont="1" applyFill="1" applyBorder="1" applyAlignment="1" applyProtection="1">
      <alignment horizontal="left"/>
    </xf>
    <xf numFmtId="0" fontId="4" fillId="0" borderId="0" xfId="0" applyFont="1" applyFill="1" applyBorder="1" applyAlignment="1" applyProtection="1">
      <alignment horizontal="left"/>
    </xf>
    <xf numFmtId="0" fontId="13" fillId="0" borderId="0" xfId="0" applyFont="1" applyFill="1" applyBorder="1" applyProtection="1"/>
    <xf numFmtId="0" fontId="13" fillId="0" borderId="0" xfId="0" applyFont="1" applyFill="1" applyBorder="1" applyAlignment="1" applyProtection="1">
      <alignment horizontal="left"/>
    </xf>
    <xf numFmtId="0" fontId="13" fillId="0" borderId="0" xfId="0" applyFont="1" applyFill="1" applyBorder="1" applyAlignment="1" applyProtection="1">
      <alignment horizontal="right"/>
    </xf>
    <xf numFmtId="0" fontId="13" fillId="0" borderId="0" xfId="0" applyFont="1" applyFill="1" applyBorder="1" applyAlignment="1" applyProtection="1"/>
    <xf numFmtId="0" fontId="16" fillId="0" borderId="0" xfId="4" applyFont="1" applyProtection="1">
      <alignment vertical="center"/>
    </xf>
    <xf numFmtId="0" fontId="18" fillId="0" borderId="0" xfId="4" applyFont="1" applyAlignment="1" applyProtection="1"/>
    <xf numFmtId="0" fontId="19" fillId="0" borderId="0" xfId="4" applyFont="1" applyProtection="1">
      <alignment vertical="center"/>
    </xf>
    <xf numFmtId="166" fontId="2" fillId="0" borderId="0" xfId="5" applyNumberFormat="1" applyFont="1" applyBorder="1" applyAlignment="1" applyProtection="1">
      <alignment horizontal="left" vertical="top"/>
    </xf>
    <xf numFmtId="0" fontId="21" fillId="0" borderId="0" xfId="4" applyFont="1" applyProtection="1">
      <alignment vertical="center"/>
    </xf>
    <xf numFmtId="0" fontId="16" fillId="0" borderId="4" xfId="4" applyFont="1" applyBorder="1" applyProtection="1">
      <alignment vertical="center"/>
    </xf>
    <xf numFmtId="0" fontId="5" fillId="0" borderId="0" xfId="8" applyFont="1" applyAlignment="1" applyProtection="1">
      <alignment horizontal="left" vertical="center"/>
    </xf>
    <xf numFmtId="0" fontId="4" fillId="0" borderId="1" xfId="4" applyFont="1" applyBorder="1" applyAlignment="1" applyProtection="1">
      <alignment horizontal="center"/>
    </xf>
    <xf numFmtId="0" fontId="4" fillId="0" borderId="1" xfId="4" applyFont="1" applyBorder="1" applyAlignment="1" applyProtection="1"/>
    <xf numFmtId="0" fontId="17" fillId="0" borderId="16" xfId="4" applyFont="1" applyBorder="1" applyAlignment="1" applyProtection="1">
      <alignment horizontal="center" vertical="center"/>
    </xf>
    <xf numFmtId="0" fontId="4" fillId="0" borderId="6" xfId="0" applyFont="1" applyFill="1" applyBorder="1" applyProtection="1"/>
    <xf numFmtId="0" fontId="2" fillId="0" borderId="17" xfId="0" applyFont="1" applyFill="1" applyBorder="1" applyProtection="1"/>
    <xf numFmtId="0" fontId="2" fillId="0" borderId="18" xfId="0" applyFont="1" applyFill="1" applyBorder="1" applyProtection="1"/>
    <xf numFmtId="0" fontId="2" fillId="0" borderId="19" xfId="0" applyFont="1" applyFill="1" applyBorder="1" applyProtection="1"/>
    <xf numFmtId="0" fontId="2" fillId="0" borderId="10" xfId="0" applyFont="1" applyFill="1" applyBorder="1" applyProtection="1"/>
    <xf numFmtId="0" fontId="2" fillId="0" borderId="11" xfId="0" applyFont="1" applyFill="1" applyBorder="1" applyProtection="1"/>
    <xf numFmtId="0" fontId="2" fillId="0" borderId="12" xfId="0" applyFont="1" applyFill="1" applyBorder="1" applyProtection="1"/>
    <xf numFmtId="0" fontId="4" fillId="0" borderId="3" xfId="0" applyFont="1" applyFill="1" applyBorder="1" applyProtection="1"/>
    <xf numFmtId="0" fontId="4" fillId="0" borderId="21" xfId="0" applyFont="1" applyFill="1" applyBorder="1" applyProtection="1"/>
    <xf numFmtId="14" fontId="0" fillId="0" borderId="8" xfId="0" applyNumberFormat="1" applyBorder="1" applyProtection="1"/>
    <xf numFmtId="14" fontId="0" fillId="0" borderId="11" xfId="0" applyNumberFormat="1" applyBorder="1" applyProtection="1"/>
    <xf numFmtId="43" fontId="0" fillId="0" borderId="12" xfId="2" applyFont="1" applyBorder="1" applyProtection="1"/>
    <xf numFmtId="14" fontId="0" fillId="0" borderId="14" xfId="0" applyNumberFormat="1" applyBorder="1" applyProtection="1"/>
    <xf numFmtId="43" fontId="0" fillId="0" borderId="15" xfId="2" applyFont="1" applyBorder="1" applyProtection="1"/>
    <xf numFmtId="14" fontId="0" fillId="0" borderId="1" xfId="0" applyNumberFormat="1" applyBorder="1" applyProtection="1"/>
    <xf numFmtId="0" fontId="0" fillId="2" borderId="11" xfId="0" applyFill="1" applyBorder="1" applyProtection="1">
      <protection locked="0"/>
    </xf>
    <xf numFmtId="43" fontId="0" fillId="2" borderId="11" xfId="2" applyFont="1" applyFill="1" applyBorder="1" applyProtection="1">
      <protection locked="0"/>
    </xf>
    <xf numFmtId="0" fontId="0" fillId="2" borderId="14" xfId="0" applyFill="1" applyBorder="1" applyProtection="1">
      <protection locked="0"/>
    </xf>
    <xf numFmtId="43" fontId="0" fillId="2" borderId="14" xfId="2" applyFont="1" applyFill="1" applyBorder="1" applyProtection="1">
      <protection locked="0"/>
    </xf>
    <xf numFmtId="0" fontId="2" fillId="2" borderId="11" xfId="0" applyFont="1" applyFill="1" applyBorder="1" applyProtection="1">
      <protection locked="0"/>
    </xf>
    <xf numFmtId="43" fontId="2" fillId="2" borderId="11" xfId="2" applyFont="1" applyFill="1" applyBorder="1" applyProtection="1">
      <protection locked="0"/>
    </xf>
    <xf numFmtId="0" fontId="2" fillId="2" borderId="18" xfId="0" applyFont="1" applyFill="1" applyBorder="1" applyProtection="1">
      <protection locked="0"/>
    </xf>
    <xf numFmtId="43" fontId="2" fillId="2" borderId="18" xfId="2" applyFont="1" applyFill="1" applyBorder="1" applyProtection="1">
      <protection locked="0"/>
    </xf>
    <xf numFmtId="0" fontId="4" fillId="0" borderId="0" xfId="0" applyFont="1" applyFill="1" applyBorder="1" applyAlignment="1" applyProtection="1"/>
    <xf numFmtId="43" fontId="4" fillId="0" borderId="1" xfId="2" applyFont="1" applyBorder="1" applyAlignment="1" applyProtection="1">
      <alignment horizontal="right" vertical="center" indent="1"/>
    </xf>
    <xf numFmtId="4" fontId="2" fillId="2" borderId="11" xfId="0" applyNumberFormat="1" applyFont="1" applyFill="1" applyBorder="1" applyAlignment="1" applyProtection="1">
      <alignment horizontal="center"/>
      <protection locked="0"/>
    </xf>
    <xf numFmtId="14" fontId="2" fillId="0" borderId="11" xfId="0" applyNumberFormat="1" applyFont="1" applyFill="1" applyBorder="1" applyAlignment="1" applyProtection="1">
      <alignment horizontal="center"/>
    </xf>
    <xf numFmtId="4" fontId="2" fillId="0" borderId="14" xfId="0" applyNumberFormat="1" applyFont="1" applyFill="1" applyBorder="1" applyAlignment="1" applyProtection="1">
      <alignment horizontal="center"/>
    </xf>
    <xf numFmtId="0" fontId="2" fillId="0" borderId="15" xfId="0" applyFont="1" applyFill="1" applyBorder="1" applyProtection="1"/>
    <xf numFmtId="4" fontId="2" fillId="0" borderId="12" xfId="0" applyNumberFormat="1" applyFont="1" applyFill="1" applyBorder="1" applyAlignment="1" applyProtection="1">
      <alignment horizontal="center"/>
    </xf>
    <xf numFmtId="49" fontId="2" fillId="0" borderId="10" xfId="0" applyNumberFormat="1" applyFont="1" applyFill="1" applyBorder="1" applyAlignment="1" applyProtection="1">
      <alignment horizontal="center"/>
    </xf>
    <xf numFmtId="0" fontId="4" fillId="0" borderId="11" xfId="0" applyFont="1" applyFill="1" applyBorder="1" applyAlignment="1" applyProtection="1">
      <alignment horizontal="left"/>
    </xf>
    <xf numFmtId="4" fontId="2" fillId="0" borderId="11" xfId="0" applyNumberFormat="1" applyFont="1" applyFill="1" applyBorder="1" applyAlignment="1" applyProtection="1">
      <alignment horizontal="center"/>
    </xf>
    <xf numFmtId="0" fontId="2" fillId="0" borderId="11" xfId="0" applyNumberFormat="1" applyFont="1" applyFill="1" applyBorder="1" applyAlignment="1" applyProtection="1">
      <alignment horizontal="center"/>
    </xf>
    <xf numFmtId="165" fontId="2" fillId="0" borderId="10" xfId="0" applyNumberFormat="1" applyFont="1" applyFill="1" applyBorder="1" applyAlignment="1" applyProtection="1">
      <alignment horizontal="center"/>
    </xf>
    <xf numFmtId="0" fontId="11" fillId="0" borderId="11" xfId="0" applyNumberFormat="1" applyFont="1" applyFill="1" applyBorder="1" applyAlignment="1" applyProtection="1">
      <alignment horizontal="center"/>
    </xf>
    <xf numFmtId="4" fontId="2" fillId="0" borderId="12" xfId="0" applyNumberFormat="1" applyFont="1" applyFill="1" applyBorder="1" applyProtection="1"/>
    <xf numFmtId="0" fontId="4" fillId="0" borderId="14" xfId="0" applyFont="1" applyFill="1" applyBorder="1" applyAlignment="1" applyProtection="1">
      <alignment horizontal="center"/>
    </xf>
    <xf numFmtId="4" fontId="4" fillId="0" borderId="14" xfId="0" applyNumberFormat="1" applyFont="1" applyFill="1" applyBorder="1" applyAlignment="1" applyProtection="1">
      <alignment horizontal="center"/>
    </xf>
    <xf numFmtId="0" fontId="2" fillId="0" borderId="13" xfId="0" applyFont="1" applyFill="1" applyBorder="1" applyAlignment="1" applyProtection="1"/>
    <xf numFmtId="0" fontId="4" fillId="0" borderId="15" xfId="0" applyFont="1" applyFill="1" applyBorder="1" applyProtection="1"/>
    <xf numFmtId="165" fontId="2" fillId="2" borderId="7" xfId="0" applyNumberFormat="1" applyFont="1" applyFill="1" applyBorder="1" applyAlignment="1" applyProtection="1">
      <alignment horizontal="center"/>
    </xf>
    <xf numFmtId="0" fontId="2" fillId="0" borderId="8" xfId="0" applyFont="1" applyFill="1" applyBorder="1" applyAlignment="1" applyProtection="1">
      <alignment horizontal="center"/>
    </xf>
    <xf numFmtId="4" fontId="2" fillId="0" borderId="8" xfId="0" applyNumberFormat="1" applyFont="1" applyFill="1" applyBorder="1" applyAlignment="1" applyProtection="1">
      <alignment horizontal="center"/>
    </xf>
    <xf numFmtId="4" fontId="2" fillId="0" borderId="9" xfId="0" applyNumberFormat="1" applyFont="1" applyFill="1" applyBorder="1" applyProtection="1"/>
    <xf numFmtId="0" fontId="4" fillId="0" borderId="22" xfId="0" applyFont="1" applyFill="1" applyBorder="1" applyAlignment="1" applyProtection="1">
      <alignment horizontal="center"/>
    </xf>
    <xf numFmtId="0" fontId="4" fillId="0" borderId="23" xfId="0" applyFont="1" applyFill="1" applyBorder="1" applyAlignment="1" applyProtection="1">
      <alignment horizontal="center"/>
    </xf>
    <xf numFmtId="0" fontId="4" fillId="0" borderId="24" xfId="0" applyFont="1" applyFill="1" applyBorder="1" applyAlignment="1" applyProtection="1">
      <alignment horizontal="center"/>
    </xf>
    <xf numFmtId="49" fontId="2" fillId="0" borderId="7" xfId="0" applyNumberFormat="1" applyFont="1" applyFill="1" applyBorder="1" applyAlignment="1" applyProtection="1">
      <alignment horizontal="center"/>
    </xf>
    <xf numFmtId="14" fontId="2" fillId="2" borderId="8" xfId="0" applyNumberFormat="1" applyFont="1" applyFill="1" applyBorder="1" applyAlignment="1" applyProtection="1">
      <alignment horizontal="center"/>
      <protection locked="0"/>
    </xf>
    <xf numFmtId="4" fontId="2" fillId="2" borderId="8" xfId="0" applyNumberFormat="1" applyFont="1" applyFill="1" applyBorder="1" applyAlignment="1" applyProtection="1">
      <alignment horizontal="center"/>
      <protection locked="0"/>
    </xf>
    <xf numFmtId="4" fontId="2" fillId="0" borderId="9" xfId="0" applyNumberFormat="1" applyFont="1" applyFill="1" applyBorder="1" applyAlignment="1" applyProtection="1">
      <alignment horizontal="center"/>
    </xf>
    <xf numFmtId="14" fontId="0" fillId="0" borderId="10" xfId="0" applyNumberFormat="1" applyFill="1" applyBorder="1" applyProtection="1"/>
    <xf numFmtId="14" fontId="0" fillId="2" borderId="7" xfId="0" applyNumberFormat="1" applyFill="1" applyBorder="1" applyProtection="1">
      <protection locked="0"/>
    </xf>
    <xf numFmtId="0" fontId="0" fillId="0" borderId="8" xfId="0" applyFill="1" applyBorder="1" applyProtection="1"/>
    <xf numFmtId="43" fontId="0" fillId="0" borderId="8" xfId="2" applyFont="1" applyFill="1" applyBorder="1" applyProtection="1"/>
    <xf numFmtId="43" fontId="0" fillId="2" borderId="9" xfId="2" applyFont="1" applyFill="1" applyBorder="1" applyProtection="1">
      <protection locked="0"/>
    </xf>
    <xf numFmtId="167" fontId="2" fillId="2" borderId="0" xfId="4" applyNumberFormat="1" applyFont="1" applyFill="1" applyAlignment="1" applyProtection="1">
      <alignment horizontal="left"/>
      <protection locked="0"/>
    </xf>
    <xf numFmtId="0" fontId="2" fillId="0" borderId="0" xfId="0" applyFont="1"/>
    <xf numFmtId="0" fontId="5" fillId="0" borderId="0" xfId="0" applyFont="1"/>
    <xf numFmtId="0" fontId="25" fillId="0" borderId="0" xfId="9"/>
    <xf numFmtId="0" fontId="4" fillId="0" borderId="0" xfId="0" applyFont="1"/>
    <xf numFmtId="0" fontId="25" fillId="0" borderId="25" xfId="9" applyBorder="1" applyAlignment="1">
      <alignment horizontal="center" vertical="center"/>
    </xf>
    <xf numFmtId="49" fontId="2" fillId="2" borderId="0" xfId="4" applyNumberFormat="1" applyFont="1" applyFill="1" applyAlignment="1" applyProtection="1">
      <alignment horizontal="left"/>
      <protection locked="0"/>
    </xf>
    <xf numFmtId="0" fontId="27" fillId="0" borderId="0" xfId="4" applyFont="1" applyProtection="1">
      <alignment vertical="center"/>
    </xf>
    <xf numFmtId="0" fontId="28" fillId="0" borderId="0" xfId="4" applyFont="1" applyAlignment="1" applyProtection="1"/>
    <xf numFmtId="0" fontId="4" fillId="0" borderId="0" xfId="4" applyFont="1" applyAlignment="1" applyProtection="1"/>
    <xf numFmtId="0" fontId="4" fillId="0" borderId="0" xfId="4" applyFont="1" applyBorder="1" applyAlignment="1" applyProtection="1">
      <alignment horizontal="center" vertical="center"/>
    </xf>
    <xf numFmtId="0" fontId="4" fillId="0" borderId="1" xfId="0" applyFont="1" applyFill="1" applyBorder="1" applyAlignment="1" applyProtection="1">
      <alignment horizontal="center"/>
    </xf>
    <xf numFmtId="0" fontId="4" fillId="0" borderId="20" xfId="0" applyFont="1" applyFill="1" applyBorder="1" applyAlignment="1" applyProtection="1">
      <alignment horizontal="center"/>
    </xf>
    <xf numFmtId="0" fontId="4" fillId="0" borderId="2" xfId="0" applyFont="1" applyFill="1" applyBorder="1" applyAlignment="1" applyProtection="1">
      <alignment horizontal="center"/>
    </xf>
    <xf numFmtId="0" fontId="12" fillId="0" borderId="0" xfId="0" applyFont="1" applyFill="1" applyBorder="1" applyAlignment="1" applyProtection="1">
      <alignment horizontal="center"/>
    </xf>
    <xf numFmtId="0" fontId="2" fillId="2" borderId="11" xfId="0" applyFont="1" applyFill="1" applyBorder="1" applyAlignment="1" applyProtection="1">
      <alignment horizontal="center"/>
      <protection locked="0"/>
    </xf>
    <xf numFmtId="0" fontId="2" fillId="0" borderId="13" xfId="0" applyFont="1" applyFill="1" applyBorder="1" applyAlignment="1" applyProtection="1">
      <alignment horizontal="left"/>
    </xf>
    <xf numFmtId="0" fontId="2" fillId="0" borderId="14" xfId="0" applyFont="1" applyFill="1" applyBorder="1" applyAlignment="1" applyProtection="1">
      <alignment horizontal="left"/>
    </xf>
    <xf numFmtId="0" fontId="4" fillId="0" borderId="0" xfId="0" applyFont="1" applyFill="1" applyBorder="1" applyAlignment="1" applyProtection="1">
      <alignment horizontal="left"/>
    </xf>
  </cellXfs>
  <cellStyles count="14">
    <cellStyle name="Hiperlink" xfId="9" builtinId="8"/>
    <cellStyle name="Hiperlink 2" xfId="3"/>
    <cellStyle name="Hiperlink 3" xfId="7"/>
    <cellStyle name="Hiperlink 4" xfId="11"/>
    <cellStyle name="Hiperlink 5" xfId="13"/>
    <cellStyle name="Normal" xfId="0" builtinId="0"/>
    <cellStyle name="Normal 2" xfId="1"/>
    <cellStyle name="Normal 3" xfId="4"/>
    <cellStyle name="Normal 4" xfId="10"/>
    <cellStyle name="Normal 5" xfId="12"/>
    <cellStyle name="Título 1 2" xfId="5"/>
    <cellStyle name="Título 2 2" xfId="6"/>
    <cellStyle name="Título 5" xfId="8"/>
    <cellStyle name="Vírgula" xfId="2" builtinId="3"/>
  </cellStyles>
  <dxfs count="4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://www.funcaocontabil.net/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://www.funcaocontabil.net/" TargetMode="Externa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://www.funcaocontabil.net/" TargetMode="Externa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://www.funcaocontabil.net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000250" cy="1790700"/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BBD8692-7897-4113-86CB-49DEBAF894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00250" cy="17907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000250" cy="1790700"/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F045071-C7BB-452D-B5A2-E591152D8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00250" cy="179070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571500</xdr:colOff>
      <xdr:row>10</xdr:row>
      <xdr:rowOff>38100</xdr:rowOff>
    </xdr:to>
    <xdr:pic>
      <xdr:nvPicPr>
        <xdr:cNvPr id="3" name="Imagem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00250" cy="17907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238125</xdr:colOff>
      <xdr:row>10</xdr:row>
      <xdr:rowOff>38100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FA7E61-02B6-492D-B628-3C66DCA0BF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00250" cy="1790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hyperlink" Target="http://www.funcaocontabil.net/" TargetMode="Externa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funcaocontabil.net/" TargetMode="External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funcaocontabil.net/" TargetMode="External"/><Relationship Id="rId5" Type="http://schemas.openxmlformats.org/officeDocument/2006/relationships/comments" Target="../comments3.xml"/><Relationship Id="rId4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funcaocontabil.net/" TargetMode="External"/><Relationship Id="rId5" Type="http://schemas.openxmlformats.org/officeDocument/2006/relationships/comments" Target="../comments4.xml"/><Relationship Id="rId4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16"/>
  <sheetViews>
    <sheetView showGridLines="0" tabSelected="1" workbookViewId="0">
      <selection activeCell="E2" sqref="E2"/>
    </sheetView>
  </sheetViews>
  <sheetFormatPr defaultRowHeight="12.75" x14ac:dyDescent="0.2"/>
  <cols>
    <col min="1" max="1" width="2.7109375" customWidth="1"/>
    <col min="2" max="3" width="9.140625" customWidth="1"/>
    <col min="4" max="4" width="26.28515625" customWidth="1"/>
    <col min="5" max="5" width="16.140625" bestFit="1" customWidth="1"/>
  </cols>
  <sheetData>
    <row r="1" spans="1:5" ht="23.25" x14ac:dyDescent="0.35">
      <c r="A1" s="85" t="s">
        <v>72</v>
      </c>
    </row>
    <row r="2" spans="1:5" s="84" customFormat="1" x14ac:dyDescent="0.2">
      <c r="A2" s="87"/>
      <c r="E2" s="7" t="s">
        <v>6</v>
      </c>
    </row>
    <row r="3" spans="1:5" s="84" customFormat="1" x14ac:dyDescent="0.2">
      <c r="A3" s="87"/>
    </row>
    <row r="4" spans="1:5" s="84" customFormat="1" x14ac:dyDescent="0.2">
      <c r="A4" s="87"/>
    </row>
    <row r="5" spans="1:5" s="84" customFormat="1" x14ac:dyDescent="0.2">
      <c r="A5" s="87"/>
    </row>
    <row r="6" spans="1:5" s="84" customFormat="1" x14ac:dyDescent="0.2">
      <c r="A6" s="87"/>
    </row>
    <row r="7" spans="1:5" s="84" customFormat="1" x14ac:dyDescent="0.2">
      <c r="A7" s="87"/>
    </row>
    <row r="8" spans="1:5" s="84" customFormat="1" x14ac:dyDescent="0.2">
      <c r="A8" s="87"/>
    </row>
    <row r="9" spans="1:5" s="84" customFormat="1" x14ac:dyDescent="0.2">
      <c r="A9" s="87"/>
      <c r="B9" s="18" t="s">
        <v>58</v>
      </c>
    </row>
    <row r="10" spans="1:5" s="84" customFormat="1" ht="13.5" thickBot="1" x14ac:dyDescent="0.25">
      <c r="A10" s="87"/>
    </row>
    <row r="11" spans="1:5" ht="20.25" customHeight="1" thickBot="1" x14ac:dyDescent="0.25">
      <c r="C11" s="84" t="s">
        <v>63</v>
      </c>
      <c r="D11" s="88" t="s">
        <v>62</v>
      </c>
    </row>
    <row r="12" spans="1:5" ht="18" customHeight="1" thickBot="1" x14ac:dyDescent="0.25">
      <c r="C12" s="84"/>
      <c r="D12" s="86"/>
    </row>
    <row r="13" spans="1:5" ht="20.25" customHeight="1" thickBot="1" x14ac:dyDescent="0.25">
      <c r="C13" s="84" t="s">
        <v>64</v>
      </c>
      <c r="D13" s="88" t="s">
        <v>66</v>
      </c>
    </row>
    <row r="14" spans="1:5" ht="18" customHeight="1" thickBot="1" x14ac:dyDescent="0.25">
      <c r="C14" s="84"/>
    </row>
    <row r="15" spans="1:5" ht="20.25" customHeight="1" thickBot="1" x14ac:dyDescent="0.25">
      <c r="C15" s="84" t="s">
        <v>65</v>
      </c>
      <c r="D15" s="88" t="s">
        <v>67</v>
      </c>
    </row>
    <row r="16" spans="1:5" x14ac:dyDescent="0.2">
      <c r="C16" s="84"/>
    </row>
  </sheetData>
  <hyperlinks>
    <hyperlink ref="D11" location="'Fluxo de Caixa'!A1" display="Fluxo de Caixa"/>
    <hyperlink ref="D13" location="Conciliação!A1" display="Conciliações"/>
    <hyperlink ref="D15" location="'Apropriação de Seguro'!A1" display="Apropriações"/>
    <hyperlink ref="E2" r:id="rId1" location="!download/cu9f"/>
  </hyperlinks>
  <pageMargins left="0.511811024" right="0.511811024" top="0.78740157499999996" bottom="0.78740157499999996" header="0.31496062000000002" footer="0.31496062000000002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  <pageSetUpPr autoPageBreaks="0" fitToPage="1"/>
  </sheetPr>
  <dimension ref="A1:H45"/>
  <sheetViews>
    <sheetView showGridLines="0" zoomScaleNormal="100" workbookViewId="0">
      <pane ySplit="11" topLeftCell="A12" activePane="bottomLeft" state="frozen"/>
      <selection pane="bottomLeft" activeCell="D2" sqref="D2"/>
    </sheetView>
  </sheetViews>
  <sheetFormatPr defaultRowHeight="12.75" x14ac:dyDescent="0.2"/>
  <cols>
    <col min="1" max="1" width="2.7109375" style="16" customWidth="1"/>
    <col min="2" max="4" width="18.7109375" style="16" customWidth="1"/>
    <col min="5" max="5" width="15.140625" style="16" customWidth="1"/>
    <col min="6" max="7" width="18.7109375" style="16" customWidth="1"/>
    <col min="8" max="9" width="14" style="16" bestFit="1" customWidth="1"/>
    <col min="10" max="16384" width="9.140625" style="16"/>
  </cols>
  <sheetData>
    <row r="1" spans="1:8" ht="23.25" x14ac:dyDescent="0.2">
      <c r="A1" s="22" t="s">
        <v>53</v>
      </c>
    </row>
    <row r="2" spans="1:8" x14ac:dyDescent="0.2">
      <c r="D2" s="7" t="s">
        <v>6</v>
      </c>
    </row>
    <row r="3" spans="1:8" x14ac:dyDescent="0.2">
      <c r="E3" s="5"/>
    </row>
    <row r="4" spans="1:8" ht="13.5" thickBot="1" x14ac:dyDescent="0.25">
      <c r="D4" s="17"/>
      <c r="G4" s="21" t="s">
        <v>52</v>
      </c>
      <c r="H4" s="20"/>
    </row>
    <row r="5" spans="1:8" ht="13.5" thickTop="1" x14ac:dyDescent="0.2">
      <c r="D5" s="90" t="s">
        <v>70</v>
      </c>
      <c r="E5" s="89" t="s">
        <v>71</v>
      </c>
      <c r="G5" s="19">
        <f>G43</f>
        <v>809</v>
      </c>
    </row>
    <row r="6" spans="1:8" x14ac:dyDescent="0.2">
      <c r="D6" s="91" t="s">
        <v>69</v>
      </c>
      <c r="E6" s="17" t="s">
        <v>68</v>
      </c>
    </row>
    <row r="7" spans="1:8" ht="13.5" customHeight="1" x14ac:dyDescent="0.2">
      <c r="D7" s="90"/>
    </row>
    <row r="8" spans="1:8" x14ac:dyDescent="0.2">
      <c r="D8" s="92" t="s">
        <v>61</v>
      </c>
      <c r="E8" s="83">
        <f ca="1">TODAY()</f>
        <v>43149</v>
      </c>
    </row>
    <row r="9" spans="1:8" x14ac:dyDescent="0.2">
      <c r="B9" s="18" t="s">
        <v>58</v>
      </c>
      <c r="D9" s="17"/>
      <c r="E9" s="17"/>
    </row>
    <row r="11" spans="1:8" x14ac:dyDescent="0.2">
      <c r="B11" s="25" t="s">
        <v>25</v>
      </c>
      <c r="C11" s="25" t="s">
        <v>57</v>
      </c>
      <c r="D11" s="25" t="s">
        <v>54</v>
      </c>
      <c r="E11" s="25" t="s">
        <v>55</v>
      </c>
      <c r="F11" s="25" t="s">
        <v>56</v>
      </c>
      <c r="G11" s="25" t="s">
        <v>28</v>
      </c>
    </row>
    <row r="12" spans="1:8" x14ac:dyDescent="0.2">
      <c r="B12" s="79">
        <f ca="1">E8</f>
        <v>43149</v>
      </c>
      <c r="C12" s="35" t="str">
        <f ca="1">TEXT(B12,"dddd")</f>
        <v>domingo</v>
      </c>
      <c r="D12" s="80" t="s">
        <v>51</v>
      </c>
      <c r="E12" s="81"/>
      <c r="F12" s="81"/>
      <c r="G12" s="82">
        <v>1000</v>
      </c>
    </row>
    <row r="13" spans="1:8" x14ac:dyDescent="0.2">
      <c r="B13" s="78">
        <f ca="1">B12+1</f>
        <v>43150</v>
      </c>
      <c r="C13" s="36" t="str">
        <f t="shared" ref="C13:C42" ca="1" si="0">TEXT(B13,"dddd")</f>
        <v>segunda-feira</v>
      </c>
      <c r="D13" s="41" t="s">
        <v>44</v>
      </c>
      <c r="E13" s="42">
        <v>900</v>
      </c>
      <c r="F13" s="42"/>
      <c r="G13" s="37">
        <f t="shared" ref="G13:G42" si="1">G12-E13+F13</f>
        <v>100</v>
      </c>
    </row>
    <row r="14" spans="1:8" x14ac:dyDescent="0.2">
      <c r="B14" s="78">
        <f t="shared" ref="B14:B42" ca="1" si="2">B13+1</f>
        <v>43151</v>
      </c>
      <c r="C14" s="36" t="str">
        <f t="shared" ca="1" si="0"/>
        <v>terça-feira</v>
      </c>
      <c r="D14" s="41"/>
      <c r="E14" s="42"/>
      <c r="F14" s="42"/>
      <c r="G14" s="37">
        <f t="shared" si="1"/>
        <v>100</v>
      </c>
    </row>
    <row r="15" spans="1:8" x14ac:dyDescent="0.2">
      <c r="B15" s="78">
        <f t="shared" ca="1" si="2"/>
        <v>43152</v>
      </c>
      <c r="C15" s="36" t="str">
        <f t="shared" ca="1" si="0"/>
        <v>quarta-feira</v>
      </c>
      <c r="D15" s="41" t="s">
        <v>42</v>
      </c>
      <c r="E15" s="42"/>
      <c r="F15" s="42">
        <v>1600</v>
      </c>
      <c r="G15" s="37">
        <f t="shared" si="1"/>
        <v>1700</v>
      </c>
    </row>
    <row r="16" spans="1:8" x14ac:dyDescent="0.2">
      <c r="B16" s="78">
        <f t="shared" ca="1" si="2"/>
        <v>43153</v>
      </c>
      <c r="C16" s="36" t="str">
        <f t="shared" ca="1" si="0"/>
        <v>quinta-feira</v>
      </c>
      <c r="D16" s="41"/>
      <c r="E16" s="42"/>
      <c r="F16" s="42"/>
      <c r="G16" s="37">
        <f t="shared" si="1"/>
        <v>1700</v>
      </c>
    </row>
    <row r="17" spans="2:7" x14ac:dyDescent="0.2">
      <c r="B17" s="78">
        <f t="shared" ca="1" si="2"/>
        <v>43154</v>
      </c>
      <c r="C17" s="36" t="str">
        <f t="shared" ca="1" si="0"/>
        <v>sexta-feira</v>
      </c>
      <c r="D17" s="41"/>
      <c r="E17" s="42"/>
      <c r="F17" s="42"/>
      <c r="G17" s="37">
        <f t="shared" si="1"/>
        <v>1700</v>
      </c>
    </row>
    <row r="18" spans="2:7" x14ac:dyDescent="0.2">
      <c r="B18" s="78">
        <f t="shared" ca="1" si="2"/>
        <v>43155</v>
      </c>
      <c r="C18" s="36" t="str">
        <f t="shared" ca="1" si="0"/>
        <v>sábado</v>
      </c>
      <c r="D18" s="41" t="s">
        <v>40</v>
      </c>
      <c r="E18" s="42"/>
      <c r="F18" s="42">
        <v>38</v>
      </c>
      <c r="G18" s="37">
        <f t="shared" si="1"/>
        <v>1738</v>
      </c>
    </row>
    <row r="19" spans="2:7" x14ac:dyDescent="0.2">
      <c r="B19" s="78">
        <f t="shared" ca="1" si="2"/>
        <v>43156</v>
      </c>
      <c r="C19" s="36" t="str">
        <f t="shared" ca="1" si="0"/>
        <v>domingo</v>
      </c>
      <c r="D19" s="41" t="s">
        <v>50</v>
      </c>
      <c r="E19" s="42"/>
      <c r="F19" s="42">
        <v>70</v>
      </c>
      <c r="G19" s="37">
        <f t="shared" si="1"/>
        <v>1808</v>
      </c>
    </row>
    <row r="20" spans="2:7" x14ac:dyDescent="0.2">
      <c r="B20" s="78">
        <f t="shared" ca="1" si="2"/>
        <v>43157</v>
      </c>
      <c r="C20" s="36" t="str">
        <f t="shared" ca="1" si="0"/>
        <v>segunda-feira</v>
      </c>
      <c r="D20" s="41" t="s">
        <v>49</v>
      </c>
      <c r="E20" s="42"/>
      <c r="F20" s="42">
        <v>76</v>
      </c>
      <c r="G20" s="37">
        <f t="shared" si="1"/>
        <v>1884</v>
      </c>
    </row>
    <row r="21" spans="2:7" x14ac:dyDescent="0.2">
      <c r="B21" s="78">
        <f t="shared" ca="1" si="2"/>
        <v>43158</v>
      </c>
      <c r="C21" s="36" t="str">
        <f t="shared" ca="1" si="0"/>
        <v>terça-feira</v>
      </c>
      <c r="D21" s="41" t="s">
        <v>48</v>
      </c>
      <c r="E21" s="42"/>
      <c r="F21" s="42">
        <v>30</v>
      </c>
      <c r="G21" s="37">
        <f t="shared" si="1"/>
        <v>1914</v>
      </c>
    </row>
    <row r="22" spans="2:7" x14ac:dyDescent="0.2">
      <c r="B22" s="78">
        <f t="shared" ca="1" si="2"/>
        <v>43159</v>
      </c>
      <c r="C22" s="36" t="str">
        <f t="shared" ca="1" si="0"/>
        <v>quarta-feira</v>
      </c>
      <c r="D22" s="41" t="s">
        <v>47</v>
      </c>
      <c r="E22" s="42"/>
      <c r="F22" s="42">
        <v>50</v>
      </c>
      <c r="G22" s="37">
        <f t="shared" si="1"/>
        <v>1964</v>
      </c>
    </row>
    <row r="23" spans="2:7" x14ac:dyDescent="0.2">
      <c r="B23" s="78">
        <f t="shared" ca="1" si="2"/>
        <v>43160</v>
      </c>
      <c r="C23" s="36" t="str">
        <f t="shared" ca="1" si="0"/>
        <v>quinta-feira</v>
      </c>
      <c r="D23" s="41"/>
      <c r="E23" s="42"/>
      <c r="F23" s="42"/>
      <c r="G23" s="37">
        <f t="shared" si="1"/>
        <v>1964</v>
      </c>
    </row>
    <row r="24" spans="2:7" x14ac:dyDescent="0.2">
      <c r="B24" s="78">
        <f t="shared" ca="1" si="2"/>
        <v>43161</v>
      </c>
      <c r="C24" s="36" t="str">
        <f t="shared" ca="1" si="0"/>
        <v>sexta-feira</v>
      </c>
      <c r="D24" s="41"/>
      <c r="E24" s="42"/>
      <c r="F24" s="42"/>
      <c r="G24" s="37">
        <f t="shared" si="1"/>
        <v>1964</v>
      </c>
    </row>
    <row r="25" spans="2:7" x14ac:dyDescent="0.2">
      <c r="B25" s="78">
        <f t="shared" ca="1" si="2"/>
        <v>43162</v>
      </c>
      <c r="C25" s="36" t="str">
        <f t="shared" ca="1" si="0"/>
        <v>sábado</v>
      </c>
      <c r="D25" s="41" t="s">
        <v>45</v>
      </c>
      <c r="E25" s="42"/>
      <c r="F25" s="42">
        <v>30</v>
      </c>
      <c r="G25" s="37">
        <f t="shared" si="1"/>
        <v>1994</v>
      </c>
    </row>
    <row r="26" spans="2:7" x14ac:dyDescent="0.2">
      <c r="B26" s="78">
        <f t="shared" ca="1" si="2"/>
        <v>43163</v>
      </c>
      <c r="C26" s="36" t="str">
        <f t="shared" ca="1" si="0"/>
        <v>domingo</v>
      </c>
      <c r="D26" s="41" t="s">
        <v>40</v>
      </c>
      <c r="E26" s="42"/>
      <c r="F26" s="42">
        <v>45</v>
      </c>
      <c r="G26" s="37">
        <f t="shared" si="1"/>
        <v>2039</v>
      </c>
    </row>
    <row r="27" spans="2:7" x14ac:dyDescent="0.2">
      <c r="B27" s="78">
        <f t="shared" ca="1" si="2"/>
        <v>43164</v>
      </c>
      <c r="C27" s="36" t="str">
        <f t="shared" ca="1" si="0"/>
        <v>segunda-feira</v>
      </c>
      <c r="D27" s="41" t="s">
        <v>44</v>
      </c>
      <c r="E27" s="42">
        <v>750</v>
      </c>
      <c r="F27" s="42"/>
      <c r="G27" s="37">
        <f t="shared" si="1"/>
        <v>1289</v>
      </c>
    </row>
    <row r="28" spans="2:7" x14ac:dyDescent="0.2">
      <c r="B28" s="78">
        <f t="shared" ca="1" si="2"/>
        <v>43165</v>
      </c>
      <c r="C28" s="36" t="str">
        <f t="shared" ca="1" si="0"/>
        <v>terça-feira</v>
      </c>
      <c r="D28" s="41" t="s">
        <v>50</v>
      </c>
      <c r="E28" s="42"/>
      <c r="F28" s="42">
        <v>30</v>
      </c>
      <c r="G28" s="37">
        <f t="shared" si="1"/>
        <v>1319</v>
      </c>
    </row>
    <row r="29" spans="2:7" x14ac:dyDescent="0.2">
      <c r="B29" s="78">
        <f t="shared" ca="1" si="2"/>
        <v>43166</v>
      </c>
      <c r="C29" s="36" t="str">
        <f t="shared" ca="1" si="0"/>
        <v>quarta-feira</v>
      </c>
      <c r="D29" s="41" t="s">
        <v>49</v>
      </c>
      <c r="E29" s="42"/>
      <c r="F29" s="42">
        <v>150</v>
      </c>
      <c r="G29" s="37">
        <f t="shared" si="1"/>
        <v>1469</v>
      </c>
    </row>
    <row r="30" spans="2:7" x14ac:dyDescent="0.2">
      <c r="B30" s="78">
        <f t="shared" ca="1" si="2"/>
        <v>43167</v>
      </c>
      <c r="C30" s="36" t="str">
        <f t="shared" ca="1" si="0"/>
        <v>quinta-feira</v>
      </c>
      <c r="D30" s="41"/>
      <c r="E30" s="42"/>
      <c r="F30" s="42"/>
      <c r="G30" s="37">
        <f t="shared" si="1"/>
        <v>1469</v>
      </c>
    </row>
    <row r="31" spans="2:7" x14ac:dyDescent="0.2">
      <c r="B31" s="78">
        <f t="shared" ca="1" si="2"/>
        <v>43168</v>
      </c>
      <c r="C31" s="36" t="str">
        <f t="shared" ca="1" si="0"/>
        <v>sexta-feira</v>
      </c>
      <c r="D31" s="41"/>
      <c r="E31" s="42"/>
      <c r="F31" s="42"/>
      <c r="G31" s="37">
        <f t="shared" si="1"/>
        <v>1469</v>
      </c>
    </row>
    <row r="32" spans="2:7" x14ac:dyDescent="0.2">
      <c r="B32" s="78">
        <f t="shared" ca="1" si="2"/>
        <v>43169</v>
      </c>
      <c r="C32" s="36" t="str">
        <f t="shared" ca="1" si="0"/>
        <v>sábado</v>
      </c>
      <c r="D32" s="41" t="s">
        <v>43</v>
      </c>
      <c r="E32" s="42"/>
      <c r="F32" s="42">
        <v>80</v>
      </c>
      <c r="G32" s="37">
        <f t="shared" si="1"/>
        <v>1549</v>
      </c>
    </row>
    <row r="33" spans="2:8" x14ac:dyDescent="0.2">
      <c r="B33" s="78">
        <f t="shared" ca="1" si="2"/>
        <v>43170</v>
      </c>
      <c r="C33" s="36" t="str">
        <f t="shared" ca="1" si="0"/>
        <v>domingo</v>
      </c>
      <c r="D33" s="41" t="s">
        <v>46</v>
      </c>
      <c r="E33" s="42"/>
      <c r="F33" s="42">
        <v>30</v>
      </c>
      <c r="G33" s="37">
        <f t="shared" si="1"/>
        <v>1579</v>
      </c>
    </row>
    <row r="34" spans="2:8" x14ac:dyDescent="0.2">
      <c r="B34" s="78">
        <f t="shared" ca="1" si="2"/>
        <v>43171</v>
      </c>
      <c r="C34" s="36" t="str">
        <f t="shared" ca="1" si="0"/>
        <v>segunda-feira</v>
      </c>
      <c r="D34" s="41" t="s">
        <v>45</v>
      </c>
      <c r="E34" s="42"/>
      <c r="F34" s="42">
        <v>100</v>
      </c>
      <c r="G34" s="37">
        <f t="shared" si="1"/>
        <v>1679</v>
      </c>
    </row>
    <row r="35" spans="2:8" x14ac:dyDescent="0.2">
      <c r="B35" s="78">
        <f t="shared" ca="1" si="2"/>
        <v>43172</v>
      </c>
      <c r="C35" s="36" t="str">
        <f t="shared" ca="1" si="0"/>
        <v>terça-feira</v>
      </c>
      <c r="D35" s="41" t="s">
        <v>40</v>
      </c>
      <c r="E35" s="42"/>
      <c r="F35" s="42">
        <v>30</v>
      </c>
      <c r="G35" s="37">
        <f t="shared" si="1"/>
        <v>1709</v>
      </c>
    </row>
    <row r="36" spans="2:8" x14ac:dyDescent="0.2">
      <c r="B36" s="78">
        <f t="shared" ca="1" si="2"/>
        <v>43173</v>
      </c>
      <c r="C36" s="36" t="str">
        <f t="shared" ca="1" si="0"/>
        <v>quarta-feira</v>
      </c>
      <c r="D36" s="41" t="s">
        <v>44</v>
      </c>
      <c r="E36" s="42">
        <v>300</v>
      </c>
      <c r="F36" s="42"/>
      <c r="G36" s="37">
        <f t="shared" si="1"/>
        <v>1409</v>
      </c>
    </row>
    <row r="37" spans="2:8" x14ac:dyDescent="0.2">
      <c r="B37" s="78">
        <f t="shared" ca="1" si="2"/>
        <v>43174</v>
      </c>
      <c r="C37" s="36" t="str">
        <f t="shared" ca="1" si="0"/>
        <v>quinta-feira</v>
      </c>
      <c r="D37" s="41"/>
      <c r="E37" s="42"/>
      <c r="F37" s="42"/>
      <c r="G37" s="37">
        <f t="shared" si="1"/>
        <v>1409</v>
      </c>
    </row>
    <row r="38" spans="2:8" x14ac:dyDescent="0.2">
      <c r="B38" s="78">
        <f t="shared" ca="1" si="2"/>
        <v>43175</v>
      </c>
      <c r="C38" s="36" t="str">
        <f t="shared" ca="1" si="0"/>
        <v>sexta-feira</v>
      </c>
      <c r="D38" s="41"/>
      <c r="E38" s="42"/>
      <c r="F38" s="42"/>
      <c r="G38" s="37">
        <f t="shared" si="1"/>
        <v>1409</v>
      </c>
    </row>
    <row r="39" spans="2:8" x14ac:dyDescent="0.2">
      <c r="B39" s="78">
        <f t="shared" ca="1" si="2"/>
        <v>43176</v>
      </c>
      <c r="C39" s="36" t="str">
        <f t="shared" ca="1" si="0"/>
        <v>sábado</v>
      </c>
      <c r="D39" s="41" t="s">
        <v>41</v>
      </c>
      <c r="E39" s="42"/>
      <c r="F39" s="42">
        <v>30</v>
      </c>
      <c r="G39" s="37">
        <f t="shared" si="1"/>
        <v>1439</v>
      </c>
    </row>
    <row r="40" spans="2:8" x14ac:dyDescent="0.2">
      <c r="B40" s="78">
        <f t="shared" ca="1" si="2"/>
        <v>43177</v>
      </c>
      <c r="C40" s="36" t="str">
        <f t="shared" ca="1" si="0"/>
        <v>domingo</v>
      </c>
      <c r="D40" s="41" t="s">
        <v>40</v>
      </c>
      <c r="E40" s="42"/>
      <c r="F40" s="42">
        <v>50</v>
      </c>
      <c r="G40" s="37">
        <f t="shared" si="1"/>
        <v>1489</v>
      </c>
    </row>
    <row r="41" spans="2:8" x14ac:dyDescent="0.2">
      <c r="B41" s="78">
        <f t="shared" ca="1" si="2"/>
        <v>43178</v>
      </c>
      <c r="C41" s="36" t="str">
        <f t="shared" ca="1" si="0"/>
        <v>segunda-feira</v>
      </c>
      <c r="D41" s="41" t="s">
        <v>41</v>
      </c>
      <c r="E41" s="42"/>
      <c r="F41" s="42">
        <v>300</v>
      </c>
      <c r="G41" s="37">
        <f t="shared" si="1"/>
        <v>1789</v>
      </c>
    </row>
    <row r="42" spans="2:8" x14ac:dyDescent="0.2">
      <c r="B42" s="78">
        <f t="shared" ca="1" si="2"/>
        <v>43179</v>
      </c>
      <c r="C42" s="38" t="str">
        <f t="shared" ca="1" si="0"/>
        <v>terça-feira</v>
      </c>
      <c r="D42" s="43" t="s">
        <v>40</v>
      </c>
      <c r="E42" s="44"/>
      <c r="F42" s="44">
        <v>20</v>
      </c>
      <c r="G42" s="39">
        <f t="shared" si="1"/>
        <v>1809</v>
      </c>
    </row>
    <row r="43" spans="2:8" x14ac:dyDescent="0.2">
      <c r="B43" s="23" t="s">
        <v>39</v>
      </c>
      <c r="C43" s="40"/>
      <c r="D43" s="24"/>
      <c r="E43" s="50">
        <f>SUM(E12:E42)</f>
        <v>1950</v>
      </c>
      <c r="F43" s="50">
        <f>SUM(F12:F42)</f>
        <v>2759</v>
      </c>
      <c r="G43" s="50">
        <f>F43-E43</f>
        <v>809</v>
      </c>
    </row>
    <row r="45" spans="2:8" x14ac:dyDescent="0.2">
      <c r="G45" s="93"/>
      <c r="H45" s="93"/>
    </row>
  </sheetData>
  <sheetProtection algorithmName="SHA-512" hashValue="5HQH+81bYsj3MH2VMUeo9k76yCgJmbEfFV8vAnXdXkx1i8HXn7pVfiuaeWiI3pM6SQ99nfBaEjMJoup8ihTDnQ==" saltValue="5cZPrtCE7IeDGc1bRkHegw==" spinCount="100000" sheet="1" objects="1" scenarios="1" formatColumns="0" selectLockedCells="1"/>
  <mergeCells count="1">
    <mergeCell ref="G45:H45"/>
  </mergeCells>
  <conditionalFormatting sqref="G12:G43">
    <cfRule type="cellIs" dxfId="3" priority="1" operator="lessThan">
      <formula>0</formula>
    </cfRule>
  </conditionalFormatting>
  <hyperlinks>
    <hyperlink ref="D2" r:id="rId1" location="!download/cu9f"/>
  </hyperlinks>
  <printOptions horizontalCentered="1"/>
  <pageMargins left="0.25" right="0.25" top="0.75" bottom="0.75" header="0.3" footer="0.3"/>
  <pageSetup paperSize="9" fitToHeight="0" orientation="portrait" r:id="rId2"/>
  <headerFooter differentFirst="1">
    <oddFooter>Página &amp;P de &amp;N</oddFooter>
  </headerFooter>
  <drawing r:id="rId3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3"/>
  </sheetPr>
  <dimension ref="A1:J30"/>
  <sheetViews>
    <sheetView showGridLines="0" workbookViewId="0">
      <pane ySplit="12" topLeftCell="A21" activePane="bottomLeft" state="frozen"/>
      <selection pane="bottomLeft" activeCell="D2" sqref="D2"/>
    </sheetView>
  </sheetViews>
  <sheetFormatPr defaultColWidth="9.140625" defaultRowHeight="12.75" x14ac:dyDescent="0.2"/>
  <cols>
    <col min="1" max="1" width="2.7109375" style="1" customWidth="1"/>
    <col min="2" max="10" width="18.7109375" style="1" customWidth="1"/>
    <col min="11" max="16384" width="9.140625" style="1"/>
  </cols>
  <sheetData>
    <row r="1" spans="1:10" ht="23.25" x14ac:dyDescent="0.35">
      <c r="A1" s="3" t="s">
        <v>60</v>
      </c>
    </row>
    <row r="2" spans="1:10" x14ac:dyDescent="0.2">
      <c r="D2" s="7" t="s">
        <v>6</v>
      </c>
    </row>
    <row r="5" spans="1:10" x14ac:dyDescent="0.2">
      <c r="D5" s="90" t="s">
        <v>70</v>
      </c>
      <c r="E5" s="89" t="s">
        <v>71</v>
      </c>
    </row>
    <row r="6" spans="1:10" x14ac:dyDescent="0.2">
      <c r="D6" s="91" t="s">
        <v>69</v>
      </c>
      <c r="E6" s="17" t="s">
        <v>68</v>
      </c>
    </row>
    <row r="8" spans="1:10" x14ac:dyDescent="0.2">
      <c r="D8" s="92" t="s">
        <v>61</v>
      </c>
      <c r="E8" s="83">
        <f ca="1">TODAY()</f>
        <v>43149</v>
      </c>
    </row>
    <row r="9" spans="1:10" x14ac:dyDescent="0.2">
      <c r="B9" s="18" t="s">
        <v>58</v>
      </c>
    </row>
    <row r="11" spans="1:10" s="2" customFormat="1" x14ac:dyDescent="0.2">
      <c r="B11" s="94" t="s">
        <v>0</v>
      </c>
      <c r="C11" s="94"/>
      <c r="D11" s="94"/>
      <c r="E11" s="95" t="s">
        <v>3</v>
      </c>
      <c r="F11" s="94"/>
      <c r="G11" s="96"/>
      <c r="H11" s="94" t="s">
        <v>2</v>
      </c>
      <c r="I11" s="94"/>
      <c r="J11" s="94"/>
    </row>
    <row r="12" spans="1:10" x14ac:dyDescent="0.2">
      <c r="B12" s="26" t="s">
        <v>1</v>
      </c>
      <c r="C12" s="26" t="s">
        <v>4</v>
      </c>
      <c r="D12" s="26" t="s">
        <v>5</v>
      </c>
      <c r="E12" s="34" t="s">
        <v>1</v>
      </c>
      <c r="F12" s="26" t="s">
        <v>4</v>
      </c>
      <c r="G12" s="33" t="s">
        <v>5</v>
      </c>
      <c r="H12" s="26" t="s">
        <v>1</v>
      </c>
      <c r="I12" s="26" t="s">
        <v>4</v>
      </c>
      <c r="J12" s="26" t="s">
        <v>5</v>
      </c>
    </row>
    <row r="13" spans="1:10" x14ac:dyDescent="0.2">
      <c r="B13" s="27" t="str">
        <f>C13&amp;"-"&amp;D13</f>
        <v>1001-112,02</v>
      </c>
      <c r="C13" s="47">
        <v>1001</v>
      </c>
      <c r="D13" s="48">
        <v>112.02</v>
      </c>
      <c r="E13" s="28" t="str">
        <f>F13&amp;"-"&amp;G13</f>
        <v>1003-655</v>
      </c>
      <c r="F13" s="47">
        <v>1003</v>
      </c>
      <c r="G13" s="48">
        <v>655</v>
      </c>
      <c r="H13" s="28" t="str">
        <f>IF(ISERROR(VLOOKUP(E13,$B$13:$D$30,1,0)),"Chave Nova","Chave Duplicada")</f>
        <v>Chave Nova</v>
      </c>
      <c r="I13" s="28" t="str">
        <f>IF(ISERROR(VLOOKUP(F13,$C$13:$D$30,1,0)),"Nota Fiscal Nova","Nota Fiscal Duplicada")</f>
        <v>Nota Fiscal Duplicada</v>
      </c>
      <c r="J13" s="29" t="str">
        <f>IF(ISERROR(VLOOKUP(G13,$D$13:$D$17,1,0)),"Valor Novo","Valor Duplicado")</f>
        <v>Valor Novo</v>
      </c>
    </row>
    <row r="14" spans="1:10" x14ac:dyDescent="0.2">
      <c r="B14" s="30" t="str">
        <f>C14&amp;"-"&amp;D14</f>
        <v>1002-600,5</v>
      </c>
      <c r="C14" s="45">
        <v>1002</v>
      </c>
      <c r="D14" s="46">
        <v>600.5</v>
      </c>
      <c r="E14" s="31" t="str">
        <f>F14&amp;"-"&amp;G14</f>
        <v>1006-744</v>
      </c>
      <c r="F14" s="45">
        <v>1006</v>
      </c>
      <c r="G14" s="46">
        <v>744</v>
      </c>
      <c r="H14" s="31" t="str">
        <f t="shared" ref="H14:H30" si="0">IF(ISERROR(VLOOKUP(E14,$B$13:$D$30,1,0)),"Chave Nova","Chave Duplicada")</f>
        <v>Chave Nova</v>
      </c>
      <c r="I14" s="31" t="str">
        <f t="shared" ref="I14:I30" si="1">IF(ISERROR(VLOOKUP(F14,$C$13:$D$17,1,0)),"Nota Fiscal Nova","Nota Fiscal Duplicada")</f>
        <v>Nota Fiscal Nova</v>
      </c>
      <c r="J14" s="32" t="str">
        <f>IF(ISERROR(VLOOKUP(G14,$D$14:$D$30,1,0)),"Valor Novo","Valor Duplicado")</f>
        <v>Valor Novo</v>
      </c>
    </row>
    <row r="15" spans="1:10" x14ac:dyDescent="0.2">
      <c r="B15" s="30" t="str">
        <f>C15&amp;"-"&amp;D15</f>
        <v>1003-112,03</v>
      </c>
      <c r="C15" s="45">
        <v>1003</v>
      </c>
      <c r="D15" s="46">
        <v>112.03</v>
      </c>
      <c r="E15" s="31" t="str">
        <f>F15&amp;"-"&amp;G15</f>
        <v>1001-112,02</v>
      </c>
      <c r="F15" s="45">
        <v>1001</v>
      </c>
      <c r="G15" s="46">
        <v>112.02</v>
      </c>
      <c r="H15" s="31" t="str">
        <f t="shared" si="0"/>
        <v>Chave Duplicada</v>
      </c>
      <c r="I15" s="31" t="str">
        <f t="shared" si="1"/>
        <v>Nota Fiscal Duplicada</v>
      </c>
      <c r="J15" s="32" t="str">
        <f t="shared" ref="J15:J30" si="2">IF(ISERROR(VLOOKUP(G15,$D$13:$D$17,1,0)),"Valor Novo","Valor Duplicado")</f>
        <v>Valor Duplicado</v>
      </c>
    </row>
    <row r="16" spans="1:10" x14ac:dyDescent="0.2">
      <c r="B16" s="30" t="str">
        <f>C16&amp;"-"&amp;D16</f>
        <v>1004-656,55</v>
      </c>
      <c r="C16" s="45">
        <v>1004</v>
      </c>
      <c r="D16" s="46">
        <v>656.55</v>
      </c>
      <c r="E16" s="31" t="str">
        <f>F16&amp;"-"&amp;G16</f>
        <v>1008-164</v>
      </c>
      <c r="F16" s="45">
        <v>1008</v>
      </c>
      <c r="G16" s="46">
        <v>164</v>
      </c>
      <c r="H16" s="31" t="str">
        <f t="shared" si="0"/>
        <v>Chave Nova</v>
      </c>
      <c r="I16" s="31" t="str">
        <f t="shared" si="1"/>
        <v>Nota Fiscal Nova</v>
      </c>
      <c r="J16" s="32" t="str">
        <f t="shared" si="2"/>
        <v>Valor Novo</v>
      </c>
    </row>
    <row r="17" spans="2:10" x14ac:dyDescent="0.2">
      <c r="B17" s="30" t="str">
        <f>C17&amp;"-"&amp;D17</f>
        <v>1005-435</v>
      </c>
      <c r="C17" s="45">
        <v>1005</v>
      </c>
      <c r="D17" s="46">
        <v>435</v>
      </c>
      <c r="E17" s="31" t="str">
        <f>F17&amp;"-"&amp;G17</f>
        <v>1001-112,02</v>
      </c>
      <c r="F17" s="45">
        <v>1001</v>
      </c>
      <c r="G17" s="46">
        <v>112.02</v>
      </c>
      <c r="H17" s="31" t="str">
        <f t="shared" si="0"/>
        <v>Chave Duplicada</v>
      </c>
      <c r="I17" s="31" t="str">
        <f t="shared" si="1"/>
        <v>Nota Fiscal Duplicada</v>
      </c>
      <c r="J17" s="32" t="str">
        <f t="shared" si="2"/>
        <v>Valor Duplicado</v>
      </c>
    </row>
    <row r="18" spans="2:10" x14ac:dyDescent="0.2">
      <c r="B18" s="30" t="str">
        <f t="shared" ref="B18:B30" si="3">C18&amp;"-"&amp;D18</f>
        <v>1006-656</v>
      </c>
      <c r="C18" s="45">
        <v>1006</v>
      </c>
      <c r="D18" s="46">
        <v>656</v>
      </c>
      <c r="E18" s="31" t="str">
        <f t="shared" ref="E18:E30" si="4">F18&amp;"-"&amp;G18</f>
        <v>1001-112,02</v>
      </c>
      <c r="F18" s="45">
        <v>1001</v>
      </c>
      <c r="G18" s="46">
        <v>112.02</v>
      </c>
      <c r="H18" s="31" t="str">
        <f t="shared" si="0"/>
        <v>Chave Duplicada</v>
      </c>
      <c r="I18" s="31" t="str">
        <f t="shared" si="1"/>
        <v>Nota Fiscal Duplicada</v>
      </c>
      <c r="J18" s="32" t="str">
        <f t="shared" si="2"/>
        <v>Valor Duplicado</v>
      </c>
    </row>
    <row r="19" spans="2:10" x14ac:dyDescent="0.2">
      <c r="B19" s="30" t="str">
        <f t="shared" si="3"/>
        <v>1007-879</v>
      </c>
      <c r="C19" s="45">
        <v>1007</v>
      </c>
      <c r="D19" s="46">
        <v>879</v>
      </c>
      <c r="E19" s="31" t="str">
        <f t="shared" si="4"/>
        <v>1001-112,02</v>
      </c>
      <c r="F19" s="45">
        <v>1001</v>
      </c>
      <c r="G19" s="46">
        <v>112.02</v>
      </c>
      <c r="H19" s="31" t="str">
        <f t="shared" si="0"/>
        <v>Chave Duplicada</v>
      </c>
      <c r="I19" s="31" t="str">
        <f t="shared" si="1"/>
        <v>Nota Fiscal Duplicada</v>
      </c>
      <c r="J19" s="32" t="str">
        <f t="shared" si="2"/>
        <v>Valor Duplicado</v>
      </c>
    </row>
    <row r="20" spans="2:10" x14ac:dyDescent="0.2">
      <c r="B20" s="30" t="str">
        <f t="shared" si="3"/>
        <v>1008-468,66</v>
      </c>
      <c r="C20" s="45">
        <v>1008</v>
      </c>
      <c r="D20" s="46">
        <v>468.66</v>
      </c>
      <c r="E20" s="31" t="str">
        <f t="shared" si="4"/>
        <v>1001-110</v>
      </c>
      <c r="F20" s="45">
        <v>1001</v>
      </c>
      <c r="G20" s="46">
        <v>110</v>
      </c>
      <c r="H20" s="31" t="str">
        <f t="shared" si="0"/>
        <v>Chave Nova</v>
      </c>
      <c r="I20" s="31" t="str">
        <f t="shared" si="1"/>
        <v>Nota Fiscal Duplicada</v>
      </c>
      <c r="J20" s="32" t="str">
        <f t="shared" si="2"/>
        <v>Valor Novo</v>
      </c>
    </row>
    <row r="21" spans="2:10" x14ac:dyDescent="0.2">
      <c r="B21" s="30" t="str">
        <f t="shared" si="3"/>
        <v>1009-468,99</v>
      </c>
      <c r="C21" s="45">
        <v>1009</v>
      </c>
      <c r="D21" s="46">
        <v>468.99</v>
      </c>
      <c r="E21" s="31" t="str">
        <f t="shared" si="4"/>
        <v>1111-112,02</v>
      </c>
      <c r="F21" s="45">
        <v>1111</v>
      </c>
      <c r="G21" s="46">
        <v>112.02</v>
      </c>
      <c r="H21" s="31" t="str">
        <f t="shared" si="0"/>
        <v>Chave Nova</v>
      </c>
      <c r="I21" s="31" t="str">
        <f t="shared" si="1"/>
        <v>Nota Fiscal Nova</v>
      </c>
      <c r="J21" s="32" t="str">
        <f t="shared" si="2"/>
        <v>Valor Duplicado</v>
      </c>
    </row>
    <row r="22" spans="2:10" x14ac:dyDescent="0.2">
      <c r="B22" s="30" t="str">
        <f t="shared" si="3"/>
        <v>1010-741,33</v>
      </c>
      <c r="C22" s="45">
        <v>1010</v>
      </c>
      <c r="D22" s="46">
        <v>741.33</v>
      </c>
      <c r="E22" s="31" t="str">
        <f t="shared" si="4"/>
        <v>1001-112,02</v>
      </c>
      <c r="F22" s="45">
        <v>1001</v>
      </c>
      <c r="G22" s="46">
        <v>112.02</v>
      </c>
      <c r="H22" s="31" t="str">
        <f t="shared" si="0"/>
        <v>Chave Duplicada</v>
      </c>
      <c r="I22" s="31" t="str">
        <f t="shared" si="1"/>
        <v>Nota Fiscal Duplicada</v>
      </c>
      <c r="J22" s="32" t="str">
        <f t="shared" si="2"/>
        <v>Valor Duplicado</v>
      </c>
    </row>
    <row r="23" spans="2:10" x14ac:dyDescent="0.2">
      <c r="B23" s="30" t="str">
        <f t="shared" si="3"/>
        <v>1011-741,98</v>
      </c>
      <c r="C23" s="45">
        <v>1011</v>
      </c>
      <c r="D23" s="46">
        <v>741.98</v>
      </c>
      <c r="E23" s="31" t="str">
        <f t="shared" si="4"/>
        <v>1001-112,02</v>
      </c>
      <c r="F23" s="45">
        <v>1001</v>
      </c>
      <c r="G23" s="46">
        <v>112.02</v>
      </c>
      <c r="H23" s="31" t="str">
        <f t="shared" si="0"/>
        <v>Chave Duplicada</v>
      </c>
      <c r="I23" s="31" t="str">
        <f t="shared" si="1"/>
        <v>Nota Fiscal Duplicada</v>
      </c>
      <c r="J23" s="32" t="str">
        <f t="shared" si="2"/>
        <v>Valor Duplicado</v>
      </c>
    </row>
    <row r="24" spans="2:10" x14ac:dyDescent="0.2">
      <c r="B24" s="30" t="str">
        <f t="shared" si="3"/>
        <v>1012-798,65</v>
      </c>
      <c r="C24" s="45">
        <v>1012</v>
      </c>
      <c r="D24" s="46">
        <v>798.65</v>
      </c>
      <c r="E24" s="31" t="str">
        <f t="shared" si="4"/>
        <v>1001-112,02</v>
      </c>
      <c r="F24" s="45">
        <v>1001</v>
      </c>
      <c r="G24" s="46">
        <v>112.02</v>
      </c>
      <c r="H24" s="31" t="str">
        <f t="shared" si="0"/>
        <v>Chave Duplicada</v>
      </c>
      <c r="I24" s="31" t="str">
        <f t="shared" si="1"/>
        <v>Nota Fiscal Duplicada</v>
      </c>
      <c r="J24" s="32" t="str">
        <f t="shared" si="2"/>
        <v>Valor Duplicado</v>
      </c>
    </row>
    <row r="25" spans="2:10" x14ac:dyDescent="0.2">
      <c r="B25" s="30" t="str">
        <f t="shared" si="3"/>
        <v>1013-123,25</v>
      </c>
      <c r="C25" s="45">
        <v>1013</v>
      </c>
      <c r="D25" s="46">
        <v>123.25</v>
      </c>
      <c r="E25" s="31" t="str">
        <f t="shared" si="4"/>
        <v>1001-112,02</v>
      </c>
      <c r="F25" s="45">
        <v>1001</v>
      </c>
      <c r="G25" s="46">
        <v>112.02</v>
      </c>
      <c r="H25" s="31" t="str">
        <f t="shared" si="0"/>
        <v>Chave Duplicada</v>
      </c>
      <c r="I25" s="31" t="str">
        <f t="shared" si="1"/>
        <v>Nota Fiscal Duplicada</v>
      </c>
      <c r="J25" s="32" t="str">
        <f t="shared" si="2"/>
        <v>Valor Duplicado</v>
      </c>
    </row>
    <row r="26" spans="2:10" x14ac:dyDescent="0.2">
      <c r="B26" s="30" t="str">
        <f t="shared" si="3"/>
        <v>1014-658,44</v>
      </c>
      <c r="C26" s="45">
        <v>1014</v>
      </c>
      <c r="D26" s="46">
        <v>658.44</v>
      </c>
      <c r="E26" s="31" t="str">
        <f t="shared" si="4"/>
        <v>1001-112,02</v>
      </c>
      <c r="F26" s="45">
        <v>1001</v>
      </c>
      <c r="G26" s="46">
        <v>112.02</v>
      </c>
      <c r="H26" s="31" t="str">
        <f t="shared" si="0"/>
        <v>Chave Duplicada</v>
      </c>
      <c r="I26" s="31" t="str">
        <f t="shared" si="1"/>
        <v>Nota Fiscal Duplicada</v>
      </c>
      <c r="J26" s="32" t="str">
        <f t="shared" si="2"/>
        <v>Valor Duplicado</v>
      </c>
    </row>
    <row r="27" spans="2:10" x14ac:dyDescent="0.2">
      <c r="B27" s="30" t="str">
        <f t="shared" si="3"/>
        <v>1015-557,65</v>
      </c>
      <c r="C27" s="45">
        <v>1015</v>
      </c>
      <c r="D27" s="46">
        <v>557.65</v>
      </c>
      <c r="E27" s="31" t="str">
        <f t="shared" si="4"/>
        <v>1001-112,02</v>
      </c>
      <c r="F27" s="45">
        <v>1001</v>
      </c>
      <c r="G27" s="46">
        <v>112.02</v>
      </c>
      <c r="H27" s="31" t="str">
        <f t="shared" si="0"/>
        <v>Chave Duplicada</v>
      </c>
      <c r="I27" s="31" t="str">
        <f t="shared" si="1"/>
        <v>Nota Fiscal Duplicada</v>
      </c>
      <c r="J27" s="32" t="str">
        <f t="shared" si="2"/>
        <v>Valor Duplicado</v>
      </c>
    </row>
    <row r="28" spans="2:10" x14ac:dyDescent="0.2">
      <c r="B28" s="30" t="str">
        <f t="shared" si="3"/>
        <v>1016-233,23</v>
      </c>
      <c r="C28" s="45">
        <v>1016</v>
      </c>
      <c r="D28" s="46">
        <v>233.23</v>
      </c>
      <c r="E28" s="31" t="str">
        <f t="shared" si="4"/>
        <v>1001-112,02</v>
      </c>
      <c r="F28" s="45">
        <v>1001</v>
      </c>
      <c r="G28" s="46">
        <v>112.02</v>
      </c>
      <c r="H28" s="31" t="str">
        <f t="shared" si="0"/>
        <v>Chave Duplicada</v>
      </c>
      <c r="I28" s="31" t="str">
        <f t="shared" si="1"/>
        <v>Nota Fiscal Duplicada</v>
      </c>
      <c r="J28" s="32" t="str">
        <f t="shared" si="2"/>
        <v>Valor Duplicado</v>
      </c>
    </row>
    <row r="29" spans="2:10" x14ac:dyDescent="0.2">
      <c r="B29" s="30" t="str">
        <f t="shared" si="3"/>
        <v>1017-246,77</v>
      </c>
      <c r="C29" s="45">
        <v>1017</v>
      </c>
      <c r="D29" s="46">
        <v>246.77</v>
      </c>
      <c r="E29" s="31" t="str">
        <f t="shared" si="4"/>
        <v>1001-112,02</v>
      </c>
      <c r="F29" s="45">
        <v>1001</v>
      </c>
      <c r="G29" s="46">
        <v>112.02</v>
      </c>
      <c r="H29" s="31" t="str">
        <f t="shared" si="0"/>
        <v>Chave Duplicada</v>
      </c>
      <c r="I29" s="31" t="str">
        <f t="shared" si="1"/>
        <v>Nota Fiscal Duplicada</v>
      </c>
      <c r="J29" s="32" t="str">
        <f t="shared" si="2"/>
        <v>Valor Duplicado</v>
      </c>
    </row>
    <row r="30" spans="2:10" x14ac:dyDescent="0.2">
      <c r="B30" s="30" t="str">
        <f t="shared" si="3"/>
        <v>1018-444,88</v>
      </c>
      <c r="C30" s="45">
        <v>1018</v>
      </c>
      <c r="D30" s="46">
        <v>444.88</v>
      </c>
      <c r="E30" s="31" t="str">
        <f t="shared" si="4"/>
        <v>1001-112,02</v>
      </c>
      <c r="F30" s="45">
        <v>1001</v>
      </c>
      <c r="G30" s="46">
        <v>112.02</v>
      </c>
      <c r="H30" s="31" t="str">
        <f t="shared" si="0"/>
        <v>Chave Duplicada</v>
      </c>
      <c r="I30" s="31" t="str">
        <f t="shared" si="1"/>
        <v>Nota Fiscal Duplicada</v>
      </c>
      <c r="J30" s="32" t="str">
        <f t="shared" si="2"/>
        <v>Valor Duplicado</v>
      </c>
    </row>
  </sheetData>
  <sheetProtection algorithmName="SHA-512" hashValue="aqF+3691RMGP2LB5tW4v14Oel0GBn8E2IVxekpD/LddPgHMCCEzthDsWZvs7CXOEaeak0Vx8TSyb3rr0ayFU9A==" saltValue="RA8jT4MRA5AaLL6+njRU/A==" spinCount="100000" sheet="1" objects="1" scenarios="1" formatColumns="0" selectLockedCells="1"/>
  <protectedRanges>
    <protectedRange sqref="E13:E30 B13:B30" name="Intervalo4"/>
    <protectedRange sqref="H11 G31:J35 F14:G30" name="Intervalo3"/>
    <protectedRange sqref="C11:D11 C31:E35 F11:G11 C14:D30" name="Intervalo2"/>
    <protectedRange sqref="H12:J12" name="Intervalo1"/>
  </protectedRanges>
  <autoFilter ref="B12:J12"/>
  <mergeCells count="3">
    <mergeCell ref="B11:D11"/>
    <mergeCell ref="E11:G11"/>
    <mergeCell ref="H11:J11"/>
  </mergeCells>
  <conditionalFormatting sqref="H13:H30">
    <cfRule type="containsText" dxfId="2" priority="6" operator="containsText" text="Chave Duplicada">
      <formula>NOT(ISERROR(SEARCH("Chave Duplicada",H13)))</formula>
    </cfRule>
  </conditionalFormatting>
  <conditionalFormatting sqref="I13:I30">
    <cfRule type="containsText" dxfId="1" priority="5" operator="containsText" text="Nota Fiscal Duplicada">
      <formula>NOT(ISERROR(SEARCH("Nota Fiscal Duplicada",I13)))</formula>
    </cfRule>
  </conditionalFormatting>
  <conditionalFormatting sqref="J13:J30">
    <cfRule type="containsText" dxfId="0" priority="4" operator="containsText" text="Valor Duplicado">
      <formula>NOT(ISERROR(SEARCH("Valor Duplicado",J13)))</formula>
    </cfRule>
  </conditionalFormatting>
  <hyperlinks>
    <hyperlink ref="D2" r:id="rId1" location="!download/cu9f"/>
  </hyperlinks>
  <pageMargins left="0.7" right="0.7" top="0.75" bottom="0.75" header="0.3" footer="0.3"/>
  <pageSetup paperSize="9" orientation="portrait" r:id="rId2"/>
  <drawing r:id="rId3"/>
  <legacy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  <pageSetUpPr fitToPage="1"/>
  </sheetPr>
  <dimension ref="A1:F54"/>
  <sheetViews>
    <sheetView showGridLines="0" workbookViewId="0">
      <selection activeCell="D2" sqref="D2"/>
    </sheetView>
  </sheetViews>
  <sheetFormatPr defaultColWidth="9.140625" defaultRowHeight="12.75" x14ac:dyDescent="0.2"/>
  <cols>
    <col min="1" max="1" width="2.7109375" style="1" customWidth="1"/>
    <col min="2" max="2" width="23.7109375" style="1" bestFit="1" customWidth="1"/>
    <col min="3" max="5" width="18.7109375" style="1" customWidth="1"/>
    <col min="6" max="16372" width="9.140625" style="1"/>
    <col min="16373" max="16373" width="9.140625" style="1" customWidth="1"/>
    <col min="16374" max="16384" width="9.140625" style="1"/>
  </cols>
  <sheetData>
    <row r="1" spans="1:6" ht="23.25" x14ac:dyDescent="0.35">
      <c r="A1" s="4" t="s">
        <v>59</v>
      </c>
      <c r="B1" s="4"/>
      <c r="C1" s="4"/>
      <c r="D1" s="4"/>
      <c r="E1" s="4"/>
    </row>
    <row r="2" spans="1:6" s="5" customFormat="1" ht="12.75" customHeight="1" x14ac:dyDescent="0.2">
      <c r="B2" s="6"/>
      <c r="C2" s="6"/>
      <c r="D2" s="7" t="s">
        <v>6</v>
      </c>
    </row>
    <row r="3" spans="1:6" s="5" customFormat="1" ht="12.75" customHeight="1" x14ac:dyDescent="0.2">
      <c r="B3" s="6"/>
      <c r="C3" s="6"/>
      <c r="D3" s="8"/>
      <c r="E3" s="1"/>
    </row>
    <row r="4" spans="1:6" s="5" customFormat="1" ht="12.75" customHeight="1" x14ac:dyDescent="0.2">
      <c r="B4" s="6"/>
      <c r="C4" s="6"/>
    </row>
    <row r="5" spans="1:6" s="5" customFormat="1" ht="12.75" customHeight="1" x14ac:dyDescent="0.2">
      <c r="B5" s="6"/>
      <c r="C5" s="6"/>
      <c r="D5" s="90" t="s">
        <v>70</v>
      </c>
      <c r="E5" s="89" t="s">
        <v>71</v>
      </c>
    </row>
    <row r="6" spans="1:6" s="5" customFormat="1" ht="12.75" customHeight="1" x14ac:dyDescent="0.2">
      <c r="B6" s="6"/>
      <c r="C6" s="6"/>
      <c r="D6" s="91" t="s">
        <v>69</v>
      </c>
      <c r="E6" s="17" t="s">
        <v>68</v>
      </c>
    </row>
    <row r="7" spans="1:6" s="5" customFormat="1" ht="12.75" customHeight="1" x14ac:dyDescent="0.2">
      <c r="B7" s="6"/>
      <c r="C7" s="6"/>
    </row>
    <row r="8" spans="1:6" s="5" customFormat="1" ht="12.75" customHeight="1" x14ac:dyDescent="0.2">
      <c r="B8" s="6"/>
      <c r="C8" s="6"/>
      <c r="D8" s="92" t="s">
        <v>61</v>
      </c>
      <c r="E8" s="83">
        <f ca="1">TODAY()</f>
        <v>43149</v>
      </c>
    </row>
    <row r="9" spans="1:6" s="5" customFormat="1" ht="12.75" customHeight="1" x14ac:dyDescent="0.2">
      <c r="B9" s="6" t="s">
        <v>7</v>
      </c>
      <c r="C9" s="6"/>
      <c r="D9" s="49" t="s">
        <v>11</v>
      </c>
      <c r="E9" s="10">
        <f>D23</f>
        <v>7000</v>
      </c>
    </row>
    <row r="10" spans="1:6" s="5" customFormat="1" ht="12.75" customHeight="1" x14ac:dyDescent="0.2">
      <c r="B10" s="6"/>
      <c r="C10" s="6"/>
    </row>
    <row r="11" spans="1:6" x14ac:dyDescent="0.2">
      <c r="A11" s="9"/>
      <c r="B11" s="57" t="s">
        <v>8</v>
      </c>
      <c r="C11" s="98"/>
      <c r="D11" s="98"/>
      <c r="E11" s="98"/>
    </row>
    <row r="12" spans="1:6" x14ac:dyDescent="0.2">
      <c r="A12" s="9"/>
      <c r="B12" s="57" t="s">
        <v>9</v>
      </c>
      <c r="C12" s="98"/>
      <c r="D12" s="98"/>
      <c r="E12" s="98"/>
    </row>
    <row r="13" spans="1:6" x14ac:dyDescent="0.2">
      <c r="A13" s="9"/>
      <c r="B13" s="57" t="s">
        <v>10</v>
      </c>
      <c r="C13" s="98"/>
      <c r="D13" s="98"/>
      <c r="E13" s="98"/>
    </row>
    <row r="14" spans="1:6" x14ac:dyDescent="0.2">
      <c r="B14" s="9"/>
      <c r="C14" s="9"/>
      <c r="D14" s="9"/>
    </row>
    <row r="15" spans="1:6" x14ac:dyDescent="0.2">
      <c r="A15" s="9"/>
      <c r="B15" s="71" t="s">
        <v>12</v>
      </c>
      <c r="C15" s="72" t="s">
        <v>13</v>
      </c>
      <c r="D15" s="72" t="s">
        <v>14</v>
      </c>
      <c r="E15" s="73" t="s">
        <v>15</v>
      </c>
      <c r="F15" s="9"/>
    </row>
    <row r="16" spans="1:6" x14ac:dyDescent="0.2">
      <c r="A16" s="9"/>
      <c r="B16" s="74" t="s">
        <v>16</v>
      </c>
      <c r="C16" s="75">
        <v>42348</v>
      </c>
      <c r="D16" s="76">
        <v>1000</v>
      </c>
      <c r="E16" s="77">
        <f>$E$9-D16</f>
        <v>6000</v>
      </c>
      <c r="F16" s="9"/>
    </row>
    <row r="17" spans="1:6" x14ac:dyDescent="0.2">
      <c r="A17" s="9"/>
      <c r="B17" s="56" t="s">
        <v>17</v>
      </c>
      <c r="C17" s="52">
        <f>EDATE(C16,1)</f>
        <v>42379</v>
      </c>
      <c r="D17" s="51">
        <f>$D$16</f>
        <v>1000</v>
      </c>
      <c r="E17" s="55">
        <f t="shared" ref="E17:E22" si="0">E16-D17</f>
        <v>5000</v>
      </c>
      <c r="F17" s="9"/>
    </row>
    <row r="18" spans="1:6" x14ac:dyDescent="0.2">
      <c r="A18" s="9"/>
      <c r="B18" s="56" t="s">
        <v>18</v>
      </c>
      <c r="C18" s="52">
        <f t="shared" ref="C18:C22" si="1">EDATE(C17,1)</f>
        <v>42410</v>
      </c>
      <c r="D18" s="51">
        <f>$D$16</f>
        <v>1000</v>
      </c>
      <c r="E18" s="55">
        <f t="shared" si="0"/>
        <v>4000</v>
      </c>
      <c r="F18" s="9"/>
    </row>
    <row r="19" spans="1:6" x14ac:dyDescent="0.2">
      <c r="A19" s="9"/>
      <c r="B19" s="56" t="s">
        <v>19</v>
      </c>
      <c r="C19" s="52">
        <f t="shared" si="1"/>
        <v>42439</v>
      </c>
      <c r="D19" s="51">
        <f t="shared" ref="D19:D22" si="2">$D$16</f>
        <v>1000</v>
      </c>
      <c r="E19" s="55">
        <f t="shared" si="0"/>
        <v>3000</v>
      </c>
      <c r="F19" s="9"/>
    </row>
    <row r="20" spans="1:6" x14ac:dyDescent="0.2">
      <c r="A20" s="9"/>
      <c r="B20" s="56" t="s">
        <v>20</v>
      </c>
      <c r="C20" s="52">
        <f t="shared" si="1"/>
        <v>42470</v>
      </c>
      <c r="D20" s="51">
        <f t="shared" si="2"/>
        <v>1000</v>
      </c>
      <c r="E20" s="55">
        <f t="shared" si="0"/>
        <v>2000</v>
      </c>
      <c r="F20" s="9"/>
    </row>
    <row r="21" spans="1:6" x14ac:dyDescent="0.2">
      <c r="A21" s="9"/>
      <c r="B21" s="56" t="s">
        <v>21</v>
      </c>
      <c r="C21" s="52">
        <f t="shared" si="1"/>
        <v>42500</v>
      </c>
      <c r="D21" s="51">
        <f t="shared" si="2"/>
        <v>1000</v>
      </c>
      <c r="E21" s="55">
        <f t="shared" si="0"/>
        <v>1000</v>
      </c>
      <c r="F21" s="9"/>
    </row>
    <row r="22" spans="1:6" x14ac:dyDescent="0.2">
      <c r="A22" s="9"/>
      <c r="B22" s="56" t="s">
        <v>22</v>
      </c>
      <c r="C22" s="52">
        <f t="shared" si="1"/>
        <v>42531</v>
      </c>
      <c r="D22" s="51">
        <f t="shared" si="2"/>
        <v>1000</v>
      </c>
      <c r="E22" s="55">
        <f t="shared" si="0"/>
        <v>0</v>
      </c>
      <c r="F22" s="9"/>
    </row>
    <row r="23" spans="1:6" x14ac:dyDescent="0.2">
      <c r="B23" s="99" t="s">
        <v>23</v>
      </c>
      <c r="C23" s="100"/>
      <c r="D23" s="53">
        <f>SUM(D16:D22)</f>
        <v>7000</v>
      </c>
      <c r="E23" s="54"/>
      <c r="F23" s="9"/>
    </row>
    <row r="24" spans="1:6" x14ac:dyDescent="0.2">
      <c r="B24" s="9"/>
      <c r="C24" s="9"/>
      <c r="D24" s="9"/>
    </row>
    <row r="25" spans="1:6" x14ac:dyDescent="0.2">
      <c r="B25" s="101" t="s">
        <v>24</v>
      </c>
      <c r="C25" s="101"/>
      <c r="D25" s="101"/>
      <c r="E25" s="101"/>
    </row>
    <row r="26" spans="1:6" x14ac:dyDescent="0.2">
      <c r="B26" s="11"/>
      <c r="C26" s="11"/>
      <c r="D26" s="11"/>
      <c r="E26" s="11"/>
    </row>
    <row r="27" spans="1:6" x14ac:dyDescent="0.2">
      <c r="A27" s="9"/>
      <c r="B27" s="71" t="s">
        <v>25</v>
      </c>
      <c r="C27" s="72" t="s">
        <v>26</v>
      </c>
      <c r="D27" s="72" t="s">
        <v>27</v>
      </c>
      <c r="E27" s="73" t="s">
        <v>28</v>
      </c>
      <c r="F27" s="9"/>
    </row>
    <row r="28" spans="1:6" x14ac:dyDescent="0.2">
      <c r="A28" s="9"/>
      <c r="B28" s="67">
        <f>C16</f>
        <v>42348</v>
      </c>
      <c r="C28" s="68">
        <f>DATEDIF(B28,EOMONTH(B28,0),"D")+1</f>
        <v>22</v>
      </c>
      <c r="D28" s="69">
        <f t="shared" ref="D28:D39" si="3">($D$23/$C$42)*C28</f>
        <v>420.76502732240436</v>
      </c>
      <c r="E28" s="70">
        <f>D23-D28</f>
        <v>6579.2349726775956</v>
      </c>
      <c r="F28" s="9"/>
    </row>
    <row r="29" spans="1:6" x14ac:dyDescent="0.2">
      <c r="A29" s="9"/>
      <c r="B29" s="60">
        <f>EOMONTH(B28,1)</f>
        <v>42400</v>
      </c>
      <c r="C29" s="59">
        <f t="shared" ref="C29:C39" si="4">DAY(EOMONTH(B29,0))</f>
        <v>31</v>
      </c>
      <c r="D29" s="58">
        <f t="shared" si="3"/>
        <v>592.89617486338796</v>
      </c>
      <c r="E29" s="62">
        <f>E28-D29</f>
        <v>5986.3387978142073</v>
      </c>
      <c r="F29" s="9"/>
    </row>
    <row r="30" spans="1:6" x14ac:dyDescent="0.2">
      <c r="A30" s="9"/>
      <c r="B30" s="60">
        <f>EOMONTH(B29,1)</f>
        <v>42429</v>
      </c>
      <c r="C30" s="59">
        <f t="shared" si="4"/>
        <v>29</v>
      </c>
      <c r="D30" s="58">
        <f t="shared" si="3"/>
        <v>554.64480874316939</v>
      </c>
      <c r="E30" s="62">
        <f t="shared" ref="E30:E39" si="5">E29-D30</f>
        <v>5431.6939890710382</v>
      </c>
      <c r="F30" s="9"/>
    </row>
    <row r="31" spans="1:6" x14ac:dyDescent="0.2">
      <c r="A31" s="9"/>
      <c r="B31" s="60">
        <f t="shared" ref="B31:B39" si="6">EOMONTH(B30,1)</f>
        <v>42460</v>
      </c>
      <c r="C31" s="59">
        <f t="shared" si="4"/>
        <v>31</v>
      </c>
      <c r="D31" s="58">
        <f t="shared" si="3"/>
        <v>592.89617486338796</v>
      </c>
      <c r="E31" s="62">
        <f t="shared" si="5"/>
        <v>4838.7978142076499</v>
      </c>
      <c r="F31" s="9"/>
    </row>
    <row r="32" spans="1:6" x14ac:dyDescent="0.2">
      <c r="A32" s="9"/>
      <c r="B32" s="60">
        <f t="shared" si="6"/>
        <v>42490</v>
      </c>
      <c r="C32" s="59">
        <f t="shared" si="4"/>
        <v>30</v>
      </c>
      <c r="D32" s="58">
        <f t="shared" si="3"/>
        <v>573.77049180327867</v>
      </c>
      <c r="E32" s="62">
        <f t="shared" si="5"/>
        <v>4265.0273224043713</v>
      </c>
      <c r="F32" s="9"/>
    </row>
    <row r="33" spans="1:6" x14ac:dyDescent="0.2">
      <c r="A33" s="9"/>
      <c r="B33" s="60">
        <f t="shared" si="6"/>
        <v>42521</v>
      </c>
      <c r="C33" s="59">
        <f t="shared" si="4"/>
        <v>31</v>
      </c>
      <c r="D33" s="58">
        <f t="shared" si="3"/>
        <v>592.89617486338796</v>
      </c>
      <c r="E33" s="62">
        <f t="shared" si="5"/>
        <v>3672.1311475409834</v>
      </c>
      <c r="F33" s="9"/>
    </row>
    <row r="34" spans="1:6" x14ac:dyDescent="0.2">
      <c r="A34" s="9"/>
      <c r="B34" s="60">
        <f t="shared" si="6"/>
        <v>42551</v>
      </c>
      <c r="C34" s="59">
        <f t="shared" si="4"/>
        <v>30</v>
      </c>
      <c r="D34" s="58">
        <f t="shared" si="3"/>
        <v>573.77049180327867</v>
      </c>
      <c r="E34" s="62">
        <f t="shared" si="5"/>
        <v>3098.3606557377047</v>
      </c>
      <c r="F34" s="9"/>
    </row>
    <row r="35" spans="1:6" x14ac:dyDescent="0.2">
      <c r="A35" s="9"/>
      <c r="B35" s="60">
        <f t="shared" si="6"/>
        <v>42582</v>
      </c>
      <c r="C35" s="59">
        <f t="shared" si="4"/>
        <v>31</v>
      </c>
      <c r="D35" s="58">
        <f t="shared" si="3"/>
        <v>592.89617486338796</v>
      </c>
      <c r="E35" s="62">
        <f t="shared" si="5"/>
        <v>2505.4644808743169</v>
      </c>
      <c r="F35" s="9"/>
    </row>
    <row r="36" spans="1:6" x14ac:dyDescent="0.2">
      <c r="A36" s="9"/>
      <c r="B36" s="60">
        <f t="shared" si="6"/>
        <v>42613</v>
      </c>
      <c r="C36" s="59">
        <f t="shared" si="4"/>
        <v>31</v>
      </c>
      <c r="D36" s="58">
        <f t="shared" si="3"/>
        <v>592.89617486338796</v>
      </c>
      <c r="E36" s="62">
        <f t="shared" si="5"/>
        <v>1912.5683060109291</v>
      </c>
      <c r="F36" s="9"/>
    </row>
    <row r="37" spans="1:6" x14ac:dyDescent="0.2">
      <c r="A37" s="9"/>
      <c r="B37" s="60">
        <f t="shared" si="6"/>
        <v>42643</v>
      </c>
      <c r="C37" s="59">
        <f t="shared" si="4"/>
        <v>30</v>
      </c>
      <c r="D37" s="58">
        <f t="shared" si="3"/>
        <v>573.77049180327867</v>
      </c>
      <c r="E37" s="62">
        <f t="shared" si="5"/>
        <v>1338.7978142076504</v>
      </c>
      <c r="F37" s="9"/>
    </row>
    <row r="38" spans="1:6" x14ac:dyDescent="0.2">
      <c r="A38" s="9"/>
      <c r="B38" s="60">
        <f t="shared" si="6"/>
        <v>42674</v>
      </c>
      <c r="C38" s="59">
        <f t="shared" si="4"/>
        <v>31</v>
      </c>
      <c r="D38" s="58">
        <f t="shared" si="3"/>
        <v>592.89617486338796</v>
      </c>
      <c r="E38" s="62">
        <f t="shared" si="5"/>
        <v>745.90163934426243</v>
      </c>
      <c r="F38" s="9"/>
    </row>
    <row r="39" spans="1:6" x14ac:dyDescent="0.2">
      <c r="A39" s="9"/>
      <c r="B39" s="60">
        <f t="shared" si="6"/>
        <v>42704</v>
      </c>
      <c r="C39" s="59">
        <f t="shared" si="4"/>
        <v>30</v>
      </c>
      <c r="D39" s="58">
        <f t="shared" si="3"/>
        <v>573.77049180327867</v>
      </c>
      <c r="E39" s="62">
        <f t="shared" si="5"/>
        <v>172.13114754098376</v>
      </c>
      <c r="F39" s="9"/>
    </row>
    <row r="40" spans="1:6" hidden="1" x14ac:dyDescent="0.2">
      <c r="A40" s="9"/>
      <c r="B40" s="60"/>
      <c r="C40" s="61">
        <f>DAY(EOMONTH(B41,0))</f>
        <v>31</v>
      </c>
      <c r="D40" s="58"/>
      <c r="E40" s="62"/>
      <c r="F40" s="9"/>
    </row>
    <row r="41" spans="1:6" x14ac:dyDescent="0.2">
      <c r="A41" s="9"/>
      <c r="B41" s="60">
        <f>EOMONTH(B39,1)</f>
        <v>42735</v>
      </c>
      <c r="C41" s="59">
        <f>-SUM(C28:C39)+C42</f>
        <v>9</v>
      </c>
      <c r="D41" s="58">
        <f>($D$23/$C$42)*C41</f>
        <v>172.13114754098359</v>
      </c>
      <c r="E41" s="62">
        <f>E39-D41</f>
        <v>0</v>
      </c>
      <c r="F41" s="9"/>
    </row>
    <row r="42" spans="1:6" x14ac:dyDescent="0.2">
      <c r="B42" s="65" t="s">
        <v>23</v>
      </c>
      <c r="C42" s="63" t="str">
        <f>IF(COUNTIF(C28:C40,"=29"),"366","365")</f>
        <v>366</v>
      </c>
      <c r="D42" s="64">
        <f>SUM(D28:D41)</f>
        <v>7000.0000000000009</v>
      </c>
      <c r="E42" s="66"/>
      <c r="F42" s="9"/>
    </row>
    <row r="43" spans="1:6" x14ac:dyDescent="0.2">
      <c r="B43" s="9"/>
      <c r="C43" s="9"/>
      <c r="D43" s="9"/>
    </row>
    <row r="44" spans="1:6" x14ac:dyDescent="0.2">
      <c r="B44" s="97" t="s">
        <v>29</v>
      </c>
      <c r="C44" s="97"/>
      <c r="D44" s="9"/>
    </row>
    <row r="45" spans="1:6" x14ac:dyDescent="0.2">
      <c r="B45" s="12"/>
      <c r="C45" s="12"/>
    </row>
    <row r="46" spans="1:6" x14ac:dyDescent="0.2">
      <c r="B46" s="13" t="s">
        <v>30</v>
      </c>
      <c r="C46" s="13"/>
    </row>
    <row r="47" spans="1:6" x14ac:dyDescent="0.2">
      <c r="B47" s="14" t="s">
        <v>31</v>
      </c>
      <c r="C47" s="13" t="s">
        <v>32</v>
      </c>
    </row>
    <row r="48" spans="1:6" x14ac:dyDescent="0.2">
      <c r="B48" s="14" t="s">
        <v>33</v>
      </c>
      <c r="C48" s="12" t="s">
        <v>34</v>
      </c>
    </row>
    <row r="49" spans="2:3" x14ac:dyDescent="0.2">
      <c r="B49" s="15" t="s">
        <v>35</v>
      </c>
      <c r="C49" s="15"/>
    </row>
    <row r="50" spans="2:3" x14ac:dyDescent="0.2">
      <c r="B50" s="14" t="s">
        <v>31</v>
      </c>
      <c r="C50" s="12" t="s">
        <v>34</v>
      </c>
    </row>
    <row r="51" spans="2:3" x14ac:dyDescent="0.2">
      <c r="B51" s="14" t="s">
        <v>33</v>
      </c>
      <c r="C51" s="13" t="s">
        <v>36</v>
      </c>
    </row>
    <row r="52" spans="2:3" x14ac:dyDescent="0.2">
      <c r="B52" s="13" t="s">
        <v>37</v>
      </c>
      <c r="C52" s="13"/>
    </row>
    <row r="53" spans="2:3" x14ac:dyDescent="0.2">
      <c r="B53" s="14" t="s">
        <v>31</v>
      </c>
      <c r="C53" s="13" t="s">
        <v>38</v>
      </c>
    </row>
    <row r="54" spans="2:3" x14ac:dyDescent="0.2">
      <c r="B54" s="14" t="s">
        <v>33</v>
      </c>
      <c r="C54" s="13" t="s">
        <v>32</v>
      </c>
    </row>
  </sheetData>
  <sheetProtection algorithmName="SHA-512" hashValue="zdcCxQWDO3/TG1bW0slmFW8aXrn/NHAMEU5xNCXXwf5loJfvBLcGq3u6AnhABN9h4e+pFMTJYOD+/TnkAXRHyQ==" saltValue="vyr+H4Qy7au36nMwn3uAZg==" spinCount="100000" sheet="1" objects="1" scenarios="1" formatColumns="0" selectLockedCells="1"/>
  <protectedRanges>
    <protectedRange sqref="C11:C13" name="Informação da Empresa"/>
    <protectedRange sqref="C16:C22" name="Data"/>
    <protectedRange sqref="D16:D22" name="Parcela"/>
    <protectedRange sqref="B28:B41 C29:C41" name="Dias Mês"/>
    <protectedRange sqref="D28:D41" name="Valor"/>
  </protectedRanges>
  <mergeCells count="6">
    <mergeCell ref="B44:C44"/>
    <mergeCell ref="C11:E11"/>
    <mergeCell ref="C12:E12"/>
    <mergeCell ref="C13:E13"/>
    <mergeCell ref="B23:C23"/>
    <mergeCell ref="B25:E25"/>
  </mergeCells>
  <hyperlinks>
    <hyperlink ref="D2" r:id="rId1" location="!download/cu9f"/>
  </hyperlinks>
  <pageMargins left="0" right="0" top="0.59055118110236227" bottom="0.39370078740157483" header="0.51181102362204722" footer="0.51181102362204722"/>
  <pageSetup paperSize="9" scale="91" orientation="portrait" r:id="rId2"/>
  <headerFooter alignWithMargins="0"/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Menu</vt:lpstr>
      <vt:lpstr>Fluxo de Caixa</vt:lpstr>
      <vt:lpstr>Conciliação</vt:lpstr>
      <vt:lpstr>Apropriação de Seguro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Bancos</dc:title>
  <dc:subject>Conciliação Bancária</dc:subject>
  <dc:creator>www.funcaocontabil.net</dc:creator>
  <cp:lastModifiedBy>Guilherme Fernando Ferrari</cp:lastModifiedBy>
  <cp:lastPrinted>2018-02-14T17:26:19Z</cp:lastPrinted>
  <dcterms:created xsi:type="dcterms:W3CDTF">2002-07-05T19:57:24Z</dcterms:created>
  <dcterms:modified xsi:type="dcterms:W3CDTF">2018-02-19T00:39:16Z</dcterms:modified>
  <cp:category>Cotabilidade</cp:category>
</cp:coreProperties>
</file>