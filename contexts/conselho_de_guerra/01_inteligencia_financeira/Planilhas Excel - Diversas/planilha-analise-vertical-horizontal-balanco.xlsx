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ocuments\Referências\EXCEL SOLUÇÃO\PLANILHAS GRATIS\ANALISE VERT HOR (G107)\"/>
    </mc:Choice>
  </mc:AlternateContent>
  <bookViews>
    <workbookView xWindow="0" yWindow="0" windowWidth="7470" windowHeight="2760"/>
  </bookViews>
  <sheets>
    <sheet name="Inicio" sheetId="5" r:id="rId1"/>
    <sheet name="Analise Balanço" sheetId="7" r:id="rId2"/>
  </sheets>
  <definedNames>
    <definedName name="NativeTimeline_DATA">#N/A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3" i="7" l="1"/>
  <c r="G32" i="7"/>
  <c r="G24" i="7"/>
  <c r="C24" i="7"/>
  <c r="G21" i="7"/>
  <c r="C21" i="7"/>
  <c r="C19" i="7" s="1"/>
  <c r="G19" i="7"/>
  <c r="I15" i="7"/>
  <c r="I17" i="7"/>
  <c r="I12" i="7"/>
  <c r="I13" i="7"/>
  <c r="I25" i="7"/>
  <c r="I26" i="7"/>
  <c r="I27" i="7"/>
  <c r="I34" i="7"/>
  <c r="I35" i="7"/>
  <c r="I36" i="7"/>
  <c r="I37" i="7"/>
  <c r="I45" i="7"/>
  <c r="I46" i="7"/>
  <c r="I47" i="7"/>
  <c r="I41" i="7"/>
  <c r="I40" i="7"/>
  <c r="G39" i="7" l="1"/>
  <c r="C39" i="7"/>
  <c r="C32" i="7"/>
  <c r="G14" i="7"/>
  <c r="C14" i="7"/>
  <c r="I39" i="7" l="1"/>
  <c r="I44" i="7" l="1"/>
  <c r="C43" i="7"/>
  <c r="I33" i="7"/>
  <c r="I28" i="7"/>
  <c r="I23" i="7"/>
  <c r="I22" i="7"/>
  <c r="I16" i="7"/>
  <c r="I11" i="7"/>
  <c r="G10" i="7"/>
  <c r="G8" i="7" s="1"/>
  <c r="G29" i="7" s="1"/>
  <c r="C10" i="7"/>
  <c r="C8" i="7" s="1"/>
  <c r="C29" i="7" s="1"/>
  <c r="D25" i="7" l="1"/>
  <c r="I21" i="7"/>
  <c r="C48" i="7"/>
  <c r="I14" i="7"/>
  <c r="I10" i="7"/>
  <c r="I32" i="7"/>
  <c r="D27" i="7"/>
  <c r="I8" i="7"/>
  <c r="I19" i="7"/>
  <c r="I24" i="7"/>
  <c r="G48" i="7"/>
  <c r="I43" i="7"/>
  <c r="D44" i="7" l="1"/>
  <c r="H34" i="7"/>
  <c r="H35" i="7"/>
  <c r="H36" i="7"/>
  <c r="H37" i="7"/>
  <c r="H45" i="7"/>
  <c r="H46" i="7"/>
  <c r="H47" i="7"/>
  <c r="H41" i="7"/>
  <c r="H40" i="7"/>
  <c r="H39" i="7"/>
  <c r="H17" i="7"/>
  <c r="H12" i="7"/>
  <c r="H13" i="7"/>
  <c r="H25" i="7"/>
  <c r="H26" i="7"/>
  <c r="H27" i="7"/>
  <c r="H15" i="7"/>
  <c r="D43" i="7"/>
  <c r="D46" i="7"/>
  <c r="D21" i="7"/>
  <c r="D11" i="7"/>
  <c r="D12" i="7"/>
  <c r="D19" i="7"/>
  <c r="D14" i="7"/>
  <c r="D26" i="7"/>
  <c r="D23" i="7"/>
  <c r="D8" i="7"/>
  <c r="D24" i="7"/>
  <c r="D10" i="7"/>
  <c r="D13" i="7"/>
  <c r="D16" i="7"/>
  <c r="D22" i="7"/>
  <c r="D28" i="7"/>
  <c r="D17" i="7"/>
  <c r="D34" i="7"/>
  <c r="D47" i="7"/>
  <c r="D35" i="7"/>
  <c r="D40" i="7"/>
  <c r="D32" i="7"/>
  <c r="D45" i="7"/>
  <c r="D39" i="7"/>
  <c r="D33" i="7"/>
  <c r="D37" i="7"/>
  <c r="I48" i="7"/>
  <c r="H33" i="7"/>
  <c r="H32" i="7"/>
  <c r="H44" i="7"/>
  <c r="H43" i="7"/>
  <c r="I29" i="7"/>
  <c r="H28" i="7"/>
  <c r="H22" i="7"/>
  <c r="H16" i="7"/>
  <c r="H11" i="7"/>
  <c r="H23" i="7"/>
  <c r="H21" i="7"/>
  <c r="H14" i="7"/>
  <c r="H10" i="7"/>
  <c r="H19" i="7"/>
  <c r="H8" i="7"/>
  <c r="H24" i="7"/>
</calcChain>
</file>

<file path=xl/sharedStrings.xml><?xml version="1.0" encoding="utf-8"?>
<sst xmlns="http://schemas.openxmlformats.org/spreadsheetml/2006/main" count="42" uniqueCount="39">
  <si>
    <t>Planilha produzida para o site ExcelSolução.com.br - ©Diretos Reservados</t>
  </si>
  <si>
    <t xml:space="preserve">BALANÇO PATRIMONIAL / ANO </t>
  </si>
  <si>
    <t>ATIVO CIRCULANTE</t>
  </si>
  <si>
    <t>Disponível</t>
  </si>
  <si>
    <t>Realizável</t>
  </si>
  <si>
    <t>ATIVO NÃO-CIRCULANTE</t>
  </si>
  <si>
    <t>Investimentos</t>
  </si>
  <si>
    <t>Imobilizado</t>
  </si>
  <si>
    <t>TOTAL DO ATIVO</t>
  </si>
  <si>
    <t>PASSIVO CIRCULANTE</t>
  </si>
  <si>
    <t>PASSIVO NÃO-CIRCULANTE</t>
  </si>
  <si>
    <t>PATRIMÔNIO LÍQUIDO</t>
  </si>
  <si>
    <t>TOTAL DO PASSIVO</t>
  </si>
  <si>
    <t>Vertic.</t>
  </si>
  <si>
    <t>Horiz.</t>
  </si>
  <si>
    <t>Digite Aqui o Nome Empresa</t>
  </si>
  <si>
    <t xml:space="preserve">  Caixa</t>
  </si>
  <si>
    <t xml:space="preserve">  Bancos Conta Corrente</t>
  </si>
  <si>
    <t xml:space="preserve">  Bancos Aplicações</t>
  </si>
  <si>
    <t xml:space="preserve">  Impostos a Recuperar</t>
  </si>
  <si>
    <t xml:space="preserve">  Duplicatas a receber - Clientes</t>
  </si>
  <si>
    <t xml:space="preserve">   Estoques</t>
  </si>
  <si>
    <t xml:space="preserve">   Consórcios</t>
  </si>
  <si>
    <t xml:space="preserve">   Outros / A Receber</t>
  </si>
  <si>
    <t xml:space="preserve">    Móveis, utensílios e máquinas</t>
  </si>
  <si>
    <t xml:space="preserve">    Equipamentos de Informática</t>
  </si>
  <si>
    <t xml:space="preserve">    Outros / Imobilizado</t>
  </si>
  <si>
    <t xml:space="preserve">    (-) Depreciações</t>
  </si>
  <si>
    <t xml:space="preserve">   Fornecedores</t>
  </si>
  <si>
    <t xml:space="preserve">   Salários a Pagar</t>
  </si>
  <si>
    <t xml:space="preserve">   Tributos a Pagar</t>
  </si>
  <si>
    <t xml:space="preserve">   Financiamentos</t>
  </si>
  <si>
    <t xml:space="preserve">   Outros / A Pagar</t>
  </si>
  <si>
    <t xml:space="preserve">   Recolhimentos Impostos</t>
  </si>
  <si>
    <t xml:space="preserve">   Capital Social</t>
  </si>
  <si>
    <t xml:space="preserve">   Reservas de Capital</t>
  </si>
  <si>
    <t xml:space="preserve">   Reservas de Lucros</t>
  </si>
  <si>
    <t xml:space="preserve">   Lucros Acumulados</t>
  </si>
  <si>
    <t>Planilha Grátis - Análise Vertical e Horizontal / Balanço Patrimonial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</si>
</sst>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-* #,##0.00_-;\-* #,##0.00_-;_-* &quot;-&quot;??_-;_-@_-"/>
    <numFmt numFmtId="164" formatCode="_(&quot;R$ &quot;* #,##0.00_);_(&quot;R$ &quot;* \(#,##0.00\);_(&quot;R$ &quot;* &quot;-&quot;??_);_(@_)"/>
    <numFmt numFmtId="165" formatCode="_(* #,##0.00_);_(* \(#,##0.00\);_(* &quot;-&quot;??_);_(@_)"/>
    <numFmt numFmtId="166" formatCode="_-* #,##0_-;\-* #,##0_-;_-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sz val="12"/>
      <color theme="1" tint="0.249977111117893"/>
      <name val="Arial"/>
      <family val="2"/>
    </font>
    <font>
      <b/>
      <sz val="11"/>
      <color theme="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50B3AC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D7E77"/>
        <bgColor indexed="64"/>
      </patternFill>
    </fill>
  </fills>
  <borders count="4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</borders>
  <cellStyleXfs count="9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0" fontId="4" fillId="0" borderId="0" applyNumberFormat="0" applyFill="0" applyBorder="0" applyAlignment="0" applyProtection="0">
      <alignment vertical="top"/>
      <protection locked="0"/>
    </xf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2" fillId="0" borderId="0" xfId="2"/>
    <xf numFmtId="0" fontId="2" fillId="2" borderId="0" xfId="2" applyFill="1"/>
    <xf numFmtId="0" fontId="3" fillId="0" borderId="0" xfId="2" applyFont="1"/>
    <xf numFmtId="0" fontId="10" fillId="0" borderId="0" xfId="2" applyFont="1"/>
    <xf numFmtId="0" fontId="2" fillId="0" borderId="0" xfId="2" applyProtection="1"/>
    <xf numFmtId="0" fontId="0" fillId="0" borderId="0" xfId="0" applyProtection="1"/>
    <xf numFmtId="0" fontId="6" fillId="4" borderId="3" xfId="2" applyFont="1" applyFill="1" applyBorder="1" applyAlignment="1" applyProtection="1">
      <alignment vertical="center"/>
    </xf>
    <xf numFmtId="0" fontId="6" fillId="4" borderId="1" xfId="2" applyFont="1" applyFill="1" applyBorder="1" applyAlignment="1" applyProtection="1">
      <alignment horizontal="center" vertical="center"/>
    </xf>
    <xf numFmtId="9" fontId="6" fillId="4" borderId="1" xfId="4" applyFont="1" applyFill="1" applyBorder="1" applyAlignment="1" applyProtection="1">
      <alignment horizontal="center" vertical="center"/>
    </xf>
    <xf numFmtId="0" fontId="9" fillId="0" borderId="0" xfId="0" applyFont="1" applyProtection="1"/>
    <xf numFmtId="0" fontId="6" fillId="6" borderId="3" xfId="2" applyFont="1" applyFill="1" applyBorder="1" applyAlignment="1" applyProtection="1">
      <alignment vertical="center"/>
    </xf>
    <xf numFmtId="3" fontId="7" fillId="5" borderId="1" xfId="2" applyNumberFormat="1" applyFont="1" applyFill="1" applyBorder="1" applyAlignment="1" applyProtection="1">
      <alignment vertical="center"/>
    </xf>
    <xf numFmtId="9" fontId="7" fillId="5" borderId="1" xfId="4" applyFont="1" applyFill="1" applyBorder="1" applyAlignment="1" applyProtection="1">
      <alignment vertical="center"/>
    </xf>
    <xf numFmtId="9" fontId="7" fillId="5" borderId="1" xfId="8" applyFont="1" applyFill="1" applyBorder="1" applyAlignment="1" applyProtection="1">
      <alignment vertical="center"/>
    </xf>
    <xf numFmtId="0" fontId="9" fillId="0" borderId="0" xfId="0" applyFont="1" applyFill="1" applyProtection="1"/>
    <xf numFmtId="0" fontId="6" fillId="4" borderId="0" xfId="2" applyFont="1" applyFill="1" applyBorder="1" applyAlignment="1" applyProtection="1">
      <alignment vertical="center"/>
    </xf>
    <xf numFmtId="9" fontId="9" fillId="5" borderId="1" xfId="4" applyFont="1" applyFill="1" applyBorder="1" applyAlignment="1" applyProtection="1">
      <alignment vertical="center"/>
    </xf>
    <xf numFmtId="9" fontId="8" fillId="5" borderId="1" xfId="4" applyFont="1" applyFill="1" applyBorder="1" applyAlignment="1" applyProtection="1">
      <alignment vertical="center"/>
    </xf>
    <xf numFmtId="9" fontId="8" fillId="5" borderId="1" xfId="8" applyFont="1" applyFill="1" applyBorder="1" applyAlignment="1" applyProtection="1">
      <alignment vertical="center"/>
    </xf>
    <xf numFmtId="9" fontId="9" fillId="0" borderId="0" xfId="8" applyFont="1" applyProtection="1"/>
    <xf numFmtId="0" fontId="6" fillId="3" borderId="0" xfId="2" applyFont="1" applyFill="1" applyBorder="1" applyAlignment="1" applyProtection="1">
      <alignment vertical="center"/>
    </xf>
    <xf numFmtId="3" fontId="6" fillId="3" borderId="1" xfId="2" applyNumberFormat="1" applyFont="1" applyFill="1" applyBorder="1" applyAlignment="1" applyProtection="1">
      <alignment vertical="center"/>
    </xf>
    <xf numFmtId="9" fontId="6" fillId="3" borderId="1" xfId="4" applyFont="1" applyFill="1" applyBorder="1" applyAlignment="1" applyProtection="1">
      <alignment vertical="center"/>
    </xf>
    <xf numFmtId="9" fontId="6" fillId="3" borderId="1" xfId="8" applyFont="1" applyFill="1" applyBorder="1" applyAlignment="1" applyProtection="1">
      <alignment vertical="center"/>
    </xf>
    <xf numFmtId="0" fontId="6" fillId="6" borderId="0" xfId="2" applyFont="1" applyFill="1" applyBorder="1" applyAlignment="1" applyProtection="1">
      <alignment vertical="center"/>
    </xf>
    <xf numFmtId="166" fontId="2" fillId="0" borderId="0" xfId="2" applyNumberFormat="1" applyProtection="1"/>
    <xf numFmtId="0" fontId="0" fillId="0" borderId="0" xfId="0" applyProtection="1">
      <protection locked="0"/>
    </xf>
    <xf numFmtId="0" fontId="2" fillId="0" borderId="0" xfId="2" applyProtection="1">
      <protection locked="0"/>
    </xf>
    <xf numFmtId="4" fontId="8" fillId="0" borderId="1" xfId="2" applyNumberFormat="1" applyFont="1" applyFill="1" applyBorder="1" applyAlignment="1" applyProtection="1">
      <alignment vertical="center"/>
      <protection locked="0"/>
    </xf>
    <xf numFmtId="166" fontId="8" fillId="0" borderId="1" xfId="7" applyNumberFormat="1" applyFont="1" applyFill="1" applyBorder="1" applyAlignment="1" applyProtection="1">
      <alignment vertical="center"/>
      <protection locked="0"/>
    </xf>
    <xf numFmtId="0" fontId="4" fillId="0" borderId="0" xfId="3" applyAlignment="1" applyProtection="1">
      <alignment horizontal="left"/>
    </xf>
    <xf numFmtId="0" fontId="5" fillId="0" borderId="2" xfId="2" applyFont="1" applyFill="1" applyBorder="1" applyAlignment="1" applyProtection="1">
      <alignment horizontal="center" vertical="center"/>
      <protection locked="0"/>
    </xf>
  </cellXfs>
  <cellStyles count="9">
    <cellStyle name="Hiperlink" xfId="3" builtinId="8"/>
    <cellStyle name="Moeda 2" xfId="1"/>
    <cellStyle name="Normal" xfId="0" builtinId="0"/>
    <cellStyle name="Normal 2" xfId="2"/>
    <cellStyle name="Porcentagem" xfId="8" builtinId="5"/>
    <cellStyle name="Porcentagem 2" xfId="4"/>
    <cellStyle name="Separador de milhares 2" xfId="6"/>
    <cellStyle name="Vírgula" xfId="7" builtinId="3"/>
    <cellStyle name="Vírgula 2" xfId="5"/>
  </cellStyles>
  <dxfs count="0"/>
  <tableStyles count="0" defaultTableStyle="TableStyleMedium2" defaultPivotStyle="PivotStyleLight16"/>
  <colors>
    <mruColors>
      <color rgb="FF249600"/>
      <color rgb="FF238C00"/>
      <color rgb="FF0D7E7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://excelsolucao.com.br/loja-planilhas/planilha-indicadores-financeiros-balanco-patrimonial-modelo-dre/" TargetMode="External"/><Relationship Id="rId2" Type="http://schemas.openxmlformats.org/officeDocument/2006/relationships/image" Target="../media/image1.jpg"/><Relationship Id="rId1" Type="http://schemas.openxmlformats.org/officeDocument/2006/relationships/hyperlink" Target="http://excelsolucao.com.br" TargetMode="External"/><Relationship Id="rId6" Type="http://schemas.openxmlformats.org/officeDocument/2006/relationships/image" Target="../media/image3.jpg"/><Relationship Id="rId5" Type="http://schemas.openxmlformats.org/officeDocument/2006/relationships/hyperlink" Target="http://excelsolucao.com.br/" TargetMode="External"/><Relationship Id="rId4" Type="http://schemas.openxmlformats.org/officeDocument/2006/relationships/image" Target="../media/image2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http://excelsolucao.com.br/loja-planilhas/planilha-indicadores-financeiros-balanco-patrimonial-modelo-dre/" TargetMode="External"/><Relationship Id="rId2" Type="http://schemas.openxmlformats.org/officeDocument/2006/relationships/image" Target="../media/image1.jpg"/><Relationship Id="rId1" Type="http://schemas.openxmlformats.org/officeDocument/2006/relationships/hyperlink" Target="http://excelsolucao.com.br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514350</xdr:colOff>
      <xdr:row>2</xdr:row>
      <xdr:rowOff>104775</xdr:rowOff>
    </xdr:from>
    <xdr:to>
      <xdr:col>10</xdr:col>
      <xdr:colOff>342900</xdr:colOff>
      <xdr:row>7</xdr:row>
      <xdr:rowOff>19051</xdr:rowOff>
    </xdr:to>
    <xdr:pic>
      <xdr:nvPicPr>
        <xdr:cNvPr id="3" name="Imagem 2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3625" y="428625"/>
          <a:ext cx="2876550" cy="723901"/>
        </a:xfrm>
        <a:prstGeom prst="rect">
          <a:avLst/>
        </a:prstGeom>
      </xdr:spPr>
    </xdr:pic>
    <xdr:clientData/>
  </xdr:twoCellAnchor>
  <xdr:twoCellAnchor editAs="oneCell">
    <xdr:from>
      <xdr:col>1</xdr:col>
      <xdr:colOff>9691</xdr:colOff>
      <xdr:row>16</xdr:row>
      <xdr:rowOff>85725</xdr:rowOff>
    </xdr:from>
    <xdr:to>
      <xdr:col>16</xdr:col>
      <xdr:colOff>9525</xdr:colOff>
      <xdr:row>22</xdr:row>
      <xdr:rowOff>123825</xdr:rowOff>
    </xdr:to>
    <xdr:pic>
      <xdr:nvPicPr>
        <xdr:cNvPr id="2" name="Imagem 1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616" y="2924175"/>
          <a:ext cx="7934159" cy="10096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10</xdr:col>
      <xdr:colOff>161925</xdr:colOff>
      <xdr:row>13</xdr:row>
      <xdr:rowOff>31910</xdr:rowOff>
    </xdr:to>
    <xdr:pic>
      <xdr:nvPicPr>
        <xdr:cNvPr id="4" name="Imagem 3">
          <a:hlinkClick xmlns:r="http://schemas.openxmlformats.org/officeDocument/2006/relationships" r:id="rId5"/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075" y="2190750"/>
          <a:ext cx="4429125" cy="1938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400050</xdr:colOff>
      <xdr:row>0</xdr:row>
      <xdr:rowOff>76200</xdr:rowOff>
    </xdr:from>
    <xdr:to>
      <xdr:col>1</xdr:col>
      <xdr:colOff>1762125</xdr:colOff>
      <xdr:row>2</xdr:row>
      <xdr:rowOff>148237</xdr:rowOff>
    </xdr:to>
    <xdr:pic>
      <xdr:nvPicPr>
        <xdr:cNvPr id="2" name="Imagem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76200"/>
          <a:ext cx="1800225" cy="453037"/>
        </a:xfrm>
        <a:prstGeom prst="rect">
          <a:avLst/>
        </a:prstGeom>
      </xdr:spPr>
    </xdr:pic>
    <xdr:clientData/>
  </xdr:twoCellAnchor>
  <xdr:twoCellAnchor editAs="absolute">
    <xdr:from>
      <xdr:col>3</xdr:col>
      <xdr:colOff>57150</xdr:colOff>
      <xdr:row>0</xdr:row>
      <xdr:rowOff>0</xdr:rowOff>
    </xdr:from>
    <xdr:to>
      <xdr:col>9</xdr:col>
      <xdr:colOff>9525</xdr:colOff>
      <xdr:row>1</xdr:row>
      <xdr:rowOff>142875</xdr:rowOff>
    </xdr:to>
    <xdr:sp macro="" textlink="">
      <xdr:nvSpPr>
        <xdr:cNvPr id="3" name="Retângulo 2">
          <a:hlinkClick xmlns:r="http://schemas.openxmlformats.org/officeDocument/2006/relationships" r:id="rId3"/>
        </xdr:cNvPr>
        <xdr:cNvSpPr/>
      </xdr:nvSpPr>
      <xdr:spPr>
        <a:xfrm>
          <a:off x="3629025" y="0"/>
          <a:ext cx="3333750" cy="333375"/>
        </a:xfrm>
        <a:prstGeom prst="rect">
          <a:avLst/>
        </a:prstGeom>
        <a:solidFill>
          <a:srgbClr val="2496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300" b="1"/>
            <a:t>Conheça Versão</a:t>
          </a:r>
          <a:r>
            <a:rPr lang="pt-BR" sz="1300" b="1" baseline="0"/>
            <a:t> Balanço + DRE + Indicadores</a:t>
          </a:r>
          <a:endParaRPr lang="pt-BR" sz="1300" b="1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1"/>
  <sheetViews>
    <sheetView showGridLines="0" showRowColHeaders="0" tabSelected="1" zoomScaleNormal="100" workbookViewId="0">
      <selection activeCell="E11" sqref="E11"/>
    </sheetView>
  </sheetViews>
  <sheetFormatPr defaultColWidth="0" defaultRowHeight="12.75" customHeight="1" zeroHeight="1" x14ac:dyDescent="0.2"/>
  <cols>
    <col min="1" max="1" width="2.42578125" style="1" customWidth="1"/>
    <col min="2" max="2" width="2.140625" style="1" customWidth="1"/>
    <col min="3" max="3" width="4.42578125" style="1" customWidth="1"/>
    <col min="4" max="14" width="9.140625" style="1" customWidth="1"/>
    <col min="15" max="15" width="9.5703125" style="1" customWidth="1"/>
    <col min="16" max="16" width="2.28515625" style="1" customWidth="1"/>
    <col min="17" max="17" width="2.5703125" style="1" customWidth="1"/>
    <col min="18" max="18" width="0" style="1" hidden="1" customWidth="1"/>
    <col min="19" max="16384" width="9.140625" style="1" hidden="1"/>
  </cols>
  <sheetData>
    <row r="1" spans="2:16" x14ac:dyDescent="0.2"/>
    <row r="2" spans="2:16" x14ac:dyDescent="0.2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2:16" x14ac:dyDescent="0.2">
      <c r="B3" s="2"/>
      <c r="P3" s="2"/>
    </row>
    <row r="4" spans="2:16" x14ac:dyDescent="0.2">
      <c r="B4" s="2"/>
      <c r="P4" s="2"/>
    </row>
    <row r="5" spans="2:16" x14ac:dyDescent="0.2">
      <c r="B5" s="2"/>
      <c r="P5" s="2"/>
    </row>
    <row r="6" spans="2:16" x14ac:dyDescent="0.2">
      <c r="B6" s="2"/>
      <c r="P6" s="2"/>
    </row>
    <row r="7" spans="2:16" x14ac:dyDescent="0.2">
      <c r="B7" s="2"/>
      <c r="P7" s="2"/>
    </row>
    <row r="8" spans="2:16" x14ac:dyDescent="0.2">
      <c r="B8" s="2"/>
      <c r="P8" s="2"/>
    </row>
    <row r="9" spans="2:16" ht="26.25" x14ac:dyDescent="0.4">
      <c r="B9" s="2"/>
      <c r="D9" s="4" t="s">
        <v>38</v>
      </c>
      <c r="P9" s="2"/>
    </row>
    <row r="10" spans="2:16" x14ac:dyDescent="0.2">
      <c r="B10" s="2"/>
      <c r="P10" s="2"/>
    </row>
    <row r="11" spans="2:16" ht="18.75" x14ac:dyDescent="0.3">
      <c r="B11" s="2"/>
      <c r="D11" s="3" t="s">
        <v>0</v>
      </c>
      <c r="P11" s="2"/>
    </row>
    <row r="12" spans="2:16" x14ac:dyDescent="0.2">
      <c r="B12" s="2"/>
      <c r="P12" s="2"/>
    </row>
    <row r="13" spans="2:16" x14ac:dyDescent="0.2">
      <c r="B13" s="2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2"/>
    </row>
    <row r="14" spans="2:16" x14ac:dyDescent="0.2">
      <c r="B14" s="2"/>
      <c r="P14" s="2"/>
    </row>
    <row r="15" spans="2:16" x14ac:dyDescent="0.2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2:16" x14ac:dyDescent="0.2"/>
    <row r="17" x14ac:dyDescent="0.2"/>
    <row r="18" x14ac:dyDescent="0.2"/>
    <row r="19" x14ac:dyDescent="0.2"/>
    <row r="20" x14ac:dyDescent="0.2"/>
    <row r="21" x14ac:dyDescent="0.2"/>
    <row r="22" x14ac:dyDescent="0.2"/>
    <row r="23" x14ac:dyDescent="0.2"/>
    <row r="24" x14ac:dyDescent="0.2"/>
    <row r="25" x14ac:dyDescent="0.2"/>
    <row r="26" x14ac:dyDescent="0.2"/>
    <row r="27" x14ac:dyDescent="0.2"/>
    <row r="28" x14ac:dyDescent="0.2"/>
    <row r="29" x14ac:dyDescent="0.2"/>
    <row r="30" hidden="1" x14ac:dyDescent="0.2"/>
    <row r="31" hidden="1" x14ac:dyDescent="0.2"/>
    <row r="32" hidden="1" x14ac:dyDescent="0.2"/>
    <row r="33" hidden="1" x14ac:dyDescent="0.2"/>
    <row r="34" hidden="1" x14ac:dyDescent="0.2"/>
    <row r="35" hidden="1" x14ac:dyDescent="0.2"/>
    <row r="36" hidden="1" x14ac:dyDescent="0.2"/>
    <row r="37" hidden="1" x14ac:dyDescent="0.2"/>
    <row r="38" hidden="1" x14ac:dyDescent="0.2"/>
    <row r="39" hidden="1" x14ac:dyDescent="0.2"/>
    <row r="40" hidden="1" x14ac:dyDescent="0.2"/>
    <row r="41" hidden="1" x14ac:dyDescent="0.2"/>
  </sheetData>
  <sheetProtection algorithmName="SHA-512" hashValue="RjjhREIageHHziOgoIObrq8mI/sQbQbhlcNiEYIRFQMKQ0idp+W5cEwzm4Dcs3d4K6EFTMau0l3IFWdVt3WWkw==" saltValue="VYqk2tsjJk/PmSLMe/3drA==" spinCount="100000" sheet="1" objects="1" scenarios="1" selectLockedCells="1" selectUnlockedCells="1"/>
  <mergeCells count="1">
    <mergeCell ref="D13:O13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"/>
  <dimension ref="A1:WVQ99"/>
  <sheetViews>
    <sheetView showGridLines="0" zoomScaleNormal="100" workbookViewId="0">
      <pane ySplit="7" topLeftCell="A8" activePane="bottomLeft" state="frozen"/>
      <selection pane="bottomLeft" activeCell="C11" sqref="C11"/>
    </sheetView>
  </sheetViews>
  <sheetFormatPr defaultColWidth="0" defaultRowHeight="15" zeroHeight="1" x14ac:dyDescent="0.25"/>
  <cols>
    <col min="1" max="1" width="6.5703125" style="5" customWidth="1"/>
    <col min="2" max="2" width="35" style="5" customWidth="1"/>
    <col min="3" max="3" width="12" style="5" customWidth="1"/>
    <col min="4" max="5" width="9.140625" style="5" customWidth="1"/>
    <col min="6" max="6" width="1.7109375" style="6" customWidth="1"/>
    <col min="7" max="7" width="12.42578125" style="5" customWidth="1"/>
    <col min="8" max="9" width="9.140625" style="5" customWidth="1"/>
    <col min="10" max="10" width="8.7109375" customWidth="1"/>
    <col min="11" max="11" width="10.85546875" hidden="1" customWidth="1"/>
    <col min="12" max="26" width="9.140625" style="1" hidden="1" customWidth="1"/>
    <col min="27" max="254" width="9.140625" style="1" hidden="1"/>
    <col min="255" max="255" width="19.140625" style="1" hidden="1"/>
    <col min="256" max="256" width="12" style="1" hidden="1"/>
    <col min="257" max="258" width="9.140625" style="1" hidden="1"/>
    <col min="259" max="259" width="12.42578125" style="1" hidden="1"/>
    <col min="260" max="261" width="9.140625" style="1" hidden="1"/>
    <col min="262" max="262" width="12.28515625" style="1" hidden="1"/>
    <col min="263" max="264" width="9.140625" style="1" hidden="1"/>
    <col min="265" max="265" width="11.7109375" style="1" hidden="1"/>
    <col min="266" max="510" width="9.140625" style="1" hidden="1"/>
    <col min="511" max="511" width="19.140625" style="1" hidden="1"/>
    <col min="512" max="512" width="12" style="1" hidden="1"/>
    <col min="513" max="514" width="9.140625" style="1" hidden="1"/>
    <col min="515" max="515" width="12.42578125" style="1" hidden="1"/>
    <col min="516" max="517" width="9.140625" style="1" hidden="1"/>
    <col min="518" max="518" width="12.28515625" style="1" hidden="1"/>
    <col min="519" max="520" width="9.140625" style="1" hidden="1"/>
    <col min="521" max="521" width="11.7109375" style="1" hidden="1"/>
    <col min="522" max="766" width="9.140625" style="1" hidden="1"/>
    <col min="767" max="767" width="19.140625" style="1" hidden="1"/>
    <col min="768" max="768" width="12" style="1" hidden="1"/>
    <col min="769" max="770" width="9.140625" style="1" hidden="1"/>
    <col min="771" max="771" width="12.42578125" style="1" hidden="1"/>
    <col min="772" max="773" width="9.140625" style="1" hidden="1"/>
    <col min="774" max="774" width="12.28515625" style="1" hidden="1"/>
    <col min="775" max="776" width="9.140625" style="1" hidden="1"/>
    <col min="777" max="777" width="11.7109375" style="1" hidden="1"/>
    <col min="778" max="1022" width="9.140625" style="1" hidden="1"/>
    <col min="1023" max="1023" width="19.140625" style="1" hidden="1"/>
    <col min="1024" max="1024" width="12" style="1" hidden="1"/>
    <col min="1025" max="1026" width="9.140625" style="1" hidden="1"/>
    <col min="1027" max="1027" width="12.42578125" style="1" hidden="1"/>
    <col min="1028" max="1029" width="9.140625" style="1" hidden="1"/>
    <col min="1030" max="1030" width="12.28515625" style="1" hidden="1"/>
    <col min="1031" max="1032" width="9.140625" style="1" hidden="1"/>
    <col min="1033" max="1033" width="11.7109375" style="1" hidden="1"/>
    <col min="1034" max="1278" width="9.140625" style="1" hidden="1"/>
    <col min="1279" max="1279" width="19.140625" style="1" hidden="1"/>
    <col min="1280" max="1280" width="12" style="1" hidden="1"/>
    <col min="1281" max="1282" width="9.140625" style="1" hidden="1"/>
    <col min="1283" max="1283" width="12.42578125" style="1" hidden="1"/>
    <col min="1284" max="1285" width="9.140625" style="1" hidden="1"/>
    <col min="1286" max="1286" width="12.28515625" style="1" hidden="1"/>
    <col min="1287" max="1288" width="9.140625" style="1" hidden="1"/>
    <col min="1289" max="1289" width="11.7109375" style="1" hidden="1"/>
    <col min="1290" max="1534" width="9.140625" style="1" hidden="1"/>
    <col min="1535" max="1535" width="19.140625" style="1" hidden="1"/>
    <col min="1536" max="1536" width="12" style="1" hidden="1"/>
    <col min="1537" max="1538" width="9.140625" style="1" hidden="1"/>
    <col min="1539" max="1539" width="12.42578125" style="1" hidden="1"/>
    <col min="1540" max="1541" width="9.140625" style="1" hidden="1"/>
    <col min="1542" max="1542" width="12.28515625" style="1" hidden="1"/>
    <col min="1543" max="1544" width="9.140625" style="1" hidden="1"/>
    <col min="1545" max="1545" width="11.7109375" style="1" hidden="1"/>
    <col min="1546" max="1790" width="9.140625" style="1" hidden="1"/>
    <col min="1791" max="1791" width="19.140625" style="1" hidden="1"/>
    <col min="1792" max="1792" width="12" style="1" hidden="1"/>
    <col min="1793" max="1794" width="9.140625" style="1" hidden="1"/>
    <col min="1795" max="1795" width="12.42578125" style="1" hidden="1"/>
    <col min="1796" max="1797" width="9.140625" style="1" hidden="1"/>
    <col min="1798" max="1798" width="12.28515625" style="1" hidden="1"/>
    <col min="1799" max="1800" width="9.140625" style="1" hidden="1"/>
    <col min="1801" max="1801" width="11.7109375" style="1" hidden="1"/>
    <col min="1802" max="2046" width="9.140625" style="1" hidden="1"/>
    <col min="2047" max="2047" width="19.140625" style="1" hidden="1"/>
    <col min="2048" max="2048" width="12" style="1" hidden="1"/>
    <col min="2049" max="2050" width="9.140625" style="1" hidden="1"/>
    <col min="2051" max="2051" width="12.42578125" style="1" hidden="1"/>
    <col min="2052" max="2053" width="9.140625" style="1" hidden="1"/>
    <col min="2054" max="2054" width="12.28515625" style="1" hidden="1"/>
    <col min="2055" max="2056" width="9.140625" style="1" hidden="1"/>
    <col min="2057" max="2057" width="11.7109375" style="1" hidden="1"/>
    <col min="2058" max="2302" width="9.140625" style="1" hidden="1"/>
    <col min="2303" max="2303" width="19.140625" style="1" hidden="1"/>
    <col min="2304" max="2304" width="12" style="1" hidden="1"/>
    <col min="2305" max="2306" width="9.140625" style="1" hidden="1"/>
    <col min="2307" max="2307" width="12.42578125" style="1" hidden="1"/>
    <col min="2308" max="2309" width="9.140625" style="1" hidden="1"/>
    <col min="2310" max="2310" width="12.28515625" style="1" hidden="1"/>
    <col min="2311" max="2312" width="9.140625" style="1" hidden="1"/>
    <col min="2313" max="2313" width="11.7109375" style="1" hidden="1"/>
    <col min="2314" max="2558" width="9.140625" style="1" hidden="1"/>
    <col min="2559" max="2559" width="19.140625" style="1" hidden="1"/>
    <col min="2560" max="2560" width="12" style="1" hidden="1"/>
    <col min="2561" max="2562" width="9.140625" style="1" hidden="1"/>
    <col min="2563" max="2563" width="12.42578125" style="1" hidden="1"/>
    <col min="2564" max="2565" width="9.140625" style="1" hidden="1"/>
    <col min="2566" max="2566" width="12.28515625" style="1" hidden="1"/>
    <col min="2567" max="2568" width="9.140625" style="1" hidden="1"/>
    <col min="2569" max="2569" width="11.7109375" style="1" hidden="1"/>
    <col min="2570" max="2814" width="9.140625" style="1" hidden="1"/>
    <col min="2815" max="2815" width="19.140625" style="1" hidden="1"/>
    <col min="2816" max="2816" width="12" style="1" hidden="1"/>
    <col min="2817" max="2818" width="9.140625" style="1" hidden="1"/>
    <col min="2819" max="2819" width="12.42578125" style="1" hidden="1"/>
    <col min="2820" max="2821" width="9.140625" style="1" hidden="1"/>
    <col min="2822" max="2822" width="12.28515625" style="1" hidden="1"/>
    <col min="2823" max="2824" width="9.140625" style="1" hidden="1"/>
    <col min="2825" max="2825" width="11.7109375" style="1" hidden="1"/>
    <col min="2826" max="3070" width="9.140625" style="1" hidden="1"/>
    <col min="3071" max="3071" width="19.140625" style="1" hidden="1"/>
    <col min="3072" max="3072" width="12" style="1" hidden="1"/>
    <col min="3073" max="3074" width="9.140625" style="1" hidden="1"/>
    <col min="3075" max="3075" width="12.42578125" style="1" hidden="1"/>
    <col min="3076" max="3077" width="9.140625" style="1" hidden="1"/>
    <col min="3078" max="3078" width="12.28515625" style="1" hidden="1"/>
    <col min="3079" max="3080" width="9.140625" style="1" hidden="1"/>
    <col min="3081" max="3081" width="11.7109375" style="1" hidden="1"/>
    <col min="3082" max="3326" width="9.140625" style="1" hidden="1"/>
    <col min="3327" max="3327" width="19.140625" style="1" hidden="1"/>
    <col min="3328" max="3328" width="12" style="1" hidden="1"/>
    <col min="3329" max="3330" width="9.140625" style="1" hidden="1"/>
    <col min="3331" max="3331" width="12.42578125" style="1" hidden="1"/>
    <col min="3332" max="3333" width="9.140625" style="1" hidden="1"/>
    <col min="3334" max="3334" width="12.28515625" style="1" hidden="1"/>
    <col min="3335" max="3336" width="9.140625" style="1" hidden="1"/>
    <col min="3337" max="3337" width="11.7109375" style="1" hidden="1"/>
    <col min="3338" max="3582" width="9.140625" style="1" hidden="1"/>
    <col min="3583" max="3583" width="19.140625" style="1" hidden="1"/>
    <col min="3584" max="3584" width="12" style="1" hidden="1"/>
    <col min="3585" max="3586" width="9.140625" style="1" hidden="1"/>
    <col min="3587" max="3587" width="12.42578125" style="1" hidden="1"/>
    <col min="3588" max="3589" width="9.140625" style="1" hidden="1"/>
    <col min="3590" max="3590" width="12.28515625" style="1" hidden="1"/>
    <col min="3591" max="3592" width="9.140625" style="1" hidden="1"/>
    <col min="3593" max="3593" width="11.7109375" style="1" hidden="1"/>
    <col min="3594" max="3838" width="9.140625" style="1" hidden="1"/>
    <col min="3839" max="3839" width="19.140625" style="1" hidden="1"/>
    <col min="3840" max="3840" width="12" style="1" hidden="1"/>
    <col min="3841" max="3842" width="9.140625" style="1" hidden="1"/>
    <col min="3843" max="3843" width="12.42578125" style="1" hidden="1"/>
    <col min="3844" max="3845" width="9.140625" style="1" hidden="1"/>
    <col min="3846" max="3846" width="12.28515625" style="1" hidden="1"/>
    <col min="3847" max="3848" width="9.140625" style="1" hidden="1"/>
    <col min="3849" max="3849" width="11.7109375" style="1" hidden="1"/>
    <col min="3850" max="4094" width="9.140625" style="1" hidden="1"/>
    <col min="4095" max="4095" width="19.140625" style="1" hidden="1"/>
    <col min="4096" max="4096" width="12" style="1" hidden="1"/>
    <col min="4097" max="4098" width="9.140625" style="1" hidden="1"/>
    <col min="4099" max="4099" width="12.42578125" style="1" hidden="1"/>
    <col min="4100" max="4101" width="9.140625" style="1" hidden="1"/>
    <col min="4102" max="4102" width="12.28515625" style="1" hidden="1"/>
    <col min="4103" max="4104" width="9.140625" style="1" hidden="1"/>
    <col min="4105" max="4105" width="11.7109375" style="1" hidden="1"/>
    <col min="4106" max="4350" width="9.140625" style="1" hidden="1"/>
    <col min="4351" max="4351" width="19.140625" style="1" hidden="1"/>
    <col min="4352" max="4352" width="12" style="1" hidden="1"/>
    <col min="4353" max="4354" width="9.140625" style="1" hidden="1"/>
    <col min="4355" max="4355" width="12.42578125" style="1" hidden="1"/>
    <col min="4356" max="4357" width="9.140625" style="1" hidden="1"/>
    <col min="4358" max="4358" width="12.28515625" style="1" hidden="1"/>
    <col min="4359" max="4360" width="9.140625" style="1" hidden="1"/>
    <col min="4361" max="4361" width="11.7109375" style="1" hidden="1"/>
    <col min="4362" max="4606" width="9.140625" style="1" hidden="1"/>
    <col min="4607" max="4607" width="19.140625" style="1" hidden="1"/>
    <col min="4608" max="4608" width="12" style="1" hidden="1"/>
    <col min="4609" max="4610" width="9.140625" style="1" hidden="1"/>
    <col min="4611" max="4611" width="12.42578125" style="1" hidden="1"/>
    <col min="4612" max="4613" width="9.140625" style="1" hidden="1"/>
    <col min="4614" max="4614" width="12.28515625" style="1" hidden="1"/>
    <col min="4615" max="4616" width="9.140625" style="1" hidden="1"/>
    <col min="4617" max="4617" width="11.7109375" style="1" hidden="1"/>
    <col min="4618" max="4862" width="9.140625" style="1" hidden="1"/>
    <col min="4863" max="4863" width="19.140625" style="1" hidden="1"/>
    <col min="4864" max="4864" width="12" style="1" hidden="1"/>
    <col min="4865" max="4866" width="9.140625" style="1" hidden="1"/>
    <col min="4867" max="4867" width="12.42578125" style="1" hidden="1"/>
    <col min="4868" max="4869" width="9.140625" style="1" hidden="1"/>
    <col min="4870" max="4870" width="12.28515625" style="1" hidden="1"/>
    <col min="4871" max="4872" width="9.140625" style="1" hidden="1"/>
    <col min="4873" max="4873" width="11.7109375" style="1" hidden="1"/>
    <col min="4874" max="5118" width="9.140625" style="1" hidden="1"/>
    <col min="5119" max="5119" width="19.140625" style="1" hidden="1"/>
    <col min="5120" max="5120" width="12" style="1" hidden="1"/>
    <col min="5121" max="5122" width="9.140625" style="1" hidden="1"/>
    <col min="5123" max="5123" width="12.42578125" style="1" hidden="1"/>
    <col min="5124" max="5125" width="9.140625" style="1" hidden="1"/>
    <col min="5126" max="5126" width="12.28515625" style="1" hidden="1"/>
    <col min="5127" max="5128" width="9.140625" style="1" hidden="1"/>
    <col min="5129" max="5129" width="11.7109375" style="1" hidden="1"/>
    <col min="5130" max="5374" width="9.140625" style="1" hidden="1"/>
    <col min="5375" max="5375" width="19.140625" style="1" hidden="1"/>
    <col min="5376" max="5376" width="12" style="1" hidden="1"/>
    <col min="5377" max="5378" width="9.140625" style="1" hidden="1"/>
    <col min="5379" max="5379" width="12.42578125" style="1" hidden="1"/>
    <col min="5380" max="5381" width="9.140625" style="1" hidden="1"/>
    <col min="5382" max="5382" width="12.28515625" style="1" hidden="1"/>
    <col min="5383" max="5384" width="9.140625" style="1" hidden="1"/>
    <col min="5385" max="5385" width="11.7109375" style="1" hidden="1"/>
    <col min="5386" max="5630" width="9.140625" style="1" hidden="1"/>
    <col min="5631" max="5631" width="19.140625" style="1" hidden="1"/>
    <col min="5632" max="5632" width="12" style="1" hidden="1"/>
    <col min="5633" max="5634" width="9.140625" style="1" hidden="1"/>
    <col min="5635" max="5635" width="12.42578125" style="1" hidden="1"/>
    <col min="5636" max="5637" width="9.140625" style="1" hidden="1"/>
    <col min="5638" max="5638" width="12.28515625" style="1" hidden="1"/>
    <col min="5639" max="5640" width="9.140625" style="1" hidden="1"/>
    <col min="5641" max="5641" width="11.7109375" style="1" hidden="1"/>
    <col min="5642" max="5886" width="9.140625" style="1" hidden="1"/>
    <col min="5887" max="5887" width="19.140625" style="1" hidden="1"/>
    <col min="5888" max="5888" width="12" style="1" hidden="1"/>
    <col min="5889" max="5890" width="9.140625" style="1" hidden="1"/>
    <col min="5891" max="5891" width="12.42578125" style="1" hidden="1"/>
    <col min="5892" max="5893" width="9.140625" style="1" hidden="1"/>
    <col min="5894" max="5894" width="12.28515625" style="1" hidden="1"/>
    <col min="5895" max="5896" width="9.140625" style="1" hidden="1"/>
    <col min="5897" max="5897" width="11.7109375" style="1" hidden="1"/>
    <col min="5898" max="6142" width="9.140625" style="1" hidden="1"/>
    <col min="6143" max="6143" width="19.140625" style="1" hidden="1"/>
    <col min="6144" max="6144" width="12" style="1" hidden="1"/>
    <col min="6145" max="6146" width="9.140625" style="1" hidden="1"/>
    <col min="6147" max="6147" width="12.42578125" style="1" hidden="1"/>
    <col min="6148" max="6149" width="9.140625" style="1" hidden="1"/>
    <col min="6150" max="6150" width="12.28515625" style="1" hidden="1"/>
    <col min="6151" max="6152" width="9.140625" style="1" hidden="1"/>
    <col min="6153" max="6153" width="11.7109375" style="1" hidden="1"/>
    <col min="6154" max="6398" width="9.140625" style="1" hidden="1"/>
    <col min="6399" max="6399" width="19.140625" style="1" hidden="1"/>
    <col min="6400" max="6400" width="12" style="1" hidden="1"/>
    <col min="6401" max="6402" width="9.140625" style="1" hidden="1"/>
    <col min="6403" max="6403" width="12.42578125" style="1" hidden="1"/>
    <col min="6404" max="6405" width="9.140625" style="1" hidden="1"/>
    <col min="6406" max="6406" width="12.28515625" style="1" hidden="1"/>
    <col min="6407" max="6408" width="9.140625" style="1" hidden="1"/>
    <col min="6409" max="6409" width="11.7109375" style="1" hidden="1"/>
    <col min="6410" max="6654" width="9.140625" style="1" hidden="1"/>
    <col min="6655" max="6655" width="19.140625" style="1" hidden="1"/>
    <col min="6656" max="6656" width="12" style="1" hidden="1"/>
    <col min="6657" max="6658" width="9.140625" style="1" hidden="1"/>
    <col min="6659" max="6659" width="12.42578125" style="1" hidden="1"/>
    <col min="6660" max="6661" width="9.140625" style="1" hidden="1"/>
    <col min="6662" max="6662" width="12.28515625" style="1" hidden="1"/>
    <col min="6663" max="6664" width="9.140625" style="1" hidden="1"/>
    <col min="6665" max="6665" width="11.7109375" style="1" hidden="1"/>
    <col min="6666" max="6910" width="9.140625" style="1" hidden="1"/>
    <col min="6911" max="6911" width="19.140625" style="1" hidden="1"/>
    <col min="6912" max="6912" width="12" style="1" hidden="1"/>
    <col min="6913" max="6914" width="9.140625" style="1" hidden="1"/>
    <col min="6915" max="6915" width="12.42578125" style="1" hidden="1"/>
    <col min="6916" max="6917" width="9.140625" style="1" hidden="1"/>
    <col min="6918" max="6918" width="12.28515625" style="1" hidden="1"/>
    <col min="6919" max="6920" width="9.140625" style="1" hidden="1"/>
    <col min="6921" max="6921" width="11.7109375" style="1" hidden="1"/>
    <col min="6922" max="7166" width="9.140625" style="1" hidden="1"/>
    <col min="7167" max="7167" width="19.140625" style="1" hidden="1"/>
    <col min="7168" max="7168" width="12" style="1" hidden="1"/>
    <col min="7169" max="7170" width="9.140625" style="1" hidden="1"/>
    <col min="7171" max="7171" width="12.42578125" style="1" hidden="1"/>
    <col min="7172" max="7173" width="9.140625" style="1" hidden="1"/>
    <col min="7174" max="7174" width="12.28515625" style="1" hidden="1"/>
    <col min="7175" max="7176" width="9.140625" style="1" hidden="1"/>
    <col min="7177" max="7177" width="11.7109375" style="1" hidden="1"/>
    <col min="7178" max="7422" width="9.140625" style="1" hidden="1"/>
    <col min="7423" max="7423" width="19.140625" style="1" hidden="1"/>
    <col min="7424" max="7424" width="12" style="1" hidden="1"/>
    <col min="7425" max="7426" width="9.140625" style="1" hidden="1"/>
    <col min="7427" max="7427" width="12.42578125" style="1" hidden="1"/>
    <col min="7428" max="7429" width="9.140625" style="1" hidden="1"/>
    <col min="7430" max="7430" width="12.28515625" style="1" hidden="1"/>
    <col min="7431" max="7432" width="9.140625" style="1" hidden="1"/>
    <col min="7433" max="7433" width="11.7109375" style="1" hidden="1"/>
    <col min="7434" max="7678" width="9.140625" style="1" hidden="1"/>
    <col min="7679" max="7679" width="19.140625" style="1" hidden="1"/>
    <col min="7680" max="7680" width="12" style="1" hidden="1"/>
    <col min="7681" max="7682" width="9.140625" style="1" hidden="1"/>
    <col min="7683" max="7683" width="12.42578125" style="1" hidden="1"/>
    <col min="7684" max="7685" width="9.140625" style="1" hidden="1"/>
    <col min="7686" max="7686" width="12.28515625" style="1" hidden="1"/>
    <col min="7687" max="7688" width="9.140625" style="1" hidden="1"/>
    <col min="7689" max="7689" width="11.7109375" style="1" hidden="1"/>
    <col min="7690" max="7934" width="9.140625" style="1" hidden="1"/>
    <col min="7935" max="7935" width="19.140625" style="1" hidden="1"/>
    <col min="7936" max="7936" width="12" style="1" hidden="1"/>
    <col min="7937" max="7938" width="9.140625" style="1" hidden="1"/>
    <col min="7939" max="7939" width="12.42578125" style="1" hidden="1"/>
    <col min="7940" max="7941" width="9.140625" style="1" hidden="1"/>
    <col min="7942" max="7942" width="12.28515625" style="1" hidden="1"/>
    <col min="7943" max="7944" width="9.140625" style="1" hidden="1"/>
    <col min="7945" max="7945" width="11.7109375" style="1" hidden="1"/>
    <col min="7946" max="8190" width="9.140625" style="1" hidden="1"/>
    <col min="8191" max="8191" width="19.140625" style="1" hidden="1"/>
    <col min="8192" max="8192" width="12" style="1" hidden="1"/>
    <col min="8193" max="8194" width="9.140625" style="1" hidden="1"/>
    <col min="8195" max="8195" width="12.42578125" style="1" hidden="1"/>
    <col min="8196" max="8197" width="9.140625" style="1" hidden="1"/>
    <col min="8198" max="8198" width="12.28515625" style="1" hidden="1"/>
    <col min="8199" max="8200" width="9.140625" style="1" hidden="1"/>
    <col min="8201" max="8201" width="11.7109375" style="1" hidden="1"/>
    <col min="8202" max="8446" width="9.140625" style="1" hidden="1"/>
    <col min="8447" max="8447" width="19.140625" style="1" hidden="1"/>
    <col min="8448" max="8448" width="12" style="1" hidden="1"/>
    <col min="8449" max="8450" width="9.140625" style="1" hidden="1"/>
    <col min="8451" max="8451" width="12.42578125" style="1" hidden="1"/>
    <col min="8452" max="8453" width="9.140625" style="1" hidden="1"/>
    <col min="8454" max="8454" width="12.28515625" style="1" hidden="1"/>
    <col min="8455" max="8456" width="9.140625" style="1" hidden="1"/>
    <col min="8457" max="8457" width="11.7109375" style="1" hidden="1"/>
    <col min="8458" max="8702" width="9.140625" style="1" hidden="1"/>
    <col min="8703" max="8703" width="19.140625" style="1" hidden="1"/>
    <col min="8704" max="8704" width="12" style="1" hidden="1"/>
    <col min="8705" max="8706" width="9.140625" style="1" hidden="1"/>
    <col min="8707" max="8707" width="12.42578125" style="1" hidden="1"/>
    <col min="8708" max="8709" width="9.140625" style="1" hidden="1"/>
    <col min="8710" max="8710" width="12.28515625" style="1" hidden="1"/>
    <col min="8711" max="8712" width="9.140625" style="1" hidden="1"/>
    <col min="8713" max="8713" width="11.7109375" style="1" hidden="1"/>
    <col min="8714" max="8958" width="9.140625" style="1" hidden="1"/>
    <col min="8959" max="8959" width="19.140625" style="1" hidden="1"/>
    <col min="8960" max="8960" width="12" style="1" hidden="1"/>
    <col min="8961" max="8962" width="9.140625" style="1" hidden="1"/>
    <col min="8963" max="8963" width="12.42578125" style="1" hidden="1"/>
    <col min="8964" max="8965" width="9.140625" style="1" hidden="1"/>
    <col min="8966" max="8966" width="12.28515625" style="1" hidden="1"/>
    <col min="8967" max="8968" width="9.140625" style="1" hidden="1"/>
    <col min="8969" max="8969" width="11.7109375" style="1" hidden="1"/>
    <col min="8970" max="9214" width="9.140625" style="1" hidden="1"/>
    <col min="9215" max="9215" width="19.140625" style="1" hidden="1"/>
    <col min="9216" max="9216" width="12" style="1" hidden="1"/>
    <col min="9217" max="9218" width="9.140625" style="1" hidden="1"/>
    <col min="9219" max="9219" width="12.42578125" style="1" hidden="1"/>
    <col min="9220" max="9221" width="9.140625" style="1" hidden="1"/>
    <col min="9222" max="9222" width="12.28515625" style="1" hidden="1"/>
    <col min="9223" max="9224" width="9.140625" style="1" hidden="1"/>
    <col min="9225" max="9225" width="11.7109375" style="1" hidden="1"/>
    <col min="9226" max="9470" width="9.140625" style="1" hidden="1"/>
    <col min="9471" max="9471" width="19.140625" style="1" hidden="1"/>
    <col min="9472" max="9472" width="12" style="1" hidden="1"/>
    <col min="9473" max="9474" width="9.140625" style="1" hidden="1"/>
    <col min="9475" max="9475" width="12.42578125" style="1" hidden="1"/>
    <col min="9476" max="9477" width="9.140625" style="1" hidden="1"/>
    <col min="9478" max="9478" width="12.28515625" style="1" hidden="1"/>
    <col min="9479" max="9480" width="9.140625" style="1" hidden="1"/>
    <col min="9481" max="9481" width="11.7109375" style="1" hidden="1"/>
    <col min="9482" max="9726" width="9.140625" style="1" hidden="1"/>
    <col min="9727" max="9727" width="19.140625" style="1" hidden="1"/>
    <col min="9728" max="9728" width="12" style="1" hidden="1"/>
    <col min="9729" max="9730" width="9.140625" style="1" hidden="1"/>
    <col min="9731" max="9731" width="12.42578125" style="1" hidden="1"/>
    <col min="9732" max="9733" width="9.140625" style="1" hidden="1"/>
    <col min="9734" max="9734" width="12.28515625" style="1" hidden="1"/>
    <col min="9735" max="9736" width="9.140625" style="1" hidden="1"/>
    <col min="9737" max="9737" width="11.7109375" style="1" hidden="1"/>
    <col min="9738" max="9982" width="9.140625" style="1" hidden="1"/>
    <col min="9983" max="9983" width="19.140625" style="1" hidden="1"/>
    <col min="9984" max="9984" width="12" style="1" hidden="1"/>
    <col min="9985" max="9986" width="9.140625" style="1" hidden="1"/>
    <col min="9987" max="9987" width="12.42578125" style="1" hidden="1"/>
    <col min="9988" max="9989" width="9.140625" style="1" hidden="1"/>
    <col min="9990" max="9990" width="12.28515625" style="1" hidden="1"/>
    <col min="9991" max="9992" width="9.140625" style="1" hidden="1"/>
    <col min="9993" max="9993" width="11.7109375" style="1" hidden="1"/>
    <col min="9994" max="10238" width="9.140625" style="1" hidden="1"/>
    <col min="10239" max="10239" width="19.140625" style="1" hidden="1"/>
    <col min="10240" max="10240" width="12" style="1" hidden="1"/>
    <col min="10241" max="10242" width="9.140625" style="1" hidden="1"/>
    <col min="10243" max="10243" width="12.42578125" style="1" hidden="1"/>
    <col min="10244" max="10245" width="9.140625" style="1" hidden="1"/>
    <col min="10246" max="10246" width="12.28515625" style="1" hidden="1"/>
    <col min="10247" max="10248" width="9.140625" style="1" hidden="1"/>
    <col min="10249" max="10249" width="11.7109375" style="1" hidden="1"/>
    <col min="10250" max="10494" width="9.140625" style="1" hidden="1"/>
    <col min="10495" max="10495" width="19.140625" style="1" hidden="1"/>
    <col min="10496" max="10496" width="12" style="1" hidden="1"/>
    <col min="10497" max="10498" width="9.140625" style="1" hidden="1"/>
    <col min="10499" max="10499" width="12.42578125" style="1" hidden="1"/>
    <col min="10500" max="10501" width="9.140625" style="1" hidden="1"/>
    <col min="10502" max="10502" width="12.28515625" style="1" hidden="1"/>
    <col min="10503" max="10504" width="9.140625" style="1" hidden="1"/>
    <col min="10505" max="10505" width="11.7109375" style="1" hidden="1"/>
    <col min="10506" max="10750" width="9.140625" style="1" hidden="1"/>
    <col min="10751" max="10751" width="19.140625" style="1" hidden="1"/>
    <col min="10752" max="10752" width="12" style="1" hidden="1"/>
    <col min="10753" max="10754" width="9.140625" style="1" hidden="1"/>
    <col min="10755" max="10755" width="12.42578125" style="1" hidden="1"/>
    <col min="10756" max="10757" width="9.140625" style="1" hidden="1"/>
    <col min="10758" max="10758" width="12.28515625" style="1" hidden="1"/>
    <col min="10759" max="10760" width="9.140625" style="1" hidden="1"/>
    <col min="10761" max="10761" width="11.7109375" style="1" hidden="1"/>
    <col min="10762" max="11006" width="9.140625" style="1" hidden="1"/>
    <col min="11007" max="11007" width="19.140625" style="1" hidden="1"/>
    <col min="11008" max="11008" width="12" style="1" hidden="1"/>
    <col min="11009" max="11010" width="9.140625" style="1" hidden="1"/>
    <col min="11011" max="11011" width="12.42578125" style="1" hidden="1"/>
    <col min="11012" max="11013" width="9.140625" style="1" hidden="1"/>
    <col min="11014" max="11014" width="12.28515625" style="1" hidden="1"/>
    <col min="11015" max="11016" width="9.140625" style="1" hidden="1"/>
    <col min="11017" max="11017" width="11.7109375" style="1" hidden="1"/>
    <col min="11018" max="11262" width="9.140625" style="1" hidden="1"/>
    <col min="11263" max="11263" width="19.140625" style="1" hidden="1"/>
    <col min="11264" max="11264" width="12" style="1" hidden="1"/>
    <col min="11265" max="11266" width="9.140625" style="1" hidden="1"/>
    <col min="11267" max="11267" width="12.42578125" style="1" hidden="1"/>
    <col min="11268" max="11269" width="9.140625" style="1" hidden="1"/>
    <col min="11270" max="11270" width="12.28515625" style="1" hidden="1"/>
    <col min="11271" max="11272" width="9.140625" style="1" hidden="1"/>
    <col min="11273" max="11273" width="11.7109375" style="1" hidden="1"/>
    <col min="11274" max="11518" width="9.140625" style="1" hidden="1"/>
    <col min="11519" max="11519" width="19.140625" style="1" hidden="1"/>
    <col min="11520" max="11520" width="12" style="1" hidden="1"/>
    <col min="11521" max="11522" width="9.140625" style="1" hidden="1"/>
    <col min="11523" max="11523" width="12.42578125" style="1" hidden="1"/>
    <col min="11524" max="11525" width="9.140625" style="1" hidden="1"/>
    <col min="11526" max="11526" width="12.28515625" style="1" hidden="1"/>
    <col min="11527" max="11528" width="9.140625" style="1" hidden="1"/>
    <col min="11529" max="11529" width="11.7109375" style="1" hidden="1"/>
    <col min="11530" max="11774" width="9.140625" style="1" hidden="1"/>
    <col min="11775" max="11775" width="19.140625" style="1" hidden="1"/>
    <col min="11776" max="11776" width="12" style="1" hidden="1"/>
    <col min="11777" max="11778" width="9.140625" style="1" hidden="1"/>
    <col min="11779" max="11779" width="12.42578125" style="1" hidden="1"/>
    <col min="11780" max="11781" width="9.140625" style="1" hidden="1"/>
    <col min="11782" max="11782" width="12.28515625" style="1" hidden="1"/>
    <col min="11783" max="11784" width="9.140625" style="1" hidden="1"/>
    <col min="11785" max="11785" width="11.7109375" style="1" hidden="1"/>
    <col min="11786" max="12030" width="9.140625" style="1" hidden="1"/>
    <col min="12031" max="12031" width="19.140625" style="1" hidden="1"/>
    <col min="12032" max="12032" width="12" style="1" hidden="1"/>
    <col min="12033" max="12034" width="9.140625" style="1" hidden="1"/>
    <col min="12035" max="12035" width="12.42578125" style="1" hidden="1"/>
    <col min="12036" max="12037" width="9.140625" style="1" hidden="1"/>
    <col min="12038" max="12038" width="12.28515625" style="1" hidden="1"/>
    <col min="12039" max="12040" width="9.140625" style="1" hidden="1"/>
    <col min="12041" max="12041" width="11.7109375" style="1" hidden="1"/>
    <col min="12042" max="12286" width="9.140625" style="1" hidden="1"/>
    <col min="12287" max="12287" width="19.140625" style="1" hidden="1"/>
    <col min="12288" max="12288" width="12" style="1" hidden="1"/>
    <col min="12289" max="12290" width="9.140625" style="1" hidden="1"/>
    <col min="12291" max="12291" width="12.42578125" style="1" hidden="1"/>
    <col min="12292" max="12293" width="9.140625" style="1" hidden="1"/>
    <col min="12294" max="12294" width="12.28515625" style="1" hidden="1"/>
    <col min="12295" max="12296" width="9.140625" style="1" hidden="1"/>
    <col min="12297" max="12297" width="11.7109375" style="1" hidden="1"/>
    <col min="12298" max="12542" width="9.140625" style="1" hidden="1"/>
    <col min="12543" max="12543" width="19.140625" style="1" hidden="1"/>
    <col min="12544" max="12544" width="12" style="1" hidden="1"/>
    <col min="12545" max="12546" width="9.140625" style="1" hidden="1"/>
    <col min="12547" max="12547" width="12.42578125" style="1" hidden="1"/>
    <col min="12548" max="12549" width="9.140625" style="1" hidden="1"/>
    <col min="12550" max="12550" width="12.28515625" style="1" hidden="1"/>
    <col min="12551" max="12552" width="9.140625" style="1" hidden="1"/>
    <col min="12553" max="12553" width="11.7109375" style="1" hidden="1"/>
    <col min="12554" max="12798" width="9.140625" style="1" hidden="1"/>
    <col min="12799" max="12799" width="19.140625" style="1" hidden="1"/>
    <col min="12800" max="12800" width="12" style="1" hidden="1"/>
    <col min="12801" max="12802" width="9.140625" style="1" hidden="1"/>
    <col min="12803" max="12803" width="12.42578125" style="1" hidden="1"/>
    <col min="12804" max="12805" width="9.140625" style="1" hidden="1"/>
    <col min="12806" max="12806" width="12.28515625" style="1" hidden="1"/>
    <col min="12807" max="12808" width="9.140625" style="1" hidden="1"/>
    <col min="12809" max="12809" width="11.7109375" style="1" hidden="1"/>
    <col min="12810" max="13054" width="9.140625" style="1" hidden="1"/>
    <col min="13055" max="13055" width="19.140625" style="1" hidden="1"/>
    <col min="13056" max="13056" width="12" style="1" hidden="1"/>
    <col min="13057" max="13058" width="9.140625" style="1" hidden="1"/>
    <col min="13059" max="13059" width="12.42578125" style="1" hidden="1"/>
    <col min="13060" max="13061" width="9.140625" style="1" hidden="1"/>
    <col min="13062" max="13062" width="12.28515625" style="1" hidden="1"/>
    <col min="13063" max="13064" width="9.140625" style="1" hidden="1"/>
    <col min="13065" max="13065" width="11.7109375" style="1" hidden="1"/>
    <col min="13066" max="13310" width="9.140625" style="1" hidden="1"/>
    <col min="13311" max="13311" width="19.140625" style="1" hidden="1"/>
    <col min="13312" max="13312" width="12" style="1" hidden="1"/>
    <col min="13313" max="13314" width="9.140625" style="1" hidden="1"/>
    <col min="13315" max="13315" width="12.42578125" style="1" hidden="1"/>
    <col min="13316" max="13317" width="9.140625" style="1" hidden="1"/>
    <col min="13318" max="13318" width="12.28515625" style="1" hidden="1"/>
    <col min="13319" max="13320" width="9.140625" style="1" hidden="1"/>
    <col min="13321" max="13321" width="11.7109375" style="1" hidden="1"/>
    <col min="13322" max="13566" width="9.140625" style="1" hidden="1"/>
    <col min="13567" max="13567" width="19.140625" style="1" hidden="1"/>
    <col min="13568" max="13568" width="12" style="1" hidden="1"/>
    <col min="13569" max="13570" width="9.140625" style="1" hidden="1"/>
    <col min="13571" max="13571" width="12.42578125" style="1" hidden="1"/>
    <col min="13572" max="13573" width="9.140625" style="1" hidden="1"/>
    <col min="13574" max="13574" width="12.28515625" style="1" hidden="1"/>
    <col min="13575" max="13576" width="9.140625" style="1" hidden="1"/>
    <col min="13577" max="13577" width="11.7109375" style="1" hidden="1"/>
    <col min="13578" max="13822" width="9.140625" style="1" hidden="1"/>
    <col min="13823" max="13823" width="19.140625" style="1" hidden="1"/>
    <col min="13824" max="13824" width="12" style="1" hidden="1"/>
    <col min="13825" max="13826" width="9.140625" style="1" hidden="1"/>
    <col min="13827" max="13827" width="12.42578125" style="1" hidden="1"/>
    <col min="13828" max="13829" width="9.140625" style="1" hidden="1"/>
    <col min="13830" max="13830" width="12.28515625" style="1" hidden="1"/>
    <col min="13831" max="13832" width="9.140625" style="1" hidden="1"/>
    <col min="13833" max="13833" width="11.7109375" style="1" hidden="1"/>
    <col min="13834" max="14078" width="9.140625" style="1" hidden="1"/>
    <col min="14079" max="14079" width="19.140625" style="1" hidden="1"/>
    <col min="14080" max="14080" width="12" style="1" hidden="1"/>
    <col min="14081" max="14082" width="9.140625" style="1" hidden="1"/>
    <col min="14083" max="14083" width="12.42578125" style="1" hidden="1"/>
    <col min="14084" max="14085" width="9.140625" style="1" hidden="1"/>
    <col min="14086" max="14086" width="12.28515625" style="1" hidden="1"/>
    <col min="14087" max="14088" width="9.140625" style="1" hidden="1"/>
    <col min="14089" max="14089" width="11.7109375" style="1" hidden="1"/>
    <col min="14090" max="14334" width="9.140625" style="1" hidden="1"/>
    <col min="14335" max="14335" width="19.140625" style="1" hidden="1"/>
    <col min="14336" max="14336" width="12" style="1" hidden="1"/>
    <col min="14337" max="14338" width="9.140625" style="1" hidden="1"/>
    <col min="14339" max="14339" width="12.42578125" style="1" hidden="1"/>
    <col min="14340" max="14341" width="9.140625" style="1" hidden="1"/>
    <col min="14342" max="14342" width="12.28515625" style="1" hidden="1"/>
    <col min="14343" max="14344" width="9.140625" style="1" hidden="1"/>
    <col min="14345" max="14345" width="11.7109375" style="1" hidden="1"/>
    <col min="14346" max="14590" width="9.140625" style="1" hidden="1"/>
    <col min="14591" max="14591" width="19.140625" style="1" hidden="1"/>
    <col min="14592" max="14592" width="12" style="1" hidden="1"/>
    <col min="14593" max="14594" width="9.140625" style="1" hidden="1"/>
    <col min="14595" max="14595" width="12.42578125" style="1" hidden="1"/>
    <col min="14596" max="14597" width="9.140625" style="1" hidden="1"/>
    <col min="14598" max="14598" width="12.28515625" style="1" hidden="1"/>
    <col min="14599" max="14600" width="9.140625" style="1" hidden="1"/>
    <col min="14601" max="14601" width="11.7109375" style="1" hidden="1"/>
    <col min="14602" max="14846" width="9.140625" style="1" hidden="1"/>
    <col min="14847" max="14847" width="19.140625" style="1" hidden="1"/>
    <col min="14848" max="14848" width="12" style="1" hidden="1"/>
    <col min="14849" max="14850" width="9.140625" style="1" hidden="1"/>
    <col min="14851" max="14851" width="12.42578125" style="1" hidden="1"/>
    <col min="14852" max="14853" width="9.140625" style="1" hidden="1"/>
    <col min="14854" max="14854" width="12.28515625" style="1" hidden="1"/>
    <col min="14855" max="14856" width="9.140625" style="1" hidden="1"/>
    <col min="14857" max="14857" width="11.7109375" style="1" hidden="1"/>
    <col min="14858" max="15102" width="9.140625" style="1" hidden="1"/>
    <col min="15103" max="15103" width="19.140625" style="1" hidden="1"/>
    <col min="15104" max="15104" width="12" style="1" hidden="1"/>
    <col min="15105" max="15106" width="9.140625" style="1" hidden="1"/>
    <col min="15107" max="15107" width="12.42578125" style="1" hidden="1"/>
    <col min="15108" max="15109" width="9.140625" style="1" hidden="1"/>
    <col min="15110" max="15110" width="12.28515625" style="1" hidden="1"/>
    <col min="15111" max="15112" width="9.140625" style="1" hidden="1"/>
    <col min="15113" max="15113" width="11.7109375" style="1" hidden="1"/>
    <col min="15114" max="15358" width="9.140625" style="1" hidden="1"/>
    <col min="15359" max="15359" width="19.140625" style="1" hidden="1"/>
    <col min="15360" max="15360" width="12" style="1" hidden="1"/>
    <col min="15361" max="15362" width="9.140625" style="1" hidden="1"/>
    <col min="15363" max="15363" width="12.42578125" style="1" hidden="1"/>
    <col min="15364" max="15365" width="9.140625" style="1" hidden="1"/>
    <col min="15366" max="15366" width="12.28515625" style="1" hidden="1"/>
    <col min="15367" max="15368" width="9.140625" style="1" hidden="1"/>
    <col min="15369" max="15369" width="11.7109375" style="1" hidden="1"/>
    <col min="15370" max="15614" width="9.140625" style="1" hidden="1"/>
    <col min="15615" max="15615" width="19.140625" style="1" hidden="1"/>
    <col min="15616" max="15616" width="12" style="1" hidden="1"/>
    <col min="15617" max="15618" width="9.140625" style="1" hidden="1"/>
    <col min="15619" max="15619" width="12.42578125" style="1" hidden="1"/>
    <col min="15620" max="15621" width="9.140625" style="1" hidden="1"/>
    <col min="15622" max="15622" width="12.28515625" style="1" hidden="1"/>
    <col min="15623" max="15624" width="9.140625" style="1" hidden="1"/>
    <col min="15625" max="15625" width="11.7109375" style="1" hidden="1"/>
    <col min="15626" max="15870" width="9.140625" style="1" hidden="1"/>
    <col min="15871" max="15871" width="19.140625" style="1" hidden="1"/>
    <col min="15872" max="15872" width="12" style="1" hidden="1"/>
    <col min="15873" max="15874" width="9.140625" style="1" hidden="1"/>
    <col min="15875" max="15875" width="12.42578125" style="1" hidden="1"/>
    <col min="15876" max="15877" width="9.140625" style="1" hidden="1"/>
    <col min="15878" max="15878" width="12.28515625" style="1" hidden="1"/>
    <col min="15879" max="15880" width="9.140625" style="1" hidden="1"/>
    <col min="15881" max="15881" width="11.7109375" style="1" hidden="1"/>
    <col min="15882" max="16126" width="9.140625" style="1" hidden="1"/>
    <col min="16127" max="16127" width="19.140625" style="1" hidden="1"/>
    <col min="16128" max="16128" width="12" style="1" hidden="1"/>
    <col min="16129" max="16130" width="9.140625" style="1" hidden="1"/>
    <col min="16131" max="16131" width="12.42578125" style="1" hidden="1"/>
    <col min="16132" max="16133" width="9.140625" style="1" hidden="1"/>
    <col min="16134" max="16134" width="12.28515625" style="1" hidden="1"/>
    <col min="16135" max="16136" width="9.140625" style="1" hidden="1"/>
    <col min="16137" max="16137" width="11.7109375" style="1" hidden="1"/>
    <col min="16138" max="16384" width="9.140625" style="1" hidden="1"/>
  </cols>
  <sheetData>
    <row r="1" spans="1:14" x14ac:dyDescent="0.25"/>
    <row r="2" spans="1:14" x14ac:dyDescent="0.25"/>
    <row r="3" spans="1:14" ht="20.25" customHeight="1" thickBot="1" x14ac:dyDescent="0.3"/>
    <row r="4" spans="1:14" ht="24.95" customHeight="1" thickBot="1" x14ac:dyDescent="0.3">
      <c r="B4" s="32" t="s">
        <v>15</v>
      </c>
      <c r="C4" s="32"/>
      <c r="D4" s="32"/>
      <c r="E4" s="32"/>
      <c r="F4" s="32"/>
      <c r="G4" s="32"/>
      <c r="H4" s="32"/>
      <c r="I4" s="32"/>
    </row>
    <row r="5" spans="1:14" ht="18" customHeight="1" x14ac:dyDescent="0.25"/>
    <row r="6" spans="1:14" ht="30" customHeight="1" x14ac:dyDescent="0.25">
      <c r="B6" s="7" t="s">
        <v>1</v>
      </c>
      <c r="C6" s="8">
        <v>2015</v>
      </c>
      <c r="D6" s="9" t="s">
        <v>13</v>
      </c>
      <c r="E6" s="9" t="s">
        <v>14</v>
      </c>
      <c r="F6" s="10"/>
      <c r="G6" s="8">
        <v>2016</v>
      </c>
      <c r="H6" s="9" t="s">
        <v>13</v>
      </c>
      <c r="I6" s="9" t="s">
        <v>14</v>
      </c>
      <c r="L6"/>
      <c r="M6"/>
      <c r="N6"/>
    </row>
    <row r="7" spans="1:14" customFormat="1" ht="12.75" customHeight="1" x14ac:dyDescent="0.25">
      <c r="A7" s="6"/>
      <c r="B7" s="10"/>
      <c r="C7" s="10"/>
      <c r="D7" s="10"/>
      <c r="E7" s="10"/>
      <c r="F7" s="10"/>
      <c r="G7" s="10"/>
      <c r="H7" s="10"/>
      <c r="I7" s="10"/>
    </row>
    <row r="8" spans="1:14" ht="24.95" customHeight="1" x14ac:dyDescent="0.25">
      <c r="B8" s="11" t="s">
        <v>2</v>
      </c>
      <c r="C8" s="12">
        <f>C10+C14</f>
        <v>198000</v>
      </c>
      <c r="D8" s="13">
        <f t="shared" ref="D8:D28" si="0">C8/$C$29</f>
        <v>0.70714285714285718</v>
      </c>
      <c r="E8" s="13">
        <v>1</v>
      </c>
      <c r="F8" s="10"/>
      <c r="G8" s="12">
        <f>G10+G14</f>
        <v>226000</v>
      </c>
      <c r="H8" s="13">
        <f>G8/$G$29</f>
        <v>0.71746031746031746</v>
      </c>
      <c r="I8" s="14">
        <f>G8/C8</f>
        <v>1.1414141414141414</v>
      </c>
      <c r="L8"/>
      <c r="M8"/>
      <c r="N8"/>
    </row>
    <row r="9" spans="1:14" customFormat="1" ht="5.0999999999999996" customHeight="1" x14ac:dyDescent="0.25">
      <c r="A9" s="6"/>
      <c r="B9" s="10"/>
      <c r="C9" s="10"/>
      <c r="D9" s="10"/>
      <c r="E9" s="10"/>
      <c r="F9" s="10"/>
      <c r="G9" s="15"/>
      <c r="H9" s="10"/>
      <c r="I9" s="10"/>
    </row>
    <row r="10" spans="1:14" ht="18.95" customHeight="1" x14ac:dyDescent="0.25">
      <c r="B10" s="16" t="s">
        <v>3</v>
      </c>
      <c r="C10" s="12">
        <f>SUM(C11:C13)</f>
        <v>50000</v>
      </c>
      <c r="D10" s="13">
        <f t="shared" si="0"/>
        <v>0.17857142857142858</v>
      </c>
      <c r="E10" s="13">
        <v>1</v>
      </c>
      <c r="F10" s="10"/>
      <c r="G10" s="12">
        <f>SUM(G11:G13)</f>
        <v>48000</v>
      </c>
      <c r="H10" s="13">
        <f>G10/$G$29</f>
        <v>0.15238095238095239</v>
      </c>
      <c r="I10" s="14">
        <f t="shared" ref="I10:I48" si="1">G10/C10</f>
        <v>0.96</v>
      </c>
      <c r="L10"/>
      <c r="M10"/>
      <c r="N10"/>
    </row>
    <row r="11" spans="1:14" ht="18.95" customHeight="1" x14ac:dyDescent="0.25">
      <c r="B11" s="29" t="s">
        <v>16</v>
      </c>
      <c r="C11" s="30">
        <v>10000</v>
      </c>
      <c r="D11" s="17">
        <f t="shared" si="0"/>
        <v>3.5714285714285712E-2</v>
      </c>
      <c r="E11" s="18">
        <v>1</v>
      </c>
      <c r="F11" s="10"/>
      <c r="G11" s="30">
        <v>20000</v>
      </c>
      <c r="H11" s="18">
        <f>G11/$G$29</f>
        <v>6.3492063492063489E-2</v>
      </c>
      <c r="I11" s="19">
        <f t="shared" si="1"/>
        <v>2</v>
      </c>
      <c r="L11"/>
      <c r="M11"/>
      <c r="N11"/>
    </row>
    <row r="12" spans="1:14" ht="18.95" customHeight="1" x14ac:dyDescent="0.25">
      <c r="B12" s="29" t="s">
        <v>17</v>
      </c>
      <c r="C12" s="30">
        <v>35000</v>
      </c>
      <c r="D12" s="17">
        <f t="shared" si="0"/>
        <v>0.125</v>
      </c>
      <c r="E12" s="18">
        <v>1</v>
      </c>
      <c r="F12" s="10"/>
      <c r="G12" s="30">
        <v>25000</v>
      </c>
      <c r="H12" s="18">
        <f t="shared" ref="H12:H13" si="2">G12/$G$29</f>
        <v>7.9365079365079361E-2</v>
      </c>
      <c r="I12" s="19">
        <f t="shared" ref="I12:I13" si="3">G12/C12</f>
        <v>0.7142857142857143</v>
      </c>
      <c r="L12"/>
      <c r="M12"/>
      <c r="N12"/>
    </row>
    <row r="13" spans="1:14" ht="18.95" customHeight="1" x14ac:dyDescent="0.25">
      <c r="B13" s="29" t="s">
        <v>18</v>
      </c>
      <c r="C13" s="30">
        <v>5000</v>
      </c>
      <c r="D13" s="17">
        <f t="shared" si="0"/>
        <v>1.7857142857142856E-2</v>
      </c>
      <c r="E13" s="18">
        <v>1</v>
      </c>
      <c r="F13" s="10"/>
      <c r="G13" s="30">
        <v>3000</v>
      </c>
      <c r="H13" s="18">
        <f t="shared" si="2"/>
        <v>9.5238095238095247E-3</v>
      </c>
      <c r="I13" s="19">
        <f t="shared" si="3"/>
        <v>0.6</v>
      </c>
      <c r="L13"/>
      <c r="M13"/>
      <c r="N13"/>
    </row>
    <row r="14" spans="1:14" ht="18.95" customHeight="1" x14ac:dyDescent="0.25">
      <c r="B14" s="16" t="s">
        <v>4</v>
      </c>
      <c r="C14" s="12">
        <f>SUM(C15:C17)</f>
        <v>148000</v>
      </c>
      <c r="D14" s="13">
        <f t="shared" si="0"/>
        <v>0.52857142857142858</v>
      </c>
      <c r="E14" s="13">
        <v>1</v>
      </c>
      <c r="F14" s="10"/>
      <c r="G14" s="12">
        <f>SUM(G15:G17)</f>
        <v>178000</v>
      </c>
      <c r="H14" s="13">
        <f>G14/$G$29</f>
        <v>0.56507936507936507</v>
      </c>
      <c r="I14" s="14">
        <f t="shared" si="1"/>
        <v>1.2027027027027026</v>
      </c>
      <c r="L14"/>
      <c r="M14"/>
      <c r="N14"/>
    </row>
    <row r="15" spans="1:14" ht="18.95" customHeight="1" x14ac:dyDescent="0.25">
      <c r="B15" s="29" t="s">
        <v>19</v>
      </c>
      <c r="C15" s="30">
        <v>14000</v>
      </c>
      <c r="D15" s="18"/>
      <c r="E15" s="18"/>
      <c r="F15" s="10"/>
      <c r="G15" s="30">
        <v>8000</v>
      </c>
      <c r="H15" s="18">
        <f t="shared" ref="H15" si="4">G15/$G$29</f>
        <v>2.5396825396825397E-2</v>
      </c>
      <c r="I15" s="19">
        <f t="shared" ref="I15" si="5">G15/C15</f>
        <v>0.5714285714285714</v>
      </c>
    </row>
    <row r="16" spans="1:14" ht="18.95" customHeight="1" x14ac:dyDescent="0.25">
      <c r="B16" s="29" t="s">
        <v>20</v>
      </c>
      <c r="C16" s="30">
        <v>73000</v>
      </c>
      <c r="D16" s="17">
        <f t="shared" si="0"/>
        <v>0.26071428571428573</v>
      </c>
      <c r="E16" s="18">
        <v>1</v>
      </c>
      <c r="F16" s="10"/>
      <c r="G16" s="30">
        <v>95000</v>
      </c>
      <c r="H16" s="18">
        <f>G16/$G$29</f>
        <v>0.30158730158730157</v>
      </c>
      <c r="I16" s="19">
        <f t="shared" si="1"/>
        <v>1.3013698630136987</v>
      </c>
    </row>
    <row r="17" spans="1:9" ht="18.95" customHeight="1" x14ac:dyDescent="0.25">
      <c r="B17" s="29" t="s">
        <v>21</v>
      </c>
      <c r="C17" s="30">
        <v>61000</v>
      </c>
      <c r="D17" s="17">
        <f t="shared" si="0"/>
        <v>0.21785714285714286</v>
      </c>
      <c r="E17" s="18">
        <v>1</v>
      </c>
      <c r="F17" s="10"/>
      <c r="G17" s="30">
        <v>75000</v>
      </c>
      <c r="H17" s="18">
        <f t="shared" ref="H17" si="6">G17/$G$29</f>
        <v>0.23809523809523808</v>
      </c>
      <c r="I17" s="19">
        <f t="shared" ref="I17" si="7">G17/C17</f>
        <v>1.2295081967213115</v>
      </c>
    </row>
    <row r="18" spans="1:9" customFormat="1" ht="18.95" customHeight="1" x14ac:dyDescent="0.25">
      <c r="A18" s="6"/>
      <c r="B18" s="10"/>
      <c r="C18" s="10"/>
      <c r="D18" s="10"/>
      <c r="E18" s="10"/>
      <c r="F18" s="10"/>
      <c r="G18" s="10"/>
      <c r="H18" s="10"/>
      <c r="I18" s="20"/>
    </row>
    <row r="19" spans="1:9" ht="24.95" customHeight="1" x14ac:dyDescent="0.25">
      <c r="B19" s="11" t="s">
        <v>5</v>
      </c>
      <c r="C19" s="12">
        <f>C21+C24</f>
        <v>82000</v>
      </c>
      <c r="D19" s="13">
        <f t="shared" si="0"/>
        <v>0.29285714285714287</v>
      </c>
      <c r="E19" s="13">
        <v>1</v>
      </c>
      <c r="F19" s="10"/>
      <c r="G19" s="12">
        <f>G21+G24</f>
        <v>89000</v>
      </c>
      <c r="H19" s="13">
        <f>G19/$G$29</f>
        <v>0.28253968253968254</v>
      </c>
      <c r="I19" s="14">
        <f t="shared" si="1"/>
        <v>1.0853658536585367</v>
      </c>
    </row>
    <row r="20" spans="1:9" customFormat="1" ht="5.0999999999999996" customHeight="1" x14ac:dyDescent="0.25">
      <c r="A20" s="6"/>
      <c r="B20" s="10"/>
      <c r="C20" s="10"/>
      <c r="D20" s="10"/>
      <c r="E20" s="10"/>
      <c r="F20" s="10"/>
      <c r="G20" s="10"/>
      <c r="H20" s="10"/>
      <c r="I20" s="20"/>
    </row>
    <row r="21" spans="1:9" ht="18.95" customHeight="1" x14ac:dyDescent="0.25">
      <c r="B21" s="16" t="s">
        <v>6</v>
      </c>
      <c r="C21" s="12">
        <f>SUM(C22:C23)</f>
        <v>26000</v>
      </c>
      <c r="D21" s="13">
        <f t="shared" si="0"/>
        <v>9.285714285714286E-2</v>
      </c>
      <c r="E21" s="13">
        <v>1</v>
      </c>
      <c r="F21" s="10"/>
      <c r="G21" s="12">
        <f>SUM(G22:G23)</f>
        <v>22000</v>
      </c>
      <c r="H21" s="13">
        <f>G21/$G$29</f>
        <v>6.9841269841269843E-2</v>
      </c>
      <c r="I21" s="14">
        <f t="shared" si="1"/>
        <v>0.84615384615384615</v>
      </c>
    </row>
    <row r="22" spans="1:9" ht="18.95" customHeight="1" x14ac:dyDescent="0.25">
      <c r="B22" s="29" t="s">
        <v>22</v>
      </c>
      <c r="C22" s="30">
        <v>22000</v>
      </c>
      <c r="D22" s="17">
        <f t="shared" si="0"/>
        <v>7.857142857142857E-2</v>
      </c>
      <c r="E22" s="18">
        <v>1</v>
      </c>
      <c r="F22" s="10"/>
      <c r="G22" s="30">
        <v>22000</v>
      </c>
      <c r="H22" s="18">
        <f>G22/$G$29</f>
        <v>6.9841269841269843E-2</v>
      </c>
      <c r="I22" s="19">
        <f t="shared" si="1"/>
        <v>1</v>
      </c>
    </row>
    <row r="23" spans="1:9" ht="18.95" customHeight="1" x14ac:dyDescent="0.25">
      <c r="B23" s="29" t="s">
        <v>23</v>
      </c>
      <c r="C23" s="30">
        <v>4000</v>
      </c>
      <c r="D23" s="17">
        <f t="shared" si="0"/>
        <v>1.4285714285714285E-2</v>
      </c>
      <c r="E23" s="18">
        <v>1</v>
      </c>
      <c r="F23" s="10"/>
      <c r="G23" s="30">
        <v>0</v>
      </c>
      <c r="H23" s="18">
        <f>G23/$G$29</f>
        <v>0</v>
      </c>
      <c r="I23" s="19">
        <f>G23/C23</f>
        <v>0</v>
      </c>
    </row>
    <row r="24" spans="1:9" ht="18.95" customHeight="1" x14ac:dyDescent="0.25">
      <c r="B24" s="16" t="s">
        <v>7</v>
      </c>
      <c r="C24" s="12">
        <f>SUM(C25:C27)-C28</f>
        <v>56000</v>
      </c>
      <c r="D24" s="13">
        <f t="shared" si="0"/>
        <v>0.2</v>
      </c>
      <c r="E24" s="13">
        <v>1</v>
      </c>
      <c r="F24" s="10"/>
      <c r="G24" s="12">
        <f>SUM(G25:G27)-G28</f>
        <v>67000</v>
      </c>
      <c r="H24" s="13">
        <f>G24/$G$29</f>
        <v>0.21269841269841269</v>
      </c>
      <c r="I24" s="14">
        <f t="shared" si="1"/>
        <v>1.1964285714285714</v>
      </c>
    </row>
    <row r="25" spans="1:9" ht="18.95" customHeight="1" x14ac:dyDescent="0.25">
      <c r="B25" s="29" t="s">
        <v>24</v>
      </c>
      <c r="C25" s="30">
        <v>36000</v>
      </c>
      <c r="D25" s="17">
        <f t="shared" si="0"/>
        <v>0.12857142857142856</v>
      </c>
      <c r="E25" s="18">
        <v>1</v>
      </c>
      <c r="F25" s="10"/>
      <c r="G25" s="30">
        <v>45000</v>
      </c>
      <c r="H25" s="18">
        <f t="shared" ref="H25:H27" si="8">G25/$G$29</f>
        <v>0.14285714285714285</v>
      </c>
      <c r="I25" s="19">
        <f t="shared" ref="I25:I27" si="9">G25/C25</f>
        <v>1.25</v>
      </c>
    </row>
    <row r="26" spans="1:9" ht="18.95" customHeight="1" x14ac:dyDescent="0.25">
      <c r="B26" s="29" t="s">
        <v>25</v>
      </c>
      <c r="C26" s="30">
        <v>9000</v>
      </c>
      <c r="D26" s="17">
        <f t="shared" si="0"/>
        <v>3.214285714285714E-2</v>
      </c>
      <c r="E26" s="18">
        <v>1</v>
      </c>
      <c r="F26" s="10"/>
      <c r="G26" s="30">
        <v>15000</v>
      </c>
      <c r="H26" s="18">
        <f t="shared" si="8"/>
        <v>4.7619047619047616E-2</v>
      </c>
      <c r="I26" s="19">
        <f t="shared" si="9"/>
        <v>1.6666666666666667</v>
      </c>
    </row>
    <row r="27" spans="1:9" ht="18.95" customHeight="1" x14ac:dyDescent="0.25">
      <c r="B27" s="29" t="s">
        <v>26</v>
      </c>
      <c r="C27" s="30">
        <v>12000</v>
      </c>
      <c r="D27" s="17">
        <f t="shared" si="0"/>
        <v>4.2857142857142858E-2</v>
      </c>
      <c r="E27" s="18">
        <v>1</v>
      </c>
      <c r="F27" s="10"/>
      <c r="G27" s="30">
        <v>8000</v>
      </c>
      <c r="H27" s="18">
        <f t="shared" si="8"/>
        <v>2.5396825396825397E-2</v>
      </c>
      <c r="I27" s="19">
        <f t="shared" si="9"/>
        <v>0.66666666666666663</v>
      </c>
    </row>
    <row r="28" spans="1:9" ht="18.95" customHeight="1" x14ac:dyDescent="0.25">
      <c r="B28" s="29" t="s">
        <v>27</v>
      </c>
      <c r="C28" s="30">
        <v>1000</v>
      </c>
      <c r="D28" s="17">
        <f t="shared" si="0"/>
        <v>3.5714285714285713E-3</v>
      </c>
      <c r="E28" s="18">
        <v>1</v>
      </c>
      <c r="F28" s="10"/>
      <c r="G28" s="30">
        <v>1000</v>
      </c>
      <c r="H28" s="18">
        <f>G28/$G$29</f>
        <v>3.1746031746031746E-3</v>
      </c>
      <c r="I28" s="19">
        <f t="shared" si="1"/>
        <v>1</v>
      </c>
    </row>
    <row r="29" spans="1:9" ht="21.95" customHeight="1" x14ac:dyDescent="0.25">
      <c r="B29" s="21" t="s">
        <v>8</v>
      </c>
      <c r="C29" s="22">
        <f>C8+C19</f>
        <v>280000</v>
      </c>
      <c r="D29" s="23">
        <v>1</v>
      </c>
      <c r="E29" s="23">
        <v>1</v>
      </c>
      <c r="F29" s="10"/>
      <c r="G29" s="22">
        <f>G8+G19</f>
        <v>315000</v>
      </c>
      <c r="H29" s="23">
        <v>1</v>
      </c>
      <c r="I29" s="24">
        <f t="shared" si="1"/>
        <v>1.125</v>
      </c>
    </row>
    <row r="30" spans="1:9" customFormat="1" ht="18.95" customHeight="1" x14ac:dyDescent="0.25">
      <c r="A30" s="6"/>
      <c r="B30" s="10"/>
      <c r="C30" s="10"/>
      <c r="D30" s="10"/>
      <c r="E30" s="10"/>
      <c r="F30" s="10"/>
      <c r="G30" s="10"/>
      <c r="H30" s="10"/>
      <c r="I30" s="20"/>
    </row>
    <row r="31" spans="1:9" customFormat="1" ht="18.95" customHeight="1" x14ac:dyDescent="0.25">
      <c r="A31" s="6"/>
      <c r="B31" s="10"/>
      <c r="C31" s="10"/>
      <c r="D31" s="10"/>
      <c r="E31" s="10"/>
      <c r="F31" s="10"/>
      <c r="G31" s="10"/>
      <c r="H31" s="10"/>
      <c r="I31" s="20"/>
    </row>
    <row r="32" spans="1:9" ht="24.95" customHeight="1" x14ac:dyDescent="0.25">
      <c r="B32" s="25" t="s">
        <v>9</v>
      </c>
      <c r="C32" s="12">
        <f>SUM(C33:C37)</f>
        <v>116000</v>
      </c>
      <c r="D32" s="13">
        <f t="shared" ref="D32:D47" si="10">C32/$C$48</f>
        <v>0.41428571428571431</v>
      </c>
      <c r="E32" s="13">
        <v>1</v>
      </c>
      <c r="F32" s="10"/>
      <c r="G32" s="12">
        <f>SUM(G33:G37)</f>
        <v>133000</v>
      </c>
      <c r="H32" s="13">
        <f>G32/$G$48</f>
        <v>0.42222222222222222</v>
      </c>
      <c r="I32" s="14">
        <f t="shared" si="1"/>
        <v>1.146551724137931</v>
      </c>
    </row>
    <row r="33" spans="1:9" ht="18.95" customHeight="1" x14ac:dyDescent="0.25">
      <c r="B33" s="29" t="s">
        <v>28</v>
      </c>
      <c r="C33" s="30">
        <v>40000</v>
      </c>
      <c r="D33" s="17">
        <f t="shared" si="10"/>
        <v>0.14285714285714285</v>
      </c>
      <c r="E33" s="18">
        <v>1</v>
      </c>
      <c r="F33" s="10"/>
      <c r="G33" s="30">
        <v>55000</v>
      </c>
      <c r="H33" s="18">
        <f>G33/$G$48</f>
        <v>0.17460317460317459</v>
      </c>
      <c r="I33" s="19">
        <f t="shared" si="1"/>
        <v>1.375</v>
      </c>
    </row>
    <row r="34" spans="1:9" ht="18.95" customHeight="1" x14ac:dyDescent="0.25">
      <c r="B34" s="29" t="s">
        <v>29</v>
      </c>
      <c r="C34" s="30">
        <v>32000</v>
      </c>
      <c r="D34" s="17">
        <f t="shared" si="10"/>
        <v>0.11428571428571428</v>
      </c>
      <c r="E34" s="18">
        <v>1</v>
      </c>
      <c r="F34" s="10"/>
      <c r="G34" s="30">
        <v>44000</v>
      </c>
      <c r="H34" s="18">
        <f t="shared" ref="H34:H37" si="11">G34/$G$48</f>
        <v>0.13968253968253969</v>
      </c>
      <c r="I34" s="19">
        <f t="shared" ref="I34:I37" si="12">G34/C34</f>
        <v>1.375</v>
      </c>
    </row>
    <row r="35" spans="1:9" ht="18.95" customHeight="1" x14ac:dyDescent="0.25">
      <c r="B35" s="29" t="s">
        <v>30</v>
      </c>
      <c r="C35" s="30">
        <v>19000</v>
      </c>
      <c r="D35" s="17">
        <f t="shared" si="10"/>
        <v>6.7857142857142852E-2</v>
      </c>
      <c r="E35" s="18">
        <v>1</v>
      </c>
      <c r="F35" s="10"/>
      <c r="G35" s="30">
        <v>22000</v>
      </c>
      <c r="H35" s="18">
        <f t="shared" si="11"/>
        <v>6.9841269841269843E-2</v>
      </c>
      <c r="I35" s="19">
        <f t="shared" si="12"/>
        <v>1.1578947368421053</v>
      </c>
    </row>
    <row r="36" spans="1:9" ht="18.95" customHeight="1" x14ac:dyDescent="0.25">
      <c r="B36" s="29" t="s">
        <v>31</v>
      </c>
      <c r="C36" s="30">
        <v>16000</v>
      </c>
      <c r="D36" s="17"/>
      <c r="E36" s="18"/>
      <c r="F36" s="10"/>
      <c r="G36" s="30">
        <v>10000</v>
      </c>
      <c r="H36" s="18">
        <f t="shared" si="11"/>
        <v>3.1746031746031744E-2</v>
      </c>
      <c r="I36" s="19">
        <f t="shared" si="12"/>
        <v>0.625</v>
      </c>
    </row>
    <row r="37" spans="1:9" ht="18.95" customHeight="1" x14ac:dyDescent="0.25">
      <c r="B37" s="29" t="s">
        <v>32</v>
      </c>
      <c r="C37" s="30">
        <v>9000</v>
      </c>
      <c r="D37" s="17">
        <f t="shared" si="10"/>
        <v>3.214285714285714E-2</v>
      </c>
      <c r="E37" s="18">
        <v>1</v>
      </c>
      <c r="F37" s="10"/>
      <c r="G37" s="30">
        <v>2000</v>
      </c>
      <c r="H37" s="18">
        <f t="shared" si="11"/>
        <v>6.3492063492063492E-3</v>
      </c>
      <c r="I37" s="19">
        <f t="shared" si="12"/>
        <v>0.22222222222222221</v>
      </c>
    </row>
    <row r="38" spans="1:9" customFormat="1" ht="18.95" customHeight="1" x14ac:dyDescent="0.25">
      <c r="A38" s="6"/>
      <c r="B38" s="10"/>
      <c r="C38" s="10"/>
      <c r="D38" s="10"/>
      <c r="E38" s="10"/>
      <c r="F38" s="10"/>
      <c r="G38" s="10"/>
      <c r="H38" s="10"/>
      <c r="I38" s="20"/>
    </row>
    <row r="39" spans="1:9" ht="24.95" customHeight="1" x14ac:dyDescent="0.25">
      <c r="B39" s="25" t="s">
        <v>10</v>
      </c>
      <c r="C39" s="12">
        <f>SUM(C40:C41)</f>
        <v>11000</v>
      </c>
      <c r="D39" s="13">
        <f t="shared" si="10"/>
        <v>3.9285714285714285E-2</v>
      </c>
      <c r="E39" s="13">
        <v>1</v>
      </c>
      <c r="F39" s="10"/>
      <c r="G39" s="12">
        <f>SUM(G40:G41)</f>
        <v>10000</v>
      </c>
      <c r="H39" s="13">
        <f t="shared" ref="H39:H40" si="13">G39/$G$48</f>
        <v>3.1746031746031744E-2</v>
      </c>
      <c r="I39" s="14">
        <f t="shared" ref="I39:I40" si="14">G39/C39</f>
        <v>0.90909090909090906</v>
      </c>
    </row>
    <row r="40" spans="1:9" ht="18.95" customHeight="1" x14ac:dyDescent="0.25">
      <c r="B40" s="29" t="s">
        <v>31</v>
      </c>
      <c r="C40" s="30">
        <v>7000</v>
      </c>
      <c r="D40" s="17">
        <f t="shared" si="10"/>
        <v>2.5000000000000001E-2</v>
      </c>
      <c r="E40" s="18">
        <v>1</v>
      </c>
      <c r="F40" s="10"/>
      <c r="G40" s="30">
        <v>4000</v>
      </c>
      <c r="H40" s="18">
        <f t="shared" si="13"/>
        <v>1.2698412698412698E-2</v>
      </c>
      <c r="I40" s="19">
        <f t="shared" si="14"/>
        <v>0.5714285714285714</v>
      </c>
    </row>
    <row r="41" spans="1:9" ht="18.95" customHeight="1" x14ac:dyDescent="0.25">
      <c r="B41" s="29" t="s">
        <v>33</v>
      </c>
      <c r="C41" s="30">
        <v>4000</v>
      </c>
      <c r="D41" s="17"/>
      <c r="E41" s="18"/>
      <c r="F41" s="10"/>
      <c r="G41" s="30">
        <v>6000</v>
      </c>
      <c r="H41" s="18">
        <f t="shared" ref="H41" si="15">G41/$G$48</f>
        <v>1.9047619047619049E-2</v>
      </c>
      <c r="I41" s="19">
        <f t="shared" ref="I41" si="16">G41/C41</f>
        <v>1.5</v>
      </c>
    </row>
    <row r="42" spans="1:9" customFormat="1" ht="18.95" customHeight="1" x14ac:dyDescent="0.25">
      <c r="A42" s="6"/>
      <c r="B42" s="10"/>
      <c r="C42" s="10"/>
      <c r="D42" s="10"/>
      <c r="E42" s="10"/>
      <c r="F42" s="10"/>
      <c r="G42" s="10"/>
      <c r="H42" s="10"/>
      <c r="I42" s="20"/>
    </row>
    <row r="43" spans="1:9" ht="24.95" customHeight="1" x14ac:dyDescent="0.25">
      <c r="B43" s="25" t="s">
        <v>11</v>
      </c>
      <c r="C43" s="12">
        <f>SUM(C44:C47)</f>
        <v>153000</v>
      </c>
      <c r="D43" s="13">
        <f t="shared" si="10"/>
        <v>0.54642857142857137</v>
      </c>
      <c r="E43" s="13">
        <v>1</v>
      </c>
      <c r="F43" s="10"/>
      <c r="G43" s="12">
        <f>SUM(G44:G47)</f>
        <v>172000</v>
      </c>
      <c r="H43" s="13">
        <f>G43/$G$48</f>
        <v>0.54603174603174598</v>
      </c>
      <c r="I43" s="14">
        <f t="shared" si="1"/>
        <v>1.1241830065359477</v>
      </c>
    </row>
    <row r="44" spans="1:9" ht="18.95" customHeight="1" x14ac:dyDescent="0.25">
      <c r="A44" s="26"/>
      <c r="B44" s="29" t="s">
        <v>34</v>
      </c>
      <c r="C44" s="30">
        <v>50000</v>
      </c>
      <c r="D44" s="17">
        <f t="shared" si="10"/>
        <v>0.17857142857142858</v>
      </c>
      <c r="E44" s="18">
        <v>1</v>
      </c>
      <c r="F44" s="10"/>
      <c r="G44" s="30">
        <v>50000</v>
      </c>
      <c r="H44" s="18">
        <f>G44/$G$48</f>
        <v>0.15873015873015872</v>
      </c>
      <c r="I44" s="19">
        <f t="shared" si="1"/>
        <v>1</v>
      </c>
    </row>
    <row r="45" spans="1:9" ht="18.95" customHeight="1" x14ac:dyDescent="0.25">
      <c r="B45" s="29" t="s">
        <v>35</v>
      </c>
      <c r="C45" s="30">
        <v>5000</v>
      </c>
      <c r="D45" s="17">
        <f t="shared" si="10"/>
        <v>1.7857142857142856E-2</v>
      </c>
      <c r="E45" s="18">
        <v>1</v>
      </c>
      <c r="F45" s="10"/>
      <c r="G45" s="30">
        <v>5000</v>
      </c>
      <c r="H45" s="18">
        <f t="shared" ref="H45:H47" si="17">G45/$G$48</f>
        <v>1.5873015873015872E-2</v>
      </c>
      <c r="I45" s="19">
        <f t="shared" ref="I45:I47" si="18">G45/C45</f>
        <v>1</v>
      </c>
    </row>
    <row r="46" spans="1:9" ht="18.95" customHeight="1" x14ac:dyDescent="0.25">
      <c r="B46" s="29" t="s">
        <v>36</v>
      </c>
      <c r="C46" s="30">
        <v>8000</v>
      </c>
      <c r="D46" s="17">
        <f t="shared" si="10"/>
        <v>2.8571428571428571E-2</v>
      </c>
      <c r="E46" s="18">
        <v>1</v>
      </c>
      <c r="F46" s="10"/>
      <c r="G46" s="30">
        <v>8000</v>
      </c>
      <c r="H46" s="18">
        <f t="shared" si="17"/>
        <v>2.5396825396825397E-2</v>
      </c>
      <c r="I46" s="19">
        <f t="shared" si="18"/>
        <v>1</v>
      </c>
    </row>
    <row r="47" spans="1:9" ht="18.95" customHeight="1" x14ac:dyDescent="0.25">
      <c r="B47" s="29" t="s">
        <v>37</v>
      </c>
      <c r="C47" s="30">
        <v>90000</v>
      </c>
      <c r="D47" s="17">
        <f t="shared" si="10"/>
        <v>0.32142857142857145</v>
      </c>
      <c r="E47" s="18">
        <v>1</v>
      </c>
      <c r="F47" s="10"/>
      <c r="G47" s="30">
        <v>109000</v>
      </c>
      <c r="H47" s="18">
        <f t="shared" si="17"/>
        <v>0.34603174603174602</v>
      </c>
      <c r="I47" s="19">
        <f t="shared" si="18"/>
        <v>1.211111111111111</v>
      </c>
    </row>
    <row r="48" spans="1:9" ht="21.95" customHeight="1" x14ac:dyDescent="0.25">
      <c r="B48" s="21" t="s">
        <v>12</v>
      </c>
      <c r="C48" s="22">
        <f>SUM(C32+C39+C43)</f>
        <v>280000</v>
      </c>
      <c r="D48" s="23">
        <v>1</v>
      </c>
      <c r="E48" s="23">
        <v>1</v>
      </c>
      <c r="F48" s="10"/>
      <c r="G48" s="22">
        <f>SUM(G32+G39+G43)</f>
        <v>315000</v>
      </c>
      <c r="H48" s="23">
        <v>1</v>
      </c>
      <c r="I48" s="24">
        <f t="shared" si="1"/>
        <v>1.125</v>
      </c>
    </row>
    <row r="49" spans="1:9" customFormat="1" ht="18.95" customHeight="1" x14ac:dyDescent="0.25">
      <c r="A49" s="27"/>
      <c r="B49" s="27"/>
      <c r="C49" s="27"/>
      <c r="D49" s="27"/>
      <c r="E49" s="27"/>
      <c r="F49" s="27"/>
      <c r="G49" s="27"/>
      <c r="H49" s="27"/>
      <c r="I49" s="27"/>
    </row>
    <row r="50" spans="1:9" ht="18.95" hidden="1" customHeight="1" x14ac:dyDescent="0.25">
      <c r="A50" s="28"/>
      <c r="B50" s="28"/>
      <c r="C50" s="28"/>
      <c r="D50" s="28"/>
      <c r="E50" s="28"/>
      <c r="F50" s="27"/>
      <c r="G50" s="28"/>
      <c r="H50" s="28"/>
      <c r="I50" s="28"/>
    </row>
    <row r="51" spans="1:9" ht="18.95" hidden="1" customHeight="1" x14ac:dyDescent="0.25">
      <c r="A51" s="28"/>
      <c r="B51" s="28"/>
      <c r="C51" s="28"/>
      <c r="D51" s="28"/>
      <c r="E51" s="28"/>
      <c r="F51" s="27"/>
      <c r="G51" s="28"/>
      <c r="H51" s="28"/>
      <c r="I51" s="28"/>
    </row>
    <row r="52" spans="1:9" ht="18.95" hidden="1" customHeight="1" x14ac:dyDescent="0.25">
      <c r="A52" s="28"/>
      <c r="B52" s="28"/>
      <c r="C52" s="28"/>
      <c r="D52" s="28"/>
      <c r="E52" s="28"/>
      <c r="F52" s="27"/>
      <c r="G52" s="28"/>
      <c r="H52" s="28"/>
      <c r="I52" s="28"/>
    </row>
    <row r="53" spans="1:9" ht="18.95" hidden="1" customHeight="1" x14ac:dyDescent="0.25">
      <c r="A53" s="28"/>
      <c r="B53" s="28"/>
      <c r="C53" s="28"/>
      <c r="D53" s="28"/>
      <c r="E53" s="28"/>
      <c r="F53" s="27"/>
      <c r="G53" s="28"/>
      <c r="H53" s="28"/>
      <c r="I53" s="28"/>
    </row>
    <row r="54" spans="1:9" ht="18.95" hidden="1" customHeight="1" x14ac:dyDescent="0.25">
      <c r="A54" s="28"/>
      <c r="B54" s="28"/>
      <c r="C54" s="28"/>
      <c r="D54" s="28"/>
      <c r="E54" s="28"/>
      <c r="F54" s="27"/>
      <c r="G54" s="28"/>
      <c r="H54" s="28"/>
      <c r="I54" s="28"/>
    </row>
    <row r="55" spans="1:9" ht="18.95" hidden="1" customHeight="1" x14ac:dyDescent="0.25">
      <c r="A55" s="28"/>
      <c r="B55" s="28"/>
      <c r="C55" s="28"/>
      <c r="D55" s="28"/>
      <c r="E55" s="28"/>
      <c r="F55" s="27"/>
      <c r="G55" s="28"/>
      <c r="H55" s="28"/>
      <c r="I55" s="28"/>
    </row>
    <row r="56" spans="1:9" ht="18.95" hidden="1" customHeight="1" x14ac:dyDescent="0.25">
      <c r="A56" s="28"/>
      <c r="B56" s="28"/>
      <c r="C56" s="28"/>
      <c r="D56" s="28"/>
      <c r="E56" s="28"/>
      <c r="F56" s="27"/>
      <c r="G56" s="28"/>
      <c r="H56" s="28"/>
      <c r="I56" s="28"/>
    </row>
    <row r="57" spans="1:9" ht="18.95" hidden="1" customHeight="1" x14ac:dyDescent="0.25">
      <c r="A57" s="28"/>
      <c r="B57" s="28"/>
      <c r="C57" s="28"/>
      <c r="D57" s="28"/>
      <c r="E57" s="28"/>
      <c r="F57" s="27"/>
      <c r="G57" s="28"/>
      <c r="H57" s="28"/>
      <c r="I57" s="28"/>
    </row>
    <row r="58" spans="1:9" ht="18.95" hidden="1" customHeight="1" x14ac:dyDescent="0.25">
      <c r="A58" s="28"/>
      <c r="B58" s="28"/>
      <c r="C58" s="28"/>
      <c r="D58" s="28"/>
      <c r="E58" s="28"/>
      <c r="F58" s="27"/>
      <c r="G58" s="28"/>
      <c r="H58" s="28"/>
      <c r="I58" s="28"/>
    </row>
    <row r="59" spans="1:9" ht="18.95" hidden="1" customHeight="1" x14ac:dyDescent="0.25">
      <c r="A59" s="28"/>
      <c r="B59" s="28"/>
      <c r="C59" s="28"/>
      <c r="D59" s="28"/>
      <c r="E59" s="28"/>
      <c r="F59" s="27"/>
      <c r="G59" s="28"/>
      <c r="H59" s="28"/>
      <c r="I59" s="28"/>
    </row>
    <row r="60" spans="1:9" ht="18.95" hidden="1" customHeight="1" x14ac:dyDescent="0.25">
      <c r="A60" s="28"/>
      <c r="B60" s="28"/>
      <c r="C60" s="28"/>
      <c r="D60" s="28"/>
      <c r="E60" s="28"/>
      <c r="F60" s="27"/>
      <c r="G60" s="28"/>
      <c r="H60" s="28"/>
      <c r="I60" s="28"/>
    </row>
    <row r="61" spans="1:9" ht="18.95" hidden="1" customHeight="1" x14ac:dyDescent="0.25">
      <c r="A61" s="28"/>
      <c r="B61" s="28"/>
      <c r="C61" s="28"/>
      <c r="D61" s="28"/>
      <c r="E61" s="28"/>
      <c r="F61" s="27"/>
      <c r="G61" s="28"/>
      <c r="H61" s="28"/>
      <c r="I61" s="28"/>
    </row>
    <row r="62" spans="1:9" ht="18.95" hidden="1" customHeight="1" x14ac:dyDescent="0.25">
      <c r="A62" s="28"/>
      <c r="B62" s="28"/>
      <c r="C62" s="28"/>
      <c r="D62" s="28"/>
      <c r="E62" s="28"/>
      <c r="F62" s="27"/>
      <c r="G62" s="28"/>
      <c r="H62" s="28"/>
      <c r="I62" s="28"/>
    </row>
    <row r="63" spans="1:9" ht="18.95" hidden="1" customHeight="1" x14ac:dyDescent="0.25">
      <c r="A63" s="28"/>
      <c r="B63" s="28"/>
      <c r="C63" s="28"/>
      <c r="D63" s="28"/>
      <c r="E63" s="28"/>
      <c r="F63" s="27"/>
      <c r="G63" s="28"/>
      <c r="H63" s="28"/>
      <c r="I63" s="28"/>
    </row>
    <row r="64" spans="1:9" ht="18.95" hidden="1" customHeight="1" x14ac:dyDescent="0.25">
      <c r="A64" s="28"/>
      <c r="B64" s="28"/>
      <c r="C64" s="28"/>
      <c r="D64" s="28"/>
      <c r="E64" s="28"/>
      <c r="F64" s="27"/>
      <c r="G64" s="28"/>
      <c r="H64" s="28"/>
      <c r="I64" s="28"/>
    </row>
    <row r="65" spans="1:9" ht="18.95" hidden="1" customHeight="1" x14ac:dyDescent="0.25">
      <c r="A65" s="28"/>
      <c r="B65" s="28"/>
      <c r="C65" s="28"/>
      <c r="D65" s="28"/>
      <c r="E65" s="28"/>
      <c r="F65" s="27"/>
      <c r="G65" s="28"/>
      <c r="H65" s="28"/>
      <c r="I65" s="28"/>
    </row>
    <row r="66" spans="1:9" ht="18.95" hidden="1" customHeight="1" x14ac:dyDescent="0.25">
      <c r="A66" s="28"/>
      <c r="B66" s="28"/>
      <c r="C66" s="28"/>
      <c r="D66" s="28"/>
      <c r="E66" s="28"/>
      <c r="F66" s="27"/>
      <c r="G66" s="28"/>
      <c r="H66" s="28"/>
      <c r="I66" s="28"/>
    </row>
    <row r="67" spans="1:9" ht="18.95" hidden="1" customHeight="1" x14ac:dyDescent="0.25">
      <c r="A67" s="28"/>
      <c r="B67" s="28"/>
      <c r="C67" s="28"/>
      <c r="D67" s="28"/>
      <c r="E67" s="28"/>
      <c r="F67" s="27"/>
      <c r="G67" s="28"/>
      <c r="H67" s="28"/>
      <c r="I67" s="28"/>
    </row>
    <row r="68" spans="1:9" ht="18.95" hidden="1" customHeight="1" x14ac:dyDescent="0.25">
      <c r="A68" s="28"/>
      <c r="B68" s="28"/>
      <c r="C68" s="28"/>
      <c r="D68" s="28"/>
      <c r="E68" s="28"/>
      <c r="F68" s="27"/>
      <c r="G68" s="28"/>
      <c r="H68" s="28"/>
      <c r="I68" s="28"/>
    </row>
    <row r="69" spans="1:9" ht="18.95" hidden="1" customHeight="1" x14ac:dyDescent="0.25">
      <c r="A69" s="28"/>
      <c r="B69" s="28"/>
      <c r="C69" s="28"/>
      <c r="D69" s="28"/>
      <c r="E69" s="28"/>
      <c r="F69" s="27"/>
      <c r="G69" s="28"/>
      <c r="H69" s="28"/>
      <c r="I69" s="28"/>
    </row>
    <row r="70" spans="1:9" ht="18.95" hidden="1" customHeight="1" x14ac:dyDescent="0.25">
      <c r="A70" s="28"/>
      <c r="B70" s="28"/>
      <c r="C70" s="28"/>
      <c r="D70" s="28"/>
      <c r="E70" s="28"/>
      <c r="F70" s="27"/>
      <c r="G70" s="28"/>
      <c r="H70" s="28"/>
      <c r="I70" s="28"/>
    </row>
    <row r="71" spans="1:9" ht="18.95" hidden="1" customHeight="1" x14ac:dyDescent="0.25">
      <c r="A71" s="28"/>
      <c r="B71" s="28"/>
      <c r="C71" s="28"/>
      <c r="D71" s="28"/>
      <c r="E71" s="28"/>
      <c r="F71" s="27"/>
      <c r="G71" s="28"/>
      <c r="H71" s="28"/>
      <c r="I71" s="28"/>
    </row>
    <row r="72" spans="1:9" ht="18.95" hidden="1" customHeight="1" x14ac:dyDescent="0.25">
      <c r="A72" s="28"/>
      <c r="B72" s="28"/>
      <c r="C72" s="28"/>
      <c r="D72" s="28"/>
      <c r="E72" s="28"/>
      <c r="F72" s="27"/>
      <c r="G72" s="28"/>
      <c r="H72" s="28"/>
      <c r="I72" s="28"/>
    </row>
    <row r="73" spans="1:9" ht="18.95" hidden="1" customHeight="1" x14ac:dyDescent="0.25">
      <c r="A73" s="28"/>
      <c r="B73" s="28"/>
      <c r="C73" s="28"/>
      <c r="D73" s="28"/>
      <c r="E73" s="28"/>
      <c r="F73" s="27"/>
      <c r="G73" s="28"/>
      <c r="H73" s="28"/>
      <c r="I73" s="28"/>
    </row>
    <row r="74" spans="1:9" ht="18.95" hidden="1" customHeight="1" x14ac:dyDescent="0.25">
      <c r="A74" s="28"/>
      <c r="B74" s="28"/>
      <c r="C74" s="28"/>
      <c r="D74" s="28"/>
      <c r="E74" s="28"/>
      <c r="F74" s="27"/>
      <c r="G74" s="28"/>
      <c r="H74" s="28"/>
      <c r="I74" s="28"/>
    </row>
    <row r="75" spans="1:9" ht="18.95" hidden="1" customHeight="1" x14ac:dyDescent="0.25">
      <c r="A75" s="28"/>
      <c r="B75" s="28"/>
      <c r="C75" s="28"/>
      <c r="D75" s="28"/>
      <c r="E75" s="28"/>
      <c r="F75" s="27"/>
      <c r="G75" s="28"/>
      <c r="H75" s="28"/>
      <c r="I75" s="28"/>
    </row>
    <row r="76" spans="1:9" ht="18.95" hidden="1" customHeight="1" x14ac:dyDescent="0.25">
      <c r="A76" s="28"/>
      <c r="B76" s="28"/>
      <c r="C76" s="28"/>
      <c r="D76" s="28"/>
      <c r="E76" s="28"/>
      <c r="F76" s="27"/>
      <c r="G76" s="28"/>
      <c r="H76" s="28"/>
      <c r="I76" s="28"/>
    </row>
    <row r="77" spans="1:9" ht="18.95" hidden="1" customHeight="1" x14ac:dyDescent="0.25">
      <c r="A77" s="28"/>
      <c r="B77" s="28"/>
      <c r="C77" s="28"/>
      <c r="D77" s="28"/>
      <c r="E77" s="28"/>
      <c r="F77" s="27"/>
      <c r="G77" s="28"/>
      <c r="H77" s="28"/>
      <c r="I77" s="28"/>
    </row>
    <row r="78" spans="1:9" ht="18.95" hidden="1" customHeight="1" x14ac:dyDescent="0.25">
      <c r="A78" s="28"/>
      <c r="B78" s="28"/>
      <c r="C78" s="28"/>
      <c r="D78" s="28"/>
      <c r="E78" s="28"/>
      <c r="F78" s="27"/>
      <c r="G78" s="28"/>
      <c r="H78" s="28"/>
      <c r="I78" s="28"/>
    </row>
    <row r="79" spans="1:9" ht="18.95" hidden="1" customHeight="1" x14ac:dyDescent="0.25">
      <c r="A79" s="28"/>
      <c r="B79" s="28"/>
      <c r="C79" s="28"/>
      <c r="D79" s="28"/>
      <c r="E79" s="28"/>
      <c r="F79" s="27"/>
      <c r="G79" s="28"/>
      <c r="H79" s="28"/>
      <c r="I79" s="28"/>
    </row>
    <row r="80" spans="1:9" ht="18.95" hidden="1" customHeight="1" x14ac:dyDescent="0.25">
      <c r="A80" s="28"/>
      <c r="B80" s="28"/>
      <c r="C80" s="28"/>
      <c r="D80" s="28"/>
      <c r="E80" s="28"/>
      <c r="F80" s="27"/>
      <c r="G80" s="28"/>
      <c r="H80" s="28"/>
      <c r="I80" s="28"/>
    </row>
    <row r="81" spans="1:9" ht="18.95" hidden="1" customHeight="1" x14ac:dyDescent="0.25">
      <c r="A81" s="28"/>
      <c r="B81" s="28"/>
      <c r="C81" s="28"/>
      <c r="D81" s="28"/>
      <c r="E81" s="28"/>
      <c r="F81" s="27"/>
      <c r="G81" s="28"/>
      <c r="H81" s="28"/>
      <c r="I81" s="28"/>
    </row>
    <row r="82" spans="1:9" ht="18.95" hidden="1" customHeight="1" x14ac:dyDescent="0.25">
      <c r="A82" s="28"/>
      <c r="B82" s="28"/>
      <c r="C82" s="28"/>
      <c r="D82" s="28"/>
      <c r="E82" s="28"/>
      <c r="F82" s="27"/>
      <c r="G82" s="28"/>
      <c r="H82" s="28"/>
      <c r="I82" s="28"/>
    </row>
    <row r="83" spans="1:9" ht="18.95" hidden="1" customHeight="1" x14ac:dyDescent="0.25">
      <c r="A83" s="28"/>
      <c r="B83" s="28"/>
      <c r="C83" s="28"/>
      <c r="D83" s="28"/>
      <c r="E83" s="28"/>
      <c r="F83" s="27"/>
      <c r="G83" s="28"/>
      <c r="H83" s="28"/>
      <c r="I83" s="28"/>
    </row>
    <row r="84" spans="1:9" hidden="1" x14ac:dyDescent="0.25">
      <c r="A84" s="28"/>
      <c r="B84" s="28"/>
      <c r="C84" s="28"/>
      <c r="D84" s="28"/>
      <c r="E84" s="28"/>
      <c r="F84" s="27"/>
      <c r="G84" s="28"/>
      <c r="H84" s="28"/>
      <c r="I84" s="28"/>
    </row>
    <row r="85" spans="1:9" hidden="1" x14ac:dyDescent="0.25">
      <c r="A85" s="28"/>
      <c r="B85" s="28"/>
      <c r="C85" s="28"/>
      <c r="D85" s="28"/>
      <c r="E85" s="28"/>
      <c r="F85" s="27"/>
      <c r="G85" s="28"/>
      <c r="H85" s="28"/>
      <c r="I85" s="28"/>
    </row>
    <row r="86" spans="1:9" hidden="1" x14ac:dyDescent="0.25">
      <c r="A86" s="28"/>
      <c r="B86" s="28"/>
      <c r="C86" s="28"/>
      <c r="D86" s="28"/>
      <c r="E86" s="28"/>
      <c r="F86" s="27"/>
      <c r="G86" s="28"/>
      <c r="H86" s="28"/>
      <c r="I86" s="28"/>
    </row>
    <row r="87" spans="1:9" hidden="1" x14ac:dyDescent="0.25">
      <c r="A87" s="28"/>
      <c r="B87" s="28"/>
      <c r="C87" s="28"/>
      <c r="D87" s="28"/>
      <c r="E87" s="28"/>
      <c r="F87" s="27"/>
      <c r="G87" s="28"/>
      <c r="H87" s="28"/>
      <c r="I87" s="28"/>
    </row>
    <row r="88" spans="1:9" hidden="1" x14ac:dyDescent="0.25">
      <c r="A88" s="28"/>
      <c r="B88" s="28"/>
      <c r="C88" s="28"/>
      <c r="D88" s="28"/>
      <c r="E88" s="28"/>
      <c r="F88" s="27"/>
      <c r="G88" s="28"/>
      <c r="H88" s="28"/>
      <c r="I88" s="28"/>
    </row>
    <row r="89" spans="1:9" hidden="1" x14ac:dyDescent="0.25">
      <c r="A89" s="28"/>
      <c r="B89" s="28"/>
      <c r="C89" s="28"/>
      <c r="D89" s="28"/>
      <c r="E89" s="28"/>
      <c r="F89" s="27"/>
      <c r="G89" s="28"/>
      <c r="H89" s="28"/>
      <c r="I89" s="28"/>
    </row>
    <row r="90" spans="1:9" hidden="1" x14ac:dyDescent="0.25">
      <c r="A90" s="28"/>
      <c r="B90" s="28"/>
      <c r="C90" s="28"/>
      <c r="D90" s="28"/>
      <c r="E90" s="28"/>
      <c r="F90" s="27"/>
      <c r="G90" s="28"/>
      <c r="H90" s="28"/>
      <c r="I90" s="28"/>
    </row>
    <row r="91" spans="1:9" hidden="1" x14ac:dyDescent="0.25">
      <c r="A91" s="28"/>
      <c r="B91" s="28"/>
      <c r="C91" s="28"/>
      <c r="D91" s="28"/>
      <c r="E91" s="28"/>
      <c r="F91" s="27"/>
      <c r="G91" s="28"/>
      <c r="H91" s="28"/>
      <c r="I91" s="28"/>
    </row>
    <row r="92" spans="1:9" hidden="1" x14ac:dyDescent="0.25">
      <c r="A92" s="28"/>
      <c r="B92" s="28"/>
      <c r="C92" s="28"/>
      <c r="D92" s="28"/>
      <c r="E92" s="28"/>
      <c r="F92" s="27"/>
      <c r="G92" s="28"/>
      <c r="H92" s="28"/>
      <c r="I92" s="28"/>
    </row>
    <row r="93" spans="1:9" hidden="1" x14ac:dyDescent="0.25">
      <c r="A93" s="28"/>
      <c r="B93" s="28"/>
      <c r="C93" s="28"/>
      <c r="D93" s="28"/>
      <c r="E93" s="28"/>
      <c r="F93" s="27"/>
      <c r="G93" s="28"/>
      <c r="H93" s="28"/>
      <c r="I93" s="28"/>
    </row>
    <row r="94" spans="1:9" hidden="1" x14ac:dyDescent="0.25">
      <c r="A94" s="28"/>
      <c r="B94" s="28"/>
      <c r="C94" s="28"/>
      <c r="D94" s="28"/>
      <c r="E94" s="28"/>
      <c r="F94" s="27"/>
      <c r="G94" s="28"/>
      <c r="H94" s="28"/>
      <c r="I94" s="28"/>
    </row>
    <row r="95" spans="1:9" hidden="1" x14ac:dyDescent="0.25">
      <c r="A95" s="28"/>
      <c r="B95" s="28"/>
      <c r="C95" s="28"/>
      <c r="D95" s="28"/>
      <c r="E95" s="28"/>
      <c r="F95" s="27"/>
      <c r="G95" s="28"/>
      <c r="H95" s="28"/>
      <c r="I95" s="28"/>
    </row>
    <row r="96" spans="1:9" hidden="1" x14ac:dyDescent="0.25">
      <c r="A96" s="28"/>
      <c r="B96" s="28"/>
      <c r="C96" s="28"/>
      <c r="D96" s="28"/>
      <c r="E96" s="28"/>
      <c r="F96" s="27"/>
      <c r="G96" s="28"/>
      <c r="H96" s="28"/>
      <c r="I96" s="28"/>
    </row>
    <row r="97" spans="1:9" hidden="1" x14ac:dyDescent="0.25">
      <c r="A97" s="28"/>
      <c r="B97" s="28"/>
      <c r="C97" s="28"/>
      <c r="D97" s="28"/>
      <c r="E97" s="28"/>
      <c r="F97" s="27"/>
      <c r="G97" s="28"/>
      <c r="H97" s="28"/>
      <c r="I97" s="28"/>
    </row>
    <row r="98" spans="1:9" hidden="1" x14ac:dyDescent="0.25">
      <c r="A98" s="28"/>
      <c r="B98" s="28"/>
      <c r="C98" s="28"/>
      <c r="D98" s="28"/>
      <c r="E98" s="28"/>
      <c r="F98" s="27"/>
      <c r="G98" s="28"/>
      <c r="H98" s="28"/>
      <c r="I98" s="28"/>
    </row>
    <row r="99" spans="1:9" hidden="1" x14ac:dyDescent="0.25">
      <c r="A99" s="28"/>
      <c r="B99" s="28"/>
      <c r="C99" s="28"/>
      <c r="D99" s="28"/>
      <c r="E99" s="28"/>
      <c r="F99" s="27"/>
      <c r="G99" s="28"/>
      <c r="H99" s="28"/>
      <c r="I99" s="28"/>
    </row>
  </sheetData>
  <sheetProtection algorithmName="SHA-512" hashValue="qcz34FRdXj03DFcF9svYGO9CKYdgZPR9UD7YDgifaAmqOI4CnS/XInjGsuY2OPCWuFR1hjoPavrOfEu2N0c6ww==" saltValue="bsA0fU55MxqdW2RTVn0EKQ==" spinCount="100000" sheet="1" objects="1" scenarios="1" selectLockedCells="1"/>
  <mergeCells count="1">
    <mergeCell ref="B4:I4"/>
  </mergeCells>
  <pageMargins left="0.78740157499999996" right="0.78740157499999996" top="0.984251969" bottom="0.984251969" header="0.49212598499999999" footer="0.49212598499999999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Inicio</vt:lpstr>
      <vt:lpstr>Analise Balanço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 Solução - excelsolucao.com.br</dc:creator>
  <cp:lastModifiedBy>Usuario</cp:lastModifiedBy>
  <dcterms:created xsi:type="dcterms:W3CDTF">2017-03-25T14:14:55Z</dcterms:created>
  <dcterms:modified xsi:type="dcterms:W3CDTF">2018-01-19T10:02:20Z</dcterms:modified>
</cp:coreProperties>
</file>