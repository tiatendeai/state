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N68" i="1" l="1"/>
  <c r="N67" i="1"/>
  <c r="N25" i="1"/>
  <c r="N23" i="1"/>
  <c r="N22" i="1"/>
  <c r="N26" i="1" l="1"/>
</calcChain>
</file>

<file path=xl/sharedStrings.xml><?xml version="1.0" encoding="utf-8"?>
<sst xmlns="http://schemas.openxmlformats.org/spreadsheetml/2006/main" count="119" uniqueCount="62">
  <si>
    <t>RECOLHIMENTO  PREVIDENCIÁRIO  -  INSS</t>
  </si>
  <si>
    <t>MÊS / ANO :</t>
  </si>
  <si>
    <t>AGOSTO15</t>
  </si>
  <si>
    <t>SALÁRIO  DE  CONTRIBUIÇÃO:</t>
  </si>
  <si>
    <t>VALOR</t>
  </si>
  <si>
    <t>-  Folha  de  Pagamento</t>
  </si>
  <si>
    <t>-  Férias</t>
  </si>
  <si>
    <t>(</t>
  </si>
  <si>
    <t>)</t>
  </si>
  <si>
    <t xml:space="preserve">-  Rescisão  </t>
  </si>
  <si>
    <t xml:space="preserve">-  Outros      </t>
  </si>
  <si>
    <t>SOMA................................</t>
  </si>
  <si>
    <t>RETIDO  DO  SEGURADO :</t>
  </si>
  <si>
    <t>-  Contribuintes  Individuais  -  Ex  Autônomos</t>
  </si>
  <si>
    <t>EMPRESA :</t>
  </si>
  <si>
    <t xml:space="preserve">-  SEGURADOS           </t>
  </si>
  <si>
    <t>=</t>
  </si>
  <si>
    <t>x</t>
  </si>
  <si>
    <t xml:space="preserve">-  R.A.T.                       </t>
  </si>
  <si>
    <t xml:space="preserve">-  CONT. INDIVIDUAL  </t>
  </si>
  <si>
    <t>SALÁRIO FAMÍLIA</t>
  </si>
  <si>
    <t>SALÁRIO MATERNIDADE</t>
  </si>
  <si>
    <t>NORMAL</t>
  </si>
  <si>
    <t>13º SALÁRIO</t>
  </si>
  <si>
    <t>+</t>
  </si>
  <si>
    <t>-  Rescisão</t>
  </si>
  <si>
    <t xml:space="preserve">-  Outros     </t>
  </si>
  <si>
    <t>SOMA.................</t>
  </si>
  <si>
    <t>OUTRAS   ENTIDADES              =</t>
  </si>
  <si>
    <t xml:space="preserve"> R$</t>
  </si>
  <si>
    <t>PREENCHIMENTO  DA  GPS  -  INSS</t>
  </si>
  <si>
    <t>Campo  3  -  CÓDIGO  DE  PAGAMENTO</t>
  </si>
  <si>
    <t>2402</t>
  </si>
  <si>
    <t>Campo  4  -  COMPETÊNCIA</t>
  </si>
  <si>
    <t>08/2015</t>
  </si>
  <si>
    <t>Campo  5  -  IDENTIFICADOR</t>
  </si>
  <si>
    <t>33.345.109/0001-10</t>
  </si>
  <si>
    <t>Segurados...................................................................................................</t>
  </si>
  <si>
    <t>Empresa......................................................................................................</t>
  </si>
  <si>
    <t>Salário  Família  /  Salário  Maternidade  (  -  )............................................</t>
  </si>
  <si>
    <t>Campo  6  -  VALOR  DO  INSS</t>
  </si>
  <si>
    <t>Campo  9  -  VALOR  DE  OUTRAS  ENTIDADES</t>
  </si>
  <si>
    <t>Campo  10  -  ATM / MULTA  E  JUROS</t>
  </si>
  <si>
    <t>Campo  11  -  T O T A L</t>
  </si>
  <si>
    <t>RELATÓRIO  ANALÍTICO  DA  GRF  -  (FGTS) :</t>
  </si>
  <si>
    <t>QUATIDADE  DE  TRABALHADORES</t>
  </si>
  <si>
    <t>REMUNERAÇÃO</t>
  </si>
  <si>
    <t>DEPÓSITO  =  8%</t>
  </si>
  <si>
    <t>CONTRIBUIÇÃO  SOCIAL  =  0,5%</t>
  </si>
  <si>
    <t>( Obs.:  Suspensa  a  partir  de  Janeiro/2007 )</t>
  </si>
  <si>
    <t>TOTAL  A  RECOLHER</t>
  </si>
  <si>
    <t>RELATÓRIO / DECLARAÇÃO  GPS  -  (PREVIDÊNCIA  SOCIAL) :</t>
  </si>
  <si>
    <t>S E G U R A D O</t>
  </si>
  <si>
    <t>EMPREGADOS / AVULSOS</t>
  </si>
  <si>
    <t>CONTRIBUINTES  INDIVIDUAIS</t>
  </si>
  <si>
    <t>E M P R E S A</t>
  </si>
  <si>
    <t>R A T  -  Riscos  Ambientais  do  Trabalho</t>
  </si>
  <si>
    <t>(-)  SALÁRIO  FAMÍLIA / SALÁRIO  MATERNIDADE</t>
  </si>
  <si>
    <t>(-)  COMPENSAÇÃO</t>
  </si>
  <si>
    <t>VALOR  A  RECOLHER  -  PREVIDÊNCIA  SOCIAL</t>
  </si>
  <si>
    <t>OUTRAS  ENTIDADES</t>
  </si>
  <si>
    <r>
      <t>DEDUÇÕES</t>
    </r>
    <r>
      <rPr>
        <sz val="11"/>
        <color indexed="8"/>
        <rFont val="Arial1"/>
      </rPr>
      <t xml:space="preserve">  </t>
    </r>
    <r>
      <rPr>
        <b/>
        <sz val="11"/>
        <color indexed="8"/>
        <rFont val="Arial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</si>
</sst>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[$R$-416]&quot; &quot;#,##0.00;[Red]&quot;-&quot;[$R$-416]&quot; &quot;#,##0.00"/>
  </numFmts>
  <fonts count="25">
    <font>
      <sz val="11"/>
      <color theme="1"/>
      <name val="Calibri"/>
      <family val="2"/>
      <scheme val="minor"/>
    </font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indexed="8"/>
      <name val="Arial1"/>
    </font>
    <font>
      <b/>
      <sz val="10"/>
      <color indexed="8"/>
      <name val="Arial1"/>
    </font>
    <font>
      <b/>
      <u/>
      <sz val="10"/>
      <color indexed="8"/>
      <name val="Arial1"/>
    </font>
    <font>
      <b/>
      <u/>
      <sz val="11"/>
      <color indexed="8"/>
      <name val="Arial1"/>
    </font>
    <font>
      <sz val="10"/>
      <color indexed="8"/>
      <name val="Arial1"/>
    </font>
    <font>
      <sz val="10"/>
      <color indexed="12"/>
      <name val="Arial1"/>
    </font>
    <font>
      <sz val="9"/>
      <color indexed="12"/>
      <name val="Arial1"/>
    </font>
    <font>
      <sz val="9"/>
      <color indexed="8"/>
      <name val="Arial1"/>
    </font>
    <font>
      <b/>
      <sz val="10"/>
      <color indexed="12"/>
      <name val="Arial1"/>
    </font>
    <font>
      <b/>
      <sz val="12"/>
      <color indexed="8"/>
      <name val="Arial1"/>
    </font>
    <font>
      <b/>
      <u/>
      <sz val="12"/>
      <color indexed="8"/>
      <name val="Arial1"/>
    </font>
    <font>
      <b/>
      <sz val="7"/>
      <color indexed="8"/>
      <name val="Arial1"/>
    </font>
    <font>
      <b/>
      <sz val="12"/>
      <color indexed="9"/>
      <name val="Arial1"/>
    </font>
    <font>
      <sz val="12"/>
      <color indexed="8"/>
      <name val="Arial1"/>
    </font>
    <font>
      <b/>
      <sz val="12"/>
      <color indexed="12"/>
      <name val="Arial1"/>
    </font>
    <font>
      <b/>
      <sz val="10"/>
      <color indexed="10"/>
      <name val="Arial1"/>
    </font>
    <font>
      <sz val="10"/>
      <color indexed="10"/>
      <name val="Arial1"/>
    </font>
    <font>
      <b/>
      <sz val="11"/>
      <color indexed="8"/>
      <name val="Arial1"/>
    </font>
    <font>
      <b/>
      <i/>
      <u/>
      <sz val="10"/>
      <color indexed="8"/>
      <name val="Arial1"/>
    </font>
    <font>
      <b/>
      <sz val="11"/>
      <color indexed="12"/>
      <name val="Arial1"/>
    </font>
    <font>
      <b/>
      <sz val="10"/>
      <color indexed="21"/>
      <name val="Arial1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</cellStyleXfs>
  <cellXfs count="134">
    <xf numFmtId="0" fontId="0" fillId="0" borderId="0" xfId="0"/>
    <xf numFmtId="0" fontId="5" fillId="0" borderId="0" xfId="0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/>
    <xf numFmtId="0" fontId="6" fillId="0" borderId="2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vertical="center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/>
    <xf numFmtId="49" fontId="8" fillId="0" borderId="5" xfId="0" applyNumberFormat="1" applyFont="1" applyFill="1" applyBorder="1" applyAlignment="1" applyProtection="1">
      <alignment vertical="center"/>
    </xf>
    <xf numFmtId="0" fontId="4" fillId="0" borderId="5" xfId="0" applyNumberFormat="1" applyFont="1" applyFill="1" applyBorder="1" applyAlignment="1" applyProtection="1">
      <alignment vertical="center"/>
    </xf>
    <xf numFmtId="49" fontId="9" fillId="0" borderId="5" xfId="0" applyNumberFormat="1" applyFont="1" applyFill="1" applyBorder="1" applyAlignment="1" applyProtection="1">
      <alignment vertical="center"/>
    </xf>
    <xf numFmtId="4" fontId="10" fillId="0" borderId="6" xfId="0" applyNumberFormat="1" applyFont="1" applyFill="1" applyBorder="1" applyAlignment="1" applyProtection="1">
      <alignment horizontal="right" vertical="center"/>
    </xf>
    <xf numFmtId="49" fontId="8" fillId="0" borderId="1" xfId="0" applyNumberFormat="1" applyFont="1" applyFill="1" applyBorder="1" applyAlignment="1" applyProtection="1">
      <alignment vertical="center"/>
    </xf>
    <xf numFmtId="0" fontId="4" fillId="0" borderId="5" xfId="0" applyNumberFormat="1" applyFont="1" applyFill="1" applyBorder="1" applyAlignment="1" applyProtection="1"/>
    <xf numFmtId="0" fontId="8" fillId="0" borderId="1" xfId="0" applyNumberFormat="1" applyFont="1" applyFill="1" applyBorder="1" applyAlignment="1" applyProtection="1">
      <alignment horizontal="right" vertical="center"/>
    </xf>
    <xf numFmtId="0" fontId="9" fillId="0" borderId="1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vertical="center"/>
    </xf>
    <xf numFmtId="4" fontId="10" fillId="0" borderId="7" xfId="0" applyNumberFormat="1" applyFont="1" applyFill="1" applyBorder="1" applyAlignment="1" applyProtection="1">
      <alignment horizontal="right" vertical="center"/>
    </xf>
    <xf numFmtId="0" fontId="4" fillId="0" borderId="8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4" fontId="12" fillId="0" borderId="6" xfId="0" applyNumberFormat="1" applyFont="1" applyFill="1" applyBorder="1" applyAlignment="1" applyProtection="1">
      <alignment horizontal="right" vertical="center"/>
    </xf>
    <xf numFmtId="0" fontId="6" fillId="0" borderId="4" xfId="0" applyNumberFormat="1" applyFont="1" applyFill="1" applyBorder="1" applyAlignment="1" applyProtection="1"/>
    <xf numFmtId="4" fontId="5" fillId="0" borderId="5" xfId="0" applyNumberFormat="1" applyFont="1" applyFill="1" applyBorder="1" applyAlignment="1" applyProtection="1">
      <alignment vertical="center"/>
    </xf>
    <xf numFmtId="0" fontId="4" fillId="0" borderId="5" xfId="0" applyNumberFormat="1" applyFont="1" applyFill="1" applyBorder="1" applyAlignment="1" applyProtection="1">
      <alignment horizontal="right" vertical="center"/>
    </xf>
    <xf numFmtId="0" fontId="7" fillId="0" borderId="1" xfId="0" applyNumberFormat="1" applyFont="1" applyFill="1" applyBorder="1" applyAlignment="1" applyProtection="1">
      <alignment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horizontal="center"/>
    </xf>
    <xf numFmtId="9" fontId="5" fillId="0" borderId="5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/>
    <xf numFmtId="4" fontId="10" fillId="0" borderId="6" xfId="0" applyNumberFormat="1" applyFont="1" applyFill="1" applyBorder="1" applyAlignment="1" applyProtection="1"/>
    <xf numFmtId="0" fontId="4" fillId="0" borderId="11" xfId="0" applyNumberFormat="1" applyFont="1" applyFill="1" applyBorder="1" applyAlignment="1" applyProtection="1"/>
    <xf numFmtId="0" fontId="4" fillId="0" borderId="12" xfId="0" applyNumberFormat="1" applyFont="1" applyFill="1" applyBorder="1" applyAlignment="1" applyProtection="1"/>
    <xf numFmtId="0" fontId="4" fillId="2" borderId="4" xfId="0" applyNumberFormat="1" applyFont="1" applyFill="1" applyBorder="1" applyAlignment="1" applyProtection="1"/>
    <xf numFmtId="49" fontId="4" fillId="2" borderId="5" xfId="0" applyNumberFormat="1" applyFont="1" applyFill="1" applyBorder="1" applyAlignment="1" applyProtection="1"/>
    <xf numFmtId="0" fontId="4" fillId="2" borderId="5" xfId="0" applyNumberFormat="1" applyFont="1" applyFill="1" applyBorder="1" applyAlignment="1" applyProtection="1"/>
    <xf numFmtId="0" fontId="8" fillId="2" borderId="5" xfId="0" applyNumberFormat="1" applyFont="1" applyFill="1" applyBorder="1" applyAlignment="1" applyProtection="1"/>
    <xf numFmtId="4" fontId="4" fillId="2" borderId="9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/>
    <xf numFmtId="4" fontId="12" fillId="0" borderId="6" xfId="0" applyNumberFormat="1" applyFont="1" applyFill="1" applyBorder="1" applyAlignment="1" applyProtection="1"/>
    <xf numFmtId="0" fontId="14" fillId="0" borderId="1" xfId="0" applyNumberFormat="1" applyFont="1" applyFill="1" applyBorder="1" applyAlignment="1" applyProtection="1">
      <alignment vertical="center"/>
    </xf>
    <xf numFmtId="0" fontId="7" fillId="0" borderId="13" xfId="0" applyNumberFormat="1" applyFont="1" applyFill="1" applyBorder="1" applyAlignment="1" applyProtection="1">
      <alignment horizontal="left" vertical="center"/>
    </xf>
    <xf numFmtId="0" fontId="15" fillId="0" borderId="6" xfId="0" applyNumberFormat="1" applyFont="1" applyFill="1" applyBorder="1" applyAlignment="1" applyProtection="1">
      <alignment horizontal="center" vertical="center"/>
    </xf>
    <xf numFmtId="0" fontId="4" fillId="3" borderId="0" xfId="0" applyNumberFormat="1" applyFont="1" applyFill="1" applyBorder="1" applyAlignment="1" applyProtection="1"/>
    <xf numFmtId="0" fontId="6" fillId="0" borderId="11" xfId="0" applyNumberFormat="1" applyFont="1" applyFill="1" applyBorder="1" applyAlignment="1" applyProtection="1"/>
    <xf numFmtId="0" fontId="7" fillId="0" borderId="1" xfId="0" applyNumberFormat="1" applyFont="1" applyFill="1" applyBorder="1" applyAlignment="1" applyProtection="1">
      <alignment horizontal="left" vertical="center"/>
    </xf>
    <xf numFmtId="0" fontId="15" fillId="0" borderId="4" xfId="0" applyNumberFormat="1" applyFont="1" applyFill="1" applyBorder="1" applyAlignment="1" applyProtection="1">
      <alignment horizontal="center" vertical="center"/>
    </xf>
    <xf numFmtId="4" fontId="16" fillId="3" borderId="6" xfId="0" applyNumberFormat="1" applyFont="1" applyFill="1" applyBorder="1" applyAlignment="1" applyProtection="1">
      <alignment horizontal="center" vertical="center"/>
    </xf>
    <xf numFmtId="4" fontId="10" fillId="0" borderId="6" xfId="0" applyNumberFormat="1" applyFont="1" applyFill="1" applyBorder="1" applyAlignment="1" applyProtection="1">
      <alignment horizontal="right"/>
    </xf>
    <xf numFmtId="4" fontId="10" fillId="0" borderId="4" xfId="0" applyNumberFormat="1" applyFont="1" applyFill="1" applyBorder="1" applyAlignment="1" applyProtection="1">
      <alignment horizontal="right"/>
    </xf>
    <xf numFmtId="4" fontId="16" fillId="3" borderId="14" xfId="0" applyNumberFormat="1" applyFont="1" applyFill="1" applyBorder="1" applyAlignment="1" applyProtection="1">
      <alignment horizontal="center" vertical="center"/>
    </xf>
    <xf numFmtId="4" fontId="10" fillId="0" borderId="14" xfId="0" applyNumberFormat="1" applyFont="1" applyFill="1" applyBorder="1" applyAlignment="1" applyProtection="1">
      <alignment horizontal="right" vertical="center"/>
    </xf>
    <xf numFmtId="4" fontId="10" fillId="0" borderId="8" xfId="0" applyNumberFormat="1" applyFont="1" applyFill="1" applyBorder="1" applyAlignment="1" applyProtection="1">
      <alignment horizontal="right" vertical="center"/>
    </xf>
    <xf numFmtId="0" fontId="5" fillId="0" borderId="4" xfId="0" applyNumberFormat="1" applyFont="1" applyFill="1" applyBorder="1" applyAlignment="1" applyProtection="1"/>
    <xf numFmtId="0" fontId="5" fillId="0" borderId="4" xfId="0" applyNumberFormat="1" applyFont="1" applyFill="1" applyBorder="1" applyAlignment="1" applyProtection="1">
      <alignment vertical="center"/>
    </xf>
    <xf numFmtId="164" fontId="5" fillId="0" borderId="5" xfId="0" applyNumberFormat="1" applyFont="1" applyFill="1" applyBorder="1" applyAlignment="1" applyProtection="1">
      <alignment horizontal="center" vertical="center"/>
    </xf>
    <xf numFmtId="0" fontId="4" fillId="4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center"/>
    </xf>
    <xf numFmtId="0" fontId="8" fillId="0" borderId="5" xfId="0" applyNumberFormat="1" applyFont="1" applyFill="1" applyBorder="1" applyAlignment="1" applyProtection="1">
      <alignment horizontal="left" vertical="center"/>
    </xf>
    <xf numFmtId="49" fontId="13" fillId="0" borderId="9" xfId="0" applyNumberFormat="1" applyFont="1" applyFill="1" applyBorder="1" applyAlignment="1" applyProtection="1">
      <alignment vertical="center"/>
    </xf>
    <xf numFmtId="49" fontId="12" fillId="0" borderId="5" xfId="0" applyNumberFormat="1" applyFont="1" applyFill="1" applyBorder="1" applyAlignment="1" applyProtection="1">
      <alignment vertical="center"/>
    </xf>
    <xf numFmtId="0" fontId="17" fillId="0" borderId="5" xfId="0" applyNumberFormat="1" applyFont="1" applyFill="1" applyBorder="1" applyAlignment="1" applyProtection="1">
      <alignment horizontal="right" vertical="center"/>
    </xf>
    <xf numFmtId="49" fontId="12" fillId="0" borderId="5" xfId="0" applyNumberFormat="1" applyFont="1" applyFill="1" applyBorder="1" applyAlignment="1" applyProtection="1">
      <alignment horizontal="left" vertical="center"/>
    </xf>
    <xf numFmtId="0" fontId="8" fillId="0" borderId="5" xfId="0" applyNumberFormat="1" applyFont="1" applyFill="1" applyBorder="1" applyAlignment="1" applyProtection="1">
      <alignment vertical="center"/>
    </xf>
    <xf numFmtId="0" fontId="4" fillId="0" borderId="9" xfId="0" applyNumberFormat="1" applyFont="1" applyFill="1" applyBorder="1" applyAlignment="1" applyProtection="1">
      <alignment vertical="center"/>
    </xf>
    <xf numFmtId="4" fontId="8" fillId="0" borderId="6" xfId="0" applyNumberFormat="1" applyFont="1" applyFill="1" applyBorder="1" applyAlignment="1" applyProtection="1">
      <alignment horizontal="right" vertical="center"/>
    </xf>
    <xf numFmtId="0" fontId="18" fillId="0" borderId="5" xfId="0" applyNumberFormat="1" applyFont="1" applyFill="1" applyBorder="1" applyAlignment="1" applyProtection="1">
      <alignment vertical="center"/>
    </xf>
    <xf numFmtId="4" fontId="18" fillId="0" borderId="6" xfId="0" applyNumberFormat="1" applyFont="1" applyFill="1" applyBorder="1" applyAlignment="1" applyProtection="1">
      <alignment horizontal="right" vertical="center"/>
    </xf>
    <xf numFmtId="0" fontId="14" fillId="0" borderId="0" xfId="0" applyNumberFormat="1" applyFont="1" applyFill="1" applyBorder="1" applyAlignment="1" applyProtection="1">
      <alignment horizontal="center"/>
    </xf>
    <xf numFmtId="0" fontId="14" fillId="0" borderId="0" xfId="0" applyNumberFormat="1" applyFont="1" applyFill="1" applyBorder="1" applyAlignment="1" applyProtection="1">
      <alignment vertical="center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4" fillId="5" borderId="8" xfId="0" applyNumberFormat="1" applyFont="1" applyFill="1" applyBorder="1" applyAlignment="1" applyProtection="1"/>
    <xf numFmtId="0" fontId="4" fillId="5" borderId="1" xfId="0" applyNumberFormat="1" applyFont="1" applyFill="1" applyBorder="1" applyAlignment="1" applyProtection="1">
      <alignment vertical="center"/>
    </xf>
    <xf numFmtId="49" fontId="4" fillId="0" borderId="5" xfId="0" applyNumberFormat="1" applyFont="1" applyFill="1" applyBorder="1" applyAlignment="1" applyProtection="1">
      <alignment vertical="center"/>
    </xf>
    <xf numFmtId="4" fontId="10" fillId="0" borderId="5" xfId="0" applyNumberFormat="1" applyFont="1" applyFill="1" applyBorder="1" applyAlignment="1" applyProtection="1"/>
    <xf numFmtId="4" fontId="10" fillId="0" borderId="5" xfId="0" applyNumberFormat="1" applyFont="1" applyFill="1" applyBorder="1" applyAlignment="1" applyProtection="1">
      <alignment horizontal="right"/>
    </xf>
    <xf numFmtId="4" fontId="9" fillId="0" borderId="6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vertical="center"/>
    </xf>
    <xf numFmtId="0" fontId="19" fillId="0" borderId="1" xfId="0" applyNumberFormat="1" applyFont="1" applyFill="1" applyBorder="1" applyAlignment="1" applyProtection="1">
      <alignment vertical="center"/>
    </xf>
    <xf numFmtId="0" fontId="10" fillId="0" borderId="5" xfId="0" applyNumberFormat="1" applyFont="1" applyFill="1" applyBorder="1" applyAlignment="1" applyProtection="1"/>
    <xf numFmtId="4" fontId="12" fillId="0" borderId="6" xfId="0" applyNumberFormat="1" applyFont="1" applyFill="1" applyBorder="1" applyAlignment="1" applyProtection="1">
      <alignment vertical="center"/>
    </xf>
    <xf numFmtId="49" fontId="17" fillId="0" borderId="0" xfId="0" applyNumberFormat="1" applyFont="1" applyFill="1" applyBorder="1" applyAlignment="1" applyProtection="1">
      <alignment vertical="center"/>
    </xf>
    <xf numFmtId="0" fontId="4" fillId="5" borderId="4" xfId="0" applyNumberFormat="1" applyFont="1" applyFill="1" applyBorder="1" applyAlignment="1" applyProtection="1"/>
    <xf numFmtId="0" fontId="4" fillId="5" borderId="5" xfId="0" applyNumberFormat="1" applyFont="1" applyFill="1" applyBorder="1" applyAlignment="1" applyProtection="1">
      <alignment vertical="center"/>
    </xf>
    <xf numFmtId="0" fontId="4" fillId="5" borderId="9" xfId="0" applyNumberFormat="1" applyFont="1" applyFill="1" applyBorder="1" applyAlignment="1" applyProtection="1">
      <alignment vertical="center"/>
    </xf>
    <xf numFmtId="0" fontId="6" fillId="6" borderId="2" xfId="0" applyNumberFormat="1" applyFont="1" applyFill="1" applyBorder="1" applyAlignment="1" applyProtection="1"/>
    <xf numFmtId="49" fontId="4" fillId="0" borderId="13" xfId="0" applyNumberFormat="1" applyFont="1" applyFill="1" applyBorder="1" applyAlignment="1" applyProtection="1">
      <alignment vertical="center"/>
    </xf>
    <xf numFmtId="0" fontId="4" fillId="0" borderId="13" xfId="0" applyNumberFormat="1" applyFont="1" applyFill="1" applyBorder="1" applyAlignment="1" applyProtection="1"/>
    <xf numFmtId="4" fontId="9" fillId="0" borderId="14" xfId="0" applyNumberFormat="1" applyFont="1" applyFill="1" applyBorder="1" applyAlignment="1" applyProtection="1">
      <alignment vertical="center"/>
    </xf>
    <xf numFmtId="0" fontId="4" fillId="0" borderId="3" xfId="0" applyNumberFormat="1" applyFont="1" applyFill="1" applyBorder="1" applyAlignment="1" applyProtection="1">
      <alignment vertical="center"/>
    </xf>
    <xf numFmtId="4" fontId="20" fillId="0" borderId="14" xfId="0" applyNumberFormat="1" applyFont="1" applyFill="1" applyBorder="1" applyAlignment="1" applyProtection="1">
      <alignment vertical="center"/>
    </xf>
    <xf numFmtId="0" fontId="19" fillId="0" borderId="1" xfId="0" applyNumberFormat="1" applyFont="1" applyFill="1" applyBorder="1" applyAlignment="1" applyProtection="1"/>
    <xf numFmtId="4" fontId="9" fillId="0" borderId="3" xfId="0" applyNumberFormat="1" applyFont="1" applyFill="1" applyBorder="1" applyAlignment="1" applyProtection="1"/>
    <xf numFmtId="0" fontId="21" fillId="6" borderId="4" xfId="0" applyNumberFormat="1" applyFont="1" applyFill="1" applyBorder="1" applyAlignment="1" applyProtection="1">
      <alignment vertical="center"/>
    </xf>
    <xf numFmtId="4" fontId="24" fillId="0" borderId="6" xfId="0" applyNumberFormat="1" applyFont="1" applyFill="1" applyBorder="1" applyAlignment="1" applyProtection="1"/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/>
    </xf>
    <xf numFmtId="0" fontId="4" fillId="0" borderId="5" xfId="0" applyNumberFormat="1" applyFont="1" applyFill="1" applyBorder="1" applyAlignment="1" applyProtection="1"/>
    <xf numFmtId="0" fontId="4" fillId="0" borderId="9" xfId="0" applyNumberFormat="1" applyFont="1" applyFill="1" applyBorder="1" applyAlignment="1" applyProtection="1"/>
    <xf numFmtId="4" fontId="10" fillId="0" borderId="4" xfId="0" applyNumberFormat="1" applyFont="1" applyFill="1" applyBorder="1" applyAlignment="1" applyProtection="1">
      <alignment vertical="center"/>
    </xf>
    <xf numFmtId="4" fontId="10" fillId="0" borderId="9" xfId="0" applyNumberFormat="1" applyFont="1" applyFill="1" applyBorder="1" applyAlignment="1" applyProtection="1">
      <alignment vertical="center"/>
    </xf>
    <xf numFmtId="4" fontId="10" fillId="0" borderId="4" xfId="0" applyNumberFormat="1" applyFont="1" applyFill="1" applyBorder="1" applyAlignment="1" applyProtection="1">
      <alignment horizontal="right" vertical="center"/>
    </xf>
    <xf numFmtId="4" fontId="10" fillId="0" borderId="9" xfId="0" applyNumberFormat="1" applyFont="1" applyFill="1" applyBorder="1" applyAlignment="1" applyProtection="1">
      <alignment horizontal="right" vertical="center"/>
    </xf>
    <xf numFmtId="0" fontId="21" fillId="0" borderId="5" xfId="0" applyNumberFormat="1" applyFont="1" applyFill="1" applyBorder="1" applyAlignment="1" applyProtection="1">
      <alignment vertical="center"/>
    </xf>
    <xf numFmtId="0" fontId="21" fillId="0" borderId="9" xfId="0" applyNumberFormat="1" applyFont="1" applyFill="1" applyBorder="1" applyAlignment="1" applyProtection="1">
      <alignment vertical="center"/>
    </xf>
    <xf numFmtId="4" fontId="12" fillId="0" borderId="5" xfId="0" applyNumberFormat="1" applyFont="1" applyFill="1" applyBorder="1" applyAlignment="1" applyProtection="1">
      <alignment horizontal="center" vertical="center"/>
    </xf>
    <xf numFmtId="4" fontId="12" fillId="0" borderId="9" xfId="0" applyNumberFormat="1" applyFont="1" applyFill="1" applyBorder="1" applyAlignment="1" applyProtection="1">
      <alignment horizontal="center" vertical="center"/>
    </xf>
    <xf numFmtId="4" fontId="12" fillId="0" borderId="2" xfId="0" applyNumberFormat="1" applyFont="1" applyFill="1" applyBorder="1" applyAlignment="1" applyProtection="1">
      <alignment horizontal="right" vertical="center"/>
    </xf>
    <xf numFmtId="4" fontId="12" fillId="0" borderId="13" xfId="0" applyNumberFormat="1" applyFont="1" applyFill="1" applyBorder="1" applyAlignment="1" applyProtection="1">
      <alignment horizontal="right" vertical="center"/>
    </xf>
    <xf numFmtId="4" fontId="12" fillId="0" borderId="8" xfId="0" applyNumberFormat="1" applyFont="1" applyFill="1" applyBorder="1" applyAlignment="1" applyProtection="1">
      <alignment horizontal="right" vertical="center"/>
    </xf>
    <xf numFmtId="4" fontId="12" fillId="0" borderId="1" xfId="0" applyNumberFormat="1" applyFont="1" applyFill="1" applyBorder="1" applyAlignment="1" applyProtection="1">
      <alignment horizontal="right" vertical="center"/>
    </xf>
    <xf numFmtId="4" fontId="12" fillId="0" borderId="4" xfId="0" applyNumberFormat="1" applyFont="1" applyFill="1" applyBorder="1" applyAlignment="1" applyProtection="1">
      <alignment horizontal="right" vertical="center"/>
    </xf>
    <xf numFmtId="4" fontId="12" fillId="0" borderId="5" xfId="0" applyNumberFormat="1" applyFont="1" applyFill="1" applyBorder="1" applyAlignment="1" applyProtection="1">
      <alignment horizontal="right" vertical="center"/>
    </xf>
    <xf numFmtId="0" fontId="7" fillId="0" borderId="13" xfId="0" applyNumberFormat="1" applyFont="1" applyFill="1" applyBorder="1" applyAlignment="1" applyProtection="1">
      <alignment horizontal="left" vertical="center"/>
    </xf>
    <xf numFmtId="0" fontId="7" fillId="0" borderId="1" xfId="0" applyNumberFormat="1" applyFont="1" applyFill="1" applyBorder="1" applyAlignment="1" applyProtection="1">
      <alignment horizontal="left" vertical="center"/>
    </xf>
    <xf numFmtId="0" fontId="4" fillId="0" borderId="13" xfId="0" applyNumberFormat="1" applyFont="1" applyFill="1" applyBorder="1" applyAlignment="1" applyProtection="1"/>
    <xf numFmtId="0" fontId="4" fillId="0" borderId="1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/>
    <xf numFmtId="0" fontId="4" fillId="0" borderId="12" xfId="0" applyNumberFormat="1" applyFont="1" applyFill="1" applyBorder="1" applyAlignment="1" applyProtection="1"/>
    <xf numFmtId="0" fontId="15" fillId="0" borderId="2" xfId="0" applyNumberFormat="1" applyFont="1" applyFill="1" applyBorder="1" applyAlignment="1" applyProtection="1">
      <alignment horizontal="center" vertical="center"/>
    </xf>
    <xf numFmtId="0" fontId="15" fillId="0" borderId="10" xfId="0" applyNumberFormat="1" applyFont="1" applyFill="1" applyBorder="1" applyAlignment="1" applyProtection="1">
      <alignment horizontal="center" vertical="center"/>
    </xf>
    <xf numFmtId="0" fontId="15" fillId="0" borderId="8" xfId="0" applyNumberFormat="1" applyFont="1" applyFill="1" applyBorder="1" applyAlignment="1" applyProtection="1">
      <alignment horizontal="center" vertical="center"/>
    </xf>
    <xf numFmtId="0" fontId="15" fillId="0" borderId="12" xfId="0" applyNumberFormat="1" applyFont="1" applyFill="1" applyBorder="1" applyAlignment="1" applyProtection="1">
      <alignment horizontal="center" vertical="center"/>
    </xf>
    <xf numFmtId="0" fontId="15" fillId="0" borderId="4" xfId="0" applyNumberFormat="1" applyFont="1" applyFill="1" applyBorder="1" applyAlignment="1" applyProtection="1">
      <alignment horizontal="center" vertical="center"/>
    </xf>
    <xf numFmtId="0" fontId="15" fillId="0" borderId="9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/>
    </xf>
    <xf numFmtId="49" fontId="23" fillId="0" borderId="1" xfId="0" applyNumberFormat="1" applyFont="1" applyFill="1" applyBorder="1" applyAlignment="1" applyProtection="1">
      <alignment horizontal="left"/>
    </xf>
  </cellXfs>
  <cellStyles count="6">
    <cellStyle name="Heading" xfId="2"/>
    <cellStyle name="Heading1" xfId="3"/>
    <cellStyle name="Normal" xfId="0" builtinId="0"/>
    <cellStyle name="Normal 2" xfId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abSelected="1" topLeftCell="B1" workbookViewId="0">
      <selection activeCell="Z71" sqref="Z71"/>
    </sheetView>
  </sheetViews>
  <sheetFormatPr defaultRowHeight="15"/>
  <cols>
    <col min="1" max="1" width="9.140625" hidden="1" customWidth="1"/>
    <col min="4" max="4" width="7.140625" customWidth="1"/>
    <col min="5" max="5" width="7.85546875" customWidth="1"/>
    <col min="6" max="6" width="3.28515625" customWidth="1"/>
    <col min="7" max="7" width="2.42578125" customWidth="1"/>
    <col min="8" max="8" width="9.28515625" customWidth="1"/>
    <col min="9" max="9" width="2.5703125" customWidth="1"/>
    <col min="10" max="10" width="4.140625" customWidth="1"/>
    <col min="11" max="11" width="8.28515625" customWidth="1"/>
    <col min="12" max="12" width="9" customWidth="1"/>
    <col min="13" max="13" width="5.7109375" customWidth="1"/>
    <col min="14" max="14" width="13.5703125" customWidth="1"/>
  </cols>
  <sheetData>
    <row r="1" spans="1:14" ht="12" customHeight="1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ht="12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" t="s">
        <v>1</v>
      </c>
      <c r="M2" s="133" t="s">
        <v>2</v>
      </c>
      <c r="N2" s="133"/>
    </row>
    <row r="3" spans="1:14" ht="1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2" customHeight="1">
      <c r="A4" s="4"/>
      <c r="B4" s="5" t="s">
        <v>3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6" t="s">
        <v>4</v>
      </c>
    </row>
    <row r="5" spans="1:14" ht="12" customHeight="1">
      <c r="A5" s="7"/>
      <c r="B5" s="8" t="s">
        <v>5</v>
      </c>
      <c r="C5" s="8"/>
      <c r="D5" s="9"/>
      <c r="E5" s="10"/>
      <c r="F5" s="8"/>
      <c r="G5" s="8"/>
      <c r="H5" s="9"/>
      <c r="I5" s="9"/>
      <c r="J5" s="9"/>
      <c r="K5" s="9"/>
      <c r="L5" s="9"/>
      <c r="M5" s="9"/>
      <c r="N5" s="11">
        <v>349298.75</v>
      </c>
    </row>
    <row r="6" spans="1:14" ht="12" customHeight="1">
      <c r="A6" s="7"/>
      <c r="B6" s="8" t="s">
        <v>6</v>
      </c>
      <c r="C6" s="12" t="s">
        <v>7</v>
      </c>
      <c r="D6" s="104"/>
      <c r="E6" s="104"/>
      <c r="F6" s="104"/>
      <c r="G6" s="104"/>
      <c r="H6" s="104"/>
      <c r="I6" s="104"/>
      <c r="J6" s="104"/>
      <c r="K6" s="104"/>
      <c r="L6" s="104"/>
      <c r="M6" s="14" t="s">
        <v>8</v>
      </c>
      <c r="N6" s="11">
        <v>9871.7199999999993</v>
      </c>
    </row>
    <row r="7" spans="1:14" ht="12" customHeight="1">
      <c r="A7" s="7"/>
      <c r="B7" s="8" t="s">
        <v>9</v>
      </c>
      <c r="C7" s="12" t="s">
        <v>7</v>
      </c>
      <c r="D7" s="15"/>
      <c r="E7" s="15"/>
      <c r="F7" s="9"/>
      <c r="G7" s="9"/>
      <c r="H7" s="9"/>
      <c r="I7" s="9"/>
      <c r="J7" s="9"/>
      <c r="K7" s="9"/>
      <c r="L7" s="9"/>
      <c r="M7" s="14" t="s">
        <v>8</v>
      </c>
      <c r="N7" s="11">
        <v>0</v>
      </c>
    </row>
    <row r="8" spans="1:14" ht="12" customHeight="1">
      <c r="A8" s="7"/>
      <c r="B8" s="8" t="s">
        <v>10</v>
      </c>
      <c r="C8" s="12" t="s">
        <v>7</v>
      </c>
      <c r="D8" s="15"/>
      <c r="E8" s="16"/>
      <c r="F8" s="16"/>
      <c r="G8" s="16"/>
      <c r="H8" s="16"/>
      <c r="I8" s="16"/>
      <c r="J8" s="16"/>
      <c r="K8" s="16"/>
      <c r="L8" s="16"/>
      <c r="M8" s="14" t="s">
        <v>8</v>
      </c>
      <c r="N8" s="17">
        <v>0</v>
      </c>
    </row>
    <row r="9" spans="1:14" ht="12" customHeight="1">
      <c r="A9" s="18"/>
      <c r="B9" s="8" t="s">
        <v>10</v>
      </c>
      <c r="C9" s="12" t="s">
        <v>7</v>
      </c>
      <c r="D9" s="16"/>
      <c r="E9" s="16"/>
      <c r="F9" s="16"/>
      <c r="G9" s="16"/>
      <c r="H9" s="19"/>
      <c r="I9" s="16"/>
      <c r="J9" s="16"/>
      <c r="K9" s="16"/>
      <c r="L9" s="16"/>
      <c r="M9" s="14" t="s">
        <v>8</v>
      </c>
      <c r="N9" s="17">
        <v>0</v>
      </c>
    </row>
    <row r="10" spans="1:14" ht="12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0" t="s">
        <v>11</v>
      </c>
      <c r="L10" s="2"/>
      <c r="M10" s="21"/>
      <c r="N10" s="22">
        <v>359170.47</v>
      </c>
    </row>
    <row r="11" spans="1:14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2"/>
    </row>
    <row r="12" spans="1:14" ht="12" customHeight="1">
      <c r="A12" s="4"/>
      <c r="B12" s="5" t="s">
        <v>12</v>
      </c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6" t="s">
        <v>4</v>
      </c>
    </row>
    <row r="13" spans="1:14" ht="12" customHeight="1">
      <c r="A13" s="23"/>
      <c r="B13" s="8" t="s">
        <v>5</v>
      </c>
      <c r="C13" s="8"/>
      <c r="D13" s="9"/>
      <c r="E13" s="9"/>
      <c r="F13" s="9"/>
      <c r="G13" s="9"/>
      <c r="H13" s="9"/>
      <c r="I13" s="9"/>
      <c r="J13" s="9"/>
      <c r="K13" s="24"/>
      <c r="L13" s="9"/>
      <c r="M13" s="9"/>
      <c r="N13" s="11">
        <v>32026.07</v>
      </c>
    </row>
    <row r="14" spans="1:14" ht="12" customHeight="1">
      <c r="A14" s="18"/>
      <c r="B14" s="8" t="s">
        <v>6</v>
      </c>
      <c r="C14" s="12" t="s">
        <v>7</v>
      </c>
      <c r="D14" s="104"/>
      <c r="E14" s="104"/>
      <c r="F14" s="104"/>
      <c r="G14" s="104"/>
      <c r="H14" s="104"/>
      <c r="I14" s="104"/>
      <c r="J14" s="104"/>
      <c r="K14" s="104"/>
      <c r="L14" s="104"/>
      <c r="M14" s="14" t="s">
        <v>8</v>
      </c>
      <c r="N14" s="11">
        <v>988.45</v>
      </c>
    </row>
    <row r="15" spans="1:14" ht="12" customHeight="1">
      <c r="A15" s="7"/>
      <c r="B15" s="8" t="s">
        <v>9</v>
      </c>
      <c r="C15" s="12" t="s">
        <v>7</v>
      </c>
      <c r="D15" s="15"/>
      <c r="E15" s="15"/>
      <c r="F15" s="9"/>
      <c r="G15" s="9"/>
      <c r="H15" s="9"/>
      <c r="I15" s="9"/>
      <c r="J15" s="9"/>
      <c r="K15" s="9"/>
      <c r="L15" s="9"/>
      <c r="M15" s="14" t="s">
        <v>8</v>
      </c>
      <c r="N15" s="11">
        <v>0</v>
      </c>
    </row>
    <row r="16" spans="1:14" ht="12" customHeight="1">
      <c r="A16" s="7"/>
      <c r="B16" s="8" t="s">
        <v>13</v>
      </c>
      <c r="C16" s="8"/>
      <c r="D16" s="9"/>
      <c r="E16" s="9"/>
      <c r="F16" s="9"/>
      <c r="G16" s="9"/>
      <c r="H16" s="9"/>
      <c r="I16" s="9"/>
      <c r="J16" s="9"/>
      <c r="K16" s="9"/>
      <c r="L16" s="9"/>
      <c r="M16" s="25"/>
      <c r="N16" s="11">
        <v>4395.72</v>
      </c>
    </row>
    <row r="17" spans="1:14" ht="12" customHeight="1">
      <c r="A17" s="7"/>
      <c r="B17" s="8" t="s">
        <v>10</v>
      </c>
      <c r="C17" s="12" t="s">
        <v>7</v>
      </c>
      <c r="D17" s="104"/>
      <c r="E17" s="104"/>
      <c r="F17" s="104"/>
      <c r="G17" s="104"/>
      <c r="H17" s="104"/>
      <c r="I17" s="104"/>
      <c r="J17" s="104"/>
      <c r="K17" s="104"/>
      <c r="L17" s="104"/>
      <c r="M17" s="14" t="s">
        <v>8</v>
      </c>
      <c r="N17" s="17">
        <v>0</v>
      </c>
    </row>
    <row r="18" spans="1:14" ht="12" customHeight="1">
      <c r="A18" s="7"/>
      <c r="B18" s="8" t="s">
        <v>10</v>
      </c>
      <c r="C18" s="12" t="s">
        <v>7</v>
      </c>
      <c r="D18" s="104"/>
      <c r="E18" s="104"/>
      <c r="F18" s="104"/>
      <c r="G18" s="104"/>
      <c r="H18" s="104"/>
      <c r="I18" s="104"/>
      <c r="J18" s="104"/>
      <c r="K18" s="104"/>
      <c r="L18" s="104"/>
      <c r="M18" s="14" t="s">
        <v>8</v>
      </c>
      <c r="N18" s="17">
        <v>0</v>
      </c>
    </row>
    <row r="19" spans="1:14" ht="12" customHeight="1">
      <c r="A19" s="2"/>
      <c r="B19" s="21"/>
      <c r="C19" s="21"/>
      <c r="D19" s="21"/>
      <c r="E19" s="21"/>
      <c r="F19" s="21"/>
      <c r="G19" s="21"/>
      <c r="H19" s="21"/>
      <c r="I19" s="21"/>
      <c r="J19" s="21"/>
      <c r="K19" s="20" t="s">
        <v>11</v>
      </c>
      <c r="L19" s="20"/>
      <c r="M19" s="21"/>
      <c r="N19" s="22">
        <v>37410.239999999998</v>
      </c>
    </row>
    <row r="20" spans="1:14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</row>
    <row r="21" spans="1:14" ht="12" customHeight="1">
      <c r="A21" s="23"/>
      <c r="B21" s="26" t="s">
        <v>14</v>
      </c>
      <c r="C21" s="26"/>
      <c r="D21" s="3"/>
      <c r="E21" s="3"/>
      <c r="F21" s="3"/>
      <c r="G21" s="3"/>
      <c r="H21" s="3"/>
      <c r="I21" s="3"/>
      <c r="J21" s="3"/>
      <c r="K21" s="3"/>
      <c r="L21" s="3"/>
      <c r="M21" s="3"/>
      <c r="N21" s="27" t="s">
        <v>4</v>
      </c>
    </row>
    <row r="22" spans="1:14" ht="12" customHeight="1">
      <c r="A22" s="18"/>
      <c r="B22" s="8" t="s">
        <v>15</v>
      </c>
      <c r="C22" s="8"/>
      <c r="D22" s="13"/>
      <c r="E22" s="28" t="s">
        <v>16</v>
      </c>
      <c r="F22" s="114">
        <v>359170.47</v>
      </c>
      <c r="G22" s="115"/>
      <c r="H22" s="115"/>
      <c r="I22" s="29"/>
      <c r="J22" s="30" t="s">
        <v>17</v>
      </c>
      <c r="K22" s="31">
        <v>0.2</v>
      </c>
      <c r="L22" s="32"/>
      <c r="M22" s="33"/>
      <c r="N22" s="34">
        <f>SUM(F22*20%)</f>
        <v>71834.093999999997</v>
      </c>
    </row>
    <row r="23" spans="1:14" ht="12" customHeight="1">
      <c r="A23" s="35"/>
      <c r="B23" s="8" t="s">
        <v>18</v>
      </c>
      <c r="C23" s="8"/>
      <c r="D23" s="13"/>
      <c r="E23" s="28" t="s">
        <v>16</v>
      </c>
      <c r="F23" s="116"/>
      <c r="G23" s="117"/>
      <c r="H23" s="117"/>
      <c r="I23" s="36"/>
      <c r="J23" s="30" t="s">
        <v>17</v>
      </c>
      <c r="K23" s="31">
        <v>1.2291E-2</v>
      </c>
      <c r="L23" s="32"/>
      <c r="M23" s="33"/>
      <c r="N23" s="34">
        <f>SUM(F22*1.2291%)</f>
        <v>4414.56424677</v>
      </c>
    </row>
    <row r="24" spans="1:14" ht="12" customHeight="1">
      <c r="A24" s="37"/>
      <c r="B24" s="38"/>
      <c r="C24" s="38"/>
      <c r="D24" s="39"/>
      <c r="E24" s="40"/>
      <c r="F24" s="39"/>
      <c r="G24" s="39"/>
      <c r="H24" s="39"/>
      <c r="I24" s="39"/>
      <c r="J24" s="40"/>
      <c r="K24" s="39"/>
      <c r="L24" s="39"/>
      <c r="M24" s="39"/>
      <c r="N24" s="41"/>
    </row>
    <row r="25" spans="1:14" ht="12" customHeight="1">
      <c r="A25" s="18"/>
      <c r="B25" s="8" t="s">
        <v>19</v>
      </c>
      <c r="C25" s="12"/>
      <c r="D25" s="3"/>
      <c r="E25" s="32" t="s">
        <v>16</v>
      </c>
      <c r="F25" s="118">
        <v>44921.599999999999</v>
      </c>
      <c r="G25" s="119"/>
      <c r="H25" s="119"/>
      <c r="I25" s="36"/>
      <c r="J25" s="42" t="s">
        <v>17</v>
      </c>
      <c r="K25" s="31">
        <v>0.2</v>
      </c>
      <c r="L25" s="43"/>
      <c r="M25" s="3"/>
      <c r="N25" s="34">
        <f>SUM(F25*20%)</f>
        <v>8984.32</v>
      </c>
    </row>
    <row r="26" spans="1:14" ht="12" customHeight="1">
      <c r="A26" s="2"/>
      <c r="B26" s="2"/>
      <c r="C26" s="2"/>
      <c r="D26" s="2"/>
      <c r="E26" s="2"/>
      <c r="F26" s="2"/>
      <c r="G26" s="2"/>
      <c r="H26" s="44"/>
      <c r="I26" s="2"/>
      <c r="J26" s="2"/>
      <c r="K26" s="20" t="s">
        <v>11</v>
      </c>
      <c r="L26" s="20"/>
      <c r="M26" s="21"/>
      <c r="N26" s="45">
        <f>SUM(N22:N25)</f>
        <v>85232.978246769984</v>
      </c>
    </row>
    <row r="27" spans="1:14" ht="12" customHeight="1">
      <c r="A27" s="3"/>
      <c r="B27" s="46"/>
      <c r="C27" s="46"/>
      <c r="D27" s="3"/>
      <c r="E27" s="3"/>
      <c r="F27" s="3"/>
      <c r="G27" s="3"/>
      <c r="H27" s="3"/>
      <c r="I27" s="3"/>
      <c r="J27" s="3"/>
      <c r="K27" s="3"/>
      <c r="L27" s="3"/>
      <c r="M27" s="3"/>
      <c r="N27" s="2"/>
    </row>
    <row r="28" spans="1:14" ht="12" customHeight="1">
      <c r="A28" s="4"/>
      <c r="B28" s="120" t="s">
        <v>61</v>
      </c>
      <c r="C28" s="120"/>
      <c r="D28" s="120"/>
      <c r="E28" s="47"/>
      <c r="F28" s="122"/>
      <c r="G28" s="123"/>
      <c r="H28" s="126" t="s">
        <v>20</v>
      </c>
      <c r="I28" s="127"/>
      <c r="J28" s="49"/>
      <c r="K28" s="130" t="s">
        <v>21</v>
      </c>
      <c r="L28" s="131"/>
      <c r="M28" s="49"/>
      <c r="N28" s="101" t="s">
        <v>4</v>
      </c>
    </row>
    <row r="29" spans="1:14" ht="12" customHeight="1">
      <c r="A29" s="50"/>
      <c r="B29" s="121"/>
      <c r="C29" s="121"/>
      <c r="D29" s="121"/>
      <c r="E29" s="51"/>
      <c r="F29" s="124"/>
      <c r="G29" s="125"/>
      <c r="H29" s="128"/>
      <c r="I29" s="129"/>
      <c r="J29" s="49"/>
      <c r="K29" s="52" t="s">
        <v>22</v>
      </c>
      <c r="L29" s="48" t="s">
        <v>23</v>
      </c>
      <c r="M29" s="49"/>
      <c r="N29" s="102"/>
    </row>
    <row r="30" spans="1:14" ht="12" customHeight="1">
      <c r="A30" s="7"/>
      <c r="B30" s="8" t="s">
        <v>5</v>
      </c>
      <c r="C30" s="8"/>
      <c r="D30" s="8"/>
      <c r="E30" s="8"/>
      <c r="F30" s="104"/>
      <c r="G30" s="105"/>
      <c r="H30" s="106">
        <v>0</v>
      </c>
      <c r="I30" s="107"/>
      <c r="J30" s="53" t="s">
        <v>24</v>
      </c>
      <c r="K30" s="54">
        <v>0</v>
      </c>
      <c r="L30" s="55">
        <v>0</v>
      </c>
      <c r="M30" s="53" t="s">
        <v>16</v>
      </c>
      <c r="N30" s="11">
        <v>0</v>
      </c>
    </row>
    <row r="31" spans="1:14" ht="12" customHeight="1">
      <c r="A31" s="7"/>
      <c r="B31" s="8" t="s">
        <v>6</v>
      </c>
      <c r="C31" s="8" t="s">
        <v>7</v>
      </c>
      <c r="D31" s="10"/>
      <c r="E31" s="8"/>
      <c r="F31" s="25"/>
      <c r="G31" s="14" t="s">
        <v>8</v>
      </c>
      <c r="H31" s="106">
        <v>0</v>
      </c>
      <c r="I31" s="107"/>
      <c r="J31" s="53" t="s">
        <v>24</v>
      </c>
      <c r="K31" s="54">
        <v>0</v>
      </c>
      <c r="L31" s="55">
        <v>0</v>
      </c>
      <c r="M31" s="53" t="s">
        <v>16</v>
      </c>
      <c r="N31" s="11">
        <v>0</v>
      </c>
    </row>
    <row r="32" spans="1:14" ht="12" customHeight="1">
      <c r="A32" s="7"/>
      <c r="B32" s="8" t="s">
        <v>25</v>
      </c>
      <c r="C32" s="8" t="s">
        <v>7</v>
      </c>
      <c r="D32" s="10"/>
      <c r="E32" s="8"/>
      <c r="F32" s="25"/>
      <c r="G32" s="14" t="s">
        <v>8</v>
      </c>
      <c r="H32" s="106">
        <v>0</v>
      </c>
      <c r="I32" s="107"/>
      <c r="J32" s="53" t="s">
        <v>24</v>
      </c>
      <c r="K32" s="54">
        <v>0</v>
      </c>
      <c r="L32" s="55">
        <v>0</v>
      </c>
      <c r="M32" s="53" t="s">
        <v>16</v>
      </c>
      <c r="N32" s="11">
        <v>0</v>
      </c>
    </row>
    <row r="33" spans="1:14" ht="12" customHeight="1">
      <c r="A33" s="7"/>
      <c r="B33" s="8" t="s">
        <v>26</v>
      </c>
      <c r="C33" s="8" t="s">
        <v>7</v>
      </c>
      <c r="D33" s="104"/>
      <c r="E33" s="104"/>
      <c r="F33" s="104"/>
      <c r="G33" s="14" t="s">
        <v>8</v>
      </c>
      <c r="H33" s="106">
        <v>0</v>
      </c>
      <c r="I33" s="107"/>
      <c r="J33" s="53" t="s">
        <v>24</v>
      </c>
      <c r="K33" s="54">
        <v>0</v>
      </c>
      <c r="L33" s="55">
        <v>0</v>
      </c>
      <c r="M33" s="53" t="s">
        <v>16</v>
      </c>
      <c r="N33" s="11">
        <v>0</v>
      </c>
    </row>
    <row r="34" spans="1:14" ht="12" customHeight="1">
      <c r="A34" s="7"/>
      <c r="B34" s="8" t="s">
        <v>26</v>
      </c>
      <c r="C34" s="8" t="s">
        <v>7</v>
      </c>
      <c r="D34" s="104"/>
      <c r="E34" s="104"/>
      <c r="F34" s="104"/>
      <c r="G34" s="14" t="s">
        <v>8</v>
      </c>
      <c r="H34" s="106">
        <v>0</v>
      </c>
      <c r="I34" s="107"/>
      <c r="J34" s="53" t="s">
        <v>24</v>
      </c>
      <c r="K34" s="54">
        <v>0</v>
      </c>
      <c r="L34" s="54">
        <v>0</v>
      </c>
      <c r="M34" s="53" t="s">
        <v>16</v>
      </c>
      <c r="N34" s="11">
        <v>0</v>
      </c>
    </row>
    <row r="35" spans="1:14" ht="12" customHeight="1">
      <c r="A35" s="2"/>
      <c r="B35" s="2"/>
      <c r="C35" s="2"/>
      <c r="D35" s="2"/>
      <c r="E35" s="2"/>
      <c r="F35" s="20" t="s">
        <v>27</v>
      </c>
      <c r="G35" s="20"/>
      <c r="H35" s="108">
        <v>0</v>
      </c>
      <c r="I35" s="109"/>
      <c r="J35" s="56" t="s">
        <v>24</v>
      </c>
      <c r="K35" s="57">
        <v>0</v>
      </c>
      <c r="L35" s="58">
        <v>0</v>
      </c>
      <c r="M35" s="56" t="s">
        <v>16</v>
      </c>
      <c r="N35" s="22">
        <v>0</v>
      </c>
    </row>
    <row r="36" spans="1:14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12" customHeight="1">
      <c r="A37" s="59"/>
      <c r="B37" s="110" t="s">
        <v>28</v>
      </c>
      <c r="C37" s="110"/>
      <c r="D37" s="110"/>
      <c r="E37" s="110"/>
      <c r="F37" s="110"/>
      <c r="G37" s="111"/>
      <c r="H37" s="60" t="s">
        <v>29</v>
      </c>
      <c r="I37" s="112">
        <v>0</v>
      </c>
      <c r="J37" s="112"/>
      <c r="K37" s="113"/>
      <c r="L37" s="61">
        <v>2.7E-2</v>
      </c>
      <c r="M37" s="32" t="s">
        <v>16</v>
      </c>
      <c r="N37" s="45">
        <v>0</v>
      </c>
    </row>
    <row r="38" spans="1:14" ht="12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</row>
    <row r="40" spans="1:14" ht="12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2" customHeight="1">
      <c r="A41" s="103" t="s">
        <v>30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</row>
    <row r="42" spans="1:14" ht="12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spans="1:14" ht="12" customHeight="1">
      <c r="A43" s="7"/>
      <c r="B43" s="64" t="s">
        <v>31</v>
      </c>
      <c r="C43" s="64"/>
      <c r="D43" s="13"/>
      <c r="E43" s="13"/>
      <c r="F43" s="13"/>
      <c r="G43" s="13"/>
      <c r="H43" s="13"/>
      <c r="I43" s="13"/>
      <c r="J43" s="13"/>
      <c r="K43" s="65"/>
      <c r="L43" s="66" t="s">
        <v>32</v>
      </c>
      <c r="M43" s="67"/>
      <c r="N43" s="65"/>
    </row>
    <row r="44" spans="1:14" ht="12" customHeight="1">
      <c r="A44" s="7"/>
      <c r="B44" s="64" t="s">
        <v>33</v>
      </c>
      <c r="C44" s="64"/>
      <c r="D44" s="13"/>
      <c r="E44" s="13"/>
      <c r="F44" s="13"/>
      <c r="G44" s="13"/>
      <c r="H44" s="13"/>
      <c r="I44" s="13"/>
      <c r="J44" s="13"/>
      <c r="K44" s="65"/>
      <c r="L44" s="68" t="s">
        <v>34</v>
      </c>
      <c r="M44" s="67"/>
      <c r="N44" s="65"/>
    </row>
    <row r="45" spans="1:14" ht="12" customHeight="1">
      <c r="A45" s="7"/>
      <c r="B45" s="64" t="s">
        <v>35</v>
      </c>
      <c r="C45" s="64"/>
      <c r="D45" s="13"/>
      <c r="E45" s="13"/>
      <c r="F45" s="13"/>
      <c r="G45" s="13"/>
      <c r="H45" s="13"/>
      <c r="I45" s="13"/>
      <c r="J45" s="13"/>
      <c r="K45" s="65"/>
      <c r="L45" s="66" t="s">
        <v>36</v>
      </c>
      <c r="M45" s="67"/>
      <c r="N45" s="65"/>
    </row>
    <row r="46" spans="1:14" ht="12" customHeight="1">
      <c r="A46" s="7"/>
      <c r="B46" s="69" t="s">
        <v>37</v>
      </c>
      <c r="C46" s="69"/>
      <c r="D46" s="9"/>
      <c r="E46" s="9"/>
      <c r="F46" s="9"/>
      <c r="G46" s="9"/>
      <c r="H46" s="9"/>
      <c r="I46" s="9"/>
      <c r="J46" s="9"/>
      <c r="K46" s="9"/>
      <c r="L46" s="9"/>
      <c r="M46" s="70"/>
      <c r="N46" s="71">
        <v>37410.239999999998</v>
      </c>
    </row>
    <row r="47" spans="1:14" ht="12" customHeight="1">
      <c r="A47" s="7"/>
      <c r="B47" s="69" t="s">
        <v>38</v>
      </c>
      <c r="C47" s="69"/>
      <c r="D47" s="9"/>
      <c r="E47" s="9"/>
      <c r="F47" s="9"/>
      <c r="G47" s="9"/>
      <c r="H47" s="9"/>
      <c r="I47" s="9"/>
      <c r="J47" s="9"/>
      <c r="K47" s="9"/>
      <c r="L47" s="9"/>
      <c r="M47" s="70"/>
      <c r="N47" s="71">
        <v>85232.978246769984</v>
      </c>
    </row>
    <row r="48" spans="1:14" ht="12" customHeight="1">
      <c r="A48" s="7"/>
      <c r="B48" s="69" t="s">
        <v>39</v>
      </c>
      <c r="C48" s="69"/>
      <c r="D48" s="9"/>
      <c r="E48" s="9"/>
      <c r="F48" s="9"/>
      <c r="G48" s="9"/>
      <c r="H48" s="9"/>
      <c r="I48" s="9"/>
      <c r="J48" s="9"/>
      <c r="K48" s="9"/>
      <c r="L48" s="9"/>
      <c r="M48" s="70"/>
      <c r="N48" s="71">
        <v>0</v>
      </c>
    </row>
    <row r="49" spans="1:14" ht="12" customHeight="1">
      <c r="A49" s="7"/>
      <c r="B49" s="72" t="s">
        <v>40</v>
      </c>
      <c r="C49" s="72"/>
      <c r="D49" s="9"/>
      <c r="E49" s="9"/>
      <c r="F49" s="9"/>
      <c r="G49" s="9"/>
      <c r="H49" s="9"/>
      <c r="I49" s="9"/>
      <c r="J49" s="9"/>
      <c r="K49" s="9"/>
      <c r="L49" s="9"/>
      <c r="M49" s="9"/>
      <c r="N49" s="73">
        <v>122643.21824676997</v>
      </c>
    </row>
    <row r="50" spans="1:14" ht="12" customHeight="1">
      <c r="A50" s="7"/>
      <c r="B50" s="72" t="s">
        <v>41</v>
      </c>
      <c r="C50" s="72"/>
      <c r="D50" s="9"/>
      <c r="E50" s="9"/>
      <c r="F50" s="9"/>
      <c r="G50" s="9"/>
      <c r="H50" s="9"/>
      <c r="I50" s="9"/>
      <c r="J50" s="9"/>
      <c r="K50" s="9"/>
      <c r="L50" s="9"/>
      <c r="M50" s="9"/>
      <c r="N50" s="73">
        <v>0</v>
      </c>
    </row>
    <row r="51" spans="1:14" ht="12" customHeight="1">
      <c r="A51" s="7"/>
      <c r="B51" s="69" t="s">
        <v>42</v>
      </c>
      <c r="C51" s="69"/>
      <c r="D51" s="9"/>
      <c r="E51" s="9"/>
      <c r="F51" s="9"/>
      <c r="G51" s="9"/>
      <c r="H51" s="9"/>
      <c r="I51" s="9"/>
      <c r="J51" s="9"/>
      <c r="K51" s="9"/>
      <c r="L51" s="9"/>
      <c r="M51" s="9"/>
      <c r="N51" s="71">
        <v>0</v>
      </c>
    </row>
    <row r="52" spans="1:14" ht="12" customHeight="1">
      <c r="A52" s="7"/>
      <c r="B52" s="72" t="s">
        <v>43</v>
      </c>
      <c r="C52" s="72"/>
      <c r="D52" s="9"/>
      <c r="E52" s="9"/>
      <c r="F52" s="9"/>
      <c r="G52" s="9"/>
      <c r="H52" s="9"/>
      <c r="I52" s="9"/>
      <c r="J52" s="9"/>
      <c r="K52" s="9"/>
      <c r="L52" s="9"/>
      <c r="M52" s="9"/>
      <c r="N52" s="73">
        <v>122643.21824676997</v>
      </c>
    </row>
    <row r="53" spans="1:14" ht="12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</row>
    <row r="54" spans="1:14" ht="12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2" customHeight="1">
      <c r="A55" s="74"/>
      <c r="B55" s="75" t="s">
        <v>44</v>
      </c>
      <c r="C55" s="74"/>
      <c r="D55" s="74"/>
      <c r="E55" s="74"/>
      <c r="F55" s="74"/>
      <c r="G55" s="74"/>
      <c r="H55" s="74"/>
      <c r="I55" s="74"/>
      <c r="J55" s="74"/>
      <c r="K55" s="2"/>
      <c r="L55" s="2"/>
      <c r="M55" s="2"/>
      <c r="N55" s="2"/>
    </row>
    <row r="56" spans="1:14" ht="12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2" customHeight="1">
      <c r="A57" s="7"/>
      <c r="B57" s="9" t="s">
        <v>45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33"/>
      <c r="N57" s="76"/>
    </row>
    <row r="58" spans="1:14" ht="12" customHeight="1">
      <c r="A58" s="77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6" t="s">
        <v>4</v>
      </c>
    </row>
    <row r="59" spans="1:14" ht="12" customHeight="1">
      <c r="A59" s="7"/>
      <c r="B59" s="79" t="s">
        <v>46</v>
      </c>
      <c r="C59" s="13"/>
      <c r="D59" s="13"/>
      <c r="E59" s="13"/>
      <c r="F59" s="13"/>
      <c r="G59" s="13"/>
      <c r="H59" s="13"/>
      <c r="I59" s="13"/>
      <c r="J59" s="13"/>
      <c r="K59" s="80"/>
      <c r="L59" s="81"/>
      <c r="M59" s="13"/>
      <c r="N59" s="82">
        <v>359170.42</v>
      </c>
    </row>
    <row r="60" spans="1:14" ht="12" customHeight="1">
      <c r="A60" s="18"/>
      <c r="B60" s="83" t="s">
        <v>47</v>
      </c>
      <c r="C60" s="3"/>
      <c r="D60" s="3"/>
      <c r="E60" s="3"/>
      <c r="F60" s="3"/>
      <c r="G60" s="3"/>
      <c r="H60" s="13"/>
      <c r="I60" s="13"/>
      <c r="J60" s="13"/>
      <c r="K60" s="80"/>
      <c r="L60" s="81"/>
      <c r="M60" s="13"/>
      <c r="N60" s="82">
        <v>28733.633600000001</v>
      </c>
    </row>
    <row r="61" spans="1:14" ht="12" customHeight="1">
      <c r="A61" s="18"/>
      <c r="B61" s="83" t="s">
        <v>48</v>
      </c>
      <c r="C61" s="3"/>
      <c r="D61" s="3"/>
      <c r="E61" s="3"/>
      <c r="F61" s="3"/>
      <c r="G61" s="84" t="s">
        <v>49</v>
      </c>
      <c r="H61" s="13"/>
      <c r="I61" s="13"/>
      <c r="J61" s="13"/>
      <c r="K61" s="80"/>
      <c r="L61" s="81"/>
      <c r="M61" s="13"/>
      <c r="N61" s="82">
        <v>0</v>
      </c>
    </row>
    <row r="62" spans="1:14" ht="12" customHeight="1">
      <c r="A62" s="18"/>
      <c r="B62" s="83" t="s">
        <v>50</v>
      </c>
      <c r="C62" s="3"/>
      <c r="D62" s="3"/>
      <c r="E62" s="3"/>
      <c r="F62" s="3"/>
      <c r="G62" s="3"/>
      <c r="H62" s="13"/>
      <c r="I62" s="13"/>
      <c r="J62" s="13"/>
      <c r="K62" s="85"/>
      <c r="L62" s="85"/>
      <c r="M62" s="13"/>
      <c r="N62" s="86">
        <v>28733.63</v>
      </c>
    </row>
    <row r="63" spans="1:14" ht="12" customHeight="1">
      <c r="A63" s="2"/>
      <c r="B63" s="8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2" customHeight="1">
      <c r="A64" s="2"/>
      <c r="B64" s="75" t="s">
        <v>51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2" customHeight="1">
      <c r="A65" s="88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90"/>
      <c r="N65" s="6" t="s">
        <v>4</v>
      </c>
    </row>
    <row r="66" spans="1:14" ht="12" customHeight="1">
      <c r="A66" s="91" t="s">
        <v>52</v>
      </c>
      <c r="B66" s="92"/>
      <c r="C66" s="93"/>
      <c r="D66" s="93"/>
      <c r="E66" s="93"/>
      <c r="F66" s="93"/>
      <c r="G66" s="93"/>
      <c r="H66" s="93"/>
      <c r="I66" s="93"/>
      <c r="J66" s="2"/>
      <c r="K66" s="2"/>
      <c r="L66" s="2"/>
      <c r="M66" s="2"/>
      <c r="N66" s="6"/>
    </row>
    <row r="67" spans="1:14" ht="12" customHeight="1">
      <c r="A67" s="18"/>
      <c r="B67" s="83" t="s">
        <v>53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94">
        <f>SUM(N13:N15)</f>
        <v>33014.519999999997</v>
      </c>
    </row>
    <row r="68" spans="1:14" ht="12" customHeight="1">
      <c r="A68" s="18"/>
      <c r="B68" s="83" t="s">
        <v>54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94">
        <f>N16</f>
        <v>4395.72</v>
      </c>
    </row>
    <row r="69" spans="1:14" ht="12" customHeight="1">
      <c r="A69" s="91" t="s">
        <v>55</v>
      </c>
      <c r="B69" s="92"/>
      <c r="C69" s="93"/>
      <c r="D69" s="93"/>
      <c r="E69" s="93"/>
      <c r="F69" s="93"/>
      <c r="G69" s="93"/>
      <c r="H69" s="93"/>
      <c r="I69" s="93"/>
      <c r="J69" s="2"/>
      <c r="K69" s="2"/>
      <c r="L69" s="2"/>
      <c r="M69" s="2"/>
      <c r="N69" s="95"/>
    </row>
    <row r="70" spans="1:14" ht="12" customHeight="1">
      <c r="A70" s="18"/>
      <c r="B70" s="83" t="s">
        <v>53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94">
        <v>71834.093999999997</v>
      </c>
    </row>
    <row r="71" spans="1:14" ht="12" customHeight="1">
      <c r="A71" s="18"/>
      <c r="B71" s="83" t="s">
        <v>54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94">
        <v>8984.32</v>
      </c>
    </row>
    <row r="72" spans="1:14" ht="12" customHeight="1">
      <c r="A72" s="18"/>
      <c r="B72" s="83" t="s">
        <v>56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94">
        <v>4414.56424677</v>
      </c>
    </row>
    <row r="73" spans="1:14" ht="12" customHeight="1">
      <c r="A73" s="18"/>
      <c r="B73" s="83" t="s">
        <v>57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96">
        <v>0</v>
      </c>
    </row>
    <row r="74" spans="1:14" ht="12" customHeight="1">
      <c r="A74" s="18"/>
      <c r="B74" s="83" t="s">
        <v>58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96">
        <v>0.28999999999999998</v>
      </c>
    </row>
    <row r="75" spans="1:14" ht="12" customHeight="1">
      <c r="A75" s="18"/>
      <c r="B75" s="83" t="s">
        <v>59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94">
        <v>122643.21824677</v>
      </c>
    </row>
    <row r="76" spans="1:14" ht="12" customHeight="1">
      <c r="A76" s="18"/>
      <c r="B76" s="83" t="s">
        <v>60</v>
      </c>
      <c r="C76" s="3"/>
      <c r="D76" s="3"/>
      <c r="E76" s="3"/>
      <c r="F76" s="3"/>
      <c r="G76" s="3"/>
      <c r="H76" s="3"/>
      <c r="I76" s="97"/>
      <c r="J76" s="97"/>
      <c r="K76" s="97"/>
      <c r="L76" s="97"/>
      <c r="M76" s="3"/>
      <c r="N76" s="98">
        <v>0</v>
      </c>
    </row>
    <row r="77" spans="1:14" ht="12" customHeight="1">
      <c r="A77" s="99" t="s">
        <v>50</v>
      </c>
      <c r="B77" s="83"/>
      <c r="C77" s="3"/>
      <c r="D77" s="3"/>
      <c r="E77" s="3"/>
      <c r="F77" s="3"/>
      <c r="G77" s="3"/>
      <c r="H77" s="3"/>
      <c r="I77" s="3"/>
      <c r="J77" s="3"/>
      <c r="K77" s="3"/>
      <c r="L77" s="100"/>
      <c r="M77" s="3"/>
      <c r="N77" s="86">
        <v>122642.92824677001</v>
      </c>
    </row>
  </sheetData>
  <mergeCells count="25">
    <mergeCell ref="A1:N1"/>
    <mergeCell ref="M2:N2"/>
    <mergeCell ref="D6:L6"/>
    <mergeCell ref="D14:L14"/>
    <mergeCell ref="D17:L17"/>
    <mergeCell ref="F22:H23"/>
    <mergeCell ref="F25:H25"/>
    <mergeCell ref="B28:D29"/>
    <mergeCell ref="F28:G29"/>
    <mergeCell ref="H28:I29"/>
    <mergeCell ref="D18:L18"/>
    <mergeCell ref="K28:L28"/>
    <mergeCell ref="N28:N29"/>
    <mergeCell ref="A41:N41"/>
    <mergeCell ref="F30:G30"/>
    <mergeCell ref="H30:I30"/>
    <mergeCell ref="H31:I31"/>
    <mergeCell ref="H32:I32"/>
    <mergeCell ref="D33:F33"/>
    <mergeCell ref="H33:I33"/>
    <mergeCell ref="D34:F34"/>
    <mergeCell ref="H34:I34"/>
    <mergeCell ref="H35:I35"/>
    <mergeCell ref="B37:G37"/>
    <mergeCell ref="I37:K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RUBANO DOS SANTOS</dc:creator>
  <cp:lastModifiedBy>PAULA RUBANO DOS SANTOS</cp:lastModifiedBy>
  <cp:lastPrinted>2015-12-14T13:07:24Z</cp:lastPrinted>
  <dcterms:created xsi:type="dcterms:W3CDTF">2015-09-14T13:25:35Z</dcterms:created>
  <dcterms:modified xsi:type="dcterms:W3CDTF">2015-12-14T13:09:28Z</dcterms:modified>
</cp:coreProperties>
</file>