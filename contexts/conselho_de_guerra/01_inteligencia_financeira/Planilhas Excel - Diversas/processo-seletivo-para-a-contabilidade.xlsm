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DeTrabalho"/>
  <workbookProtection workbookPassword="CA7D" lockStructure="1" lockWindows="1"/>
  <bookViews>
    <workbookView showSheetTabs="0" xWindow="20295" yWindow="-195" windowWidth="19590" windowHeight="11910"/>
  </bookViews>
  <sheets>
    <sheet name="MENU" sheetId="5" r:id="rId1"/>
    <sheet name="FORMATAÇÃO" sheetId="1" r:id="rId2"/>
    <sheet name="CÁLCULOS BÁSICOS" sheetId="2" r:id="rId3"/>
    <sheet name="FUNÇÕES EXECÍCIOS ETAPA 1" sheetId="3" r:id="rId4"/>
    <sheet name="FUNÇÕES ETAPA 2" sheetId="4" r:id="rId5"/>
    <sheet name="RESOLUÇÃO" sheetId="6" r:id="rId6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5" i="1" l="1"/>
</calcChain>
</file>

<file path=xl/sharedStrings.xml><?xml version="1.0" encoding="utf-8"?>
<sst xmlns="http://schemas.openxmlformats.org/spreadsheetml/2006/main" count="177" uniqueCount="117">
  <si>
    <t>FORMATAÇÃO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</si>
  <si>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</si>
  <si>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</si>
  <si>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</si>
  <si>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</si>
  <si>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</si>
  <si>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</si>
  <si>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</si>
  <si>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</si>
  <si>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</si>
  <si>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</si>
  <si>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</si>
  <si>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</si>
  <si>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TOTAL:</t>
  </si>
  <si>
    <t>MÊS</t>
  </si>
  <si>
    <t>VALOR</t>
  </si>
  <si>
    <t>B) CENTRALIZE OS TEXTOS DE CABEÇALHO NAS CÉLULAS B8 E C8, COLOQUE EM NEGRITO, MUDE A FONTE PARA COR PRETA E O TEXTO PARA COR BRANCA</t>
  </si>
  <si>
    <t>C) COLOQUE BORDAS NA SELEÇÃO B8:D21</t>
  </si>
  <si>
    <t>D) COLOQUE OS VALORES DE FATURAMENTO DAS CÉLULAS C9 A C21 EM FORMATO CONTÁBIL</t>
  </si>
  <si>
    <t>E) AJUSTE AS COLUNAS B E C</t>
  </si>
  <si>
    <t>F) COLOQUE A CÉLULA B21 E C21 EM NEGRITO</t>
  </si>
  <si>
    <t>Instruções:</t>
  </si>
  <si>
    <t>FATURAMENTO</t>
  </si>
  <si>
    <t>1- FORMATE OS DADOS ABAIXO SEGUNDO AS INSTRIÇÕES E IMAGEM ABAIXO.</t>
  </si>
  <si>
    <t>2 - FORMATE OS DADOS ABAIXO CONFORME AS INSTRUÇÕES</t>
  </si>
  <si>
    <t>DATA</t>
  </si>
  <si>
    <t>NOTA FISCAL</t>
  </si>
  <si>
    <t>A) FORMATAR SELEÇÃO B28:B37 EM FORMATO DE DATA ABREVIADA</t>
  </si>
  <si>
    <t>B) FORMATE A SELEÇÃO D28:D37 EM FORMATO DE MOEDA</t>
  </si>
  <si>
    <t>D) INSIRA LINHAS DE TOTAIS NA TABELA CRIADA</t>
  </si>
  <si>
    <t>1 - CALCULE</t>
  </si>
  <si>
    <t>CÁLCULE UTILIZANDO O EXCEL</t>
  </si>
  <si>
    <t>a)</t>
  </si>
  <si>
    <t>5 + 7</t>
  </si>
  <si>
    <t>RESPOSTA:</t>
  </si>
  <si>
    <t>b)</t>
  </si>
  <si>
    <t>2+3</t>
  </si>
  <si>
    <t>-</t>
  </si>
  <si>
    <t>1+2</t>
  </si>
  <si>
    <t>c)</t>
  </si>
  <si>
    <t>d)</t>
  </si>
  <si>
    <t>5 + 2%</t>
  </si>
  <si>
    <t>e)</t>
  </si>
  <si>
    <t>[(2 + 5%)*(5 + 2%)*(7 + 2%)] - 2</t>
  </si>
  <si>
    <t>NF</t>
  </si>
  <si>
    <t>CFOP</t>
  </si>
  <si>
    <t>0000137418</t>
  </si>
  <si>
    <t>0000137419</t>
  </si>
  <si>
    <t>0000137420</t>
  </si>
  <si>
    <t>0000137421</t>
  </si>
  <si>
    <t>0000137422</t>
  </si>
  <si>
    <t>0000137423</t>
  </si>
  <si>
    <t>0000137424</t>
  </si>
  <si>
    <t>0000137425</t>
  </si>
  <si>
    <t>0000137426</t>
  </si>
  <si>
    <t>0000137427</t>
  </si>
  <si>
    <t>0000137428</t>
  </si>
  <si>
    <t>DATA EMISSÃO</t>
  </si>
  <si>
    <t>DIA EMISSÃO</t>
  </si>
  <si>
    <t>ANO EMISSÃO</t>
  </si>
  <si>
    <t>MÊS EMISSÃO (NÚMERO)</t>
  </si>
  <si>
    <t>MÊS (TEXTO)</t>
  </si>
  <si>
    <t>NF-E</t>
  </si>
  <si>
    <t>NFC-E</t>
  </si>
  <si>
    <t>1 - COMPLETE A TABELA ABAIXO UTILIZANDO AS FUNÇÕES DO EXCEL.</t>
  </si>
  <si>
    <t>2 - AINDA CONSIDERANDO A TABELA ACIMA, RESPONDA AS QUESTÕES ABAIXO USANDO AS FUNÇÕES DO EXCEL.</t>
  </si>
  <si>
    <t>b) Qual é a quantidade total de notas fiscais da tabela? (CONT.VALORES)</t>
  </si>
  <si>
    <t>a) Qual é o valor total das notas fiscais da tabela? (SOMA)</t>
  </si>
  <si>
    <t>c) Qual é a média dos valores contábeis? (MÉDIA)</t>
  </si>
  <si>
    <t>d) Qual é o maior valor contábil? (MÁXIMO/MÍNIMO)</t>
  </si>
  <si>
    <t>e) Qual é o menor valor contábil? (MÁXIMO/MÍNIMO)</t>
  </si>
  <si>
    <t>f) Quantas notas tem da espécie NF-E? (CONT.SE)</t>
  </si>
  <si>
    <t>g) Quantas notas tem com o CFOP 5405 no mês de Janeiro? (CONT.SES)</t>
  </si>
  <si>
    <t>ESPÉCIE</t>
  </si>
  <si>
    <t>h) Qual é o valor contábil total das notas com o CFOP 5102? (SOMASE)</t>
  </si>
  <si>
    <t>i) Qual é o valor total das notas com o CFOP 5405 no mês de março? (SOMASES)</t>
  </si>
  <si>
    <t>FUNÇÕES ETAPA 1</t>
  </si>
  <si>
    <t>FUNÇÕES ETAPA 2</t>
  </si>
  <si>
    <t>1 - FORMATE A SELEÇÃO ABAIXO COMO TABELA E NOMEIE A TEBELA COM O NOME "TbFuncionarios".</t>
  </si>
  <si>
    <t>FUNCIONÁRIO</t>
  </si>
  <si>
    <t>SETOR</t>
  </si>
  <si>
    <t>SALÁRIO</t>
  </si>
  <si>
    <t>% COMISSÃO</t>
  </si>
  <si>
    <t>QTDE FALTAS</t>
  </si>
  <si>
    <t>VALOR DA COMISSÃO</t>
  </si>
  <si>
    <t>JOÃO</t>
  </si>
  <si>
    <t>PEDRO</t>
  </si>
  <si>
    <t>MIGUEL</t>
  </si>
  <si>
    <t>JULIANA</t>
  </si>
  <si>
    <t>BRENDA</t>
  </si>
  <si>
    <t>RENATA</t>
  </si>
  <si>
    <t>DENISE</t>
  </si>
  <si>
    <t>HUGO</t>
  </si>
  <si>
    <t>RAFAEL</t>
  </si>
  <si>
    <t>LUCAS</t>
  </si>
  <si>
    <t>DOUGLAS</t>
  </si>
  <si>
    <t>DIEGO</t>
  </si>
  <si>
    <t>MURILO</t>
  </si>
  <si>
    <t>COMERCIAL</t>
  </si>
  <si>
    <t>RH</t>
  </si>
  <si>
    <t>ADMINISTRAÇÃO</t>
  </si>
  <si>
    <t>TI</t>
  </si>
  <si>
    <t>CALCULO DA COMISSÃO: SALÁRIO * % COMISSÃO</t>
  </si>
  <si>
    <t>SITUAÇÃO</t>
  </si>
  <si>
    <t>3 - BUSCANDO AS INFORMAÇÕES TA TABELA ABAIXO, COMPLETE A COLUNA "% COMISSÃO" DA "TbFuncionarios". (ÍNDICE/CORRESP). EM SEGUIDA,  CALCULE O VALOR DAS COMISSÕES DOS FUNCIONÁRIOS.</t>
  </si>
  <si>
    <t>4 - RESPEITANDO AS CONDIÇÕES ABAIXO, IDENTIFIQUE NA "TbFuncionarios" SE O FUNCIONÁRIO TERÁ OU NÃO DIREITO A COMISSÃO. (SE)</t>
  </si>
  <si>
    <t xml:space="preserve">ATÉ 5 FALTAS = </t>
  </si>
  <si>
    <t>"RECEBERÁ COMISSÃO"</t>
  </si>
  <si>
    <t xml:space="preserve">&gt;5 FALTAS = </t>
  </si>
  <si>
    <t>"NÃO RECEBERÁ COMISSÃO"</t>
  </si>
  <si>
    <t>REGRAS</t>
  </si>
  <si>
    <t>2 - BUSCANDO AS INFORMAÇÕES DA TABELA ABAIXO, COMPLETE A COLUNA "SETOR" DA TABELA ACIMA COM O SETOR DE CADA FUNCIONÁRIO. (PROCV)</t>
  </si>
  <si>
    <t>TESTE DE EXCEL PROFISSIONAL CONTÁBIL</t>
  </si>
  <si>
    <t>G) COLOQUE OS TEXTOS DAS CÉLULAS B12 E C12 EM NEGRITO, NA FONTE DA COR PRETA E O PREENCHIMENTO DO TEXTO EM BRANCO E EM NEGRITO.</t>
  </si>
  <si>
    <t>C) FORMATE TODOS OS DADOS (B27:D37) EM FORMATO DE TABELA COLOCANDO OS DADOS DA LINHA 27 COMO CABEÇALHO</t>
  </si>
  <si>
    <t>A) MESCLAR E CENTRALIZAR TEXTO "FATURAMENTO" NAS CÉLULAS B10 E C10 FORMATE COM TEXTO EM NEGRITO E NO TAMANHO DA FONTE 14</t>
  </si>
  <si>
    <t xml:space="preserve"> https://www.infinititecnologia.com.br/resolucao-planilha-teste-processo-seletivo/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</si>
</sst>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&quot;R$&quot;\ 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0"/>
      <color theme="10"/>
      <name val="Calibri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</cellStyleXfs>
  <cellXfs count="31">
    <xf numFmtId="0" fontId="0" fillId="0" borderId="0" xfId="0"/>
    <xf numFmtId="0" fontId="4" fillId="0" borderId="0" xfId="0" applyFont="1"/>
    <xf numFmtId="0" fontId="1" fillId="0" borderId="0" xfId="0" applyFont="1"/>
    <xf numFmtId="0" fontId="0" fillId="0" borderId="1" xfId="0" applyBorder="1"/>
    <xf numFmtId="44" fontId="0" fillId="0" borderId="1" xfId="0" applyNumberFormat="1" applyBorder="1"/>
    <xf numFmtId="0" fontId="6" fillId="2" borderId="0" xfId="0" applyFont="1" applyFill="1"/>
    <xf numFmtId="0" fontId="2" fillId="2" borderId="0" xfId="0" applyFont="1" applyFill="1"/>
    <xf numFmtId="0" fontId="0" fillId="0" borderId="0" xfId="0" applyNumberFormat="1"/>
    <xf numFmtId="0" fontId="5" fillId="4" borderId="0" xfId="0" applyFont="1" applyFill="1"/>
    <xf numFmtId="0" fontId="7" fillId="4" borderId="0" xfId="0" applyFont="1" applyFill="1" applyAlignment="1">
      <alignment horizontal="center"/>
    </xf>
    <xf numFmtId="0" fontId="0" fillId="4" borderId="0" xfId="0" applyFill="1"/>
    <xf numFmtId="0" fontId="8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16" fontId="7" fillId="4" borderId="0" xfId="0" applyNumberFormat="1" applyFont="1" applyFill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NumberFormat="1" applyBorder="1"/>
    <xf numFmtId="164" fontId="0" fillId="0" borderId="0" xfId="0" applyNumberFormat="1"/>
    <xf numFmtId="9" fontId="0" fillId="0" borderId="0" xfId="0" applyNumberFormat="1"/>
    <xf numFmtId="0" fontId="9" fillId="0" borderId="1" xfId="0" applyFont="1" applyBorder="1"/>
    <xf numFmtId="164" fontId="0" fillId="0" borderId="1" xfId="0" applyNumberFormat="1" applyBorder="1"/>
    <xf numFmtId="14" fontId="1" fillId="7" borderId="1" xfId="0" applyNumberFormat="1" applyFont="1" applyFill="1" applyBorder="1"/>
    <xf numFmtId="0" fontId="0" fillId="3" borderId="0" xfId="0" applyFont="1" applyFill="1"/>
    <xf numFmtId="0" fontId="13" fillId="0" borderId="0" xfId="1" applyFont="1" applyAlignment="1" applyProtection="1"/>
    <xf numFmtId="0" fontId="14" fillId="3" borderId="0" xfId="0" applyFont="1" applyFill="1"/>
    <xf numFmtId="0" fontId="8" fillId="4" borderId="0" xfId="0" applyFont="1" applyFill="1" applyAlignment="1">
      <alignment horizontal="left"/>
    </xf>
    <xf numFmtId="0" fontId="1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6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&#193;LCULOS B&#193;SICOS'!A1"/><Relationship Id="rId2" Type="http://schemas.openxmlformats.org/officeDocument/2006/relationships/hyperlink" Target="#FORMATA&#199;&#195;O!A1"/><Relationship Id="rId1" Type="http://schemas.openxmlformats.org/officeDocument/2006/relationships/image" Target="../media/image1.jpeg"/><Relationship Id="rId6" Type="http://schemas.openxmlformats.org/officeDocument/2006/relationships/hyperlink" Target="#RESOLU&#199;&#195;O!A1"/><Relationship Id="rId5" Type="http://schemas.openxmlformats.org/officeDocument/2006/relationships/hyperlink" Target="#'FUN&#199;&#213;ES ETAPA 2'!A1"/><Relationship Id="rId4" Type="http://schemas.openxmlformats.org/officeDocument/2006/relationships/hyperlink" Target="#'FUN&#199;&#213;ES EXEC&#205;CIOS ETAPA 1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1.jpeg"/><Relationship Id="rId1" Type="http://schemas.openxmlformats.org/officeDocument/2006/relationships/image" Target="../media/image2.png"/><Relationship Id="rId4" Type="http://schemas.openxmlformats.org/officeDocument/2006/relationships/hyperlink" Target="#'C&#193;LCULOS B&#193;SIC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FORMATA&#199;&#195;O!A1"/><Relationship Id="rId1" Type="http://schemas.openxmlformats.org/officeDocument/2006/relationships/image" Target="../media/image1.jpeg"/><Relationship Id="rId4" Type="http://schemas.openxmlformats.org/officeDocument/2006/relationships/hyperlink" Target="#'FUN&#199;&#213;ES EXEC&#205;CIOS ETAPA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'C&#193;LCULOS B&#193;SICOS'!A1"/><Relationship Id="rId1" Type="http://schemas.openxmlformats.org/officeDocument/2006/relationships/image" Target="../media/image1.jpeg"/><Relationship Id="rId4" Type="http://schemas.openxmlformats.org/officeDocument/2006/relationships/hyperlink" Target="#'FUN&#199;&#213;ES ETAPA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'FUN&#199;&#213;ES EXEC&#205;CIOS ETAPA 1'!A1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292770</xdr:colOff>
      <xdr:row>0</xdr:row>
      <xdr:rowOff>183648</xdr:rowOff>
    </xdr:from>
    <xdr:ext cx="7586949" cy="530658"/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1081F89C-3A52-4F4D-946C-FF358E444FD8}"/>
            </a:ext>
          </a:extLst>
        </xdr:cNvPr>
        <xdr:cNvSpPr/>
      </xdr:nvSpPr>
      <xdr:spPr>
        <a:xfrm>
          <a:off x="2731170" y="183648"/>
          <a:ext cx="758694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TESTE</a:t>
          </a:r>
          <a:r>
            <a:rPr lang="pt-B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 DE EXCEL PARA PROFISSIONAIS CONTÁBEIS</a:t>
          </a:r>
          <a:endParaRPr lang="pt-BR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  <xdr:twoCellAnchor editAs="oneCell">
    <xdr:from>
      <xdr:col>8</xdr:col>
      <xdr:colOff>371475</xdr:colOff>
      <xdr:row>7</xdr:row>
      <xdr:rowOff>19050</xdr:rowOff>
    </xdr:from>
    <xdr:to>
      <xdr:col>12</xdr:col>
      <xdr:colOff>85725</xdr:colOff>
      <xdr:row>13</xdr:row>
      <xdr:rowOff>171450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1DF6E8C9-D8C4-4224-A01E-DD7924C5F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48275" y="1352550"/>
          <a:ext cx="2152650" cy="1295400"/>
        </a:xfrm>
        <a:prstGeom prst="rect">
          <a:avLst/>
        </a:prstGeom>
      </xdr:spPr>
    </xdr:pic>
    <xdr:clientData/>
  </xdr:twoCellAnchor>
  <xdr:twoCellAnchor>
    <xdr:from>
      <xdr:col>1</xdr:col>
      <xdr:colOff>104775</xdr:colOff>
      <xdr:row>3</xdr:row>
      <xdr:rowOff>171450</xdr:rowOff>
    </xdr:from>
    <xdr:to>
      <xdr:col>3</xdr:col>
      <xdr:colOff>504825</xdr:colOff>
      <xdr:row>7</xdr:row>
      <xdr:rowOff>28575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4AB420FC-1939-4EA0-B7BA-F0596D01DCBC}"/>
            </a:ext>
          </a:extLst>
        </xdr:cNvPr>
        <xdr:cNvSpPr/>
      </xdr:nvSpPr>
      <xdr:spPr>
        <a:xfrm>
          <a:off x="714375" y="742950"/>
          <a:ext cx="1619250" cy="619125"/>
        </a:xfrm>
        <a:prstGeom prst="round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34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FORMATAÇÃO</a:t>
          </a:r>
        </a:p>
      </xdr:txBody>
    </xdr:sp>
    <xdr:clientData/>
  </xdr:twoCellAnchor>
  <xdr:twoCellAnchor>
    <xdr:from>
      <xdr:col>1</xdr:col>
      <xdr:colOff>104775</xdr:colOff>
      <xdr:row>7</xdr:row>
      <xdr:rowOff>133350</xdr:rowOff>
    </xdr:from>
    <xdr:to>
      <xdr:col>3</xdr:col>
      <xdr:colOff>504825</xdr:colOff>
      <xdr:row>10</xdr:row>
      <xdr:rowOff>180975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4F9367AE-D931-480C-B793-5D4644436500}"/>
            </a:ext>
          </a:extLst>
        </xdr:cNvPr>
        <xdr:cNvSpPr/>
      </xdr:nvSpPr>
      <xdr:spPr>
        <a:xfrm>
          <a:off x="714375" y="1466850"/>
          <a:ext cx="1619250" cy="619125"/>
        </a:xfrm>
        <a:prstGeom prst="round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34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CÁLCULOS</a:t>
          </a:r>
        </a:p>
      </xdr:txBody>
    </xdr:sp>
    <xdr:clientData/>
  </xdr:twoCellAnchor>
  <xdr:twoCellAnchor>
    <xdr:from>
      <xdr:col>1</xdr:col>
      <xdr:colOff>76200</xdr:colOff>
      <xdr:row>11</xdr:row>
      <xdr:rowOff>95250</xdr:rowOff>
    </xdr:from>
    <xdr:to>
      <xdr:col>3</xdr:col>
      <xdr:colOff>476250</xdr:colOff>
      <xdr:row>14</xdr:row>
      <xdr:rowOff>142875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F19DC017-85CA-4F65-8D4F-D4EE239A4A47}"/>
            </a:ext>
          </a:extLst>
        </xdr:cNvPr>
        <xdr:cNvSpPr/>
      </xdr:nvSpPr>
      <xdr:spPr>
        <a:xfrm>
          <a:off x="685800" y="2190750"/>
          <a:ext cx="1619250" cy="619125"/>
        </a:xfrm>
        <a:prstGeom prst="round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34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FUNÇÕES ETAPA</a:t>
          </a:r>
          <a:r>
            <a:rPr lang="pt-BR" sz="1400" baseline="0">
              <a:solidFill>
                <a:schemeClr val="bg1"/>
              </a:solidFill>
            </a:rPr>
            <a:t> 1</a:t>
          </a:r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76200</xdr:colOff>
      <xdr:row>15</xdr:row>
      <xdr:rowOff>85725</xdr:rowOff>
    </xdr:from>
    <xdr:to>
      <xdr:col>3</xdr:col>
      <xdr:colOff>476250</xdr:colOff>
      <xdr:row>18</xdr:row>
      <xdr:rowOff>133350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A0962413-00A5-47BD-8A5F-4DF24577EAFD}"/>
            </a:ext>
          </a:extLst>
        </xdr:cNvPr>
        <xdr:cNvSpPr/>
      </xdr:nvSpPr>
      <xdr:spPr>
        <a:xfrm>
          <a:off x="685800" y="2943225"/>
          <a:ext cx="1619250" cy="619125"/>
        </a:xfrm>
        <a:prstGeom prst="round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34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FUNÇÕES ETAPA</a:t>
          </a:r>
          <a:r>
            <a:rPr lang="pt-BR" sz="1400" baseline="0">
              <a:solidFill>
                <a:schemeClr val="bg1"/>
              </a:solidFill>
            </a:rPr>
            <a:t> 2</a:t>
          </a:r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76200</xdr:colOff>
      <xdr:row>19</xdr:row>
      <xdr:rowOff>95250</xdr:rowOff>
    </xdr:from>
    <xdr:to>
      <xdr:col>3</xdr:col>
      <xdr:colOff>476250</xdr:colOff>
      <xdr:row>22</xdr:row>
      <xdr:rowOff>142875</xdr:rowOff>
    </xdr:to>
    <xdr:sp macro="" textlink="">
      <xdr:nvSpPr>
        <xdr:cNvPr id="12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A0962413-00A5-47BD-8A5F-4DF24577EAFD}"/>
            </a:ext>
          </a:extLst>
        </xdr:cNvPr>
        <xdr:cNvSpPr/>
      </xdr:nvSpPr>
      <xdr:spPr>
        <a:xfrm>
          <a:off x="685800" y="3714750"/>
          <a:ext cx="1619250" cy="619125"/>
        </a:xfrm>
        <a:prstGeom prst="round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34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RESOLUÇÃO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504825</xdr:colOff>
      <xdr:row>8</xdr:row>
      <xdr:rowOff>161925</xdr:rowOff>
    </xdr:from>
    <xdr:to>
      <xdr:col>8</xdr:col>
      <xdr:colOff>9796</xdr:colOff>
      <xdr:row>26</xdr:row>
      <xdr:rowOff>57614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F5EF103D-819B-45E5-98A4-BD0604C30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8050" y="923925"/>
          <a:ext cx="1943371" cy="33246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304800</xdr:colOff>
      <xdr:row>4</xdr:row>
      <xdr:rowOff>47625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65340F15-8C51-40BC-A9F8-B9F751E4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85925" cy="809625"/>
        </a:xfrm>
        <a:prstGeom prst="rect">
          <a:avLst/>
        </a:prstGeom>
      </xdr:spPr>
    </xdr:pic>
    <xdr:clientData/>
  </xdr:twoCellAnchor>
  <xdr:twoCellAnchor>
    <xdr:from>
      <xdr:col>12</xdr:col>
      <xdr:colOff>266700</xdr:colOff>
      <xdr:row>1</xdr:row>
      <xdr:rowOff>9525</xdr:rowOff>
    </xdr:from>
    <xdr:to>
      <xdr:col>13</xdr:col>
      <xdr:colOff>533400</xdr:colOff>
      <xdr:row>2</xdr:row>
      <xdr:rowOff>180975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1AB8779-4476-4679-B2D3-B10BFDC0A762}"/>
            </a:ext>
          </a:extLst>
        </xdr:cNvPr>
        <xdr:cNvSpPr/>
      </xdr:nvSpPr>
      <xdr:spPr>
        <a:xfrm>
          <a:off x="8086725" y="200025"/>
          <a:ext cx="876300" cy="3619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>
    <xdr:from>
      <xdr:col>17</xdr:col>
      <xdr:colOff>209550</xdr:colOff>
      <xdr:row>1</xdr:row>
      <xdr:rowOff>0</xdr:rowOff>
    </xdr:from>
    <xdr:to>
      <xdr:col>19</xdr:col>
      <xdr:colOff>247650</xdr:colOff>
      <xdr:row>2</xdr:row>
      <xdr:rowOff>171450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87A3B5C6-3899-4AEE-98D6-9C7ABB959D9D}"/>
            </a:ext>
          </a:extLst>
        </xdr:cNvPr>
        <xdr:cNvSpPr/>
      </xdr:nvSpPr>
      <xdr:spPr>
        <a:xfrm>
          <a:off x="11077575" y="190500"/>
          <a:ext cx="125730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INICIAL</a:t>
          </a:r>
        </a:p>
      </xdr:txBody>
    </xdr:sp>
    <xdr:clientData/>
  </xdr:twoCellAnchor>
  <xdr:twoCellAnchor>
    <xdr:from>
      <xdr:col>14</xdr:col>
      <xdr:colOff>209550</xdr:colOff>
      <xdr:row>1</xdr:row>
      <xdr:rowOff>9525</xdr:rowOff>
    </xdr:from>
    <xdr:to>
      <xdr:col>15</xdr:col>
      <xdr:colOff>476250</xdr:colOff>
      <xdr:row>2</xdr:row>
      <xdr:rowOff>180975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39F1438-D6EE-455F-8A42-137DB3BC48D5}"/>
            </a:ext>
          </a:extLst>
        </xdr:cNvPr>
        <xdr:cNvSpPr/>
      </xdr:nvSpPr>
      <xdr:spPr>
        <a:xfrm>
          <a:off x="9248775" y="200025"/>
          <a:ext cx="876300" cy="361950"/>
        </a:xfrm>
        <a:prstGeom prst="roundRect">
          <a:avLst/>
        </a:prstGeom>
        <a:solidFill>
          <a:srgbClr val="00206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AVANÇAR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466725</xdr:colOff>
      <xdr:row>4</xdr:row>
      <xdr:rowOff>47625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C27256F5-D29E-47DF-B037-7AAB789F8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85925" cy="80962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1</xdr:row>
      <xdr:rowOff>19050</xdr:rowOff>
    </xdr:from>
    <xdr:to>
      <xdr:col>10</xdr:col>
      <xdr:colOff>409575</xdr:colOff>
      <xdr:row>3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895F8A08-177D-42B2-A99A-E8727AC782E8}"/>
            </a:ext>
          </a:extLst>
        </xdr:cNvPr>
        <xdr:cNvSpPr/>
      </xdr:nvSpPr>
      <xdr:spPr>
        <a:xfrm>
          <a:off x="7877175" y="209550"/>
          <a:ext cx="876300" cy="3619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>
    <xdr:from>
      <xdr:col>13</xdr:col>
      <xdr:colOff>552450</xdr:colOff>
      <xdr:row>1</xdr:row>
      <xdr:rowOff>0</xdr:rowOff>
    </xdr:from>
    <xdr:to>
      <xdr:col>15</xdr:col>
      <xdr:colOff>590550</xdr:colOff>
      <xdr:row>2</xdr:row>
      <xdr:rowOff>171450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B846FC3D-8B32-4EEA-A6AA-14FF97F42610}"/>
            </a:ext>
          </a:extLst>
        </xdr:cNvPr>
        <xdr:cNvSpPr/>
      </xdr:nvSpPr>
      <xdr:spPr>
        <a:xfrm>
          <a:off x="10725150" y="190500"/>
          <a:ext cx="125730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INICIAL</a:t>
          </a:r>
        </a:p>
      </xdr:txBody>
    </xdr:sp>
    <xdr:clientData/>
  </xdr:twoCellAnchor>
  <xdr:twoCellAnchor>
    <xdr:from>
      <xdr:col>10</xdr:col>
      <xdr:colOff>552450</xdr:colOff>
      <xdr:row>1</xdr:row>
      <xdr:rowOff>9525</xdr:rowOff>
    </xdr:from>
    <xdr:to>
      <xdr:col>12</xdr:col>
      <xdr:colOff>209550</xdr:colOff>
      <xdr:row>2</xdr:row>
      <xdr:rowOff>180975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B6CA407B-7446-4686-BFBD-DB35F71C5608}"/>
            </a:ext>
          </a:extLst>
        </xdr:cNvPr>
        <xdr:cNvSpPr/>
      </xdr:nvSpPr>
      <xdr:spPr>
        <a:xfrm>
          <a:off x="8896350" y="200025"/>
          <a:ext cx="876300" cy="361950"/>
        </a:xfrm>
        <a:prstGeom prst="roundRect">
          <a:avLst/>
        </a:prstGeom>
        <a:solidFill>
          <a:srgbClr val="00206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AVANÇAR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704850</xdr:colOff>
      <xdr:row>4</xdr:row>
      <xdr:rowOff>47625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384440F2-0A84-45C1-B250-84278627C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85925" cy="809625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19050</xdr:rowOff>
    </xdr:from>
    <xdr:to>
      <xdr:col>8</xdr:col>
      <xdr:colOff>876300</xdr:colOff>
      <xdr:row>3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5C30210D-407A-4B60-9A30-CC9A54FE88C8}"/>
            </a:ext>
          </a:extLst>
        </xdr:cNvPr>
        <xdr:cNvSpPr/>
      </xdr:nvSpPr>
      <xdr:spPr>
        <a:xfrm>
          <a:off x="8543925" y="209550"/>
          <a:ext cx="876300" cy="3619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228600</xdr:colOff>
      <xdr:row>2</xdr:row>
      <xdr:rowOff>180975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30AC0689-9273-4223-9B42-D226526B2082}"/>
            </a:ext>
          </a:extLst>
        </xdr:cNvPr>
        <xdr:cNvSpPr/>
      </xdr:nvSpPr>
      <xdr:spPr>
        <a:xfrm>
          <a:off x="11144250" y="200025"/>
          <a:ext cx="125730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INICIAL</a:t>
          </a:r>
        </a:p>
      </xdr:txBody>
    </xdr:sp>
    <xdr:clientData/>
  </xdr:twoCellAnchor>
  <xdr:twoCellAnchor>
    <xdr:from>
      <xdr:col>8</xdr:col>
      <xdr:colOff>1019175</xdr:colOff>
      <xdr:row>1</xdr:row>
      <xdr:rowOff>9525</xdr:rowOff>
    </xdr:from>
    <xdr:to>
      <xdr:col>9</xdr:col>
      <xdr:colOff>304800</xdr:colOff>
      <xdr:row>2</xdr:row>
      <xdr:rowOff>180975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B8AEBB03-6230-4F81-B52D-66D44AC0DC99}"/>
            </a:ext>
          </a:extLst>
        </xdr:cNvPr>
        <xdr:cNvSpPr/>
      </xdr:nvSpPr>
      <xdr:spPr>
        <a:xfrm>
          <a:off x="9563100" y="200025"/>
          <a:ext cx="876300" cy="361950"/>
        </a:xfrm>
        <a:prstGeom prst="roundRect">
          <a:avLst/>
        </a:prstGeom>
        <a:solidFill>
          <a:srgbClr val="00206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AVANÇAR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133350</xdr:rowOff>
    </xdr:from>
    <xdr:to>
      <xdr:col>1</xdr:col>
      <xdr:colOff>514350</xdr:colOff>
      <xdr:row>4</xdr:row>
      <xdr:rowOff>180975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9193EFCF-4269-44C6-BDA5-E00248D4F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50"/>
          <a:ext cx="1685925" cy="809625"/>
        </a:xfrm>
        <a:prstGeom prst="rect">
          <a:avLst/>
        </a:prstGeom>
      </xdr:spPr>
    </xdr:pic>
    <xdr:clientData/>
  </xdr:twoCellAnchor>
  <xdr:twoCellAnchor>
    <xdr:from>
      <xdr:col>9</xdr:col>
      <xdr:colOff>2076450</xdr:colOff>
      <xdr:row>1</xdr:row>
      <xdr:rowOff>142875</xdr:rowOff>
    </xdr:from>
    <xdr:to>
      <xdr:col>9</xdr:col>
      <xdr:colOff>2952750</xdr:colOff>
      <xdr:row>3</xdr:row>
      <xdr:rowOff>123825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34AF66E5-2CBA-4BF0-9EC5-92F59BBE4B34}"/>
            </a:ext>
          </a:extLst>
        </xdr:cNvPr>
        <xdr:cNvSpPr/>
      </xdr:nvSpPr>
      <xdr:spPr>
        <a:xfrm>
          <a:off x="10125075" y="333375"/>
          <a:ext cx="876300" cy="3619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>
    <xdr:from>
      <xdr:col>9</xdr:col>
      <xdr:colOff>3114675</xdr:colOff>
      <xdr:row>1</xdr:row>
      <xdr:rowOff>133350</xdr:rowOff>
    </xdr:from>
    <xdr:to>
      <xdr:col>9</xdr:col>
      <xdr:colOff>4371975</xdr:colOff>
      <xdr:row>3</xdr:row>
      <xdr:rowOff>114300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22582BA-B6FA-45BB-AEC9-472A8A8C8E14}"/>
            </a:ext>
          </a:extLst>
        </xdr:cNvPr>
        <xdr:cNvSpPr/>
      </xdr:nvSpPr>
      <xdr:spPr>
        <a:xfrm>
          <a:off x="11163300" y="323850"/>
          <a:ext cx="125730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INICIAL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104775</xdr:rowOff>
    </xdr:from>
    <xdr:to>
      <xdr:col>3</xdr:col>
      <xdr:colOff>428625</xdr:colOff>
      <xdr:row>7</xdr:row>
      <xdr:rowOff>66675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1DF6E8C9-D8C4-4224-A01E-DD7924C5F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04775"/>
          <a:ext cx="2152650" cy="12954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</xdr:row>
      <xdr:rowOff>0</xdr:rowOff>
    </xdr:from>
    <xdr:to>
      <xdr:col>19</xdr:col>
      <xdr:colOff>38100</xdr:colOff>
      <xdr:row>3</xdr:row>
      <xdr:rowOff>171450</xdr:rowOff>
    </xdr:to>
    <xdr:sp macro="" textlink="">
      <xdr:nvSpPr>
        <xdr:cNvPr id="3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22582BA-B6FA-45BB-AEC9-472A8A8C8E14}"/>
            </a:ext>
          </a:extLst>
        </xdr:cNvPr>
        <xdr:cNvSpPr/>
      </xdr:nvSpPr>
      <xdr:spPr>
        <a:xfrm>
          <a:off x="10363200" y="381000"/>
          <a:ext cx="125730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INICIAL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Setor" displayName="TbSetor" ref="A28:B41" totalsRowShown="0">
  <autoFilter ref="A28:B41"/>
  <sortState ref="A29:B41">
    <sortCondition ref="B28:B41"/>
  </sortState>
  <tableColumns count="2">
    <tableColumn id="1" name="FUNCIONÁRIO"/>
    <tableColumn id="2" name="SE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Comissao" displayName="TbComissao" ref="A45:B50" totalsRowShown="0">
  <autoFilter ref="A45:B50"/>
  <tableColumns count="2">
    <tableColumn id="1" name="SETOR"/>
    <tableColumn id="2" name="% COMISS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infinititecnologia.com.br/resolucao-planilha-teste-processo-seletiv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indowProtection="1" showGridLines="0" tabSelected="1" workbookViewId="0">
      <selection activeCell="G20" sqref="G20"/>
    </sheetView>
  </sheetViews>
  <sheetFormatPr defaultRowHeight="15" x14ac:dyDescent="0.25"/>
  <sheetData/>
  <sheetProtection password="CA7D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6:I41"/>
  <sheetViews>
    <sheetView windowProtection="1" showGridLines="0" workbookViewId="0"/>
  </sheetViews>
  <sheetFormatPr defaultRowHeight="15" x14ac:dyDescent="0.25"/>
  <cols>
    <col min="2" max="2" width="11.5703125" bestFit="1" customWidth="1"/>
    <col min="3" max="3" width="14.28515625" bestFit="1" customWidth="1"/>
  </cols>
  <sheetData>
    <row r="6" spans="1:9" ht="18.75" x14ac:dyDescent="0.3">
      <c r="A6" s="5" t="s">
        <v>0</v>
      </c>
      <c r="B6" s="5"/>
      <c r="C6" s="5"/>
      <c r="D6" s="5"/>
      <c r="E6" s="5"/>
      <c r="F6" s="5"/>
      <c r="G6" s="5"/>
      <c r="H6" s="5"/>
      <c r="I6" s="5"/>
    </row>
    <row r="8" spans="1:9" x14ac:dyDescent="0.25">
      <c r="A8" s="6" t="s">
        <v>23</v>
      </c>
      <c r="B8" s="6"/>
      <c r="C8" s="6"/>
      <c r="D8" s="6"/>
      <c r="E8" s="6"/>
      <c r="F8" s="6"/>
      <c r="G8" s="6"/>
      <c r="H8" s="6"/>
      <c r="I8" s="6"/>
    </row>
    <row r="10" spans="1:9" x14ac:dyDescent="0.25">
      <c r="B10" t="s">
        <v>22</v>
      </c>
    </row>
    <row r="11" spans="1:9" x14ac:dyDescent="0.25">
      <c r="I11" s="2" t="s">
        <v>21</v>
      </c>
    </row>
    <row r="12" spans="1:9" x14ac:dyDescent="0.25">
      <c r="B12" t="s">
        <v>14</v>
      </c>
      <c r="C12" t="s">
        <v>15</v>
      </c>
      <c r="I12" s="1" t="s">
        <v>115</v>
      </c>
    </row>
    <row r="13" spans="1:9" x14ac:dyDescent="0.25">
      <c r="B13" t="s">
        <v>1</v>
      </c>
      <c r="C13">
        <v>2000</v>
      </c>
      <c r="I13" s="1" t="s">
        <v>16</v>
      </c>
    </row>
    <row r="14" spans="1:9" x14ac:dyDescent="0.25">
      <c r="B14" t="s">
        <v>2</v>
      </c>
      <c r="C14">
        <v>10000</v>
      </c>
      <c r="I14" s="1" t="s">
        <v>17</v>
      </c>
    </row>
    <row r="15" spans="1:9" x14ac:dyDescent="0.25">
      <c r="B15" t="s">
        <v>3</v>
      </c>
      <c r="C15">
        <v>15000</v>
      </c>
      <c r="I15" s="1" t="s">
        <v>18</v>
      </c>
    </row>
    <row r="16" spans="1:9" x14ac:dyDescent="0.25">
      <c r="B16" t="s">
        <v>4</v>
      </c>
      <c r="C16">
        <v>20000</v>
      </c>
      <c r="I16" s="1" t="s">
        <v>19</v>
      </c>
    </row>
    <row r="17" spans="1:9" x14ac:dyDescent="0.25">
      <c r="B17" t="s">
        <v>5</v>
      </c>
      <c r="C17">
        <v>25000</v>
      </c>
      <c r="I17" s="1" t="s">
        <v>20</v>
      </c>
    </row>
    <row r="18" spans="1:9" x14ac:dyDescent="0.25">
      <c r="B18" t="s">
        <v>6</v>
      </c>
      <c r="C18">
        <v>30000</v>
      </c>
      <c r="I18" s="1" t="s">
        <v>113</v>
      </c>
    </row>
    <row r="19" spans="1:9" x14ac:dyDescent="0.25">
      <c r="B19" t="s">
        <v>7</v>
      </c>
      <c r="C19">
        <v>35000</v>
      </c>
    </row>
    <row r="20" spans="1:9" x14ac:dyDescent="0.25">
      <c r="B20" t="s">
        <v>8</v>
      </c>
      <c r="C20">
        <v>40000</v>
      </c>
    </row>
    <row r="21" spans="1:9" x14ac:dyDescent="0.25">
      <c r="B21" t="s">
        <v>9</v>
      </c>
      <c r="C21">
        <v>45000</v>
      </c>
    </row>
    <row r="22" spans="1:9" x14ac:dyDescent="0.25">
      <c r="B22" t="s">
        <v>10</v>
      </c>
      <c r="C22">
        <v>50000</v>
      </c>
    </row>
    <row r="23" spans="1:9" x14ac:dyDescent="0.25">
      <c r="B23" t="s">
        <v>11</v>
      </c>
      <c r="C23">
        <v>55000</v>
      </c>
    </row>
    <row r="24" spans="1:9" x14ac:dyDescent="0.25">
      <c r="B24" t="s">
        <v>12</v>
      </c>
      <c r="C24">
        <v>60000</v>
      </c>
    </row>
    <row r="25" spans="1:9" x14ac:dyDescent="0.25">
      <c r="B25" t="s">
        <v>13</v>
      </c>
      <c r="C25">
        <f>SUM(C13:C24)</f>
        <v>387000</v>
      </c>
    </row>
    <row r="28" spans="1:9" x14ac:dyDescent="0.25">
      <c r="A28" s="6" t="s">
        <v>24</v>
      </c>
      <c r="B28" s="6"/>
      <c r="C28" s="6"/>
      <c r="D28" s="6"/>
      <c r="E28" s="6"/>
      <c r="F28" s="6"/>
      <c r="G28" s="6"/>
      <c r="H28" s="6"/>
      <c r="I28" s="6"/>
    </row>
    <row r="31" spans="1:9" x14ac:dyDescent="0.25">
      <c r="B31" t="s">
        <v>25</v>
      </c>
      <c r="C31" t="s">
        <v>26</v>
      </c>
      <c r="D31" t="s">
        <v>15</v>
      </c>
      <c r="H31" s="2" t="s">
        <v>21</v>
      </c>
    </row>
    <row r="32" spans="1:9" x14ac:dyDescent="0.25">
      <c r="B32" s="7">
        <v>43101</v>
      </c>
      <c r="C32">
        <v>1</v>
      </c>
      <c r="D32">
        <v>2000</v>
      </c>
      <c r="H32" s="1" t="s">
        <v>27</v>
      </c>
    </row>
    <row r="33" spans="2:8" x14ac:dyDescent="0.25">
      <c r="B33" s="7">
        <v>43102</v>
      </c>
      <c r="C33">
        <v>2</v>
      </c>
      <c r="D33">
        <v>3000</v>
      </c>
      <c r="H33" s="1" t="s">
        <v>28</v>
      </c>
    </row>
    <row r="34" spans="2:8" x14ac:dyDescent="0.25">
      <c r="B34" s="7">
        <v>43103</v>
      </c>
      <c r="C34">
        <v>3</v>
      </c>
      <c r="D34">
        <v>4000</v>
      </c>
      <c r="H34" s="1" t="s">
        <v>114</v>
      </c>
    </row>
    <row r="35" spans="2:8" x14ac:dyDescent="0.25">
      <c r="B35" s="7">
        <v>43104</v>
      </c>
      <c r="C35">
        <v>4</v>
      </c>
      <c r="D35">
        <v>5000</v>
      </c>
      <c r="H35" s="1" t="s">
        <v>29</v>
      </c>
    </row>
    <row r="36" spans="2:8" x14ac:dyDescent="0.25">
      <c r="B36" s="7">
        <v>43105</v>
      </c>
      <c r="C36">
        <v>5</v>
      </c>
      <c r="D36">
        <v>6000</v>
      </c>
      <c r="H36" s="1"/>
    </row>
    <row r="37" spans="2:8" x14ac:dyDescent="0.25">
      <c r="B37" s="7">
        <v>43106</v>
      </c>
      <c r="C37">
        <v>6</v>
      </c>
      <c r="D37">
        <v>7000</v>
      </c>
      <c r="H37" s="1"/>
    </row>
    <row r="38" spans="2:8" x14ac:dyDescent="0.25">
      <c r="B38" s="7">
        <v>43107</v>
      </c>
      <c r="C38">
        <v>7</v>
      </c>
      <c r="D38">
        <v>8000</v>
      </c>
    </row>
    <row r="39" spans="2:8" x14ac:dyDescent="0.25">
      <c r="B39" s="7">
        <v>43108</v>
      </c>
      <c r="C39">
        <v>8</v>
      </c>
      <c r="D39">
        <v>9000</v>
      </c>
    </row>
    <row r="40" spans="2:8" x14ac:dyDescent="0.25">
      <c r="B40" s="7">
        <v>43109</v>
      </c>
      <c r="C40">
        <v>9</v>
      </c>
      <c r="D40">
        <v>10000</v>
      </c>
    </row>
    <row r="41" spans="2:8" x14ac:dyDescent="0.25">
      <c r="B41" s="7">
        <v>43110</v>
      </c>
      <c r="C41">
        <v>10</v>
      </c>
      <c r="D41">
        <v>11000</v>
      </c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7:I26"/>
  <sheetViews>
    <sheetView windowProtection="1" showGridLines="0" zoomScaleNormal="100" workbookViewId="0"/>
  </sheetViews>
  <sheetFormatPr defaultRowHeight="15" x14ac:dyDescent="0.25"/>
  <cols>
    <col min="4" max="4" width="11" customWidth="1"/>
    <col min="5" max="5" width="16.140625" customWidth="1"/>
    <col min="6" max="6" width="17" customWidth="1"/>
    <col min="7" max="7" width="26.140625" customWidth="1"/>
  </cols>
  <sheetData>
    <row r="7" spans="1:9" ht="18.75" x14ac:dyDescent="0.3">
      <c r="A7" s="5" t="s">
        <v>31</v>
      </c>
      <c r="B7" s="5"/>
      <c r="C7" s="5"/>
      <c r="D7" s="5"/>
      <c r="E7" s="5"/>
      <c r="F7" s="5"/>
      <c r="G7" s="5"/>
      <c r="H7" s="5"/>
      <c r="I7" s="5"/>
    </row>
    <row r="9" spans="1:9" x14ac:dyDescent="0.25">
      <c r="A9" s="6" t="s">
        <v>30</v>
      </c>
      <c r="B9" s="6"/>
      <c r="C9" s="6"/>
      <c r="D9" s="6"/>
      <c r="E9" s="6"/>
      <c r="F9" s="6"/>
      <c r="G9" s="6"/>
      <c r="H9" s="6"/>
      <c r="I9" s="6"/>
    </row>
    <row r="11" spans="1:9" ht="21" x14ac:dyDescent="0.35">
      <c r="A11" s="8" t="s">
        <v>32</v>
      </c>
      <c r="B11" s="9" t="s">
        <v>33</v>
      </c>
      <c r="C11" s="10"/>
      <c r="D11" s="6" t="s">
        <v>34</v>
      </c>
      <c r="E11" s="21"/>
    </row>
    <row r="12" spans="1:9" ht="21" x14ac:dyDescent="0.35">
      <c r="A12" s="10"/>
      <c r="B12" s="11">
        <v>3</v>
      </c>
      <c r="C12" s="10"/>
      <c r="D12" s="10"/>
      <c r="E12" s="10"/>
    </row>
    <row r="15" spans="1:9" ht="21" x14ac:dyDescent="0.35">
      <c r="A15" s="8" t="s">
        <v>35</v>
      </c>
      <c r="B15" s="9" t="s">
        <v>36</v>
      </c>
      <c r="C15" s="12" t="s">
        <v>37</v>
      </c>
      <c r="D15" s="13" t="s">
        <v>38</v>
      </c>
      <c r="E15" s="6" t="s">
        <v>34</v>
      </c>
      <c r="F15" s="21"/>
    </row>
    <row r="16" spans="1:9" ht="21" x14ac:dyDescent="0.35">
      <c r="A16" s="10"/>
      <c r="B16" s="11">
        <v>2</v>
      </c>
      <c r="C16" s="10"/>
      <c r="D16" s="11">
        <v>2</v>
      </c>
      <c r="E16" s="10"/>
      <c r="F16" s="10"/>
    </row>
    <row r="19" spans="1:7" ht="21" x14ac:dyDescent="0.35">
      <c r="A19" s="8" t="s">
        <v>39</v>
      </c>
      <c r="B19" s="9" t="s">
        <v>36</v>
      </c>
      <c r="C19" s="12" t="s">
        <v>37</v>
      </c>
      <c r="D19" s="13" t="s">
        <v>38</v>
      </c>
      <c r="E19" s="6" t="s">
        <v>34</v>
      </c>
      <c r="F19" s="21"/>
    </row>
    <row r="20" spans="1:7" ht="21" x14ac:dyDescent="0.35">
      <c r="A20" s="10"/>
      <c r="B20" s="11">
        <v>2</v>
      </c>
      <c r="C20" s="10"/>
      <c r="D20" s="11">
        <v>2</v>
      </c>
      <c r="E20" s="10"/>
      <c r="F20" s="10"/>
    </row>
    <row r="23" spans="1:7" ht="21" x14ac:dyDescent="0.35">
      <c r="A23" s="8" t="s">
        <v>40</v>
      </c>
      <c r="B23" s="11" t="s">
        <v>41</v>
      </c>
      <c r="C23" s="10"/>
      <c r="D23" s="6" t="s">
        <v>34</v>
      </c>
      <c r="E23" s="21"/>
    </row>
    <row r="26" spans="1:7" ht="21" x14ac:dyDescent="0.35">
      <c r="A26" s="8" t="s">
        <v>42</v>
      </c>
      <c r="B26" s="24" t="s">
        <v>43</v>
      </c>
      <c r="C26" s="24"/>
      <c r="D26" s="24"/>
      <c r="E26" s="24"/>
      <c r="F26" s="6" t="s">
        <v>34</v>
      </c>
      <c r="G26" s="21"/>
    </row>
  </sheetData>
  <mergeCells count="1">
    <mergeCell ref="B26:E2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2:J50"/>
  <sheetViews>
    <sheetView windowProtection="1" showGridLines="0" zoomScaleNormal="100" workbookViewId="0"/>
  </sheetViews>
  <sheetFormatPr defaultRowHeight="15" x14ac:dyDescent="0.25"/>
  <cols>
    <col min="1" max="1" width="14.7109375" customWidth="1"/>
    <col min="2" max="2" width="14.5703125" bestFit="1" customWidth="1"/>
    <col min="4" max="4" width="11" bestFit="1" customWidth="1"/>
    <col min="5" max="5" width="16.42578125" bestFit="1" customWidth="1"/>
    <col min="6" max="6" width="16" customWidth="1"/>
    <col min="7" max="7" width="22.85546875" bestFit="1" customWidth="1"/>
    <col min="8" max="8" width="23.42578125" bestFit="1" customWidth="1"/>
    <col min="9" max="9" width="23.85546875" bestFit="1" customWidth="1"/>
    <col min="10" max="10" width="12.28515625" bestFit="1" customWidth="1"/>
  </cols>
  <sheetData>
    <row r="2" spans="1:10" x14ac:dyDescent="0.25">
      <c r="D2" s="25" t="s">
        <v>112</v>
      </c>
      <c r="E2" s="25"/>
      <c r="F2" s="25"/>
      <c r="G2" s="25"/>
    </row>
    <row r="3" spans="1:10" x14ac:dyDescent="0.25">
      <c r="D3" s="25"/>
      <c r="E3" s="25"/>
      <c r="F3" s="25"/>
      <c r="G3" s="25"/>
    </row>
    <row r="4" spans="1:10" x14ac:dyDescent="0.25">
      <c r="D4" s="25"/>
      <c r="E4" s="25"/>
      <c r="F4" s="25"/>
      <c r="G4" s="25"/>
    </row>
    <row r="6" spans="1:10" ht="18.75" x14ac:dyDescent="0.3">
      <c r="A6" s="5" t="s">
        <v>76</v>
      </c>
      <c r="B6" s="5"/>
      <c r="C6" s="5"/>
      <c r="D6" s="5"/>
      <c r="E6" s="5"/>
      <c r="F6" s="5"/>
      <c r="G6" s="5"/>
      <c r="H6" s="5"/>
      <c r="I6" s="5"/>
      <c r="J6" s="5"/>
    </row>
    <row r="8" spans="1:10" x14ac:dyDescent="0.25">
      <c r="A8" s="6" t="s">
        <v>64</v>
      </c>
      <c r="B8" s="6"/>
      <c r="C8" s="6"/>
      <c r="D8" s="6"/>
      <c r="E8" s="6"/>
      <c r="F8" s="6"/>
      <c r="G8" s="6"/>
      <c r="H8" s="6"/>
      <c r="I8" s="6"/>
      <c r="J8" s="6"/>
    </row>
    <row r="10" spans="1:10" x14ac:dyDescent="0.25">
      <c r="A10" s="14" t="s">
        <v>44</v>
      </c>
      <c r="B10" s="14" t="s">
        <v>57</v>
      </c>
      <c r="C10" s="14" t="s">
        <v>73</v>
      </c>
      <c r="D10" s="14" t="s">
        <v>44</v>
      </c>
      <c r="E10" s="14" t="s">
        <v>45</v>
      </c>
      <c r="F10" s="14" t="s">
        <v>15</v>
      </c>
      <c r="G10" s="14" t="s">
        <v>58</v>
      </c>
      <c r="H10" s="14" t="s">
        <v>60</v>
      </c>
      <c r="I10" s="14" t="s">
        <v>59</v>
      </c>
      <c r="J10" s="14" t="s">
        <v>61</v>
      </c>
    </row>
    <row r="11" spans="1:10" x14ac:dyDescent="0.25">
      <c r="A11" s="15">
        <v>137418</v>
      </c>
      <c r="B11" s="20">
        <v>43466</v>
      </c>
      <c r="C11" s="3" t="s">
        <v>62</v>
      </c>
      <c r="D11" s="3" t="s">
        <v>46</v>
      </c>
      <c r="E11" s="3">
        <v>5405</v>
      </c>
      <c r="F11" s="4">
        <v>26883</v>
      </c>
      <c r="G11" s="3"/>
      <c r="H11" s="3"/>
      <c r="I11" s="3"/>
      <c r="J11" s="3"/>
    </row>
    <row r="12" spans="1:10" x14ac:dyDescent="0.25">
      <c r="A12" s="15">
        <v>137419</v>
      </c>
      <c r="B12" s="20">
        <v>43470</v>
      </c>
      <c r="C12" s="3" t="s">
        <v>62</v>
      </c>
      <c r="D12" s="3" t="s">
        <v>47</v>
      </c>
      <c r="E12" s="3">
        <v>5405</v>
      </c>
      <c r="F12" s="4">
        <v>28765</v>
      </c>
      <c r="G12" s="3"/>
      <c r="H12" s="3"/>
      <c r="I12" s="3"/>
      <c r="J12" s="3"/>
    </row>
    <row r="13" spans="1:10" x14ac:dyDescent="0.25">
      <c r="A13" s="15">
        <v>137420</v>
      </c>
      <c r="B13" s="20">
        <v>43488</v>
      </c>
      <c r="C13" s="3" t="s">
        <v>63</v>
      </c>
      <c r="D13" s="3" t="s">
        <v>48</v>
      </c>
      <c r="E13" s="3">
        <v>5102</v>
      </c>
      <c r="F13" s="4">
        <v>21264</v>
      </c>
      <c r="G13" s="3"/>
      <c r="H13" s="3"/>
      <c r="I13" s="3"/>
      <c r="J13" s="3"/>
    </row>
    <row r="14" spans="1:10" x14ac:dyDescent="0.25">
      <c r="A14" s="15">
        <v>137421</v>
      </c>
      <c r="B14" s="20">
        <v>43498</v>
      </c>
      <c r="C14" s="3" t="s">
        <v>63</v>
      </c>
      <c r="D14" s="3" t="s">
        <v>49</v>
      </c>
      <c r="E14" s="3">
        <v>5102</v>
      </c>
      <c r="F14" s="4">
        <v>23602</v>
      </c>
      <c r="G14" s="3"/>
      <c r="H14" s="3"/>
      <c r="I14" s="3"/>
      <c r="J14" s="3"/>
    </row>
    <row r="15" spans="1:10" x14ac:dyDescent="0.25">
      <c r="A15" s="15">
        <v>137422</v>
      </c>
      <c r="B15" s="20">
        <v>43506</v>
      </c>
      <c r="C15" s="3" t="s">
        <v>62</v>
      </c>
      <c r="D15" s="3" t="s">
        <v>50</v>
      </c>
      <c r="E15" s="3">
        <v>5949</v>
      </c>
      <c r="F15" s="4">
        <v>23978</v>
      </c>
      <c r="G15" s="3"/>
      <c r="H15" s="3"/>
      <c r="I15" s="3"/>
      <c r="J15" s="3"/>
    </row>
    <row r="16" spans="1:10" x14ac:dyDescent="0.25">
      <c r="A16" s="15">
        <v>137423</v>
      </c>
      <c r="B16" s="20">
        <v>43516</v>
      </c>
      <c r="C16" s="3" t="s">
        <v>63</v>
      </c>
      <c r="D16" s="3" t="s">
        <v>51</v>
      </c>
      <c r="E16" s="3">
        <v>5102</v>
      </c>
      <c r="F16" s="4">
        <v>27773</v>
      </c>
      <c r="G16" s="3"/>
      <c r="H16" s="3"/>
      <c r="I16" s="3"/>
      <c r="J16" s="3"/>
    </row>
    <row r="17" spans="1:10" x14ac:dyDescent="0.25">
      <c r="A17" s="15">
        <v>137424</v>
      </c>
      <c r="B17" s="20">
        <v>43525</v>
      </c>
      <c r="C17" s="3" t="s">
        <v>63</v>
      </c>
      <c r="D17" s="3" t="s">
        <v>52</v>
      </c>
      <c r="E17" s="3">
        <v>5405</v>
      </c>
      <c r="F17" s="4">
        <v>22782</v>
      </c>
      <c r="G17" s="3"/>
      <c r="H17" s="3"/>
      <c r="I17" s="3"/>
      <c r="J17" s="3"/>
    </row>
    <row r="18" spans="1:10" x14ac:dyDescent="0.25">
      <c r="A18" s="15">
        <v>137425</v>
      </c>
      <c r="B18" s="20">
        <v>43528</v>
      </c>
      <c r="C18" s="3" t="s">
        <v>62</v>
      </c>
      <c r="D18" s="3" t="s">
        <v>53</v>
      </c>
      <c r="E18" s="3">
        <v>5405</v>
      </c>
      <c r="F18" s="4">
        <v>26017</v>
      </c>
      <c r="G18" s="3"/>
      <c r="H18" s="3"/>
      <c r="I18" s="3"/>
      <c r="J18" s="3"/>
    </row>
    <row r="19" spans="1:10" x14ac:dyDescent="0.25">
      <c r="A19" s="15">
        <v>137426</v>
      </c>
      <c r="B19" s="20">
        <v>43534</v>
      </c>
      <c r="C19" s="3" t="s">
        <v>62</v>
      </c>
      <c r="D19" s="3" t="s">
        <v>54</v>
      </c>
      <c r="E19" s="3">
        <v>5949</v>
      </c>
      <c r="F19" s="4">
        <v>25422</v>
      </c>
      <c r="G19" s="3"/>
      <c r="H19" s="3"/>
      <c r="I19" s="3"/>
      <c r="J19" s="3"/>
    </row>
    <row r="20" spans="1:10" x14ac:dyDescent="0.25">
      <c r="A20" s="15">
        <v>137427</v>
      </c>
      <c r="B20" s="20">
        <v>43539</v>
      </c>
      <c r="C20" s="3" t="s">
        <v>62</v>
      </c>
      <c r="D20" s="3" t="s">
        <v>55</v>
      </c>
      <c r="E20" s="3">
        <v>5949</v>
      </c>
      <c r="F20" s="4">
        <v>25187</v>
      </c>
      <c r="G20" s="3"/>
      <c r="H20" s="3"/>
      <c r="I20" s="3"/>
      <c r="J20" s="3"/>
    </row>
    <row r="21" spans="1:10" x14ac:dyDescent="0.25">
      <c r="A21" s="15">
        <v>137428</v>
      </c>
      <c r="B21" s="20">
        <v>43549</v>
      </c>
      <c r="C21" s="3" t="s">
        <v>63</v>
      </c>
      <c r="D21" s="3" t="s">
        <v>56</v>
      </c>
      <c r="E21" s="3">
        <v>5102</v>
      </c>
      <c r="F21" s="4">
        <v>23603</v>
      </c>
      <c r="G21" s="3"/>
      <c r="H21" s="3"/>
      <c r="I21" s="3"/>
      <c r="J21" s="3"/>
    </row>
    <row r="23" spans="1:10" x14ac:dyDescent="0.25">
      <c r="A23" s="6" t="s">
        <v>65</v>
      </c>
      <c r="B23" s="6"/>
      <c r="C23" s="6"/>
      <c r="D23" s="6"/>
      <c r="E23" s="6"/>
      <c r="F23" s="6"/>
      <c r="G23" s="6"/>
      <c r="H23" s="6"/>
      <c r="I23" s="6"/>
      <c r="J23" s="6"/>
    </row>
    <row r="25" spans="1:10" x14ac:dyDescent="0.25">
      <c r="A25" t="s">
        <v>67</v>
      </c>
    </row>
    <row r="26" spans="1:10" x14ac:dyDescent="0.25">
      <c r="A26" s="6" t="s">
        <v>34</v>
      </c>
      <c r="B26" s="23"/>
    </row>
    <row r="28" spans="1:10" x14ac:dyDescent="0.25">
      <c r="A28" t="s">
        <v>66</v>
      </c>
    </row>
    <row r="29" spans="1:10" x14ac:dyDescent="0.25">
      <c r="A29" s="6" t="s">
        <v>34</v>
      </c>
      <c r="B29" s="23"/>
    </row>
    <row r="31" spans="1:10" x14ac:dyDescent="0.25">
      <c r="A31" t="s">
        <v>68</v>
      </c>
    </row>
    <row r="32" spans="1:10" x14ac:dyDescent="0.25">
      <c r="A32" s="6" t="s">
        <v>34</v>
      </c>
      <c r="B32" s="23"/>
    </row>
    <row r="34" spans="1:2" x14ac:dyDescent="0.25">
      <c r="A34" t="s">
        <v>69</v>
      </c>
    </row>
    <row r="35" spans="1:2" x14ac:dyDescent="0.25">
      <c r="A35" s="6" t="s">
        <v>34</v>
      </c>
      <c r="B35" s="23"/>
    </row>
    <row r="37" spans="1:2" x14ac:dyDescent="0.25">
      <c r="A37" t="s">
        <v>70</v>
      </c>
    </row>
    <row r="38" spans="1:2" x14ac:dyDescent="0.25">
      <c r="A38" s="6" t="s">
        <v>34</v>
      </c>
      <c r="B38" s="23"/>
    </row>
    <row r="40" spans="1:2" x14ac:dyDescent="0.25">
      <c r="A40" t="s">
        <v>71</v>
      </c>
    </row>
    <row r="41" spans="1:2" x14ac:dyDescent="0.25">
      <c r="A41" s="6" t="s">
        <v>34</v>
      </c>
      <c r="B41" s="23"/>
    </row>
    <row r="43" spans="1:2" x14ac:dyDescent="0.25">
      <c r="A43" t="s">
        <v>72</v>
      </c>
    </row>
    <row r="44" spans="1:2" x14ac:dyDescent="0.25">
      <c r="A44" s="6" t="s">
        <v>34</v>
      </c>
      <c r="B44" s="23"/>
    </row>
    <row r="46" spans="1:2" x14ac:dyDescent="0.25">
      <c r="A46" t="s">
        <v>74</v>
      </c>
    </row>
    <row r="47" spans="1:2" x14ac:dyDescent="0.25">
      <c r="A47" s="6" t="s">
        <v>34</v>
      </c>
      <c r="B47" s="23"/>
    </row>
    <row r="49" spans="1:2" x14ac:dyDescent="0.25">
      <c r="A49" t="s">
        <v>75</v>
      </c>
    </row>
    <row r="50" spans="1:2" x14ac:dyDescent="0.25">
      <c r="A50" s="6" t="s">
        <v>34</v>
      </c>
      <c r="B50" s="23"/>
    </row>
  </sheetData>
  <mergeCells count="1">
    <mergeCell ref="D2:G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7:J56"/>
  <sheetViews>
    <sheetView windowProtection="1" showGridLines="0" showRowColHeaders="0" topLeftCell="A37" workbookViewId="0">
      <selection activeCell="E55" sqref="E55"/>
    </sheetView>
  </sheetViews>
  <sheetFormatPr defaultRowHeight="15" x14ac:dyDescent="0.25"/>
  <cols>
    <col min="1" max="1" width="17.5703125" customWidth="1"/>
    <col min="2" max="2" width="16.28515625" bestFit="1" customWidth="1"/>
    <col min="3" max="3" width="14" customWidth="1"/>
    <col min="4" max="5" width="12.5703125" bestFit="1" customWidth="1"/>
    <col min="6" max="6" width="20.28515625" bestFit="1" customWidth="1"/>
    <col min="7" max="7" width="10" bestFit="1" customWidth="1"/>
    <col min="10" max="10" width="68.42578125" customWidth="1"/>
  </cols>
  <sheetData>
    <row r="7" spans="1:10" ht="18.75" x14ac:dyDescent="0.3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</row>
    <row r="9" spans="1:10" x14ac:dyDescent="0.25">
      <c r="A9" s="6" t="s">
        <v>78</v>
      </c>
      <c r="B9" s="6"/>
      <c r="C9" s="6"/>
      <c r="D9" s="6"/>
      <c r="E9" s="6"/>
      <c r="F9" s="6"/>
      <c r="G9" s="6"/>
      <c r="H9" s="6"/>
      <c r="I9" s="6"/>
      <c r="J9" s="6"/>
    </row>
    <row r="11" spans="1:10" x14ac:dyDescent="0.25">
      <c r="A11" s="3" t="s">
        <v>79</v>
      </c>
      <c r="B11" s="3" t="s">
        <v>80</v>
      </c>
      <c r="C11" s="3" t="s">
        <v>81</v>
      </c>
      <c r="D11" s="3" t="s">
        <v>83</v>
      </c>
      <c r="E11" s="3" t="s">
        <v>82</v>
      </c>
      <c r="F11" s="3" t="s">
        <v>84</v>
      </c>
      <c r="G11" s="3" t="s">
        <v>103</v>
      </c>
    </row>
    <row r="12" spans="1:10" x14ac:dyDescent="0.25">
      <c r="A12" s="3" t="s">
        <v>85</v>
      </c>
      <c r="B12" s="3"/>
      <c r="C12" s="19">
        <v>4085</v>
      </c>
      <c r="D12" s="3">
        <v>5</v>
      </c>
      <c r="E12" s="3"/>
      <c r="F12" s="3"/>
      <c r="G12" s="3"/>
    </row>
    <row r="13" spans="1:10" x14ac:dyDescent="0.25">
      <c r="A13" s="3" t="s">
        <v>86</v>
      </c>
      <c r="B13" s="3"/>
      <c r="C13" s="19">
        <v>2234</v>
      </c>
      <c r="D13" s="3">
        <v>2</v>
      </c>
      <c r="E13" s="3"/>
      <c r="F13" s="3"/>
      <c r="G13" s="3"/>
    </row>
    <row r="14" spans="1:10" x14ac:dyDescent="0.25">
      <c r="A14" s="3" t="s">
        <v>87</v>
      </c>
      <c r="B14" s="3"/>
      <c r="C14" s="19">
        <v>2112</v>
      </c>
      <c r="D14" s="3">
        <v>3</v>
      </c>
      <c r="E14" s="3"/>
      <c r="F14" s="3"/>
      <c r="G14" s="3"/>
    </row>
    <row r="15" spans="1:10" x14ac:dyDescent="0.25">
      <c r="A15" s="3" t="s">
        <v>88</v>
      </c>
      <c r="B15" s="3"/>
      <c r="C15" s="19">
        <v>4115</v>
      </c>
      <c r="D15" s="3">
        <v>1</v>
      </c>
      <c r="E15" s="3"/>
      <c r="F15" s="3"/>
      <c r="G15" s="3"/>
    </row>
    <row r="16" spans="1:10" x14ac:dyDescent="0.25">
      <c r="A16" s="3" t="s">
        <v>89</v>
      </c>
      <c r="B16" s="3"/>
      <c r="C16" s="19">
        <v>3150</v>
      </c>
      <c r="D16" s="3">
        <v>6</v>
      </c>
      <c r="E16" s="3"/>
      <c r="F16" s="3"/>
      <c r="G16" s="3"/>
    </row>
    <row r="17" spans="1:10" x14ac:dyDescent="0.25">
      <c r="A17" s="3" t="s">
        <v>90</v>
      </c>
      <c r="B17" s="3"/>
      <c r="C17" s="19">
        <v>4444</v>
      </c>
      <c r="D17" s="3">
        <v>3</v>
      </c>
      <c r="E17" s="3"/>
      <c r="F17" s="3"/>
      <c r="G17" s="3"/>
    </row>
    <row r="18" spans="1:10" x14ac:dyDescent="0.25">
      <c r="A18" s="3" t="s">
        <v>91</v>
      </c>
      <c r="B18" s="3"/>
      <c r="C18" s="19">
        <v>2039</v>
      </c>
      <c r="D18" s="3">
        <v>4</v>
      </c>
      <c r="E18" s="3"/>
      <c r="F18" s="3"/>
      <c r="G18" s="3"/>
    </row>
    <row r="19" spans="1:10" x14ac:dyDescent="0.25">
      <c r="A19" s="3" t="s">
        <v>92</v>
      </c>
      <c r="B19" s="3"/>
      <c r="C19" s="19">
        <v>3931</v>
      </c>
      <c r="D19" s="3">
        <v>4</v>
      </c>
      <c r="E19" s="3"/>
      <c r="F19" s="3"/>
      <c r="G19" s="3"/>
    </row>
    <row r="20" spans="1:10" x14ac:dyDescent="0.25">
      <c r="A20" s="3" t="s">
        <v>93</v>
      </c>
      <c r="B20" s="3"/>
      <c r="C20" s="19">
        <v>2479</v>
      </c>
      <c r="D20" s="3">
        <v>4</v>
      </c>
      <c r="E20" s="3"/>
      <c r="F20" s="3"/>
      <c r="G20" s="3"/>
    </row>
    <row r="21" spans="1:10" x14ac:dyDescent="0.25">
      <c r="A21" s="3" t="s">
        <v>94</v>
      </c>
      <c r="B21" s="3"/>
      <c r="C21" s="19">
        <v>3245</v>
      </c>
      <c r="D21" s="3">
        <v>2</v>
      </c>
      <c r="E21" s="3"/>
      <c r="F21" s="3"/>
      <c r="G21" s="3"/>
    </row>
    <row r="22" spans="1:10" x14ac:dyDescent="0.25">
      <c r="A22" s="3" t="s">
        <v>95</v>
      </c>
      <c r="B22" s="3"/>
      <c r="C22" s="19">
        <v>3671</v>
      </c>
      <c r="D22" s="3">
        <v>7</v>
      </c>
      <c r="E22" s="3"/>
      <c r="F22" s="3"/>
      <c r="G22" s="3"/>
    </row>
    <row r="23" spans="1:10" x14ac:dyDescent="0.25">
      <c r="A23" s="3" t="s">
        <v>96</v>
      </c>
      <c r="B23" s="3"/>
      <c r="C23" s="19">
        <v>2035</v>
      </c>
      <c r="D23" s="3">
        <v>4</v>
      </c>
      <c r="E23" s="3"/>
      <c r="F23" s="3"/>
      <c r="G23" s="3"/>
    </row>
    <row r="24" spans="1:10" x14ac:dyDescent="0.25">
      <c r="A24" s="3" t="s">
        <v>97</v>
      </c>
      <c r="B24" s="3"/>
      <c r="C24" s="19">
        <v>3346</v>
      </c>
      <c r="D24" s="3">
        <v>7</v>
      </c>
      <c r="E24" s="3"/>
      <c r="F24" s="3"/>
      <c r="G24" s="3"/>
    </row>
    <row r="25" spans="1:10" x14ac:dyDescent="0.25">
      <c r="C25" s="16"/>
    </row>
    <row r="26" spans="1:10" x14ac:dyDescent="0.25">
      <c r="A26" s="6" t="s">
        <v>111</v>
      </c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C27" s="16"/>
    </row>
    <row r="28" spans="1:10" x14ac:dyDescent="0.25">
      <c r="A28" t="s">
        <v>79</v>
      </c>
      <c r="B28" t="s">
        <v>80</v>
      </c>
      <c r="C28" s="16"/>
    </row>
    <row r="29" spans="1:10" x14ac:dyDescent="0.25">
      <c r="A29" t="s">
        <v>92</v>
      </c>
      <c r="B29" t="s">
        <v>100</v>
      </c>
      <c r="C29" s="16"/>
    </row>
    <row r="30" spans="1:10" x14ac:dyDescent="0.25">
      <c r="A30" t="s">
        <v>93</v>
      </c>
      <c r="B30" t="s">
        <v>100</v>
      </c>
      <c r="C30" s="16"/>
    </row>
    <row r="31" spans="1:10" x14ac:dyDescent="0.25">
      <c r="A31" t="s">
        <v>91</v>
      </c>
      <c r="B31" t="s">
        <v>98</v>
      </c>
      <c r="C31" s="16"/>
    </row>
    <row r="32" spans="1:10" x14ac:dyDescent="0.25">
      <c r="A32" t="s">
        <v>96</v>
      </c>
      <c r="B32" t="s">
        <v>98</v>
      </c>
      <c r="C32" s="16"/>
    </row>
    <row r="33" spans="1:10" x14ac:dyDescent="0.25">
      <c r="A33" t="s">
        <v>87</v>
      </c>
      <c r="B33" t="s">
        <v>98</v>
      </c>
      <c r="C33" s="16"/>
    </row>
    <row r="34" spans="1:10" x14ac:dyDescent="0.25">
      <c r="A34" t="s">
        <v>86</v>
      </c>
      <c r="B34" t="s">
        <v>98</v>
      </c>
      <c r="C34" s="16"/>
    </row>
    <row r="35" spans="1:10" x14ac:dyDescent="0.25">
      <c r="A35" t="s">
        <v>85</v>
      </c>
      <c r="B35" t="s">
        <v>22</v>
      </c>
      <c r="C35" s="16"/>
    </row>
    <row r="36" spans="1:10" x14ac:dyDescent="0.25">
      <c r="A36" t="s">
        <v>94</v>
      </c>
      <c r="B36" t="s">
        <v>22</v>
      </c>
      <c r="C36" s="16"/>
    </row>
    <row r="37" spans="1:10" x14ac:dyDescent="0.25">
      <c r="A37" t="s">
        <v>90</v>
      </c>
      <c r="B37" t="s">
        <v>22</v>
      </c>
      <c r="C37" s="16"/>
    </row>
    <row r="38" spans="1:10" x14ac:dyDescent="0.25">
      <c r="A38" t="s">
        <v>89</v>
      </c>
      <c r="B38" t="s">
        <v>99</v>
      </c>
      <c r="C38" s="16"/>
    </row>
    <row r="39" spans="1:10" x14ac:dyDescent="0.25">
      <c r="A39" t="s">
        <v>88</v>
      </c>
      <c r="B39" t="s">
        <v>99</v>
      </c>
      <c r="C39" s="16"/>
    </row>
    <row r="40" spans="1:10" x14ac:dyDescent="0.25">
      <c r="A40" t="s">
        <v>95</v>
      </c>
      <c r="B40" t="s">
        <v>101</v>
      </c>
      <c r="C40" s="16"/>
    </row>
    <row r="41" spans="1:10" x14ac:dyDescent="0.25">
      <c r="A41" t="s">
        <v>97</v>
      </c>
      <c r="B41" t="s">
        <v>101</v>
      </c>
      <c r="C41" s="16"/>
    </row>
    <row r="43" spans="1:10" x14ac:dyDescent="0.25">
      <c r="A43" s="6" t="s">
        <v>104</v>
      </c>
      <c r="B43" s="6"/>
      <c r="C43" s="6"/>
      <c r="D43" s="6"/>
      <c r="E43" s="6"/>
      <c r="F43" s="6"/>
      <c r="G43" s="6"/>
      <c r="H43" s="6"/>
      <c r="I43" s="6"/>
      <c r="J43" s="6"/>
    </row>
    <row r="45" spans="1:10" ht="15.75" thickBot="1" x14ac:dyDescent="0.3">
      <c r="A45" t="s">
        <v>80</v>
      </c>
      <c r="B45" t="s">
        <v>82</v>
      </c>
    </row>
    <row r="46" spans="1:10" ht="15.75" thickBot="1" x14ac:dyDescent="0.3">
      <c r="A46" t="s">
        <v>100</v>
      </c>
      <c r="B46" s="17">
        <v>0.02</v>
      </c>
      <c r="E46" s="26" t="s">
        <v>102</v>
      </c>
      <c r="F46" s="27"/>
      <c r="G46" s="27"/>
      <c r="H46" s="28"/>
    </row>
    <row r="47" spans="1:10" x14ac:dyDescent="0.25">
      <c r="A47" t="s">
        <v>98</v>
      </c>
      <c r="B47" s="17">
        <v>0.05</v>
      </c>
    </row>
    <row r="48" spans="1:10" x14ac:dyDescent="0.25">
      <c r="A48" t="s">
        <v>22</v>
      </c>
      <c r="B48" s="17">
        <v>0.03</v>
      </c>
    </row>
    <row r="49" spans="1:10" x14ac:dyDescent="0.25">
      <c r="A49" t="s">
        <v>99</v>
      </c>
      <c r="B49" s="17">
        <v>0.04</v>
      </c>
    </row>
    <row r="50" spans="1:10" x14ac:dyDescent="0.25">
      <c r="A50" t="s">
        <v>101</v>
      </c>
      <c r="B50" s="17">
        <v>0.06</v>
      </c>
    </row>
    <row r="52" spans="1:10" x14ac:dyDescent="0.25">
      <c r="A52" s="6" t="s">
        <v>105</v>
      </c>
      <c r="B52" s="6"/>
      <c r="C52" s="6"/>
      <c r="D52" s="6"/>
      <c r="E52" s="6"/>
      <c r="F52" s="6"/>
      <c r="G52" s="6"/>
      <c r="H52" s="6"/>
      <c r="I52" s="6"/>
      <c r="J52" s="6"/>
    </row>
    <row r="54" spans="1:10" ht="15.75" x14ac:dyDescent="0.25">
      <c r="A54" s="30" t="s">
        <v>110</v>
      </c>
      <c r="B54" s="30"/>
      <c r="C54" s="30"/>
    </row>
    <row r="55" spans="1:10" ht="15.75" x14ac:dyDescent="0.25">
      <c r="A55" s="18" t="s">
        <v>106</v>
      </c>
      <c r="B55" s="29" t="s">
        <v>107</v>
      </c>
      <c r="C55" s="29"/>
    </row>
    <row r="56" spans="1:10" ht="15.75" x14ac:dyDescent="0.25">
      <c r="A56" s="18" t="s">
        <v>108</v>
      </c>
      <c r="B56" s="29" t="s">
        <v>109</v>
      </c>
      <c r="C56" s="29"/>
    </row>
  </sheetData>
  <mergeCells count="4">
    <mergeCell ref="E46:H46"/>
    <mergeCell ref="B55:C55"/>
    <mergeCell ref="B56:C56"/>
    <mergeCell ref="A54:C5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6"/>
  <sheetViews>
    <sheetView windowProtection="1" showGridLines="0" workbookViewId="0"/>
  </sheetViews>
  <sheetFormatPr defaultRowHeight="15" x14ac:dyDescent="0.25"/>
  <sheetData>
    <row r="16" spans="2:2" ht="26.25" x14ac:dyDescent="0.4">
      <c r="B16" s="22" t="s">
        <v>116</v>
      </c>
    </row>
  </sheetData>
  <hyperlinks>
    <hyperlink ref="B16" r:id="rId1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MENU</vt:lpstr>
      <vt:lpstr>FORMATAÇÃO</vt:lpstr>
      <vt:lpstr>CÁLCULOS BÁSICOS</vt:lpstr>
      <vt:lpstr>FUNÇÕES EXECÍCIOS ETAPA 1</vt:lpstr>
      <vt:lpstr>FUNÇÕES ETAPA 2</vt:lpstr>
      <vt:lpstr>RESOLUÇÃO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Cliente</dc:creator>
  <cp:lastModifiedBy>Acer</cp:lastModifiedBy>
  <dcterms:created xsi:type="dcterms:W3CDTF">2019-11-18T17:02:33Z</dcterms:created>
  <dcterms:modified xsi:type="dcterms:W3CDTF">2020-01-30T20:35:09Z</dcterms:modified>
</cp:coreProperties>
</file>