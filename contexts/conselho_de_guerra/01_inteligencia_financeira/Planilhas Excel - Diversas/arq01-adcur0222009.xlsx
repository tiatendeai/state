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75\AC\Temp\"/>
    </mc:Choice>
  </mc:AlternateContent>
  <xr:revisionPtr revIDLastSave="0" documentId="8_{836768F6-8C86-8442-A036-384663E73901}" xr6:coauthVersionLast="28" xr6:coauthVersionMax="28" xr10:uidLastSave="{00000000-0000-0000-0000-000000000000}"/>
  <bookViews>
    <workbookView xWindow="360" yWindow="90" windowWidth="20880" windowHeight="10050" xr2:uid="{00000000-000D-0000-FFFF-FFFF00000000}"/>
  </bookViews>
  <sheets>
    <sheet name="Planilha" sheetId="1" r:id="rId1"/>
    <sheet name="Encargos" sheetId="2" r:id="rId2"/>
  </sheets>
  <calcPr calcId="171026"/>
</workbook>
</file>

<file path=xl/calcChain.xml><?xml version="1.0" encoding="utf-8"?>
<calcChain xmlns="http://schemas.openxmlformats.org/spreadsheetml/2006/main">
  <c r="E31" i="1" l="1"/>
  <c r="E21" i="1"/>
  <c r="B12" i="2"/>
  <c r="B15" i="2"/>
  <c r="B16" i="2"/>
  <c r="B17" i="2"/>
  <c r="B18" i="2"/>
  <c r="B19" i="2"/>
  <c r="B20" i="2"/>
  <c r="B21" i="2"/>
  <c r="B22" i="2"/>
  <c r="B23" i="2"/>
  <c r="B26" i="2"/>
  <c r="B27" i="2"/>
  <c r="B28" i="2"/>
  <c r="B29" i="2"/>
  <c r="B32" i="2"/>
  <c r="B33" i="2"/>
  <c r="B35" i="2"/>
  <c r="A10" i="1"/>
  <c r="E6" i="1"/>
  <c r="E10" i="1"/>
  <c r="E11" i="1"/>
  <c r="E33" i="1"/>
  <c r="C38" i="1"/>
  <c r="E38" i="1"/>
  <c r="C39" i="1"/>
  <c r="E39" i="1"/>
  <c r="E40" i="1"/>
  <c r="C47" i="1"/>
  <c r="C45" i="1"/>
  <c r="E45" i="1"/>
  <c r="C46" i="1"/>
  <c r="E46" i="1"/>
  <c r="E47" i="1"/>
  <c r="E48" i="1"/>
  <c r="E50" i="1"/>
  <c r="E52" i="1"/>
</calcChain>
</file>

<file path=xl/sharedStrings.xml><?xml version="1.0" encoding="utf-8"?>
<sst xmlns="http://schemas.openxmlformats.org/spreadsheetml/2006/main" count="85" uniqueCount="69">
  <si>
    <t>Profissionais</t>
  </si>
  <si>
    <t>CCT</t>
  </si>
  <si>
    <t>Salário</t>
  </si>
  <si>
    <t>Quantidade de horas/mês</t>
  </si>
  <si>
    <t>Valor mensal</t>
  </si>
  <si>
    <t>R$</t>
  </si>
  <si>
    <t>SUBTOTAL 1</t>
  </si>
  <si>
    <t>SUBTOTAL 2</t>
  </si>
  <si>
    <t>Discriminação</t>
  </si>
  <si>
    <t>Quantidade</t>
  </si>
  <si>
    <t>Uniformes e EPI</t>
  </si>
  <si>
    <t>Vale-transporte</t>
  </si>
  <si>
    <t>Vale-refeição</t>
  </si>
  <si>
    <t>Assistência médica</t>
  </si>
  <si>
    <t>Outros (discriminar)</t>
  </si>
  <si>
    <t>SUBTOTAL 3</t>
  </si>
  <si>
    <t>Materiais de consumo</t>
  </si>
  <si>
    <t>Uso de equipamentos e ferramentas</t>
  </si>
  <si>
    <t>Deslocamentos</t>
  </si>
  <si>
    <t>ART</t>
  </si>
  <si>
    <t>SUBTOTAL 4</t>
  </si>
  <si>
    <t>Valor base</t>
  </si>
  <si>
    <t>Percentual</t>
  </si>
  <si>
    <t>ISS</t>
  </si>
  <si>
    <t>COFINS</t>
  </si>
  <si>
    <t>PIS</t>
  </si>
  <si>
    <t>SUBTOTAL 6</t>
  </si>
  <si>
    <t>TOTAL ANUAL = TOTAL MENSAL X 12</t>
  </si>
  <si>
    <t>Grupo “A” – Obrigações sociais</t>
  </si>
  <si>
    <t>Previdência Social</t>
  </si>
  <si>
    <t>Salário Educação</t>
  </si>
  <si>
    <t>SESC / SESI</t>
  </si>
  <si>
    <t>SENAC / SENAI</t>
  </si>
  <si>
    <t>SEBRAE</t>
  </si>
  <si>
    <t>INCRA</t>
  </si>
  <si>
    <t>GIIL-RAT (Seguro Acidente de Trabalho)</t>
  </si>
  <si>
    <t>FGTS</t>
  </si>
  <si>
    <t>Total do Grupo “A”</t>
  </si>
  <si>
    <t>Grupo “B” – Gratificações e tempo não trabalhado</t>
  </si>
  <si>
    <t>13o. Salário</t>
  </si>
  <si>
    <t>Férias + 1/3 sobre as Férias</t>
  </si>
  <si>
    <t>Faltas Legais</t>
  </si>
  <si>
    <t>Ausências no Aviso Prévio Trabalhado</t>
  </si>
  <si>
    <t>Total do Grupo “B”</t>
  </si>
  <si>
    <t>Grupo “C” – Indenizações em rescisões sem justa causa</t>
  </si>
  <si>
    <t>Aviso Prévio Indenizado (com encargos)</t>
  </si>
  <si>
    <t>Indenização (multa sobre o saldo do FGTS)</t>
  </si>
  <si>
    <t>Indenização Adicional (demissão antes da data-base)</t>
  </si>
  <si>
    <t>Total do Grupo “C”</t>
  </si>
  <si>
    <t>Grupo “D” – Reincidências</t>
  </si>
  <si>
    <t>Incidência do Grupo “A” sobre o Grupo “B”</t>
  </si>
  <si>
    <t>Total do Grupo “D”</t>
  </si>
  <si>
    <r>
      <t xml:space="preserve">TOTAL DOS ENCARGOS </t>
    </r>
    <r>
      <rPr>
        <sz val="9"/>
        <color indexed="8"/>
        <rFont val="Times New Roman"/>
        <family val="1"/>
      </rPr>
      <t>(transpor o percentual para o item 2 da planilha)</t>
    </r>
  </si>
  <si>
    <t>Auxílio Doença</t>
  </si>
  <si>
    <t>Acidente de Trabalho</t>
  </si>
  <si>
    <t>Licença Maternidade</t>
  </si>
  <si>
    <t>Licença Paternidade</t>
  </si>
  <si>
    <t>Despesas operacionais e administrativas</t>
  </si>
  <si>
    <t>1.  REMUNERAÇÃO</t>
  </si>
  <si>
    <t>2.  ENCARGOS SOCIAIS E TRABALHISTAS</t>
  </si>
  <si>
    <t>3.  INSUMOS DE MÃO-DE-OBRA</t>
  </si>
  <si>
    <t>4.  INSUMOS DIVERSOS</t>
  </si>
  <si>
    <t>CUSTO TOTAL = SOMA DOS SUBTOTAIS 1 + 2 + 3 + 4</t>
  </si>
  <si>
    <t>5.  DEMAIS COMPONENTES</t>
  </si>
  <si>
    <t>SUBTOTAL 5</t>
  </si>
  <si>
    <t>6. TRIBUTOS</t>
  </si>
  <si>
    <t>TOTAL MENSAL = SOMA DOS SUBTOTAIS 1 + 2 + 3 + 4 + 5 + 6</t>
  </si>
  <si>
    <t>DETALHAMENTO DOS ENCARGOS SOCIAIS E TRABALHISTAS</t>
  </si>
  <si>
    <t>Lucro antes do IRPJ e da CSLL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</si>
</sst>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2" x14ac:knownFonts="1"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"/>
      <color theme="1"/>
      <name val="Times New Roman"/>
      <family val="1"/>
    </font>
    <font>
      <b/>
      <sz val="8"/>
      <color theme="1"/>
      <name val="Times New Roman"/>
      <family val="1"/>
    </font>
    <font>
      <sz val="2"/>
      <color theme="1"/>
      <name val="Times New Roman"/>
      <family val="1"/>
    </font>
    <font>
      <sz val="1"/>
      <color theme="1"/>
      <name val="Times New Roman"/>
      <family val="1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0" fontId="8" fillId="0" borderId="1" xfId="0" applyFont="1" applyBorder="1" applyAlignment="1">
      <alignment horizontal="justify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justify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justify" wrapText="1"/>
    </xf>
    <xf numFmtId="164" fontId="9" fillId="0" borderId="1" xfId="0" applyNumberFormat="1" applyFont="1" applyBorder="1" applyAlignment="1">
      <alignment wrapText="1"/>
    </xf>
    <xf numFmtId="164" fontId="8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justify" vertical="top" wrapText="1"/>
    </xf>
    <xf numFmtId="0" fontId="8" fillId="0" borderId="1" xfId="0" applyFont="1" applyBorder="1" applyAlignment="1">
      <alignment horizontal="left" wrapText="1"/>
    </xf>
    <xf numFmtId="10" fontId="9" fillId="0" borderId="1" xfId="1" applyNumberFormat="1" applyFont="1" applyBorder="1" applyAlignment="1">
      <alignment horizontal="right" vertical="top" wrapText="1"/>
    </xf>
    <xf numFmtId="10" fontId="8" fillId="0" borderId="1" xfId="1" applyNumberFormat="1" applyFont="1" applyBorder="1" applyAlignment="1">
      <alignment horizontal="right" wrapText="1"/>
    </xf>
    <xf numFmtId="10" fontId="10" fillId="0" borderId="1" xfId="1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164" fontId="10" fillId="0" borderId="1" xfId="0" applyNumberFormat="1" applyFont="1" applyBorder="1" applyAlignment="1">
      <alignment wrapText="1"/>
    </xf>
    <xf numFmtId="10" fontId="9" fillId="0" borderId="1" xfId="1" applyNumberFormat="1" applyFont="1" applyBorder="1" applyAlignment="1">
      <alignment wrapText="1"/>
    </xf>
    <xf numFmtId="164" fontId="11" fillId="0" borderId="1" xfId="0" applyNumberFormat="1" applyFont="1" applyBorder="1" applyAlignment="1">
      <alignment wrapText="1"/>
    </xf>
    <xf numFmtId="164" fontId="0" fillId="0" borderId="0" xfId="0" applyNumberFormat="1"/>
    <xf numFmtId="0" fontId="8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8" fillId="0" borderId="1" xfId="0" applyFont="1" applyBorder="1" applyAlignment="1">
      <alignment horizontal="justify" wrapText="1"/>
    </xf>
    <xf numFmtId="0" fontId="9" fillId="0" borderId="1" xfId="0" applyFont="1" applyBorder="1" applyAlignment="1">
      <alignment horizontal="justify" wrapText="1"/>
    </xf>
    <xf numFmtId="0" fontId="10" fillId="0" borderId="1" xfId="0" applyFont="1" applyBorder="1" applyAlignment="1">
      <alignment horizontal="justify" wrapText="1"/>
    </xf>
    <xf numFmtId="0" fontId="10" fillId="0" borderId="1" xfId="0" applyFont="1" applyBorder="1" applyAlignment="1">
      <alignment horizontal="left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abSelected="1" topLeftCell="A28" zoomScaleNormal="100" workbookViewId="0" xr3:uid="{AEA406A1-0E4B-5B11-9CD5-51D6E497D94C}">
      <selection activeCell="A40" sqref="A40:D40"/>
    </sheetView>
  </sheetViews>
  <sheetFormatPr defaultRowHeight="15" x14ac:dyDescent="0.2"/>
  <cols>
    <col min="1" max="1" width="25.69140625" customWidth="1"/>
    <col min="2" max="2" width="20.71484375" customWidth="1"/>
    <col min="3" max="5" width="14.66015625" customWidth="1"/>
    <col min="6" max="6" width="13.85546875" customWidth="1"/>
  </cols>
  <sheetData>
    <row r="1" spans="1:5" x14ac:dyDescent="0.2">
      <c r="A1" s="36" t="s">
        <v>58</v>
      </c>
      <c r="B1" s="36"/>
      <c r="C1" s="36"/>
      <c r="D1" s="36"/>
      <c r="E1" s="36"/>
    </row>
    <row r="2" spans="1:5" ht="5.0999999999999996" customHeight="1" x14ac:dyDescent="0.2">
      <c r="A2" s="1"/>
    </row>
    <row r="3" spans="1:5" ht="21.75" x14ac:dyDescent="0.2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x14ac:dyDescent="0.2">
      <c r="A4" s="8"/>
      <c r="B4" s="9"/>
      <c r="C4" s="11" t="s">
        <v>5</v>
      </c>
      <c r="D4" s="9"/>
      <c r="E4" s="11">
        <v>0</v>
      </c>
    </row>
    <row r="5" spans="1:5" x14ac:dyDescent="0.2">
      <c r="A5" s="8"/>
      <c r="B5" s="9"/>
      <c r="C5" s="11" t="s">
        <v>5</v>
      </c>
      <c r="D5" s="9"/>
      <c r="E5" s="11">
        <v>0</v>
      </c>
    </row>
    <row r="6" spans="1:5" x14ac:dyDescent="0.2">
      <c r="A6" s="25" t="s">
        <v>6</v>
      </c>
      <c r="B6" s="25"/>
      <c r="C6" s="25"/>
      <c r="D6" s="25"/>
      <c r="E6" s="12">
        <f>SUM(E4:E5)</f>
        <v>0</v>
      </c>
    </row>
    <row r="7" spans="1:5" x14ac:dyDescent="0.2">
      <c r="A7" s="2"/>
    </row>
    <row r="8" spans="1:5" x14ac:dyDescent="0.2">
      <c r="A8" s="36" t="s">
        <v>59</v>
      </c>
      <c r="B8" s="36"/>
      <c r="C8" s="36"/>
      <c r="D8" s="36"/>
      <c r="E8" s="36"/>
    </row>
    <row r="9" spans="1:5" ht="5.0999999999999996" customHeight="1" x14ac:dyDescent="0.2">
      <c r="A9" s="1"/>
    </row>
    <row r="10" spans="1:5" x14ac:dyDescent="0.2">
      <c r="A10" s="30" t="str">
        <f>TEXT(Encargos!B35,"0,00%")&amp;" sobre o Subtotal 1 (percentual apurado na planilha específica)"</f>
        <v>70,04% sobre o Subtotal 1 (percentual apurado na planilha específica)</v>
      </c>
      <c r="B10" s="30"/>
      <c r="C10" s="30"/>
      <c r="D10" s="30"/>
      <c r="E10" s="11">
        <f>E6*Encargos!B35</f>
        <v>0</v>
      </c>
    </row>
    <row r="11" spans="1:5" x14ac:dyDescent="0.2">
      <c r="A11" s="25" t="s">
        <v>7</v>
      </c>
      <c r="B11" s="25"/>
      <c r="C11" s="25"/>
      <c r="D11" s="25"/>
      <c r="E11" s="12">
        <f>E10</f>
        <v>0</v>
      </c>
    </row>
    <row r="12" spans="1:5" x14ac:dyDescent="0.2">
      <c r="A12" s="2"/>
    </row>
    <row r="13" spans="1:5" x14ac:dyDescent="0.2">
      <c r="A13" s="36" t="s">
        <v>60</v>
      </c>
      <c r="B13" s="36"/>
      <c r="C13" s="36"/>
      <c r="D13" s="36"/>
      <c r="E13" s="36"/>
    </row>
    <row r="14" spans="1:5" ht="5.0999999999999996" customHeight="1" x14ac:dyDescent="0.2">
      <c r="A14" s="1"/>
    </row>
    <row r="15" spans="1:5" x14ac:dyDescent="0.2">
      <c r="A15" s="34" t="s">
        <v>8</v>
      </c>
      <c r="B15" s="34"/>
      <c r="C15" s="34"/>
      <c r="D15" s="13" t="s">
        <v>9</v>
      </c>
      <c r="E15" s="13" t="s">
        <v>4</v>
      </c>
    </row>
    <row r="16" spans="1:5" x14ac:dyDescent="0.2">
      <c r="A16" s="35" t="s">
        <v>10</v>
      </c>
      <c r="B16" s="35"/>
      <c r="C16" s="35"/>
      <c r="D16" s="20"/>
      <c r="E16" s="11">
        <v>0</v>
      </c>
    </row>
    <row r="17" spans="1:5" x14ac:dyDescent="0.2">
      <c r="A17" s="35" t="s">
        <v>11</v>
      </c>
      <c r="B17" s="35"/>
      <c r="C17" s="35"/>
      <c r="D17" s="20"/>
      <c r="E17" s="11">
        <v>0</v>
      </c>
    </row>
    <row r="18" spans="1:5" x14ac:dyDescent="0.2">
      <c r="A18" s="35" t="s">
        <v>12</v>
      </c>
      <c r="B18" s="35"/>
      <c r="C18" s="35"/>
      <c r="D18" s="20"/>
      <c r="E18" s="11">
        <v>0</v>
      </c>
    </row>
    <row r="19" spans="1:5" x14ac:dyDescent="0.2">
      <c r="A19" s="35" t="s">
        <v>13</v>
      </c>
      <c r="B19" s="35"/>
      <c r="C19" s="35"/>
      <c r="D19" s="20"/>
      <c r="E19" s="11">
        <v>0</v>
      </c>
    </row>
    <row r="20" spans="1:5" x14ac:dyDescent="0.2">
      <c r="A20" s="35" t="s">
        <v>14</v>
      </c>
      <c r="B20" s="35"/>
      <c r="C20" s="35"/>
      <c r="D20" s="20"/>
      <c r="E20" s="11">
        <v>0</v>
      </c>
    </row>
    <row r="21" spans="1:5" x14ac:dyDescent="0.2">
      <c r="A21" s="25" t="s">
        <v>15</v>
      </c>
      <c r="B21" s="25"/>
      <c r="C21" s="25"/>
      <c r="D21" s="25"/>
      <c r="E21" s="12">
        <f>SUM(E16:E20)</f>
        <v>0</v>
      </c>
    </row>
    <row r="22" spans="1:5" x14ac:dyDescent="0.2">
      <c r="A22" s="2"/>
    </row>
    <row r="23" spans="1:5" x14ac:dyDescent="0.2">
      <c r="A23" s="36" t="s">
        <v>61</v>
      </c>
      <c r="B23" s="36"/>
      <c r="C23" s="36"/>
      <c r="D23" s="36"/>
      <c r="E23" s="36"/>
    </row>
    <row r="24" spans="1:5" ht="5.0999999999999996" customHeight="1" x14ac:dyDescent="0.2">
      <c r="A24" s="1"/>
    </row>
    <row r="25" spans="1:5" x14ac:dyDescent="0.2">
      <c r="A25" s="34" t="s">
        <v>8</v>
      </c>
      <c r="B25" s="34"/>
      <c r="C25" s="34"/>
      <c r="D25" s="13" t="s">
        <v>9</v>
      </c>
      <c r="E25" s="13" t="s">
        <v>4</v>
      </c>
    </row>
    <row r="26" spans="1:5" x14ac:dyDescent="0.2">
      <c r="A26" s="35" t="s">
        <v>16</v>
      </c>
      <c r="B26" s="35"/>
      <c r="C26" s="35"/>
      <c r="D26" s="20"/>
      <c r="E26" s="11">
        <v>0</v>
      </c>
    </row>
    <row r="27" spans="1:5" x14ac:dyDescent="0.2">
      <c r="A27" s="35" t="s">
        <v>17</v>
      </c>
      <c r="B27" s="35"/>
      <c r="C27" s="35"/>
      <c r="D27" s="20"/>
      <c r="E27" s="11">
        <v>0</v>
      </c>
    </row>
    <row r="28" spans="1:5" x14ac:dyDescent="0.2">
      <c r="A28" s="35" t="s">
        <v>18</v>
      </c>
      <c r="B28" s="35"/>
      <c r="C28" s="35"/>
      <c r="D28" s="20"/>
      <c r="E28" s="11">
        <v>0</v>
      </c>
    </row>
    <row r="29" spans="1:5" x14ac:dyDescent="0.2">
      <c r="A29" s="35" t="s">
        <v>19</v>
      </c>
      <c r="B29" s="35"/>
      <c r="C29" s="35"/>
      <c r="D29" s="20"/>
      <c r="E29" s="11">
        <v>0</v>
      </c>
    </row>
    <row r="30" spans="1:5" x14ac:dyDescent="0.2">
      <c r="A30" s="35" t="s">
        <v>14</v>
      </c>
      <c r="B30" s="35"/>
      <c r="C30" s="35"/>
      <c r="D30" s="20"/>
      <c r="E30" s="11">
        <v>0</v>
      </c>
    </row>
    <row r="31" spans="1:5" x14ac:dyDescent="0.2">
      <c r="A31" s="25" t="s">
        <v>20</v>
      </c>
      <c r="B31" s="25"/>
      <c r="C31" s="25"/>
      <c r="D31" s="25"/>
      <c r="E31" s="12">
        <f>SUM(E26:E30)</f>
        <v>0</v>
      </c>
    </row>
    <row r="32" spans="1:5" x14ac:dyDescent="0.2">
      <c r="A32" s="3"/>
    </row>
    <row r="33" spans="1:5" x14ac:dyDescent="0.2">
      <c r="A33" s="31" t="s">
        <v>62</v>
      </c>
      <c r="B33" s="32"/>
      <c r="C33" s="32"/>
      <c r="D33" s="33"/>
      <c r="E33" s="21">
        <f>E6+E11+E21+E31</f>
        <v>0</v>
      </c>
    </row>
    <row r="34" spans="1:5" x14ac:dyDescent="0.2">
      <c r="A34" s="3"/>
    </row>
    <row r="35" spans="1:5" x14ac:dyDescent="0.2">
      <c r="A35" s="36" t="s">
        <v>63</v>
      </c>
      <c r="B35" s="36"/>
      <c r="C35" s="36"/>
      <c r="D35" s="36"/>
      <c r="E35" s="36"/>
    </row>
    <row r="36" spans="1:5" ht="5.0999999999999996" customHeight="1" x14ac:dyDescent="0.2">
      <c r="A36" s="1"/>
    </row>
    <row r="37" spans="1:5" x14ac:dyDescent="0.2">
      <c r="A37" s="29" t="s">
        <v>8</v>
      </c>
      <c r="B37" s="29"/>
      <c r="C37" s="13" t="s">
        <v>21</v>
      </c>
      <c r="D37" s="13" t="s">
        <v>22</v>
      </c>
      <c r="E37" s="13" t="s">
        <v>4</v>
      </c>
    </row>
    <row r="38" spans="1:5" x14ac:dyDescent="0.2">
      <c r="A38" s="30" t="s">
        <v>57</v>
      </c>
      <c r="B38" s="30"/>
      <c r="C38" s="11">
        <f>E33</f>
        <v>0</v>
      </c>
      <c r="D38" s="22">
        <v>0</v>
      </c>
      <c r="E38" s="11">
        <f>C38*D38</f>
        <v>0</v>
      </c>
    </row>
    <row r="39" spans="1:5" x14ac:dyDescent="0.2">
      <c r="A39" s="30" t="s">
        <v>68</v>
      </c>
      <c r="B39" s="30"/>
      <c r="C39" s="11">
        <f>E33+E38</f>
        <v>0</v>
      </c>
      <c r="D39" s="22">
        <v>0</v>
      </c>
      <c r="E39" s="11">
        <f>C39*D39</f>
        <v>0</v>
      </c>
    </row>
    <row r="40" spans="1:5" x14ac:dyDescent="0.2">
      <c r="A40" s="25" t="s">
        <v>64</v>
      </c>
      <c r="B40" s="25"/>
      <c r="C40" s="25"/>
      <c r="D40" s="25"/>
      <c r="E40" s="12">
        <f>SUM(E38:E39)</f>
        <v>0</v>
      </c>
    </row>
    <row r="41" spans="1:5" x14ac:dyDescent="0.2">
      <c r="A41" s="5"/>
    </row>
    <row r="42" spans="1:5" x14ac:dyDescent="0.2">
      <c r="A42" s="36" t="s">
        <v>65</v>
      </c>
      <c r="B42" s="36"/>
      <c r="C42" s="36"/>
      <c r="D42" s="36"/>
      <c r="E42" s="36"/>
    </row>
    <row r="43" spans="1:5" ht="5.0999999999999996" customHeight="1" x14ac:dyDescent="0.2">
      <c r="A43" s="1"/>
    </row>
    <row r="44" spans="1:5" x14ac:dyDescent="0.2">
      <c r="A44" s="34" t="s">
        <v>8</v>
      </c>
      <c r="B44" s="34"/>
      <c r="C44" s="13" t="s">
        <v>21</v>
      </c>
      <c r="D44" s="13" t="s">
        <v>22</v>
      </c>
      <c r="E44" s="13" t="s">
        <v>4</v>
      </c>
    </row>
    <row r="45" spans="1:5" x14ac:dyDescent="0.2">
      <c r="A45" s="35" t="s">
        <v>24</v>
      </c>
      <c r="B45" s="35"/>
      <c r="C45" s="11">
        <f>(E33+E40)/(1-SUM(D45:D47))</f>
        <v>0</v>
      </c>
      <c r="D45" s="22">
        <v>0.03</v>
      </c>
      <c r="E45" s="11">
        <f>C45*D45</f>
        <v>0</v>
      </c>
    </row>
    <row r="46" spans="1:5" x14ac:dyDescent="0.2">
      <c r="A46" s="35" t="s">
        <v>25</v>
      </c>
      <c r="B46" s="35"/>
      <c r="C46" s="11">
        <f>(E33+E40)/(1-SUM(D45:D47))</f>
        <v>0</v>
      </c>
      <c r="D46" s="22">
        <v>6.4999999999999997E-3</v>
      </c>
      <c r="E46" s="11">
        <f>C46*D46</f>
        <v>0</v>
      </c>
    </row>
    <row r="47" spans="1:5" x14ac:dyDescent="0.2">
      <c r="A47" s="35" t="s">
        <v>23</v>
      </c>
      <c r="B47" s="35"/>
      <c r="C47" s="11">
        <f>(E33+E40)/(1-SUM(D45:D47))</f>
        <v>0</v>
      </c>
      <c r="D47" s="22">
        <v>0.05</v>
      </c>
      <c r="E47" s="11">
        <f>C47*D47</f>
        <v>0</v>
      </c>
    </row>
    <row r="48" spans="1:5" x14ac:dyDescent="0.2">
      <c r="A48" s="25" t="s">
        <v>26</v>
      </c>
      <c r="B48" s="25"/>
      <c r="C48" s="25"/>
      <c r="D48" s="25"/>
      <c r="E48" s="12">
        <f>SUM(E45:E47)</f>
        <v>0</v>
      </c>
    </row>
    <row r="49" spans="1:6" x14ac:dyDescent="0.2">
      <c r="A49" s="5"/>
    </row>
    <row r="50" spans="1:6" x14ac:dyDescent="0.2">
      <c r="A50" s="31" t="s">
        <v>66</v>
      </c>
      <c r="B50" s="32"/>
      <c r="C50" s="32"/>
      <c r="D50" s="33"/>
      <c r="E50" s="21">
        <f>E33+E40+E48</f>
        <v>0</v>
      </c>
      <c r="F50" s="24"/>
    </row>
    <row r="51" spans="1:6" x14ac:dyDescent="0.2">
      <c r="A51" s="2"/>
    </row>
    <row r="52" spans="1:6" x14ac:dyDescent="0.2">
      <c r="A52" s="26" t="s">
        <v>27</v>
      </c>
      <c r="B52" s="27"/>
      <c r="C52" s="27"/>
      <c r="D52" s="28"/>
      <c r="E52" s="23">
        <f>E50*12</f>
        <v>0</v>
      </c>
    </row>
  </sheetData>
  <mergeCells count="35">
    <mergeCell ref="A1:E1"/>
    <mergeCell ref="A8:E8"/>
    <mergeCell ref="A13:E13"/>
    <mergeCell ref="A23:E23"/>
    <mergeCell ref="A35:E35"/>
    <mergeCell ref="A10:D10"/>
    <mergeCell ref="A11:D11"/>
    <mergeCell ref="A6:D6"/>
    <mergeCell ref="A21:D21"/>
    <mergeCell ref="A31:D31"/>
    <mergeCell ref="A15:C15"/>
    <mergeCell ref="A16:C16"/>
    <mergeCell ref="A17:C17"/>
    <mergeCell ref="A18:C18"/>
    <mergeCell ref="A19:C19"/>
    <mergeCell ref="A20:C20"/>
    <mergeCell ref="A25:C25"/>
    <mergeCell ref="A26:C26"/>
    <mergeCell ref="A27:C27"/>
    <mergeCell ref="A28:C28"/>
    <mergeCell ref="A29:C29"/>
    <mergeCell ref="A30:C30"/>
    <mergeCell ref="A33:D33"/>
    <mergeCell ref="A40:D40"/>
    <mergeCell ref="A44:B44"/>
    <mergeCell ref="A45:B45"/>
    <mergeCell ref="A46:B46"/>
    <mergeCell ref="A42:E42"/>
    <mergeCell ref="A48:D48"/>
    <mergeCell ref="A52:D52"/>
    <mergeCell ref="A37:B37"/>
    <mergeCell ref="A38:B38"/>
    <mergeCell ref="A39:B39"/>
    <mergeCell ref="A50:D50"/>
    <mergeCell ref="A47:B47"/>
  </mergeCells>
  <pageMargins left="0.78740157480314965" right="0.19685039370078741" top="0.59055118110236227" bottom="0.5905511811023622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showGridLines="0" showZeros="0" zoomScaleNormal="100" workbookViewId="0" xr3:uid="{958C4451-9541-5A59-BF78-D2F731DF1C81}">
      <selection activeCell="D16" sqref="D16"/>
    </sheetView>
  </sheetViews>
  <sheetFormatPr defaultRowHeight="15" x14ac:dyDescent="0.2"/>
  <cols>
    <col min="1" max="1" width="60.66796875" customWidth="1"/>
    <col min="2" max="2" width="20.71484375" customWidth="1"/>
  </cols>
  <sheetData>
    <row r="1" spans="1:2" x14ac:dyDescent="0.2">
      <c r="A1" s="37" t="s">
        <v>67</v>
      </c>
      <c r="B1" s="37"/>
    </row>
    <row r="2" spans="1:2" ht="9.9499999999999993" customHeight="1" x14ac:dyDescent="0.2">
      <c r="A2" s="4"/>
    </row>
    <row r="3" spans="1:2" x14ac:dyDescent="0.2">
      <c r="A3" s="6" t="s">
        <v>28</v>
      </c>
      <c r="B3" s="14" t="s">
        <v>22</v>
      </c>
    </row>
    <row r="4" spans="1:2" x14ac:dyDescent="0.2">
      <c r="A4" s="15" t="s">
        <v>29</v>
      </c>
      <c r="B4" s="17">
        <v>0.2</v>
      </c>
    </row>
    <row r="5" spans="1:2" x14ac:dyDescent="0.2">
      <c r="A5" s="15" t="s">
        <v>30</v>
      </c>
      <c r="B5" s="17">
        <v>2.5000000000000001E-2</v>
      </c>
    </row>
    <row r="6" spans="1:2" x14ac:dyDescent="0.2">
      <c r="A6" s="15" t="s">
        <v>31</v>
      </c>
      <c r="B6" s="17">
        <v>1.4999999999999999E-2</v>
      </c>
    </row>
    <row r="7" spans="1:2" x14ac:dyDescent="0.2">
      <c r="A7" s="15" t="s">
        <v>32</v>
      </c>
      <c r="B7" s="17">
        <v>0.01</v>
      </c>
    </row>
    <row r="8" spans="1:2" x14ac:dyDescent="0.2">
      <c r="A8" s="15" t="s">
        <v>33</v>
      </c>
      <c r="B8" s="17">
        <v>6.0000000000000001E-3</v>
      </c>
    </row>
    <row r="9" spans="1:2" x14ac:dyDescent="0.2">
      <c r="A9" s="15" t="s">
        <v>34</v>
      </c>
      <c r="B9" s="17">
        <v>2E-3</v>
      </c>
    </row>
    <row r="10" spans="1:2" x14ac:dyDescent="0.2">
      <c r="A10" s="15" t="s">
        <v>35</v>
      </c>
      <c r="B10" s="17">
        <v>0.02</v>
      </c>
    </row>
    <row r="11" spans="1:2" x14ac:dyDescent="0.2">
      <c r="A11" s="15" t="s">
        <v>36</v>
      </c>
      <c r="B11" s="17">
        <v>0.08</v>
      </c>
    </row>
    <row r="12" spans="1:2" x14ac:dyDescent="0.2">
      <c r="A12" s="16" t="s">
        <v>37</v>
      </c>
      <c r="B12" s="18">
        <f>SUM(B4:B11)</f>
        <v>0.35800000000000004</v>
      </c>
    </row>
    <row r="13" spans="1:2" ht="5.0999999999999996" customHeight="1" x14ac:dyDescent="0.2">
      <c r="A13" s="4"/>
    </row>
    <row r="14" spans="1:2" x14ac:dyDescent="0.2">
      <c r="A14" s="6" t="s">
        <v>38</v>
      </c>
      <c r="B14" s="14" t="s">
        <v>22</v>
      </c>
    </row>
    <row r="15" spans="1:2" x14ac:dyDescent="0.2">
      <c r="A15" s="15" t="s">
        <v>39</v>
      </c>
      <c r="B15" s="17">
        <f>1/12</f>
        <v>8.3333333333333329E-2</v>
      </c>
    </row>
    <row r="16" spans="1:2" x14ac:dyDescent="0.2">
      <c r="A16" s="15" t="s">
        <v>40</v>
      </c>
      <c r="B16" s="17">
        <f>(1+1/3)/12</f>
        <v>0.1111111111111111</v>
      </c>
    </row>
    <row r="17" spans="1:2" x14ac:dyDescent="0.2">
      <c r="A17" s="15" t="s">
        <v>53</v>
      </c>
      <c r="B17" s="17">
        <f>5/360</f>
        <v>1.3888888888888888E-2</v>
      </c>
    </row>
    <row r="18" spans="1:2" x14ac:dyDescent="0.2">
      <c r="A18" s="15" t="s">
        <v>54</v>
      </c>
      <c r="B18" s="17">
        <f>(15/360)*0.03</f>
        <v>1.2499999999999998E-3</v>
      </c>
    </row>
    <row r="19" spans="1:2" x14ac:dyDescent="0.2">
      <c r="A19" s="15" t="s">
        <v>55</v>
      </c>
      <c r="B19" s="17">
        <f>(0.1111*0.02)*(4/12)</f>
        <v>7.406666666666666E-4</v>
      </c>
    </row>
    <row r="20" spans="1:2" x14ac:dyDescent="0.2">
      <c r="A20" s="15" t="s">
        <v>56</v>
      </c>
      <c r="B20" s="17">
        <f>(5/360)*0.02</f>
        <v>2.7777777777777778E-4</v>
      </c>
    </row>
    <row r="21" spans="1:2" x14ac:dyDescent="0.2">
      <c r="A21" s="15" t="s">
        <v>41</v>
      </c>
      <c r="B21" s="17">
        <f>3/360</f>
        <v>8.3333333333333332E-3</v>
      </c>
    </row>
    <row r="22" spans="1:2" x14ac:dyDescent="0.2">
      <c r="A22" s="15" t="s">
        <v>42</v>
      </c>
      <c r="B22" s="17">
        <f>(7/360)*0.1</f>
        <v>1.9444444444444446E-3</v>
      </c>
    </row>
    <row r="23" spans="1:2" x14ac:dyDescent="0.2">
      <c r="A23" s="16" t="s">
        <v>43</v>
      </c>
      <c r="B23" s="18">
        <f>SUM(B15:B22)</f>
        <v>0.22087955555555552</v>
      </c>
    </row>
    <row r="24" spans="1:2" ht="5.0999999999999996" customHeight="1" x14ac:dyDescent="0.2">
      <c r="A24" s="4"/>
    </row>
    <row r="25" spans="1:2" x14ac:dyDescent="0.2">
      <c r="A25" s="6" t="s">
        <v>44</v>
      </c>
      <c r="B25" s="14" t="s">
        <v>22</v>
      </c>
    </row>
    <row r="26" spans="1:2" x14ac:dyDescent="0.2">
      <c r="A26" s="15" t="s">
        <v>45</v>
      </c>
      <c r="B26" s="17">
        <f>(1+1/12+1.3333/12)/12*(1+(0.08*1.5))*0.05</f>
        <v>5.5740611111111116E-3</v>
      </c>
    </row>
    <row r="27" spans="1:2" x14ac:dyDescent="0.2">
      <c r="A27" s="15" t="s">
        <v>46</v>
      </c>
      <c r="B27" s="17">
        <f>(1/12)*0.01</f>
        <v>8.3333333333333328E-4</v>
      </c>
    </row>
    <row r="28" spans="1:2" x14ac:dyDescent="0.2">
      <c r="A28" s="15" t="s">
        <v>47</v>
      </c>
      <c r="B28" s="17">
        <f>(0.08*0.5)*0.9</f>
        <v>3.6000000000000004E-2</v>
      </c>
    </row>
    <row r="29" spans="1:2" x14ac:dyDescent="0.2">
      <c r="A29" s="16" t="s">
        <v>48</v>
      </c>
      <c r="B29" s="18">
        <f>SUM(B26:B28)</f>
        <v>4.2407394444444448E-2</v>
      </c>
    </row>
    <row r="30" spans="1:2" ht="5.0999999999999996" customHeight="1" x14ac:dyDescent="0.2">
      <c r="A30" s="4"/>
    </row>
    <row r="31" spans="1:2" x14ac:dyDescent="0.2">
      <c r="A31" s="6" t="s">
        <v>49</v>
      </c>
      <c r="B31" s="14" t="s">
        <v>22</v>
      </c>
    </row>
    <row r="32" spans="1:2" x14ac:dyDescent="0.2">
      <c r="A32" s="15" t="s">
        <v>50</v>
      </c>
      <c r="B32" s="17">
        <f>B12*B23</f>
        <v>7.9074880888888893E-2</v>
      </c>
    </row>
    <row r="33" spans="1:2" x14ac:dyDescent="0.2">
      <c r="A33" s="16" t="s">
        <v>51</v>
      </c>
      <c r="B33" s="18">
        <f>B32</f>
        <v>7.9074880888888893E-2</v>
      </c>
    </row>
    <row r="34" spans="1:2" ht="9.9499999999999993" customHeight="1" x14ac:dyDescent="0.2">
      <c r="A34" s="4"/>
    </row>
    <row r="35" spans="1:2" x14ac:dyDescent="0.2">
      <c r="A35" s="10" t="s">
        <v>52</v>
      </c>
      <c r="B35" s="19">
        <f>B12+B23+B29+B33</f>
        <v>0.70036183088888893</v>
      </c>
    </row>
  </sheetData>
  <mergeCells count="1">
    <mergeCell ref="A1:B1"/>
  </mergeCells>
  <pageMargins left="0.78740157480314965" right="0.39370078740157483" top="0.78740157480314965" bottom="0.59055118110236227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Encargos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adcur.alex</dc:creator>
  <cp:lastModifiedBy>X</cp:lastModifiedBy>
  <cp:lastPrinted>2009-03-05T15:45:59Z</cp:lastPrinted>
  <dcterms:created xsi:type="dcterms:W3CDTF">2009-03-05T14:54:45Z</dcterms:created>
  <dcterms:modified xsi:type="dcterms:W3CDTF">2018-02-21T10:46:01Z</dcterms:modified>
</cp:coreProperties>
</file>