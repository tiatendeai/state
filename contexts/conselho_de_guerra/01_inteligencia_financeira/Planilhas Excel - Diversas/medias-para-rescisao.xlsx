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Delmiro\Documentos\Planilhas\"/>
    </mc:Choice>
  </mc:AlternateContent>
  <xr:revisionPtr revIDLastSave="0" documentId="13_ncr:1_{E6D8F18D-36A6-40F3-8BE6-90FAC8009C8D}" xr6:coauthVersionLast="34" xr6:coauthVersionMax="34" xr10:uidLastSave="{00000000-0000-0000-0000-000000000000}"/>
  <workbookProtection workbookPassword="EF07" lockStructure="1"/>
  <bookViews>
    <workbookView xWindow="0" yWindow="0" windowWidth="15120" windowHeight="7455" xr2:uid="{CFA2D026-343A-4531-B74D-0256E6D605EF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G22" i="1"/>
  <c r="D22" i="1"/>
  <c r="C22" i="1"/>
  <c r="H4" i="1"/>
  <c r="G4" i="1"/>
  <c r="D4" i="1"/>
  <c r="C4" i="1"/>
  <c r="F6" i="1" l="1"/>
  <c r="G36" i="1"/>
  <c r="D36" i="1"/>
  <c r="C36" i="1"/>
  <c r="H35" i="1" l="1"/>
  <c r="H36" i="1" s="1"/>
  <c r="G35" i="1"/>
  <c r="D35" i="1"/>
  <c r="C35" i="1"/>
  <c r="H17" i="1"/>
  <c r="H18" i="1" s="1"/>
  <c r="G17" i="1"/>
  <c r="G18" i="1" s="1"/>
  <c r="D17" i="1"/>
  <c r="C17" i="1"/>
  <c r="F24" i="1" l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B24" i="1"/>
  <c r="B25" i="1" s="1"/>
  <c r="B26" i="1" s="1"/>
  <c r="B27" i="1" s="1"/>
  <c r="B28" i="1" s="1"/>
  <c r="B6" i="1"/>
  <c r="B7" i="1" s="1"/>
  <c r="D41" i="1"/>
  <c r="D40" i="1"/>
  <c r="B8" i="1" l="1"/>
  <c r="B9" i="1" s="1"/>
  <c r="B10" i="1" s="1"/>
  <c r="B11" i="1" s="1"/>
  <c r="B12" i="1" s="1"/>
  <c r="B13" i="1" s="1"/>
  <c r="B14" i="1" s="1"/>
  <c r="B15" i="1" s="1"/>
  <c r="B16" i="1" s="1"/>
  <c r="D44" i="1"/>
  <c r="H39" i="1" s="1"/>
  <c r="D18" i="1" l="1"/>
  <c r="C18" i="1"/>
  <c r="H38" i="1"/>
  <c r="H41" i="1" l="1"/>
  <c r="H44" i="1"/>
  <c r="H42" i="1"/>
  <c r="H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Delmiro Martins</author>
  </authors>
  <commentList>
    <comment ref="C39" authorId="0" shapeId="0" xr:uid="{E83A34E8-1B87-4538-80F7-55B0137F5A09}">
      <text>
        <r>
          <rPr>
            <b/>
            <sz val="9"/>
            <color indexed="81"/>
            <rFont val="Segoe UI"/>
            <family val="2"/>
          </rPr>
          <t>Delmiro Martins:</t>
        </r>
        <r>
          <rPr>
            <sz val="9"/>
            <color indexed="81"/>
            <rFont val="Segoe UI"/>
            <family val="2"/>
          </rPr>
          <t xml:space="preserve">
Lançar Carga Horária Mensal (em numeral, não pode lançar horas)</t>
        </r>
      </text>
    </comment>
  </commentList>
</comments>
</file>

<file path=xl/sharedStrings.xml><?xml version="1.0" encoding="utf-8"?>
<sst xmlns="http://schemas.openxmlformats.org/spreadsheetml/2006/main" count="42" uniqueCount="24">
  <si>
    <t>Salário</t>
  </si>
  <si>
    <t>Anuenio</t>
  </si>
  <si>
    <t>Adicional Noturno</t>
  </si>
  <si>
    <t>Base de Cálculo Hora Extra</t>
  </si>
  <si>
    <t>Descrição</t>
  </si>
  <si>
    <t>Valor</t>
  </si>
  <si>
    <t>Férias Vencidas</t>
  </si>
  <si>
    <t>Competência</t>
  </si>
  <si>
    <t>Total de Horas</t>
  </si>
  <si>
    <t>Média</t>
  </si>
  <si>
    <t>Férias Proporcionais</t>
  </si>
  <si>
    <t>Ref.</t>
  </si>
  <si>
    <t>13o Salário</t>
  </si>
  <si>
    <t>Aviso Prévio Indenizado</t>
  </si>
  <si>
    <t>Base Cálculo Férias Vencidas</t>
  </si>
  <si>
    <t>Base Cálculo Férias Proporc.</t>
  </si>
  <si>
    <t>Base Cálculo 13o. Salário</t>
  </si>
  <si>
    <t>Base Cálculo Aviso Indenizado</t>
  </si>
  <si>
    <t>Valor Hora Extra</t>
  </si>
  <si>
    <t>Outro Ad. Fixo</t>
  </si>
  <si>
    <t>Outras Médias Variáveis (ex.: comissão, DSR, outros)</t>
  </si>
  <si>
    <t>Este Material foi produzido por Delmiro Martins de Farias. Nos termos da Lei n° 9.610, de 19 de fevereiro de 1998, que regula os direitos autorais, é proibida a reprodução total ou parcial, bem como a produção de apostilas a partir desta obra, por qualquer forma, meio eletrônico ou mecânico, inclusive através de processos reprográficos, fotocópias ou gravações - sem a devida citação do autor. A reprodução não autorizada, além das sanções civis (apreensão e indenização), está sujeita as penalidades que trata o artigo 184 do Código Penal.</t>
  </si>
  <si>
    <t xml:space="preserve">Quant. H E. </t>
  </si>
  <si>
    <t>Curta nossa página no facebook e fique por dentro das mudanças na área trabalhista em: https://www.facebook.com/PointdoRH/           Email: del.martins@pointdorh.com.br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</si>
</sst>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yy;@"/>
    <numFmt numFmtId="165" formatCode="h:mm;@"/>
  </numFmts>
  <fonts count="8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 applyProtection="1">
      <alignment horizontal="left" vertical="center" indent="1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 shrinkToFit="1"/>
      <protection locked="0"/>
    </xf>
    <xf numFmtId="164" fontId="2" fillId="0" borderId="1" xfId="0" applyNumberFormat="1" applyFont="1" applyBorder="1" applyAlignment="1" applyProtection="1">
      <alignment horizontal="left" vertical="center" indent="1" shrinkToFit="1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 inden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14" xfId="1" applyNumberFormat="1" applyFont="1" applyBorder="1" applyAlignment="1" applyProtection="1">
      <alignment horizontal="center" vertical="center"/>
      <protection locked="0"/>
    </xf>
    <xf numFmtId="44" fontId="0" fillId="0" borderId="15" xfId="2" applyFont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44" fontId="0" fillId="0" borderId="7" xfId="2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44" fontId="0" fillId="0" borderId="10" xfId="2" applyFont="1" applyBorder="1" applyAlignment="1" applyProtection="1">
      <alignment vertical="center"/>
      <protection locked="0"/>
    </xf>
    <xf numFmtId="44" fontId="5" fillId="3" borderId="12" xfId="2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4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vertical="center"/>
    </xf>
    <xf numFmtId="0" fontId="4" fillId="4" borderId="1" xfId="0" applyFont="1" applyFill="1" applyBorder="1" applyAlignment="1" applyProtection="1">
      <alignment horizontal="left" vertical="center" indent="1"/>
      <protection hidden="1"/>
    </xf>
    <xf numFmtId="0" fontId="3" fillId="0" borderId="1" xfId="0" applyFont="1" applyBorder="1" applyAlignment="1" applyProtection="1">
      <alignment horizontal="left" vertical="center" indent="1"/>
      <protection hidden="1"/>
    </xf>
    <xf numFmtId="0" fontId="0" fillId="0" borderId="2" xfId="0" applyBorder="1" applyAlignment="1" applyProtection="1">
      <alignment horizontal="left" vertical="center" indent="1"/>
      <protection hidden="1"/>
    </xf>
    <xf numFmtId="44" fontId="0" fillId="0" borderId="4" xfId="0" applyNumberFormat="1" applyBorder="1" applyAlignment="1" applyProtection="1">
      <alignment vertical="center"/>
      <protection hidden="1"/>
    </xf>
    <xf numFmtId="0" fontId="0" fillId="0" borderId="2" xfId="0" applyBorder="1" applyAlignment="1" applyProtection="1">
      <alignment vertical="center"/>
      <protection hidden="1"/>
    </xf>
    <xf numFmtId="44" fontId="0" fillId="0" borderId="5" xfId="0" applyNumberFormat="1" applyBorder="1" applyAlignment="1" applyProtection="1">
      <alignment vertical="center"/>
      <protection hidden="1"/>
    </xf>
    <xf numFmtId="44" fontId="3" fillId="3" borderId="12" xfId="2" applyFont="1" applyFill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 wrapText="1" shrinkToFit="1"/>
    </xf>
    <xf numFmtId="9" fontId="3" fillId="0" borderId="1" xfId="0" applyNumberFormat="1" applyFont="1" applyBorder="1" applyAlignment="1" applyProtection="1">
      <alignment horizontal="center" vertical="center" wrapText="1" shrinkToFit="1"/>
    </xf>
    <xf numFmtId="9" fontId="0" fillId="0" borderId="3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textRotation="90" wrapText="1"/>
    </xf>
    <xf numFmtId="2" fontId="3" fillId="4" borderId="1" xfId="0" applyNumberFormat="1" applyFont="1" applyFill="1" applyBorder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textRotation="90" wrapText="1"/>
    </xf>
    <xf numFmtId="0" fontId="4" fillId="0" borderId="0" xfId="0" applyFont="1" applyAlignment="1" applyProtection="1">
      <alignment horizontal="justify"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 indent="1" shrinkToFit="1"/>
      <protection hidden="1"/>
    </xf>
    <xf numFmtId="0" fontId="0" fillId="0" borderId="4" xfId="0" applyBorder="1" applyAlignment="1" applyProtection="1">
      <alignment horizontal="left" vertical="center" indent="1" shrinkToFit="1"/>
      <protection hidden="1"/>
    </xf>
    <xf numFmtId="0" fontId="3" fillId="3" borderId="2" xfId="0" applyFont="1" applyFill="1" applyBorder="1" applyAlignment="1" applyProtection="1">
      <alignment horizontal="left" vertical="center" indent="1"/>
      <protection hidden="1"/>
    </xf>
    <xf numFmtId="0" fontId="3" fillId="3" borderId="11" xfId="0" applyFont="1" applyFill="1" applyBorder="1" applyAlignment="1" applyProtection="1">
      <alignment horizontal="left" vertical="center" indent="1"/>
      <protection hidden="1"/>
    </xf>
    <xf numFmtId="0" fontId="5" fillId="3" borderId="2" xfId="0" applyFont="1" applyFill="1" applyBorder="1" applyAlignment="1" applyProtection="1">
      <alignment horizontal="left" vertical="center" wrapText="1" indent="1"/>
      <protection locked="0"/>
    </xf>
    <xf numFmtId="0" fontId="5" fillId="3" borderId="11" xfId="0" applyFont="1" applyFill="1" applyBorder="1" applyAlignment="1" applyProtection="1">
      <alignment horizontal="left" vertical="center" wrapText="1" indent="1"/>
      <protection locked="0"/>
    </xf>
    <xf numFmtId="0" fontId="0" fillId="0" borderId="3" xfId="0" applyBorder="1" applyAlignment="1" applyProtection="1">
      <alignment horizontal="left" vertical="center" indent="1" shrinkToFit="1"/>
      <protection hidden="1"/>
    </xf>
    <xf numFmtId="0" fontId="3" fillId="0" borderId="9" xfId="0" applyFont="1" applyBorder="1" applyAlignment="1" applyProtection="1">
      <alignment horizontal="center" vertical="center" wrapText="1" shrinkToFit="1"/>
    </xf>
    <xf numFmtId="0" fontId="3" fillId="0" borderId="14" xfId="0" applyFont="1" applyBorder="1" applyAlignment="1" applyProtection="1">
      <alignment horizontal="center" vertical="center" wrapText="1" shrinkToFi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65576</xdr:colOff>
      <xdr:row>0</xdr:row>
      <xdr:rowOff>63501</xdr:rowOff>
    </xdr:from>
    <xdr:to>
      <xdr:col>4</xdr:col>
      <xdr:colOff>903867</xdr:colOff>
      <xdr:row>7</xdr:row>
      <xdr:rowOff>10115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595146D-E7EB-499A-8FF5-88ED4E3AF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527540" y="236787"/>
          <a:ext cx="1184864" cy="838291"/>
        </a:xfrm>
        <a:prstGeom prst="rect">
          <a:avLst/>
        </a:prstGeom>
      </xdr:spPr>
    </xdr:pic>
    <xdr:clientData/>
  </xdr:twoCellAnchor>
  <xdr:twoCellAnchor editAs="oneCell">
    <xdr:from>
      <xdr:col>4</xdr:col>
      <xdr:colOff>63505</xdr:colOff>
      <xdr:row>40</xdr:row>
      <xdr:rowOff>158747</xdr:rowOff>
    </xdr:from>
    <xdr:to>
      <xdr:col>4</xdr:col>
      <xdr:colOff>901796</xdr:colOff>
      <xdr:row>44</xdr:row>
      <xdr:rowOff>412278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049C98-389E-4D88-91D1-4E5B8436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525469" y="8163700"/>
          <a:ext cx="1184864" cy="838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B307-FD9D-4926-A452-41FDDDF4190F}">
  <dimension ref="B1:P54"/>
  <sheetViews>
    <sheetView showGridLines="0" tabSelected="1" topLeftCell="A28" zoomScale="90" zoomScaleNormal="90" workbookViewId="0">
      <selection activeCell="H38" sqref="H38"/>
    </sheetView>
  </sheetViews>
  <sheetFormatPr defaultRowHeight="21" customHeight="1" x14ac:dyDescent="0.2"/>
  <cols>
    <col min="1" max="1" width="0.83203125" style="3" customWidth="1"/>
    <col min="2" max="2" width="17.83203125" style="1" customWidth="1"/>
    <col min="3" max="3" width="12.83203125" style="3" customWidth="1"/>
    <col min="4" max="4" width="14.6640625" style="3" customWidth="1"/>
    <col min="5" max="5" width="16.83203125" style="25" customWidth="1"/>
    <col min="6" max="6" width="17.83203125" style="3" customWidth="1"/>
    <col min="7" max="7" width="12.5" style="3" customWidth="1"/>
    <col min="8" max="8" width="14.83203125" style="3" customWidth="1"/>
    <col min="9" max="9" width="0.83203125" style="3" customWidth="1"/>
    <col min="10" max="10" width="16.83203125" style="3" customWidth="1"/>
    <col min="11" max="12" width="11.83203125" style="3" customWidth="1"/>
    <col min="13" max="13" width="4.83203125" style="3" customWidth="1"/>
    <col min="14" max="14" width="16.83203125" style="3" customWidth="1"/>
    <col min="15" max="16" width="14.83203125" style="3" customWidth="1"/>
    <col min="17" max="16384" width="9.33203125" style="3"/>
  </cols>
  <sheetData>
    <row r="1" spans="2:8" ht="6" customHeight="1" x14ac:dyDescent="0.2">
      <c r="C1" s="2"/>
      <c r="D1" s="2"/>
    </row>
    <row r="2" spans="2:8" ht="18" customHeight="1" x14ac:dyDescent="0.2">
      <c r="B2" s="41" t="s">
        <v>6</v>
      </c>
      <c r="C2" s="41"/>
      <c r="D2" s="41"/>
      <c r="E2" s="36"/>
      <c r="F2" s="41" t="s">
        <v>10</v>
      </c>
      <c r="G2" s="41"/>
      <c r="H2" s="41"/>
    </row>
    <row r="3" spans="2:8" s="4" customFormat="1" ht="14.25" customHeight="1" x14ac:dyDescent="0.2">
      <c r="B3" s="49" t="s">
        <v>7</v>
      </c>
      <c r="C3" s="33" t="s">
        <v>22</v>
      </c>
      <c r="D3" s="33" t="s">
        <v>22</v>
      </c>
      <c r="E3" s="36"/>
      <c r="F3" s="49" t="s">
        <v>7</v>
      </c>
      <c r="G3" s="33" t="s">
        <v>22</v>
      </c>
      <c r="H3" s="33" t="s">
        <v>22</v>
      </c>
    </row>
    <row r="4" spans="2:8" s="4" customFormat="1" ht="14.25" customHeight="1" x14ac:dyDescent="0.2">
      <c r="B4" s="50"/>
      <c r="C4" s="34">
        <f>$G$38</f>
        <v>0.6</v>
      </c>
      <c r="D4" s="34">
        <f>$G$39</f>
        <v>1</v>
      </c>
      <c r="E4" s="36"/>
      <c r="F4" s="50"/>
      <c r="G4" s="34">
        <f>$G$38</f>
        <v>0.6</v>
      </c>
      <c r="H4" s="34">
        <f>$G$39</f>
        <v>1</v>
      </c>
    </row>
    <row r="5" spans="2:8" ht="15" customHeight="1" x14ac:dyDescent="0.2">
      <c r="B5" s="5">
        <v>42675</v>
      </c>
      <c r="C5" s="6">
        <v>5.6944444444444443E-2</v>
      </c>
      <c r="D5" s="6">
        <v>8.3333333333333329E-2</v>
      </c>
      <c r="E5" s="36"/>
      <c r="F5" s="5">
        <v>43040</v>
      </c>
      <c r="G5" s="6">
        <v>4.1666666666666664E-2</v>
      </c>
      <c r="H5" s="6">
        <v>4.1666666666666664E-2</v>
      </c>
    </row>
    <row r="6" spans="2:8" ht="15" customHeight="1" x14ac:dyDescent="0.2">
      <c r="B6" s="5">
        <f>EOMONTH(B5,1)</f>
        <v>42735</v>
      </c>
      <c r="C6" s="6">
        <v>4.1666666666666664E-2</v>
      </c>
      <c r="D6" s="6">
        <v>8.3333333333333329E-2</v>
      </c>
      <c r="E6" s="36"/>
      <c r="F6" s="5">
        <f>EOMONTH(F5,1)</f>
        <v>43100</v>
      </c>
      <c r="G6" s="6"/>
      <c r="H6" s="6"/>
    </row>
    <row r="7" spans="2:8" ht="15" customHeight="1" x14ac:dyDescent="0.2">
      <c r="B7" s="5">
        <f t="shared" ref="B7:B16" si="0">EOMONTH(B6,1)</f>
        <v>42766</v>
      </c>
      <c r="C7" s="6">
        <v>4.1666666666666664E-2</v>
      </c>
      <c r="D7" s="6">
        <v>8.3333333333333329E-2</v>
      </c>
      <c r="E7" s="36"/>
      <c r="F7" s="5"/>
      <c r="G7" s="6"/>
      <c r="H7" s="6"/>
    </row>
    <row r="8" spans="2:8" ht="15" customHeight="1" x14ac:dyDescent="0.2">
      <c r="B8" s="5">
        <f t="shared" si="0"/>
        <v>42794</v>
      </c>
      <c r="C8" s="6">
        <v>4.1666666666666664E-2</v>
      </c>
      <c r="D8" s="6">
        <v>8.3333333333333329E-2</v>
      </c>
      <c r="E8" s="36"/>
      <c r="F8" s="5"/>
      <c r="G8" s="6"/>
      <c r="H8" s="6"/>
    </row>
    <row r="9" spans="2:8" ht="15" customHeight="1" x14ac:dyDescent="0.2">
      <c r="B9" s="5">
        <f t="shared" si="0"/>
        <v>42825</v>
      </c>
      <c r="C9" s="6">
        <v>4.1666666666666664E-2</v>
      </c>
      <c r="D9" s="6">
        <v>8.3333333333333329E-2</v>
      </c>
      <c r="E9" s="36"/>
      <c r="F9" s="5"/>
      <c r="G9" s="6"/>
      <c r="H9" s="6"/>
    </row>
    <row r="10" spans="2:8" ht="15" customHeight="1" x14ac:dyDescent="0.2">
      <c r="B10" s="5">
        <f t="shared" si="0"/>
        <v>42855</v>
      </c>
      <c r="C10" s="6">
        <v>4.1666666666666664E-2</v>
      </c>
      <c r="D10" s="6">
        <v>8.3333333333333329E-2</v>
      </c>
      <c r="E10" s="36"/>
      <c r="F10" s="5"/>
      <c r="G10" s="6"/>
      <c r="H10" s="6"/>
    </row>
    <row r="11" spans="2:8" ht="15" customHeight="1" x14ac:dyDescent="0.2">
      <c r="B11" s="5">
        <f t="shared" si="0"/>
        <v>42886</v>
      </c>
      <c r="C11" s="6">
        <v>4.1666666666666664E-2</v>
      </c>
      <c r="D11" s="6">
        <v>8.3333333333333329E-2</v>
      </c>
      <c r="E11" s="36"/>
      <c r="F11" s="5"/>
      <c r="G11" s="6"/>
      <c r="H11" s="6"/>
    </row>
    <row r="12" spans="2:8" ht="15" customHeight="1" x14ac:dyDescent="0.2">
      <c r="B12" s="5">
        <f t="shared" si="0"/>
        <v>42916</v>
      </c>
      <c r="C12" s="6">
        <v>4.1666666666666664E-2</v>
      </c>
      <c r="D12" s="6">
        <v>8.3333333333333329E-2</v>
      </c>
      <c r="E12" s="39" t="s">
        <v>23</v>
      </c>
      <c r="F12" s="5"/>
      <c r="G12" s="6"/>
      <c r="H12" s="6"/>
    </row>
    <row r="13" spans="2:8" ht="15" customHeight="1" x14ac:dyDescent="0.2">
      <c r="B13" s="5">
        <f t="shared" si="0"/>
        <v>42947</v>
      </c>
      <c r="C13" s="6">
        <v>4.1666666666666664E-2</v>
      </c>
      <c r="D13" s="6">
        <v>8.3333333333333329E-2</v>
      </c>
      <c r="E13" s="39"/>
      <c r="F13" s="5"/>
      <c r="G13" s="6"/>
      <c r="H13" s="6"/>
    </row>
    <row r="14" spans="2:8" ht="15" customHeight="1" x14ac:dyDescent="0.2">
      <c r="B14" s="5">
        <f t="shared" si="0"/>
        <v>42978</v>
      </c>
      <c r="C14" s="6">
        <v>4.1666666666666664E-2</v>
      </c>
      <c r="D14" s="6">
        <v>8.3333333333333329E-2</v>
      </c>
      <c r="E14" s="39"/>
      <c r="F14" s="5"/>
      <c r="G14" s="6"/>
      <c r="H14" s="6"/>
    </row>
    <row r="15" spans="2:8" ht="15" customHeight="1" x14ac:dyDescent="0.2">
      <c r="B15" s="5">
        <f t="shared" si="0"/>
        <v>43008</v>
      </c>
      <c r="C15" s="6">
        <v>4.1666666666666664E-2</v>
      </c>
      <c r="D15" s="6">
        <v>8.3333333333333329E-2</v>
      </c>
      <c r="E15" s="39"/>
      <c r="F15" s="5"/>
      <c r="G15" s="6"/>
      <c r="H15" s="6"/>
    </row>
    <row r="16" spans="2:8" ht="15" customHeight="1" x14ac:dyDescent="0.2">
      <c r="B16" s="5">
        <f t="shared" si="0"/>
        <v>43039</v>
      </c>
      <c r="C16" s="6">
        <v>4.1666666666666664E-2</v>
      </c>
      <c r="D16" s="6">
        <v>8.3333333333333329E-2</v>
      </c>
      <c r="E16" s="39"/>
      <c r="F16" s="5"/>
      <c r="G16" s="6"/>
      <c r="H16" s="6"/>
    </row>
    <row r="17" spans="2:16" ht="18" customHeight="1" x14ac:dyDescent="0.2">
      <c r="B17" s="26" t="s">
        <v>8</v>
      </c>
      <c r="C17" s="37">
        <f>SUM(C5:C16)*24</f>
        <v>12.366666666666667</v>
      </c>
      <c r="D17" s="37">
        <f>SUM(D5:D16)*24</f>
        <v>24</v>
      </c>
      <c r="E17" s="39"/>
      <c r="F17" s="26" t="s">
        <v>8</v>
      </c>
      <c r="G17" s="37">
        <f>SUM(G5:G16)*24</f>
        <v>1</v>
      </c>
      <c r="H17" s="37">
        <f>SUM(H5:H16)*24</f>
        <v>1</v>
      </c>
    </row>
    <row r="18" spans="2:16" ht="18" customHeight="1" x14ac:dyDescent="0.2">
      <c r="B18" s="27" t="s">
        <v>9</v>
      </c>
      <c r="C18" s="38">
        <f>IF(COUNTA($B5:$B16)&lt;&gt;0,C17/(COUNTA($B5:$B16)),"")</f>
        <v>1.0305555555555557</v>
      </c>
      <c r="D18" s="38">
        <f>IF(COUNTA($B5:$B16)&lt;&gt;0,D17/(COUNTA($B5:$B16)),"")</f>
        <v>2</v>
      </c>
      <c r="E18" s="39"/>
      <c r="F18" s="27" t="s">
        <v>9</v>
      </c>
      <c r="G18" s="38">
        <f>IF(COUNTA($F5:$F16)&lt;&gt;0,G17/(COUNTA($F5:$F16)),"")</f>
        <v>0.5</v>
      </c>
      <c r="H18" s="38">
        <f>IF(COUNTA($F5:$F16)&lt;&gt;0,H17/(COUNTA($F5:$F16)),"")</f>
        <v>0.5</v>
      </c>
    </row>
    <row r="19" spans="2:16" ht="15" customHeight="1" x14ac:dyDescent="0.2">
      <c r="B19" s="7"/>
      <c r="C19" s="8"/>
      <c r="D19" s="8"/>
      <c r="E19" s="39"/>
      <c r="F19" s="7"/>
      <c r="G19" s="8"/>
      <c r="H19" s="8"/>
      <c r="J19" s="7"/>
      <c r="K19" s="8"/>
      <c r="L19" s="8"/>
      <c r="N19" s="7"/>
      <c r="O19" s="8"/>
      <c r="P19" s="8"/>
    </row>
    <row r="20" spans="2:16" ht="21" customHeight="1" x14ac:dyDescent="0.2">
      <c r="B20" s="41" t="s">
        <v>12</v>
      </c>
      <c r="C20" s="41"/>
      <c r="D20" s="41"/>
      <c r="E20" s="39"/>
      <c r="F20" s="41" t="s">
        <v>13</v>
      </c>
      <c r="G20" s="41"/>
      <c r="H20" s="41"/>
      <c r="J20" s="7"/>
      <c r="K20" s="8"/>
      <c r="L20" s="8"/>
      <c r="N20" s="7"/>
      <c r="O20" s="8"/>
      <c r="P20" s="8"/>
    </row>
    <row r="21" spans="2:16" s="4" customFormat="1" ht="15" customHeight="1" x14ac:dyDescent="0.2">
      <c r="B21" s="49" t="s">
        <v>7</v>
      </c>
      <c r="C21" s="33" t="s">
        <v>22</v>
      </c>
      <c r="D21" s="33" t="s">
        <v>22</v>
      </c>
      <c r="E21" s="39"/>
      <c r="F21" s="49" t="s">
        <v>7</v>
      </c>
      <c r="G21" s="33" t="s">
        <v>22</v>
      </c>
      <c r="H21" s="33" t="s">
        <v>22</v>
      </c>
    </row>
    <row r="22" spans="2:16" s="4" customFormat="1" ht="15" customHeight="1" x14ac:dyDescent="0.2">
      <c r="B22" s="50"/>
      <c r="C22" s="34">
        <f>$G$38</f>
        <v>0.6</v>
      </c>
      <c r="D22" s="34">
        <f>$G$39</f>
        <v>1</v>
      </c>
      <c r="E22" s="39"/>
      <c r="F22" s="50"/>
      <c r="G22" s="34">
        <f>$G$38</f>
        <v>0.6</v>
      </c>
      <c r="H22" s="34">
        <f>$G$39</f>
        <v>1</v>
      </c>
    </row>
    <row r="23" spans="2:16" ht="15" customHeight="1" x14ac:dyDescent="0.2">
      <c r="B23" s="5">
        <v>43101</v>
      </c>
      <c r="C23" s="6">
        <v>5.6944444444444443E-2</v>
      </c>
      <c r="D23" s="6">
        <v>8.3333333333333329E-2</v>
      </c>
      <c r="E23" s="39"/>
      <c r="F23" s="5">
        <v>42887</v>
      </c>
      <c r="G23" s="6">
        <v>5.6944444444444443E-2</v>
      </c>
      <c r="H23" s="6">
        <v>8.3333333333333329E-2</v>
      </c>
      <c r="J23" s="7"/>
      <c r="K23" s="8"/>
      <c r="L23" s="8"/>
      <c r="N23" s="7"/>
      <c r="O23" s="8"/>
      <c r="P23" s="8"/>
    </row>
    <row r="24" spans="2:16" ht="15" customHeight="1" x14ac:dyDescent="0.2">
      <c r="B24" s="5">
        <f t="shared" ref="B24:B28" si="1">EOMONTH(B23,1)</f>
        <v>43159</v>
      </c>
      <c r="C24" s="6">
        <v>4.1666666666666664E-2</v>
      </c>
      <c r="D24" s="6">
        <v>8.3333333333333329E-2</v>
      </c>
      <c r="E24" s="39"/>
      <c r="F24" s="5">
        <f t="shared" ref="F24:F34" si="2">EOMONTH(F23,1)</f>
        <v>42947</v>
      </c>
      <c r="G24" s="6">
        <v>4.1666666666666664E-2</v>
      </c>
      <c r="H24" s="6">
        <v>8.3333333333333329E-2</v>
      </c>
      <c r="J24" s="7"/>
      <c r="K24" s="8"/>
      <c r="L24" s="8"/>
      <c r="N24" s="7"/>
      <c r="O24" s="8"/>
      <c r="P24" s="8"/>
    </row>
    <row r="25" spans="2:16" ht="15" customHeight="1" x14ac:dyDescent="0.2">
      <c r="B25" s="5">
        <f t="shared" si="1"/>
        <v>43190</v>
      </c>
      <c r="C25" s="6">
        <v>4.1666666666666664E-2</v>
      </c>
      <c r="D25" s="6">
        <v>8.3333333333333329E-2</v>
      </c>
      <c r="E25" s="39"/>
      <c r="F25" s="5">
        <f t="shared" si="2"/>
        <v>42978</v>
      </c>
      <c r="G25" s="6">
        <v>4.1666666666666664E-2</v>
      </c>
      <c r="H25" s="6">
        <v>8.3333333333333329E-2</v>
      </c>
      <c r="J25" s="7"/>
      <c r="K25" s="8"/>
      <c r="L25" s="8"/>
      <c r="N25" s="7"/>
      <c r="O25" s="8"/>
      <c r="P25" s="8"/>
    </row>
    <row r="26" spans="2:16" ht="15" customHeight="1" x14ac:dyDescent="0.2">
      <c r="B26" s="5">
        <f t="shared" si="1"/>
        <v>43220</v>
      </c>
      <c r="C26" s="6">
        <v>4.1666666666666664E-2</v>
      </c>
      <c r="D26" s="6">
        <v>8.3333333333333329E-2</v>
      </c>
      <c r="E26" s="39"/>
      <c r="F26" s="5">
        <f t="shared" si="2"/>
        <v>43008</v>
      </c>
      <c r="G26" s="6">
        <v>4.1666666666666664E-2</v>
      </c>
      <c r="H26" s="6">
        <v>8.3333333333333329E-2</v>
      </c>
      <c r="J26" s="7"/>
      <c r="K26" s="8"/>
      <c r="L26" s="8"/>
      <c r="N26" s="7"/>
      <c r="O26" s="8"/>
      <c r="P26" s="8"/>
    </row>
    <row r="27" spans="2:16" ht="15" customHeight="1" x14ac:dyDescent="0.2">
      <c r="B27" s="5">
        <f t="shared" si="1"/>
        <v>43251</v>
      </c>
      <c r="C27" s="6">
        <v>4.1666666666666664E-2</v>
      </c>
      <c r="D27" s="6">
        <v>8.3333333333333329E-2</v>
      </c>
      <c r="E27" s="39"/>
      <c r="F27" s="5">
        <f t="shared" si="2"/>
        <v>43039</v>
      </c>
      <c r="G27" s="6">
        <v>4.1666666666666664E-2</v>
      </c>
      <c r="H27" s="6">
        <v>8.3333333333333329E-2</v>
      </c>
      <c r="J27" s="7"/>
      <c r="K27" s="8"/>
      <c r="L27" s="8"/>
      <c r="N27" s="7"/>
      <c r="O27" s="8"/>
      <c r="P27" s="8"/>
    </row>
    <row r="28" spans="2:16" ht="15" customHeight="1" x14ac:dyDescent="0.2">
      <c r="B28" s="5">
        <f t="shared" si="1"/>
        <v>43281</v>
      </c>
      <c r="C28" s="6">
        <v>4.1666666666666664E-2</v>
      </c>
      <c r="D28" s="6">
        <v>8.3333333333333329E-2</v>
      </c>
      <c r="E28" s="39"/>
      <c r="F28" s="5">
        <f t="shared" si="2"/>
        <v>43069</v>
      </c>
      <c r="G28" s="6">
        <v>4.1666666666666664E-2</v>
      </c>
      <c r="H28" s="6">
        <v>8.3333333333333329E-2</v>
      </c>
      <c r="J28" s="7"/>
      <c r="K28" s="8"/>
      <c r="L28" s="8"/>
      <c r="N28" s="7"/>
      <c r="O28" s="8"/>
      <c r="P28" s="8"/>
    </row>
    <row r="29" spans="2:16" ht="15" customHeight="1" x14ac:dyDescent="0.2">
      <c r="B29" s="5"/>
      <c r="C29" s="6"/>
      <c r="D29" s="6"/>
      <c r="E29" s="39"/>
      <c r="F29" s="5">
        <f t="shared" si="2"/>
        <v>43100</v>
      </c>
      <c r="G29" s="6">
        <v>4.1666666666666664E-2</v>
      </c>
      <c r="H29" s="6">
        <v>8.3333333333333329E-2</v>
      </c>
      <c r="J29" s="7"/>
      <c r="K29" s="8"/>
      <c r="L29" s="8"/>
      <c r="N29" s="7"/>
      <c r="O29" s="8"/>
      <c r="P29" s="8"/>
    </row>
    <row r="30" spans="2:16" ht="15" customHeight="1" x14ac:dyDescent="0.2">
      <c r="B30" s="5"/>
      <c r="C30" s="6"/>
      <c r="D30" s="6"/>
      <c r="E30" s="39"/>
      <c r="F30" s="5">
        <f t="shared" si="2"/>
        <v>43131</v>
      </c>
      <c r="G30" s="6">
        <v>4.1666666666666664E-2</v>
      </c>
      <c r="H30" s="6">
        <v>8.3333333333333329E-2</v>
      </c>
      <c r="J30" s="7"/>
      <c r="K30" s="8"/>
      <c r="L30" s="8"/>
      <c r="N30" s="7"/>
      <c r="O30" s="8"/>
      <c r="P30" s="8"/>
    </row>
    <row r="31" spans="2:16" ht="15" customHeight="1" x14ac:dyDescent="0.2">
      <c r="B31" s="5"/>
      <c r="C31" s="6"/>
      <c r="D31" s="6"/>
      <c r="E31" s="39"/>
      <c r="F31" s="5">
        <f t="shared" si="2"/>
        <v>43159</v>
      </c>
      <c r="G31" s="6">
        <v>4.1666666666666664E-2</v>
      </c>
      <c r="H31" s="6">
        <v>8.3333333333333329E-2</v>
      </c>
      <c r="J31" s="7"/>
      <c r="K31" s="8"/>
      <c r="L31" s="8"/>
      <c r="N31" s="7"/>
      <c r="O31" s="8"/>
      <c r="P31" s="8"/>
    </row>
    <row r="32" spans="2:16" ht="15" customHeight="1" x14ac:dyDescent="0.2">
      <c r="B32" s="5"/>
      <c r="C32" s="6"/>
      <c r="D32" s="6"/>
      <c r="E32" s="39"/>
      <c r="F32" s="5">
        <f t="shared" si="2"/>
        <v>43190</v>
      </c>
      <c r="G32" s="6">
        <v>4.1666666666666664E-2</v>
      </c>
      <c r="H32" s="6">
        <v>8.3333333333333329E-2</v>
      </c>
      <c r="J32" s="7"/>
      <c r="K32" s="8"/>
      <c r="L32" s="8"/>
      <c r="N32" s="7"/>
      <c r="O32" s="8"/>
      <c r="P32" s="8"/>
    </row>
    <row r="33" spans="2:16" ht="15" customHeight="1" x14ac:dyDescent="0.2">
      <c r="B33" s="5"/>
      <c r="C33" s="6"/>
      <c r="D33" s="6"/>
      <c r="E33" s="39"/>
      <c r="F33" s="5">
        <f t="shared" si="2"/>
        <v>43220</v>
      </c>
      <c r="G33" s="6">
        <v>4.1666666666666664E-2</v>
      </c>
      <c r="H33" s="6">
        <v>8.3333333333333329E-2</v>
      </c>
      <c r="J33" s="7"/>
      <c r="K33" s="8"/>
      <c r="L33" s="8"/>
      <c r="N33" s="7"/>
      <c r="O33" s="8"/>
      <c r="P33" s="8"/>
    </row>
    <row r="34" spans="2:16" ht="15" customHeight="1" x14ac:dyDescent="0.2">
      <c r="B34" s="5"/>
      <c r="C34" s="6"/>
      <c r="D34" s="6"/>
      <c r="E34" s="39"/>
      <c r="F34" s="5">
        <f t="shared" si="2"/>
        <v>43251</v>
      </c>
      <c r="G34" s="6">
        <v>4.1666666666666664E-2</v>
      </c>
      <c r="H34" s="6">
        <v>8.3333333333333329E-2</v>
      </c>
      <c r="J34" s="7"/>
      <c r="K34" s="8"/>
      <c r="L34" s="8"/>
      <c r="N34" s="7"/>
      <c r="O34" s="8"/>
      <c r="P34" s="8"/>
    </row>
    <row r="35" spans="2:16" ht="18.75" customHeight="1" x14ac:dyDescent="0.2">
      <c r="B35" s="26" t="s">
        <v>8</v>
      </c>
      <c r="C35" s="37">
        <f>SUM(C23:C34)*24</f>
        <v>6.3666666666666671</v>
      </c>
      <c r="D35" s="37">
        <f>SUM(D23:D34)*24</f>
        <v>11.999999999999998</v>
      </c>
      <c r="E35" s="39"/>
      <c r="F35" s="26" t="s">
        <v>8</v>
      </c>
      <c r="G35" s="37">
        <f>SUM(G23:G34)*24</f>
        <v>12.366666666666667</v>
      </c>
      <c r="H35" s="37">
        <f>SUM(H23:H34)*24</f>
        <v>24</v>
      </c>
    </row>
    <row r="36" spans="2:16" ht="18.75" customHeight="1" x14ac:dyDescent="0.2">
      <c r="B36" s="27" t="s">
        <v>9</v>
      </c>
      <c r="C36" s="38">
        <f>IF(COUNTA($B23:$B34)&lt;&gt;0,C35/(COUNTA($B23:$B34)),"")</f>
        <v>1.0611111111111111</v>
      </c>
      <c r="D36" s="38">
        <f>IF(COUNTA($B23:$B34)&lt;&gt;0,D35/(COUNTA($B23:$B34)),"")</f>
        <v>1.9999999999999998</v>
      </c>
      <c r="E36" s="39"/>
      <c r="F36" s="27" t="s">
        <v>9</v>
      </c>
      <c r="G36" s="38">
        <f>IF(COUNTA($F23:$F34)&lt;&gt;0,G35/(COUNTA($F23:$F34)),"")</f>
        <v>1.0305555555555557</v>
      </c>
      <c r="H36" s="38">
        <f>IF(COUNTA($F23:$F34)&lt;&gt;0,H35/(COUNTA($F23:$F34)),"")</f>
        <v>2</v>
      </c>
    </row>
    <row r="37" spans="2:16" ht="6" customHeight="1" thickBot="1" x14ac:dyDescent="0.25">
      <c r="E37" s="39"/>
    </row>
    <row r="38" spans="2:16" ht="21" customHeight="1" thickBot="1" x14ac:dyDescent="0.25">
      <c r="B38" s="9" t="s">
        <v>4</v>
      </c>
      <c r="C38" s="10" t="s">
        <v>11</v>
      </c>
      <c r="D38" s="11" t="s">
        <v>5</v>
      </c>
      <c r="E38" s="39"/>
      <c r="F38" s="28" t="s">
        <v>18</v>
      </c>
      <c r="G38" s="35">
        <v>0.6</v>
      </c>
      <c r="H38" s="29">
        <f>+((D44/C39)+(G38*(D44/C39))*C18)</f>
        <v>10.114583333333334</v>
      </c>
    </row>
    <row r="39" spans="2:16" ht="18" customHeight="1" thickBot="1" x14ac:dyDescent="0.25">
      <c r="B39" s="12" t="s">
        <v>0</v>
      </c>
      <c r="C39" s="13">
        <v>220</v>
      </c>
      <c r="D39" s="14">
        <v>1100</v>
      </c>
      <c r="E39" s="39"/>
      <c r="F39" s="30" t="s">
        <v>18</v>
      </c>
      <c r="G39" s="35">
        <v>1</v>
      </c>
      <c r="H39" s="29">
        <f>((D44/C39)+((D44/C39)*G39))</f>
        <v>12.5</v>
      </c>
    </row>
    <row r="40" spans="2:16" ht="18" customHeight="1" thickBot="1" x14ac:dyDescent="0.25">
      <c r="B40" s="15" t="s">
        <v>1</v>
      </c>
      <c r="C40" s="16">
        <v>0.05</v>
      </c>
      <c r="D40" s="17">
        <f>(D$39*C40)</f>
        <v>55</v>
      </c>
      <c r="E40" s="39"/>
    </row>
    <row r="41" spans="2:16" ht="18" customHeight="1" thickBot="1" x14ac:dyDescent="0.25">
      <c r="B41" s="15" t="s">
        <v>2</v>
      </c>
      <c r="C41" s="16">
        <v>0.2</v>
      </c>
      <c r="D41" s="17">
        <f>(D$39*C41)</f>
        <v>220</v>
      </c>
      <c r="E41" s="36"/>
      <c r="F41" s="42" t="s">
        <v>14</v>
      </c>
      <c r="G41" s="43"/>
      <c r="H41" s="31">
        <f>(C18*H38)+(H39*D18)+D44+D45</f>
        <v>1510.4236400462962</v>
      </c>
    </row>
    <row r="42" spans="2:16" ht="18" customHeight="1" thickBot="1" x14ac:dyDescent="0.25">
      <c r="B42" s="15" t="s">
        <v>19</v>
      </c>
      <c r="C42" s="18"/>
      <c r="D42" s="17"/>
      <c r="E42" s="36"/>
      <c r="F42" s="42" t="s">
        <v>15</v>
      </c>
      <c r="G42" s="43"/>
      <c r="H42" s="31">
        <f>(G18*H38)+(H39*H18)+D44+D45</f>
        <v>1486.3072916666667</v>
      </c>
    </row>
    <row r="43" spans="2:16" ht="18" customHeight="1" thickBot="1" x14ac:dyDescent="0.25">
      <c r="B43" s="19" t="s">
        <v>19</v>
      </c>
      <c r="C43" s="20"/>
      <c r="D43" s="21"/>
      <c r="E43" s="36"/>
      <c r="F43" s="42" t="s">
        <v>16</v>
      </c>
      <c r="G43" s="43"/>
      <c r="H43" s="31">
        <f>(C36*H38)+(H39*D36)+D44+D45</f>
        <v>1510.7326967592592</v>
      </c>
    </row>
    <row r="44" spans="2:16" ht="18" customHeight="1" thickBot="1" x14ac:dyDescent="0.25">
      <c r="B44" s="44" t="s">
        <v>3</v>
      </c>
      <c r="C44" s="45"/>
      <c r="D44" s="32">
        <f>SUM(D39:D43)</f>
        <v>1375</v>
      </c>
      <c r="E44" s="36"/>
      <c r="F44" s="42" t="s">
        <v>17</v>
      </c>
      <c r="G44" s="48"/>
      <c r="H44" s="31">
        <f>(G36*H38)+(H39*H36)+D44+D45</f>
        <v>1510.4236400462962</v>
      </c>
    </row>
    <row r="45" spans="2:16" ht="32.25" customHeight="1" thickBot="1" x14ac:dyDescent="0.25">
      <c r="B45" s="46" t="s">
        <v>20</v>
      </c>
      <c r="C45" s="47"/>
      <c r="D45" s="22">
        <v>100</v>
      </c>
      <c r="E45" s="36"/>
    </row>
    <row r="46" spans="2:16" ht="6" customHeight="1" x14ac:dyDescent="0.2">
      <c r="B46" s="3"/>
    </row>
    <row r="47" spans="2:16" ht="33.75" customHeight="1" x14ac:dyDescent="0.2">
      <c r="B47" s="40" t="s">
        <v>21</v>
      </c>
      <c r="C47" s="40"/>
      <c r="D47" s="40"/>
      <c r="E47" s="40"/>
      <c r="F47" s="40"/>
      <c r="G47" s="40"/>
      <c r="H47" s="40"/>
    </row>
    <row r="48" spans="2:16" ht="33.75" customHeight="1" x14ac:dyDescent="0.2">
      <c r="B48" s="40"/>
      <c r="C48" s="40"/>
      <c r="D48" s="40"/>
      <c r="E48" s="40"/>
      <c r="F48" s="40"/>
      <c r="G48" s="40"/>
      <c r="H48" s="40"/>
    </row>
    <row r="49" spans="2:4" ht="21" customHeight="1" x14ac:dyDescent="0.2">
      <c r="B49" s="3"/>
      <c r="C49" s="23"/>
    </row>
    <row r="50" spans="2:4" ht="21" customHeight="1" x14ac:dyDescent="0.2">
      <c r="B50" s="3"/>
    </row>
    <row r="51" spans="2:4" ht="21" customHeight="1" x14ac:dyDescent="0.2">
      <c r="B51" s="3"/>
    </row>
    <row r="52" spans="2:4" ht="21" customHeight="1" x14ac:dyDescent="0.2">
      <c r="B52" s="3"/>
    </row>
    <row r="53" spans="2:4" ht="21" customHeight="1" x14ac:dyDescent="0.2">
      <c r="B53" s="3"/>
    </row>
    <row r="54" spans="2:4" ht="21" customHeight="1" x14ac:dyDescent="0.2">
      <c r="B54" s="3"/>
      <c r="C54" s="23"/>
      <c r="D54" s="24"/>
    </row>
  </sheetData>
  <sheetProtection password="EF07" sheet="1" objects="1" scenarios="1"/>
  <mergeCells count="16">
    <mergeCell ref="E12:E40"/>
    <mergeCell ref="B47:H48"/>
    <mergeCell ref="B2:D2"/>
    <mergeCell ref="F42:G42"/>
    <mergeCell ref="F2:H2"/>
    <mergeCell ref="B44:C44"/>
    <mergeCell ref="B45:C45"/>
    <mergeCell ref="F41:G41"/>
    <mergeCell ref="B20:D20"/>
    <mergeCell ref="F20:H20"/>
    <mergeCell ref="F43:G43"/>
    <mergeCell ref="F44:G44"/>
    <mergeCell ref="B3:B4"/>
    <mergeCell ref="F3:F4"/>
    <mergeCell ref="B21:B22"/>
    <mergeCell ref="F21:F22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Delmiro Martins</dc:creator>
  <cp:lastModifiedBy>Delmiro Martins</cp:lastModifiedBy>
  <cp:lastPrinted>2018-07-12T14:06:21Z</cp:lastPrinted>
  <dcterms:created xsi:type="dcterms:W3CDTF">2018-06-19T11:00:08Z</dcterms:created>
  <dcterms:modified xsi:type="dcterms:W3CDTF">2018-07-12T17:03:57Z</dcterms:modified>
</cp:coreProperties>
</file>