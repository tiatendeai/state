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BSC 2018 R.0" sheetId="1" r:id="rId4"/>
  </sheets>
</workbook>
</file>

<file path=xl/sharedStrings.xml><?xml version="1.0" encoding="utf-8"?>
<sst xmlns="http://schemas.openxmlformats.org/spreadsheetml/2006/main" uniqueCount="76">
  <si>
    <t>BALANCED SCORECARD</t>
  </si>
  <si>
    <t>Exercício: 2018</t>
  </si>
  <si>
    <t>Data de revisão: 28/12/2017</t>
  </si>
  <si>
    <t>Data de atualização: 28/12/2017</t>
  </si>
  <si>
    <t>FINANCEIRA</t>
  </si>
  <si>
    <t>Objetivo</t>
  </si>
  <si>
    <t>Motivo</t>
  </si>
  <si>
    <t>Estratégia</t>
  </si>
  <si>
    <t xml:space="preserve">Indicador  </t>
  </si>
  <si>
    <t>Meta</t>
  </si>
  <si>
    <t>Quem</t>
  </si>
  <si>
    <t>Quando Inicia</t>
  </si>
  <si>
    <t>Quando Termina</t>
  </si>
  <si>
    <t>Previsto</t>
  </si>
  <si>
    <t>Realizado</t>
  </si>
  <si>
    <t>Status</t>
  </si>
  <si>
    <t>Aumentar o faturamento mensal de R$ 25.000,00 para R$ 35.000,00</t>
  </si>
  <si>
    <t>Manter a empresa saudável financeiramente</t>
  </si>
  <si>
    <t>Reajustar o preço dos contratos e intensificar o comercial</t>
  </si>
  <si>
    <t>Faturamento registrado no sistema financeiro</t>
  </si>
  <si>
    <t>Aumentar o faturamento em 3,3 % por trimestre</t>
  </si>
  <si>
    <t>Eu</t>
  </si>
  <si>
    <t>Em Dia</t>
  </si>
  <si>
    <t>Aumentar o lucro mensal de R$ 10.000,00 para R$ 20.000,00</t>
  </si>
  <si>
    <t>Aumentar a capacidade de investimento e de distribuição de lucros</t>
  </si>
  <si>
    <t>Reajustar os contratos, intensificar o comercial e conter custos</t>
  </si>
  <si>
    <t>Resultado mensal apurado no sistema de gestão financeira</t>
  </si>
  <si>
    <t>Aumentar o lucro em 25 % por trimestre</t>
  </si>
  <si>
    <t>CLIENTES</t>
  </si>
  <si>
    <t>Aumentar o contato ativo com os clientes</t>
  </si>
  <si>
    <t>Aproximar e fortalecer a relação profissional</t>
  </si>
  <si>
    <t>Realizar contatos por telefone e visitas</t>
  </si>
  <si>
    <t>Número de clientes em contato por mês</t>
  </si>
  <si>
    <t>Entrar em contato ativo com ao menos 5 clientes por semana</t>
  </si>
  <si>
    <t>Reformular o site da empresa</t>
  </si>
  <si>
    <t>Melhorar o posicionamento digital e o atendimento on-line</t>
  </si>
  <si>
    <t>Contratar um designer para reformular o sistema</t>
  </si>
  <si>
    <t>Novo site lançado</t>
  </si>
  <si>
    <t>Lançar o novo site até dezembro</t>
  </si>
  <si>
    <t>PROCESSOS INTERNOS</t>
  </si>
  <si>
    <t>Melhorar o controle financeiro</t>
  </si>
  <si>
    <t>Ter uma visão melhor sobre as finanças da empresa</t>
  </si>
  <si>
    <t>Implantar um software de controle e um método de gestão</t>
  </si>
  <si>
    <t>Análise mensal dos relatórios financeiros</t>
  </si>
  <si>
    <t>Implementar o método de gestão financeira até o final de fevereiro</t>
  </si>
  <si>
    <t>Melhorar o desempenho comercial</t>
  </si>
  <si>
    <t>Expandir a empresa e conquistar mais clientes</t>
  </si>
  <si>
    <t>Elaborar e executar uma estratégia comercial</t>
  </si>
  <si>
    <t>Análise mensal dos relatórios comerciais</t>
  </si>
  <si>
    <t>Iniciar a abordagem comercial ativa a partir de abril</t>
  </si>
  <si>
    <t>Organizar as atividades da empresa</t>
  </si>
  <si>
    <t>Ter uma visão melhor do planejamento e controle interno da empresa</t>
  </si>
  <si>
    <t>Modelar os processos e capacitar as pessoas</t>
  </si>
  <si>
    <t>Processos de negócio modelados</t>
  </si>
  <si>
    <t>Modelar os principais processos da empresa até o final do ano</t>
  </si>
  <si>
    <t>Melhorar a motivação dos funcionários e o desempenho da empresa</t>
  </si>
  <si>
    <t>Reduzir os erros e melhorar os resultados</t>
  </si>
  <si>
    <t>Realizar reuniões semanais de acompanhamento</t>
  </si>
  <si>
    <t>Treinamentos realizados</t>
  </si>
  <si>
    <t>Iniciar as reuniões semanais de acompanhamento em maio</t>
  </si>
  <si>
    <t>CRESCIMENTO E APRENDIZADO</t>
  </si>
  <si>
    <t>Aumentar os conhecimentos e habilidades dos funcionários</t>
  </si>
  <si>
    <t>Capacitar os profissionais</t>
  </si>
  <si>
    <t>Criar um plano de treinamento e desenvolvimento</t>
  </si>
  <si>
    <t>Cursos realizados por trimestre</t>
  </si>
  <si>
    <t>Realizar um treinamento por trimestre</t>
  </si>
  <si>
    <t>Eu e equipe</t>
  </si>
  <si>
    <t>Aumentar a rede de relacionamento profissional</t>
  </si>
  <si>
    <t>Crescimento profissional</t>
  </si>
  <si>
    <t>Participar de eventos do SESCON e CRC.</t>
  </si>
  <si>
    <t>Eventos com participação por trimestre.</t>
  </si>
  <si>
    <t>Participar de ao menos um evento por trimestre</t>
  </si>
  <si>
    <t>Conectar-se com outros empresários contábeis revolucionários</t>
  </si>
  <si>
    <t>Participar ativamente dos grupos do Contabilidade Sem Chatice</t>
  </si>
  <si>
    <t>Interações realizadas por semana.</t>
  </si>
  <si>
    <t>Contribuir com ao menos um debate por semana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</si>
</sst>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/mm/yy"/>
  </numFmts>
  <fonts count="6">
    <font>
      <sz val="10"/>
      <color indexed="8"/>
      <name val="Helvetica"/>
    </font>
    <font>
      <sz val="12"/>
      <color indexed="8"/>
      <name val="Helvetica Neue"/>
    </font>
    <font>
      <sz val="13"/>
      <color indexed="8"/>
      <name val="Helvetica"/>
    </font>
    <font>
      <b val="1"/>
      <sz val="12"/>
      <color indexed="8"/>
      <name val="Helvetica Neue"/>
    </font>
    <font>
      <sz val="12"/>
      <color indexed="8"/>
      <name val="Helvetica"/>
    </font>
    <font>
      <b val="1"/>
      <sz val="12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2" applyNumberFormat="0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bottom"/>
    </xf>
    <xf numFmtId="0" fontId="3" fillId="2" borderId="3" applyNumberFormat="0" applyFont="1" applyFill="1" applyBorder="1" applyAlignment="1" applyProtection="0">
      <alignment horizontal="center" vertical="center"/>
    </xf>
    <xf numFmtId="49" fontId="4" fillId="2" borderId="4" applyNumberFormat="1" applyFont="1" applyFill="1" applyBorder="1" applyAlignment="1" applyProtection="0">
      <alignment horizontal="center" vertical="center" wrapText="1"/>
    </xf>
    <xf numFmtId="0" fontId="0" fillId="2" borderId="5" applyNumberFormat="0" applyFont="1" applyFill="1" applyBorder="1" applyAlignment="1" applyProtection="0">
      <alignment horizontal="center" vertical="center" wrapText="1"/>
    </xf>
    <xf numFmtId="49" fontId="4" fillId="2" borderId="5" applyNumberFormat="1" applyFont="1" applyFill="1" applyBorder="1" applyAlignment="1" applyProtection="0">
      <alignment horizontal="center" vertical="center" wrapText="1"/>
    </xf>
    <xf numFmtId="0" fontId="0" fillId="2" borderId="5" applyNumberFormat="0" applyFont="1" applyFill="1" applyBorder="1" applyAlignment="1" applyProtection="0">
      <alignment vertical="bottom"/>
    </xf>
    <xf numFmtId="0" fontId="4" fillId="2" borderId="6" applyNumberFormat="0" applyFont="1" applyFill="1" applyBorder="1" applyAlignment="1" applyProtection="0">
      <alignment horizontal="center" vertical="center" wrapText="1"/>
    </xf>
    <xf numFmtId="0" fontId="4" fillId="2" borderId="7" applyNumberFormat="0" applyFont="1" applyFill="1" applyBorder="1" applyAlignment="1" applyProtection="0">
      <alignment horizontal="center" vertical="center" wrapText="1"/>
    </xf>
    <xf numFmtId="0" fontId="0" fillId="3" borderId="8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3" borderId="9" applyNumberFormat="0" applyFont="1" applyFill="1" applyBorder="1" applyAlignment="1" applyProtection="0">
      <alignment vertical="bottom"/>
    </xf>
    <xf numFmtId="49" fontId="5" fillId="2" borderId="7" applyNumberFormat="1" applyFont="1" applyFill="1" applyBorder="1" applyAlignment="1" applyProtection="0">
      <alignment horizontal="center" vertical="center" wrapText="1"/>
    </xf>
    <xf numFmtId="0" fontId="0" fillId="2" borderId="9" applyNumberFormat="0" applyFont="1" applyFill="1" applyBorder="1" applyAlignment="1" applyProtection="0">
      <alignment vertical="bottom"/>
    </xf>
    <xf numFmtId="49" fontId="4" fillId="2" borderId="7" applyNumberFormat="1" applyFont="1" applyFill="1" applyBorder="1" applyAlignment="1" applyProtection="0">
      <alignment horizontal="center" vertical="center" wrapText="1"/>
    </xf>
    <xf numFmtId="49" fontId="4" fillId="2" borderId="8" applyNumberFormat="1" applyFont="1" applyFill="1" applyBorder="1" applyAlignment="1" applyProtection="0">
      <alignment horizontal="center" vertical="center" wrapText="1"/>
    </xf>
    <xf numFmtId="49" fontId="4" fillId="2" borderId="9" applyNumberFormat="1" applyFont="1" applyFill="1" applyBorder="1" applyAlignment="1" applyProtection="0">
      <alignment horizontal="center" vertical="center" wrapText="1"/>
    </xf>
    <xf numFmtId="59" fontId="4" fillId="2" borderId="8" applyNumberFormat="1" applyFont="1" applyFill="1" applyBorder="1" applyAlignment="1" applyProtection="0">
      <alignment horizontal="center" vertical="center" wrapText="1"/>
    </xf>
    <xf numFmtId="9" fontId="4" fillId="2" borderId="8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7f7f7f"/>
      <rgbColor rgb="ffa8a8a8"/>
      <rgbColor rgb="fff5f5f5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Helvetica"/>
            <a:ea typeface="Helvetica"/>
            <a:cs typeface="Helvetica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Helvetica"/>
            <a:ea typeface="Helvetica"/>
            <a:cs typeface="Helvetica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25"/>
  <sheetViews>
    <sheetView workbookViewId="0" showGridLines="0" defaultGridColor="1"/>
  </sheetViews>
  <sheetFormatPr defaultColWidth="18.6667" defaultRowHeight="11.1" customHeight="1" outlineLevelRow="0" outlineLevelCol="0"/>
  <cols>
    <col min="1" max="1" width="16" style="1" customWidth="1"/>
    <col min="2" max="2" width="16" style="1" customWidth="1"/>
    <col min="3" max="3" width="16" style="1" customWidth="1"/>
    <col min="4" max="4" width="16" style="1" customWidth="1"/>
    <col min="5" max="5" width="16" style="1" customWidth="1"/>
    <col min="6" max="6" width="16" style="1" customWidth="1"/>
    <col min="7" max="7" width="16" style="1" customWidth="1"/>
    <col min="8" max="8" width="16" style="1" customWidth="1"/>
    <col min="9" max="9" width="16" style="1" customWidth="1"/>
    <col min="10" max="10" width="16" style="1" customWidth="1"/>
    <col min="11" max="11" width="16" style="1" customWidth="1"/>
    <col min="12" max="256" width="18.6719" style="1" customWidth="1"/>
  </cols>
  <sheetData>
    <row r="1" ht="18.6" customHeight="1">
      <c r="A1" t="s" s="2">
        <v>0</v>
      </c>
      <c r="B1" s="3"/>
      <c r="C1" s="3"/>
      <c r="D1" s="3"/>
      <c r="E1" s="3"/>
      <c r="F1" s="4"/>
      <c r="G1" s="3"/>
      <c r="H1" s="3"/>
      <c r="I1" s="3"/>
      <c r="J1" s="3"/>
      <c r="K1" s="5"/>
    </row>
    <row r="2" ht="14.45" customHeight="1">
      <c r="A2" t="s" s="6">
        <v>1</v>
      </c>
      <c r="B2" s="7"/>
      <c r="C2" s="7"/>
      <c r="D2" t="s" s="8">
        <v>2</v>
      </c>
      <c r="E2" s="7"/>
      <c r="F2" s="9"/>
      <c r="G2" s="7"/>
      <c r="H2" t="s" s="8">
        <v>3</v>
      </c>
      <c r="I2" s="7"/>
      <c r="J2" s="7"/>
      <c r="K2" s="10"/>
    </row>
    <row r="3" ht="14.45" customHeight="1">
      <c r="A3" s="11"/>
      <c r="B3" s="12"/>
      <c r="C3" s="12"/>
      <c r="D3" s="12"/>
      <c r="E3" s="12"/>
      <c r="F3" s="13"/>
      <c r="G3" s="12"/>
      <c r="H3" s="12"/>
      <c r="I3" s="12"/>
      <c r="J3" s="12"/>
      <c r="K3" s="14"/>
    </row>
    <row r="4" ht="14.45" customHeight="1">
      <c r="A4" t="s" s="15">
        <v>4</v>
      </c>
      <c r="B4" s="13"/>
      <c r="C4" s="13"/>
      <c r="D4" s="13"/>
      <c r="E4" s="13"/>
      <c r="F4" s="13"/>
      <c r="G4" s="13"/>
      <c r="H4" s="13"/>
      <c r="I4" s="13"/>
      <c r="J4" s="13"/>
      <c r="K4" s="16"/>
    </row>
    <row r="5" ht="14.45" customHeight="1">
      <c r="A5" t="s" s="17">
        <v>5</v>
      </c>
      <c r="B5" t="s" s="18">
        <v>6</v>
      </c>
      <c r="C5" t="s" s="18">
        <v>7</v>
      </c>
      <c r="D5" t="s" s="18">
        <v>8</v>
      </c>
      <c r="E5" t="s" s="18">
        <v>9</v>
      </c>
      <c r="F5" t="s" s="18">
        <v>10</v>
      </c>
      <c r="G5" t="s" s="18">
        <v>11</v>
      </c>
      <c r="H5" t="s" s="18">
        <v>12</v>
      </c>
      <c r="I5" t="s" s="18">
        <v>13</v>
      </c>
      <c r="J5" t="s" s="18">
        <v>14</v>
      </c>
      <c r="K5" t="s" s="19">
        <v>15</v>
      </c>
    </row>
    <row r="6" ht="90" customHeight="1">
      <c r="A6" t="s" s="17">
        <v>16</v>
      </c>
      <c r="B6" t="s" s="18">
        <v>17</v>
      </c>
      <c r="C6" t="s" s="18">
        <v>18</v>
      </c>
      <c r="D6" t="s" s="18">
        <v>19</v>
      </c>
      <c r="E6" t="s" s="18">
        <v>20</v>
      </c>
      <c r="F6" t="s" s="18">
        <v>21</v>
      </c>
      <c r="G6" s="20">
        <v>41639</v>
      </c>
      <c r="H6" s="20">
        <v>42003</v>
      </c>
      <c r="I6" s="21">
        <f>IF(TODAY()&gt;G6,(TODAY()-G6)/(H6-G6),0)</f>
        <v>0</v>
      </c>
      <c r="J6" s="21">
        <v>0</v>
      </c>
      <c r="K6" t="s" s="19">
        <f>IF(I6&gt;J6,"Atrasado","Em Dia")</f>
        <v>22</v>
      </c>
    </row>
    <row r="7" ht="90" customHeight="1">
      <c r="A7" t="s" s="17">
        <v>23</v>
      </c>
      <c r="B7" t="s" s="18">
        <v>24</v>
      </c>
      <c r="C7" t="s" s="18">
        <v>25</v>
      </c>
      <c r="D7" t="s" s="18">
        <v>26</v>
      </c>
      <c r="E7" t="s" s="18">
        <v>27</v>
      </c>
      <c r="F7" t="s" s="18">
        <v>21</v>
      </c>
      <c r="G7" s="20">
        <v>41639</v>
      </c>
      <c r="H7" s="20">
        <v>42003</v>
      </c>
      <c r="I7" s="21">
        <f>IF(TODAY()&gt;G7,(TODAY()-G7)/(H7-G7),0)</f>
        <v>0</v>
      </c>
      <c r="J7" s="21">
        <v>0</v>
      </c>
      <c r="K7" t="s" s="19">
        <f>IF(I7&gt;J7,"Atrasado","Em Dia")</f>
        <v>22</v>
      </c>
    </row>
    <row r="8" ht="14.45" customHeight="1">
      <c r="A8" s="11"/>
      <c r="B8" s="12"/>
      <c r="C8" s="12"/>
      <c r="D8" s="12"/>
      <c r="E8" s="12"/>
      <c r="F8" s="13"/>
      <c r="G8" s="12"/>
      <c r="H8" s="12"/>
      <c r="I8" s="12"/>
      <c r="J8" s="12"/>
      <c r="K8" s="14"/>
    </row>
    <row r="9" ht="14.45" customHeight="1">
      <c r="A9" t="s" s="15">
        <v>28</v>
      </c>
      <c r="B9" s="13"/>
      <c r="C9" s="13"/>
      <c r="D9" s="13"/>
      <c r="E9" s="13"/>
      <c r="F9" s="13"/>
      <c r="G9" s="13"/>
      <c r="H9" s="13"/>
      <c r="I9" s="13"/>
      <c r="J9" s="13"/>
      <c r="K9" s="16"/>
    </row>
    <row r="10" ht="14.45" customHeight="1">
      <c r="A10" t="s" s="17">
        <v>5</v>
      </c>
      <c r="B10" t="s" s="18">
        <v>6</v>
      </c>
      <c r="C10" t="s" s="18">
        <v>7</v>
      </c>
      <c r="D10" t="s" s="18">
        <v>8</v>
      </c>
      <c r="E10" t="s" s="18">
        <v>9</v>
      </c>
      <c r="F10" t="s" s="18">
        <v>10</v>
      </c>
      <c r="G10" t="s" s="18">
        <v>11</v>
      </c>
      <c r="H10" t="s" s="18">
        <v>12</v>
      </c>
      <c r="I10" t="s" s="18">
        <v>13</v>
      </c>
      <c r="J10" t="s" s="18">
        <v>14</v>
      </c>
      <c r="K10" t="s" s="19">
        <v>15</v>
      </c>
    </row>
    <row r="11" ht="90" customHeight="1">
      <c r="A11" t="s" s="17">
        <v>29</v>
      </c>
      <c r="B11" t="s" s="18">
        <v>30</v>
      </c>
      <c r="C11" t="s" s="18">
        <v>31</v>
      </c>
      <c r="D11" t="s" s="18">
        <v>32</v>
      </c>
      <c r="E11" t="s" s="18">
        <v>33</v>
      </c>
      <c r="F11" t="s" s="18">
        <v>21</v>
      </c>
      <c r="G11" s="20">
        <v>41639</v>
      </c>
      <c r="H11" s="20">
        <v>42003</v>
      </c>
      <c r="I11" s="21">
        <f>IF(TODAY()&gt;G11,(TODAY()-G11)/(H11-G11),0)</f>
        <v>0</v>
      </c>
      <c r="J11" s="21">
        <v>0</v>
      </c>
      <c r="K11" t="s" s="19">
        <f>IF(I11&gt;J11,"Atrasado","Em Dia")</f>
        <v>22</v>
      </c>
    </row>
    <row r="12" ht="90" customHeight="1">
      <c r="A12" t="s" s="17">
        <v>34</v>
      </c>
      <c r="B12" t="s" s="18">
        <v>35</v>
      </c>
      <c r="C12" t="s" s="18">
        <v>36</v>
      </c>
      <c r="D12" t="s" s="18">
        <v>37</v>
      </c>
      <c r="E12" t="s" s="18">
        <v>38</v>
      </c>
      <c r="F12" t="s" s="18">
        <v>21</v>
      </c>
      <c r="G12" s="20">
        <v>41639</v>
      </c>
      <c r="H12" s="20">
        <v>42003</v>
      </c>
      <c r="I12" s="21">
        <f>IF(TODAY()&gt;G12,(TODAY()-G12)/(H12-G12),0)</f>
        <v>0</v>
      </c>
      <c r="J12" s="21">
        <v>0</v>
      </c>
      <c r="K12" t="s" s="19">
        <f>IF(I12&gt;J12,"Atrasado","Em Dia")</f>
        <v>22</v>
      </c>
    </row>
    <row r="13" ht="14.45" customHeight="1">
      <c r="A13" s="11"/>
      <c r="B13" s="13"/>
      <c r="C13" s="13"/>
      <c r="D13" s="13"/>
      <c r="E13" s="13"/>
      <c r="F13" s="13"/>
      <c r="G13" s="13"/>
      <c r="H13" s="13"/>
      <c r="I13" s="13"/>
      <c r="J13" s="13"/>
      <c r="K13" s="16"/>
    </row>
    <row r="14" ht="14.45" customHeight="1">
      <c r="A14" t="s" s="15">
        <v>39</v>
      </c>
      <c r="B14" s="12"/>
      <c r="C14" s="12"/>
      <c r="D14" s="12"/>
      <c r="E14" s="12"/>
      <c r="F14" s="13"/>
      <c r="G14" s="12"/>
      <c r="H14" s="12"/>
      <c r="I14" s="12"/>
      <c r="J14" s="12"/>
      <c r="K14" s="14"/>
    </row>
    <row r="15" ht="14.45" customHeight="1">
      <c r="A15" t="s" s="17">
        <v>5</v>
      </c>
      <c r="B15" t="s" s="18">
        <v>6</v>
      </c>
      <c r="C15" t="s" s="18">
        <v>7</v>
      </c>
      <c r="D15" t="s" s="18">
        <v>8</v>
      </c>
      <c r="E15" t="s" s="18">
        <v>9</v>
      </c>
      <c r="F15" t="s" s="18">
        <v>10</v>
      </c>
      <c r="G15" t="s" s="18">
        <v>11</v>
      </c>
      <c r="H15" t="s" s="18">
        <v>12</v>
      </c>
      <c r="I15" t="s" s="18">
        <v>13</v>
      </c>
      <c r="J15" t="s" s="18">
        <v>14</v>
      </c>
      <c r="K15" t="s" s="19">
        <v>15</v>
      </c>
    </row>
    <row r="16" ht="90" customHeight="1">
      <c r="A16" t="s" s="17">
        <v>40</v>
      </c>
      <c r="B16" t="s" s="18">
        <v>41</v>
      </c>
      <c r="C16" t="s" s="18">
        <v>42</v>
      </c>
      <c r="D16" t="s" s="18">
        <v>43</v>
      </c>
      <c r="E16" t="s" s="18">
        <v>44</v>
      </c>
      <c r="F16" t="s" s="18">
        <v>21</v>
      </c>
      <c r="G16" s="20">
        <v>41639</v>
      </c>
      <c r="H16" s="20">
        <v>42003</v>
      </c>
      <c r="I16" s="21">
        <f>IF(TODAY()&gt;G16,(TODAY()-G16)/(H16-G16),0)</f>
        <v>0</v>
      </c>
      <c r="J16" s="21">
        <v>0</v>
      </c>
      <c r="K16" t="s" s="19">
        <f>IF(I16&gt;J16,"Atrasado","Em Dia")</f>
        <v>22</v>
      </c>
    </row>
    <row r="17" ht="90" customHeight="1">
      <c r="A17" t="s" s="17">
        <v>45</v>
      </c>
      <c r="B17" t="s" s="18">
        <v>46</v>
      </c>
      <c r="C17" t="s" s="18">
        <v>47</v>
      </c>
      <c r="D17" t="s" s="18">
        <v>48</v>
      </c>
      <c r="E17" t="s" s="18">
        <v>49</v>
      </c>
      <c r="F17" t="s" s="18">
        <v>21</v>
      </c>
      <c r="G17" s="20">
        <v>41639</v>
      </c>
      <c r="H17" s="20">
        <v>42003</v>
      </c>
      <c r="I17" s="21">
        <f>IF(TODAY()&gt;G17,(TODAY()-G17)/(H17-G17),0)</f>
        <v>0</v>
      </c>
      <c r="J17" s="21">
        <v>0</v>
      </c>
      <c r="K17" t="s" s="19">
        <f>IF(I17&gt;J17,"Atrasado","Em Dia")</f>
        <v>22</v>
      </c>
    </row>
    <row r="18" ht="90" customHeight="1">
      <c r="A18" t="s" s="17">
        <v>50</v>
      </c>
      <c r="B18" t="s" s="18">
        <v>51</v>
      </c>
      <c r="C18" t="s" s="18">
        <v>52</v>
      </c>
      <c r="D18" t="s" s="18">
        <v>53</v>
      </c>
      <c r="E18" t="s" s="18">
        <v>54</v>
      </c>
      <c r="F18" t="s" s="18">
        <v>21</v>
      </c>
      <c r="G18" s="20">
        <v>41639</v>
      </c>
      <c r="H18" s="20">
        <v>42003</v>
      </c>
      <c r="I18" s="21">
        <f>IF(TODAY()&gt;G18,(TODAY()-G18)/(H18-G18),0)</f>
        <v>0</v>
      </c>
      <c r="J18" s="21">
        <v>0</v>
      </c>
      <c r="K18" t="s" s="19">
        <f>IF(I18&gt;J18,"Atrasado","Em Dia")</f>
        <v>22</v>
      </c>
    </row>
    <row r="19" ht="90" customHeight="1">
      <c r="A19" t="s" s="18">
        <v>55</v>
      </c>
      <c r="B19" t="s" s="19">
        <v>56</v>
      </c>
      <c r="C19" t="s" s="17">
        <v>57</v>
      </c>
      <c r="D19" t="s" s="18">
        <v>58</v>
      </c>
      <c r="E19" t="s" s="18">
        <v>59</v>
      </c>
      <c r="F19" t="s" s="18">
        <v>21</v>
      </c>
      <c r="G19" s="20">
        <v>41639</v>
      </c>
      <c r="H19" s="20">
        <v>42003</v>
      </c>
      <c r="I19" s="21">
        <f>IF(TODAY()&gt;G19,(TODAY()-G19)/(H19-G19),0)</f>
        <v>0</v>
      </c>
      <c r="J19" s="21">
        <v>0</v>
      </c>
      <c r="K19" t="s" s="19">
        <f>IF(I19&gt;J19,"Atrasado","Em Dia")</f>
        <v>22</v>
      </c>
    </row>
    <row r="20" ht="14.45" customHeight="1">
      <c r="A20" s="11"/>
      <c r="B20" s="12"/>
      <c r="C20" s="12"/>
      <c r="D20" s="12"/>
      <c r="E20" s="12"/>
      <c r="F20" s="13"/>
      <c r="G20" s="12"/>
      <c r="H20" s="12"/>
      <c r="I20" s="12"/>
      <c r="J20" s="12"/>
      <c r="K20" s="14"/>
    </row>
    <row r="21" ht="14.45" customHeight="1">
      <c r="A21" t="s" s="15">
        <v>60</v>
      </c>
      <c r="B21" s="13"/>
      <c r="C21" s="13"/>
      <c r="D21" s="13"/>
      <c r="E21" s="13"/>
      <c r="F21" s="13"/>
      <c r="G21" s="13"/>
      <c r="H21" s="13"/>
      <c r="I21" s="13"/>
      <c r="J21" s="13"/>
      <c r="K21" s="16"/>
    </row>
    <row r="22" ht="14.45" customHeight="1">
      <c r="A22" t="s" s="17">
        <v>5</v>
      </c>
      <c r="B22" t="s" s="18">
        <v>6</v>
      </c>
      <c r="C22" t="s" s="18">
        <v>7</v>
      </c>
      <c r="D22" t="s" s="18">
        <v>8</v>
      </c>
      <c r="E22" t="s" s="18">
        <v>9</v>
      </c>
      <c r="F22" t="s" s="18">
        <v>10</v>
      </c>
      <c r="G22" t="s" s="18">
        <v>11</v>
      </c>
      <c r="H22" t="s" s="18">
        <v>12</v>
      </c>
      <c r="I22" t="s" s="18">
        <v>13</v>
      </c>
      <c r="J22" t="s" s="18">
        <v>14</v>
      </c>
      <c r="K22" t="s" s="19">
        <v>15</v>
      </c>
    </row>
    <row r="23" ht="90" customHeight="1">
      <c r="A23" t="s" s="17">
        <v>61</v>
      </c>
      <c r="B23" t="s" s="19">
        <v>62</v>
      </c>
      <c r="C23" t="s" s="17">
        <v>63</v>
      </c>
      <c r="D23" t="s" s="18">
        <v>64</v>
      </c>
      <c r="E23" t="s" s="18">
        <v>65</v>
      </c>
      <c r="F23" t="s" s="18">
        <v>66</v>
      </c>
      <c r="G23" s="20">
        <v>41639</v>
      </c>
      <c r="H23" s="20">
        <v>42003</v>
      </c>
      <c r="I23" s="21">
        <f>IF(TODAY()&gt;G23,(TODAY()-G23)/(H23-G23),0)</f>
        <v>0</v>
      </c>
      <c r="J23" s="21">
        <v>0</v>
      </c>
      <c r="K23" t="s" s="19">
        <f>IF(I23&gt;J23,"Atrasado","Em Dia")</f>
        <v>22</v>
      </c>
    </row>
    <row r="24" ht="90" customHeight="1">
      <c r="A24" t="s" s="17">
        <v>67</v>
      </c>
      <c r="B24" t="s" s="19">
        <v>68</v>
      </c>
      <c r="C24" t="s" s="17">
        <v>69</v>
      </c>
      <c r="D24" t="s" s="18">
        <v>70</v>
      </c>
      <c r="E24" t="s" s="18">
        <v>71</v>
      </c>
      <c r="F24" t="s" s="18">
        <v>21</v>
      </c>
      <c r="G24" s="20">
        <v>41639</v>
      </c>
      <c r="H24" s="20">
        <v>42003</v>
      </c>
      <c r="I24" s="21">
        <f>IF(TODAY()&gt;G24,(TODAY()-G24)/(H24-G24),0)</f>
        <v>0</v>
      </c>
      <c r="J24" s="21">
        <v>0</v>
      </c>
      <c r="K24" t="s" s="19">
        <f>IF(I24&gt;J24,"Atrasado","Em Dia")</f>
        <v>22</v>
      </c>
    </row>
    <row r="25" ht="90" customHeight="1">
      <c r="A25" t="s" s="17">
        <v>72</v>
      </c>
      <c r="B25" t="s" s="19">
        <v>68</v>
      </c>
      <c r="C25" t="s" s="17">
        <v>73</v>
      </c>
      <c r="D25" t="s" s="18">
        <v>74</v>
      </c>
      <c r="E25" t="s" s="18">
        <v>75</v>
      </c>
      <c r="F25" t="s" s="18">
        <v>21</v>
      </c>
      <c r="G25" s="20">
        <v>41639</v>
      </c>
      <c r="H25" s="20">
        <v>42003</v>
      </c>
      <c r="I25" s="21">
        <f>IF(TODAY()&gt;G25,(TODAY()-G25)/(H25-G25),0)</f>
        <v>0</v>
      </c>
      <c r="J25" s="21">
        <v>0</v>
      </c>
      <c r="K25" t="s" s="19">
        <f>IF(I25&gt;J25,"Atrasado","Em Dia")</f>
        <v>22</v>
      </c>
    </row>
  </sheetData>
  <mergeCells count="12">
    <mergeCell ref="A3:K3"/>
    <mergeCell ref="A4:K4"/>
    <mergeCell ref="D2:G2"/>
    <mergeCell ref="A14:K14"/>
    <mergeCell ref="A8:K8"/>
    <mergeCell ref="H2:K2"/>
    <mergeCell ref="A9:K9"/>
    <mergeCell ref="A20:K20"/>
    <mergeCell ref="A13:K13"/>
    <mergeCell ref="A2:C2"/>
    <mergeCell ref="A21:K21"/>
    <mergeCell ref="A1:K1"/>
  </mergeCells>
  <pageMargins left="1" right="1" top="1" bottom="1" header="0.25" footer="0.2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